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整体" sheetId="1" r:id="rId1"/>
    <sheet name="天猫" sheetId="2" r:id="rId2"/>
    <sheet name="京东自营" sheetId="3" r:id="rId3"/>
    <sheet name="京东POP+其他" sheetId="4" r:id="rId4"/>
    <sheet name="抖音" sheetId="5" r:id="rId5"/>
    <sheet name="其他渠道汇总" sheetId="8" r:id="rId6"/>
    <sheet name="渠道费用拆解逻辑" sheetId="7" r:id="rId7"/>
  </sheets>
  <externalReferences>
    <externalReference r:id="rId8"/>
  </externalReferences>
  <definedNames>
    <definedName name="_xlnm._FilterDatabase" localSheetId="0" hidden="1">整体!$B$4:$O$36</definedName>
    <definedName name="_xlnm._FilterDatabase" localSheetId="6" hidden="1">渠道费用拆解逻辑!$B$8:$H$52</definedName>
    <definedName name="直播事业部">'[1]附表 '!#REF!</definedName>
    <definedName name="信息技术中心">'[1]附表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<sst xmlns="http://schemas.openxmlformats.org/spreadsheetml/2006/main" count="644" uniqueCount="96">
  <si>
    <t>整体</t>
  </si>
  <si>
    <t>1-5月</t>
  </si>
  <si>
    <t>1月</t>
  </si>
  <si>
    <t>2月</t>
  </si>
  <si>
    <t>3月</t>
  </si>
  <si>
    <t>4月</t>
  </si>
  <si>
    <t>5月</t>
  </si>
  <si>
    <t>科目</t>
  </si>
  <si>
    <t>执行金额</t>
  </si>
  <si>
    <t>执行费率</t>
  </si>
  <si>
    <t>A006</t>
  </si>
  <si>
    <t>GMV</t>
  </si>
  <si>
    <t>A008</t>
  </si>
  <si>
    <t>销售出库</t>
  </si>
  <si>
    <t>A022</t>
  </si>
  <si>
    <t>销售成本</t>
  </si>
  <si>
    <t>A037</t>
  </si>
  <si>
    <t>进销差</t>
  </si>
  <si>
    <t>A010</t>
  </si>
  <si>
    <t>毛保返利</t>
  </si>
  <si>
    <t>A019</t>
  </si>
  <si>
    <t>其他收入</t>
  </si>
  <si>
    <t>A038</t>
  </si>
  <si>
    <t>销售毛利</t>
  </si>
  <si>
    <t>A039</t>
  </si>
  <si>
    <t>平台扣点</t>
  </si>
  <si>
    <t>A042</t>
  </si>
  <si>
    <t>投放费用</t>
  </si>
  <si>
    <t>A044</t>
  </si>
  <si>
    <t>促销推广费</t>
  </si>
  <si>
    <t>A045</t>
  </si>
  <si>
    <t>直播推广费</t>
  </si>
  <si>
    <t>A046</t>
  </si>
  <si>
    <t>营销设计费</t>
  </si>
  <si>
    <t>A049</t>
  </si>
  <si>
    <t>其他费用</t>
  </si>
  <si>
    <t>A051</t>
  </si>
  <si>
    <t>运营费用小计</t>
  </si>
  <si>
    <t>A052</t>
  </si>
  <si>
    <t>物料费</t>
  </si>
  <si>
    <t>A053</t>
  </si>
  <si>
    <t>物流费</t>
  </si>
  <si>
    <t>A055</t>
  </si>
  <si>
    <t>仓储物流小计</t>
  </si>
  <si>
    <t>A057</t>
  </si>
  <si>
    <t>客服服务费</t>
  </si>
  <si>
    <t>A060</t>
  </si>
  <si>
    <t>设计服务费</t>
  </si>
  <si>
    <t>A061</t>
  </si>
  <si>
    <t>前台人员服务费</t>
  </si>
  <si>
    <t>A059</t>
  </si>
  <si>
    <t>商品服务费</t>
  </si>
  <si>
    <t>中台人员小计</t>
  </si>
  <si>
    <t>A064</t>
  </si>
  <si>
    <t>运营人员工资</t>
  </si>
  <si>
    <t>A068</t>
  </si>
  <si>
    <t>业务招待费</t>
  </si>
  <si>
    <t>A069</t>
  </si>
  <si>
    <t>团建费</t>
  </si>
  <si>
    <t>A070</t>
  </si>
  <si>
    <t>差旅费</t>
  </si>
  <si>
    <t>运营人员小计</t>
  </si>
  <si>
    <t>A062</t>
  </si>
  <si>
    <t>销售费用合计</t>
  </si>
  <si>
    <t>业务利润</t>
  </si>
  <si>
    <t>A075</t>
  </si>
  <si>
    <t>行政费分摊</t>
  </si>
  <si>
    <t>A078</t>
  </si>
  <si>
    <t>管理费用合计</t>
  </si>
  <si>
    <t>A083</t>
  </si>
  <si>
    <t>项目利润</t>
  </si>
  <si>
    <t>天猫</t>
  </si>
  <si>
    <t>京东自营</t>
  </si>
  <si>
    <t>京东POP</t>
  </si>
  <si>
    <t>本地生活</t>
  </si>
  <si>
    <t>小红书</t>
  </si>
  <si>
    <t>线下分销</t>
  </si>
  <si>
    <t>微信小店</t>
  </si>
  <si>
    <t>抖音</t>
  </si>
  <si>
    <t>不含抖音其他汇总</t>
  </si>
  <si>
    <t>费用拆解</t>
  </si>
  <si>
    <t>佰茶+璞康前中后台+福鼎</t>
  </si>
  <si>
    <t>成都+杭州</t>
  </si>
  <si>
    <t>明细</t>
  </si>
  <si>
    <t>月份</t>
  </si>
  <si>
    <t>费用承担</t>
  </si>
  <si>
    <t>对应管报科目</t>
  </si>
  <si>
    <t>求和项:金额</t>
  </si>
  <si>
    <t>佰茶</t>
  </si>
  <si>
    <t>系统数</t>
  </si>
  <si>
    <t>佰茶绿雪芽本地生活分销</t>
  </si>
  <si>
    <t>佰茶绿雪芽抖音旗舰店</t>
  </si>
  <si>
    <t>仓储服务费</t>
  </si>
  <si>
    <t>行政分摊</t>
  </si>
  <si>
    <t>佰茶绿雪芽天猫旗舰店</t>
  </si>
  <si>
    <t>仓储 物流 客服 出纳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</si>
</sst>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#,##0.00_ "/>
  </numFmts>
  <fonts count="27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8"/>
      <color theme="1"/>
      <name val="等线"/>
      <charset val="134"/>
    </font>
    <font>
      <sz val="8"/>
      <color rgb="FFFF0000"/>
      <name val="等线"/>
      <charset val="134"/>
    </font>
    <font>
      <sz val="8"/>
      <color rgb="FF000000"/>
      <name val="等线"/>
      <charset val="134"/>
    </font>
    <font>
      <sz val="8"/>
      <name val="等线"/>
      <charset val="134"/>
    </font>
    <font>
      <sz val="8"/>
      <name val="等线"/>
      <charset val="0"/>
    </font>
    <font>
      <sz val="8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9" fillId="10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9" fontId="1" fillId="0" borderId="0" xfId="3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vertical="center"/>
    </xf>
    <xf numFmtId="0" fontId="2" fillId="3" borderId="2" xfId="0" applyNumberFormat="1" applyFont="1" applyFill="1" applyBorder="1" applyAlignment="1" applyProtection="1">
      <alignment horizontal="center"/>
    </xf>
    <xf numFmtId="0" fontId="2" fillId="3" borderId="3" xfId="0" applyNumberFormat="1" applyFont="1" applyFill="1" applyBorder="1" applyAlignment="1" applyProtection="1">
      <alignment horizontal="center"/>
    </xf>
    <xf numFmtId="10" fontId="2" fillId="3" borderId="4" xfId="3" applyNumberFormat="1" applyFont="1" applyFill="1" applyBorder="1" applyAlignment="1">
      <alignment horizontal="center"/>
    </xf>
    <xf numFmtId="0" fontId="2" fillId="3" borderId="5" xfId="0" applyNumberFormat="1" applyFont="1" applyFill="1" applyBorder="1" applyAlignment="1" applyProtection="1">
      <alignment horizontal="center"/>
    </xf>
    <xf numFmtId="0" fontId="2" fillId="3" borderId="6" xfId="0" applyNumberFormat="1" applyFont="1" applyFill="1" applyBorder="1" applyAlignment="1" applyProtection="1">
      <alignment horizontal="center"/>
    </xf>
    <xf numFmtId="10" fontId="2" fillId="3" borderId="7" xfId="3" applyNumberFormat="1" applyFont="1" applyFill="1" applyBorder="1" applyAlignment="1">
      <alignment horizontal="center"/>
    </xf>
    <xf numFmtId="177" fontId="3" fillId="4" borderId="8" xfId="0" applyNumberFormat="1" applyFont="1" applyFill="1" applyBorder="1" applyAlignment="1" applyProtection="1">
      <alignment horizontal="center" vertical="center"/>
    </xf>
    <xf numFmtId="43" fontId="3" fillId="4" borderId="0" xfId="0" applyNumberFormat="1" applyFont="1" applyFill="1" applyBorder="1" applyAlignment="1" applyProtection="1">
      <alignment horizontal="right" vertical="center"/>
    </xf>
    <xf numFmtId="10" fontId="3" fillId="4" borderId="9" xfId="3" applyNumberFormat="1" applyFont="1" applyFill="1" applyBorder="1" applyAlignment="1">
      <alignment horizontal="right" vertical="center"/>
    </xf>
    <xf numFmtId="177" fontId="4" fillId="0" borderId="8" xfId="0" applyNumberFormat="1" applyFont="1" applyFill="1" applyBorder="1" applyAlignment="1" applyProtection="1">
      <alignment horizontal="center" vertical="center"/>
    </xf>
    <xf numFmtId="43" fontId="4" fillId="0" borderId="0" xfId="0" applyNumberFormat="1" applyFont="1" applyFill="1" applyBorder="1" applyAlignment="1" applyProtection="1">
      <alignment horizontal="right" vertical="center"/>
    </xf>
    <xf numFmtId="10" fontId="4" fillId="0" borderId="9" xfId="3" applyNumberFormat="1" applyFont="1" applyBorder="1" applyAlignment="1">
      <alignment horizontal="right" vertical="center"/>
    </xf>
    <xf numFmtId="177" fontId="5" fillId="4" borderId="8" xfId="0" applyNumberFormat="1" applyFont="1" applyFill="1" applyBorder="1" applyAlignment="1" applyProtection="1">
      <alignment horizontal="center"/>
    </xf>
    <xf numFmtId="43" fontId="5" fillId="4" borderId="0" xfId="0" applyNumberFormat="1" applyFont="1" applyFill="1" applyBorder="1" applyAlignment="1" applyProtection="1">
      <alignment horizontal="right"/>
    </xf>
    <xf numFmtId="10" fontId="5" fillId="4" borderId="9" xfId="3" applyNumberFormat="1" applyFont="1" applyFill="1" applyBorder="1" applyAlignment="1">
      <alignment horizontal="right"/>
    </xf>
    <xf numFmtId="177" fontId="6" fillId="0" borderId="8" xfId="0" applyNumberFormat="1" applyFont="1" applyFill="1" applyBorder="1" applyAlignment="1" applyProtection="1">
      <alignment horizontal="center"/>
    </xf>
    <xf numFmtId="177" fontId="5" fillId="0" borderId="8" xfId="0" applyNumberFormat="1" applyFont="1" applyFill="1" applyBorder="1" applyAlignment="1" applyProtection="1">
      <alignment horizontal="center"/>
    </xf>
    <xf numFmtId="43" fontId="5" fillId="0" borderId="0" xfId="0" applyNumberFormat="1" applyFont="1" applyFill="1" applyBorder="1" applyAlignment="1" applyProtection="1">
      <alignment horizontal="right"/>
    </xf>
    <xf numFmtId="10" fontId="5" fillId="0" borderId="9" xfId="3" applyNumberFormat="1" applyFont="1" applyBorder="1" applyAlignment="1">
      <alignment horizontal="right"/>
    </xf>
    <xf numFmtId="177" fontId="4" fillId="4" borderId="5" xfId="0" applyNumberFormat="1" applyFont="1" applyFill="1" applyBorder="1" applyAlignment="1" applyProtection="1">
      <alignment horizontal="center" vertical="center"/>
    </xf>
    <xf numFmtId="43" fontId="4" fillId="4" borderId="6" xfId="0" applyNumberFormat="1" applyFont="1" applyFill="1" applyBorder="1" applyAlignment="1" applyProtection="1">
      <alignment horizontal="right" vertical="center"/>
    </xf>
    <xf numFmtId="10" fontId="4" fillId="4" borderId="7" xfId="3" applyNumberFormat="1" applyFont="1" applyFill="1" applyBorder="1" applyAlignment="1">
      <alignment horizontal="right" vertical="center"/>
    </xf>
    <xf numFmtId="10" fontId="4" fillId="0" borderId="9" xfId="3" applyNumberFormat="1" applyFont="1" applyFill="1" applyBorder="1" applyAlignment="1">
      <alignment horizontal="right" vertical="center"/>
    </xf>
    <xf numFmtId="177" fontId="7" fillId="4" borderId="8" xfId="0" applyNumberFormat="1" applyFont="1" applyFill="1" applyBorder="1" applyAlignment="1" applyProtection="1">
      <alignment horizontal="center" vertical="center"/>
    </xf>
    <xf numFmtId="43" fontId="7" fillId="4" borderId="0" xfId="0" applyNumberFormat="1" applyFont="1" applyFill="1" applyBorder="1" applyAlignment="1" applyProtection="1">
      <alignment horizontal="right" vertical="center"/>
    </xf>
    <xf numFmtId="10" fontId="7" fillId="4" borderId="9" xfId="3" applyNumberFormat="1" applyFont="1" applyFill="1" applyBorder="1" applyAlignment="1">
      <alignment horizontal="right" vertical="center"/>
    </xf>
    <xf numFmtId="177" fontId="2" fillId="4" borderId="8" xfId="0" applyNumberFormat="1" applyFont="1" applyFill="1" applyBorder="1" applyAlignment="1" applyProtection="1">
      <alignment horizontal="center" vertical="center"/>
    </xf>
    <xf numFmtId="43" fontId="2" fillId="4" borderId="0" xfId="0" applyNumberFormat="1" applyFont="1" applyFill="1" applyBorder="1" applyAlignment="1" applyProtection="1">
      <alignment horizontal="right" vertical="center"/>
    </xf>
    <xf numFmtId="10" fontId="2" fillId="4" borderId="9" xfId="3" applyNumberFormat="1" applyFont="1" applyFill="1" applyBorder="1" applyAlignment="1">
      <alignment horizontal="right" vertical="center"/>
    </xf>
    <xf numFmtId="177" fontId="6" fillId="5" borderId="8" xfId="0" applyNumberFormat="1" applyFont="1" applyFill="1" applyBorder="1" applyAlignment="1" applyProtection="1">
      <alignment horizontal="center"/>
    </xf>
    <xf numFmtId="177" fontId="5" fillId="5" borderId="8" xfId="0" applyNumberFormat="1" applyFont="1" applyFill="1" applyBorder="1" applyAlignment="1" applyProtection="1">
      <alignment horizontal="center"/>
    </xf>
    <xf numFmtId="43" fontId="5" fillId="5" borderId="0" xfId="0" applyNumberFormat="1" applyFont="1" applyFill="1" applyBorder="1" applyAlignment="1" applyProtection="1">
      <alignment horizontal="right"/>
    </xf>
    <xf numFmtId="10" fontId="5" fillId="5" borderId="9" xfId="3" applyNumberFormat="1" applyFont="1" applyFill="1" applyBorder="1" applyAlignment="1">
      <alignment horizontal="right"/>
    </xf>
    <xf numFmtId="177" fontId="2" fillId="4" borderId="5" xfId="0" applyNumberFormat="1" applyFont="1" applyFill="1" applyBorder="1" applyAlignment="1" applyProtection="1">
      <alignment horizontal="center" vertical="center"/>
    </xf>
    <xf numFmtId="43" fontId="2" fillId="4" borderId="6" xfId="0" applyNumberFormat="1" applyFont="1" applyFill="1" applyBorder="1" applyAlignment="1" applyProtection="1">
      <alignment horizontal="right" vertical="center"/>
    </xf>
    <xf numFmtId="10" fontId="2" fillId="4" borderId="7" xfId="3" applyNumberFormat="1" applyFont="1" applyFill="1" applyBorder="1" applyAlignment="1">
      <alignment horizontal="right" vertical="center"/>
    </xf>
    <xf numFmtId="43" fontId="3" fillId="6" borderId="0" xfId="0" applyNumberFormat="1" applyFont="1" applyFill="1" applyBorder="1" applyAlignment="1" applyProtection="1">
      <alignment horizontal="right" vertical="center"/>
    </xf>
    <xf numFmtId="0" fontId="0" fillId="0" borderId="0" xfId="0" applyAlignment="1">
      <alignment vertical="center" wrapText="1"/>
    </xf>
    <xf numFmtId="0" fontId="2" fillId="3" borderId="3" xfId="0" applyNumberFormat="1" applyFont="1" applyFill="1" applyBorder="1" applyAlignment="1" applyProtection="1">
      <alignment horizontal="center"/>
    </xf>
    <xf numFmtId="0" fontId="2" fillId="3" borderId="4" xfId="0" applyNumberFormat="1" applyFont="1" applyFill="1" applyBorder="1" applyAlignment="1" applyProtection="1">
      <alignment horizontal="center"/>
    </xf>
    <xf numFmtId="43" fontId="4" fillId="2" borderId="0" xfId="0" applyNumberFormat="1" applyFont="1" applyFill="1" applyBorder="1" applyAlignment="1" applyProtection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6&#24180;&#31649;&#25253;%20-&#32511;&#38634;&#33469;0618%20V2-&#36153;&#29992;&#20998;&#25674;&#29256;%20&#22825;&#29483;0.5%20&#33258;&#33829;0.3%20&#25238;&#38899;0.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6年执行"/>
      <sheetName val="【项目看板】-1"/>
      <sheetName val="【项目看板】-合并"/>
      <sheetName val="【项目看板】 (5)"/>
      <sheetName val="26年预算"/>
      <sheetName val="【项目看板】-林内自营"/>
      <sheetName val="【项目看板】-东芝"/>
      <sheetName val="【项目看板】-外交官天猫"/>
      <sheetName val="【项目看板】-外交官天猫 (2)"/>
      <sheetName val="【项目看板】-林内POP1"/>
      <sheetName val="主数据"/>
      <sheetName val="【店铺1】"/>
      <sheetName val="25年执行"/>
      <sheetName val="【项目看板】 (2)"/>
      <sheetName val="【店铺N】"/>
      <sheetName val="财税商"/>
      <sheetName val="附表 "/>
      <sheetName val="简表"/>
      <sheetName val="事业部"/>
      <sheetName val="项目"/>
      <sheetName val="人力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7"/>
  <sheetViews>
    <sheetView tabSelected="1" topLeftCell="A2" workbookViewId="0">
      <selection activeCell="P31" sqref="P31"/>
    </sheetView>
  </sheetViews>
  <sheetFormatPr defaultColWidth="9" defaultRowHeight="13.5"/>
  <cols>
    <col min="17" max="17" width="19.6283185840708" customWidth="1"/>
  </cols>
  <sheetData>
    <row r="1" spans="2:15"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ht="14.25"/>
    <row r="3" ht="14.25" spans="2:15">
      <c r="B3" s="11" t="s">
        <v>0</v>
      </c>
      <c r="C3" s="11"/>
      <c r="D3" s="12" t="s">
        <v>1</v>
      </c>
      <c r="E3" s="13"/>
      <c r="F3" s="12" t="s">
        <v>2</v>
      </c>
      <c r="G3" s="13"/>
      <c r="H3" s="12" t="s">
        <v>3</v>
      </c>
      <c r="I3" s="13"/>
      <c r="J3" s="12" t="s">
        <v>4</v>
      </c>
      <c r="K3" s="13"/>
      <c r="L3" s="49" t="s">
        <v>5</v>
      </c>
      <c r="M3" s="50"/>
      <c r="N3" s="12" t="s">
        <v>6</v>
      </c>
      <c r="O3" s="13"/>
    </row>
    <row r="4" ht="14.25" spans="2:15">
      <c r="B4" s="14"/>
      <c r="C4" s="14" t="s">
        <v>7</v>
      </c>
      <c r="D4" s="15" t="s">
        <v>8</v>
      </c>
      <c r="E4" s="16" t="s">
        <v>9</v>
      </c>
      <c r="F4" s="15" t="s">
        <v>8</v>
      </c>
      <c r="G4" s="16" t="s">
        <v>9</v>
      </c>
      <c r="H4" s="15" t="s">
        <v>8</v>
      </c>
      <c r="I4" s="16" t="s">
        <v>9</v>
      </c>
      <c r="J4" s="15" t="s">
        <v>8</v>
      </c>
      <c r="K4" s="16" t="s">
        <v>9</v>
      </c>
      <c r="L4" s="15" t="s">
        <v>8</v>
      </c>
      <c r="M4" s="16" t="s">
        <v>9</v>
      </c>
      <c r="N4" s="15" t="s">
        <v>8</v>
      </c>
      <c r="O4" s="16" t="s">
        <v>9</v>
      </c>
    </row>
    <row r="5" ht="14.25" spans="2:15">
      <c r="B5" s="17" t="s">
        <v>10</v>
      </c>
      <c r="C5" s="17" t="s">
        <v>11</v>
      </c>
      <c r="D5" s="18">
        <v>978.694783</v>
      </c>
      <c r="E5" s="19"/>
      <c r="F5" s="18">
        <v>225.258529</v>
      </c>
      <c r="G5" s="19"/>
      <c r="H5" s="18">
        <v>218.417539</v>
      </c>
      <c r="I5" s="19"/>
      <c r="J5" s="18">
        <v>175.068919</v>
      </c>
      <c r="K5" s="19"/>
      <c r="L5" s="18">
        <v>140.422307</v>
      </c>
      <c r="M5" s="19"/>
      <c r="N5" s="18">
        <v>219.527489</v>
      </c>
      <c r="O5" s="19"/>
    </row>
    <row r="6" spans="2:15">
      <c r="B6" s="20" t="s">
        <v>12</v>
      </c>
      <c r="C6" s="20" t="s">
        <v>13</v>
      </c>
      <c r="D6" s="21">
        <v>615.062064</v>
      </c>
      <c r="E6" s="22">
        <v>0.999300472520046</v>
      </c>
      <c r="F6" s="21">
        <v>133.736779</v>
      </c>
      <c r="G6" s="22">
        <v>0.998021811040533</v>
      </c>
      <c r="H6" s="21">
        <v>139.556364</v>
      </c>
      <c r="I6" s="22">
        <v>0.999254992889467</v>
      </c>
      <c r="J6" s="21">
        <v>109.468422</v>
      </c>
      <c r="K6" s="22">
        <v>1</v>
      </c>
      <c r="L6" s="21">
        <v>83.449886</v>
      </c>
      <c r="M6" s="22">
        <v>0.999634884207384</v>
      </c>
      <c r="N6" s="21">
        <v>148.850613</v>
      </c>
      <c r="O6" s="22">
        <v>0.999792150213796</v>
      </c>
    </row>
    <row r="7" spans="2:15">
      <c r="B7" s="20" t="s">
        <v>14</v>
      </c>
      <c r="C7" s="20" t="s">
        <v>15</v>
      </c>
      <c r="D7" s="21">
        <v>237.448816</v>
      </c>
      <c r="E7" s="22">
        <v>0.385786618808806</v>
      </c>
      <c r="F7" s="21">
        <v>52.151962</v>
      </c>
      <c r="G7" s="22">
        <v>0.389188344102089</v>
      </c>
      <c r="H7" s="21">
        <v>56.00518</v>
      </c>
      <c r="I7" s="22">
        <v>0.401009700587164</v>
      </c>
      <c r="J7" s="21">
        <v>41.002405</v>
      </c>
      <c r="K7" s="22">
        <v>0.374559203931888</v>
      </c>
      <c r="L7" s="21">
        <v>29.764729</v>
      </c>
      <c r="M7" s="22">
        <v>0.356547658164316</v>
      </c>
      <c r="N7" s="21">
        <v>58.52454</v>
      </c>
      <c r="O7" s="22">
        <v>0.393094623579906</v>
      </c>
    </row>
    <row r="8" spans="2:15">
      <c r="B8" s="23" t="s">
        <v>16</v>
      </c>
      <c r="C8" s="23" t="s">
        <v>17</v>
      </c>
      <c r="D8" s="24">
        <v>377.613248</v>
      </c>
      <c r="E8" s="25">
        <v>0.61351385371124</v>
      </c>
      <c r="F8" s="24">
        <v>81.584817</v>
      </c>
      <c r="G8" s="25">
        <v>0.608833466938444</v>
      </c>
      <c r="H8" s="24">
        <v>83.551184</v>
      </c>
      <c r="I8" s="25">
        <v>0.598245292302303</v>
      </c>
      <c r="J8" s="24">
        <v>68.466017</v>
      </c>
      <c r="K8" s="25">
        <v>0.625440796068112</v>
      </c>
      <c r="L8" s="24">
        <v>53.685157</v>
      </c>
      <c r="M8" s="25">
        <v>0.643087226043067</v>
      </c>
      <c r="N8" s="24">
        <v>90.326073</v>
      </c>
      <c r="O8" s="25">
        <v>0.60669752663389</v>
      </c>
    </row>
    <row r="9" spans="2:15">
      <c r="B9" s="20" t="s">
        <v>18</v>
      </c>
      <c r="C9" s="20" t="s">
        <v>19</v>
      </c>
      <c r="D9" s="21">
        <v>7.62032566371682</v>
      </c>
      <c r="E9" s="22">
        <v>0.0123808563106387</v>
      </c>
      <c r="F9" s="21">
        <v>0</v>
      </c>
      <c r="G9" s="22">
        <v>0</v>
      </c>
      <c r="H9" s="21">
        <v>1.18613451327434</v>
      </c>
      <c r="I9" s="22">
        <v>0.00849299022026614</v>
      </c>
      <c r="J9" s="21">
        <v>0</v>
      </c>
      <c r="K9" s="22">
        <v>0</v>
      </c>
      <c r="L9" s="21">
        <v>0</v>
      </c>
      <c r="M9" s="22">
        <v>0</v>
      </c>
      <c r="N9" s="21">
        <v>6.43419115044248</v>
      </c>
      <c r="O9" s="22">
        <v>0.0432168445633977</v>
      </c>
    </row>
    <row r="10" spans="2:15">
      <c r="B10" s="26" t="s">
        <v>20</v>
      </c>
      <c r="C10" s="27" t="s">
        <v>21</v>
      </c>
      <c r="D10" s="28">
        <v>0.430554</v>
      </c>
      <c r="E10" s="29">
        <v>0.000699527479954276</v>
      </c>
      <c r="F10" s="28">
        <v>0.265081</v>
      </c>
      <c r="G10" s="29">
        <v>0.00197818895946668</v>
      </c>
      <c r="H10" s="28">
        <v>0.104048</v>
      </c>
      <c r="I10" s="29">
        <v>0.000745007110533227</v>
      </c>
      <c r="J10" s="28">
        <v>0</v>
      </c>
      <c r="K10" s="29">
        <v>0</v>
      </c>
      <c r="L10" s="28">
        <v>0.03048</v>
      </c>
      <c r="M10" s="29">
        <v>0.000365115792616434</v>
      </c>
      <c r="N10" s="28">
        <v>0.030945</v>
      </c>
      <c r="O10" s="29">
        <v>0.000207849786203876</v>
      </c>
    </row>
    <row r="11" ht="14.25" spans="2:15">
      <c r="B11" s="30" t="s">
        <v>22</v>
      </c>
      <c r="C11" s="30" t="s">
        <v>23</v>
      </c>
      <c r="D11" s="31">
        <v>370.423476336283</v>
      </c>
      <c r="E11" s="32">
        <v>0.601832524880555</v>
      </c>
      <c r="F11" s="31">
        <v>81.849898</v>
      </c>
      <c r="G11" s="32">
        <v>0.610811655897911</v>
      </c>
      <c r="H11" s="31">
        <v>82.4690974867257</v>
      </c>
      <c r="I11" s="32">
        <v>0.59049730919257</v>
      </c>
      <c r="J11" s="31">
        <v>68.466017</v>
      </c>
      <c r="K11" s="32">
        <v>0.625440796068112</v>
      </c>
      <c r="L11" s="31">
        <v>53.715637</v>
      </c>
      <c r="M11" s="32">
        <v>0.643452341835684</v>
      </c>
      <c r="N11" s="31">
        <v>83.9228268495575</v>
      </c>
      <c r="O11" s="32">
        <v>0.563688531856696</v>
      </c>
    </row>
    <row r="12" ht="14.25" spans="2:15">
      <c r="B12" s="20" t="s">
        <v>24</v>
      </c>
      <c r="C12" s="20" t="s">
        <v>25</v>
      </c>
      <c r="D12" s="21">
        <v>9.786895</v>
      </c>
      <c r="E12" s="22">
        <v>0.0159009136970673</v>
      </c>
      <c r="F12" s="21">
        <v>2.510254</v>
      </c>
      <c r="G12" s="22">
        <v>0.0187329787810408</v>
      </c>
      <c r="H12" s="21">
        <v>2.581278</v>
      </c>
      <c r="I12" s="22">
        <v>0.0184825317571024</v>
      </c>
      <c r="J12" s="21">
        <v>1.541477</v>
      </c>
      <c r="K12" s="22">
        <v>0.0140814763914291</v>
      </c>
      <c r="L12" s="21">
        <v>1.383273</v>
      </c>
      <c r="M12" s="22">
        <v>0.0165700399540654</v>
      </c>
      <c r="N12" s="21">
        <v>1.770613</v>
      </c>
      <c r="O12" s="22">
        <v>0.0118927624333432</v>
      </c>
    </row>
    <row r="13" spans="2:15">
      <c r="B13" s="20" t="s">
        <v>26</v>
      </c>
      <c r="C13" s="20" t="s">
        <v>27</v>
      </c>
      <c r="D13" s="21">
        <v>148.222951</v>
      </c>
      <c r="E13" s="33">
        <v>0.240820030436173</v>
      </c>
      <c r="F13" s="21">
        <v>36.044596</v>
      </c>
      <c r="G13" s="33">
        <v>0.268985788704724</v>
      </c>
      <c r="H13" s="21">
        <v>33.316683</v>
      </c>
      <c r="I13" s="33">
        <v>0.238554952852352</v>
      </c>
      <c r="J13" s="21">
        <v>29.04016</v>
      </c>
      <c r="K13" s="33">
        <v>0.265283444023702</v>
      </c>
      <c r="L13" s="21">
        <v>20.472151</v>
      </c>
      <c r="M13" s="33">
        <v>0.245233124636756</v>
      </c>
      <c r="N13" s="21">
        <v>29.349361</v>
      </c>
      <c r="O13" s="33">
        <v>0.197132280144462</v>
      </c>
    </row>
    <row r="14" spans="2:15">
      <c r="B14" s="20" t="s">
        <v>28</v>
      </c>
      <c r="C14" s="20" t="s">
        <v>29</v>
      </c>
      <c r="D14" s="21">
        <v>65.056343</v>
      </c>
      <c r="E14" s="22">
        <v>0.105698006925568</v>
      </c>
      <c r="F14" s="21">
        <v>7.881275</v>
      </c>
      <c r="G14" s="22">
        <v>0.0588146686919122</v>
      </c>
      <c r="H14" s="21">
        <v>12.865336</v>
      </c>
      <c r="I14" s="22">
        <v>0.0921187029005757</v>
      </c>
      <c r="J14" s="21">
        <v>24.233344</v>
      </c>
      <c r="K14" s="22">
        <v>0.221372917936097</v>
      </c>
      <c r="L14" s="21">
        <v>10.366322</v>
      </c>
      <c r="M14" s="22">
        <v>0.124176767504829</v>
      </c>
      <c r="N14" s="21">
        <v>9.710066</v>
      </c>
      <c r="O14" s="22">
        <v>0.0652200724551794</v>
      </c>
    </row>
    <row r="15" spans="2:15">
      <c r="B15" s="20" t="s">
        <v>30</v>
      </c>
      <c r="C15" s="20" t="s">
        <v>31</v>
      </c>
      <c r="D15" s="21">
        <v>64.779621</v>
      </c>
      <c r="E15" s="22">
        <v>0.105248412581286</v>
      </c>
      <c r="F15" s="21">
        <v>12.763475</v>
      </c>
      <c r="G15" s="22">
        <v>0.0952484913269114</v>
      </c>
      <c r="H15" s="21">
        <v>14.470323</v>
      </c>
      <c r="I15" s="22">
        <v>0.103610771247045</v>
      </c>
      <c r="J15" s="21">
        <v>14.709117</v>
      </c>
      <c r="K15" s="22">
        <v>0.134368585307642</v>
      </c>
      <c r="L15" s="21">
        <v>12.376145</v>
      </c>
      <c r="M15" s="22">
        <v>0.148252165065975</v>
      </c>
      <c r="N15" s="21">
        <v>10.460561</v>
      </c>
      <c r="O15" s="22">
        <v>0.0702609587145777</v>
      </c>
    </row>
    <row r="16" spans="2:15">
      <c r="B16" s="20" t="s">
        <v>32</v>
      </c>
      <c r="C16" s="20" t="s">
        <v>33</v>
      </c>
      <c r="D16" s="21">
        <v>11.174529</v>
      </c>
      <c r="E16" s="22">
        <v>0.0181554232710554</v>
      </c>
      <c r="F16" s="21">
        <v>2.377358</v>
      </c>
      <c r="G16" s="22">
        <v>0.0177412313530573</v>
      </c>
      <c r="H16" s="21">
        <v>2.735849</v>
      </c>
      <c r="I16" s="22">
        <v>0.0195892949248925</v>
      </c>
      <c r="J16" s="21">
        <v>2.735849</v>
      </c>
      <c r="K16" s="22">
        <v>0.0249921296938034</v>
      </c>
      <c r="L16" s="21">
        <v>2.306605</v>
      </c>
      <c r="M16" s="22">
        <v>0.0276305089510508</v>
      </c>
      <c r="N16" s="21">
        <v>1.018868</v>
      </c>
      <c r="O16" s="22">
        <v>0.00684348023816355</v>
      </c>
    </row>
    <row r="17" spans="2:15">
      <c r="B17" s="20" t="s">
        <v>34</v>
      </c>
      <c r="C17" s="20" t="s">
        <v>35</v>
      </c>
      <c r="D17" s="21">
        <v>3.018592</v>
      </c>
      <c r="E17" s="22">
        <v>0.00490435126550941</v>
      </c>
      <c r="F17" s="21">
        <v>3.006721</v>
      </c>
      <c r="G17" s="22">
        <v>0.0224379049663937</v>
      </c>
      <c r="H17" s="21">
        <v>0</v>
      </c>
      <c r="I17" s="22">
        <v>0</v>
      </c>
      <c r="J17" s="21">
        <v>0.003441</v>
      </c>
      <c r="K17" s="22">
        <v>3.14337225030977e-5</v>
      </c>
      <c r="L17" s="21">
        <v>0.00843</v>
      </c>
      <c r="M17" s="22">
        <v>0.000100981828469703</v>
      </c>
      <c r="N17" s="21">
        <v>0</v>
      </c>
      <c r="O17" s="22">
        <v>0</v>
      </c>
    </row>
    <row r="18" spans="2:15">
      <c r="B18" s="34" t="s">
        <v>36</v>
      </c>
      <c r="C18" s="34" t="s">
        <v>37</v>
      </c>
      <c r="D18" s="35">
        <v>302.038931</v>
      </c>
      <c r="E18" s="36">
        <v>0.49072713817666</v>
      </c>
      <c r="F18" s="35">
        <v>66.160921</v>
      </c>
      <c r="G18" s="36">
        <v>0.493731363131825</v>
      </c>
      <c r="H18" s="35">
        <v>66.518897</v>
      </c>
      <c r="I18" s="36">
        <v>0.476290281887468</v>
      </c>
      <c r="J18" s="35">
        <v>71.018815</v>
      </c>
      <c r="K18" s="36">
        <v>0.648760744902306</v>
      </c>
      <c r="L18" s="35">
        <v>47.636195</v>
      </c>
      <c r="M18" s="36">
        <v>0.570627529352231</v>
      </c>
      <c r="N18" s="35">
        <v>50.704103</v>
      </c>
      <c r="O18" s="36">
        <v>0.340566714112436</v>
      </c>
    </row>
    <row r="19" spans="2:15">
      <c r="B19" s="20" t="s">
        <v>38</v>
      </c>
      <c r="C19" s="20" t="s">
        <v>39</v>
      </c>
      <c r="D19" s="21">
        <v>3.685826</v>
      </c>
      <c r="E19" s="33">
        <v>0.00598841625749604</v>
      </c>
      <c r="F19" s="21">
        <v>0</v>
      </c>
      <c r="G19" s="33">
        <v>0</v>
      </c>
      <c r="H19" s="21">
        <v>2.7</v>
      </c>
      <c r="I19" s="33">
        <v>0.0193326080120686</v>
      </c>
      <c r="J19" s="21">
        <v>0</v>
      </c>
      <c r="K19" s="33">
        <v>0</v>
      </c>
      <c r="L19" s="21">
        <v>0</v>
      </c>
      <c r="M19" s="33">
        <v>0</v>
      </c>
      <c r="N19" s="21">
        <v>0.985826</v>
      </c>
      <c r="O19" s="33">
        <v>0.00662154543009283</v>
      </c>
    </row>
    <row r="20" spans="2:15">
      <c r="B20" s="20" t="s">
        <v>40</v>
      </c>
      <c r="C20" s="20" t="s">
        <v>41</v>
      </c>
      <c r="D20" s="21">
        <v>53.5995691509435</v>
      </c>
      <c r="E20" s="33">
        <v>0.0870840162553233</v>
      </c>
      <c r="F20" s="21">
        <v>11.833936</v>
      </c>
      <c r="G20" s="33">
        <v>0.088311729404353</v>
      </c>
      <c r="H20" s="21">
        <v>13.739122490566</v>
      </c>
      <c r="I20" s="33">
        <v>0.0983752109407066</v>
      </c>
      <c r="J20" s="21">
        <v>11.3238775849057</v>
      </c>
      <c r="K20" s="33">
        <v>0.103444238786101</v>
      </c>
      <c r="L20" s="21">
        <v>1.898591</v>
      </c>
      <c r="M20" s="33">
        <v>0.0227429644953881</v>
      </c>
      <c r="N20" s="51">
        <v>14.8040420754718</v>
      </c>
      <c r="O20" s="33">
        <v>0.0994350292564228</v>
      </c>
    </row>
    <row r="21" spans="2:15">
      <c r="B21" s="34" t="s">
        <v>42</v>
      </c>
      <c r="C21" s="34" t="s">
        <v>43</v>
      </c>
      <c r="D21" s="35">
        <v>57.2853951509435</v>
      </c>
      <c r="E21" s="36">
        <v>0.0930724325128194</v>
      </c>
      <c r="F21" s="35">
        <v>11.833936</v>
      </c>
      <c r="G21" s="36">
        <v>0.088311729404353</v>
      </c>
      <c r="H21" s="35">
        <v>16.439122490566</v>
      </c>
      <c r="I21" s="36">
        <v>0.117707818952775</v>
      </c>
      <c r="J21" s="35">
        <v>11.3238775849057</v>
      </c>
      <c r="K21" s="36">
        <v>0.103444238786101</v>
      </c>
      <c r="L21" s="35">
        <v>1.898591</v>
      </c>
      <c r="M21" s="36">
        <v>0.0227429644953881</v>
      </c>
      <c r="N21" s="35">
        <v>15.7898680754718</v>
      </c>
      <c r="O21" s="36">
        <v>0.106056574686516</v>
      </c>
    </row>
    <row r="22" spans="2:15">
      <c r="B22" s="20" t="s">
        <v>44</v>
      </c>
      <c r="C22" s="20" t="s">
        <v>45</v>
      </c>
      <c r="D22" s="21">
        <v>8.632464</v>
      </c>
      <c r="E22" s="33">
        <v>0.0140252925015585</v>
      </c>
      <c r="F22" s="21">
        <v>1.3516</v>
      </c>
      <c r="G22" s="33">
        <v>0.0100864271585484</v>
      </c>
      <c r="H22" s="21">
        <v>1.561616</v>
      </c>
      <c r="I22" s="33">
        <v>0.0111815222197683</v>
      </c>
      <c r="J22" s="21">
        <v>2.996088</v>
      </c>
      <c r="K22" s="33">
        <v>0.027369427139454</v>
      </c>
      <c r="L22" s="21">
        <v>1.36158</v>
      </c>
      <c r="M22" s="33">
        <v>0.0163101824445763</v>
      </c>
      <c r="N22" s="21">
        <v>1.36158</v>
      </c>
      <c r="O22" s="33">
        <v>0.00914539059297056</v>
      </c>
    </row>
    <row r="23" spans="2:15">
      <c r="B23" s="20" t="s">
        <v>46</v>
      </c>
      <c r="C23" s="20" t="s">
        <v>47</v>
      </c>
      <c r="D23" s="21">
        <v>20.56377</v>
      </c>
      <c r="E23" s="33">
        <v>0.0334102626069189</v>
      </c>
      <c r="F23" s="21">
        <v>3.1886</v>
      </c>
      <c r="G23" s="33">
        <v>0.0237951920965873</v>
      </c>
      <c r="H23" s="21">
        <v>3.588592</v>
      </c>
      <c r="I23" s="33">
        <v>0.0256951268337945</v>
      </c>
      <c r="J23" s="21">
        <v>3.1961</v>
      </c>
      <c r="K23" s="33">
        <v>0.0291965476582827</v>
      </c>
      <c r="L23" s="21">
        <v>5.22351</v>
      </c>
      <c r="M23" s="33">
        <v>0.0625717189596414</v>
      </c>
      <c r="N23" s="21">
        <v>5.366968</v>
      </c>
      <c r="O23" s="33">
        <v>0.0360485749349829</v>
      </c>
    </row>
    <row r="24" spans="2:15">
      <c r="B24" s="20" t="s">
        <v>48</v>
      </c>
      <c r="C24" s="20" t="s">
        <v>49</v>
      </c>
      <c r="D24" s="21">
        <v>47.16981</v>
      </c>
      <c r="E24" s="33">
        <v>0.0766374910446123</v>
      </c>
      <c r="F24" s="21">
        <v>9.433962</v>
      </c>
      <c r="G24" s="33">
        <v>0.0704017242745735</v>
      </c>
      <c r="H24" s="21">
        <v>9.43</v>
      </c>
      <c r="I24" s="33">
        <v>0.0675209235384469</v>
      </c>
      <c r="J24" s="21">
        <v>9.437924</v>
      </c>
      <c r="K24" s="33">
        <v>0.0862159500207283</v>
      </c>
      <c r="L24" s="21">
        <v>4.52830176</v>
      </c>
      <c r="M24" s="33">
        <v>0.0542439135928082</v>
      </c>
      <c r="N24" s="51">
        <v>14.33962224</v>
      </c>
      <c r="O24" s="33">
        <v>0.096315637965046</v>
      </c>
    </row>
    <row r="25" spans="2:15">
      <c r="B25" s="20" t="s">
        <v>50</v>
      </c>
      <c r="C25" s="20" t="s">
        <v>51</v>
      </c>
      <c r="D25" s="21">
        <v>7.383983</v>
      </c>
      <c r="E25" s="33">
        <v>0.011996866873877</v>
      </c>
      <c r="F25" s="21">
        <v>1.4616</v>
      </c>
      <c r="G25" s="33">
        <v>0.0109073112865747</v>
      </c>
      <c r="H25" s="21">
        <v>1.661576</v>
      </c>
      <c r="I25" s="33">
        <v>0.0118972583297262</v>
      </c>
      <c r="J25" s="21">
        <v>1.361582</v>
      </c>
      <c r="K25" s="33">
        <v>0.0124381257637933</v>
      </c>
      <c r="L25" s="21">
        <v>1.4616</v>
      </c>
      <c r="M25" s="33">
        <v>0.0175083084805833</v>
      </c>
      <c r="N25" s="21">
        <v>1.437625</v>
      </c>
      <c r="O25" s="33">
        <v>0.00965616574216667</v>
      </c>
    </row>
    <row r="26" spans="2:15">
      <c r="B26" s="34"/>
      <c r="C26" s="34" t="s">
        <v>52</v>
      </c>
      <c r="D26" s="35">
        <v>83.750027</v>
      </c>
      <c r="E26" s="36">
        <v>0.136069913026967</v>
      </c>
      <c r="F26" s="35">
        <v>15.435762</v>
      </c>
      <c r="G26" s="36">
        <v>0.115190654816284</v>
      </c>
      <c r="H26" s="35">
        <v>16.241784</v>
      </c>
      <c r="I26" s="36">
        <v>0.116294830921736</v>
      </c>
      <c r="J26" s="35">
        <v>16.991694</v>
      </c>
      <c r="K26" s="36">
        <v>0.155220050582258</v>
      </c>
      <c r="L26" s="35">
        <v>12.57499176</v>
      </c>
      <c r="M26" s="36">
        <v>0.150634123477609</v>
      </c>
      <c r="N26" s="35">
        <v>22.50579524</v>
      </c>
      <c r="O26" s="36">
        <v>0.151165769235166</v>
      </c>
    </row>
    <row r="27" spans="2:15">
      <c r="B27" s="20" t="s">
        <v>53</v>
      </c>
      <c r="C27" s="20" t="s">
        <v>54</v>
      </c>
      <c r="D27" s="21">
        <v>19.768248</v>
      </c>
      <c r="E27" s="33">
        <v>0.0321177661955322</v>
      </c>
      <c r="F27" s="21">
        <v>4.024964</v>
      </c>
      <c r="G27" s="33">
        <v>0.0300366278497925</v>
      </c>
      <c r="H27" s="21">
        <v>4.418596</v>
      </c>
      <c r="I27" s="33">
        <v>0.031638142382109</v>
      </c>
      <c r="J27" s="21">
        <v>3.69768</v>
      </c>
      <c r="K27" s="33">
        <v>0.0337785082898153</v>
      </c>
      <c r="L27" s="21">
        <v>3.04341</v>
      </c>
      <c r="M27" s="33">
        <v>0.0364565962731884</v>
      </c>
      <c r="N27" s="21">
        <v>4.583598</v>
      </c>
      <c r="O27" s="33">
        <v>0.0307868755645343</v>
      </c>
    </row>
    <row r="28" spans="2:15">
      <c r="B28" s="20" t="s">
        <v>55</v>
      </c>
      <c r="C28" s="20" t="s">
        <v>56</v>
      </c>
      <c r="D28" s="21">
        <v>0.1265</v>
      </c>
      <c r="E28" s="33">
        <v>0.000205526429238181</v>
      </c>
      <c r="F28" s="21">
        <v>0</v>
      </c>
      <c r="G28" s="33">
        <v>0</v>
      </c>
      <c r="H28" s="21">
        <v>0</v>
      </c>
      <c r="I28" s="33">
        <v>0</v>
      </c>
      <c r="J28" s="21">
        <v>0</v>
      </c>
      <c r="K28" s="33">
        <v>0</v>
      </c>
      <c r="L28" s="21">
        <v>0</v>
      </c>
      <c r="M28" s="33">
        <v>0</v>
      </c>
      <c r="N28" s="21">
        <v>0.1265</v>
      </c>
      <c r="O28" s="33">
        <v>0.000849668701075791</v>
      </c>
    </row>
    <row r="29" spans="2:15">
      <c r="B29" s="20" t="s">
        <v>57</v>
      </c>
      <c r="C29" s="20" t="s">
        <v>58</v>
      </c>
      <c r="D29" s="21">
        <v>0.177506</v>
      </c>
      <c r="E29" s="33">
        <v>0.000288396635164843</v>
      </c>
      <c r="F29" s="21">
        <v>0</v>
      </c>
      <c r="G29" s="33">
        <v>0</v>
      </c>
      <c r="H29" s="21">
        <v>0</v>
      </c>
      <c r="I29" s="33">
        <v>0</v>
      </c>
      <c r="J29" s="21">
        <v>0</v>
      </c>
      <c r="K29" s="33">
        <v>0</v>
      </c>
      <c r="L29" s="21">
        <v>0.177506</v>
      </c>
      <c r="M29" s="33">
        <v>0.00212632033740724</v>
      </c>
      <c r="N29" s="21">
        <v>0</v>
      </c>
      <c r="O29" s="33">
        <v>0</v>
      </c>
    </row>
    <row r="30" spans="2:15">
      <c r="B30" s="20" t="s">
        <v>59</v>
      </c>
      <c r="C30" s="20" t="s">
        <v>60</v>
      </c>
      <c r="D30" s="21">
        <v>1.613732</v>
      </c>
      <c r="E30" s="33">
        <v>0.00262185435341809</v>
      </c>
      <c r="F30" s="21">
        <v>-0.04919</v>
      </c>
      <c r="G30" s="33">
        <v>-0.000367084456887389</v>
      </c>
      <c r="H30" s="21">
        <v>0</v>
      </c>
      <c r="I30" s="33">
        <v>0</v>
      </c>
      <c r="J30" s="21">
        <v>0</v>
      </c>
      <c r="K30" s="33">
        <v>0</v>
      </c>
      <c r="L30" s="21">
        <v>1.662922</v>
      </c>
      <c r="M30" s="33">
        <v>0.0199199174569982</v>
      </c>
      <c r="N30" s="21">
        <v>0</v>
      </c>
      <c r="O30" s="33">
        <v>0</v>
      </c>
    </row>
    <row r="31" spans="2:15">
      <c r="B31" s="34"/>
      <c r="C31" s="34" t="s">
        <v>61</v>
      </c>
      <c r="D31" s="35">
        <v>21.685986</v>
      </c>
      <c r="E31" s="36">
        <v>0.0352335436133533</v>
      </c>
      <c r="F31" s="35">
        <v>3.975774</v>
      </c>
      <c r="G31" s="36">
        <v>0.0296695433929051</v>
      </c>
      <c r="H31" s="35">
        <v>4.418596</v>
      </c>
      <c r="I31" s="36">
        <v>0.031638142382109</v>
      </c>
      <c r="J31" s="35">
        <v>3.69768</v>
      </c>
      <c r="K31" s="36">
        <v>0.0337785082898153</v>
      </c>
      <c r="L31" s="35">
        <v>4.883838</v>
      </c>
      <c r="M31" s="36">
        <v>0.0585028340675938</v>
      </c>
      <c r="N31" s="35">
        <v>4.710098</v>
      </c>
      <c r="O31" s="36">
        <v>0.0316365442656101</v>
      </c>
    </row>
    <row r="32" spans="2:15">
      <c r="B32" s="34" t="s">
        <v>62</v>
      </c>
      <c r="C32" s="34" t="s">
        <v>63</v>
      </c>
      <c r="D32" s="35">
        <v>464.760339150944</v>
      </c>
      <c r="E32" s="36">
        <v>0.755103027329799</v>
      </c>
      <c r="F32" s="35">
        <v>97.406393</v>
      </c>
      <c r="G32" s="36">
        <v>0.726903290745367</v>
      </c>
      <c r="H32" s="35">
        <v>103.618399490566</v>
      </c>
      <c r="I32" s="36">
        <v>0.741931074144089</v>
      </c>
      <c r="J32" s="35">
        <v>103.032066584906</v>
      </c>
      <c r="K32" s="36">
        <v>0.941203542560481</v>
      </c>
      <c r="L32" s="35">
        <v>66.99361576</v>
      </c>
      <c r="M32" s="36">
        <v>0.802507451392822</v>
      </c>
      <c r="N32" s="35">
        <v>93.7098643154718</v>
      </c>
      <c r="O32" s="36">
        <v>0.629425602299727</v>
      </c>
    </row>
    <row r="33" spans="2:15">
      <c r="B33" s="37"/>
      <c r="C33" s="37" t="s">
        <v>64</v>
      </c>
      <c r="D33" s="38">
        <v>-94.3368628146603</v>
      </c>
      <c r="E33" s="39">
        <v>-0.153270502449243</v>
      </c>
      <c r="F33" s="38">
        <v>-15.556495</v>
      </c>
      <c r="G33" s="39">
        <v>-0.116091634847457</v>
      </c>
      <c r="H33" s="38">
        <v>-21.1493020038403</v>
      </c>
      <c r="I33" s="39">
        <v>-0.151433764951519</v>
      </c>
      <c r="J33" s="38">
        <v>-34.5660495849057</v>
      </c>
      <c r="K33" s="39">
        <v>-0.315762746492369</v>
      </c>
      <c r="L33" s="38">
        <v>-13.27797876</v>
      </c>
      <c r="M33" s="39">
        <v>-0.159055109557138</v>
      </c>
      <c r="N33" s="38">
        <v>-9.78703746591428</v>
      </c>
      <c r="O33" s="39">
        <v>-0.0657370704430315</v>
      </c>
    </row>
    <row r="34" spans="2:15">
      <c r="B34" s="20" t="s">
        <v>65</v>
      </c>
      <c r="C34" s="20" t="s">
        <v>66</v>
      </c>
      <c r="D34" s="21">
        <v>4.71698</v>
      </c>
      <c r="E34" s="22">
        <v>0.00766374747974638</v>
      </c>
      <c r="F34" s="21">
        <v>0.943396</v>
      </c>
      <c r="G34" s="22">
        <v>0.00704017093494075</v>
      </c>
      <c r="H34" s="21">
        <v>0.943396</v>
      </c>
      <c r="I34" s="22">
        <v>0.0067549278030198</v>
      </c>
      <c r="J34" s="21">
        <v>0.943396</v>
      </c>
      <c r="K34" s="22">
        <v>0.00861797386647265</v>
      </c>
      <c r="L34" s="21">
        <v>0.943396</v>
      </c>
      <c r="M34" s="22">
        <v>0.0113008129360621</v>
      </c>
      <c r="N34" s="21">
        <v>0.943396</v>
      </c>
      <c r="O34" s="22">
        <v>0.00633655378592962</v>
      </c>
    </row>
    <row r="35" spans="2:15">
      <c r="B35" s="40" t="s">
        <v>67</v>
      </c>
      <c r="C35" s="41" t="s">
        <v>68</v>
      </c>
      <c r="D35" s="42">
        <v>4.71698</v>
      </c>
      <c r="E35" s="43">
        <v>0.00766374747974638</v>
      </c>
      <c r="F35" s="42">
        <v>0.943396</v>
      </c>
      <c r="G35" s="43">
        <v>0.00704017093494075</v>
      </c>
      <c r="H35" s="42">
        <v>0.943396</v>
      </c>
      <c r="I35" s="43">
        <v>0.0067549278030198</v>
      </c>
      <c r="J35" s="42">
        <v>0.943396</v>
      </c>
      <c r="K35" s="43">
        <v>0.00861797386647265</v>
      </c>
      <c r="L35" s="42">
        <v>1.777893</v>
      </c>
      <c r="M35" s="43">
        <v>0.0212971394974478</v>
      </c>
      <c r="N35" s="42">
        <v>0.108899</v>
      </c>
      <c r="O35" s="43">
        <v>0.000731447208525316</v>
      </c>
    </row>
    <row r="36" ht="14.25" spans="2:15">
      <c r="B36" s="44" t="s">
        <v>69</v>
      </c>
      <c r="C36" s="44" t="s">
        <v>70</v>
      </c>
      <c r="D36" s="45">
        <v>-99.0538428146603</v>
      </c>
      <c r="E36" s="46">
        <v>-0.16093424992899</v>
      </c>
      <c r="F36" s="45">
        <v>-16.499891</v>
      </c>
      <c r="G36" s="46">
        <v>-0.123131805782397</v>
      </c>
      <c r="H36" s="45">
        <v>-22.0926980038403</v>
      </c>
      <c r="I36" s="46">
        <v>-0.158188692754539</v>
      </c>
      <c r="J36" s="45">
        <v>-35.5094455849057</v>
      </c>
      <c r="K36" s="46">
        <v>-0.324380720358842</v>
      </c>
      <c r="L36" s="45">
        <v>-15.05587176</v>
      </c>
      <c r="M36" s="46">
        <v>-0.180352249054586</v>
      </c>
      <c r="N36" s="45">
        <v>-9.89593646591428</v>
      </c>
      <c r="O36" s="46">
        <v>-0.0664685176515568</v>
      </c>
    </row>
    <row r="37" ht="14.25"/>
  </sheetData>
  <autoFilter xmlns:etc="http://www.wps.cn/officeDocument/2017/etCustomData" ref="B4:O36" etc:filterBottomFollowUsedRange="0">
    <extLst/>
  </autoFilter>
  <mergeCells count="1">
    <mergeCell ref="L3:M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4"/>
  <sheetViews>
    <sheetView workbookViewId="0">
      <selection activeCell="P27" sqref="P27"/>
    </sheetView>
  </sheetViews>
  <sheetFormatPr defaultColWidth="9" defaultRowHeight="13.5"/>
  <sheetData>
    <row r="1" ht="14.25"/>
    <row r="2" ht="14.25" spans="2:15">
      <c r="B2" s="11" t="s">
        <v>71</v>
      </c>
      <c r="C2" s="11"/>
      <c r="D2" s="12" t="s">
        <v>1</v>
      </c>
      <c r="E2" s="13"/>
      <c r="F2" s="12" t="s">
        <v>2</v>
      </c>
      <c r="G2" s="13"/>
      <c r="H2" s="12" t="s">
        <v>3</v>
      </c>
      <c r="I2" s="13"/>
      <c r="J2" s="12" t="s">
        <v>4</v>
      </c>
      <c r="K2" s="13"/>
      <c r="L2" s="12" t="s">
        <v>5</v>
      </c>
      <c r="M2" s="13"/>
      <c r="N2" s="12" t="s">
        <v>6</v>
      </c>
      <c r="O2" s="13"/>
    </row>
    <row r="3" ht="14.25" spans="2:15">
      <c r="B3" s="14"/>
      <c r="C3" s="14" t="s">
        <v>7</v>
      </c>
      <c r="D3" s="15" t="s">
        <v>8</v>
      </c>
      <c r="E3" s="16" t="s">
        <v>9</v>
      </c>
      <c r="F3" s="15" t="s">
        <v>8</v>
      </c>
      <c r="G3" s="16" t="s">
        <v>9</v>
      </c>
      <c r="H3" s="15" t="s">
        <v>8</v>
      </c>
      <c r="I3" s="16" t="s">
        <v>9</v>
      </c>
      <c r="J3" s="15" t="s">
        <v>8</v>
      </c>
      <c r="K3" s="16" t="s">
        <v>9</v>
      </c>
      <c r="L3" s="15" t="s">
        <v>8</v>
      </c>
      <c r="M3" s="16" t="s">
        <v>9</v>
      </c>
      <c r="N3" s="15" t="s">
        <v>8</v>
      </c>
      <c r="O3" s="16" t="s">
        <v>9</v>
      </c>
    </row>
    <row r="4" ht="14.25" spans="2:15">
      <c r="B4" s="17" t="s">
        <v>10</v>
      </c>
      <c r="C4" s="17" t="s">
        <v>11</v>
      </c>
      <c r="D4" s="18">
        <v>389.931923</v>
      </c>
      <c r="E4" s="19"/>
      <c r="F4" s="18">
        <v>96.223037</v>
      </c>
      <c r="G4" s="19"/>
      <c r="H4" s="18">
        <v>95.537627</v>
      </c>
      <c r="I4" s="19"/>
      <c r="J4" s="18">
        <v>66.342267</v>
      </c>
      <c r="K4" s="19"/>
      <c r="L4" s="18">
        <v>42.846633</v>
      </c>
      <c r="M4" s="19"/>
      <c r="N4" s="18">
        <v>88.982359</v>
      </c>
      <c r="O4" s="19"/>
    </row>
    <row r="5" spans="2:15">
      <c r="B5" s="20" t="s">
        <v>12</v>
      </c>
      <c r="C5" s="20" t="s">
        <v>13</v>
      </c>
      <c r="D5" s="21">
        <v>250.473525</v>
      </c>
      <c r="E5" s="22">
        <v>0.998303386406917</v>
      </c>
      <c r="F5" s="21">
        <v>64.38824</v>
      </c>
      <c r="G5" s="22">
        <v>0.995920019141243</v>
      </c>
      <c r="H5" s="21">
        <v>67.683615</v>
      </c>
      <c r="I5" s="22">
        <v>0.998510870212248</v>
      </c>
      <c r="J5" s="21">
        <v>42.024764</v>
      </c>
      <c r="K5" s="22">
        <v>1</v>
      </c>
      <c r="L5" s="21">
        <v>30.199649</v>
      </c>
      <c r="M5" s="22">
        <v>0.998991734372023</v>
      </c>
      <c r="N5" s="21">
        <v>46.177257</v>
      </c>
      <c r="O5" s="22">
        <v>0.999340370206834</v>
      </c>
    </row>
    <row r="6" spans="2:15">
      <c r="B6" s="20" t="s">
        <v>14</v>
      </c>
      <c r="C6" s="20" t="s">
        <v>15</v>
      </c>
      <c r="D6" s="21">
        <v>96.227703</v>
      </c>
      <c r="E6" s="22">
        <v>0.383531320410247</v>
      </c>
      <c r="F6" s="21">
        <v>25.555947</v>
      </c>
      <c r="G6" s="22">
        <v>0.395284592736385</v>
      </c>
      <c r="H6" s="21">
        <v>26.66896</v>
      </c>
      <c r="I6" s="22">
        <v>0.393437118529435</v>
      </c>
      <c r="J6" s="21">
        <v>15.582382</v>
      </c>
      <c r="K6" s="22">
        <v>0.37079047011424</v>
      </c>
      <c r="L6" s="21">
        <v>10.57011</v>
      </c>
      <c r="M6" s="22">
        <v>0.349654809610637</v>
      </c>
      <c r="N6" s="21">
        <v>17.850304</v>
      </c>
      <c r="O6" s="22">
        <v>0.386305522817532</v>
      </c>
    </row>
    <row r="7" spans="2:15">
      <c r="B7" s="23" t="s">
        <v>16</v>
      </c>
      <c r="C7" s="23" t="s">
        <v>17</v>
      </c>
      <c r="D7" s="24">
        <v>154.245822</v>
      </c>
      <c r="E7" s="25">
        <v>0.61477206599667</v>
      </c>
      <c r="F7" s="24">
        <v>38.832293</v>
      </c>
      <c r="G7" s="25">
        <v>0.600635426404858</v>
      </c>
      <c r="H7" s="24">
        <v>41.014655</v>
      </c>
      <c r="I7" s="25">
        <v>0.605073751682813</v>
      </c>
      <c r="J7" s="24">
        <v>26.442382</v>
      </c>
      <c r="K7" s="25">
        <v>0.62920952988576</v>
      </c>
      <c r="L7" s="24">
        <v>19.629539</v>
      </c>
      <c r="M7" s="25">
        <v>0.649336924761386</v>
      </c>
      <c r="N7" s="24">
        <v>28.326953</v>
      </c>
      <c r="O7" s="25">
        <v>0.613034847389302</v>
      </c>
    </row>
    <row r="8" spans="2:15">
      <c r="B8" s="26" t="s">
        <v>20</v>
      </c>
      <c r="C8" s="27" t="s">
        <v>21</v>
      </c>
      <c r="D8" s="28">
        <v>0.425679</v>
      </c>
      <c r="E8" s="29">
        <v>0.00169661359308258</v>
      </c>
      <c r="F8" s="28">
        <v>0.263779</v>
      </c>
      <c r="G8" s="29">
        <v>0.00407998085875709</v>
      </c>
      <c r="H8" s="28">
        <v>0.10094</v>
      </c>
      <c r="I8" s="29">
        <v>0.0014891297877518</v>
      </c>
      <c r="J8" s="28">
        <v>0</v>
      </c>
      <c r="K8" s="29">
        <v>0</v>
      </c>
      <c r="L8" s="28">
        <v>0.03048</v>
      </c>
      <c r="M8" s="29">
        <v>0.00100826562797665</v>
      </c>
      <c r="N8" s="28">
        <v>0.03048</v>
      </c>
      <c r="O8" s="29">
        <v>0.000659629793166456</v>
      </c>
    </row>
    <row r="9" ht="14.25" spans="2:15">
      <c r="B9" s="30" t="s">
        <v>22</v>
      </c>
      <c r="C9" s="30" t="s">
        <v>23</v>
      </c>
      <c r="D9" s="31">
        <v>154.671501</v>
      </c>
      <c r="E9" s="32">
        <v>0.616468679589753</v>
      </c>
      <c r="F9" s="31">
        <v>39.096072</v>
      </c>
      <c r="G9" s="32">
        <v>0.604715407263615</v>
      </c>
      <c r="H9" s="31">
        <v>41.115595</v>
      </c>
      <c r="I9" s="32">
        <v>0.606562881470565</v>
      </c>
      <c r="J9" s="31">
        <v>26.442382</v>
      </c>
      <c r="K9" s="32">
        <v>0.62920952988576</v>
      </c>
      <c r="L9" s="31">
        <v>19.660019</v>
      </c>
      <c r="M9" s="32">
        <v>0.650345190389363</v>
      </c>
      <c r="N9" s="31">
        <v>28.357433</v>
      </c>
      <c r="O9" s="32">
        <v>0.613694477182468</v>
      </c>
    </row>
    <row r="10" ht="14.25" spans="2:15">
      <c r="B10" s="20" t="s">
        <v>24</v>
      </c>
      <c r="C10" s="20" t="s">
        <v>25</v>
      </c>
      <c r="D10" s="21">
        <v>4.704736</v>
      </c>
      <c r="E10" s="22">
        <v>0.0187514983108516</v>
      </c>
      <c r="F10" s="21">
        <v>1.066244</v>
      </c>
      <c r="G10" s="22">
        <v>0.0164920448965407</v>
      </c>
      <c r="H10" s="21">
        <v>1.572902</v>
      </c>
      <c r="I10" s="22">
        <v>0.0232044305668157</v>
      </c>
      <c r="J10" s="21">
        <v>0.488049</v>
      </c>
      <c r="K10" s="22">
        <v>0.0116133668234282</v>
      </c>
      <c r="L10" s="21">
        <v>0.692434</v>
      </c>
      <c r="M10" s="22">
        <v>0.0229054265696319</v>
      </c>
      <c r="N10" s="21">
        <v>0.885107</v>
      </c>
      <c r="O10" s="22">
        <v>0.0191549523405572</v>
      </c>
    </row>
    <row r="11" spans="2:15">
      <c r="B11" s="20" t="s">
        <v>26</v>
      </c>
      <c r="C11" s="20" t="s">
        <v>27</v>
      </c>
      <c r="D11" s="21">
        <v>55.472862</v>
      </c>
      <c r="E11" s="33">
        <v>0.221096205630051</v>
      </c>
      <c r="F11" s="21">
        <v>14.232853</v>
      </c>
      <c r="G11" s="33">
        <v>0.220145530180581</v>
      </c>
      <c r="H11" s="21">
        <v>14.587218</v>
      </c>
      <c r="I11" s="33">
        <v>0.215199730971163</v>
      </c>
      <c r="J11" s="21">
        <v>10.472701</v>
      </c>
      <c r="K11" s="33">
        <v>0.24920308892157</v>
      </c>
      <c r="L11" s="21">
        <v>5.824216</v>
      </c>
      <c r="M11" s="33">
        <v>0.19266262476088</v>
      </c>
      <c r="N11" s="21">
        <v>10.355874</v>
      </c>
      <c r="O11" s="33">
        <v>0.224115584799143</v>
      </c>
    </row>
    <row r="12" spans="2:15">
      <c r="B12" s="20" t="s">
        <v>28</v>
      </c>
      <c r="C12" s="20" t="s">
        <v>29</v>
      </c>
      <c r="D12" s="21">
        <v>20.06886</v>
      </c>
      <c r="E12" s="22">
        <v>0.0799877388212041</v>
      </c>
      <c r="F12" s="21">
        <v>3.493601</v>
      </c>
      <c r="G12" s="22">
        <v>0.0540369976690133</v>
      </c>
      <c r="H12" s="21">
        <v>3.292666</v>
      </c>
      <c r="I12" s="22">
        <v>0.0485754608848579</v>
      </c>
      <c r="J12" s="21">
        <v>1.757992</v>
      </c>
      <c r="K12" s="22">
        <v>0.041832287267574</v>
      </c>
      <c r="L12" s="21">
        <v>6.566388</v>
      </c>
      <c r="M12" s="22">
        <v>0.217213363528816</v>
      </c>
      <c r="N12" s="21">
        <v>4.958213</v>
      </c>
      <c r="O12" s="22">
        <v>0.107302657994266</v>
      </c>
    </row>
    <row r="13" spans="2:15">
      <c r="B13" s="20" t="s">
        <v>32</v>
      </c>
      <c r="C13" s="20" t="s">
        <v>33</v>
      </c>
      <c r="D13" s="21">
        <v>5.5872645</v>
      </c>
      <c r="E13" s="22">
        <v>0.0222689606460449</v>
      </c>
      <c r="F13" s="21">
        <v>1.188679</v>
      </c>
      <c r="G13" s="22">
        <v>0.0183857985935443</v>
      </c>
      <c r="H13" s="21">
        <v>1.3679245</v>
      </c>
      <c r="I13" s="22">
        <v>0.0201804747408905</v>
      </c>
      <c r="J13" s="21">
        <v>1.3679245</v>
      </c>
      <c r="K13" s="22">
        <v>0.0325504385937777</v>
      </c>
      <c r="L13" s="21">
        <v>1.1533025</v>
      </c>
      <c r="M13" s="22">
        <v>0.0381507634320714</v>
      </c>
      <c r="N13" s="21">
        <v>0.509434</v>
      </c>
      <c r="O13" s="22">
        <v>0.0110248636499987</v>
      </c>
    </row>
    <row r="14" spans="2:15">
      <c r="B14" s="20" t="s">
        <v>34</v>
      </c>
      <c r="C14" s="20" t="s">
        <v>35</v>
      </c>
      <c r="D14" s="21">
        <v>3.019152</v>
      </c>
      <c r="E14" s="22">
        <v>0.0120333263392896</v>
      </c>
      <c r="F14" s="21">
        <v>3.019152</v>
      </c>
      <c r="G14" s="22">
        <v>0.0466984952163675</v>
      </c>
      <c r="H14" s="21">
        <v>0</v>
      </c>
      <c r="I14" s="22">
        <v>0</v>
      </c>
      <c r="J14" s="21">
        <v>0</v>
      </c>
      <c r="K14" s="22">
        <v>0</v>
      </c>
      <c r="L14" s="21">
        <v>0</v>
      </c>
      <c r="M14" s="22">
        <v>0</v>
      </c>
      <c r="N14" s="21">
        <v>0</v>
      </c>
      <c r="O14" s="22">
        <v>0</v>
      </c>
    </row>
    <row r="15" spans="2:15">
      <c r="B15" s="34" t="s">
        <v>36</v>
      </c>
      <c r="C15" s="34" t="s">
        <v>37</v>
      </c>
      <c r="D15" s="35">
        <v>88.8528745</v>
      </c>
      <c r="E15" s="36">
        <v>0.354137729747441</v>
      </c>
      <c r="F15" s="35">
        <v>23.373403</v>
      </c>
      <c r="G15" s="36">
        <v>0.361526265714919</v>
      </c>
      <c r="H15" s="35">
        <v>21.1631185</v>
      </c>
      <c r="I15" s="36">
        <v>0.312211513374986</v>
      </c>
      <c r="J15" s="35">
        <v>13.5773565</v>
      </c>
      <c r="K15" s="36">
        <v>0.323079898794911</v>
      </c>
      <c r="L15" s="35">
        <v>14.3749135</v>
      </c>
      <c r="M15" s="36">
        <v>0.475516115065205</v>
      </c>
      <c r="N15" s="35">
        <v>16.364083</v>
      </c>
      <c r="O15" s="36">
        <v>0.354141623512097</v>
      </c>
    </row>
    <row r="16" spans="2:15">
      <c r="B16" s="20" t="s">
        <v>38</v>
      </c>
      <c r="C16" s="20" t="s">
        <v>39</v>
      </c>
      <c r="D16" s="21">
        <v>3.685826</v>
      </c>
      <c r="E16" s="33">
        <v>0.0146904651000806</v>
      </c>
      <c r="F16" s="21">
        <v>0</v>
      </c>
      <c r="G16" s="33">
        <v>0</v>
      </c>
      <c r="H16" s="21">
        <v>2.7</v>
      </c>
      <c r="I16" s="33">
        <v>0.0398320826919938</v>
      </c>
      <c r="J16" s="21">
        <v>0</v>
      </c>
      <c r="K16" s="33">
        <v>0</v>
      </c>
      <c r="L16" s="21">
        <v>0</v>
      </c>
      <c r="M16" s="33">
        <v>0</v>
      </c>
      <c r="N16" s="21">
        <v>0.985826</v>
      </c>
      <c r="O16" s="33">
        <v>0.0213346522466573</v>
      </c>
    </row>
    <row r="17" spans="2:15">
      <c r="B17" s="20" t="s">
        <v>40</v>
      </c>
      <c r="C17" s="20" t="s">
        <v>41</v>
      </c>
      <c r="D17" s="21">
        <v>26.3097845754718</v>
      </c>
      <c r="E17" s="33">
        <v>0.104861969093659</v>
      </c>
      <c r="F17" s="21">
        <v>5.916968</v>
      </c>
      <c r="G17" s="33">
        <v>0.091520235431472</v>
      </c>
      <c r="H17" s="21">
        <v>6.869561245283</v>
      </c>
      <c r="I17" s="33">
        <v>0.10134404873327</v>
      </c>
      <c r="J17" s="21">
        <v>5.66193879245285</v>
      </c>
      <c r="K17" s="33">
        <v>0.13472862792169</v>
      </c>
      <c r="L17" s="21">
        <v>0.9492955</v>
      </c>
      <c r="M17" s="33">
        <v>0.0314022973570506</v>
      </c>
      <c r="N17" s="21">
        <v>6.9120210377359</v>
      </c>
      <c r="O17" s="33">
        <v>0.14958579420879</v>
      </c>
    </row>
    <row r="18" spans="2:15">
      <c r="B18" s="34" t="s">
        <v>42</v>
      </c>
      <c r="C18" s="34" t="s">
        <v>43</v>
      </c>
      <c r="D18" s="35">
        <v>29.9956105754718</v>
      </c>
      <c r="E18" s="36">
        <v>0.11955243419374</v>
      </c>
      <c r="F18" s="35">
        <v>5.916968</v>
      </c>
      <c r="G18" s="36">
        <v>0.091520235431472</v>
      </c>
      <c r="H18" s="35">
        <v>9.569561245283</v>
      </c>
      <c r="I18" s="36">
        <v>0.141176131425264</v>
      </c>
      <c r="J18" s="35">
        <v>5.66193879245285</v>
      </c>
      <c r="K18" s="36">
        <v>0.13472862792169</v>
      </c>
      <c r="L18" s="35">
        <v>0.9492955</v>
      </c>
      <c r="M18" s="36">
        <v>0.0314022973570506</v>
      </c>
      <c r="N18" s="35">
        <v>7.8978470377359</v>
      </c>
      <c r="O18" s="36">
        <v>0.170920446455448</v>
      </c>
    </row>
    <row r="19" spans="2:15">
      <c r="B19" s="20" t="s">
        <v>44</v>
      </c>
      <c r="C19" s="20" t="s">
        <v>45</v>
      </c>
      <c r="D19" s="21">
        <v>4.316232</v>
      </c>
      <c r="E19" s="33">
        <v>0.0172030517880798</v>
      </c>
      <c r="F19" s="21">
        <v>0.6758</v>
      </c>
      <c r="G19" s="33">
        <v>0.0104528831497126</v>
      </c>
      <c r="H19" s="21">
        <v>0.780808</v>
      </c>
      <c r="I19" s="33">
        <v>0.0115189662305816</v>
      </c>
      <c r="J19" s="21">
        <v>1.498044</v>
      </c>
      <c r="K19" s="33">
        <v>0.0356466963145825</v>
      </c>
      <c r="L19" s="21">
        <v>0.68079</v>
      </c>
      <c r="M19" s="33">
        <v>0.022520247928813</v>
      </c>
      <c r="N19" s="21">
        <v>0.68079</v>
      </c>
      <c r="O19" s="33">
        <v>0.0147332469452031</v>
      </c>
    </row>
    <row r="20" spans="2:15">
      <c r="B20" s="20" t="s">
        <v>46</v>
      </c>
      <c r="C20" s="20" t="s">
        <v>47</v>
      </c>
      <c r="D20" s="21">
        <v>10.281885</v>
      </c>
      <c r="E20" s="33">
        <v>0.0409801419696812</v>
      </c>
      <c r="F20" s="21">
        <v>1.5943</v>
      </c>
      <c r="G20" s="33">
        <v>0.0246597093897408</v>
      </c>
      <c r="H20" s="21">
        <v>1.794296</v>
      </c>
      <c r="I20" s="33">
        <v>0.0264705728318199</v>
      </c>
      <c r="J20" s="21">
        <v>1.59805</v>
      </c>
      <c r="K20" s="33">
        <v>0.0380263884408726</v>
      </c>
      <c r="L20" s="21">
        <v>2.611755</v>
      </c>
      <c r="M20" s="33">
        <v>0.0863957609972488</v>
      </c>
      <c r="N20" s="21">
        <v>2.683484</v>
      </c>
      <c r="O20" s="33">
        <v>0.0580743436970307</v>
      </c>
    </row>
    <row r="21" spans="2:15">
      <c r="B21" s="20" t="s">
        <v>48</v>
      </c>
      <c r="C21" s="20" t="s">
        <v>49</v>
      </c>
      <c r="D21" s="21">
        <v>23.584905</v>
      </c>
      <c r="E21" s="33">
        <v>0.0940015138509567</v>
      </c>
      <c r="F21" s="21">
        <v>3.716981</v>
      </c>
      <c r="G21" s="33">
        <v>0.0574921101845249</v>
      </c>
      <c r="H21" s="21">
        <v>3.715</v>
      </c>
      <c r="I21" s="33">
        <v>0.0548059952595396</v>
      </c>
      <c r="J21" s="21">
        <v>6.718962</v>
      </c>
      <c r="K21" s="33">
        <v>0.159881016821415</v>
      </c>
      <c r="L21" s="21">
        <v>4.52830176</v>
      </c>
      <c r="M21" s="33">
        <v>0.149794324728154</v>
      </c>
      <c r="N21" s="21">
        <v>4.90566024</v>
      </c>
      <c r="O21" s="33">
        <v>0.106165342829925</v>
      </c>
    </row>
    <row r="22" spans="2:15">
      <c r="B22" s="20" t="s">
        <v>50</v>
      </c>
      <c r="C22" s="20" t="s">
        <v>51</v>
      </c>
      <c r="D22" s="21">
        <v>3.6919915</v>
      </c>
      <c r="E22" s="33">
        <v>0.0147150387133153</v>
      </c>
      <c r="F22" s="21">
        <v>0.7308</v>
      </c>
      <c r="G22" s="33">
        <v>0.0113035913077981</v>
      </c>
      <c r="H22" s="21">
        <v>0.830788</v>
      </c>
      <c r="I22" s="33">
        <v>0.01225630233908</v>
      </c>
      <c r="J22" s="21">
        <v>0.680791</v>
      </c>
      <c r="K22" s="33">
        <v>0.0161997578380214</v>
      </c>
      <c r="L22" s="21">
        <v>0.7308</v>
      </c>
      <c r="M22" s="33">
        <v>0.0241745577731408</v>
      </c>
      <c r="N22" s="21">
        <v>0.7188125</v>
      </c>
      <c r="O22" s="33">
        <v>0.0155561069783617</v>
      </c>
    </row>
    <row r="23" spans="2:15">
      <c r="B23" s="34"/>
      <c r="C23" s="34" t="s">
        <v>52</v>
      </c>
      <c r="D23" s="35">
        <v>41.8750135</v>
      </c>
      <c r="E23" s="36">
        <v>0.166899746322033</v>
      </c>
      <c r="F23" s="35">
        <v>6.717881</v>
      </c>
      <c r="G23" s="36">
        <v>0.103908294031776</v>
      </c>
      <c r="H23" s="35">
        <v>7.120892</v>
      </c>
      <c r="I23" s="36">
        <v>0.105051836661021</v>
      </c>
      <c r="J23" s="35">
        <v>10.495847</v>
      </c>
      <c r="K23" s="36">
        <v>0.249753859414892</v>
      </c>
      <c r="L23" s="35">
        <v>8.55164676</v>
      </c>
      <c r="M23" s="36">
        <v>0.282884891427357</v>
      </c>
      <c r="N23" s="35">
        <v>8.98874674</v>
      </c>
      <c r="O23" s="36">
        <v>0.19452904045052</v>
      </c>
    </row>
    <row r="24" spans="2:15">
      <c r="B24" s="20" t="s">
        <v>53</v>
      </c>
      <c r="C24" s="20" t="s">
        <v>54</v>
      </c>
      <c r="D24" s="21">
        <v>9.884124</v>
      </c>
      <c r="E24" s="33">
        <v>0.0393948001524947</v>
      </c>
      <c r="F24" s="21">
        <v>2.012482</v>
      </c>
      <c r="G24" s="33">
        <v>0.0311279064618229</v>
      </c>
      <c r="H24" s="21">
        <v>2.209298</v>
      </c>
      <c r="I24" s="33">
        <v>0.0325929409730579</v>
      </c>
      <c r="J24" s="21">
        <v>1.84884</v>
      </c>
      <c r="K24" s="33">
        <v>0.0439940602640862</v>
      </c>
      <c r="L24" s="21">
        <v>1.521705</v>
      </c>
      <c r="M24" s="33">
        <v>0.0503373637605053</v>
      </c>
      <c r="N24" s="21">
        <v>2.291799</v>
      </c>
      <c r="O24" s="33">
        <v>0.0495977329510857</v>
      </c>
    </row>
    <row r="25" spans="2:15">
      <c r="B25" s="20" t="s">
        <v>55</v>
      </c>
      <c r="C25" s="20" t="s">
        <v>56</v>
      </c>
      <c r="D25" s="21">
        <v>0.1265</v>
      </c>
      <c r="E25" s="33">
        <v>0.000504186533808214</v>
      </c>
      <c r="F25" s="21">
        <v>0</v>
      </c>
      <c r="G25" s="33">
        <v>0</v>
      </c>
      <c r="H25" s="21">
        <v>0</v>
      </c>
      <c r="I25" s="33">
        <v>0</v>
      </c>
      <c r="J25" s="21">
        <v>0</v>
      </c>
      <c r="K25" s="33">
        <v>0</v>
      </c>
      <c r="L25" s="21">
        <v>0</v>
      </c>
      <c r="M25" s="33">
        <v>0</v>
      </c>
      <c r="N25" s="21">
        <v>0.1265</v>
      </c>
      <c r="O25" s="33">
        <v>0.0027376367728201</v>
      </c>
    </row>
    <row r="26" spans="2:15">
      <c r="B26" s="20" t="s">
        <v>57</v>
      </c>
      <c r="C26" s="20" t="s">
        <v>58</v>
      </c>
      <c r="D26" s="21">
        <v>0.177506</v>
      </c>
      <c r="E26" s="33">
        <v>0.000707479327036845</v>
      </c>
      <c r="F26" s="21">
        <v>0</v>
      </c>
      <c r="G26" s="33">
        <v>0</v>
      </c>
      <c r="H26" s="21">
        <v>0</v>
      </c>
      <c r="I26" s="33">
        <v>0</v>
      </c>
      <c r="J26" s="21">
        <v>0</v>
      </c>
      <c r="K26" s="33">
        <v>0</v>
      </c>
      <c r="L26" s="21">
        <v>0.177506</v>
      </c>
      <c r="M26" s="33">
        <v>0.00587182409972514</v>
      </c>
      <c r="N26" s="21">
        <v>0</v>
      </c>
      <c r="O26" s="33">
        <v>0</v>
      </c>
    </row>
    <row r="27" spans="2:15">
      <c r="B27" s="20" t="s">
        <v>59</v>
      </c>
      <c r="C27" s="20" t="s">
        <v>60</v>
      </c>
      <c r="D27" s="21">
        <v>0.739991</v>
      </c>
      <c r="E27" s="33">
        <v>0.00294935571019189</v>
      </c>
      <c r="F27" s="21">
        <v>-0.04919</v>
      </c>
      <c r="G27" s="33">
        <v>-0.000760842441749576</v>
      </c>
      <c r="H27" s="21">
        <v>0</v>
      </c>
      <c r="I27" s="33">
        <v>0</v>
      </c>
      <c r="J27" s="21">
        <v>0</v>
      </c>
      <c r="K27" s="33">
        <v>0</v>
      </c>
      <c r="L27" s="21">
        <v>0.789181</v>
      </c>
      <c r="M27" s="33">
        <v>0.0261057767897716</v>
      </c>
      <c r="N27" s="21">
        <v>0</v>
      </c>
      <c r="O27" s="33">
        <v>0</v>
      </c>
    </row>
    <row r="28" spans="2:15">
      <c r="B28" s="34"/>
      <c r="C28" s="34" t="s">
        <v>61</v>
      </c>
      <c r="D28" s="35">
        <v>10.928121</v>
      </c>
      <c r="E28" s="36">
        <v>0.0435558217235317</v>
      </c>
      <c r="F28" s="35">
        <v>1.963292</v>
      </c>
      <c r="G28" s="36">
        <v>0.0303670640200734</v>
      </c>
      <c r="H28" s="35">
        <v>2.209298</v>
      </c>
      <c r="I28" s="36">
        <v>0.0325929409730579</v>
      </c>
      <c r="J28" s="35">
        <v>1.84884</v>
      </c>
      <c r="K28" s="36">
        <v>0.0439940602640862</v>
      </c>
      <c r="L28" s="35">
        <v>2.488392</v>
      </c>
      <c r="M28" s="36">
        <v>0.082314964650002</v>
      </c>
      <c r="N28" s="35">
        <v>2.418299</v>
      </c>
      <c r="O28" s="36">
        <v>0.0523353697239058</v>
      </c>
    </row>
    <row r="29" spans="2:15">
      <c r="B29" s="34" t="s">
        <v>62</v>
      </c>
      <c r="C29" s="34" t="s">
        <v>63</v>
      </c>
      <c r="D29" s="35">
        <v>171.651619575472</v>
      </c>
      <c r="E29" s="36">
        <v>0.684145731986745</v>
      </c>
      <c r="F29" s="35">
        <v>37.971544</v>
      </c>
      <c r="G29" s="36">
        <v>0.587321859198241</v>
      </c>
      <c r="H29" s="35">
        <v>40.062869745283</v>
      </c>
      <c r="I29" s="36">
        <v>0.591032422434329</v>
      </c>
      <c r="J29" s="35">
        <v>31.5839822924528</v>
      </c>
      <c r="K29" s="36">
        <v>0.751556446395579</v>
      </c>
      <c r="L29" s="35">
        <v>26.36424776</v>
      </c>
      <c r="M29" s="36">
        <v>0.872118268499615</v>
      </c>
      <c r="N29" s="35">
        <v>35.6689757777359</v>
      </c>
      <c r="O29" s="36">
        <v>0.771926480141971</v>
      </c>
    </row>
    <row r="30" spans="2:15">
      <c r="B30" s="37"/>
      <c r="C30" s="37" t="s">
        <v>64</v>
      </c>
      <c r="D30" s="38">
        <v>-16.9801185754718</v>
      </c>
      <c r="E30" s="39">
        <v>-0.0676770523969927</v>
      </c>
      <c r="F30" s="38">
        <v>1.12452799999999</v>
      </c>
      <c r="G30" s="39">
        <v>0.0173935480653743</v>
      </c>
      <c r="H30" s="38">
        <v>1.052725254717</v>
      </c>
      <c r="I30" s="39">
        <v>0.0155304590362363</v>
      </c>
      <c r="J30" s="38">
        <v>-5.14160029245285</v>
      </c>
      <c r="K30" s="39">
        <v>-0.122346916509819</v>
      </c>
      <c r="L30" s="38">
        <v>-6.70422876</v>
      </c>
      <c r="M30" s="39">
        <v>-0.221773078110252</v>
      </c>
      <c r="N30" s="38">
        <v>-7.3115427777359</v>
      </c>
      <c r="O30" s="39">
        <v>-0.158232002959502</v>
      </c>
    </row>
    <row r="31" spans="2:15">
      <c r="B31" s="20" t="s">
        <v>65</v>
      </c>
      <c r="C31" s="20" t="s">
        <v>66</v>
      </c>
      <c r="D31" s="21">
        <v>2.35849</v>
      </c>
      <c r="E31" s="22">
        <v>0.00940014939226352</v>
      </c>
      <c r="F31" s="21">
        <v>0.471698</v>
      </c>
      <c r="G31" s="22">
        <v>0.00729595157732042</v>
      </c>
      <c r="H31" s="21">
        <v>0.471698</v>
      </c>
      <c r="I31" s="22">
        <v>0.00695878286727707</v>
      </c>
      <c r="J31" s="21">
        <v>0.471698</v>
      </c>
      <c r="K31" s="22">
        <v>0.0112242867086654</v>
      </c>
      <c r="L31" s="21">
        <v>0.471698</v>
      </c>
      <c r="M31" s="22">
        <v>0.015603572184558</v>
      </c>
      <c r="N31" s="21">
        <v>0.471698</v>
      </c>
      <c r="O31" s="22">
        <v>0.0102082038771992</v>
      </c>
    </row>
    <row r="32" spans="2:15">
      <c r="B32" s="40" t="s">
        <v>67</v>
      </c>
      <c r="C32" s="41" t="s">
        <v>68</v>
      </c>
      <c r="D32" s="42">
        <v>2.35849</v>
      </c>
      <c r="E32" s="43">
        <v>0.00940014939226352</v>
      </c>
      <c r="F32" s="42">
        <v>0.471698</v>
      </c>
      <c r="G32" s="43">
        <v>0.00729595157732042</v>
      </c>
      <c r="H32" s="42">
        <v>0.471698</v>
      </c>
      <c r="I32" s="43">
        <v>0.00695878286727707</v>
      </c>
      <c r="J32" s="42">
        <v>0.471698</v>
      </c>
      <c r="K32" s="43">
        <v>0.0112242867086654</v>
      </c>
      <c r="L32" s="42">
        <v>0.773694</v>
      </c>
      <c r="M32" s="43">
        <v>0.0255934733192836</v>
      </c>
      <c r="N32" s="42">
        <v>0.169702</v>
      </c>
      <c r="O32" s="43">
        <v>0.00367258842388235</v>
      </c>
    </row>
    <row r="33" ht="14.25" spans="2:15">
      <c r="B33" s="44" t="s">
        <v>69</v>
      </c>
      <c r="C33" s="44" t="s">
        <v>70</v>
      </c>
      <c r="D33" s="45">
        <v>-19.3386085754718</v>
      </c>
      <c r="E33" s="46">
        <v>-0.0770772017892562</v>
      </c>
      <c r="F33" s="45">
        <v>0.652829999999991</v>
      </c>
      <c r="G33" s="46">
        <v>0.0100975964880539</v>
      </c>
      <c r="H33" s="45">
        <v>0.581027254717004</v>
      </c>
      <c r="I33" s="46">
        <v>0.00857167616895919</v>
      </c>
      <c r="J33" s="45">
        <v>-5.61329829245285</v>
      </c>
      <c r="K33" s="46">
        <v>-0.133571203218485</v>
      </c>
      <c r="L33" s="45">
        <v>-7.47792276</v>
      </c>
      <c r="M33" s="46">
        <v>-0.247366551429536</v>
      </c>
      <c r="N33" s="45">
        <v>-7.4812447777359</v>
      </c>
      <c r="O33" s="46">
        <v>-0.161904591383385</v>
      </c>
    </row>
    <row r="34" ht="14.25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29"/>
  <sheetViews>
    <sheetView workbookViewId="0">
      <selection activeCell="L30" sqref="L30"/>
    </sheetView>
  </sheetViews>
  <sheetFormatPr defaultColWidth="9" defaultRowHeight="13.5"/>
  <sheetData>
    <row r="1" ht="14.25"/>
    <row r="2" ht="14.25" spans="2:15">
      <c r="B2" s="11" t="s">
        <v>72</v>
      </c>
      <c r="C2" s="11"/>
      <c r="D2" s="12" t="s">
        <v>1</v>
      </c>
      <c r="E2" s="13"/>
      <c r="F2" s="12" t="s">
        <v>2</v>
      </c>
      <c r="G2" s="13"/>
      <c r="H2" s="12" t="s">
        <v>3</v>
      </c>
      <c r="I2" s="13"/>
      <c r="J2" s="12" t="s">
        <v>4</v>
      </c>
      <c r="K2" s="13"/>
      <c r="L2" s="12" t="s">
        <v>5</v>
      </c>
      <c r="M2" s="13"/>
      <c r="N2" s="12" t="s">
        <v>6</v>
      </c>
      <c r="O2" s="13"/>
    </row>
    <row r="3" ht="14.25" spans="2:15">
      <c r="B3" s="14"/>
      <c r="C3" s="14" t="s">
        <v>7</v>
      </c>
      <c r="D3" s="15" t="s">
        <v>8</v>
      </c>
      <c r="E3" s="16" t="s">
        <v>9</v>
      </c>
      <c r="F3" s="15" t="s">
        <v>8</v>
      </c>
      <c r="G3" s="16" t="s">
        <v>9</v>
      </c>
      <c r="H3" s="15" t="s">
        <v>8</v>
      </c>
      <c r="I3" s="16" t="s">
        <v>9</v>
      </c>
      <c r="J3" s="15" t="s">
        <v>8</v>
      </c>
      <c r="K3" s="16" t="s">
        <v>9</v>
      </c>
      <c r="L3" s="15" t="s">
        <v>8</v>
      </c>
      <c r="M3" s="16" t="s">
        <v>9</v>
      </c>
      <c r="N3" s="15" t="s">
        <v>8</v>
      </c>
      <c r="O3" s="16" t="s">
        <v>9</v>
      </c>
    </row>
    <row r="4" ht="14.25" spans="2:15">
      <c r="B4" s="17" t="s">
        <v>10</v>
      </c>
      <c r="C4" s="17" t="s">
        <v>11</v>
      </c>
      <c r="D4" s="18">
        <v>181.284934</v>
      </c>
      <c r="E4" s="19"/>
      <c r="F4" s="18">
        <v>14.445704</v>
      </c>
      <c r="G4" s="19"/>
      <c r="H4" s="18">
        <v>48.887061</v>
      </c>
      <c r="I4" s="19"/>
      <c r="J4" s="18">
        <v>31.016938</v>
      </c>
      <c r="K4" s="19"/>
      <c r="L4" s="18">
        <v>36.963504</v>
      </c>
      <c r="M4" s="19"/>
      <c r="N4" s="18">
        <v>49.971727</v>
      </c>
      <c r="O4" s="19"/>
    </row>
    <row r="5" spans="2:15">
      <c r="B5" s="20" t="s">
        <v>12</v>
      </c>
      <c r="C5" s="20" t="s">
        <v>13</v>
      </c>
      <c r="D5" s="21">
        <v>120.503032</v>
      </c>
      <c r="E5" s="22">
        <v>1</v>
      </c>
      <c r="F5" s="21">
        <v>8.810672</v>
      </c>
      <c r="G5" s="22">
        <v>1</v>
      </c>
      <c r="H5" s="21">
        <v>32.756227</v>
      </c>
      <c r="I5" s="22">
        <v>1</v>
      </c>
      <c r="J5" s="21">
        <v>20.873791</v>
      </c>
      <c r="K5" s="22">
        <v>1</v>
      </c>
      <c r="L5" s="21">
        <v>24.43046</v>
      </c>
      <c r="M5" s="22">
        <v>1</v>
      </c>
      <c r="N5" s="21">
        <v>33.631882</v>
      </c>
      <c r="O5" s="22">
        <v>1</v>
      </c>
    </row>
    <row r="6" spans="2:15">
      <c r="B6" s="20" t="s">
        <v>14</v>
      </c>
      <c r="C6" s="20" t="s">
        <v>15</v>
      </c>
      <c r="D6" s="21">
        <v>46.088735</v>
      </c>
      <c r="E6" s="22">
        <v>0.382469504999675</v>
      </c>
      <c r="F6" s="21">
        <v>3.267786</v>
      </c>
      <c r="G6" s="22">
        <v>0.370889530333214</v>
      </c>
      <c r="H6" s="21">
        <v>14.696152</v>
      </c>
      <c r="I6" s="22">
        <v>0.448652160091576</v>
      </c>
      <c r="J6" s="21">
        <v>8.254316</v>
      </c>
      <c r="K6" s="22">
        <v>0.39543923765453</v>
      </c>
      <c r="L6" s="21">
        <v>8.796851</v>
      </c>
      <c r="M6" s="22">
        <v>0.36007717415063</v>
      </c>
      <c r="N6" s="21">
        <v>11.07363</v>
      </c>
      <c r="O6" s="22">
        <v>0.329259896903777</v>
      </c>
    </row>
    <row r="7" spans="2:15">
      <c r="B7" s="23" t="s">
        <v>16</v>
      </c>
      <c r="C7" s="23" t="s">
        <v>17</v>
      </c>
      <c r="D7" s="24">
        <v>74.414297</v>
      </c>
      <c r="E7" s="25">
        <v>0.617530495000325</v>
      </c>
      <c r="F7" s="24">
        <v>5.542886</v>
      </c>
      <c r="G7" s="25">
        <v>0.629110469666786</v>
      </c>
      <c r="H7" s="24">
        <v>18.060075</v>
      </c>
      <c r="I7" s="25">
        <v>0.551347839908424</v>
      </c>
      <c r="J7" s="24">
        <v>12.619475</v>
      </c>
      <c r="K7" s="25">
        <v>0.60456076234547</v>
      </c>
      <c r="L7" s="24">
        <v>15.633609</v>
      </c>
      <c r="M7" s="25">
        <v>0.63992282584937</v>
      </c>
      <c r="N7" s="24">
        <v>22.558252</v>
      </c>
      <c r="O7" s="25">
        <v>0.670740103096223</v>
      </c>
    </row>
    <row r="8" spans="2:15">
      <c r="B8" s="20" t="s">
        <v>18</v>
      </c>
      <c r="C8" s="20" t="s">
        <v>19</v>
      </c>
      <c r="D8" s="21">
        <v>7.62032566371682</v>
      </c>
      <c r="E8" s="22">
        <v>0.0632376259521571</v>
      </c>
      <c r="F8" s="21">
        <v>0</v>
      </c>
      <c r="G8" s="22">
        <v>0</v>
      </c>
      <c r="H8" s="21">
        <v>1.18613451327434</v>
      </c>
      <c r="I8" s="22">
        <v>0.0362109626751072</v>
      </c>
      <c r="J8" s="21">
        <v>0</v>
      </c>
      <c r="K8" s="22">
        <v>0</v>
      </c>
      <c r="L8" s="21">
        <v>0</v>
      </c>
      <c r="M8" s="22">
        <v>0</v>
      </c>
      <c r="N8" s="21">
        <v>6.43419115044248</v>
      </c>
      <c r="O8" s="22">
        <v>0.191312253963144</v>
      </c>
    </row>
    <row r="9" ht="14.25" spans="2:15">
      <c r="B9" s="30" t="s">
        <v>22</v>
      </c>
      <c r="C9" s="30" t="s">
        <v>23</v>
      </c>
      <c r="D9" s="31">
        <v>66.7939713362832</v>
      </c>
      <c r="E9" s="32">
        <v>0.554292869048168</v>
      </c>
      <c r="F9" s="31">
        <v>5.542886</v>
      </c>
      <c r="G9" s="32">
        <v>0.629110469666786</v>
      </c>
      <c r="H9" s="31">
        <v>16.8739404867257</v>
      </c>
      <c r="I9" s="32">
        <v>0.515136877233317</v>
      </c>
      <c r="J9" s="31">
        <v>12.619475</v>
      </c>
      <c r="K9" s="32">
        <v>0.60456076234547</v>
      </c>
      <c r="L9" s="31">
        <v>15.633609</v>
      </c>
      <c r="M9" s="32">
        <v>0.63992282584937</v>
      </c>
      <c r="N9" s="31">
        <v>16.1240608495575</v>
      </c>
      <c r="O9" s="32">
        <v>0.479427849133079</v>
      </c>
    </row>
    <row r="10" ht="14.25" spans="2:15">
      <c r="B10" s="20" t="s">
        <v>26</v>
      </c>
      <c r="C10" s="20" t="s">
        <v>27</v>
      </c>
      <c r="D10" s="21">
        <v>32.612531</v>
      </c>
      <c r="E10" s="33">
        <v>0.27063660107739</v>
      </c>
      <c r="F10" s="21">
        <v>4.404412</v>
      </c>
      <c r="G10" s="33">
        <v>0.499895127182126</v>
      </c>
      <c r="H10" s="21">
        <v>8.717927</v>
      </c>
      <c r="I10" s="33">
        <v>0.266145640033573</v>
      </c>
      <c r="J10" s="21">
        <v>6.648551</v>
      </c>
      <c r="K10" s="33">
        <v>0.318511908066915</v>
      </c>
      <c r="L10" s="21">
        <v>5.497338</v>
      </c>
      <c r="M10" s="33">
        <v>0.225019831800138</v>
      </c>
      <c r="N10" s="21">
        <v>7.344303</v>
      </c>
      <c r="O10" s="33">
        <v>0.218373238821425</v>
      </c>
    </row>
    <row r="11" spans="2:15">
      <c r="B11" s="20" t="s">
        <v>28</v>
      </c>
      <c r="C11" s="20" t="s">
        <v>29</v>
      </c>
      <c r="D11" s="21">
        <v>19.323499</v>
      </c>
      <c r="E11" s="22">
        <v>0.16035695267817</v>
      </c>
      <c r="F11" s="21">
        <v>1.5756</v>
      </c>
      <c r="G11" s="22">
        <v>0.178828584244198</v>
      </c>
      <c r="H11" s="21">
        <v>6.270498</v>
      </c>
      <c r="I11" s="22">
        <v>0.191429189936924</v>
      </c>
      <c r="J11" s="21">
        <v>11.172879</v>
      </c>
      <c r="K11" s="22">
        <v>0.535258736661683</v>
      </c>
      <c r="L11" s="21">
        <v>0.18947</v>
      </c>
      <c r="M11" s="22">
        <v>0.0077554822954623</v>
      </c>
      <c r="N11" s="21">
        <v>0.115052</v>
      </c>
      <c r="O11" s="22">
        <v>0.00342092066093714</v>
      </c>
    </row>
    <row r="12" spans="2:15">
      <c r="B12" s="20" t="s">
        <v>32</v>
      </c>
      <c r="C12" s="20" t="s">
        <v>33</v>
      </c>
      <c r="D12" s="21">
        <v>3.3523587</v>
      </c>
      <c r="E12" s="22">
        <v>0.0278197041548299</v>
      </c>
      <c r="F12" s="21">
        <v>0.7132074</v>
      </c>
      <c r="G12" s="22">
        <v>0.0809481274527074</v>
      </c>
      <c r="H12" s="21">
        <v>0.8207547</v>
      </c>
      <c r="I12" s="22">
        <v>0.025056448045741</v>
      </c>
      <c r="J12" s="21">
        <v>0.8207547</v>
      </c>
      <c r="K12" s="22">
        <v>0.0393198676752105</v>
      </c>
      <c r="L12" s="21">
        <v>0.6919815</v>
      </c>
      <c r="M12" s="22">
        <v>0.0283245383017757</v>
      </c>
      <c r="N12" s="21">
        <v>0.3056604</v>
      </c>
      <c r="O12" s="22">
        <v>0.00908841200144553</v>
      </c>
    </row>
    <row r="13" spans="2:15">
      <c r="B13" s="20" t="s">
        <v>34</v>
      </c>
      <c r="C13" s="20" t="s">
        <v>35</v>
      </c>
      <c r="D13" s="21">
        <v>0.011871</v>
      </c>
      <c r="E13" s="22">
        <v>9.85120440786917e-5</v>
      </c>
      <c r="F13" s="21">
        <v>0</v>
      </c>
      <c r="G13" s="22">
        <v>0</v>
      </c>
      <c r="H13" s="21">
        <v>0</v>
      </c>
      <c r="I13" s="22">
        <v>0</v>
      </c>
      <c r="J13" s="21">
        <v>0.003441</v>
      </c>
      <c r="K13" s="22">
        <v>0.000164847870710213</v>
      </c>
      <c r="L13" s="21">
        <v>0.00843</v>
      </c>
      <c r="M13" s="22">
        <v>0.000345061042649217</v>
      </c>
      <c r="N13" s="21">
        <v>0</v>
      </c>
      <c r="O13" s="22">
        <v>0</v>
      </c>
    </row>
    <row r="14" spans="2:15">
      <c r="B14" s="34" t="s">
        <v>36</v>
      </c>
      <c r="C14" s="34" t="s">
        <v>37</v>
      </c>
      <c r="D14" s="35">
        <v>55.3002597</v>
      </c>
      <c r="E14" s="36">
        <v>0.458911769954469</v>
      </c>
      <c r="F14" s="35">
        <v>6.6932194</v>
      </c>
      <c r="G14" s="36">
        <v>0.759671838879032</v>
      </c>
      <c r="H14" s="35">
        <v>15.8091797</v>
      </c>
      <c r="I14" s="36">
        <v>0.482631278016238</v>
      </c>
      <c r="J14" s="35">
        <v>18.6456257</v>
      </c>
      <c r="K14" s="36">
        <v>0.893255360274518</v>
      </c>
      <c r="L14" s="35">
        <v>6.3872195</v>
      </c>
      <c r="M14" s="36">
        <v>0.261444913440025</v>
      </c>
      <c r="N14" s="35">
        <v>7.7650154</v>
      </c>
      <c r="O14" s="36">
        <v>0.230882571483808</v>
      </c>
    </row>
    <row r="15" spans="2:15">
      <c r="B15" s="20" t="s">
        <v>40</v>
      </c>
      <c r="C15" s="20" t="s">
        <v>41</v>
      </c>
      <c r="D15" s="21">
        <v>16.643870745283</v>
      </c>
      <c r="E15" s="33">
        <v>0.138119933324857</v>
      </c>
      <c r="F15" s="21">
        <v>3.5501808</v>
      </c>
      <c r="G15" s="33">
        <v>0.402940978849286</v>
      </c>
      <c r="H15" s="21">
        <v>4.3917367471698</v>
      </c>
      <c r="I15" s="33">
        <v>0.134073339617832</v>
      </c>
      <c r="J15" s="21">
        <v>3.39716327547171</v>
      </c>
      <c r="K15" s="33">
        <v>0.162747786229713</v>
      </c>
      <c r="L15" s="21">
        <v>0.5695773</v>
      </c>
      <c r="M15" s="33">
        <v>0.0233142274030043</v>
      </c>
      <c r="N15" s="21">
        <v>4.73521262264154</v>
      </c>
      <c r="O15" s="33">
        <v>0.140795350752049</v>
      </c>
    </row>
    <row r="16" spans="2:15">
      <c r="B16" s="34" t="s">
        <v>42</v>
      </c>
      <c r="C16" s="34" t="s">
        <v>43</v>
      </c>
      <c r="D16" s="35">
        <v>16.643870745283</v>
      </c>
      <c r="E16" s="36">
        <v>0.138119933324857</v>
      </c>
      <c r="F16" s="35">
        <v>3.5501808</v>
      </c>
      <c r="G16" s="36">
        <v>0.402940978849286</v>
      </c>
      <c r="H16" s="35">
        <v>4.3917367471698</v>
      </c>
      <c r="I16" s="36">
        <v>0.134073339617832</v>
      </c>
      <c r="J16" s="35">
        <v>3.39716327547171</v>
      </c>
      <c r="K16" s="36">
        <v>0.162747786229713</v>
      </c>
      <c r="L16" s="35">
        <v>0.5695773</v>
      </c>
      <c r="M16" s="36">
        <v>0.0233142274030043</v>
      </c>
      <c r="N16" s="35">
        <v>4.73521262264154</v>
      </c>
      <c r="O16" s="36">
        <v>0.140795350752049</v>
      </c>
    </row>
    <row r="17" spans="2:15">
      <c r="B17" s="20" t="s">
        <v>44</v>
      </c>
      <c r="C17" s="20" t="s">
        <v>45</v>
      </c>
      <c r="D17" s="21">
        <v>2.2901304</v>
      </c>
      <c r="E17" s="33">
        <v>0.0190047533409782</v>
      </c>
      <c r="F17" s="21">
        <v>0.40548</v>
      </c>
      <c r="G17" s="33">
        <v>0.0460214612460888</v>
      </c>
      <c r="H17" s="21">
        <v>0.4684848</v>
      </c>
      <c r="I17" s="33">
        <v>0.0143021600137281</v>
      </c>
      <c r="J17" s="21">
        <v>0.5992176</v>
      </c>
      <c r="K17" s="33">
        <v>0.0287066973124336</v>
      </c>
      <c r="L17" s="21">
        <v>0.408474</v>
      </c>
      <c r="M17" s="33">
        <v>0.0167198652829296</v>
      </c>
      <c r="N17" s="21">
        <v>0.408474</v>
      </c>
      <c r="O17" s="33">
        <v>0.0121454398537673</v>
      </c>
    </row>
    <row r="18" spans="2:15">
      <c r="B18" s="20" t="s">
        <v>46</v>
      </c>
      <c r="C18" s="20" t="s">
        <v>47</v>
      </c>
      <c r="D18" s="21">
        <v>5.849521</v>
      </c>
      <c r="E18" s="33">
        <v>0.0485425213201275</v>
      </c>
      <c r="F18" s="21">
        <v>0.95658</v>
      </c>
      <c r="G18" s="33">
        <v>0.108570606192127</v>
      </c>
      <c r="H18" s="21">
        <v>1.0765776</v>
      </c>
      <c r="I18" s="33">
        <v>0.0328663493509188</v>
      </c>
      <c r="J18" s="21">
        <v>0.63922</v>
      </c>
      <c r="K18" s="33">
        <v>0.0306230909373386</v>
      </c>
      <c r="L18" s="21">
        <v>1.567053</v>
      </c>
      <c r="M18" s="33">
        <v>0.0641434094978154</v>
      </c>
      <c r="N18" s="21">
        <v>1.6100904</v>
      </c>
      <c r="O18" s="33">
        <v>0.0478739310514945</v>
      </c>
    </row>
    <row r="19" spans="2:15">
      <c r="B19" s="20" t="s">
        <v>50</v>
      </c>
      <c r="C19" s="20" t="s">
        <v>51</v>
      </c>
      <c r="D19" s="21">
        <v>2.0790367</v>
      </c>
      <c r="E19" s="33">
        <v>0.0172529824809719</v>
      </c>
      <c r="F19" s="21">
        <v>0.43848</v>
      </c>
      <c r="G19" s="33">
        <v>0.0497669190272887</v>
      </c>
      <c r="H19" s="21">
        <v>0.4984728</v>
      </c>
      <c r="I19" s="33">
        <v>0.0152176500669628</v>
      </c>
      <c r="J19" s="21">
        <v>0.2723164</v>
      </c>
      <c r="K19" s="33">
        <v>0.0130458525717729</v>
      </c>
      <c r="L19" s="21">
        <v>0.43848</v>
      </c>
      <c r="M19" s="33">
        <v>0.0179480861187223</v>
      </c>
      <c r="N19" s="21">
        <v>0.4312875</v>
      </c>
      <c r="O19" s="33">
        <v>0.0128237694221215</v>
      </c>
    </row>
    <row r="20" spans="2:15">
      <c r="B20" s="20" t="s">
        <v>48</v>
      </c>
      <c r="C20" s="20" t="s">
        <v>49</v>
      </c>
      <c r="D20" s="21">
        <v>12.8071506</v>
      </c>
      <c r="E20" s="33">
        <v>0.106280733251592</v>
      </c>
      <c r="F20" s="21">
        <v>2.2301886</v>
      </c>
      <c r="G20" s="33">
        <v>0.253123552891312</v>
      </c>
      <c r="H20" s="21">
        <v>2.229</v>
      </c>
      <c r="I20" s="33">
        <v>0.0680481302074259</v>
      </c>
      <c r="J20" s="21">
        <v>2.6875848</v>
      </c>
      <c r="K20" s="33">
        <v>0.12875403418574</v>
      </c>
      <c r="L20" s="21">
        <v>0</v>
      </c>
      <c r="M20" s="33">
        <v>0</v>
      </c>
      <c r="N20" s="21">
        <v>5.6603772</v>
      </c>
      <c r="O20" s="33">
        <v>0.168303908773229</v>
      </c>
    </row>
    <row r="21" spans="2:15">
      <c r="B21" s="34"/>
      <c r="C21" s="34" t="s">
        <v>52</v>
      </c>
      <c r="D21" s="35">
        <v>23.0258387</v>
      </c>
      <c r="E21" s="36">
        <v>0.191080990393669</v>
      </c>
      <c r="F21" s="35">
        <v>4.0307286</v>
      </c>
      <c r="G21" s="36">
        <v>0.457482539356816</v>
      </c>
      <c r="H21" s="35">
        <v>4.2725352</v>
      </c>
      <c r="I21" s="36">
        <v>0.130434289639036</v>
      </c>
      <c r="J21" s="35">
        <v>4.1983388</v>
      </c>
      <c r="K21" s="36">
        <v>0.201129675007285</v>
      </c>
      <c r="L21" s="35">
        <v>2.414007</v>
      </c>
      <c r="M21" s="36">
        <v>0.0988113608994673</v>
      </c>
      <c r="N21" s="35">
        <v>8.1102291</v>
      </c>
      <c r="O21" s="36">
        <v>0.241147049100612</v>
      </c>
    </row>
    <row r="22" spans="2:15">
      <c r="B22" s="20" t="s">
        <v>53</v>
      </c>
      <c r="C22" s="20" t="s">
        <v>54</v>
      </c>
      <c r="D22" s="21">
        <v>5.5607064</v>
      </c>
      <c r="E22" s="33">
        <v>0.0461457799667647</v>
      </c>
      <c r="F22" s="21">
        <v>1.2074892</v>
      </c>
      <c r="G22" s="33">
        <v>0.13704847938954</v>
      </c>
      <c r="H22" s="21">
        <v>1.3255788</v>
      </c>
      <c r="I22" s="33">
        <v>0.0404679940702572</v>
      </c>
      <c r="J22" s="21">
        <v>0.739536</v>
      </c>
      <c r="K22" s="33">
        <v>0.0354289261591246</v>
      </c>
      <c r="L22" s="21">
        <v>0.913023</v>
      </c>
      <c r="M22" s="33">
        <v>0.0373723212743436</v>
      </c>
      <c r="N22" s="21">
        <v>1.3750794</v>
      </c>
      <c r="O22" s="33">
        <v>0.0408861865060064</v>
      </c>
    </row>
    <row r="23" spans="2:15">
      <c r="B23" s="34"/>
      <c r="C23" s="34" t="s">
        <v>61</v>
      </c>
      <c r="D23" s="35">
        <v>5.5607064</v>
      </c>
      <c r="E23" s="36">
        <v>0.0461457799667647</v>
      </c>
      <c r="F23" s="35">
        <v>1.2074892</v>
      </c>
      <c r="G23" s="36">
        <v>0.13704847938954</v>
      </c>
      <c r="H23" s="35">
        <v>1.3255788</v>
      </c>
      <c r="I23" s="36">
        <v>0.0404679940702572</v>
      </c>
      <c r="J23" s="35">
        <v>0.739536</v>
      </c>
      <c r="K23" s="36">
        <v>0.0354289261591246</v>
      </c>
      <c r="L23" s="35">
        <v>0.913023</v>
      </c>
      <c r="M23" s="36">
        <v>0.0373723212743436</v>
      </c>
      <c r="N23" s="35">
        <v>1.3750794</v>
      </c>
      <c r="O23" s="36">
        <v>0.0408861865060064</v>
      </c>
    </row>
    <row r="24" spans="2:15">
      <c r="B24" s="34" t="s">
        <v>62</v>
      </c>
      <c r="C24" s="34" t="s">
        <v>63</v>
      </c>
      <c r="D24" s="35">
        <v>100.530675545283</v>
      </c>
      <c r="E24" s="36">
        <v>0.834258473639759</v>
      </c>
      <c r="F24" s="35">
        <v>15.481618</v>
      </c>
      <c r="G24" s="36">
        <v>1.75714383647468</v>
      </c>
      <c r="H24" s="35">
        <v>25.7990304471698</v>
      </c>
      <c r="I24" s="36">
        <v>0.787606901343363</v>
      </c>
      <c r="J24" s="35">
        <v>26.9806637754717</v>
      </c>
      <c r="K24" s="36">
        <v>1.29256174767064</v>
      </c>
      <c r="L24" s="35">
        <v>10.2838268</v>
      </c>
      <c r="M24" s="36">
        <v>0.42094282301684</v>
      </c>
      <c r="N24" s="35">
        <v>21.9855365226415</v>
      </c>
      <c r="O24" s="36">
        <v>0.653711157842476</v>
      </c>
    </row>
    <row r="25" spans="2:15">
      <c r="B25" s="37"/>
      <c r="C25" s="37" t="s">
        <v>64</v>
      </c>
      <c r="D25" s="38">
        <v>-33.7367042089999</v>
      </c>
      <c r="E25" s="39">
        <v>-0.279965604591591</v>
      </c>
      <c r="F25" s="38">
        <v>-9.938732</v>
      </c>
      <c r="G25" s="39">
        <v>-1.12803336680789</v>
      </c>
      <c r="H25" s="38">
        <v>-8.92508996044413</v>
      </c>
      <c r="I25" s="39">
        <v>-0.272470024110046</v>
      </c>
      <c r="J25" s="38">
        <v>-14.3611887754717</v>
      </c>
      <c r="K25" s="39">
        <v>-0.688000985325172</v>
      </c>
      <c r="L25" s="38">
        <v>5.3497822</v>
      </c>
      <c r="M25" s="39">
        <v>0.21898000283253</v>
      </c>
      <c r="N25" s="38">
        <v>-5.86147567308402</v>
      </c>
      <c r="O25" s="39">
        <v>-0.174283308709397</v>
      </c>
    </row>
    <row r="26" spans="2:15">
      <c r="B26" s="20" t="s">
        <v>65</v>
      </c>
      <c r="C26" s="20" t="s">
        <v>66</v>
      </c>
      <c r="D26" s="21">
        <v>1.415094</v>
      </c>
      <c r="E26" s="22">
        <v>0.0117432231912638</v>
      </c>
      <c r="F26" s="21">
        <v>0.2830188</v>
      </c>
      <c r="G26" s="22">
        <v>0.0321222717177532</v>
      </c>
      <c r="H26" s="21">
        <v>0.2830188</v>
      </c>
      <c r="I26" s="22">
        <v>0.00864015260365609</v>
      </c>
      <c r="J26" s="21">
        <v>0.2830188</v>
      </c>
      <c r="K26" s="22">
        <v>0.0135585720868816</v>
      </c>
      <c r="L26" s="21">
        <v>0.2830188</v>
      </c>
      <c r="M26" s="22">
        <v>0.0115846693021744</v>
      </c>
      <c r="N26" s="21">
        <v>0.2830188</v>
      </c>
      <c r="O26" s="22">
        <v>0.00841519365463997</v>
      </c>
    </row>
    <row r="27" spans="2:15">
      <c r="B27" s="40" t="s">
        <v>67</v>
      </c>
      <c r="C27" s="41" t="s">
        <v>68</v>
      </c>
      <c r="D27" s="42">
        <v>1.415094</v>
      </c>
      <c r="E27" s="43">
        <v>0.0117432231912638</v>
      </c>
      <c r="F27" s="42">
        <v>0.2830188</v>
      </c>
      <c r="G27" s="43">
        <v>0.0321222717177532</v>
      </c>
      <c r="H27" s="42">
        <v>0.2830188</v>
      </c>
      <c r="I27" s="43">
        <v>0.00864015260365609</v>
      </c>
      <c r="J27" s="42">
        <v>0.2830188</v>
      </c>
      <c r="K27" s="43">
        <v>0.0135585720868816</v>
      </c>
      <c r="L27" s="42">
        <v>0.5273218</v>
      </c>
      <c r="M27" s="43">
        <v>0.0215846038101616</v>
      </c>
      <c r="N27" s="42">
        <v>0.0387158</v>
      </c>
      <c r="O27" s="43">
        <v>0.00115116364882584</v>
      </c>
    </row>
    <row r="28" ht="14.25" spans="2:15">
      <c r="B28" s="44" t="s">
        <v>69</v>
      </c>
      <c r="C28" s="44" t="s">
        <v>70</v>
      </c>
      <c r="D28" s="45">
        <v>-35.1517982089999</v>
      </c>
      <c r="E28" s="46">
        <v>-0.291708827782855</v>
      </c>
      <c r="F28" s="45">
        <v>-10.2217508</v>
      </c>
      <c r="G28" s="46">
        <v>-1.16015563852564</v>
      </c>
      <c r="H28" s="45">
        <v>-9.20810876044413</v>
      </c>
      <c r="I28" s="46">
        <v>-0.281110176713702</v>
      </c>
      <c r="J28" s="45">
        <v>-14.6442075754717</v>
      </c>
      <c r="K28" s="46">
        <v>-0.701559557412054</v>
      </c>
      <c r="L28" s="45">
        <v>4.8224604</v>
      </c>
      <c r="M28" s="46">
        <v>0.197395399022368</v>
      </c>
      <c r="N28" s="45">
        <v>-5.90019147308402</v>
      </c>
      <c r="O28" s="46">
        <v>-0.175434472358223</v>
      </c>
    </row>
    <row r="29" ht="14.25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65"/>
  <sheetViews>
    <sheetView workbookViewId="0">
      <selection activeCell="P27" sqref="P27"/>
    </sheetView>
  </sheetViews>
  <sheetFormatPr defaultColWidth="9" defaultRowHeight="13.5"/>
  <sheetData>
    <row r="1" ht="14.25"/>
    <row r="2" ht="14.25" spans="2:15">
      <c r="B2" s="11" t="s">
        <v>73</v>
      </c>
      <c r="C2" s="11"/>
      <c r="D2" s="12" t="s">
        <v>1</v>
      </c>
      <c r="E2" s="13"/>
      <c r="F2" s="12" t="s">
        <v>2</v>
      </c>
      <c r="G2" s="13"/>
      <c r="H2" s="12" t="s">
        <v>3</v>
      </c>
      <c r="I2" s="13"/>
      <c r="J2" s="12" t="s">
        <v>4</v>
      </c>
      <c r="K2" s="13"/>
      <c r="L2" s="12" t="s">
        <v>5</v>
      </c>
      <c r="M2" s="13"/>
      <c r="N2" s="12" t="s">
        <v>6</v>
      </c>
      <c r="O2" s="13"/>
    </row>
    <row r="3" ht="14.25" spans="2:15">
      <c r="B3" s="14"/>
      <c r="C3" s="14" t="s">
        <v>7</v>
      </c>
      <c r="D3" s="15" t="s">
        <v>8</v>
      </c>
      <c r="E3" s="16" t="s">
        <v>9</v>
      </c>
      <c r="F3" s="15" t="s">
        <v>8</v>
      </c>
      <c r="G3" s="16" t="s">
        <v>9</v>
      </c>
      <c r="H3" s="15" t="s">
        <v>8</v>
      </c>
      <c r="I3" s="16" t="s">
        <v>9</v>
      </c>
      <c r="J3" s="15" t="s">
        <v>8</v>
      </c>
      <c r="K3" s="16" t="s">
        <v>9</v>
      </c>
      <c r="L3" s="15" t="s">
        <v>8</v>
      </c>
      <c r="M3" s="16" t="s">
        <v>9</v>
      </c>
      <c r="N3" s="15" t="s">
        <v>8</v>
      </c>
      <c r="O3" s="16" t="s">
        <v>9</v>
      </c>
    </row>
    <row r="4" ht="14.25" spans="2:15">
      <c r="B4" s="17" t="s">
        <v>10</v>
      </c>
      <c r="C4" s="17" t="s">
        <v>11</v>
      </c>
      <c r="D4" s="18">
        <v>22.65704</v>
      </c>
      <c r="E4" s="19"/>
      <c r="F4" s="18">
        <v>9.128916</v>
      </c>
      <c r="G4" s="19"/>
      <c r="H4" s="18">
        <v>4.862467</v>
      </c>
      <c r="I4" s="19"/>
      <c r="J4" s="18">
        <v>2.409199</v>
      </c>
      <c r="K4" s="19"/>
      <c r="L4" s="18">
        <v>2.756226</v>
      </c>
      <c r="M4" s="19"/>
      <c r="N4" s="18">
        <v>3.500232</v>
      </c>
      <c r="O4" s="19"/>
    </row>
    <row r="5" spans="2:15">
      <c r="B5" s="20" t="s">
        <v>12</v>
      </c>
      <c r="C5" s="20" t="s">
        <v>13</v>
      </c>
      <c r="D5" s="21">
        <v>18.839386</v>
      </c>
      <c r="E5" s="22">
        <v>0.999741300547684</v>
      </c>
      <c r="F5" s="21">
        <v>7.734566</v>
      </c>
      <c r="G5" s="22">
        <v>0.999831693095073</v>
      </c>
      <c r="H5" s="21">
        <v>3.772996</v>
      </c>
      <c r="I5" s="22">
        <v>0.999176929448977</v>
      </c>
      <c r="J5" s="21">
        <v>2.107384</v>
      </c>
      <c r="K5" s="22">
        <v>1</v>
      </c>
      <c r="L5" s="21">
        <v>2.295756</v>
      </c>
      <c r="M5" s="22">
        <v>1</v>
      </c>
      <c r="N5" s="21">
        <v>2.928684</v>
      </c>
      <c r="O5" s="22">
        <v>0.999841250820631</v>
      </c>
    </row>
    <row r="6" spans="2:15">
      <c r="B6" s="20" t="s">
        <v>14</v>
      </c>
      <c r="C6" s="20" t="s">
        <v>15</v>
      </c>
      <c r="D6" s="21">
        <v>6.790881</v>
      </c>
      <c r="E6" s="22">
        <v>0.360368655475532</v>
      </c>
      <c r="F6" s="21">
        <v>2.907313</v>
      </c>
      <c r="G6" s="22">
        <v>0.375822467498153</v>
      </c>
      <c r="H6" s="21">
        <v>1.4442</v>
      </c>
      <c r="I6" s="22">
        <v>0.382457686546769</v>
      </c>
      <c r="J6" s="21">
        <v>0.699497</v>
      </c>
      <c r="K6" s="22">
        <v>0.331926692050428</v>
      </c>
      <c r="L6" s="21">
        <v>0.774691</v>
      </c>
      <c r="M6" s="22">
        <v>0.337444832987478</v>
      </c>
      <c r="N6" s="21">
        <v>0.96518</v>
      </c>
      <c r="O6" s="22">
        <v>0.329508672996833</v>
      </c>
    </row>
    <row r="7" spans="2:15">
      <c r="B7" s="23" t="s">
        <v>16</v>
      </c>
      <c r="C7" s="23" t="s">
        <v>17</v>
      </c>
      <c r="D7" s="24">
        <v>12.048505</v>
      </c>
      <c r="E7" s="25">
        <v>0.639372645072152</v>
      </c>
      <c r="F7" s="24">
        <v>4.827253</v>
      </c>
      <c r="G7" s="25">
        <v>0.624009225596921</v>
      </c>
      <c r="H7" s="24">
        <v>2.328796</v>
      </c>
      <c r="I7" s="25">
        <v>0.616719242902208</v>
      </c>
      <c r="J7" s="24">
        <v>1.407887</v>
      </c>
      <c r="K7" s="25">
        <v>0.668073307949572</v>
      </c>
      <c r="L7" s="24">
        <v>1.521065</v>
      </c>
      <c r="M7" s="25">
        <v>0.662555167012522</v>
      </c>
      <c r="N7" s="24">
        <v>1.963504</v>
      </c>
      <c r="O7" s="25">
        <v>0.670332577823798</v>
      </c>
    </row>
    <row r="8" spans="2:15">
      <c r="B8" s="26" t="s">
        <v>20</v>
      </c>
      <c r="C8" s="27" t="s">
        <v>21</v>
      </c>
      <c r="D8" s="28">
        <v>0.004875</v>
      </c>
      <c r="E8" s="29">
        <v>0.000258699452316013</v>
      </c>
      <c r="F8" s="28">
        <v>0.001302</v>
      </c>
      <c r="G8" s="29">
        <v>0.000168306904926506</v>
      </c>
      <c r="H8" s="28">
        <v>0.003108</v>
      </c>
      <c r="I8" s="29">
        <v>0.000823070551022959</v>
      </c>
      <c r="J8" s="28">
        <v>0</v>
      </c>
      <c r="K8" s="29">
        <v>0</v>
      </c>
      <c r="L8" s="28">
        <v>0</v>
      </c>
      <c r="M8" s="29">
        <v>0</v>
      </c>
      <c r="N8" s="28">
        <v>0.000465</v>
      </c>
      <c r="O8" s="29">
        <v>0.000158749179369161</v>
      </c>
    </row>
    <row r="9" ht="14.25" spans="2:15">
      <c r="B9" s="30" t="s">
        <v>22</v>
      </c>
      <c r="C9" s="30" t="s">
        <v>23</v>
      </c>
      <c r="D9" s="31">
        <v>12.05338</v>
      </c>
      <c r="E9" s="32">
        <v>0.639631344524468</v>
      </c>
      <c r="F9" s="31">
        <v>4.828555</v>
      </c>
      <c r="G9" s="32">
        <v>0.624177532501847</v>
      </c>
      <c r="H9" s="31">
        <v>2.331904</v>
      </c>
      <c r="I9" s="32">
        <v>0.617542313453231</v>
      </c>
      <c r="J9" s="31">
        <v>1.407887</v>
      </c>
      <c r="K9" s="32">
        <v>0.668073307949572</v>
      </c>
      <c r="L9" s="31">
        <v>1.521065</v>
      </c>
      <c r="M9" s="32">
        <v>0.662555167012522</v>
      </c>
      <c r="N9" s="31">
        <v>1.963969</v>
      </c>
      <c r="O9" s="32">
        <v>0.670491327003167</v>
      </c>
    </row>
    <row r="10" ht="14.25" spans="2:15">
      <c r="B10" s="20" t="s">
        <v>24</v>
      </c>
      <c r="C10" s="20" t="s">
        <v>25</v>
      </c>
      <c r="D10" s="21">
        <v>0.745241</v>
      </c>
      <c r="E10" s="22">
        <v>0.0395473720089103</v>
      </c>
      <c r="F10" s="21">
        <v>0.310911</v>
      </c>
      <c r="G10" s="22">
        <v>0.0401908357278071</v>
      </c>
      <c r="H10" s="21">
        <v>0.15723</v>
      </c>
      <c r="I10" s="22">
        <v>0.0416381540338931</v>
      </c>
      <c r="J10" s="21">
        <v>0.083244</v>
      </c>
      <c r="K10" s="22">
        <v>0.039501106585226</v>
      </c>
      <c r="L10" s="21">
        <v>0.096344</v>
      </c>
      <c r="M10" s="22">
        <v>0.0419661322893199</v>
      </c>
      <c r="N10" s="21">
        <v>0.097512</v>
      </c>
      <c r="O10" s="22">
        <v>0.0332902150078402</v>
      </c>
    </row>
    <row r="11" spans="2:15">
      <c r="B11" s="20" t="s">
        <v>26</v>
      </c>
      <c r="C11" s="20" t="s">
        <v>27</v>
      </c>
      <c r="D11" s="21">
        <v>5.161472</v>
      </c>
      <c r="E11" s="33">
        <v>0.273901534265525</v>
      </c>
      <c r="F11" s="21">
        <v>2.218472</v>
      </c>
      <c r="G11" s="33">
        <v>0.286777385550012</v>
      </c>
      <c r="H11" s="21">
        <v>0.748835</v>
      </c>
      <c r="I11" s="33">
        <v>0.198308891916112</v>
      </c>
      <c r="J11" s="21">
        <v>0.658629</v>
      </c>
      <c r="K11" s="33">
        <v>0.31253392832061</v>
      </c>
      <c r="L11" s="21">
        <v>0.517395</v>
      </c>
      <c r="M11" s="33">
        <v>0.225370204847554</v>
      </c>
      <c r="N11" s="21">
        <v>1.018141</v>
      </c>
      <c r="O11" s="33">
        <v>0.347589351036769</v>
      </c>
    </row>
    <row r="12" spans="2:15">
      <c r="B12" s="20" t="s">
        <v>28</v>
      </c>
      <c r="C12" s="20" t="s">
        <v>29</v>
      </c>
      <c r="D12" s="21">
        <v>0.672025</v>
      </c>
      <c r="E12" s="22">
        <v>0.0356620511677269</v>
      </c>
      <c r="F12" s="21">
        <v>0.127435</v>
      </c>
      <c r="G12" s="22">
        <v>0.01647326453864</v>
      </c>
      <c r="H12" s="21">
        <v>0.080936</v>
      </c>
      <c r="I12" s="22">
        <v>0.0214337316980676</v>
      </c>
      <c r="J12" s="21">
        <v>0.348603</v>
      </c>
      <c r="K12" s="22">
        <v>0.165419781112507</v>
      </c>
      <c r="L12" s="21">
        <v>0.048627</v>
      </c>
      <c r="M12" s="22">
        <v>0.0211812579385614</v>
      </c>
      <c r="N12" s="21">
        <v>0.066424</v>
      </c>
      <c r="O12" s="22">
        <v>0.0226768935277789</v>
      </c>
    </row>
    <row r="13" spans="2:15">
      <c r="B13" s="34" t="s">
        <v>36</v>
      </c>
      <c r="C13" s="34" t="s">
        <v>37</v>
      </c>
      <c r="D13" s="35">
        <v>6.578738</v>
      </c>
      <c r="E13" s="36">
        <v>0.349110957442162</v>
      </c>
      <c r="F13" s="35">
        <v>2.750598</v>
      </c>
      <c r="G13" s="36">
        <v>0.355564236618308</v>
      </c>
      <c r="H13" s="35">
        <v>1.029207</v>
      </c>
      <c r="I13" s="36">
        <v>0.272557906244108</v>
      </c>
      <c r="J13" s="35">
        <v>0.975146</v>
      </c>
      <c r="K13" s="36">
        <v>0.462728197613724</v>
      </c>
      <c r="L13" s="35">
        <v>0.663782</v>
      </c>
      <c r="M13" s="36">
        <v>0.289134385361511</v>
      </c>
      <c r="N13" s="35">
        <v>1.160005</v>
      </c>
      <c r="O13" s="36">
        <v>0.396021165191665</v>
      </c>
    </row>
    <row r="14" spans="2:15">
      <c r="B14" s="34" t="s">
        <v>62</v>
      </c>
      <c r="C14" s="34" t="s">
        <v>63</v>
      </c>
      <c r="D14" s="35">
        <v>6.578738</v>
      </c>
      <c r="E14" s="36">
        <v>0.349110957442162</v>
      </c>
      <c r="F14" s="35">
        <v>2.750598</v>
      </c>
      <c r="G14" s="36">
        <v>0.355564236618308</v>
      </c>
      <c r="H14" s="35">
        <v>1.029207</v>
      </c>
      <c r="I14" s="36">
        <v>0.272557906244108</v>
      </c>
      <c r="J14" s="35">
        <v>0.975146</v>
      </c>
      <c r="K14" s="36">
        <v>0.462728197613724</v>
      </c>
      <c r="L14" s="35">
        <v>0.663782</v>
      </c>
      <c r="M14" s="36">
        <v>0.289134385361511</v>
      </c>
      <c r="N14" s="35">
        <v>1.160005</v>
      </c>
      <c r="O14" s="36">
        <v>0.396021165191665</v>
      </c>
    </row>
    <row r="15" spans="2:15">
      <c r="B15" s="37"/>
      <c r="C15" s="37" t="s">
        <v>64</v>
      </c>
      <c r="D15" s="38">
        <v>5.474642</v>
      </c>
      <c r="E15" s="39">
        <v>0.290520387082306</v>
      </c>
      <c r="F15" s="38">
        <v>2.077957</v>
      </c>
      <c r="G15" s="39">
        <v>0.268613295883539</v>
      </c>
      <c r="H15" s="38">
        <v>1.302697</v>
      </c>
      <c r="I15" s="39">
        <v>0.344984407209124</v>
      </c>
      <c r="J15" s="38">
        <v>0.432741</v>
      </c>
      <c r="K15" s="39">
        <v>0.205345110335848</v>
      </c>
      <c r="L15" s="38">
        <v>0.857283</v>
      </c>
      <c r="M15" s="39">
        <v>0.373420781651012</v>
      </c>
      <c r="N15" s="38">
        <v>0.803964</v>
      </c>
      <c r="O15" s="39">
        <v>0.274470161811502</v>
      </c>
    </row>
    <row r="16" ht="14.25" spans="2:15">
      <c r="B16" s="44" t="s">
        <v>69</v>
      </c>
      <c r="C16" s="44" t="s">
        <v>70</v>
      </c>
      <c r="D16" s="45">
        <v>5.474642</v>
      </c>
      <c r="E16" s="46">
        <v>0.290520387082306</v>
      </c>
      <c r="F16" s="45">
        <v>2.077957</v>
      </c>
      <c r="G16" s="46">
        <v>0.268613295883539</v>
      </c>
      <c r="H16" s="45">
        <v>1.302697</v>
      </c>
      <c r="I16" s="46">
        <v>0.344984407209124</v>
      </c>
      <c r="J16" s="45">
        <v>0.432741</v>
      </c>
      <c r="K16" s="46">
        <v>0.205345110335848</v>
      </c>
      <c r="L16" s="45">
        <v>0.834327</v>
      </c>
      <c r="M16" s="46">
        <v>0.363421461165734</v>
      </c>
      <c r="N16" s="45">
        <v>0.82692</v>
      </c>
      <c r="O16" s="46">
        <v>0.282307250331069</v>
      </c>
    </row>
    <row r="17" ht="15"/>
    <row r="18" ht="14.25" spans="2:15">
      <c r="B18" s="11" t="s">
        <v>74</v>
      </c>
      <c r="C18" s="11"/>
      <c r="D18" s="12" t="s">
        <v>1</v>
      </c>
      <c r="E18" s="13"/>
      <c r="F18" s="12" t="s">
        <v>2</v>
      </c>
      <c r="G18" s="13"/>
      <c r="H18" s="12" t="s">
        <v>3</v>
      </c>
      <c r="I18" s="13"/>
      <c r="J18" s="12" t="s">
        <v>4</v>
      </c>
      <c r="K18" s="13"/>
      <c r="L18" s="12" t="s">
        <v>5</v>
      </c>
      <c r="M18" s="13"/>
      <c r="N18" s="12" t="s">
        <v>6</v>
      </c>
      <c r="O18" s="13"/>
    </row>
    <row r="19" ht="14.25" spans="2:15">
      <c r="B19" s="14"/>
      <c r="C19" s="14" t="s">
        <v>7</v>
      </c>
      <c r="D19" s="15" t="s">
        <v>8</v>
      </c>
      <c r="E19" s="16" t="s">
        <v>9</v>
      </c>
      <c r="F19" s="15" t="s">
        <v>8</v>
      </c>
      <c r="G19" s="16" t="s">
        <v>9</v>
      </c>
      <c r="H19" s="15" t="s">
        <v>8</v>
      </c>
      <c r="I19" s="16" t="s">
        <v>9</v>
      </c>
      <c r="J19" s="15" t="s">
        <v>8</v>
      </c>
      <c r="K19" s="16" t="s">
        <v>9</v>
      </c>
      <c r="L19" s="15" t="s">
        <v>8</v>
      </c>
      <c r="M19" s="16" t="s">
        <v>9</v>
      </c>
      <c r="N19" s="15" t="s">
        <v>8</v>
      </c>
      <c r="O19" s="16" t="s">
        <v>9</v>
      </c>
    </row>
    <row r="20" ht="14.25" spans="2:15">
      <c r="B20" s="20" t="s">
        <v>28</v>
      </c>
      <c r="C20" s="20" t="s">
        <v>29</v>
      </c>
      <c r="D20" s="21">
        <v>8.490565</v>
      </c>
      <c r="E20" s="22">
        <v>0</v>
      </c>
      <c r="F20" s="21">
        <v>1.698113</v>
      </c>
      <c r="G20" s="22">
        <v>0</v>
      </c>
      <c r="H20" s="21">
        <v>1.698113</v>
      </c>
      <c r="I20" s="22">
        <v>0</v>
      </c>
      <c r="J20" s="21">
        <v>1.698113</v>
      </c>
      <c r="K20" s="22">
        <v>0</v>
      </c>
      <c r="L20" s="21">
        <v>1.698113</v>
      </c>
      <c r="M20" s="22">
        <v>0</v>
      </c>
      <c r="N20" s="21">
        <v>1.698113</v>
      </c>
      <c r="O20" s="22">
        <v>0</v>
      </c>
    </row>
    <row r="21" spans="2:15">
      <c r="B21" s="34" t="s">
        <v>36</v>
      </c>
      <c r="C21" s="34" t="s">
        <v>37</v>
      </c>
      <c r="D21" s="35">
        <v>8.490565</v>
      </c>
      <c r="E21" s="36">
        <v>0</v>
      </c>
      <c r="F21" s="35">
        <v>1.698113</v>
      </c>
      <c r="G21" s="36">
        <v>0</v>
      </c>
      <c r="H21" s="35">
        <v>1.698113</v>
      </c>
      <c r="I21" s="36">
        <v>0</v>
      </c>
      <c r="J21" s="35">
        <v>1.698113</v>
      </c>
      <c r="K21" s="36">
        <v>0</v>
      </c>
      <c r="L21" s="35">
        <v>1.698113</v>
      </c>
      <c r="M21" s="36">
        <v>0</v>
      </c>
      <c r="N21" s="35">
        <v>1.698113</v>
      </c>
      <c r="O21" s="36">
        <v>0</v>
      </c>
    </row>
    <row r="22" spans="2:15">
      <c r="B22" s="34" t="s">
        <v>62</v>
      </c>
      <c r="C22" s="34" t="s">
        <v>63</v>
      </c>
      <c r="D22" s="35">
        <v>8.490565</v>
      </c>
      <c r="E22" s="36">
        <v>0</v>
      </c>
      <c r="F22" s="35">
        <v>1.698113</v>
      </c>
      <c r="G22" s="36">
        <v>0</v>
      </c>
      <c r="H22" s="35">
        <v>1.698113</v>
      </c>
      <c r="I22" s="36">
        <v>0</v>
      </c>
      <c r="J22" s="35">
        <v>1.698113</v>
      </c>
      <c r="K22" s="36">
        <v>0</v>
      </c>
      <c r="L22" s="35">
        <v>1.698113</v>
      </c>
      <c r="M22" s="36">
        <v>0</v>
      </c>
      <c r="N22" s="35">
        <v>1.698113</v>
      </c>
      <c r="O22" s="36">
        <v>0</v>
      </c>
    </row>
    <row r="23" spans="2:15">
      <c r="B23" s="37"/>
      <c r="C23" s="37" t="s">
        <v>64</v>
      </c>
      <c r="D23" s="38">
        <v>-8.490565</v>
      </c>
      <c r="E23" s="39">
        <v>0</v>
      </c>
      <c r="F23" s="38">
        <v>-1.698113</v>
      </c>
      <c r="G23" s="39">
        <v>0</v>
      </c>
      <c r="H23" s="38">
        <v>-1.698113</v>
      </c>
      <c r="I23" s="39">
        <v>0</v>
      </c>
      <c r="J23" s="38">
        <v>-1.698113</v>
      </c>
      <c r="K23" s="39">
        <v>0</v>
      </c>
      <c r="L23" s="38">
        <v>-1.698113</v>
      </c>
      <c r="M23" s="39">
        <v>0</v>
      </c>
      <c r="N23" s="38">
        <v>-1.698113</v>
      </c>
      <c r="O23" s="39">
        <v>0</v>
      </c>
    </row>
    <row r="24" ht="14.25" spans="2:15">
      <c r="B24" s="44" t="s">
        <v>69</v>
      </c>
      <c r="C24" s="44" t="s">
        <v>70</v>
      </c>
      <c r="D24" s="45">
        <v>-8.490565</v>
      </c>
      <c r="E24" s="46">
        <v>0</v>
      </c>
      <c r="F24" s="45">
        <v>-1.698113</v>
      </c>
      <c r="G24" s="46">
        <v>0</v>
      </c>
      <c r="H24" s="45">
        <v>-1.698113</v>
      </c>
      <c r="I24" s="46">
        <v>0</v>
      </c>
      <c r="J24" s="45">
        <v>-1.698113</v>
      </c>
      <c r="K24" s="46">
        <v>0</v>
      </c>
      <c r="L24" s="45">
        <v>-1.698113</v>
      </c>
      <c r="M24" s="46">
        <v>0</v>
      </c>
      <c r="N24" s="45">
        <v>-1.698113</v>
      </c>
      <c r="O24" s="46">
        <v>0</v>
      </c>
    </row>
    <row r="25" ht="15"/>
    <row r="26" ht="14.25" spans="2:15">
      <c r="B26" s="11" t="s">
        <v>75</v>
      </c>
      <c r="C26" s="11"/>
      <c r="D26" s="12" t="s">
        <v>1</v>
      </c>
      <c r="E26" s="13"/>
      <c r="F26" s="12" t="s">
        <v>2</v>
      </c>
      <c r="G26" s="13"/>
      <c r="H26" s="12" t="s">
        <v>3</v>
      </c>
      <c r="I26" s="13"/>
      <c r="J26" s="12" t="s">
        <v>4</v>
      </c>
      <c r="K26" s="13"/>
      <c r="L26" s="12" t="s">
        <v>5</v>
      </c>
      <c r="M26" s="13"/>
      <c r="N26" s="12" t="s">
        <v>6</v>
      </c>
      <c r="O26" s="13"/>
    </row>
    <row r="27" ht="14.25" spans="2:15">
      <c r="B27" s="14"/>
      <c r="C27" s="14" t="s">
        <v>7</v>
      </c>
      <c r="D27" s="15" t="s">
        <v>8</v>
      </c>
      <c r="E27" s="16" t="s">
        <v>9</v>
      </c>
      <c r="F27" s="15" t="s">
        <v>8</v>
      </c>
      <c r="G27" s="16" t="s">
        <v>9</v>
      </c>
      <c r="H27" s="15" t="s">
        <v>8</v>
      </c>
      <c r="I27" s="16" t="s">
        <v>9</v>
      </c>
      <c r="J27" s="15" t="s">
        <v>8</v>
      </c>
      <c r="K27" s="16" t="s">
        <v>9</v>
      </c>
      <c r="L27" s="15" t="s">
        <v>8</v>
      </c>
      <c r="M27" s="16" t="s">
        <v>9</v>
      </c>
      <c r="N27" s="15" t="s">
        <v>8</v>
      </c>
      <c r="O27" s="16" t="s">
        <v>9</v>
      </c>
    </row>
    <row r="28" ht="14.25" spans="2:15">
      <c r="B28" s="17" t="s">
        <v>10</v>
      </c>
      <c r="C28" s="17" t="s">
        <v>11</v>
      </c>
      <c r="D28" s="18">
        <v>0.404543</v>
      </c>
      <c r="E28" s="19"/>
      <c r="F28" s="18">
        <v>0.02977</v>
      </c>
      <c r="G28" s="19"/>
      <c r="H28" s="18">
        <v>0.014305</v>
      </c>
      <c r="I28" s="19"/>
      <c r="J28" s="18">
        <v>0.07038</v>
      </c>
      <c r="K28" s="19"/>
      <c r="L28" s="18">
        <v>0.154197</v>
      </c>
      <c r="M28" s="19"/>
      <c r="N28" s="18">
        <v>0.135891</v>
      </c>
      <c r="O28" s="19"/>
    </row>
    <row r="29" spans="2:15">
      <c r="B29" s="20" t="s">
        <v>12</v>
      </c>
      <c r="C29" s="20" t="s">
        <v>13</v>
      </c>
      <c r="D29" s="21">
        <v>0.28211</v>
      </c>
      <c r="E29" s="22">
        <v>1</v>
      </c>
      <c r="F29" s="21">
        <v>0.02722</v>
      </c>
      <c r="G29" s="22">
        <v>1</v>
      </c>
      <c r="H29" s="21">
        <v>-0.006631</v>
      </c>
      <c r="I29" s="22">
        <v>1</v>
      </c>
      <c r="J29" s="21">
        <v>0.01213</v>
      </c>
      <c r="K29" s="22">
        <v>1</v>
      </c>
      <c r="L29" s="21">
        <v>0.131674</v>
      </c>
      <c r="M29" s="22">
        <v>1</v>
      </c>
      <c r="N29" s="21">
        <v>0.117717</v>
      </c>
      <c r="O29" s="22">
        <v>1</v>
      </c>
    </row>
    <row r="30" spans="2:15">
      <c r="B30" s="20" t="s">
        <v>14</v>
      </c>
      <c r="C30" s="20" t="s">
        <v>15</v>
      </c>
      <c r="D30" s="21">
        <v>0.072902</v>
      </c>
      <c r="E30" s="22">
        <v>0.258416929566481</v>
      </c>
      <c r="F30" s="21">
        <v>0.008969</v>
      </c>
      <c r="G30" s="22">
        <v>0.329500367376929</v>
      </c>
      <c r="H30" s="21">
        <v>-0.001983</v>
      </c>
      <c r="I30" s="22">
        <v>0.299049917056251</v>
      </c>
      <c r="J30" s="21">
        <v>0.005946</v>
      </c>
      <c r="K30" s="22">
        <v>0.490189612530915</v>
      </c>
      <c r="L30" s="21">
        <v>0.039201</v>
      </c>
      <c r="M30" s="22">
        <v>0.297712532466546</v>
      </c>
      <c r="N30" s="21">
        <v>0.020769</v>
      </c>
      <c r="O30" s="22">
        <v>0.176431611407019</v>
      </c>
    </row>
    <row r="31" spans="2:15">
      <c r="B31" s="23" t="s">
        <v>16</v>
      </c>
      <c r="C31" s="23" t="s">
        <v>17</v>
      </c>
      <c r="D31" s="24">
        <v>0.209208</v>
      </c>
      <c r="E31" s="25">
        <v>0.741583070433519</v>
      </c>
      <c r="F31" s="24">
        <v>0.018251</v>
      </c>
      <c r="G31" s="25">
        <v>0.670499632623071</v>
      </c>
      <c r="H31" s="24">
        <v>-0.004648</v>
      </c>
      <c r="I31" s="25">
        <v>0.700950082943749</v>
      </c>
      <c r="J31" s="24">
        <v>0.006184</v>
      </c>
      <c r="K31" s="25">
        <v>0.509810387469085</v>
      </c>
      <c r="L31" s="24">
        <v>0.092473</v>
      </c>
      <c r="M31" s="25">
        <v>0.702287467533454</v>
      </c>
      <c r="N31" s="24">
        <v>0.096948</v>
      </c>
      <c r="O31" s="25">
        <v>0.823568388592982</v>
      </c>
    </row>
    <row r="32" ht="14.25" spans="2:15">
      <c r="B32" s="30" t="s">
        <v>22</v>
      </c>
      <c r="C32" s="30" t="s">
        <v>23</v>
      </c>
      <c r="D32" s="31">
        <v>0.209208</v>
      </c>
      <c r="E32" s="32">
        <v>0.741583070433519</v>
      </c>
      <c r="F32" s="31">
        <v>0.018251</v>
      </c>
      <c r="G32" s="32">
        <v>0.670499632623071</v>
      </c>
      <c r="H32" s="31">
        <v>-0.004648</v>
      </c>
      <c r="I32" s="32">
        <v>0.700950082943749</v>
      </c>
      <c r="J32" s="31">
        <v>0.006184</v>
      </c>
      <c r="K32" s="32">
        <v>0.509810387469085</v>
      </c>
      <c r="L32" s="31">
        <v>0.092473</v>
      </c>
      <c r="M32" s="32">
        <v>0.702287467533454</v>
      </c>
      <c r="N32" s="31">
        <v>0.096948</v>
      </c>
      <c r="O32" s="32">
        <v>0.823568388592982</v>
      </c>
    </row>
    <row r="33" ht="14.25" spans="2:15">
      <c r="B33" s="20" t="s">
        <v>24</v>
      </c>
      <c r="C33" s="20" t="s">
        <v>25</v>
      </c>
      <c r="D33" s="21">
        <v>0.006437</v>
      </c>
      <c r="E33" s="22">
        <v>0.0228173407536067</v>
      </c>
      <c r="F33" s="21">
        <v>0.002818</v>
      </c>
      <c r="G33" s="22">
        <v>0.103526818515797</v>
      </c>
      <c r="H33" s="21">
        <v>0.000182</v>
      </c>
      <c r="I33" s="22">
        <v>-0.027446840597195</v>
      </c>
      <c r="J33" s="21">
        <v>0.000305</v>
      </c>
      <c r="K33" s="22">
        <v>0.0251442704039571</v>
      </c>
      <c r="L33" s="21">
        <v>0.000719</v>
      </c>
      <c r="M33" s="22">
        <v>0.00546045536704285</v>
      </c>
      <c r="N33" s="21">
        <v>0.002413</v>
      </c>
      <c r="O33" s="22">
        <v>0.0204983137524742</v>
      </c>
    </row>
    <row r="34" spans="2:15">
      <c r="B34" s="20" t="s">
        <v>28</v>
      </c>
      <c r="C34" s="20" t="s">
        <v>29</v>
      </c>
      <c r="D34" s="21">
        <v>2.664005</v>
      </c>
      <c r="E34" s="22">
        <v>9.44314274573748</v>
      </c>
      <c r="F34" s="21">
        <v>0.40027</v>
      </c>
      <c r="G34" s="22">
        <v>14.7049963262307</v>
      </c>
      <c r="H34" s="21">
        <v>0.000249</v>
      </c>
      <c r="I34" s="22">
        <v>-0.037550897300558</v>
      </c>
      <c r="J34" s="21">
        <v>1.90335</v>
      </c>
      <c r="K34" s="22">
        <v>156.912613355317</v>
      </c>
      <c r="L34" s="21">
        <v>0.001526</v>
      </c>
      <c r="M34" s="22">
        <v>0.0115892279417349</v>
      </c>
      <c r="N34" s="21">
        <v>0.35861</v>
      </c>
      <c r="O34" s="22">
        <v>3.0463739306982</v>
      </c>
    </row>
    <row r="35" spans="2:15">
      <c r="B35" s="34" t="s">
        <v>36</v>
      </c>
      <c r="C35" s="34" t="s">
        <v>37</v>
      </c>
      <c r="D35" s="35">
        <v>2.670442</v>
      </c>
      <c r="E35" s="36">
        <v>9.46596008649108</v>
      </c>
      <c r="F35" s="35">
        <v>0.403088</v>
      </c>
      <c r="G35" s="36">
        <v>14.8085231447465</v>
      </c>
      <c r="H35" s="35">
        <v>0.000431</v>
      </c>
      <c r="I35" s="36">
        <v>-0.064997737897753</v>
      </c>
      <c r="J35" s="35">
        <v>1.903655</v>
      </c>
      <c r="K35" s="36">
        <v>156.937757625721</v>
      </c>
      <c r="L35" s="35">
        <v>0.002245</v>
      </c>
      <c r="M35" s="36">
        <v>0.0170496833087777</v>
      </c>
      <c r="N35" s="35">
        <v>0.361023</v>
      </c>
      <c r="O35" s="36">
        <v>3.06687224445067</v>
      </c>
    </row>
    <row r="36" spans="2:15">
      <c r="B36" s="34" t="s">
        <v>62</v>
      </c>
      <c r="C36" s="34" t="s">
        <v>63</v>
      </c>
      <c r="D36" s="35">
        <v>2.670442</v>
      </c>
      <c r="E36" s="36">
        <v>9.46596008649108</v>
      </c>
      <c r="F36" s="35">
        <v>0.403088</v>
      </c>
      <c r="G36" s="36">
        <v>14.8085231447465</v>
      </c>
      <c r="H36" s="35">
        <v>0.000431</v>
      </c>
      <c r="I36" s="36">
        <v>-0.064997737897753</v>
      </c>
      <c r="J36" s="35">
        <v>1.903655</v>
      </c>
      <c r="K36" s="36">
        <v>156.937757625721</v>
      </c>
      <c r="L36" s="35">
        <v>0.002245</v>
      </c>
      <c r="M36" s="36">
        <v>0.0170496833087777</v>
      </c>
      <c r="N36" s="35">
        <v>0.361023</v>
      </c>
      <c r="O36" s="36">
        <v>3.06687224445067</v>
      </c>
    </row>
    <row r="37" spans="2:15">
      <c r="B37" s="37"/>
      <c r="C37" s="37" t="s">
        <v>64</v>
      </c>
      <c r="D37" s="38">
        <v>-2.461234</v>
      </c>
      <c r="E37" s="39">
        <v>-8.72437701605757</v>
      </c>
      <c r="F37" s="38">
        <v>-0.384837</v>
      </c>
      <c r="G37" s="39">
        <v>-14.1380235121234</v>
      </c>
      <c r="H37" s="38">
        <v>-0.005079</v>
      </c>
      <c r="I37" s="39">
        <v>0.765947820841502</v>
      </c>
      <c r="J37" s="38">
        <v>-1.897471</v>
      </c>
      <c r="K37" s="39">
        <v>-156.427947238252</v>
      </c>
      <c r="L37" s="38">
        <v>0.090228</v>
      </c>
      <c r="M37" s="39">
        <v>0.685237784224676</v>
      </c>
      <c r="N37" s="38">
        <v>-0.264075</v>
      </c>
      <c r="O37" s="39">
        <v>-2.24330385585769</v>
      </c>
    </row>
    <row r="38" ht="14.25" spans="2:15">
      <c r="B38" s="44" t="s">
        <v>69</v>
      </c>
      <c r="C38" s="44" t="s">
        <v>70</v>
      </c>
      <c r="D38" s="45">
        <v>-2.461234</v>
      </c>
      <c r="E38" s="46">
        <v>-8.72437701605757</v>
      </c>
      <c r="F38" s="45">
        <v>-0.384837</v>
      </c>
      <c r="G38" s="46">
        <v>-14.1380235121234</v>
      </c>
      <c r="H38" s="45">
        <v>-0.005079</v>
      </c>
      <c r="I38" s="46">
        <v>0.765947820841502</v>
      </c>
      <c r="J38" s="45">
        <v>-1.897471</v>
      </c>
      <c r="K38" s="46">
        <v>-156.427947238252</v>
      </c>
      <c r="L38" s="45">
        <v>0.08891</v>
      </c>
      <c r="M38" s="46">
        <v>0.675228215137385</v>
      </c>
      <c r="N38" s="45">
        <v>-0.262757</v>
      </c>
      <c r="O38" s="46">
        <v>-2.23210751208407</v>
      </c>
    </row>
    <row r="39" ht="15"/>
    <row r="40" ht="14.25" spans="2:15">
      <c r="B40" s="11" t="s">
        <v>76</v>
      </c>
      <c r="C40" s="11"/>
      <c r="D40" s="12" t="s">
        <v>1</v>
      </c>
      <c r="E40" s="13"/>
      <c r="F40" s="12" t="s">
        <v>2</v>
      </c>
      <c r="G40" s="13"/>
      <c r="H40" s="12" t="s">
        <v>3</v>
      </c>
      <c r="I40" s="13"/>
      <c r="J40" s="12" t="s">
        <v>4</v>
      </c>
      <c r="K40" s="13"/>
      <c r="L40" s="12" t="s">
        <v>5</v>
      </c>
      <c r="M40" s="13"/>
      <c r="N40" s="12" t="s">
        <v>6</v>
      </c>
      <c r="O40" s="13"/>
    </row>
    <row r="41" ht="14.25" spans="2:15">
      <c r="B41" s="14"/>
      <c r="C41" s="14" t="s">
        <v>7</v>
      </c>
      <c r="D41" s="15" t="s">
        <v>8</v>
      </c>
      <c r="E41" s="16" t="s">
        <v>9</v>
      </c>
      <c r="F41" s="15" t="s">
        <v>8</v>
      </c>
      <c r="G41" s="16" t="s">
        <v>9</v>
      </c>
      <c r="H41" s="15" t="s">
        <v>8</v>
      </c>
      <c r="I41" s="16" t="s">
        <v>9</v>
      </c>
      <c r="J41" s="15" t="s">
        <v>8</v>
      </c>
      <c r="K41" s="16" t="s">
        <v>9</v>
      </c>
      <c r="L41" s="15" t="s">
        <v>8</v>
      </c>
      <c r="M41" s="16" t="s">
        <v>9</v>
      </c>
      <c r="N41" s="15" t="s">
        <v>8</v>
      </c>
      <c r="O41" s="16" t="s">
        <v>9</v>
      </c>
    </row>
    <row r="42" ht="14.25" spans="2:15">
      <c r="B42" s="17" t="s">
        <v>10</v>
      </c>
      <c r="C42" s="17" t="s">
        <v>11</v>
      </c>
      <c r="D42" s="18">
        <v>2.548075</v>
      </c>
      <c r="E42" s="19"/>
      <c r="F42" s="18">
        <v>1.926</v>
      </c>
      <c r="G42" s="19"/>
      <c r="H42" s="18">
        <v>0</v>
      </c>
      <c r="I42" s="19"/>
      <c r="J42" s="18">
        <v>0</v>
      </c>
      <c r="K42" s="19"/>
      <c r="L42" s="18">
        <v>0.5085</v>
      </c>
      <c r="M42" s="19"/>
      <c r="N42" s="18">
        <v>0.113575</v>
      </c>
      <c r="O42" s="19"/>
    </row>
    <row r="43" spans="2:15">
      <c r="B43" s="20" t="s">
        <v>12</v>
      </c>
      <c r="C43" s="20" t="s">
        <v>13</v>
      </c>
      <c r="D43" s="21">
        <v>26.771566</v>
      </c>
      <c r="E43" s="22">
        <v>1</v>
      </c>
      <c r="F43" s="21">
        <v>3.143946</v>
      </c>
      <c r="G43" s="22">
        <v>1</v>
      </c>
      <c r="H43" s="21">
        <v>0</v>
      </c>
      <c r="I43" s="22">
        <v>0</v>
      </c>
      <c r="J43" s="21">
        <v>-0.05169</v>
      </c>
      <c r="K43" s="22">
        <v>1</v>
      </c>
      <c r="L43" s="21">
        <v>0.45</v>
      </c>
      <c r="M43" s="22">
        <v>1</v>
      </c>
      <c r="N43" s="21">
        <v>23.22931</v>
      </c>
      <c r="O43" s="22">
        <v>1</v>
      </c>
    </row>
    <row r="44" spans="2:15">
      <c r="B44" s="20" t="s">
        <v>14</v>
      </c>
      <c r="C44" s="20" t="s">
        <v>15</v>
      </c>
      <c r="D44" s="21">
        <v>15.145056</v>
      </c>
      <c r="E44" s="22">
        <v>0.565714235767904</v>
      </c>
      <c r="F44" s="21">
        <v>2.075267</v>
      </c>
      <c r="G44" s="22">
        <v>0.660083538330493</v>
      </c>
      <c r="H44" s="21">
        <v>0</v>
      </c>
      <c r="I44" s="22">
        <v>0</v>
      </c>
      <c r="J44" s="21">
        <v>-0.020018</v>
      </c>
      <c r="K44" s="22">
        <v>0.387270265041594</v>
      </c>
      <c r="L44" s="21">
        <v>0.221893</v>
      </c>
      <c r="M44" s="22">
        <v>0.493095555555556</v>
      </c>
      <c r="N44" s="21">
        <v>12.867914</v>
      </c>
      <c r="O44" s="22">
        <v>0.553951624047378</v>
      </c>
    </row>
    <row r="45" spans="2:15">
      <c r="B45" s="23" t="s">
        <v>16</v>
      </c>
      <c r="C45" s="23" t="s">
        <v>17</v>
      </c>
      <c r="D45" s="24">
        <v>11.62651</v>
      </c>
      <c r="E45" s="25">
        <v>0.434285764232096</v>
      </c>
      <c r="F45" s="24">
        <v>1.068679</v>
      </c>
      <c r="G45" s="25">
        <v>0.339916461669507</v>
      </c>
      <c r="H45" s="24">
        <v>0</v>
      </c>
      <c r="I45" s="25">
        <v>0</v>
      </c>
      <c r="J45" s="24">
        <v>-0.031672</v>
      </c>
      <c r="K45" s="25">
        <v>0.612729734958406</v>
      </c>
      <c r="L45" s="24">
        <v>0.228107</v>
      </c>
      <c r="M45" s="25">
        <v>0.506904444444444</v>
      </c>
      <c r="N45" s="24">
        <v>10.361396</v>
      </c>
      <c r="O45" s="25">
        <v>0.446048375952622</v>
      </c>
    </row>
    <row r="46" ht="14.25" spans="2:15">
      <c r="B46" s="30" t="s">
        <v>22</v>
      </c>
      <c r="C46" s="30" t="s">
        <v>23</v>
      </c>
      <c r="D46" s="31">
        <v>11.62651</v>
      </c>
      <c r="E46" s="32">
        <v>0.434285764232096</v>
      </c>
      <c r="F46" s="31">
        <v>1.068679</v>
      </c>
      <c r="G46" s="32">
        <v>0.339916461669507</v>
      </c>
      <c r="H46" s="31">
        <v>0</v>
      </c>
      <c r="I46" s="32">
        <v>0</v>
      </c>
      <c r="J46" s="31">
        <v>-0.031672</v>
      </c>
      <c r="K46" s="32">
        <v>0.612729734958406</v>
      </c>
      <c r="L46" s="31">
        <v>0.228107</v>
      </c>
      <c r="M46" s="32">
        <v>0.506904444444444</v>
      </c>
      <c r="N46" s="31">
        <v>10.361396</v>
      </c>
      <c r="O46" s="32">
        <v>0.446048375952622</v>
      </c>
    </row>
    <row r="47" ht="14.25" spans="2:15">
      <c r="B47" s="20" t="s">
        <v>28</v>
      </c>
      <c r="C47" s="20" t="s">
        <v>29</v>
      </c>
      <c r="D47" s="21">
        <v>0.775579</v>
      </c>
      <c r="E47" s="22">
        <v>0.0289702514974283</v>
      </c>
      <c r="F47" s="21">
        <v>0</v>
      </c>
      <c r="G47" s="22">
        <v>0</v>
      </c>
      <c r="H47" s="21">
        <v>0</v>
      </c>
      <c r="I47" s="22">
        <v>0</v>
      </c>
      <c r="J47" s="21">
        <v>0.524342</v>
      </c>
      <c r="K47" s="22">
        <v>-10.1439736893016</v>
      </c>
      <c r="L47" s="21">
        <v>0.251237</v>
      </c>
      <c r="M47" s="22">
        <v>0.558304444444444</v>
      </c>
      <c r="N47" s="21">
        <v>0</v>
      </c>
      <c r="O47" s="22">
        <v>0</v>
      </c>
    </row>
    <row r="48" spans="2:15">
      <c r="B48" s="34" t="s">
        <v>36</v>
      </c>
      <c r="C48" s="34" t="s">
        <v>37</v>
      </c>
      <c r="D48" s="35">
        <v>0.775579</v>
      </c>
      <c r="E48" s="36">
        <v>0.0289702514974283</v>
      </c>
      <c r="F48" s="35">
        <v>0</v>
      </c>
      <c r="G48" s="36">
        <v>0</v>
      </c>
      <c r="H48" s="35">
        <v>0</v>
      </c>
      <c r="I48" s="36">
        <v>0</v>
      </c>
      <c r="J48" s="35">
        <v>0.524342</v>
      </c>
      <c r="K48" s="36">
        <v>-10.1439736893016</v>
      </c>
      <c r="L48" s="35">
        <v>0.251237</v>
      </c>
      <c r="M48" s="36">
        <v>0.558304444444444</v>
      </c>
      <c r="N48" s="35">
        <v>0</v>
      </c>
      <c r="O48" s="36">
        <v>0</v>
      </c>
    </row>
    <row r="49" spans="2:15">
      <c r="B49" s="34" t="s">
        <v>62</v>
      </c>
      <c r="C49" s="34" t="s">
        <v>63</v>
      </c>
      <c r="D49" s="35">
        <v>0.775579</v>
      </c>
      <c r="E49" s="36">
        <v>0.0289702514974283</v>
      </c>
      <c r="F49" s="35">
        <v>0</v>
      </c>
      <c r="G49" s="36">
        <v>0</v>
      </c>
      <c r="H49" s="35">
        <v>0</v>
      </c>
      <c r="I49" s="36">
        <v>0</v>
      </c>
      <c r="J49" s="35">
        <v>0.524342</v>
      </c>
      <c r="K49" s="36">
        <v>-10.1439736893016</v>
      </c>
      <c r="L49" s="35">
        <v>0.251237</v>
      </c>
      <c r="M49" s="36">
        <v>0.558304444444444</v>
      </c>
      <c r="N49" s="35">
        <v>0</v>
      </c>
      <c r="O49" s="36">
        <v>0</v>
      </c>
    </row>
    <row r="50" spans="2:15">
      <c r="B50" s="37"/>
      <c r="C50" s="37" t="s">
        <v>64</v>
      </c>
      <c r="D50" s="38">
        <v>10.850931</v>
      </c>
      <c r="E50" s="39">
        <v>0.405315512734668</v>
      </c>
      <c r="F50" s="38">
        <v>1.068679</v>
      </c>
      <c r="G50" s="39">
        <v>0.339916461669507</v>
      </c>
      <c r="H50" s="38">
        <v>0</v>
      </c>
      <c r="I50" s="39">
        <v>0</v>
      </c>
      <c r="J50" s="38">
        <v>-0.556014</v>
      </c>
      <c r="K50" s="39">
        <v>10.75670342426</v>
      </c>
      <c r="L50" s="38">
        <v>-0.02313</v>
      </c>
      <c r="M50" s="39">
        <v>-0.0514</v>
      </c>
      <c r="N50" s="38">
        <v>10.361396</v>
      </c>
      <c r="O50" s="39">
        <v>0.446048375952622</v>
      </c>
    </row>
    <row r="51" ht="14.25" spans="2:15">
      <c r="B51" s="44" t="s">
        <v>69</v>
      </c>
      <c r="C51" s="44" t="s">
        <v>70</v>
      </c>
      <c r="D51" s="45">
        <v>10.850931</v>
      </c>
      <c r="E51" s="46">
        <v>0.405315512734668</v>
      </c>
      <c r="F51" s="45">
        <v>1.068679</v>
      </c>
      <c r="G51" s="46">
        <v>0.339916461669507</v>
      </c>
      <c r="H51" s="45">
        <v>0</v>
      </c>
      <c r="I51" s="46">
        <v>0</v>
      </c>
      <c r="J51" s="45">
        <v>-0.556014</v>
      </c>
      <c r="K51" s="46">
        <v>10.75670342426</v>
      </c>
      <c r="L51" s="45">
        <v>-0.02763</v>
      </c>
      <c r="M51" s="46">
        <v>-0.0614</v>
      </c>
      <c r="N51" s="45">
        <v>10.365896</v>
      </c>
      <c r="O51" s="46">
        <v>0.446242096730381</v>
      </c>
    </row>
    <row r="52" ht="15"/>
    <row r="53" ht="14.25" spans="2:15">
      <c r="B53" s="11" t="s">
        <v>77</v>
      </c>
      <c r="C53" s="11"/>
      <c r="D53" s="12" t="s">
        <v>1</v>
      </c>
      <c r="E53" s="13"/>
      <c r="F53" s="12" t="s">
        <v>2</v>
      </c>
      <c r="G53" s="13"/>
      <c r="H53" s="12" t="s">
        <v>3</v>
      </c>
      <c r="I53" s="13"/>
      <c r="J53" s="12" t="s">
        <v>4</v>
      </c>
      <c r="K53" s="13"/>
      <c r="L53" s="12" t="s">
        <v>5</v>
      </c>
      <c r="M53" s="13"/>
      <c r="N53" s="12" t="s">
        <v>6</v>
      </c>
      <c r="O53" s="13"/>
    </row>
    <row r="54" ht="14.25" spans="2:15">
      <c r="B54" s="14"/>
      <c r="C54" s="14" t="s">
        <v>7</v>
      </c>
      <c r="D54" s="15" t="s">
        <v>8</v>
      </c>
      <c r="E54" s="16" t="s">
        <v>9</v>
      </c>
      <c r="F54" s="15" t="s">
        <v>8</v>
      </c>
      <c r="G54" s="16" t="s">
        <v>9</v>
      </c>
      <c r="H54" s="15" t="s">
        <v>8</v>
      </c>
      <c r="I54" s="16" t="s">
        <v>9</v>
      </c>
      <c r="J54" s="15" t="s">
        <v>8</v>
      </c>
      <c r="K54" s="16" t="s">
        <v>9</v>
      </c>
      <c r="L54" s="15" t="s">
        <v>8</v>
      </c>
      <c r="M54" s="16" t="s">
        <v>9</v>
      </c>
      <c r="N54" s="15" t="s">
        <v>8</v>
      </c>
      <c r="O54" s="16" t="s">
        <v>9</v>
      </c>
    </row>
    <row r="55" ht="14.25" spans="2:15">
      <c r="B55" s="17" t="s">
        <v>10</v>
      </c>
      <c r="C55" s="17" t="s">
        <v>11</v>
      </c>
      <c r="D55" s="18">
        <v>0.637478</v>
      </c>
      <c r="E55" s="19"/>
      <c r="F55" s="18">
        <v>0.04863</v>
      </c>
      <c r="G55" s="19"/>
      <c r="H55" s="18">
        <v>0.213968</v>
      </c>
      <c r="I55" s="19"/>
      <c r="J55" s="18">
        <v>0.142544</v>
      </c>
      <c r="K55" s="19"/>
      <c r="L55" s="18">
        <v>0.145506</v>
      </c>
      <c r="M55" s="19"/>
      <c r="N55" s="18">
        <v>0.08683</v>
      </c>
      <c r="O55" s="19"/>
    </row>
    <row r="56" spans="2:15">
      <c r="B56" s="20" t="s">
        <v>12</v>
      </c>
      <c r="C56" s="20" t="s">
        <v>13</v>
      </c>
      <c r="D56" s="21">
        <v>0.559149</v>
      </c>
      <c r="E56" s="22">
        <v>1</v>
      </c>
      <c r="F56" s="21">
        <v>0.040699</v>
      </c>
      <c r="G56" s="22">
        <v>1</v>
      </c>
      <c r="H56" s="21">
        <v>0.189352</v>
      </c>
      <c r="I56" s="22">
        <v>1</v>
      </c>
      <c r="J56" s="21">
        <v>0.126144</v>
      </c>
      <c r="K56" s="22">
        <v>1</v>
      </c>
      <c r="L56" s="21">
        <v>0.128767</v>
      </c>
      <c r="M56" s="22">
        <v>1</v>
      </c>
      <c r="N56" s="21">
        <v>0.074187</v>
      </c>
      <c r="O56" s="22">
        <v>1</v>
      </c>
    </row>
    <row r="57" spans="2:15">
      <c r="B57" s="20" t="s">
        <v>14</v>
      </c>
      <c r="C57" s="20" t="s">
        <v>15</v>
      </c>
      <c r="D57" s="21">
        <v>0.170144</v>
      </c>
      <c r="E57" s="22">
        <v>0.304290985050496</v>
      </c>
      <c r="F57" s="21">
        <v>0.013798</v>
      </c>
      <c r="G57" s="22">
        <v>0.339025528882774</v>
      </c>
      <c r="H57" s="21">
        <v>0.046011</v>
      </c>
      <c r="I57" s="22">
        <v>0.242991888123706</v>
      </c>
      <c r="J57" s="21">
        <v>0.041385</v>
      </c>
      <c r="K57" s="22">
        <v>0.328077435312024</v>
      </c>
      <c r="L57" s="21">
        <v>0.044471</v>
      </c>
      <c r="M57" s="22">
        <v>0.345360224281066</v>
      </c>
      <c r="N57" s="21">
        <v>0.024479</v>
      </c>
      <c r="O57" s="22">
        <v>0.329963470688935</v>
      </c>
    </row>
    <row r="58" spans="2:15">
      <c r="B58" s="23" t="s">
        <v>16</v>
      </c>
      <c r="C58" s="23" t="s">
        <v>17</v>
      </c>
      <c r="D58" s="24">
        <v>0.389005</v>
      </c>
      <c r="E58" s="25">
        <v>0.695709014949504</v>
      </c>
      <c r="F58" s="24">
        <v>0.026901</v>
      </c>
      <c r="G58" s="25">
        <v>0.660974471117227</v>
      </c>
      <c r="H58" s="24">
        <v>0.143341</v>
      </c>
      <c r="I58" s="25">
        <v>0.757008111876294</v>
      </c>
      <c r="J58" s="24">
        <v>0.084759</v>
      </c>
      <c r="K58" s="25">
        <v>0.671922564687976</v>
      </c>
      <c r="L58" s="24">
        <v>0.084296</v>
      </c>
      <c r="M58" s="25">
        <v>0.654639775718934</v>
      </c>
      <c r="N58" s="24">
        <v>0.049708</v>
      </c>
      <c r="O58" s="25">
        <v>0.670036529311065</v>
      </c>
    </row>
    <row r="59" ht="14.25" spans="2:15">
      <c r="B59" s="30" t="s">
        <v>22</v>
      </c>
      <c r="C59" s="30" t="s">
        <v>23</v>
      </c>
      <c r="D59" s="31">
        <v>0.389005</v>
      </c>
      <c r="E59" s="32">
        <v>0.695709014949504</v>
      </c>
      <c r="F59" s="31">
        <v>0.026901</v>
      </c>
      <c r="G59" s="32">
        <v>0.660974471117227</v>
      </c>
      <c r="H59" s="31">
        <v>0.143341</v>
      </c>
      <c r="I59" s="32">
        <v>0.757008111876294</v>
      </c>
      <c r="J59" s="31">
        <v>0.084759</v>
      </c>
      <c r="K59" s="32">
        <v>0.671922564687976</v>
      </c>
      <c r="L59" s="31">
        <v>0.084296</v>
      </c>
      <c r="M59" s="32">
        <v>0.654639775718934</v>
      </c>
      <c r="N59" s="31">
        <v>0.049708</v>
      </c>
      <c r="O59" s="32">
        <v>0.670036529311065</v>
      </c>
    </row>
    <row r="60" ht="14.25" spans="2:15">
      <c r="B60" s="20" t="s">
        <v>28</v>
      </c>
      <c r="C60" s="20" t="s">
        <v>29</v>
      </c>
      <c r="D60" s="21">
        <v>0.035421</v>
      </c>
      <c r="E60" s="22">
        <v>0.0633480521292178</v>
      </c>
      <c r="F60" s="21">
        <v>0.000742</v>
      </c>
      <c r="G60" s="22">
        <v>0.0182314061770559</v>
      </c>
      <c r="H60" s="21">
        <v>0.002047</v>
      </c>
      <c r="I60" s="22">
        <v>0.0108105538890532</v>
      </c>
      <c r="J60" s="21">
        <v>0.002311</v>
      </c>
      <c r="K60" s="22">
        <v>0.01832033231862</v>
      </c>
      <c r="L60" s="21">
        <v>0.018005</v>
      </c>
      <c r="M60" s="22">
        <v>0.139826197705934</v>
      </c>
      <c r="N60" s="21">
        <v>0.012316</v>
      </c>
      <c r="O60" s="22">
        <v>0.166012913313653</v>
      </c>
    </row>
    <row r="61" spans="2:15">
      <c r="B61" s="34" t="s">
        <v>36</v>
      </c>
      <c r="C61" s="34" t="s">
        <v>37</v>
      </c>
      <c r="D61" s="35">
        <v>0.035421</v>
      </c>
      <c r="E61" s="36">
        <v>0.0633480521292178</v>
      </c>
      <c r="F61" s="35">
        <v>0.000742</v>
      </c>
      <c r="G61" s="36">
        <v>0.0182314061770559</v>
      </c>
      <c r="H61" s="35">
        <v>0.002047</v>
      </c>
      <c r="I61" s="36">
        <v>0.0108105538890532</v>
      </c>
      <c r="J61" s="35">
        <v>0.002311</v>
      </c>
      <c r="K61" s="36">
        <v>0.01832033231862</v>
      </c>
      <c r="L61" s="35">
        <v>0.018005</v>
      </c>
      <c r="M61" s="36">
        <v>0.139826197705934</v>
      </c>
      <c r="N61" s="35">
        <v>0.012316</v>
      </c>
      <c r="O61" s="36">
        <v>0.166012913313653</v>
      </c>
    </row>
    <row r="62" spans="2:15">
      <c r="B62" s="34" t="s">
        <v>62</v>
      </c>
      <c r="C62" s="34" t="s">
        <v>63</v>
      </c>
      <c r="D62" s="35">
        <v>0.035421</v>
      </c>
      <c r="E62" s="36">
        <v>0.0633480521292178</v>
      </c>
      <c r="F62" s="35">
        <v>0.000742</v>
      </c>
      <c r="G62" s="36">
        <v>0.0182314061770559</v>
      </c>
      <c r="H62" s="35">
        <v>0.002047</v>
      </c>
      <c r="I62" s="36">
        <v>0.0108105538890532</v>
      </c>
      <c r="J62" s="35">
        <v>0.002311</v>
      </c>
      <c r="K62" s="36">
        <v>0.01832033231862</v>
      </c>
      <c r="L62" s="35">
        <v>0.018005</v>
      </c>
      <c r="M62" s="36">
        <v>0.139826197705934</v>
      </c>
      <c r="N62" s="35">
        <v>0.012316</v>
      </c>
      <c r="O62" s="36">
        <v>0.166012913313653</v>
      </c>
    </row>
    <row r="63" spans="2:15">
      <c r="B63" s="37"/>
      <c r="C63" s="37" t="s">
        <v>64</v>
      </c>
      <c r="D63" s="38">
        <v>0.353584</v>
      </c>
      <c r="E63" s="39">
        <v>0.632360962820286</v>
      </c>
      <c r="F63" s="38">
        <v>0.026159</v>
      </c>
      <c r="G63" s="39">
        <v>0.642743064940171</v>
      </c>
      <c r="H63" s="38">
        <v>0.141294</v>
      </c>
      <c r="I63" s="39">
        <v>0.746197557987241</v>
      </c>
      <c r="J63" s="38">
        <v>0.082448</v>
      </c>
      <c r="K63" s="39">
        <v>0.653602232369356</v>
      </c>
      <c r="L63" s="38">
        <v>0.066291</v>
      </c>
      <c r="M63" s="39">
        <v>0.514813578013</v>
      </c>
      <c r="N63" s="38">
        <v>0.037392</v>
      </c>
      <c r="O63" s="39">
        <v>0.504023615997412</v>
      </c>
    </row>
    <row r="64" ht="14.25" spans="2:15">
      <c r="B64" s="44" t="s">
        <v>69</v>
      </c>
      <c r="C64" s="44" t="s">
        <v>70</v>
      </c>
      <c r="D64" s="45">
        <v>0.353584</v>
      </c>
      <c r="E64" s="46">
        <v>0.632360962820286</v>
      </c>
      <c r="F64" s="45">
        <v>0.026159</v>
      </c>
      <c r="G64" s="46">
        <v>0.642743064940171</v>
      </c>
      <c r="H64" s="45">
        <v>0.141294</v>
      </c>
      <c r="I64" s="46">
        <v>0.746197557987241</v>
      </c>
      <c r="J64" s="45">
        <v>0.082448</v>
      </c>
      <c r="K64" s="46">
        <v>0.653602232369356</v>
      </c>
      <c r="L64" s="45">
        <v>0.065003</v>
      </c>
      <c r="M64" s="46">
        <v>0.504811015244589</v>
      </c>
      <c r="N64" s="45">
        <v>0.03868</v>
      </c>
      <c r="O64" s="46">
        <v>0.521385148341354</v>
      </c>
    </row>
    <row r="65" ht="14.25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0"/>
  <sheetViews>
    <sheetView workbookViewId="0">
      <selection activeCell="N22" sqref="N22"/>
    </sheetView>
  </sheetViews>
  <sheetFormatPr defaultColWidth="9" defaultRowHeight="13.5"/>
  <sheetData>
    <row r="1" ht="14.25"/>
    <row r="2" ht="14.25" spans="2:15">
      <c r="B2" s="11" t="s">
        <v>78</v>
      </c>
      <c r="C2" s="11"/>
      <c r="D2" s="12" t="s">
        <v>1</v>
      </c>
      <c r="E2" s="13"/>
      <c r="F2" s="12" t="s">
        <v>2</v>
      </c>
      <c r="G2" s="13"/>
      <c r="H2" s="12" t="s">
        <v>3</v>
      </c>
      <c r="I2" s="13"/>
      <c r="J2" s="12" t="s">
        <v>4</v>
      </c>
      <c r="K2" s="13"/>
      <c r="L2" s="12" t="s">
        <v>5</v>
      </c>
      <c r="M2" s="13"/>
      <c r="N2" s="12" t="s">
        <v>6</v>
      </c>
      <c r="O2" s="13"/>
    </row>
    <row r="3" ht="14.25" spans="2:15">
      <c r="B3" s="14"/>
      <c r="C3" s="14" t="s">
        <v>7</v>
      </c>
      <c r="D3" s="15" t="s">
        <v>8</v>
      </c>
      <c r="E3" s="16" t="s">
        <v>9</v>
      </c>
      <c r="F3" s="15" t="s">
        <v>8</v>
      </c>
      <c r="G3" s="16" t="s">
        <v>9</v>
      </c>
      <c r="H3" s="15" t="s">
        <v>8</v>
      </c>
      <c r="I3" s="16" t="s">
        <v>9</v>
      </c>
      <c r="J3" s="15" t="s">
        <v>8</v>
      </c>
      <c r="K3" s="16" t="s">
        <v>9</v>
      </c>
      <c r="L3" s="15" t="s">
        <v>8</v>
      </c>
      <c r="M3" s="16" t="s">
        <v>9</v>
      </c>
      <c r="N3" s="15" t="s">
        <v>8</v>
      </c>
      <c r="O3" s="16" t="s">
        <v>9</v>
      </c>
    </row>
    <row r="4" ht="14.25" spans="2:15">
      <c r="B4" s="17" t="s">
        <v>10</v>
      </c>
      <c r="C4" s="17" t="s">
        <v>11</v>
      </c>
      <c r="D4" s="18">
        <v>381.23079</v>
      </c>
      <c r="E4" s="19"/>
      <c r="F4" s="18">
        <v>103.456472</v>
      </c>
      <c r="G4" s="19"/>
      <c r="H4" s="18">
        <v>68.902111</v>
      </c>
      <c r="I4" s="19"/>
      <c r="J4" s="18">
        <v>75.087591</v>
      </c>
      <c r="K4" s="19"/>
      <c r="L4" s="18">
        <v>57.047741</v>
      </c>
      <c r="M4" s="19"/>
      <c r="N4" s="18">
        <v>76.736875</v>
      </c>
      <c r="O4" s="19"/>
    </row>
    <row r="5" spans="2:15">
      <c r="B5" s="20" t="s">
        <v>12</v>
      </c>
      <c r="C5" s="20" t="s">
        <v>13</v>
      </c>
      <c r="D5" s="21">
        <v>197.633296</v>
      </c>
      <c r="E5" s="22">
        <v>1</v>
      </c>
      <c r="F5" s="21">
        <v>49.591436</v>
      </c>
      <c r="G5" s="22">
        <v>1</v>
      </c>
      <c r="H5" s="21">
        <v>35.160805</v>
      </c>
      <c r="I5" s="22">
        <v>1</v>
      </c>
      <c r="J5" s="21">
        <v>44.375899</v>
      </c>
      <c r="K5" s="22">
        <v>1</v>
      </c>
      <c r="L5" s="21">
        <v>25.81358</v>
      </c>
      <c r="M5" s="22">
        <v>1</v>
      </c>
      <c r="N5" s="21">
        <v>42.691576</v>
      </c>
      <c r="O5" s="22">
        <v>1</v>
      </c>
    </row>
    <row r="6" spans="2:15">
      <c r="B6" s="20" t="s">
        <v>14</v>
      </c>
      <c r="C6" s="20" t="s">
        <v>15</v>
      </c>
      <c r="D6" s="21">
        <v>72.953395</v>
      </c>
      <c r="E6" s="22">
        <v>0.36913514309856</v>
      </c>
      <c r="F6" s="21">
        <v>18.322882</v>
      </c>
      <c r="G6" s="22">
        <v>0.369476737878693</v>
      </c>
      <c r="H6" s="21">
        <v>13.15184</v>
      </c>
      <c r="I6" s="22">
        <v>0.374048318859594</v>
      </c>
      <c r="J6" s="21">
        <v>16.438897</v>
      </c>
      <c r="K6" s="22">
        <v>0.370446511968129</v>
      </c>
      <c r="L6" s="21">
        <v>9.317512</v>
      </c>
      <c r="M6" s="22">
        <v>0.360953885512974</v>
      </c>
      <c r="N6" s="21">
        <v>15.722264</v>
      </c>
      <c r="O6" s="22">
        <v>0.36827555862543</v>
      </c>
    </row>
    <row r="7" spans="2:15">
      <c r="B7" s="23" t="s">
        <v>16</v>
      </c>
      <c r="C7" s="23" t="s">
        <v>17</v>
      </c>
      <c r="D7" s="24">
        <v>124.679901</v>
      </c>
      <c r="E7" s="25">
        <v>0.63086485690144</v>
      </c>
      <c r="F7" s="24">
        <v>31.268554</v>
      </c>
      <c r="G7" s="25">
        <v>0.630523262121307</v>
      </c>
      <c r="H7" s="24">
        <v>22.008965</v>
      </c>
      <c r="I7" s="25">
        <v>0.625951681140406</v>
      </c>
      <c r="J7" s="24">
        <v>27.937002</v>
      </c>
      <c r="K7" s="25">
        <v>0.629553488031871</v>
      </c>
      <c r="L7" s="24">
        <v>16.496068</v>
      </c>
      <c r="M7" s="25">
        <v>0.639046114487026</v>
      </c>
      <c r="N7" s="24">
        <v>26.969312</v>
      </c>
      <c r="O7" s="25">
        <v>0.63172444137457</v>
      </c>
    </row>
    <row r="8" ht="14.25" spans="2:15">
      <c r="B8" s="30" t="s">
        <v>22</v>
      </c>
      <c r="C8" s="30" t="s">
        <v>23</v>
      </c>
      <c r="D8" s="31">
        <v>124.679901</v>
      </c>
      <c r="E8" s="32">
        <v>0.63086485690144</v>
      </c>
      <c r="F8" s="31">
        <v>31.268554</v>
      </c>
      <c r="G8" s="32">
        <v>0.630523262121307</v>
      </c>
      <c r="H8" s="31">
        <v>22.008965</v>
      </c>
      <c r="I8" s="32">
        <v>0.625951681140406</v>
      </c>
      <c r="J8" s="31">
        <v>27.937002</v>
      </c>
      <c r="K8" s="32">
        <v>0.629553488031871</v>
      </c>
      <c r="L8" s="31">
        <v>16.496068</v>
      </c>
      <c r="M8" s="32">
        <v>0.639046114487026</v>
      </c>
      <c r="N8" s="31">
        <v>26.969312</v>
      </c>
      <c r="O8" s="32">
        <v>0.63172444137457</v>
      </c>
    </row>
    <row r="9" ht="14.25" spans="2:15">
      <c r="B9" s="20" t="s">
        <v>24</v>
      </c>
      <c r="C9" s="20" t="s">
        <v>25</v>
      </c>
      <c r="D9" s="21">
        <v>4.330481</v>
      </c>
      <c r="E9" s="22">
        <v>0.0219116975107271</v>
      </c>
      <c r="F9" s="21">
        <v>1.130281</v>
      </c>
      <c r="G9" s="22">
        <v>0.0227918586588217</v>
      </c>
      <c r="H9" s="21">
        <v>0.850964</v>
      </c>
      <c r="I9" s="22">
        <v>0.0242020624954406</v>
      </c>
      <c r="J9" s="21">
        <v>0.969879</v>
      </c>
      <c r="K9" s="22">
        <v>0.02185598538522</v>
      </c>
      <c r="L9" s="21">
        <v>0.593776</v>
      </c>
      <c r="M9" s="22">
        <v>0.0230024661437894</v>
      </c>
      <c r="N9" s="47">
        <v>0.785581</v>
      </c>
      <c r="O9" s="22">
        <v>0.0184013117716713</v>
      </c>
    </row>
    <row r="10" spans="2:15">
      <c r="B10" s="20" t="s">
        <v>26</v>
      </c>
      <c r="C10" s="20" t="s">
        <v>27</v>
      </c>
      <c r="D10" s="21">
        <v>54.976086</v>
      </c>
      <c r="E10" s="33">
        <v>0.278172186127989</v>
      </c>
      <c r="F10" s="21">
        <v>15.188859</v>
      </c>
      <c r="G10" s="33">
        <v>0.306279878646789</v>
      </c>
      <c r="H10" s="21">
        <v>9.262703</v>
      </c>
      <c r="I10" s="33">
        <v>0.263438308650783</v>
      </c>
      <c r="J10" s="21">
        <v>11.260279</v>
      </c>
      <c r="K10" s="33">
        <v>0.253747625484725</v>
      </c>
      <c r="L10" s="21">
        <v>8.633202</v>
      </c>
      <c r="M10" s="33">
        <v>0.334444195652056</v>
      </c>
      <c r="N10" s="47">
        <v>10.631043</v>
      </c>
      <c r="O10" s="33">
        <v>0.249019689505021</v>
      </c>
    </row>
    <row r="11" spans="2:15">
      <c r="B11" s="20" t="s">
        <v>28</v>
      </c>
      <c r="C11" s="20" t="s">
        <v>29</v>
      </c>
      <c r="D11" s="21">
        <v>9.633783</v>
      </c>
      <c r="E11" s="22">
        <v>0.04874574879326</v>
      </c>
      <c r="F11" s="21">
        <v>0.585514</v>
      </c>
      <c r="G11" s="22">
        <v>0.0118067563117148</v>
      </c>
      <c r="H11" s="21">
        <v>1.520827</v>
      </c>
      <c r="I11" s="22">
        <v>0.0432534749986526</v>
      </c>
      <c r="J11" s="21">
        <v>4.545046</v>
      </c>
      <c r="K11" s="22">
        <v>0.102421496858013</v>
      </c>
      <c r="L11" s="21">
        <v>0.723541000000001</v>
      </c>
      <c r="M11" s="22">
        <v>0.0280294713092876</v>
      </c>
      <c r="N11" s="21">
        <v>2.258855</v>
      </c>
      <c r="O11" s="22">
        <v>0.0529110239453329</v>
      </c>
    </row>
    <row r="12" spans="2:15">
      <c r="B12" s="20" t="s">
        <v>30</v>
      </c>
      <c r="C12" s="20" t="s">
        <v>31</v>
      </c>
      <c r="D12" s="21">
        <v>64.779621</v>
      </c>
      <c r="E12" s="22">
        <v>0.327776859016711</v>
      </c>
      <c r="F12" s="21">
        <v>12.763475</v>
      </c>
      <c r="G12" s="22">
        <v>0.257372563278869</v>
      </c>
      <c r="H12" s="21">
        <v>14.470323</v>
      </c>
      <c r="I12" s="22">
        <v>0.411546976811253</v>
      </c>
      <c r="J12" s="21">
        <v>14.709117</v>
      </c>
      <c r="K12" s="22">
        <v>0.331466343926914</v>
      </c>
      <c r="L12" s="21">
        <v>12.376145</v>
      </c>
      <c r="M12" s="22">
        <v>0.479443184556346</v>
      </c>
      <c r="N12" s="21">
        <v>10.460561</v>
      </c>
      <c r="O12" s="22">
        <v>0.245026348992129</v>
      </c>
    </row>
    <row r="13" spans="2:15">
      <c r="B13" s="20" t="s">
        <v>32</v>
      </c>
      <c r="C13" s="20" t="s">
        <v>33</v>
      </c>
      <c r="D13" s="21">
        <v>2.2349058</v>
      </c>
      <c r="E13" s="22">
        <v>0.0113083465450073</v>
      </c>
      <c r="F13" s="21">
        <v>0.4754716</v>
      </c>
      <c r="G13" s="22">
        <v>0.00958777640558745</v>
      </c>
      <c r="H13" s="21">
        <v>0.5471698</v>
      </c>
      <c r="I13" s="22">
        <v>0.0155619247056488</v>
      </c>
      <c r="J13" s="21">
        <v>0.5471698</v>
      </c>
      <c r="K13" s="22">
        <v>0.012330337240041</v>
      </c>
      <c r="L13" s="21">
        <v>0.461321</v>
      </c>
      <c r="M13" s="22">
        <v>0.0178712522633436</v>
      </c>
      <c r="N13" s="21">
        <v>0.2037736</v>
      </c>
      <c r="O13" s="22">
        <v>0.00477315712120817</v>
      </c>
    </row>
    <row r="14" spans="2:15">
      <c r="B14" s="34" t="s">
        <v>36</v>
      </c>
      <c r="C14" s="34" t="s">
        <v>37</v>
      </c>
      <c r="D14" s="35">
        <v>135.9548768</v>
      </c>
      <c r="E14" s="36">
        <v>0.687914837993695</v>
      </c>
      <c r="F14" s="35">
        <v>31.2541886</v>
      </c>
      <c r="G14" s="36">
        <v>0.630233587105645</v>
      </c>
      <c r="H14" s="35">
        <v>26.8168008</v>
      </c>
      <c r="I14" s="36">
        <v>0.762690183003489</v>
      </c>
      <c r="J14" s="35">
        <v>31.4115578</v>
      </c>
      <c r="K14" s="36">
        <v>0.707851750789319</v>
      </c>
      <c r="L14" s="35">
        <v>23.371265</v>
      </c>
      <c r="M14" s="36">
        <v>0.90538642838382</v>
      </c>
      <c r="N14" s="35">
        <v>23.1010646</v>
      </c>
      <c r="O14" s="36">
        <v>0.54111529169127</v>
      </c>
    </row>
    <row r="15" spans="2:15">
      <c r="B15" s="20" t="s">
        <v>40</v>
      </c>
      <c r="C15" s="20" t="s">
        <v>41</v>
      </c>
      <c r="D15" s="21">
        <v>10.6459138301887</v>
      </c>
      <c r="E15" s="33">
        <v>0.0538670054371238</v>
      </c>
      <c r="F15" s="21">
        <v>2.3667872</v>
      </c>
      <c r="G15" s="33">
        <v>0.0477257242560994</v>
      </c>
      <c r="H15" s="21">
        <v>2.4778244981132</v>
      </c>
      <c r="I15" s="33">
        <v>0.0704712107163986</v>
      </c>
      <c r="J15" s="21">
        <v>2.26477551698114</v>
      </c>
      <c r="K15" s="33">
        <v>0.0510361607993821</v>
      </c>
      <c r="L15" s="21">
        <v>0.3797182</v>
      </c>
      <c r="M15" s="33">
        <v>0.0147100169755609</v>
      </c>
      <c r="N15" s="21">
        <v>3.15680841509436</v>
      </c>
      <c r="O15" s="33">
        <v>0.0739445274893192</v>
      </c>
    </row>
    <row r="16" spans="2:15">
      <c r="B16" s="34" t="s">
        <v>42</v>
      </c>
      <c r="C16" s="34" t="s">
        <v>43</v>
      </c>
      <c r="D16" s="35">
        <v>10.6459138301887</v>
      </c>
      <c r="E16" s="36">
        <v>0.0538670054371238</v>
      </c>
      <c r="F16" s="35">
        <v>2.3667872</v>
      </c>
      <c r="G16" s="36">
        <v>0.0477257242560994</v>
      </c>
      <c r="H16" s="35">
        <v>2.4778244981132</v>
      </c>
      <c r="I16" s="36">
        <v>0.0704712107163986</v>
      </c>
      <c r="J16" s="35">
        <v>2.26477551698114</v>
      </c>
      <c r="K16" s="36">
        <v>0.0510361607993821</v>
      </c>
      <c r="L16" s="35">
        <v>0.3797182</v>
      </c>
      <c r="M16" s="36">
        <v>0.0147100169755609</v>
      </c>
      <c r="N16" s="35">
        <v>3.15680841509436</v>
      </c>
      <c r="O16" s="36">
        <v>0.0739445274893192</v>
      </c>
    </row>
    <row r="17" spans="2:15">
      <c r="B17" s="20" t="s">
        <v>44</v>
      </c>
      <c r="C17" s="20" t="s">
        <v>45</v>
      </c>
      <c r="D17" s="21">
        <v>2.0261016</v>
      </c>
      <c r="E17" s="33">
        <v>0.0102518231543333</v>
      </c>
      <c r="F17" s="21">
        <v>0.27032</v>
      </c>
      <c r="G17" s="33">
        <v>0.00545094116653529</v>
      </c>
      <c r="H17" s="21">
        <v>0.3123232</v>
      </c>
      <c r="I17" s="33">
        <v>0.00888270902785076</v>
      </c>
      <c r="J17" s="21">
        <v>0.8988264</v>
      </c>
      <c r="K17" s="33">
        <v>0.0202548324711123</v>
      </c>
      <c r="L17" s="21">
        <v>0.272316</v>
      </c>
      <c r="M17" s="33">
        <v>0.0105493310110415</v>
      </c>
      <c r="N17" s="21">
        <v>0.272316</v>
      </c>
      <c r="O17" s="33">
        <v>0.00637868229554233</v>
      </c>
    </row>
    <row r="18" spans="2:15">
      <c r="B18" s="20" t="s">
        <v>46</v>
      </c>
      <c r="C18" s="20" t="s">
        <v>47</v>
      </c>
      <c r="D18" s="21">
        <v>4.432364</v>
      </c>
      <c r="E18" s="33">
        <v>0.0224272128720658</v>
      </c>
      <c r="F18" s="21">
        <v>0.63772</v>
      </c>
      <c r="G18" s="33">
        <v>0.0128594783986493</v>
      </c>
      <c r="H18" s="21">
        <v>0.7177184</v>
      </c>
      <c r="I18" s="33">
        <v>0.0204124564269788</v>
      </c>
      <c r="J18" s="21">
        <v>0.95883</v>
      </c>
      <c r="K18" s="33">
        <v>0.0216069988801804</v>
      </c>
      <c r="L18" s="21">
        <v>1.044702</v>
      </c>
      <c r="M18" s="33">
        <v>0.0404710233915637</v>
      </c>
      <c r="N18" s="21">
        <v>1.0733936</v>
      </c>
      <c r="O18" s="33">
        <v>0.0251429837118217</v>
      </c>
    </row>
    <row r="19" spans="2:15">
      <c r="B19" s="20" t="s">
        <v>48</v>
      </c>
      <c r="C19" s="20" t="s">
        <v>49</v>
      </c>
      <c r="D19" s="21">
        <v>10.7777544</v>
      </c>
      <c r="E19" s="33">
        <v>0.0545341023913298</v>
      </c>
      <c r="F19" s="21">
        <v>1.4867924</v>
      </c>
      <c r="G19" s="33">
        <v>0.0299808297545568</v>
      </c>
      <c r="H19" s="21">
        <v>1.486</v>
      </c>
      <c r="I19" s="33">
        <v>0.0422629686663886</v>
      </c>
      <c r="J19" s="21">
        <v>4.0313772</v>
      </c>
      <c r="K19" s="33">
        <v>0.090846096436266</v>
      </c>
      <c r="L19" s="21">
        <v>0</v>
      </c>
      <c r="M19" s="33">
        <v>0</v>
      </c>
      <c r="N19" s="21">
        <v>3.7735848</v>
      </c>
      <c r="O19" s="33">
        <v>0.0883917895183818</v>
      </c>
    </row>
    <row r="20" spans="2:15">
      <c r="B20" s="20" t="s">
        <v>50</v>
      </c>
      <c r="C20" s="20" t="s">
        <v>51</v>
      </c>
      <c r="D20" s="21">
        <v>1.6129548</v>
      </c>
      <c r="E20" s="33">
        <v>0.00816135151639631</v>
      </c>
      <c r="F20" s="21">
        <v>0.29232</v>
      </c>
      <c r="G20" s="33">
        <v>0.00589456615049421</v>
      </c>
      <c r="H20" s="21">
        <v>0.3323152</v>
      </c>
      <c r="I20" s="33">
        <v>0.00945129669243921</v>
      </c>
      <c r="J20" s="21">
        <v>0.4084746</v>
      </c>
      <c r="K20" s="33">
        <v>0.00920487492546348</v>
      </c>
      <c r="L20" s="21">
        <v>0.29232</v>
      </c>
      <c r="M20" s="33">
        <v>0.0113242719529798</v>
      </c>
      <c r="N20" s="21">
        <v>0.287525</v>
      </c>
      <c r="O20" s="33">
        <v>0.00673493524811546</v>
      </c>
    </row>
    <row r="21" spans="2:15">
      <c r="B21" s="34"/>
      <c r="C21" s="34" t="s">
        <v>52</v>
      </c>
      <c r="D21" s="35">
        <v>18.8491748</v>
      </c>
      <c r="E21" s="36">
        <v>0.0953744899341253</v>
      </c>
      <c r="F21" s="35">
        <v>2.6871524</v>
      </c>
      <c r="G21" s="36">
        <v>0.0541858154702356</v>
      </c>
      <c r="H21" s="35">
        <v>2.8483568</v>
      </c>
      <c r="I21" s="36">
        <v>0.0810094308136574</v>
      </c>
      <c r="J21" s="35">
        <v>6.2975082</v>
      </c>
      <c r="K21" s="36">
        <v>0.141912802713022</v>
      </c>
      <c r="L21" s="35">
        <v>1.609338</v>
      </c>
      <c r="M21" s="36">
        <v>0.0623446263555849</v>
      </c>
      <c r="N21" s="35">
        <v>5.4068194</v>
      </c>
      <c r="O21" s="36">
        <v>0.126648390773861</v>
      </c>
    </row>
    <row r="22" spans="2:15">
      <c r="B22" s="20" t="s">
        <v>53</v>
      </c>
      <c r="C22" s="20" t="s">
        <v>54</v>
      </c>
      <c r="D22" s="21">
        <v>4.3234176</v>
      </c>
      <c r="E22" s="33">
        <v>0.0218759575815605</v>
      </c>
      <c r="F22" s="21">
        <v>0.8049928</v>
      </c>
      <c r="G22" s="33">
        <v>0.0162324962721386</v>
      </c>
      <c r="H22" s="21">
        <v>0.8837192</v>
      </c>
      <c r="I22" s="33">
        <v>0.0251336452621036</v>
      </c>
      <c r="J22" s="21">
        <v>1.109304</v>
      </c>
      <c r="K22" s="33">
        <v>0.0249978935638014</v>
      </c>
      <c r="L22" s="21">
        <v>0.608682</v>
      </c>
      <c r="M22" s="33">
        <v>0.0235799141382172</v>
      </c>
      <c r="N22" s="21">
        <v>0.9167196</v>
      </c>
      <c r="O22" s="33">
        <v>0.0214730793728486</v>
      </c>
    </row>
    <row r="23" spans="2:15">
      <c r="B23" s="20" t="s">
        <v>59</v>
      </c>
      <c r="C23" s="20" t="s">
        <v>60</v>
      </c>
      <c r="D23" s="21">
        <v>0.474177</v>
      </c>
      <c r="E23" s="33">
        <v>0.00239927689107609</v>
      </c>
      <c r="F23" s="21">
        <v>0</v>
      </c>
      <c r="G23" s="33">
        <v>0</v>
      </c>
      <c r="H23" s="21">
        <v>0</v>
      </c>
      <c r="I23" s="33">
        <v>0</v>
      </c>
      <c r="J23" s="21">
        <v>0</v>
      </c>
      <c r="K23" s="33">
        <v>0</v>
      </c>
      <c r="L23" s="21">
        <v>0.474177</v>
      </c>
      <c r="M23" s="33">
        <v>0.0183692846943353</v>
      </c>
      <c r="N23" s="47">
        <v>0</v>
      </c>
      <c r="O23" s="33">
        <v>0</v>
      </c>
    </row>
    <row r="24" spans="2:15">
      <c r="B24" s="34"/>
      <c r="C24" s="34" t="s">
        <v>61</v>
      </c>
      <c r="D24" s="35">
        <v>4.7975946</v>
      </c>
      <c r="E24" s="36">
        <v>0.0242752344726366</v>
      </c>
      <c r="F24" s="35">
        <v>0.8049928</v>
      </c>
      <c r="G24" s="36">
        <v>0.0162324962721386</v>
      </c>
      <c r="H24" s="35">
        <v>0.8837192</v>
      </c>
      <c r="I24" s="36">
        <v>0.0251336452621036</v>
      </c>
      <c r="J24" s="35">
        <v>1.109304</v>
      </c>
      <c r="K24" s="36">
        <v>0.0249978935638014</v>
      </c>
      <c r="L24" s="35">
        <v>1.082859</v>
      </c>
      <c r="M24" s="36">
        <v>0.0419491988325525</v>
      </c>
      <c r="N24" s="35">
        <v>0.9167196</v>
      </c>
      <c r="O24" s="36">
        <v>0.0214730793728486</v>
      </c>
    </row>
    <row r="25" spans="2:15">
      <c r="B25" s="34" t="s">
        <v>62</v>
      </c>
      <c r="C25" s="34" t="s">
        <v>63</v>
      </c>
      <c r="D25" s="35">
        <v>170.247560030189</v>
      </c>
      <c r="E25" s="36">
        <v>0.861431567837581</v>
      </c>
      <c r="F25" s="35">
        <v>37.113121</v>
      </c>
      <c r="G25" s="36">
        <v>0.748377623104118</v>
      </c>
      <c r="H25" s="35">
        <v>33.0267012981132</v>
      </c>
      <c r="I25" s="36">
        <v>0.939304469795649</v>
      </c>
      <c r="J25" s="35">
        <v>41.0831455169811</v>
      </c>
      <c r="K25" s="36">
        <v>0.925798607865525</v>
      </c>
      <c r="L25" s="35">
        <v>26.4431802</v>
      </c>
      <c r="M25" s="36">
        <v>1.02439027054752</v>
      </c>
      <c r="N25" s="35">
        <v>32.5814120150944</v>
      </c>
      <c r="O25" s="36">
        <v>0.763181289327299</v>
      </c>
    </row>
    <row r="26" spans="2:15">
      <c r="B26" s="37"/>
      <c r="C26" s="37" t="s">
        <v>64</v>
      </c>
      <c r="D26" s="38">
        <v>-45.5676590301887</v>
      </c>
      <c r="E26" s="39">
        <v>-0.230566710936141</v>
      </c>
      <c r="F26" s="38">
        <v>-5.844567</v>
      </c>
      <c r="G26" s="39">
        <v>-0.117854360982812</v>
      </c>
      <c r="H26" s="38">
        <v>-11.0177362981132</v>
      </c>
      <c r="I26" s="39">
        <v>-0.313352788655243</v>
      </c>
      <c r="J26" s="38">
        <v>-13.1461435169811</v>
      </c>
      <c r="K26" s="39">
        <v>-0.296245119833654</v>
      </c>
      <c r="L26" s="38">
        <v>-9.9471122</v>
      </c>
      <c r="M26" s="39">
        <v>-0.385344156060492</v>
      </c>
      <c r="N26" s="38">
        <v>-5.61210001509437</v>
      </c>
      <c r="O26" s="39">
        <v>-0.131456847952729</v>
      </c>
    </row>
    <row r="27" spans="2:15">
      <c r="B27" s="20" t="s">
        <v>65</v>
      </c>
      <c r="C27" s="20" t="s">
        <v>66</v>
      </c>
      <c r="D27" s="21">
        <v>0.943396</v>
      </c>
      <c r="E27" s="22">
        <v>0.00477346691622246</v>
      </c>
      <c r="F27" s="21">
        <v>0.1886792</v>
      </c>
      <c r="G27" s="22">
        <v>0.00380467304879012</v>
      </c>
      <c r="H27" s="21">
        <v>0.1886792</v>
      </c>
      <c r="I27" s="22">
        <v>0.00536617975612333</v>
      </c>
      <c r="J27" s="21">
        <v>0.1886792</v>
      </c>
      <c r="K27" s="22">
        <v>0.00425183949512775</v>
      </c>
      <c r="L27" s="21">
        <v>0.1886792</v>
      </c>
      <c r="M27" s="22">
        <v>0.00730929998861065</v>
      </c>
      <c r="N27" s="21">
        <v>0.1886792</v>
      </c>
      <c r="O27" s="22">
        <v>0.0044195885389661</v>
      </c>
    </row>
    <row r="28" spans="2:15">
      <c r="B28" s="40" t="s">
        <v>67</v>
      </c>
      <c r="C28" s="41" t="s">
        <v>68</v>
      </c>
      <c r="D28" s="42">
        <v>0.943396</v>
      </c>
      <c r="E28" s="43">
        <v>0.00477346691622246</v>
      </c>
      <c r="F28" s="42">
        <v>0.1886792</v>
      </c>
      <c r="G28" s="43">
        <v>0.00380467304879012</v>
      </c>
      <c r="H28" s="42">
        <v>0.1886792</v>
      </c>
      <c r="I28" s="43">
        <v>0.00536617975612333</v>
      </c>
      <c r="J28" s="42">
        <v>0.1886792</v>
      </c>
      <c r="K28" s="43">
        <v>0.00425183949512775</v>
      </c>
      <c r="L28" s="42">
        <v>0.4468152</v>
      </c>
      <c r="M28" s="43">
        <v>0.0173093077364705</v>
      </c>
      <c r="N28" s="42">
        <v>-0.0694568</v>
      </c>
      <c r="O28" s="43">
        <v>-0.00162694391980282</v>
      </c>
    </row>
    <row r="29" ht="14.25" spans="2:15">
      <c r="B29" s="44" t="s">
        <v>69</v>
      </c>
      <c r="C29" s="44" t="s">
        <v>70</v>
      </c>
      <c r="D29" s="45">
        <v>-46.5110550301887</v>
      </c>
      <c r="E29" s="46">
        <v>-0.235340177852363</v>
      </c>
      <c r="F29" s="45">
        <v>-6.0332462</v>
      </c>
      <c r="G29" s="46">
        <v>-0.121659034031602</v>
      </c>
      <c r="H29" s="45">
        <v>-11.2064154981132</v>
      </c>
      <c r="I29" s="46">
        <v>-0.318718968411366</v>
      </c>
      <c r="J29" s="45">
        <v>-13.3348227169811</v>
      </c>
      <c r="K29" s="46">
        <v>-0.300496959328782</v>
      </c>
      <c r="L29" s="45">
        <v>-10.3939274</v>
      </c>
      <c r="M29" s="46">
        <v>-0.402653463796963</v>
      </c>
      <c r="N29" s="45">
        <v>-5.54264321509437</v>
      </c>
      <c r="O29" s="46">
        <v>-0.129829904032926</v>
      </c>
    </row>
    <row r="30" ht="14.25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5"/>
  <sheetViews>
    <sheetView workbookViewId="0">
      <selection activeCell="P31" sqref="P31"/>
    </sheetView>
  </sheetViews>
  <sheetFormatPr defaultColWidth="9" defaultRowHeight="13.5"/>
  <cols>
    <col min="2" max="2" width="12.6283185840708" customWidth="1"/>
  </cols>
  <sheetData>
    <row r="1" ht="14.25"/>
    <row r="2" ht="14.25" spans="2:15">
      <c r="B2" s="11" t="s">
        <v>79</v>
      </c>
      <c r="C2" s="11"/>
      <c r="D2" s="12" t="s">
        <v>1</v>
      </c>
      <c r="E2" s="13"/>
      <c r="F2" s="12" t="s">
        <v>2</v>
      </c>
      <c r="G2" s="13"/>
      <c r="H2" s="12" t="s">
        <v>3</v>
      </c>
      <c r="I2" s="13"/>
      <c r="J2" s="12" t="s">
        <v>4</v>
      </c>
      <c r="K2" s="13"/>
      <c r="L2" s="12" t="s">
        <v>5</v>
      </c>
      <c r="M2" s="13"/>
      <c r="N2" s="12" t="s">
        <v>6</v>
      </c>
      <c r="O2" s="13"/>
    </row>
    <row r="3" ht="14.25" spans="2:15">
      <c r="B3" s="14"/>
      <c r="C3" s="14" t="s">
        <v>7</v>
      </c>
      <c r="D3" s="15" t="s">
        <v>8</v>
      </c>
      <c r="E3" s="16" t="s">
        <v>9</v>
      </c>
      <c r="F3" s="15" t="s">
        <v>8</v>
      </c>
      <c r="G3" s="16" t="s">
        <v>9</v>
      </c>
      <c r="H3" s="15" t="s">
        <v>8</v>
      </c>
      <c r="I3" s="16" t="s">
        <v>9</v>
      </c>
      <c r="J3" s="15" t="s">
        <v>8</v>
      </c>
      <c r="K3" s="16" t="s">
        <v>9</v>
      </c>
      <c r="L3" s="15" t="s">
        <v>8</v>
      </c>
      <c r="M3" s="16" t="s">
        <v>9</v>
      </c>
      <c r="N3" s="15" t="s">
        <v>8</v>
      </c>
      <c r="O3" s="16" t="s">
        <v>9</v>
      </c>
    </row>
    <row r="4" ht="14.25" spans="2:15">
      <c r="B4" s="17" t="s">
        <v>10</v>
      </c>
      <c r="C4" s="17" t="s">
        <v>11</v>
      </c>
      <c r="D4" s="18">
        <v>597.463993</v>
      </c>
      <c r="E4" s="19"/>
      <c r="F4" s="18">
        <v>121.802057</v>
      </c>
      <c r="G4" s="19"/>
      <c r="H4" s="18">
        <v>149.515428</v>
      </c>
      <c r="I4" s="19"/>
      <c r="J4" s="18">
        <v>99.981328</v>
      </c>
      <c r="K4" s="19"/>
      <c r="L4" s="18">
        <v>83.374566</v>
      </c>
      <c r="M4" s="19"/>
      <c r="N4" s="18">
        <v>142.790614</v>
      </c>
      <c r="O4" s="19"/>
    </row>
    <row r="5" spans="2:15">
      <c r="B5" s="20" t="s">
        <v>12</v>
      </c>
      <c r="C5" s="20" t="s">
        <v>13</v>
      </c>
      <c r="D5" s="21">
        <v>417.428768</v>
      </c>
      <c r="E5" s="22">
        <v>0.998969619732452</v>
      </c>
      <c r="F5" s="21">
        <v>84.145343</v>
      </c>
      <c r="G5" s="22">
        <v>0.996859617717357</v>
      </c>
      <c r="H5" s="21">
        <v>104.395559</v>
      </c>
      <c r="I5" s="22">
        <v>0.999004321614339</v>
      </c>
      <c r="J5" s="21">
        <v>65.092523</v>
      </c>
      <c r="K5" s="22">
        <v>1</v>
      </c>
      <c r="L5" s="21">
        <v>57.636306</v>
      </c>
      <c r="M5" s="22">
        <v>0.999471446180476</v>
      </c>
      <c r="N5" s="21">
        <v>106.159037</v>
      </c>
      <c r="O5" s="22">
        <v>0.999708588329924</v>
      </c>
    </row>
    <row r="6" spans="2:15">
      <c r="B6" s="20" t="s">
        <v>14</v>
      </c>
      <c r="C6" s="20" t="s">
        <v>15</v>
      </c>
      <c r="D6" s="21">
        <v>164.495421</v>
      </c>
      <c r="E6" s="22">
        <v>0.393662202419407</v>
      </c>
      <c r="F6" s="21">
        <v>33.82908</v>
      </c>
      <c r="G6" s="22">
        <v>0.400768985593533</v>
      </c>
      <c r="H6" s="21">
        <v>42.85334</v>
      </c>
      <c r="I6" s="22">
        <v>0.410081350832257</v>
      </c>
      <c r="J6" s="21">
        <v>24.563508</v>
      </c>
      <c r="K6" s="22">
        <v>0.377362973009972</v>
      </c>
      <c r="L6" s="21">
        <v>20.447217</v>
      </c>
      <c r="M6" s="22">
        <v>0.354575283595656</v>
      </c>
      <c r="N6" s="21">
        <v>42.802276</v>
      </c>
      <c r="O6" s="22">
        <v>0.403072636362251</v>
      </c>
    </row>
    <row r="7" spans="2:15">
      <c r="B7" s="23" t="s">
        <v>16</v>
      </c>
      <c r="C7" s="23" t="s">
        <v>17</v>
      </c>
      <c r="D7" s="24">
        <v>252.933347</v>
      </c>
      <c r="E7" s="25">
        <v>0.605307417313045</v>
      </c>
      <c r="F7" s="24">
        <v>50.316263</v>
      </c>
      <c r="G7" s="25">
        <v>0.596090632123824</v>
      </c>
      <c r="H7" s="24">
        <v>61.542219</v>
      </c>
      <c r="I7" s="25">
        <v>0.588922970782082</v>
      </c>
      <c r="J7" s="24">
        <v>40.529015</v>
      </c>
      <c r="K7" s="25">
        <v>0.622637026990028</v>
      </c>
      <c r="L7" s="24">
        <v>37.189089</v>
      </c>
      <c r="M7" s="25">
        <v>0.64489616258482</v>
      </c>
      <c r="N7" s="24">
        <v>63.356761</v>
      </c>
      <c r="O7" s="25">
        <v>0.596635951967672</v>
      </c>
    </row>
    <row r="8" spans="2:15">
      <c r="B8" s="20" t="s">
        <v>18</v>
      </c>
      <c r="C8" s="20" t="s">
        <v>19</v>
      </c>
      <c r="D8" s="21">
        <v>7.62032566371682</v>
      </c>
      <c r="E8" s="22">
        <v>0.0182365816975045</v>
      </c>
      <c r="F8" s="21">
        <v>0</v>
      </c>
      <c r="G8" s="22">
        <v>0</v>
      </c>
      <c r="H8" s="21">
        <v>1.18613451327434</v>
      </c>
      <c r="I8" s="22">
        <v>0.0113506121920089</v>
      </c>
      <c r="J8" s="21">
        <v>0</v>
      </c>
      <c r="K8" s="22">
        <v>0</v>
      </c>
      <c r="L8" s="21">
        <v>0</v>
      </c>
      <c r="M8" s="22">
        <v>0</v>
      </c>
      <c r="N8" s="21">
        <v>6.43419115044248</v>
      </c>
      <c r="O8" s="22">
        <v>0.060591319720183</v>
      </c>
    </row>
    <row r="9" spans="2:15">
      <c r="B9" s="26" t="s">
        <v>20</v>
      </c>
      <c r="C9" s="27" t="s">
        <v>21</v>
      </c>
      <c r="D9" s="28">
        <v>0.430554</v>
      </c>
      <c r="E9" s="29">
        <v>0.00103038026754851</v>
      </c>
      <c r="F9" s="28">
        <v>0.265081</v>
      </c>
      <c r="G9" s="29">
        <v>0.0031403822826432</v>
      </c>
      <c r="H9" s="28">
        <v>0.104048</v>
      </c>
      <c r="I9" s="29">
        <v>0.000995678385661297</v>
      </c>
      <c r="J9" s="28">
        <v>0</v>
      </c>
      <c r="K9" s="29">
        <v>0</v>
      </c>
      <c r="L9" s="28">
        <v>0.03048</v>
      </c>
      <c r="M9" s="29">
        <v>0.000528553819524466</v>
      </c>
      <c r="N9" s="28">
        <v>0.030945</v>
      </c>
      <c r="O9" s="29">
        <v>0.000291411670076373</v>
      </c>
    </row>
    <row r="10" ht="14.25" spans="2:15">
      <c r="B10" s="30" t="s">
        <v>22</v>
      </c>
      <c r="C10" s="30" t="s">
        <v>23</v>
      </c>
      <c r="D10" s="31">
        <v>245.743575336283</v>
      </c>
      <c r="E10" s="32">
        <v>0.588101215883089</v>
      </c>
      <c r="F10" s="31">
        <v>50.581344</v>
      </c>
      <c r="G10" s="32">
        <v>0.599231014406467</v>
      </c>
      <c r="H10" s="31">
        <v>60.4601324867257</v>
      </c>
      <c r="I10" s="32">
        <v>0.578568036975734</v>
      </c>
      <c r="J10" s="31">
        <v>40.529015</v>
      </c>
      <c r="K10" s="32">
        <v>0.622637026990028</v>
      </c>
      <c r="L10" s="31">
        <v>37.219569</v>
      </c>
      <c r="M10" s="32">
        <v>0.645424716404344</v>
      </c>
      <c r="N10" s="31">
        <v>56.9535148495575</v>
      </c>
      <c r="O10" s="32">
        <v>0.536336043917566</v>
      </c>
    </row>
    <row r="11" ht="14.25" spans="2:15">
      <c r="B11" s="20" t="s">
        <v>24</v>
      </c>
      <c r="C11" s="20" t="s">
        <v>25</v>
      </c>
      <c r="D11" s="21">
        <v>5.456414</v>
      </c>
      <c r="E11" s="22">
        <v>0.0130580166882097</v>
      </c>
      <c r="F11" s="21">
        <v>1.379973</v>
      </c>
      <c r="G11" s="22">
        <v>0.0163483718551159</v>
      </c>
      <c r="H11" s="21">
        <v>1.730314</v>
      </c>
      <c r="I11" s="22">
        <v>0.0165580909792321</v>
      </c>
      <c r="J11" s="21">
        <v>0.571598</v>
      </c>
      <c r="K11" s="22">
        <v>0.00878131578952624</v>
      </c>
      <c r="L11" s="21">
        <v>0.789497</v>
      </c>
      <c r="M11" s="22">
        <v>0.0136906710909812</v>
      </c>
      <c r="N11" s="21">
        <v>0.985032</v>
      </c>
      <c r="O11" s="22">
        <v>0.00927612926801325</v>
      </c>
    </row>
    <row r="12" spans="2:15">
      <c r="B12" s="20" t="s">
        <v>26</v>
      </c>
      <c r="C12" s="20" t="s">
        <v>27</v>
      </c>
      <c r="D12" s="21">
        <v>93.246865</v>
      </c>
      <c r="E12" s="33">
        <v>0.223153726842069</v>
      </c>
      <c r="F12" s="21">
        <v>20.855737</v>
      </c>
      <c r="G12" s="33">
        <v>0.247075373060559</v>
      </c>
      <c r="H12" s="21">
        <v>24.05398</v>
      </c>
      <c r="I12" s="33">
        <v>0.230182492456646</v>
      </c>
      <c r="J12" s="21">
        <v>17.779881</v>
      </c>
      <c r="K12" s="33">
        <v>0.273147823752353</v>
      </c>
      <c r="L12" s="21">
        <v>11.838949</v>
      </c>
      <c r="M12" s="33">
        <v>0.205299268802669</v>
      </c>
      <c r="N12" s="21">
        <v>18.718318</v>
      </c>
      <c r="O12" s="33">
        <v>0.176271976390391</v>
      </c>
    </row>
    <row r="13" spans="2:15">
      <c r="B13" s="20" t="s">
        <v>28</v>
      </c>
      <c r="C13" s="20" t="s">
        <v>29</v>
      </c>
      <c r="D13" s="21">
        <v>55.42256</v>
      </c>
      <c r="E13" s="22">
        <v>0.132634494630229</v>
      </c>
      <c r="F13" s="21">
        <v>7.295761</v>
      </c>
      <c r="G13" s="22">
        <v>0.0864319909114543</v>
      </c>
      <c r="H13" s="21">
        <v>11.344509</v>
      </c>
      <c r="I13" s="22">
        <v>0.10856030300669</v>
      </c>
      <c r="J13" s="21">
        <v>19.688298</v>
      </c>
      <c r="K13" s="22">
        <v>0.302466352395036</v>
      </c>
      <c r="L13" s="21">
        <v>9.642781</v>
      </c>
      <c r="M13" s="22">
        <v>0.167215509461547</v>
      </c>
      <c r="N13" s="21">
        <v>7.451211</v>
      </c>
      <c r="O13" s="22">
        <v>0.0701686812603471</v>
      </c>
    </row>
    <row r="14" spans="2:15">
      <c r="B14" s="20" t="s">
        <v>32</v>
      </c>
      <c r="C14" s="20" t="s">
        <v>33</v>
      </c>
      <c r="D14" s="21">
        <v>8.9396232</v>
      </c>
      <c r="E14" s="22">
        <v>0.0213938584813958</v>
      </c>
      <c r="F14" s="21">
        <v>1.9018864</v>
      </c>
      <c r="G14" s="22">
        <v>0.0225314162620484</v>
      </c>
      <c r="H14" s="21">
        <v>2.1886792</v>
      </c>
      <c r="I14" s="22">
        <v>0.020944377331486</v>
      </c>
      <c r="J14" s="21">
        <v>2.1886792</v>
      </c>
      <c r="K14" s="22">
        <v>0.0336241260766617</v>
      </c>
      <c r="L14" s="21">
        <v>1.845284</v>
      </c>
      <c r="M14" s="22">
        <v>0.0319990782909247</v>
      </c>
      <c r="N14" s="21">
        <v>0.8150944</v>
      </c>
      <c r="O14" s="22">
        <v>0.00767581258277264</v>
      </c>
    </row>
    <row r="15" spans="2:15">
      <c r="B15" s="20" t="s">
        <v>34</v>
      </c>
      <c r="C15" s="20" t="s">
        <v>35</v>
      </c>
      <c r="D15" s="21">
        <v>3.018592</v>
      </c>
      <c r="E15" s="22">
        <v>0.00722394318152845</v>
      </c>
      <c r="F15" s="21">
        <v>3.006721</v>
      </c>
      <c r="G15" s="22">
        <v>0.0356202570431349</v>
      </c>
      <c r="H15" s="21">
        <v>0</v>
      </c>
      <c r="I15" s="22">
        <v>0</v>
      </c>
      <c r="J15" s="21">
        <v>0.003441</v>
      </c>
      <c r="K15" s="22">
        <v>5.28632144125063e-5</v>
      </c>
      <c r="L15" s="21">
        <v>0.00843</v>
      </c>
      <c r="M15" s="22">
        <v>0.000146184668588952</v>
      </c>
      <c r="N15" s="21">
        <v>0</v>
      </c>
      <c r="O15" s="22">
        <v>0</v>
      </c>
    </row>
    <row r="16" spans="2:15">
      <c r="B16" s="34" t="s">
        <v>36</v>
      </c>
      <c r="C16" s="34" t="s">
        <v>37</v>
      </c>
      <c r="D16" s="35">
        <v>166.0840542</v>
      </c>
      <c r="E16" s="36">
        <v>0.397464039823431</v>
      </c>
      <c r="F16" s="35">
        <v>34.9067324</v>
      </c>
      <c r="G16" s="36">
        <v>0.413535802165856</v>
      </c>
      <c r="H16" s="35">
        <v>39.7020962</v>
      </c>
      <c r="I16" s="36">
        <v>0.379925794362078</v>
      </c>
      <c r="J16" s="35">
        <v>39.6072572</v>
      </c>
      <c r="K16" s="36">
        <v>0.608476294581484</v>
      </c>
      <c r="L16" s="35">
        <v>24.26493</v>
      </c>
      <c r="M16" s="36">
        <v>0.420778262204521</v>
      </c>
      <c r="N16" s="35">
        <v>27.6030384</v>
      </c>
      <c r="O16" s="36">
        <v>0.259940136349209</v>
      </c>
    </row>
    <row r="17" spans="2:15">
      <c r="B17" s="20" t="s">
        <v>38</v>
      </c>
      <c r="C17" s="20" t="s">
        <v>39</v>
      </c>
      <c r="D17" s="21">
        <v>3.685826</v>
      </c>
      <c r="E17" s="33">
        <v>0.00882073417043452</v>
      </c>
      <c r="F17" s="21">
        <v>0</v>
      </c>
      <c r="G17" s="33">
        <v>0</v>
      </c>
      <c r="H17" s="21">
        <v>2.7</v>
      </c>
      <c r="I17" s="33">
        <v>0.0258374177426332</v>
      </c>
      <c r="J17" s="21">
        <v>0</v>
      </c>
      <c r="K17" s="33">
        <v>0</v>
      </c>
      <c r="L17" s="21">
        <v>0</v>
      </c>
      <c r="M17" s="33">
        <v>0</v>
      </c>
      <c r="N17" s="21">
        <v>0.985826</v>
      </c>
      <c r="O17" s="33">
        <v>0.00928360643285541</v>
      </c>
    </row>
    <row r="18" spans="2:15">
      <c r="B18" s="20" t="s">
        <v>40</v>
      </c>
      <c r="C18" s="20" t="s">
        <v>41</v>
      </c>
      <c r="D18" s="21">
        <v>42.9536553207548</v>
      </c>
      <c r="E18" s="33">
        <v>0.102794536484589</v>
      </c>
      <c r="F18" s="21">
        <v>9.4671488</v>
      </c>
      <c r="G18" s="33">
        <v>0.112156157395916</v>
      </c>
      <c r="H18" s="21">
        <v>11.2612979924528</v>
      </c>
      <c r="I18" s="33">
        <v>0.107764022427881</v>
      </c>
      <c r="J18" s="21">
        <v>9.05910206792456</v>
      </c>
      <c r="K18" s="33">
        <v>0.139172698343934</v>
      </c>
      <c r="L18" s="21">
        <v>1.5188728</v>
      </c>
      <c r="M18" s="33">
        <v>0.0263387801775532</v>
      </c>
      <c r="N18" s="21">
        <v>11.6472336603774</v>
      </c>
      <c r="O18" s="33">
        <v>0.109682979891431</v>
      </c>
    </row>
    <row r="19" spans="2:15">
      <c r="B19" s="34" t="s">
        <v>42</v>
      </c>
      <c r="C19" s="34" t="s">
        <v>43</v>
      </c>
      <c r="D19" s="35">
        <v>46.6394813207548</v>
      </c>
      <c r="E19" s="36">
        <v>0.111615270655024</v>
      </c>
      <c r="F19" s="35">
        <v>9.4671488</v>
      </c>
      <c r="G19" s="36">
        <v>0.112156157395916</v>
      </c>
      <c r="H19" s="35">
        <v>13.9612979924528</v>
      </c>
      <c r="I19" s="36">
        <v>0.133601440170515</v>
      </c>
      <c r="J19" s="35">
        <v>9.05910206792456</v>
      </c>
      <c r="K19" s="36">
        <v>0.139172698343934</v>
      </c>
      <c r="L19" s="35">
        <v>1.5188728</v>
      </c>
      <c r="M19" s="36">
        <v>0.0263387801775532</v>
      </c>
      <c r="N19" s="35">
        <v>12.6330596603774</v>
      </c>
      <c r="O19" s="36">
        <v>0.118966586324287</v>
      </c>
    </row>
    <row r="20" spans="2:15">
      <c r="B20" s="20" t="s">
        <v>44</v>
      </c>
      <c r="C20" s="20" t="s">
        <v>45</v>
      </c>
      <c r="D20" s="21">
        <v>6.6063624</v>
      </c>
      <c r="E20" s="33">
        <v>0.0158100156013751</v>
      </c>
      <c r="F20" s="21">
        <v>1.08128</v>
      </c>
      <c r="G20" s="33">
        <v>0.0128097923071681</v>
      </c>
      <c r="H20" s="21">
        <v>1.2492928</v>
      </c>
      <c r="I20" s="33">
        <v>0.0119549999838755</v>
      </c>
      <c r="J20" s="21">
        <v>2.0972616</v>
      </c>
      <c r="K20" s="33">
        <v>0.0322197005637652</v>
      </c>
      <c r="L20" s="21">
        <v>1.089264</v>
      </c>
      <c r="M20" s="33">
        <v>0.0188889320101869</v>
      </c>
      <c r="N20" s="21">
        <v>1.089264</v>
      </c>
      <c r="O20" s="33">
        <v>0.0102576907866883</v>
      </c>
    </row>
    <row r="21" spans="2:15">
      <c r="B21" s="20" t="s">
        <v>46</v>
      </c>
      <c r="C21" s="20" t="s">
        <v>47</v>
      </c>
      <c r="D21" s="21">
        <v>16.131406</v>
      </c>
      <c r="E21" s="33">
        <v>0.0386048728619724</v>
      </c>
      <c r="F21" s="21">
        <v>2.55088</v>
      </c>
      <c r="G21" s="33">
        <v>0.0302199643020393</v>
      </c>
      <c r="H21" s="21">
        <v>2.8708736</v>
      </c>
      <c r="I21" s="33">
        <v>0.0274725779590731</v>
      </c>
      <c r="J21" s="21">
        <v>2.23727</v>
      </c>
      <c r="K21" s="33">
        <v>0.0343706142716269</v>
      </c>
      <c r="L21" s="21">
        <v>4.178808</v>
      </c>
      <c r="M21" s="33">
        <v>0.0724647286568043</v>
      </c>
      <c r="N21" s="21">
        <v>4.2935744</v>
      </c>
      <c r="O21" s="33">
        <v>0.0404329515754132</v>
      </c>
    </row>
    <row r="22" spans="2:15">
      <c r="B22" s="20" t="s">
        <v>48</v>
      </c>
      <c r="C22" s="20" t="s">
        <v>49</v>
      </c>
      <c r="D22" s="21">
        <v>36.3920556</v>
      </c>
      <c r="E22" s="33">
        <v>0.087091644685146</v>
      </c>
      <c r="F22" s="21">
        <v>7.9471696</v>
      </c>
      <c r="G22" s="33">
        <v>0.0941491491619566</v>
      </c>
      <c r="H22" s="21">
        <v>7.944</v>
      </c>
      <c r="I22" s="33">
        <v>0.0760194246472142</v>
      </c>
      <c r="J22" s="21">
        <v>5.4065468</v>
      </c>
      <c r="K22" s="33">
        <v>0.0830594137517146</v>
      </c>
      <c r="L22" s="21">
        <v>4.52830176</v>
      </c>
      <c r="M22" s="33">
        <v>0.078525301548798</v>
      </c>
      <c r="N22" s="21">
        <v>10.56603744</v>
      </c>
      <c r="O22" s="33">
        <v>0.0995012640646271</v>
      </c>
    </row>
    <row r="23" spans="2:15">
      <c r="B23" s="20" t="s">
        <v>50</v>
      </c>
      <c r="C23" s="20" t="s">
        <v>51</v>
      </c>
      <c r="D23" s="21">
        <v>5.7710282</v>
      </c>
      <c r="E23" s="33">
        <v>0.0138109356335001</v>
      </c>
      <c r="F23" s="21">
        <v>1.16928</v>
      </c>
      <c r="G23" s="33">
        <v>0.0138523175763221</v>
      </c>
      <c r="H23" s="21">
        <v>1.3292608</v>
      </c>
      <c r="I23" s="33">
        <v>0.0127202468809285</v>
      </c>
      <c r="J23" s="21">
        <v>0.9531074</v>
      </c>
      <c r="K23" s="33">
        <v>0.0146423483999844</v>
      </c>
      <c r="L23" s="21">
        <v>1.16928</v>
      </c>
      <c r="M23" s="33">
        <v>0.0202764898324661</v>
      </c>
      <c r="N23" s="21">
        <v>1.1501</v>
      </c>
      <c r="O23" s="33">
        <v>0.0108305885201111</v>
      </c>
    </row>
    <row r="24" spans="2:15">
      <c r="B24" s="34"/>
      <c r="C24" s="34" t="s">
        <v>52</v>
      </c>
      <c r="D24" s="35">
        <v>64.9008522</v>
      </c>
      <c r="E24" s="36">
        <v>0.155317468781994</v>
      </c>
      <c r="F24" s="35">
        <v>12.7486096</v>
      </c>
      <c r="G24" s="36">
        <v>0.151031223347486</v>
      </c>
      <c r="H24" s="35">
        <v>13.3934272</v>
      </c>
      <c r="I24" s="36">
        <v>0.128167249471091</v>
      </c>
      <c r="J24" s="35">
        <v>10.6941858</v>
      </c>
      <c r="K24" s="36">
        <v>0.164292076987091</v>
      </c>
      <c r="L24" s="35">
        <v>10.96565376</v>
      </c>
      <c r="M24" s="36">
        <v>0.190155452048255</v>
      </c>
      <c r="N24" s="35">
        <v>17.09897584</v>
      </c>
      <c r="O24" s="36">
        <v>0.16102249494684</v>
      </c>
    </row>
    <row r="25" spans="2:15">
      <c r="B25" s="20" t="s">
        <v>53</v>
      </c>
      <c r="C25" s="20" t="s">
        <v>54</v>
      </c>
      <c r="D25" s="21">
        <v>15.4448304</v>
      </c>
      <c r="E25" s="33">
        <v>0.0369617945247133</v>
      </c>
      <c r="F25" s="21">
        <v>3.2199712</v>
      </c>
      <c r="G25" s="33">
        <v>0.0381466061585</v>
      </c>
      <c r="H25" s="21">
        <v>3.5348768</v>
      </c>
      <c r="I25" s="33">
        <v>0.0338266994630898</v>
      </c>
      <c r="J25" s="21">
        <v>2.588376</v>
      </c>
      <c r="K25" s="33">
        <v>0.0397645671224021</v>
      </c>
      <c r="L25" s="21">
        <v>2.434728</v>
      </c>
      <c r="M25" s="33">
        <v>0.0422206293931484</v>
      </c>
      <c r="N25" s="21">
        <v>3.6668784</v>
      </c>
      <c r="O25" s="33">
        <v>0.0345313025855867</v>
      </c>
    </row>
    <row r="26" spans="2:15">
      <c r="B26" s="20" t="s">
        <v>55</v>
      </c>
      <c r="C26" s="20" t="s">
        <v>56</v>
      </c>
      <c r="D26" s="21">
        <v>0.1265</v>
      </c>
      <c r="E26" s="33">
        <v>0.000302733463967091</v>
      </c>
      <c r="F26" s="21">
        <v>0</v>
      </c>
      <c r="G26" s="33">
        <v>0</v>
      </c>
      <c r="H26" s="21">
        <v>0</v>
      </c>
      <c r="I26" s="33">
        <v>0</v>
      </c>
      <c r="J26" s="21">
        <v>0</v>
      </c>
      <c r="K26" s="33">
        <v>0</v>
      </c>
      <c r="L26" s="21">
        <v>0</v>
      </c>
      <c r="M26" s="33">
        <v>0</v>
      </c>
      <c r="N26" s="21">
        <v>0.1265</v>
      </c>
      <c r="O26" s="33">
        <v>0.00119126114928619</v>
      </c>
    </row>
    <row r="27" spans="2:15">
      <c r="B27" s="20" t="s">
        <v>57</v>
      </c>
      <c r="C27" s="20" t="s">
        <v>58</v>
      </c>
      <c r="D27" s="21">
        <v>0.177506</v>
      </c>
      <c r="E27" s="33">
        <v>0.000424798468418517</v>
      </c>
      <c r="F27" s="21">
        <v>0</v>
      </c>
      <c r="G27" s="33">
        <v>0</v>
      </c>
      <c r="H27" s="21">
        <v>0</v>
      </c>
      <c r="I27" s="33">
        <v>0</v>
      </c>
      <c r="J27" s="21">
        <v>0</v>
      </c>
      <c r="K27" s="33">
        <v>0</v>
      </c>
      <c r="L27" s="21">
        <v>0.177506</v>
      </c>
      <c r="M27" s="33">
        <v>0.00307813235854691</v>
      </c>
      <c r="N27" s="21">
        <v>0</v>
      </c>
      <c r="O27" s="33">
        <v>0</v>
      </c>
    </row>
    <row r="28" spans="2:15">
      <c r="B28" s="20" t="s">
        <v>59</v>
      </c>
      <c r="C28" s="20" t="s">
        <v>60</v>
      </c>
      <c r="D28" s="21">
        <v>1.139555</v>
      </c>
      <c r="E28" s="33">
        <v>0.0027271259488618</v>
      </c>
      <c r="F28" s="21">
        <v>-0.04919</v>
      </c>
      <c r="G28" s="33">
        <v>-0.000582747931700947</v>
      </c>
      <c r="H28" s="21">
        <v>0</v>
      </c>
      <c r="I28" s="33">
        <v>0</v>
      </c>
      <c r="J28" s="21">
        <v>0</v>
      </c>
      <c r="K28" s="33">
        <v>0</v>
      </c>
      <c r="L28" s="21">
        <v>1.188745</v>
      </c>
      <c r="M28" s="33">
        <v>0.0206140324865686</v>
      </c>
      <c r="N28" s="21">
        <v>0</v>
      </c>
      <c r="O28" s="33">
        <v>0</v>
      </c>
    </row>
    <row r="29" spans="2:15">
      <c r="B29" s="34"/>
      <c r="C29" s="34" t="s">
        <v>61</v>
      </c>
      <c r="D29" s="35">
        <v>16.8883914</v>
      </c>
      <c r="E29" s="36">
        <v>0.0404164524059607</v>
      </c>
      <c r="F29" s="35">
        <v>3.1707812</v>
      </c>
      <c r="G29" s="36">
        <v>0.0375638582267991</v>
      </c>
      <c r="H29" s="35">
        <v>3.5348768</v>
      </c>
      <c r="I29" s="36">
        <v>0.0338266994630898</v>
      </c>
      <c r="J29" s="35">
        <v>2.588376</v>
      </c>
      <c r="K29" s="36">
        <v>0.0397645671224021</v>
      </c>
      <c r="L29" s="35">
        <v>3.800979</v>
      </c>
      <c r="M29" s="36">
        <v>0.065912794238264</v>
      </c>
      <c r="N29" s="35">
        <v>3.7933784</v>
      </c>
      <c r="O29" s="36">
        <v>0.0357225637348728</v>
      </c>
    </row>
    <row r="30" spans="2:15">
      <c r="B30" s="34" t="s">
        <v>62</v>
      </c>
      <c r="C30" s="34" t="s">
        <v>63</v>
      </c>
      <c r="D30" s="35">
        <v>294.512779120755</v>
      </c>
      <c r="E30" s="36">
        <v>0.70481323166641</v>
      </c>
      <c r="F30" s="35">
        <v>60.293272</v>
      </c>
      <c r="G30" s="36">
        <v>0.714287041136057</v>
      </c>
      <c r="H30" s="35">
        <v>70.5916981924528</v>
      </c>
      <c r="I30" s="36">
        <v>0.675521183466774</v>
      </c>
      <c r="J30" s="35">
        <v>61.9489210679246</v>
      </c>
      <c r="K30" s="36">
        <v>0.951705637034911</v>
      </c>
      <c r="L30" s="35">
        <v>40.55043556</v>
      </c>
      <c r="M30" s="36">
        <v>0.703185288668593</v>
      </c>
      <c r="N30" s="35">
        <v>61.1284523003774</v>
      </c>
      <c r="O30" s="36">
        <v>0.575651781355208</v>
      </c>
    </row>
    <row r="31" spans="2:15">
      <c r="B31" s="37"/>
      <c r="C31" s="37" t="s">
        <v>64</v>
      </c>
      <c r="D31" s="38">
        <v>-48.7692037844716</v>
      </c>
      <c r="E31" s="39">
        <v>-0.116712015783321</v>
      </c>
      <c r="F31" s="38">
        <v>-9.71192799999999</v>
      </c>
      <c r="G31" s="39">
        <v>-0.11505602672959</v>
      </c>
      <c r="H31" s="38">
        <v>-10.1315657057271</v>
      </c>
      <c r="I31" s="39">
        <v>-0.0969531464910401</v>
      </c>
      <c r="J31" s="38">
        <v>-21.4199060679246</v>
      </c>
      <c r="K31" s="39">
        <v>-0.329068610044883</v>
      </c>
      <c r="L31" s="38">
        <v>-3.33086656</v>
      </c>
      <c r="M31" s="39">
        <v>-0.0577605722642494</v>
      </c>
      <c r="N31" s="38">
        <v>-4.17493745081994</v>
      </c>
      <c r="O31" s="39">
        <v>-0.0393157374376421</v>
      </c>
    </row>
    <row r="32" spans="2:15">
      <c r="B32" s="20" t="s">
        <v>65</v>
      </c>
      <c r="C32" s="20" t="s">
        <v>66</v>
      </c>
      <c r="D32" s="21">
        <v>3.773584</v>
      </c>
      <c r="E32" s="22">
        <v>0.00903075222048056</v>
      </c>
      <c r="F32" s="21">
        <v>0.7547168</v>
      </c>
      <c r="G32" s="22">
        <v>0.00894103789835246</v>
      </c>
      <c r="H32" s="21">
        <v>0.7547168</v>
      </c>
      <c r="I32" s="22">
        <v>0.00722219749591977</v>
      </c>
      <c r="J32" s="21">
        <v>0.7547168</v>
      </c>
      <c r="K32" s="22">
        <v>0.011594523690532</v>
      </c>
      <c r="L32" s="21">
        <v>0.7547168</v>
      </c>
      <c r="M32" s="22">
        <v>0.0130875474835723</v>
      </c>
      <c r="N32" s="21">
        <v>0.7547168</v>
      </c>
      <c r="O32" s="22">
        <v>0.0071072316407399</v>
      </c>
    </row>
    <row r="33" spans="2:15">
      <c r="B33" s="40" t="s">
        <v>67</v>
      </c>
      <c r="C33" s="41" t="s">
        <v>68</v>
      </c>
      <c r="D33" s="42">
        <v>3.773584</v>
      </c>
      <c r="E33" s="43">
        <v>0.00903075222048056</v>
      </c>
      <c r="F33" s="42">
        <v>0.7547168</v>
      </c>
      <c r="G33" s="43">
        <v>0.00894103789835246</v>
      </c>
      <c r="H33" s="42">
        <v>0.7547168</v>
      </c>
      <c r="I33" s="43">
        <v>0.00722219749591977</v>
      </c>
      <c r="J33" s="42">
        <v>0.7547168</v>
      </c>
      <c r="K33" s="43">
        <v>0.011594523690532</v>
      </c>
      <c r="L33" s="42">
        <v>1.3310778</v>
      </c>
      <c r="M33" s="43">
        <v>0.0230822262229076</v>
      </c>
      <c r="N33" s="42">
        <v>0.1783558</v>
      </c>
      <c r="O33" s="43">
        <v>0.00167959158331904</v>
      </c>
    </row>
    <row r="34" ht="14.25" spans="2:15">
      <c r="B34" s="44" t="s">
        <v>69</v>
      </c>
      <c r="C34" s="44" t="s">
        <v>70</v>
      </c>
      <c r="D34" s="45">
        <v>-52.5427877844716</v>
      </c>
      <c r="E34" s="46">
        <v>-0.125742768003801</v>
      </c>
      <c r="F34" s="45">
        <v>-10.4666448</v>
      </c>
      <c r="G34" s="46">
        <v>-0.123997064627942</v>
      </c>
      <c r="H34" s="45">
        <v>-10.8862825057271</v>
      </c>
      <c r="I34" s="46">
        <v>-0.10417534398696</v>
      </c>
      <c r="J34" s="45">
        <v>-22.1746228679246</v>
      </c>
      <c r="K34" s="46">
        <v>-0.340663133735415</v>
      </c>
      <c r="L34" s="45">
        <v>-4.66194436</v>
      </c>
      <c r="M34" s="46">
        <v>-0.080842798487157</v>
      </c>
      <c r="N34" s="45">
        <v>-4.35329325081994</v>
      </c>
      <c r="O34" s="46">
        <v>-0.0409953290209611</v>
      </c>
    </row>
    <row r="35" ht="14.25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52"/>
  <sheetViews>
    <sheetView zoomScale="130" zoomScaleNormal="130" workbookViewId="0">
      <pane ySplit="8" topLeftCell="A43" activePane="bottomLeft" state="frozen"/>
      <selection/>
      <selection pane="bottomLeft" activeCell="G54" sqref="G54"/>
    </sheetView>
  </sheetViews>
  <sheetFormatPr defaultColWidth="9" defaultRowHeight="13.5" outlineLevelCol="7"/>
  <cols>
    <col min="2" max="3" width="19.6283185840708" customWidth="1"/>
    <col min="4" max="4" width="15.3716814159292" customWidth="1"/>
    <col min="5" max="5" width="10.2477876106195" customWidth="1"/>
    <col min="6" max="6" width="7.12389380530973" customWidth="1"/>
    <col min="7" max="7" width="8.3716814159292" customWidth="1"/>
    <col min="8" max="8" width="8" customWidth="1"/>
  </cols>
  <sheetData>
    <row r="2" spans="2:8">
      <c r="C2" s="1" t="s">
        <v>80</v>
      </c>
      <c r="D2" s="1" t="s">
        <v>71</v>
      </c>
      <c r="E2" s="1" t="s">
        <v>72</v>
      </c>
      <c r="F2" s="1" t="s">
        <v>78</v>
      </c>
    </row>
    <row r="3" spans="2:8">
      <c r="C3" s="1" t="s">
        <v>81</v>
      </c>
      <c r="D3" s="2">
        <v>0.5</v>
      </c>
      <c r="E3" s="2">
        <v>0.3</v>
      </c>
      <c r="F3" s="2">
        <v>0.2</v>
      </c>
    </row>
    <row r="4" spans="2:8">
      <c r="C4" s="1" t="s">
        <v>82</v>
      </c>
      <c r="D4" s="1"/>
      <c r="E4" s="1"/>
      <c r="F4" s="2">
        <v>1</v>
      </c>
    </row>
    <row r="6" spans="2:8">
      <c r="B6" s="3" t="s">
        <v>83</v>
      </c>
      <c r="C6" s="3"/>
      <c r="D6" s="3"/>
      <c r="E6" s="3"/>
      <c r="F6" s="4">
        <v>0.5</v>
      </c>
      <c r="G6" s="4">
        <v>0.3</v>
      </c>
      <c r="H6" s="4">
        <v>0.2</v>
      </c>
    </row>
    <row r="7" spans="2:8">
      <c r="B7" s="3"/>
      <c r="C7" s="5"/>
      <c r="D7" s="5"/>
      <c r="E7" s="6"/>
      <c r="F7" s="7">
        <v>0.5</v>
      </c>
      <c r="G7" s="7">
        <v>0.3</v>
      </c>
      <c r="H7" s="7">
        <v>0.2</v>
      </c>
    </row>
    <row r="8" spans="2:8">
      <c r="B8" s="3" t="s">
        <v>84</v>
      </c>
      <c r="C8" s="5" t="s">
        <v>85</v>
      </c>
      <c r="D8" s="5" t="s">
        <v>86</v>
      </c>
      <c r="E8" s="6" t="s">
        <v>87</v>
      </c>
      <c r="F8" s="7" t="s">
        <v>71</v>
      </c>
      <c r="G8" s="7" t="s">
        <v>72</v>
      </c>
      <c r="H8" s="7" t="s">
        <v>78</v>
      </c>
    </row>
    <row r="9" spans="2:8">
      <c r="B9" s="3">
        <v>1</v>
      </c>
      <c r="C9" s="5" t="s">
        <v>88</v>
      </c>
      <c r="D9" s="8" t="s">
        <v>89</v>
      </c>
      <c r="E9" s="6">
        <v>100267.64</v>
      </c>
      <c r="F9" s="7">
        <v>50133.82</v>
      </c>
      <c r="G9" s="7">
        <v>30080.292</v>
      </c>
      <c r="H9" s="9">
        <v>20053.528</v>
      </c>
    </row>
    <row r="10" spans="2:8">
      <c r="B10" s="3"/>
      <c r="C10" s="5" t="s">
        <v>90</v>
      </c>
      <c r="D10" s="5" t="s">
        <v>29</v>
      </c>
      <c r="E10" s="6">
        <v>16981.13</v>
      </c>
      <c r="F10" s="7"/>
      <c r="G10" s="7"/>
      <c r="H10" s="7"/>
    </row>
    <row r="11" spans="2:8">
      <c r="B11" s="3"/>
      <c r="C11" s="5" t="s">
        <v>91</v>
      </c>
      <c r="D11" s="5" t="s">
        <v>92</v>
      </c>
      <c r="E11" s="6">
        <v>9433.96</v>
      </c>
      <c r="F11" s="7">
        <v>4716.98</v>
      </c>
      <c r="G11" s="7">
        <v>2830.188</v>
      </c>
      <c r="H11" s="7">
        <v>1886.792</v>
      </c>
    </row>
    <row r="12" spans="2:8">
      <c r="B12" s="3"/>
      <c r="C12" s="5"/>
      <c r="D12" s="8" t="s">
        <v>93</v>
      </c>
      <c r="E12" s="10">
        <v>9433.96</v>
      </c>
      <c r="F12" s="9">
        <v>4716.98</v>
      </c>
      <c r="G12" s="9">
        <v>2830.188</v>
      </c>
      <c r="H12" s="9">
        <v>1886.792</v>
      </c>
    </row>
    <row r="13" spans="2:8">
      <c r="B13" s="3"/>
      <c r="C13" s="5"/>
      <c r="D13" s="8" t="s">
        <v>31</v>
      </c>
      <c r="E13" s="10">
        <v>119272.76</v>
      </c>
      <c r="F13" s="9"/>
      <c r="G13" s="9"/>
      <c r="H13" s="9">
        <f>E13</f>
        <v>119272.76</v>
      </c>
    </row>
    <row r="14" spans="2:8">
      <c r="B14" s="3"/>
      <c r="C14" s="5" t="s">
        <v>94</v>
      </c>
      <c r="D14" s="5" t="s">
        <v>92</v>
      </c>
      <c r="E14" s="6">
        <v>84905.66</v>
      </c>
      <c r="F14" s="7">
        <v>42452.83</v>
      </c>
      <c r="G14" s="7">
        <v>25471.698</v>
      </c>
      <c r="H14" s="7">
        <v>16981.132</v>
      </c>
    </row>
    <row r="15" spans="2:8">
      <c r="B15" s="3"/>
      <c r="C15" s="5"/>
      <c r="D15" s="5" t="s">
        <v>33</v>
      </c>
      <c r="E15" s="6">
        <v>23773.58</v>
      </c>
      <c r="F15" s="7">
        <v>11886.79</v>
      </c>
      <c r="G15" s="7">
        <v>7132.074</v>
      </c>
      <c r="H15" s="7">
        <v>4754.716</v>
      </c>
    </row>
    <row r="16" spans="2:8">
      <c r="B16" s="3"/>
      <c r="C16" s="5"/>
      <c r="D16" s="5" t="s">
        <v>31</v>
      </c>
      <c r="E16" s="6">
        <v>8361.99</v>
      </c>
      <c r="F16" s="7"/>
      <c r="G16" s="7"/>
      <c r="H16" s="7">
        <f>E16</f>
        <v>8361.99</v>
      </c>
    </row>
    <row r="17" spans="2:8">
      <c r="B17" s="3"/>
      <c r="C17" s="5"/>
      <c r="D17" s="5" t="s">
        <v>95</v>
      </c>
      <c r="E17" s="6">
        <v>118300</v>
      </c>
      <c r="F17" s="7">
        <v>59150</v>
      </c>
      <c r="G17" s="7">
        <v>35490</v>
      </c>
      <c r="H17" s="7">
        <v>23660</v>
      </c>
    </row>
    <row r="18" spans="2:8">
      <c r="B18" s="3">
        <v>2</v>
      </c>
      <c r="C18" s="5" t="s">
        <v>88</v>
      </c>
      <c r="D18" s="5" t="s">
        <v>89</v>
      </c>
      <c r="E18" s="6">
        <v>112303.8</v>
      </c>
      <c r="F18" s="7">
        <v>56151.9</v>
      </c>
      <c r="G18" s="7">
        <v>33691.14</v>
      </c>
      <c r="H18" s="7">
        <v>22460.76</v>
      </c>
    </row>
    <row r="19" spans="2:8">
      <c r="B19" s="3"/>
      <c r="C19" s="5" t="s">
        <v>90</v>
      </c>
      <c r="D19" s="5" t="s">
        <v>29</v>
      </c>
      <c r="E19" s="6">
        <v>16981.13</v>
      </c>
      <c r="F19" s="7"/>
      <c r="G19" s="7"/>
      <c r="H19" s="7"/>
    </row>
    <row r="20" spans="2:8">
      <c r="B20" s="3"/>
      <c r="C20" s="5" t="s">
        <v>91</v>
      </c>
      <c r="D20" s="5" t="s">
        <v>92</v>
      </c>
      <c r="E20" s="6">
        <v>18867.92</v>
      </c>
      <c r="F20" s="7">
        <v>9433.96</v>
      </c>
      <c r="G20" s="7">
        <v>5660.376</v>
      </c>
      <c r="H20" s="7">
        <v>3773.584</v>
      </c>
    </row>
    <row r="21" spans="2:8">
      <c r="B21" s="3"/>
      <c r="C21" s="5"/>
      <c r="D21" s="5" t="s">
        <v>93</v>
      </c>
      <c r="E21" s="6">
        <v>9433.96</v>
      </c>
      <c r="F21" s="7">
        <v>4716.98</v>
      </c>
      <c r="G21" s="7">
        <v>2830.188</v>
      </c>
      <c r="H21" s="7">
        <v>1886.792</v>
      </c>
    </row>
    <row r="22" spans="2:8">
      <c r="B22" s="3"/>
      <c r="C22" s="5"/>
      <c r="D22" s="5" t="s">
        <v>31</v>
      </c>
      <c r="E22" s="6">
        <v>122641.51</v>
      </c>
      <c r="F22" s="7"/>
      <c r="G22" s="7"/>
      <c r="H22" s="7">
        <f>E22</f>
        <v>122641.51</v>
      </c>
    </row>
    <row r="23" spans="2:8">
      <c r="B23" s="3"/>
      <c r="C23" s="5" t="s">
        <v>94</v>
      </c>
      <c r="D23" s="5" t="s">
        <v>92</v>
      </c>
      <c r="E23" s="6">
        <v>75471.7</v>
      </c>
      <c r="F23" s="7">
        <v>37735.85</v>
      </c>
      <c r="G23" s="7">
        <v>22641.51</v>
      </c>
      <c r="H23" s="7">
        <v>15094.34</v>
      </c>
    </row>
    <row r="24" spans="2:8">
      <c r="B24" s="3"/>
      <c r="C24" s="5"/>
      <c r="D24" s="5" t="s">
        <v>33</v>
      </c>
      <c r="E24" s="6">
        <v>27358.49</v>
      </c>
      <c r="F24" s="7">
        <v>13679.245</v>
      </c>
      <c r="G24" s="7">
        <v>8207.547</v>
      </c>
      <c r="H24" s="7">
        <v>5471.698</v>
      </c>
    </row>
    <row r="25" spans="2:8">
      <c r="B25" s="3"/>
      <c r="C25" s="5"/>
      <c r="D25" s="5" t="s">
        <v>31</v>
      </c>
      <c r="E25" s="6">
        <v>22061.72</v>
      </c>
      <c r="F25" s="7"/>
      <c r="G25" s="7"/>
      <c r="H25" s="7">
        <f>E25</f>
        <v>22061.72</v>
      </c>
    </row>
    <row r="26" spans="2:8">
      <c r="B26" s="3"/>
      <c r="C26" s="5"/>
      <c r="D26" s="5" t="s">
        <v>95</v>
      </c>
      <c r="E26" s="6">
        <v>137391</v>
      </c>
      <c r="F26" s="7">
        <v>68695.5</v>
      </c>
      <c r="G26" s="7">
        <v>41217.3</v>
      </c>
      <c r="H26" s="7">
        <v>27478.2</v>
      </c>
    </row>
    <row r="27" spans="2:8">
      <c r="B27" s="3">
        <v>3</v>
      </c>
      <c r="C27" s="5" t="s">
        <v>88</v>
      </c>
      <c r="D27" s="5" t="s">
        <v>89</v>
      </c>
      <c r="E27" s="6">
        <v>130816.28</v>
      </c>
      <c r="F27" s="7">
        <v>65408.14</v>
      </c>
      <c r="G27" s="7">
        <v>39244.884</v>
      </c>
      <c r="H27" s="7">
        <v>26163.256</v>
      </c>
    </row>
    <row r="28" spans="2:8">
      <c r="B28" s="3"/>
      <c r="C28" s="5" t="s">
        <v>90</v>
      </c>
      <c r="D28" s="5" t="s">
        <v>29</v>
      </c>
      <c r="E28" s="6">
        <v>16981.13</v>
      </c>
      <c r="F28" s="7"/>
      <c r="G28" s="7"/>
      <c r="H28" s="7"/>
    </row>
    <row r="29" spans="2:8">
      <c r="B29" s="3"/>
      <c r="C29" s="5" t="s">
        <v>91</v>
      </c>
      <c r="D29" s="5" t="s">
        <v>92</v>
      </c>
      <c r="E29" s="6">
        <v>18867.92</v>
      </c>
      <c r="F29" s="7">
        <v>9433.96</v>
      </c>
      <c r="G29" s="7">
        <v>5660.376</v>
      </c>
      <c r="H29" s="7">
        <v>3773.584</v>
      </c>
    </row>
    <row r="30" spans="2:8">
      <c r="B30" s="3"/>
      <c r="C30" s="5"/>
      <c r="D30" s="5" t="s">
        <v>31</v>
      </c>
      <c r="E30" s="6">
        <v>122641.51</v>
      </c>
      <c r="F30" s="7"/>
      <c r="G30" s="7"/>
      <c r="H30" s="7">
        <f>E30</f>
        <v>122641.51</v>
      </c>
    </row>
    <row r="31" spans="2:8">
      <c r="B31" s="3"/>
      <c r="C31" s="5" t="s">
        <v>94</v>
      </c>
      <c r="D31" s="5" t="s">
        <v>92</v>
      </c>
      <c r="E31" s="6">
        <v>75471.7</v>
      </c>
      <c r="F31" s="7">
        <v>37735.85</v>
      </c>
      <c r="G31" s="7">
        <v>22641.51</v>
      </c>
      <c r="H31" s="7">
        <v>15094.34</v>
      </c>
    </row>
    <row r="32" spans="2:8">
      <c r="B32" s="3"/>
      <c r="C32" s="5"/>
      <c r="D32" s="5" t="s">
        <v>93</v>
      </c>
      <c r="E32" s="6">
        <v>9433.96</v>
      </c>
      <c r="F32" s="7">
        <v>4716.98</v>
      </c>
      <c r="G32" s="7">
        <v>2830.188</v>
      </c>
      <c r="H32" s="7">
        <v>1886.792</v>
      </c>
    </row>
    <row r="33" spans="2:8">
      <c r="B33" s="3"/>
      <c r="C33" s="5"/>
      <c r="D33" s="5" t="s">
        <v>33</v>
      </c>
      <c r="E33" s="6">
        <v>27358.49</v>
      </c>
      <c r="F33" s="7">
        <v>13679.245</v>
      </c>
      <c r="G33" s="7">
        <v>8207.547</v>
      </c>
      <c r="H33" s="7">
        <v>5471.698</v>
      </c>
    </row>
    <row r="34" spans="2:8">
      <c r="B34" s="3"/>
      <c r="C34" s="5"/>
      <c r="D34" s="5" t="s">
        <v>31</v>
      </c>
      <c r="E34" s="6">
        <v>24449.66</v>
      </c>
      <c r="F34" s="7"/>
      <c r="G34" s="7"/>
      <c r="H34" s="7">
        <f>E34</f>
        <v>24449.66</v>
      </c>
    </row>
    <row r="35" spans="2:8">
      <c r="B35" s="3"/>
      <c r="C35" s="5"/>
      <c r="D35" s="5" t="s">
        <v>95</v>
      </c>
      <c r="E35" s="6">
        <v>113238</v>
      </c>
      <c r="F35" s="7">
        <v>56619</v>
      </c>
      <c r="G35" s="7">
        <v>33971.4</v>
      </c>
      <c r="H35" s="7">
        <v>22647.6</v>
      </c>
    </row>
    <row r="36" spans="2:8">
      <c r="B36" s="3">
        <v>4</v>
      </c>
      <c r="C36" s="5" t="s">
        <v>88</v>
      </c>
      <c r="D36" s="5" t="s">
        <v>89</v>
      </c>
      <c r="E36" s="6">
        <v>131089.59245283</v>
      </c>
      <c r="F36" s="7">
        <v>65544.796226415</v>
      </c>
      <c r="G36" s="7">
        <v>39326.877735849</v>
      </c>
      <c r="H36" s="7">
        <v>26217.918490566</v>
      </c>
    </row>
    <row r="37" spans="2:8">
      <c r="B37" s="3"/>
      <c r="C37" s="5" t="s">
        <v>90</v>
      </c>
      <c r="D37" s="5" t="s">
        <v>29</v>
      </c>
      <c r="E37" s="6">
        <v>16981.13</v>
      </c>
      <c r="F37" s="7"/>
      <c r="G37" s="7"/>
      <c r="H37" s="7"/>
    </row>
    <row r="38" spans="2:8">
      <c r="B38" s="3"/>
      <c r="C38" s="5" t="s">
        <v>91</v>
      </c>
      <c r="D38" s="5" t="s">
        <v>92</v>
      </c>
      <c r="E38" s="6">
        <v>18867.92</v>
      </c>
      <c r="F38" s="7">
        <v>9433.96</v>
      </c>
      <c r="G38" s="7">
        <v>5660.376</v>
      </c>
      <c r="H38" s="7">
        <v>3773.584</v>
      </c>
    </row>
    <row r="39" spans="2:8">
      <c r="B39" s="3"/>
      <c r="C39" s="5"/>
      <c r="D39" s="5" t="s">
        <v>31</v>
      </c>
      <c r="E39" s="6">
        <v>148211.11</v>
      </c>
      <c r="F39" s="7"/>
      <c r="G39" s="7"/>
      <c r="H39" s="7">
        <f>E39</f>
        <v>148211.11</v>
      </c>
    </row>
    <row r="40" spans="2:8">
      <c r="B40" s="3"/>
      <c r="C40" s="5" t="s">
        <v>94</v>
      </c>
      <c r="D40" s="5" t="s">
        <v>92</v>
      </c>
      <c r="E40" s="6">
        <v>75471.7</v>
      </c>
      <c r="F40" s="7">
        <v>37735.85</v>
      </c>
      <c r="G40" s="7">
        <v>22641.51</v>
      </c>
      <c r="H40" s="7">
        <v>15094.34</v>
      </c>
    </row>
    <row r="41" spans="2:8">
      <c r="B41" s="3"/>
      <c r="C41" s="5"/>
      <c r="D41" s="5" t="s">
        <v>93</v>
      </c>
      <c r="E41" s="6">
        <v>9433.96</v>
      </c>
      <c r="F41" s="7">
        <v>4716.98</v>
      </c>
      <c r="G41" s="7">
        <v>2830.188</v>
      </c>
      <c r="H41" s="7">
        <v>1886.792</v>
      </c>
    </row>
    <row r="42" spans="2:8">
      <c r="B42" s="3"/>
      <c r="C42" s="5"/>
      <c r="D42" s="5" t="s">
        <v>33</v>
      </c>
      <c r="E42" s="6">
        <v>23066.05</v>
      </c>
      <c r="F42" s="7">
        <v>11533.025</v>
      </c>
      <c r="G42" s="7">
        <v>6919.815</v>
      </c>
      <c r="H42" s="7">
        <v>4613.21</v>
      </c>
    </row>
    <row r="43" spans="2:8">
      <c r="B43" s="3"/>
      <c r="C43" s="5"/>
      <c r="D43" s="5" t="s">
        <v>31</v>
      </c>
      <c r="E43" s="6">
        <v>-24449.66</v>
      </c>
      <c r="F43" s="7"/>
      <c r="G43" s="7"/>
      <c r="H43" s="7">
        <f>E43</f>
        <v>-24449.66</v>
      </c>
    </row>
    <row r="44" spans="2:8">
      <c r="B44" s="3"/>
      <c r="C44" s="5"/>
      <c r="D44" s="5" t="s">
        <v>95</v>
      </c>
      <c r="E44" s="6">
        <v>18985</v>
      </c>
      <c r="F44" s="7">
        <v>9492.5</v>
      </c>
      <c r="G44" s="7">
        <v>5695.5</v>
      </c>
      <c r="H44" s="7">
        <v>3797</v>
      </c>
    </row>
    <row r="45" spans="2:8">
      <c r="B45" s="3">
        <v>5</v>
      </c>
      <c r="C45" s="5" t="s">
        <v>88</v>
      </c>
      <c r="D45" s="5" t="s">
        <v>89</v>
      </c>
      <c r="E45" s="6">
        <v>184290.15245283</v>
      </c>
      <c r="F45" s="7">
        <v>92145.076226415</v>
      </c>
      <c r="G45" s="7">
        <v>55287.045735849</v>
      </c>
      <c r="H45" s="7">
        <v>36858.030490566</v>
      </c>
    </row>
    <row r="46" spans="2:8">
      <c r="B46" s="3"/>
      <c r="C46" s="5" t="s">
        <v>90</v>
      </c>
      <c r="D46" s="5" t="s">
        <v>29</v>
      </c>
      <c r="E46" s="6">
        <v>16981.13</v>
      </c>
      <c r="F46" s="7"/>
      <c r="G46" s="7"/>
      <c r="H46" s="7"/>
    </row>
    <row r="47" spans="2:8">
      <c r="B47" s="3"/>
      <c r="C47" s="5" t="s">
        <v>91</v>
      </c>
      <c r="D47" s="5" t="s">
        <v>92</v>
      </c>
      <c r="E47" s="6">
        <v>14150.94</v>
      </c>
      <c r="F47" s="7">
        <v>7075.47</v>
      </c>
      <c r="G47" s="7">
        <v>4245.282</v>
      </c>
      <c r="H47" s="7">
        <v>2830.188</v>
      </c>
    </row>
    <row r="48" spans="2:8">
      <c r="B48" s="3"/>
      <c r="C48" s="5"/>
      <c r="D48" s="5" t="s">
        <v>31</v>
      </c>
      <c r="E48" s="6">
        <v>104605.61</v>
      </c>
      <c r="F48" s="7"/>
      <c r="G48" s="7"/>
      <c r="H48" s="7">
        <f>E48</f>
        <v>104605.61</v>
      </c>
    </row>
    <row r="49" spans="2:8">
      <c r="B49" s="3"/>
      <c r="C49" s="5" t="s">
        <v>94</v>
      </c>
      <c r="D49" s="5" t="s">
        <v>92</v>
      </c>
      <c r="E49" s="6">
        <v>80188.68</v>
      </c>
      <c r="F49" s="7">
        <v>40094.34</v>
      </c>
      <c r="G49" s="7">
        <v>24056.604</v>
      </c>
      <c r="H49" s="7">
        <v>16037.736</v>
      </c>
    </row>
    <row r="50" spans="2:8">
      <c r="B50" s="3"/>
      <c r="C50" s="5"/>
      <c r="D50" s="5" t="s">
        <v>93</v>
      </c>
      <c r="E50" s="6">
        <v>9433.96</v>
      </c>
      <c r="F50" s="7">
        <v>4716.98</v>
      </c>
      <c r="G50" s="7">
        <v>2830.188</v>
      </c>
      <c r="H50" s="7">
        <v>1886.792</v>
      </c>
    </row>
    <row r="51" spans="2:8">
      <c r="B51" s="3"/>
      <c r="C51" s="5"/>
      <c r="D51" s="5" t="s">
        <v>33</v>
      </c>
      <c r="E51" s="6">
        <v>10188.68</v>
      </c>
      <c r="F51" s="7">
        <v>5094.34</v>
      </c>
      <c r="G51" s="7">
        <v>3056.604</v>
      </c>
      <c r="H51" s="7">
        <v>2037.736</v>
      </c>
    </row>
    <row r="52" spans="2:8">
      <c r="D52" t="s">
        <v>95</v>
      </c>
      <c r="E52">
        <v>147982</v>
      </c>
      <c r="F52">
        <v>73991</v>
      </c>
      <c r="G52">
        <v>44394.6</v>
      </c>
      <c r="H52">
        <v>29596.4</v>
      </c>
    </row>
  </sheetData>
  <autoFilter xmlns:etc="http://www.wps.cn/officeDocument/2017/etCustomData" ref="B8:H52" etc:filterBottomFollowUsedRange="0">
    <extLst/>
  </autoFilter>
  <mergeCells count="1">
    <mergeCell ref="B6:E6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26年管报%20-绿雪芽0618%20V2-费用分摊版%20天猫0.5%20自营0.3%20抖音0.2.xlsx" FileId="533043151346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整体</vt:lpstr>
      <vt:lpstr>天猫</vt:lpstr>
      <vt:lpstr>京东自营</vt:lpstr>
      <vt:lpstr>京东POP+其他</vt:lpstr>
      <vt:lpstr>抖音</vt:lpstr>
      <vt:lpstr>其他渠道汇总</vt:lpstr>
      <vt:lpstr>渠道费用拆解逻辑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11420</dc:creator>
  <cp:lastModifiedBy>豆豆</cp:lastModifiedBy>
  <dcterms:created xsi:type="dcterms:W3CDTF">2026-06-18T02:24:00Z</dcterms:created>
  <dcterms:modified xsi:type="dcterms:W3CDTF">2026-06-22T11:04:00Z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E61348FE3161414CA0B8514D6D41B049_11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