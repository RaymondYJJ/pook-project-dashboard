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780"/>
  </bookViews>
  <sheets>
    <sheet name="日报" sheetId="8" r:id="rId1"/>
    <sheet name="复盘" sheetId="24" state="hidden" r:id="rId2"/>
    <sheet name="营销场景数据源" sheetId="17" r:id="rId3"/>
    <sheet name="商品数据源" sheetId="18" r:id="rId4"/>
    <sheet name="VLOOKUP" sheetId="3" r:id="rId5"/>
    <sheet name="会议记录留存" sheetId="19" state="hidden" r:id="rId6"/>
    <sheet name="周报" sheetId="11" state="hidden" r:id="rId7"/>
  </sheets>
  <definedNames>
    <definedName name="_xlnm._FilterDatabase" localSheetId="3" hidden="1">商品数据源!$A$1:$BX$718</definedName>
    <definedName name="_xlnm._FilterDatabase" localSheetId="2" hidden="1">营销场景数据源!$A$1:$BQ$109</definedName>
    <definedName name="_xlnm._FilterDatabase" localSheetId="4" hidden="1">VLOOKUP!$A$1:$C$66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Pook</author>
  </authors>
  <commentList>
    <comment ref="DG23" authorId="0">
      <text>
        <r>
          <rPr>
            <b/>
            <sz val="9"/>
            <rFont val="宋体"/>
            <charset val="134"/>
          </rPr>
          <t>Pook:</t>
        </r>
        <r>
          <rPr>
            <sz val="9"/>
            <rFont val="宋体"/>
            <charset val="134"/>
          </rPr>
          <t xml:space="preserve">
1、早晚安香加入关键词推广，以及人群推广。</t>
        </r>
      </text>
    </comment>
  </commentList>
</comments>
</file>

<file path=xl/sharedStrings.xml><?xml version="1.0" encoding="utf-8"?>
<sst xmlns="http://schemas.openxmlformats.org/spreadsheetml/2006/main" count="3719" uniqueCount="205">
  <si>
    <t>太樾旗舰店推广报表</t>
  </si>
  <si>
    <t>目标ROI</t>
  </si>
  <si>
    <t>渠道</t>
  </si>
  <si>
    <t>日期</t>
  </si>
  <si>
    <t>12月总计</t>
  </si>
  <si>
    <t>1月总计</t>
  </si>
  <si>
    <t>2月总计</t>
  </si>
  <si>
    <t>3月总计</t>
  </si>
  <si>
    <t>4月总计</t>
  </si>
  <si>
    <t>5月总计</t>
  </si>
  <si>
    <t>6月总计</t>
  </si>
  <si>
    <t>推广汇总</t>
  </si>
  <si>
    <t>花费</t>
  </si>
  <si>
    <t>实际ROI
(除品销宝)</t>
  </si>
  <si>
    <t>ROI</t>
  </si>
  <si>
    <t>店铺销售额</t>
  </si>
  <si>
    <t>费率</t>
  </si>
  <si>
    <t>花费(除淘宝客)</t>
  </si>
  <si>
    <t>费率(除淘宝客)</t>
  </si>
  <si>
    <t>ROI(含品销宝)</t>
  </si>
  <si>
    <t>店铺GMV</t>
  </si>
  <si>
    <t>点击量</t>
  </si>
  <si>
    <t>点击单价</t>
  </si>
  <si>
    <t>总购物车数</t>
  </si>
  <si>
    <t>加购成本</t>
  </si>
  <si>
    <t>总成交量</t>
  </si>
  <si>
    <t>总成交金额</t>
  </si>
  <si>
    <t>推广成交占比</t>
  </si>
  <si>
    <t>加购率</t>
  </si>
  <si>
    <t>点击转化率</t>
  </si>
  <si>
    <t>加购转化率</t>
  </si>
  <si>
    <t>目标费率</t>
  </si>
  <si>
    <t>关键词推广</t>
  </si>
  <si>
    <t>实际费率</t>
  </si>
  <si>
    <t>目标销售占比</t>
  </si>
  <si>
    <t>实际销售占比</t>
  </si>
  <si>
    <t>费用占比</t>
  </si>
  <si>
    <t>人群推广</t>
  </si>
  <si>
    <t>货品全站推广</t>
  </si>
  <si>
    <t>店铺直达</t>
  </si>
  <si>
    <t>超级短视频</t>
  </si>
  <si>
    <t>超级直播</t>
  </si>
  <si>
    <t>荔枝香</t>
  </si>
  <si>
    <t>四季线香</t>
  </si>
  <si>
    <t>如意盘香</t>
  </si>
  <si>
    <t>太樾归真</t>
  </si>
  <si>
    <t>车载香薰</t>
  </si>
  <si>
    <t>单盒线香合集</t>
  </si>
  <si>
    <t>TTL</t>
  </si>
  <si>
    <t>单品费用合计</t>
  </si>
  <si>
    <t>渠道费用合计</t>
  </si>
  <si>
    <t>一、渠道数据</t>
  </si>
  <si>
    <r>
      <rPr>
        <sz val="11"/>
        <color theme="1"/>
        <rFont val="微软雅黑"/>
        <charset val="134"/>
      </rPr>
      <t xml:space="preserve">整体渠道策略方向（数据时间1.1-3.24）
</t>
    </r>
    <r>
      <rPr>
        <b/>
        <sz val="11"/>
        <color theme="1"/>
        <rFont val="微软雅黑"/>
        <charset val="134"/>
      </rPr>
      <t>短视频种草引流拉新，全站推广聚焦单品投放，关键词低价引流策略，提升ROI效率
1、</t>
    </r>
    <r>
      <rPr>
        <sz val="11"/>
        <color theme="1"/>
        <rFont val="微软雅黑"/>
        <charset val="134"/>
      </rPr>
      <t>一月通投渠道，以短视频渠道为主，全站推广为辅助，精准人群推广基于效率不如全站单品他推广选择关闭，尝试关键词推广渠道进行低价引流。</t>
    </r>
    <r>
      <rPr>
        <b/>
        <sz val="11"/>
        <color theme="1"/>
        <rFont val="微软雅黑"/>
        <charset val="134"/>
      </rPr>
      <t xml:space="preserve">
2、</t>
    </r>
    <r>
      <rPr>
        <sz val="11"/>
        <color theme="1"/>
        <rFont val="微软雅黑"/>
        <charset val="134"/>
      </rPr>
      <t>二月优化渠道，渠道聚焦单品投放，短视频渠道辅助曝光。关键词渠道投放效率逐步优化，整体ROI达到10.36.</t>
    </r>
    <r>
      <rPr>
        <b/>
        <sz val="11"/>
        <color theme="1"/>
        <rFont val="微软雅黑"/>
        <charset val="134"/>
      </rPr>
      <t xml:space="preserve">
3、</t>
    </r>
    <r>
      <rPr>
        <sz val="11"/>
        <color theme="1"/>
        <rFont val="微软雅黑"/>
        <charset val="134"/>
      </rPr>
      <t>三月基于新品视频测试，增加新品视频费用，整体费用趋向短视频渠道种草曝光，关键词推广以及全站推广进行流量衔接。</t>
    </r>
  </si>
  <si>
    <t>TTL渠道数据</t>
  </si>
  <si>
    <t>展现量</t>
  </si>
  <si>
    <t>总成交笔数</t>
  </si>
  <si>
    <t>点击率</t>
  </si>
  <si>
    <t>转化率</t>
  </si>
  <si>
    <t>CPC</t>
  </si>
  <si>
    <t>roi</t>
  </si>
  <si>
    <t>客单价</t>
  </si>
  <si>
    <t>精准人群推广</t>
  </si>
  <si>
    <t>总计</t>
  </si>
  <si>
    <t>一月渠道数据</t>
  </si>
  <si>
    <t>2月渠道数据</t>
  </si>
  <si>
    <t>3月渠道数据</t>
  </si>
  <si>
    <t>二、单品数据</t>
  </si>
  <si>
    <r>
      <rPr>
        <sz val="11"/>
        <color theme="1"/>
        <rFont val="微软雅黑"/>
        <charset val="134"/>
      </rPr>
      <t xml:space="preserve">整体单品策略方向（数据时间1.1-3.24）
</t>
    </r>
    <r>
      <rPr>
        <b/>
        <sz val="11"/>
        <color theme="1"/>
        <rFont val="微软雅黑"/>
        <charset val="134"/>
      </rPr>
      <t>聚焦潜力单品，以ROI效率为主导放大费用。
1、一月通投单品，重点投放如意盘香，四季线香，车载香薰，进行多单品测试，效率提升，初步筛选出效率单品。
2、</t>
    </r>
    <r>
      <rPr>
        <sz val="11"/>
        <color theme="1"/>
        <rFont val="微软雅黑"/>
        <charset val="134"/>
      </rPr>
      <t>二月重点投放如意盘香。剔除四季线香，以及车载香薰，</t>
    </r>
    <r>
      <rPr>
        <b/>
        <sz val="11"/>
        <color theme="1"/>
        <rFont val="微软雅黑"/>
        <charset val="134"/>
      </rPr>
      <t>将投放转移至如意盘香效率最佳单品，且优化关键词渠道，用低价引流方式给福到、福颜青、奇楠手串、天宫赐福进行低价引流。
3、</t>
    </r>
    <r>
      <rPr>
        <sz val="11"/>
        <color theme="1"/>
        <rFont val="微软雅黑"/>
        <charset val="134"/>
      </rPr>
      <t>三月重点全站投放如意盘香，并且基于店铺运营销售建议，增加荔枝香投放，基于关键词单品引流效率较优，持续对福到、福颜青、奇楠手串，进行低价引流。
结论：
整个Q1推广完成了单品筛选-效率优化-单品效率放量动作，筛选了产品</t>
    </r>
    <r>
      <rPr>
        <b/>
        <sz val="11"/>
        <color theme="1"/>
        <rFont val="微软雅黑"/>
        <charset val="134"/>
      </rPr>
      <t>如意盘香进行核心单品投放。</t>
    </r>
  </si>
  <si>
    <t>汇总</t>
  </si>
  <si>
    <t>产品名称</t>
  </si>
  <si>
    <t>福到</t>
  </si>
  <si>
    <t>福颜青</t>
  </si>
  <si>
    <t>奇楠手串</t>
  </si>
  <si>
    <t>天官赐福</t>
  </si>
  <si>
    <t>鹅梨帐中香</t>
  </si>
  <si>
    <t>一月单品</t>
  </si>
  <si>
    <t>二月单品</t>
  </si>
  <si>
    <t>三月单品</t>
  </si>
  <si>
    <t>场景ID</t>
  </si>
  <si>
    <t>场景名字</t>
  </si>
  <si>
    <t>原二级场景ID</t>
  </si>
  <si>
    <t>原二级场景名字</t>
  </si>
  <si>
    <t>平均点击花费</t>
  </si>
  <si>
    <t>千次展现花费</t>
  </si>
  <si>
    <t>总预售成交金额</t>
  </si>
  <si>
    <t>总预售成交笔数</t>
  </si>
  <si>
    <t>直接预售成交金额</t>
  </si>
  <si>
    <t>直接预售成交笔数</t>
  </si>
  <si>
    <t>间接预售成交金额</t>
  </si>
  <si>
    <t>间接预售成交笔数</t>
  </si>
  <si>
    <t>直接成交金额</t>
  </si>
  <si>
    <t>间接成交金额</t>
  </si>
  <si>
    <t>直接成交笔数</t>
  </si>
  <si>
    <t>间接成交笔数</t>
  </si>
  <si>
    <t>投入产出比</t>
  </si>
  <si>
    <t>含预售投产比</t>
  </si>
  <si>
    <t>总成交成本</t>
  </si>
  <si>
    <t>直接购物车数</t>
  </si>
  <si>
    <t>间接购物车数</t>
  </si>
  <si>
    <t>收藏宝贝数</t>
  </si>
  <si>
    <t>收藏店铺数</t>
  </si>
  <si>
    <t>店铺收藏成本</t>
  </si>
  <si>
    <t>总收藏加购数</t>
  </si>
  <si>
    <t>总收藏加购成本</t>
  </si>
  <si>
    <t>宝贝收藏加购数</t>
  </si>
  <si>
    <t>宝贝收藏加购成本</t>
  </si>
  <si>
    <t>总收藏数</t>
  </si>
  <si>
    <t>宝贝收藏成本</t>
  </si>
  <si>
    <t>宝贝收藏率</t>
  </si>
  <si>
    <t>拍下订单笔数</t>
  </si>
  <si>
    <t>拍下订单金额</t>
  </si>
  <si>
    <t>直接收藏宝贝数</t>
  </si>
  <si>
    <t>间接收藏宝贝数</t>
  </si>
  <si>
    <t>优惠券领取量</t>
  </si>
  <si>
    <t>购物金充值笔数</t>
  </si>
  <si>
    <t>购物金充值金额</t>
  </si>
  <si>
    <t>旺旺咨询量</t>
  </si>
  <si>
    <t>引导访问量</t>
  </si>
  <si>
    <t>引导访问人数</t>
  </si>
  <si>
    <t>引导访问潜客数</t>
  </si>
  <si>
    <t>引导访问潜客占比</t>
  </si>
  <si>
    <t>入会率</t>
  </si>
  <si>
    <t>入会量</t>
  </si>
  <si>
    <t>引导访问率</t>
  </si>
  <si>
    <t>深度访问量</t>
  </si>
  <si>
    <t>平均访问页面数</t>
  </si>
  <si>
    <t>成交新客数</t>
  </si>
  <si>
    <t>成交新客占比</t>
  </si>
  <si>
    <t>会员首购人数</t>
  </si>
  <si>
    <t>会员成交金额</t>
  </si>
  <si>
    <t>会员成交笔数</t>
  </si>
  <si>
    <t>成交人数</t>
  </si>
  <si>
    <t>人均成交笔数</t>
  </si>
  <si>
    <t>人均成交金额</t>
  </si>
  <si>
    <t>自然流量转化金额</t>
  </si>
  <si>
    <t>自然流量曝光量</t>
  </si>
  <si>
    <t>平台补贴金额</t>
  </si>
  <si>
    <t>补贴引导成交金额</t>
  </si>
  <si>
    <t>发券补贴商品个数</t>
  </si>
  <si>
    <t>补贴引导成交人数</t>
  </si>
  <si>
    <t>产品名称(禁止改动)</t>
  </si>
  <si>
    <t>主体ID</t>
  </si>
  <si>
    <t>主体类型</t>
  </si>
  <si>
    <t>主体名称</t>
  </si>
  <si>
    <t>平台助推总成交</t>
  </si>
  <si>
    <t>平台助推直接成交</t>
  </si>
  <si>
    <t>平台助推点击</t>
  </si>
  <si>
    <t>宝贝优惠券抵扣金额</t>
  </si>
  <si>
    <t>宝贝优惠券撬动总成交</t>
  </si>
  <si>
    <t>宝贝优惠券撬动直接成交</t>
  </si>
  <si>
    <t>宝贝优惠券撬动点击</t>
  </si>
  <si>
    <t>商品</t>
  </si>
  <si>
    <t>太樾沉香【福到】文玩多圈文玩手串国香奇楠手串</t>
  </si>
  <si>
    <t>太樾无粘粉次抛天然奇楠沉香如意盘香礼盒家用卧室熏香便携6片装</t>
  </si>
  <si>
    <t>太樾福颜青双圈国香奇楠手串天然老料沉香手链青金石男女款送礼</t>
  </si>
  <si>
    <t>太樾沉香鹅梨帐中香线香香薰香插檀香室内家用持久房间助睡眠熏香</t>
  </si>
  <si>
    <t>太樾荔枝西瓜线香礼盒冥想伴睡香薰家用室内香插天然持久伴手礼</t>
  </si>
  <si>
    <t>太樾荔枝香线香礼盒生日礼物冥想伴睡香薰家用室内香插天然持久</t>
  </si>
  <si>
    <t>太樾无粘粉次抛天然沉香奇楠如意盘香礼盒家用卧室熏香便携6片装</t>
  </si>
  <si>
    <t>太樾天然奇楠沉香手串正品送礼男女老料木佛珠单圈过手留香翡翠</t>
  </si>
  <si>
    <t>太樾天官赐福国香奇楠手串单圈女士款文玩手串礼盒装收藏送伴手礼</t>
  </si>
  <si>
    <t>太樾沉香四季线香中式手工香卧室香薰睡眠香氛天然熏香家用伴手礼</t>
  </si>
  <si>
    <t>太樾沉香车载香薰器二代套装 天然沉香含香片香薰机礼盒内饰车用</t>
  </si>
  <si>
    <t>【生日礼物】太樾归真沉香线香鹅梨帐中香荔枝香果香伴眠天然香薰</t>
  </si>
  <si>
    <t>【价保618】太樾早晚相伴线香家用天然中式香薰沉香冥想</t>
  </si>
  <si>
    <t>【价保618】太樾沉香线香归真系列荔枝西瓜家用室内天然香薰</t>
  </si>
  <si>
    <t>【价保618】太樾无粘粉次抛天然奇楠沉香如意盘香礼盒便携6片装</t>
  </si>
  <si>
    <t>【礼物】太樾归真沉香线香鹅梨帐中香荔枝香果香伴眠天然家用香薰</t>
  </si>
  <si>
    <t>【生日礼物】太樾沉香线香鹅梨帐中香荔枝香果香伴眠天然家用香薰</t>
  </si>
  <si>
    <t>【生日礼物】太樾沉香线香鹅梨帐中香荔枝香果香助眠天然家用香薰</t>
  </si>
  <si>
    <t>【价保618】太樾沉香线香归真系列荔枝西瓜助眠家用室内天然香薰</t>
  </si>
  <si>
    <t>【价保618】太樾沉香归真系列线香荔枝西瓜伴睡家用室内天然香薰</t>
  </si>
  <si>
    <t>【价保618】太樾早晚相伴线香家用天然中式香薰沉香安神助眠冥想</t>
  </si>
  <si>
    <t>【520礼物】太樾早晚相伴线香家用天然中式香薰沉香安神助眠冥想</t>
  </si>
  <si>
    <t>【520礼物】太樾沉香归真系列线香荔枝西瓜伴睡家用室内天然香薰</t>
  </si>
  <si>
    <t>【520礼物】太樾无粘粉次抛天然奇楠沉香如意盘香礼盒便携6片装</t>
  </si>
  <si>
    <t>【520礼物】太樾线香荔枝西瓜归真系列伴睡香薰家用室内天然香薰</t>
  </si>
  <si>
    <t>【520礼物】太樾归真系列荔枝鹅梨雪中春信沉香线香礼盒香薰精油</t>
  </si>
  <si>
    <t>【生日礼物】太樾归真系列荔枝鹅梨雪中春信沉香线香礼盒香薰精油</t>
  </si>
  <si>
    <t>太樾早晚相伴线香室内家用天然中式香薰花香醒脑沉香安神助眠冥想</t>
  </si>
  <si>
    <t>【母亲节礼物】太樾荔枝西瓜线香礼盒伴睡香薰家用室内天然香薰</t>
  </si>
  <si>
    <t>[国礼]太樾归真系列荔枝鹅梨雪中春信沉香线香礼盒天然香薰伴手礼</t>
  </si>
  <si>
    <t>太樾珠圆玉润国香奇楠手串 单圈文玩手串送礼6mm女士款珍珠手链</t>
  </si>
  <si>
    <t>商品ID</t>
  </si>
  <si>
    <t>商品名</t>
  </si>
  <si>
    <t>品类</t>
  </si>
  <si>
    <t>渠道名</t>
  </si>
  <si>
    <t>渠道汇总</t>
  </si>
  <si>
    <t>视频ID</t>
  </si>
  <si>
    <t>直通车</t>
  </si>
  <si>
    <t>货品加速</t>
  </si>
  <si>
    <t>拉新快</t>
  </si>
  <si>
    <t>上新快</t>
  </si>
  <si>
    <t>活动加速</t>
  </si>
  <si>
    <t>礼佛香</t>
  </si>
  <si>
    <t>人群击穿</t>
  </si>
  <si>
    <t>早晚安香</t>
  </si>
  <si>
    <t>全站推广</t>
  </si>
  <si>
    <t>货品运营</t>
  </si>
  <si>
    <t>引力魔方</t>
  </si>
  <si>
    <t>珠圆玉润</t>
  </si>
  <si>
    <t>大吉利</t>
  </si>
  <si>
    <t>货品全站推</t>
  </si>
  <si>
    <t>操作记录留存：
人群推广：车载+四季线香（1.20停，预算不足）
货品全站推：如意盘香+鹅梨帐中香
2.3会议纪要，
1、暂停车载香薰投放。
2、年后费用放在100块费用。（14-23号）</t>
  </si>
  <si>
    <t>1.礼佛香 调整 店铺直达调整</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</si>
</sst>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0_);[Red]\(#,##0.0\)"/>
    <numFmt numFmtId="178" formatCode="yyyy\-mm\-dd"/>
    <numFmt numFmtId="179" formatCode="#,##0_ "/>
    <numFmt numFmtId="180" formatCode="0.00_ "/>
    <numFmt numFmtId="181" formatCode="0_ "/>
    <numFmt numFmtId="182" formatCode="m&quot;月&quot;d&quot;日&quot;;@"/>
    <numFmt numFmtId="183" formatCode="0.0"/>
    <numFmt numFmtId="184" formatCode="0.0%"/>
    <numFmt numFmtId="185" formatCode="0.0_);[Red]\(0.0\)"/>
    <numFmt numFmtId="186" formatCode="0.00_);[Red]\(0.00\)"/>
  </numFmts>
  <fonts count="34">
    <font>
      <sz val="11"/>
      <color theme="1"/>
      <name val="宋体"/>
      <charset val="134"/>
      <scheme val="minor"/>
    </font>
    <font>
      <sz val="10"/>
      <color theme="1"/>
      <name val="微软雅黑"/>
      <charset val="134"/>
    </font>
    <font>
      <sz val="11"/>
      <color theme="1"/>
      <name val="微软雅黑"/>
      <charset val="134"/>
    </font>
    <font>
      <sz val="11"/>
      <color theme="0"/>
      <name val="微软雅黑"/>
      <charset val="134"/>
    </font>
    <font>
      <sz val="10"/>
      <color theme="1"/>
      <name val="宋体"/>
      <charset val="134"/>
    </font>
    <font>
      <sz val="11"/>
      <color indexed="8"/>
      <name val="微软雅黑"/>
      <charset val="134"/>
    </font>
    <font>
      <sz val="10"/>
      <name val="宋体"/>
      <charset val="134"/>
    </font>
    <font>
      <sz val="11"/>
      <color rgb="FFFF0000"/>
      <name val="宋体"/>
      <charset val="134"/>
      <scheme val="minor"/>
    </font>
    <font>
      <b/>
      <sz val="11"/>
      <color theme="1"/>
      <name val="微软雅黑"/>
      <charset val="134"/>
    </font>
    <font>
      <b/>
      <sz val="18"/>
      <color theme="0"/>
      <name val="微软雅黑"/>
      <charset val="134"/>
    </font>
    <font>
      <b/>
      <sz val="10"/>
      <color theme="1"/>
      <name val="微软雅黑"/>
      <charset val="134"/>
    </font>
    <font>
      <b/>
      <sz val="11"/>
      <color rgb="FFFF0000"/>
      <name val="微软雅黑"/>
      <charset val="134"/>
    </font>
    <font>
      <b/>
      <sz val="10"/>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43">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599993896298105"/>
        <bgColor indexed="64"/>
      </patternFill>
    </fill>
    <fill>
      <patternFill patternType="solid">
        <fgColor theme="4" tint="0.8"/>
        <bgColor theme="4" tint="0.799981688894314"/>
      </patternFill>
    </fill>
    <fill>
      <patternFill patternType="solid">
        <fgColor theme="4" tint="0.8"/>
        <bgColor indexed="64"/>
      </patternFill>
    </fill>
    <fill>
      <patternFill patternType="solid">
        <fgColor theme="4" tint="0.799981688894314"/>
        <bgColor theme="4" tint="0.799981688894314"/>
      </patternFill>
    </fill>
    <fill>
      <patternFill patternType="solid">
        <fgColor theme="4" tint="-0.25"/>
        <bgColor indexed="64"/>
      </patternFill>
    </fill>
    <fill>
      <patternFill patternType="solid">
        <fgColor theme="0"/>
        <bgColor indexed="64"/>
      </patternFill>
    </fill>
    <fill>
      <patternFill patternType="solid">
        <fgColor theme="6" tint="0.8"/>
        <bgColor indexed="64"/>
      </patternFill>
    </fill>
    <fill>
      <patternFill patternType="solid">
        <fgColor theme="6" tint="0.6"/>
        <bgColor indexed="64"/>
      </patternFill>
    </fill>
    <fill>
      <patternFill patternType="solid">
        <fgColor theme="0" tint="-0.14975432599871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3" borderId="6"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0" fillId="0" borderId="0" applyNumberFormat="0" applyFill="0" applyBorder="0" applyAlignment="0" applyProtection="0">
      <alignment vertical="center"/>
    </xf>
    <xf numFmtId="0" fontId="21" fillId="14" borderId="9" applyNumberFormat="0" applyAlignment="0" applyProtection="0">
      <alignment vertical="center"/>
    </xf>
    <xf numFmtId="0" fontId="22" fillId="15" borderId="10" applyNumberFormat="0" applyAlignment="0" applyProtection="0">
      <alignment vertical="center"/>
    </xf>
    <xf numFmtId="0" fontId="23" fillId="15" borderId="9" applyNumberFormat="0" applyAlignment="0" applyProtection="0">
      <alignment vertical="center"/>
    </xf>
    <xf numFmtId="0" fontId="24" fillId="16" borderId="11" applyNumberFormat="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4"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31" fillId="40" borderId="0" applyNumberFormat="0" applyBorder="0" applyAlignment="0" applyProtection="0">
      <alignment vertical="center"/>
    </xf>
    <xf numFmtId="0" fontId="31" fillId="41" borderId="0" applyNumberFormat="0" applyBorder="0" applyAlignment="0" applyProtection="0">
      <alignment vertical="center"/>
    </xf>
    <xf numFmtId="0" fontId="30" fillId="42" borderId="0" applyNumberFormat="0" applyBorder="0" applyAlignment="0" applyProtection="0">
      <alignment vertical="center"/>
    </xf>
  </cellStyleXfs>
  <cellXfs count="150">
    <xf numFmtId="0" fontId="0" fillId="0" borderId="0" xfId="0">
      <alignment vertical="center"/>
    </xf>
    <xf numFmtId="176" fontId="1" fillId="2" borderId="1" xfId="0" applyNumberFormat="1" applyFont="1" applyFill="1" applyBorder="1" applyAlignment="1">
      <alignment horizontal="center" vertical="center"/>
    </xf>
    <xf numFmtId="177" fontId="1" fillId="2" borderId="1"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0" fillId="0" borderId="0" xfId="0" applyAlignment="1">
      <alignment horizontal="center" vertical="center"/>
    </xf>
    <xf numFmtId="0" fontId="3" fillId="3" borderId="0" xfId="0" applyFont="1" applyFill="1" applyAlignment="1">
      <alignment horizontal="center" vertical="center"/>
    </xf>
    <xf numFmtId="1" fontId="4" fillId="0" borderId="0" xfId="0" applyNumberFormat="1" applyFont="1" applyFill="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1" fontId="4" fillId="2" borderId="0" xfId="0" applyNumberFormat="1" applyFont="1" applyFill="1" applyBorder="1" applyAlignment="1">
      <alignment horizontal="center" vertical="center"/>
    </xf>
    <xf numFmtId="178" fontId="6" fillId="2" borderId="0" xfId="0" applyNumberFormat="1" applyFont="1" applyFill="1" applyAlignment="1">
      <alignment horizontal="center" vertical="center"/>
    </xf>
    <xf numFmtId="178" fontId="6" fillId="0" borderId="0" xfId="0" applyNumberFormat="1" applyFont="1" applyAlignment="1">
      <alignment horizontal="center" vertical="center"/>
    </xf>
    <xf numFmtId="0" fontId="0" fillId="2" borderId="0" xfId="0" applyFill="1" applyAlignment="1">
      <alignment horizontal="center" vertical="center"/>
    </xf>
    <xf numFmtId="0" fontId="0" fillId="0" borderId="0" xfId="0" applyNumberFormat="1" applyAlignment="1">
      <alignment horizontal="center" vertical="center"/>
    </xf>
    <xf numFmtId="0" fontId="7" fillId="0" borderId="0" xfId="0" applyFont="1">
      <alignment vertical="center"/>
    </xf>
    <xf numFmtId="0" fontId="0" fillId="0" borderId="0" xfId="0" applyFill="1" applyAlignment="1">
      <alignment vertical="center"/>
    </xf>
    <xf numFmtId="14" fontId="0" fillId="0" borderId="0" xfId="0" applyNumberFormat="1" applyFill="1" applyAlignment="1">
      <alignment vertical="center"/>
    </xf>
    <xf numFmtId="0" fontId="0" fillId="0" borderId="0" xfId="0" applyNumberFormat="1" applyFill="1" applyAlignment="1">
      <alignment vertical="center"/>
    </xf>
    <xf numFmtId="0" fontId="0" fillId="0" borderId="0" xfId="0" applyFill="1" applyAlignment="1">
      <alignment vertical="center"/>
    </xf>
    <xf numFmtId="14" fontId="0" fillId="0" borderId="0" xfId="0" applyNumberFormat="1" applyFill="1" applyAlignment="1">
      <alignment vertical="center"/>
    </xf>
    <xf numFmtId="0" fontId="0" fillId="0" borderId="0" xfId="0" applyNumberFormat="1" applyFill="1" applyAlignment="1">
      <alignment vertical="center"/>
    </xf>
    <xf numFmtId="179" fontId="2" fillId="0" borderId="0" xfId="0" applyNumberFormat="1" applyFont="1" applyAlignment="1">
      <alignment horizontal="center" vertical="center"/>
    </xf>
    <xf numFmtId="10" fontId="2" fillId="0" borderId="0" xfId="0" applyNumberFormat="1" applyFont="1" applyAlignment="1">
      <alignment horizontal="center" vertical="center"/>
    </xf>
    <xf numFmtId="180" fontId="2" fillId="0" borderId="0" xfId="0" applyNumberFormat="1" applyFont="1" applyAlignment="1">
      <alignment horizontal="center" vertical="center"/>
    </xf>
    <xf numFmtId="181" fontId="2" fillId="0" borderId="0" xfId="0" applyNumberFormat="1" applyFont="1" applyAlignment="1">
      <alignment horizontal="center" vertical="center"/>
    </xf>
    <xf numFmtId="0" fontId="8" fillId="0" borderId="0" xfId="0" applyFont="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14" fontId="2" fillId="4" borderId="1" xfId="0" applyNumberFormat="1" applyFont="1" applyFill="1" applyBorder="1" applyAlignment="1">
      <alignment horizontal="center" vertical="center"/>
    </xf>
    <xf numFmtId="179" fontId="2" fillId="4" borderId="1" xfId="0" applyNumberFormat="1" applyFont="1" applyFill="1" applyBorder="1" applyAlignment="1">
      <alignment horizontal="center" vertical="center"/>
    </xf>
    <xf numFmtId="10" fontId="2" fillId="4" borderId="1" xfId="0" applyNumberFormat="1" applyFont="1" applyFill="1" applyBorder="1" applyAlignment="1">
      <alignment horizontal="center" vertical="center"/>
    </xf>
    <xf numFmtId="180" fontId="2" fillId="4" borderId="1" xfId="0" applyNumberFormat="1" applyFont="1" applyFill="1" applyBorder="1" applyAlignment="1">
      <alignment horizontal="center" vertical="center"/>
    </xf>
    <xf numFmtId="181" fontId="2" fillId="4" borderId="1" xfId="0" applyNumberFormat="1" applyFont="1" applyFill="1" applyBorder="1" applyAlignment="1">
      <alignment horizontal="center" vertical="center"/>
    </xf>
    <xf numFmtId="0" fontId="2" fillId="0" borderId="1" xfId="0" applyFont="1" applyBorder="1" applyAlignment="1">
      <alignment horizontal="center" vertical="center"/>
    </xf>
    <xf numFmtId="179" fontId="2"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80" fontId="2" fillId="0" borderId="1" xfId="0" applyNumberFormat="1" applyFont="1" applyBorder="1" applyAlignment="1">
      <alignment horizontal="center" vertical="center"/>
    </xf>
    <xf numFmtId="181" fontId="2" fillId="0" borderId="1" xfId="0" applyNumberFormat="1" applyFont="1" applyBorder="1" applyAlignment="1">
      <alignment horizontal="center" vertical="center"/>
    </xf>
    <xf numFmtId="0" fontId="2" fillId="5" borderId="1" xfId="0" applyFont="1" applyFill="1" applyBorder="1" applyAlignment="1">
      <alignment horizontal="center" vertical="center"/>
    </xf>
    <xf numFmtId="179" fontId="2" fillId="5" borderId="1" xfId="0" applyNumberFormat="1" applyFont="1" applyFill="1" applyBorder="1" applyAlignment="1">
      <alignment horizontal="center" vertical="center"/>
    </xf>
    <xf numFmtId="10" fontId="2" fillId="6" borderId="1" xfId="0" applyNumberFormat="1" applyFont="1" applyFill="1" applyBorder="1" applyAlignment="1">
      <alignment horizontal="center" vertical="center"/>
    </xf>
    <xf numFmtId="180" fontId="2" fillId="6" borderId="1" xfId="0" applyNumberFormat="1" applyFont="1" applyFill="1" applyBorder="1" applyAlignment="1">
      <alignment horizontal="center" vertical="center"/>
    </xf>
    <xf numFmtId="179" fontId="2" fillId="6" borderId="1" xfId="0" applyNumberFormat="1" applyFont="1" applyFill="1" applyBorder="1" applyAlignment="1">
      <alignment horizontal="center" vertical="center"/>
    </xf>
    <xf numFmtId="181" fontId="2" fillId="6" borderId="1" xfId="0" applyNumberFormat="1" applyFont="1" applyFill="1" applyBorder="1" applyAlignment="1">
      <alignment horizontal="center" vertical="center"/>
    </xf>
    <xf numFmtId="0" fontId="2" fillId="7" borderId="1" xfId="0" applyFont="1" applyFill="1" applyBorder="1" applyAlignment="1">
      <alignment horizontal="center" vertical="center"/>
    </xf>
    <xf numFmtId="179" fontId="0" fillId="0" borderId="0" xfId="0" applyNumberFormat="1" applyAlignment="1">
      <alignment horizontal="center" vertical="center"/>
    </xf>
    <xf numFmtId="0" fontId="2" fillId="8" borderId="0" xfId="0" applyFont="1" applyFill="1" applyAlignment="1"/>
    <xf numFmtId="0" fontId="2" fillId="0" borderId="0" xfId="0" applyFont="1" applyFill="1" applyAlignment="1"/>
    <xf numFmtId="0" fontId="2" fillId="9" borderId="0" xfId="0" applyFont="1" applyFill="1" applyAlignment="1"/>
    <xf numFmtId="0" fontId="2" fillId="0" borderId="0" xfId="0" applyFont="1" applyAlignment="1"/>
    <xf numFmtId="0" fontId="2" fillId="0" borderId="0" xfId="0" applyFont="1" applyAlignment="1">
      <alignment horizontal="center"/>
    </xf>
    <xf numFmtId="0" fontId="9" fillId="8" borderId="2" xfId="0" applyFont="1" applyFill="1" applyBorder="1" applyAlignment="1">
      <alignment vertical="center"/>
    </xf>
    <xf numFmtId="0" fontId="9" fillId="8" borderId="0" xfId="0" applyFont="1" applyFill="1" applyAlignment="1">
      <alignment vertical="center"/>
    </xf>
    <xf numFmtId="0" fontId="9" fillId="8" borderId="0" xfId="0" applyFont="1" applyFill="1" applyAlignment="1">
      <alignment horizontal="center" vertical="center"/>
    </xf>
    <xf numFmtId="0" fontId="8" fillId="0" borderId="3" xfId="0" applyFont="1" applyBorder="1" applyAlignment="1">
      <alignment horizontal="center" vertical="center"/>
    </xf>
    <xf numFmtId="14" fontId="10" fillId="4" borderId="3" xfId="0" applyNumberFormat="1" applyFont="1" applyFill="1" applyBorder="1" applyAlignment="1">
      <alignment horizontal="center" vertical="center"/>
    </xf>
    <xf numFmtId="14" fontId="1" fillId="4" borderId="3" xfId="0" applyNumberFormat="1" applyFont="1" applyFill="1" applyBorder="1" applyAlignment="1">
      <alignment horizontal="center" vertical="center"/>
    </xf>
    <xf numFmtId="182" fontId="1" fillId="4" borderId="3" xfId="0" applyNumberFormat="1" applyFont="1" applyFill="1" applyBorder="1" applyAlignment="1">
      <alignment horizontal="center" vertical="center"/>
    </xf>
    <xf numFmtId="182" fontId="10" fillId="4" borderId="3" xfId="0" applyNumberFormat="1" applyFont="1" applyFill="1" applyBorder="1" applyAlignment="1">
      <alignment horizontal="center" vertical="center"/>
    </xf>
    <xf numFmtId="182" fontId="1" fillId="4" borderId="1" xfId="0" applyNumberFormat="1" applyFont="1" applyFill="1" applyBorder="1" applyAlignment="1">
      <alignment horizontal="center" vertical="center"/>
    </xf>
    <xf numFmtId="183" fontId="11" fillId="0" borderId="1" xfId="0" applyNumberFormat="1" applyFont="1" applyBorder="1" applyAlignment="1">
      <alignment horizontal="center" vertical="center" wrapText="1"/>
    </xf>
    <xf numFmtId="0" fontId="10" fillId="10" borderId="4" xfId="0" applyFont="1" applyFill="1" applyBorder="1" applyAlignment="1">
      <alignment horizontal="center" vertical="center"/>
    </xf>
    <xf numFmtId="1" fontId="1" fillId="10" borderId="1" xfId="0" applyNumberFormat="1" applyFont="1" applyFill="1" applyBorder="1" applyAlignment="1">
      <alignment horizontal="center" vertical="center"/>
    </xf>
    <xf numFmtId="176" fontId="10" fillId="10" borderId="1" xfId="0" applyNumberFormat="1" applyFont="1" applyFill="1" applyBorder="1" applyAlignment="1">
      <alignment horizontal="center" vertical="center"/>
    </xf>
    <xf numFmtId="176" fontId="1" fillId="10" borderId="1" xfId="0" applyNumberFormat="1" applyFont="1" applyFill="1" applyBorder="1" applyAlignment="1">
      <alignment horizontal="center" vertical="center"/>
    </xf>
    <xf numFmtId="176" fontId="10" fillId="11" borderId="1" xfId="0" applyNumberFormat="1" applyFont="1" applyFill="1" applyBorder="1" applyAlignment="1">
      <alignment horizontal="center" vertical="center"/>
    </xf>
    <xf numFmtId="0" fontId="8" fillId="0" borderId="1" xfId="0" applyFont="1" applyBorder="1" applyAlignment="1">
      <alignment horizontal="center" vertical="center" wrapText="1"/>
    </xf>
    <xf numFmtId="0" fontId="10" fillId="10" borderId="5" xfId="0" applyFont="1" applyFill="1" applyBorder="1" applyAlignment="1">
      <alignment horizontal="center" vertical="center"/>
    </xf>
    <xf numFmtId="177" fontId="10" fillId="10" borderId="1" xfId="0" applyNumberFormat="1" applyFont="1" applyFill="1" applyBorder="1" applyAlignment="1">
      <alignment horizontal="center" vertical="center"/>
    </xf>
    <xf numFmtId="177" fontId="1" fillId="10" borderId="1" xfId="0" applyNumberFormat="1" applyFont="1" applyFill="1" applyBorder="1" applyAlignment="1">
      <alignment horizontal="center" vertical="center"/>
    </xf>
    <xf numFmtId="177" fontId="10" fillId="11" borderId="1" xfId="0" applyNumberFormat="1" applyFont="1" applyFill="1" applyBorder="1" applyAlignment="1">
      <alignment horizontal="center" vertical="center"/>
    </xf>
    <xf numFmtId="183" fontId="11" fillId="0" borderId="1" xfId="0" applyNumberFormat="1" applyFont="1" applyBorder="1" applyAlignment="1">
      <alignment horizontal="center" vertical="center"/>
    </xf>
    <xf numFmtId="0" fontId="1" fillId="10" borderId="1" xfId="0" applyNumberFormat="1" applyFont="1" applyFill="1" applyBorder="1" applyAlignment="1">
      <alignment horizontal="center" vertical="center" wrapText="1"/>
    </xf>
    <xf numFmtId="4" fontId="1" fillId="10" borderId="1" xfId="0" applyNumberFormat="1" applyFont="1" applyFill="1" applyBorder="1" applyAlignment="1">
      <alignment horizontal="center" vertical="center" wrapText="1"/>
    </xf>
    <xf numFmtId="183" fontId="12" fillId="0" borderId="1" xfId="0" applyNumberFormat="1" applyFont="1" applyBorder="1" applyAlignment="1">
      <alignment horizontal="center" vertical="center"/>
    </xf>
    <xf numFmtId="184" fontId="10" fillId="10" borderId="1" xfId="3" applyNumberFormat="1" applyFont="1" applyFill="1" applyBorder="1" applyAlignment="1">
      <alignment horizontal="center" vertical="center"/>
    </xf>
    <xf numFmtId="184" fontId="1" fillId="10" borderId="1" xfId="3" applyNumberFormat="1" applyFont="1" applyFill="1" applyBorder="1" applyAlignment="1">
      <alignment horizontal="center" vertical="center"/>
    </xf>
    <xf numFmtId="184" fontId="10" fillId="11" borderId="1" xfId="3" applyNumberFormat="1" applyFont="1" applyFill="1" applyBorder="1" applyAlignment="1">
      <alignment horizontal="center" vertical="center"/>
    </xf>
    <xf numFmtId="0" fontId="2" fillId="0" borderId="1" xfId="0" applyFont="1" applyBorder="1" applyAlignment="1"/>
    <xf numFmtId="185" fontId="10" fillId="10" borderId="1" xfId="3" applyNumberFormat="1" applyFont="1" applyFill="1" applyBorder="1" applyAlignment="1">
      <alignment horizontal="center" vertical="center"/>
    </xf>
    <xf numFmtId="185" fontId="1" fillId="10" borderId="1" xfId="3" applyNumberFormat="1" applyFont="1" applyFill="1" applyBorder="1" applyAlignment="1">
      <alignment horizontal="center" vertical="center"/>
    </xf>
    <xf numFmtId="185" fontId="10" fillId="11" borderId="1" xfId="3" applyNumberFormat="1" applyFont="1" applyFill="1" applyBorder="1" applyAlignment="1">
      <alignment horizontal="center" vertical="center"/>
    </xf>
    <xf numFmtId="0" fontId="8" fillId="0" borderId="1" xfId="0" applyFont="1" applyBorder="1" applyAlignment="1">
      <alignment horizontal="center"/>
    </xf>
    <xf numFmtId="176" fontId="11" fillId="0" borderId="1" xfId="0" applyNumberFormat="1" applyFont="1" applyBorder="1" applyAlignment="1">
      <alignment horizontal="center" vertical="center"/>
    </xf>
    <xf numFmtId="184" fontId="11" fillId="0" borderId="1" xfId="0" applyNumberFormat="1" applyFont="1" applyBorder="1" applyAlignment="1">
      <alignment horizontal="center" vertical="center"/>
    </xf>
    <xf numFmtId="9" fontId="10" fillId="11" borderId="1" xfId="0" applyNumberFormat="1" applyFont="1" applyFill="1" applyBorder="1" applyAlignment="1">
      <alignment horizontal="center" vertical="center"/>
    </xf>
    <xf numFmtId="9" fontId="1" fillId="10" borderId="1" xfId="0" applyNumberFormat="1" applyFont="1" applyFill="1" applyBorder="1" applyAlignment="1">
      <alignment horizontal="center" vertical="center"/>
    </xf>
    <xf numFmtId="0" fontId="2" fillId="10" borderId="0" xfId="0" applyFont="1" applyFill="1" applyAlignment="1"/>
    <xf numFmtId="1" fontId="1" fillId="10" borderId="4" xfId="0" applyNumberFormat="1" applyFont="1" applyFill="1" applyBorder="1" applyAlignment="1">
      <alignment horizontal="center" vertical="center"/>
    </xf>
    <xf numFmtId="184" fontId="10" fillId="10" borderId="4" xfId="3" applyNumberFormat="1" applyFont="1" applyFill="1" applyBorder="1" applyAlignment="1">
      <alignment horizontal="center" vertical="center"/>
    </xf>
    <xf numFmtId="184" fontId="10" fillId="11" borderId="4" xfId="3" applyNumberFormat="1" applyFont="1" applyFill="1" applyBorder="1" applyAlignment="1">
      <alignment horizontal="center" vertical="center"/>
    </xf>
    <xf numFmtId="0" fontId="8" fillId="0" borderId="1" xfId="0" applyFont="1" applyBorder="1" applyAlignment="1">
      <alignment horizontal="center" vertical="center"/>
    </xf>
    <xf numFmtId="0" fontId="10" fillId="0" borderId="1" xfId="0" applyFont="1" applyBorder="1" applyAlignment="1">
      <alignment horizontal="center" vertical="center"/>
    </xf>
    <xf numFmtId="0" fontId="1" fillId="0" borderId="1" xfId="0" applyFont="1" applyBorder="1" applyAlignment="1">
      <alignment horizontal="center" vertical="center"/>
    </xf>
    <xf numFmtId="176" fontId="10" fillId="2" borderId="1" xfId="0" applyNumberFormat="1" applyFont="1" applyFill="1" applyBorder="1" applyAlignment="1">
      <alignment horizontal="center" vertical="center"/>
    </xf>
    <xf numFmtId="176" fontId="1" fillId="0" borderId="1" xfId="0" applyNumberFormat="1" applyFont="1" applyBorder="1" applyAlignment="1">
      <alignment horizontal="center" vertical="center"/>
    </xf>
    <xf numFmtId="9" fontId="11" fillId="0" borderId="1" xfId="0" applyNumberFormat="1" applyFont="1" applyBorder="1" applyAlignment="1">
      <alignment horizontal="center" vertical="center"/>
    </xf>
    <xf numFmtId="177" fontId="10" fillId="2" borderId="1" xfId="0" applyNumberFormat="1" applyFont="1" applyFill="1" applyBorder="1" applyAlignment="1">
      <alignment horizontal="center" vertical="center"/>
    </xf>
    <xf numFmtId="177" fontId="1" fillId="0" borderId="1" xfId="0" applyNumberFormat="1" applyFont="1" applyBorder="1" applyAlignment="1">
      <alignment horizontal="center" vertical="center"/>
    </xf>
    <xf numFmtId="177" fontId="1" fillId="12" borderId="1" xfId="0" applyNumberFormat="1" applyFont="1" applyFill="1" applyBorder="1" applyAlignment="1">
      <alignment horizontal="center" vertical="center"/>
    </xf>
    <xf numFmtId="9" fontId="10" fillId="2" borderId="1" xfId="3" applyFont="1" applyFill="1" applyBorder="1" applyAlignment="1">
      <alignment horizontal="center" vertical="center"/>
    </xf>
    <xf numFmtId="9" fontId="1" fillId="0" borderId="1" xfId="3" applyFont="1" applyFill="1" applyBorder="1" applyAlignment="1">
      <alignment horizontal="center" vertical="center"/>
    </xf>
    <xf numFmtId="9" fontId="10" fillId="11" borderId="1" xfId="3" applyFont="1" applyFill="1" applyBorder="1" applyAlignment="1">
      <alignment horizontal="center" vertical="center"/>
    </xf>
    <xf numFmtId="0" fontId="10" fillId="0" borderId="1" xfId="0" applyFont="1" applyFill="1" applyBorder="1" applyAlignment="1">
      <alignment horizontal="center" vertical="center"/>
    </xf>
    <xf numFmtId="0" fontId="1" fillId="12" borderId="1" xfId="0" applyFont="1" applyFill="1" applyBorder="1" applyAlignment="1">
      <alignment horizontal="center" vertical="center"/>
    </xf>
    <xf numFmtId="176" fontId="1" fillId="12" borderId="1" xfId="0" applyNumberFormat="1" applyFont="1" applyFill="1" applyBorder="1" applyAlignment="1">
      <alignment horizontal="center" vertical="center"/>
    </xf>
    <xf numFmtId="184" fontId="8" fillId="0" borderId="0" xfId="3" applyNumberFormat="1" applyFont="1" applyFill="1" applyAlignment="1">
      <alignment horizontal="center" vertical="center"/>
    </xf>
    <xf numFmtId="186" fontId="8" fillId="0" borderId="0" xfId="3" applyNumberFormat="1" applyFont="1" applyFill="1" applyAlignment="1">
      <alignment horizontal="center" vertical="center"/>
    </xf>
    <xf numFmtId="9" fontId="1" fillId="12" borderId="1" xfId="3" applyFont="1" applyFill="1" applyBorder="1" applyAlignment="1">
      <alignment horizontal="center" vertical="center"/>
    </xf>
    <xf numFmtId="0" fontId="1" fillId="0" borderId="1" xfId="0" applyFont="1" applyFill="1" applyBorder="1" applyAlignment="1">
      <alignment horizontal="center" vertical="center"/>
    </xf>
    <xf numFmtId="176" fontId="1" fillId="0" borderId="1" xfId="0" applyNumberFormat="1" applyFont="1" applyFill="1" applyBorder="1" applyAlignment="1">
      <alignment horizontal="center" vertical="center"/>
    </xf>
    <xf numFmtId="177" fontId="1" fillId="0"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0" fontId="1" fillId="4" borderId="1" xfId="0" applyFont="1" applyFill="1" applyBorder="1" applyAlignment="1">
      <alignment horizontal="center" vertical="center"/>
    </xf>
    <xf numFmtId="176" fontId="10" fillId="4" borderId="1" xfId="0" applyNumberFormat="1" applyFont="1" applyFill="1" applyBorder="1" applyAlignment="1">
      <alignment horizontal="center" vertical="center"/>
    </xf>
    <xf numFmtId="1" fontId="1" fillId="4" borderId="1" xfId="0" applyNumberFormat="1" applyFont="1" applyFill="1" applyBorder="1" applyAlignment="1">
      <alignment horizontal="center"/>
    </xf>
    <xf numFmtId="185" fontId="10" fillId="4" borderId="1" xfId="0" applyNumberFormat="1" applyFont="1" applyFill="1" applyBorder="1" applyAlignment="1">
      <alignment horizontal="center" vertical="center"/>
    </xf>
    <xf numFmtId="183" fontId="1" fillId="4" borderId="1" xfId="0" applyNumberFormat="1" applyFont="1" applyFill="1" applyBorder="1" applyAlignment="1">
      <alignment horizontal="center"/>
    </xf>
    <xf numFmtId="185" fontId="10" fillId="11" borderId="1" xfId="0" applyNumberFormat="1" applyFont="1" applyFill="1" applyBorder="1" applyAlignment="1">
      <alignment horizontal="center" vertical="center"/>
    </xf>
    <xf numFmtId="177" fontId="10" fillId="4" borderId="1" xfId="0" applyNumberFormat="1" applyFont="1" applyFill="1" applyBorder="1" applyAlignment="1">
      <alignment horizontal="center" vertical="center"/>
    </xf>
    <xf numFmtId="9" fontId="10" fillId="4" borderId="1" xfId="3" applyFont="1" applyFill="1" applyBorder="1" applyAlignment="1">
      <alignment horizontal="center" vertical="center"/>
    </xf>
    <xf numFmtId="9" fontId="1" fillId="4" borderId="1" xfId="3" applyFont="1" applyFill="1" applyBorder="1" applyAlignment="1">
      <alignment horizontal="center"/>
    </xf>
    <xf numFmtId="176" fontId="10" fillId="0" borderId="1" xfId="0" applyNumberFormat="1" applyFont="1" applyFill="1" applyBorder="1" applyAlignment="1">
      <alignment horizontal="center" vertical="center"/>
    </xf>
    <xf numFmtId="1" fontId="1" fillId="0" borderId="1" xfId="0" applyNumberFormat="1" applyFont="1" applyFill="1" applyBorder="1" applyAlignment="1">
      <alignment horizontal="center"/>
    </xf>
    <xf numFmtId="1" fontId="1" fillId="9" borderId="1" xfId="0" applyNumberFormat="1" applyFont="1" applyFill="1" applyBorder="1" applyAlignment="1">
      <alignment horizontal="center"/>
    </xf>
    <xf numFmtId="185" fontId="10" fillId="0" borderId="1" xfId="0" applyNumberFormat="1" applyFont="1" applyFill="1" applyBorder="1" applyAlignment="1">
      <alignment horizontal="center" vertical="center"/>
    </xf>
    <xf numFmtId="183" fontId="1" fillId="0" borderId="1" xfId="0" applyNumberFormat="1" applyFont="1" applyFill="1" applyBorder="1" applyAlignment="1">
      <alignment horizontal="center"/>
    </xf>
    <xf numFmtId="185" fontId="10" fillId="9" borderId="1" xfId="0" applyNumberFormat="1" applyFont="1" applyFill="1" applyBorder="1" applyAlignment="1">
      <alignment horizontal="center" vertical="center"/>
    </xf>
    <xf numFmtId="177" fontId="10" fillId="0" borderId="1" xfId="0" applyNumberFormat="1" applyFont="1" applyFill="1" applyBorder="1" applyAlignment="1">
      <alignment horizontal="center" vertical="center"/>
    </xf>
    <xf numFmtId="183" fontId="1" fillId="9" borderId="1" xfId="0" applyNumberFormat="1" applyFont="1" applyFill="1" applyBorder="1" applyAlignment="1">
      <alignment horizontal="center"/>
    </xf>
    <xf numFmtId="9" fontId="10" fillId="0" borderId="1" xfId="3" applyFont="1" applyFill="1" applyBorder="1" applyAlignment="1">
      <alignment horizontal="center" vertical="center"/>
    </xf>
    <xf numFmtId="9" fontId="1" fillId="0" borderId="1" xfId="3" applyFont="1" applyFill="1" applyBorder="1" applyAlignment="1">
      <alignment horizontal="center"/>
    </xf>
    <xf numFmtId="9" fontId="1" fillId="9" borderId="1" xfId="3" applyFont="1" applyFill="1" applyBorder="1" applyAlignment="1">
      <alignment horizontal="center"/>
    </xf>
    <xf numFmtId="1" fontId="10" fillId="0" borderId="1" xfId="0" applyNumberFormat="1" applyFont="1" applyFill="1" applyBorder="1" applyAlignment="1">
      <alignment horizontal="center" vertical="center"/>
    </xf>
    <xf numFmtId="1" fontId="10" fillId="11" borderId="1" xfId="0" applyNumberFormat="1" applyFont="1" applyFill="1" applyBorder="1" applyAlignment="1">
      <alignment horizontal="center" vertical="center"/>
    </xf>
    <xf numFmtId="185" fontId="1" fillId="0" borderId="1" xfId="0" applyNumberFormat="1" applyFont="1" applyFill="1" applyBorder="1" applyAlignment="1">
      <alignment horizontal="center" vertical="center"/>
    </xf>
    <xf numFmtId="176" fontId="10" fillId="9" borderId="1" xfId="0" applyNumberFormat="1" applyFont="1" applyFill="1" applyBorder="1" applyAlignment="1">
      <alignment horizontal="center" vertical="center"/>
    </xf>
    <xf numFmtId="184" fontId="2" fillId="9" borderId="0" xfId="3" applyNumberFormat="1" applyFont="1" applyFill="1" applyAlignment="1"/>
    <xf numFmtId="9" fontId="2" fillId="9" borderId="0" xfId="0" applyNumberFormat="1" applyFont="1" applyFill="1" applyAlignment="1"/>
    <xf numFmtId="0" fontId="2" fillId="0" borderId="4" xfId="0" applyFont="1" applyBorder="1" applyAlignment="1">
      <alignment horizontal="center" vertical="center"/>
    </xf>
    <xf numFmtId="0" fontId="2" fillId="0" borderId="1" xfId="0" applyFont="1" applyBorder="1" applyAlignment="1">
      <alignment horizontal="center"/>
    </xf>
    <xf numFmtId="186" fontId="10" fillId="0" borderId="1" xfId="3" applyNumberFormat="1" applyFont="1" applyBorder="1" applyAlignment="1">
      <alignment horizontal="center" vertical="center"/>
    </xf>
    <xf numFmtId="186" fontId="1" fillId="0" borderId="1" xfId="3" applyNumberFormat="1" applyFont="1" applyBorder="1" applyAlignment="1">
      <alignment horizontal="center"/>
    </xf>
    <xf numFmtId="186" fontId="10" fillId="11" borderId="1" xfId="3" applyNumberFormat="1" applyFont="1" applyFill="1" applyBorder="1" applyAlignment="1">
      <alignment horizontal="center" vertical="center"/>
    </xf>
    <xf numFmtId="0" fontId="2" fillId="0" borderId="5" xfId="0" applyFont="1" applyBorder="1" applyAlignment="1">
      <alignment horizontal="center" vertical="center"/>
    </xf>
    <xf numFmtId="9" fontId="10" fillId="0" borderId="1" xfId="3" applyNumberFormat="1" applyFont="1" applyBorder="1" applyAlignment="1">
      <alignment horizontal="center" vertical="center"/>
    </xf>
    <xf numFmtId="9" fontId="1" fillId="0" borderId="1" xfId="3" applyNumberFormat="1" applyFont="1" applyBorder="1" applyAlignment="1">
      <alignment horizontal="center"/>
    </xf>
    <xf numFmtId="9" fontId="10" fillId="11" borderId="1" xfId="3" applyNumberFormat="1" applyFont="1" applyFill="1" applyBorder="1" applyAlignment="1">
      <alignment horizontal="center" vertical="center"/>
    </xf>
    <xf numFmtId="9" fontId="1" fillId="0" borderId="1" xfId="3" applyNumberFormat="1" applyFont="1" applyBorder="1" applyAlignment="1">
      <alignment horizontal="center" vertical="center"/>
    </xf>
    <xf numFmtId="0" fontId="2" fillId="0" borderId="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84455</xdr:colOff>
      <xdr:row>1</xdr:row>
      <xdr:rowOff>6350</xdr:rowOff>
    </xdr:from>
    <xdr:to>
      <xdr:col>10</xdr:col>
      <xdr:colOff>565785</xdr:colOff>
      <xdr:row>13</xdr:row>
      <xdr:rowOff>18415</xdr:rowOff>
    </xdr:to>
    <xdr:sp>
      <xdr:nvSpPr>
        <xdr:cNvPr id="2" name="文本框 1"/>
        <xdr:cNvSpPr txBox="1"/>
      </xdr:nvSpPr>
      <xdr:spPr>
        <a:xfrm>
          <a:off x="84455" y="189230"/>
          <a:ext cx="6424930" cy="2206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lstStyle/>
        <a:p>
          <a:pPr algn="l"/>
          <a:r>
            <a:rPr lang="zh-CN" altLang="en-US" sz="1100"/>
            <a:t>上周（</a:t>
          </a:r>
          <a:r>
            <a:rPr lang="en-US" altLang="zh-CN" sz="1100"/>
            <a:t>1.11-1.17</a:t>
          </a:r>
          <a:r>
            <a:rPr lang="zh-CN" altLang="en-US" sz="1100"/>
            <a:t>）：推广花费34104.02，全店费率10.9%，ROI 3.2，直通车直接加购成本</a:t>
          </a:r>
          <a:r>
            <a:rPr lang="en-US" altLang="zh-CN" sz="1100"/>
            <a:t>121</a:t>
          </a:r>
          <a:r>
            <a:rPr lang="zh-CN" altLang="en-US" sz="1100"/>
            <a:t>，新增追投计划直接加购成本</a:t>
          </a:r>
          <a:r>
            <a:rPr lang="en-US" altLang="zh-CN" sz="1100"/>
            <a:t>129</a:t>
          </a:r>
          <a:r>
            <a:rPr lang="zh-CN" altLang="en-US" sz="1100"/>
            <a:t>；</a:t>
          </a:r>
          <a:endParaRPr lang="zh-CN" altLang="en-US" sz="1100"/>
        </a:p>
        <a:p>
          <a:pPr algn="l"/>
          <a:r>
            <a:rPr lang="zh-CN" altLang="en-US" sz="1100"/>
            <a:t>本周（</a:t>
          </a:r>
          <a:r>
            <a:rPr lang="en-US" altLang="zh-CN" sz="1100"/>
            <a:t>1.18-1.24</a:t>
          </a:r>
          <a:r>
            <a:rPr lang="zh-CN" altLang="en-US" sz="1100"/>
            <a:t>）：推广花费34853.52，全店费率11.0%，ROI 4.2，环比提升</a:t>
          </a:r>
          <a:r>
            <a:rPr lang="en-US" altLang="zh-CN" sz="1100"/>
            <a:t>31%</a:t>
          </a:r>
          <a:r>
            <a:rPr lang="zh-CN" altLang="en-US" sz="1100"/>
            <a:t>；直通车直接加购成本</a:t>
          </a:r>
          <a:r>
            <a:rPr lang="en-US" altLang="zh-CN" sz="1100"/>
            <a:t>116</a:t>
          </a:r>
          <a:r>
            <a:rPr lang="zh-CN" altLang="en-US" sz="1100"/>
            <a:t>，</a:t>
          </a:r>
          <a:r>
            <a:rPr lang="zh-CN" altLang="en-US">
              <a:sym typeface="+mn-ea"/>
            </a:rPr>
            <a:t>新增追投计划直接加购成本</a:t>
          </a:r>
          <a:r>
            <a:rPr lang="en-US" altLang="zh-CN" sz="1100"/>
            <a:t>152</a:t>
          </a:r>
          <a:r>
            <a:rPr lang="zh-CN" altLang="en-US" sz="1100"/>
            <a:t>，环比上升</a:t>
          </a:r>
          <a:r>
            <a:rPr lang="en-US" altLang="zh-CN" sz="1100"/>
            <a:t>18%</a:t>
          </a:r>
          <a:r>
            <a:rPr lang="zh-CN" altLang="en-US" sz="1100"/>
            <a:t>；</a:t>
          </a:r>
          <a:endParaRPr lang="zh-CN" altLang="en-US" sz="1100"/>
        </a:p>
        <a:p>
          <a:pPr algn="l"/>
          <a:endParaRPr lang="en-US" altLang="zh-CN" sz="1100"/>
        </a:p>
        <a:p>
          <a:pPr algn="l"/>
          <a:r>
            <a:rPr lang="zh-CN" altLang="en-US" sz="1100"/>
            <a:t>分析：</a:t>
          </a:r>
          <a:r>
            <a:rPr lang="en-US" altLang="zh-CN" sz="1100"/>
            <a:t>1.</a:t>
          </a:r>
          <a:r>
            <a:rPr lang="zh-CN" altLang="en-US" sz="1100"/>
            <a:t>本周短视频投放效果上升明显，</a:t>
          </a:r>
          <a:r>
            <a:rPr lang="en-US" altLang="zh-CN" sz="1100"/>
            <a:t>ROI5.2</a:t>
          </a:r>
          <a:r>
            <a:rPr lang="zh-CN" altLang="en-US" sz="1100"/>
            <a:t>高于上周</a:t>
          </a:r>
          <a:r>
            <a:rPr lang="en-US" altLang="zh-CN" sz="1100"/>
            <a:t>4.2</a:t>
          </a:r>
          <a:r>
            <a:rPr lang="zh-CN" altLang="en-US" sz="1100"/>
            <a:t>，环比提升</a:t>
          </a:r>
          <a:r>
            <a:rPr lang="en-US" altLang="zh-CN" sz="1100"/>
            <a:t>24%</a:t>
          </a:r>
          <a:r>
            <a:rPr lang="zh-CN" altLang="en-US" sz="1100"/>
            <a:t>；短视频上周</a:t>
          </a:r>
          <a:r>
            <a:rPr lang="en-US" altLang="zh-CN" sz="1100"/>
            <a:t>1.12</a:t>
          </a:r>
          <a:r>
            <a:rPr lang="zh-CN" altLang="en-US" sz="1100"/>
            <a:t>开启投放，投放初期数据不稳定，一周后数据逐步稳定；</a:t>
          </a:r>
          <a:endParaRPr lang="zh-CN" altLang="en-US" sz="1100"/>
        </a:p>
        <a:p>
          <a:pPr algn="l"/>
          <a:r>
            <a:rPr lang="en-US" altLang="zh-CN" sz="1100"/>
            <a:t>2.</a:t>
          </a:r>
          <a:r>
            <a:rPr lang="zh-CN" altLang="en-US" sz="1100"/>
            <a:t>上周投放拉新快，花费</a:t>
          </a:r>
          <a:r>
            <a:rPr lang="en-US" altLang="zh-CN" sz="1100"/>
            <a:t>1947</a:t>
          </a:r>
          <a:r>
            <a:rPr lang="zh-CN" altLang="en-US" sz="1100"/>
            <a:t>，</a:t>
          </a:r>
          <a:r>
            <a:rPr lang="en-US" altLang="zh-CN" sz="1100"/>
            <a:t>ROI 0</a:t>
          </a:r>
          <a:r>
            <a:rPr lang="zh-CN" altLang="en-US" sz="1100"/>
            <a:t>，本周开始将这部分费用挪至活动加速，</a:t>
          </a:r>
          <a:r>
            <a:rPr lang="en-US" altLang="zh-CN" sz="1100"/>
            <a:t>ROI 11.</a:t>
          </a:r>
          <a:r>
            <a:rPr lang="en-US" sz="1100"/>
            <a:t>4</a:t>
          </a:r>
          <a:r>
            <a:rPr lang="zh-CN" altLang="en-US" sz="1100"/>
            <a:t>，活动加速费用可适当增加；</a:t>
          </a:r>
          <a:endParaRPr lang="en-US" sz="1100"/>
        </a:p>
        <a:p>
          <a:pPr algn="l"/>
          <a:r>
            <a:rPr lang="en-US" altLang="zh-CN" sz="1100"/>
            <a:t>3.</a:t>
          </a:r>
          <a:r>
            <a:rPr lang="zh-CN" altLang="en-US" sz="1100"/>
            <a:t>关键词推广本周</a:t>
          </a:r>
          <a:r>
            <a:rPr lang="en-US" altLang="zh-CN" sz="1100"/>
            <a:t>ROI</a:t>
          </a:r>
          <a:r>
            <a:rPr lang="zh-CN" altLang="en-US" sz="1100"/>
            <a:t>下滑</a:t>
          </a:r>
          <a:r>
            <a:rPr lang="en-US" altLang="zh-CN" sz="1100"/>
            <a:t>60%</a:t>
          </a:r>
          <a:r>
            <a:rPr lang="zh-CN" altLang="en-US" sz="1100"/>
            <a:t>，上周</a:t>
          </a:r>
          <a:r>
            <a:rPr lang="en-US" altLang="zh-CN" sz="1100"/>
            <a:t>17</a:t>
          </a:r>
          <a:r>
            <a:rPr lang="zh-CN" altLang="en-US" sz="1100"/>
            <a:t>号年货节晚</a:t>
          </a:r>
          <a:r>
            <a:rPr lang="en-US" altLang="zh-CN" sz="1100"/>
            <a:t>8</a:t>
          </a:r>
          <a:r>
            <a:rPr lang="zh-CN" altLang="en-US" sz="1100"/>
            <a:t>爆发，推广加购以及成交均随着活动节点有所提升，</a:t>
          </a:r>
          <a:r>
            <a:rPr lang="en-US" altLang="zh-CN" sz="1100"/>
            <a:t>ROI</a:t>
          </a:r>
          <a:r>
            <a:rPr lang="zh-CN" altLang="en-US" sz="1100"/>
            <a:t>高于本周；</a:t>
          </a:r>
          <a:endParaRPr lang="zh-CN" altLang="en-US" sz="1100"/>
        </a:p>
        <a:p>
          <a:pPr algn="l"/>
          <a:endParaRPr lang="zh-CN" altLang="en-US" sz="1100"/>
        </a:p>
      </xdr:txBody>
    </xdr:sp>
    <xdr:clientData/>
  </xdr:twoCellAnchor>
  <xdr:twoCellAnchor>
    <xdr:from>
      <xdr:col>0</xdr:col>
      <xdr:colOff>0</xdr:colOff>
      <xdr:row>15</xdr:row>
      <xdr:rowOff>0</xdr:rowOff>
    </xdr:from>
    <xdr:to>
      <xdr:col>10</xdr:col>
      <xdr:colOff>481330</xdr:colOff>
      <xdr:row>30</xdr:row>
      <xdr:rowOff>139700</xdr:rowOff>
    </xdr:to>
    <xdr:sp>
      <xdr:nvSpPr>
        <xdr:cNvPr id="3" name="文本框 2"/>
        <xdr:cNvSpPr txBox="1"/>
      </xdr:nvSpPr>
      <xdr:spPr>
        <a:xfrm>
          <a:off x="0" y="2743200"/>
          <a:ext cx="6424930" cy="289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lstStyle/>
        <a:p>
          <a:r>
            <a:rPr lang="zh-CN" altLang="en-US" sz="1100"/>
            <a:t>上周</a:t>
          </a:r>
          <a:r>
            <a:rPr lang="zh-CN" altLang="zh-CN" sz="1100">
              <a:solidFill>
                <a:schemeClr val="dk1"/>
              </a:solidFill>
              <a:effectLst/>
              <a:latin typeface="+mn-lt"/>
              <a:ea typeface="+mn-ea"/>
              <a:cs typeface="+mn-cs"/>
            </a:rPr>
            <a:t>（</a:t>
          </a:r>
          <a:r>
            <a:rPr lang="en-US" altLang="zh-CN" sz="1100">
              <a:solidFill>
                <a:schemeClr val="dk1"/>
              </a:solidFill>
              <a:effectLst/>
              <a:latin typeface="+mn-lt"/>
              <a:ea typeface="+mn-ea"/>
              <a:cs typeface="+mn-cs"/>
            </a:rPr>
            <a:t>1.18-1.24</a:t>
          </a:r>
          <a:r>
            <a:rPr lang="zh-CN" altLang="zh-CN" sz="1100">
              <a:solidFill>
                <a:schemeClr val="dk1"/>
              </a:solidFill>
              <a:effectLst/>
              <a:latin typeface="+mn-lt"/>
              <a:ea typeface="+mn-ea"/>
              <a:cs typeface="+mn-cs"/>
            </a:rPr>
            <a:t>）：推广花费34853.52，全店费率11.0%，ROI 4.2，环比提升</a:t>
          </a:r>
          <a:r>
            <a:rPr lang="en-US" altLang="zh-CN" sz="1100">
              <a:solidFill>
                <a:schemeClr val="dk1"/>
              </a:solidFill>
              <a:effectLst/>
              <a:latin typeface="+mn-lt"/>
              <a:ea typeface="+mn-ea"/>
              <a:cs typeface="+mn-cs"/>
            </a:rPr>
            <a:t>31%</a:t>
          </a:r>
          <a:r>
            <a:rPr lang="zh-CN" altLang="zh-CN" sz="1100">
              <a:solidFill>
                <a:schemeClr val="dk1"/>
              </a:solidFill>
              <a:effectLst/>
              <a:latin typeface="+mn-lt"/>
              <a:ea typeface="+mn-ea"/>
              <a:cs typeface="+mn-cs"/>
            </a:rPr>
            <a:t>；直通车直接加购成本</a:t>
          </a:r>
          <a:r>
            <a:rPr lang="en-US" altLang="zh-CN" sz="1100">
              <a:solidFill>
                <a:schemeClr val="dk1"/>
              </a:solidFill>
              <a:effectLst/>
              <a:latin typeface="+mn-lt"/>
              <a:ea typeface="+mn-ea"/>
              <a:cs typeface="+mn-cs"/>
            </a:rPr>
            <a:t>116</a:t>
          </a:r>
          <a:r>
            <a:rPr lang="zh-CN" altLang="zh-CN" sz="1100">
              <a:solidFill>
                <a:schemeClr val="dk1"/>
              </a:solidFill>
              <a:effectLst/>
              <a:latin typeface="+mn-lt"/>
              <a:ea typeface="+mn-ea"/>
              <a:cs typeface="+mn-cs"/>
            </a:rPr>
            <a:t>，新增追投计划直接加购成本</a:t>
          </a:r>
          <a:r>
            <a:rPr lang="en-US" altLang="zh-CN" sz="1100">
              <a:solidFill>
                <a:schemeClr val="dk1"/>
              </a:solidFill>
              <a:effectLst/>
              <a:latin typeface="+mn-lt"/>
              <a:ea typeface="+mn-ea"/>
              <a:cs typeface="+mn-cs"/>
            </a:rPr>
            <a:t>152</a:t>
          </a:r>
          <a:r>
            <a:rPr lang="zh-CN" altLang="en-US" sz="1100">
              <a:solidFill>
                <a:schemeClr val="dk1"/>
              </a:solidFill>
              <a:effectLst/>
              <a:latin typeface="+mn-lt"/>
              <a:ea typeface="+mn-ea"/>
              <a:cs typeface="+mn-cs"/>
            </a:rPr>
            <a:t>；</a:t>
          </a:r>
          <a:endParaRPr lang="en-US" altLang="zh-CN" sz="1100">
            <a:solidFill>
              <a:schemeClr val="dk1"/>
            </a:solidFill>
            <a:effectLst/>
            <a:latin typeface="+mn-lt"/>
            <a:ea typeface="+mn-ea"/>
            <a:cs typeface="+mn-cs"/>
          </a:endParaRPr>
        </a:p>
        <a:p>
          <a:r>
            <a:rPr lang="zh-CN" altLang="en-US" sz="1100"/>
            <a:t>本周（</a:t>
          </a:r>
          <a:r>
            <a:rPr lang="en-US" altLang="zh-CN" sz="1100"/>
            <a:t>1.25-1.31</a:t>
          </a:r>
          <a:r>
            <a:rPr lang="zh-CN" altLang="en-US" sz="1100"/>
            <a:t>）：推广花费</a:t>
          </a:r>
          <a:r>
            <a:rPr lang="en-US" altLang="zh-CN" sz="1100"/>
            <a:t>32785.3</a:t>
          </a:r>
          <a:r>
            <a:rPr lang="zh-CN" altLang="en-US" sz="1100"/>
            <a:t>，全店费率1</a:t>
          </a:r>
          <a:r>
            <a:rPr lang="en-US" altLang="zh-CN" sz="1100"/>
            <a:t>0</a:t>
          </a:r>
          <a:r>
            <a:rPr lang="zh-CN" altLang="en-US" sz="1100"/>
            <a:t>.</a:t>
          </a:r>
          <a:r>
            <a:rPr lang="en-US" altLang="zh-CN" sz="1100"/>
            <a:t>8</a:t>
          </a:r>
          <a:r>
            <a:rPr lang="zh-CN" altLang="en-US" sz="1100"/>
            <a:t>%，ROI 4.</a:t>
          </a:r>
          <a:r>
            <a:rPr lang="en-US" altLang="zh-CN" sz="1100"/>
            <a:t>0</a:t>
          </a:r>
          <a:r>
            <a:rPr lang="zh-CN" altLang="en-US" sz="1100"/>
            <a:t>，环比下滑</a:t>
          </a:r>
          <a:r>
            <a:rPr lang="en-US" altLang="zh-CN" sz="1100"/>
            <a:t>5%</a:t>
          </a:r>
          <a:r>
            <a:rPr lang="zh-CN" altLang="en-US" sz="1100"/>
            <a:t>；直通车直接加购成本</a:t>
          </a:r>
          <a:r>
            <a:rPr lang="en-US" altLang="zh-CN" sz="1100"/>
            <a:t>136</a:t>
          </a:r>
          <a:r>
            <a:rPr lang="zh-CN" altLang="en-US" sz="1100"/>
            <a:t>，</a:t>
          </a:r>
          <a:r>
            <a:rPr lang="zh-CN" altLang="en-US">
              <a:sym typeface="+mn-ea"/>
            </a:rPr>
            <a:t>新增追投计划直接加购成本</a:t>
          </a:r>
          <a:r>
            <a:rPr lang="en-US" altLang="zh-CN" sz="1100"/>
            <a:t>613</a:t>
          </a:r>
          <a:r>
            <a:rPr lang="zh-CN" altLang="en-US" sz="1100"/>
            <a:t>；</a:t>
          </a:r>
          <a:endParaRPr lang="zh-CN" altLang="en-US" sz="1100"/>
        </a:p>
        <a:p>
          <a:pPr algn="l"/>
          <a:endParaRPr lang="en-US" altLang="zh-CN" sz="1100"/>
        </a:p>
        <a:p>
          <a:r>
            <a:rPr lang="zh-CN" altLang="en-US"/>
            <a:t>推广：推广费</a:t>
          </a:r>
          <a:r>
            <a:rPr lang="en-US" altLang="zh-CN"/>
            <a:t>34853.52</a:t>
          </a:r>
          <a:r>
            <a:rPr lang="zh-CN" altLang="en-US"/>
            <a:t>，全店费率</a:t>
          </a:r>
          <a:r>
            <a:rPr lang="en-US" altLang="zh-CN"/>
            <a:t>10.8%</a:t>
          </a:r>
          <a:r>
            <a:rPr lang="zh-CN" altLang="en-US"/>
            <a:t>，</a:t>
          </a:r>
          <a:r>
            <a:rPr lang="en-US" altLang="zh-CN"/>
            <a:t>ROI 4.0</a:t>
          </a:r>
          <a:endParaRPr lang="en-US" altLang="zh-CN"/>
        </a:p>
        <a:p>
          <a:pPr marL="0" marR="0" lvl="0" indent="0" defTabSz="914400" eaLnBrk="1" fontAlgn="auto" latinLnBrk="0" hangingPunct="1">
            <a:lnSpc>
              <a:spcPct val="100000"/>
            </a:lnSpc>
            <a:spcBef>
              <a:spcPts val="0"/>
            </a:spcBef>
            <a:spcAft>
              <a:spcPts val="0"/>
            </a:spcAft>
            <a:buClrTx/>
            <a:buSzTx/>
            <a:buFontTx/>
            <a:buNone/>
            <a:defRPr/>
          </a:pPr>
          <a:r>
            <a:rPr lang="en-US" altLang="zh-CN"/>
            <a:t>1</a:t>
          </a:r>
          <a:r>
            <a:rPr lang="en-US" altLang="zh-CN" sz="1100">
              <a:solidFill>
                <a:schemeClr val="dk1"/>
              </a:solidFill>
              <a:effectLst/>
              <a:latin typeface="+mn-lt"/>
              <a:ea typeface="+mn-ea"/>
              <a:cs typeface="+mn-cs"/>
            </a:rPr>
            <a:t>.800g</a:t>
          </a:r>
          <a:r>
            <a:rPr lang="zh-CN" altLang="zh-CN" sz="1100">
              <a:solidFill>
                <a:schemeClr val="dk1"/>
              </a:solidFill>
              <a:effectLst/>
              <a:latin typeface="+mn-lt"/>
              <a:ea typeface="+mn-ea"/>
              <a:cs typeface="+mn-cs"/>
            </a:rPr>
            <a:t>拆分的新计划精准匹配，本周加购成本较少，加购成本高，控制花费；</a:t>
          </a:r>
          <a:endParaRPr lang="zh-CN" altLang="en-US"/>
        </a:p>
        <a:p>
          <a:r>
            <a:rPr lang="en-US" altLang="zh-CN"/>
            <a:t>2.</a:t>
          </a:r>
          <a:r>
            <a:rPr lang="zh-CN" altLang="en-US"/>
            <a:t>上线一版宣传</a:t>
          </a:r>
          <a:r>
            <a:rPr lang="en-US" altLang="zh-CN"/>
            <a:t>5</a:t>
          </a:r>
          <a:r>
            <a:rPr lang="zh-CN" altLang="en-US"/>
            <a:t>年长效滤芯的车图投放，目前点击率</a:t>
          </a:r>
          <a:r>
            <a:rPr lang="en-US" altLang="zh-CN"/>
            <a:t>4%</a:t>
          </a:r>
          <a:r>
            <a:rPr lang="zh-CN" altLang="en-US"/>
            <a:t>，稍高于主图，继续使用；</a:t>
          </a:r>
          <a:endParaRPr lang="zh-CN" altLang="en-US"/>
        </a:p>
        <a:p>
          <a:r>
            <a:rPr lang="en-US" altLang="zh-CN"/>
            <a:t>3.</a:t>
          </a:r>
          <a:r>
            <a:rPr lang="zh-CN" altLang="en-US"/>
            <a:t>鉴于上周拉新有成交数据，本周继续开启投放，目前加购</a:t>
          </a:r>
          <a:r>
            <a:rPr lang="en-US" altLang="zh-CN"/>
            <a:t>2</a:t>
          </a:r>
          <a:r>
            <a:rPr lang="zh-CN" altLang="en-US"/>
            <a:t>，后续监控成交数据；</a:t>
          </a:r>
          <a:endParaRPr lang="en-US" altLang="zh-CN"/>
        </a:p>
        <a:p>
          <a:endParaRPr lang="en-US" altLang="zh-CN" sz="1100"/>
        </a:p>
        <a:p>
          <a:r>
            <a:rPr lang="zh-CN" altLang="en-US" sz="1100"/>
            <a:t>下周计划：</a:t>
          </a:r>
          <a:endParaRPr lang="en-US" altLang="zh-CN" sz="1100"/>
        </a:p>
        <a:p>
          <a:r>
            <a:rPr lang="en-US" altLang="zh-CN" sz="1100"/>
            <a:t>1.</a:t>
          </a:r>
          <a:r>
            <a:rPr lang="zh-CN" altLang="en-US" sz="1100"/>
            <a:t>台净投放重新规划并执行；</a:t>
          </a:r>
          <a:endParaRPr lang="en-US" altLang="zh-CN" sz="1100"/>
        </a:p>
        <a:p>
          <a:r>
            <a:rPr lang="en-US" altLang="zh-CN" sz="1100"/>
            <a:t>2.</a:t>
          </a:r>
          <a:r>
            <a:rPr lang="zh-CN" altLang="en-US" sz="1100"/>
            <a:t>新上线车图点击率数据监控；</a:t>
          </a:r>
          <a:endParaRPr lang="en-US" altLang="zh-CN" sz="1100"/>
        </a:p>
        <a:p>
          <a:r>
            <a:rPr lang="en-US" altLang="zh-CN" sz="1100"/>
            <a:t>3.</a:t>
          </a:r>
          <a:r>
            <a:rPr lang="zh-CN" altLang="en-US" sz="1100"/>
            <a:t>过年假期投放计划确认；</a:t>
          </a:r>
          <a:endParaRPr lang="zh-CN" altLang="en-US" sz="1100"/>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7030A0"/>
  </sheetPr>
  <dimension ref="A1:WXQ131"/>
  <sheetViews>
    <sheetView showGridLines="0" tabSelected="1" zoomScale="85" zoomScaleNormal="85" workbookViewId="0">
      <pane ySplit="2" topLeftCell="A3" activePane="bottomLeft" state="frozen"/>
      <selection/>
      <selection pane="bottomLeft" activeCell="GK16" sqref="GK16"/>
    </sheetView>
  </sheetViews>
  <sheetFormatPr defaultColWidth="8.88888888888889" defaultRowHeight="16.2"/>
  <cols>
    <col min="1" max="1" width="15.9444444444444" style="49" hidden="1" customWidth="1"/>
    <col min="2" max="2" width="15.5555555555556" style="50" customWidth="1"/>
    <col min="3" max="3" width="14.6666666666667" style="50" customWidth="1"/>
    <col min="4" max="4" width="9.55555555555556" style="25" hidden="1" customWidth="1"/>
    <col min="5" max="16" width="9.88888888888889" style="49" hidden="1" customWidth="1"/>
    <col min="17" max="17" width="9.60185185185185" style="25" hidden="1" customWidth="1"/>
    <col min="18" max="20" width="8.66666666666667" style="49" hidden="1" customWidth="1"/>
    <col min="21" max="26" width="8.88888888888889" style="49" hidden="1" customWidth="1"/>
    <col min="27" max="27" width="9.09259259259259" style="49" hidden="1" customWidth="1"/>
    <col min="28" max="44" width="8.88888888888889" style="49" hidden="1" customWidth="1"/>
    <col min="45" max="45" width="9.09259259259259" style="49" hidden="1" customWidth="1"/>
    <col min="46" max="48" width="8.88888888888889" style="49" hidden="1" customWidth="1"/>
    <col min="49" max="49" width="9.18518518518519" style="49"/>
    <col min="50" max="50" width="9.09259259259259" style="49" hidden="1" customWidth="1"/>
    <col min="51" max="52" width="8.88888888888889" style="49" hidden="1" customWidth="1"/>
    <col min="53" max="54" width="10.1851851851852" style="49" hidden="1" customWidth="1"/>
    <col min="55" max="56" width="9" style="49" hidden="1" customWidth="1"/>
    <col min="57" max="57" width="9.09259259259259" style="49" hidden="1" customWidth="1"/>
    <col min="58" max="77" width="9" style="49" hidden="1" customWidth="1"/>
    <col min="78" max="78" width="9.18518518518519" style="49"/>
    <col min="79" max="85" width="8.88888888888889" style="49" hidden="1" customWidth="1"/>
    <col min="86" max="86" width="8.43518518518519" style="49" hidden="1" customWidth="1"/>
    <col min="87" max="99" width="9" style="49" hidden="1" customWidth="1"/>
    <col min="100" max="100" width="9.47222222222222" style="49" hidden="1" customWidth="1"/>
    <col min="101" max="108" width="9" style="49" hidden="1" customWidth="1"/>
    <col min="109" max="109" width="8.88888888888889" style="49" hidden="1" customWidth="1"/>
    <col min="110" max="110" width="9.44444444444444" style="49"/>
    <col min="111" max="128" width="8.88888888888889" style="49" hidden="1" customWidth="1"/>
    <col min="129" max="129" width="9" style="49" hidden="1" customWidth="1"/>
    <col min="130" max="133" width="8.88888888888889" style="49" hidden="1" customWidth="1"/>
    <col min="134" max="140" width="9" style="49" hidden="1" customWidth="1"/>
    <col min="141" max="141" width="9.44444444444444" style="49"/>
    <col min="142" max="146" width="9" style="49" hidden="1" customWidth="1"/>
    <col min="147" max="147" width="8.88888888888889" style="49" hidden="1" customWidth="1"/>
    <col min="148" max="148" width="10.1851851851852" style="49" hidden="1" customWidth="1"/>
    <col min="149" max="155" width="8.88888888888889" style="49" hidden="1" customWidth="1"/>
    <col min="156" max="158" width="9.22222222222222" style="49" hidden="1" customWidth="1"/>
    <col min="159" max="160" width="9" style="49" hidden="1" customWidth="1"/>
    <col min="161" max="161" width="9.22222222222222" style="49" hidden="1" customWidth="1"/>
    <col min="162" max="162" width="9" style="49" hidden="1" customWidth="1"/>
    <col min="163" max="164" width="9.22222222222222" style="49" hidden="1" customWidth="1"/>
    <col min="165" max="165" width="9.55555555555556" style="49" hidden="1" customWidth="1"/>
    <col min="166" max="168" width="9.22222222222222" style="49" hidden="1" customWidth="1"/>
    <col min="169" max="169" width="9" style="49" hidden="1" customWidth="1"/>
    <col min="170" max="170" width="9.22222222222222" style="49" hidden="1" customWidth="1"/>
    <col min="171" max="171" width="9.55555555555556" style="49" hidden="1" customWidth="1"/>
    <col min="172" max="172" width="9.22222222222222" style="49" hidden="1" customWidth="1"/>
    <col min="173" max="173" width="9.18518518518519" style="49" customWidth="1"/>
    <col min="174" max="174" width="9.22222222222222" style="49" hidden="1" customWidth="1"/>
    <col min="175" max="175" width="9.55555555555556" style="49" hidden="1" customWidth="1"/>
    <col min="176" max="182" width="9.22222222222222" style="49" hidden="1" customWidth="1"/>
    <col min="183" max="183" width="9" style="49" hidden="1" customWidth="1"/>
    <col min="184" max="184" width="9.22222222222222" style="49"/>
    <col min="185" max="185" width="9" style="49"/>
    <col min="186" max="187" width="9.22222222222222" style="49"/>
    <col min="188" max="189" width="9" style="49" customWidth="1"/>
    <col min="190" max="190" width="9" style="49"/>
    <col min="191" max="191" width="9" style="49" customWidth="1"/>
    <col min="192" max="194" width="9" style="49"/>
    <col min="195" max="198" width="9" style="49" hidden="1" customWidth="1"/>
    <col min="199" max="16384" width="8.88888888888889" style="49"/>
  </cols>
  <sheetData>
    <row r="1" s="46" customFormat="1" ht="52" customHeight="1" spans="1:1024 1025:16189">
      <c r="A1" s="51" t="s">
        <v>0</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c r="DW1" s="52"/>
      <c r="DX1" s="52"/>
      <c r="DY1" s="52"/>
      <c r="DZ1" s="52"/>
      <c r="EA1" s="52"/>
      <c r="EB1" s="52"/>
      <c r="EC1" s="52"/>
      <c r="ED1" s="52"/>
      <c r="EE1" s="52"/>
      <c r="EF1" s="52"/>
      <c r="EG1" s="52"/>
      <c r="EH1" s="52"/>
      <c r="EI1" s="52"/>
      <c r="EJ1" s="52"/>
      <c r="EK1" s="52"/>
      <c r="EL1" s="52"/>
      <c r="EM1" s="52"/>
      <c r="EN1" s="52"/>
      <c r="EO1" s="52"/>
      <c r="EP1" s="52"/>
      <c r="EQ1" s="52"/>
      <c r="ER1" s="52"/>
      <c r="ES1" s="52"/>
      <c r="ET1" s="52"/>
      <c r="EU1" s="52"/>
      <c r="EV1" s="52"/>
      <c r="EW1" s="52"/>
      <c r="EX1" s="52"/>
      <c r="EY1" s="52"/>
      <c r="EZ1" s="52"/>
      <c r="FA1" s="52"/>
      <c r="FB1" s="52"/>
      <c r="FC1" s="52"/>
      <c r="FD1" s="52"/>
      <c r="FE1" s="52"/>
      <c r="FF1" s="52"/>
      <c r="FG1" s="52"/>
      <c r="FH1" s="52"/>
      <c r="FI1" s="52"/>
      <c r="FJ1" s="52"/>
      <c r="FK1" s="52"/>
      <c r="FL1" s="52"/>
      <c r="FM1" s="52"/>
      <c r="FN1" s="52"/>
      <c r="FO1" s="52"/>
      <c r="FP1" s="52"/>
      <c r="FQ1" s="52"/>
      <c r="FR1" s="52"/>
      <c r="FS1" s="53"/>
      <c r="FT1" s="53"/>
      <c r="FU1" s="53"/>
      <c r="FV1" s="53"/>
      <c r="FW1" s="53"/>
      <c r="FX1" s="53"/>
      <c r="FY1" s="53"/>
      <c r="FZ1" s="53"/>
      <c r="GA1" s="53"/>
      <c r="GB1" s="53"/>
      <c r="GC1" s="53"/>
      <c r="GD1" s="53"/>
      <c r="GE1" s="53"/>
      <c r="GF1" s="53"/>
      <c r="GG1" s="53"/>
      <c r="GH1" s="53"/>
      <c r="GI1" s="53"/>
      <c r="GJ1" s="53"/>
      <c r="GK1" s="53"/>
      <c r="GL1" s="53"/>
      <c r="GM1" s="53"/>
      <c r="GN1" s="53"/>
      <c r="GO1" s="53"/>
      <c r="GP1" s="53"/>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row>
    <row r="2" ht="33" customHeight="1" spans="1:1024 1025:16189">
      <c r="A2" s="54" t="s">
        <v>1</v>
      </c>
      <c r="B2" s="55" t="s">
        <v>2</v>
      </c>
      <c r="C2" s="56" t="s">
        <v>3</v>
      </c>
      <c r="D2" s="55" t="s">
        <v>4</v>
      </c>
      <c r="E2" s="57">
        <v>46011</v>
      </c>
      <c r="F2" s="57">
        <v>46012</v>
      </c>
      <c r="G2" s="57">
        <v>46013</v>
      </c>
      <c r="H2" s="57">
        <v>46014</v>
      </c>
      <c r="I2" s="57">
        <v>46015</v>
      </c>
      <c r="J2" s="57">
        <v>46016</v>
      </c>
      <c r="K2" s="57">
        <v>46017</v>
      </c>
      <c r="L2" s="57">
        <v>46018</v>
      </c>
      <c r="M2" s="57">
        <v>46019</v>
      </c>
      <c r="N2" s="57">
        <v>46020</v>
      </c>
      <c r="O2" s="57">
        <v>46021</v>
      </c>
      <c r="P2" s="57">
        <v>46022</v>
      </c>
      <c r="Q2" s="55" t="s">
        <v>5</v>
      </c>
      <c r="R2" s="57">
        <v>46023</v>
      </c>
      <c r="S2" s="57">
        <v>46024</v>
      </c>
      <c r="T2" s="57">
        <v>46025</v>
      </c>
      <c r="U2" s="57">
        <v>46026</v>
      </c>
      <c r="V2" s="57">
        <v>46027</v>
      </c>
      <c r="W2" s="57">
        <v>46028</v>
      </c>
      <c r="X2" s="57">
        <v>46029</v>
      </c>
      <c r="Y2" s="57">
        <v>46030</v>
      </c>
      <c r="Z2" s="57">
        <v>46031</v>
      </c>
      <c r="AA2" s="57">
        <v>46032</v>
      </c>
      <c r="AB2" s="57">
        <v>46033</v>
      </c>
      <c r="AC2" s="57">
        <v>46034</v>
      </c>
      <c r="AD2" s="57">
        <v>46035</v>
      </c>
      <c r="AE2" s="57">
        <v>46036</v>
      </c>
      <c r="AF2" s="57">
        <v>46037</v>
      </c>
      <c r="AG2" s="57">
        <v>46038</v>
      </c>
      <c r="AH2" s="57">
        <v>46039</v>
      </c>
      <c r="AI2" s="57">
        <v>46040</v>
      </c>
      <c r="AJ2" s="57">
        <v>46041</v>
      </c>
      <c r="AK2" s="57">
        <v>46042</v>
      </c>
      <c r="AL2" s="57">
        <v>46043</v>
      </c>
      <c r="AM2" s="57">
        <v>46044</v>
      </c>
      <c r="AN2" s="57">
        <v>46045</v>
      </c>
      <c r="AO2" s="57">
        <v>46046</v>
      </c>
      <c r="AP2" s="57">
        <v>46047</v>
      </c>
      <c r="AQ2" s="57">
        <v>46048</v>
      </c>
      <c r="AR2" s="57">
        <v>46049</v>
      </c>
      <c r="AS2" s="57">
        <v>46050</v>
      </c>
      <c r="AT2" s="57">
        <v>46051</v>
      </c>
      <c r="AU2" s="57">
        <v>46052</v>
      </c>
      <c r="AV2" s="57">
        <v>46053</v>
      </c>
      <c r="AW2" s="58" t="s">
        <v>6</v>
      </c>
      <c r="AX2" s="57">
        <v>46054</v>
      </c>
      <c r="AY2" s="57">
        <v>46055</v>
      </c>
      <c r="AZ2" s="57">
        <v>46056</v>
      </c>
      <c r="BA2" s="57">
        <v>46057</v>
      </c>
      <c r="BB2" s="57">
        <v>46058</v>
      </c>
      <c r="BC2" s="57">
        <v>46059</v>
      </c>
      <c r="BD2" s="57">
        <v>46060</v>
      </c>
      <c r="BE2" s="57">
        <v>46061</v>
      </c>
      <c r="BF2" s="57">
        <v>46062</v>
      </c>
      <c r="BG2" s="57">
        <v>46063</v>
      </c>
      <c r="BH2" s="57">
        <v>46064</v>
      </c>
      <c r="BI2" s="57">
        <v>46065</v>
      </c>
      <c r="BJ2" s="57">
        <v>46066</v>
      </c>
      <c r="BK2" s="57">
        <v>46067</v>
      </c>
      <c r="BL2" s="57">
        <v>46068</v>
      </c>
      <c r="BM2" s="57">
        <v>46069</v>
      </c>
      <c r="BN2" s="57">
        <v>46070</v>
      </c>
      <c r="BO2" s="57">
        <v>46071</v>
      </c>
      <c r="BP2" s="57">
        <v>46072</v>
      </c>
      <c r="BQ2" s="57">
        <v>46073</v>
      </c>
      <c r="BR2" s="57">
        <v>46074</v>
      </c>
      <c r="BS2" s="57">
        <v>46075</v>
      </c>
      <c r="BT2" s="57">
        <v>46076</v>
      </c>
      <c r="BU2" s="57">
        <v>46077</v>
      </c>
      <c r="BV2" s="57">
        <v>46078</v>
      </c>
      <c r="BW2" s="57">
        <v>46079</v>
      </c>
      <c r="BX2" s="57">
        <v>46080</v>
      </c>
      <c r="BY2" s="57">
        <v>46081</v>
      </c>
      <c r="BZ2" s="58" t="s">
        <v>7</v>
      </c>
      <c r="CA2" s="57">
        <v>46082</v>
      </c>
      <c r="CB2" s="57">
        <v>46083</v>
      </c>
      <c r="CC2" s="57">
        <v>46084</v>
      </c>
      <c r="CD2" s="57">
        <v>46085</v>
      </c>
      <c r="CE2" s="57">
        <v>46086</v>
      </c>
      <c r="CF2" s="57">
        <v>46087</v>
      </c>
      <c r="CG2" s="57">
        <v>46088</v>
      </c>
      <c r="CH2" s="57">
        <v>46089</v>
      </c>
      <c r="CI2" s="57">
        <v>46090</v>
      </c>
      <c r="CJ2" s="57">
        <v>46091</v>
      </c>
      <c r="CK2" s="57">
        <v>46092</v>
      </c>
      <c r="CL2" s="57">
        <v>46093</v>
      </c>
      <c r="CM2" s="57">
        <v>46094</v>
      </c>
      <c r="CN2" s="57">
        <v>46095</v>
      </c>
      <c r="CO2" s="57">
        <v>46096</v>
      </c>
      <c r="CP2" s="57">
        <v>46097</v>
      </c>
      <c r="CQ2" s="57">
        <v>46098</v>
      </c>
      <c r="CR2" s="57">
        <v>46099</v>
      </c>
      <c r="CS2" s="57">
        <v>46100</v>
      </c>
      <c r="CT2" s="57">
        <v>46101</v>
      </c>
      <c r="CU2" s="57">
        <v>46102</v>
      </c>
      <c r="CV2" s="57">
        <v>46103</v>
      </c>
      <c r="CW2" s="57">
        <v>46104</v>
      </c>
      <c r="CX2" s="57">
        <v>46105</v>
      </c>
      <c r="CY2" s="57">
        <v>46106</v>
      </c>
      <c r="CZ2" s="57">
        <v>46107</v>
      </c>
      <c r="DA2" s="57">
        <v>46108</v>
      </c>
      <c r="DB2" s="57">
        <v>46109</v>
      </c>
      <c r="DC2" s="57">
        <v>46110</v>
      </c>
      <c r="DD2" s="57">
        <v>46111</v>
      </c>
      <c r="DE2" s="57">
        <v>46112</v>
      </c>
      <c r="DF2" s="58" t="s">
        <v>8</v>
      </c>
      <c r="DG2" s="57">
        <v>46113</v>
      </c>
      <c r="DH2" s="57">
        <v>46114</v>
      </c>
      <c r="DI2" s="57">
        <v>46115</v>
      </c>
      <c r="DJ2" s="57">
        <v>46116</v>
      </c>
      <c r="DK2" s="57">
        <v>46117</v>
      </c>
      <c r="DL2" s="57">
        <v>46118</v>
      </c>
      <c r="DM2" s="57">
        <v>46119</v>
      </c>
      <c r="DN2" s="57">
        <v>46120</v>
      </c>
      <c r="DO2" s="57">
        <v>46121</v>
      </c>
      <c r="DP2" s="57">
        <v>46122</v>
      </c>
      <c r="DQ2" s="57">
        <v>46123</v>
      </c>
      <c r="DR2" s="57">
        <v>46124</v>
      </c>
      <c r="DS2" s="57">
        <v>46125</v>
      </c>
      <c r="DT2" s="57">
        <v>46126</v>
      </c>
      <c r="DU2" s="57">
        <v>46127</v>
      </c>
      <c r="DV2" s="57">
        <v>46128</v>
      </c>
      <c r="DW2" s="57">
        <v>46129</v>
      </c>
      <c r="DX2" s="57">
        <v>46130</v>
      </c>
      <c r="DY2" s="57">
        <v>46131</v>
      </c>
      <c r="DZ2" s="57">
        <v>46132</v>
      </c>
      <c r="EA2" s="57">
        <v>46133</v>
      </c>
      <c r="EB2" s="57">
        <v>46134</v>
      </c>
      <c r="EC2" s="57">
        <v>46135</v>
      </c>
      <c r="ED2" s="57">
        <v>46136</v>
      </c>
      <c r="EE2" s="57">
        <v>46137</v>
      </c>
      <c r="EF2" s="57">
        <v>46138</v>
      </c>
      <c r="EG2" s="57">
        <v>46139</v>
      </c>
      <c r="EH2" s="57">
        <v>46140</v>
      </c>
      <c r="EI2" s="57">
        <v>46141</v>
      </c>
      <c r="EJ2" s="57">
        <v>46142</v>
      </c>
      <c r="EK2" s="58" t="s">
        <v>9</v>
      </c>
      <c r="EL2" s="57">
        <v>46143</v>
      </c>
      <c r="EM2" s="57">
        <v>46144</v>
      </c>
      <c r="EN2" s="57">
        <v>46145</v>
      </c>
      <c r="EO2" s="57">
        <v>46146</v>
      </c>
      <c r="EP2" s="57">
        <v>46147</v>
      </c>
      <c r="EQ2" s="57">
        <v>46148</v>
      </c>
      <c r="ER2" s="57">
        <v>46149</v>
      </c>
      <c r="ES2" s="57">
        <v>46150</v>
      </c>
      <c r="ET2" s="57">
        <v>46151</v>
      </c>
      <c r="EU2" s="57">
        <v>46152</v>
      </c>
      <c r="EV2" s="57">
        <v>46153</v>
      </c>
      <c r="EW2" s="57">
        <v>46154</v>
      </c>
      <c r="EX2" s="57">
        <v>46155</v>
      </c>
      <c r="EY2" s="57">
        <v>46156</v>
      </c>
      <c r="EZ2" s="57">
        <v>46157</v>
      </c>
      <c r="FA2" s="57">
        <v>46158</v>
      </c>
      <c r="FB2" s="57">
        <v>46159</v>
      </c>
      <c r="FC2" s="57">
        <v>46160</v>
      </c>
      <c r="FD2" s="59">
        <v>46161</v>
      </c>
      <c r="FE2" s="59">
        <v>46162</v>
      </c>
      <c r="FF2" s="59">
        <v>46163</v>
      </c>
      <c r="FG2" s="59">
        <v>46164</v>
      </c>
      <c r="FH2" s="59">
        <v>46165</v>
      </c>
      <c r="FI2" s="59">
        <v>46166</v>
      </c>
      <c r="FJ2" s="59">
        <v>46167</v>
      </c>
      <c r="FK2" s="59">
        <v>46168</v>
      </c>
      <c r="FL2" s="59">
        <v>46169</v>
      </c>
      <c r="FM2" s="59">
        <v>46170</v>
      </c>
      <c r="FN2" s="59">
        <v>46171</v>
      </c>
      <c r="FO2" s="59">
        <v>46172</v>
      </c>
      <c r="FP2" s="59">
        <v>46173</v>
      </c>
      <c r="FQ2" s="58" t="s">
        <v>10</v>
      </c>
      <c r="FR2" s="59">
        <v>46174</v>
      </c>
      <c r="FS2" s="59">
        <v>46175</v>
      </c>
      <c r="FT2" s="59">
        <v>46176</v>
      </c>
      <c r="FU2" s="59">
        <v>46177</v>
      </c>
      <c r="FV2" s="59">
        <v>46178</v>
      </c>
      <c r="FW2" s="59">
        <v>46179</v>
      </c>
      <c r="FX2" s="59">
        <v>46180</v>
      </c>
      <c r="FY2" s="59">
        <v>46181</v>
      </c>
      <c r="FZ2" s="59">
        <v>46182</v>
      </c>
      <c r="GA2" s="59">
        <v>46183</v>
      </c>
      <c r="GB2" s="59">
        <v>46184</v>
      </c>
      <c r="GC2" s="59">
        <v>46185</v>
      </c>
      <c r="GD2" s="59">
        <v>46186</v>
      </c>
      <c r="GE2" s="59">
        <v>46187</v>
      </c>
      <c r="GF2" s="59">
        <v>46188</v>
      </c>
      <c r="GG2" s="59">
        <v>46189</v>
      </c>
      <c r="GH2" s="59">
        <v>46190</v>
      </c>
      <c r="GI2" s="59">
        <v>46191</v>
      </c>
      <c r="GJ2" s="59">
        <v>46192</v>
      </c>
      <c r="GK2" s="59">
        <v>46193</v>
      </c>
      <c r="GL2" s="59">
        <v>46194</v>
      </c>
      <c r="GM2" s="59">
        <v>46195</v>
      </c>
      <c r="GN2" s="59">
        <v>46196</v>
      </c>
      <c r="GO2" s="59">
        <v>46197</v>
      </c>
      <c r="GP2" s="59">
        <v>46198</v>
      </c>
    </row>
    <row r="3" spans="1:1024 1025:16189">
      <c r="A3" s="60"/>
      <c r="B3" s="61" t="s">
        <v>11</v>
      </c>
      <c r="C3" s="62" t="s">
        <v>12</v>
      </c>
      <c r="D3" s="63" t="e">
        <f>SUM(E3:P3)</f>
        <v>#REF!</v>
      </c>
      <c r="E3" s="64" t="e">
        <f>E20+E29+E38+E47+E56+E65</f>
        <v>#REF!</v>
      </c>
      <c r="F3" s="64" t="e">
        <f t="shared" ref="F3:P3" si="0">F20+F29+F38+F47+F56+F65</f>
        <v>#REF!</v>
      </c>
      <c r="G3" s="64" t="e">
        <f t="shared" si="0"/>
        <v>#REF!</v>
      </c>
      <c r="H3" s="64" t="e">
        <f t="shared" si="0"/>
        <v>#REF!</v>
      </c>
      <c r="I3" s="64" t="e">
        <f t="shared" si="0"/>
        <v>#REF!</v>
      </c>
      <c r="J3" s="64" t="e">
        <f t="shared" si="0"/>
        <v>#REF!</v>
      </c>
      <c r="K3" s="64" t="e">
        <f t="shared" si="0"/>
        <v>#REF!</v>
      </c>
      <c r="L3" s="64" t="e">
        <f t="shared" si="0"/>
        <v>#REF!</v>
      </c>
      <c r="M3" s="64" t="e">
        <f t="shared" si="0"/>
        <v>#REF!</v>
      </c>
      <c r="N3" s="64" t="e">
        <f t="shared" si="0"/>
        <v>#REF!</v>
      </c>
      <c r="O3" s="64" t="e">
        <f t="shared" si="0"/>
        <v>#REF!</v>
      </c>
      <c r="P3" s="64" t="e">
        <f t="shared" si="0"/>
        <v>#REF!</v>
      </c>
      <c r="Q3" s="65">
        <f>SUM(R3:AV3)</f>
        <v>10202.72</v>
      </c>
      <c r="R3" s="64">
        <f>R20+R29+R38+R47+R56+R65</f>
        <v>230.73</v>
      </c>
      <c r="S3" s="64">
        <f>S20+S29+S38+S47+S56+S65</f>
        <v>229.7</v>
      </c>
      <c r="T3" s="64">
        <f>T20+T29+T38+T47+T56+T65</f>
        <v>286.36</v>
      </c>
      <c r="U3" s="64">
        <f t="shared" ref="U3:AL3" si="1">U20+U29+U38+U47+U56+U65</f>
        <v>428.62</v>
      </c>
      <c r="V3" s="64">
        <f t="shared" si="1"/>
        <v>348.76</v>
      </c>
      <c r="W3" s="64">
        <f t="shared" si="1"/>
        <v>374.2</v>
      </c>
      <c r="X3" s="64">
        <f t="shared" si="1"/>
        <v>313.85</v>
      </c>
      <c r="Y3" s="64">
        <f t="shared" si="1"/>
        <v>377</v>
      </c>
      <c r="Z3" s="64">
        <f t="shared" si="1"/>
        <v>406.28</v>
      </c>
      <c r="AA3" s="64">
        <f t="shared" si="1"/>
        <v>366.03</v>
      </c>
      <c r="AB3" s="64">
        <f t="shared" si="1"/>
        <v>365.03</v>
      </c>
      <c r="AC3" s="64">
        <f t="shared" si="1"/>
        <v>356.36</v>
      </c>
      <c r="AD3" s="64">
        <f t="shared" si="1"/>
        <v>343.31</v>
      </c>
      <c r="AE3" s="64">
        <f t="shared" si="1"/>
        <v>385.21</v>
      </c>
      <c r="AF3" s="64">
        <f t="shared" si="1"/>
        <v>349.04</v>
      </c>
      <c r="AG3" s="64">
        <f t="shared" si="1"/>
        <v>394.66</v>
      </c>
      <c r="AH3" s="64">
        <f t="shared" si="1"/>
        <v>381.95</v>
      </c>
      <c r="AI3" s="64">
        <f t="shared" si="1"/>
        <v>431.29</v>
      </c>
      <c r="AJ3" s="64">
        <f t="shared" si="1"/>
        <v>434.2</v>
      </c>
      <c r="AK3" s="64">
        <f t="shared" si="1"/>
        <v>255.74</v>
      </c>
      <c r="AL3" s="64">
        <f t="shared" ref="AL3:AX3" si="2">AL20+AL29+AL38+AL47+AL56+AL65</f>
        <v>236.37</v>
      </c>
      <c r="AM3" s="64">
        <f t="shared" si="2"/>
        <v>297.44</v>
      </c>
      <c r="AN3" s="64">
        <f t="shared" si="2"/>
        <v>291.08</v>
      </c>
      <c r="AO3" s="64">
        <f t="shared" si="2"/>
        <v>301.31</v>
      </c>
      <c r="AP3" s="64">
        <f t="shared" si="2"/>
        <v>299.68</v>
      </c>
      <c r="AQ3" s="64">
        <f t="shared" si="2"/>
        <v>289.26</v>
      </c>
      <c r="AR3" s="64">
        <f t="shared" si="2"/>
        <v>324.39</v>
      </c>
      <c r="AS3" s="64">
        <f t="shared" si="2"/>
        <v>271.29</v>
      </c>
      <c r="AT3" s="64">
        <f t="shared" si="2"/>
        <v>274.98</v>
      </c>
      <c r="AU3" s="64">
        <f t="shared" si="2"/>
        <v>291.16</v>
      </c>
      <c r="AV3" s="64">
        <f t="shared" si="2"/>
        <v>267.44</v>
      </c>
      <c r="AW3" s="65">
        <f>SUM(AX3:BY3)</f>
        <v>5679.7</v>
      </c>
      <c r="AX3" s="64">
        <f t="shared" ref="AX3:BH3" si="3">AX20+AX29+AX38+AX47+AX56+AX65</f>
        <v>273.95</v>
      </c>
      <c r="AY3" s="64">
        <f t="shared" si="3"/>
        <v>285.71</v>
      </c>
      <c r="AZ3" s="64">
        <f t="shared" si="3"/>
        <v>260.76</v>
      </c>
      <c r="BA3" s="64">
        <f t="shared" si="3"/>
        <v>261.42</v>
      </c>
      <c r="BB3" s="64">
        <f t="shared" si="3"/>
        <v>272.63</v>
      </c>
      <c r="BC3" s="64">
        <f t="shared" si="3"/>
        <v>261.13</v>
      </c>
      <c r="BD3" s="64">
        <f t="shared" si="3"/>
        <v>256.67</v>
      </c>
      <c r="BE3" s="64">
        <f t="shared" si="3"/>
        <v>270.07</v>
      </c>
      <c r="BF3" s="64">
        <f t="shared" si="3"/>
        <v>262.92</v>
      </c>
      <c r="BG3" s="64">
        <f t="shared" si="3"/>
        <v>259.55</v>
      </c>
      <c r="BH3" s="64">
        <f t="shared" si="3"/>
        <v>231.69</v>
      </c>
      <c r="BI3" s="64">
        <f t="shared" ref="BI3:BW3" si="4">BI20+BI29+BI38+BI47+BI56+BI65</f>
        <v>231.01</v>
      </c>
      <c r="BJ3" s="64">
        <f t="shared" si="4"/>
        <v>236.4</v>
      </c>
      <c r="BK3" s="64">
        <f t="shared" si="4"/>
        <v>228.15</v>
      </c>
      <c r="BL3" s="64">
        <f t="shared" si="4"/>
        <v>127.86</v>
      </c>
      <c r="BM3" s="64">
        <f t="shared" si="4"/>
        <v>83.96</v>
      </c>
      <c r="BN3" s="64">
        <f t="shared" si="4"/>
        <v>112.33</v>
      </c>
      <c r="BO3" s="64">
        <f t="shared" si="4"/>
        <v>112.98</v>
      </c>
      <c r="BP3" s="64">
        <f t="shared" si="4"/>
        <v>120.27</v>
      </c>
      <c r="BQ3" s="64">
        <f t="shared" si="4"/>
        <v>120.44</v>
      </c>
      <c r="BR3" s="64">
        <f t="shared" si="4"/>
        <v>120.51</v>
      </c>
      <c r="BS3" s="64">
        <f t="shared" si="4"/>
        <v>122.47</v>
      </c>
      <c r="BT3" s="64">
        <f t="shared" si="4"/>
        <v>118.41</v>
      </c>
      <c r="BU3" s="64">
        <f t="shared" si="4"/>
        <v>130.08</v>
      </c>
      <c r="BV3" s="64">
        <f t="shared" si="4"/>
        <v>224.4</v>
      </c>
      <c r="BW3" s="64">
        <f t="shared" si="4"/>
        <v>228.44</v>
      </c>
      <c r="BX3" s="64">
        <f t="shared" ref="BX3:CH3" si="5">BX20+BX29+BX38+BX47+BX56+BX65</f>
        <v>230.45</v>
      </c>
      <c r="BY3" s="64">
        <f t="shared" si="5"/>
        <v>235.04</v>
      </c>
      <c r="BZ3" s="65">
        <f>SUM(CA3:DE3)</f>
        <v>10435.87</v>
      </c>
      <c r="CA3" s="64">
        <f t="shared" si="5"/>
        <v>215.8</v>
      </c>
      <c r="CB3" s="64">
        <f t="shared" si="5"/>
        <v>225.78</v>
      </c>
      <c r="CC3" s="64">
        <f t="shared" si="5"/>
        <v>237.53</v>
      </c>
      <c r="CD3" s="64">
        <f t="shared" si="5"/>
        <v>306.96</v>
      </c>
      <c r="CE3" s="64">
        <f t="shared" si="5"/>
        <v>338.82</v>
      </c>
      <c r="CF3" s="64">
        <f t="shared" si="5"/>
        <v>306.52</v>
      </c>
      <c r="CG3" s="64">
        <f t="shared" si="5"/>
        <v>231.74</v>
      </c>
      <c r="CH3" s="64">
        <f t="shared" si="5"/>
        <v>273.86</v>
      </c>
      <c r="CI3" s="64">
        <f t="shared" ref="CI3:DE3" si="6">CI20+CI29+CI38+CI47+CI56+CI65</f>
        <v>266.65</v>
      </c>
      <c r="CJ3" s="64">
        <f t="shared" si="6"/>
        <v>342.78</v>
      </c>
      <c r="CK3" s="64">
        <f t="shared" si="6"/>
        <v>337.53</v>
      </c>
      <c r="CL3" s="64">
        <f t="shared" si="6"/>
        <v>296.79</v>
      </c>
      <c r="CM3" s="64">
        <f t="shared" si="6"/>
        <v>328.58</v>
      </c>
      <c r="CN3" s="64">
        <f t="shared" si="6"/>
        <v>459.81</v>
      </c>
      <c r="CO3" s="64">
        <f t="shared" si="6"/>
        <v>341.95</v>
      </c>
      <c r="CP3" s="64">
        <f t="shared" si="6"/>
        <v>427.65</v>
      </c>
      <c r="CQ3" s="64">
        <f t="shared" si="6"/>
        <v>325.09</v>
      </c>
      <c r="CR3" s="64">
        <f t="shared" si="6"/>
        <v>380.08</v>
      </c>
      <c r="CS3" s="64">
        <f t="shared" si="6"/>
        <v>372.03</v>
      </c>
      <c r="CT3" s="64">
        <f t="shared" si="6"/>
        <v>367.44</v>
      </c>
      <c r="CU3" s="64">
        <f t="shared" si="6"/>
        <v>341.59</v>
      </c>
      <c r="CV3" s="64">
        <f t="shared" si="6"/>
        <v>325.72</v>
      </c>
      <c r="CW3" s="64">
        <f t="shared" si="6"/>
        <v>367.14</v>
      </c>
      <c r="CX3" s="64">
        <f t="shared" si="6"/>
        <v>379.64</v>
      </c>
      <c r="CY3" s="64">
        <f t="shared" si="6"/>
        <v>490.14</v>
      </c>
      <c r="CZ3" s="64">
        <f t="shared" si="6"/>
        <v>399.36</v>
      </c>
      <c r="DA3" s="64">
        <f t="shared" si="6"/>
        <v>370.14</v>
      </c>
      <c r="DB3" s="64">
        <f t="shared" si="6"/>
        <v>361.54</v>
      </c>
      <c r="DC3" s="64">
        <f t="shared" si="6"/>
        <v>361.72</v>
      </c>
      <c r="DD3" s="64">
        <f t="shared" si="6"/>
        <v>334.47</v>
      </c>
      <c r="DE3" s="64">
        <f t="shared" si="6"/>
        <v>321.02</v>
      </c>
      <c r="DF3" s="65">
        <f>SUM(DG3:EJ3)</f>
        <v>10737.69</v>
      </c>
      <c r="DG3" s="64">
        <f t="shared" ref="DG3:EJ3" si="7">DG20+DG29+DG38+DG47+DG56+DG65</f>
        <v>269.05</v>
      </c>
      <c r="DH3" s="64">
        <f t="shared" si="7"/>
        <v>223.4</v>
      </c>
      <c r="DI3" s="64">
        <f t="shared" si="7"/>
        <v>280.21</v>
      </c>
      <c r="DJ3" s="64">
        <f t="shared" si="7"/>
        <v>266.99</v>
      </c>
      <c r="DK3" s="64">
        <f t="shared" si="7"/>
        <v>338.86</v>
      </c>
      <c r="DL3" s="64">
        <f t="shared" si="7"/>
        <v>265.57</v>
      </c>
      <c r="DM3" s="64">
        <f t="shared" si="7"/>
        <v>507.4</v>
      </c>
      <c r="DN3" s="64">
        <f t="shared" si="7"/>
        <v>685.11</v>
      </c>
      <c r="DO3" s="64">
        <f t="shared" si="7"/>
        <v>760.9</v>
      </c>
      <c r="DP3" s="64">
        <f t="shared" si="7"/>
        <v>443.58</v>
      </c>
      <c r="DQ3" s="64">
        <f t="shared" si="7"/>
        <v>317.28</v>
      </c>
      <c r="DR3" s="64">
        <f t="shared" si="7"/>
        <v>307.71</v>
      </c>
      <c r="DS3" s="64">
        <f t="shared" si="7"/>
        <v>297.37</v>
      </c>
      <c r="DT3" s="64">
        <f t="shared" si="7"/>
        <v>274.27</v>
      </c>
      <c r="DU3" s="64">
        <f t="shared" si="7"/>
        <v>304.04</v>
      </c>
      <c r="DV3" s="64">
        <f t="shared" si="7"/>
        <v>376.76</v>
      </c>
      <c r="DW3" s="64">
        <f t="shared" si="7"/>
        <v>305.76</v>
      </c>
      <c r="DX3" s="64">
        <f t="shared" si="7"/>
        <v>286.84</v>
      </c>
      <c r="DY3" s="64">
        <f t="shared" si="7"/>
        <v>320.44</v>
      </c>
      <c r="DZ3" s="64">
        <f t="shared" si="7"/>
        <v>247.85</v>
      </c>
      <c r="EA3" s="64">
        <f t="shared" si="7"/>
        <v>217.23</v>
      </c>
      <c r="EB3" s="64">
        <f t="shared" si="7"/>
        <v>383.3</v>
      </c>
      <c r="EC3" s="64">
        <f t="shared" si="7"/>
        <v>474.21</v>
      </c>
      <c r="ED3" s="64">
        <f t="shared" si="7"/>
        <v>461.58</v>
      </c>
      <c r="EE3" s="64">
        <f t="shared" si="7"/>
        <v>492.69</v>
      </c>
      <c r="EF3" s="64">
        <f t="shared" si="7"/>
        <v>353.31</v>
      </c>
      <c r="EG3" s="64">
        <f t="shared" si="7"/>
        <v>413.25</v>
      </c>
      <c r="EH3" s="64">
        <f t="shared" si="7"/>
        <v>349.3</v>
      </c>
      <c r="EI3" s="64">
        <f t="shared" si="7"/>
        <v>267.43</v>
      </c>
      <c r="EJ3" s="64">
        <f t="shared" si="7"/>
        <v>246</v>
      </c>
      <c r="EK3" s="65">
        <f>SUM(EL3:FP3)</f>
        <v>10292.28</v>
      </c>
      <c r="EL3" s="64">
        <f t="shared" ref="EL3:FP3" si="8">EL20+EL29+EL38+EL47+EL56+EL65</f>
        <v>251.35</v>
      </c>
      <c r="EM3" s="64">
        <f t="shared" si="8"/>
        <v>237.78</v>
      </c>
      <c r="EN3" s="64">
        <f t="shared" si="8"/>
        <v>257.04</v>
      </c>
      <c r="EO3" s="64">
        <f t="shared" si="8"/>
        <v>246.18</v>
      </c>
      <c r="EP3" s="64">
        <f t="shared" si="8"/>
        <v>263.29</v>
      </c>
      <c r="EQ3" s="64">
        <f t="shared" si="8"/>
        <v>251.64</v>
      </c>
      <c r="ER3" s="64">
        <f t="shared" si="8"/>
        <v>243.45</v>
      </c>
      <c r="ES3" s="64">
        <f t="shared" si="8"/>
        <v>438.23</v>
      </c>
      <c r="ET3" s="64">
        <f t="shared" si="8"/>
        <v>423.7</v>
      </c>
      <c r="EU3" s="64">
        <f t="shared" si="8"/>
        <v>419.95</v>
      </c>
      <c r="EV3" s="64">
        <f t="shared" si="8"/>
        <v>451.8</v>
      </c>
      <c r="EW3" s="64">
        <f t="shared" si="8"/>
        <v>438.8</v>
      </c>
      <c r="EX3" s="64">
        <f t="shared" si="8"/>
        <v>340.91</v>
      </c>
      <c r="EY3" s="64">
        <f t="shared" si="8"/>
        <v>322.16</v>
      </c>
      <c r="EZ3" s="64">
        <f t="shared" si="8"/>
        <v>248.63</v>
      </c>
      <c r="FA3" s="64">
        <f t="shared" si="8"/>
        <v>279.74</v>
      </c>
      <c r="FB3" s="64">
        <f t="shared" si="8"/>
        <v>282.97</v>
      </c>
      <c r="FC3" s="64">
        <f t="shared" si="8"/>
        <v>255.27</v>
      </c>
      <c r="FD3" s="64">
        <f t="shared" si="8"/>
        <v>277.81</v>
      </c>
      <c r="FE3" s="64">
        <f t="shared" si="8"/>
        <v>374.42</v>
      </c>
      <c r="FF3" s="64">
        <f t="shared" si="8"/>
        <v>384.52</v>
      </c>
      <c r="FG3" s="64">
        <f t="shared" si="8"/>
        <v>376.4</v>
      </c>
      <c r="FH3" s="64">
        <f t="shared" si="8"/>
        <v>380.09</v>
      </c>
      <c r="FI3" s="64">
        <f t="shared" si="8"/>
        <v>416.54</v>
      </c>
      <c r="FJ3" s="64">
        <f t="shared" si="8"/>
        <v>389.64</v>
      </c>
      <c r="FK3" s="64">
        <f t="shared" si="8"/>
        <v>347.25</v>
      </c>
      <c r="FL3" s="64">
        <f t="shared" si="8"/>
        <v>354.05</v>
      </c>
      <c r="FM3" s="64">
        <f t="shared" si="8"/>
        <v>365.25</v>
      </c>
      <c r="FN3" s="64">
        <f t="shared" si="8"/>
        <v>323.17</v>
      </c>
      <c r="FO3" s="64">
        <f t="shared" si="8"/>
        <v>312.71</v>
      </c>
      <c r="FP3" s="64">
        <f t="shared" si="8"/>
        <v>337.54</v>
      </c>
      <c r="FQ3" s="65">
        <f t="shared" ref="FQ3:FQ7" si="9">SUM(FR3:GX3)</f>
        <v>7384.34</v>
      </c>
      <c r="FR3" s="64">
        <f t="shared" ref="FR3:GI3" si="10">FR20+FR29+FR38+FR47+FR56+FR65</f>
        <v>312.68</v>
      </c>
      <c r="FS3" s="64">
        <f t="shared" si="10"/>
        <v>300.42</v>
      </c>
      <c r="FT3" s="64">
        <f t="shared" si="10"/>
        <v>279.32</v>
      </c>
      <c r="FU3" s="64">
        <f t="shared" si="10"/>
        <v>332</v>
      </c>
      <c r="FV3" s="64">
        <f t="shared" si="10"/>
        <v>301.96</v>
      </c>
      <c r="FW3" s="64">
        <f t="shared" si="10"/>
        <v>336.92</v>
      </c>
      <c r="FX3" s="64">
        <f t="shared" si="10"/>
        <v>361.92</v>
      </c>
      <c r="FY3" s="64">
        <f t="shared" si="10"/>
        <v>357.64</v>
      </c>
      <c r="FZ3" s="64">
        <f t="shared" si="10"/>
        <v>350.04</v>
      </c>
      <c r="GA3" s="64">
        <f t="shared" si="10"/>
        <v>367.36</v>
      </c>
      <c r="GB3" s="64">
        <f t="shared" si="10"/>
        <v>349</v>
      </c>
      <c r="GC3" s="64">
        <f t="shared" si="10"/>
        <v>318.85</v>
      </c>
      <c r="GD3" s="64">
        <f t="shared" si="10"/>
        <v>362</v>
      </c>
      <c r="GE3" s="64">
        <f t="shared" si="10"/>
        <v>370.05</v>
      </c>
      <c r="GF3" s="64">
        <f t="shared" si="10"/>
        <v>354.06</v>
      </c>
      <c r="GG3" s="64">
        <f t="shared" si="10"/>
        <v>323.98</v>
      </c>
      <c r="GH3" s="64">
        <f t="shared" si="10"/>
        <v>420.86</v>
      </c>
      <c r="GI3" s="64">
        <f t="shared" si="10"/>
        <v>379.37</v>
      </c>
      <c r="GJ3" s="64">
        <f t="shared" ref="GJ3:GP3" si="11">GJ20+GJ29+GJ38+GJ47+GJ56+GJ65</f>
        <v>390.86</v>
      </c>
      <c r="GK3" s="64">
        <f t="shared" si="11"/>
        <v>397.7</v>
      </c>
      <c r="GL3" s="64">
        <f t="shared" si="11"/>
        <v>417.35</v>
      </c>
      <c r="GM3" s="64">
        <f t="shared" si="11"/>
        <v>0</v>
      </c>
      <c r="GN3" s="64">
        <f t="shared" si="11"/>
        <v>0</v>
      </c>
      <c r="GO3" s="64">
        <f t="shared" si="11"/>
        <v>0</v>
      </c>
      <c r="GP3" s="64">
        <f t="shared" si="11"/>
        <v>0</v>
      </c>
    </row>
    <row r="4" ht="15.6" customHeight="1" spans="1:1024 1025:16189">
      <c r="A4" s="66" t="s">
        <v>13</v>
      </c>
      <c r="B4" s="67"/>
      <c r="C4" s="62" t="s">
        <v>14</v>
      </c>
      <c r="D4" s="68" t="e">
        <f>(D24+D33+D42+D51+D60+D69)/(D3)</f>
        <v>#REF!</v>
      </c>
      <c r="E4" s="69" t="e">
        <f>(E24+E33+E42+E51+E60+E69)/(E3)</f>
        <v>#REF!</v>
      </c>
      <c r="F4" s="69" t="e">
        <f t="shared" ref="F4:T4" si="12">(F24+F33+F42+F51+F60+F69)/(F3)</f>
        <v>#REF!</v>
      </c>
      <c r="G4" s="69" t="e">
        <f t="shared" si="12"/>
        <v>#REF!</v>
      </c>
      <c r="H4" s="69" t="e">
        <f t="shared" si="12"/>
        <v>#REF!</v>
      </c>
      <c r="I4" s="69" t="e">
        <f t="shared" si="12"/>
        <v>#REF!</v>
      </c>
      <c r="J4" s="69" t="e">
        <f t="shared" si="12"/>
        <v>#REF!</v>
      </c>
      <c r="K4" s="69" t="e">
        <f t="shared" si="12"/>
        <v>#REF!</v>
      </c>
      <c r="L4" s="69" t="e">
        <f t="shared" si="12"/>
        <v>#REF!</v>
      </c>
      <c r="M4" s="69" t="e">
        <f t="shared" si="12"/>
        <v>#REF!</v>
      </c>
      <c r="N4" s="69" t="e">
        <f t="shared" si="12"/>
        <v>#REF!</v>
      </c>
      <c r="O4" s="69" t="e">
        <f t="shared" si="12"/>
        <v>#REF!</v>
      </c>
      <c r="P4" s="69" t="e">
        <f t="shared" si="12"/>
        <v>#REF!</v>
      </c>
      <c r="Q4" s="70">
        <f t="shared" si="12"/>
        <v>19.6233631815829</v>
      </c>
      <c r="R4" s="69">
        <f t="shared" si="12"/>
        <v>2.67455467429463</v>
      </c>
      <c r="S4" s="69">
        <f t="shared" si="12"/>
        <v>1.74971702220287</v>
      </c>
      <c r="T4" s="69">
        <f t="shared" si="12"/>
        <v>0.3383852493365</v>
      </c>
      <c r="U4" s="69">
        <f t="shared" ref="U4:AL4" si="13">(U24+U33+U42+U51+U60+U69)/(U3)</f>
        <v>16.2183052587373</v>
      </c>
      <c r="V4" s="69">
        <f t="shared" si="13"/>
        <v>5.1422181442826</v>
      </c>
      <c r="W4" s="69">
        <f t="shared" si="13"/>
        <v>3.01443078567611</v>
      </c>
      <c r="X4" s="69">
        <f t="shared" si="13"/>
        <v>0.390505018320854</v>
      </c>
      <c r="Y4" s="69">
        <f t="shared" si="13"/>
        <v>6.3857824933687</v>
      </c>
      <c r="Z4" s="69">
        <f t="shared" si="13"/>
        <v>9.87791670768928</v>
      </c>
      <c r="AA4" s="69">
        <f t="shared" si="13"/>
        <v>0</v>
      </c>
      <c r="AB4" s="69">
        <f t="shared" si="13"/>
        <v>2.48543955291346</v>
      </c>
      <c r="AC4" s="69">
        <f t="shared" si="13"/>
        <v>0.0742507576607925</v>
      </c>
      <c r="AD4" s="69">
        <f t="shared" si="13"/>
        <v>3.12041595059858</v>
      </c>
      <c r="AE4" s="69">
        <f t="shared" si="13"/>
        <v>0.880428856987098</v>
      </c>
      <c r="AF4" s="69">
        <f t="shared" si="13"/>
        <v>0</v>
      </c>
      <c r="AG4" s="69">
        <f t="shared" si="13"/>
        <v>2.06291491410328</v>
      </c>
      <c r="AH4" s="69">
        <f t="shared" si="13"/>
        <v>5.24424662913994</v>
      </c>
      <c r="AI4" s="69">
        <f t="shared" si="13"/>
        <v>2.13742493449883</v>
      </c>
      <c r="AJ4" s="69">
        <f t="shared" si="13"/>
        <v>0.479295255642561</v>
      </c>
      <c r="AK4" s="69">
        <f t="shared" si="13"/>
        <v>0.852154531946508</v>
      </c>
      <c r="AL4" s="69">
        <f t="shared" ref="AL4:BH4" si="14">(AL24+AL33+AL42+AL51+AL60+AL69)/(AL3)</f>
        <v>0.31349155984262</v>
      </c>
      <c r="AM4" s="69">
        <f t="shared" si="14"/>
        <v>1.05510355029586</v>
      </c>
      <c r="AN4" s="69">
        <f t="shared" si="14"/>
        <v>11.930946818744</v>
      </c>
      <c r="AO4" s="69">
        <f t="shared" si="14"/>
        <v>12.6421625568352</v>
      </c>
      <c r="AP4" s="69">
        <f t="shared" si="14"/>
        <v>8.40656700480513</v>
      </c>
      <c r="AQ4" s="69">
        <f t="shared" si="14"/>
        <v>2.77649865173201</v>
      </c>
      <c r="AR4" s="69">
        <f t="shared" si="14"/>
        <v>0.226887388637134</v>
      </c>
      <c r="AS4" s="69">
        <f t="shared" si="14"/>
        <v>586.795974787128</v>
      </c>
      <c r="AT4" s="69">
        <f t="shared" si="14"/>
        <v>14.2571823405339</v>
      </c>
      <c r="AU4" s="69">
        <f t="shared" si="14"/>
        <v>0.417811512570408</v>
      </c>
      <c r="AV4" s="69">
        <f t="shared" si="14"/>
        <v>6.99401734968591</v>
      </c>
      <c r="AW4" s="70">
        <f t="shared" si="14"/>
        <v>6.88805922848038</v>
      </c>
      <c r="AX4" s="69">
        <f t="shared" si="14"/>
        <v>30.6287278700493</v>
      </c>
      <c r="AY4" s="69">
        <f t="shared" si="14"/>
        <v>9.7657764866473</v>
      </c>
      <c r="AZ4" s="69">
        <f t="shared" si="14"/>
        <v>1.63813468323362</v>
      </c>
      <c r="BA4" s="69">
        <f t="shared" si="14"/>
        <v>22.2238543340219</v>
      </c>
      <c r="BB4" s="69">
        <f t="shared" si="14"/>
        <v>13.2113853941239</v>
      </c>
      <c r="BC4" s="69">
        <f t="shared" si="14"/>
        <v>10.2142228009038</v>
      </c>
      <c r="BD4" s="69">
        <f t="shared" si="14"/>
        <v>4.9489227412631</v>
      </c>
      <c r="BE4" s="69">
        <f t="shared" si="14"/>
        <v>3.06146554596956</v>
      </c>
      <c r="BF4" s="69">
        <f t="shared" si="14"/>
        <v>0</v>
      </c>
      <c r="BG4" s="69">
        <f t="shared" si="14"/>
        <v>9.08541706800231</v>
      </c>
      <c r="BH4" s="69">
        <f t="shared" si="14"/>
        <v>1.245802581035</v>
      </c>
      <c r="BI4" s="69">
        <f t="shared" ref="BI4:BW4" si="15">(BI24+BI33+BI42+BI51+BI60+BI69)/(BI3)</f>
        <v>0.714254794164755</v>
      </c>
      <c r="BJ4" s="69">
        <f t="shared" si="15"/>
        <v>3.92554991539763</v>
      </c>
      <c r="BK4" s="69">
        <f t="shared" si="15"/>
        <v>5.25680473372781</v>
      </c>
      <c r="BL4" s="69">
        <f t="shared" si="15"/>
        <v>0.665884561238855</v>
      </c>
      <c r="BM4" s="69">
        <f t="shared" si="15"/>
        <v>0</v>
      </c>
      <c r="BN4" s="69">
        <f t="shared" si="15"/>
        <v>0</v>
      </c>
      <c r="BO4" s="69">
        <f t="shared" si="15"/>
        <v>0</v>
      </c>
      <c r="BP4" s="69">
        <f t="shared" si="15"/>
        <v>0</v>
      </c>
      <c r="BQ4" s="69">
        <f t="shared" si="15"/>
        <v>0.235968116904683</v>
      </c>
      <c r="BR4" s="69">
        <f t="shared" si="15"/>
        <v>2.45299145299145</v>
      </c>
      <c r="BS4" s="69">
        <f t="shared" si="15"/>
        <v>3.11276230913693</v>
      </c>
      <c r="BT4" s="69">
        <f t="shared" si="15"/>
        <v>1.99307490921375</v>
      </c>
      <c r="BU4" s="69">
        <f t="shared" si="15"/>
        <v>0.211023985239852</v>
      </c>
      <c r="BV4" s="69">
        <f t="shared" si="15"/>
        <v>2.0855614973262</v>
      </c>
      <c r="BW4" s="69">
        <f t="shared" si="15"/>
        <v>29.3347049553493</v>
      </c>
      <c r="BX4" s="69">
        <f t="shared" ref="BX4:CH4" si="16">(BX24+BX33+BX42+BX51+BX60+BX69)/(BX3)</f>
        <v>0</v>
      </c>
      <c r="BY4" s="69">
        <f t="shared" si="16"/>
        <v>0.748808713410483</v>
      </c>
      <c r="BZ4" s="70">
        <f t="shared" si="16"/>
        <v>3.10958358047772</v>
      </c>
      <c r="CA4" s="69">
        <f t="shared" si="16"/>
        <v>2.63146431881372</v>
      </c>
      <c r="CB4" s="69">
        <f t="shared" si="16"/>
        <v>1.04526530250687</v>
      </c>
      <c r="CC4" s="69">
        <f t="shared" si="16"/>
        <v>1.79463646697259</v>
      </c>
      <c r="CD4" s="69">
        <f t="shared" si="16"/>
        <v>10.842064112588</v>
      </c>
      <c r="CE4" s="69">
        <f t="shared" si="16"/>
        <v>4.75444188654743</v>
      </c>
      <c r="CF4" s="69">
        <f t="shared" si="16"/>
        <v>3.41517682369829</v>
      </c>
      <c r="CG4" s="69">
        <f t="shared" si="16"/>
        <v>1.38258393026668</v>
      </c>
      <c r="CH4" s="69">
        <f t="shared" si="16"/>
        <v>4.42258818374352</v>
      </c>
      <c r="CI4" s="69">
        <f t="shared" ref="CI4:EH4" si="17">(CI24+CI33+CI42+CI51+CI60+CI69)/(CI3)</f>
        <v>3.29383086442903</v>
      </c>
      <c r="CJ4" s="69">
        <f t="shared" si="17"/>
        <v>1.07357488768306</v>
      </c>
      <c r="CK4" s="69">
        <f t="shared" si="17"/>
        <v>4.19044233105206</v>
      </c>
      <c r="CL4" s="69">
        <f t="shared" si="17"/>
        <v>1.98975706728663</v>
      </c>
      <c r="CM4" s="69">
        <f t="shared" si="17"/>
        <v>4.14072676364964</v>
      </c>
      <c r="CN4" s="69">
        <f t="shared" si="17"/>
        <v>5.83782431874035</v>
      </c>
      <c r="CO4" s="69">
        <f t="shared" si="17"/>
        <v>1.76876736364966</v>
      </c>
      <c r="CP4" s="69">
        <f t="shared" si="17"/>
        <v>7.06877119139483</v>
      </c>
      <c r="CQ4" s="69">
        <f t="shared" si="17"/>
        <v>7.29637946414839</v>
      </c>
      <c r="CR4" s="69">
        <f t="shared" si="17"/>
        <v>5.01654914754788</v>
      </c>
      <c r="CS4" s="69">
        <f t="shared" si="17"/>
        <v>10.480552643604</v>
      </c>
      <c r="CT4" s="69">
        <f t="shared" si="17"/>
        <v>2.79915088177662</v>
      </c>
      <c r="CU4" s="69">
        <f t="shared" si="17"/>
        <v>0.749729207529494</v>
      </c>
      <c r="CV4" s="69">
        <f t="shared" si="17"/>
        <v>0.712237504605182</v>
      </c>
      <c r="CW4" s="69">
        <f t="shared" si="17"/>
        <v>0</v>
      </c>
      <c r="CX4" s="69">
        <f t="shared" si="17"/>
        <v>1.08397429143399</v>
      </c>
      <c r="CY4" s="69">
        <f t="shared" si="17"/>
        <v>1.36226384298364</v>
      </c>
      <c r="CZ4" s="69">
        <f t="shared" si="17"/>
        <v>0.891726762820513</v>
      </c>
      <c r="DA4" s="69">
        <f t="shared" si="17"/>
        <v>1.35084022261847</v>
      </c>
      <c r="DB4" s="69">
        <f t="shared" si="17"/>
        <v>1.30801571057144</v>
      </c>
      <c r="DC4" s="69">
        <f t="shared" si="17"/>
        <v>0</v>
      </c>
      <c r="DD4" s="69">
        <f t="shared" si="17"/>
        <v>1.14838401052411</v>
      </c>
      <c r="DE4" s="69">
        <f t="shared" si="17"/>
        <v>0.913058376425145</v>
      </c>
      <c r="DF4" s="70">
        <f t="shared" si="17"/>
        <v>2.70562476659319</v>
      </c>
      <c r="DG4" s="69">
        <f t="shared" si="17"/>
        <v>1.01178219661773</v>
      </c>
      <c r="DH4" s="69">
        <f t="shared" si="17"/>
        <v>1.49301700984781</v>
      </c>
      <c r="DI4" s="69">
        <f t="shared" si="17"/>
        <v>1.57210663430998</v>
      </c>
      <c r="DJ4" s="69">
        <f t="shared" si="17"/>
        <v>0.315180343833102</v>
      </c>
      <c r="DK4" s="69">
        <f t="shared" si="17"/>
        <v>3.42967597237797</v>
      </c>
      <c r="DL4" s="69">
        <f t="shared" si="17"/>
        <v>0.733893135519825</v>
      </c>
      <c r="DM4" s="69">
        <f t="shared" si="17"/>
        <v>4.3564840362633</v>
      </c>
      <c r="DN4" s="69">
        <f t="shared" si="17"/>
        <v>4.28680065974807</v>
      </c>
      <c r="DO4" s="69">
        <f t="shared" si="17"/>
        <v>4.77746090156394</v>
      </c>
      <c r="DP4" s="69">
        <f t="shared" si="17"/>
        <v>1.34102078542766</v>
      </c>
      <c r="DQ4" s="69">
        <f t="shared" si="17"/>
        <v>3.69452849218356</v>
      </c>
      <c r="DR4" s="69">
        <f t="shared" si="17"/>
        <v>0.970296707939293</v>
      </c>
      <c r="DS4" s="69">
        <f t="shared" si="17"/>
        <v>1.50045397989037</v>
      </c>
      <c r="DT4" s="69">
        <f t="shared" si="17"/>
        <v>4.09869836292704</v>
      </c>
      <c r="DU4" s="69">
        <f t="shared" si="17"/>
        <v>1.45349296145244</v>
      </c>
      <c r="DV4" s="69">
        <f t="shared" si="17"/>
        <v>3.47077715256397</v>
      </c>
      <c r="DW4" s="69">
        <f t="shared" si="17"/>
        <v>2.94106488749346</v>
      </c>
      <c r="DX4" s="69">
        <f t="shared" si="17"/>
        <v>0.665527820387673</v>
      </c>
      <c r="DY4" s="69">
        <f t="shared" si="17"/>
        <v>0.432530270877543</v>
      </c>
      <c r="DZ4" s="69">
        <f t="shared" si="17"/>
        <v>0</v>
      </c>
      <c r="EA4" s="69">
        <f t="shared" si="17"/>
        <v>1.08953643603554</v>
      </c>
      <c r="EB4" s="69">
        <f t="shared" si="17"/>
        <v>8.47453691625359</v>
      </c>
      <c r="EC4" s="69">
        <f t="shared" si="17"/>
        <v>1.56449674194977</v>
      </c>
      <c r="ED4" s="69">
        <f t="shared" si="17"/>
        <v>8.53215043979375</v>
      </c>
      <c r="EE4" s="69">
        <f t="shared" si="17"/>
        <v>0.864397491323144</v>
      </c>
      <c r="EF4" s="69">
        <f t="shared" si="17"/>
        <v>1.00885907559933</v>
      </c>
      <c r="EG4" s="69">
        <f t="shared" si="17"/>
        <v>0</v>
      </c>
      <c r="EH4" s="69">
        <f t="shared" si="17"/>
        <v>3.23927855711423</v>
      </c>
      <c r="EI4" s="69">
        <f t="shared" ref="EI4:FM4" si="18">(EI24+EI33+EI42+EI51+EI60+EI69)/(EI3)</f>
        <v>3.75320644654676</v>
      </c>
      <c r="EJ4" s="69">
        <f t="shared" si="18"/>
        <v>0.346016260162602</v>
      </c>
      <c r="EK4" s="70">
        <f t="shared" si="18"/>
        <v>4.12668815850327</v>
      </c>
      <c r="EL4" s="69">
        <f t="shared" si="18"/>
        <v>1.03143027650686</v>
      </c>
      <c r="EM4" s="69">
        <f t="shared" si="18"/>
        <v>0.635040794011271</v>
      </c>
      <c r="EN4" s="69">
        <f t="shared" si="18"/>
        <v>0.486694677871148</v>
      </c>
      <c r="EO4" s="69">
        <f t="shared" si="18"/>
        <v>0</v>
      </c>
      <c r="EP4" s="69">
        <f t="shared" si="18"/>
        <v>17.7613657943712</v>
      </c>
      <c r="EQ4" s="69">
        <f t="shared" si="18"/>
        <v>4.45700206644413</v>
      </c>
      <c r="ER4" s="69">
        <f t="shared" si="18"/>
        <v>33.5054425960156</v>
      </c>
      <c r="ES4" s="69">
        <f t="shared" si="18"/>
        <v>0.185131095543436</v>
      </c>
      <c r="ET4" s="69">
        <f t="shared" si="18"/>
        <v>4.01125796554166</v>
      </c>
      <c r="EU4" s="69">
        <f t="shared" si="18"/>
        <v>0.877032980116681</v>
      </c>
      <c r="EV4" s="69">
        <f t="shared" si="18"/>
        <v>0.39601593625498</v>
      </c>
      <c r="EW4" s="69">
        <f t="shared" si="18"/>
        <v>1.22707383773929</v>
      </c>
      <c r="EX4" s="69">
        <f t="shared" si="18"/>
        <v>2.05925317532487</v>
      </c>
      <c r="EY4" s="69">
        <f t="shared" si="18"/>
        <v>2.24646138564688</v>
      </c>
      <c r="EZ4" s="69">
        <f t="shared" si="18"/>
        <v>20.9736154124603</v>
      </c>
      <c r="FA4" s="69">
        <f t="shared" si="18"/>
        <v>0.955565882605276</v>
      </c>
      <c r="FB4" s="69">
        <f t="shared" si="18"/>
        <v>1.1564123405308</v>
      </c>
      <c r="FC4" s="69">
        <f t="shared" si="18"/>
        <v>2.59345007247228</v>
      </c>
      <c r="FD4" s="69">
        <f t="shared" si="18"/>
        <v>0.835463086281991</v>
      </c>
      <c r="FE4" s="69">
        <f t="shared" si="18"/>
        <v>2.98990438544949</v>
      </c>
      <c r="FF4" s="69">
        <f t="shared" si="18"/>
        <v>21.2051648808905</v>
      </c>
      <c r="FG4" s="69">
        <f t="shared" si="18"/>
        <v>1.45523379383634</v>
      </c>
      <c r="FH4" s="69">
        <f t="shared" si="18"/>
        <v>2.28011786682102</v>
      </c>
      <c r="FI4" s="69">
        <f t="shared" si="18"/>
        <v>0.822225956690834</v>
      </c>
      <c r="FJ4" s="69">
        <f t="shared" si="18"/>
        <v>0.964813674160764</v>
      </c>
      <c r="FK4" s="69">
        <f t="shared" si="18"/>
        <v>0.507386609071274</v>
      </c>
      <c r="FL4" s="69">
        <f t="shared" si="18"/>
        <v>11.9972320293744</v>
      </c>
      <c r="FM4" s="69">
        <f t="shared" si="18"/>
        <v>2.35063655030801</v>
      </c>
      <c r="FN4" s="69">
        <f t="shared" ref="FN4:GI4" si="19">(FN24+FN33+FN42+FN51+FN60+FN69)/(FN3)</f>
        <v>0.673113222143145</v>
      </c>
      <c r="FO4" s="69">
        <f t="shared" si="19"/>
        <v>0.124588276678072</v>
      </c>
      <c r="FP4" s="69">
        <f t="shared" si="19"/>
        <v>0.125614741956509</v>
      </c>
      <c r="FQ4" s="70">
        <f t="shared" si="19"/>
        <v>4.51199700988849</v>
      </c>
      <c r="FR4" s="69">
        <f t="shared" si="19"/>
        <v>0.497825252654471</v>
      </c>
      <c r="FS4" s="69">
        <f t="shared" si="19"/>
        <v>1.29588575993609</v>
      </c>
      <c r="FT4" s="69">
        <f t="shared" si="19"/>
        <v>5.78204210224832</v>
      </c>
      <c r="FU4" s="69">
        <f t="shared" si="19"/>
        <v>2.18906626506024</v>
      </c>
      <c r="FV4" s="69">
        <f t="shared" si="19"/>
        <v>59.6161412107564</v>
      </c>
      <c r="FW4" s="69">
        <f t="shared" si="19"/>
        <v>1.25923067790573</v>
      </c>
      <c r="FX4" s="69">
        <f t="shared" si="19"/>
        <v>2.44413129973475</v>
      </c>
      <c r="FY4" s="69">
        <f t="shared" si="19"/>
        <v>2.35320433955933</v>
      </c>
      <c r="FZ4" s="69">
        <f t="shared" si="19"/>
        <v>1.74034396069021</v>
      </c>
      <c r="GA4" s="69">
        <f t="shared" si="19"/>
        <v>0.101970818815331</v>
      </c>
      <c r="GB4" s="69">
        <f t="shared" si="19"/>
        <v>2.06825214899713</v>
      </c>
      <c r="GC4" s="69">
        <f t="shared" si="19"/>
        <v>1.33460875019602</v>
      </c>
      <c r="GD4" s="69">
        <f t="shared" si="19"/>
        <v>3.94400552486188</v>
      </c>
      <c r="GE4" s="69">
        <f t="shared" si="19"/>
        <v>12.9112011890285</v>
      </c>
      <c r="GF4" s="69">
        <f t="shared" si="19"/>
        <v>1.33073490368864</v>
      </c>
      <c r="GG4" s="69">
        <f t="shared" si="19"/>
        <v>1.86267670843879</v>
      </c>
      <c r="GH4" s="69">
        <f t="shared" si="19"/>
        <v>0.661621441809628</v>
      </c>
      <c r="GI4" s="69">
        <f t="shared" si="19"/>
        <v>0.928381263673986</v>
      </c>
      <c r="GJ4" s="69">
        <f t="shared" ref="GJ4:GP4" si="20">(GJ24+GJ33+GJ42+GJ51+GJ60+GJ69)/(GJ3)</f>
        <v>1.20411400501458</v>
      </c>
      <c r="GK4" s="69">
        <f t="shared" si="20"/>
        <v>0.260900176012069</v>
      </c>
      <c r="GL4" s="69">
        <f t="shared" si="20"/>
        <v>0</v>
      </c>
      <c r="GM4" s="69" t="e">
        <f t="shared" si="20"/>
        <v>#DIV/0!</v>
      </c>
      <c r="GN4" s="69" t="e">
        <f t="shared" si="20"/>
        <v>#DIV/0!</v>
      </c>
      <c r="GO4" s="69" t="e">
        <f t="shared" si="20"/>
        <v>#DIV/0!</v>
      </c>
      <c r="GP4" s="69" t="e">
        <f t="shared" si="20"/>
        <v>#DIV/0!</v>
      </c>
    </row>
    <row r="5" ht="15" customHeight="1" spans="1:1024 1025:16189">
      <c r="A5" s="71" t="e">
        <f>D4</f>
        <v>#REF!</v>
      </c>
      <c r="B5" s="67"/>
      <c r="C5" s="62" t="s">
        <v>15</v>
      </c>
      <c r="D5" s="63">
        <f>SUM(E5:P5)</f>
        <v>39572.03</v>
      </c>
      <c r="E5" s="64">
        <v>5285.21</v>
      </c>
      <c r="F5" s="64">
        <v>351.94</v>
      </c>
      <c r="G5" s="64">
        <v>22254.41</v>
      </c>
      <c r="H5" s="64">
        <v>2589.55</v>
      </c>
      <c r="I5" s="64">
        <v>847.83</v>
      </c>
      <c r="J5" s="64">
        <v>1257.21</v>
      </c>
      <c r="K5" s="64">
        <v>231.18</v>
      </c>
      <c r="L5" s="64">
        <v>3071.4</v>
      </c>
      <c r="M5" s="64">
        <v>998</v>
      </c>
      <c r="N5" s="64">
        <v>1983.45</v>
      </c>
      <c r="O5" s="64">
        <v>701.85</v>
      </c>
      <c r="P5" s="64">
        <v>0</v>
      </c>
      <c r="Q5" s="65">
        <f>SUM(R5:AV5)</f>
        <v>56457.53</v>
      </c>
      <c r="R5" s="64">
        <v>1796.9</v>
      </c>
      <c r="S5" s="64">
        <v>4627.64</v>
      </c>
      <c r="T5" s="64">
        <v>81.18</v>
      </c>
      <c r="U5" s="64">
        <v>3169.29</v>
      </c>
      <c r="V5" s="64">
        <v>3934.14</v>
      </c>
      <c r="W5" s="64">
        <v>1045.14</v>
      </c>
      <c r="X5" s="64">
        <v>86.82</v>
      </c>
      <c r="Y5" s="64">
        <v>3141.89</v>
      </c>
      <c r="Z5" s="64">
        <v>2283.55</v>
      </c>
      <c r="AA5" s="72">
        <v>464.34</v>
      </c>
      <c r="AB5" s="64">
        <v>5882.5</v>
      </c>
      <c r="AC5" s="64">
        <v>71.38</v>
      </c>
      <c r="AD5" s="64">
        <v>824.95</v>
      </c>
      <c r="AE5" s="64">
        <v>3302.01</v>
      </c>
      <c r="AF5" s="64">
        <v>235.67</v>
      </c>
      <c r="AG5" s="64">
        <v>965.87</v>
      </c>
      <c r="AH5" s="64">
        <v>955.4</v>
      </c>
      <c r="AI5" s="64">
        <v>595.85</v>
      </c>
      <c r="AJ5" s="64">
        <v>1899.68</v>
      </c>
      <c r="AK5" s="64">
        <v>742.55</v>
      </c>
      <c r="AL5" s="64">
        <v>74.1</v>
      </c>
      <c r="AM5" s="64">
        <v>879.16</v>
      </c>
      <c r="AN5" s="64">
        <v>3254.86</v>
      </c>
      <c r="AO5" s="64">
        <v>3605.35</v>
      </c>
      <c r="AP5" s="64">
        <v>2106.35</v>
      </c>
      <c r="AQ5" s="64">
        <v>971.69</v>
      </c>
      <c r="AR5" s="64">
        <v>1527.21</v>
      </c>
      <c r="AS5" s="64">
        <v>357.76</v>
      </c>
      <c r="AT5" s="64">
        <v>4015.47</v>
      </c>
      <c r="AU5" s="64">
        <v>1540.29</v>
      </c>
      <c r="AV5" s="64">
        <v>2018.54</v>
      </c>
      <c r="AW5" s="65">
        <f>SUM(AX5:BY5)</f>
        <v>214430.41</v>
      </c>
      <c r="AX5" s="64">
        <v>105954.8</v>
      </c>
      <c r="AY5" s="64">
        <v>63126.76</v>
      </c>
      <c r="AZ5" s="64">
        <v>1603.24</v>
      </c>
      <c r="BA5" s="73">
        <v>11950.28</v>
      </c>
      <c r="BB5" s="73">
        <v>4024.13</v>
      </c>
      <c r="BC5" s="73">
        <v>4827.08</v>
      </c>
      <c r="BD5" s="73">
        <v>1732.22</v>
      </c>
      <c r="BE5" s="73">
        <v>2662.23</v>
      </c>
      <c r="BF5" s="73">
        <v>27.95</v>
      </c>
      <c r="BG5" s="73">
        <v>1714.09</v>
      </c>
      <c r="BH5" s="73"/>
      <c r="BI5" s="73"/>
      <c r="BJ5" s="73"/>
      <c r="BK5" s="73"/>
      <c r="BL5" s="73"/>
      <c r="BM5" s="73"/>
      <c r="BN5" s="73"/>
      <c r="BO5" s="73"/>
      <c r="BP5" s="73"/>
      <c r="BQ5" s="73">
        <v>0</v>
      </c>
      <c r="BR5" s="73">
        <v>562.44</v>
      </c>
      <c r="BS5" s="73">
        <v>4360.36</v>
      </c>
      <c r="BT5" s="73">
        <v>57.27</v>
      </c>
      <c r="BU5" s="73">
        <v>3007.73</v>
      </c>
      <c r="BV5" s="73">
        <v>649.74</v>
      </c>
      <c r="BW5" s="73">
        <v>7250.41</v>
      </c>
      <c r="BX5" s="73">
        <v>615.82</v>
      </c>
      <c r="BY5" s="73">
        <v>303.86</v>
      </c>
      <c r="BZ5" s="65">
        <f>SUM(CA5:DE5)</f>
        <v>75865.11</v>
      </c>
      <c r="CA5" s="73">
        <v>1645.81</v>
      </c>
      <c r="CB5" s="73">
        <v>514.64</v>
      </c>
      <c r="CC5" s="73">
        <v>19371.4</v>
      </c>
      <c r="CD5" s="73">
        <v>2896.7</v>
      </c>
      <c r="CE5" s="73">
        <v>3865.25</v>
      </c>
      <c r="CF5" s="73">
        <v>540.32</v>
      </c>
      <c r="CG5" s="73">
        <v>654.65</v>
      </c>
      <c r="CH5" s="73">
        <v>3285.2</v>
      </c>
      <c r="CI5" s="73">
        <v>2267.67</v>
      </c>
      <c r="CJ5" s="73">
        <v>1402.74</v>
      </c>
      <c r="CK5" s="73">
        <v>3288.2</v>
      </c>
      <c r="CL5" s="73">
        <v>906.18</v>
      </c>
      <c r="CM5" s="73">
        <v>2681.15</v>
      </c>
      <c r="CN5" s="73">
        <v>3487.1</v>
      </c>
      <c r="CO5" s="73">
        <v>1928.22</v>
      </c>
      <c r="CP5" s="73">
        <v>1950.16</v>
      </c>
      <c r="CQ5" s="73">
        <v>2301.99</v>
      </c>
      <c r="CR5" s="73">
        <v>6835.97</v>
      </c>
      <c r="CS5" s="73">
        <v>2445.09</v>
      </c>
      <c r="CT5" s="73">
        <v>928.53</v>
      </c>
      <c r="CU5" s="73">
        <v>1034.96</v>
      </c>
      <c r="CV5" s="73">
        <v>999.74</v>
      </c>
      <c r="CW5" s="73">
        <v>3669.31</v>
      </c>
      <c r="CX5" s="73">
        <v>1746.05</v>
      </c>
      <c r="CY5" s="73">
        <v>887.26</v>
      </c>
      <c r="CZ5" s="73">
        <v>518</v>
      </c>
      <c r="DA5" s="73">
        <v>270.77</v>
      </c>
      <c r="DB5" s="73">
        <v>1787.01</v>
      </c>
      <c r="DC5" s="73">
        <v>693.51</v>
      </c>
      <c r="DD5" s="73">
        <v>473.9</v>
      </c>
      <c r="DE5" s="73">
        <v>587.63</v>
      </c>
      <c r="DF5" s="65">
        <f>SUM(DG5:EJ5)</f>
        <v>43628.54</v>
      </c>
      <c r="DG5" s="73">
        <v>252.2</v>
      </c>
      <c r="DH5" s="73">
        <v>752.64</v>
      </c>
      <c r="DI5" s="73">
        <v>1408.91</v>
      </c>
      <c r="DJ5" s="73">
        <v>978.97</v>
      </c>
      <c r="DK5" s="73">
        <v>1040.79</v>
      </c>
      <c r="DL5" s="73">
        <v>743.92</v>
      </c>
      <c r="DM5" s="73">
        <v>4088.38</v>
      </c>
      <c r="DN5" s="73">
        <v>1736.2</v>
      </c>
      <c r="DO5" s="73">
        <v>4668.49</v>
      </c>
      <c r="DP5" s="73">
        <v>1985.64</v>
      </c>
      <c r="DQ5" s="73">
        <v>660.3</v>
      </c>
      <c r="DR5" s="73">
        <v>343.54</v>
      </c>
      <c r="DS5" s="73">
        <v>738.95</v>
      </c>
      <c r="DT5" s="73">
        <v>1984.44</v>
      </c>
      <c r="DU5" s="73">
        <v>4053.14</v>
      </c>
      <c r="DV5" s="73">
        <v>1559.09</v>
      </c>
      <c r="DW5" s="73">
        <v>502.12</v>
      </c>
      <c r="DX5" s="73">
        <v>965.11</v>
      </c>
      <c r="DY5" s="73">
        <v>1529.09</v>
      </c>
      <c r="DZ5" s="73">
        <v>508.41</v>
      </c>
      <c r="EA5" s="73">
        <v>26.1</v>
      </c>
      <c r="EB5" s="73">
        <v>570.05</v>
      </c>
      <c r="EC5" s="73">
        <v>1654.72</v>
      </c>
      <c r="ED5" s="73">
        <v>4636.29</v>
      </c>
      <c r="EE5" s="73">
        <v>708.12</v>
      </c>
      <c r="EF5" s="73">
        <v>940.43</v>
      </c>
      <c r="EG5" s="73">
        <v>1171.27</v>
      </c>
      <c r="EH5" s="73">
        <v>2609.61</v>
      </c>
      <c r="EI5" s="73">
        <v>172.5</v>
      </c>
      <c r="EJ5" s="73">
        <v>639.12</v>
      </c>
      <c r="EK5" s="65">
        <f>SUM(EL5:FP5)</f>
        <v>54561.76</v>
      </c>
      <c r="EL5" s="73">
        <v>217.84</v>
      </c>
      <c r="EM5" s="73">
        <v>345.91</v>
      </c>
      <c r="EN5" s="73">
        <v>108</v>
      </c>
      <c r="EO5" s="73">
        <v>318.75</v>
      </c>
      <c r="EP5" s="73">
        <v>3300.33</v>
      </c>
      <c r="EQ5" s="73">
        <v>451.5</v>
      </c>
      <c r="ER5" s="73">
        <v>10780.74</v>
      </c>
      <c r="ES5" s="73">
        <v>607.46</v>
      </c>
      <c r="ET5" s="73">
        <v>2321.59</v>
      </c>
      <c r="EU5" s="73">
        <v>471.97</v>
      </c>
      <c r="EV5" s="73">
        <v>472.97</v>
      </c>
      <c r="EW5" s="73">
        <v>706.64</v>
      </c>
      <c r="EX5" s="73">
        <v>443.08</v>
      </c>
      <c r="EY5" s="73">
        <v>888.04</v>
      </c>
      <c r="EZ5" s="73">
        <v>2054.76</v>
      </c>
      <c r="FA5" s="73">
        <v>5023.51</v>
      </c>
      <c r="FB5" s="73">
        <v>1260.35</v>
      </c>
      <c r="FC5" s="73">
        <v>142</v>
      </c>
      <c r="FD5" s="73">
        <v>547.4</v>
      </c>
      <c r="FE5" s="73">
        <v>1628.4</v>
      </c>
      <c r="FF5" s="73">
        <v>9940.79</v>
      </c>
      <c r="FG5" s="73">
        <v>1711.8</v>
      </c>
      <c r="FH5" s="73">
        <v>644.2</v>
      </c>
      <c r="FI5" s="72">
        <v>744.09</v>
      </c>
      <c r="FJ5" s="73">
        <v>400.53</v>
      </c>
      <c r="FK5" s="73">
        <v>636.45</v>
      </c>
      <c r="FL5" s="73">
        <v>4822.18</v>
      </c>
      <c r="FM5" s="73">
        <v>1525.46</v>
      </c>
      <c r="FN5" s="73">
        <v>549.27</v>
      </c>
      <c r="FO5" s="73">
        <v>1062.17</v>
      </c>
      <c r="FP5" s="73">
        <v>433.58</v>
      </c>
      <c r="FQ5" s="65">
        <f t="shared" si="9"/>
        <v>32437.81</v>
      </c>
      <c r="FR5" s="73">
        <v>476.16</v>
      </c>
      <c r="FS5" s="73">
        <v>1515.25</v>
      </c>
      <c r="FT5" s="73">
        <v>1724.26</v>
      </c>
      <c r="FU5" s="73">
        <v>1081.31</v>
      </c>
      <c r="FV5" s="73">
        <v>3335.66</v>
      </c>
      <c r="FW5" s="73">
        <v>348.71</v>
      </c>
      <c r="FX5" s="73">
        <v>1286.86</v>
      </c>
      <c r="FY5" s="73">
        <v>254.57</v>
      </c>
      <c r="FZ5" s="73">
        <v>1054.93</v>
      </c>
      <c r="GA5" s="73">
        <v>3428.62</v>
      </c>
      <c r="GB5" s="73">
        <v>835.6</v>
      </c>
      <c r="GC5" s="73">
        <v>271.49</v>
      </c>
      <c r="GD5" s="73">
        <v>1427.73</v>
      </c>
      <c r="GE5" s="73">
        <v>4931.24</v>
      </c>
      <c r="GF5" s="73">
        <v>3302.78</v>
      </c>
      <c r="GG5" s="73">
        <v>792.18</v>
      </c>
      <c r="GH5" s="73">
        <v>444.45</v>
      </c>
      <c r="GI5" s="73">
        <v>394.95</v>
      </c>
      <c r="GJ5" s="73">
        <v>944.65</v>
      </c>
      <c r="GK5" s="73">
        <v>929.89</v>
      </c>
      <c r="GL5" s="73">
        <v>457.8</v>
      </c>
      <c r="GM5" s="73">
        <v>798.18</v>
      </c>
      <c r="GN5" s="73">
        <v>799.18</v>
      </c>
      <c r="GO5" s="73">
        <v>800.18</v>
      </c>
      <c r="GP5" s="73">
        <v>801.18</v>
      </c>
    </row>
    <row r="6" ht="15.6" spans="1:1024 1025:16189">
      <c r="A6" s="74"/>
      <c r="B6" s="67"/>
      <c r="C6" s="62" t="s">
        <v>16</v>
      </c>
      <c r="D6" s="75" t="e">
        <f>D3/D5</f>
        <v>#REF!</v>
      </c>
      <c r="E6" s="76" t="e">
        <f>E3/E5</f>
        <v>#REF!</v>
      </c>
      <c r="F6" s="76" t="e">
        <f t="shared" ref="F6:W6" si="21">F3/F5</f>
        <v>#REF!</v>
      </c>
      <c r="G6" s="76" t="e">
        <f t="shared" si="21"/>
        <v>#REF!</v>
      </c>
      <c r="H6" s="76" t="e">
        <f t="shared" si="21"/>
        <v>#REF!</v>
      </c>
      <c r="I6" s="76" t="e">
        <f t="shared" si="21"/>
        <v>#REF!</v>
      </c>
      <c r="J6" s="76" t="e">
        <f t="shared" si="21"/>
        <v>#REF!</v>
      </c>
      <c r="K6" s="76" t="e">
        <f t="shared" si="21"/>
        <v>#REF!</v>
      </c>
      <c r="L6" s="76" t="e">
        <f t="shared" si="21"/>
        <v>#REF!</v>
      </c>
      <c r="M6" s="76" t="e">
        <f t="shared" si="21"/>
        <v>#REF!</v>
      </c>
      <c r="N6" s="76" t="e">
        <f t="shared" si="21"/>
        <v>#REF!</v>
      </c>
      <c r="O6" s="76" t="e">
        <f t="shared" si="21"/>
        <v>#REF!</v>
      </c>
      <c r="P6" s="76" t="e">
        <f t="shared" si="21"/>
        <v>#REF!</v>
      </c>
      <c r="Q6" s="77">
        <f t="shared" si="21"/>
        <v>0.18071495511759</v>
      </c>
      <c r="R6" s="76">
        <f t="shared" si="21"/>
        <v>0.12840447437253</v>
      </c>
      <c r="S6" s="76">
        <f t="shared" si="21"/>
        <v>0.0496365317959046</v>
      </c>
      <c r="T6" s="76">
        <f t="shared" si="21"/>
        <v>3.52746982015275</v>
      </c>
      <c r="U6" s="76">
        <f t="shared" ref="U6:AL6" si="22">U3/U5</f>
        <v>0.135241647182808</v>
      </c>
      <c r="V6" s="76">
        <f t="shared" si="22"/>
        <v>0.0886496159262253</v>
      </c>
      <c r="W6" s="76">
        <f t="shared" si="22"/>
        <v>0.358038157567407</v>
      </c>
      <c r="X6" s="76">
        <f t="shared" si="22"/>
        <v>3.61495047224142</v>
      </c>
      <c r="Y6" s="76">
        <f t="shared" si="22"/>
        <v>0.119991470102391</v>
      </c>
      <c r="Z6" s="76">
        <f t="shared" si="22"/>
        <v>0.177915964178582</v>
      </c>
      <c r="AA6" s="76">
        <f t="shared" si="22"/>
        <v>0.788280139552914</v>
      </c>
      <c r="AB6" s="76">
        <f t="shared" si="22"/>
        <v>0.0620535486612835</v>
      </c>
      <c r="AC6" s="76">
        <f t="shared" si="22"/>
        <v>4.99243485570188</v>
      </c>
      <c r="AD6" s="76">
        <f t="shared" si="22"/>
        <v>0.416158555063943</v>
      </c>
      <c r="AE6" s="76">
        <f t="shared" si="22"/>
        <v>0.116659246943528</v>
      </c>
      <c r="AF6" s="76">
        <f t="shared" si="22"/>
        <v>1.48105401620911</v>
      </c>
      <c r="AG6" s="76">
        <f t="shared" si="22"/>
        <v>0.408605712984149</v>
      </c>
      <c r="AH6" s="76">
        <f t="shared" si="22"/>
        <v>0.399780196776219</v>
      </c>
      <c r="AI6" s="76">
        <f t="shared" si="22"/>
        <v>0.723823109843081</v>
      </c>
      <c r="AJ6" s="76">
        <f t="shared" si="22"/>
        <v>0.228564810915523</v>
      </c>
      <c r="AK6" s="76">
        <f t="shared" si="22"/>
        <v>0.34440778398761</v>
      </c>
      <c r="AL6" s="76">
        <f t="shared" ref="AL6:BH6" si="23">AL3/AL5</f>
        <v>3.18987854251012</v>
      </c>
      <c r="AM6" s="76">
        <f t="shared" si="23"/>
        <v>0.338322944628964</v>
      </c>
      <c r="AN6" s="76">
        <f t="shared" si="23"/>
        <v>0.0894293456554199</v>
      </c>
      <c r="AO6" s="76">
        <f t="shared" si="23"/>
        <v>0.0835730234235234</v>
      </c>
      <c r="AP6" s="76">
        <f t="shared" si="23"/>
        <v>0.142274550763169</v>
      </c>
      <c r="AQ6" s="76">
        <f t="shared" si="23"/>
        <v>0.29768753409009</v>
      </c>
      <c r="AR6" s="76">
        <f t="shared" si="23"/>
        <v>0.212406938142102</v>
      </c>
      <c r="AS6" s="76">
        <f t="shared" si="23"/>
        <v>0.758301654740608</v>
      </c>
      <c r="AT6" s="76">
        <f t="shared" si="23"/>
        <v>0.0684801530082406</v>
      </c>
      <c r="AU6" s="76">
        <f t="shared" si="23"/>
        <v>0.189029338631037</v>
      </c>
      <c r="AV6" s="76">
        <f t="shared" si="23"/>
        <v>0.132491801004687</v>
      </c>
      <c r="AW6" s="77">
        <f t="shared" si="23"/>
        <v>0.0264873811508358</v>
      </c>
      <c r="AX6" s="76">
        <f t="shared" si="23"/>
        <v>0.00258553647404365</v>
      </c>
      <c r="AY6" s="76">
        <f t="shared" si="23"/>
        <v>0.00452597282040136</v>
      </c>
      <c r="AZ6" s="76">
        <f t="shared" si="23"/>
        <v>0.162645642573788</v>
      </c>
      <c r="BA6" s="76">
        <f t="shared" si="23"/>
        <v>0.0218756380603634</v>
      </c>
      <c r="BB6" s="76">
        <f t="shared" si="23"/>
        <v>0.0677488053318357</v>
      </c>
      <c r="BC6" s="76">
        <f t="shared" si="23"/>
        <v>0.0540968867306943</v>
      </c>
      <c r="BD6" s="76">
        <f t="shared" si="23"/>
        <v>0.14817401946635</v>
      </c>
      <c r="BE6" s="76">
        <f t="shared" si="23"/>
        <v>0.101445029167277</v>
      </c>
      <c r="BF6" s="76">
        <f t="shared" si="23"/>
        <v>9.40679785330948</v>
      </c>
      <c r="BG6" s="76">
        <f t="shared" si="23"/>
        <v>0.151421453949326</v>
      </c>
      <c r="BH6" s="76" t="e">
        <f t="shared" si="23"/>
        <v>#DIV/0!</v>
      </c>
      <c r="BI6" s="76" t="e">
        <f t="shared" ref="BI6:BW6" si="24">BI3/BI5</f>
        <v>#DIV/0!</v>
      </c>
      <c r="BJ6" s="76" t="e">
        <f t="shared" si="24"/>
        <v>#DIV/0!</v>
      </c>
      <c r="BK6" s="76" t="e">
        <f t="shared" si="24"/>
        <v>#DIV/0!</v>
      </c>
      <c r="BL6" s="76" t="e">
        <f t="shared" si="24"/>
        <v>#DIV/0!</v>
      </c>
      <c r="BM6" s="76" t="e">
        <f t="shared" si="24"/>
        <v>#DIV/0!</v>
      </c>
      <c r="BN6" s="76" t="e">
        <f t="shared" si="24"/>
        <v>#DIV/0!</v>
      </c>
      <c r="BO6" s="76" t="e">
        <f t="shared" si="24"/>
        <v>#DIV/0!</v>
      </c>
      <c r="BP6" s="76" t="e">
        <f t="shared" si="24"/>
        <v>#DIV/0!</v>
      </c>
      <c r="BQ6" s="76" t="e">
        <f t="shared" si="24"/>
        <v>#DIV/0!</v>
      </c>
      <c r="BR6" s="76">
        <f t="shared" si="24"/>
        <v>0.214262854704502</v>
      </c>
      <c r="BS6" s="76">
        <f t="shared" si="24"/>
        <v>0.028087130420424</v>
      </c>
      <c r="BT6" s="76">
        <f t="shared" si="24"/>
        <v>2.06757464641173</v>
      </c>
      <c r="BU6" s="76">
        <f t="shared" si="24"/>
        <v>0.0432485628696725</v>
      </c>
      <c r="BV6" s="76">
        <f t="shared" si="24"/>
        <v>0.345368916797488</v>
      </c>
      <c r="BW6" s="76">
        <f t="shared" si="24"/>
        <v>0.0315071837316786</v>
      </c>
      <c r="BX6" s="76">
        <f t="shared" ref="BX6:CH6" si="25">BX3/BX5</f>
        <v>0.374216491832029</v>
      </c>
      <c r="BY6" s="76">
        <f t="shared" si="25"/>
        <v>0.773514118343974</v>
      </c>
      <c r="BZ6" s="77">
        <f t="shared" si="25"/>
        <v>0.137558226699994</v>
      </c>
      <c r="CA6" s="76">
        <f t="shared" si="25"/>
        <v>0.131120846270226</v>
      </c>
      <c r="CB6" s="76">
        <f t="shared" si="25"/>
        <v>0.438714441162755</v>
      </c>
      <c r="CC6" s="76">
        <f t="shared" si="25"/>
        <v>0.0122618912417275</v>
      </c>
      <c r="CD6" s="76">
        <f t="shared" si="25"/>
        <v>0.105968861117824</v>
      </c>
      <c r="CE6" s="76">
        <f t="shared" si="25"/>
        <v>0.0876579781385421</v>
      </c>
      <c r="CF6" s="76">
        <f t="shared" si="25"/>
        <v>0.567293455729938</v>
      </c>
      <c r="CG6" s="76">
        <f t="shared" si="25"/>
        <v>0.35399068204384</v>
      </c>
      <c r="CH6" s="76">
        <f t="shared" si="25"/>
        <v>0.0833617435772556</v>
      </c>
      <c r="CI6" s="76">
        <f t="shared" ref="CI6:EH6" si="26">CI3/CI5</f>
        <v>0.117587656052247</v>
      </c>
      <c r="CJ6" s="76">
        <f t="shared" si="26"/>
        <v>0.244364600710039</v>
      </c>
      <c r="CK6" s="76">
        <f t="shared" si="26"/>
        <v>0.102648865640776</v>
      </c>
      <c r="CL6" s="76">
        <f t="shared" si="26"/>
        <v>0.327517711712905</v>
      </c>
      <c r="CM6" s="76">
        <f t="shared" si="26"/>
        <v>0.122551890047181</v>
      </c>
      <c r="CN6" s="76">
        <f t="shared" si="26"/>
        <v>0.131860285050615</v>
      </c>
      <c r="CO6" s="76">
        <f t="shared" si="26"/>
        <v>0.177339722645756</v>
      </c>
      <c r="CP6" s="76">
        <f t="shared" si="26"/>
        <v>0.219289699306724</v>
      </c>
      <c r="CQ6" s="76">
        <f t="shared" si="26"/>
        <v>0.14122129114375</v>
      </c>
      <c r="CR6" s="76">
        <f t="shared" si="26"/>
        <v>0.0556000099473813</v>
      </c>
      <c r="CS6" s="76">
        <f t="shared" si="26"/>
        <v>0.152153908445088</v>
      </c>
      <c r="CT6" s="76">
        <f t="shared" si="26"/>
        <v>0.395722270685923</v>
      </c>
      <c r="CU6" s="76">
        <f t="shared" si="26"/>
        <v>0.330051402952771</v>
      </c>
      <c r="CV6" s="76">
        <f t="shared" si="26"/>
        <v>0.325804709224398</v>
      </c>
      <c r="CW6" s="76">
        <f t="shared" si="26"/>
        <v>0.100056958937784</v>
      </c>
      <c r="CX6" s="76">
        <f t="shared" si="26"/>
        <v>0.217427908708227</v>
      </c>
      <c r="CY6" s="76">
        <f t="shared" si="26"/>
        <v>0.552419809300543</v>
      </c>
      <c r="CZ6" s="76">
        <f t="shared" si="26"/>
        <v>0.770965250965251</v>
      </c>
      <c r="DA6" s="76">
        <f t="shared" si="26"/>
        <v>1.36699043468627</v>
      </c>
      <c r="DB6" s="76">
        <f t="shared" si="26"/>
        <v>0.202315599800785</v>
      </c>
      <c r="DC6" s="76">
        <f t="shared" si="26"/>
        <v>0.521578636212888</v>
      </c>
      <c r="DD6" s="76">
        <f t="shared" si="26"/>
        <v>0.705781810508546</v>
      </c>
      <c r="DE6" s="76">
        <f t="shared" si="26"/>
        <v>0.54629613872675</v>
      </c>
      <c r="DF6" s="77">
        <f t="shared" si="26"/>
        <v>0.246116189081734</v>
      </c>
      <c r="DG6" s="76">
        <f t="shared" si="26"/>
        <v>1.06681205392546</v>
      </c>
      <c r="DH6" s="76">
        <f t="shared" si="26"/>
        <v>0.296821853741497</v>
      </c>
      <c r="DI6" s="76">
        <f t="shared" si="26"/>
        <v>0.198884243848081</v>
      </c>
      <c r="DJ6" s="76">
        <f t="shared" si="26"/>
        <v>0.272725415487706</v>
      </c>
      <c r="DK6" s="76">
        <f t="shared" si="26"/>
        <v>0.325579607797923</v>
      </c>
      <c r="DL6" s="76">
        <f t="shared" si="26"/>
        <v>0.356987310463491</v>
      </c>
      <c r="DM6" s="76">
        <f t="shared" si="26"/>
        <v>0.124107837334103</v>
      </c>
      <c r="DN6" s="76">
        <f t="shared" si="26"/>
        <v>0.394603156318396</v>
      </c>
      <c r="DO6" s="76">
        <f t="shared" si="26"/>
        <v>0.162986318916823</v>
      </c>
      <c r="DP6" s="76">
        <f t="shared" si="26"/>
        <v>0.223393968695232</v>
      </c>
      <c r="DQ6" s="76">
        <f t="shared" si="26"/>
        <v>0.480508859609268</v>
      </c>
      <c r="DR6" s="76">
        <f t="shared" si="26"/>
        <v>0.895703557082145</v>
      </c>
      <c r="DS6" s="76">
        <f t="shared" si="26"/>
        <v>0.402422356045741</v>
      </c>
      <c r="DT6" s="76">
        <f t="shared" si="26"/>
        <v>0.138210275946867</v>
      </c>
      <c r="DU6" s="76">
        <f t="shared" si="26"/>
        <v>0.0750134463650404</v>
      </c>
      <c r="DV6" s="76">
        <f t="shared" si="26"/>
        <v>0.241653785220866</v>
      </c>
      <c r="DW6" s="76">
        <f t="shared" si="26"/>
        <v>0.608938102445631</v>
      </c>
      <c r="DX6" s="76">
        <f t="shared" si="26"/>
        <v>0.297209644496482</v>
      </c>
      <c r="DY6" s="76">
        <f t="shared" si="26"/>
        <v>0.209562550275</v>
      </c>
      <c r="DZ6" s="76">
        <f t="shared" si="26"/>
        <v>0.487500245864558</v>
      </c>
      <c r="EA6" s="76">
        <f t="shared" si="26"/>
        <v>8.32298850574713</v>
      </c>
      <c r="EB6" s="76">
        <f t="shared" si="26"/>
        <v>0.672397158144023</v>
      </c>
      <c r="EC6" s="76">
        <f t="shared" si="26"/>
        <v>0.286580206923226</v>
      </c>
      <c r="ED6" s="76">
        <f t="shared" si="26"/>
        <v>0.0995580518043522</v>
      </c>
      <c r="EE6" s="76">
        <f t="shared" si="26"/>
        <v>0.695771903067277</v>
      </c>
      <c r="EF6" s="76">
        <f t="shared" si="26"/>
        <v>0.375689844007528</v>
      </c>
      <c r="EG6" s="76">
        <f t="shared" si="26"/>
        <v>0.35282215031547</v>
      </c>
      <c r="EH6" s="76">
        <f t="shared" si="26"/>
        <v>0.13385141841118</v>
      </c>
      <c r="EI6" s="76">
        <f t="shared" ref="EI6:FM6" si="27">EI3/EI5</f>
        <v>1.55031884057971</v>
      </c>
      <c r="EJ6" s="76">
        <f t="shared" si="27"/>
        <v>0.384904243334585</v>
      </c>
      <c r="EK6" s="77">
        <f t="shared" si="27"/>
        <v>0.188635410587928</v>
      </c>
      <c r="EL6" s="76">
        <f t="shared" si="27"/>
        <v>1.15382849798017</v>
      </c>
      <c r="EM6" s="76">
        <f t="shared" si="27"/>
        <v>0.687404238096615</v>
      </c>
      <c r="EN6" s="76">
        <f t="shared" si="27"/>
        <v>2.38</v>
      </c>
      <c r="EO6" s="76">
        <f t="shared" si="27"/>
        <v>0.772329411764706</v>
      </c>
      <c r="EP6" s="76">
        <f t="shared" si="27"/>
        <v>0.0797768707977687</v>
      </c>
      <c r="EQ6" s="76">
        <f t="shared" si="27"/>
        <v>0.55734219269103</v>
      </c>
      <c r="ER6" s="76">
        <f t="shared" si="27"/>
        <v>0.0225819377890572</v>
      </c>
      <c r="ES6" s="76">
        <f t="shared" si="27"/>
        <v>0.721413755638231</v>
      </c>
      <c r="ET6" s="76">
        <f t="shared" si="27"/>
        <v>0.182504232013405</v>
      </c>
      <c r="EU6" s="76">
        <f t="shared" si="27"/>
        <v>0.889781130156578</v>
      </c>
      <c r="EV6" s="76">
        <f t="shared" si="27"/>
        <v>0.955240290081823</v>
      </c>
      <c r="EW6" s="76">
        <f t="shared" si="27"/>
        <v>0.620966828936941</v>
      </c>
      <c r="EX6" s="76">
        <f t="shared" si="27"/>
        <v>0.769409587433421</v>
      </c>
      <c r="EY6" s="76">
        <f t="shared" si="27"/>
        <v>0.362776451511193</v>
      </c>
      <c r="EZ6" s="76">
        <f t="shared" si="27"/>
        <v>0.121001966166365</v>
      </c>
      <c r="FA6" s="76">
        <f t="shared" si="27"/>
        <v>0.0556861636584778</v>
      </c>
      <c r="FB6" s="76">
        <f t="shared" si="27"/>
        <v>0.224516999246241</v>
      </c>
      <c r="FC6" s="76">
        <f t="shared" si="27"/>
        <v>1.79767605633803</v>
      </c>
      <c r="FD6" s="76">
        <f t="shared" si="27"/>
        <v>0.507508220679576</v>
      </c>
      <c r="FE6" s="76">
        <f t="shared" si="27"/>
        <v>0.229931220830263</v>
      </c>
      <c r="FF6" s="76">
        <f t="shared" si="27"/>
        <v>0.0386810303808852</v>
      </c>
      <c r="FG6" s="76">
        <f t="shared" si="27"/>
        <v>0.219885500642598</v>
      </c>
      <c r="FH6" s="76">
        <f t="shared" si="27"/>
        <v>0.590018627755356</v>
      </c>
      <c r="FI6" s="76">
        <f t="shared" si="27"/>
        <v>0.559797873913102</v>
      </c>
      <c r="FJ6" s="76">
        <f t="shared" si="27"/>
        <v>0.972811025391356</v>
      </c>
      <c r="FK6" s="76">
        <f t="shared" si="27"/>
        <v>0.545604525100165</v>
      </c>
      <c r="FL6" s="76">
        <f t="shared" si="27"/>
        <v>0.0734211497704358</v>
      </c>
      <c r="FM6" s="76">
        <f t="shared" si="27"/>
        <v>0.239435973411299</v>
      </c>
      <c r="FN6" s="76">
        <f t="shared" ref="FN6:GI6" si="28">FN3/FN5</f>
        <v>0.588362735995048</v>
      </c>
      <c r="FO6" s="76">
        <f t="shared" si="28"/>
        <v>0.294406733385428</v>
      </c>
      <c r="FP6" s="76">
        <f t="shared" si="28"/>
        <v>0.778495318049725</v>
      </c>
      <c r="FQ6" s="77">
        <f t="shared" si="28"/>
        <v>0.227646071051036</v>
      </c>
      <c r="FR6" s="76">
        <f t="shared" si="28"/>
        <v>0.65667002688172</v>
      </c>
      <c r="FS6" s="76">
        <f t="shared" si="28"/>
        <v>0.198264312819667</v>
      </c>
      <c r="FT6" s="76">
        <f t="shared" si="28"/>
        <v>0.161994130815538</v>
      </c>
      <c r="FU6" s="76">
        <f t="shared" si="28"/>
        <v>0.307034985341854</v>
      </c>
      <c r="FV6" s="76">
        <f t="shared" si="28"/>
        <v>0.0905248136800513</v>
      </c>
      <c r="FW6" s="76">
        <f t="shared" si="28"/>
        <v>0.966189670499842</v>
      </c>
      <c r="FX6" s="76">
        <f t="shared" si="28"/>
        <v>0.281242714825234</v>
      </c>
      <c r="FY6" s="76">
        <f t="shared" si="28"/>
        <v>1.4048788152571</v>
      </c>
      <c r="FZ6" s="76">
        <f t="shared" si="28"/>
        <v>0.331813485254946</v>
      </c>
      <c r="GA6" s="76">
        <f t="shared" si="28"/>
        <v>0.107145148777059</v>
      </c>
      <c r="GB6" s="76">
        <f t="shared" si="28"/>
        <v>0.417663954044998</v>
      </c>
      <c r="GC6" s="76">
        <f t="shared" si="28"/>
        <v>1.17444473092932</v>
      </c>
      <c r="GD6" s="76">
        <f t="shared" si="28"/>
        <v>0.253549340561591</v>
      </c>
      <c r="GE6" s="76">
        <f t="shared" si="28"/>
        <v>0.0750419772714368</v>
      </c>
      <c r="GF6" s="76">
        <f t="shared" si="28"/>
        <v>0.107200600706072</v>
      </c>
      <c r="GG6" s="76">
        <f t="shared" si="28"/>
        <v>0.408972708222879</v>
      </c>
      <c r="GH6" s="76">
        <f t="shared" si="28"/>
        <v>0.946923163460457</v>
      </c>
      <c r="GI6" s="76">
        <f t="shared" si="28"/>
        <v>0.960551968603621</v>
      </c>
      <c r="GJ6" s="76">
        <f t="shared" ref="GJ6:GP6" si="29">GJ3/GJ5</f>
        <v>0.413761710686498</v>
      </c>
      <c r="GK6" s="76">
        <f t="shared" si="29"/>
        <v>0.427684994999409</v>
      </c>
      <c r="GL6" s="76">
        <f t="shared" si="29"/>
        <v>0.911642638706859</v>
      </c>
      <c r="GM6" s="76">
        <f t="shared" si="29"/>
        <v>0</v>
      </c>
      <c r="GN6" s="76">
        <f t="shared" si="29"/>
        <v>0</v>
      </c>
      <c r="GO6" s="76">
        <f t="shared" si="29"/>
        <v>0</v>
      </c>
      <c r="GP6" s="76">
        <f t="shared" si="29"/>
        <v>0</v>
      </c>
    </row>
    <row r="7" ht="15.6" hidden="1" spans="1:1024 1025:16189">
      <c r="A7" s="78"/>
      <c r="B7" s="67"/>
      <c r="C7" s="62" t="s">
        <v>17</v>
      </c>
      <c r="D7" s="63" t="e">
        <f>SUM(E7:P7)</f>
        <v>#REF!</v>
      </c>
      <c r="E7" s="64" t="e">
        <f>E20+#REF!+E38+E47</f>
        <v>#REF!</v>
      </c>
      <c r="F7" s="64" t="e">
        <f>F20+#REF!+F38+F47</f>
        <v>#REF!</v>
      </c>
      <c r="G7" s="64" t="e">
        <f>G20+#REF!+G38+G47</f>
        <v>#REF!</v>
      </c>
      <c r="H7" s="64" t="e">
        <f>H20+#REF!+H38+H47</f>
        <v>#REF!</v>
      </c>
      <c r="I7" s="64" t="e">
        <f>I20+#REF!+I38+I47</f>
        <v>#REF!</v>
      </c>
      <c r="J7" s="64" t="e">
        <f>J20+#REF!+J38+J47</f>
        <v>#REF!</v>
      </c>
      <c r="K7" s="64" t="e">
        <f>K20+#REF!+K38+K47</f>
        <v>#REF!</v>
      </c>
      <c r="L7" s="64" t="e">
        <f>L20+#REF!+L38+L47</f>
        <v>#REF!</v>
      </c>
      <c r="M7" s="64" t="e">
        <f>M20+#REF!+M38+M47</f>
        <v>#REF!</v>
      </c>
      <c r="N7" s="64" t="e">
        <f>N20+#REF!+N38+N47</f>
        <v>#REF!</v>
      </c>
      <c r="O7" s="64" t="e">
        <f>O20+#REF!+O38+O47</f>
        <v>#REF!</v>
      </c>
      <c r="P7" s="64" t="e">
        <f>P20+#REF!+P38+P47</f>
        <v>#REF!</v>
      </c>
      <c r="Q7" s="65" t="e">
        <f>SUM(R7:AV7)</f>
        <v>#REF!</v>
      </c>
      <c r="R7" s="64" t="e">
        <f>R20+#REF!+R38+R47</f>
        <v>#REF!</v>
      </c>
      <c r="S7" s="64" t="e">
        <f>S20+#REF!+S38+S47</f>
        <v>#REF!</v>
      </c>
      <c r="T7" s="64" t="e">
        <f>T20+#REF!+T38+T47</f>
        <v>#REF!</v>
      </c>
      <c r="U7" s="64" t="e">
        <f>U20+#REF!+U38+U47</f>
        <v>#REF!</v>
      </c>
      <c r="V7" s="64" t="e">
        <f>V20+#REF!+V38+V47</f>
        <v>#REF!</v>
      </c>
      <c r="W7" s="64" t="e">
        <f>W20+#REF!+W38+W47</f>
        <v>#REF!</v>
      </c>
      <c r="X7" s="64" t="e">
        <f>X20+#REF!+X38+X47</f>
        <v>#REF!</v>
      </c>
      <c r="Y7" s="64" t="e">
        <f>Y20+#REF!+Y38+Y47</f>
        <v>#REF!</v>
      </c>
      <c r="Z7" s="64" t="e">
        <f>Z20+#REF!+Z38+Z47</f>
        <v>#REF!</v>
      </c>
      <c r="AA7" s="64" t="e">
        <f>AA20+#REF!+AA38+AA47</f>
        <v>#REF!</v>
      </c>
      <c r="AB7" s="64" t="e">
        <f>AB20+#REF!+AB38+AB47</f>
        <v>#REF!</v>
      </c>
      <c r="AC7" s="64" t="e">
        <f>AC20+#REF!+AC38+AC47</f>
        <v>#REF!</v>
      </c>
      <c r="AD7" s="64" t="e">
        <f>AD20+#REF!+AD38+AD47</f>
        <v>#REF!</v>
      </c>
      <c r="AE7" s="64" t="e">
        <f>AE20+#REF!+AE38+AE47</f>
        <v>#REF!</v>
      </c>
      <c r="AF7" s="64" t="e">
        <f>AF20+#REF!+AF38+AF47</f>
        <v>#REF!</v>
      </c>
      <c r="AG7" s="64" t="e">
        <f>AG20+#REF!+AG38+AG47</f>
        <v>#REF!</v>
      </c>
      <c r="AH7" s="64" t="e">
        <f>AH20+#REF!+AH38+AH47</f>
        <v>#REF!</v>
      </c>
      <c r="AI7" s="64" t="e">
        <f>AI20+#REF!+AI38+AI47</f>
        <v>#REF!</v>
      </c>
      <c r="AJ7" s="64" t="e">
        <f>AJ20+#REF!+AJ38+AJ47</f>
        <v>#REF!</v>
      </c>
      <c r="AK7" s="64" t="e">
        <f>AK20+#REF!+AK38+AK47</f>
        <v>#REF!</v>
      </c>
      <c r="AL7" s="64" t="e">
        <f>AL20+#REF!+AL38+AL47</f>
        <v>#REF!</v>
      </c>
      <c r="AM7" s="64" t="e">
        <f>AM20+#REF!+AM38+AM47</f>
        <v>#REF!</v>
      </c>
      <c r="AN7" s="64" t="e">
        <f>AN20+#REF!+AN38+AN47</f>
        <v>#REF!</v>
      </c>
      <c r="AO7" s="64" t="e">
        <f>AO20+#REF!+AO38+AO47</f>
        <v>#REF!</v>
      </c>
      <c r="AP7" s="64" t="e">
        <f>AP20+#REF!+AP38+AP47</f>
        <v>#REF!</v>
      </c>
      <c r="AQ7" s="64" t="e">
        <f>AQ20+#REF!+AQ38+AQ47</f>
        <v>#REF!</v>
      </c>
      <c r="AR7" s="64" t="e">
        <f>AR20+#REF!+AR38+AR47</f>
        <v>#REF!</v>
      </c>
      <c r="AS7" s="64" t="e">
        <f>AS20+#REF!+AS38+AS47</f>
        <v>#REF!</v>
      </c>
      <c r="AT7" s="64" t="e">
        <f>AT20+#REF!+AT38+AT47</f>
        <v>#REF!</v>
      </c>
      <c r="AU7" s="64" t="e">
        <f>AU20+#REF!+AU38+AU47</f>
        <v>#REF!</v>
      </c>
      <c r="AV7" s="64" t="e">
        <f>AV20+#REF!+AV38+AV47</f>
        <v>#REF!</v>
      </c>
      <c r="AW7" s="65" t="e">
        <f>SUM(AX7:BY7)</f>
        <v>#REF!</v>
      </c>
      <c r="AX7" s="64" t="e">
        <f>AX20+#REF!+AX38+AX47</f>
        <v>#REF!</v>
      </c>
      <c r="AY7" s="64" t="e">
        <f>AY20+#REF!+AY38+AY47</f>
        <v>#REF!</v>
      </c>
      <c r="AZ7" s="64" t="e">
        <f>AZ20+#REF!+AZ38+AZ47</f>
        <v>#REF!</v>
      </c>
      <c r="BA7" s="64" t="e">
        <f>BA20+#REF!+BA38+BA47</f>
        <v>#REF!</v>
      </c>
      <c r="BB7" s="64" t="e">
        <f>BB20+#REF!+BB38+BB47</f>
        <v>#REF!</v>
      </c>
      <c r="BC7" s="64" t="e">
        <f>BC20+#REF!+BC38+BC47</f>
        <v>#REF!</v>
      </c>
      <c r="BD7" s="64" t="e">
        <f>BD20+#REF!+BD38+BD47</f>
        <v>#REF!</v>
      </c>
      <c r="BE7" s="64" t="e">
        <f>BE20+#REF!+BE38+BE47</f>
        <v>#REF!</v>
      </c>
      <c r="BF7" s="64" t="e">
        <f>BF20+#REF!+BF38+BF47</f>
        <v>#REF!</v>
      </c>
      <c r="BG7" s="64" t="e">
        <f>BG20+#REF!+BG38+BG47</f>
        <v>#REF!</v>
      </c>
      <c r="BH7" s="64" t="e">
        <f>BH20+#REF!+BH38+BH47</f>
        <v>#REF!</v>
      </c>
      <c r="BI7" s="64" t="e">
        <f>BI20+#REF!+BI38+BI47</f>
        <v>#REF!</v>
      </c>
      <c r="BJ7" s="64" t="e">
        <f>BJ20+#REF!+BJ38+BJ47</f>
        <v>#REF!</v>
      </c>
      <c r="BK7" s="64" t="e">
        <f>BK20+#REF!+BK38+BK47</f>
        <v>#REF!</v>
      </c>
      <c r="BL7" s="64" t="e">
        <f>BL20+#REF!+BL38+BL47</f>
        <v>#REF!</v>
      </c>
      <c r="BM7" s="64" t="e">
        <f>BM20+#REF!+BM38+BM47</f>
        <v>#REF!</v>
      </c>
      <c r="BN7" s="64" t="e">
        <f>BN20+#REF!+BN38+BN47</f>
        <v>#REF!</v>
      </c>
      <c r="BO7" s="64" t="e">
        <f>BO20+#REF!+BO38+BO47</f>
        <v>#REF!</v>
      </c>
      <c r="BP7" s="64" t="e">
        <f>BP20+#REF!+BP38+BP47</f>
        <v>#REF!</v>
      </c>
      <c r="BQ7" s="64" t="e">
        <f>BQ20+#REF!+BQ38+BQ47</f>
        <v>#REF!</v>
      </c>
      <c r="BR7" s="64" t="e">
        <f>BR20+#REF!+BR38+BR47</f>
        <v>#REF!</v>
      </c>
      <c r="BS7" s="64" t="e">
        <f>BS20+#REF!+BS38+BS47</f>
        <v>#REF!</v>
      </c>
      <c r="BT7" s="64" t="e">
        <f>BT20+#REF!+BT38+BT47</f>
        <v>#REF!</v>
      </c>
      <c r="BU7" s="64" t="e">
        <f>BU20+#REF!+BU38+BU47</f>
        <v>#REF!</v>
      </c>
      <c r="BV7" s="64" t="e">
        <f>BV20+#REF!+BV38+BV47</f>
        <v>#REF!</v>
      </c>
      <c r="BW7" s="64" t="e">
        <f>BW20+#REF!+BW38+BW47</f>
        <v>#REF!</v>
      </c>
      <c r="BX7" s="64" t="e">
        <f>BX20+#REF!+BX38+BX47</f>
        <v>#REF!</v>
      </c>
      <c r="BY7" s="64" t="e">
        <f>BY20+#REF!+BY38+BY47</f>
        <v>#REF!</v>
      </c>
      <c r="BZ7" s="65" t="e">
        <f>SUM(CA7:DE7)</f>
        <v>#REF!</v>
      </c>
      <c r="CA7" s="64" t="e">
        <f>CA20+#REF!+CA38+CA47</f>
        <v>#REF!</v>
      </c>
      <c r="CB7" s="64" t="e">
        <f>CB20+#REF!+CB38+CB47</f>
        <v>#REF!</v>
      </c>
      <c r="CC7" s="64" t="e">
        <f>CC20+#REF!+CC38+CC47</f>
        <v>#REF!</v>
      </c>
      <c r="CD7" s="64" t="e">
        <f>CD20+#REF!+CD38+CD47</f>
        <v>#REF!</v>
      </c>
      <c r="CE7" s="64" t="e">
        <f>CE20+#REF!+CE38+CE47</f>
        <v>#REF!</v>
      </c>
      <c r="CF7" s="64" t="e">
        <f>CF20+#REF!+CF38+CF47</f>
        <v>#REF!</v>
      </c>
      <c r="CG7" s="64" t="e">
        <f>CG20+#REF!+CG38+CG47</f>
        <v>#REF!</v>
      </c>
      <c r="CH7" s="64" t="e">
        <f>CH20+#REF!+CH38+CH47</f>
        <v>#REF!</v>
      </c>
      <c r="CI7" s="64" t="e">
        <f>CI20+#REF!+CI38+CI47</f>
        <v>#REF!</v>
      </c>
      <c r="CJ7" s="64" t="e">
        <f>CJ20+#REF!+CJ38+CJ47</f>
        <v>#REF!</v>
      </c>
      <c r="CK7" s="64" t="e">
        <f>CK20+#REF!+CK38+CK47</f>
        <v>#REF!</v>
      </c>
      <c r="CL7" s="64" t="e">
        <f>CL20+#REF!+CL38+CL47</f>
        <v>#REF!</v>
      </c>
      <c r="CM7" s="64" t="e">
        <f>CM20+#REF!+CM38+CM47</f>
        <v>#REF!</v>
      </c>
      <c r="CN7" s="64" t="e">
        <f>CN20+#REF!+CN38+CN47</f>
        <v>#REF!</v>
      </c>
      <c r="CO7" s="64" t="e">
        <f>CO20+#REF!+CO38+CO47</f>
        <v>#REF!</v>
      </c>
      <c r="CP7" s="64" t="e">
        <f>CP20+#REF!+CP38+CP47</f>
        <v>#REF!</v>
      </c>
      <c r="CQ7" s="64" t="e">
        <f>CQ20+#REF!+CQ38+CQ47</f>
        <v>#REF!</v>
      </c>
      <c r="CR7" s="64" t="e">
        <f>CR20+#REF!+CR38+CR47</f>
        <v>#REF!</v>
      </c>
      <c r="CS7" s="64" t="e">
        <f>CS20+#REF!+CS38+CS47</f>
        <v>#REF!</v>
      </c>
      <c r="CT7" s="64" t="e">
        <f>CT20+#REF!+CT38+CT47</f>
        <v>#REF!</v>
      </c>
      <c r="CU7" s="64" t="e">
        <f>CU20+#REF!+CU38+CU47</f>
        <v>#REF!</v>
      </c>
      <c r="CV7" s="64" t="e">
        <f>CV20+#REF!+CV38+CV47</f>
        <v>#REF!</v>
      </c>
      <c r="CW7" s="64" t="e">
        <f>CW20+#REF!+CW38+CW47</f>
        <v>#REF!</v>
      </c>
      <c r="CX7" s="64" t="e">
        <f>CX20+#REF!+CX38+CX47</f>
        <v>#REF!</v>
      </c>
      <c r="CY7" s="64" t="e">
        <f>CY20+#REF!+CY38+CY47</f>
        <v>#REF!</v>
      </c>
      <c r="CZ7" s="64" t="e">
        <f>CZ20+#REF!+CZ38+CZ47</f>
        <v>#REF!</v>
      </c>
      <c r="DA7" s="64" t="e">
        <f>DA20+#REF!+DA38+DA47</f>
        <v>#REF!</v>
      </c>
      <c r="DB7" s="64" t="e">
        <f>DB20+#REF!+DB38+DB47</f>
        <v>#REF!</v>
      </c>
      <c r="DC7" s="64" t="e">
        <f>DC20+#REF!+DC38+DC47</f>
        <v>#REF!</v>
      </c>
      <c r="DD7" s="64" t="e">
        <f>DD20+#REF!+DD38+DD47</f>
        <v>#REF!</v>
      </c>
      <c r="DE7" s="64" t="e">
        <f>DE20+#REF!+DE38+DE47</f>
        <v>#REF!</v>
      </c>
      <c r="DF7" s="65" t="e">
        <f>SUM(DG7:EJ7)</f>
        <v>#REF!</v>
      </c>
      <c r="DG7" s="64" t="e">
        <f>DG20+#REF!+DG38+DG47</f>
        <v>#REF!</v>
      </c>
      <c r="DH7" s="64" t="e">
        <f>DH20+#REF!+DH38+DH47</f>
        <v>#REF!</v>
      </c>
      <c r="DI7" s="64" t="e">
        <f>DI20+#REF!+DI38+DI47</f>
        <v>#REF!</v>
      </c>
      <c r="DJ7" s="64" t="e">
        <f>DJ20+#REF!+DJ38+DJ47</f>
        <v>#REF!</v>
      </c>
      <c r="DK7" s="64" t="e">
        <f>DK20+#REF!+DK38+DK47</f>
        <v>#REF!</v>
      </c>
      <c r="DL7" s="64" t="e">
        <f>DL20+#REF!+DL38+DL47</f>
        <v>#REF!</v>
      </c>
      <c r="DM7" s="64" t="e">
        <f>DM20+#REF!+DM38+DM47</f>
        <v>#REF!</v>
      </c>
      <c r="DN7" s="64" t="e">
        <f>DN20+#REF!+DN38+DN47</f>
        <v>#REF!</v>
      </c>
      <c r="DO7" s="64" t="e">
        <f>DO20+#REF!+DO38+DO47</f>
        <v>#REF!</v>
      </c>
      <c r="DP7" s="64" t="e">
        <f>DP20+#REF!+DP38+DP47</f>
        <v>#REF!</v>
      </c>
      <c r="DQ7" s="64" t="e">
        <f>DQ20+#REF!+DQ38+DQ47</f>
        <v>#REF!</v>
      </c>
      <c r="DR7" s="64" t="e">
        <f>DR20+#REF!+DR38+DR47</f>
        <v>#REF!</v>
      </c>
      <c r="DS7" s="64" t="e">
        <f>DS20+#REF!+DS38+DS47</f>
        <v>#REF!</v>
      </c>
      <c r="DT7" s="64" t="e">
        <f>DT20+#REF!+DT38+DT47</f>
        <v>#REF!</v>
      </c>
      <c r="DU7" s="64" t="e">
        <f>DU20+#REF!+DU38+DU47</f>
        <v>#REF!</v>
      </c>
      <c r="DV7" s="64" t="e">
        <f>DV20+#REF!+DV38+DV47</f>
        <v>#REF!</v>
      </c>
      <c r="DW7" s="64" t="e">
        <f>DW20+#REF!+DW38+DW47</f>
        <v>#REF!</v>
      </c>
      <c r="DX7" s="64" t="e">
        <f>DX20+#REF!+DX38+DX47</f>
        <v>#REF!</v>
      </c>
      <c r="DY7" s="64" t="e">
        <f>DY20+#REF!+DY38+DY47</f>
        <v>#REF!</v>
      </c>
      <c r="DZ7" s="64" t="e">
        <f>DZ20+#REF!+DZ38+DZ47</f>
        <v>#REF!</v>
      </c>
      <c r="EA7" s="64" t="e">
        <f>EA20+#REF!+EA38+EA47</f>
        <v>#REF!</v>
      </c>
      <c r="EB7" s="64" t="e">
        <f>EB20+#REF!+EB38+EB47</f>
        <v>#REF!</v>
      </c>
      <c r="EC7" s="64" t="e">
        <f>EC20+#REF!+EC38+EC47</f>
        <v>#REF!</v>
      </c>
      <c r="ED7" s="64" t="e">
        <f>ED20+#REF!+ED38+ED47</f>
        <v>#REF!</v>
      </c>
      <c r="EE7" s="64" t="e">
        <f>EE20+#REF!+EE38+EE47</f>
        <v>#REF!</v>
      </c>
      <c r="EF7" s="64" t="e">
        <f>EF20+#REF!+EF38+EF47</f>
        <v>#REF!</v>
      </c>
      <c r="EG7" s="64" t="e">
        <f>EG20+#REF!+EG38+EG47</f>
        <v>#REF!</v>
      </c>
      <c r="EH7" s="64" t="e">
        <f>EH20+#REF!+EH38+EH47</f>
        <v>#REF!</v>
      </c>
      <c r="EI7" s="64" t="e">
        <f>EI20+#REF!+EI38+EI47</f>
        <v>#REF!</v>
      </c>
      <c r="EJ7" s="64" t="e">
        <f>EJ20+#REF!+EJ38+EJ47</f>
        <v>#REF!</v>
      </c>
      <c r="EK7" s="65" t="e">
        <f>SUM(EL7:FP7)</f>
        <v>#REF!</v>
      </c>
      <c r="EL7" s="64" t="e">
        <f>EL20+#REF!+EL38+EL47</f>
        <v>#REF!</v>
      </c>
      <c r="EM7" s="64" t="e">
        <f>EM20+#REF!+EM38+EM47</f>
        <v>#REF!</v>
      </c>
      <c r="EN7" s="64" t="e">
        <f>EN20+#REF!+EN38+EN47</f>
        <v>#REF!</v>
      </c>
      <c r="EO7" s="64" t="e">
        <f>EO20+#REF!+EO38+EO47</f>
        <v>#REF!</v>
      </c>
      <c r="EP7" s="64" t="e">
        <f>EP20+#REF!+EP38+EP47</f>
        <v>#REF!</v>
      </c>
      <c r="EQ7" s="64" t="e">
        <f>EQ20+#REF!+EQ38+EQ47</f>
        <v>#REF!</v>
      </c>
      <c r="ER7" s="64" t="e">
        <f>ER20+#REF!+ER38+ER47</f>
        <v>#REF!</v>
      </c>
      <c r="ES7" s="64" t="e">
        <f>ES20+#REF!+ES38+ES47</f>
        <v>#REF!</v>
      </c>
      <c r="ET7" s="64" t="e">
        <f>ET20+#REF!+ET38+ET47</f>
        <v>#REF!</v>
      </c>
      <c r="EU7" s="64" t="e">
        <f>EU20+#REF!+EU38+EU47</f>
        <v>#REF!</v>
      </c>
      <c r="EV7" s="64" t="e">
        <f>EV20+#REF!+EV38+EV47</f>
        <v>#REF!</v>
      </c>
      <c r="EW7" s="64" t="e">
        <f>EW20+#REF!+EW38+EW47</f>
        <v>#REF!</v>
      </c>
      <c r="EX7" s="64" t="e">
        <f>EX20+#REF!+EX38+EX47</f>
        <v>#REF!</v>
      </c>
      <c r="EY7" s="64" t="e">
        <f>EY20+#REF!+EY38+EY47</f>
        <v>#REF!</v>
      </c>
      <c r="EZ7" s="64" t="e">
        <f>EZ20+#REF!+EZ38+EZ47</f>
        <v>#REF!</v>
      </c>
      <c r="FA7" s="64" t="e">
        <f>FA20+#REF!+FA38+FA47</f>
        <v>#REF!</v>
      </c>
      <c r="FB7" s="64" t="e">
        <f>FB20+#REF!+FB38+FB47</f>
        <v>#REF!</v>
      </c>
      <c r="FC7" s="64" t="e">
        <f>FC20+#REF!+FC38+FC47</f>
        <v>#REF!</v>
      </c>
      <c r="FD7" s="64" t="e">
        <f>FD20+#REF!+FD38+FD47</f>
        <v>#REF!</v>
      </c>
      <c r="FE7" s="64" t="e">
        <f>FE20+#REF!+FE38+FE47</f>
        <v>#REF!</v>
      </c>
      <c r="FF7" s="64" t="e">
        <f>FF20+#REF!+FF38+FF47</f>
        <v>#REF!</v>
      </c>
      <c r="FG7" s="64" t="e">
        <f>FG20+#REF!+FG38+FG47</f>
        <v>#REF!</v>
      </c>
      <c r="FH7" s="64" t="e">
        <f>FH20+#REF!+FH38+FH47</f>
        <v>#REF!</v>
      </c>
      <c r="FI7" s="64" t="e">
        <f>FI20+#REF!+FI38+FI47</f>
        <v>#REF!</v>
      </c>
      <c r="FJ7" s="64" t="e">
        <f>FJ20+#REF!+FJ38+FJ47</f>
        <v>#REF!</v>
      </c>
      <c r="FK7" s="64" t="e">
        <f>FK20+#REF!+FK38+FK47</f>
        <v>#REF!</v>
      </c>
      <c r="FL7" s="64" t="e">
        <f>FL20+#REF!+FL38+FL47</f>
        <v>#REF!</v>
      </c>
      <c r="FM7" s="64" t="e">
        <f>FM20+#REF!+FM38+FM47</f>
        <v>#REF!</v>
      </c>
      <c r="FN7" s="64" t="e">
        <f>FN20+#REF!+FN38+FN47</f>
        <v>#REF!</v>
      </c>
      <c r="FO7" s="64" t="e">
        <f>FO20+#REF!+FO38+FO47</f>
        <v>#REF!</v>
      </c>
      <c r="FP7" s="64" t="e">
        <f>FP20+#REF!+FP38+FP47</f>
        <v>#REF!</v>
      </c>
      <c r="FQ7" s="65" t="e">
        <f t="shared" si="9"/>
        <v>#REF!</v>
      </c>
      <c r="FR7" s="64" t="e">
        <f>FR20+#REF!+FR38+FR47</f>
        <v>#REF!</v>
      </c>
      <c r="FS7" s="64" t="e">
        <f>FS20+#REF!+FS38+FS47</f>
        <v>#REF!</v>
      </c>
      <c r="FT7" s="64" t="e">
        <f>FT20+#REF!+FT38+FT47</f>
        <v>#REF!</v>
      </c>
      <c r="FU7" s="64" t="e">
        <f>FU20+#REF!+FU38+FU47</f>
        <v>#REF!</v>
      </c>
      <c r="FV7" s="64" t="e">
        <f>FV20+#REF!+FV38+FV47</f>
        <v>#REF!</v>
      </c>
      <c r="FW7" s="64" t="e">
        <f>FW20+#REF!+FW38+FW47</f>
        <v>#REF!</v>
      </c>
      <c r="FX7" s="64" t="e">
        <f>FX20+#REF!+FX38+FX47</f>
        <v>#REF!</v>
      </c>
      <c r="FY7" s="64" t="e">
        <f>FY20+#REF!+FY38+FY47</f>
        <v>#REF!</v>
      </c>
      <c r="FZ7" s="64" t="e">
        <f>FZ20+#REF!+FZ38+FZ47</f>
        <v>#REF!</v>
      </c>
      <c r="GA7" s="64" t="e">
        <f>GA20+#REF!+GA38+GA47</f>
        <v>#REF!</v>
      </c>
      <c r="GB7" s="64" t="e">
        <f>GB20+#REF!+GB38+GB47</f>
        <v>#REF!</v>
      </c>
      <c r="GC7" s="64" t="e">
        <f>GC20+#REF!+GC38+GC47</f>
        <v>#REF!</v>
      </c>
      <c r="GD7" s="64" t="e">
        <f>GD20+#REF!+GD38+GD47</f>
        <v>#REF!</v>
      </c>
      <c r="GE7" s="64" t="e">
        <f>GE20+#REF!+GE38+GE47</f>
        <v>#REF!</v>
      </c>
      <c r="GF7" s="64" t="e">
        <f>GF20+#REF!+GF38+GF47</f>
        <v>#REF!</v>
      </c>
      <c r="GG7" s="64" t="e">
        <f>GG20+#REF!+GG38+GG47</f>
        <v>#REF!</v>
      </c>
      <c r="GH7" s="64" t="e">
        <f>GH20+#REF!+GH38+GH47</f>
        <v>#REF!</v>
      </c>
      <c r="GI7" s="64" t="e">
        <f>GI20+#REF!+GI38+GI47</f>
        <v>#REF!</v>
      </c>
      <c r="GJ7" s="64" t="e">
        <f>GJ20+#REF!+GJ38+GJ47</f>
        <v>#REF!</v>
      </c>
      <c r="GK7" s="64" t="e">
        <f>GK20+#REF!+GK38+GK47</f>
        <v>#REF!</v>
      </c>
      <c r="GL7" s="64" t="e">
        <f>GL20+#REF!+GL38+GL47</f>
        <v>#REF!</v>
      </c>
      <c r="GM7" s="64" t="e">
        <f>GM20+#REF!+GM38+GM47</f>
        <v>#REF!</v>
      </c>
      <c r="GN7" s="64" t="e">
        <f>GN20+#REF!+GN38+GN47</f>
        <v>#REF!</v>
      </c>
      <c r="GO7" s="64" t="e">
        <f>GO20+#REF!+GO38+GO47</f>
        <v>#REF!</v>
      </c>
      <c r="GP7" s="64" t="e">
        <f>GP20+#REF!+GP38+GP47</f>
        <v>#REF!</v>
      </c>
    </row>
    <row r="8" ht="15.6" hidden="1" spans="1:1024 1025:16189">
      <c r="A8" s="78"/>
      <c r="B8" s="67"/>
      <c r="C8" s="62" t="s">
        <v>18</v>
      </c>
      <c r="D8" s="75" t="e">
        <f>D7/D5</f>
        <v>#REF!</v>
      </c>
      <c r="E8" s="76" t="e">
        <f>E7/E5</f>
        <v>#REF!</v>
      </c>
      <c r="F8" s="76" t="e">
        <f t="shared" ref="F8:W8" si="30">F7/F5</f>
        <v>#REF!</v>
      </c>
      <c r="G8" s="76" t="e">
        <f t="shared" si="30"/>
        <v>#REF!</v>
      </c>
      <c r="H8" s="76" t="e">
        <f t="shared" si="30"/>
        <v>#REF!</v>
      </c>
      <c r="I8" s="76" t="e">
        <f t="shared" si="30"/>
        <v>#REF!</v>
      </c>
      <c r="J8" s="76" t="e">
        <f t="shared" si="30"/>
        <v>#REF!</v>
      </c>
      <c r="K8" s="76" t="e">
        <f t="shared" si="30"/>
        <v>#REF!</v>
      </c>
      <c r="L8" s="76" t="e">
        <f t="shared" si="30"/>
        <v>#REF!</v>
      </c>
      <c r="M8" s="76" t="e">
        <f t="shared" si="30"/>
        <v>#REF!</v>
      </c>
      <c r="N8" s="76" t="e">
        <f t="shared" si="30"/>
        <v>#REF!</v>
      </c>
      <c r="O8" s="76" t="e">
        <f t="shared" si="30"/>
        <v>#REF!</v>
      </c>
      <c r="P8" s="76" t="e">
        <f t="shared" si="30"/>
        <v>#REF!</v>
      </c>
      <c r="Q8" s="77" t="e">
        <f t="shared" si="30"/>
        <v>#REF!</v>
      </c>
      <c r="R8" s="76" t="e">
        <f t="shared" si="30"/>
        <v>#REF!</v>
      </c>
      <c r="S8" s="76" t="e">
        <f t="shared" si="30"/>
        <v>#REF!</v>
      </c>
      <c r="T8" s="76" t="e">
        <f t="shared" si="30"/>
        <v>#REF!</v>
      </c>
      <c r="U8" s="76" t="e">
        <f t="shared" ref="U8:AL8" si="31">U7/U5</f>
        <v>#REF!</v>
      </c>
      <c r="V8" s="76" t="e">
        <f t="shared" si="31"/>
        <v>#REF!</v>
      </c>
      <c r="W8" s="76" t="e">
        <f t="shared" si="31"/>
        <v>#REF!</v>
      </c>
      <c r="X8" s="76" t="e">
        <f t="shared" si="31"/>
        <v>#REF!</v>
      </c>
      <c r="Y8" s="76" t="e">
        <f t="shared" si="31"/>
        <v>#REF!</v>
      </c>
      <c r="Z8" s="76" t="e">
        <f t="shared" si="31"/>
        <v>#REF!</v>
      </c>
      <c r="AA8" s="76" t="e">
        <f t="shared" si="31"/>
        <v>#REF!</v>
      </c>
      <c r="AB8" s="76" t="e">
        <f t="shared" si="31"/>
        <v>#REF!</v>
      </c>
      <c r="AC8" s="76" t="e">
        <f t="shared" si="31"/>
        <v>#REF!</v>
      </c>
      <c r="AD8" s="76" t="e">
        <f t="shared" si="31"/>
        <v>#REF!</v>
      </c>
      <c r="AE8" s="76" t="e">
        <f t="shared" si="31"/>
        <v>#REF!</v>
      </c>
      <c r="AF8" s="76" t="e">
        <f t="shared" si="31"/>
        <v>#REF!</v>
      </c>
      <c r="AG8" s="76" t="e">
        <f t="shared" si="31"/>
        <v>#REF!</v>
      </c>
      <c r="AH8" s="76" t="e">
        <f t="shared" si="31"/>
        <v>#REF!</v>
      </c>
      <c r="AI8" s="76" t="e">
        <f t="shared" si="31"/>
        <v>#REF!</v>
      </c>
      <c r="AJ8" s="76" t="e">
        <f t="shared" si="31"/>
        <v>#REF!</v>
      </c>
      <c r="AK8" s="76" t="e">
        <f t="shared" si="31"/>
        <v>#REF!</v>
      </c>
      <c r="AL8" s="76" t="e">
        <f t="shared" ref="AL8:BH8" si="32">AL7/AL5</f>
        <v>#REF!</v>
      </c>
      <c r="AM8" s="76" t="e">
        <f t="shared" si="32"/>
        <v>#REF!</v>
      </c>
      <c r="AN8" s="76" t="e">
        <f t="shared" si="32"/>
        <v>#REF!</v>
      </c>
      <c r="AO8" s="76" t="e">
        <f t="shared" si="32"/>
        <v>#REF!</v>
      </c>
      <c r="AP8" s="76" t="e">
        <f t="shared" si="32"/>
        <v>#REF!</v>
      </c>
      <c r="AQ8" s="76" t="e">
        <f t="shared" si="32"/>
        <v>#REF!</v>
      </c>
      <c r="AR8" s="76" t="e">
        <f t="shared" si="32"/>
        <v>#REF!</v>
      </c>
      <c r="AS8" s="76" t="e">
        <f t="shared" si="32"/>
        <v>#REF!</v>
      </c>
      <c r="AT8" s="76" t="e">
        <f t="shared" si="32"/>
        <v>#REF!</v>
      </c>
      <c r="AU8" s="76" t="e">
        <f t="shared" si="32"/>
        <v>#REF!</v>
      </c>
      <c r="AV8" s="76" t="e">
        <f t="shared" si="32"/>
        <v>#REF!</v>
      </c>
      <c r="AW8" s="77" t="e">
        <f t="shared" si="32"/>
        <v>#REF!</v>
      </c>
      <c r="AX8" s="76" t="e">
        <f t="shared" si="32"/>
        <v>#REF!</v>
      </c>
      <c r="AY8" s="76" t="e">
        <f t="shared" si="32"/>
        <v>#REF!</v>
      </c>
      <c r="AZ8" s="76" t="e">
        <f t="shared" si="32"/>
        <v>#REF!</v>
      </c>
      <c r="BA8" s="76" t="e">
        <f t="shared" si="32"/>
        <v>#REF!</v>
      </c>
      <c r="BB8" s="76" t="e">
        <f t="shared" si="32"/>
        <v>#REF!</v>
      </c>
      <c r="BC8" s="76" t="e">
        <f t="shared" si="32"/>
        <v>#REF!</v>
      </c>
      <c r="BD8" s="76" t="e">
        <f t="shared" si="32"/>
        <v>#REF!</v>
      </c>
      <c r="BE8" s="76" t="e">
        <f t="shared" si="32"/>
        <v>#REF!</v>
      </c>
      <c r="BF8" s="76" t="e">
        <f t="shared" si="32"/>
        <v>#REF!</v>
      </c>
      <c r="BG8" s="76" t="e">
        <f t="shared" si="32"/>
        <v>#REF!</v>
      </c>
      <c r="BH8" s="76" t="e">
        <f t="shared" si="32"/>
        <v>#REF!</v>
      </c>
      <c r="BI8" s="76" t="e">
        <f t="shared" ref="BI8:BW8" si="33">BI7/BI5</f>
        <v>#REF!</v>
      </c>
      <c r="BJ8" s="76" t="e">
        <f t="shared" si="33"/>
        <v>#REF!</v>
      </c>
      <c r="BK8" s="76" t="e">
        <f t="shared" si="33"/>
        <v>#REF!</v>
      </c>
      <c r="BL8" s="76" t="e">
        <f t="shared" si="33"/>
        <v>#REF!</v>
      </c>
      <c r="BM8" s="76" t="e">
        <f t="shared" si="33"/>
        <v>#REF!</v>
      </c>
      <c r="BN8" s="76" t="e">
        <f t="shared" si="33"/>
        <v>#REF!</v>
      </c>
      <c r="BO8" s="76" t="e">
        <f t="shared" si="33"/>
        <v>#REF!</v>
      </c>
      <c r="BP8" s="76" t="e">
        <f t="shared" si="33"/>
        <v>#REF!</v>
      </c>
      <c r="BQ8" s="76" t="e">
        <f t="shared" si="33"/>
        <v>#REF!</v>
      </c>
      <c r="BR8" s="76" t="e">
        <f t="shared" si="33"/>
        <v>#REF!</v>
      </c>
      <c r="BS8" s="76" t="e">
        <f t="shared" si="33"/>
        <v>#REF!</v>
      </c>
      <c r="BT8" s="76" t="e">
        <f t="shared" si="33"/>
        <v>#REF!</v>
      </c>
      <c r="BU8" s="76" t="e">
        <f t="shared" si="33"/>
        <v>#REF!</v>
      </c>
      <c r="BV8" s="76" t="e">
        <f t="shared" si="33"/>
        <v>#REF!</v>
      </c>
      <c r="BW8" s="76" t="e">
        <f t="shared" si="33"/>
        <v>#REF!</v>
      </c>
      <c r="BX8" s="76" t="e">
        <f t="shared" ref="BX8:CH8" si="34">BX7/BX5</f>
        <v>#REF!</v>
      </c>
      <c r="BY8" s="76" t="e">
        <f t="shared" si="34"/>
        <v>#REF!</v>
      </c>
      <c r="BZ8" s="77" t="e">
        <f t="shared" si="34"/>
        <v>#REF!</v>
      </c>
      <c r="CA8" s="76" t="e">
        <f t="shared" si="34"/>
        <v>#REF!</v>
      </c>
      <c r="CB8" s="76" t="e">
        <f t="shared" si="34"/>
        <v>#REF!</v>
      </c>
      <c r="CC8" s="76" t="e">
        <f t="shared" si="34"/>
        <v>#REF!</v>
      </c>
      <c r="CD8" s="76" t="e">
        <f t="shared" si="34"/>
        <v>#REF!</v>
      </c>
      <c r="CE8" s="76" t="e">
        <f t="shared" si="34"/>
        <v>#REF!</v>
      </c>
      <c r="CF8" s="76" t="e">
        <f t="shared" si="34"/>
        <v>#REF!</v>
      </c>
      <c r="CG8" s="76" t="e">
        <f t="shared" si="34"/>
        <v>#REF!</v>
      </c>
      <c r="CH8" s="76" t="e">
        <f t="shared" si="34"/>
        <v>#REF!</v>
      </c>
      <c r="CI8" s="76" t="e">
        <f t="shared" ref="CI8:EH8" si="35">CI7/CI5</f>
        <v>#REF!</v>
      </c>
      <c r="CJ8" s="76" t="e">
        <f t="shared" si="35"/>
        <v>#REF!</v>
      </c>
      <c r="CK8" s="76" t="e">
        <f t="shared" si="35"/>
        <v>#REF!</v>
      </c>
      <c r="CL8" s="76" t="e">
        <f t="shared" si="35"/>
        <v>#REF!</v>
      </c>
      <c r="CM8" s="76" t="e">
        <f t="shared" si="35"/>
        <v>#REF!</v>
      </c>
      <c r="CN8" s="76" t="e">
        <f t="shared" si="35"/>
        <v>#REF!</v>
      </c>
      <c r="CO8" s="76" t="e">
        <f t="shared" si="35"/>
        <v>#REF!</v>
      </c>
      <c r="CP8" s="76" t="e">
        <f t="shared" si="35"/>
        <v>#REF!</v>
      </c>
      <c r="CQ8" s="76" t="e">
        <f t="shared" si="35"/>
        <v>#REF!</v>
      </c>
      <c r="CR8" s="76" t="e">
        <f t="shared" si="35"/>
        <v>#REF!</v>
      </c>
      <c r="CS8" s="76" t="e">
        <f t="shared" si="35"/>
        <v>#REF!</v>
      </c>
      <c r="CT8" s="76" t="e">
        <f t="shared" si="35"/>
        <v>#REF!</v>
      </c>
      <c r="CU8" s="76" t="e">
        <f t="shared" si="35"/>
        <v>#REF!</v>
      </c>
      <c r="CV8" s="76" t="e">
        <f t="shared" si="35"/>
        <v>#REF!</v>
      </c>
      <c r="CW8" s="76" t="e">
        <f t="shared" si="35"/>
        <v>#REF!</v>
      </c>
      <c r="CX8" s="76" t="e">
        <f t="shared" si="35"/>
        <v>#REF!</v>
      </c>
      <c r="CY8" s="76" t="e">
        <f t="shared" si="35"/>
        <v>#REF!</v>
      </c>
      <c r="CZ8" s="76" t="e">
        <f t="shared" si="35"/>
        <v>#REF!</v>
      </c>
      <c r="DA8" s="76" t="e">
        <f t="shared" si="35"/>
        <v>#REF!</v>
      </c>
      <c r="DB8" s="76" t="e">
        <f t="shared" si="35"/>
        <v>#REF!</v>
      </c>
      <c r="DC8" s="76" t="e">
        <f t="shared" si="35"/>
        <v>#REF!</v>
      </c>
      <c r="DD8" s="76" t="e">
        <f t="shared" si="35"/>
        <v>#REF!</v>
      </c>
      <c r="DE8" s="76" t="e">
        <f t="shared" si="35"/>
        <v>#REF!</v>
      </c>
      <c r="DF8" s="77" t="e">
        <f t="shared" si="35"/>
        <v>#REF!</v>
      </c>
      <c r="DG8" s="76" t="e">
        <f t="shared" si="35"/>
        <v>#REF!</v>
      </c>
      <c r="DH8" s="76" t="e">
        <f t="shared" si="35"/>
        <v>#REF!</v>
      </c>
      <c r="DI8" s="76" t="e">
        <f t="shared" si="35"/>
        <v>#REF!</v>
      </c>
      <c r="DJ8" s="76" t="e">
        <f t="shared" si="35"/>
        <v>#REF!</v>
      </c>
      <c r="DK8" s="76" t="e">
        <f t="shared" si="35"/>
        <v>#REF!</v>
      </c>
      <c r="DL8" s="76" t="e">
        <f t="shared" si="35"/>
        <v>#REF!</v>
      </c>
      <c r="DM8" s="76" t="e">
        <f t="shared" si="35"/>
        <v>#REF!</v>
      </c>
      <c r="DN8" s="76" t="e">
        <f t="shared" si="35"/>
        <v>#REF!</v>
      </c>
      <c r="DO8" s="76" t="e">
        <f t="shared" si="35"/>
        <v>#REF!</v>
      </c>
      <c r="DP8" s="76" t="e">
        <f t="shared" si="35"/>
        <v>#REF!</v>
      </c>
      <c r="DQ8" s="76" t="e">
        <f t="shared" si="35"/>
        <v>#REF!</v>
      </c>
      <c r="DR8" s="76" t="e">
        <f t="shared" si="35"/>
        <v>#REF!</v>
      </c>
      <c r="DS8" s="76" t="e">
        <f t="shared" si="35"/>
        <v>#REF!</v>
      </c>
      <c r="DT8" s="76" t="e">
        <f t="shared" si="35"/>
        <v>#REF!</v>
      </c>
      <c r="DU8" s="76" t="e">
        <f t="shared" si="35"/>
        <v>#REF!</v>
      </c>
      <c r="DV8" s="76" t="e">
        <f t="shared" si="35"/>
        <v>#REF!</v>
      </c>
      <c r="DW8" s="76" t="e">
        <f t="shared" si="35"/>
        <v>#REF!</v>
      </c>
      <c r="DX8" s="76" t="e">
        <f t="shared" si="35"/>
        <v>#REF!</v>
      </c>
      <c r="DY8" s="76" t="e">
        <f t="shared" si="35"/>
        <v>#REF!</v>
      </c>
      <c r="DZ8" s="76" t="e">
        <f t="shared" si="35"/>
        <v>#REF!</v>
      </c>
      <c r="EA8" s="76" t="e">
        <f t="shared" si="35"/>
        <v>#REF!</v>
      </c>
      <c r="EB8" s="76" t="e">
        <f t="shared" si="35"/>
        <v>#REF!</v>
      </c>
      <c r="EC8" s="76" t="e">
        <f t="shared" si="35"/>
        <v>#REF!</v>
      </c>
      <c r="ED8" s="76" t="e">
        <f t="shared" si="35"/>
        <v>#REF!</v>
      </c>
      <c r="EE8" s="76" t="e">
        <f t="shared" si="35"/>
        <v>#REF!</v>
      </c>
      <c r="EF8" s="76" t="e">
        <f t="shared" si="35"/>
        <v>#REF!</v>
      </c>
      <c r="EG8" s="76" t="e">
        <f t="shared" si="35"/>
        <v>#REF!</v>
      </c>
      <c r="EH8" s="76" t="e">
        <f t="shared" si="35"/>
        <v>#REF!</v>
      </c>
      <c r="EI8" s="76" t="e">
        <f t="shared" ref="EI8:FM8" si="36">EI7/EI5</f>
        <v>#REF!</v>
      </c>
      <c r="EJ8" s="76" t="e">
        <f t="shared" si="36"/>
        <v>#REF!</v>
      </c>
      <c r="EK8" s="77" t="e">
        <f t="shared" si="36"/>
        <v>#REF!</v>
      </c>
      <c r="EL8" s="76" t="e">
        <f t="shared" si="36"/>
        <v>#REF!</v>
      </c>
      <c r="EM8" s="76" t="e">
        <f t="shared" si="36"/>
        <v>#REF!</v>
      </c>
      <c r="EN8" s="76" t="e">
        <f t="shared" si="36"/>
        <v>#REF!</v>
      </c>
      <c r="EO8" s="76" t="e">
        <f t="shared" si="36"/>
        <v>#REF!</v>
      </c>
      <c r="EP8" s="76" t="e">
        <f t="shared" si="36"/>
        <v>#REF!</v>
      </c>
      <c r="EQ8" s="76" t="e">
        <f t="shared" si="36"/>
        <v>#REF!</v>
      </c>
      <c r="ER8" s="76" t="e">
        <f t="shared" si="36"/>
        <v>#REF!</v>
      </c>
      <c r="ES8" s="76" t="e">
        <f t="shared" si="36"/>
        <v>#REF!</v>
      </c>
      <c r="ET8" s="76" t="e">
        <f t="shared" si="36"/>
        <v>#REF!</v>
      </c>
      <c r="EU8" s="76" t="e">
        <f t="shared" si="36"/>
        <v>#REF!</v>
      </c>
      <c r="EV8" s="76" t="e">
        <f t="shared" si="36"/>
        <v>#REF!</v>
      </c>
      <c r="EW8" s="76" t="e">
        <f t="shared" si="36"/>
        <v>#REF!</v>
      </c>
      <c r="EX8" s="76" t="e">
        <f t="shared" si="36"/>
        <v>#REF!</v>
      </c>
      <c r="EY8" s="76" t="e">
        <f t="shared" si="36"/>
        <v>#REF!</v>
      </c>
      <c r="EZ8" s="76" t="e">
        <f t="shared" si="36"/>
        <v>#REF!</v>
      </c>
      <c r="FA8" s="76" t="e">
        <f t="shared" si="36"/>
        <v>#REF!</v>
      </c>
      <c r="FB8" s="76" t="e">
        <f t="shared" si="36"/>
        <v>#REF!</v>
      </c>
      <c r="FC8" s="76" t="e">
        <f t="shared" si="36"/>
        <v>#REF!</v>
      </c>
      <c r="FD8" s="76" t="e">
        <f t="shared" si="36"/>
        <v>#REF!</v>
      </c>
      <c r="FE8" s="76" t="e">
        <f t="shared" si="36"/>
        <v>#REF!</v>
      </c>
      <c r="FF8" s="76" t="e">
        <f t="shared" si="36"/>
        <v>#REF!</v>
      </c>
      <c r="FG8" s="76" t="e">
        <f t="shared" si="36"/>
        <v>#REF!</v>
      </c>
      <c r="FH8" s="76" t="e">
        <f t="shared" si="36"/>
        <v>#REF!</v>
      </c>
      <c r="FI8" s="76" t="e">
        <f t="shared" si="36"/>
        <v>#REF!</v>
      </c>
      <c r="FJ8" s="76" t="e">
        <f t="shared" si="36"/>
        <v>#REF!</v>
      </c>
      <c r="FK8" s="76" t="e">
        <f t="shared" si="36"/>
        <v>#REF!</v>
      </c>
      <c r="FL8" s="76" t="e">
        <f t="shared" si="36"/>
        <v>#REF!</v>
      </c>
      <c r="FM8" s="76" t="e">
        <f t="shared" si="36"/>
        <v>#REF!</v>
      </c>
      <c r="FN8" s="76" t="e">
        <f t="shared" ref="FN8:GI8" si="37">FN7/FN5</f>
        <v>#REF!</v>
      </c>
      <c r="FO8" s="76" t="e">
        <f t="shared" si="37"/>
        <v>#REF!</v>
      </c>
      <c r="FP8" s="76" t="e">
        <f t="shared" si="37"/>
        <v>#REF!</v>
      </c>
      <c r="FQ8" s="77" t="e">
        <f t="shared" si="37"/>
        <v>#REF!</v>
      </c>
      <c r="FR8" s="76" t="e">
        <f t="shared" si="37"/>
        <v>#REF!</v>
      </c>
      <c r="FS8" s="76" t="e">
        <f t="shared" si="37"/>
        <v>#REF!</v>
      </c>
      <c r="FT8" s="76" t="e">
        <f t="shared" si="37"/>
        <v>#REF!</v>
      </c>
      <c r="FU8" s="76" t="e">
        <f t="shared" si="37"/>
        <v>#REF!</v>
      </c>
      <c r="FV8" s="76" t="e">
        <f t="shared" si="37"/>
        <v>#REF!</v>
      </c>
      <c r="FW8" s="76" t="e">
        <f t="shared" si="37"/>
        <v>#REF!</v>
      </c>
      <c r="FX8" s="76" t="e">
        <f t="shared" si="37"/>
        <v>#REF!</v>
      </c>
      <c r="FY8" s="76" t="e">
        <f t="shared" si="37"/>
        <v>#REF!</v>
      </c>
      <c r="FZ8" s="76" t="e">
        <f t="shared" si="37"/>
        <v>#REF!</v>
      </c>
      <c r="GA8" s="76" t="e">
        <f t="shared" si="37"/>
        <v>#REF!</v>
      </c>
      <c r="GB8" s="76" t="e">
        <f t="shared" si="37"/>
        <v>#REF!</v>
      </c>
      <c r="GC8" s="76" t="e">
        <f t="shared" si="37"/>
        <v>#REF!</v>
      </c>
      <c r="GD8" s="76" t="e">
        <f t="shared" si="37"/>
        <v>#REF!</v>
      </c>
      <c r="GE8" s="76" t="e">
        <f t="shared" si="37"/>
        <v>#REF!</v>
      </c>
      <c r="GF8" s="76" t="e">
        <f t="shared" si="37"/>
        <v>#REF!</v>
      </c>
      <c r="GG8" s="76" t="e">
        <f t="shared" si="37"/>
        <v>#REF!</v>
      </c>
      <c r="GH8" s="76" t="e">
        <f t="shared" si="37"/>
        <v>#REF!</v>
      </c>
      <c r="GI8" s="76" t="e">
        <f t="shared" si="37"/>
        <v>#REF!</v>
      </c>
      <c r="GJ8" s="76" t="e">
        <f t="shared" ref="GJ8:GP8" si="38">GJ7/GJ5</f>
        <v>#REF!</v>
      </c>
      <c r="GK8" s="76" t="e">
        <f t="shared" si="38"/>
        <v>#REF!</v>
      </c>
      <c r="GL8" s="76" t="e">
        <f t="shared" si="38"/>
        <v>#REF!</v>
      </c>
      <c r="GM8" s="76" t="e">
        <f t="shared" si="38"/>
        <v>#REF!</v>
      </c>
      <c r="GN8" s="76" t="e">
        <f t="shared" si="38"/>
        <v>#REF!</v>
      </c>
      <c r="GO8" s="76" t="e">
        <f t="shared" si="38"/>
        <v>#REF!</v>
      </c>
      <c r="GP8" s="76" t="e">
        <f t="shared" si="38"/>
        <v>#REF!</v>
      </c>
    </row>
    <row r="9" ht="15.6" hidden="1" spans="1:1024 1025:16189">
      <c r="A9" s="78"/>
      <c r="B9" s="67"/>
      <c r="C9" s="62" t="s">
        <v>19</v>
      </c>
      <c r="D9" s="79" t="e">
        <f>D15/D7</f>
        <v>#REF!</v>
      </c>
      <c r="E9" s="80" t="e">
        <f>E15/E7</f>
        <v>#REF!</v>
      </c>
      <c r="F9" s="80" t="e">
        <f t="shared" ref="F9:W9" si="39">F15/F7</f>
        <v>#REF!</v>
      </c>
      <c r="G9" s="80" t="e">
        <f t="shared" si="39"/>
        <v>#REF!</v>
      </c>
      <c r="H9" s="80" t="e">
        <f t="shared" si="39"/>
        <v>#REF!</v>
      </c>
      <c r="I9" s="80" t="e">
        <f t="shared" si="39"/>
        <v>#REF!</v>
      </c>
      <c r="J9" s="80" t="e">
        <f t="shared" si="39"/>
        <v>#REF!</v>
      </c>
      <c r="K9" s="80" t="e">
        <f t="shared" si="39"/>
        <v>#REF!</v>
      </c>
      <c r="L9" s="80" t="e">
        <f t="shared" si="39"/>
        <v>#REF!</v>
      </c>
      <c r="M9" s="80" t="e">
        <f t="shared" si="39"/>
        <v>#REF!</v>
      </c>
      <c r="N9" s="80" t="e">
        <f t="shared" si="39"/>
        <v>#REF!</v>
      </c>
      <c r="O9" s="80" t="e">
        <f t="shared" si="39"/>
        <v>#REF!</v>
      </c>
      <c r="P9" s="80" t="e">
        <f t="shared" si="39"/>
        <v>#REF!</v>
      </c>
      <c r="Q9" s="81" t="e">
        <f t="shared" si="39"/>
        <v>#REF!</v>
      </c>
      <c r="R9" s="80" t="e">
        <f t="shared" si="39"/>
        <v>#REF!</v>
      </c>
      <c r="S9" s="80" t="e">
        <f t="shared" si="39"/>
        <v>#REF!</v>
      </c>
      <c r="T9" s="80" t="e">
        <f t="shared" si="39"/>
        <v>#REF!</v>
      </c>
      <c r="U9" s="80" t="e">
        <f t="shared" ref="U9:AL9" si="40">U15/U7</f>
        <v>#REF!</v>
      </c>
      <c r="V9" s="80" t="e">
        <f t="shared" si="40"/>
        <v>#REF!</v>
      </c>
      <c r="W9" s="80" t="e">
        <f t="shared" si="40"/>
        <v>#REF!</v>
      </c>
      <c r="X9" s="80" t="e">
        <f t="shared" si="40"/>
        <v>#REF!</v>
      </c>
      <c r="Y9" s="80" t="e">
        <f t="shared" si="40"/>
        <v>#REF!</v>
      </c>
      <c r="Z9" s="80" t="e">
        <f t="shared" si="40"/>
        <v>#REF!</v>
      </c>
      <c r="AA9" s="80" t="e">
        <f t="shared" si="40"/>
        <v>#REF!</v>
      </c>
      <c r="AB9" s="80" t="e">
        <f t="shared" si="40"/>
        <v>#REF!</v>
      </c>
      <c r="AC9" s="80" t="e">
        <f t="shared" si="40"/>
        <v>#REF!</v>
      </c>
      <c r="AD9" s="80" t="e">
        <f t="shared" si="40"/>
        <v>#REF!</v>
      </c>
      <c r="AE9" s="80" t="e">
        <f t="shared" si="40"/>
        <v>#REF!</v>
      </c>
      <c r="AF9" s="80" t="e">
        <f t="shared" si="40"/>
        <v>#REF!</v>
      </c>
      <c r="AG9" s="80" t="e">
        <f t="shared" si="40"/>
        <v>#REF!</v>
      </c>
      <c r="AH9" s="80" t="e">
        <f t="shared" si="40"/>
        <v>#REF!</v>
      </c>
      <c r="AI9" s="80" t="e">
        <f t="shared" si="40"/>
        <v>#REF!</v>
      </c>
      <c r="AJ9" s="80" t="e">
        <f t="shared" si="40"/>
        <v>#REF!</v>
      </c>
      <c r="AK9" s="80" t="e">
        <f t="shared" si="40"/>
        <v>#REF!</v>
      </c>
      <c r="AL9" s="80" t="e">
        <f t="shared" ref="AL9:BH9" si="41">AL15/AL7</f>
        <v>#REF!</v>
      </c>
      <c r="AM9" s="80" t="e">
        <f t="shared" si="41"/>
        <v>#REF!</v>
      </c>
      <c r="AN9" s="80" t="e">
        <f t="shared" si="41"/>
        <v>#REF!</v>
      </c>
      <c r="AO9" s="80" t="e">
        <f t="shared" si="41"/>
        <v>#REF!</v>
      </c>
      <c r="AP9" s="80" t="e">
        <f t="shared" si="41"/>
        <v>#REF!</v>
      </c>
      <c r="AQ9" s="80" t="e">
        <f t="shared" si="41"/>
        <v>#REF!</v>
      </c>
      <c r="AR9" s="80" t="e">
        <f t="shared" si="41"/>
        <v>#REF!</v>
      </c>
      <c r="AS9" s="80" t="e">
        <f t="shared" si="41"/>
        <v>#REF!</v>
      </c>
      <c r="AT9" s="80" t="e">
        <f t="shared" si="41"/>
        <v>#REF!</v>
      </c>
      <c r="AU9" s="80" t="e">
        <f t="shared" si="41"/>
        <v>#REF!</v>
      </c>
      <c r="AV9" s="80" t="e">
        <f t="shared" si="41"/>
        <v>#REF!</v>
      </c>
      <c r="AW9" s="81" t="e">
        <f t="shared" si="41"/>
        <v>#REF!</v>
      </c>
      <c r="AX9" s="80" t="e">
        <f t="shared" si="41"/>
        <v>#REF!</v>
      </c>
      <c r="AY9" s="80" t="e">
        <f t="shared" si="41"/>
        <v>#REF!</v>
      </c>
      <c r="AZ9" s="80" t="e">
        <f t="shared" si="41"/>
        <v>#REF!</v>
      </c>
      <c r="BA9" s="80" t="e">
        <f t="shared" si="41"/>
        <v>#REF!</v>
      </c>
      <c r="BB9" s="80" t="e">
        <f t="shared" si="41"/>
        <v>#REF!</v>
      </c>
      <c r="BC9" s="80" t="e">
        <f t="shared" si="41"/>
        <v>#REF!</v>
      </c>
      <c r="BD9" s="80" t="e">
        <f t="shared" si="41"/>
        <v>#REF!</v>
      </c>
      <c r="BE9" s="80" t="e">
        <f t="shared" si="41"/>
        <v>#REF!</v>
      </c>
      <c r="BF9" s="80" t="e">
        <f t="shared" si="41"/>
        <v>#REF!</v>
      </c>
      <c r="BG9" s="80" t="e">
        <f t="shared" si="41"/>
        <v>#REF!</v>
      </c>
      <c r="BH9" s="80" t="e">
        <f t="shared" si="41"/>
        <v>#REF!</v>
      </c>
      <c r="BI9" s="80" t="e">
        <f t="shared" ref="BI9:BW9" si="42">BI15/BI7</f>
        <v>#REF!</v>
      </c>
      <c r="BJ9" s="80" t="e">
        <f t="shared" si="42"/>
        <v>#REF!</v>
      </c>
      <c r="BK9" s="80" t="e">
        <f t="shared" si="42"/>
        <v>#REF!</v>
      </c>
      <c r="BL9" s="80" t="e">
        <f t="shared" si="42"/>
        <v>#REF!</v>
      </c>
      <c r="BM9" s="80" t="e">
        <f t="shared" si="42"/>
        <v>#REF!</v>
      </c>
      <c r="BN9" s="80" t="e">
        <f t="shared" si="42"/>
        <v>#REF!</v>
      </c>
      <c r="BO9" s="80" t="e">
        <f t="shared" si="42"/>
        <v>#REF!</v>
      </c>
      <c r="BP9" s="80" t="e">
        <f t="shared" si="42"/>
        <v>#REF!</v>
      </c>
      <c r="BQ9" s="80" t="e">
        <f t="shared" si="42"/>
        <v>#REF!</v>
      </c>
      <c r="BR9" s="80" t="e">
        <f t="shared" si="42"/>
        <v>#REF!</v>
      </c>
      <c r="BS9" s="80" t="e">
        <f t="shared" si="42"/>
        <v>#REF!</v>
      </c>
      <c r="BT9" s="80" t="e">
        <f t="shared" si="42"/>
        <v>#REF!</v>
      </c>
      <c r="BU9" s="80" t="e">
        <f t="shared" si="42"/>
        <v>#REF!</v>
      </c>
      <c r="BV9" s="80" t="e">
        <f t="shared" si="42"/>
        <v>#REF!</v>
      </c>
      <c r="BW9" s="80" t="e">
        <f t="shared" si="42"/>
        <v>#REF!</v>
      </c>
      <c r="BX9" s="80" t="e">
        <f t="shared" ref="BX9:CH9" si="43">BX15/BX7</f>
        <v>#REF!</v>
      </c>
      <c r="BY9" s="80" t="e">
        <f t="shared" si="43"/>
        <v>#REF!</v>
      </c>
      <c r="BZ9" s="81" t="e">
        <f t="shared" si="43"/>
        <v>#REF!</v>
      </c>
      <c r="CA9" s="80" t="e">
        <f t="shared" si="43"/>
        <v>#REF!</v>
      </c>
      <c r="CB9" s="80" t="e">
        <f t="shared" si="43"/>
        <v>#REF!</v>
      </c>
      <c r="CC9" s="80" t="e">
        <f t="shared" si="43"/>
        <v>#REF!</v>
      </c>
      <c r="CD9" s="80" t="e">
        <f t="shared" si="43"/>
        <v>#REF!</v>
      </c>
      <c r="CE9" s="80" t="e">
        <f t="shared" si="43"/>
        <v>#REF!</v>
      </c>
      <c r="CF9" s="80" t="e">
        <f t="shared" si="43"/>
        <v>#REF!</v>
      </c>
      <c r="CG9" s="80" t="e">
        <f t="shared" si="43"/>
        <v>#REF!</v>
      </c>
      <c r="CH9" s="80" t="e">
        <f t="shared" si="43"/>
        <v>#REF!</v>
      </c>
      <c r="CI9" s="80" t="e">
        <f t="shared" ref="CI9:EH9" si="44">CI15/CI7</f>
        <v>#REF!</v>
      </c>
      <c r="CJ9" s="80" t="e">
        <f t="shared" si="44"/>
        <v>#REF!</v>
      </c>
      <c r="CK9" s="80" t="e">
        <f t="shared" si="44"/>
        <v>#REF!</v>
      </c>
      <c r="CL9" s="80" t="e">
        <f t="shared" si="44"/>
        <v>#REF!</v>
      </c>
      <c r="CM9" s="80" t="e">
        <f t="shared" si="44"/>
        <v>#REF!</v>
      </c>
      <c r="CN9" s="80" t="e">
        <f t="shared" si="44"/>
        <v>#REF!</v>
      </c>
      <c r="CO9" s="80" t="e">
        <f t="shared" si="44"/>
        <v>#REF!</v>
      </c>
      <c r="CP9" s="80" t="e">
        <f t="shared" si="44"/>
        <v>#REF!</v>
      </c>
      <c r="CQ9" s="80" t="e">
        <f t="shared" si="44"/>
        <v>#REF!</v>
      </c>
      <c r="CR9" s="80" t="e">
        <f t="shared" si="44"/>
        <v>#REF!</v>
      </c>
      <c r="CS9" s="80" t="e">
        <f t="shared" si="44"/>
        <v>#REF!</v>
      </c>
      <c r="CT9" s="80" t="e">
        <f t="shared" si="44"/>
        <v>#REF!</v>
      </c>
      <c r="CU9" s="80" t="e">
        <f t="shared" si="44"/>
        <v>#REF!</v>
      </c>
      <c r="CV9" s="80" t="e">
        <f t="shared" si="44"/>
        <v>#REF!</v>
      </c>
      <c r="CW9" s="80" t="e">
        <f t="shared" si="44"/>
        <v>#REF!</v>
      </c>
      <c r="CX9" s="80" t="e">
        <f t="shared" si="44"/>
        <v>#REF!</v>
      </c>
      <c r="CY9" s="80" t="e">
        <f t="shared" si="44"/>
        <v>#REF!</v>
      </c>
      <c r="CZ9" s="80" t="e">
        <f t="shared" si="44"/>
        <v>#REF!</v>
      </c>
      <c r="DA9" s="80" t="e">
        <f t="shared" si="44"/>
        <v>#REF!</v>
      </c>
      <c r="DB9" s="80" t="e">
        <f t="shared" si="44"/>
        <v>#REF!</v>
      </c>
      <c r="DC9" s="80" t="e">
        <f t="shared" si="44"/>
        <v>#REF!</v>
      </c>
      <c r="DD9" s="80" t="e">
        <f t="shared" si="44"/>
        <v>#REF!</v>
      </c>
      <c r="DE9" s="80" t="e">
        <f t="shared" si="44"/>
        <v>#REF!</v>
      </c>
      <c r="DF9" s="81" t="e">
        <f t="shared" si="44"/>
        <v>#REF!</v>
      </c>
      <c r="DG9" s="80" t="e">
        <f t="shared" si="44"/>
        <v>#REF!</v>
      </c>
      <c r="DH9" s="80" t="e">
        <f t="shared" si="44"/>
        <v>#REF!</v>
      </c>
      <c r="DI9" s="80" t="e">
        <f t="shared" si="44"/>
        <v>#REF!</v>
      </c>
      <c r="DJ9" s="80" t="e">
        <f t="shared" si="44"/>
        <v>#REF!</v>
      </c>
      <c r="DK9" s="80" t="e">
        <f t="shared" si="44"/>
        <v>#REF!</v>
      </c>
      <c r="DL9" s="80" t="e">
        <f t="shared" si="44"/>
        <v>#REF!</v>
      </c>
      <c r="DM9" s="80" t="e">
        <f t="shared" si="44"/>
        <v>#REF!</v>
      </c>
      <c r="DN9" s="80" t="e">
        <f t="shared" si="44"/>
        <v>#REF!</v>
      </c>
      <c r="DO9" s="80" t="e">
        <f t="shared" si="44"/>
        <v>#REF!</v>
      </c>
      <c r="DP9" s="80" t="e">
        <f t="shared" si="44"/>
        <v>#REF!</v>
      </c>
      <c r="DQ9" s="80" t="e">
        <f t="shared" si="44"/>
        <v>#REF!</v>
      </c>
      <c r="DR9" s="80" t="e">
        <f t="shared" si="44"/>
        <v>#REF!</v>
      </c>
      <c r="DS9" s="80" t="e">
        <f t="shared" si="44"/>
        <v>#REF!</v>
      </c>
      <c r="DT9" s="80" t="e">
        <f t="shared" si="44"/>
        <v>#REF!</v>
      </c>
      <c r="DU9" s="80" t="e">
        <f t="shared" si="44"/>
        <v>#REF!</v>
      </c>
      <c r="DV9" s="80" t="e">
        <f t="shared" si="44"/>
        <v>#REF!</v>
      </c>
      <c r="DW9" s="80" t="e">
        <f t="shared" si="44"/>
        <v>#REF!</v>
      </c>
      <c r="DX9" s="80" t="e">
        <f t="shared" si="44"/>
        <v>#REF!</v>
      </c>
      <c r="DY9" s="80" t="e">
        <f t="shared" si="44"/>
        <v>#REF!</v>
      </c>
      <c r="DZ9" s="80" t="e">
        <f t="shared" si="44"/>
        <v>#REF!</v>
      </c>
      <c r="EA9" s="80" t="e">
        <f t="shared" si="44"/>
        <v>#REF!</v>
      </c>
      <c r="EB9" s="80" t="e">
        <f t="shared" si="44"/>
        <v>#REF!</v>
      </c>
      <c r="EC9" s="80" t="e">
        <f t="shared" si="44"/>
        <v>#REF!</v>
      </c>
      <c r="ED9" s="80" t="e">
        <f t="shared" si="44"/>
        <v>#REF!</v>
      </c>
      <c r="EE9" s="80" t="e">
        <f t="shared" si="44"/>
        <v>#REF!</v>
      </c>
      <c r="EF9" s="80" t="e">
        <f t="shared" si="44"/>
        <v>#REF!</v>
      </c>
      <c r="EG9" s="80" t="e">
        <f t="shared" si="44"/>
        <v>#REF!</v>
      </c>
      <c r="EH9" s="80" t="e">
        <f t="shared" si="44"/>
        <v>#REF!</v>
      </c>
      <c r="EI9" s="80" t="e">
        <f t="shared" ref="EI9:FM9" si="45">EI15/EI7</f>
        <v>#REF!</v>
      </c>
      <c r="EJ9" s="80" t="e">
        <f t="shared" si="45"/>
        <v>#REF!</v>
      </c>
      <c r="EK9" s="81" t="e">
        <f t="shared" si="45"/>
        <v>#REF!</v>
      </c>
      <c r="EL9" s="80" t="e">
        <f t="shared" si="45"/>
        <v>#REF!</v>
      </c>
      <c r="EM9" s="80" t="e">
        <f t="shared" si="45"/>
        <v>#REF!</v>
      </c>
      <c r="EN9" s="80" t="e">
        <f t="shared" si="45"/>
        <v>#REF!</v>
      </c>
      <c r="EO9" s="80" t="e">
        <f t="shared" si="45"/>
        <v>#REF!</v>
      </c>
      <c r="EP9" s="80" t="e">
        <f t="shared" si="45"/>
        <v>#REF!</v>
      </c>
      <c r="EQ9" s="80" t="e">
        <f t="shared" si="45"/>
        <v>#REF!</v>
      </c>
      <c r="ER9" s="80" t="e">
        <f t="shared" si="45"/>
        <v>#REF!</v>
      </c>
      <c r="ES9" s="80" t="e">
        <f t="shared" si="45"/>
        <v>#REF!</v>
      </c>
      <c r="ET9" s="80" t="e">
        <f t="shared" si="45"/>
        <v>#REF!</v>
      </c>
      <c r="EU9" s="80" t="e">
        <f t="shared" si="45"/>
        <v>#REF!</v>
      </c>
      <c r="EV9" s="80" t="e">
        <f t="shared" si="45"/>
        <v>#REF!</v>
      </c>
      <c r="EW9" s="80" t="e">
        <f t="shared" si="45"/>
        <v>#REF!</v>
      </c>
      <c r="EX9" s="80" t="e">
        <f t="shared" si="45"/>
        <v>#REF!</v>
      </c>
      <c r="EY9" s="80" t="e">
        <f t="shared" si="45"/>
        <v>#REF!</v>
      </c>
      <c r="EZ9" s="80" t="e">
        <f t="shared" si="45"/>
        <v>#REF!</v>
      </c>
      <c r="FA9" s="80" t="e">
        <f t="shared" si="45"/>
        <v>#REF!</v>
      </c>
      <c r="FB9" s="80" t="e">
        <f t="shared" si="45"/>
        <v>#REF!</v>
      </c>
      <c r="FC9" s="80" t="e">
        <f t="shared" si="45"/>
        <v>#REF!</v>
      </c>
      <c r="FD9" s="80" t="e">
        <f t="shared" si="45"/>
        <v>#REF!</v>
      </c>
      <c r="FE9" s="80" t="e">
        <f t="shared" si="45"/>
        <v>#REF!</v>
      </c>
      <c r="FF9" s="80" t="e">
        <f t="shared" si="45"/>
        <v>#REF!</v>
      </c>
      <c r="FG9" s="80" t="e">
        <f t="shared" si="45"/>
        <v>#REF!</v>
      </c>
      <c r="FH9" s="80" t="e">
        <f t="shared" si="45"/>
        <v>#REF!</v>
      </c>
      <c r="FI9" s="80" t="e">
        <f t="shared" si="45"/>
        <v>#REF!</v>
      </c>
      <c r="FJ9" s="80" t="e">
        <f t="shared" si="45"/>
        <v>#REF!</v>
      </c>
      <c r="FK9" s="80" t="e">
        <f t="shared" si="45"/>
        <v>#REF!</v>
      </c>
      <c r="FL9" s="80" t="e">
        <f t="shared" si="45"/>
        <v>#REF!</v>
      </c>
      <c r="FM9" s="80" t="e">
        <f t="shared" si="45"/>
        <v>#REF!</v>
      </c>
      <c r="FN9" s="80" t="e">
        <f t="shared" ref="FN9:GI9" si="46">FN15/FN7</f>
        <v>#REF!</v>
      </c>
      <c r="FO9" s="80" t="e">
        <f t="shared" si="46"/>
        <v>#REF!</v>
      </c>
      <c r="FP9" s="80" t="e">
        <f t="shared" si="46"/>
        <v>#REF!</v>
      </c>
      <c r="FQ9" s="81" t="e">
        <f t="shared" si="46"/>
        <v>#REF!</v>
      </c>
      <c r="FR9" s="80" t="e">
        <f t="shared" si="46"/>
        <v>#REF!</v>
      </c>
      <c r="FS9" s="80" t="e">
        <f t="shared" si="46"/>
        <v>#REF!</v>
      </c>
      <c r="FT9" s="80" t="e">
        <f t="shared" si="46"/>
        <v>#REF!</v>
      </c>
      <c r="FU9" s="80" t="e">
        <f t="shared" si="46"/>
        <v>#REF!</v>
      </c>
      <c r="FV9" s="80" t="e">
        <f t="shared" si="46"/>
        <v>#REF!</v>
      </c>
      <c r="FW9" s="80" t="e">
        <f t="shared" si="46"/>
        <v>#REF!</v>
      </c>
      <c r="FX9" s="80" t="e">
        <f t="shared" si="46"/>
        <v>#REF!</v>
      </c>
      <c r="FY9" s="80" t="e">
        <f t="shared" si="46"/>
        <v>#REF!</v>
      </c>
      <c r="FZ9" s="80" t="e">
        <f t="shared" si="46"/>
        <v>#REF!</v>
      </c>
      <c r="GA9" s="80" t="e">
        <f t="shared" si="46"/>
        <v>#REF!</v>
      </c>
      <c r="GB9" s="80" t="e">
        <f t="shared" si="46"/>
        <v>#REF!</v>
      </c>
      <c r="GC9" s="80" t="e">
        <f t="shared" si="46"/>
        <v>#REF!</v>
      </c>
      <c r="GD9" s="80" t="e">
        <f t="shared" si="46"/>
        <v>#REF!</v>
      </c>
      <c r="GE9" s="80" t="e">
        <f t="shared" si="46"/>
        <v>#REF!</v>
      </c>
      <c r="GF9" s="80" t="e">
        <f t="shared" si="46"/>
        <v>#REF!</v>
      </c>
      <c r="GG9" s="80" t="e">
        <f t="shared" si="46"/>
        <v>#REF!</v>
      </c>
      <c r="GH9" s="80" t="e">
        <f t="shared" si="46"/>
        <v>#REF!</v>
      </c>
      <c r="GI9" s="80" t="e">
        <f t="shared" si="46"/>
        <v>#REF!</v>
      </c>
      <c r="GJ9" s="80" t="e">
        <f t="shared" ref="GJ9:GP9" si="47">GJ15/GJ7</f>
        <v>#REF!</v>
      </c>
      <c r="GK9" s="80" t="e">
        <f t="shared" si="47"/>
        <v>#REF!</v>
      </c>
      <c r="GL9" s="80" t="e">
        <f t="shared" si="47"/>
        <v>#REF!</v>
      </c>
      <c r="GM9" s="80" t="e">
        <f t="shared" si="47"/>
        <v>#REF!</v>
      </c>
      <c r="GN9" s="80" t="e">
        <f t="shared" si="47"/>
        <v>#REF!</v>
      </c>
      <c r="GO9" s="80" t="e">
        <f t="shared" si="47"/>
        <v>#REF!</v>
      </c>
      <c r="GP9" s="80" t="e">
        <f t="shared" si="47"/>
        <v>#REF!</v>
      </c>
    </row>
    <row r="10" spans="1:1024 1025:16189">
      <c r="A10" s="82" t="s">
        <v>20</v>
      </c>
      <c r="B10" s="67"/>
      <c r="C10" s="62" t="s">
        <v>21</v>
      </c>
      <c r="D10" s="63" t="e">
        <f>SUM(E10:P10)</f>
        <v>#REF!</v>
      </c>
      <c r="E10" s="64" t="e">
        <f>E21+E30+E48+E39+E57+E66</f>
        <v>#REF!</v>
      </c>
      <c r="F10" s="64" t="e">
        <f t="shared" ref="F10:P10" si="48">F21+F30+F48+F39+F57+F66</f>
        <v>#REF!</v>
      </c>
      <c r="G10" s="64" t="e">
        <f t="shared" si="48"/>
        <v>#REF!</v>
      </c>
      <c r="H10" s="64" t="e">
        <f t="shared" si="48"/>
        <v>#REF!</v>
      </c>
      <c r="I10" s="64" t="e">
        <f t="shared" si="48"/>
        <v>#REF!</v>
      </c>
      <c r="J10" s="64" t="e">
        <f t="shared" si="48"/>
        <v>#REF!</v>
      </c>
      <c r="K10" s="64" t="e">
        <f t="shared" si="48"/>
        <v>#REF!</v>
      </c>
      <c r="L10" s="64" t="e">
        <f t="shared" si="48"/>
        <v>#REF!</v>
      </c>
      <c r="M10" s="64" t="e">
        <f t="shared" si="48"/>
        <v>#REF!</v>
      </c>
      <c r="N10" s="64" t="e">
        <f t="shared" si="48"/>
        <v>#REF!</v>
      </c>
      <c r="O10" s="64" t="e">
        <f t="shared" si="48"/>
        <v>#REF!</v>
      </c>
      <c r="P10" s="64" t="e">
        <f t="shared" si="48"/>
        <v>#REF!</v>
      </c>
      <c r="Q10" s="65">
        <f>SUM(R10:AV10)</f>
        <v>6166</v>
      </c>
      <c r="R10" s="64">
        <f>R21+R30+R48+R39+R57+R66</f>
        <v>143</v>
      </c>
      <c r="S10" s="64">
        <f>S21+S30+S48+S39+S57+S66</f>
        <v>188</v>
      </c>
      <c r="T10" s="64">
        <f>T21+T30+T48+T39+T57+T66</f>
        <v>201</v>
      </c>
      <c r="U10" s="64">
        <f t="shared" ref="U10:AL10" si="49">U21+U30+U48+U39+U57+U66</f>
        <v>264</v>
      </c>
      <c r="V10" s="64">
        <f t="shared" si="49"/>
        <v>244</v>
      </c>
      <c r="W10" s="64">
        <f t="shared" si="49"/>
        <v>196</v>
      </c>
      <c r="X10" s="64">
        <f t="shared" si="49"/>
        <v>238</v>
      </c>
      <c r="Y10" s="64">
        <f t="shared" si="49"/>
        <v>204</v>
      </c>
      <c r="Z10" s="64">
        <f t="shared" si="49"/>
        <v>233</v>
      </c>
      <c r="AA10" s="64">
        <f t="shared" si="49"/>
        <v>229</v>
      </c>
      <c r="AB10" s="64">
        <f t="shared" si="49"/>
        <v>230</v>
      </c>
      <c r="AC10" s="64">
        <f t="shared" si="49"/>
        <v>231</v>
      </c>
      <c r="AD10" s="64">
        <f t="shared" ref="AD10:AV10" si="50">AD21+AD30+AD48+AD39+AD57+AD66</f>
        <v>219</v>
      </c>
      <c r="AE10" s="64">
        <f t="shared" si="50"/>
        <v>265</v>
      </c>
      <c r="AF10" s="64">
        <f t="shared" si="50"/>
        <v>242</v>
      </c>
      <c r="AG10" s="64">
        <f t="shared" si="50"/>
        <v>223</v>
      </c>
      <c r="AH10" s="64">
        <f t="shared" si="50"/>
        <v>205</v>
      </c>
      <c r="AI10" s="64">
        <f t="shared" si="50"/>
        <v>207</v>
      </c>
      <c r="AJ10" s="64">
        <f t="shared" si="50"/>
        <v>188</v>
      </c>
      <c r="AK10" s="64">
        <f t="shared" si="50"/>
        <v>131</v>
      </c>
      <c r="AL10" s="64">
        <f t="shared" si="50"/>
        <v>119</v>
      </c>
      <c r="AM10" s="64">
        <f t="shared" si="50"/>
        <v>140</v>
      </c>
      <c r="AN10" s="64">
        <f t="shared" si="50"/>
        <v>180</v>
      </c>
      <c r="AO10" s="64">
        <f t="shared" si="50"/>
        <v>158</v>
      </c>
      <c r="AP10" s="64">
        <f t="shared" si="50"/>
        <v>148</v>
      </c>
      <c r="AQ10" s="64">
        <f t="shared" si="50"/>
        <v>142</v>
      </c>
      <c r="AR10" s="64">
        <f t="shared" si="50"/>
        <v>204</v>
      </c>
      <c r="AS10" s="64">
        <f t="shared" si="50"/>
        <v>172</v>
      </c>
      <c r="AT10" s="64">
        <f t="shared" si="50"/>
        <v>210</v>
      </c>
      <c r="AU10" s="64">
        <f t="shared" si="50"/>
        <v>237</v>
      </c>
      <c r="AV10" s="64">
        <f t="shared" si="50"/>
        <v>175</v>
      </c>
      <c r="AW10" s="65">
        <f>SUM(AX10:BY10)</f>
        <v>5850</v>
      </c>
      <c r="AX10" s="64">
        <f t="shared" ref="AX10:BH10" si="51">AX21+AX30+AX48+AX39+AX57+AX66</f>
        <v>214</v>
      </c>
      <c r="AY10" s="64">
        <f t="shared" si="51"/>
        <v>244</v>
      </c>
      <c r="AZ10" s="64">
        <f t="shared" si="51"/>
        <v>210</v>
      </c>
      <c r="BA10" s="64">
        <f t="shared" si="51"/>
        <v>251</v>
      </c>
      <c r="BB10" s="64">
        <f t="shared" si="51"/>
        <v>223</v>
      </c>
      <c r="BC10" s="64">
        <f t="shared" si="51"/>
        <v>239</v>
      </c>
      <c r="BD10" s="64">
        <f t="shared" si="51"/>
        <v>176</v>
      </c>
      <c r="BE10" s="64">
        <f t="shared" si="51"/>
        <v>221</v>
      </c>
      <c r="BF10" s="64">
        <f t="shared" si="51"/>
        <v>217</v>
      </c>
      <c r="BG10" s="64">
        <f t="shared" si="51"/>
        <v>263</v>
      </c>
      <c r="BH10" s="64">
        <f t="shared" si="51"/>
        <v>198</v>
      </c>
      <c r="BI10" s="64">
        <f t="shared" ref="BI10:BW10" si="52">BI21+BI30+BI48+BI39+BI57+BI66</f>
        <v>225</v>
      </c>
      <c r="BJ10" s="64">
        <f t="shared" si="52"/>
        <v>240</v>
      </c>
      <c r="BK10" s="64">
        <f t="shared" si="52"/>
        <v>233</v>
      </c>
      <c r="BL10" s="64">
        <f t="shared" si="52"/>
        <v>189</v>
      </c>
      <c r="BM10" s="64">
        <f t="shared" si="52"/>
        <v>184</v>
      </c>
      <c r="BN10" s="64">
        <f t="shared" si="52"/>
        <v>175</v>
      </c>
      <c r="BO10" s="64">
        <f t="shared" si="52"/>
        <v>172</v>
      </c>
      <c r="BP10" s="64">
        <f t="shared" si="52"/>
        <v>189</v>
      </c>
      <c r="BQ10" s="64">
        <f t="shared" si="52"/>
        <v>209</v>
      </c>
      <c r="BR10" s="64">
        <f t="shared" si="52"/>
        <v>174</v>
      </c>
      <c r="BS10" s="64">
        <f t="shared" si="52"/>
        <v>177</v>
      </c>
      <c r="BT10" s="64">
        <f t="shared" si="52"/>
        <v>172</v>
      </c>
      <c r="BU10" s="64">
        <f t="shared" si="52"/>
        <v>161</v>
      </c>
      <c r="BV10" s="64">
        <f t="shared" si="52"/>
        <v>224</v>
      </c>
      <c r="BW10" s="64">
        <f t="shared" si="52"/>
        <v>209</v>
      </c>
      <c r="BX10" s="64">
        <f t="shared" ref="BX10:CH10" si="53">BX21+BX30+BX48+BX39+BX57+BX66</f>
        <v>237</v>
      </c>
      <c r="BY10" s="64">
        <f t="shared" si="53"/>
        <v>224</v>
      </c>
      <c r="BZ10" s="65">
        <f>SUM(CA10:DE10)</f>
        <v>9876</v>
      </c>
      <c r="CA10" s="64">
        <f t="shared" si="53"/>
        <v>245</v>
      </c>
      <c r="CB10" s="64">
        <f t="shared" si="53"/>
        <v>223</v>
      </c>
      <c r="CC10" s="64">
        <f t="shared" si="53"/>
        <v>236</v>
      </c>
      <c r="CD10" s="64">
        <f t="shared" si="53"/>
        <v>221</v>
      </c>
      <c r="CE10" s="64">
        <f t="shared" si="53"/>
        <v>348</v>
      </c>
      <c r="CF10" s="64">
        <f t="shared" si="53"/>
        <v>288</v>
      </c>
      <c r="CG10" s="64">
        <f t="shared" si="53"/>
        <v>230</v>
      </c>
      <c r="CH10" s="64">
        <f t="shared" si="53"/>
        <v>306</v>
      </c>
      <c r="CI10" s="64">
        <f t="shared" ref="CI10:DE10" si="54">CI21+CI30+CI48+CI39+CI57+CI66</f>
        <v>261</v>
      </c>
      <c r="CJ10" s="64">
        <f t="shared" si="54"/>
        <v>296</v>
      </c>
      <c r="CK10" s="64">
        <f t="shared" si="54"/>
        <v>318</v>
      </c>
      <c r="CL10" s="64">
        <f t="shared" si="54"/>
        <v>313</v>
      </c>
      <c r="CM10" s="64">
        <f t="shared" si="54"/>
        <v>297</v>
      </c>
      <c r="CN10" s="64">
        <f t="shared" si="54"/>
        <v>372</v>
      </c>
      <c r="CO10" s="64">
        <f t="shared" si="54"/>
        <v>292</v>
      </c>
      <c r="CP10" s="64">
        <f t="shared" si="54"/>
        <v>291</v>
      </c>
      <c r="CQ10" s="64">
        <f t="shared" si="54"/>
        <v>267</v>
      </c>
      <c r="CR10" s="64">
        <f t="shared" si="54"/>
        <v>313</v>
      </c>
      <c r="CS10" s="64">
        <f t="shared" si="54"/>
        <v>340</v>
      </c>
      <c r="CT10" s="64">
        <f t="shared" si="54"/>
        <v>337</v>
      </c>
      <c r="CU10" s="64">
        <f t="shared" si="54"/>
        <v>363</v>
      </c>
      <c r="CV10" s="64">
        <f t="shared" si="54"/>
        <v>333</v>
      </c>
      <c r="CW10" s="64">
        <f t="shared" si="54"/>
        <v>366</v>
      </c>
      <c r="CX10" s="64">
        <f t="shared" si="54"/>
        <v>408</v>
      </c>
      <c r="CY10" s="64">
        <f t="shared" si="54"/>
        <v>435</v>
      </c>
      <c r="CZ10" s="64">
        <f t="shared" si="54"/>
        <v>410</v>
      </c>
      <c r="DA10" s="64">
        <f t="shared" si="54"/>
        <v>319</v>
      </c>
      <c r="DB10" s="64">
        <f t="shared" si="54"/>
        <v>361</v>
      </c>
      <c r="DC10" s="64">
        <f t="shared" si="54"/>
        <v>363</v>
      </c>
      <c r="DD10" s="64">
        <f t="shared" si="54"/>
        <v>364</v>
      </c>
      <c r="DE10" s="64">
        <f t="shared" si="54"/>
        <v>360</v>
      </c>
      <c r="DF10" s="65">
        <f>SUM(DG10:EJ10)</f>
        <v>12247</v>
      </c>
      <c r="DG10" s="64">
        <f t="shared" ref="DG10:EJ10" si="55">DG21+DG30+DG48+DG39+DG57+DG66</f>
        <v>370</v>
      </c>
      <c r="DH10" s="64">
        <f t="shared" si="55"/>
        <v>305</v>
      </c>
      <c r="DI10" s="64">
        <f t="shared" si="55"/>
        <v>353</v>
      </c>
      <c r="DJ10" s="64">
        <f t="shared" si="55"/>
        <v>360</v>
      </c>
      <c r="DK10" s="64">
        <f t="shared" si="55"/>
        <v>338</v>
      </c>
      <c r="DL10" s="64">
        <f t="shared" si="55"/>
        <v>318</v>
      </c>
      <c r="DM10" s="64">
        <f t="shared" si="55"/>
        <v>389</v>
      </c>
      <c r="DN10" s="64">
        <f t="shared" si="55"/>
        <v>541</v>
      </c>
      <c r="DO10" s="64">
        <f t="shared" si="55"/>
        <v>549</v>
      </c>
      <c r="DP10" s="64">
        <f t="shared" si="55"/>
        <v>406</v>
      </c>
      <c r="DQ10" s="64">
        <f t="shared" si="55"/>
        <v>419</v>
      </c>
      <c r="DR10" s="64">
        <f t="shared" si="55"/>
        <v>534</v>
      </c>
      <c r="DS10" s="64">
        <f t="shared" si="55"/>
        <v>467</v>
      </c>
      <c r="DT10" s="64">
        <f t="shared" si="55"/>
        <v>252</v>
      </c>
      <c r="DU10" s="64">
        <f t="shared" si="55"/>
        <v>269</v>
      </c>
      <c r="DV10" s="64">
        <f t="shared" si="55"/>
        <v>468</v>
      </c>
      <c r="DW10" s="64">
        <f t="shared" si="55"/>
        <v>272</v>
      </c>
      <c r="DX10" s="64">
        <f t="shared" si="55"/>
        <v>238</v>
      </c>
      <c r="DY10" s="64">
        <f t="shared" si="55"/>
        <v>340</v>
      </c>
      <c r="DZ10" s="64">
        <f t="shared" si="55"/>
        <v>226</v>
      </c>
      <c r="EA10" s="64">
        <f t="shared" si="55"/>
        <v>213</v>
      </c>
      <c r="EB10" s="64">
        <f t="shared" si="55"/>
        <v>419</v>
      </c>
      <c r="EC10" s="64">
        <f t="shared" si="55"/>
        <v>494</v>
      </c>
      <c r="ED10" s="64">
        <f t="shared" si="55"/>
        <v>596</v>
      </c>
      <c r="EE10" s="64">
        <f t="shared" si="55"/>
        <v>819</v>
      </c>
      <c r="EF10" s="64">
        <f t="shared" si="55"/>
        <v>486</v>
      </c>
      <c r="EG10" s="64">
        <f t="shared" si="55"/>
        <v>509</v>
      </c>
      <c r="EH10" s="64">
        <f t="shared" si="55"/>
        <v>476</v>
      </c>
      <c r="EI10" s="64">
        <f t="shared" si="55"/>
        <v>422</v>
      </c>
      <c r="EJ10" s="64">
        <f t="shared" si="55"/>
        <v>399</v>
      </c>
      <c r="EK10" s="65">
        <f>SUM(EL10:FP10)</f>
        <v>14458</v>
      </c>
      <c r="EL10" s="64">
        <f t="shared" ref="EL10:FP10" si="56">EL21+EL30+EL48+EL39+EL57+EL66</f>
        <v>427</v>
      </c>
      <c r="EM10" s="64">
        <f t="shared" si="56"/>
        <v>396</v>
      </c>
      <c r="EN10" s="64">
        <f t="shared" si="56"/>
        <v>414</v>
      </c>
      <c r="EO10" s="64">
        <f t="shared" si="56"/>
        <v>408</v>
      </c>
      <c r="EP10" s="64">
        <f t="shared" si="56"/>
        <v>432</v>
      </c>
      <c r="EQ10" s="64">
        <f t="shared" si="56"/>
        <v>371</v>
      </c>
      <c r="ER10" s="64">
        <f t="shared" si="56"/>
        <v>348</v>
      </c>
      <c r="ES10" s="64">
        <f t="shared" si="56"/>
        <v>687</v>
      </c>
      <c r="ET10" s="64">
        <f t="shared" si="56"/>
        <v>833</v>
      </c>
      <c r="EU10" s="64">
        <f t="shared" si="56"/>
        <v>747</v>
      </c>
      <c r="EV10" s="64">
        <f t="shared" si="56"/>
        <v>698</v>
      </c>
      <c r="EW10" s="64">
        <f t="shared" si="56"/>
        <v>626</v>
      </c>
      <c r="EX10" s="64">
        <f t="shared" si="56"/>
        <v>456</v>
      </c>
      <c r="EY10" s="64">
        <f t="shared" si="56"/>
        <v>427</v>
      </c>
      <c r="EZ10" s="64">
        <f t="shared" si="56"/>
        <v>298</v>
      </c>
      <c r="FA10" s="64">
        <f t="shared" si="56"/>
        <v>432</v>
      </c>
      <c r="FB10" s="64">
        <f t="shared" si="56"/>
        <v>418</v>
      </c>
      <c r="FC10" s="64">
        <f t="shared" si="56"/>
        <v>322</v>
      </c>
      <c r="FD10" s="64">
        <f t="shared" si="56"/>
        <v>435</v>
      </c>
      <c r="FE10" s="64">
        <f t="shared" si="56"/>
        <v>458</v>
      </c>
      <c r="FF10" s="64">
        <f t="shared" si="56"/>
        <v>368</v>
      </c>
      <c r="FG10" s="64">
        <f t="shared" si="56"/>
        <v>395</v>
      </c>
      <c r="FH10" s="64">
        <f t="shared" si="56"/>
        <v>462</v>
      </c>
      <c r="FI10" s="64">
        <f t="shared" si="56"/>
        <v>560</v>
      </c>
      <c r="FJ10" s="64">
        <f t="shared" si="56"/>
        <v>437</v>
      </c>
      <c r="FK10" s="64">
        <f t="shared" si="56"/>
        <v>437</v>
      </c>
      <c r="FL10" s="64">
        <f t="shared" si="56"/>
        <v>433</v>
      </c>
      <c r="FM10" s="64">
        <f t="shared" si="56"/>
        <v>500</v>
      </c>
      <c r="FN10" s="64">
        <f t="shared" si="56"/>
        <v>343</v>
      </c>
      <c r="FO10" s="64">
        <f t="shared" si="56"/>
        <v>350</v>
      </c>
      <c r="FP10" s="64">
        <f t="shared" si="56"/>
        <v>540</v>
      </c>
      <c r="FQ10" s="65">
        <f t="shared" ref="FQ10:FQ15" si="57">SUM(FR10:GX10)</f>
        <v>8339</v>
      </c>
      <c r="FR10" s="64">
        <f t="shared" ref="FR10:GI10" si="58">FR21+FR30+FR48+FR39+FR57+FR66</f>
        <v>361</v>
      </c>
      <c r="FS10" s="64">
        <f t="shared" si="58"/>
        <v>315</v>
      </c>
      <c r="FT10" s="64">
        <f t="shared" si="58"/>
        <v>295</v>
      </c>
      <c r="FU10" s="64">
        <f t="shared" si="58"/>
        <v>370</v>
      </c>
      <c r="FV10" s="64">
        <f t="shared" si="58"/>
        <v>356</v>
      </c>
      <c r="FW10" s="64">
        <f t="shared" si="58"/>
        <v>463</v>
      </c>
      <c r="FX10" s="64">
        <f t="shared" si="58"/>
        <v>523</v>
      </c>
      <c r="FY10" s="64">
        <f t="shared" si="58"/>
        <v>414</v>
      </c>
      <c r="FZ10" s="64">
        <f t="shared" si="58"/>
        <v>398</v>
      </c>
      <c r="GA10" s="64">
        <f t="shared" si="58"/>
        <v>402</v>
      </c>
      <c r="GB10" s="64">
        <f t="shared" si="58"/>
        <v>381</v>
      </c>
      <c r="GC10" s="64">
        <f t="shared" si="58"/>
        <v>288</v>
      </c>
      <c r="GD10" s="64">
        <f t="shared" si="58"/>
        <v>460</v>
      </c>
      <c r="GE10" s="64">
        <f t="shared" si="58"/>
        <v>457</v>
      </c>
      <c r="GF10" s="64">
        <f t="shared" si="58"/>
        <v>365</v>
      </c>
      <c r="GG10" s="64">
        <f t="shared" si="58"/>
        <v>361</v>
      </c>
      <c r="GH10" s="64">
        <f t="shared" si="58"/>
        <v>385</v>
      </c>
      <c r="GI10" s="64">
        <f t="shared" si="58"/>
        <v>331</v>
      </c>
      <c r="GJ10" s="64">
        <f t="shared" ref="GJ10:GP10" si="59">GJ21+GJ30+GJ48+GJ39+GJ57+GJ66</f>
        <v>431</v>
      </c>
      <c r="GK10" s="64">
        <f t="shared" si="59"/>
        <v>449</v>
      </c>
      <c r="GL10" s="64">
        <f t="shared" si="59"/>
        <v>534</v>
      </c>
      <c r="GM10" s="64">
        <f t="shared" si="59"/>
        <v>0</v>
      </c>
      <c r="GN10" s="64">
        <f t="shared" si="59"/>
        <v>0</v>
      </c>
      <c r="GO10" s="64">
        <f t="shared" si="59"/>
        <v>0</v>
      </c>
      <c r="GP10" s="64">
        <f t="shared" si="59"/>
        <v>0</v>
      </c>
    </row>
    <row r="11" spans="1:1024 1025:16189">
      <c r="A11" s="83">
        <f>D5</f>
        <v>39572.03</v>
      </c>
      <c r="B11" s="67"/>
      <c r="C11" s="62" t="s">
        <v>22</v>
      </c>
      <c r="D11" s="79" t="e">
        <f>D3/D10</f>
        <v>#REF!</v>
      </c>
      <c r="E11" s="80" t="e">
        <f>E3/E10</f>
        <v>#REF!</v>
      </c>
      <c r="F11" s="80" t="e">
        <f t="shared" ref="F11:W11" si="60">F3/F10</f>
        <v>#REF!</v>
      </c>
      <c r="G11" s="80" t="e">
        <f t="shared" si="60"/>
        <v>#REF!</v>
      </c>
      <c r="H11" s="80" t="e">
        <f t="shared" si="60"/>
        <v>#REF!</v>
      </c>
      <c r="I11" s="80" t="e">
        <f t="shared" si="60"/>
        <v>#REF!</v>
      </c>
      <c r="J11" s="80" t="e">
        <f t="shared" si="60"/>
        <v>#REF!</v>
      </c>
      <c r="K11" s="80" t="e">
        <f t="shared" si="60"/>
        <v>#REF!</v>
      </c>
      <c r="L11" s="80" t="e">
        <f t="shared" si="60"/>
        <v>#REF!</v>
      </c>
      <c r="M11" s="80" t="e">
        <f t="shared" si="60"/>
        <v>#REF!</v>
      </c>
      <c r="N11" s="80" t="e">
        <f t="shared" si="60"/>
        <v>#REF!</v>
      </c>
      <c r="O11" s="80" t="e">
        <f t="shared" si="60"/>
        <v>#REF!</v>
      </c>
      <c r="P11" s="80" t="e">
        <f t="shared" si="60"/>
        <v>#REF!</v>
      </c>
      <c r="Q11" s="81">
        <f t="shared" si="60"/>
        <v>1.65467401881284</v>
      </c>
      <c r="R11" s="80">
        <f t="shared" si="60"/>
        <v>1.6134965034965</v>
      </c>
      <c r="S11" s="80">
        <f t="shared" si="60"/>
        <v>1.2218085106383</v>
      </c>
      <c r="T11" s="80">
        <f t="shared" si="60"/>
        <v>1.42467661691542</v>
      </c>
      <c r="U11" s="80">
        <f t="shared" ref="U11:AL11" si="61">U3/U10</f>
        <v>1.62356060606061</v>
      </c>
      <c r="V11" s="80">
        <f t="shared" si="61"/>
        <v>1.42934426229508</v>
      </c>
      <c r="W11" s="80">
        <f t="shared" si="61"/>
        <v>1.90918367346939</v>
      </c>
      <c r="X11" s="80">
        <f t="shared" si="61"/>
        <v>1.3186974789916</v>
      </c>
      <c r="Y11" s="80">
        <f t="shared" si="61"/>
        <v>1.84803921568627</v>
      </c>
      <c r="Z11" s="80">
        <f t="shared" si="61"/>
        <v>1.74369098712446</v>
      </c>
      <c r="AA11" s="80">
        <f t="shared" si="61"/>
        <v>1.59838427947598</v>
      </c>
      <c r="AB11" s="80">
        <f t="shared" si="61"/>
        <v>1.58708695652174</v>
      </c>
      <c r="AC11" s="80">
        <f t="shared" si="61"/>
        <v>1.54268398268398</v>
      </c>
      <c r="AD11" s="80">
        <f t="shared" si="61"/>
        <v>1.56762557077626</v>
      </c>
      <c r="AE11" s="80">
        <f t="shared" si="61"/>
        <v>1.45362264150943</v>
      </c>
      <c r="AF11" s="80">
        <f t="shared" si="61"/>
        <v>1.44231404958678</v>
      </c>
      <c r="AG11" s="80">
        <f t="shared" si="61"/>
        <v>1.76977578475336</v>
      </c>
      <c r="AH11" s="80">
        <f t="shared" si="61"/>
        <v>1.86317073170732</v>
      </c>
      <c r="AI11" s="80">
        <f t="shared" si="61"/>
        <v>2.08352657004831</v>
      </c>
      <c r="AJ11" s="80">
        <f t="shared" si="61"/>
        <v>2.30957446808511</v>
      </c>
      <c r="AK11" s="80">
        <f t="shared" si="61"/>
        <v>1.95221374045802</v>
      </c>
      <c r="AL11" s="80">
        <f t="shared" ref="AL11:BH11" si="62">AL3/AL10</f>
        <v>1.9863025210084</v>
      </c>
      <c r="AM11" s="80">
        <f t="shared" si="62"/>
        <v>2.12457142857143</v>
      </c>
      <c r="AN11" s="80">
        <f t="shared" si="62"/>
        <v>1.61711111111111</v>
      </c>
      <c r="AO11" s="80">
        <f t="shared" si="62"/>
        <v>1.9070253164557</v>
      </c>
      <c r="AP11" s="80">
        <f t="shared" si="62"/>
        <v>2.02486486486486</v>
      </c>
      <c r="AQ11" s="80">
        <f t="shared" si="62"/>
        <v>2.03704225352113</v>
      </c>
      <c r="AR11" s="80">
        <f t="shared" si="62"/>
        <v>1.59014705882353</v>
      </c>
      <c r="AS11" s="80">
        <f t="shared" si="62"/>
        <v>1.57726744186046</v>
      </c>
      <c r="AT11" s="80">
        <f t="shared" si="62"/>
        <v>1.30942857142857</v>
      </c>
      <c r="AU11" s="80">
        <f t="shared" si="62"/>
        <v>1.22852320675105</v>
      </c>
      <c r="AV11" s="80">
        <f t="shared" si="62"/>
        <v>1.52822857142857</v>
      </c>
      <c r="AW11" s="81">
        <f t="shared" si="62"/>
        <v>0.970888888888889</v>
      </c>
      <c r="AX11" s="80">
        <f t="shared" si="62"/>
        <v>1.28014018691589</v>
      </c>
      <c r="AY11" s="80">
        <f t="shared" si="62"/>
        <v>1.17094262295082</v>
      </c>
      <c r="AZ11" s="80">
        <f t="shared" si="62"/>
        <v>1.24171428571429</v>
      </c>
      <c r="BA11" s="80">
        <f t="shared" si="62"/>
        <v>1.04151394422311</v>
      </c>
      <c r="BB11" s="80">
        <f t="shared" si="62"/>
        <v>1.22255605381166</v>
      </c>
      <c r="BC11" s="80">
        <f t="shared" si="62"/>
        <v>1.09259414225941</v>
      </c>
      <c r="BD11" s="80">
        <f t="shared" si="62"/>
        <v>1.45835227272727</v>
      </c>
      <c r="BE11" s="80">
        <f t="shared" si="62"/>
        <v>1.22203619909502</v>
      </c>
      <c r="BF11" s="80">
        <f t="shared" si="62"/>
        <v>1.21161290322581</v>
      </c>
      <c r="BG11" s="80">
        <f t="shared" si="62"/>
        <v>0.986882129277567</v>
      </c>
      <c r="BH11" s="80">
        <f t="shared" si="62"/>
        <v>1.17015151515152</v>
      </c>
      <c r="BI11" s="80">
        <f t="shared" ref="BI11:BW11" si="63">BI3/BI10</f>
        <v>1.02671111111111</v>
      </c>
      <c r="BJ11" s="80">
        <f t="shared" si="63"/>
        <v>0.985</v>
      </c>
      <c r="BK11" s="80">
        <f t="shared" si="63"/>
        <v>0.979184549356223</v>
      </c>
      <c r="BL11" s="80">
        <f t="shared" si="63"/>
        <v>0.676507936507936</v>
      </c>
      <c r="BM11" s="80">
        <f t="shared" si="63"/>
        <v>0.456304347826087</v>
      </c>
      <c r="BN11" s="80">
        <f t="shared" si="63"/>
        <v>0.641885714285714</v>
      </c>
      <c r="BO11" s="80">
        <f t="shared" si="63"/>
        <v>0.656860465116279</v>
      </c>
      <c r="BP11" s="80">
        <f t="shared" si="63"/>
        <v>0.636349206349206</v>
      </c>
      <c r="BQ11" s="80">
        <f t="shared" si="63"/>
        <v>0.576267942583732</v>
      </c>
      <c r="BR11" s="80">
        <f t="shared" si="63"/>
        <v>0.692586206896552</v>
      </c>
      <c r="BS11" s="80">
        <f t="shared" si="63"/>
        <v>0.691920903954802</v>
      </c>
      <c r="BT11" s="80">
        <f t="shared" si="63"/>
        <v>0.68843023255814</v>
      </c>
      <c r="BU11" s="80">
        <f t="shared" si="63"/>
        <v>0.807950310559006</v>
      </c>
      <c r="BV11" s="80">
        <f t="shared" si="63"/>
        <v>1.00178571428571</v>
      </c>
      <c r="BW11" s="80">
        <f t="shared" si="63"/>
        <v>1.09301435406699</v>
      </c>
      <c r="BX11" s="80">
        <f t="shared" ref="BX11:CH11" si="64">BX3/BX10</f>
        <v>0.972362869198312</v>
      </c>
      <c r="BY11" s="80">
        <f t="shared" si="64"/>
        <v>1.04928571428571</v>
      </c>
      <c r="BZ11" s="81">
        <f t="shared" si="64"/>
        <v>1.05668995544755</v>
      </c>
      <c r="CA11" s="80">
        <f t="shared" si="64"/>
        <v>0.880816326530612</v>
      </c>
      <c r="CB11" s="80">
        <f t="shared" si="64"/>
        <v>1.012466367713</v>
      </c>
      <c r="CC11" s="80">
        <f t="shared" si="64"/>
        <v>1.00648305084746</v>
      </c>
      <c r="CD11" s="80">
        <f t="shared" si="64"/>
        <v>1.3889592760181</v>
      </c>
      <c r="CE11" s="80">
        <f t="shared" si="64"/>
        <v>0.973620689655173</v>
      </c>
      <c r="CF11" s="80">
        <f t="shared" si="64"/>
        <v>1.06430555555556</v>
      </c>
      <c r="CG11" s="80">
        <f t="shared" si="64"/>
        <v>1.0075652173913</v>
      </c>
      <c r="CH11" s="80">
        <f t="shared" si="64"/>
        <v>0.894967320261438</v>
      </c>
      <c r="CI11" s="80">
        <f t="shared" ref="CI11:EH11" si="65">CI3/CI10</f>
        <v>1.02164750957854</v>
      </c>
      <c r="CJ11" s="80">
        <f t="shared" si="65"/>
        <v>1.15804054054054</v>
      </c>
      <c r="CK11" s="80">
        <f t="shared" si="65"/>
        <v>1.06141509433962</v>
      </c>
      <c r="CL11" s="80">
        <f t="shared" si="65"/>
        <v>0.948210862619808</v>
      </c>
      <c r="CM11" s="80">
        <f t="shared" si="65"/>
        <v>1.10632996632997</v>
      </c>
      <c r="CN11" s="80">
        <f t="shared" si="65"/>
        <v>1.23604838709677</v>
      </c>
      <c r="CO11" s="80">
        <f t="shared" si="65"/>
        <v>1.17106164383562</v>
      </c>
      <c r="CP11" s="80">
        <f t="shared" si="65"/>
        <v>1.46958762886598</v>
      </c>
      <c r="CQ11" s="80">
        <f t="shared" si="65"/>
        <v>1.21756554307116</v>
      </c>
      <c r="CR11" s="80">
        <f t="shared" si="65"/>
        <v>1.21431309904153</v>
      </c>
      <c r="CS11" s="80">
        <f t="shared" si="65"/>
        <v>1.09420588235294</v>
      </c>
      <c r="CT11" s="80">
        <f t="shared" si="65"/>
        <v>1.09032640949555</v>
      </c>
      <c r="CU11" s="80">
        <f t="shared" si="65"/>
        <v>0.941019283746557</v>
      </c>
      <c r="CV11" s="80">
        <f t="shared" si="65"/>
        <v>0.978138138138138</v>
      </c>
      <c r="CW11" s="80">
        <f t="shared" si="65"/>
        <v>1.00311475409836</v>
      </c>
      <c r="CX11" s="80">
        <f t="shared" si="65"/>
        <v>0.930490196078431</v>
      </c>
      <c r="CY11" s="80">
        <f t="shared" si="65"/>
        <v>1.12675862068966</v>
      </c>
      <c r="CZ11" s="80">
        <f t="shared" si="65"/>
        <v>0.974048780487805</v>
      </c>
      <c r="DA11" s="80">
        <f t="shared" si="65"/>
        <v>1.16031347962382</v>
      </c>
      <c r="DB11" s="80">
        <f t="shared" si="65"/>
        <v>1.00149584487535</v>
      </c>
      <c r="DC11" s="80">
        <f t="shared" si="65"/>
        <v>0.996473829201102</v>
      </c>
      <c r="DD11" s="80">
        <f t="shared" si="65"/>
        <v>0.918873626373626</v>
      </c>
      <c r="DE11" s="80">
        <f t="shared" si="65"/>
        <v>0.891722222222222</v>
      </c>
      <c r="DF11" s="81">
        <f t="shared" si="65"/>
        <v>0.876760839389238</v>
      </c>
      <c r="DG11" s="80">
        <f t="shared" si="65"/>
        <v>0.727162162162162</v>
      </c>
      <c r="DH11" s="80">
        <f t="shared" si="65"/>
        <v>0.732459016393443</v>
      </c>
      <c r="DI11" s="80">
        <f t="shared" si="65"/>
        <v>0.793796033994334</v>
      </c>
      <c r="DJ11" s="80">
        <f t="shared" si="65"/>
        <v>0.741638888888889</v>
      </c>
      <c r="DK11" s="80">
        <f t="shared" si="65"/>
        <v>1.00254437869822</v>
      </c>
      <c r="DL11" s="80">
        <f t="shared" si="65"/>
        <v>0.835125786163522</v>
      </c>
      <c r="DM11" s="80">
        <f t="shared" si="65"/>
        <v>1.30437017994859</v>
      </c>
      <c r="DN11" s="80">
        <f t="shared" si="65"/>
        <v>1.26637707948244</v>
      </c>
      <c r="DO11" s="80">
        <f t="shared" si="65"/>
        <v>1.38597449908925</v>
      </c>
      <c r="DP11" s="80">
        <f t="shared" si="65"/>
        <v>1.09256157635468</v>
      </c>
      <c r="DQ11" s="80">
        <f t="shared" si="65"/>
        <v>0.757231503579952</v>
      </c>
      <c r="DR11" s="80">
        <f t="shared" si="65"/>
        <v>0.57623595505618</v>
      </c>
      <c r="DS11" s="80">
        <f t="shared" si="65"/>
        <v>0.636766595289079</v>
      </c>
      <c r="DT11" s="80">
        <f t="shared" si="65"/>
        <v>1.08837301587302</v>
      </c>
      <c r="DU11" s="80">
        <f t="shared" si="65"/>
        <v>1.13026022304833</v>
      </c>
      <c r="DV11" s="80">
        <f t="shared" si="65"/>
        <v>0.805042735042735</v>
      </c>
      <c r="DW11" s="80">
        <f t="shared" si="65"/>
        <v>1.12411764705882</v>
      </c>
      <c r="DX11" s="80">
        <f t="shared" si="65"/>
        <v>1.20521008403361</v>
      </c>
      <c r="DY11" s="80">
        <f t="shared" si="65"/>
        <v>0.942470588235294</v>
      </c>
      <c r="DZ11" s="80">
        <f t="shared" si="65"/>
        <v>1.0966814159292</v>
      </c>
      <c r="EA11" s="80">
        <f t="shared" si="65"/>
        <v>1.01985915492958</v>
      </c>
      <c r="EB11" s="80">
        <f t="shared" si="65"/>
        <v>0.914797136038186</v>
      </c>
      <c r="EC11" s="80">
        <f t="shared" si="65"/>
        <v>0.959939271255061</v>
      </c>
      <c r="ED11" s="80">
        <f t="shared" si="65"/>
        <v>0.774463087248322</v>
      </c>
      <c r="EE11" s="80">
        <f t="shared" si="65"/>
        <v>0.601575091575092</v>
      </c>
      <c r="EF11" s="80">
        <f t="shared" si="65"/>
        <v>0.726975308641975</v>
      </c>
      <c r="EG11" s="80">
        <f t="shared" si="65"/>
        <v>0.81188605108055</v>
      </c>
      <c r="EH11" s="80">
        <f t="shared" si="65"/>
        <v>0.733823529411765</v>
      </c>
      <c r="EI11" s="80">
        <f t="shared" ref="EI11:FM11" si="66">EI3/EI10</f>
        <v>0.633720379146919</v>
      </c>
      <c r="EJ11" s="80">
        <f t="shared" si="66"/>
        <v>0.616541353383459</v>
      </c>
      <c r="EK11" s="81">
        <f t="shared" si="66"/>
        <v>0.711874394798727</v>
      </c>
      <c r="EL11" s="80">
        <f t="shared" si="66"/>
        <v>0.58864168618267</v>
      </c>
      <c r="EM11" s="80">
        <f t="shared" si="66"/>
        <v>0.600454545454545</v>
      </c>
      <c r="EN11" s="80">
        <f t="shared" si="66"/>
        <v>0.620869565217391</v>
      </c>
      <c r="EO11" s="80">
        <f t="shared" si="66"/>
        <v>0.603382352941176</v>
      </c>
      <c r="EP11" s="80">
        <f t="shared" si="66"/>
        <v>0.609467592592593</v>
      </c>
      <c r="EQ11" s="80">
        <f t="shared" si="66"/>
        <v>0.678274932614555</v>
      </c>
      <c r="ER11" s="80">
        <f t="shared" si="66"/>
        <v>0.699568965517241</v>
      </c>
      <c r="ES11" s="80">
        <f t="shared" si="66"/>
        <v>0.637889374090247</v>
      </c>
      <c r="ET11" s="80">
        <f t="shared" si="66"/>
        <v>0.508643457382953</v>
      </c>
      <c r="EU11" s="80">
        <f t="shared" si="66"/>
        <v>0.562182061579652</v>
      </c>
      <c r="EV11" s="80">
        <f t="shared" si="66"/>
        <v>0.647277936962751</v>
      </c>
      <c r="EW11" s="80">
        <f t="shared" si="66"/>
        <v>0.700958466453674</v>
      </c>
      <c r="EX11" s="80">
        <f t="shared" si="66"/>
        <v>0.747609649122807</v>
      </c>
      <c r="EY11" s="80">
        <f t="shared" si="66"/>
        <v>0.754473067915691</v>
      </c>
      <c r="EZ11" s="80">
        <f t="shared" si="66"/>
        <v>0.834328859060403</v>
      </c>
      <c r="FA11" s="80">
        <f t="shared" si="66"/>
        <v>0.647546296296296</v>
      </c>
      <c r="FB11" s="80">
        <f t="shared" si="66"/>
        <v>0.676961722488038</v>
      </c>
      <c r="FC11" s="80">
        <f t="shared" si="66"/>
        <v>0.792763975155279</v>
      </c>
      <c r="FD11" s="80">
        <f t="shared" si="66"/>
        <v>0.638643678160919</v>
      </c>
      <c r="FE11" s="80">
        <f t="shared" si="66"/>
        <v>0.817510917030568</v>
      </c>
      <c r="FF11" s="80">
        <f t="shared" si="66"/>
        <v>1.04489130434783</v>
      </c>
      <c r="FG11" s="80">
        <f t="shared" si="66"/>
        <v>0.952911392405063</v>
      </c>
      <c r="FH11" s="80">
        <f t="shared" si="66"/>
        <v>0.822705627705628</v>
      </c>
      <c r="FI11" s="80">
        <f t="shared" si="66"/>
        <v>0.743821428571429</v>
      </c>
      <c r="FJ11" s="80">
        <f t="shared" si="66"/>
        <v>0.89162471395881</v>
      </c>
      <c r="FK11" s="80">
        <f t="shared" si="66"/>
        <v>0.794622425629291</v>
      </c>
      <c r="FL11" s="80">
        <f t="shared" si="66"/>
        <v>0.817667436489607</v>
      </c>
      <c r="FM11" s="80">
        <f t="shared" si="66"/>
        <v>0.7305</v>
      </c>
      <c r="FN11" s="80">
        <f t="shared" ref="FN11:GI11" si="67">FN3/FN10</f>
        <v>0.942186588921283</v>
      </c>
      <c r="FO11" s="80">
        <f t="shared" si="67"/>
        <v>0.893457142857143</v>
      </c>
      <c r="FP11" s="80">
        <f t="shared" si="67"/>
        <v>0.625074074074074</v>
      </c>
      <c r="FQ11" s="81">
        <f t="shared" si="67"/>
        <v>0.885518647319823</v>
      </c>
      <c r="FR11" s="80">
        <f t="shared" si="67"/>
        <v>0.866149584487535</v>
      </c>
      <c r="FS11" s="80">
        <f t="shared" si="67"/>
        <v>0.953714285714286</v>
      </c>
      <c r="FT11" s="80">
        <f t="shared" si="67"/>
        <v>0.946847457627119</v>
      </c>
      <c r="FU11" s="80">
        <f t="shared" si="67"/>
        <v>0.897297297297297</v>
      </c>
      <c r="FV11" s="80">
        <f t="shared" si="67"/>
        <v>0.848202247191011</v>
      </c>
      <c r="FW11" s="80">
        <f t="shared" si="67"/>
        <v>0.72768898488121</v>
      </c>
      <c r="FX11" s="80">
        <f t="shared" si="67"/>
        <v>0.692007648183556</v>
      </c>
      <c r="FY11" s="80">
        <f t="shared" si="67"/>
        <v>0.863864734299517</v>
      </c>
      <c r="FZ11" s="80">
        <f t="shared" si="67"/>
        <v>0.879497487437186</v>
      </c>
      <c r="GA11" s="80">
        <f t="shared" si="67"/>
        <v>0.913830845771144</v>
      </c>
      <c r="GB11" s="80">
        <f t="shared" si="67"/>
        <v>0.916010498687664</v>
      </c>
      <c r="GC11" s="80">
        <f t="shared" si="67"/>
        <v>1.10711805555556</v>
      </c>
      <c r="GD11" s="80">
        <f t="shared" si="67"/>
        <v>0.78695652173913</v>
      </c>
      <c r="GE11" s="80">
        <f t="shared" si="67"/>
        <v>0.809737417943107</v>
      </c>
      <c r="GF11" s="80">
        <f t="shared" si="67"/>
        <v>0.970027397260274</v>
      </c>
      <c r="GG11" s="80">
        <f t="shared" si="67"/>
        <v>0.897451523545706</v>
      </c>
      <c r="GH11" s="80">
        <f t="shared" si="67"/>
        <v>1.09314285714286</v>
      </c>
      <c r="GI11" s="80">
        <f t="shared" si="67"/>
        <v>1.1461329305136</v>
      </c>
      <c r="GJ11" s="80">
        <f t="shared" ref="GJ11:GP11" si="68">GJ3/GJ10</f>
        <v>0.906867749419954</v>
      </c>
      <c r="GK11" s="80">
        <f t="shared" si="68"/>
        <v>0.885746102449889</v>
      </c>
      <c r="GL11" s="80">
        <f t="shared" si="68"/>
        <v>0.781554307116105</v>
      </c>
      <c r="GM11" s="80" t="e">
        <f t="shared" si="68"/>
        <v>#DIV/0!</v>
      </c>
      <c r="GN11" s="80" t="e">
        <f t="shared" si="68"/>
        <v>#DIV/0!</v>
      </c>
      <c r="GO11" s="80" t="e">
        <f t="shared" si="68"/>
        <v>#DIV/0!</v>
      </c>
      <c r="GP11" s="80" t="e">
        <f t="shared" si="68"/>
        <v>#DIV/0!</v>
      </c>
    </row>
    <row r="12" spans="1:1024 1025:16189">
      <c r="A12" s="82"/>
      <c r="B12" s="67"/>
      <c r="C12" s="62" t="s">
        <v>23</v>
      </c>
      <c r="D12" s="63" t="e">
        <f>SUM(E12:P12)</f>
        <v>#REF!</v>
      </c>
      <c r="E12" s="64" t="e">
        <f>E22+E31+E40+E49+E58+E67</f>
        <v>#REF!</v>
      </c>
      <c r="F12" s="64" t="e">
        <f t="shared" ref="F12:P12" si="69">F22+F31+F40+F49+F58+F67</f>
        <v>#REF!</v>
      </c>
      <c r="G12" s="64" t="e">
        <f t="shared" si="69"/>
        <v>#REF!</v>
      </c>
      <c r="H12" s="64" t="e">
        <f t="shared" si="69"/>
        <v>#REF!</v>
      </c>
      <c r="I12" s="64" t="e">
        <f t="shared" si="69"/>
        <v>#REF!</v>
      </c>
      <c r="J12" s="64" t="e">
        <f t="shared" si="69"/>
        <v>#REF!</v>
      </c>
      <c r="K12" s="64" t="e">
        <f t="shared" si="69"/>
        <v>#REF!</v>
      </c>
      <c r="L12" s="64" t="e">
        <f t="shared" si="69"/>
        <v>#REF!</v>
      </c>
      <c r="M12" s="64" t="e">
        <f t="shared" si="69"/>
        <v>#REF!</v>
      </c>
      <c r="N12" s="64" t="e">
        <f t="shared" si="69"/>
        <v>#REF!</v>
      </c>
      <c r="O12" s="64" t="e">
        <f t="shared" si="69"/>
        <v>#REF!</v>
      </c>
      <c r="P12" s="64" t="e">
        <f t="shared" si="69"/>
        <v>#REF!</v>
      </c>
      <c r="Q12" s="65">
        <f>SUM(R12:AV12)</f>
        <v>573</v>
      </c>
      <c r="R12" s="64">
        <f>R22+R31+R40+R49+R58+R67</f>
        <v>11</v>
      </c>
      <c r="S12" s="64">
        <f>S22+S31+S40+S49+S58+S67</f>
        <v>17</v>
      </c>
      <c r="T12" s="64">
        <f>T22+T31+T40+T49+T58+T67</f>
        <v>11</v>
      </c>
      <c r="U12" s="64">
        <f t="shared" ref="U12:AL12" si="70">U22+U31+U40+U49+U58+U67</f>
        <v>17</v>
      </c>
      <c r="V12" s="64">
        <f t="shared" si="70"/>
        <v>17</v>
      </c>
      <c r="W12" s="64">
        <f t="shared" si="70"/>
        <v>17</v>
      </c>
      <c r="X12" s="64">
        <f t="shared" si="70"/>
        <v>18</v>
      </c>
      <c r="Y12" s="64">
        <f t="shared" si="70"/>
        <v>20</v>
      </c>
      <c r="Z12" s="64">
        <f t="shared" si="70"/>
        <v>19</v>
      </c>
      <c r="AA12" s="64">
        <f t="shared" si="70"/>
        <v>15</v>
      </c>
      <c r="AB12" s="64">
        <f t="shared" si="70"/>
        <v>19</v>
      </c>
      <c r="AC12" s="64">
        <f t="shared" si="70"/>
        <v>19</v>
      </c>
      <c r="AD12" s="64">
        <f t="shared" si="70"/>
        <v>26</v>
      </c>
      <c r="AE12" s="64">
        <f t="shared" si="70"/>
        <v>7</v>
      </c>
      <c r="AF12" s="64">
        <f t="shared" si="70"/>
        <v>21</v>
      </c>
      <c r="AG12" s="64">
        <f t="shared" si="70"/>
        <v>20</v>
      </c>
      <c r="AH12" s="64">
        <f t="shared" si="70"/>
        <v>14</v>
      </c>
      <c r="AI12" s="64">
        <f t="shared" si="70"/>
        <v>11</v>
      </c>
      <c r="AJ12" s="64">
        <f t="shared" si="70"/>
        <v>12</v>
      </c>
      <c r="AK12" s="64">
        <f t="shared" si="70"/>
        <v>8</v>
      </c>
      <c r="AL12" s="64">
        <f t="shared" ref="AL12:AX12" si="71">AL22+AL31+AL40+AL49+AL58+AL67</f>
        <v>15</v>
      </c>
      <c r="AM12" s="64">
        <f t="shared" si="71"/>
        <v>13</v>
      </c>
      <c r="AN12" s="64">
        <f t="shared" si="71"/>
        <v>19</v>
      </c>
      <c r="AO12" s="64">
        <f t="shared" si="71"/>
        <v>38</v>
      </c>
      <c r="AP12" s="64">
        <f t="shared" si="71"/>
        <v>23</v>
      </c>
      <c r="AQ12" s="64">
        <f t="shared" si="71"/>
        <v>11</v>
      </c>
      <c r="AR12" s="64">
        <f t="shared" si="71"/>
        <v>25</v>
      </c>
      <c r="AS12" s="64">
        <f t="shared" si="71"/>
        <v>45</v>
      </c>
      <c r="AT12" s="64">
        <f t="shared" si="71"/>
        <v>18</v>
      </c>
      <c r="AU12" s="64">
        <f t="shared" si="71"/>
        <v>23</v>
      </c>
      <c r="AV12" s="64">
        <f t="shared" si="71"/>
        <v>24</v>
      </c>
      <c r="AW12" s="65">
        <f>SUM(AX12:BY12)</f>
        <v>518</v>
      </c>
      <c r="AX12" s="64">
        <f t="shared" ref="AX12:BH12" si="72">AX22+AX31+AX40+AX49+AX58+AX67</f>
        <v>37</v>
      </c>
      <c r="AY12" s="64">
        <f t="shared" si="72"/>
        <v>17</v>
      </c>
      <c r="AZ12" s="64">
        <f t="shared" si="72"/>
        <v>23</v>
      </c>
      <c r="BA12" s="64">
        <f t="shared" si="72"/>
        <v>12</v>
      </c>
      <c r="BB12" s="64">
        <f t="shared" si="72"/>
        <v>19</v>
      </c>
      <c r="BC12" s="64">
        <f t="shared" si="72"/>
        <v>51</v>
      </c>
      <c r="BD12" s="64">
        <f t="shared" si="72"/>
        <v>25</v>
      </c>
      <c r="BE12" s="64">
        <f t="shared" si="72"/>
        <v>36</v>
      </c>
      <c r="BF12" s="64">
        <f t="shared" si="72"/>
        <v>10</v>
      </c>
      <c r="BG12" s="64">
        <f t="shared" si="72"/>
        <v>30</v>
      </c>
      <c r="BH12" s="64">
        <f t="shared" si="72"/>
        <v>17</v>
      </c>
      <c r="BI12" s="64">
        <f t="shared" ref="BI12:BW12" si="73">BI22+BI31+BI40+BI49+BI58+BI67</f>
        <v>12</v>
      </c>
      <c r="BJ12" s="64">
        <f t="shared" si="73"/>
        <v>12</v>
      </c>
      <c r="BK12" s="64">
        <f t="shared" si="73"/>
        <v>12</v>
      </c>
      <c r="BL12" s="64">
        <f t="shared" si="73"/>
        <v>16</v>
      </c>
      <c r="BM12" s="64">
        <f t="shared" si="73"/>
        <v>10</v>
      </c>
      <c r="BN12" s="64">
        <f t="shared" si="73"/>
        <v>5</v>
      </c>
      <c r="BO12" s="64">
        <f t="shared" si="73"/>
        <v>4</v>
      </c>
      <c r="BP12" s="64">
        <f t="shared" si="73"/>
        <v>8</v>
      </c>
      <c r="BQ12" s="64">
        <f t="shared" si="73"/>
        <v>12</v>
      </c>
      <c r="BR12" s="64">
        <f t="shared" si="73"/>
        <v>19</v>
      </c>
      <c r="BS12" s="64">
        <f t="shared" si="73"/>
        <v>21</v>
      </c>
      <c r="BT12" s="64">
        <f t="shared" si="73"/>
        <v>13</v>
      </c>
      <c r="BU12" s="64">
        <f t="shared" si="73"/>
        <v>13</v>
      </c>
      <c r="BV12" s="64">
        <f t="shared" si="73"/>
        <v>19</v>
      </c>
      <c r="BW12" s="64">
        <f t="shared" si="73"/>
        <v>30</v>
      </c>
      <c r="BX12" s="64">
        <f t="shared" ref="BX12:CH12" si="74">BX22+BX31+BX40+BX49+BX58+BX67</f>
        <v>20</v>
      </c>
      <c r="BY12" s="64">
        <f t="shared" si="74"/>
        <v>15</v>
      </c>
      <c r="BZ12" s="65">
        <f>SUM(CA12:DE12)</f>
        <v>938</v>
      </c>
      <c r="CA12" s="64">
        <f t="shared" si="74"/>
        <v>22</v>
      </c>
      <c r="CB12" s="64">
        <f t="shared" si="74"/>
        <v>17</v>
      </c>
      <c r="CC12" s="64">
        <f t="shared" si="74"/>
        <v>28</v>
      </c>
      <c r="CD12" s="64">
        <f t="shared" si="74"/>
        <v>25</v>
      </c>
      <c r="CE12" s="64">
        <f t="shared" si="74"/>
        <v>23</v>
      </c>
      <c r="CF12" s="64">
        <f t="shared" si="74"/>
        <v>11</v>
      </c>
      <c r="CG12" s="64">
        <f t="shared" si="74"/>
        <v>27</v>
      </c>
      <c r="CH12" s="64">
        <f t="shared" si="74"/>
        <v>69</v>
      </c>
      <c r="CI12" s="64">
        <f t="shared" ref="CI12:DE12" si="75">CI22+CI31+CI40+CI49+CI58+CI67</f>
        <v>41</v>
      </c>
      <c r="CJ12" s="64">
        <f t="shared" si="75"/>
        <v>42</v>
      </c>
      <c r="CK12" s="64">
        <f t="shared" si="75"/>
        <v>44</v>
      </c>
      <c r="CL12" s="64">
        <f t="shared" si="75"/>
        <v>42</v>
      </c>
      <c r="CM12" s="64">
        <f t="shared" si="75"/>
        <v>43</v>
      </c>
      <c r="CN12" s="64">
        <f t="shared" si="75"/>
        <v>64</v>
      </c>
      <c r="CO12" s="64">
        <f t="shared" si="75"/>
        <v>27</v>
      </c>
      <c r="CP12" s="64">
        <f t="shared" si="75"/>
        <v>32</v>
      </c>
      <c r="CQ12" s="64">
        <f t="shared" si="75"/>
        <v>39</v>
      </c>
      <c r="CR12" s="64">
        <f t="shared" si="75"/>
        <v>31</v>
      </c>
      <c r="CS12" s="64">
        <f t="shared" si="75"/>
        <v>58</v>
      </c>
      <c r="CT12" s="64">
        <f t="shared" si="75"/>
        <v>36</v>
      </c>
      <c r="CU12" s="64">
        <f t="shared" si="75"/>
        <v>32</v>
      </c>
      <c r="CV12" s="64">
        <f t="shared" si="75"/>
        <v>34</v>
      </c>
      <c r="CW12" s="64">
        <f t="shared" si="75"/>
        <v>15</v>
      </c>
      <c r="CX12" s="64">
        <f t="shared" si="75"/>
        <v>42</v>
      </c>
      <c r="CY12" s="64">
        <f t="shared" si="75"/>
        <v>10</v>
      </c>
      <c r="CZ12" s="64">
        <f t="shared" si="75"/>
        <v>15</v>
      </c>
      <c r="DA12" s="64">
        <f t="shared" si="75"/>
        <v>17</v>
      </c>
      <c r="DB12" s="64">
        <f t="shared" si="75"/>
        <v>17</v>
      </c>
      <c r="DC12" s="64">
        <f t="shared" si="75"/>
        <v>10</v>
      </c>
      <c r="DD12" s="64">
        <f t="shared" si="75"/>
        <v>11</v>
      </c>
      <c r="DE12" s="64">
        <f t="shared" si="75"/>
        <v>14</v>
      </c>
      <c r="DF12" s="65">
        <f>SUM(DG12:EJ12)</f>
        <v>522</v>
      </c>
      <c r="DG12" s="64">
        <f t="shared" ref="DG12:EJ12" si="76">DG22+DG31+DG40+DG49+DG58+DG67</f>
        <v>10</v>
      </c>
      <c r="DH12" s="64">
        <f t="shared" si="76"/>
        <v>12</v>
      </c>
      <c r="DI12" s="64">
        <f t="shared" si="76"/>
        <v>10</v>
      </c>
      <c r="DJ12" s="64">
        <f t="shared" si="76"/>
        <v>9</v>
      </c>
      <c r="DK12" s="64">
        <f t="shared" si="76"/>
        <v>16</v>
      </c>
      <c r="DL12" s="64">
        <f t="shared" si="76"/>
        <v>15</v>
      </c>
      <c r="DM12" s="64">
        <f t="shared" si="76"/>
        <v>16</v>
      </c>
      <c r="DN12" s="64">
        <f t="shared" si="76"/>
        <v>23</v>
      </c>
      <c r="DO12" s="64">
        <f t="shared" si="76"/>
        <v>23</v>
      </c>
      <c r="DP12" s="64">
        <f t="shared" si="76"/>
        <v>6</v>
      </c>
      <c r="DQ12" s="64">
        <f t="shared" si="76"/>
        <v>20</v>
      </c>
      <c r="DR12" s="64">
        <f t="shared" si="76"/>
        <v>16</v>
      </c>
      <c r="DS12" s="64">
        <f t="shared" si="76"/>
        <v>10</v>
      </c>
      <c r="DT12" s="64">
        <f t="shared" si="76"/>
        <v>20</v>
      </c>
      <c r="DU12" s="64">
        <f t="shared" si="76"/>
        <v>17</v>
      </c>
      <c r="DV12" s="64">
        <f t="shared" si="76"/>
        <v>31</v>
      </c>
      <c r="DW12" s="64">
        <f t="shared" si="76"/>
        <v>18</v>
      </c>
      <c r="DX12" s="64">
        <f t="shared" si="76"/>
        <v>14</v>
      </c>
      <c r="DY12" s="64">
        <f t="shared" si="76"/>
        <v>18</v>
      </c>
      <c r="DZ12" s="64">
        <f t="shared" si="76"/>
        <v>7</v>
      </c>
      <c r="EA12" s="64">
        <f t="shared" si="76"/>
        <v>11</v>
      </c>
      <c r="EB12" s="64">
        <f t="shared" si="76"/>
        <v>39</v>
      </c>
      <c r="EC12" s="64">
        <f t="shared" si="76"/>
        <v>28</v>
      </c>
      <c r="ED12" s="64">
        <f t="shared" si="76"/>
        <v>28</v>
      </c>
      <c r="EE12" s="64">
        <f t="shared" si="76"/>
        <v>22</v>
      </c>
      <c r="EF12" s="64">
        <f t="shared" si="76"/>
        <v>17</v>
      </c>
      <c r="EG12" s="64">
        <f t="shared" si="76"/>
        <v>14</v>
      </c>
      <c r="EH12" s="64">
        <f t="shared" si="76"/>
        <v>14</v>
      </c>
      <c r="EI12" s="64">
        <f t="shared" si="76"/>
        <v>23</v>
      </c>
      <c r="EJ12" s="64">
        <f t="shared" si="76"/>
        <v>15</v>
      </c>
      <c r="EK12" s="65">
        <f>SUM(EL12:FP12)</f>
        <v>627</v>
      </c>
      <c r="EL12" s="64">
        <f t="shared" ref="EL12:FP12" si="77">EL22+EL31+EL40+EL49+EL58+EL67</f>
        <v>18</v>
      </c>
      <c r="EM12" s="64">
        <f t="shared" si="77"/>
        <v>9</v>
      </c>
      <c r="EN12" s="64">
        <f t="shared" si="77"/>
        <v>13</v>
      </c>
      <c r="EO12" s="64">
        <f t="shared" si="77"/>
        <v>15</v>
      </c>
      <c r="EP12" s="64">
        <f t="shared" si="77"/>
        <v>35</v>
      </c>
      <c r="EQ12" s="64">
        <f t="shared" si="77"/>
        <v>19</v>
      </c>
      <c r="ER12" s="64">
        <f t="shared" si="77"/>
        <v>28</v>
      </c>
      <c r="ES12" s="64">
        <f t="shared" si="77"/>
        <v>15</v>
      </c>
      <c r="ET12" s="64">
        <f t="shared" si="77"/>
        <v>24</v>
      </c>
      <c r="EU12" s="64">
        <f t="shared" si="77"/>
        <v>23</v>
      </c>
      <c r="EV12" s="64">
        <f t="shared" si="77"/>
        <v>24</v>
      </c>
      <c r="EW12" s="64">
        <f t="shared" si="77"/>
        <v>30</v>
      </c>
      <c r="EX12" s="64">
        <f t="shared" si="77"/>
        <v>24</v>
      </c>
      <c r="EY12" s="64">
        <f t="shared" si="77"/>
        <v>21</v>
      </c>
      <c r="EZ12" s="64">
        <f t="shared" si="77"/>
        <v>21</v>
      </c>
      <c r="FA12" s="64">
        <f t="shared" si="77"/>
        <v>17</v>
      </c>
      <c r="FB12" s="64">
        <f t="shared" si="77"/>
        <v>17</v>
      </c>
      <c r="FC12" s="64">
        <f t="shared" si="77"/>
        <v>20</v>
      </c>
      <c r="FD12" s="64">
        <f t="shared" si="77"/>
        <v>9</v>
      </c>
      <c r="FE12" s="64">
        <f t="shared" si="77"/>
        <v>20</v>
      </c>
      <c r="FF12" s="64">
        <f t="shared" si="77"/>
        <v>15</v>
      </c>
      <c r="FG12" s="64">
        <f t="shared" si="77"/>
        <v>20</v>
      </c>
      <c r="FH12" s="64">
        <f t="shared" si="77"/>
        <v>29</v>
      </c>
      <c r="FI12" s="64">
        <f t="shared" si="77"/>
        <v>24</v>
      </c>
      <c r="FJ12" s="64">
        <f t="shared" si="77"/>
        <v>24</v>
      </c>
      <c r="FK12" s="64">
        <f t="shared" si="77"/>
        <v>13</v>
      </c>
      <c r="FL12" s="64">
        <f t="shared" si="77"/>
        <v>22</v>
      </c>
      <c r="FM12" s="64">
        <f t="shared" si="77"/>
        <v>26</v>
      </c>
      <c r="FN12" s="64">
        <f t="shared" si="77"/>
        <v>15</v>
      </c>
      <c r="FO12" s="64">
        <f t="shared" si="77"/>
        <v>14</v>
      </c>
      <c r="FP12" s="64">
        <f t="shared" si="77"/>
        <v>23</v>
      </c>
      <c r="FQ12" s="65">
        <f t="shared" si="57"/>
        <v>428</v>
      </c>
      <c r="FR12" s="64">
        <f t="shared" ref="FR12:GI12" si="78">FR22+FR31+FR40+FR49+FR58+FR67</f>
        <v>12</v>
      </c>
      <c r="FS12" s="64">
        <f t="shared" si="78"/>
        <v>12</v>
      </c>
      <c r="FT12" s="64">
        <f t="shared" si="78"/>
        <v>20</v>
      </c>
      <c r="FU12" s="64">
        <f t="shared" si="78"/>
        <v>15</v>
      </c>
      <c r="FV12" s="64">
        <f t="shared" si="78"/>
        <v>15</v>
      </c>
      <c r="FW12" s="64">
        <f t="shared" si="78"/>
        <v>20</v>
      </c>
      <c r="FX12" s="64">
        <f t="shared" si="78"/>
        <v>32</v>
      </c>
      <c r="FY12" s="64">
        <f t="shared" si="78"/>
        <v>23</v>
      </c>
      <c r="FZ12" s="64">
        <f t="shared" si="78"/>
        <v>24</v>
      </c>
      <c r="GA12" s="64">
        <f t="shared" si="78"/>
        <v>15</v>
      </c>
      <c r="GB12" s="64">
        <f t="shared" si="78"/>
        <v>10</v>
      </c>
      <c r="GC12" s="64">
        <f t="shared" si="78"/>
        <v>12</v>
      </c>
      <c r="GD12" s="64">
        <f t="shared" si="78"/>
        <v>25</v>
      </c>
      <c r="GE12" s="64">
        <f t="shared" si="78"/>
        <v>32</v>
      </c>
      <c r="GF12" s="64">
        <f t="shared" si="78"/>
        <v>21</v>
      </c>
      <c r="GG12" s="64">
        <f t="shared" si="78"/>
        <v>26</v>
      </c>
      <c r="GH12" s="64">
        <f t="shared" si="78"/>
        <v>26</v>
      </c>
      <c r="GI12" s="64">
        <f t="shared" si="78"/>
        <v>19</v>
      </c>
      <c r="GJ12" s="64">
        <f t="shared" ref="GJ12:GP12" si="79">GJ22+GJ31+GJ40+GJ49+GJ58+GJ67</f>
        <v>20</v>
      </c>
      <c r="GK12" s="64">
        <f t="shared" si="79"/>
        <v>23</v>
      </c>
      <c r="GL12" s="64">
        <f t="shared" si="79"/>
        <v>26</v>
      </c>
      <c r="GM12" s="64">
        <f t="shared" si="79"/>
        <v>0</v>
      </c>
      <c r="GN12" s="64">
        <f t="shared" si="79"/>
        <v>0</v>
      </c>
      <c r="GO12" s="64">
        <f t="shared" si="79"/>
        <v>0</v>
      </c>
      <c r="GP12" s="64">
        <f t="shared" si="79"/>
        <v>0</v>
      </c>
    </row>
    <row r="13" spans="1:1024 1025:16189">
      <c r="A13" s="83"/>
      <c r="B13" s="67"/>
      <c r="C13" s="62" t="s">
        <v>24</v>
      </c>
      <c r="D13" s="79" t="e">
        <f>D3/D12</f>
        <v>#REF!</v>
      </c>
      <c r="E13" s="80" t="e">
        <f>E3/E12</f>
        <v>#REF!</v>
      </c>
      <c r="F13" s="80" t="e">
        <f t="shared" ref="F13:W13" si="80">F3/F12</f>
        <v>#REF!</v>
      </c>
      <c r="G13" s="80" t="e">
        <f t="shared" si="80"/>
        <v>#REF!</v>
      </c>
      <c r="H13" s="80" t="e">
        <f t="shared" si="80"/>
        <v>#REF!</v>
      </c>
      <c r="I13" s="80" t="e">
        <f t="shared" si="80"/>
        <v>#REF!</v>
      </c>
      <c r="J13" s="80" t="e">
        <f t="shared" si="80"/>
        <v>#REF!</v>
      </c>
      <c r="K13" s="80" t="e">
        <f t="shared" si="80"/>
        <v>#REF!</v>
      </c>
      <c r="L13" s="80" t="e">
        <f t="shared" si="80"/>
        <v>#REF!</v>
      </c>
      <c r="M13" s="80" t="e">
        <f t="shared" si="80"/>
        <v>#REF!</v>
      </c>
      <c r="N13" s="80" t="e">
        <f t="shared" si="80"/>
        <v>#REF!</v>
      </c>
      <c r="O13" s="80" t="e">
        <f t="shared" si="80"/>
        <v>#REF!</v>
      </c>
      <c r="P13" s="80" t="e">
        <f t="shared" si="80"/>
        <v>#REF!</v>
      </c>
      <c r="Q13" s="81">
        <f t="shared" si="80"/>
        <v>17.8057940663176</v>
      </c>
      <c r="R13" s="80">
        <f t="shared" si="80"/>
        <v>20.9754545454545</v>
      </c>
      <c r="S13" s="80">
        <f t="shared" si="80"/>
        <v>13.5117647058824</v>
      </c>
      <c r="T13" s="80">
        <f t="shared" si="80"/>
        <v>26.0327272727273</v>
      </c>
      <c r="U13" s="80">
        <f t="shared" ref="U13:AL13" si="81">U3/U12</f>
        <v>25.2129411764706</v>
      </c>
      <c r="V13" s="80">
        <f t="shared" si="81"/>
        <v>20.5152941176471</v>
      </c>
      <c r="W13" s="80">
        <f t="shared" si="81"/>
        <v>22.0117647058824</v>
      </c>
      <c r="X13" s="80">
        <f t="shared" si="81"/>
        <v>17.4361111111111</v>
      </c>
      <c r="Y13" s="80">
        <f t="shared" si="81"/>
        <v>18.85</v>
      </c>
      <c r="Z13" s="80">
        <f t="shared" si="81"/>
        <v>21.3831578947368</v>
      </c>
      <c r="AA13" s="80">
        <f t="shared" si="81"/>
        <v>24.402</v>
      </c>
      <c r="AB13" s="80">
        <f t="shared" si="81"/>
        <v>19.2121052631579</v>
      </c>
      <c r="AC13" s="80">
        <f t="shared" si="81"/>
        <v>18.7557894736842</v>
      </c>
      <c r="AD13" s="80">
        <f t="shared" si="81"/>
        <v>13.2042307692308</v>
      </c>
      <c r="AE13" s="80">
        <f t="shared" si="81"/>
        <v>55.03</v>
      </c>
      <c r="AF13" s="80">
        <f t="shared" si="81"/>
        <v>16.6209523809524</v>
      </c>
      <c r="AG13" s="80">
        <f t="shared" si="81"/>
        <v>19.733</v>
      </c>
      <c r="AH13" s="80">
        <f t="shared" si="81"/>
        <v>27.2821428571429</v>
      </c>
      <c r="AI13" s="80">
        <f t="shared" si="81"/>
        <v>39.2081818181818</v>
      </c>
      <c r="AJ13" s="80">
        <f t="shared" si="81"/>
        <v>36.1833333333333</v>
      </c>
      <c r="AK13" s="80">
        <f t="shared" si="81"/>
        <v>31.9675</v>
      </c>
      <c r="AL13" s="80">
        <f t="shared" ref="AL13:BH13" si="82">AL3/AL12</f>
        <v>15.758</v>
      </c>
      <c r="AM13" s="80">
        <f t="shared" si="82"/>
        <v>22.88</v>
      </c>
      <c r="AN13" s="80">
        <f t="shared" si="82"/>
        <v>15.32</v>
      </c>
      <c r="AO13" s="80">
        <f t="shared" si="82"/>
        <v>7.92921052631579</v>
      </c>
      <c r="AP13" s="80">
        <f t="shared" si="82"/>
        <v>13.0295652173913</v>
      </c>
      <c r="AQ13" s="80">
        <f t="shared" si="82"/>
        <v>26.2963636363636</v>
      </c>
      <c r="AR13" s="80">
        <f t="shared" si="82"/>
        <v>12.9756</v>
      </c>
      <c r="AS13" s="80">
        <f t="shared" si="82"/>
        <v>6.02866666666667</v>
      </c>
      <c r="AT13" s="80">
        <f t="shared" si="82"/>
        <v>15.2766666666667</v>
      </c>
      <c r="AU13" s="80">
        <f t="shared" si="82"/>
        <v>12.6591304347826</v>
      </c>
      <c r="AV13" s="80">
        <f t="shared" si="82"/>
        <v>11.1433333333333</v>
      </c>
      <c r="AW13" s="81">
        <f t="shared" si="82"/>
        <v>10.9646718146718</v>
      </c>
      <c r="AX13" s="80">
        <f t="shared" si="82"/>
        <v>7.40405405405405</v>
      </c>
      <c r="AY13" s="80">
        <f t="shared" si="82"/>
        <v>16.8064705882353</v>
      </c>
      <c r="AZ13" s="80">
        <f t="shared" si="82"/>
        <v>11.3373913043478</v>
      </c>
      <c r="BA13" s="80">
        <f t="shared" si="82"/>
        <v>21.785</v>
      </c>
      <c r="BB13" s="80">
        <f t="shared" si="82"/>
        <v>14.3489473684211</v>
      </c>
      <c r="BC13" s="80">
        <f t="shared" si="82"/>
        <v>5.12019607843137</v>
      </c>
      <c r="BD13" s="80">
        <f t="shared" si="82"/>
        <v>10.2668</v>
      </c>
      <c r="BE13" s="80">
        <f t="shared" si="82"/>
        <v>7.50194444444445</v>
      </c>
      <c r="BF13" s="80">
        <f t="shared" si="82"/>
        <v>26.292</v>
      </c>
      <c r="BG13" s="80">
        <f t="shared" si="82"/>
        <v>8.65166666666667</v>
      </c>
      <c r="BH13" s="80">
        <f t="shared" si="82"/>
        <v>13.6288235294118</v>
      </c>
      <c r="BI13" s="80">
        <f t="shared" ref="BI13:BW13" si="83">BI3/BI12</f>
        <v>19.2508333333333</v>
      </c>
      <c r="BJ13" s="80">
        <f t="shared" si="83"/>
        <v>19.7</v>
      </c>
      <c r="BK13" s="80">
        <f t="shared" si="83"/>
        <v>19.0125</v>
      </c>
      <c r="BL13" s="80">
        <f t="shared" si="83"/>
        <v>7.99125</v>
      </c>
      <c r="BM13" s="80">
        <f t="shared" si="83"/>
        <v>8.396</v>
      </c>
      <c r="BN13" s="80">
        <f t="shared" si="83"/>
        <v>22.466</v>
      </c>
      <c r="BO13" s="80">
        <f t="shared" si="83"/>
        <v>28.245</v>
      </c>
      <c r="BP13" s="80">
        <f t="shared" si="83"/>
        <v>15.03375</v>
      </c>
      <c r="BQ13" s="80">
        <f t="shared" si="83"/>
        <v>10.0366666666667</v>
      </c>
      <c r="BR13" s="80">
        <f t="shared" si="83"/>
        <v>6.34263157894737</v>
      </c>
      <c r="BS13" s="80">
        <f t="shared" si="83"/>
        <v>5.83190476190476</v>
      </c>
      <c r="BT13" s="80">
        <f t="shared" si="83"/>
        <v>9.10846153846154</v>
      </c>
      <c r="BU13" s="80">
        <f t="shared" si="83"/>
        <v>10.0061538461538</v>
      </c>
      <c r="BV13" s="80">
        <f t="shared" si="83"/>
        <v>11.8105263157895</v>
      </c>
      <c r="BW13" s="80">
        <f t="shared" si="83"/>
        <v>7.61466666666667</v>
      </c>
      <c r="BX13" s="80">
        <f t="shared" ref="BX13:CH13" si="84">BX3/BX12</f>
        <v>11.5225</v>
      </c>
      <c r="BY13" s="80">
        <f t="shared" si="84"/>
        <v>15.6693333333333</v>
      </c>
      <c r="BZ13" s="81">
        <f t="shared" si="84"/>
        <v>11.1256609808102</v>
      </c>
      <c r="CA13" s="80">
        <f t="shared" si="84"/>
        <v>9.80909090909091</v>
      </c>
      <c r="CB13" s="80">
        <f t="shared" si="84"/>
        <v>13.2811764705882</v>
      </c>
      <c r="CC13" s="80">
        <f t="shared" si="84"/>
        <v>8.48321428571429</v>
      </c>
      <c r="CD13" s="80">
        <f t="shared" si="84"/>
        <v>12.2784</v>
      </c>
      <c r="CE13" s="80">
        <f t="shared" si="84"/>
        <v>14.7313043478261</v>
      </c>
      <c r="CF13" s="80">
        <f t="shared" si="84"/>
        <v>27.8654545454545</v>
      </c>
      <c r="CG13" s="80">
        <f t="shared" si="84"/>
        <v>8.58296296296296</v>
      </c>
      <c r="CH13" s="80">
        <f t="shared" si="84"/>
        <v>3.96898550724638</v>
      </c>
      <c r="CI13" s="80">
        <f t="shared" ref="CI13:EH13" si="85">CI3/CI12</f>
        <v>6.50365853658537</v>
      </c>
      <c r="CJ13" s="80">
        <f t="shared" si="85"/>
        <v>8.16142857142857</v>
      </c>
      <c r="CK13" s="80">
        <f t="shared" si="85"/>
        <v>7.67113636363636</v>
      </c>
      <c r="CL13" s="80">
        <f t="shared" si="85"/>
        <v>7.06642857142857</v>
      </c>
      <c r="CM13" s="80">
        <f t="shared" si="85"/>
        <v>7.64139534883721</v>
      </c>
      <c r="CN13" s="80">
        <f t="shared" si="85"/>
        <v>7.18453125</v>
      </c>
      <c r="CO13" s="80">
        <f t="shared" si="85"/>
        <v>12.6648148148148</v>
      </c>
      <c r="CP13" s="80">
        <f t="shared" si="85"/>
        <v>13.3640625</v>
      </c>
      <c r="CQ13" s="80">
        <f t="shared" si="85"/>
        <v>8.33564102564103</v>
      </c>
      <c r="CR13" s="80">
        <f t="shared" si="85"/>
        <v>12.2606451612903</v>
      </c>
      <c r="CS13" s="80">
        <f t="shared" si="85"/>
        <v>6.41431034482759</v>
      </c>
      <c r="CT13" s="80">
        <f t="shared" si="85"/>
        <v>10.2066666666667</v>
      </c>
      <c r="CU13" s="80">
        <f t="shared" si="85"/>
        <v>10.6746875</v>
      </c>
      <c r="CV13" s="80">
        <f t="shared" si="85"/>
        <v>9.58</v>
      </c>
      <c r="CW13" s="80">
        <f t="shared" si="85"/>
        <v>24.476</v>
      </c>
      <c r="CX13" s="80">
        <f t="shared" si="85"/>
        <v>9.03904761904762</v>
      </c>
      <c r="CY13" s="80">
        <f t="shared" si="85"/>
        <v>49.014</v>
      </c>
      <c r="CZ13" s="80">
        <f t="shared" si="85"/>
        <v>26.624</v>
      </c>
      <c r="DA13" s="80">
        <f t="shared" si="85"/>
        <v>21.7729411764706</v>
      </c>
      <c r="DB13" s="80">
        <f t="shared" si="85"/>
        <v>21.2670588235294</v>
      </c>
      <c r="DC13" s="80">
        <f t="shared" si="85"/>
        <v>36.172</v>
      </c>
      <c r="DD13" s="80">
        <f t="shared" si="85"/>
        <v>30.4063636363636</v>
      </c>
      <c r="DE13" s="80">
        <f t="shared" si="85"/>
        <v>22.93</v>
      </c>
      <c r="DF13" s="81">
        <f t="shared" si="85"/>
        <v>20.5702873563218</v>
      </c>
      <c r="DG13" s="80">
        <f t="shared" si="85"/>
        <v>26.905</v>
      </c>
      <c r="DH13" s="80">
        <f t="shared" si="85"/>
        <v>18.6166666666667</v>
      </c>
      <c r="DI13" s="80">
        <f t="shared" si="85"/>
        <v>28.021</v>
      </c>
      <c r="DJ13" s="80">
        <f t="shared" si="85"/>
        <v>29.6655555555556</v>
      </c>
      <c r="DK13" s="80">
        <f t="shared" si="85"/>
        <v>21.17875</v>
      </c>
      <c r="DL13" s="80">
        <f t="shared" si="85"/>
        <v>17.7046666666667</v>
      </c>
      <c r="DM13" s="80">
        <f t="shared" si="85"/>
        <v>31.7125</v>
      </c>
      <c r="DN13" s="80">
        <f t="shared" si="85"/>
        <v>29.7873913043478</v>
      </c>
      <c r="DO13" s="80">
        <f t="shared" si="85"/>
        <v>33.0826086956522</v>
      </c>
      <c r="DP13" s="80">
        <f t="shared" si="85"/>
        <v>73.93</v>
      </c>
      <c r="DQ13" s="80">
        <f t="shared" si="85"/>
        <v>15.864</v>
      </c>
      <c r="DR13" s="80">
        <f t="shared" si="85"/>
        <v>19.231875</v>
      </c>
      <c r="DS13" s="80">
        <f t="shared" si="85"/>
        <v>29.737</v>
      </c>
      <c r="DT13" s="80">
        <f t="shared" si="85"/>
        <v>13.7135</v>
      </c>
      <c r="DU13" s="80">
        <f t="shared" si="85"/>
        <v>17.8847058823529</v>
      </c>
      <c r="DV13" s="80">
        <f t="shared" si="85"/>
        <v>12.1535483870968</v>
      </c>
      <c r="DW13" s="80">
        <f t="shared" si="85"/>
        <v>16.9866666666667</v>
      </c>
      <c r="DX13" s="80">
        <f t="shared" si="85"/>
        <v>20.4885714285714</v>
      </c>
      <c r="DY13" s="80">
        <f t="shared" si="85"/>
        <v>17.8022222222222</v>
      </c>
      <c r="DZ13" s="80">
        <f t="shared" si="85"/>
        <v>35.4071428571429</v>
      </c>
      <c r="EA13" s="80">
        <f t="shared" si="85"/>
        <v>19.7481818181818</v>
      </c>
      <c r="EB13" s="80">
        <f t="shared" si="85"/>
        <v>9.82820512820513</v>
      </c>
      <c r="EC13" s="80">
        <f t="shared" si="85"/>
        <v>16.9360714285714</v>
      </c>
      <c r="ED13" s="80">
        <f t="shared" si="85"/>
        <v>16.485</v>
      </c>
      <c r="EE13" s="80">
        <f t="shared" si="85"/>
        <v>22.395</v>
      </c>
      <c r="EF13" s="80">
        <f t="shared" si="85"/>
        <v>20.7829411764706</v>
      </c>
      <c r="EG13" s="80">
        <f t="shared" si="85"/>
        <v>29.5178571428571</v>
      </c>
      <c r="EH13" s="80">
        <f t="shared" si="85"/>
        <v>24.95</v>
      </c>
      <c r="EI13" s="80">
        <f t="shared" ref="EI13:FM13" si="86">EI3/EI12</f>
        <v>11.6273913043478</v>
      </c>
      <c r="EJ13" s="80">
        <f t="shared" si="86"/>
        <v>16.4</v>
      </c>
      <c r="EK13" s="81">
        <f t="shared" si="86"/>
        <v>16.4151196172249</v>
      </c>
      <c r="EL13" s="80">
        <f t="shared" si="86"/>
        <v>13.9638888888889</v>
      </c>
      <c r="EM13" s="80">
        <f t="shared" si="86"/>
        <v>26.42</v>
      </c>
      <c r="EN13" s="80">
        <f t="shared" si="86"/>
        <v>19.7723076923077</v>
      </c>
      <c r="EO13" s="80">
        <f t="shared" si="86"/>
        <v>16.412</v>
      </c>
      <c r="EP13" s="80">
        <f t="shared" si="86"/>
        <v>7.52257142857143</v>
      </c>
      <c r="EQ13" s="80">
        <f t="shared" si="86"/>
        <v>13.2442105263158</v>
      </c>
      <c r="ER13" s="80">
        <f t="shared" si="86"/>
        <v>8.69464285714286</v>
      </c>
      <c r="ES13" s="80">
        <f t="shared" si="86"/>
        <v>29.2153333333333</v>
      </c>
      <c r="ET13" s="80">
        <f t="shared" si="86"/>
        <v>17.6541666666667</v>
      </c>
      <c r="EU13" s="80">
        <f t="shared" si="86"/>
        <v>18.2586956521739</v>
      </c>
      <c r="EV13" s="80">
        <f t="shared" si="86"/>
        <v>18.825</v>
      </c>
      <c r="EW13" s="80">
        <f t="shared" si="86"/>
        <v>14.6266666666667</v>
      </c>
      <c r="EX13" s="80">
        <f t="shared" si="86"/>
        <v>14.2045833333333</v>
      </c>
      <c r="EY13" s="80">
        <f t="shared" si="86"/>
        <v>15.3409523809524</v>
      </c>
      <c r="EZ13" s="80">
        <f t="shared" si="86"/>
        <v>11.8395238095238</v>
      </c>
      <c r="FA13" s="80">
        <f t="shared" si="86"/>
        <v>16.4552941176471</v>
      </c>
      <c r="FB13" s="80">
        <f t="shared" si="86"/>
        <v>16.6452941176471</v>
      </c>
      <c r="FC13" s="80">
        <f t="shared" si="86"/>
        <v>12.7635</v>
      </c>
      <c r="FD13" s="80">
        <f t="shared" si="86"/>
        <v>30.8677777777778</v>
      </c>
      <c r="FE13" s="80">
        <f t="shared" si="86"/>
        <v>18.721</v>
      </c>
      <c r="FF13" s="80">
        <f t="shared" si="86"/>
        <v>25.6346666666667</v>
      </c>
      <c r="FG13" s="80">
        <f t="shared" si="86"/>
        <v>18.82</v>
      </c>
      <c r="FH13" s="80">
        <f t="shared" si="86"/>
        <v>13.1065517241379</v>
      </c>
      <c r="FI13" s="80">
        <f t="shared" si="86"/>
        <v>17.3558333333333</v>
      </c>
      <c r="FJ13" s="80">
        <f t="shared" si="86"/>
        <v>16.235</v>
      </c>
      <c r="FK13" s="80">
        <f t="shared" si="86"/>
        <v>26.7115384615385</v>
      </c>
      <c r="FL13" s="80">
        <f t="shared" si="86"/>
        <v>16.0931818181818</v>
      </c>
      <c r="FM13" s="80">
        <f t="shared" si="86"/>
        <v>14.0480769230769</v>
      </c>
      <c r="FN13" s="80">
        <f t="shared" ref="FN13:GI13" si="87">FN3/FN12</f>
        <v>21.5446666666667</v>
      </c>
      <c r="FO13" s="80">
        <f t="shared" si="87"/>
        <v>22.3364285714286</v>
      </c>
      <c r="FP13" s="80">
        <f t="shared" si="87"/>
        <v>14.675652173913</v>
      </c>
      <c r="FQ13" s="81">
        <f t="shared" si="87"/>
        <v>17.2531308411215</v>
      </c>
      <c r="FR13" s="80">
        <f t="shared" si="87"/>
        <v>26.0566666666667</v>
      </c>
      <c r="FS13" s="80">
        <f t="shared" si="87"/>
        <v>25.035</v>
      </c>
      <c r="FT13" s="80">
        <f t="shared" si="87"/>
        <v>13.966</v>
      </c>
      <c r="FU13" s="80">
        <f t="shared" si="87"/>
        <v>22.1333333333333</v>
      </c>
      <c r="FV13" s="80">
        <f t="shared" si="87"/>
        <v>20.1306666666667</v>
      </c>
      <c r="FW13" s="80">
        <f t="shared" si="87"/>
        <v>16.846</v>
      </c>
      <c r="FX13" s="80">
        <f t="shared" si="87"/>
        <v>11.31</v>
      </c>
      <c r="FY13" s="80">
        <f t="shared" si="87"/>
        <v>15.5495652173913</v>
      </c>
      <c r="FZ13" s="80">
        <f t="shared" si="87"/>
        <v>14.585</v>
      </c>
      <c r="GA13" s="80">
        <f t="shared" si="87"/>
        <v>24.4906666666667</v>
      </c>
      <c r="GB13" s="80">
        <f t="shared" si="87"/>
        <v>34.9</v>
      </c>
      <c r="GC13" s="80">
        <f t="shared" si="87"/>
        <v>26.5708333333333</v>
      </c>
      <c r="GD13" s="80">
        <f t="shared" si="87"/>
        <v>14.48</v>
      </c>
      <c r="GE13" s="80">
        <f t="shared" si="87"/>
        <v>11.5640625</v>
      </c>
      <c r="GF13" s="80">
        <f t="shared" si="87"/>
        <v>16.86</v>
      </c>
      <c r="GG13" s="80">
        <f t="shared" si="87"/>
        <v>12.4607692307692</v>
      </c>
      <c r="GH13" s="80">
        <f t="shared" si="87"/>
        <v>16.1869230769231</v>
      </c>
      <c r="GI13" s="80">
        <f t="shared" si="87"/>
        <v>19.9668421052632</v>
      </c>
      <c r="GJ13" s="80">
        <f t="shared" ref="GJ13:GP13" si="88">GJ3/GJ12</f>
        <v>19.543</v>
      </c>
      <c r="GK13" s="80">
        <f t="shared" si="88"/>
        <v>17.2913043478261</v>
      </c>
      <c r="GL13" s="80">
        <f t="shared" si="88"/>
        <v>16.0519230769231</v>
      </c>
      <c r="GM13" s="80" t="e">
        <f t="shared" si="88"/>
        <v>#DIV/0!</v>
      </c>
      <c r="GN13" s="80" t="e">
        <f t="shared" si="88"/>
        <v>#DIV/0!</v>
      </c>
      <c r="GO13" s="80" t="e">
        <f t="shared" si="88"/>
        <v>#DIV/0!</v>
      </c>
      <c r="GP13" s="80" t="e">
        <f t="shared" si="88"/>
        <v>#DIV/0!</v>
      </c>
    </row>
    <row r="14" ht="15.6" spans="1:1024 1025:16189">
      <c r="B14" s="67"/>
      <c r="C14" s="62" t="s">
        <v>25</v>
      </c>
      <c r="D14" s="63" t="e">
        <f>SUM(E14:P14)</f>
        <v>#REF!</v>
      </c>
      <c r="E14" s="64" t="e">
        <f>E23+E32+E41+E50+E59+E68</f>
        <v>#REF!</v>
      </c>
      <c r="F14" s="64" t="e">
        <f t="shared" ref="F14:P14" si="89">F23+F32+F41+F50+F59+F68</f>
        <v>#REF!</v>
      </c>
      <c r="G14" s="64" t="e">
        <f t="shared" si="89"/>
        <v>#REF!</v>
      </c>
      <c r="H14" s="64" t="e">
        <f t="shared" si="89"/>
        <v>#REF!</v>
      </c>
      <c r="I14" s="64" t="e">
        <f t="shared" si="89"/>
        <v>#REF!</v>
      </c>
      <c r="J14" s="64" t="e">
        <f t="shared" si="89"/>
        <v>#REF!</v>
      </c>
      <c r="K14" s="64" t="e">
        <f t="shared" si="89"/>
        <v>#REF!</v>
      </c>
      <c r="L14" s="64" t="e">
        <f t="shared" si="89"/>
        <v>#REF!</v>
      </c>
      <c r="M14" s="64" t="e">
        <f t="shared" si="89"/>
        <v>#REF!</v>
      </c>
      <c r="N14" s="64" t="e">
        <f t="shared" si="89"/>
        <v>#REF!</v>
      </c>
      <c r="O14" s="64" t="e">
        <f t="shared" si="89"/>
        <v>#REF!</v>
      </c>
      <c r="P14" s="64" t="e">
        <f t="shared" si="89"/>
        <v>#REF!</v>
      </c>
      <c r="Q14" s="65">
        <f>SUM(R14:AV14)</f>
        <v>123</v>
      </c>
      <c r="R14" s="64">
        <f>R23+R32+R41+R50+R59+R68</f>
        <v>2</v>
      </c>
      <c r="S14" s="64">
        <f>S23+S32+S41+S50+S59+S68</f>
        <v>3</v>
      </c>
      <c r="T14" s="64">
        <f>T23+T32+T41+T50+T59+T68</f>
        <v>2</v>
      </c>
      <c r="U14" s="64">
        <f t="shared" ref="U14:AL14" si="90">U23+U32+U41+U50+U59+U68</f>
        <v>10</v>
      </c>
      <c r="V14" s="64">
        <f t="shared" si="90"/>
        <v>2</v>
      </c>
      <c r="W14" s="64">
        <f t="shared" si="90"/>
        <v>3</v>
      </c>
      <c r="X14" s="64">
        <f t="shared" si="90"/>
        <v>2</v>
      </c>
      <c r="Y14" s="64">
        <f t="shared" si="90"/>
        <v>3</v>
      </c>
      <c r="Z14" s="64">
        <f t="shared" si="90"/>
        <v>7</v>
      </c>
      <c r="AA14" s="64">
        <f t="shared" si="90"/>
        <v>0</v>
      </c>
      <c r="AB14" s="64">
        <f t="shared" si="90"/>
        <v>3</v>
      </c>
      <c r="AC14" s="64">
        <f t="shared" si="90"/>
        <v>1</v>
      </c>
      <c r="AD14" s="64">
        <f t="shared" si="90"/>
        <v>5</v>
      </c>
      <c r="AE14" s="64">
        <f t="shared" si="90"/>
        <v>1</v>
      </c>
      <c r="AF14" s="64">
        <f t="shared" si="90"/>
        <v>0</v>
      </c>
      <c r="AG14" s="64">
        <f t="shared" si="90"/>
        <v>2</v>
      </c>
      <c r="AH14" s="64">
        <f t="shared" si="90"/>
        <v>4</v>
      </c>
      <c r="AI14" s="64">
        <f t="shared" si="90"/>
        <v>4</v>
      </c>
      <c r="AJ14" s="64">
        <f t="shared" si="90"/>
        <v>3</v>
      </c>
      <c r="AK14" s="64">
        <f t="shared" si="90"/>
        <v>1</v>
      </c>
      <c r="AL14" s="64">
        <f t="shared" ref="AL14:AX14" si="91">AL23+AL32+AL41+AL50+AL59+AL68</f>
        <v>1</v>
      </c>
      <c r="AM14" s="64">
        <f t="shared" si="91"/>
        <v>1</v>
      </c>
      <c r="AN14" s="64">
        <f t="shared" si="91"/>
        <v>6</v>
      </c>
      <c r="AO14" s="64">
        <f t="shared" si="91"/>
        <v>13</v>
      </c>
      <c r="AP14" s="64">
        <f t="shared" si="91"/>
        <v>10</v>
      </c>
      <c r="AQ14" s="64">
        <f t="shared" si="91"/>
        <v>3</v>
      </c>
      <c r="AR14" s="64">
        <f t="shared" si="91"/>
        <v>1</v>
      </c>
      <c r="AS14" s="64">
        <f t="shared" si="91"/>
        <v>15</v>
      </c>
      <c r="AT14" s="64">
        <f t="shared" si="91"/>
        <v>7</v>
      </c>
      <c r="AU14" s="64">
        <f t="shared" si="91"/>
        <v>3</v>
      </c>
      <c r="AV14" s="64">
        <f t="shared" si="91"/>
        <v>5</v>
      </c>
      <c r="AW14" s="65">
        <f>SUM(AX14:BY14)</f>
        <v>98</v>
      </c>
      <c r="AX14" s="64">
        <f t="shared" ref="AX14:BH14" si="92">AX23+AX32+AX41+AX50+AX59+AX68</f>
        <v>7</v>
      </c>
      <c r="AY14" s="64">
        <f t="shared" si="92"/>
        <v>4</v>
      </c>
      <c r="AZ14" s="64">
        <f t="shared" si="92"/>
        <v>4</v>
      </c>
      <c r="BA14" s="64">
        <f t="shared" si="92"/>
        <v>8</v>
      </c>
      <c r="BB14" s="64">
        <f t="shared" si="92"/>
        <v>8</v>
      </c>
      <c r="BC14" s="64">
        <f t="shared" si="92"/>
        <v>16</v>
      </c>
      <c r="BD14" s="64">
        <f t="shared" si="92"/>
        <v>9</v>
      </c>
      <c r="BE14" s="64">
        <f t="shared" si="92"/>
        <v>5</v>
      </c>
      <c r="BF14" s="64">
        <f t="shared" si="92"/>
        <v>0</v>
      </c>
      <c r="BG14" s="64">
        <f t="shared" si="92"/>
        <v>5</v>
      </c>
      <c r="BH14" s="64">
        <f t="shared" si="92"/>
        <v>1</v>
      </c>
      <c r="BI14" s="64">
        <f t="shared" ref="BI14:BW14" si="93">BI23+BI32+BI41+BI50+BI59+BI68</f>
        <v>1</v>
      </c>
      <c r="BJ14" s="64">
        <f t="shared" si="93"/>
        <v>1</v>
      </c>
      <c r="BK14" s="64">
        <f t="shared" si="93"/>
        <v>4</v>
      </c>
      <c r="BL14" s="64">
        <f t="shared" si="93"/>
        <v>1</v>
      </c>
      <c r="BM14" s="64">
        <f t="shared" si="93"/>
        <v>0</v>
      </c>
      <c r="BN14" s="64">
        <f t="shared" si="93"/>
        <v>0</v>
      </c>
      <c r="BO14" s="64">
        <f t="shared" si="93"/>
        <v>0</v>
      </c>
      <c r="BP14" s="64">
        <f t="shared" si="93"/>
        <v>0</v>
      </c>
      <c r="BQ14" s="64">
        <f t="shared" si="93"/>
        <v>1</v>
      </c>
      <c r="BR14" s="64">
        <f t="shared" si="93"/>
        <v>3</v>
      </c>
      <c r="BS14" s="64">
        <f t="shared" si="93"/>
        <v>2</v>
      </c>
      <c r="BT14" s="64">
        <f t="shared" si="93"/>
        <v>1</v>
      </c>
      <c r="BU14" s="64">
        <f t="shared" si="93"/>
        <v>1</v>
      </c>
      <c r="BV14" s="64">
        <f t="shared" si="93"/>
        <v>4</v>
      </c>
      <c r="BW14" s="64">
        <f t="shared" si="93"/>
        <v>11</v>
      </c>
      <c r="BX14" s="64">
        <f t="shared" ref="BX14:CH14" si="94">BX23+BX32+BX41+BX50+BX59+BX68</f>
        <v>0</v>
      </c>
      <c r="BY14" s="64">
        <f t="shared" si="94"/>
        <v>1</v>
      </c>
      <c r="BZ14" s="65">
        <f>SUM(CA14:DE14)</f>
        <v>165</v>
      </c>
      <c r="CA14" s="64">
        <f t="shared" si="94"/>
        <v>4</v>
      </c>
      <c r="CB14" s="64">
        <f t="shared" si="94"/>
        <v>1</v>
      </c>
      <c r="CC14" s="64">
        <f t="shared" si="94"/>
        <v>4</v>
      </c>
      <c r="CD14" s="64">
        <f t="shared" si="94"/>
        <v>6</v>
      </c>
      <c r="CE14" s="64">
        <f t="shared" si="94"/>
        <v>4</v>
      </c>
      <c r="CF14" s="64">
        <f t="shared" si="94"/>
        <v>2</v>
      </c>
      <c r="CG14" s="64">
        <f t="shared" si="94"/>
        <v>3</v>
      </c>
      <c r="CH14" s="64">
        <f t="shared" si="94"/>
        <v>8</v>
      </c>
      <c r="CI14" s="64">
        <f t="shared" ref="CI14:DE14" si="95">CI23+CI32+CI41+CI50+CI59+CI68</f>
        <v>6</v>
      </c>
      <c r="CJ14" s="64">
        <f t="shared" si="95"/>
        <v>2</v>
      </c>
      <c r="CK14" s="64">
        <f t="shared" si="95"/>
        <v>8</v>
      </c>
      <c r="CL14" s="64">
        <f t="shared" si="95"/>
        <v>4</v>
      </c>
      <c r="CM14" s="64">
        <f t="shared" si="95"/>
        <v>6</v>
      </c>
      <c r="CN14" s="64">
        <f t="shared" si="95"/>
        <v>15</v>
      </c>
      <c r="CO14" s="64">
        <f t="shared" si="95"/>
        <v>8</v>
      </c>
      <c r="CP14" s="64">
        <f t="shared" si="95"/>
        <v>8</v>
      </c>
      <c r="CQ14" s="64">
        <f t="shared" si="95"/>
        <v>7</v>
      </c>
      <c r="CR14" s="64">
        <f t="shared" si="95"/>
        <v>12</v>
      </c>
      <c r="CS14" s="64">
        <f t="shared" si="95"/>
        <v>17</v>
      </c>
      <c r="CT14" s="64">
        <f t="shared" si="95"/>
        <v>8</v>
      </c>
      <c r="CU14" s="64">
        <f t="shared" si="95"/>
        <v>2</v>
      </c>
      <c r="CV14" s="64">
        <f t="shared" si="95"/>
        <v>3</v>
      </c>
      <c r="CW14" s="64">
        <f t="shared" si="95"/>
        <v>0</v>
      </c>
      <c r="CX14" s="64">
        <f t="shared" si="95"/>
        <v>8</v>
      </c>
      <c r="CY14" s="64">
        <f t="shared" si="95"/>
        <v>3</v>
      </c>
      <c r="CZ14" s="64">
        <f t="shared" si="95"/>
        <v>2</v>
      </c>
      <c r="DA14" s="64">
        <f t="shared" si="95"/>
        <v>5</v>
      </c>
      <c r="DB14" s="64">
        <f t="shared" si="95"/>
        <v>2</v>
      </c>
      <c r="DC14" s="64">
        <f t="shared" si="95"/>
        <v>0</v>
      </c>
      <c r="DD14" s="64">
        <f t="shared" si="95"/>
        <v>2</v>
      </c>
      <c r="DE14" s="64">
        <f t="shared" si="95"/>
        <v>5</v>
      </c>
      <c r="DF14" s="65">
        <f>SUM(DG14:EJ14)</f>
        <v>137</v>
      </c>
      <c r="DG14" s="64">
        <f t="shared" ref="DG14:EJ14" si="96">DG23+DG32+DG41+DG50+DG59+DG68</f>
        <v>4</v>
      </c>
      <c r="DH14" s="64">
        <f t="shared" si="96"/>
        <v>3</v>
      </c>
      <c r="DI14" s="64">
        <f t="shared" si="96"/>
        <v>4</v>
      </c>
      <c r="DJ14" s="64">
        <f t="shared" si="96"/>
        <v>1</v>
      </c>
      <c r="DK14" s="64">
        <f t="shared" si="96"/>
        <v>6</v>
      </c>
      <c r="DL14" s="64">
        <f t="shared" si="96"/>
        <v>2</v>
      </c>
      <c r="DM14" s="64">
        <f t="shared" si="96"/>
        <v>7</v>
      </c>
      <c r="DN14" s="64">
        <f t="shared" si="96"/>
        <v>4</v>
      </c>
      <c r="DO14" s="64">
        <f t="shared" si="96"/>
        <v>7</v>
      </c>
      <c r="DP14" s="64">
        <f t="shared" si="96"/>
        <v>3</v>
      </c>
      <c r="DQ14" s="64">
        <f t="shared" si="96"/>
        <v>5</v>
      </c>
      <c r="DR14" s="64">
        <f t="shared" si="96"/>
        <v>4</v>
      </c>
      <c r="DS14" s="64">
        <f t="shared" si="96"/>
        <v>3</v>
      </c>
      <c r="DT14" s="64">
        <f t="shared" si="96"/>
        <v>6</v>
      </c>
      <c r="DU14" s="64">
        <f t="shared" si="96"/>
        <v>6</v>
      </c>
      <c r="DV14" s="64">
        <f t="shared" si="96"/>
        <v>9</v>
      </c>
      <c r="DW14" s="64">
        <f t="shared" si="96"/>
        <v>6</v>
      </c>
      <c r="DX14" s="64">
        <f t="shared" si="96"/>
        <v>2</v>
      </c>
      <c r="DY14" s="64">
        <f t="shared" si="96"/>
        <v>1</v>
      </c>
      <c r="DZ14" s="64">
        <f t="shared" si="96"/>
        <v>0</v>
      </c>
      <c r="EA14" s="64">
        <f t="shared" si="96"/>
        <v>2</v>
      </c>
      <c r="EB14" s="64">
        <f t="shared" si="96"/>
        <v>14</v>
      </c>
      <c r="EC14" s="64">
        <f t="shared" si="96"/>
        <v>7</v>
      </c>
      <c r="ED14" s="64">
        <f t="shared" si="96"/>
        <v>11</v>
      </c>
      <c r="EE14" s="64">
        <f t="shared" si="96"/>
        <v>3</v>
      </c>
      <c r="EF14" s="64">
        <f t="shared" si="96"/>
        <v>3</v>
      </c>
      <c r="EG14" s="64">
        <f t="shared" si="96"/>
        <v>0</v>
      </c>
      <c r="EH14" s="64">
        <f t="shared" si="96"/>
        <v>5</v>
      </c>
      <c r="EI14" s="64">
        <f t="shared" si="96"/>
        <v>8</v>
      </c>
      <c r="EJ14" s="64">
        <f t="shared" si="96"/>
        <v>1</v>
      </c>
      <c r="EK14" s="65">
        <f>SUM(EL14:FP14)</f>
        <v>128</v>
      </c>
      <c r="EL14" s="64">
        <f t="shared" ref="EL14:FP14" si="97">EL23+EL32+EL41+EL50+EL59+EL68</f>
        <v>3</v>
      </c>
      <c r="EM14" s="64">
        <f t="shared" si="97"/>
        <v>1</v>
      </c>
      <c r="EN14" s="64">
        <f t="shared" si="97"/>
        <v>2</v>
      </c>
      <c r="EO14" s="64">
        <f t="shared" si="97"/>
        <v>0</v>
      </c>
      <c r="EP14" s="64">
        <f t="shared" si="97"/>
        <v>20</v>
      </c>
      <c r="EQ14" s="64">
        <f t="shared" si="97"/>
        <v>4</v>
      </c>
      <c r="ER14" s="64">
        <f t="shared" si="97"/>
        <v>2</v>
      </c>
      <c r="ES14" s="64">
        <f t="shared" si="97"/>
        <v>1</v>
      </c>
      <c r="ET14" s="64">
        <f t="shared" si="97"/>
        <v>7</v>
      </c>
      <c r="EU14" s="64">
        <f t="shared" si="97"/>
        <v>6</v>
      </c>
      <c r="EV14" s="64">
        <f t="shared" si="97"/>
        <v>4</v>
      </c>
      <c r="EW14" s="64">
        <f t="shared" si="97"/>
        <v>2</v>
      </c>
      <c r="EX14" s="64">
        <f t="shared" si="97"/>
        <v>5</v>
      </c>
      <c r="EY14" s="64">
        <f t="shared" si="97"/>
        <v>4</v>
      </c>
      <c r="EZ14" s="64">
        <f t="shared" si="97"/>
        <v>6</v>
      </c>
      <c r="FA14" s="64">
        <f t="shared" si="97"/>
        <v>2</v>
      </c>
      <c r="FB14" s="64">
        <f t="shared" si="97"/>
        <v>3</v>
      </c>
      <c r="FC14" s="64">
        <f t="shared" si="97"/>
        <v>3</v>
      </c>
      <c r="FD14" s="64">
        <f t="shared" si="97"/>
        <v>4</v>
      </c>
      <c r="FE14" s="64">
        <f t="shared" si="97"/>
        <v>9</v>
      </c>
      <c r="FF14" s="64">
        <f t="shared" si="97"/>
        <v>3</v>
      </c>
      <c r="FG14" s="64">
        <f t="shared" si="97"/>
        <v>3</v>
      </c>
      <c r="FH14" s="64">
        <f t="shared" si="97"/>
        <v>11</v>
      </c>
      <c r="FI14" s="64">
        <f t="shared" si="97"/>
        <v>5</v>
      </c>
      <c r="FJ14" s="64">
        <f t="shared" si="97"/>
        <v>4</v>
      </c>
      <c r="FK14" s="64">
        <f t="shared" si="97"/>
        <v>2</v>
      </c>
      <c r="FL14" s="64">
        <f t="shared" si="97"/>
        <v>3</v>
      </c>
      <c r="FM14" s="64">
        <f t="shared" si="97"/>
        <v>5</v>
      </c>
      <c r="FN14" s="64">
        <f t="shared" si="97"/>
        <v>2</v>
      </c>
      <c r="FO14" s="64">
        <f t="shared" si="97"/>
        <v>1</v>
      </c>
      <c r="FP14" s="64">
        <f t="shared" si="97"/>
        <v>1</v>
      </c>
      <c r="FQ14" s="65">
        <f t="shared" si="57"/>
        <v>105</v>
      </c>
      <c r="FR14" s="64">
        <f t="shared" ref="FR14:GI14" si="98">FR23+FR32+FR41+FR50+FR59+FR68</f>
        <v>3</v>
      </c>
      <c r="FS14" s="64">
        <f t="shared" si="98"/>
        <v>5</v>
      </c>
      <c r="FT14" s="64">
        <f t="shared" si="98"/>
        <v>8</v>
      </c>
      <c r="FU14" s="64">
        <f t="shared" si="98"/>
        <v>6</v>
      </c>
      <c r="FV14" s="64">
        <f t="shared" si="98"/>
        <v>10</v>
      </c>
      <c r="FW14" s="64">
        <f t="shared" si="98"/>
        <v>7</v>
      </c>
      <c r="FX14" s="64">
        <f t="shared" si="98"/>
        <v>8</v>
      </c>
      <c r="FY14" s="64">
        <f t="shared" si="98"/>
        <v>7</v>
      </c>
      <c r="FZ14" s="64">
        <f t="shared" si="98"/>
        <v>6</v>
      </c>
      <c r="GA14" s="64">
        <f t="shared" si="98"/>
        <v>1</v>
      </c>
      <c r="GB14" s="64">
        <f t="shared" si="98"/>
        <v>2</v>
      </c>
      <c r="GC14" s="64">
        <f t="shared" si="98"/>
        <v>3</v>
      </c>
      <c r="GD14" s="64">
        <f t="shared" si="98"/>
        <v>9</v>
      </c>
      <c r="GE14" s="64">
        <f t="shared" si="98"/>
        <v>6</v>
      </c>
      <c r="GF14" s="64">
        <f t="shared" si="98"/>
        <v>5</v>
      </c>
      <c r="GG14" s="64">
        <f t="shared" si="98"/>
        <v>7</v>
      </c>
      <c r="GH14" s="64">
        <f t="shared" si="98"/>
        <v>4</v>
      </c>
      <c r="GI14" s="64">
        <f t="shared" si="98"/>
        <v>4</v>
      </c>
      <c r="GJ14" s="64">
        <f t="shared" ref="GJ14:GP14" si="99">GJ23+GJ32+GJ41+GJ50+GJ59+GJ68</f>
        <v>2</v>
      </c>
      <c r="GK14" s="64">
        <f t="shared" si="99"/>
        <v>2</v>
      </c>
      <c r="GL14" s="64">
        <f t="shared" si="99"/>
        <v>0</v>
      </c>
      <c r="GM14" s="64">
        <f t="shared" si="99"/>
        <v>0</v>
      </c>
      <c r="GN14" s="64">
        <f t="shared" si="99"/>
        <v>0</v>
      </c>
      <c r="GO14" s="64">
        <f t="shared" si="99"/>
        <v>0</v>
      </c>
      <c r="GP14" s="64">
        <f t="shared" si="99"/>
        <v>0</v>
      </c>
    </row>
    <row r="15" spans="1:1024 1025:16189">
      <c r="A15" s="84"/>
      <c r="B15" s="67"/>
      <c r="C15" s="62" t="s">
        <v>26</v>
      </c>
      <c r="D15" s="63" t="e">
        <f>SUM(E15:P15)</f>
        <v>#REF!</v>
      </c>
      <c r="E15" s="64" t="e">
        <f>E24+E33+E42+E51+E60+E69</f>
        <v>#REF!</v>
      </c>
      <c r="F15" s="64" t="e">
        <f t="shared" ref="F15:P15" si="100">F24+F33+F42+F51+F60+F69</f>
        <v>#REF!</v>
      </c>
      <c r="G15" s="64" t="e">
        <f t="shared" si="100"/>
        <v>#REF!</v>
      </c>
      <c r="H15" s="64" t="e">
        <f t="shared" si="100"/>
        <v>#REF!</v>
      </c>
      <c r="I15" s="64" t="e">
        <f t="shared" si="100"/>
        <v>#REF!</v>
      </c>
      <c r="J15" s="64" t="e">
        <f t="shared" si="100"/>
        <v>#REF!</v>
      </c>
      <c r="K15" s="64" t="e">
        <f t="shared" si="100"/>
        <v>#REF!</v>
      </c>
      <c r="L15" s="64" t="e">
        <f t="shared" si="100"/>
        <v>#REF!</v>
      </c>
      <c r="M15" s="64" t="e">
        <f t="shared" si="100"/>
        <v>#REF!</v>
      </c>
      <c r="N15" s="64" t="e">
        <f t="shared" si="100"/>
        <v>#REF!</v>
      </c>
      <c r="O15" s="64" t="e">
        <f t="shared" si="100"/>
        <v>#REF!</v>
      </c>
      <c r="P15" s="64" t="e">
        <f t="shared" si="100"/>
        <v>#REF!</v>
      </c>
      <c r="Q15" s="65">
        <f>SUM(R15:AV15)</f>
        <v>200211.68</v>
      </c>
      <c r="R15" s="64">
        <f>R24+R33+R42+R51+R60+R69</f>
        <v>617.1</v>
      </c>
      <c r="S15" s="64">
        <f>S24+S33+S42+S51+S60+S69</f>
        <v>401.91</v>
      </c>
      <c r="T15" s="64">
        <f>T24+T33+T42+T51+T60+T69</f>
        <v>96.9</v>
      </c>
      <c r="U15" s="64">
        <f t="shared" ref="U15:AL15" si="101">U24+U33+U42+U51+U60+U69</f>
        <v>6951.49</v>
      </c>
      <c r="V15" s="64">
        <f t="shared" si="101"/>
        <v>1793.4</v>
      </c>
      <c r="W15" s="64">
        <f t="shared" si="101"/>
        <v>1128</v>
      </c>
      <c r="X15" s="64">
        <f t="shared" si="101"/>
        <v>122.56</v>
      </c>
      <c r="Y15" s="64">
        <f t="shared" si="101"/>
        <v>2407.44</v>
      </c>
      <c r="Z15" s="64">
        <f t="shared" si="101"/>
        <v>4013.2</v>
      </c>
      <c r="AA15" s="64">
        <f t="shared" si="101"/>
        <v>0</v>
      </c>
      <c r="AB15" s="64">
        <f t="shared" si="101"/>
        <v>907.26</v>
      </c>
      <c r="AC15" s="64">
        <f t="shared" si="101"/>
        <v>26.46</v>
      </c>
      <c r="AD15" s="64">
        <f t="shared" si="101"/>
        <v>1071.27</v>
      </c>
      <c r="AE15" s="64">
        <f t="shared" si="101"/>
        <v>339.15</v>
      </c>
      <c r="AF15" s="64">
        <f t="shared" si="101"/>
        <v>0</v>
      </c>
      <c r="AG15" s="64">
        <f t="shared" si="101"/>
        <v>814.15</v>
      </c>
      <c r="AH15" s="64">
        <f t="shared" si="101"/>
        <v>2003.04</v>
      </c>
      <c r="AI15" s="64">
        <f t="shared" si="101"/>
        <v>921.85</v>
      </c>
      <c r="AJ15" s="64">
        <f t="shared" si="101"/>
        <v>208.11</v>
      </c>
      <c r="AK15" s="64">
        <f t="shared" si="101"/>
        <v>217.93</v>
      </c>
      <c r="AL15" s="64">
        <f t="shared" ref="AL15:AX15" si="102">AL24+AL33+AL42+AL51+AL60+AL69</f>
        <v>74.1</v>
      </c>
      <c r="AM15" s="64">
        <f t="shared" si="102"/>
        <v>313.83</v>
      </c>
      <c r="AN15" s="64">
        <f t="shared" si="102"/>
        <v>3472.86</v>
      </c>
      <c r="AO15" s="64">
        <f t="shared" si="102"/>
        <v>3809.21</v>
      </c>
      <c r="AP15" s="64">
        <f t="shared" si="102"/>
        <v>2519.28</v>
      </c>
      <c r="AQ15" s="64">
        <f t="shared" si="102"/>
        <v>803.13</v>
      </c>
      <c r="AR15" s="64">
        <f t="shared" si="102"/>
        <v>73.6</v>
      </c>
      <c r="AS15" s="64">
        <f t="shared" si="102"/>
        <v>159191.88</v>
      </c>
      <c r="AT15" s="64">
        <f t="shared" si="102"/>
        <v>3920.44</v>
      </c>
      <c r="AU15" s="64">
        <f t="shared" si="102"/>
        <v>121.65</v>
      </c>
      <c r="AV15" s="64">
        <f t="shared" si="102"/>
        <v>1870.48</v>
      </c>
      <c r="AW15" s="65">
        <f>SUM(AX15:BY15)</f>
        <v>39122.11</v>
      </c>
      <c r="AX15" s="64">
        <f t="shared" ref="AX15:BH15" si="103">AX24+AX33+AX42+AX51+AX60+AX69</f>
        <v>8390.74</v>
      </c>
      <c r="AY15" s="64">
        <f t="shared" si="103"/>
        <v>2790.18</v>
      </c>
      <c r="AZ15" s="64">
        <f t="shared" si="103"/>
        <v>427.16</v>
      </c>
      <c r="BA15" s="64">
        <f t="shared" si="103"/>
        <v>5809.76</v>
      </c>
      <c r="BB15" s="64">
        <f t="shared" si="103"/>
        <v>3601.82</v>
      </c>
      <c r="BC15" s="64">
        <f t="shared" si="103"/>
        <v>2667.24</v>
      </c>
      <c r="BD15" s="64">
        <f t="shared" si="103"/>
        <v>1270.24</v>
      </c>
      <c r="BE15" s="64">
        <f t="shared" si="103"/>
        <v>826.81</v>
      </c>
      <c r="BF15" s="64">
        <f t="shared" si="103"/>
        <v>0</v>
      </c>
      <c r="BG15" s="64">
        <f t="shared" si="103"/>
        <v>2358.12</v>
      </c>
      <c r="BH15" s="64">
        <f t="shared" si="103"/>
        <v>288.64</v>
      </c>
      <c r="BI15" s="64">
        <f t="shared" ref="BI15:BW15" si="104">BI24+BI33+BI42+BI51+BI60+BI69</f>
        <v>165</v>
      </c>
      <c r="BJ15" s="64">
        <f t="shared" si="104"/>
        <v>928</v>
      </c>
      <c r="BK15" s="64">
        <f t="shared" si="104"/>
        <v>1199.34</v>
      </c>
      <c r="BL15" s="64">
        <f t="shared" si="104"/>
        <v>85.14</v>
      </c>
      <c r="BM15" s="64">
        <f t="shared" si="104"/>
        <v>0</v>
      </c>
      <c r="BN15" s="64">
        <f t="shared" si="104"/>
        <v>0</v>
      </c>
      <c r="BO15" s="64">
        <f t="shared" si="104"/>
        <v>0</v>
      </c>
      <c r="BP15" s="64">
        <f t="shared" si="104"/>
        <v>0</v>
      </c>
      <c r="BQ15" s="64">
        <f t="shared" si="104"/>
        <v>28.42</v>
      </c>
      <c r="BR15" s="64">
        <f t="shared" si="104"/>
        <v>295.61</v>
      </c>
      <c r="BS15" s="64">
        <f t="shared" si="104"/>
        <v>381.22</v>
      </c>
      <c r="BT15" s="64">
        <f t="shared" si="104"/>
        <v>236</v>
      </c>
      <c r="BU15" s="64">
        <f t="shared" si="104"/>
        <v>27.45</v>
      </c>
      <c r="BV15" s="64">
        <f t="shared" si="104"/>
        <v>468</v>
      </c>
      <c r="BW15" s="64">
        <f t="shared" si="104"/>
        <v>6701.22</v>
      </c>
      <c r="BX15" s="64">
        <f t="shared" ref="BX15:CH15" si="105">BX24+BX33+BX42+BX51+BX60+BX69</f>
        <v>0</v>
      </c>
      <c r="BY15" s="64">
        <f t="shared" si="105"/>
        <v>176</v>
      </c>
      <c r="BZ15" s="65">
        <f>SUM(CA15:DE15)</f>
        <v>32451.21</v>
      </c>
      <c r="CA15" s="64">
        <f t="shared" si="105"/>
        <v>567.87</v>
      </c>
      <c r="CB15" s="64">
        <f t="shared" si="105"/>
        <v>236</v>
      </c>
      <c r="CC15" s="64">
        <f t="shared" si="105"/>
        <v>426.28</v>
      </c>
      <c r="CD15" s="64">
        <f t="shared" si="105"/>
        <v>3328.08</v>
      </c>
      <c r="CE15" s="64">
        <f t="shared" si="105"/>
        <v>1610.9</v>
      </c>
      <c r="CF15" s="64">
        <f t="shared" si="105"/>
        <v>1046.82</v>
      </c>
      <c r="CG15" s="64">
        <f t="shared" si="105"/>
        <v>320.4</v>
      </c>
      <c r="CH15" s="64">
        <f t="shared" si="105"/>
        <v>1211.17</v>
      </c>
      <c r="CI15" s="64">
        <f t="shared" ref="CI15:DE15" si="106">CI24+CI33+CI42+CI51+CI60+CI69</f>
        <v>878.3</v>
      </c>
      <c r="CJ15" s="64">
        <f t="shared" si="106"/>
        <v>368</v>
      </c>
      <c r="CK15" s="64">
        <f t="shared" si="106"/>
        <v>1414.4</v>
      </c>
      <c r="CL15" s="64">
        <f t="shared" si="106"/>
        <v>590.54</v>
      </c>
      <c r="CM15" s="64">
        <f t="shared" si="106"/>
        <v>1360.56</v>
      </c>
      <c r="CN15" s="64">
        <f t="shared" si="106"/>
        <v>2684.29</v>
      </c>
      <c r="CO15" s="64">
        <f t="shared" si="106"/>
        <v>604.83</v>
      </c>
      <c r="CP15" s="64">
        <f t="shared" si="106"/>
        <v>3022.96</v>
      </c>
      <c r="CQ15" s="64">
        <f t="shared" si="106"/>
        <v>2371.98</v>
      </c>
      <c r="CR15" s="64">
        <f t="shared" si="106"/>
        <v>1906.69</v>
      </c>
      <c r="CS15" s="64">
        <f t="shared" si="106"/>
        <v>3899.08</v>
      </c>
      <c r="CT15" s="64">
        <f t="shared" si="106"/>
        <v>1028.52</v>
      </c>
      <c r="CU15" s="64">
        <f t="shared" si="106"/>
        <v>256.1</v>
      </c>
      <c r="CV15" s="64">
        <f t="shared" si="106"/>
        <v>231.99</v>
      </c>
      <c r="CW15" s="64">
        <f t="shared" si="106"/>
        <v>0</v>
      </c>
      <c r="CX15" s="64">
        <f t="shared" si="106"/>
        <v>411.52</v>
      </c>
      <c r="CY15" s="64">
        <f t="shared" si="106"/>
        <v>667.7</v>
      </c>
      <c r="CZ15" s="64">
        <f t="shared" si="106"/>
        <v>356.12</v>
      </c>
      <c r="DA15" s="64">
        <f t="shared" si="106"/>
        <v>500</v>
      </c>
      <c r="DB15" s="64">
        <f t="shared" si="106"/>
        <v>472.9</v>
      </c>
      <c r="DC15" s="64">
        <f t="shared" si="106"/>
        <v>0</v>
      </c>
      <c r="DD15" s="64">
        <f t="shared" si="106"/>
        <v>384.1</v>
      </c>
      <c r="DE15" s="64">
        <f t="shared" si="106"/>
        <v>293.11</v>
      </c>
      <c r="DF15" s="65">
        <f>SUM(DG15:EJ15)</f>
        <v>29052.16</v>
      </c>
      <c r="DG15" s="64">
        <f t="shared" ref="DG15:EJ15" si="107">DG24+DG33+DG42+DG51+DG60+DG69</f>
        <v>272.22</v>
      </c>
      <c r="DH15" s="64">
        <f t="shared" si="107"/>
        <v>333.54</v>
      </c>
      <c r="DI15" s="64">
        <f t="shared" si="107"/>
        <v>440.52</v>
      </c>
      <c r="DJ15" s="64">
        <f t="shared" si="107"/>
        <v>84.15</v>
      </c>
      <c r="DK15" s="64">
        <f t="shared" si="107"/>
        <v>1162.18</v>
      </c>
      <c r="DL15" s="64">
        <f t="shared" si="107"/>
        <v>194.9</v>
      </c>
      <c r="DM15" s="64">
        <f t="shared" si="107"/>
        <v>2210.48</v>
      </c>
      <c r="DN15" s="64">
        <f t="shared" si="107"/>
        <v>2936.93</v>
      </c>
      <c r="DO15" s="64">
        <f t="shared" si="107"/>
        <v>3635.17</v>
      </c>
      <c r="DP15" s="64">
        <f t="shared" si="107"/>
        <v>594.85</v>
      </c>
      <c r="DQ15" s="64">
        <f t="shared" si="107"/>
        <v>1172.2</v>
      </c>
      <c r="DR15" s="64">
        <f t="shared" si="107"/>
        <v>298.57</v>
      </c>
      <c r="DS15" s="64">
        <f t="shared" si="107"/>
        <v>446.19</v>
      </c>
      <c r="DT15" s="64">
        <f t="shared" si="107"/>
        <v>1124.15</v>
      </c>
      <c r="DU15" s="64">
        <f t="shared" si="107"/>
        <v>441.92</v>
      </c>
      <c r="DV15" s="64">
        <f t="shared" si="107"/>
        <v>1307.65</v>
      </c>
      <c r="DW15" s="64">
        <f t="shared" si="107"/>
        <v>899.26</v>
      </c>
      <c r="DX15" s="64">
        <f t="shared" si="107"/>
        <v>190.9</v>
      </c>
      <c r="DY15" s="64">
        <f t="shared" si="107"/>
        <v>138.6</v>
      </c>
      <c r="DZ15" s="64">
        <f t="shared" si="107"/>
        <v>0</v>
      </c>
      <c r="EA15" s="64">
        <f t="shared" si="107"/>
        <v>236.68</v>
      </c>
      <c r="EB15" s="64">
        <f t="shared" si="107"/>
        <v>3248.29</v>
      </c>
      <c r="EC15" s="64">
        <f t="shared" si="107"/>
        <v>741.9</v>
      </c>
      <c r="ED15" s="64">
        <f t="shared" si="107"/>
        <v>3938.27</v>
      </c>
      <c r="EE15" s="64">
        <f t="shared" si="107"/>
        <v>425.88</v>
      </c>
      <c r="EF15" s="64">
        <f t="shared" si="107"/>
        <v>356.44</v>
      </c>
      <c r="EG15" s="64">
        <f t="shared" si="107"/>
        <v>0</v>
      </c>
      <c r="EH15" s="64">
        <f t="shared" si="107"/>
        <v>1131.48</v>
      </c>
      <c r="EI15" s="64">
        <f t="shared" si="107"/>
        <v>1003.72</v>
      </c>
      <c r="EJ15" s="64">
        <f t="shared" si="107"/>
        <v>85.12</v>
      </c>
      <c r="EK15" s="65">
        <f>SUM(EL15:FP15)</f>
        <v>42473.03</v>
      </c>
      <c r="EL15" s="64">
        <f t="shared" ref="EL15:FP15" si="108">EL24+EL33+EL42+EL51+EL60+EL69</f>
        <v>259.25</v>
      </c>
      <c r="EM15" s="64">
        <f t="shared" si="108"/>
        <v>151</v>
      </c>
      <c r="EN15" s="64">
        <f t="shared" si="108"/>
        <v>125.1</v>
      </c>
      <c r="EO15" s="64">
        <f t="shared" si="108"/>
        <v>0</v>
      </c>
      <c r="EP15" s="64">
        <f t="shared" si="108"/>
        <v>4676.39</v>
      </c>
      <c r="EQ15" s="64">
        <f t="shared" si="108"/>
        <v>1121.56</v>
      </c>
      <c r="ER15" s="64">
        <f t="shared" si="108"/>
        <v>8156.9</v>
      </c>
      <c r="ES15" s="64">
        <f t="shared" si="108"/>
        <v>81.13</v>
      </c>
      <c r="ET15" s="64">
        <f t="shared" si="108"/>
        <v>1699.57</v>
      </c>
      <c r="EU15" s="64">
        <f t="shared" si="108"/>
        <v>368.31</v>
      </c>
      <c r="EV15" s="64">
        <f t="shared" si="108"/>
        <v>178.92</v>
      </c>
      <c r="EW15" s="64">
        <f t="shared" si="108"/>
        <v>538.44</v>
      </c>
      <c r="EX15" s="64">
        <f t="shared" si="108"/>
        <v>702.02</v>
      </c>
      <c r="EY15" s="64">
        <f t="shared" si="108"/>
        <v>723.72</v>
      </c>
      <c r="EZ15" s="64">
        <f t="shared" si="108"/>
        <v>5214.67</v>
      </c>
      <c r="FA15" s="64">
        <f t="shared" si="108"/>
        <v>267.31</v>
      </c>
      <c r="FB15" s="64">
        <f t="shared" si="108"/>
        <v>327.23</v>
      </c>
      <c r="FC15" s="64">
        <f t="shared" si="108"/>
        <v>662.03</v>
      </c>
      <c r="FD15" s="64">
        <f t="shared" si="108"/>
        <v>232.1</v>
      </c>
      <c r="FE15" s="64">
        <f t="shared" si="108"/>
        <v>1119.48</v>
      </c>
      <c r="FF15" s="64">
        <f t="shared" si="108"/>
        <v>8153.81</v>
      </c>
      <c r="FG15" s="64">
        <f t="shared" si="108"/>
        <v>547.75</v>
      </c>
      <c r="FH15" s="64">
        <f t="shared" si="108"/>
        <v>866.65</v>
      </c>
      <c r="FI15" s="64">
        <f t="shared" si="108"/>
        <v>342.49</v>
      </c>
      <c r="FJ15" s="64">
        <f t="shared" si="108"/>
        <v>375.93</v>
      </c>
      <c r="FK15" s="64">
        <f t="shared" si="108"/>
        <v>176.19</v>
      </c>
      <c r="FL15" s="64">
        <f t="shared" si="108"/>
        <v>4247.62</v>
      </c>
      <c r="FM15" s="64">
        <f t="shared" si="108"/>
        <v>858.57</v>
      </c>
      <c r="FN15" s="64">
        <f t="shared" si="108"/>
        <v>217.53</v>
      </c>
      <c r="FO15" s="64">
        <f t="shared" si="108"/>
        <v>38.96</v>
      </c>
      <c r="FP15" s="64">
        <f t="shared" si="108"/>
        <v>42.4</v>
      </c>
      <c r="FQ15" s="65">
        <f t="shared" si="57"/>
        <v>33318.12</v>
      </c>
      <c r="FR15" s="64">
        <f t="shared" ref="FR15:GI15" si="109">FR24+FR33+FR42+FR51+FR60+FR69</f>
        <v>155.66</v>
      </c>
      <c r="FS15" s="64">
        <f t="shared" si="109"/>
        <v>389.31</v>
      </c>
      <c r="FT15" s="64">
        <f t="shared" si="109"/>
        <v>1615.04</v>
      </c>
      <c r="FU15" s="64">
        <f t="shared" si="109"/>
        <v>726.77</v>
      </c>
      <c r="FV15" s="64">
        <f t="shared" si="109"/>
        <v>18001.69</v>
      </c>
      <c r="FW15" s="64">
        <f t="shared" si="109"/>
        <v>424.26</v>
      </c>
      <c r="FX15" s="64">
        <f t="shared" si="109"/>
        <v>884.58</v>
      </c>
      <c r="FY15" s="64">
        <f t="shared" si="109"/>
        <v>841.6</v>
      </c>
      <c r="FZ15" s="64">
        <f t="shared" si="109"/>
        <v>609.19</v>
      </c>
      <c r="GA15" s="64">
        <f t="shared" si="109"/>
        <v>37.46</v>
      </c>
      <c r="GB15" s="64">
        <f t="shared" si="109"/>
        <v>721.82</v>
      </c>
      <c r="GC15" s="64">
        <f t="shared" si="109"/>
        <v>425.54</v>
      </c>
      <c r="GD15" s="64">
        <f t="shared" si="109"/>
        <v>1427.73</v>
      </c>
      <c r="GE15" s="64">
        <f t="shared" si="109"/>
        <v>4777.79</v>
      </c>
      <c r="GF15" s="64">
        <f t="shared" si="109"/>
        <v>471.16</v>
      </c>
      <c r="GG15" s="64">
        <f t="shared" si="109"/>
        <v>603.47</v>
      </c>
      <c r="GH15" s="64">
        <f t="shared" si="109"/>
        <v>278.45</v>
      </c>
      <c r="GI15" s="64">
        <f t="shared" si="109"/>
        <v>352.2</v>
      </c>
      <c r="GJ15" s="64">
        <f t="shared" ref="GJ15:GP15" si="110">GJ24+GJ33+GJ42+GJ51+GJ60+GJ69</f>
        <v>470.64</v>
      </c>
      <c r="GK15" s="64">
        <f t="shared" si="110"/>
        <v>103.76</v>
      </c>
      <c r="GL15" s="64">
        <f t="shared" si="110"/>
        <v>0</v>
      </c>
      <c r="GM15" s="64">
        <f t="shared" si="110"/>
        <v>0</v>
      </c>
      <c r="GN15" s="64">
        <f t="shared" si="110"/>
        <v>0</v>
      </c>
      <c r="GO15" s="64">
        <f t="shared" si="110"/>
        <v>0</v>
      </c>
      <c r="GP15" s="64">
        <f t="shared" si="110"/>
        <v>0</v>
      </c>
    </row>
    <row r="16" spans="1:1024 1025:16189">
      <c r="A16" s="84"/>
      <c r="B16" s="67"/>
      <c r="C16" s="62" t="s">
        <v>27</v>
      </c>
      <c r="D16" s="63"/>
      <c r="E16" s="64"/>
      <c r="F16" s="64"/>
      <c r="G16" s="64"/>
      <c r="H16" s="64"/>
      <c r="I16" s="64"/>
      <c r="J16" s="64"/>
      <c r="K16" s="64"/>
      <c r="L16" s="64"/>
      <c r="M16" s="64"/>
      <c r="N16" s="64"/>
      <c r="O16" s="64"/>
      <c r="P16" s="64"/>
      <c r="Q16" s="85">
        <f>Q15/Q5</f>
        <v>3.54623519661593</v>
      </c>
      <c r="R16" s="86">
        <f t="shared" ref="R16:AJ16" si="111">R15/R5</f>
        <v>0.343424787133396</v>
      </c>
      <c r="S16" s="86">
        <f t="shared" si="111"/>
        <v>0.0868498846064085</v>
      </c>
      <c r="T16" s="86">
        <f t="shared" si="111"/>
        <v>1.19364375461936</v>
      </c>
      <c r="U16" s="86">
        <f t="shared" si="111"/>
        <v>2.19339031770523</v>
      </c>
      <c r="V16" s="86">
        <f t="shared" si="111"/>
        <v>0.45585566349952</v>
      </c>
      <c r="W16" s="86">
        <f t="shared" si="111"/>
        <v>1.07928124461795</v>
      </c>
      <c r="X16" s="86">
        <f t="shared" si="111"/>
        <v>1.41165630039161</v>
      </c>
      <c r="Y16" s="86">
        <f t="shared" si="111"/>
        <v>0.76623942913342</v>
      </c>
      <c r="Z16" s="86">
        <f t="shared" si="111"/>
        <v>1.75743907512426</v>
      </c>
      <c r="AA16" s="86">
        <f t="shared" si="111"/>
        <v>0</v>
      </c>
      <c r="AB16" s="86">
        <f t="shared" si="111"/>
        <v>0.154230344241394</v>
      </c>
      <c r="AC16" s="86">
        <f t="shared" si="111"/>
        <v>0.370692070608013</v>
      </c>
      <c r="AD16" s="86">
        <f t="shared" si="111"/>
        <v>1.29858779319959</v>
      </c>
      <c r="AE16" s="86">
        <f t="shared" si="111"/>
        <v>0.102710167443466</v>
      </c>
      <c r="AF16" s="86">
        <f t="shared" si="111"/>
        <v>0</v>
      </c>
      <c r="AG16" s="86">
        <f t="shared" si="111"/>
        <v>0.842918819302805</v>
      </c>
      <c r="AH16" s="86">
        <f t="shared" si="111"/>
        <v>2.09654594934059</v>
      </c>
      <c r="AI16" s="86">
        <f t="shared" si="111"/>
        <v>1.54711756314509</v>
      </c>
      <c r="AJ16" s="86">
        <f t="shared" si="111"/>
        <v>0.109550029478649</v>
      </c>
      <c r="AK16" s="86">
        <f t="shared" ref="AK16:BH16" si="112">AK15/AK5</f>
        <v>0.293488653962696</v>
      </c>
      <c r="AL16" s="86">
        <f t="shared" si="112"/>
        <v>1</v>
      </c>
      <c r="AM16" s="86">
        <f t="shared" si="112"/>
        <v>0.356965740024569</v>
      </c>
      <c r="AN16" s="86">
        <f t="shared" si="112"/>
        <v>1.06697676704989</v>
      </c>
      <c r="AO16" s="86">
        <f t="shared" si="112"/>
        <v>1.05654374748637</v>
      </c>
      <c r="AP16" s="86">
        <f t="shared" si="112"/>
        <v>1.19604054406912</v>
      </c>
      <c r="AQ16" s="86">
        <f t="shared" si="112"/>
        <v>0.826529037038562</v>
      </c>
      <c r="AR16" s="86">
        <f t="shared" si="112"/>
        <v>0.0481924555234709</v>
      </c>
      <c r="AS16" s="86">
        <f t="shared" si="112"/>
        <v>444.968358676207</v>
      </c>
      <c r="AT16" s="86">
        <f t="shared" si="112"/>
        <v>0.976334028146145</v>
      </c>
      <c r="AU16" s="86">
        <f t="shared" si="112"/>
        <v>0.0789786338936174</v>
      </c>
      <c r="AV16" s="86">
        <f t="shared" si="112"/>
        <v>0.926649954917911</v>
      </c>
      <c r="AW16" s="85">
        <f t="shared" si="112"/>
        <v>0.182446650174292</v>
      </c>
      <c r="AX16" s="86">
        <f t="shared" si="112"/>
        <v>0.0791916930615696</v>
      </c>
      <c r="AY16" s="86">
        <f t="shared" si="112"/>
        <v>0.0441996389486804</v>
      </c>
      <c r="AZ16" s="86">
        <f t="shared" si="112"/>
        <v>0.266435468176942</v>
      </c>
      <c r="BA16" s="86">
        <f t="shared" si="112"/>
        <v>0.486160993717302</v>
      </c>
      <c r="BB16" s="86">
        <f t="shared" si="112"/>
        <v>0.895055577230358</v>
      </c>
      <c r="BC16" s="86">
        <f t="shared" si="112"/>
        <v>0.552557653902566</v>
      </c>
      <c r="BD16" s="86">
        <f t="shared" si="112"/>
        <v>0.733301774601379</v>
      </c>
      <c r="BE16" s="86">
        <f t="shared" si="112"/>
        <v>0.310570461605496</v>
      </c>
      <c r="BF16" s="86">
        <f t="shared" si="112"/>
        <v>0</v>
      </c>
      <c r="BG16" s="86">
        <f t="shared" si="112"/>
        <v>1.37572706217293</v>
      </c>
      <c r="BH16" s="86" t="e">
        <f t="shared" si="112"/>
        <v>#DIV/0!</v>
      </c>
      <c r="BI16" s="86" t="e">
        <f t="shared" ref="BI16:BW16" si="113">BI15/BI5</f>
        <v>#DIV/0!</v>
      </c>
      <c r="BJ16" s="86" t="e">
        <f t="shared" si="113"/>
        <v>#DIV/0!</v>
      </c>
      <c r="BK16" s="86" t="e">
        <f t="shared" si="113"/>
        <v>#DIV/0!</v>
      </c>
      <c r="BL16" s="86" t="e">
        <f t="shared" si="113"/>
        <v>#DIV/0!</v>
      </c>
      <c r="BM16" s="86" t="e">
        <f t="shared" si="113"/>
        <v>#DIV/0!</v>
      </c>
      <c r="BN16" s="86" t="e">
        <f t="shared" si="113"/>
        <v>#DIV/0!</v>
      </c>
      <c r="BO16" s="86" t="e">
        <f t="shared" si="113"/>
        <v>#DIV/0!</v>
      </c>
      <c r="BP16" s="86" t="e">
        <f t="shared" si="113"/>
        <v>#DIV/0!</v>
      </c>
      <c r="BQ16" s="86" t="e">
        <f t="shared" si="113"/>
        <v>#DIV/0!</v>
      </c>
      <c r="BR16" s="86">
        <f t="shared" si="113"/>
        <v>0.525584951283692</v>
      </c>
      <c r="BS16" s="86">
        <f t="shared" si="113"/>
        <v>0.0874285609445092</v>
      </c>
      <c r="BT16" s="86">
        <f t="shared" si="113"/>
        <v>4.12083115068971</v>
      </c>
      <c r="BU16" s="86">
        <f t="shared" si="113"/>
        <v>0.00912648409265459</v>
      </c>
      <c r="BV16" s="86">
        <f t="shared" si="113"/>
        <v>0.720288115246098</v>
      </c>
      <c r="BW16" s="86">
        <f t="shared" si="113"/>
        <v>0.924253938742775</v>
      </c>
      <c r="BX16" s="86">
        <f t="shared" ref="BX16:CH16" si="114">BX15/BX5</f>
        <v>0</v>
      </c>
      <c r="BY16" s="86">
        <f t="shared" si="114"/>
        <v>0.579214111761996</v>
      </c>
      <c r="BZ16" s="85">
        <f t="shared" si="114"/>
        <v>0.427748803105934</v>
      </c>
      <c r="CA16" s="86">
        <f t="shared" si="114"/>
        <v>0.345039828412757</v>
      </c>
      <c r="CB16" s="86">
        <f t="shared" si="114"/>
        <v>0.458572983056117</v>
      </c>
      <c r="CC16" s="86">
        <f t="shared" si="114"/>
        <v>0.022005637176456</v>
      </c>
      <c r="CD16" s="86">
        <f t="shared" si="114"/>
        <v>1.14892118617737</v>
      </c>
      <c r="CE16" s="86">
        <f t="shared" si="114"/>
        <v>0.416764762951944</v>
      </c>
      <c r="CF16" s="86">
        <f t="shared" si="114"/>
        <v>1.9374074622446</v>
      </c>
      <c r="CG16" s="86">
        <f t="shared" si="114"/>
        <v>0.489421828457955</v>
      </c>
      <c r="CH16" s="86">
        <f t="shared" si="114"/>
        <v>0.368674662121028</v>
      </c>
      <c r="CI16" s="86">
        <f t="shared" ref="CI16:EH16" si="115">CI15/CI5</f>
        <v>0.387313850780757</v>
      </c>
      <c r="CJ16" s="86">
        <f t="shared" si="115"/>
        <v>0.262343698760996</v>
      </c>
      <c r="CK16" s="86">
        <f t="shared" si="115"/>
        <v>0.430144151815583</v>
      </c>
      <c r="CL16" s="86">
        <f t="shared" si="115"/>
        <v>0.651680681542298</v>
      </c>
      <c r="CM16" s="86">
        <f t="shared" si="115"/>
        <v>0.507453891054212</v>
      </c>
      <c r="CN16" s="86">
        <f t="shared" si="115"/>
        <v>0.769777178744515</v>
      </c>
      <c r="CO16" s="86">
        <f t="shared" si="115"/>
        <v>0.313672713694495</v>
      </c>
      <c r="CP16" s="86">
        <f t="shared" si="115"/>
        <v>1.550108709029</v>
      </c>
      <c r="CQ16" s="86">
        <f t="shared" si="115"/>
        <v>1.03040412860177</v>
      </c>
      <c r="CR16" s="86">
        <f t="shared" si="115"/>
        <v>0.278920182505189</v>
      </c>
      <c r="CS16" s="86">
        <f t="shared" si="115"/>
        <v>1.59465704738885</v>
      </c>
      <c r="CT16" s="86">
        <f t="shared" si="115"/>
        <v>1.10768634292915</v>
      </c>
      <c r="CU16" s="86">
        <f t="shared" si="115"/>
        <v>0.247449176779779</v>
      </c>
      <c r="CV16" s="86">
        <f t="shared" si="115"/>
        <v>0.232050333086603</v>
      </c>
      <c r="CW16" s="86">
        <f t="shared" si="115"/>
        <v>0</v>
      </c>
      <c r="CX16" s="86">
        <f t="shared" si="115"/>
        <v>0.235686263279975</v>
      </c>
      <c r="CY16" s="86">
        <f t="shared" si="115"/>
        <v>0.752541532358046</v>
      </c>
      <c r="CZ16" s="86">
        <f t="shared" si="115"/>
        <v>0.687490347490348</v>
      </c>
      <c r="DA16" s="86">
        <f t="shared" si="115"/>
        <v>1.84658566310891</v>
      </c>
      <c r="DB16" s="86">
        <f t="shared" si="115"/>
        <v>0.264631983033111</v>
      </c>
      <c r="DC16" s="86">
        <f t="shared" si="115"/>
        <v>0</v>
      </c>
      <c r="DD16" s="86">
        <f t="shared" si="115"/>
        <v>0.810508546106774</v>
      </c>
      <c r="DE16" s="86">
        <f t="shared" si="115"/>
        <v>0.498800265473172</v>
      </c>
      <c r="DF16" s="85">
        <f t="shared" si="115"/>
        <v>0.665898056639072</v>
      </c>
      <c r="DG16" s="86">
        <f t="shared" si="115"/>
        <v>1.07938144329897</v>
      </c>
      <c r="DH16" s="86">
        <f t="shared" si="115"/>
        <v>0.443160076530612</v>
      </c>
      <c r="DI16" s="86">
        <f t="shared" si="115"/>
        <v>0.312667239213293</v>
      </c>
      <c r="DJ16" s="86">
        <f t="shared" si="115"/>
        <v>0.085957690225441</v>
      </c>
      <c r="DK16" s="86">
        <f t="shared" si="115"/>
        <v>1.11663255796078</v>
      </c>
      <c r="DL16" s="86">
        <f t="shared" si="115"/>
        <v>0.261990536616841</v>
      </c>
      <c r="DM16" s="86">
        <f t="shared" si="115"/>
        <v>0.540673812121182</v>
      </c>
      <c r="DN16" s="86">
        <f t="shared" si="115"/>
        <v>1.69158507084437</v>
      </c>
      <c r="DO16" s="86">
        <f t="shared" si="115"/>
        <v>0.778660766114954</v>
      </c>
      <c r="DP16" s="86">
        <f t="shared" si="115"/>
        <v>0.299575955359481</v>
      </c>
      <c r="DQ16" s="86">
        <f t="shared" si="115"/>
        <v>1.77525367257307</v>
      </c>
      <c r="DR16" s="86">
        <f t="shared" si="115"/>
        <v>0.86909821272632</v>
      </c>
      <c r="DS16" s="86">
        <f t="shared" si="115"/>
        <v>0.603816225725692</v>
      </c>
      <c r="DT16" s="86">
        <f t="shared" si="115"/>
        <v>0.566482231763117</v>
      </c>
      <c r="DU16" s="86">
        <f t="shared" si="115"/>
        <v>0.109031516305876</v>
      </c>
      <c r="DV16" s="86">
        <f t="shared" si="115"/>
        <v>0.838726436575182</v>
      </c>
      <c r="DW16" s="86">
        <f t="shared" si="115"/>
        <v>1.79092647175974</v>
      </c>
      <c r="DX16" s="86">
        <f t="shared" si="115"/>
        <v>0.197801286899939</v>
      </c>
      <c r="DY16" s="86">
        <f t="shared" si="115"/>
        <v>0.0906421466362346</v>
      </c>
      <c r="DZ16" s="86">
        <f t="shared" si="115"/>
        <v>0</v>
      </c>
      <c r="EA16" s="86">
        <f t="shared" si="115"/>
        <v>9.06819923371648</v>
      </c>
      <c r="EB16" s="86">
        <f t="shared" si="115"/>
        <v>5.69825453907552</v>
      </c>
      <c r="EC16" s="86">
        <f t="shared" si="115"/>
        <v>0.448353800038677</v>
      </c>
      <c r="ED16" s="86">
        <f t="shared" si="115"/>
        <v>0.849444275487513</v>
      </c>
      <c r="EE16" s="86">
        <f t="shared" si="115"/>
        <v>0.601423487544484</v>
      </c>
      <c r="EF16" s="86">
        <f t="shared" si="115"/>
        <v>0.379018108737492</v>
      </c>
      <c r="EG16" s="86">
        <f t="shared" si="115"/>
        <v>0</v>
      </c>
      <c r="EH16" s="86">
        <f t="shared" si="115"/>
        <v>0.433582029498661</v>
      </c>
      <c r="EI16" s="86">
        <f t="shared" ref="EI16:FM16" si="116">EI15/EI5</f>
        <v>5.81866666666667</v>
      </c>
      <c r="EJ16" s="86">
        <f t="shared" si="116"/>
        <v>0.133183126799349</v>
      </c>
      <c r="EK16" s="85">
        <f t="shared" si="116"/>
        <v>0.778439515147605</v>
      </c>
      <c r="EL16" s="86">
        <f t="shared" si="116"/>
        <v>1.19009364671318</v>
      </c>
      <c r="EM16" s="86">
        <f t="shared" si="116"/>
        <v>0.436529733167587</v>
      </c>
      <c r="EN16" s="86">
        <f t="shared" si="116"/>
        <v>1.15833333333333</v>
      </c>
      <c r="EO16" s="86">
        <f t="shared" si="116"/>
        <v>0</v>
      </c>
      <c r="EP16" s="86">
        <f t="shared" si="116"/>
        <v>1.41694618416946</v>
      </c>
      <c r="EQ16" s="86">
        <f t="shared" si="116"/>
        <v>2.48407530454042</v>
      </c>
      <c r="ER16" s="86">
        <f t="shared" si="116"/>
        <v>0.75661782029805</v>
      </c>
      <c r="ES16" s="86">
        <f t="shared" si="116"/>
        <v>0.13355611892141</v>
      </c>
      <c r="ET16" s="86">
        <f t="shared" si="116"/>
        <v>0.732071554408832</v>
      </c>
      <c r="EU16" s="86">
        <f t="shared" si="116"/>
        <v>0.780367396232811</v>
      </c>
      <c r="EV16" s="86">
        <f t="shared" si="116"/>
        <v>0.378290377825232</v>
      </c>
      <c r="EW16" s="86">
        <f t="shared" si="116"/>
        <v>0.761972149892449</v>
      </c>
      <c r="EX16" s="86">
        <f t="shared" si="116"/>
        <v>1.58440913604767</v>
      </c>
      <c r="EY16" s="86">
        <f t="shared" si="116"/>
        <v>0.814963289941895</v>
      </c>
      <c r="EZ16" s="86">
        <f t="shared" si="116"/>
        <v>2.53784870252487</v>
      </c>
      <c r="FA16" s="86">
        <f t="shared" si="116"/>
        <v>0.0532117981252152</v>
      </c>
      <c r="FB16" s="86">
        <f t="shared" si="116"/>
        <v>0.259634228587297</v>
      </c>
      <c r="FC16" s="86">
        <f t="shared" si="116"/>
        <v>4.66218309859155</v>
      </c>
      <c r="FD16" s="86">
        <f t="shared" si="116"/>
        <v>0.424004384362441</v>
      </c>
      <c r="FE16" s="86">
        <f t="shared" si="116"/>
        <v>0.687472365512159</v>
      </c>
      <c r="FF16" s="86">
        <f t="shared" si="116"/>
        <v>0.820237626989404</v>
      </c>
      <c r="FG16" s="86">
        <f t="shared" si="116"/>
        <v>0.319984811309732</v>
      </c>
      <c r="FH16" s="86">
        <f t="shared" si="116"/>
        <v>1.3453120149022</v>
      </c>
      <c r="FI16" s="86">
        <f t="shared" si="116"/>
        <v>0.460280342431695</v>
      </c>
      <c r="FJ16" s="86">
        <f t="shared" si="116"/>
        <v>0.938581379671935</v>
      </c>
      <c r="FK16" s="86">
        <f t="shared" si="116"/>
        <v>0.276832429884516</v>
      </c>
      <c r="FL16" s="86">
        <f t="shared" si="116"/>
        <v>0.880850569659366</v>
      </c>
      <c r="FM16" s="86">
        <f t="shared" si="116"/>
        <v>0.562826950559176</v>
      </c>
      <c r="FN16" s="86">
        <f t="shared" ref="FN16:GI16" si="117">FN15/FN5</f>
        <v>0.396034737014583</v>
      </c>
      <c r="FO16" s="86">
        <f t="shared" si="117"/>
        <v>0.0366796275549112</v>
      </c>
      <c r="FP16" s="86">
        <f t="shared" si="117"/>
        <v>0.0977904884911666</v>
      </c>
      <c r="FQ16" s="85">
        <f t="shared" si="117"/>
        <v>1.02713839189514</v>
      </c>
      <c r="FR16" s="86">
        <f t="shared" si="117"/>
        <v>0.326906922043011</v>
      </c>
      <c r="FS16" s="86">
        <f t="shared" si="117"/>
        <v>0.25692789968652</v>
      </c>
      <c r="FT16" s="86">
        <f t="shared" si="117"/>
        <v>0.936656884692564</v>
      </c>
      <c r="FU16" s="86">
        <f t="shared" si="117"/>
        <v>0.672119928605118</v>
      </c>
      <c r="FV16" s="86">
        <f t="shared" si="117"/>
        <v>5.39674007542735</v>
      </c>
      <c r="FW16" s="86">
        <f t="shared" si="117"/>
        <v>1.21665567376903</v>
      </c>
      <c r="FX16" s="86">
        <f t="shared" si="117"/>
        <v>0.687394122126727</v>
      </c>
      <c r="FY16" s="86">
        <f t="shared" si="117"/>
        <v>3.30596692461798</v>
      </c>
      <c r="FZ16" s="86">
        <f t="shared" si="117"/>
        <v>0.577469595139014</v>
      </c>
      <c r="GA16" s="86">
        <f t="shared" si="117"/>
        <v>0.0109256785528872</v>
      </c>
      <c r="GB16" s="86">
        <f t="shared" si="117"/>
        <v>0.863834370512207</v>
      </c>
      <c r="GC16" s="86">
        <f t="shared" si="117"/>
        <v>1.56742421451987</v>
      </c>
      <c r="GD16" s="86">
        <f t="shared" si="117"/>
        <v>1</v>
      </c>
      <c r="GE16" s="86">
        <f t="shared" si="117"/>
        <v>0.968882066174025</v>
      </c>
      <c r="GF16" s="86">
        <f t="shared" si="117"/>
        <v>0.142655581055959</v>
      </c>
      <c r="GG16" s="86">
        <f t="shared" si="117"/>
        <v>0.76178393799389</v>
      </c>
      <c r="GH16" s="86">
        <f t="shared" si="117"/>
        <v>0.626504668691641</v>
      </c>
      <c r="GI16" s="86">
        <f t="shared" si="117"/>
        <v>0.891758450436764</v>
      </c>
      <c r="GJ16" s="86">
        <f t="shared" ref="GJ16:GP16" si="118">GJ15/GJ5</f>
        <v>0.498216270576404</v>
      </c>
      <c r="GK16" s="86">
        <f t="shared" si="118"/>
        <v>0.111583090473067</v>
      </c>
      <c r="GL16" s="86">
        <f t="shared" si="118"/>
        <v>0</v>
      </c>
      <c r="GM16" s="86">
        <f t="shared" si="118"/>
        <v>0</v>
      </c>
      <c r="GN16" s="86">
        <f t="shared" si="118"/>
        <v>0</v>
      </c>
      <c r="GO16" s="86">
        <f t="shared" si="118"/>
        <v>0</v>
      </c>
      <c r="GP16" s="86">
        <f t="shared" si="118"/>
        <v>0</v>
      </c>
    </row>
    <row r="17" spans="1:198">
      <c r="A17" s="84"/>
      <c r="B17" s="67"/>
      <c r="C17" s="62" t="s">
        <v>28</v>
      </c>
      <c r="D17" s="75" t="e">
        <f>D12/D10</f>
        <v>#REF!</v>
      </c>
      <c r="E17" s="76" t="e">
        <f>E12/E10</f>
        <v>#REF!</v>
      </c>
      <c r="F17" s="76" t="e">
        <f t="shared" ref="F17:W17" si="119">F12/F10</f>
        <v>#REF!</v>
      </c>
      <c r="G17" s="76" t="e">
        <f t="shared" si="119"/>
        <v>#REF!</v>
      </c>
      <c r="H17" s="76" t="e">
        <f t="shared" si="119"/>
        <v>#REF!</v>
      </c>
      <c r="I17" s="76" t="e">
        <f t="shared" si="119"/>
        <v>#REF!</v>
      </c>
      <c r="J17" s="76" t="e">
        <f t="shared" si="119"/>
        <v>#REF!</v>
      </c>
      <c r="K17" s="76" t="e">
        <f t="shared" si="119"/>
        <v>#REF!</v>
      </c>
      <c r="L17" s="76" t="e">
        <f t="shared" si="119"/>
        <v>#REF!</v>
      </c>
      <c r="M17" s="76" t="e">
        <f t="shared" si="119"/>
        <v>#REF!</v>
      </c>
      <c r="N17" s="76" t="e">
        <f t="shared" si="119"/>
        <v>#REF!</v>
      </c>
      <c r="O17" s="76" t="e">
        <f t="shared" si="119"/>
        <v>#REF!</v>
      </c>
      <c r="P17" s="76" t="e">
        <f t="shared" si="119"/>
        <v>#REF!</v>
      </c>
      <c r="Q17" s="77">
        <f t="shared" si="119"/>
        <v>0.0929289652935452</v>
      </c>
      <c r="R17" s="76">
        <f t="shared" si="119"/>
        <v>0.0769230769230769</v>
      </c>
      <c r="S17" s="76">
        <f t="shared" si="119"/>
        <v>0.0904255319148936</v>
      </c>
      <c r="T17" s="76">
        <f t="shared" si="119"/>
        <v>0.054726368159204</v>
      </c>
      <c r="U17" s="76">
        <f t="shared" ref="U17:AL17" si="120">U12/U10</f>
        <v>0.0643939393939394</v>
      </c>
      <c r="V17" s="76">
        <f t="shared" si="120"/>
        <v>0.069672131147541</v>
      </c>
      <c r="W17" s="76">
        <f t="shared" si="120"/>
        <v>0.086734693877551</v>
      </c>
      <c r="X17" s="76">
        <f t="shared" si="120"/>
        <v>0.0756302521008403</v>
      </c>
      <c r="Y17" s="76">
        <f t="shared" si="120"/>
        <v>0.0980392156862745</v>
      </c>
      <c r="Z17" s="76">
        <f t="shared" si="120"/>
        <v>0.0815450643776824</v>
      </c>
      <c r="AA17" s="76">
        <f t="shared" si="120"/>
        <v>0.0655021834061135</v>
      </c>
      <c r="AB17" s="76">
        <f t="shared" si="120"/>
        <v>0.0826086956521739</v>
      </c>
      <c r="AC17" s="76">
        <f t="shared" si="120"/>
        <v>0.0822510822510823</v>
      </c>
      <c r="AD17" s="76">
        <f t="shared" si="120"/>
        <v>0.118721461187215</v>
      </c>
      <c r="AE17" s="76">
        <f t="shared" si="120"/>
        <v>0.0264150943396226</v>
      </c>
      <c r="AF17" s="76">
        <f t="shared" si="120"/>
        <v>0.0867768595041322</v>
      </c>
      <c r="AG17" s="76">
        <f t="shared" si="120"/>
        <v>0.0896860986547085</v>
      </c>
      <c r="AH17" s="76">
        <f t="shared" si="120"/>
        <v>0.0682926829268293</v>
      </c>
      <c r="AI17" s="76">
        <f t="shared" si="120"/>
        <v>0.0531400966183575</v>
      </c>
      <c r="AJ17" s="76">
        <f t="shared" si="120"/>
        <v>0.0638297872340425</v>
      </c>
      <c r="AK17" s="76">
        <f t="shared" si="120"/>
        <v>0.0610687022900763</v>
      </c>
      <c r="AL17" s="76">
        <f t="shared" ref="AL17:BH17" si="121">AL12/AL10</f>
        <v>0.126050420168067</v>
      </c>
      <c r="AM17" s="76">
        <f t="shared" si="121"/>
        <v>0.0928571428571429</v>
      </c>
      <c r="AN17" s="76">
        <f t="shared" si="121"/>
        <v>0.105555555555556</v>
      </c>
      <c r="AO17" s="76">
        <f t="shared" si="121"/>
        <v>0.240506329113924</v>
      </c>
      <c r="AP17" s="76">
        <f t="shared" si="121"/>
        <v>0.155405405405405</v>
      </c>
      <c r="AQ17" s="76">
        <f t="shared" si="121"/>
        <v>0.0774647887323944</v>
      </c>
      <c r="AR17" s="76">
        <f t="shared" si="121"/>
        <v>0.122549019607843</v>
      </c>
      <c r="AS17" s="76">
        <f t="shared" si="121"/>
        <v>0.261627906976744</v>
      </c>
      <c r="AT17" s="76">
        <f t="shared" si="121"/>
        <v>0.0857142857142857</v>
      </c>
      <c r="AU17" s="76">
        <f t="shared" si="121"/>
        <v>0.0970464135021097</v>
      </c>
      <c r="AV17" s="76">
        <f t="shared" si="121"/>
        <v>0.137142857142857</v>
      </c>
      <c r="AW17" s="77">
        <f t="shared" si="121"/>
        <v>0.0885470085470085</v>
      </c>
      <c r="AX17" s="76">
        <f t="shared" si="121"/>
        <v>0.172897196261682</v>
      </c>
      <c r="AY17" s="76">
        <f t="shared" si="121"/>
        <v>0.069672131147541</v>
      </c>
      <c r="AZ17" s="76">
        <f t="shared" si="121"/>
        <v>0.10952380952381</v>
      </c>
      <c r="BA17" s="76">
        <f t="shared" si="121"/>
        <v>0.047808764940239</v>
      </c>
      <c r="BB17" s="76">
        <f t="shared" si="121"/>
        <v>0.0852017937219731</v>
      </c>
      <c r="BC17" s="76">
        <f t="shared" si="121"/>
        <v>0.213389121338912</v>
      </c>
      <c r="BD17" s="76">
        <f t="shared" si="121"/>
        <v>0.142045454545455</v>
      </c>
      <c r="BE17" s="76">
        <f t="shared" si="121"/>
        <v>0.16289592760181</v>
      </c>
      <c r="BF17" s="76">
        <f t="shared" si="121"/>
        <v>0.0460829493087558</v>
      </c>
      <c r="BG17" s="76">
        <f t="shared" si="121"/>
        <v>0.114068441064639</v>
      </c>
      <c r="BH17" s="76">
        <f t="shared" si="121"/>
        <v>0.0858585858585859</v>
      </c>
      <c r="BI17" s="76">
        <f t="shared" ref="BI17:BW17" si="122">BI12/BI10</f>
        <v>0.0533333333333333</v>
      </c>
      <c r="BJ17" s="76">
        <f t="shared" si="122"/>
        <v>0.05</v>
      </c>
      <c r="BK17" s="76">
        <f t="shared" si="122"/>
        <v>0.0515021459227468</v>
      </c>
      <c r="BL17" s="76">
        <f t="shared" si="122"/>
        <v>0.0846560846560847</v>
      </c>
      <c r="BM17" s="76">
        <f t="shared" si="122"/>
        <v>0.0543478260869565</v>
      </c>
      <c r="BN17" s="76">
        <f t="shared" si="122"/>
        <v>0.0285714285714286</v>
      </c>
      <c r="BO17" s="76">
        <f t="shared" si="122"/>
        <v>0.0232558139534884</v>
      </c>
      <c r="BP17" s="76">
        <f t="shared" si="122"/>
        <v>0.0423280423280423</v>
      </c>
      <c r="BQ17" s="76">
        <f t="shared" si="122"/>
        <v>0.0574162679425837</v>
      </c>
      <c r="BR17" s="76">
        <f t="shared" si="122"/>
        <v>0.109195402298851</v>
      </c>
      <c r="BS17" s="76">
        <f t="shared" si="122"/>
        <v>0.11864406779661</v>
      </c>
      <c r="BT17" s="76">
        <f t="shared" si="122"/>
        <v>0.0755813953488372</v>
      </c>
      <c r="BU17" s="76">
        <f t="shared" si="122"/>
        <v>0.0807453416149068</v>
      </c>
      <c r="BV17" s="76">
        <f t="shared" si="122"/>
        <v>0.0848214285714286</v>
      </c>
      <c r="BW17" s="76">
        <f t="shared" si="122"/>
        <v>0.143540669856459</v>
      </c>
      <c r="BX17" s="76">
        <f t="shared" ref="BX17:CH17" si="123">BX12/BX10</f>
        <v>0.0843881856540084</v>
      </c>
      <c r="BY17" s="76">
        <f t="shared" si="123"/>
        <v>0.0669642857142857</v>
      </c>
      <c r="BZ17" s="77">
        <f t="shared" si="123"/>
        <v>0.0949777237748076</v>
      </c>
      <c r="CA17" s="76">
        <f t="shared" si="123"/>
        <v>0.0897959183673469</v>
      </c>
      <c r="CB17" s="76">
        <f t="shared" si="123"/>
        <v>0.0762331838565022</v>
      </c>
      <c r="CC17" s="76">
        <f t="shared" si="123"/>
        <v>0.11864406779661</v>
      </c>
      <c r="CD17" s="76">
        <f t="shared" si="123"/>
        <v>0.113122171945701</v>
      </c>
      <c r="CE17" s="76">
        <f t="shared" si="123"/>
        <v>0.0660919540229885</v>
      </c>
      <c r="CF17" s="76">
        <f t="shared" si="123"/>
        <v>0.0381944444444444</v>
      </c>
      <c r="CG17" s="76">
        <f t="shared" si="123"/>
        <v>0.117391304347826</v>
      </c>
      <c r="CH17" s="76">
        <f t="shared" si="123"/>
        <v>0.225490196078431</v>
      </c>
      <c r="CI17" s="76">
        <f t="shared" ref="CI17:EH17" si="124">CI12/CI10</f>
        <v>0.157088122605364</v>
      </c>
      <c r="CJ17" s="76">
        <f t="shared" si="124"/>
        <v>0.141891891891892</v>
      </c>
      <c r="CK17" s="76">
        <f t="shared" si="124"/>
        <v>0.138364779874214</v>
      </c>
      <c r="CL17" s="76">
        <f t="shared" si="124"/>
        <v>0.134185303514377</v>
      </c>
      <c r="CM17" s="76">
        <f t="shared" si="124"/>
        <v>0.144781144781145</v>
      </c>
      <c r="CN17" s="76">
        <f t="shared" si="124"/>
        <v>0.172043010752688</v>
      </c>
      <c r="CO17" s="76">
        <f t="shared" si="124"/>
        <v>0.0924657534246575</v>
      </c>
      <c r="CP17" s="76">
        <f t="shared" si="124"/>
        <v>0.109965635738832</v>
      </c>
      <c r="CQ17" s="76">
        <f t="shared" si="124"/>
        <v>0.146067415730337</v>
      </c>
      <c r="CR17" s="76">
        <f t="shared" si="124"/>
        <v>0.0990415335463259</v>
      </c>
      <c r="CS17" s="76">
        <f t="shared" si="124"/>
        <v>0.170588235294118</v>
      </c>
      <c r="CT17" s="76">
        <f t="shared" si="124"/>
        <v>0.106824925816024</v>
      </c>
      <c r="CU17" s="76">
        <f t="shared" si="124"/>
        <v>0.0881542699724518</v>
      </c>
      <c r="CV17" s="76">
        <f t="shared" si="124"/>
        <v>0.102102102102102</v>
      </c>
      <c r="CW17" s="76">
        <f t="shared" si="124"/>
        <v>0.040983606557377</v>
      </c>
      <c r="CX17" s="76">
        <f t="shared" si="124"/>
        <v>0.102941176470588</v>
      </c>
      <c r="CY17" s="76">
        <f t="shared" si="124"/>
        <v>0.0229885057471264</v>
      </c>
      <c r="CZ17" s="76">
        <f t="shared" si="124"/>
        <v>0.0365853658536585</v>
      </c>
      <c r="DA17" s="76">
        <f t="shared" si="124"/>
        <v>0.0532915360501567</v>
      </c>
      <c r="DB17" s="76">
        <f t="shared" si="124"/>
        <v>0.0470914127423823</v>
      </c>
      <c r="DC17" s="76">
        <f t="shared" si="124"/>
        <v>0.0275482093663912</v>
      </c>
      <c r="DD17" s="76">
        <f t="shared" si="124"/>
        <v>0.0302197802197802</v>
      </c>
      <c r="DE17" s="76">
        <f t="shared" si="124"/>
        <v>0.0388888888888889</v>
      </c>
      <c r="DF17" s="77">
        <f t="shared" si="124"/>
        <v>0.0426226831060668</v>
      </c>
      <c r="DG17" s="76">
        <f t="shared" si="124"/>
        <v>0.027027027027027</v>
      </c>
      <c r="DH17" s="76">
        <f t="shared" si="124"/>
        <v>0.039344262295082</v>
      </c>
      <c r="DI17" s="76">
        <f t="shared" si="124"/>
        <v>0.028328611898017</v>
      </c>
      <c r="DJ17" s="76">
        <f t="shared" si="124"/>
        <v>0.025</v>
      </c>
      <c r="DK17" s="76">
        <f t="shared" si="124"/>
        <v>0.0473372781065089</v>
      </c>
      <c r="DL17" s="76">
        <f t="shared" si="124"/>
        <v>0.0471698113207547</v>
      </c>
      <c r="DM17" s="76">
        <f t="shared" si="124"/>
        <v>0.0411311053984576</v>
      </c>
      <c r="DN17" s="76">
        <f t="shared" si="124"/>
        <v>0.0425138632162662</v>
      </c>
      <c r="DO17" s="76">
        <f t="shared" si="124"/>
        <v>0.0418943533697632</v>
      </c>
      <c r="DP17" s="76">
        <f t="shared" si="124"/>
        <v>0.0147783251231527</v>
      </c>
      <c r="DQ17" s="76">
        <f t="shared" si="124"/>
        <v>0.0477326968973747</v>
      </c>
      <c r="DR17" s="76">
        <f t="shared" si="124"/>
        <v>0.0299625468164794</v>
      </c>
      <c r="DS17" s="76">
        <f t="shared" si="124"/>
        <v>0.0214132762312634</v>
      </c>
      <c r="DT17" s="76">
        <f t="shared" si="124"/>
        <v>0.0793650793650794</v>
      </c>
      <c r="DU17" s="76">
        <f t="shared" si="124"/>
        <v>0.0631970260223048</v>
      </c>
      <c r="DV17" s="76">
        <f t="shared" si="124"/>
        <v>0.0662393162393162</v>
      </c>
      <c r="DW17" s="76">
        <f t="shared" si="124"/>
        <v>0.0661764705882353</v>
      </c>
      <c r="DX17" s="76">
        <f t="shared" si="124"/>
        <v>0.0588235294117647</v>
      </c>
      <c r="DY17" s="76">
        <f t="shared" si="124"/>
        <v>0.0529411764705882</v>
      </c>
      <c r="DZ17" s="76">
        <f t="shared" si="124"/>
        <v>0.0309734513274336</v>
      </c>
      <c r="EA17" s="76">
        <f t="shared" si="124"/>
        <v>0.0516431924882629</v>
      </c>
      <c r="EB17" s="76">
        <f t="shared" si="124"/>
        <v>0.0930787589498807</v>
      </c>
      <c r="EC17" s="76">
        <f t="shared" si="124"/>
        <v>0.0566801619433198</v>
      </c>
      <c r="ED17" s="76">
        <f t="shared" si="124"/>
        <v>0.0469798657718121</v>
      </c>
      <c r="EE17" s="76">
        <f t="shared" si="124"/>
        <v>0.0268620268620269</v>
      </c>
      <c r="EF17" s="76">
        <f t="shared" si="124"/>
        <v>0.0349794238683128</v>
      </c>
      <c r="EG17" s="76">
        <f t="shared" si="124"/>
        <v>0.0275049115913556</v>
      </c>
      <c r="EH17" s="76">
        <f t="shared" si="124"/>
        <v>0.0294117647058824</v>
      </c>
      <c r="EI17" s="76">
        <f t="shared" ref="EI17:FM17" si="125">EI12/EI10</f>
        <v>0.0545023696682464</v>
      </c>
      <c r="EJ17" s="76">
        <f t="shared" si="125"/>
        <v>0.037593984962406</v>
      </c>
      <c r="EK17" s="77">
        <f t="shared" si="125"/>
        <v>0.0433669940517361</v>
      </c>
      <c r="EL17" s="76">
        <f t="shared" si="125"/>
        <v>0.0421545667447307</v>
      </c>
      <c r="EM17" s="76">
        <f t="shared" si="125"/>
        <v>0.0227272727272727</v>
      </c>
      <c r="EN17" s="76">
        <f t="shared" si="125"/>
        <v>0.0314009661835749</v>
      </c>
      <c r="EO17" s="76">
        <f t="shared" si="125"/>
        <v>0.0367647058823529</v>
      </c>
      <c r="EP17" s="76">
        <f t="shared" si="125"/>
        <v>0.0810185185185185</v>
      </c>
      <c r="EQ17" s="76">
        <f t="shared" si="125"/>
        <v>0.0512129380053908</v>
      </c>
      <c r="ER17" s="76">
        <f t="shared" si="125"/>
        <v>0.0804597701149425</v>
      </c>
      <c r="ES17" s="76">
        <f t="shared" si="125"/>
        <v>0.0218340611353712</v>
      </c>
      <c r="ET17" s="76">
        <f t="shared" si="125"/>
        <v>0.0288115246098439</v>
      </c>
      <c r="EU17" s="76">
        <f t="shared" si="125"/>
        <v>0.0307898259705489</v>
      </c>
      <c r="EV17" s="76">
        <f t="shared" si="125"/>
        <v>0.0343839541547278</v>
      </c>
      <c r="EW17" s="76">
        <f t="shared" si="125"/>
        <v>0.0479233226837061</v>
      </c>
      <c r="EX17" s="76">
        <f t="shared" si="125"/>
        <v>0.0526315789473684</v>
      </c>
      <c r="EY17" s="76">
        <f t="shared" si="125"/>
        <v>0.0491803278688525</v>
      </c>
      <c r="EZ17" s="76">
        <f t="shared" si="125"/>
        <v>0.0704697986577181</v>
      </c>
      <c r="FA17" s="76">
        <f t="shared" si="125"/>
        <v>0.0393518518518519</v>
      </c>
      <c r="FB17" s="76">
        <f t="shared" si="125"/>
        <v>0.0406698564593301</v>
      </c>
      <c r="FC17" s="76">
        <f t="shared" si="125"/>
        <v>0.062111801242236</v>
      </c>
      <c r="FD17" s="76">
        <f t="shared" si="125"/>
        <v>0.0206896551724138</v>
      </c>
      <c r="FE17" s="76">
        <f t="shared" si="125"/>
        <v>0.0436681222707424</v>
      </c>
      <c r="FF17" s="76">
        <f t="shared" si="125"/>
        <v>0.0407608695652174</v>
      </c>
      <c r="FG17" s="76">
        <f t="shared" si="125"/>
        <v>0.0506329113924051</v>
      </c>
      <c r="FH17" s="76">
        <f t="shared" si="125"/>
        <v>0.0627705627705628</v>
      </c>
      <c r="FI17" s="76">
        <f t="shared" si="125"/>
        <v>0.0428571428571429</v>
      </c>
      <c r="FJ17" s="76">
        <f t="shared" si="125"/>
        <v>0.0549199084668192</v>
      </c>
      <c r="FK17" s="76">
        <f t="shared" si="125"/>
        <v>0.0297482837528604</v>
      </c>
      <c r="FL17" s="76">
        <f t="shared" si="125"/>
        <v>0.0508083140877598</v>
      </c>
      <c r="FM17" s="76">
        <f t="shared" si="125"/>
        <v>0.052</v>
      </c>
      <c r="FN17" s="76">
        <f t="shared" ref="FN17:GI17" si="126">FN12/FN10</f>
        <v>0.043731778425656</v>
      </c>
      <c r="FO17" s="76">
        <f t="shared" si="126"/>
        <v>0.04</v>
      </c>
      <c r="FP17" s="76">
        <f t="shared" si="126"/>
        <v>0.0425925925925926</v>
      </c>
      <c r="FQ17" s="77">
        <f t="shared" si="126"/>
        <v>0.0513250989327257</v>
      </c>
      <c r="FR17" s="76">
        <f t="shared" si="126"/>
        <v>0.0332409972299169</v>
      </c>
      <c r="FS17" s="76">
        <f t="shared" si="126"/>
        <v>0.0380952380952381</v>
      </c>
      <c r="FT17" s="76">
        <f t="shared" si="126"/>
        <v>0.0677966101694915</v>
      </c>
      <c r="FU17" s="76">
        <f t="shared" si="126"/>
        <v>0.0405405405405405</v>
      </c>
      <c r="FV17" s="76">
        <f t="shared" si="126"/>
        <v>0.0421348314606742</v>
      </c>
      <c r="FW17" s="76">
        <f t="shared" si="126"/>
        <v>0.0431965442764579</v>
      </c>
      <c r="FX17" s="76">
        <f t="shared" si="126"/>
        <v>0.0611854684512428</v>
      </c>
      <c r="FY17" s="76">
        <f t="shared" si="126"/>
        <v>0.0555555555555556</v>
      </c>
      <c r="FZ17" s="76">
        <f t="shared" si="126"/>
        <v>0.0603015075376884</v>
      </c>
      <c r="GA17" s="76">
        <f t="shared" si="126"/>
        <v>0.0373134328358209</v>
      </c>
      <c r="GB17" s="76">
        <f t="shared" si="126"/>
        <v>0.026246719160105</v>
      </c>
      <c r="GC17" s="76">
        <f t="shared" si="126"/>
        <v>0.0416666666666667</v>
      </c>
      <c r="GD17" s="76">
        <f t="shared" si="126"/>
        <v>0.0543478260869565</v>
      </c>
      <c r="GE17" s="76">
        <f t="shared" si="126"/>
        <v>0.0700218818380744</v>
      </c>
      <c r="GF17" s="76">
        <f t="shared" si="126"/>
        <v>0.0575342465753425</v>
      </c>
      <c r="GG17" s="76">
        <f t="shared" si="126"/>
        <v>0.07202216066482</v>
      </c>
      <c r="GH17" s="76">
        <f t="shared" si="126"/>
        <v>0.0675324675324675</v>
      </c>
      <c r="GI17" s="76">
        <f t="shared" si="126"/>
        <v>0.0574018126888218</v>
      </c>
      <c r="GJ17" s="76">
        <f t="shared" ref="GJ17:GP17" si="127">GJ12/GJ10</f>
        <v>0.0464037122969838</v>
      </c>
      <c r="GK17" s="76">
        <f t="shared" si="127"/>
        <v>0.0512249443207127</v>
      </c>
      <c r="GL17" s="76">
        <f t="shared" si="127"/>
        <v>0.048689138576779</v>
      </c>
      <c r="GM17" s="76" t="e">
        <f t="shared" si="127"/>
        <v>#DIV/0!</v>
      </c>
      <c r="GN17" s="76" t="e">
        <f t="shared" si="127"/>
        <v>#DIV/0!</v>
      </c>
      <c r="GO17" s="76" t="e">
        <f t="shared" si="127"/>
        <v>#DIV/0!</v>
      </c>
      <c r="GP17" s="76" t="e">
        <f t="shared" si="127"/>
        <v>#DIV/0!</v>
      </c>
    </row>
    <row r="18" spans="1:198">
      <c r="A18" s="84"/>
      <c r="B18" s="67"/>
      <c r="C18" s="62" t="s">
        <v>29</v>
      </c>
      <c r="D18" s="75" t="e">
        <f>D14/D10</f>
        <v>#REF!</v>
      </c>
      <c r="E18" s="87"/>
      <c r="F18" s="87"/>
      <c r="G18" s="87"/>
      <c r="H18" s="87"/>
      <c r="I18" s="87"/>
      <c r="J18" s="87"/>
      <c r="K18" s="87"/>
      <c r="L18" s="87"/>
      <c r="M18" s="87"/>
      <c r="N18" s="87"/>
      <c r="O18" s="87"/>
      <c r="P18" s="87"/>
      <c r="Q18" s="77">
        <f>Q14/Q10</f>
        <v>0.0199481024975673</v>
      </c>
      <c r="R18" s="75">
        <f t="shared" ref="R18:BH18" si="128">R14/R10</f>
        <v>0.013986013986014</v>
      </c>
      <c r="S18" s="75">
        <f t="shared" si="128"/>
        <v>0.0159574468085106</v>
      </c>
      <c r="T18" s="75">
        <f t="shared" si="128"/>
        <v>0.00995024875621891</v>
      </c>
      <c r="U18" s="75">
        <f t="shared" si="128"/>
        <v>0.0378787878787879</v>
      </c>
      <c r="V18" s="75">
        <f t="shared" si="128"/>
        <v>0.00819672131147541</v>
      </c>
      <c r="W18" s="75">
        <f t="shared" si="128"/>
        <v>0.0153061224489796</v>
      </c>
      <c r="X18" s="75">
        <f t="shared" si="128"/>
        <v>0.00840336134453781</v>
      </c>
      <c r="Y18" s="75">
        <f t="shared" si="128"/>
        <v>0.0147058823529412</v>
      </c>
      <c r="Z18" s="75">
        <f t="shared" si="128"/>
        <v>0.0300429184549356</v>
      </c>
      <c r="AA18" s="75">
        <f t="shared" si="128"/>
        <v>0</v>
      </c>
      <c r="AB18" s="75">
        <f t="shared" si="128"/>
        <v>0.0130434782608696</v>
      </c>
      <c r="AC18" s="75">
        <f t="shared" si="128"/>
        <v>0.00432900432900433</v>
      </c>
      <c r="AD18" s="75">
        <f t="shared" si="128"/>
        <v>0.0228310502283105</v>
      </c>
      <c r="AE18" s="75">
        <f t="shared" si="128"/>
        <v>0.00377358490566038</v>
      </c>
      <c r="AF18" s="75">
        <f t="shared" si="128"/>
        <v>0</v>
      </c>
      <c r="AG18" s="75">
        <f t="shared" si="128"/>
        <v>0.00896860986547085</v>
      </c>
      <c r="AH18" s="75">
        <f t="shared" si="128"/>
        <v>0.0195121951219512</v>
      </c>
      <c r="AI18" s="75">
        <f t="shared" si="128"/>
        <v>0.0193236714975845</v>
      </c>
      <c r="AJ18" s="75">
        <f t="shared" si="128"/>
        <v>0.0159574468085106</v>
      </c>
      <c r="AK18" s="75">
        <f t="shared" si="128"/>
        <v>0.00763358778625954</v>
      </c>
      <c r="AL18" s="75">
        <f t="shared" si="128"/>
        <v>0.00840336134453781</v>
      </c>
      <c r="AM18" s="75">
        <f t="shared" si="128"/>
        <v>0.00714285714285714</v>
      </c>
      <c r="AN18" s="75">
        <f t="shared" si="128"/>
        <v>0.0333333333333333</v>
      </c>
      <c r="AO18" s="75">
        <f t="shared" si="128"/>
        <v>0.0822784810126582</v>
      </c>
      <c r="AP18" s="75">
        <f t="shared" si="128"/>
        <v>0.0675675675675676</v>
      </c>
      <c r="AQ18" s="75">
        <f t="shared" si="128"/>
        <v>0.0211267605633803</v>
      </c>
      <c r="AR18" s="75">
        <f t="shared" si="128"/>
        <v>0.00490196078431373</v>
      </c>
      <c r="AS18" s="75">
        <f t="shared" si="128"/>
        <v>0.0872093023255814</v>
      </c>
      <c r="AT18" s="75">
        <f t="shared" si="128"/>
        <v>0.0333333333333333</v>
      </c>
      <c r="AU18" s="75">
        <f t="shared" si="128"/>
        <v>0.0126582278481013</v>
      </c>
      <c r="AV18" s="75">
        <f t="shared" si="128"/>
        <v>0.0285714285714286</v>
      </c>
      <c r="AW18" s="77">
        <f t="shared" si="128"/>
        <v>0.0167521367521368</v>
      </c>
      <c r="AX18" s="75">
        <f t="shared" si="128"/>
        <v>0.0327102803738318</v>
      </c>
      <c r="AY18" s="75">
        <f t="shared" si="128"/>
        <v>0.0163934426229508</v>
      </c>
      <c r="AZ18" s="75">
        <f t="shared" si="128"/>
        <v>0.019047619047619</v>
      </c>
      <c r="BA18" s="75">
        <f t="shared" si="128"/>
        <v>0.0318725099601594</v>
      </c>
      <c r="BB18" s="75">
        <f t="shared" si="128"/>
        <v>0.0358744394618834</v>
      </c>
      <c r="BC18" s="75">
        <f t="shared" si="128"/>
        <v>0.0669456066945607</v>
      </c>
      <c r="BD18" s="75">
        <f t="shared" si="128"/>
        <v>0.0511363636363636</v>
      </c>
      <c r="BE18" s="75">
        <f t="shared" si="128"/>
        <v>0.0226244343891403</v>
      </c>
      <c r="BF18" s="75">
        <f t="shared" si="128"/>
        <v>0</v>
      </c>
      <c r="BG18" s="75">
        <f t="shared" si="128"/>
        <v>0.0190114068441065</v>
      </c>
      <c r="BH18" s="75">
        <f t="shared" si="128"/>
        <v>0.00505050505050505</v>
      </c>
      <c r="BI18" s="75">
        <f t="shared" ref="BI18:BW18" si="129">BI14/BI10</f>
        <v>0.00444444444444444</v>
      </c>
      <c r="BJ18" s="75">
        <f t="shared" si="129"/>
        <v>0.00416666666666667</v>
      </c>
      <c r="BK18" s="75">
        <f t="shared" si="129"/>
        <v>0.0171673819742489</v>
      </c>
      <c r="BL18" s="75">
        <f t="shared" si="129"/>
        <v>0.00529100529100529</v>
      </c>
      <c r="BM18" s="75">
        <f t="shared" si="129"/>
        <v>0</v>
      </c>
      <c r="BN18" s="75">
        <f t="shared" si="129"/>
        <v>0</v>
      </c>
      <c r="BO18" s="75">
        <f t="shared" si="129"/>
        <v>0</v>
      </c>
      <c r="BP18" s="75">
        <f t="shared" si="129"/>
        <v>0</v>
      </c>
      <c r="BQ18" s="75">
        <f t="shared" si="129"/>
        <v>0.00478468899521531</v>
      </c>
      <c r="BR18" s="75">
        <f t="shared" si="129"/>
        <v>0.0172413793103448</v>
      </c>
      <c r="BS18" s="75">
        <f t="shared" si="129"/>
        <v>0.0112994350282486</v>
      </c>
      <c r="BT18" s="75">
        <f t="shared" si="129"/>
        <v>0.00581395348837209</v>
      </c>
      <c r="BU18" s="75">
        <f t="shared" si="129"/>
        <v>0.0062111801242236</v>
      </c>
      <c r="BV18" s="75">
        <f t="shared" si="129"/>
        <v>0.0178571428571429</v>
      </c>
      <c r="BW18" s="75">
        <f t="shared" si="129"/>
        <v>0.0526315789473684</v>
      </c>
      <c r="BX18" s="75">
        <f t="shared" ref="BX18:CH18" si="130">BX14/BX10</f>
        <v>0</v>
      </c>
      <c r="BY18" s="75">
        <f t="shared" si="130"/>
        <v>0.00446428571428571</v>
      </c>
      <c r="BZ18" s="77">
        <f t="shared" si="130"/>
        <v>0.0167071688942892</v>
      </c>
      <c r="CA18" s="75">
        <f t="shared" si="130"/>
        <v>0.0163265306122449</v>
      </c>
      <c r="CB18" s="75">
        <f t="shared" si="130"/>
        <v>0.00448430493273543</v>
      </c>
      <c r="CC18" s="75">
        <f t="shared" si="130"/>
        <v>0.0169491525423729</v>
      </c>
      <c r="CD18" s="75">
        <f t="shared" si="130"/>
        <v>0.0271493212669683</v>
      </c>
      <c r="CE18" s="75">
        <f t="shared" si="130"/>
        <v>0.0114942528735632</v>
      </c>
      <c r="CF18" s="75">
        <f t="shared" si="130"/>
        <v>0.00694444444444444</v>
      </c>
      <c r="CG18" s="75">
        <f t="shared" si="130"/>
        <v>0.0130434782608696</v>
      </c>
      <c r="CH18" s="75">
        <f t="shared" si="130"/>
        <v>0.0261437908496732</v>
      </c>
      <c r="CI18" s="75">
        <f t="shared" ref="CI18:EH18" si="131">CI14/CI10</f>
        <v>0.0229885057471264</v>
      </c>
      <c r="CJ18" s="75">
        <f t="shared" si="131"/>
        <v>0.00675675675675676</v>
      </c>
      <c r="CK18" s="75">
        <f t="shared" si="131"/>
        <v>0.0251572327044025</v>
      </c>
      <c r="CL18" s="75">
        <f t="shared" si="131"/>
        <v>0.012779552715655</v>
      </c>
      <c r="CM18" s="75">
        <f t="shared" si="131"/>
        <v>0.0202020202020202</v>
      </c>
      <c r="CN18" s="75">
        <f t="shared" si="131"/>
        <v>0.0403225806451613</v>
      </c>
      <c r="CO18" s="75">
        <f t="shared" si="131"/>
        <v>0.0273972602739726</v>
      </c>
      <c r="CP18" s="75">
        <f t="shared" si="131"/>
        <v>0.0274914089347079</v>
      </c>
      <c r="CQ18" s="75">
        <f t="shared" si="131"/>
        <v>0.0262172284644195</v>
      </c>
      <c r="CR18" s="75">
        <f t="shared" si="131"/>
        <v>0.0383386581469649</v>
      </c>
      <c r="CS18" s="75">
        <f t="shared" si="131"/>
        <v>0.05</v>
      </c>
      <c r="CT18" s="75">
        <f t="shared" si="131"/>
        <v>0.0237388724035608</v>
      </c>
      <c r="CU18" s="75">
        <f t="shared" si="131"/>
        <v>0.00550964187327824</v>
      </c>
      <c r="CV18" s="75">
        <f t="shared" si="131"/>
        <v>0.00900900900900901</v>
      </c>
      <c r="CW18" s="75">
        <f t="shared" si="131"/>
        <v>0</v>
      </c>
      <c r="CX18" s="75">
        <f t="shared" si="131"/>
        <v>0.0196078431372549</v>
      </c>
      <c r="CY18" s="75">
        <f t="shared" si="131"/>
        <v>0.00689655172413793</v>
      </c>
      <c r="CZ18" s="75">
        <f t="shared" si="131"/>
        <v>0.0048780487804878</v>
      </c>
      <c r="DA18" s="75">
        <f t="shared" si="131"/>
        <v>0.0156739811912226</v>
      </c>
      <c r="DB18" s="75">
        <f t="shared" si="131"/>
        <v>0.00554016620498615</v>
      </c>
      <c r="DC18" s="75">
        <f t="shared" si="131"/>
        <v>0</v>
      </c>
      <c r="DD18" s="75">
        <f t="shared" si="131"/>
        <v>0.00549450549450549</v>
      </c>
      <c r="DE18" s="75">
        <f t="shared" si="131"/>
        <v>0.0138888888888889</v>
      </c>
      <c r="DF18" s="77">
        <f t="shared" si="131"/>
        <v>0.0111864129991018</v>
      </c>
      <c r="DG18" s="75">
        <f t="shared" si="131"/>
        <v>0.0108108108108108</v>
      </c>
      <c r="DH18" s="75">
        <f t="shared" si="131"/>
        <v>0.00983606557377049</v>
      </c>
      <c r="DI18" s="75">
        <f t="shared" si="131"/>
        <v>0.0113314447592068</v>
      </c>
      <c r="DJ18" s="75">
        <f t="shared" si="131"/>
        <v>0.00277777777777778</v>
      </c>
      <c r="DK18" s="75">
        <f t="shared" si="131"/>
        <v>0.0177514792899408</v>
      </c>
      <c r="DL18" s="75">
        <f t="shared" si="131"/>
        <v>0.00628930817610063</v>
      </c>
      <c r="DM18" s="75">
        <f t="shared" si="131"/>
        <v>0.0179948586118252</v>
      </c>
      <c r="DN18" s="75">
        <f t="shared" si="131"/>
        <v>0.00739371534195933</v>
      </c>
      <c r="DO18" s="75">
        <f t="shared" si="131"/>
        <v>0.0127504553734062</v>
      </c>
      <c r="DP18" s="75">
        <f t="shared" si="131"/>
        <v>0.00738916256157635</v>
      </c>
      <c r="DQ18" s="75">
        <f t="shared" si="131"/>
        <v>0.0119331742243437</v>
      </c>
      <c r="DR18" s="75">
        <f t="shared" si="131"/>
        <v>0.00749063670411985</v>
      </c>
      <c r="DS18" s="75">
        <f t="shared" si="131"/>
        <v>0.00642398286937901</v>
      </c>
      <c r="DT18" s="75">
        <f t="shared" si="131"/>
        <v>0.0238095238095238</v>
      </c>
      <c r="DU18" s="75">
        <f t="shared" si="131"/>
        <v>0.0223048327137546</v>
      </c>
      <c r="DV18" s="75">
        <f t="shared" si="131"/>
        <v>0.0192307692307692</v>
      </c>
      <c r="DW18" s="75">
        <f t="shared" si="131"/>
        <v>0.0220588235294118</v>
      </c>
      <c r="DX18" s="75">
        <f t="shared" si="131"/>
        <v>0.00840336134453781</v>
      </c>
      <c r="DY18" s="75">
        <f t="shared" si="131"/>
        <v>0.00294117647058824</v>
      </c>
      <c r="DZ18" s="75">
        <f t="shared" si="131"/>
        <v>0</v>
      </c>
      <c r="EA18" s="75">
        <f t="shared" si="131"/>
        <v>0.00938967136150235</v>
      </c>
      <c r="EB18" s="75">
        <f t="shared" si="131"/>
        <v>0.0334128878281623</v>
      </c>
      <c r="EC18" s="75">
        <f t="shared" si="131"/>
        <v>0.01417004048583</v>
      </c>
      <c r="ED18" s="75">
        <f t="shared" si="131"/>
        <v>0.0184563758389262</v>
      </c>
      <c r="EE18" s="75">
        <f t="shared" si="131"/>
        <v>0.00366300366300366</v>
      </c>
      <c r="EF18" s="75">
        <f t="shared" si="131"/>
        <v>0.00617283950617284</v>
      </c>
      <c r="EG18" s="75">
        <f t="shared" si="131"/>
        <v>0</v>
      </c>
      <c r="EH18" s="75">
        <f t="shared" si="131"/>
        <v>0.0105042016806723</v>
      </c>
      <c r="EI18" s="75">
        <f t="shared" ref="EI18:FM18" si="132">EI14/EI10</f>
        <v>0.018957345971564</v>
      </c>
      <c r="EJ18" s="75">
        <f t="shared" si="132"/>
        <v>0.0025062656641604</v>
      </c>
      <c r="EK18" s="77">
        <f t="shared" si="132"/>
        <v>0.00885323004564947</v>
      </c>
      <c r="EL18" s="75">
        <f t="shared" si="132"/>
        <v>0.00702576112412178</v>
      </c>
      <c r="EM18" s="75">
        <f t="shared" si="132"/>
        <v>0.00252525252525253</v>
      </c>
      <c r="EN18" s="75">
        <f t="shared" si="132"/>
        <v>0.00483091787439614</v>
      </c>
      <c r="EO18" s="75">
        <f t="shared" si="132"/>
        <v>0</v>
      </c>
      <c r="EP18" s="75">
        <f t="shared" si="132"/>
        <v>0.0462962962962963</v>
      </c>
      <c r="EQ18" s="75">
        <f t="shared" si="132"/>
        <v>0.0107816711590297</v>
      </c>
      <c r="ER18" s="75">
        <f t="shared" si="132"/>
        <v>0.00574712643678161</v>
      </c>
      <c r="ES18" s="75">
        <f t="shared" si="132"/>
        <v>0.00145560407569141</v>
      </c>
      <c r="ET18" s="75">
        <f t="shared" si="132"/>
        <v>0.00840336134453781</v>
      </c>
      <c r="EU18" s="75">
        <f t="shared" si="132"/>
        <v>0.00803212851405622</v>
      </c>
      <c r="EV18" s="75">
        <f t="shared" si="132"/>
        <v>0.00573065902578797</v>
      </c>
      <c r="EW18" s="75">
        <f t="shared" si="132"/>
        <v>0.00319488817891374</v>
      </c>
      <c r="EX18" s="75">
        <f t="shared" si="132"/>
        <v>0.0109649122807018</v>
      </c>
      <c r="EY18" s="75">
        <f t="shared" si="132"/>
        <v>0.00936768149882904</v>
      </c>
      <c r="EZ18" s="75">
        <f t="shared" si="132"/>
        <v>0.0201342281879195</v>
      </c>
      <c r="FA18" s="75">
        <f t="shared" si="132"/>
        <v>0.00462962962962963</v>
      </c>
      <c r="FB18" s="75">
        <f t="shared" si="132"/>
        <v>0.00717703349282297</v>
      </c>
      <c r="FC18" s="75">
        <f t="shared" si="132"/>
        <v>0.0093167701863354</v>
      </c>
      <c r="FD18" s="75">
        <f t="shared" si="132"/>
        <v>0.00919540229885057</v>
      </c>
      <c r="FE18" s="75">
        <f t="shared" si="132"/>
        <v>0.0196506550218341</v>
      </c>
      <c r="FF18" s="75">
        <f t="shared" si="132"/>
        <v>0.00815217391304348</v>
      </c>
      <c r="FG18" s="75">
        <f t="shared" si="132"/>
        <v>0.00759493670886076</v>
      </c>
      <c r="FH18" s="75">
        <f t="shared" si="132"/>
        <v>0.0238095238095238</v>
      </c>
      <c r="FI18" s="75">
        <f t="shared" si="132"/>
        <v>0.00892857142857143</v>
      </c>
      <c r="FJ18" s="75">
        <f t="shared" si="132"/>
        <v>0.0091533180778032</v>
      </c>
      <c r="FK18" s="75">
        <f t="shared" si="132"/>
        <v>0.0045766590389016</v>
      </c>
      <c r="FL18" s="75">
        <f t="shared" si="132"/>
        <v>0.0069284064665127</v>
      </c>
      <c r="FM18" s="75">
        <f t="shared" si="132"/>
        <v>0.01</v>
      </c>
      <c r="FN18" s="75">
        <f t="shared" ref="FN18:GI18" si="133">FN14/FN10</f>
        <v>0.00583090379008746</v>
      </c>
      <c r="FO18" s="75">
        <f t="shared" si="133"/>
        <v>0.00285714285714286</v>
      </c>
      <c r="FP18" s="75">
        <f t="shared" si="133"/>
        <v>0.00185185185185185</v>
      </c>
      <c r="FQ18" s="77">
        <f t="shared" si="133"/>
        <v>0.0125914378222808</v>
      </c>
      <c r="FR18" s="75">
        <f t="shared" si="133"/>
        <v>0.00831024930747922</v>
      </c>
      <c r="FS18" s="75">
        <f t="shared" si="133"/>
        <v>0.0158730158730159</v>
      </c>
      <c r="FT18" s="75">
        <f t="shared" si="133"/>
        <v>0.0271186440677966</v>
      </c>
      <c r="FU18" s="75">
        <f t="shared" si="133"/>
        <v>0.0162162162162162</v>
      </c>
      <c r="FV18" s="75">
        <f t="shared" si="133"/>
        <v>0.0280898876404494</v>
      </c>
      <c r="FW18" s="75">
        <f t="shared" si="133"/>
        <v>0.0151187904967603</v>
      </c>
      <c r="FX18" s="75">
        <f t="shared" si="133"/>
        <v>0.0152963671128107</v>
      </c>
      <c r="FY18" s="75">
        <f t="shared" si="133"/>
        <v>0.0169082125603865</v>
      </c>
      <c r="FZ18" s="75">
        <f t="shared" si="133"/>
        <v>0.0150753768844221</v>
      </c>
      <c r="GA18" s="75">
        <f t="shared" si="133"/>
        <v>0.00248756218905473</v>
      </c>
      <c r="GB18" s="75">
        <f t="shared" si="133"/>
        <v>0.005249343832021</v>
      </c>
      <c r="GC18" s="75">
        <f t="shared" si="133"/>
        <v>0.0104166666666667</v>
      </c>
      <c r="GD18" s="75">
        <f t="shared" si="133"/>
        <v>0.0195652173913043</v>
      </c>
      <c r="GE18" s="75">
        <f t="shared" si="133"/>
        <v>0.0131291028446389</v>
      </c>
      <c r="GF18" s="75">
        <f t="shared" si="133"/>
        <v>0.0136986301369863</v>
      </c>
      <c r="GG18" s="75">
        <f t="shared" si="133"/>
        <v>0.0193905817174515</v>
      </c>
      <c r="GH18" s="75">
        <f t="shared" si="133"/>
        <v>0.0103896103896104</v>
      </c>
      <c r="GI18" s="75">
        <f t="shared" si="133"/>
        <v>0.0120845921450151</v>
      </c>
      <c r="GJ18" s="75">
        <f t="shared" ref="GJ18:GP18" si="134">GJ14/GJ10</f>
        <v>0.00464037122969838</v>
      </c>
      <c r="GK18" s="75">
        <f t="shared" si="134"/>
        <v>0.0044543429844098</v>
      </c>
      <c r="GL18" s="75">
        <f t="shared" si="134"/>
        <v>0</v>
      </c>
      <c r="GM18" s="75" t="e">
        <f t="shared" si="134"/>
        <v>#DIV/0!</v>
      </c>
      <c r="GN18" s="75" t="e">
        <f t="shared" si="134"/>
        <v>#DIV/0!</v>
      </c>
      <c r="GO18" s="75" t="e">
        <f t="shared" si="134"/>
        <v>#DIV/0!</v>
      </c>
      <c r="GP18" s="75" t="e">
        <f t="shared" si="134"/>
        <v>#DIV/0!</v>
      </c>
    </row>
    <row r="19" ht="15.6" spans="1:198">
      <c r="B19" s="67"/>
      <c r="C19" s="88" t="s">
        <v>30</v>
      </c>
      <c r="D19" s="89" t="e">
        <f>D14/D12</f>
        <v>#REF!</v>
      </c>
      <c r="E19" s="87"/>
      <c r="F19" s="87"/>
      <c r="G19" s="87"/>
      <c r="H19" s="87"/>
      <c r="I19" s="87"/>
      <c r="J19" s="87"/>
      <c r="K19" s="87"/>
      <c r="L19" s="87"/>
      <c r="M19" s="87"/>
      <c r="N19" s="87"/>
      <c r="O19" s="87"/>
      <c r="P19" s="87"/>
      <c r="Q19" s="90">
        <f>Q14/Q12</f>
        <v>0.214659685863874</v>
      </c>
      <c r="R19" s="89">
        <f t="shared" ref="R19:BH19" si="135">R14/R12</f>
        <v>0.181818181818182</v>
      </c>
      <c r="S19" s="89">
        <f t="shared" si="135"/>
        <v>0.176470588235294</v>
      </c>
      <c r="T19" s="89">
        <f t="shared" si="135"/>
        <v>0.181818181818182</v>
      </c>
      <c r="U19" s="89">
        <f t="shared" si="135"/>
        <v>0.588235294117647</v>
      </c>
      <c r="V19" s="89">
        <f t="shared" si="135"/>
        <v>0.117647058823529</v>
      </c>
      <c r="W19" s="89">
        <f t="shared" si="135"/>
        <v>0.176470588235294</v>
      </c>
      <c r="X19" s="89">
        <f t="shared" si="135"/>
        <v>0.111111111111111</v>
      </c>
      <c r="Y19" s="89">
        <f t="shared" si="135"/>
        <v>0.15</v>
      </c>
      <c r="Z19" s="89">
        <f t="shared" si="135"/>
        <v>0.368421052631579</v>
      </c>
      <c r="AA19" s="89">
        <f t="shared" si="135"/>
        <v>0</v>
      </c>
      <c r="AB19" s="89">
        <f t="shared" si="135"/>
        <v>0.157894736842105</v>
      </c>
      <c r="AC19" s="89">
        <f t="shared" si="135"/>
        <v>0.0526315789473684</v>
      </c>
      <c r="AD19" s="89">
        <f t="shared" si="135"/>
        <v>0.192307692307692</v>
      </c>
      <c r="AE19" s="89">
        <f t="shared" si="135"/>
        <v>0.142857142857143</v>
      </c>
      <c r="AF19" s="89">
        <f t="shared" si="135"/>
        <v>0</v>
      </c>
      <c r="AG19" s="89">
        <f t="shared" si="135"/>
        <v>0.1</v>
      </c>
      <c r="AH19" s="89">
        <f t="shared" si="135"/>
        <v>0.285714285714286</v>
      </c>
      <c r="AI19" s="89">
        <f t="shared" si="135"/>
        <v>0.363636363636364</v>
      </c>
      <c r="AJ19" s="89">
        <f t="shared" si="135"/>
        <v>0.25</v>
      </c>
      <c r="AK19" s="89">
        <f t="shared" si="135"/>
        <v>0.125</v>
      </c>
      <c r="AL19" s="89">
        <f t="shared" si="135"/>
        <v>0.0666666666666667</v>
      </c>
      <c r="AM19" s="89">
        <f t="shared" si="135"/>
        <v>0.0769230769230769</v>
      </c>
      <c r="AN19" s="89">
        <f t="shared" si="135"/>
        <v>0.315789473684211</v>
      </c>
      <c r="AO19" s="89">
        <f t="shared" si="135"/>
        <v>0.342105263157895</v>
      </c>
      <c r="AP19" s="89">
        <f t="shared" si="135"/>
        <v>0.434782608695652</v>
      </c>
      <c r="AQ19" s="89">
        <f t="shared" si="135"/>
        <v>0.272727272727273</v>
      </c>
      <c r="AR19" s="89">
        <f t="shared" si="135"/>
        <v>0.04</v>
      </c>
      <c r="AS19" s="89">
        <f t="shared" si="135"/>
        <v>0.333333333333333</v>
      </c>
      <c r="AT19" s="89">
        <f t="shared" si="135"/>
        <v>0.388888888888889</v>
      </c>
      <c r="AU19" s="89">
        <f t="shared" si="135"/>
        <v>0.130434782608696</v>
      </c>
      <c r="AV19" s="89">
        <f t="shared" si="135"/>
        <v>0.208333333333333</v>
      </c>
      <c r="AW19" s="90">
        <f t="shared" si="135"/>
        <v>0.189189189189189</v>
      </c>
      <c r="AX19" s="89">
        <f t="shared" si="135"/>
        <v>0.189189189189189</v>
      </c>
      <c r="AY19" s="89">
        <f t="shared" si="135"/>
        <v>0.235294117647059</v>
      </c>
      <c r="AZ19" s="89">
        <f t="shared" si="135"/>
        <v>0.173913043478261</v>
      </c>
      <c r="BA19" s="89">
        <f t="shared" si="135"/>
        <v>0.666666666666667</v>
      </c>
      <c r="BB19" s="89">
        <f t="shared" si="135"/>
        <v>0.421052631578947</v>
      </c>
      <c r="BC19" s="89">
        <f t="shared" si="135"/>
        <v>0.313725490196078</v>
      </c>
      <c r="BD19" s="89">
        <f t="shared" si="135"/>
        <v>0.36</v>
      </c>
      <c r="BE19" s="89">
        <f t="shared" si="135"/>
        <v>0.138888888888889</v>
      </c>
      <c r="BF19" s="89">
        <f t="shared" si="135"/>
        <v>0</v>
      </c>
      <c r="BG19" s="89">
        <f t="shared" si="135"/>
        <v>0.166666666666667</v>
      </c>
      <c r="BH19" s="89">
        <f t="shared" si="135"/>
        <v>0.0588235294117647</v>
      </c>
      <c r="BI19" s="89">
        <f t="shared" ref="BI19:BW19" si="136">BI14/BI12</f>
        <v>0.0833333333333333</v>
      </c>
      <c r="BJ19" s="89">
        <f t="shared" si="136"/>
        <v>0.0833333333333333</v>
      </c>
      <c r="BK19" s="89">
        <f t="shared" si="136"/>
        <v>0.333333333333333</v>
      </c>
      <c r="BL19" s="89">
        <f t="shared" si="136"/>
        <v>0.0625</v>
      </c>
      <c r="BM19" s="89">
        <f t="shared" si="136"/>
        <v>0</v>
      </c>
      <c r="BN19" s="89">
        <f t="shared" si="136"/>
        <v>0</v>
      </c>
      <c r="BO19" s="89">
        <f t="shared" si="136"/>
        <v>0</v>
      </c>
      <c r="BP19" s="89">
        <f t="shared" si="136"/>
        <v>0</v>
      </c>
      <c r="BQ19" s="89">
        <f t="shared" si="136"/>
        <v>0.0833333333333333</v>
      </c>
      <c r="BR19" s="89">
        <f t="shared" si="136"/>
        <v>0.157894736842105</v>
      </c>
      <c r="BS19" s="89">
        <f t="shared" si="136"/>
        <v>0.0952380952380952</v>
      </c>
      <c r="BT19" s="89">
        <f t="shared" si="136"/>
        <v>0.0769230769230769</v>
      </c>
      <c r="BU19" s="89">
        <f t="shared" si="136"/>
        <v>0.0769230769230769</v>
      </c>
      <c r="BV19" s="89">
        <f t="shared" si="136"/>
        <v>0.210526315789474</v>
      </c>
      <c r="BW19" s="89">
        <f t="shared" si="136"/>
        <v>0.366666666666667</v>
      </c>
      <c r="BX19" s="89">
        <f t="shared" ref="BX19:CH19" si="137">BX14/BX12</f>
        <v>0</v>
      </c>
      <c r="BY19" s="89">
        <f t="shared" si="137"/>
        <v>0.0666666666666667</v>
      </c>
      <c r="BZ19" s="90">
        <f t="shared" si="137"/>
        <v>0.17590618336887</v>
      </c>
      <c r="CA19" s="89">
        <f t="shared" si="137"/>
        <v>0.181818181818182</v>
      </c>
      <c r="CB19" s="89">
        <f t="shared" si="137"/>
        <v>0.0588235294117647</v>
      </c>
      <c r="CC19" s="89">
        <f t="shared" si="137"/>
        <v>0.142857142857143</v>
      </c>
      <c r="CD19" s="89">
        <f t="shared" si="137"/>
        <v>0.24</v>
      </c>
      <c r="CE19" s="89">
        <f t="shared" si="137"/>
        <v>0.173913043478261</v>
      </c>
      <c r="CF19" s="89">
        <f t="shared" si="137"/>
        <v>0.181818181818182</v>
      </c>
      <c r="CG19" s="89">
        <f t="shared" si="137"/>
        <v>0.111111111111111</v>
      </c>
      <c r="CH19" s="89">
        <f t="shared" si="137"/>
        <v>0.115942028985507</v>
      </c>
      <c r="CI19" s="89">
        <f t="shared" ref="CI19:EH19" si="138">CI14/CI12</f>
        <v>0.146341463414634</v>
      </c>
      <c r="CJ19" s="89">
        <f t="shared" si="138"/>
        <v>0.0476190476190476</v>
      </c>
      <c r="CK19" s="89">
        <f t="shared" si="138"/>
        <v>0.181818181818182</v>
      </c>
      <c r="CL19" s="89">
        <f t="shared" si="138"/>
        <v>0.0952380952380952</v>
      </c>
      <c r="CM19" s="89">
        <f t="shared" si="138"/>
        <v>0.13953488372093</v>
      </c>
      <c r="CN19" s="89">
        <f t="shared" si="138"/>
        <v>0.234375</v>
      </c>
      <c r="CO19" s="89">
        <f t="shared" si="138"/>
        <v>0.296296296296296</v>
      </c>
      <c r="CP19" s="89">
        <f t="shared" si="138"/>
        <v>0.25</v>
      </c>
      <c r="CQ19" s="89">
        <f t="shared" si="138"/>
        <v>0.179487179487179</v>
      </c>
      <c r="CR19" s="89">
        <f t="shared" si="138"/>
        <v>0.387096774193548</v>
      </c>
      <c r="CS19" s="89">
        <f t="shared" si="138"/>
        <v>0.293103448275862</v>
      </c>
      <c r="CT19" s="89">
        <f t="shared" si="138"/>
        <v>0.222222222222222</v>
      </c>
      <c r="CU19" s="89">
        <f t="shared" si="138"/>
        <v>0.0625</v>
      </c>
      <c r="CV19" s="89">
        <f t="shared" si="138"/>
        <v>0.0882352941176471</v>
      </c>
      <c r="CW19" s="89">
        <f t="shared" si="138"/>
        <v>0</v>
      </c>
      <c r="CX19" s="89">
        <f t="shared" si="138"/>
        <v>0.19047619047619</v>
      </c>
      <c r="CY19" s="89">
        <f t="shared" si="138"/>
        <v>0.3</v>
      </c>
      <c r="CZ19" s="89">
        <f t="shared" si="138"/>
        <v>0.133333333333333</v>
      </c>
      <c r="DA19" s="89">
        <f t="shared" si="138"/>
        <v>0.294117647058824</v>
      </c>
      <c r="DB19" s="89">
        <f t="shared" si="138"/>
        <v>0.117647058823529</v>
      </c>
      <c r="DC19" s="89">
        <f t="shared" si="138"/>
        <v>0</v>
      </c>
      <c r="DD19" s="89">
        <f t="shared" si="138"/>
        <v>0.181818181818182</v>
      </c>
      <c r="DE19" s="89">
        <f t="shared" si="138"/>
        <v>0.357142857142857</v>
      </c>
      <c r="DF19" s="90">
        <f t="shared" si="138"/>
        <v>0.262452107279693</v>
      </c>
      <c r="DG19" s="89">
        <f t="shared" si="138"/>
        <v>0.4</v>
      </c>
      <c r="DH19" s="89">
        <f t="shared" si="138"/>
        <v>0.25</v>
      </c>
      <c r="DI19" s="89">
        <f t="shared" si="138"/>
        <v>0.4</v>
      </c>
      <c r="DJ19" s="89">
        <f t="shared" si="138"/>
        <v>0.111111111111111</v>
      </c>
      <c r="DK19" s="89">
        <f t="shared" si="138"/>
        <v>0.375</v>
      </c>
      <c r="DL19" s="89">
        <f t="shared" si="138"/>
        <v>0.133333333333333</v>
      </c>
      <c r="DM19" s="89">
        <f t="shared" si="138"/>
        <v>0.4375</v>
      </c>
      <c r="DN19" s="89">
        <f t="shared" si="138"/>
        <v>0.173913043478261</v>
      </c>
      <c r="DO19" s="89">
        <f t="shared" si="138"/>
        <v>0.304347826086957</v>
      </c>
      <c r="DP19" s="89">
        <f t="shared" si="138"/>
        <v>0.5</v>
      </c>
      <c r="DQ19" s="89">
        <f t="shared" si="138"/>
        <v>0.25</v>
      </c>
      <c r="DR19" s="89">
        <f t="shared" si="138"/>
        <v>0.25</v>
      </c>
      <c r="DS19" s="89">
        <f t="shared" si="138"/>
        <v>0.3</v>
      </c>
      <c r="DT19" s="89">
        <f t="shared" si="138"/>
        <v>0.3</v>
      </c>
      <c r="DU19" s="89">
        <f t="shared" si="138"/>
        <v>0.352941176470588</v>
      </c>
      <c r="DV19" s="89">
        <f t="shared" si="138"/>
        <v>0.290322580645161</v>
      </c>
      <c r="DW19" s="89">
        <f t="shared" si="138"/>
        <v>0.333333333333333</v>
      </c>
      <c r="DX19" s="89">
        <f t="shared" si="138"/>
        <v>0.142857142857143</v>
      </c>
      <c r="DY19" s="89">
        <f t="shared" si="138"/>
        <v>0.0555555555555556</v>
      </c>
      <c r="DZ19" s="89">
        <f t="shared" si="138"/>
        <v>0</v>
      </c>
      <c r="EA19" s="89">
        <f t="shared" si="138"/>
        <v>0.181818181818182</v>
      </c>
      <c r="EB19" s="89">
        <f t="shared" si="138"/>
        <v>0.358974358974359</v>
      </c>
      <c r="EC19" s="89">
        <f t="shared" si="138"/>
        <v>0.25</v>
      </c>
      <c r="ED19" s="89">
        <f t="shared" si="138"/>
        <v>0.392857142857143</v>
      </c>
      <c r="EE19" s="89">
        <f t="shared" si="138"/>
        <v>0.136363636363636</v>
      </c>
      <c r="EF19" s="89">
        <f t="shared" si="138"/>
        <v>0.176470588235294</v>
      </c>
      <c r="EG19" s="89">
        <f t="shared" si="138"/>
        <v>0</v>
      </c>
      <c r="EH19" s="89">
        <f t="shared" si="138"/>
        <v>0.357142857142857</v>
      </c>
      <c r="EI19" s="89">
        <f t="shared" ref="EI19:FM19" si="139">EI14/EI12</f>
        <v>0.347826086956522</v>
      </c>
      <c r="EJ19" s="89">
        <f t="shared" si="139"/>
        <v>0.0666666666666667</v>
      </c>
      <c r="EK19" s="90">
        <f t="shared" si="139"/>
        <v>0.20414673046252</v>
      </c>
      <c r="EL19" s="89">
        <f t="shared" si="139"/>
        <v>0.166666666666667</v>
      </c>
      <c r="EM19" s="89">
        <f t="shared" si="139"/>
        <v>0.111111111111111</v>
      </c>
      <c r="EN19" s="89">
        <f t="shared" si="139"/>
        <v>0.153846153846154</v>
      </c>
      <c r="EO19" s="89">
        <f t="shared" si="139"/>
        <v>0</v>
      </c>
      <c r="EP19" s="89">
        <f t="shared" si="139"/>
        <v>0.571428571428571</v>
      </c>
      <c r="EQ19" s="89">
        <f t="shared" si="139"/>
        <v>0.210526315789474</v>
      </c>
      <c r="ER19" s="89">
        <f t="shared" si="139"/>
        <v>0.0714285714285714</v>
      </c>
      <c r="ES19" s="89">
        <f t="shared" si="139"/>
        <v>0.0666666666666667</v>
      </c>
      <c r="ET19" s="89">
        <f t="shared" si="139"/>
        <v>0.291666666666667</v>
      </c>
      <c r="EU19" s="89">
        <f t="shared" si="139"/>
        <v>0.260869565217391</v>
      </c>
      <c r="EV19" s="89">
        <f t="shared" si="139"/>
        <v>0.166666666666667</v>
      </c>
      <c r="EW19" s="89">
        <f t="shared" si="139"/>
        <v>0.0666666666666667</v>
      </c>
      <c r="EX19" s="89">
        <f t="shared" si="139"/>
        <v>0.208333333333333</v>
      </c>
      <c r="EY19" s="89">
        <f t="shared" si="139"/>
        <v>0.19047619047619</v>
      </c>
      <c r="EZ19" s="89">
        <f t="shared" si="139"/>
        <v>0.285714285714286</v>
      </c>
      <c r="FA19" s="89">
        <f t="shared" si="139"/>
        <v>0.117647058823529</v>
      </c>
      <c r="FB19" s="89">
        <f t="shared" si="139"/>
        <v>0.176470588235294</v>
      </c>
      <c r="FC19" s="89">
        <f t="shared" si="139"/>
        <v>0.15</v>
      </c>
      <c r="FD19" s="75">
        <f t="shared" si="139"/>
        <v>0.444444444444444</v>
      </c>
      <c r="FE19" s="75">
        <f t="shared" si="139"/>
        <v>0.45</v>
      </c>
      <c r="FF19" s="75">
        <f t="shared" si="139"/>
        <v>0.2</v>
      </c>
      <c r="FG19" s="75">
        <f t="shared" si="139"/>
        <v>0.15</v>
      </c>
      <c r="FH19" s="75">
        <f t="shared" si="139"/>
        <v>0.379310344827586</v>
      </c>
      <c r="FI19" s="75">
        <f t="shared" si="139"/>
        <v>0.208333333333333</v>
      </c>
      <c r="FJ19" s="75">
        <f t="shared" si="139"/>
        <v>0.166666666666667</v>
      </c>
      <c r="FK19" s="75">
        <f t="shared" si="139"/>
        <v>0.153846153846154</v>
      </c>
      <c r="FL19" s="75">
        <f t="shared" si="139"/>
        <v>0.136363636363636</v>
      </c>
      <c r="FM19" s="75">
        <f t="shared" si="139"/>
        <v>0.192307692307692</v>
      </c>
      <c r="FN19" s="75">
        <f t="shared" ref="FN19:GI19" si="140">FN14/FN12</f>
        <v>0.133333333333333</v>
      </c>
      <c r="FO19" s="75">
        <f t="shared" si="140"/>
        <v>0.0714285714285714</v>
      </c>
      <c r="FP19" s="75">
        <f t="shared" si="140"/>
        <v>0.0434782608695652</v>
      </c>
      <c r="FQ19" s="90">
        <f t="shared" si="140"/>
        <v>0.245327102803738</v>
      </c>
      <c r="FR19" s="75">
        <f t="shared" si="140"/>
        <v>0.25</v>
      </c>
      <c r="FS19" s="75">
        <f t="shared" si="140"/>
        <v>0.416666666666667</v>
      </c>
      <c r="FT19" s="75">
        <f t="shared" si="140"/>
        <v>0.4</v>
      </c>
      <c r="FU19" s="75">
        <f t="shared" si="140"/>
        <v>0.4</v>
      </c>
      <c r="FV19" s="75">
        <f t="shared" si="140"/>
        <v>0.666666666666667</v>
      </c>
      <c r="FW19" s="75">
        <f t="shared" si="140"/>
        <v>0.35</v>
      </c>
      <c r="FX19" s="75">
        <f t="shared" si="140"/>
        <v>0.25</v>
      </c>
      <c r="FY19" s="75">
        <f t="shared" si="140"/>
        <v>0.304347826086957</v>
      </c>
      <c r="FZ19" s="75">
        <f t="shared" si="140"/>
        <v>0.25</v>
      </c>
      <c r="GA19" s="75">
        <f t="shared" si="140"/>
        <v>0.0666666666666667</v>
      </c>
      <c r="GB19" s="75">
        <f t="shared" si="140"/>
        <v>0.2</v>
      </c>
      <c r="GC19" s="75">
        <f t="shared" si="140"/>
        <v>0.25</v>
      </c>
      <c r="GD19" s="75">
        <f t="shared" si="140"/>
        <v>0.36</v>
      </c>
      <c r="GE19" s="75">
        <f t="shared" si="140"/>
        <v>0.1875</v>
      </c>
      <c r="GF19" s="75">
        <f t="shared" si="140"/>
        <v>0.238095238095238</v>
      </c>
      <c r="GG19" s="75">
        <f t="shared" si="140"/>
        <v>0.269230769230769</v>
      </c>
      <c r="GH19" s="75">
        <f t="shared" si="140"/>
        <v>0.153846153846154</v>
      </c>
      <c r="GI19" s="75">
        <f t="shared" si="140"/>
        <v>0.210526315789474</v>
      </c>
      <c r="GJ19" s="75">
        <f t="shared" ref="GJ19:GP19" si="141">GJ14/GJ12</f>
        <v>0.1</v>
      </c>
      <c r="GK19" s="75">
        <f t="shared" si="141"/>
        <v>0.0869565217391304</v>
      </c>
      <c r="GL19" s="75">
        <f t="shared" si="141"/>
        <v>0</v>
      </c>
      <c r="GM19" s="75" t="e">
        <f t="shared" si="141"/>
        <v>#DIV/0!</v>
      </c>
      <c r="GN19" s="75" t="e">
        <f t="shared" si="141"/>
        <v>#DIV/0!</v>
      </c>
      <c r="GO19" s="75" t="e">
        <f t="shared" si="141"/>
        <v>#DIV/0!</v>
      </c>
      <c r="GP19" s="75" t="e">
        <f t="shared" si="141"/>
        <v>#DIV/0!</v>
      </c>
    </row>
    <row r="20" customHeight="1" spans="1:198">
      <c r="A20" s="91" t="s">
        <v>31</v>
      </c>
      <c r="B20" s="92" t="s">
        <v>32</v>
      </c>
      <c r="C20" s="93" t="s">
        <v>12</v>
      </c>
      <c r="D20" s="94" t="e">
        <f>SUM(E20:P20)</f>
        <v>#REF!</v>
      </c>
      <c r="E20" s="95" t="e">
        <f>#REF!</f>
        <v>#REF!</v>
      </c>
      <c r="F20" s="95" t="e">
        <f>#REF!</f>
        <v>#REF!</v>
      </c>
      <c r="G20" s="95" t="e">
        <f>#REF!</f>
        <v>#REF!</v>
      </c>
      <c r="H20" s="95" t="e">
        <f>#REF!</f>
        <v>#REF!</v>
      </c>
      <c r="I20" s="95" t="e">
        <f>#REF!</f>
        <v>#REF!</v>
      </c>
      <c r="J20" s="95" t="e">
        <f>#REF!</f>
        <v>#REF!</v>
      </c>
      <c r="K20" s="95" t="e">
        <f>#REF!</f>
        <v>#REF!</v>
      </c>
      <c r="L20" s="95" t="e">
        <f>#REF!</f>
        <v>#REF!</v>
      </c>
      <c r="M20" s="95" t="e">
        <f>#REF!</f>
        <v>#REF!</v>
      </c>
      <c r="N20" s="95" t="e">
        <f>#REF!</f>
        <v>#REF!</v>
      </c>
      <c r="O20" s="95" t="e">
        <f>#REF!</f>
        <v>#REF!</v>
      </c>
      <c r="P20" s="95" t="e">
        <f>#REF!</f>
        <v>#REF!</v>
      </c>
      <c r="Q20" s="65">
        <f>SUM(R20:AV20)</f>
        <v>264.98</v>
      </c>
      <c r="R20" s="95">
        <f>SUMIFS(营销场景数据源!$H:$H,营销场景数据源!$C:$C,$B$20,营销场景数据源!$A:$A,R2)</f>
        <v>0</v>
      </c>
      <c r="S20" s="95">
        <f>SUMIFS(营销场景数据源!$H:$H,营销场景数据源!$C:$C,$B$20,营销场景数据源!$A:$A,S2)</f>
        <v>0</v>
      </c>
      <c r="T20" s="95">
        <f>SUMIFS(营销场景数据源!$H:$H,营销场景数据源!$C:$C,$B$20,营销场景数据源!$A:$A,T2)</f>
        <v>0</v>
      </c>
      <c r="U20" s="95">
        <f>SUMIFS(营销场景数据源!$H:$H,营销场景数据源!$C:$C,$B$20,营销场景数据源!$A:$A,U2)</f>
        <v>0</v>
      </c>
      <c r="V20" s="95">
        <f>SUMIFS(营销场景数据源!$H:$H,营销场景数据源!$C:$C,$B$20,营销场景数据源!$A:$A,V2)</f>
        <v>0</v>
      </c>
      <c r="W20" s="95">
        <f>SUMIFS(营销场景数据源!$H:$H,营销场景数据源!$C:$C,$B$20,营销场景数据源!$A:$A,W2)</f>
        <v>0</v>
      </c>
      <c r="X20" s="95">
        <f>SUMIFS(营销场景数据源!$H:$H,营销场景数据源!$C:$C,$B$20,营销场景数据源!$A:$A,X2)</f>
        <v>0</v>
      </c>
      <c r="Y20" s="95">
        <f>SUMIFS(营销场景数据源!$H:$H,营销场景数据源!$C:$C,$B$20,营销场景数据源!$A:$A,Y2)</f>
        <v>0</v>
      </c>
      <c r="Z20" s="95">
        <f>SUMIFS(营销场景数据源!$H:$H,营销场景数据源!$C:$C,$B$20,营销场景数据源!$A:$A,Z2)</f>
        <v>0</v>
      </c>
      <c r="AA20" s="95">
        <f>SUMIFS(营销场景数据源!$H:$H,营销场景数据源!$C:$C,$B$20,营销场景数据源!$A:$A,AA2)</f>
        <v>0</v>
      </c>
      <c r="AB20" s="95">
        <f>SUMIFS(营销场景数据源!$H:$H,营销场景数据源!$C:$C,$B$20,营销场景数据源!$A:$A,AB2)</f>
        <v>0</v>
      </c>
      <c r="AC20" s="95">
        <f>SUMIFS(营销场景数据源!$H:$H,营销场景数据源!$C:$C,$B$20,营销场景数据源!$A:$A,AC2)</f>
        <v>0</v>
      </c>
      <c r="AD20" s="95">
        <f>SUMIFS(营销场景数据源!$H:$H,营销场景数据源!$C:$C,$B$20,营销场景数据源!$A:$A,AD2)</f>
        <v>0</v>
      </c>
      <c r="AE20" s="95">
        <f>SUMIFS(营销场景数据源!$H:$H,营销场景数据源!$C:$C,$B$20,营销场景数据源!$A:$A,AE2)</f>
        <v>0</v>
      </c>
      <c r="AF20" s="95">
        <f>SUMIFS(营销场景数据源!$H:$H,营销场景数据源!$C:$C,$B$20,营销场景数据源!$A:$A,AF2)</f>
        <v>0</v>
      </c>
      <c r="AG20" s="95">
        <f>SUMIFS(营销场景数据源!$H:$H,营销场景数据源!$C:$C,$B$20,营销场景数据源!$A:$A,AG2)</f>
        <v>0</v>
      </c>
      <c r="AH20" s="95">
        <f>SUMIFS(营销场景数据源!$H:$H,营销场景数据源!$C:$C,$B$20,营销场景数据源!$A:$A,AH2)</f>
        <v>0</v>
      </c>
      <c r="AI20" s="95">
        <f>SUMIFS(营销场景数据源!$H:$H,营销场景数据源!$C:$C,$B$20,营销场景数据源!$A:$A,AI2)</f>
        <v>0</v>
      </c>
      <c r="AJ20" s="95">
        <f>SUMIFS(营销场景数据源!$H:$H,营销场景数据源!$C:$C,$B$20,营销场景数据源!$A:$A,AJ2)</f>
        <v>0</v>
      </c>
      <c r="AK20" s="95">
        <f>SUMIFS(营销场景数据源!$H:$H,营销场景数据源!$C:$C,$B$20,营销场景数据源!$A:$A,AK2)</f>
        <v>0</v>
      </c>
      <c r="AL20" s="95">
        <f>SUMIFS(营销场景数据源!$H:$H,营销场景数据源!$C:$C,$B$20,营销场景数据源!$A:$A,AL2)</f>
        <v>0</v>
      </c>
      <c r="AM20" s="95">
        <f>SUMIFS(营销场景数据源!$H:$H,营销场景数据源!$C:$C,$B$20,营销场景数据源!$A:$A,AM2)</f>
        <v>30</v>
      </c>
      <c r="AN20" s="95">
        <f>SUMIFS(营销场景数据源!$H:$H,营销场景数据源!$C:$C,$B$20,营销场景数据源!$A:$A,AN2)</f>
        <v>30</v>
      </c>
      <c r="AO20" s="95">
        <f>SUMIFS(营销场景数据源!$H:$H,营销场景数据源!$C:$C,$B$20,营销场景数据源!$A:$A,AO2)</f>
        <v>30</v>
      </c>
      <c r="AP20" s="95">
        <f>SUMIFS(营销场景数据源!$H:$H,营销场景数据源!$C:$C,$B$20,营销场景数据源!$A:$A,AP2)</f>
        <v>30</v>
      </c>
      <c r="AQ20" s="95">
        <f>SUMIFS(营销场景数据源!$H:$H,营销场景数据源!$C:$C,$B$20,营销场景数据源!$A:$A,AQ2)</f>
        <v>29.1</v>
      </c>
      <c r="AR20" s="95">
        <f>SUMIFS(营销场景数据源!$H:$H,营销场景数据源!$C:$C,$B$20,营销场景数据源!$A:$A,AR2)</f>
        <v>35</v>
      </c>
      <c r="AS20" s="95">
        <f>SUMIFS(营销场景数据源!$H:$H,营销场景数据源!$C:$C,$B$20,营销场景数据源!$A:$A,AS2)</f>
        <v>34.5</v>
      </c>
      <c r="AT20" s="95">
        <f>SUMIFS(营销场景数据源!$H:$H,营销场景数据源!$C:$C,$B$20,营销场景数据源!$A:$A,AT2)</f>
        <v>14.52</v>
      </c>
      <c r="AU20" s="95">
        <f>SUMIFS(营销场景数据源!$H:$H,营销场景数据源!$C:$C,$B$20,营销场景数据源!$A:$A,AU2)</f>
        <v>19.81</v>
      </c>
      <c r="AV20" s="95">
        <f>SUMIFS(营销场景数据源!$H:$H,营销场景数据源!$C:$C,$B$20,营销场景数据源!$A:$A,AV2)</f>
        <v>12.05</v>
      </c>
      <c r="AW20" s="65">
        <f>SUM(AX20:BY20)</f>
        <v>904.05</v>
      </c>
      <c r="AX20" s="95">
        <f>SUMIFS(营销场景数据源!$H:$H,营销场景数据源!$C:$C,$B$20,营销场景数据源!$A:$A,AX2)</f>
        <v>19.92</v>
      </c>
      <c r="AY20" s="95">
        <f>SUMIFS(营销场景数据源!$H:$H,营销场景数据源!$C:$C,$B$20,营销场景数据源!$A:$A,AY2)</f>
        <v>24.1</v>
      </c>
      <c r="AZ20" s="95">
        <f>SUMIFS(营销场景数据源!$H:$H,营销场景数据源!$C:$C,$B$20,营销场景数据源!$A:$A,AZ2)</f>
        <v>31.76</v>
      </c>
      <c r="BA20" s="95">
        <f>SUMIFS(营销场景数据源!$H:$H,营销场景数据源!$C:$C,$B$20,营销场景数据源!$A:$A,BA2)</f>
        <v>31.99</v>
      </c>
      <c r="BB20" s="95">
        <f>SUMIFS(营销场景数据源!$H:$H,营销场景数据源!$C:$C,$B$20,营销场景数据源!$A:$A,BB2)</f>
        <v>29.14</v>
      </c>
      <c r="BC20" s="95">
        <f>SUMIFS(营销场景数据源!$H:$H,营销场景数据源!$C:$C,$B$20,营销场景数据源!$A:$A,BC2)</f>
        <v>32.41</v>
      </c>
      <c r="BD20" s="95">
        <f>SUMIFS(营销场景数据源!$H:$H,营销场景数据源!$C:$C,$B$20,营销场景数据源!$A:$A,BD2)</f>
        <v>25.39</v>
      </c>
      <c r="BE20" s="95">
        <f>SUMIFS(营销场景数据源!$H:$H,营销场景数据源!$C:$C,$B$20,营销场景数据源!$A:$A,BE2)</f>
        <v>33.67</v>
      </c>
      <c r="BF20" s="95">
        <f>SUMIFS(营销场景数据源!$H:$H,营销场景数据源!$C:$C,$B$20,营销场景数据源!$A:$A,BF2)</f>
        <v>31.78</v>
      </c>
      <c r="BG20" s="95">
        <f>SUMIFS(营销场景数据源!$H:$H,营销场景数据源!$C:$C,$B$20,营销场景数据源!$A:$A,BG2)</f>
        <v>38.92</v>
      </c>
      <c r="BH20" s="95">
        <f>SUMIFS(营销场景数据源!$H:$H,营销场景数据源!$C:$C,$B$20,营销场景数据源!$A:$A,BH2)</f>
        <v>28.03</v>
      </c>
      <c r="BI20" s="95">
        <f>SUMIFS(营销场景数据源!$H:$H,营销场景数据源!$C:$C,$B$20,营销场景数据源!$A:$A,BI2)</f>
        <v>32.76</v>
      </c>
      <c r="BJ20" s="95">
        <f>SUMIFS(营销场景数据源!$H:$H,营销场景数据源!$C:$C,$B$20,营销场景数据源!$A:$A,BJ2)</f>
        <v>31.05</v>
      </c>
      <c r="BK20" s="95">
        <f>SUMIFS(营销场景数据源!$H:$H,营销场景数据源!$C:$C,$B$20,营销场景数据源!$A:$A,BK2)</f>
        <v>34.52</v>
      </c>
      <c r="BL20" s="95">
        <f>SUMIFS(营销场景数据源!$H:$H,营销场景数据源!$C:$C,$B$20,营销场景数据源!$A:$A,BL2)</f>
        <v>33.68</v>
      </c>
      <c r="BM20" s="95">
        <f>SUMIFS(营销场景数据源!$H:$H,营销场景数据源!$C:$C,$B$20,营销场景数据源!$A:$A,BM2)</f>
        <v>35</v>
      </c>
      <c r="BN20" s="95">
        <f>SUMIFS(营销场景数据源!$H:$H,营销场景数据源!$C:$C,$B$20,营销场景数据源!$A:$A,BN2)</f>
        <v>34.82</v>
      </c>
      <c r="BO20" s="95">
        <f>SUMIFS(营销场景数据源!$H:$H,营销场景数据源!$C:$C,$B$20,营销场景数据源!$A:$A,BO2)</f>
        <v>34.35</v>
      </c>
      <c r="BP20" s="95">
        <f>SUMIFS(营销场景数据源!$H:$H,营销场景数据源!$C:$C,$B$20,营销场景数据源!$A:$A,BP2)</f>
        <v>34.86</v>
      </c>
      <c r="BQ20" s="95">
        <f>SUMIFS(营销场景数据源!$H:$H,营销场景数据源!$C:$C,$B$20,营销场景数据源!$A:$A,BQ2)</f>
        <v>35</v>
      </c>
      <c r="BR20" s="95">
        <f>SUMIFS(营销场景数据源!$H:$H,营销场景数据源!$C:$C,$B$20,营销场景数据源!$A:$A,BR2)</f>
        <v>33.65</v>
      </c>
      <c r="BS20" s="95">
        <f>SUMIFS(营销场景数据源!$H:$H,营销场景数据源!$C:$C,$B$20,营销场景数据源!$A:$A,BS2)</f>
        <v>35</v>
      </c>
      <c r="BT20" s="95">
        <f>SUMIFS(营销场景数据源!$H:$H,营销场景数据源!$C:$C,$B$20,营销场景数据源!$A:$A,BT2)</f>
        <v>33.55</v>
      </c>
      <c r="BU20" s="95">
        <f>SUMIFS(营销场景数据源!$H:$H,营销场景数据源!$C:$C,$B$20,营销场景数据源!$A:$A,BU2)</f>
        <v>34.22</v>
      </c>
      <c r="BV20" s="95">
        <f>SUMIFS(营销场景数据源!$H:$H,营销场景数据源!$C:$C,$B$20,营销场景数据源!$A:$A,BV2)</f>
        <v>33.77</v>
      </c>
      <c r="BW20" s="95">
        <f>SUMIFS(营销场景数据源!$H:$H,营销场景数据源!$C:$C,$B$20,营销场景数据源!$A:$A,BW2)</f>
        <v>34.73</v>
      </c>
      <c r="BX20" s="95">
        <f>SUMIFS(营销场景数据源!$H:$H,营销场景数据源!$C:$C,$B$20,营销场景数据源!$A:$A,BX2)</f>
        <v>33.98</v>
      </c>
      <c r="BY20" s="95">
        <f>SUMIFS(营销场景数据源!$H:$H,营销场景数据源!$C:$C,$B$20,营销场景数据源!$A:$A,BY2)</f>
        <v>32</v>
      </c>
      <c r="BZ20" s="65">
        <f>SUM(CA20:DE20)</f>
        <v>1236.75</v>
      </c>
      <c r="CA20" s="95">
        <f>SUMIFS(营销场景数据源!$H:$H,营销场景数据源!$C:$C,$B$20,营销场景数据源!$A:$A,CA2)</f>
        <v>32.18</v>
      </c>
      <c r="CB20" s="95">
        <f>SUMIFS(营销场景数据源!$H:$H,营销场景数据源!$C:$C,$B$20,营销场景数据源!$A:$A,CB2)</f>
        <v>32.77</v>
      </c>
      <c r="CC20" s="95">
        <f>SUMIFS(营销场景数据源!$H:$H,营销场景数据源!$C:$C,$B$20,营销场景数据源!$A:$A,CC2)</f>
        <v>26.16</v>
      </c>
      <c r="CD20" s="95">
        <f>SUMIFS(营销场景数据源!$H:$H,营销场景数据源!$C:$C,$B$20,营销场景数据源!$A:$A,CD2)</f>
        <v>20.34</v>
      </c>
      <c r="CE20" s="95">
        <f>SUMIFS(营销场景数据源!$H:$H,营销场景数据源!$C:$C,$B$20,营销场景数据源!$A:$A,CE2)</f>
        <v>50.75</v>
      </c>
      <c r="CF20" s="95">
        <f>SUMIFS(营销场景数据源!$H:$H,营销场景数据源!$C:$C,$B$20,营销场景数据源!$A:$A,CF2)</f>
        <v>29.88</v>
      </c>
      <c r="CG20" s="95">
        <f>SUMIFS(营销场景数据源!$H:$H,营销场景数据源!$C:$C,$B$20,营销场景数据源!$A:$A,CG2)</f>
        <v>30.01</v>
      </c>
      <c r="CH20" s="95">
        <f>SUMIFS(营销场景数据源!$H:$H,营销场景数据源!$C:$C,$B$20,营销场景数据源!$A:$A,CH2)</f>
        <v>34.45</v>
      </c>
      <c r="CI20" s="95">
        <f>SUMIFS(营销场景数据源!$H:$H,营销场景数据源!$C:$C,$B$20,营销场景数据源!$A:$A,CI2)</f>
        <v>33.52</v>
      </c>
      <c r="CJ20" s="95">
        <f>SUMIFS(营销场景数据源!$H:$H,营销场景数据源!$C:$C,$B$20,营销场景数据源!$A:$A,CJ2)</f>
        <v>29.09</v>
      </c>
      <c r="CK20" s="95">
        <f>SUMIFS(营销场景数据源!$H:$H,营销场景数据源!$C:$C,$B$20,营销场景数据源!$A:$A,CK2)</f>
        <v>33.23</v>
      </c>
      <c r="CL20" s="95">
        <f>SUMIFS(营销场景数据源!$H:$H,营销场景数据源!$C:$C,$B$20,营销场景数据源!$A:$A,CL2)</f>
        <v>32.81</v>
      </c>
      <c r="CM20" s="95">
        <f>SUMIFS(营销场景数据源!$H:$H,营销场景数据源!$C:$C,$B$20,营销场景数据源!$A:$A,CM2)</f>
        <v>31.15</v>
      </c>
      <c r="CN20" s="95">
        <f>SUMIFS(营销场景数据源!$H:$H,营销场景数据源!$C:$C,$B$20,营销场景数据源!$A:$A,CN2)</f>
        <v>30.93</v>
      </c>
      <c r="CO20" s="95">
        <f>SUMIFS(营销场景数据源!$H:$H,营销场景数据源!$C:$C,$B$20,营销场景数据源!$A:$A,CO2)</f>
        <v>32.9</v>
      </c>
      <c r="CP20" s="95">
        <f>SUMIFS(营销场景数据源!$H:$H,营销场景数据源!$C:$C,$B$20,营销场景数据源!$A:$A,CP2)</f>
        <v>30.59</v>
      </c>
      <c r="CQ20" s="95">
        <f>SUMIFS(营销场景数据源!$H:$H,营销场景数据源!$C:$C,$B$20,营销场景数据源!$A:$A,CQ2)</f>
        <v>25.52</v>
      </c>
      <c r="CR20" s="95">
        <f>SUMIFS(营销场景数据源!$H:$H,营销场景数据源!$C:$C,$B$20,营销场景数据源!$A:$A,CR2)</f>
        <v>40.24</v>
      </c>
      <c r="CS20" s="95">
        <f>SUMIFS(营销场景数据源!$H:$H,营销场景数据源!$C:$C,$B$20,营销场景数据源!$A:$A,CS2)</f>
        <v>40.56</v>
      </c>
      <c r="CT20" s="95">
        <f>SUMIFS(营销场景数据源!$H:$H,营销场景数据源!$C:$C,$B$20,营销场景数据源!$A:$A,CT2)</f>
        <v>39.09</v>
      </c>
      <c r="CU20" s="95">
        <f>SUMIFS(营销场景数据源!$H:$H,营销场景数据源!$C:$C,$B$20,营销场景数据源!$A:$A,CU2)</f>
        <v>43.15</v>
      </c>
      <c r="CV20" s="95">
        <f>SUMIFS(营销场景数据源!$H:$H,营销场景数据源!$C:$C,$B$20,营销场景数据源!$A:$A,CV2)</f>
        <v>43.55</v>
      </c>
      <c r="CW20" s="95">
        <f>SUMIFS(营销场景数据源!$H:$H,营销场景数据源!$C:$C,$B$20,营销场景数据源!$A:$A,CW2)</f>
        <v>42.77</v>
      </c>
      <c r="CX20" s="95">
        <f>SUMIFS(营销场景数据源!$H:$H,营销场景数据源!$C:$C,$B$20,营销场景数据源!$A:$A,CX2)</f>
        <v>54.52</v>
      </c>
      <c r="CY20" s="95">
        <f>SUMIFS(营销场景数据源!$H:$H,营销场景数据源!$C:$C,$B$20,营销场景数据源!$A:$A,CY2)</f>
        <v>52.4</v>
      </c>
      <c r="CZ20" s="95">
        <f>SUMIFS(营销场景数据源!$H:$H,营销场景数据源!$C:$C,$B$20,营销场景数据源!$A:$A,CZ2)</f>
        <v>58.5</v>
      </c>
      <c r="DA20" s="95">
        <f>SUMIFS(营销场景数据源!$H:$H,营销场景数据源!$C:$C,$B$20,营销场景数据源!$A:$A,DA2)</f>
        <v>54.96</v>
      </c>
      <c r="DB20" s="95">
        <f>SUMIFS(营销场景数据源!$H:$H,营销场景数据源!$C:$C,$B$20,营销场景数据源!$A:$A,DB2)</f>
        <v>58.82</v>
      </c>
      <c r="DC20" s="95">
        <f>SUMIFS(营销场景数据源!$H:$H,营销场景数据源!$C:$C,$B$20,营销场景数据源!$A:$A,DC2)</f>
        <v>55.55</v>
      </c>
      <c r="DD20" s="95">
        <f>SUMIFS(营销场景数据源!$H:$H,营销场景数据源!$C:$C,$B$20,营销场景数据源!$A:$A,DD2)</f>
        <v>57.82</v>
      </c>
      <c r="DE20" s="95">
        <f>SUMIFS(营销场景数据源!$H:$H,营销场景数据源!$C:$C,$B$20,营销场景数据源!$A:$A,DE2)</f>
        <v>58.54</v>
      </c>
      <c r="DF20" s="65">
        <f>SUM(DG20:EJ20)</f>
        <v>1684.53</v>
      </c>
      <c r="DG20" s="95">
        <f>SUMIFS(营销场景数据源!$H:$H,营销场景数据源!$C:$C,$B$20,营销场景数据源!$A:$A,DG2)</f>
        <v>59.72</v>
      </c>
      <c r="DH20" s="95">
        <f>SUMIFS(营销场景数据源!$H:$H,营销场景数据源!$C:$C,$B$20,营销场景数据源!$A:$A,DH2)</f>
        <v>52.36</v>
      </c>
      <c r="DI20" s="95">
        <f>SUMIFS(营销场景数据源!$H:$H,营销场景数据源!$C:$C,$B$20,营销场景数据源!$A:$A,DI2)</f>
        <v>59.53</v>
      </c>
      <c r="DJ20" s="95">
        <f>SUMIFS(营销场景数据源!$H:$H,营销场景数据源!$C:$C,$B$20,营销场景数据源!$A:$A,DJ2)</f>
        <v>59.41</v>
      </c>
      <c r="DK20" s="95">
        <f>SUMIFS(营销场景数据源!$H:$H,营销场景数据源!$C:$C,$B$20,营销场景数据源!$A:$A,DK2)</f>
        <v>59.33</v>
      </c>
      <c r="DL20" s="95">
        <f>SUMIFS(营销场景数据源!$H:$H,营销场景数据源!$C:$C,$B$20,营销场景数据源!$A:$A,DL2)</f>
        <v>58.25</v>
      </c>
      <c r="DM20" s="95">
        <f>SUMIFS(营销场景数据源!$H:$H,营销场景数据源!$C:$C,$B$20,营销场景数据源!$A:$A,DM2)</f>
        <v>58.46</v>
      </c>
      <c r="DN20" s="95">
        <f>SUMIFS(营销场景数据源!$H:$H,营销场景数据源!$C:$C,$B$20,营销场景数据源!$A:$A,DN2)</f>
        <v>57.17</v>
      </c>
      <c r="DO20" s="95">
        <f>SUMIFS(营销场景数据源!$H:$H,营销场景数据源!$C:$C,$B$20,营销场景数据源!$A:$A,DO2)</f>
        <v>47.14</v>
      </c>
      <c r="DP20" s="95">
        <f>SUMIFS(营销场景数据源!$H:$H,营销场景数据源!$C:$C,$B$20,营销场景数据源!$A:$A,DP2)</f>
        <v>43.54</v>
      </c>
      <c r="DQ20" s="95">
        <f>SUMIFS(营销场景数据源!$H:$H,营销场景数据源!$C:$C,$B$20,营销场景数据源!$A:$A,DQ2)</f>
        <v>52.25</v>
      </c>
      <c r="DR20" s="95">
        <f>SUMIFS(营销场景数据源!$H:$H,营销场景数据源!$C:$C,$B$20,营销场景数据源!$A:$A,DR2)</f>
        <v>53.5</v>
      </c>
      <c r="DS20" s="95">
        <f>SUMIFS(营销场景数据源!$H:$H,营销场景数据源!$C:$C,$B$20,营销场景数据源!$A:$A,DS2)</f>
        <v>71</v>
      </c>
      <c r="DT20" s="95">
        <f>SUMIFS(营销场景数据源!$H:$H,营销场景数据源!$C:$C,$B$20,营销场景数据源!$A:$A,DT2)</f>
        <v>42.45</v>
      </c>
      <c r="DU20" s="95">
        <f>SUMIFS(营销场景数据源!$H:$H,营销场景数据源!$C:$C,$B$20,营销场景数据源!$A:$A,DU2)</f>
        <v>49.26</v>
      </c>
      <c r="DV20" s="95">
        <f>SUMIFS(营销场景数据源!$H:$H,营销场景数据源!$C:$C,$B$20,营销场景数据源!$A:$A,DV2)</f>
        <v>57.09</v>
      </c>
      <c r="DW20" s="95">
        <f>SUMIFS(营销场景数据源!$H:$H,营销场景数据源!$C:$C,$B$20,营销场景数据源!$A:$A,DW2)</f>
        <v>58.47</v>
      </c>
      <c r="DX20" s="95">
        <f>SUMIFS(营销场景数据源!$H:$H,营销场景数据源!$C:$C,$B$20,营销场景数据源!$A:$A,DX2)</f>
        <v>59.06</v>
      </c>
      <c r="DY20" s="95">
        <f>SUMIFS(营销场景数据源!$H:$H,营销场景数据源!$C:$C,$B$20,营销场景数据源!$A:$A,DY2)</f>
        <v>98.49</v>
      </c>
      <c r="DZ20" s="95">
        <f>SUMIFS(营销场景数据源!$H:$H,营销场景数据源!$C:$C,$B$20,营销场景数据源!$A:$A,DZ2)</f>
        <v>58.07</v>
      </c>
      <c r="EA20" s="95">
        <f>SUMIFS(营销场景数据源!$H:$H,营销场景数据源!$C:$C,$B$20,营销场景数据源!$A:$A,EA2)</f>
        <v>54.48</v>
      </c>
      <c r="EB20" s="95">
        <f>SUMIFS(营销场景数据源!$H:$H,营销场景数据源!$C:$C,$B$20,营销场景数据源!$A:$A,EB2)</f>
        <v>37.02</v>
      </c>
      <c r="EC20" s="95">
        <f>SUMIFS(营销场景数据源!$H:$H,营销场景数据源!$C:$C,$B$20,营销场景数据源!$A:$A,EC2)</f>
        <v>49.85</v>
      </c>
      <c r="ED20" s="95">
        <f>SUMIFS(营销场景数据源!$H:$H,营销场景数据源!$C:$C,$B$20,营销场景数据源!$A:$A,ED2)</f>
        <v>91.61</v>
      </c>
      <c r="EE20" s="95">
        <f>SUMIFS(营销场景数据源!$H:$H,营销场景数据源!$C:$C,$B$20,营销场景数据源!$A:$A,EE2)</f>
        <v>155.2</v>
      </c>
      <c r="EF20" s="95">
        <f>SUMIFS(营销场景数据源!$H:$H,营销场景数据源!$C:$C,$B$20,营销场景数据源!$A:$A,EF2)</f>
        <v>50</v>
      </c>
      <c r="EG20" s="95">
        <f>SUMIFS(营销场景数据源!$H:$H,营销场景数据源!$C:$C,$B$20,营销场景数据源!$A:$A,EG2)</f>
        <v>28.32</v>
      </c>
      <c r="EH20" s="95">
        <f>SUMIFS(营销场景数据源!$H:$H,营销场景数据源!$C:$C,$B$20,营销场景数据源!$A:$A,EH2)</f>
        <v>22.06</v>
      </c>
      <c r="EI20" s="95">
        <f>SUMIFS(营销场景数据源!$H:$H,营销场景数据源!$C:$C,$B$20,营销场景数据源!$A:$A,EI2)</f>
        <v>20.34</v>
      </c>
      <c r="EJ20" s="95">
        <f>SUMIFS(营销场景数据源!$H:$H,营销场景数据源!$C:$C,$B$20,营销场景数据源!$A:$A,EJ2)</f>
        <v>21.1</v>
      </c>
      <c r="EK20" s="65">
        <f>SUM(EL20:FP20)</f>
        <v>2319.42</v>
      </c>
      <c r="EL20" s="95">
        <f>SUMIFS(营销场景数据源!$H:$H,营销场景数据源!$C:$C,$B$20,营销场景数据源!$A:$A,EL2)</f>
        <v>12.04</v>
      </c>
      <c r="EM20" s="95">
        <f>SUMIFS(营销场景数据源!$H:$H,营销场景数据源!$C:$C,$B$20,营销场景数据源!$A:$A,EM2)</f>
        <v>11.76</v>
      </c>
      <c r="EN20" s="95">
        <f>SUMIFS(营销场景数据源!$H:$H,营销场景数据源!$C:$C,$B$20,营销场景数据源!$A:$A,EN2)</f>
        <v>12.37</v>
      </c>
      <c r="EO20" s="95">
        <f>SUMIFS(营销场景数据源!$H:$H,营销场景数据源!$C:$C,$B$20,营销场景数据源!$A:$A,EO2)</f>
        <v>12.16</v>
      </c>
      <c r="EP20" s="95">
        <f>SUMIFS(营销场景数据源!$H:$H,营销场景数据源!$C:$C,$B$20,营销场景数据源!$A:$A,EP2)</f>
        <v>10.14</v>
      </c>
      <c r="EQ20" s="95">
        <f>SUMIFS(营销场景数据源!$H:$H,营销场景数据源!$C:$C,$B$20,营销场景数据源!$A:$A,EQ2)</f>
        <v>20.71</v>
      </c>
      <c r="ER20" s="95">
        <f>SUMIFS(营销场景数据源!$H:$H,营销场景数据源!$C:$C,$B$20,营销场景数据源!$A:$A,ER2)</f>
        <v>21.81</v>
      </c>
      <c r="ES20" s="95">
        <f>SUMIFS(营销场景数据源!$H:$H,营销场景数据源!$C:$C,$B$20,营销场景数据源!$A:$A,ES2)</f>
        <v>19.64</v>
      </c>
      <c r="ET20" s="95">
        <f>SUMIFS(营销场景数据源!$H:$H,营销场景数据源!$C:$C,$B$20,营销场景数据源!$A:$A,ET2)</f>
        <v>32.9</v>
      </c>
      <c r="EU20" s="95">
        <f>SUMIFS(营销场景数据源!$H:$H,营销场景数据源!$C:$C,$B$20,营销场景数据源!$A:$A,EU2)</f>
        <v>64.69</v>
      </c>
      <c r="EV20" s="95">
        <f>SUMIFS(营销场景数据源!$H:$H,营销场景数据源!$C:$C,$B$20,营销场景数据源!$A:$A,EV2)</f>
        <v>106.76</v>
      </c>
      <c r="EW20" s="95">
        <f>SUMIFS(营销场景数据源!$H:$H,营销场景数据源!$C:$C,$B$20,营销场景数据源!$A:$A,EW2)</f>
        <v>151.96</v>
      </c>
      <c r="EX20" s="95">
        <f>SUMIFS(营销场景数据源!$H:$H,营销场景数据源!$C:$C,$B$20,营销场景数据源!$A:$A,EX2)</f>
        <v>145.79</v>
      </c>
      <c r="EY20" s="95">
        <f>SUMIFS(营销场景数据源!$H:$H,营销场景数据源!$C:$C,$B$20,营销场景数据源!$A:$A,EY2)</f>
        <v>89.71</v>
      </c>
      <c r="EZ20" s="95">
        <f>SUMIFS(营销场景数据源!$H:$H,营销场景数据源!$C:$C,$B$20,营销场景数据源!$A:$A,EZ2)</f>
        <v>51.02</v>
      </c>
      <c r="FA20" s="95">
        <f>SUMIFS(营销场景数据源!$H:$H,营销场景数据源!$C:$C,$B$20,营销场景数据源!$A:$A,FA2)</f>
        <v>57.6</v>
      </c>
      <c r="FB20" s="95">
        <f>SUMIFS(营销场景数据源!$H:$H,营销场景数据源!$C:$C,$B$20,营销场景数据源!$A:$A,FB2)</f>
        <v>61.53</v>
      </c>
      <c r="FC20" s="95">
        <f>SUMIFS(营销场景数据源!$H:$H,营销场景数据源!$C:$C,$B$20,营销场景数据源!$A:$A,FC2)</f>
        <v>47.93</v>
      </c>
      <c r="FD20" s="95">
        <f>SUMIFS(营销场景数据源!$H:$H,营销场景数据源!$C:$C,$B$20,营销场景数据源!$A:$A,FD2)</f>
        <v>69.02</v>
      </c>
      <c r="FE20" s="95">
        <f>SUMIFS(营销场景数据源!$H:$H,营销场景数据源!$C:$C,$B$20,营销场景数据源!$A:$A,FE2)</f>
        <v>76.08</v>
      </c>
      <c r="FF20" s="95">
        <f>SUMIFS(营销场景数据源!$H:$H,营销场景数据源!$C:$C,$B$20,营销场景数据源!$A:$A,FF2)</f>
        <v>97.41</v>
      </c>
      <c r="FG20" s="95">
        <f>SUMIFS(营销场景数据源!$H:$H,营销场景数据源!$C:$C,$B$20,营销场景数据源!$A:$A,FG2)</f>
        <v>99.73</v>
      </c>
      <c r="FH20" s="95">
        <f>SUMIFS(营销场景数据源!$H:$H,营销场景数据源!$C:$C,$B$20,营销场景数据源!$A:$A,FH2)</f>
        <v>113.57</v>
      </c>
      <c r="FI20" s="95">
        <f>SUMIFS(营销场景数据源!$H:$H,营销场景数据源!$C:$C,$B$20,营销场景数据源!$A:$A,FI2)</f>
        <v>120</v>
      </c>
      <c r="FJ20" s="95">
        <f>SUMIFS(营销场景数据源!$H:$H,营销场景数据源!$C:$C,$B$20,营销场景数据源!$A:$A,FJ2)</f>
        <v>115.3</v>
      </c>
      <c r="FK20" s="95">
        <f>SUMIFS(营销场景数据源!$H:$H,营销场景数据源!$C:$C,$B$20,营销场景数据源!$A:$A,FK2)</f>
        <v>117.14</v>
      </c>
      <c r="FL20" s="95">
        <f>SUMIFS(营销场景数据源!$H:$H,营销场景数据源!$C:$C,$B$20,营销场景数据源!$A:$A,FL2)</f>
        <v>120</v>
      </c>
      <c r="FM20" s="95">
        <f>SUMIFS(营销场景数据源!$H:$H,营销场景数据源!$C:$C,$B$20,营销场景数据源!$A:$A,FM2)</f>
        <v>117.12</v>
      </c>
      <c r="FN20" s="95">
        <f>SUMIFS(营销场景数据源!$H:$H,营销场景数据源!$C:$C,$B$20,营销场景数据源!$A:$A,FN2)</f>
        <v>120</v>
      </c>
      <c r="FO20" s="95">
        <f>SUMIFS(营销场景数据源!$H:$H,营销场景数据源!$C:$C,$B$20,营销场景数据源!$A:$A,FO2)</f>
        <v>111.41</v>
      </c>
      <c r="FP20" s="95">
        <f>SUMIFS(营销场景数据源!$H:$H,营销场景数据源!$C:$C,$B$20,营销场景数据源!$A:$A,FP2)</f>
        <v>112.12</v>
      </c>
      <c r="FQ20" s="65">
        <f>SUM(FR20:GX20)</f>
        <v>2486.34</v>
      </c>
      <c r="FR20" s="95">
        <f>SUMIFS(营销场景数据源!$H:$H,营销场景数据源!$C:$C,$B$20,营销场景数据源!$A:$A,FR2)</f>
        <v>91.6</v>
      </c>
      <c r="FS20" s="95">
        <f>SUMIFS(营销场景数据源!$H:$H,营销场景数据源!$C:$C,$B$20,营销场景数据源!$A:$A,FS2)</f>
        <v>85.51</v>
      </c>
      <c r="FT20" s="95">
        <f>SUMIFS(营销场景数据源!$H:$H,营销场景数据源!$C:$C,$B$20,营销场景数据源!$A:$A,FT2)</f>
        <v>67.72</v>
      </c>
      <c r="FU20" s="95">
        <f>SUMIFS(营销场景数据源!$H:$H,营销场景数据源!$C:$C,$B$20,营销场景数据源!$A:$A,FU2)</f>
        <v>111.06</v>
      </c>
      <c r="FV20" s="95">
        <f>SUMIFS(营销场景数据源!$H:$H,营销场景数据源!$C:$C,$B$20,营销场景数据源!$A:$A,FV2)</f>
        <v>108.79</v>
      </c>
      <c r="FW20" s="95">
        <f>SUMIFS(营销场景数据源!$H:$H,营销场景数据源!$C:$C,$B$20,营销场景数据源!$A:$A,FW2)</f>
        <v>105.42</v>
      </c>
      <c r="FX20" s="95">
        <f>SUMIFS(营销场景数据源!$H:$H,营销场景数据源!$C:$C,$B$20,营销场景数据源!$A:$A,FX2)</f>
        <v>113.8</v>
      </c>
      <c r="FY20" s="95">
        <f>SUMIFS(营销场景数据源!$H:$H,营销场景数据源!$C:$C,$B$20,营销场景数据源!$A:$A,FY2)</f>
        <v>137.03</v>
      </c>
      <c r="FZ20" s="95">
        <f>SUMIFS(营销场景数据源!$H:$H,营销场景数据源!$C:$C,$B$20,营销场景数据源!$A:$A,FZ2)</f>
        <v>117.57</v>
      </c>
      <c r="GA20" s="95">
        <f>SUMIFS(营销场景数据源!$H:$H,营销场景数据源!$C:$C,$B$20,营销场景数据源!$A:$A,GA2)</f>
        <v>150</v>
      </c>
      <c r="GB20" s="95">
        <f>SUMIFS(营销场景数据源!$H:$H,营销场景数据源!$C:$C,$B$20,营销场景数据源!$A:$A,GB2)</f>
        <v>127.73</v>
      </c>
      <c r="GC20" s="95">
        <f>SUMIFS(营销场景数据源!$H:$H,营销场景数据源!$C:$C,$B$20,营销场景数据源!$A:$A,GC2)</f>
        <v>119.02</v>
      </c>
      <c r="GD20" s="95">
        <f>SUMIFS(营销场景数据源!$H:$H,营销场景数据源!$C:$C,$B$20,营销场景数据源!$A:$A,GD2)</f>
        <v>121.51</v>
      </c>
      <c r="GE20" s="95">
        <f>SUMIFS(营销场景数据源!$H:$H,营销场景数据源!$C:$C,$B$20,营销场景数据源!$A:$A,GE2)</f>
        <v>141.29</v>
      </c>
      <c r="GF20" s="95">
        <f>SUMIFS(营销场景数据源!$H:$H,营销场景数据源!$C:$C,$B$20,营销场景数据源!$A:$A,GF2)</f>
        <v>136.37</v>
      </c>
      <c r="GG20" s="95">
        <f>SUMIFS(营销场景数据源!$H:$H,营销场景数据源!$C:$C,$B$20,营销场景数据源!$A:$A,GG2)</f>
        <v>134.04</v>
      </c>
      <c r="GH20" s="95">
        <f>SUMIFS(营销场景数据源!$H:$H,营销场景数据源!$C:$C,$B$20,营销场景数据源!$A:$A,GH2)</f>
        <v>140.81</v>
      </c>
      <c r="GI20" s="95">
        <f>SUMIFS(营销场景数据源!$H:$H,营销场景数据源!$C:$C,$B$20,营销场景数据源!$A:$A,GI2)</f>
        <v>128.56</v>
      </c>
      <c r="GJ20" s="95">
        <f>SUMIFS(营销场景数据源!$H:$H,营销场景数据源!$C:$C,$B$20,营销场景数据源!$A:$A,GJ2)</f>
        <v>104.41</v>
      </c>
      <c r="GK20" s="95">
        <f>SUMIFS(营销场景数据源!$H:$H,营销场景数据源!$C:$C,$B$20,营销场景数据源!$A:$A,GK2)</f>
        <v>107.2</v>
      </c>
      <c r="GL20" s="95">
        <f>SUMIFS(营销场景数据源!$H:$H,营销场景数据源!$C:$C,$B$20,营销场景数据源!$A:$A,GL2)</f>
        <v>136.9</v>
      </c>
      <c r="GM20" s="95">
        <f>SUMIFS(营销场景数据源!$H:$H,营销场景数据源!$C:$C,$B$20,营销场景数据源!$A:$A,GM2)</f>
        <v>0</v>
      </c>
      <c r="GN20" s="95">
        <f>SUMIFS(营销场景数据源!$H:$H,营销场景数据源!$C:$C,$B$20,营销场景数据源!$A:$A,GN2)</f>
        <v>0</v>
      </c>
      <c r="GO20" s="95">
        <f>SUMIFS(营销场景数据源!$H:$H,营销场景数据源!$C:$C,$B$20,营销场景数据源!$A:$A,GO2)</f>
        <v>0</v>
      </c>
      <c r="GP20" s="95">
        <f>SUMIFS(营销场景数据源!$H:$H,营销场景数据源!$C:$C,$B$20,营销场景数据源!$A:$A,GP2)</f>
        <v>0</v>
      </c>
    </row>
    <row r="21" ht="15" customHeight="1" spans="1:198">
      <c r="A21" s="84"/>
      <c r="B21" s="92"/>
      <c r="C21" s="93" t="s">
        <v>21</v>
      </c>
      <c r="D21" s="94" t="e">
        <f>SUM(E21:P21)</f>
        <v>#REF!</v>
      </c>
      <c r="E21" s="95" t="e">
        <f>#REF!</f>
        <v>#REF!</v>
      </c>
      <c r="F21" s="95" t="e">
        <f>#REF!</f>
        <v>#REF!</v>
      </c>
      <c r="G21" s="95" t="e">
        <f>#REF!</f>
        <v>#REF!</v>
      </c>
      <c r="H21" s="95" t="e">
        <f>#REF!</f>
        <v>#REF!</v>
      </c>
      <c r="I21" s="95" t="e">
        <f>#REF!</f>
        <v>#REF!</v>
      </c>
      <c r="J21" s="95" t="e">
        <f>#REF!</f>
        <v>#REF!</v>
      </c>
      <c r="K21" s="95" t="e">
        <f>#REF!</f>
        <v>#REF!</v>
      </c>
      <c r="L21" s="95" t="e">
        <f>#REF!</f>
        <v>#REF!</v>
      </c>
      <c r="M21" s="95" t="e">
        <f>#REF!</f>
        <v>#REF!</v>
      </c>
      <c r="N21" s="95" t="e">
        <f>#REF!</f>
        <v>#REF!</v>
      </c>
      <c r="O21" s="95" t="e">
        <f>#REF!</f>
        <v>#REF!</v>
      </c>
      <c r="P21" s="95" t="e">
        <f>#REF!</f>
        <v>#REF!</v>
      </c>
      <c r="Q21" s="65">
        <f>SUM(R21:AV21)</f>
        <v>377</v>
      </c>
      <c r="R21" s="95">
        <f>SUMIFS(营销场景数据源!$G:$G,营销场景数据源!$C:$C,$B$20,营销场景数据源!$A:$A,R2)</f>
        <v>0</v>
      </c>
      <c r="S21" s="95">
        <f>SUMIFS(营销场景数据源!$G:$G,营销场景数据源!$C:$C,$B$20,营销场景数据源!$A:$A,S2)</f>
        <v>0</v>
      </c>
      <c r="T21" s="95">
        <f>SUMIFS(营销场景数据源!$G:$G,营销场景数据源!$C:$C,$B$20,营销场景数据源!$A:$A,T2)</f>
        <v>0</v>
      </c>
      <c r="U21" s="95">
        <f>SUMIFS(营销场景数据源!$G:$G,营销场景数据源!$C:$C,$B$20,营销场景数据源!$A:$A,U2)</f>
        <v>0</v>
      </c>
      <c r="V21" s="95">
        <f>SUMIFS(营销场景数据源!$G:$G,营销场景数据源!$C:$C,$B$20,营销场景数据源!$A:$A,V2)</f>
        <v>0</v>
      </c>
      <c r="W21" s="95">
        <f>SUMIFS(营销场景数据源!$G:$G,营销场景数据源!$C:$C,$B$20,营销场景数据源!$A:$A,W2)</f>
        <v>0</v>
      </c>
      <c r="X21" s="95">
        <f>SUMIFS(营销场景数据源!$G:$G,营销场景数据源!$C:$C,$B$20,营销场景数据源!$A:$A,X2)</f>
        <v>0</v>
      </c>
      <c r="Y21" s="95">
        <f>SUMIFS(营销场景数据源!$G:$G,营销场景数据源!$C:$C,$B$20,营销场景数据源!$A:$A,Y2)</f>
        <v>0</v>
      </c>
      <c r="Z21" s="95">
        <f>SUMIFS(营销场景数据源!$G:$G,营销场景数据源!$C:$C,$B$20,营销场景数据源!$A:$A,Z2)</f>
        <v>0</v>
      </c>
      <c r="AA21" s="95">
        <f>SUMIFS(营销场景数据源!$G:$G,营销场景数据源!$C:$C,$B$20,营销场景数据源!$A:$A,AA2)</f>
        <v>0</v>
      </c>
      <c r="AB21" s="95">
        <f>SUMIFS(营销场景数据源!$G:$G,营销场景数据源!$C:$C,$B$20,营销场景数据源!$A:$A,AB2)</f>
        <v>0</v>
      </c>
      <c r="AC21" s="95">
        <f>SUMIFS(营销场景数据源!$G:$G,营销场景数据源!$C:$C,$B$20,营销场景数据源!$A:$A,AC2)</f>
        <v>0</v>
      </c>
      <c r="AD21" s="95">
        <f>SUMIFS(营销场景数据源!$G:$G,营销场景数据源!$C:$C,$B$20,营销场景数据源!$A:$A,AD2)</f>
        <v>0</v>
      </c>
      <c r="AE21" s="95">
        <f>SUMIFS(营销场景数据源!$G:$G,营销场景数据源!$C:$C,$B$20,营销场景数据源!$A:$A,AE2)</f>
        <v>0</v>
      </c>
      <c r="AF21" s="95">
        <f>SUMIFS(营销场景数据源!$G:$G,营销场景数据源!$C:$C,$B$20,营销场景数据源!$A:$A,AF2)</f>
        <v>0</v>
      </c>
      <c r="AG21" s="95">
        <f>SUMIFS(营销场景数据源!$G:$G,营销场景数据源!$C:$C,$B$20,营销场景数据源!$A:$A,AG2)</f>
        <v>0</v>
      </c>
      <c r="AH21" s="95">
        <f>SUMIFS(营销场景数据源!$G:$G,营销场景数据源!$C:$C,$B$20,营销场景数据源!$A:$A,AH2)</f>
        <v>0</v>
      </c>
      <c r="AI21" s="95">
        <f>SUMIFS(营销场景数据源!$G:$G,营销场景数据源!$C:$C,$B$20,营销场景数据源!$A:$A,AI2)</f>
        <v>0</v>
      </c>
      <c r="AJ21" s="95">
        <f>SUMIFS(营销场景数据源!$G:$G,营销场景数据源!$C:$C,$B$20,营销场景数据源!$A:$A,AJ2)</f>
        <v>0</v>
      </c>
      <c r="AK21" s="95">
        <f>SUMIFS(营销场景数据源!$G:$G,营销场景数据源!$C:$C,$B$20,营销场景数据源!$A:$A,AK2)</f>
        <v>0</v>
      </c>
      <c r="AL21" s="95">
        <f>SUMIFS(营销场景数据源!$G:$G,营销场景数据源!$C:$C,$B$20,营销场景数据源!$A:$A,AL2)</f>
        <v>0</v>
      </c>
      <c r="AM21" s="95">
        <f>SUMIFS(营销场景数据源!$G:$G,营销场景数据源!$C:$C,$B$20,营销场景数据源!$A:$A,AM2)</f>
        <v>23</v>
      </c>
      <c r="AN21" s="95">
        <f>SUMIFS(营销场景数据源!$G:$G,营销场景数据源!$C:$C,$B$20,营销场景数据源!$A:$A,AN2)</f>
        <v>27</v>
      </c>
      <c r="AO21" s="95">
        <f>SUMIFS(营销场景数据源!$G:$G,营销场景数据源!$C:$C,$B$20,营销场景数据源!$A:$A,AO2)</f>
        <v>28</v>
      </c>
      <c r="AP21" s="95">
        <f>SUMIFS(营销场景数据源!$G:$G,营销场景数据源!$C:$C,$B$20,营销场景数据源!$A:$A,AP2)</f>
        <v>26</v>
      </c>
      <c r="AQ21" s="95">
        <f>SUMIFS(营销场景数据源!$G:$G,营销场景数据源!$C:$C,$B$20,营销场景数据源!$A:$A,AQ2)</f>
        <v>24</v>
      </c>
      <c r="AR21" s="95">
        <f>SUMIFS(营销场景数据源!$G:$G,营销场景数据源!$C:$C,$B$20,营销场景数据源!$A:$A,AR2)</f>
        <v>42</v>
      </c>
      <c r="AS21" s="95">
        <f>SUMIFS(营销场景数据源!$G:$G,营销场景数据源!$C:$C,$B$20,营销场景数据源!$A:$A,AS2)</f>
        <v>38</v>
      </c>
      <c r="AT21" s="95">
        <f>SUMIFS(营销场景数据源!$G:$G,营销场景数据源!$C:$C,$B$20,营销场景数据源!$A:$A,AT2)</f>
        <v>54</v>
      </c>
      <c r="AU21" s="95">
        <f>SUMIFS(营销场景数据源!$G:$G,营销场景数据源!$C:$C,$B$20,营销场景数据源!$A:$A,AU2)</f>
        <v>71</v>
      </c>
      <c r="AV21" s="95">
        <f>SUMIFS(营销场景数据源!$G:$G,营销场景数据源!$C:$C,$B$20,营销场景数据源!$A:$A,AV2)</f>
        <v>44</v>
      </c>
      <c r="AW21" s="65">
        <f>SUM(AX21:BY21)</f>
        <v>3059</v>
      </c>
      <c r="AX21" s="95">
        <f>SUMIFS(营销场景数据源!$G:$G,营销场景数据源!$C:$C,$B$20,营销场景数据源!$A:$A,AX2)</f>
        <v>70</v>
      </c>
      <c r="AY21" s="95">
        <f>SUMIFS(营销场景数据源!$G:$G,营销场景数据源!$C:$C,$B$20,营销场景数据源!$A:$A,AY2)</f>
        <v>83</v>
      </c>
      <c r="AZ21" s="95">
        <f>SUMIFS(营销场景数据源!$G:$G,营销场景数据源!$C:$C,$B$20,营销场景数据源!$A:$A,AZ2)</f>
        <v>91</v>
      </c>
      <c r="BA21" s="95">
        <f>SUMIFS(营销场景数据源!$G:$G,营销场景数据源!$C:$C,$B$20,营销场景数据源!$A:$A,BA2)</f>
        <v>95</v>
      </c>
      <c r="BB21" s="95">
        <f>SUMIFS(营销场景数据源!$G:$G,营销场景数据源!$C:$C,$B$20,营销场景数据源!$A:$A,BB2)</f>
        <v>93</v>
      </c>
      <c r="BC21" s="95">
        <f>SUMIFS(营销场景数据源!$G:$G,营销场景数据源!$C:$C,$B$20,营销场景数据源!$A:$A,BC2)</f>
        <v>100</v>
      </c>
      <c r="BD21" s="95">
        <f>SUMIFS(营销场景数据源!$G:$G,营销场景数据源!$C:$C,$B$20,营销场景数据源!$A:$A,BD2)</f>
        <v>82</v>
      </c>
      <c r="BE21" s="95">
        <f>SUMIFS(营销场景数据源!$G:$G,营销场景数据源!$C:$C,$B$20,营销场景数据源!$A:$A,BE2)</f>
        <v>107</v>
      </c>
      <c r="BF21" s="95">
        <f>SUMIFS(营销场景数据源!$G:$G,营销场景数据源!$C:$C,$B$20,营销场景数据源!$A:$A,BF2)</f>
        <v>104</v>
      </c>
      <c r="BG21" s="95">
        <f>SUMIFS(营销场景数据源!$G:$G,营销场景数据源!$C:$C,$B$20,营销场景数据源!$A:$A,BG2)</f>
        <v>128</v>
      </c>
      <c r="BH21" s="95">
        <f>SUMIFS(营销场景数据源!$G:$G,营销场景数据源!$C:$C,$B$20,营销场景数据源!$A:$A,BH2)</f>
        <v>93</v>
      </c>
      <c r="BI21" s="95">
        <f>SUMIFS(营销场景数据源!$G:$G,营销场景数据源!$C:$C,$B$20,营销场景数据源!$A:$A,BI2)</f>
        <v>110</v>
      </c>
      <c r="BJ21" s="95">
        <f>SUMIFS(营销场景数据源!$G:$G,营销场景数据源!$C:$C,$B$20,营销场景数据源!$A:$A,BJ2)</f>
        <v>115</v>
      </c>
      <c r="BK21" s="95">
        <f>SUMIFS(营销场景数据源!$G:$G,营销场景数据源!$C:$C,$B$20,营销场景数据源!$A:$A,BK2)</f>
        <v>130</v>
      </c>
      <c r="BL21" s="95">
        <f>SUMIFS(营销场景数据源!$G:$G,营销场景数据源!$C:$C,$B$20,营销场景数据源!$A:$A,BL2)</f>
        <v>131</v>
      </c>
      <c r="BM21" s="95">
        <f>SUMIFS(营销场景数据源!$G:$G,营销场景数据源!$C:$C,$B$20,营销场景数据源!$A:$A,BM2)</f>
        <v>120</v>
      </c>
      <c r="BN21" s="95">
        <f>SUMIFS(营销场景数据源!$G:$G,营销场景数据源!$C:$C,$B$20,营销场景数据源!$A:$A,BN2)</f>
        <v>120</v>
      </c>
      <c r="BO21" s="95">
        <f>SUMIFS(营销场景数据源!$G:$G,营销场景数据源!$C:$C,$B$20,营销场景数据源!$A:$A,BO2)</f>
        <v>114</v>
      </c>
      <c r="BP21" s="95">
        <f>SUMIFS(营销场景数据源!$G:$G,营销场景数据源!$C:$C,$B$20,营销场景数据源!$A:$A,BP2)</f>
        <v>116</v>
      </c>
      <c r="BQ21" s="95">
        <f>SUMIFS(营销场景数据源!$G:$G,营销场景数据源!$C:$C,$B$20,营销场景数据源!$A:$A,BQ2)</f>
        <v>118</v>
      </c>
      <c r="BR21" s="95">
        <f>SUMIFS(营销场景数据源!$G:$G,营销场景数据源!$C:$C,$B$20,营销场景数据源!$A:$A,BR2)</f>
        <v>109</v>
      </c>
      <c r="BS21" s="95">
        <f>SUMIFS(营销场景数据源!$G:$G,营销场景数据源!$C:$C,$B$20,营销场景数据源!$A:$A,BS2)</f>
        <v>120</v>
      </c>
      <c r="BT21" s="95">
        <f>SUMIFS(营销场景数据源!$G:$G,营销场景数据源!$C:$C,$B$20,营销场景数据源!$A:$A,BT2)</f>
        <v>111</v>
      </c>
      <c r="BU21" s="95">
        <f>SUMIFS(营销场景数据源!$G:$G,营销场景数据源!$C:$C,$B$20,营销场景数据源!$A:$A,BU2)</f>
        <v>113</v>
      </c>
      <c r="BV21" s="95">
        <f>SUMIFS(营销场景数据源!$G:$G,营销场景数据源!$C:$C,$B$20,营销场景数据源!$A:$A,BV2)</f>
        <v>117</v>
      </c>
      <c r="BW21" s="95">
        <f>SUMIFS(营销场景数据源!$G:$G,营销场景数据源!$C:$C,$B$20,营销场景数据源!$A:$A,BW2)</f>
        <v>112</v>
      </c>
      <c r="BX21" s="95">
        <f>SUMIFS(营销场景数据源!$G:$G,营销场景数据源!$C:$C,$B$20,营销场景数据源!$A:$A,BX2)</f>
        <v>133</v>
      </c>
      <c r="BY21" s="95">
        <f>SUMIFS(营销场景数据源!$G:$G,营销场景数据源!$C:$C,$B$20,营销场景数据源!$A:$A,BY2)</f>
        <v>124</v>
      </c>
      <c r="BZ21" s="65">
        <f>SUM(CA21:DE21)</f>
        <v>4069</v>
      </c>
      <c r="CA21" s="95">
        <f>SUMIFS(营销场景数据源!$G:$G,营销场景数据源!$C:$C,$B$20,营销场景数据源!$A:$A,CA2)</f>
        <v>127</v>
      </c>
      <c r="CB21" s="95">
        <f>SUMIFS(营销场景数据源!$G:$G,营销场景数据源!$C:$C,$B$20,营销场景数据源!$A:$A,CB2)</f>
        <v>123</v>
      </c>
      <c r="CC21" s="95">
        <f>SUMIFS(营销场景数据源!$G:$G,营销场景数据源!$C:$C,$B$20,营销场景数据源!$A:$A,CC2)</f>
        <v>106</v>
      </c>
      <c r="CD21" s="95">
        <f>SUMIFS(营销场景数据源!$G:$G,营销场景数据源!$C:$C,$B$20,营销场景数据源!$A:$A,CD2)</f>
        <v>84</v>
      </c>
      <c r="CE21" s="95">
        <f>SUMIFS(营销场景数据源!$G:$G,营销场景数据源!$C:$C,$B$20,营销场景数据源!$A:$A,CE2)</f>
        <v>154</v>
      </c>
      <c r="CF21" s="95">
        <f>SUMIFS(营销场景数据源!$G:$G,营销场景数据源!$C:$C,$B$20,营销场景数据源!$A:$A,CF2)</f>
        <v>98</v>
      </c>
      <c r="CG21" s="95">
        <f>SUMIFS(营销场景数据源!$G:$G,营销场景数据源!$C:$C,$B$20,营销场景数据源!$A:$A,CG2)</f>
        <v>104</v>
      </c>
      <c r="CH21" s="95">
        <f>SUMIFS(营销场景数据源!$G:$G,营销场景数据源!$C:$C,$B$20,营销场景数据源!$A:$A,CH2)</f>
        <v>119</v>
      </c>
      <c r="CI21" s="95">
        <f>SUMIFS(营销场景数据源!$G:$G,营销场景数据源!$C:$C,$B$20,营销场景数据源!$A:$A,CI2)</f>
        <v>120</v>
      </c>
      <c r="CJ21" s="95">
        <f>SUMIFS(营销场景数据源!$G:$G,营销场景数据源!$C:$C,$B$20,营销场景数据源!$A:$A,CJ2)</f>
        <v>102</v>
      </c>
      <c r="CK21" s="95">
        <f>SUMIFS(营销场景数据源!$G:$G,营销场景数据源!$C:$C,$B$20,营销场景数据源!$A:$A,CK2)</f>
        <v>113</v>
      </c>
      <c r="CL21" s="95">
        <f>SUMIFS(营销场景数据源!$G:$G,营销场景数据源!$C:$C,$B$20,营销场景数据源!$A:$A,CL2)</f>
        <v>111</v>
      </c>
      <c r="CM21" s="95">
        <f>SUMIFS(营销场景数据源!$G:$G,营销场景数据源!$C:$C,$B$20,营销场景数据源!$A:$A,CM2)</f>
        <v>101</v>
      </c>
      <c r="CN21" s="95">
        <f>SUMIFS(营销场景数据源!$G:$G,营销场景数据源!$C:$C,$B$20,营销场景数据源!$A:$A,CN2)</f>
        <v>105</v>
      </c>
      <c r="CO21" s="95">
        <f>SUMIFS(营销场景数据源!$G:$G,营销场景数据源!$C:$C,$B$20,营销场景数据源!$A:$A,CO2)</f>
        <v>105</v>
      </c>
      <c r="CP21" s="95">
        <f>SUMIFS(营销场景数据源!$G:$G,营销场景数据源!$C:$C,$B$20,营销场景数据源!$A:$A,CP2)</f>
        <v>108</v>
      </c>
      <c r="CQ21" s="95">
        <f>SUMIFS(营销场景数据源!$G:$G,营销场景数据源!$C:$C,$B$20,营销场景数据源!$A:$A,CQ2)</f>
        <v>86</v>
      </c>
      <c r="CR21" s="95">
        <f>SUMIFS(营销场景数据源!$G:$G,营销场景数据源!$C:$C,$B$20,营销场景数据源!$A:$A,CR2)</f>
        <v>136</v>
      </c>
      <c r="CS21" s="95">
        <f>SUMIFS(营销场景数据源!$G:$G,营销场景数据源!$C:$C,$B$20,营销场景数据源!$A:$A,CS2)</f>
        <v>131</v>
      </c>
      <c r="CT21" s="95">
        <f>SUMIFS(营销场景数据源!$G:$G,营销场景数据源!$C:$C,$B$20,营销场景数据源!$A:$A,CT2)</f>
        <v>119</v>
      </c>
      <c r="CU21" s="95">
        <f>SUMIFS(营销场景数据源!$G:$G,营销场景数据源!$C:$C,$B$20,营销场景数据源!$A:$A,CU2)</f>
        <v>136</v>
      </c>
      <c r="CV21" s="95">
        <f>SUMIFS(营销场景数据源!$G:$G,营销场景数据源!$C:$C,$B$20,营销场景数据源!$A:$A,CV2)</f>
        <v>138</v>
      </c>
      <c r="CW21" s="95">
        <f>SUMIFS(营销场景数据源!$G:$G,营销场景数据源!$C:$C,$B$20,营销场景数据源!$A:$A,CW2)</f>
        <v>130</v>
      </c>
      <c r="CX21" s="95">
        <f>SUMIFS(营销场景数据源!$G:$G,营销场景数据源!$C:$C,$B$20,营销场景数据源!$A:$A,CX2)</f>
        <v>176</v>
      </c>
      <c r="CY21" s="95">
        <f>SUMIFS(营销场景数据源!$G:$G,营销场景数据源!$C:$C,$B$20,营销场景数据源!$A:$A,CY2)</f>
        <v>158</v>
      </c>
      <c r="CZ21" s="95">
        <f>SUMIFS(营销场景数据源!$G:$G,营销场景数据源!$C:$C,$B$20,营销场景数据源!$A:$A,CZ2)</f>
        <v>185</v>
      </c>
      <c r="DA21" s="95">
        <f>SUMIFS(营销场景数据源!$G:$G,营销场景数据源!$C:$C,$B$20,营销场景数据源!$A:$A,DA2)</f>
        <v>163</v>
      </c>
      <c r="DB21" s="95">
        <f>SUMIFS(营销场景数据源!$G:$G,营销场景数据源!$C:$C,$B$20,营销场景数据源!$A:$A,DB2)</f>
        <v>170</v>
      </c>
      <c r="DC21" s="95">
        <f>SUMIFS(营销场景数据源!$G:$G,营销场景数据源!$C:$C,$B$20,营销场景数据源!$A:$A,DC2)</f>
        <v>170</v>
      </c>
      <c r="DD21" s="95">
        <f>SUMIFS(营销场景数据源!$G:$G,营销场景数据源!$C:$C,$B$20,营销场景数据源!$A:$A,DD2)</f>
        <v>192</v>
      </c>
      <c r="DE21" s="95">
        <f>SUMIFS(营销场景数据源!$G:$G,营销场景数据源!$C:$C,$B$20,营销场景数据源!$A:$A,DE2)</f>
        <v>199</v>
      </c>
      <c r="DF21" s="65">
        <f>SUM(DG21:EJ21)</f>
        <v>4853</v>
      </c>
      <c r="DG21" s="95">
        <f>SUMIFS(营销场景数据源!$G:$G,营销场景数据源!$C:$C,$B$20,营销场景数据源!$A:$A,DG2)</f>
        <v>237</v>
      </c>
      <c r="DH21" s="95">
        <f>SUMIFS(营销场景数据源!$G:$G,营销场景数据源!$C:$C,$B$20,营销场景数据源!$A:$A,DH2)</f>
        <v>215</v>
      </c>
      <c r="DI21" s="95">
        <f>SUMIFS(营销场景数据源!$G:$G,营销场景数据源!$C:$C,$B$20,营销场景数据源!$A:$A,DI2)</f>
        <v>222</v>
      </c>
      <c r="DJ21" s="95">
        <f>SUMIFS(营销场景数据源!$G:$G,营销场景数据源!$C:$C,$B$20,营销场景数据源!$A:$A,DJ2)</f>
        <v>208</v>
      </c>
      <c r="DK21" s="95">
        <f>SUMIFS(营销场景数据源!$G:$G,营销场景数据源!$C:$C,$B$20,营销场景数据源!$A:$A,DK2)</f>
        <v>183</v>
      </c>
      <c r="DL21" s="95">
        <f>SUMIFS(营销场景数据源!$G:$G,营销场景数据源!$C:$C,$B$20,营销场景数据源!$A:$A,DL2)</f>
        <v>174</v>
      </c>
      <c r="DM21" s="95">
        <f>SUMIFS(营销场景数据源!$G:$G,营销场景数据源!$C:$C,$B$20,营销场景数据源!$A:$A,DM2)</f>
        <v>171</v>
      </c>
      <c r="DN21" s="95">
        <f>SUMIFS(营销场景数据源!$G:$G,营销场景数据源!$C:$C,$B$20,营销场景数据源!$A:$A,DN2)</f>
        <v>181</v>
      </c>
      <c r="DO21" s="95">
        <f>SUMIFS(营销场景数据源!$G:$G,营销场景数据源!$C:$C,$B$20,营销场景数据源!$A:$A,DO2)</f>
        <v>184</v>
      </c>
      <c r="DP21" s="95">
        <f>SUMIFS(营销场景数据源!$G:$G,营销场景数据源!$C:$C,$B$20,营销场景数据源!$A:$A,DP2)</f>
        <v>191</v>
      </c>
      <c r="DQ21" s="95">
        <f>SUMIFS(营销场景数据源!$G:$G,营销场景数据源!$C:$C,$B$20,营销场景数据源!$A:$A,DQ2)</f>
        <v>241</v>
      </c>
      <c r="DR21" s="95">
        <f>SUMIFS(营销场景数据源!$G:$G,营销场景数据源!$C:$C,$B$20,营销场景数据源!$A:$A,DR2)</f>
        <v>235</v>
      </c>
      <c r="DS21" s="95">
        <f>SUMIFS(营销场景数据源!$G:$G,营销场景数据源!$C:$C,$B$20,营销场景数据源!$A:$A,DS2)</f>
        <v>274</v>
      </c>
      <c r="DT21" s="95">
        <f>SUMIFS(营销场景数据源!$G:$G,营销场景数据源!$C:$C,$B$20,营销场景数据源!$A:$A,DT2)</f>
        <v>94</v>
      </c>
      <c r="DU21" s="95">
        <f>SUMIFS(营销场景数据源!$G:$G,营销场景数据源!$C:$C,$B$20,营销场景数据源!$A:$A,DU2)</f>
        <v>100</v>
      </c>
      <c r="DV21" s="95">
        <f>SUMIFS(营销场景数据源!$G:$G,营销场景数据源!$C:$C,$B$20,营销场景数据源!$A:$A,DV2)</f>
        <v>100</v>
      </c>
      <c r="DW21" s="95">
        <f>SUMIFS(营销场景数据源!$G:$G,营销场景数据源!$C:$C,$B$20,营销场景数据源!$A:$A,DW2)</f>
        <v>108</v>
      </c>
      <c r="DX21" s="95">
        <f>SUMIFS(营销场景数据源!$G:$G,营销场景数据源!$C:$C,$B$20,营销场景数据源!$A:$A,DX2)</f>
        <v>120</v>
      </c>
      <c r="DY21" s="95">
        <f>SUMIFS(营销场景数据源!$G:$G,营销场景数据源!$C:$C,$B$20,营销场景数据源!$A:$A,DY2)</f>
        <v>215</v>
      </c>
      <c r="DZ21" s="95">
        <f>SUMIFS(营销场景数据源!$G:$G,营销场景数据源!$C:$C,$B$20,营销场景数据源!$A:$A,DZ2)</f>
        <v>136</v>
      </c>
      <c r="EA21" s="95">
        <f>SUMIFS(营销场景数据源!$G:$G,营销场景数据源!$C:$C,$B$20,营销场景数据源!$A:$A,EA2)</f>
        <v>118</v>
      </c>
      <c r="EB21" s="95">
        <f>SUMIFS(营销场景数据源!$G:$G,营销场景数据源!$C:$C,$B$20,营销场景数据源!$A:$A,EB2)</f>
        <v>96</v>
      </c>
      <c r="EC21" s="95">
        <f>SUMIFS(营销场景数据源!$G:$G,营销场景数据源!$C:$C,$B$20,营销场景数据源!$A:$A,EC2)</f>
        <v>120</v>
      </c>
      <c r="ED21" s="95">
        <f>SUMIFS(营销场景数据源!$G:$G,营销场景数据源!$C:$C,$B$20,营销场景数据源!$A:$A,ED2)</f>
        <v>200</v>
      </c>
      <c r="EE21" s="95">
        <f>SUMIFS(营销场景数据源!$G:$G,营销场景数据源!$C:$C,$B$20,营销场景数据源!$A:$A,EE2)</f>
        <v>363</v>
      </c>
      <c r="EF21" s="95">
        <f>SUMIFS(营销场景数据源!$G:$G,营销场景数据源!$C:$C,$B$20,营销场景数据源!$A:$A,EF2)</f>
        <v>105</v>
      </c>
      <c r="EG21" s="95">
        <f>SUMIFS(营销场景数据源!$G:$G,营销场景数据源!$C:$C,$B$20,营销场景数据源!$A:$A,EG2)</f>
        <v>62</v>
      </c>
      <c r="EH21" s="95">
        <f>SUMIFS(营销场景数据源!$G:$G,营销场景数据源!$C:$C,$B$20,营销场景数据源!$A:$A,EH2)</f>
        <v>65</v>
      </c>
      <c r="EI21" s="95">
        <f>SUMIFS(营销场景数据源!$G:$G,营销场景数据源!$C:$C,$B$20,营销场景数据源!$A:$A,EI2)</f>
        <v>64</v>
      </c>
      <c r="EJ21" s="95">
        <f>SUMIFS(营销场景数据源!$G:$G,营销场景数据源!$C:$C,$B$20,营销场景数据源!$A:$A,EJ2)</f>
        <v>71</v>
      </c>
      <c r="EK21" s="65">
        <f>SUM(EL21:FP21)</f>
        <v>4180</v>
      </c>
      <c r="EL21" s="95">
        <f>SUMIFS(营销场景数据源!$G:$G,营销场景数据源!$C:$C,$B$20,营销场景数据源!$A:$A,EL2)</f>
        <v>38</v>
      </c>
      <c r="EM21" s="95">
        <f>SUMIFS(营销场景数据源!$G:$G,营销场景数据源!$C:$C,$B$20,营销场景数据源!$A:$A,EM2)</f>
        <v>35</v>
      </c>
      <c r="EN21" s="95">
        <f>SUMIFS(营销场景数据源!$G:$G,营销场景数据源!$C:$C,$B$20,营销场景数据源!$A:$A,EN2)</f>
        <v>32</v>
      </c>
      <c r="EO21" s="95">
        <f>SUMIFS(营销场景数据源!$G:$G,营销场景数据源!$C:$C,$B$20,营销场景数据源!$A:$A,EO2)</f>
        <v>33</v>
      </c>
      <c r="EP21" s="95">
        <f>SUMIFS(营销场景数据源!$G:$G,营销场景数据源!$C:$C,$B$20,营销场景数据源!$A:$A,EP2)</f>
        <v>31</v>
      </c>
      <c r="EQ21" s="95">
        <f>SUMIFS(营销场景数据源!$G:$G,营销场景数据源!$C:$C,$B$20,营销场景数据源!$A:$A,EQ2)</f>
        <v>48</v>
      </c>
      <c r="ER21" s="95">
        <f>SUMIFS(营销场景数据源!$G:$G,营销场景数据源!$C:$C,$B$20,营销场景数据源!$A:$A,ER2)</f>
        <v>53</v>
      </c>
      <c r="ES21" s="95">
        <f>SUMIFS(营销场景数据源!$G:$G,营销场景数据源!$C:$C,$B$20,营销场景数据源!$A:$A,ES2)</f>
        <v>39</v>
      </c>
      <c r="ET21" s="95">
        <f>SUMIFS(营销场景数据源!$G:$G,营销场景数据源!$C:$C,$B$20,营销场景数据源!$A:$A,ET2)</f>
        <v>56</v>
      </c>
      <c r="EU21" s="95">
        <f>SUMIFS(营销场景数据源!$G:$G,营销场景数据源!$C:$C,$B$20,营销场景数据源!$A:$A,EU2)</f>
        <v>136</v>
      </c>
      <c r="EV21" s="95">
        <f>SUMIFS(营销场景数据源!$G:$G,营销场景数据源!$C:$C,$B$20,营销场景数据源!$A:$A,EV2)</f>
        <v>126</v>
      </c>
      <c r="EW21" s="95">
        <f>SUMIFS(营销场景数据源!$G:$G,营销场景数据源!$C:$C,$B$20,营销场景数据源!$A:$A,EW2)</f>
        <v>211</v>
      </c>
      <c r="EX21" s="95">
        <f>SUMIFS(营销场景数据源!$G:$G,营销场景数据源!$C:$C,$B$20,营销场景数据源!$A:$A,EX2)</f>
        <v>216</v>
      </c>
      <c r="EY21" s="95">
        <f>SUMIFS(营销场景数据源!$G:$G,营销场景数据源!$C:$C,$B$20,营销场景数据源!$A:$A,EY2)</f>
        <v>157</v>
      </c>
      <c r="EZ21" s="95">
        <f>SUMIFS(营销场景数据源!$G:$G,营销场景数据源!$C:$C,$B$20,营销场景数据源!$A:$A,EZ2)</f>
        <v>88</v>
      </c>
      <c r="FA21" s="95">
        <f>SUMIFS(营销场景数据源!$G:$G,营销场景数据源!$C:$C,$B$20,营销场景数据源!$A:$A,FA2)</f>
        <v>121</v>
      </c>
      <c r="FB21" s="95">
        <f>SUMIFS(营销场景数据源!$G:$G,营销场景数据源!$C:$C,$B$20,营销场景数据源!$A:$A,FB2)</f>
        <v>123</v>
      </c>
      <c r="FC21" s="95">
        <f>SUMIFS(营销场景数据源!$G:$G,营销场景数据源!$C:$C,$B$20,营销场景数据源!$A:$A,FC2)</f>
        <v>96</v>
      </c>
      <c r="FD21" s="95">
        <f>SUMIFS(营销场景数据源!$G:$G,营销场景数据源!$C:$C,$B$20,营销场景数据源!$A:$A,FD2)</f>
        <v>150</v>
      </c>
      <c r="FE21" s="95">
        <f>SUMIFS(营销场景数据源!$G:$G,营销场景数据源!$C:$C,$B$20,营销场景数据源!$A:$A,FE2)</f>
        <v>162</v>
      </c>
      <c r="FF21" s="95">
        <f>SUMIFS(营销场景数据源!$G:$G,营销场景数据源!$C:$C,$B$20,营销场景数据源!$A:$A,FF2)</f>
        <v>178</v>
      </c>
      <c r="FG21" s="95">
        <f>SUMIFS(营销场景数据源!$G:$G,营销场景数据源!$C:$C,$B$20,营销场景数据源!$A:$A,FG2)</f>
        <v>156</v>
      </c>
      <c r="FH21" s="95">
        <f>SUMIFS(营销场景数据源!$G:$G,营销场景数据源!$C:$C,$B$20,营销场景数据源!$A:$A,FH2)</f>
        <v>200</v>
      </c>
      <c r="FI21" s="95">
        <f>SUMIFS(营销场景数据源!$G:$G,营销场景数据源!$C:$C,$B$20,营销场景数据源!$A:$A,FI2)</f>
        <v>238</v>
      </c>
      <c r="FJ21" s="95">
        <f>SUMIFS(营销场景数据源!$G:$G,营销场景数据源!$C:$C,$B$20,营销场景数据源!$A:$A,FJ2)</f>
        <v>205</v>
      </c>
      <c r="FK21" s="95">
        <f>SUMIFS(营销场景数据源!$G:$G,营销场景数据源!$C:$C,$B$20,营销场景数据源!$A:$A,FK2)</f>
        <v>199</v>
      </c>
      <c r="FL21" s="95">
        <f>SUMIFS(营销场景数据源!$G:$G,营销场景数据源!$C:$C,$B$20,营销场景数据源!$A:$A,FL2)</f>
        <v>204</v>
      </c>
      <c r="FM21" s="95">
        <f>SUMIFS(营销场景数据源!$G:$G,营销场景数据源!$C:$C,$B$20,营销场景数据源!$A:$A,FM2)</f>
        <v>193</v>
      </c>
      <c r="FN21" s="95">
        <f>SUMIFS(营销场景数据源!$G:$G,营销场景数据源!$C:$C,$B$20,营销场景数据源!$A:$A,FN2)</f>
        <v>196</v>
      </c>
      <c r="FO21" s="95">
        <f>SUMIFS(营销场景数据源!$G:$G,营销场景数据源!$C:$C,$B$20,营销场景数据源!$A:$A,FO2)</f>
        <v>202</v>
      </c>
      <c r="FP21" s="95">
        <f>SUMIFS(营销场景数据源!$G:$G,营销场景数据源!$C:$C,$B$20,营销场景数据源!$A:$A,FP2)</f>
        <v>258</v>
      </c>
      <c r="FQ21" s="65">
        <f>SUM(FR21:GX21)</f>
        <v>3583</v>
      </c>
      <c r="FR21" s="95">
        <f>SUMIFS(营销场景数据源!$G:$G,营销场景数据源!$C:$C,$B$20,营销场景数据源!$A:$A,FR2)</f>
        <v>163</v>
      </c>
      <c r="FS21" s="95">
        <f>SUMIFS(营销场景数据源!$G:$G,营销场景数据源!$C:$C,$B$20,营销场景数据源!$A:$A,FS2)</f>
        <v>134</v>
      </c>
      <c r="FT21" s="95">
        <f>SUMIFS(营销场景数据源!$G:$G,营销场景数据源!$C:$C,$B$20,营销场景数据源!$A:$A,FT2)</f>
        <v>102</v>
      </c>
      <c r="FU21" s="95">
        <f>SUMIFS(营销场景数据源!$G:$G,营销场景数据源!$C:$C,$B$20,营销场景数据源!$A:$A,FU2)</f>
        <v>191</v>
      </c>
      <c r="FV21" s="95">
        <f>SUMIFS(营销场景数据源!$G:$G,营销场景数据源!$C:$C,$B$20,营销场景数据源!$A:$A,FV2)</f>
        <v>176</v>
      </c>
      <c r="FW21" s="95">
        <f>SUMIFS(营销场景数据源!$G:$G,营销场景数据源!$C:$C,$B$20,营销场景数据源!$A:$A,FW2)</f>
        <v>160</v>
      </c>
      <c r="FX21" s="95">
        <f>SUMIFS(营销场景数据源!$G:$G,营销场景数据源!$C:$C,$B$20,营销场景数据源!$A:$A,FX2)</f>
        <v>174</v>
      </c>
      <c r="FY21" s="95">
        <f>SUMIFS(营销场景数据源!$G:$G,营销场景数据源!$C:$C,$B$20,营销场景数据源!$A:$A,FY2)</f>
        <v>183</v>
      </c>
      <c r="FZ21" s="95">
        <f>SUMIFS(营销场景数据源!$G:$G,营销场景数据源!$C:$C,$B$20,营销场景数据源!$A:$A,FZ2)</f>
        <v>168</v>
      </c>
      <c r="GA21" s="95">
        <f>SUMIFS(营销场景数据源!$G:$G,营销场景数据源!$C:$C,$B$20,营销场景数据源!$A:$A,GA2)</f>
        <v>199</v>
      </c>
      <c r="GB21" s="95">
        <f>SUMIFS(营销场景数据源!$G:$G,营销场景数据源!$C:$C,$B$20,营销场景数据源!$A:$A,GB2)</f>
        <v>182</v>
      </c>
      <c r="GC21" s="95">
        <f>SUMIFS(营销场景数据源!$G:$G,营销场景数据源!$C:$C,$B$20,营销场景数据源!$A:$A,GC2)</f>
        <v>162</v>
      </c>
      <c r="GD21" s="95">
        <f>SUMIFS(营销场景数据源!$G:$G,营销场景数据源!$C:$C,$B$20,营销场景数据源!$A:$A,GD2)</f>
        <v>185</v>
      </c>
      <c r="GE21" s="95">
        <f>SUMIFS(营销场景数据源!$G:$G,营销场景数据源!$C:$C,$B$20,营销场景数据源!$A:$A,GE2)</f>
        <v>196</v>
      </c>
      <c r="GF21" s="95">
        <f>SUMIFS(营销场景数据源!$G:$G,营销场景数据源!$C:$C,$B$20,营销场景数据源!$A:$A,GF2)</f>
        <v>190</v>
      </c>
      <c r="GG21" s="95">
        <f>SUMIFS(营销场景数据源!$G:$G,营销场景数据源!$C:$C,$B$20,营销场景数据源!$A:$A,GG2)</f>
        <v>175</v>
      </c>
      <c r="GH21" s="95">
        <f>SUMIFS(营销场景数据源!$G:$G,营销场景数据源!$C:$C,$B$20,营销场景数据源!$A:$A,GH2)</f>
        <v>196</v>
      </c>
      <c r="GI21" s="95">
        <f>SUMIFS(营销场景数据源!$G:$G,营销场景数据源!$C:$C,$B$20,营销场景数据源!$A:$A,GI2)</f>
        <v>168</v>
      </c>
      <c r="GJ21" s="95">
        <f>SUMIFS(营销场景数据源!$G:$G,营销场景数据源!$C:$C,$B$20,营销场景数据源!$A:$A,GJ2)</f>
        <v>147</v>
      </c>
      <c r="GK21" s="95">
        <f>SUMIFS(营销场景数据源!$G:$G,营销场景数据源!$C:$C,$B$20,营销场景数据源!$A:$A,GK2)</f>
        <v>145</v>
      </c>
      <c r="GL21" s="95">
        <f>SUMIFS(营销场景数据源!$G:$G,营销场景数据源!$C:$C,$B$20,营销场景数据源!$A:$A,GL2)</f>
        <v>187</v>
      </c>
      <c r="GM21" s="95">
        <f>SUMIFS(营销场景数据源!$G:$G,营销场景数据源!$C:$C,$B$20,营销场景数据源!$A:$A,GM2)</f>
        <v>0</v>
      </c>
      <c r="GN21" s="95">
        <f>SUMIFS(营销场景数据源!$G:$G,营销场景数据源!$C:$C,$B$20,营销场景数据源!$A:$A,GN2)</f>
        <v>0</v>
      </c>
      <c r="GO21" s="95">
        <f>SUMIFS(营销场景数据源!$G:$G,营销场景数据源!$C:$C,$B$20,营销场景数据源!$A:$A,GO2)</f>
        <v>0</v>
      </c>
      <c r="GP21" s="95">
        <f>SUMIFS(营销场景数据源!$G:$G,营销场景数据源!$C:$C,$B$20,营销场景数据源!$A:$A,GP2)</f>
        <v>0</v>
      </c>
    </row>
    <row r="22" ht="15" customHeight="1" spans="1:198">
      <c r="A22" s="91" t="s">
        <v>33</v>
      </c>
      <c r="B22" s="92"/>
      <c r="C22" s="93" t="s">
        <v>23</v>
      </c>
      <c r="D22" s="94" t="e">
        <f>SUM(E22:P22)</f>
        <v>#REF!</v>
      </c>
      <c r="E22" s="95" t="e">
        <f>#REF!</f>
        <v>#REF!</v>
      </c>
      <c r="F22" s="95" t="e">
        <f>#REF!</f>
        <v>#REF!</v>
      </c>
      <c r="G22" s="95" t="e">
        <f>#REF!</f>
        <v>#REF!</v>
      </c>
      <c r="H22" s="95" t="e">
        <f>#REF!</f>
        <v>#REF!</v>
      </c>
      <c r="I22" s="95" t="e">
        <f>#REF!</f>
        <v>#REF!</v>
      </c>
      <c r="J22" s="95" t="e">
        <f>#REF!</f>
        <v>#REF!</v>
      </c>
      <c r="K22" s="95" t="e">
        <f>#REF!</f>
        <v>#REF!</v>
      </c>
      <c r="L22" s="95" t="e">
        <f>#REF!</f>
        <v>#REF!</v>
      </c>
      <c r="M22" s="95" t="e">
        <f>#REF!</f>
        <v>#REF!</v>
      </c>
      <c r="N22" s="95" t="e">
        <f>#REF!</f>
        <v>#REF!</v>
      </c>
      <c r="O22" s="95" t="e">
        <f>#REF!</f>
        <v>#REF!</v>
      </c>
      <c r="P22" s="95" t="e">
        <f>#REF!</f>
        <v>#REF!</v>
      </c>
      <c r="Q22" s="65">
        <f>SUM(R22:AV22)</f>
        <v>10</v>
      </c>
      <c r="R22" s="95">
        <f>SUMIFS(营销场景数据源!$AB:$AB,营销场景数据源!$C:$C,$B$20,营销场景数据源!$A:$A,R2)</f>
        <v>0</v>
      </c>
      <c r="S22" s="95">
        <f>SUMIFS(营销场景数据源!$AB:$AB,营销场景数据源!$C:$C,$B$20,营销场景数据源!$A:$A,S2)</f>
        <v>0</v>
      </c>
      <c r="T22" s="95">
        <f>SUMIFS(营销场景数据源!$AB:$AB,营销场景数据源!$C:$C,$B$20,营销场景数据源!$A:$A,T2)</f>
        <v>0</v>
      </c>
      <c r="U22" s="95">
        <f>SUMIFS(营销场景数据源!$AB:$AB,营销场景数据源!$C:$C,$B$20,营销场景数据源!$A:$A,U2)</f>
        <v>0</v>
      </c>
      <c r="V22" s="95">
        <f>SUMIFS(营销场景数据源!$AB:$AB,营销场景数据源!$C:$C,$B$20,营销场景数据源!$A:$A,V2)</f>
        <v>0</v>
      </c>
      <c r="W22" s="95">
        <f>SUMIFS(营销场景数据源!$AB:$AB,营销场景数据源!$C:$C,$B$20,营销场景数据源!$A:$A,W2)</f>
        <v>0</v>
      </c>
      <c r="X22" s="95">
        <f>SUMIFS(营销场景数据源!$AB:$AB,营销场景数据源!$C:$C,$B$20,营销场景数据源!$A:$A,X2)</f>
        <v>0</v>
      </c>
      <c r="Y22" s="95">
        <f>SUMIFS(营销场景数据源!$AB:$AB,营销场景数据源!$C:$C,$B$20,营销场景数据源!$A:$A,Y2)</f>
        <v>0</v>
      </c>
      <c r="Z22" s="95">
        <f>SUMIFS(营销场景数据源!$AB:$AB,营销场景数据源!$C:$C,$B$20,营销场景数据源!$A:$A,Z2)</f>
        <v>0</v>
      </c>
      <c r="AA22" s="95">
        <f>SUMIFS(营销场景数据源!$AB:$AB,营销场景数据源!$C:$C,$B$20,营销场景数据源!$A:$A,AA2)</f>
        <v>0</v>
      </c>
      <c r="AB22" s="95">
        <f>SUMIFS(营销场景数据源!$AB:$AB,营销场景数据源!$C:$C,$B$20,营销场景数据源!$A:$A,AB2)</f>
        <v>0</v>
      </c>
      <c r="AC22" s="95">
        <f>SUMIFS(营销场景数据源!$AB:$AB,营销场景数据源!$C:$C,$B$20,营销场景数据源!$A:$A,AC2)</f>
        <v>0</v>
      </c>
      <c r="AD22" s="95">
        <f>SUMIFS(营销场景数据源!$AB:$AB,营销场景数据源!$C:$C,$B$20,营销场景数据源!$A:$A,AD2)</f>
        <v>0</v>
      </c>
      <c r="AE22" s="95">
        <f>SUMIFS(营销场景数据源!$AB:$AB,营销场景数据源!$C:$C,$B$20,营销场景数据源!$A:$A,AE2)</f>
        <v>0</v>
      </c>
      <c r="AF22" s="95">
        <f>SUMIFS(营销场景数据源!$AB:$AB,营销场景数据源!$C:$C,$B$20,营销场景数据源!$A:$A,AF2)</f>
        <v>0</v>
      </c>
      <c r="AG22" s="95">
        <f>SUMIFS(营销场景数据源!$AB:$AB,营销场景数据源!$C:$C,$B$20,营销场景数据源!$A:$A,AG2)</f>
        <v>0</v>
      </c>
      <c r="AH22" s="95">
        <f>SUMIFS(营销场景数据源!$AB:$AB,营销场景数据源!$C:$C,$B$20,营销场景数据源!$A:$A,AH2)</f>
        <v>0</v>
      </c>
      <c r="AI22" s="95">
        <f>SUMIFS(营销场景数据源!$AB:$AB,营销场景数据源!$C:$C,$B$20,营销场景数据源!$A:$A,AI2)</f>
        <v>0</v>
      </c>
      <c r="AJ22" s="95">
        <f>SUMIFS(营销场景数据源!$AB:$AB,营销场景数据源!$C:$C,$B$20,营销场景数据源!$A:$A,AJ2)</f>
        <v>0</v>
      </c>
      <c r="AK22" s="95">
        <f>SUMIFS(营销场景数据源!$AB:$AB,营销场景数据源!$C:$C,$B$20,营销场景数据源!$A:$A,AK2)</f>
        <v>0</v>
      </c>
      <c r="AL22" s="95">
        <f>SUMIFS(营销场景数据源!$AB:$AB,营销场景数据源!$C:$C,$B$20,营销场景数据源!$A:$A,AL2)</f>
        <v>0</v>
      </c>
      <c r="AM22" s="95">
        <f>SUMIFS(营销场景数据源!$AB:$AB,营销场景数据源!$C:$C,$B$20,营销场景数据源!$A:$A,AM2)</f>
        <v>0</v>
      </c>
      <c r="AN22" s="95">
        <f>SUMIFS(营销场景数据源!$AB:$AB,营销场景数据源!$C:$C,$B$20,营销场景数据源!$A:$A,AN2)</f>
        <v>0</v>
      </c>
      <c r="AO22" s="95">
        <f>SUMIFS(营销场景数据源!$AB:$AB,营销场景数据源!$C:$C,$B$20,营销场景数据源!$A:$A,AO2)</f>
        <v>0</v>
      </c>
      <c r="AP22" s="95">
        <f>SUMIFS(营销场景数据源!$AB:$AB,营销场景数据源!$C:$C,$B$20,营销场景数据源!$A:$A,AP2)</f>
        <v>5</v>
      </c>
      <c r="AQ22" s="95">
        <f>SUMIFS(营销场景数据源!$AB:$AB,营销场景数据源!$C:$C,$B$20,营销场景数据源!$A:$A,AQ2)</f>
        <v>0</v>
      </c>
      <c r="AR22" s="95">
        <f>SUMIFS(营销场景数据源!$AB:$AB,营销场景数据源!$C:$C,$B$20,营销场景数据源!$A:$A,AR2)</f>
        <v>0</v>
      </c>
      <c r="AS22" s="95">
        <f>SUMIFS(营销场景数据源!$AB:$AB,营销场景数据源!$C:$C,$B$20,营销场景数据源!$A:$A,AS2)</f>
        <v>0</v>
      </c>
      <c r="AT22" s="95">
        <f>SUMIFS(营销场景数据源!$AB:$AB,营销场景数据源!$C:$C,$B$20,营销场景数据源!$A:$A,AT2)</f>
        <v>2</v>
      </c>
      <c r="AU22" s="95">
        <f>SUMIFS(营销场景数据源!$AB:$AB,营销场景数据源!$C:$C,$B$20,营销场景数据源!$A:$A,AU2)</f>
        <v>3</v>
      </c>
      <c r="AV22" s="95">
        <f>SUMIFS(营销场景数据源!$AB:$AB,营销场景数据源!$C:$C,$B$20,营销场景数据源!$A:$A,AV2)</f>
        <v>0</v>
      </c>
      <c r="AW22" s="65">
        <f>SUM(AX22:BY22)</f>
        <v>81</v>
      </c>
      <c r="AX22" s="95">
        <f>SUMIFS(营销场景数据源!$AB:$AB,营销场景数据源!$C:$C,$B$20,营销场景数据源!$A:$A,AX2)</f>
        <v>3</v>
      </c>
      <c r="AY22" s="95">
        <f>SUMIFS(营销场景数据源!$AB:$AB,营销场景数据源!$C:$C,$B$20,营销场景数据源!$A:$A,AY2)</f>
        <v>2</v>
      </c>
      <c r="AZ22" s="95">
        <f>SUMIFS(营销场景数据源!$AB:$AB,营销场景数据源!$C:$C,$B$20,营销场景数据源!$A:$A,AZ2)</f>
        <v>0</v>
      </c>
      <c r="BA22" s="95">
        <f>SUMIFS(营销场景数据源!$AB:$AB,营销场景数据源!$C:$C,$B$20,营销场景数据源!$A:$A,BA2)</f>
        <v>0</v>
      </c>
      <c r="BB22" s="95">
        <f>SUMIFS(营销场景数据源!$AB:$AB,营销场景数据源!$C:$C,$B$20,营销场景数据源!$A:$A,BB2)</f>
        <v>2</v>
      </c>
      <c r="BC22" s="95">
        <f>SUMIFS(营销场景数据源!$AB:$AB,营销场景数据源!$C:$C,$B$20,营销场景数据源!$A:$A,BC2)</f>
        <v>7</v>
      </c>
      <c r="BD22" s="95">
        <f>SUMIFS(营销场景数据源!$AB:$AB,营销场景数据源!$C:$C,$B$20,营销场景数据源!$A:$A,BD2)</f>
        <v>0</v>
      </c>
      <c r="BE22" s="95">
        <f>SUMIFS(营销场景数据源!$AB:$AB,营销场景数据源!$C:$C,$B$20,营销场景数据源!$A:$A,BE2)</f>
        <v>3</v>
      </c>
      <c r="BF22" s="95">
        <f>SUMIFS(营销场景数据源!$AB:$AB,营销场景数据源!$C:$C,$B$20,营销场景数据源!$A:$A,BF2)</f>
        <v>1</v>
      </c>
      <c r="BG22" s="95">
        <f>SUMIFS(营销场景数据源!$AB:$AB,营销场景数据源!$C:$C,$B$20,营销场景数据源!$A:$A,BG2)</f>
        <v>17</v>
      </c>
      <c r="BH22" s="95">
        <f>SUMIFS(营销场景数据源!$AB:$AB,营销场景数据源!$C:$C,$B$20,营销场景数据源!$A:$A,BH2)</f>
        <v>1</v>
      </c>
      <c r="BI22" s="95">
        <f>SUMIFS(营销场景数据源!$AB:$AB,营销场景数据源!$C:$C,$B$20,营销场景数据源!$A:$A,BI2)</f>
        <v>0</v>
      </c>
      <c r="BJ22" s="95">
        <f>SUMIFS(营销场景数据源!$AB:$AB,营销场景数据源!$C:$C,$B$20,营销场景数据源!$A:$A,BJ2)</f>
        <v>2</v>
      </c>
      <c r="BK22" s="95">
        <f>SUMIFS(营销场景数据源!$AB:$AB,营销场景数据源!$C:$C,$B$20,营销场景数据源!$A:$A,BK2)</f>
        <v>1</v>
      </c>
      <c r="BL22" s="95">
        <f>SUMIFS(营销场景数据源!$AB:$AB,营销场景数据源!$C:$C,$B$20,营销场景数据源!$A:$A,BL2)</f>
        <v>7</v>
      </c>
      <c r="BM22" s="95">
        <f>SUMIFS(营销场景数据源!$AB:$AB,营销场景数据源!$C:$C,$B$20,营销场景数据源!$A:$A,BM2)</f>
        <v>5</v>
      </c>
      <c r="BN22" s="95">
        <f>SUMIFS(营销场景数据源!$AB:$AB,营销场景数据源!$C:$C,$B$20,营销场景数据源!$A:$A,BN2)</f>
        <v>1</v>
      </c>
      <c r="BO22" s="95">
        <f>SUMIFS(营销场景数据源!$AB:$AB,营销场景数据源!$C:$C,$B$20,营销场景数据源!$A:$A,BO2)</f>
        <v>0</v>
      </c>
      <c r="BP22" s="95">
        <f>SUMIFS(营销场景数据源!$AB:$AB,营销场景数据源!$C:$C,$B$20,营销场景数据源!$A:$A,BP2)</f>
        <v>0</v>
      </c>
      <c r="BQ22" s="95">
        <f>SUMIFS(营销场景数据源!$AB:$AB,营销场景数据源!$C:$C,$B$20,营销场景数据源!$A:$A,BQ2)</f>
        <v>1</v>
      </c>
      <c r="BR22" s="95">
        <f>SUMIFS(营销场景数据源!$AB:$AB,营销场景数据源!$C:$C,$B$20,营销场景数据源!$A:$A,BR2)</f>
        <v>5</v>
      </c>
      <c r="BS22" s="95">
        <f>SUMIFS(营销场景数据源!$AB:$AB,营销场景数据源!$C:$C,$B$20,营销场景数据源!$A:$A,BS2)</f>
        <v>3</v>
      </c>
      <c r="BT22" s="95">
        <f>SUMIFS(营销场景数据源!$AB:$AB,营销场景数据源!$C:$C,$B$20,营销场景数据源!$A:$A,BT2)</f>
        <v>2</v>
      </c>
      <c r="BU22" s="95">
        <f>SUMIFS(营销场景数据源!$AB:$AB,营销场景数据源!$C:$C,$B$20,营销场景数据源!$A:$A,BU2)</f>
        <v>6</v>
      </c>
      <c r="BV22" s="95">
        <f>SUMIFS(营销场景数据源!$AB:$AB,营销场景数据源!$C:$C,$B$20,营销场景数据源!$A:$A,BV2)</f>
        <v>4</v>
      </c>
      <c r="BW22" s="95">
        <f>SUMIFS(营销场景数据源!$AB:$AB,营销场景数据源!$C:$C,$B$20,营销场景数据源!$A:$A,BW2)</f>
        <v>5</v>
      </c>
      <c r="BX22" s="95">
        <f>SUMIFS(营销场景数据源!$AB:$AB,营销场景数据源!$C:$C,$B$20,营销场景数据源!$A:$A,BX2)</f>
        <v>2</v>
      </c>
      <c r="BY22" s="95">
        <f>SUMIFS(营销场景数据源!$AB:$AB,营销场景数据源!$C:$C,$B$20,营销场景数据源!$A:$A,BY2)</f>
        <v>1</v>
      </c>
      <c r="BZ22" s="65">
        <f>SUM(CA22:DE22)</f>
        <v>95</v>
      </c>
      <c r="CA22" s="95">
        <f>SUMIFS(营销场景数据源!$AB:$AB,营销场景数据源!$C:$C,$B$20,营销场景数据源!$A:$A,CA2)</f>
        <v>1</v>
      </c>
      <c r="CB22" s="95">
        <f>SUMIFS(营销场景数据源!$AB:$AB,营销场景数据源!$C:$C,$B$20,营销场景数据源!$A:$A,CB2)</f>
        <v>2</v>
      </c>
      <c r="CC22" s="95">
        <f>SUMIFS(营销场景数据源!$AB:$AB,营销场景数据源!$C:$C,$B$20,营销场景数据源!$A:$A,CC2)</f>
        <v>9</v>
      </c>
      <c r="CD22" s="95">
        <f>SUMIFS(营销场景数据源!$AB:$AB,营销场景数据源!$C:$C,$B$20,营销场景数据源!$A:$A,CD2)</f>
        <v>1</v>
      </c>
      <c r="CE22" s="95">
        <f>SUMIFS(营销场景数据源!$AB:$AB,营销场景数据源!$C:$C,$B$20,营销场景数据源!$A:$A,CE2)</f>
        <v>6</v>
      </c>
      <c r="CF22" s="95">
        <f>SUMIFS(营销场景数据源!$AB:$AB,营销场景数据源!$C:$C,$B$20,营销场景数据源!$A:$A,CF2)</f>
        <v>0</v>
      </c>
      <c r="CG22" s="95">
        <f>SUMIFS(营销场景数据源!$AB:$AB,营销场景数据源!$C:$C,$B$20,营销场景数据源!$A:$A,CG2)</f>
        <v>1</v>
      </c>
      <c r="CH22" s="95">
        <f>SUMIFS(营销场景数据源!$AB:$AB,营销场景数据源!$C:$C,$B$20,营销场景数据源!$A:$A,CH2)</f>
        <v>12</v>
      </c>
      <c r="CI22" s="95">
        <f>SUMIFS(营销场景数据源!$AB:$AB,营销场景数据源!$C:$C,$B$20,营销场景数据源!$A:$A,CI2)</f>
        <v>9</v>
      </c>
      <c r="CJ22" s="95">
        <f>SUMIFS(营销场景数据源!$AB:$AB,营销场景数据源!$C:$C,$B$20,营销场景数据源!$A:$A,CJ2)</f>
        <v>7</v>
      </c>
      <c r="CK22" s="95">
        <f>SUMIFS(营销场景数据源!$AB:$AB,营销场景数据源!$C:$C,$B$20,营销场景数据源!$A:$A,CK2)</f>
        <v>7</v>
      </c>
      <c r="CL22" s="95">
        <f>SUMIFS(营销场景数据源!$AB:$AB,营销场景数据源!$C:$C,$B$20,营销场景数据源!$A:$A,CL2)</f>
        <v>1</v>
      </c>
      <c r="CM22" s="95">
        <f>SUMIFS(营销场景数据源!$AB:$AB,营销场景数据源!$C:$C,$B$20,营销场景数据源!$A:$A,CM2)</f>
        <v>7</v>
      </c>
      <c r="CN22" s="95">
        <f>SUMIFS(营销场景数据源!$AB:$AB,营销场景数据源!$C:$C,$B$20,营销场景数据源!$A:$A,CN2)</f>
        <v>1</v>
      </c>
      <c r="CO22" s="95">
        <f>SUMIFS(营销场景数据源!$AB:$AB,营销场景数据源!$C:$C,$B$20,营销场景数据源!$A:$A,CO2)</f>
        <v>1</v>
      </c>
      <c r="CP22" s="95">
        <f>SUMIFS(营销场景数据源!$AB:$AB,营销场景数据源!$C:$C,$B$20,营销场景数据源!$A:$A,CP2)</f>
        <v>2</v>
      </c>
      <c r="CQ22" s="95">
        <f>SUMIFS(营销场景数据源!$AB:$AB,营销场景数据源!$C:$C,$B$20,营销场景数据源!$A:$A,CQ2)</f>
        <v>5</v>
      </c>
      <c r="CR22" s="95">
        <f>SUMIFS(营销场景数据源!$AB:$AB,营销场景数据源!$C:$C,$B$20,营销场景数据源!$A:$A,CR2)</f>
        <v>4</v>
      </c>
      <c r="CS22" s="95">
        <f>SUMIFS(营销场景数据源!$AB:$AB,营销场景数据源!$C:$C,$B$20,营销场景数据源!$A:$A,CS2)</f>
        <v>2</v>
      </c>
      <c r="CT22" s="95">
        <f>SUMIFS(营销场景数据源!$AB:$AB,营销场景数据源!$C:$C,$B$20,营销场景数据源!$A:$A,CT2)</f>
        <v>0</v>
      </c>
      <c r="CU22" s="95">
        <f>SUMIFS(营销场景数据源!$AB:$AB,营销场景数据源!$C:$C,$B$20,营销场景数据源!$A:$A,CU2)</f>
        <v>1</v>
      </c>
      <c r="CV22" s="95">
        <f>SUMIFS(营销场景数据源!$AB:$AB,营销场景数据源!$C:$C,$B$20,营销场景数据源!$A:$A,CV2)</f>
        <v>2</v>
      </c>
      <c r="CW22" s="95">
        <f>SUMIFS(营销场景数据源!$AB:$AB,营销场景数据源!$C:$C,$B$20,营销场景数据源!$A:$A,CW2)</f>
        <v>1</v>
      </c>
      <c r="CX22" s="95">
        <f>SUMIFS(营销场景数据源!$AB:$AB,营销场景数据源!$C:$C,$B$20,营销场景数据源!$A:$A,CX2)</f>
        <v>6</v>
      </c>
      <c r="CY22" s="95">
        <f>SUMIFS(营销场景数据源!$AB:$AB,营销场景数据源!$C:$C,$B$20,营销场景数据源!$A:$A,CY2)</f>
        <v>0</v>
      </c>
      <c r="CZ22" s="95">
        <f>SUMIFS(营销场景数据源!$AB:$AB,营销场景数据源!$C:$C,$B$20,营销场景数据源!$A:$A,CZ2)</f>
        <v>0</v>
      </c>
      <c r="DA22" s="95">
        <f>SUMIFS(营销场景数据源!$AB:$AB,营销场景数据源!$C:$C,$B$20,营销场景数据源!$A:$A,DA2)</f>
        <v>1</v>
      </c>
      <c r="DB22" s="95">
        <f>SUMIFS(营销场景数据源!$AB:$AB,营销场景数据源!$C:$C,$B$20,营销场景数据源!$A:$A,DB2)</f>
        <v>3</v>
      </c>
      <c r="DC22" s="95">
        <f>SUMIFS(营销场景数据源!$AB:$AB,营销场景数据源!$C:$C,$B$20,营销场景数据源!$A:$A,DC2)</f>
        <v>0</v>
      </c>
      <c r="DD22" s="95">
        <f>SUMIFS(营销场景数据源!$AB:$AB,营销场景数据源!$C:$C,$B$20,营销场景数据源!$A:$A,DD2)</f>
        <v>2</v>
      </c>
      <c r="DE22" s="95">
        <f>SUMIFS(营销场景数据源!$AB:$AB,营销场景数据源!$C:$C,$B$20,营销场景数据源!$A:$A,DE2)</f>
        <v>1</v>
      </c>
      <c r="DF22" s="65">
        <f>SUM(DG22:EJ22)</f>
        <v>91</v>
      </c>
      <c r="DG22" s="95">
        <f>SUMIFS(营销场景数据源!$AB:$AB,营销场景数据源!$C:$C,$B$20,营销场景数据源!$A:$A,DG2)</f>
        <v>2</v>
      </c>
      <c r="DH22" s="95">
        <f>SUMIFS(营销场景数据源!$AB:$AB,营销场景数据源!$C:$C,$B$20,营销场景数据源!$A:$A,DH2)</f>
        <v>4</v>
      </c>
      <c r="DI22" s="95">
        <f>SUMIFS(营销场景数据源!$AB:$AB,营销场景数据源!$C:$C,$B$20,营销场景数据源!$A:$A,DI2)</f>
        <v>2</v>
      </c>
      <c r="DJ22" s="95">
        <f>SUMIFS(营销场景数据源!$AB:$AB,营销场景数据源!$C:$C,$B$20,营销场景数据源!$A:$A,DJ2)</f>
        <v>0</v>
      </c>
      <c r="DK22" s="95">
        <f>SUMIFS(营销场景数据源!$AB:$AB,营销场景数据源!$C:$C,$B$20,营销场景数据源!$A:$A,DK2)</f>
        <v>0</v>
      </c>
      <c r="DL22" s="95">
        <f>SUMIFS(营销场景数据源!$AB:$AB,营销场景数据源!$C:$C,$B$20,营销场景数据源!$A:$A,DL2)</f>
        <v>1</v>
      </c>
      <c r="DM22" s="95">
        <f>SUMIFS(营销场景数据源!$AB:$AB,营销场景数据源!$C:$C,$B$20,营销场景数据源!$A:$A,DM2)</f>
        <v>0</v>
      </c>
      <c r="DN22" s="95">
        <f>SUMIFS(营销场景数据源!$AB:$AB,营销场景数据源!$C:$C,$B$20,营销场景数据源!$A:$A,DN2)</f>
        <v>0</v>
      </c>
      <c r="DO22" s="95">
        <f>SUMIFS(营销场景数据源!$AB:$AB,营销场景数据源!$C:$C,$B$20,营销场景数据源!$A:$A,DO2)</f>
        <v>3</v>
      </c>
      <c r="DP22" s="95">
        <f>SUMIFS(营销场景数据源!$AB:$AB,营销场景数据源!$C:$C,$B$20,营销场景数据源!$A:$A,DP2)</f>
        <v>1</v>
      </c>
      <c r="DQ22" s="95">
        <f>SUMIFS(营销场景数据源!$AB:$AB,营销场景数据源!$C:$C,$B$20,营销场景数据源!$A:$A,DQ2)</f>
        <v>5</v>
      </c>
      <c r="DR22" s="95">
        <f>SUMIFS(营销场景数据源!$AB:$AB,营销场景数据源!$C:$C,$B$20,营销场景数据源!$A:$A,DR2)</f>
        <v>2</v>
      </c>
      <c r="DS22" s="95">
        <f>SUMIFS(营销场景数据源!$AB:$AB,营销场景数据源!$C:$C,$B$20,营销场景数据源!$A:$A,DS2)</f>
        <v>3</v>
      </c>
      <c r="DT22" s="95">
        <f>SUMIFS(营销场景数据源!$AB:$AB,营销场景数据源!$C:$C,$B$20,营销场景数据源!$A:$A,DT2)</f>
        <v>6</v>
      </c>
      <c r="DU22" s="95">
        <f>SUMIFS(营销场景数据源!$AB:$AB,营销场景数据源!$C:$C,$B$20,营销场景数据源!$A:$A,DU2)</f>
        <v>6</v>
      </c>
      <c r="DV22" s="95">
        <f>SUMIFS(营销场景数据源!$AB:$AB,营销场景数据源!$C:$C,$B$20,营销场景数据源!$A:$A,DV2)</f>
        <v>0</v>
      </c>
      <c r="DW22" s="95">
        <f>SUMIFS(营销场景数据源!$AB:$AB,营销场景数据源!$C:$C,$B$20,营销场景数据源!$A:$A,DW2)</f>
        <v>0</v>
      </c>
      <c r="DX22" s="95">
        <f>SUMIFS(营销场景数据源!$AB:$AB,营销场景数据源!$C:$C,$B$20,营销场景数据源!$A:$A,DX2)</f>
        <v>2</v>
      </c>
      <c r="DY22" s="95">
        <f>SUMIFS(营销场景数据源!$AB:$AB,营销场景数据源!$C:$C,$B$20,营销场景数据源!$A:$A,DY2)</f>
        <v>4</v>
      </c>
      <c r="DZ22" s="95">
        <f>SUMIFS(营销场景数据源!$AB:$AB,营销场景数据源!$C:$C,$B$20,营销场景数据源!$A:$A,DZ2)</f>
        <v>2</v>
      </c>
      <c r="EA22" s="95">
        <f>SUMIFS(营销场景数据源!$AB:$AB,营销场景数据源!$C:$C,$B$20,营销场景数据源!$A:$A,EA2)</f>
        <v>2</v>
      </c>
      <c r="EB22" s="95">
        <f>SUMIFS(营销场景数据源!$AB:$AB,营销场景数据源!$C:$C,$B$20,营销场景数据源!$A:$A,EB2)</f>
        <v>13</v>
      </c>
      <c r="EC22" s="95">
        <f>SUMIFS(营销场景数据源!$AB:$AB,营销场景数据源!$C:$C,$B$20,营销场景数据源!$A:$A,EC2)</f>
        <v>1</v>
      </c>
      <c r="ED22" s="95">
        <f>SUMIFS(营销场景数据源!$AB:$AB,营销场景数据源!$C:$C,$B$20,营销场景数据源!$A:$A,ED2)</f>
        <v>7</v>
      </c>
      <c r="EE22" s="95">
        <f>SUMIFS(营销场景数据源!$AB:$AB,营销场景数据源!$C:$C,$B$20,营销场景数据源!$A:$A,EE2)</f>
        <v>13</v>
      </c>
      <c r="EF22" s="95">
        <f>SUMIFS(营销场景数据源!$AB:$AB,营销场景数据源!$C:$C,$B$20,营销场景数据源!$A:$A,EF2)</f>
        <v>3</v>
      </c>
      <c r="EG22" s="95">
        <f>SUMIFS(营销场景数据源!$AB:$AB,营销场景数据源!$C:$C,$B$20,营销场景数据源!$A:$A,EG2)</f>
        <v>3</v>
      </c>
      <c r="EH22" s="95">
        <f>SUMIFS(营销场景数据源!$AB:$AB,营销场景数据源!$C:$C,$B$20,营销场景数据源!$A:$A,EH2)</f>
        <v>3</v>
      </c>
      <c r="EI22" s="95">
        <f>SUMIFS(营销场景数据源!$AB:$AB,营销场景数据源!$C:$C,$B$20,营销场景数据源!$A:$A,EI2)</f>
        <v>2</v>
      </c>
      <c r="EJ22" s="95">
        <f>SUMIFS(营销场景数据源!$AB:$AB,营销场景数据源!$C:$C,$B$20,营销场景数据源!$A:$A,EJ2)</f>
        <v>1</v>
      </c>
      <c r="EK22" s="65">
        <f>SUM(EL22:FP22)</f>
        <v>128</v>
      </c>
      <c r="EL22" s="95">
        <f>SUMIFS(营销场景数据源!$AB:$AB,营销场景数据源!$C:$C,$B$20,营销场景数据源!$A:$A,EL2)</f>
        <v>3</v>
      </c>
      <c r="EM22" s="95">
        <f>SUMIFS(营销场景数据源!$AB:$AB,营销场景数据源!$C:$C,$B$20,营销场景数据源!$A:$A,EM2)</f>
        <v>2</v>
      </c>
      <c r="EN22" s="95">
        <f>SUMIFS(营销场景数据源!$AB:$AB,营销场景数据源!$C:$C,$B$20,营销场景数据源!$A:$A,EN2)</f>
        <v>1</v>
      </c>
      <c r="EO22" s="95">
        <f>SUMIFS(营销场景数据源!$AB:$AB,营销场景数据源!$C:$C,$B$20,营销场景数据源!$A:$A,EO2)</f>
        <v>2</v>
      </c>
      <c r="EP22" s="95">
        <f>SUMIFS(营销场景数据源!$AB:$AB,营销场景数据源!$C:$C,$B$20,营销场景数据源!$A:$A,EP2)</f>
        <v>3</v>
      </c>
      <c r="EQ22" s="95">
        <f>SUMIFS(营销场景数据源!$AB:$AB,营销场景数据源!$C:$C,$B$20,营销场景数据源!$A:$A,EQ2)</f>
        <v>4</v>
      </c>
      <c r="ER22" s="95">
        <f>SUMIFS(营销场景数据源!$AB:$AB,营销场景数据源!$C:$C,$B$20,营销场景数据源!$A:$A,ER2)</f>
        <v>6</v>
      </c>
      <c r="ES22" s="95">
        <f>SUMIFS(营销场景数据源!$AB:$AB,营销场景数据源!$C:$C,$B$20,营销场景数据源!$A:$A,ES2)</f>
        <v>2</v>
      </c>
      <c r="ET22" s="95">
        <f>SUMIFS(营销场景数据源!$AB:$AB,营销场景数据源!$C:$C,$B$20,营销场景数据源!$A:$A,ET2)</f>
        <v>1</v>
      </c>
      <c r="EU22" s="95">
        <f>SUMIFS(营销场景数据源!$AB:$AB,营销场景数据源!$C:$C,$B$20,营销场景数据源!$A:$A,EU2)</f>
        <v>3</v>
      </c>
      <c r="EV22" s="95">
        <f>SUMIFS(营销场景数据源!$AB:$AB,营销场景数据源!$C:$C,$B$20,营销场景数据源!$A:$A,EV2)</f>
        <v>5</v>
      </c>
      <c r="EW22" s="95">
        <f>SUMIFS(营销场景数据源!$AB:$AB,营销场景数据源!$C:$C,$B$20,营销场景数据源!$A:$A,EW2)</f>
        <v>11</v>
      </c>
      <c r="EX22" s="95">
        <f>SUMIFS(营销场景数据源!$AB:$AB,营销场景数据源!$C:$C,$B$20,营销场景数据源!$A:$A,EX2)</f>
        <v>5</v>
      </c>
      <c r="EY22" s="95">
        <f>SUMIFS(营销场景数据源!$AB:$AB,营销场景数据源!$C:$C,$B$20,营销场景数据源!$A:$A,EY2)</f>
        <v>11</v>
      </c>
      <c r="EZ22" s="95">
        <f>SUMIFS(营销场景数据源!$AB:$AB,营销场景数据源!$C:$C,$B$20,营销场景数据源!$A:$A,EZ2)</f>
        <v>5</v>
      </c>
      <c r="FA22" s="95">
        <f>SUMIFS(营销场景数据源!$AB:$AB,营销场景数据源!$C:$C,$B$20,营销场景数据源!$A:$A,FA2)</f>
        <v>5</v>
      </c>
      <c r="FB22" s="95">
        <f>SUMIFS(营销场景数据源!$AB:$AB,营销场景数据源!$C:$C,$B$20,营销场景数据源!$A:$A,FB2)</f>
        <v>3</v>
      </c>
      <c r="FC22" s="95">
        <f>SUMIFS(营销场景数据源!$AB:$AB,营销场景数据源!$C:$C,$B$20,营销场景数据源!$A:$A,FC2)</f>
        <v>3</v>
      </c>
      <c r="FD22" s="95">
        <f>SUMIFS(营销场景数据源!$AB:$AB,营销场景数据源!$C:$C,$B$20,营销场景数据源!$A:$A,FD2)</f>
        <v>2</v>
      </c>
      <c r="FE22" s="95">
        <f>SUMIFS(营销场景数据源!$AB:$AB,营销场景数据源!$C:$C,$B$20,营销场景数据源!$A:$A,FE2)</f>
        <v>2</v>
      </c>
      <c r="FF22" s="95">
        <f>SUMIFS(营销场景数据源!$AB:$AB,营销场景数据源!$C:$C,$B$20,营销场景数据源!$A:$A,FF2)</f>
        <v>1</v>
      </c>
      <c r="FG22" s="95">
        <f>SUMIFS(营销场景数据源!$AB:$AB,营销场景数据源!$C:$C,$B$20,营销场景数据源!$A:$A,FG2)</f>
        <v>4</v>
      </c>
      <c r="FH22" s="95">
        <f>SUMIFS(营销场景数据源!$AB:$AB,营销场景数据源!$C:$C,$B$20,营销场景数据源!$A:$A,FH2)</f>
        <v>12</v>
      </c>
      <c r="FI22" s="95">
        <f>SUMIFS(营销场景数据源!$AB:$AB,营销场景数据源!$C:$C,$B$20,营销场景数据源!$A:$A,FI2)</f>
        <v>1</v>
      </c>
      <c r="FJ22" s="95">
        <f>SUMIFS(营销场景数据源!$AB:$AB,营销场景数据源!$C:$C,$B$20,营销场景数据源!$A:$A,FJ2)</f>
        <v>5</v>
      </c>
      <c r="FK22" s="95">
        <f>SUMIFS(营销场景数据源!$AB:$AB,营销场景数据源!$C:$C,$B$20,营销场景数据源!$A:$A,FK2)</f>
        <v>7</v>
      </c>
      <c r="FL22" s="95">
        <f>SUMIFS(营销场景数据源!$AB:$AB,营销场景数据源!$C:$C,$B$20,营销场景数据源!$A:$A,FL2)</f>
        <v>4</v>
      </c>
      <c r="FM22" s="95">
        <f>SUMIFS(营销场景数据源!$AB:$AB,营销场景数据源!$C:$C,$B$20,营销场景数据源!$A:$A,FM2)</f>
        <v>4</v>
      </c>
      <c r="FN22" s="95">
        <f>SUMIFS(营销场景数据源!$AB:$AB,营销场景数据源!$C:$C,$B$20,营销场景数据源!$A:$A,FN2)</f>
        <v>8</v>
      </c>
      <c r="FO22" s="95">
        <f>SUMIFS(营销场景数据源!$AB:$AB,营销场景数据源!$C:$C,$B$20,营销场景数据源!$A:$A,FO2)</f>
        <v>1</v>
      </c>
      <c r="FP22" s="95">
        <f>SUMIFS(营销场景数据源!$AB:$AB,营销场景数据源!$C:$C,$B$20,营销场景数据源!$A:$A,FP2)</f>
        <v>2</v>
      </c>
      <c r="FQ22" s="65">
        <f>SUM(FR22:GX22)</f>
        <v>119</v>
      </c>
      <c r="FR22" s="95">
        <f>SUMIFS(营销场景数据源!$AB:$AB,营销场景数据源!$C:$C,$B$20,营销场景数据源!$A:$A,FR2)</f>
        <v>1</v>
      </c>
      <c r="FS22" s="95">
        <f>SUMIFS(营销场景数据源!$AB:$AB,营销场景数据源!$C:$C,$B$20,营销场景数据源!$A:$A,FS2)</f>
        <v>2</v>
      </c>
      <c r="FT22" s="95">
        <f>SUMIFS(营销场景数据源!$AB:$AB,营销场景数据源!$C:$C,$B$20,营销场景数据源!$A:$A,FT2)</f>
        <v>9</v>
      </c>
      <c r="FU22" s="95">
        <f>SUMIFS(营销场景数据源!$AB:$AB,营销场景数据源!$C:$C,$B$20,营销场景数据源!$A:$A,FU2)</f>
        <v>2</v>
      </c>
      <c r="FV22" s="95">
        <f>SUMIFS(营销场景数据源!$AB:$AB,营销场景数据源!$C:$C,$B$20,营销场景数据源!$A:$A,FV2)</f>
        <v>1</v>
      </c>
      <c r="FW22" s="95">
        <f>SUMIFS(营销场景数据源!$AB:$AB,营销场景数据源!$C:$C,$B$20,营销场景数据源!$A:$A,FW2)</f>
        <v>9</v>
      </c>
      <c r="FX22" s="95">
        <f>SUMIFS(营销场景数据源!$AB:$AB,营销场景数据源!$C:$C,$B$20,营销场景数据源!$A:$A,FX2)</f>
        <v>10</v>
      </c>
      <c r="FY22" s="95">
        <f>SUMIFS(营销场景数据源!$AB:$AB,营销场景数据源!$C:$C,$B$20,营销场景数据源!$A:$A,FY2)</f>
        <v>6</v>
      </c>
      <c r="FZ22" s="95">
        <f>SUMIFS(营销场景数据源!$AB:$AB,营销场景数据源!$C:$C,$B$20,营销场景数据源!$A:$A,FZ2)</f>
        <v>5</v>
      </c>
      <c r="GA22" s="95">
        <f>SUMIFS(营销场景数据源!$AB:$AB,营销场景数据源!$C:$C,$B$20,营销场景数据源!$A:$A,GA2)</f>
        <v>3</v>
      </c>
      <c r="GB22" s="95">
        <f>SUMIFS(营销场景数据源!$AB:$AB,营销场景数据源!$C:$C,$B$20,营销场景数据源!$A:$A,GB2)</f>
        <v>5</v>
      </c>
      <c r="GC22" s="95">
        <f>SUMIFS(营销场景数据源!$AB:$AB,营销场景数据源!$C:$C,$B$20,营销场景数据源!$A:$A,GC2)</f>
        <v>3</v>
      </c>
      <c r="GD22" s="95">
        <f>SUMIFS(营销场景数据源!$AB:$AB,营销场景数据源!$C:$C,$B$20,营销场景数据源!$A:$A,GD2)</f>
        <v>4</v>
      </c>
      <c r="GE22" s="95">
        <f>SUMIFS(营销场景数据源!$AB:$AB,营销场景数据源!$C:$C,$B$20,营销场景数据源!$A:$A,GE2)</f>
        <v>11</v>
      </c>
      <c r="GF22" s="95">
        <f>SUMIFS(营销场景数据源!$AB:$AB,营销场景数据源!$C:$C,$B$20,营销场景数据源!$A:$A,GF2)</f>
        <v>7</v>
      </c>
      <c r="GG22" s="95">
        <f>SUMIFS(营销场景数据源!$AB:$AB,营销场景数据源!$C:$C,$B$20,营销场景数据源!$A:$A,GG2)</f>
        <v>18</v>
      </c>
      <c r="GH22" s="95">
        <f>SUMIFS(营销场景数据源!$AB:$AB,营销场景数据源!$C:$C,$B$20,营销场景数据源!$A:$A,GH2)</f>
        <v>3</v>
      </c>
      <c r="GI22" s="95">
        <f>SUMIFS(营销场景数据源!$AB:$AB,营销场景数据源!$C:$C,$B$20,营销场景数据源!$A:$A,GI2)</f>
        <v>4</v>
      </c>
      <c r="GJ22" s="95">
        <f>SUMIFS(营销场景数据源!$AB:$AB,营销场景数据源!$C:$C,$B$20,营销场景数据源!$A:$A,GJ2)</f>
        <v>7</v>
      </c>
      <c r="GK22" s="95">
        <f>SUMIFS(营销场景数据源!$AB:$AB,营销场景数据源!$C:$C,$B$20,营销场景数据源!$A:$A,GK2)</f>
        <v>6</v>
      </c>
      <c r="GL22" s="95">
        <f>SUMIFS(营销场景数据源!$AB:$AB,营销场景数据源!$C:$C,$B$20,营销场景数据源!$A:$A,GL2)</f>
        <v>3</v>
      </c>
      <c r="GM22" s="95">
        <f>SUMIFS(营销场景数据源!$AB:$AB,营销场景数据源!$C:$C,$B$20,营销场景数据源!$A:$A,GM2)</f>
        <v>0</v>
      </c>
      <c r="GN22" s="95">
        <f>SUMIFS(营销场景数据源!$AB:$AB,营销场景数据源!$C:$C,$B$20,营销场景数据源!$A:$A,GN2)</f>
        <v>0</v>
      </c>
      <c r="GO22" s="95">
        <f>SUMIFS(营销场景数据源!$AB:$AB,营销场景数据源!$C:$C,$B$20,营销场景数据源!$A:$A,GO2)</f>
        <v>0</v>
      </c>
      <c r="GP22" s="95">
        <f>SUMIFS(营销场景数据源!$AB:$AB,营销场景数据源!$C:$C,$B$20,营销场景数据源!$A:$A,GP2)</f>
        <v>0</v>
      </c>
    </row>
    <row r="23" ht="15" customHeight="1" spans="1:198">
      <c r="A23" s="84" t="e">
        <f>D6</f>
        <v>#REF!</v>
      </c>
      <c r="B23" s="92"/>
      <c r="C23" s="93" t="s">
        <v>25</v>
      </c>
      <c r="D23" s="94" t="e">
        <f>SUM(E23:P23)</f>
        <v>#REF!</v>
      </c>
      <c r="E23" s="95" t="e">
        <f>#REF!</f>
        <v>#REF!</v>
      </c>
      <c r="F23" s="95" t="e">
        <f>#REF!</f>
        <v>#REF!</v>
      </c>
      <c r="G23" s="95" t="e">
        <f>#REF!</f>
        <v>#REF!</v>
      </c>
      <c r="H23" s="95" t="e">
        <f>#REF!</f>
        <v>#REF!</v>
      </c>
      <c r="I23" s="95" t="e">
        <f>#REF!</f>
        <v>#REF!</v>
      </c>
      <c r="J23" s="95" t="e">
        <f>#REF!</f>
        <v>#REF!</v>
      </c>
      <c r="K23" s="95" t="e">
        <f>#REF!</f>
        <v>#REF!</v>
      </c>
      <c r="L23" s="95" t="e">
        <f>#REF!</f>
        <v>#REF!</v>
      </c>
      <c r="M23" s="95" t="e">
        <f>#REF!</f>
        <v>#REF!</v>
      </c>
      <c r="N23" s="95" t="e">
        <f>#REF!</f>
        <v>#REF!</v>
      </c>
      <c r="O23" s="95" t="e">
        <f>#REF!</f>
        <v>#REF!</v>
      </c>
      <c r="P23" s="95" t="e">
        <f>#REF!</f>
        <v>#REF!</v>
      </c>
      <c r="Q23" s="65">
        <f>SUM(R23:AV23)</f>
        <v>0</v>
      </c>
      <c r="R23" s="95">
        <f>SUMIFS(营销场景数据源!$U:$U,营销场景数据源!$C:$C,$B$20,营销场景数据源!$A:$A,R2)</f>
        <v>0</v>
      </c>
      <c r="S23" s="95">
        <f>SUMIFS(营销场景数据源!$U:$U,营销场景数据源!$C:$C,$B$20,营销场景数据源!$A:$A,S2)</f>
        <v>0</v>
      </c>
      <c r="T23" s="95">
        <f>SUMIFS(营销场景数据源!$U:$U,营销场景数据源!$C:$C,$B$20,营销场景数据源!$A:$A,T2)</f>
        <v>0</v>
      </c>
      <c r="U23" s="95">
        <f>SUMIFS(营销场景数据源!$U:$U,营销场景数据源!$C:$C,$B$20,营销场景数据源!$A:$A,U2)</f>
        <v>0</v>
      </c>
      <c r="V23" s="95">
        <f>SUMIFS(营销场景数据源!$U:$U,营销场景数据源!$C:$C,$B$20,营销场景数据源!$A:$A,V2)</f>
        <v>0</v>
      </c>
      <c r="W23" s="95">
        <f>SUMIFS(营销场景数据源!$U:$U,营销场景数据源!$C:$C,$B$20,营销场景数据源!$A:$A,W2)</f>
        <v>0</v>
      </c>
      <c r="X23" s="95">
        <f>SUMIFS(营销场景数据源!$U:$U,营销场景数据源!$C:$C,$B$20,营销场景数据源!$A:$A,X2)</f>
        <v>0</v>
      </c>
      <c r="Y23" s="95">
        <f>SUMIFS(营销场景数据源!$U:$U,营销场景数据源!$C:$C,$B$20,营销场景数据源!$A:$A,Y2)</f>
        <v>0</v>
      </c>
      <c r="Z23" s="95">
        <f>SUMIFS(营销场景数据源!$U:$U,营销场景数据源!$C:$C,$B$20,营销场景数据源!$A:$A,Z2)</f>
        <v>0</v>
      </c>
      <c r="AA23" s="95">
        <f>SUMIFS(营销场景数据源!$U:$U,营销场景数据源!$C:$C,$B$20,营销场景数据源!$A:$A,AA2)</f>
        <v>0</v>
      </c>
      <c r="AB23" s="95">
        <f>SUMIFS(营销场景数据源!$U:$U,营销场景数据源!$C:$C,$B$20,营销场景数据源!$A:$A,AB2)</f>
        <v>0</v>
      </c>
      <c r="AC23" s="95">
        <f>SUMIFS(营销场景数据源!$U:$U,营销场景数据源!$C:$C,$B$20,营销场景数据源!$A:$A,AC2)</f>
        <v>0</v>
      </c>
      <c r="AD23" s="95">
        <f>SUMIFS(营销场景数据源!$U:$U,营销场景数据源!$C:$C,$B$20,营销场景数据源!$A:$A,AD2)</f>
        <v>0</v>
      </c>
      <c r="AE23" s="95">
        <f>SUMIFS(营销场景数据源!$U:$U,营销场景数据源!$C:$C,$B$20,营销场景数据源!$A:$A,AE2)</f>
        <v>0</v>
      </c>
      <c r="AF23" s="95">
        <f>SUMIFS(营销场景数据源!$U:$U,营销场景数据源!$C:$C,$B$20,营销场景数据源!$A:$A,AF2)</f>
        <v>0</v>
      </c>
      <c r="AG23" s="95">
        <f>SUMIFS(营销场景数据源!$U:$U,营销场景数据源!$C:$C,$B$20,营销场景数据源!$A:$A,AG2)</f>
        <v>0</v>
      </c>
      <c r="AH23" s="95">
        <f>SUMIFS(营销场景数据源!$U:$U,营销场景数据源!$C:$C,$B$20,营销场景数据源!$A:$A,AH2)</f>
        <v>0</v>
      </c>
      <c r="AI23" s="95">
        <f>SUMIFS(营销场景数据源!$U:$U,营销场景数据源!$C:$C,$B$20,营销场景数据源!$A:$A,AI2)</f>
        <v>0</v>
      </c>
      <c r="AJ23" s="95">
        <f>SUMIFS(营销场景数据源!$U:$U,营销场景数据源!$C:$C,$B$20,营销场景数据源!$A:$A,AJ2)</f>
        <v>0</v>
      </c>
      <c r="AK23" s="95">
        <f>SUMIFS(营销场景数据源!$U:$U,营销场景数据源!$C:$C,$B$20,营销场景数据源!$A:$A,AK2)</f>
        <v>0</v>
      </c>
      <c r="AL23" s="95">
        <f>SUMIFS(营销场景数据源!$U:$U,营销场景数据源!$C:$C,$B$20,营销场景数据源!$A:$A,AL2)</f>
        <v>0</v>
      </c>
      <c r="AM23" s="95">
        <f>SUMIFS(营销场景数据源!$U:$U,营销场景数据源!$C:$C,$B$20,营销场景数据源!$A:$A,AM2)</f>
        <v>0</v>
      </c>
      <c r="AN23" s="95">
        <f>SUMIFS(营销场景数据源!$U:$U,营销场景数据源!$C:$C,$B$20,营销场景数据源!$A:$A,AN2)</f>
        <v>0</v>
      </c>
      <c r="AO23" s="95">
        <f>SUMIFS(营销场景数据源!$U:$U,营销场景数据源!$C:$C,$B$20,营销场景数据源!$A:$A,AO2)</f>
        <v>0</v>
      </c>
      <c r="AP23" s="95">
        <f>SUMIFS(营销场景数据源!$U:$U,营销场景数据源!$C:$C,$B$20,营销场景数据源!$A:$A,AP2)</f>
        <v>0</v>
      </c>
      <c r="AQ23" s="95">
        <f>SUMIFS(营销场景数据源!$U:$U,营销场景数据源!$C:$C,$B$20,营销场景数据源!$A:$A,AQ2)</f>
        <v>0</v>
      </c>
      <c r="AR23" s="95">
        <f>SUMIFS(营销场景数据源!$U:$U,营销场景数据源!$C:$C,$B$20,营销场景数据源!$A:$A,AR2)</f>
        <v>0</v>
      </c>
      <c r="AS23" s="95">
        <f>SUMIFS(营销场景数据源!$U:$U,营销场景数据源!$C:$C,$B$20,营销场景数据源!$A:$A,AS2)</f>
        <v>0</v>
      </c>
      <c r="AT23" s="95">
        <f>SUMIFS(营销场景数据源!$U:$U,营销场景数据源!$C:$C,$B$20,营销场景数据源!$A:$A,AT2)</f>
        <v>0</v>
      </c>
      <c r="AU23" s="95">
        <f>SUMIFS(营销场景数据源!$U:$U,营销场景数据源!$C:$C,$B$20,营销场景数据源!$A:$A,AU2)</f>
        <v>0</v>
      </c>
      <c r="AV23" s="95">
        <f>SUMIFS(营销场景数据源!$U:$U,营销场景数据源!$C:$C,$B$20,营销场景数据源!$A:$A,AV2)</f>
        <v>0</v>
      </c>
      <c r="AW23" s="65">
        <f>SUM(AX23:BY23)</f>
        <v>10</v>
      </c>
      <c r="AX23" s="95">
        <f>SUMIFS(营销场景数据源!$U:$U,营销场景数据源!$C:$C,$B$20,营销场景数据源!$A:$A,AX2)</f>
        <v>3</v>
      </c>
      <c r="AY23" s="95">
        <f>SUMIFS(营销场景数据源!$U:$U,营销场景数据源!$C:$C,$B$20,营销场景数据源!$A:$A,AY2)</f>
        <v>2</v>
      </c>
      <c r="AZ23" s="95">
        <f>SUMIFS(营销场景数据源!$U:$U,营销场景数据源!$C:$C,$B$20,营销场景数据源!$A:$A,AZ2)</f>
        <v>0</v>
      </c>
      <c r="BA23" s="95">
        <f>SUMIFS(营销场景数据源!$U:$U,营销场景数据源!$C:$C,$B$20,营销场景数据源!$A:$A,BA2)</f>
        <v>0</v>
      </c>
      <c r="BB23" s="95">
        <f>SUMIFS(营销场景数据源!$U:$U,营销场景数据源!$C:$C,$B$20,营销场景数据源!$A:$A,BB2)</f>
        <v>0</v>
      </c>
      <c r="BC23" s="95">
        <f>SUMIFS(营销场景数据源!$U:$U,营销场景数据源!$C:$C,$B$20,营销场景数据源!$A:$A,BC2)</f>
        <v>2</v>
      </c>
      <c r="BD23" s="95">
        <f>SUMIFS(营销场景数据源!$U:$U,营销场景数据源!$C:$C,$B$20,营销场景数据源!$A:$A,BD2)</f>
        <v>0</v>
      </c>
      <c r="BE23" s="95">
        <f>SUMIFS(营销场景数据源!$U:$U,营销场景数据源!$C:$C,$B$20,营销场景数据源!$A:$A,BE2)</f>
        <v>0</v>
      </c>
      <c r="BF23" s="95">
        <f>SUMIFS(营销场景数据源!$U:$U,营销场景数据源!$C:$C,$B$20,营销场景数据源!$A:$A,BF2)</f>
        <v>0</v>
      </c>
      <c r="BG23" s="95">
        <f>SUMIFS(营销场景数据源!$U:$U,营销场景数据源!$C:$C,$B$20,营销场景数据源!$A:$A,BG2)</f>
        <v>1</v>
      </c>
      <c r="BH23" s="95">
        <f>SUMIFS(营销场景数据源!$U:$U,营销场景数据源!$C:$C,$B$20,营销场景数据源!$A:$A,BH2)</f>
        <v>0</v>
      </c>
      <c r="BI23" s="95">
        <f>SUMIFS(营销场景数据源!$U:$U,营销场景数据源!$C:$C,$B$20,营销场景数据源!$A:$A,BI2)</f>
        <v>0</v>
      </c>
      <c r="BJ23" s="95">
        <f>SUMIFS(营销场景数据源!$U:$U,营销场景数据源!$C:$C,$B$20,营销场景数据源!$A:$A,BJ2)</f>
        <v>0</v>
      </c>
      <c r="BK23" s="95">
        <f>SUMIFS(营销场景数据源!$U:$U,营销场景数据源!$C:$C,$B$20,营销场景数据源!$A:$A,BK2)</f>
        <v>0</v>
      </c>
      <c r="BL23" s="95">
        <f>SUMIFS(营销场景数据源!$U:$U,营销场景数据源!$C:$C,$B$20,营销场景数据源!$A:$A,BL2)</f>
        <v>0</v>
      </c>
      <c r="BM23" s="95">
        <f>SUMIFS(营销场景数据源!$U:$U,营销场景数据源!$C:$C,$B$20,营销场景数据源!$A:$A,BM2)</f>
        <v>0</v>
      </c>
      <c r="BN23" s="95">
        <f>SUMIFS(营销场景数据源!$U:$U,营销场景数据源!$C:$C,$B$20,营销场景数据源!$A:$A,BN2)</f>
        <v>0</v>
      </c>
      <c r="BO23" s="95">
        <f>SUMIFS(营销场景数据源!$U:$U,营销场景数据源!$C:$C,$B$20,营销场景数据源!$A:$A,BO2)</f>
        <v>0</v>
      </c>
      <c r="BP23" s="95">
        <f>SUMIFS(营销场景数据源!$U:$U,营销场景数据源!$C:$C,$B$20,营销场景数据源!$A:$A,BP2)</f>
        <v>0</v>
      </c>
      <c r="BQ23" s="95">
        <f>SUMIFS(营销场景数据源!$U:$U,营销场景数据源!$C:$C,$B$20,营销场景数据源!$A:$A,BQ2)</f>
        <v>0</v>
      </c>
      <c r="BR23" s="95">
        <f>SUMIFS(营销场景数据源!$U:$U,营销场景数据源!$C:$C,$B$20,营销场景数据源!$A:$A,BR2)</f>
        <v>1</v>
      </c>
      <c r="BS23" s="95">
        <f>SUMIFS(营销场景数据源!$U:$U,营销场景数据源!$C:$C,$B$20,营销场景数据源!$A:$A,BS2)</f>
        <v>0</v>
      </c>
      <c r="BT23" s="95">
        <f>SUMIFS(营销场景数据源!$U:$U,营销场景数据源!$C:$C,$B$20,营销场景数据源!$A:$A,BT2)</f>
        <v>0</v>
      </c>
      <c r="BU23" s="95">
        <f>SUMIFS(营销场景数据源!$U:$U,营销场景数据源!$C:$C,$B$20,营销场景数据源!$A:$A,BU2)</f>
        <v>0</v>
      </c>
      <c r="BV23" s="95">
        <f>SUMIFS(营销场景数据源!$U:$U,营销场景数据源!$C:$C,$B$20,营销场景数据源!$A:$A,BV2)</f>
        <v>0</v>
      </c>
      <c r="BW23" s="95">
        <f>SUMIFS(营销场景数据源!$U:$U,营销场景数据源!$C:$C,$B$20,营销场景数据源!$A:$A,BW2)</f>
        <v>1</v>
      </c>
      <c r="BX23" s="95">
        <f>SUMIFS(营销场景数据源!$U:$U,营销场景数据源!$C:$C,$B$20,营销场景数据源!$A:$A,BX2)</f>
        <v>0</v>
      </c>
      <c r="BY23" s="95">
        <f>SUMIFS(营销场景数据源!$U:$U,营销场景数据源!$C:$C,$B$20,营销场景数据源!$A:$A,BY2)</f>
        <v>0</v>
      </c>
      <c r="BZ23" s="65">
        <f>SUM(CA23:DE23)</f>
        <v>8</v>
      </c>
      <c r="CA23" s="95">
        <f>SUMIFS(营销场景数据源!$U:$U,营销场景数据源!$C:$C,$B$20,营销场景数据源!$A:$A,CA2)</f>
        <v>0</v>
      </c>
      <c r="CB23" s="95">
        <f>SUMIFS(营销场景数据源!$U:$U,营销场景数据源!$C:$C,$B$20,营销场景数据源!$A:$A,CB2)</f>
        <v>0</v>
      </c>
      <c r="CC23" s="95">
        <f>SUMIFS(营销场景数据源!$U:$U,营销场景数据源!$C:$C,$B$20,营销场景数据源!$A:$A,CC2)</f>
        <v>0</v>
      </c>
      <c r="CD23" s="95">
        <f>SUMIFS(营销场景数据源!$U:$U,营销场景数据源!$C:$C,$B$20,营销场景数据源!$A:$A,CD2)</f>
        <v>1</v>
      </c>
      <c r="CE23" s="95">
        <f>SUMIFS(营销场景数据源!$U:$U,营销场景数据源!$C:$C,$B$20,营销场景数据源!$A:$A,CE2)</f>
        <v>2</v>
      </c>
      <c r="CF23" s="95">
        <f>SUMIFS(营销场景数据源!$U:$U,营销场景数据源!$C:$C,$B$20,营销场景数据源!$A:$A,CF2)</f>
        <v>0</v>
      </c>
      <c r="CG23" s="95">
        <f>SUMIFS(营销场景数据源!$U:$U,营销场景数据源!$C:$C,$B$20,营销场景数据源!$A:$A,CG2)</f>
        <v>0</v>
      </c>
      <c r="CH23" s="95">
        <f>SUMIFS(营销场景数据源!$U:$U,营销场景数据源!$C:$C,$B$20,营销场景数据源!$A:$A,CH2)</f>
        <v>0</v>
      </c>
      <c r="CI23" s="95">
        <f>SUMIFS(营销场景数据源!$U:$U,营销场景数据源!$C:$C,$B$20,营销场景数据源!$A:$A,CI2)</f>
        <v>0</v>
      </c>
      <c r="CJ23" s="95">
        <f>SUMIFS(营销场景数据源!$U:$U,营销场景数据源!$C:$C,$B$20,营销场景数据源!$A:$A,CJ2)</f>
        <v>0</v>
      </c>
      <c r="CK23" s="95">
        <f>SUMIFS(营销场景数据源!$U:$U,营销场景数据源!$C:$C,$B$20,营销场景数据源!$A:$A,CK2)</f>
        <v>2</v>
      </c>
      <c r="CL23" s="95">
        <f>SUMIFS(营销场景数据源!$U:$U,营销场景数据源!$C:$C,$B$20,营销场景数据源!$A:$A,CL2)</f>
        <v>0</v>
      </c>
      <c r="CM23" s="95">
        <f>SUMIFS(营销场景数据源!$U:$U,营销场景数据源!$C:$C,$B$20,营销场景数据源!$A:$A,CM2)</f>
        <v>1</v>
      </c>
      <c r="CN23" s="95">
        <f>SUMIFS(营销场景数据源!$U:$U,营销场景数据源!$C:$C,$B$20,营销场景数据源!$A:$A,CN2)</f>
        <v>0</v>
      </c>
      <c r="CO23" s="95">
        <f>SUMIFS(营销场景数据源!$U:$U,营销场景数据源!$C:$C,$B$20,营销场景数据源!$A:$A,CO2)</f>
        <v>1</v>
      </c>
      <c r="CP23" s="95">
        <f>SUMIFS(营销场景数据源!$U:$U,营销场景数据源!$C:$C,$B$20,营销场景数据源!$A:$A,CP2)</f>
        <v>0</v>
      </c>
      <c r="CQ23" s="95">
        <f>SUMIFS(营销场景数据源!$U:$U,营销场景数据源!$C:$C,$B$20,营销场景数据源!$A:$A,CQ2)</f>
        <v>1</v>
      </c>
      <c r="CR23" s="95">
        <f>SUMIFS(营销场景数据源!$U:$U,营销场景数据源!$C:$C,$B$20,营销场景数据源!$A:$A,CR2)</f>
        <v>0</v>
      </c>
      <c r="CS23" s="95">
        <f>SUMIFS(营销场景数据源!$U:$U,营销场景数据源!$C:$C,$B$20,营销场景数据源!$A:$A,CS2)</f>
        <v>0</v>
      </c>
      <c r="CT23" s="95">
        <f>SUMIFS(营销场景数据源!$U:$U,营销场景数据源!$C:$C,$B$20,营销场景数据源!$A:$A,CT2)</f>
        <v>0</v>
      </c>
      <c r="CU23" s="95">
        <f>SUMIFS(营销场景数据源!$U:$U,营销场景数据源!$C:$C,$B$20,营销场景数据源!$A:$A,CU2)</f>
        <v>0</v>
      </c>
      <c r="CV23" s="95">
        <f>SUMIFS(营销场景数据源!$U:$U,营销场景数据源!$C:$C,$B$20,营销场景数据源!$A:$A,CV2)</f>
        <v>0</v>
      </c>
      <c r="CW23" s="95">
        <f>SUMIFS(营销场景数据源!$U:$U,营销场景数据源!$C:$C,$B$20,营销场景数据源!$A:$A,CW2)</f>
        <v>0</v>
      </c>
      <c r="CX23" s="95">
        <f>SUMIFS(营销场景数据源!$U:$U,营销场景数据源!$C:$C,$B$20,营销场景数据源!$A:$A,CX2)</f>
        <v>0</v>
      </c>
      <c r="CY23" s="95">
        <f>SUMIFS(营销场景数据源!$U:$U,营销场景数据源!$C:$C,$B$20,营销场景数据源!$A:$A,CY2)</f>
        <v>0</v>
      </c>
      <c r="CZ23" s="95">
        <f>SUMIFS(营销场景数据源!$U:$U,营销场景数据源!$C:$C,$B$20,营销场景数据源!$A:$A,CZ2)</f>
        <v>0</v>
      </c>
      <c r="DA23" s="95">
        <f>SUMIFS(营销场景数据源!$U:$U,营销场景数据源!$C:$C,$B$20,营销场景数据源!$A:$A,DA2)</f>
        <v>0</v>
      </c>
      <c r="DB23" s="95">
        <f>SUMIFS(营销场景数据源!$U:$U,营销场景数据源!$C:$C,$B$20,营销场景数据源!$A:$A,DB2)</f>
        <v>0</v>
      </c>
      <c r="DC23" s="95">
        <f>SUMIFS(营销场景数据源!$U:$U,营销场景数据源!$C:$C,$B$20,营销场景数据源!$A:$A,DC2)</f>
        <v>0</v>
      </c>
      <c r="DD23" s="95">
        <f>SUMIFS(营销场景数据源!$U:$U,营销场景数据源!$C:$C,$B$20,营销场景数据源!$A:$A,DD2)</f>
        <v>0</v>
      </c>
      <c r="DE23" s="95">
        <f>SUMIFS(营销场景数据源!$U:$U,营销场景数据源!$C:$C,$B$20,营销场景数据源!$A:$A,DE2)</f>
        <v>0</v>
      </c>
      <c r="DF23" s="65">
        <f>SUM(DG23:EJ23)</f>
        <v>14</v>
      </c>
      <c r="DG23" s="95">
        <f>SUMIFS(营销场景数据源!$U:$U,营销场景数据源!$C:$C,$B$20,营销场景数据源!$A:$A,DG2)</f>
        <v>0</v>
      </c>
      <c r="DH23" s="95">
        <f>SUMIFS(营销场景数据源!$U:$U,营销场景数据源!$C:$C,$B$20,营销场景数据源!$A:$A,DH2)</f>
        <v>0</v>
      </c>
      <c r="DI23" s="95">
        <f>SUMIFS(营销场景数据源!$U:$U,营销场景数据源!$C:$C,$B$20,营销场景数据源!$A:$A,DI2)</f>
        <v>0</v>
      </c>
      <c r="DJ23" s="95">
        <f>SUMIFS(营销场景数据源!$U:$U,营销场景数据源!$C:$C,$B$20,营销场景数据源!$A:$A,DJ2)</f>
        <v>0</v>
      </c>
      <c r="DK23" s="95">
        <f>SUMIFS(营销场景数据源!$U:$U,营销场景数据源!$C:$C,$B$20,营销场景数据源!$A:$A,DK2)</f>
        <v>0</v>
      </c>
      <c r="DL23" s="95">
        <f>SUMIFS(营销场景数据源!$U:$U,营销场景数据源!$C:$C,$B$20,营销场景数据源!$A:$A,DL2)</f>
        <v>0</v>
      </c>
      <c r="DM23" s="95">
        <f>SUMIFS(营销场景数据源!$U:$U,营销场景数据源!$C:$C,$B$20,营销场景数据源!$A:$A,DM2)</f>
        <v>0</v>
      </c>
      <c r="DN23" s="95">
        <f>SUMIFS(营销场景数据源!$U:$U,营销场景数据源!$C:$C,$B$20,营销场景数据源!$A:$A,DN2)</f>
        <v>0</v>
      </c>
      <c r="DO23" s="95">
        <f>SUMIFS(营销场景数据源!$U:$U,营销场景数据源!$C:$C,$B$20,营销场景数据源!$A:$A,DO2)</f>
        <v>0</v>
      </c>
      <c r="DP23" s="95">
        <f>SUMIFS(营销场景数据源!$U:$U,营销场景数据源!$C:$C,$B$20,营销场景数据源!$A:$A,DP2)</f>
        <v>0</v>
      </c>
      <c r="DQ23" s="95">
        <f>SUMIFS(营销场景数据源!$U:$U,营销场景数据源!$C:$C,$B$20,营销场景数据源!$A:$A,DQ2)</f>
        <v>2</v>
      </c>
      <c r="DR23" s="95">
        <f>SUMIFS(营销场景数据源!$U:$U,营销场景数据源!$C:$C,$B$20,营销场景数据源!$A:$A,DR2)</f>
        <v>0</v>
      </c>
      <c r="DS23" s="95">
        <f>SUMIFS(营销场景数据源!$U:$U,营销场景数据源!$C:$C,$B$20,营销场景数据源!$A:$A,DS2)</f>
        <v>1</v>
      </c>
      <c r="DT23" s="95">
        <f>SUMIFS(营销场景数据源!$U:$U,营销场景数据源!$C:$C,$B$20,营销场景数据源!$A:$A,DT2)</f>
        <v>0</v>
      </c>
      <c r="DU23" s="95">
        <f>SUMIFS(营销场景数据源!$U:$U,营销场景数据源!$C:$C,$B$20,营销场景数据源!$A:$A,DU2)</f>
        <v>0</v>
      </c>
      <c r="DV23" s="95">
        <f>SUMIFS(营销场景数据源!$U:$U,营销场景数据源!$C:$C,$B$20,营销场景数据源!$A:$A,DV2)</f>
        <v>0</v>
      </c>
      <c r="DW23" s="95">
        <f>SUMIFS(营销场景数据源!$U:$U,营销场景数据源!$C:$C,$B$20,营销场景数据源!$A:$A,DW2)</f>
        <v>0</v>
      </c>
      <c r="DX23" s="95">
        <f>SUMIFS(营销场景数据源!$U:$U,营销场景数据源!$C:$C,$B$20,营销场景数据源!$A:$A,DX2)</f>
        <v>0</v>
      </c>
      <c r="DY23" s="95">
        <f>SUMIFS(营销场景数据源!$U:$U,营销场景数据源!$C:$C,$B$20,营销场景数据源!$A:$A,DY2)</f>
        <v>1</v>
      </c>
      <c r="DZ23" s="95">
        <f>SUMIFS(营销场景数据源!$U:$U,营销场景数据源!$C:$C,$B$20,营销场景数据源!$A:$A,DZ2)</f>
        <v>0</v>
      </c>
      <c r="EA23" s="95">
        <f>SUMIFS(营销场景数据源!$U:$U,营销场景数据源!$C:$C,$B$20,营销场景数据源!$A:$A,EA2)</f>
        <v>0</v>
      </c>
      <c r="EB23" s="95">
        <f>SUMIFS(营销场景数据源!$U:$U,营销场景数据源!$C:$C,$B$20,营销场景数据源!$A:$A,EB2)</f>
        <v>4</v>
      </c>
      <c r="EC23" s="95">
        <f>SUMIFS(营销场景数据源!$U:$U,营销场景数据源!$C:$C,$B$20,营销场景数据源!$A:$A,EC2)</f>
        <v>0</v>
      </c>
      <c r="ED23" s="95">
        <f>SUMIFS(营销场景数据源!$U:$U,营销场景数据源!$C:$C,$B$20,营销场景数据源!$A:$A,ED2)</f>
        <v>4</v>
      </c>
      <c r="EE23" s="95">
        <f>SUMIFS(营销场景数据源!$U:$U,营销场景数据源!$C:$C,$B$20,营销场景数据源!$A:$A,EE2)</f>
        <v>2</v>
      </c>
      <c r="EF23" s="95">
        <f>SUMIFS(营销场景数据源!$U:$U,营销场景数据源!$C:$C,$B$20,营销场景数据源!$A:$A,EF2)</f>
        <v>0</v>
      </c>
      <c r="EG23" s="95">
        <f>SUMIFS(营销场景数据源!$U:$U,营销场景数据源!$C:$C,$B$20,营销场景数据源!$A:$A,EG2)</f>
        <v>0</v>
      </c>
      <c r="EH23" s="95">
        <f>SUMIFS(营销场景数据源!$U:$U,营销场景数据源!$C:$C,$B$20,营销场景数据源!$A:$A,EH2)</f>
        <v>0</v>
      </c>
      <c r="EI23" s="95">
        <f>SUMIFS(营销场景数据源!$U:$U,营销场景数据源!$C:$C,$B$20,营销场景数据源!$A:$A,EI2)</f>
        <v>0</v>
      </c>
      <c r="EJ23" s="95">
        <f>SUMIFS(营销场景数据源!$U:$U,营销场景数据源!$C:$C,$B$20,营销场景数据源!$A:$A,EJ2)</f>
        <v>0</v>
      </c>
      <c r="EK23" s="65">
        <f>SUM(EL23:FP23)</f>
        <v>25</v>
      </c>
      <c r="EL23" s="95">
        <f>SUMIFS(营销场景数据源!$U:$U,营销场景数据源!$C:$C,$B$20,营销场景数据源!$A:$A,EL2)</f>
        <v>0</v>
      </c>
      <c r="EM23" s="95">
        <f>SUMIFS(营销场景数据源!$U:$U,营销场景数据源!$C:$C,$B$20,营销场景数据源!$A:$A,EM2)</f>
        <v>1</v>
      </c>
      <c r="EN23" s="95">
        <f>SUMIFS(营销场景数据源!$U:$U,营销场景数据源!$C:$C,$B$20,营销场景数据源!$A:$A,EN2)</f>
        <v>0</v>
      </c>
      <c r="EO23" s="95">
        <f>SUMIFS(营销场景数据源!$U:$U,营销场景数据源!$C:$C,$B$20,营销场景数据源!$A:$A,EO2)</f>
        <v>0</v>
      </c>
      <c r="EP23" s="95">
        <f>SUMIFS(营销场景数据源!$U:$U,营销场景数据源!$C:$C,$B$20,营销场景数据源!$A:$A,EP2)</f>
        <v>0</v>
      </c>
      <c r="EQ23" s="95">
        <f>SUMIFS(营销场景数据源!$U:$U,营销场景数据源!$C:$C,$B$20,营销场景数据源!$A:$A,EQ2)</f>
        <v>1</v>
      </c>
      <c r="ER23" s="95">
        <f>SUMIFS(营销场景数据源!$U:$U,营销场景数据源!$C:$C,$B$20,营销场景数据源!$A:$A,ER2)</f>
        <v>1</v>
      </c>
      <c r="ES23" s="95">
        <f>SUMIFS(营销场景数据源!$U:$U,营销场景数据源!$C:$C,$B$20,营销场景数据源!$A:$A,ES2)</f>
        <v>0</v>
      </c>
      <c r="ET23" s="95">
        <f>SUMIFS(营销场景数据源!$U:$U,营销场景数据源!$C:$C,$B$20,营销场景数据源!$A:$A,ET2)</f>
        <v>0</v>
      </c>
      <c r="EU23" s="95">
        <f>SUMIFS(营销场景数据源!$U:$U,营销场景数据源!$C:$C,$B$20,营销场景数据源!$A:$A,EU2)</f>
        <v>1</v>
      </c>
      <c r="EV23" s="95">
        <f>SUMIFS(营销场景数据源!$U:$U,营销场景数据源!$C:$C,$B$20,营销场景数据源!$A:$A,EV2)</f>
        <v>1</v>
      </c>
      <c r="EW23" s="95">
        <f>SUMIFS(营销场景数据源!$U:$U,营销场景数据源!$C:$C,$B$20,营销场景数据源!$A:$A,EW2)</f>
        <v>1</v>
      </c>
      <c r="EX23" s="95">
        <f>SUMIFS(营销场景数据源!$U:$U,营销场景数据源!$C:$C,$B$20,营销场景数据源!$A:$A,EX2)</f>
        <v>1</v>
      </c>
      <c r="EY23" s="95">
        <f>SUMIFS(营销场景数据源!$U:$U,营销场景数据源!$C:$C,$B$20,营销场景数据源!$A:$A,EY2)</f>
        <v>1</v>
      </c>
      <c r="EZ23" s="95">
        <f>SUMIFS(营销场景数据源!$U:$U,营销场景数据源!$C:$C,$B$20,营销场景数据源!$A:$A,EZ2)</f>
        <v>2</v>
      </c>
      <c r="FA23" s="95">
        <f>SUMIFS(营销场景数据源!$U:$U,营销场景数据源!$C:$C,$B$20,营销场景数据源!$A:$A,FA2)</f>
        <v>1</v>
      </c>
      <c r="FB23" s="95">
        <f>SUMIFS(营销场景数据源!$U:$U,营销场景数据源!$C:$C,$B$20,营销场景数据源!$A:$A,FB2)</f>
        <v>1</v>
      </c>
      <c r="FC23" s="95">
        <f>SUMIFS(营销场景数据源!$U:$U,营销场景数据源!$C:$C,$B$20,营销场景数据源!$A:$A,FC2)</f>
        <v>0</v>
      </c>
      <c r="FD23" s="95">
        <f>SUMIFS(营销场景数据源!$U:$U,营销场景数据源!$C:$C,$B$20,营销场景数据源!$A:$A,FD2)</f>
        <v>2</v>
      </c>
      <c r="FE23" s="95">
        <f>SUMIFS(营销场景数据源!$U:$U,营销场景数据源!$C:$C,$B$20,营销场景数据源!$A:$A,FE2)</f>
        <v>3</v>
      </c>
      <c r="FF23" s="95">
        <f>SUMIFS(营销场景数据源!$U:$U,营销场景数据源!$C:$C,$B$20,营销场景数据源!$A:$A,FF2)</f>
        <v>2</v>
      </c>
      <c r="FG23" s="95">
        <f>SUMIFS(营销场景数据源!$U:$U,营销场景数据源!$C:$C,$B$20,营销场景数据源!$A:$A,FG2)</f>
        <v>2</v>
      </c>
      <c r="FH23" s="95">
        <f>SUMIFS(营销场景数据源!$U:$U,营销场景数据源!$C:$C,$B$20,营销场景数据源!$A:$A,FH2)</f>
        <v>2</v>
      </c>
      <c r="FI23" s="95">
        <f>SUMIFS(营销场景数据源!$U:$U,营销场景数据源!$C:$C,$B$20,营销场景数据源!$A:$A,FI2)</f>
        <v>0</v>
      </c>
      <c r="FJ23" s="95">
        <f>SUMIFS(营销场景数据源!$U:$U,营销场景数据源!$C:$C,$B$20,营销场景数据源!$A:$A,FJ2)</f>
        <v>0</v>
      </c>
      <c r="FK23" s="95">
        <f>SUMIFS(营销场景数据源!$U:$U,营销场景数据源!$C:$C,$B$20,营销场景数据源!$A:$A,FK2)</f>
        <v>0</v>
      </c>
      <c r="FL23" s="95">
        <f>SUMIFS(营销场景数据源!$U:$U,营销场景数据源!$C:$C,$B$20,营销场景数据源!$A:$A,FL2)</f>
        <v>1</v>
      </c>
      <c r="FM23" s="95">
        <f>SUMIFS(营销场景数据源!$U:$U,营销场景数据源!$C:$C,$B$20,营销场景数据源!$A:$A,FM2)</f>
        <v>0</v>
      </c>
      <c r="FN23" s="95">
        <f>SUMIFS(营销场景数据源!$U:$U,营销场景数据源!$C:$C,$B$20,营销场景数据源!$A:$A,FN2)</f>
        <v>1</v>
      </c>
      <c r="FO23" s="95">
        <f>SUMIFS(营销场景数据源!$U:$U,营销场景数据源!$C:$C,$B$20,营销场景数据源!$A:$A,FO2)</f>
        <v>0</v>
      </c>
      <c r="FP23" s="95">
        <f>SUMIFS(营销场景数据源!$U:$U,营销场景数据源!$C:$C,$B$20,营销场景数据源!$A:$A,FP2)</f>
        <v>0</v>
      </c>
      <c r="FQ23" s="65">
        <f>SUM(FR23:GX23)</f>
        <v>30</v>
      </c>
      <c r="FR23" s="95">
        <f>SUMIFS(营销场景数据源!$U:$U,营销场景数据源!$C:$C,$B$20,营销场景数据源!$A:$A,FR2)</f>
        <v>1</v>
      </c>
      <c r="FS23" s="95">
        <f>SUMIFS(营销场景数据源!$U:$U,营销场景数据源!$C:$C,$B$20,营销场景数据源!$A:$A,FS2)</f>
        <v>2</v>
      </c>
      <c r="FT23" s="95">
        <f>SUMIFS(营销场景数据源!$U:$U,营销场景数据源!$C:$C,$B$20,营销场景数据源!$A:$A,FT2)</f>
        <v>4</v>
      </c>
      <c r="FU23" s="95">
        <f>SUMIFS(营销场景数据源!$U:$U,营销场景数据源!$C:$C,$B$20,营销场景数据源!$A:$A,FU2)</f>
        <v>0</v>
      </c>
      <c r="FV23" s="95">
        <f>SUMIFS(营销场景数据源!$U:$U,营销场景数据源!$C:$C,$B$20,营销场景数据源!$A:$A,FV2)</f>
        <v>0</v>
      </c>
      <c r="FW23" s="95">
        <f>SUMIFS(营销场景数据源!$U:$U,营销场景数据源!$C:$C,$B$20,营销场景数据源!$A:$A,FW2)</f>
        <v>3</v>
      </c>
      <c r="FX23" s="95">
        <f>SUMIFS(营销场景数据源!$U:$U,营销场景数据源!$C:$C,$B$20,营销场景数据源!$A:$A,FX2)</f>
        <v>3</v>
      </c>
      <c r="FY23" s="95">
        <f>SUMIFS(营销场景数据源!$U:$U,营销场景数据源!$C:$C,$B$20,营销场景数据源!$A:$A,FY2)</f>
        <v>3</v>
      </c>
      <c r="FZ23" s="95">
        <f>SUMIFS(营销场景数据源!$U:$U,营销场景数据源!$C:$C,$B$20,营销场景数据源!$A:$A,FZ2)</f>
        <v>3</v>
      </c>
      <c r="GA23" s="95">
        <f>SUMIFS(营销场景数据源!$U:$U,营销场景数据源!$C:$C,$B$20,营销场景数据源!$A:$A,GA2)</f>
        <v>1</v>
      </c>
      <c r="GB23" s="95">
        <f>SUMIFS(营销场景数据源!$U:$U,营销场景数据源!$C:$C,$B$20,营销场景数据源!$A:$A,GB2)</f>
        <v>0</v>
      </c>
      <c r="GC23" s="95">
        <f>SUMIFS(营销场景数据源!$U:$U,营销场景数据源!$C:$C,$B$20,营销场景数据源!$A:$A,GC2)</f>
        <v>0</v>
      </c>
      <c r="GD23" s="95">
        <f>SUMIFS(营销场景数据源!$U:$U,营销场景数据源!$C:$C,$B$20,营销场景数据源!$A:$A,GD2)</f>
        <v>1</v>
      </c>
      <c r="GE23" s="95">
        <f>SUMIFS(营销场景数据源!$U:$U,营销场景数据源!$C:$C,$B$20,营销场景数据源!$A:$A,GE2)</f>
        <v>0</v>
      </c>
      <c r="GF23" s="95">
        <f>SUMIFS(营销场景数据源!$U:$U,营销场景数据源!$C:$C,$B$20,营销场景数据源!$A:$A,GF2)</f>
        <v>0</v>
      </c>
      <c r="GG23" s="95">
        <f>SUMIFS(营销场景数据源!$U:$U,营销场景数据源!$C:$C,$B$20,营销场景数据源!$A:$A,GG2)</f>
        <v>6</v>
      </c>
      <c r="GH23" s="95">
        <f>SUMIFS(营销场景数据源!$U:$U,营销场景数据源!$C:$C,$B$20,营销场景数据源!$A:$A,GH2)</f>
        <v>0</v>
      </c>
      <c r="GI23" s="95">
        <f>SUMIFS(营销场景数据源!$U:$U,营销场景数据源!$C:$C,$B$20,营销场景数据源!$A:$A,GI2)</f>
        <v>2</v>
      </c>
      <c r="GJ23" s="95">
        <f>SUMIFS(营销场景数据源!$U:$U,营销场景数据源!$C:$C,$B$20,营销场景数据源!$A:$A,GJ2)</f>
        <v>0</v>
      </c>
      <c r="GK23" s="95">
        <f>SUMIFS(营销场景数据源!$U:$U,营销场景数据源!$C:$C,$B$20,营销场景数据源!$A:$A,GK2)</f>
        <v>1</v>
      </c>
      <c r="GL23" s="95">
        <f>SUMIFS(营销场景数据源!$U:$U,营销场景数据源!$C:$C,$B$20,营销场景数据源!$A:$A,GL2)</f>
        <v>0</v>
      </c>
      <c r="GM23" s="95">
        <f>SUMIFS(营销场景数据源!$U:$U,营销场景数据源!$C:$C,$B$20,营销场景数据源!$A:$A,GM2)</f>
        <v>0</v>
      </c>
      <c r="GN23" s="95">
        <f>SUMIFS(营销场景数据源!$U:$U,营销场景数据源!$C:$C,$B$20,营销场景数据源!$A:$A,GN2)</f>
        <v>0</v>
      </c>
      <c r="GO23" s="95">
        <f>SUMIFS(营销场景数据源!$U:$U,营销场景数据源!$C:$C,$B$20,营销场景数据源!$A:$A,GO2)</f>
        <v>0</v>
      </c>
      <c r="GP23" s="95">
        <f>SUMIFS(营销场景数据源!$U:$U,营销场景数据源!$C:$C,$B$20,营销场景数据源!$A:$A,GP2)</f>
        <v>0</v>
      </c>
    </row>
    <row r="24" ht="15" customHeight="1" spans="1:198">
      <c r="A24" s="91" t="s">
        <v>34</v>
      </c>
      <c r="B24" s="92"/>
      <c r="C24" s="93" t="s">
        <v>26</v>
      </c>
      <c r="D24" s="94" t="e">
        <f>SUM(E24:P24)</f>
        <v>#REF!</v>
      </c>
      <c r="E24" s="95" t="e">
        <f>#REF!</f>
        <v>#REF!</v>
      </c>
      <c r="F24" s="95" t="e">
        <f>#REF!</f>
        <v>#REF!</v>
      </c>
      <c r="G24" s="95" t="e">
        <f>#REF!</f>
        <v>#REF!</v>
      </c>
      <c r="H24" s="95" t="e">
        <f>#REF!</f>
        <v>#REF!</v>
      </c>
      <c r="I24" s="95" t="e">
        <f>#REF!</f>
        <v>#REF!</v>
      </c>
      <c r="J24" s="95" t="e">
        <f>#REF!</f>
        <v>#REF!</v>
      </c>
      <c r="K24" s="95" t="e">
        <f>#REF!</f>
        <v>#REF!</v>
      </c>
      <c r="L24" s="95" t="e">
        <f>#REF!</f>
        <v>#REF!</v>
      </c>
      <c r="M24" s="95" t="e">
        <f>#REF!</f>
        <v>#REF!</v>
      </c>
      <c r="N24" s="95" t="e">
        <f>#REF!</f>
        <v>#REF!</v>
      </c>
      <c r="O24" s="95" t="e">
        <f>#REF!</f>
        <v>#REF!</v>
      </c>
      <c r="P24" s="95" t="e">
        <f>#REF!</f>
        <v>#REF!</v>
      </c>
      <c r="Q24" s="65">
        <f>SUM(R24:AV24)</f>
        <v>0</v>
      </c>
      <c r="R24" s="95">
        <f>SUMIFS(营销场景数据源!$T:$T,营销场景数据源!$C:$C,$B$20,营销场景数据源!$A:$A,R2)</f>
        <v>0</v>
      </c>
      <c r="S24" s="95">
        <f>SUMIFS(营销场景数据源!$T:$T,营销场景数据源!$C:$C,$B$20,营销场景数据源!$A:$A,S2)</f>
        <v>0</v>
      </c>
      <c r="T24" s="95">
        <f>SUMIFS(营销场景数据源!$T:$T,营销场景数据源!$C:$C,$B$20,营销场景数据源!$A:$A,T2)</f>
        <v>0</v>
      </c>
      <c r="U24" s="95">
        <f>SUMIFS(营销场景数据源!$T:$T,营销场景数据源!$C:$C,$B$20,营销场景数据源!$A:$A,U2)</f>
        <v>0</v>
      </c>
      <c r="V24" s="95">
        <f>SUMIFS(营销场景数据源!$T:$T,营销场景数据源!$C:$C,$B$20,营销场景数据源!$A:$A,V2)</f>
        <v>0</v>
      </c>
      <c r="W24" s="95">
        <f>SUMIFS(营销场景数据源!$T:$T,营销场景数据源!$C:$C,$B$20,营销场景数据源!$A:$A,W2)</f>
        <v>0</v>
      </c>
      <c r="X24" s="95">
        <f>SUMIFS(营销场景数据源!$T:$T,营销场景数据源!$C:$C,$B$20,营销场景数据源!$A:$A,X2)</f>
        <v>0</v>
      </c>
      <c r="Y24" s="95">
        <f>SUMIFS(营销场景数据源!$T:$T,营销场景数据源!$C:$C,$B$20,营销场景数据源!$A:$A,Y2)</f>
        <v>0</v>
      </c>
      <c r="Z24" s="95">
        <f>SUMIFS(营销场景数据源!$T:$T,营销场景数据源!$C:$C,$B$20,营销场景数据源!$A:$A,Z2)</f>
        <v>0</v>
      </c>
      <c r="AA24" s="95">
        <f>SUMIFS(营销场景数据源!$T:$T,营销场景数据源!$C:$C,$B$20,营销场景数据源!$A:$A,AA2)</f>
        <v>0</v>
      </c>
      <c r="AB24" s="95">
        <f>SUMIFS(营销场景数据源!$T:$T,营销场景数据源!$C:$C,$B$20,营销场景数据源!$A:$A,AB2)</f>
        <v>0</v>
      </c>
      <c r="AC24" s="95">
        <f>SUMIFS(营销场景数据源!$T:$T,营销场景数据源!$C:$C,$B$20,营销场景数据源!$A:$A,AC2)</f>
        <v>0</v>
      </c>
      <c r="AD24" s="95">
        <f>SUMIFS(营销场景数据源!$T:$T,营销场景数据源!$C:$C,$B$20,营销场景数据源!$A:$A,AD2)</f>
        <v>0</v>
      </c>
      <c r="AE24" s="95">
        <f>SUMIFS(营销场景数据源!$T:$T,营销场景数据源!$C:$C,$B$20,营销场景数据源!$A:$A,AE2)</f>
        <v>0</v>
      </c>
      <c r="AF24" s="95">
        <f>SUMIFS(营销场景数据源!$T:$T,营销场景数据源!$C:$C,$B$20,营销场景数据源!$A:$A,AF2)</f>
        <v>0</v>
      </c>
      <c r="AG24" s="95">
        <f>SUMIFS(营销场景数据源!$T:$T,营销场景数据源!$C:$C,$B$20,营销场景数据源!$A:$A,AG2)</f>
        <v>0</v>
      </c>
      <c r="AH24" s="95">
        <f>SUMIFS(营销场景数据源!$T:$T,营销场景数据源!$C:$C,$B$20,营销场景数据源!$A:$A,AH2)</f>
        <v>0</v>
      </c>
      <c r="AI24" s="95">
        <f>SUMIFS(营销场景数据源!$T:$T,营销场景数据源!$C:$C,$B$20,营销场景数据源!$A:$A,AI2)</f>
        <v>0</v>
      </c>
      <c r="AJ24" s="95">
        <f>SUMIFS(营销场景数据源!$T:$T,营销场景数据源!$C:$C,$B$20,营销场景数据源!$A:$A,AJ2)</f>
        <v>0</v>
      </c>
      <c r="AK24" s="95">
        <f>SUMIFS(营销场景数据源!$T:$T,营销场景数据源!$C:$C,$B$20,营销场景数据源!$A:$A,AK2)</f>
        <v>0</v>
      </c>
      <c r="AL24" s="95">
        <f>SUMIFS(营销场景数据源!$T:$T,营销场景数据源!$C:$C,$B$20,营销场景数据源!$A:$A,AL2)</f>
        <v>0</v>
      </c>
      <c r="AM24" s="95">
        <f>SUMIFS(营销场景数据源!$T:$T,营销场景数据源!$C:$C,$B$20,营销场景数据源!$A:$A,AM2)</f>
        <v>0</v>
      </c>
      <c r="AN24" s="95">
        <f>SUMIFS(营销场景数据源!$T:$T,营销场景数据源!$C:$C,$B$20,营销场景数据源!$A:$A,AN2)</f>
        <v>0</v>
      </c>
      <c r="AO24" s="95">
        <f>SUMIFS(营销场景数据源!$T:$T,营销场景数据源!$C:$C,$B$20,营销场景数据源!$A:$A,AO2)</f>
        <v>0</v>
      </c>
      <c r="AP24" s="95">
        <f>SUMIFS(营销场景数据源!$T:$T,营销场景数据源!$C:$C,$B$20,营销场景数据源!$A:$A,AP2)</f>
        <v>0</v>
      </c>
      <c r="AQ24" s="95">
        <f>SUMIFS(营销场景数据源!$T:$T,营销场景数据源!$C:$C,$B$20,营销场景数据源!$A:$A,AQ2)</f>
        <v>0</v>
      </c>
      <c r="AR24" s="95">
        <f>SUMIFS(营销场景数据源!$T:$T,营销场景数据源!$C:$C,$B$20,营销场景数据源!$A:$A,AR2)</f>
        <v>0</v>
      </c>
      <c r="AS24" s="95">
        <f>SUMIFS(营销场景数据源!$T:$T,营销场景数据源!$C:$C,$B$20,营销场景数据源!$A:$A,AS2)</f>
        <v>0</v>
      </c>
      <c r="AT24" s="95">
        <f>SUMIFS(营销场景数据源!$T:$T,营销场景数据源!$C:$C,$B$20,营销场景数据源!$A:$A,AT2)</f>
        <v>0</v>
      </c>
      <c r="AU24" s="95">
        <f>SUMIFS(营销场景数据源!$T:$T,营销场景数据源!$C:$C,$B$20,营销场景数据源!$A:$A,AU2)</f>
        <v>0</v>
      </c>
      <c r="AV24" s="95">
        <f>SUMIFS(营销场景数据源!$T:$T,营销场景数据源!$C:$C,$B$20,营销场景数据源!$A:$A,AV2)</f>
        <v>0</v>
      </c>
      <c r="AW24" s="65">
        <f>SUM(AX24:BY24)</f>
        <v>9369.48</v>
      </c>
      <c r="AX24" s="95">
        <f>SUMIFS(营销场景数据源!$T:$T,营销场景数据源!$C:$C,$B$20,营销场景数据源!$A:$A,AX2)</f>
        <v>5612.15</v>
      </c>
      <c r="AY24" s="95">
        <f>SUMIFS(营销场景数据源!$T:$T,营销场景数据源!$C:$C,$B$20,营销场景数据源!$A:$A,AY2)</f>
        <v>2358.18</v>
      </c>
      <c r="AZ24" s="95">
        <f>SUMIFS(营销场景数据源!$T:$T,营销场景数据源!$C:$C,$B$20,营销场景数据源!$A:$A,AZ2)</f>
        <v>0</v>
      </c>
      <c r="BA24" s="95">
        <f>SUMIFS(营销场景数据源!$T:$T,营销场景数据源!$C:$C,$B$20,营销场景数据源!$A:$A,BA2)</f>
        <v>0</v>
      </c>
      <c r="BB24" s="95">
        <f>SUMIFS(营销场景数据源!$T:$T,营销场景数据源!$C:$C,$B$20,营销场景数据源!$A:$A,BB2)</f>
        <v>0</v>
      </c>
      <c r="BC24" s="95">
        <f>SUMIFS(营销场景数据源!$T:$T,营销场景数据源!$C:$C,$B$20,营销场景数据源!$A:$A,BC2)</f>
        <v>75.45</v>
      </c>
      <c r="BD24" s="95">
        <f>SUMIFS(营销场景数据源!$T:$T,营销场景数据源!$C:$C,$B$20,营销场景数据源!$A:$A,BD2)</f>
        <v>0</v>
      </c>
      <c r="BE24" s="95">
        <f>SUMIFS(营销场景数据源!$T:$T,营销场景数据源!$C:$C,$B$20,营销场景数据源!$A:$A,BE2)</f>
        <v>0</v>
      </c>
      <c r="BF24" s="95">
        <f>SUMIFS(营销场景数据源!$T:$T,营销场景数据源!$C:$C,$B$20,营销场景数据源!$A:$A,BF2)</f>
        <v>0</v>
      </c>
      <c r="BG24" s="95">
        <f>SUMIFS(营销场景数据源!$T:$T,营销场景数据源!$C:$C,$B$20,营销场景数据源!$A:$A,BG2)</f>
        <v>1232.5</v>
      </c>
      <c r="BH24" s="95">
        <f>SUMIFS(营销场景数据源!$T:$T,营销场景数据源!$C:$C,$B$20,营销场景数据源!$A:$A,BH2)</f>
        <v>0</v>
      </c>
      <c r="BI24" s="95">
        <f>SUMIFS(营销场景数据源!$T:$T,营销场景数据源!$C:$C,$B$20,营销场景数据源!$A:$A,BI2)</f>
        <v>0</v>
      </c>
      <c r="BJ24" s="95">
        <f>SUMIFS(营销场景数据源!$T:$T,营销场景数据源!$C:$C,$B$20,营销场景数据源!$A:$A,BJ2)</f>
        <v>0</v>
      </c>
      <c r="BK24" s="95">
        <f>SUMIFS(营销场景数据源!$T:$T,营销场景数据源!$C:$C,$B$20,营销场景数据源!$A:$A,BK2)</f>
        <v>0</v>
      </c>
      <c r="BL24" s="95">
        <f>SUMIFS(营销场景数据源!$T:$T,营销场景数据源!$C:$C,$B$20,营销场景数据源!$A:$A,BL2)</f>
        <v>0</v>
      </c>
      <c r="BM24" s="95">
        <f>SUMIFS(营销场景数据源!$T:$T,营销场景数据源!$C:$C,$B$20,营销场景数据源!$A:$A,BM2)</f>
        <v>0</v>
      </c>
      <c r="BN24" s="95">
        <f>SUMIFS(营销场景数据源!$T:$T,营销场景数据源!$C:$C,$B$20,营销场景数据源!$A:$A,BN2)</f>
        <v>0</v>
      </c>
      <c r="BO24" s="95">
        <f>SUMIFS(营销场景数据源!$T:$T,营销场景数据源!$C:$C,$B$20,营销场景数据源!$A:$A,BO2)</f>
        <v>0</v>
      </c>
      <c r="BP24" s="95">
        <f>SUMIFS(营销场景数据源!$T:$T,营销场景数据源!$C:$C,$B$20,营销场景数据源!$A:$A,BP2)</f>
        <v>0</v>
      </c>
      <c r="BQ24" s="95">
        <f>SUMIFS(营销场景数据源!$T:$T,营销场景数据源!$C:$C,$B$20,营销场景数据源!$A:$A,BQ2)</f>
        <v>0</v>
      </c>
      <c r="BR24" s="95">
        <f>SUMIFS(营销场景数据源!$T:$T,营销场景数据源!$C:$C,$B$20,营销场景数据源!$A:$A,BR2)</f>
        <v>57.27</v>
      </c>
      <c r="BS24" s="95">
        <f>SUMIFS(营销场景数据源!$T:$T,营销场景数据源!$C:$C,$B$20,营销场景数据源!$A:$A,BS2)</f>
        <v>0</v>
      </c>
      <c r="BT24" s="95">
        <f>SUMIFS(营销场景数据源!$T:$T,营销场景数据源!$C:$C,$B$20,营销场景数据源!$A:$A,BT2)</f>
        <v>0</v>
      </c>
      <c r="BU24" s="95">
        <f>SUMIFS(营销场景数据源!$T:$T,营销场景数据源!$C:$C,$B$20,营销场景数据源!$A:$A,BU2)</f>
        <v>0</v>
      </c>
      <c r="BV24" s="95">
        <f>SUMIFS(营销场景数据源!$T:$T,营销场景数据源!$C:$C,$B$20,营销场景数据源!$A:$A,BV2)</f>
        <v>0</v>
      </c>
      <c r="BW24" s="95">
        <f>SUMIFS(营销场景数据源!$T:$T,营销场景数据源!$C:$C,$B$20,营销场景数据源!$A:$A,BW2)</f>
        <v>33.93</v>
      </c>
      <c r="BX24" s="95">
        <f>SUMIFS(营销场景数据源!$T:$T,营销场景数据源!$C:$C,$B$20,营销场景数据源!$A:$A,BX2)</f>
        <v>0</v>
      </c>
      <c r="BY24" s="95">
        <f>SUMIFS(营销场景数据源!$T:$T,营销场景数据源!$C:$C,$B$20,营销场景数据源!$A:$A,BY2)</f>
        <v>0</v>
      </c>
      <c r="BZ24" s="65">
        <f>SUM(CA24:DE24)</f>
        <v>4362.62</v>
      </c>
      <c r="CA24" s="95">
        <f>SUMIFS(营销场景数据源!$T:$T,营销场景数据源!$C:$C,$B$20,营销场景数据源!$A:$A,CA2)</f>
        <v>0</v>
      </c>
      <c r="CB24" s="95">
        <f>SUMIFS(营销场景数据源!$T:$T,营销场景数据源!$C:$C,$B$20,营销场景数据源!$A:$A,CB2)</f>
        <v>0</v>
      </c>
      <c r="CC24" s="95">
        <f>SUMIFS(营销场景数据源!$T:$T,营销场景数据源!$C:$C,$B$20,营销场景数据源!$A:$A,CC2)</f>
        <v>0</v>
      </c>
      <c r="CD24" s="95">
        <f>SUMIFS(营销场景数据源!$T:$T,营销场景数据源!$C:$C,$B$20,营销场景数据源!$A:$A,CD2)</f>
        <v>1413.55</v>
      </c>
      <c r="CE24" s="95">
        <f>SUMIFS(营销场景数据源!$T:$T,营销场景数据源!$C:$C,$B$20,营销场景数据源!$A:$A,CE2)</f>
        <v>1301.46</v>
      </c>
      <c r="CF24" s="95">
        <f>SUMIFS(营销场景数据源!$T:$T,营销场景数据源!$C:$C,$B$20,营销场景数据源!$A:$A,CF2)</f>
        <v>0</v>
      </c>
      <c r="CG24" s="95">
        <f>SUMIFS(营销场景数据源!$T:$T,营销场景数据源!$C:$C,$B$20,营销场景数据源!$A:$A,CG2)</f>
        <v>0</v>
      </c>
      <c r="CH24" s="95">
        <f>SUMIFS(营销场景数据源!$T:$T,营销场景数据源!$C:$C,$B$20,营销场景数据源!$A:$A,CH2)</f>
        <v>0</v>
      </c>
      <c r="CI24" s="95">
        <f>SUMIFS(营销场景数据源!$T:$T,营销场景数据源!$C:$C,$B$20,营销场景数据源!$A:$A,CI2)</f>
        <v>0</v>
      </c>
      <c r="CJ24" s="95">
        <f>SUMIFS(营销场景数据源!$T:$T,营销场景数据源!$C:$C,$B$20,营销场景数据源!$A:$A,CJ2)</f>
        <v>0</v>
      </c>
      <c r="CK24" s="95">
        <f>SUMIFS(营销场景数据源!$T:$T,营销场景数据源!$C:$C,$B$20,营销场景数据源!$A:$A,CK2)</f>
        <v>397.9</v>
      </c>
      <c r="CL24" s="95">
        <f>SUMIFS(营销场景数据源!$T:$T,营销场景数据源!$C:$C,$B$20,营销场景数据源!$A:$A,CL2)</f>
        <v>0</v>
      </c>
      <c r="CM24" s="95">
        <f>SUMIFS(营销场景数据源!$T:$T,营销场景数据源!$C:$C,$B$20,营销场景数据源!$A:$A,CM2)</f>
        <v>934.05</v>
      </c>
      <c r="CN24" s="95">
        <f>SUMIFS(营销场景数据源!$T:$T,营销场景数据源!$C:$C,$B$20,营销场景数据源!$A:$A,CN2)</f>
        <v>0</v>
      </c>
      <c r="CO24" s="95">
        <f>SUMIFS(营销场景数据源!$T:$T,营销场景数据源!$C:$C,$B$20,营销场景数据源!$A:$A,CO2)</f>
        <v>166.2</v>
      </c>
      <c r="CP24" s="95">
        <f>SUMIFS(营销场景数据源!$T:$T,营销场景数据源!$C:$C,$B$20,营销场景数据源!$A:$A,CP2)</f>
        <v>0</v>
      </c>
      <c r="CQ24" s="95">
        <f>SUMIFS(营销场景数据源!$T:$T,营销场景数据源!$C:$C,$B$20,营销场景数据源!$A:$A,CQ2)</f>
        <v>149.46</v>
      </c>
      <c r="CR24" s="95">
        <f>SUMIFS(营销场景数据源!$T:$T,营销场景数据源!$C:$C,$B$20,营销场景数据源!$A:$A,CR2)</f>
        <v>0</v>
      </c>
      <c r="CS24" s="95">
        <f>SUMIFS(营销场景数据源!$T:$T,营销场景数据源!$C:$C,$B$20,营销场景数据源!$A:$A,CS2)</f>
        <v>0</v>
      </c>
      <c r="CT24" s="95">
        <f>SUMIFS(营销场景数据源!$T:$T,营销场景数据源!$C:$C,$B$20,营销场景数据源!$A:$A,CT2)</f>
        <v>0</v>
      </c>
      <c r="CU24" s="95">
        <f>SUMIFS(营销场景数据源!$T:$T,营销场景数据源!$C:$C,$B$20,营销场景数据源!$A:$A,CU2)</f>
        <v>0</v>
      </c>
      <c r="CV24" s="95">
        <f>SUMIFS(营销场景数据源!$T:$T,营销场景数据源!$C:$C,$B$20,营销场景数据源!$A:$A,CV2)</f>
        <v>0</v>
      </c>
      <c r="CW24" s="95">
        <f>SUMIFS(营销场景数据源!$T:$T,营销场景数据源!$C:$C,$B$20,营销场景数据源!$A:$A,CW2)</f>
        <v>0</v>
      </c>
      <c r="CX24" s="95">
        <f>SUMIFS(营销场景数据源!$T:$T,营销场景数据源!$C:$C,$B$20,营销场景数据源!$A:$A,CX2)</f>
        <v>0</v>
      </c>
      <c r="CY24" s="95">
        <f>SUMIFS(营销场景数据源!$T:$T,营销场景数据源!$C:$C,$B$20,营销场景数据源!$A:$A,CY2)</f>
        <v>0</v>
      </c>
      <c r="CZ24" s="95">
        <f>SUMIFS(营销场景数据源!$T:$T,营销场景数据源!$C:$C,$B$20,营销场景数据源!$A:$A,CZ2)</f>
        <v>0</v>
      </c>
      <c r="DA24" s="95">
        <f>SUMIFS(营销场景数据源!$T:$T,营销场景数据源!$C:$C,$B$20,营销场景数据源!$A:$A,DA2)</f>
        <v>0</v>
      </c>
      <c r="DB24" s="95">
        <f>SUMIFS(营销场景数据源!$T:$T,营销场景数据源!$C:$C,$B$20,营销场景数据源!$A:$A,DB2)</f>
        <v>0</v>
      </c>
      <c r="DC24" s="95">
        <f>SUMIFS(营销场景数据源!$T:$T,营销场景数据源!$C:$C,$B$20,营销场景数据源!$A:$A,DC2)</f>
        <v>0</v>
      </c>
      <c r="DD24" s="95">
        <f>SUMIFS(营销场景数据源!$T:$T,营销场景数据源!$C:$C,$B$20,营销场景数据源!$A:$A,DD2)</f>
        <v>0</v>
      </c>
      <c r="DE24" s="95">
        <f>SUMIFS(营销场景数据源!$T:$T,营销场景数据源!$C:$C,$B$20,营销场景数据源!$A:$A,DE2)</f>
        <v>0</v>
      </c>
      <c r="DF24" s="65">
        <f>SUM(DG24:EJ24)</f>
        <v>2311.48</v>
      </c>
      <c r="DG24" s="95">
        <f>SUMIFS(营销场景数据源!$T:$T,营销场景数据源!$C:$C,$B$20,营销场景数据源!$A:$A,DG2)</f>
        <v>0</v>
      </c>
      <c r="DH24" s="95">
        <f>SUMIFS(营销场景数据源!$T:$T,营销场景数据源!$C:$C,$B$20,营销场景数据源!$A:$A,DH2)</f>
        <v>0</v>
      </c>
      <c r="DI24" s="95">
        <f>SUMIFS(营销场景数据源!$T:$T,营销场景数据源!$C:$C,$B$20,营销场景数据源!$A:$A,DI2)</f>
        <v>0</v>
      </c>
      <c r="DJ24" s="95">
        <f>SUMIFS(营销场景数据源!$T:$T,营销场景数据源!$C:$C,$B$20,营销场景数据源!$A:$A,DJ2)</f>
        <v>0</v>
      </c>
      <c r="DK24" s="95">
        <f>SUMIFS(营销场景数据源!$T:$T,营销场景数据源!$C:$C,$B$20,营销场景数据源!$A:$A,DK2)</f>
        <v>0</v>
      </c>
      <c r="DL24" s="95">
        <f>SUMIFS(营销场景数据源!$T:$T,营销场景数据源!$C:$C,$B$20,营销场景数据源!$A:$A,DL2)</f>
        <v>0</v>
      </c>
      <c r="DM24" s="95">
        <f>SUMIFS(营销场景数据源!$T:$T,营销场景数据源!$C:$C,$B$20,营销场景数据源!$A:$A,DM2)</f>
        <v>0</v>
      </c>
      <c r="DN24" s="95">
        <f>SUMIFS(营销场景数据源!$T:$T,营销场景数据源!$C:$C,$B$20,营销场景数据源!$A:$A,DN2)</f>
        <v>0</v>
      </c>
      <c r="DO24" s="95">
        <f>SUMIFS(营销场景数据源!$T:$T,营销场景数据源!$C:$C,$B$20,营销场景数据源!$A:$A,DO2)</f>
        <v>0</v>
      </c>
      <c r="DP24" s="95">
        <f>SUMIFS(营销场景数据源!$T:$T,营销场景数据源!$C:$C,$B$20,营销场景数据源!$A:$A,DP2)</f>
        <v>0</v>
      </c>
      <c r="DQ24" s="95">
        <f>SUMIFS(营销场景数据源!$T:$T,营销场景数据源!$C:$C,$B$20,营销场景数据源!$A:$A,DQ2)</f>
        <v>289.6</v>
      </c>
      <c r="DR24" s="95">
        <f>SUMIFS(营销场景数据源!$T:$T,营销场景数据源!$C:$C,$B$20,营销场景数据源!$A:$A,DR2)</f>
        <v>0</v>
      </c>
      <c r="DS24" s="95">
        <f>SUMIFS(营销场景数据源!$T:$T,营销场景数据源!$C:$C,$B$20,营销场景数据源!$A:$A,DS2)</f>
        <v>147.64</v>
      </c>
      <c r="DT24" s="95">
        <f>SUMIFS(营销场景数据源!$T:$T,营销场景数据源!$C:$C,$B$20,营销场景数据源!$A:$A,DT2)</f>
        <v>0</v>
      </c>
      <c r="DU24" s="95">
        <f>SUMIFS(营销场景数据源!$T:$T,营销场景数据源!$C:$C,$B$20,营销场景数据源!$A:$A,DU2)</f>
        <v>0</v>
      </c>
      <c r="DV24" s="95">
        <f>SUMIFS(营销场景数据源!$T:$T,营销场景数据源!$C:$C,$B$20,营销场景数据源!$A:$A,DV2)</f>
        <v>0</v>
      </c>
      <c r="DW24" s="95">
        <f>SUMIFS(营销场景数据源!$T:$T,营销场景数据源!$C:$C,$B$20,营销场景数据源!$A:$A,DW2)</f>
        <v>0</v>
      </c>
      <c r="DX24" s="95">
        <f>SUMIFS(营销场景数据源!$T:$T,营销场景数据源!$C:$C,$B$20,营销场景数据源!$A:$A,DX2)</f>
        <v>0</v>
      </c>
      <c r="DY24" s="95">
        <f>SUMIFS(营销场景数据源!$T:$T,营销场景数据源!$C:$C,$B$20,营销场景数据源!$A:$A,DY2)</f>
        <v>138.6</v>
      </c>
      <c r="DZ24" s="95">
        <f>SUMIFS(营销场景数据源!$T:$T,营销场景数据源!$C:$C,$B$20,营销场景数据源!$A:$A,DZ2)</f>
        <v>0</v>
      </c>
      <c r="EA24" s="95">
        <f>SUMIFS(营销场景数据源!$T:$T,营销场景数据源!$C:$C,$B$20,营销场景数据源!$A:$A,EA2)</f>
        <v>0</v>
      </c>
      <c r="EB24" s="95">
        <f>SUMIFS(营销场景数据源!$T:$T,营销场景数据源!$C:$C,$B$20,营销场景数据源!$A:$A,EB2)</f>
        <v>1234.6</v>
      </c>
      <c r="EC24" s="95">
        <f>SUMIFS(营销场景数据源!$T:$T,营销场景数据源!$C:$C,$B$20,营销场景数据源!$A:$A,EC2)</f>
        <v>0</v>
      </c>
      <c r="ED24" s="95">
        <f>SUMIFS(营销场景数据源!$T:$T,营销场景数据源!$C:$C,$B$20,营销场景数据源!$A:$A,ED2)</f>
        <v>218.8</v>
      </c>
      <c r="EE24" s="95">
        <f>SUMIFS(营销场景数据源!$T:$T,营销场景数据源!$C:$C,$B$20,营销场景数据源!$A:$A,EE2)</f>
        <v>282.24</v>
      </c>
      <c r="EF24" s="95">
        <f>SUMIFS(营销场景数据源!$T:$T,营销场景数据源!$C:$C,$B$20,营销场景数据源!$A:$A,EF2)</f>
        <v>0</v>
      </c>
      <c r="EG24" s="95">
        <f>SUMIFS(营销场景数据源!$T:$T,营销场景数据源!$C:$C,$B$20,营销场景数据源!$A:$A,EG2)</f>
        <v>0</v>
      </c>
      <c r="EH24" s="95">
        <f>SUMIFS(营销场景数据源!$T:$T,营销场景数据源!$C:$C,$B$20,营销场景数据源!$A:$A,EH2)</f>
        <v>0</v>
      </c>
      <c r="EI24" s="95">
        <f>SUMIFS(营销场景数据源!$T:$T,营销场景数据源!$C:$C,$B$20,营销场景数据源!$A:$A,EI2)</f>
        <v>0</v>
      </c>
      <c r="EJ24" s="95">
        <f>SUMIFS(营销场景数据源!$T:$T,营销场景数据源!$C:$C,$B$20,营销场景数据源!$A:$A,EJ2)</f>
        <v>0</v>
      </c>
      <c r="EK24" s="65">
        <f>SUM(EL24:FP24)</f>
        <v>11122.7</v>
      </c>
      <c r="EL24" s="95">
        <f>SUMIFS(营销场景数据源!$T:$T,营销场景数据源!$C:$C,$B$20,营销场景数据源!$A:$A,EL2)</f>
        <v>0</v>
      </c>
      <c r="EM24" s="95">
        <f>SUMIFS(营销场景数据源!$T:$T,营销场景数据源!$C:$C,$B$20,营销场景数据源!$A:$A,EM2)</f>
        <v>151</v>
      </c>
      <c r="EN24" s="95">
        <f>SUMIFS(营销场景数据源!$T:$T,营销场景数据源!$C:$C,$B$20,营销场景数据源!$A:$A,EN2)</f>
        <v>0</v>
      </c>
      <c r="EO24" s="95">
        <f>SUMIFS(营销场景数据源!$T:$T,营销场景数据源!$C:$C,$B$20,营销场景数据源!$A:$A,EO2)</f>
        <v>0</v>
      </c>
      <c r="EP24" s="95">
        <f>SUMIFS(营销场景数据源!$T:$T,营销场景数据源!$C:$C,$B$20,营销场景数据源!$A:$A,EP2)</f>
        <v>0</v>
      </c>
      <c r="EQ24" s="95">
        <f>SUMIFS(营销场景数据源!$T:$T,营销场景数据源!$C:$C,$B$20,营销场景数据源!$A:$A,EQ2)</f>
        <v>33.9</v>
      </c>
      <c r="ER24" s="95">
        <f>SUMIFS(营销场景数据源!$T:$T,营销场景数据源!$C:$C,$B$20,营销场景数据源!$A:$A,ER2)</f>
        <v>8074</v>
      </c>
      <c r="ES24" s="95">
        <f>SUMIFS(营销场景数据源!$T:$T,营销场景数据源!$C:$C,$B$20,营销场景数据源!$A:$A,ES2)</f>
        <v>0</v>
      </c>
      <c r="ET24" s="95">
        <f>SUMIFS(营销场景数据源!$T:$T,营销场景数据源!$C:$C,$B$20,营销场景数据源!$A:$A,ET2)</f>
        <v>0</v>
      </c>
      <c r="EU24" s="95">
        <f>SUMIFS(营销场景数据源!$T:$T,营销场景数据源!$C:$C,$B$20,营销场景数据源!$A:$A,EU2)</f>
        <v>61.36</v>
      </c>
      <c r="EV24" s="95">
        <f>SUMIFS(营销场景数据源!$T:$T,营销场景数据源!$C:$C,$B$20,营销场景数据源!$A:$A,EV2)</f>
        <v>66.31</v>
      </c>
      <c r="EW24" s="95">
        <f>SUMIFS(营销场景数据源!$T:$T,营销场景数据源!$C:$C,$B$20,营销场景数据源!$A:$A,EW2)</f>
        <v>42.4</v>
      </c>
      <c r="EX24" s="95">
        <f>SUMIFS(营销场景数据源!$T:$T,营销场景数据源!$C:$C,$B$20,营销场景数据源!$A:$A,EX2)</f>
        <v>29.6</v>
      </c>
      <c r="EY24" s="95">
        <f>SUMIFS(营销场景数据源!$T:$T,营销场景数据源!$C:$C,$B$20,营销场景数据源!$A:$A,EY2)</f>
        <v>278</v>
      </c>
      <c r="EZ24" s="95">
        <f>SUMIFS(营销场景数据源!$T:$T,营销场景数据源!$C:$C,$B$20,营销场景数据源!$A:$A,EZ2)</f>
        <v>415.55</v>
      </c>
      <c r="FA24" s="95">
        <f>SUMIFS(营销场景数据源!$T:$T,营销场景数据源!$C:$C,$B$20,营销场景数据源!$A:$A,FA2)</f>
        <v>201</v>
      </c>
      <c r="FB24" s="95">
        <f>SUMIFS(营销场景数据源!$T:$T,营销场景数据源!$C:$C,$B$20,营销场景数据源!$A:$A,FB2)</f>
        <v>192.93</v>
      </c>
      <c r="FC24" s="95">
        <f>SUMIFS(营销场景数据源!$T:$T,营销场景数据源!$C:$C,$B$20,营销场景数据源!$A:$A,FC2)</f>
        <v>0</v>
      </c>
      <c r="FD24" s="95">
        <f>SUMIFS(营销场景数据源!$T:$T,营销场景数据源!$C:$C,$B$20,营销场景数据源!$A:$A,FD2)</f>
        <v>177.51</v>
      </c>
      <c r="FE24" s="95">
        <f>SUMIFS(营销场景数据源!$T:$T,营销场景数据源!$C:$C,$B$20,营销场景数据源!$A:$A,FE2)</f>
        <v>307</v>
      </c>
      <c r="FF24" s="95">
        <f>SUMIFS(营销场景数据源!$T:$T,营销场景数据源!$C:$C,$B$20,营销场景数据源!$A:$A,FF2)</f>
        <v>79.81</v>
      </c>
      <c r="FG24" s="95">
        <f>SUMIFS(营销场景数据源!$T:$T,营销场景数据源!$C:$C,$B$20,营销场景数据源!$A:$A,FG2)</f>
        <v>468.6</v>
      </c>
      <c r="FH24" s="95">
        <f>SUMIFS(营销场景数据源!$T:$T,营销场景数据源!$C:$C,$B$20,营销场景数据源!$A:$A,FH2)</f>
        <v>217.2</v>
      </c>
      <c r="FI24" s="95">
        <f>SUMIFS(营销场景数据源!$T:$T,营销场景数据源!$C:$C,$B$20,营销场景数据源!$A:$A,FI2)</f>
        <v>0</v>
      </c>
      <c r="FJ24" s="95">
        <f>SUMIFS(营销场景数据源!$T:$T,营销场景数据源!$C:$C,$B$20,营销场景数据源!$A:$A,FJ2)</f>
        <v>0</v>
      </c>
      <c r="FK24" s="95">
        <f>SUMIFS(营销场景数据源!$T:$T,营销场景数据源!$C:$C,$B$20,营销场景数据源!$A:$A,FK2)</f>
        <v>0</v>
      </c>
      <c r="FL24" s="95">
        <f>SUMIFS(营销场景数据源!$T:$T,营销场景数据源!$C:$C,$B$20,营销场景数据源!$A:$A,FL2)</f>
        <v>133.6</v>
      </c>
      <c r="FM24" s="95">
        <f>SUMIFS(营销场景数据源!$T:$T,营销场景数据源!$C:$C,$B$20,营销场景数据源!$A:$A,FM2)</f>
        <v>0</v>
      </c>
      <c r="FN24" s="95">
        <f>SUMIFS(营销场景数据源!$T:$T,营销场景数据源!$C:$C,$B$20,营销场景数据源!$A:$A,FN2)</f>
        <v>192.93</v>
      </c>
      <c r="FO24" s="95">
        <f>SUMIFS(营销场景数据源!$T:$T,营销场景数据源!$C:$C,$B$20,营销场景数据源!$A:$A,FO2)</f>
        <v>0</v>
      </c>
      <c r="FP24" s="95">
        <f>SUMIFS(营销场景数据源!$T:$T,营销场景数据源!$C:$C,$B$20,营销场景数据源!$A:$A,FP2)</f>
        <v>0</v>
      </c>
      <c r="FQ24" s="65">
        <f>SUM(FR24:GX24)</f>
        <v>2298.61</v>
      </c>
      <c r="FR24" s="95">
        <f>SUMIFS(营销场景数据源!$T:$T,营销场景数据源!$C:$C,$B$20,营销场景数据源!$A:$A,FR2)</f>
        <v>79.8</v>
      </c>
      <c r="FS24" s="95">
        <f>SUMIFS(营销场景数据源!$T:$T,营销场景数据源!$C:$C,$B$20,营销场景数据源!$A:$A,FS2)</f>
        <v>75.39</v>
      </c>
      <c r="FT24" s="95">
        <f>SUMIFS(营销场景数据源!$T:$T,营销场景数据源!$C:$C,$B$20,营销场景数据源!$A:$A,FT2)</f>
        <v>403.61</v>
      </c>
      <c r="FU24" s="95">
        <f>SUMIFS(营销场景数据源!$T:$T,营销场景数据源!$C:$C,$B$20,营销场景数据源!$A:$A,FU2)</f>
        <v>0</v>
      </c>
      <c r="FV24" s="95">
        <f>SUMIFS(营销场景数据源!$T:$T,营销场景数据源!$C:$C,$B$20,营销场景数据源!$A:$A,FV2)</f>
        <v>0</v>
      </c>
      <c r="FW24" s="95">
        <f>SUMIFS(营销场景数据源!$T:$T,营销场景数据源!$C:$C,$B$20,营销场景数据源!$A:$A,FW2)</f>
        <v>161.58</v>
      </c>
      <c r="FX24" s="95">
        <f>SUMIFS(营销场景数据源!$T:$T,营销场景数据源!$C:$C,$B$20,营销场景数据源!$A:$A,FX2)</f>
        <v>242.82</v>
      </c>
      <c r="FY24" s="95">
        <f>SUMIFS(营销场景数据源!$T:$T,营销场景数据源!$C:$C,$B$20,营销场景数据源!$A:$A,FY2)</f>
        <v>156.41</v>
      </c>
      <c r="FZ24" s="95">
        <f>SUMIFS(营销场景数据源!$T:$T,营销场景数据源!$C:$C,$B$20,营销场景数据源!$A:$A,FZ2)</f>
        <v>390.69</v>
      </c>
      <c r="GA24" s="95">
        <f>SUMIFS(营销场景数据源!$T:$T,营销场景数据源!$C:$C,$B$20,营销场景数据源!$A:$A,GA2)</f>
        <v>37.46</v>
      </c>
      <c r="GB24" s="95">
        <f>SUMIFS(营销场景数据源!$T:$T,营销场景数据源!$C:$C,$B$20,营销场景数据源!$A:$A,GB2)</f>
        <v>0</v>
      </c>
      <c r="GC24" s="95">
        <f>SUMIFS(营销场景数据源!$T:$T,营销场景数据源!$C:$C,$B$20,营销场景数据源!$A:$A,GC2)</f>
        <v>0</v>
      </c>
      <c r="GD24" s="95">
        <f>SUMIFS(营销场景数据源!$T:$T,营销场景数据源!$C:$C,$B$20,营销场景数据源!$A:$A,GD2)</f>
        <v>201</v>
      </c>
      <c r="GE24" s="95">
        <f>SUMIFS(营销场景数据源!$T:$T,营销场景数据源!$C:$C,$B$20,营销场景数据源!$A:$A,GE2)</f>
        <v>0</v>
      </c>
      <c r="GF24" s="95">
        <f>SUMIFS(营销场景数据源!$T:$T,营销场景数据源!$C:$C,$B$20,营销场景数据源!$A:$A,GF2)</f>
        <v>0</v>
      </c>
      <c r="GG24" s="95">
        <f>SUMIFS(营销场景数据源!$T:$T,营销场景数据源!$C:$C,$B$20,营销场景数据源!$A:$A,GG2)</f>
        <v>437.47</v>
      </c>
      <c r="GH24" s="95">
        <f>SUMIFS(营销场景数据源!$T:$T,营销场景数据源!$C:$C,$B$20,营销场景数据源!$A:$A,GH2)</f>
        <v>0</v>
      </c>
      <c r="GI24" s="95">
        <f>SUMIFS(营销场景数据源!$T:$T,营销场景数据源!$C:$C,$B$20,营销场景数据源!$A:$A,GI2)</f>
        <v>74.92</v>
      </c>
      <c r="GJ24" s="95">
        <f>SUMIFS(营销场景数据源!$T:$T,营销场景数据源!$C:$C,$B$20,营销场景数据源!$A:$A,GJ2)</f>
        <v>0</v>
      </c>
      <c r="GK24" s="95">
        <f>SUMIFS(营销场景数据源!$T:$T,营销场景数据源!$C:$C,$B$20,营销场景数据源!$A:$A,GK2)</f>
        <v>37.46</v>
      </c>
      <c r="GL24" s="95">
        <f>SUMIFS(营销场景数据源!$T:$T,营销场景数据源!$C:$C,$B$20,营销场景数据源!$A:$A,GL2)</f>
        <v>0</v>
      </c>
      <c r="GM24" s="95">
        <f>SUMIFS(营销场景数据源!$T:$T,营销场景数据源!$C:$C,$B$20,营销场景数据源!$A:$A,GM2)</f>
        <v>0</v>
      </c>
      <c r="GN24" s="95">
        <f>SUMIFS(营销场景数据源!$T:$T,营销场景数据源!$C:$C,$B$20,营销场景数据源!$A:$A,GN2)</f>
        <v>0</v>
      </c>
      <c r="GO24" s="95">
        <f>SUMIFS(营销场景数据源!$T:$T,营销场景数据源!$C:$C,$B$20,营销场景数据源!$A:$A,GO2)</f>
        <v>0</v>
      </c>
      <c r="GP24" s="95">
        <f>SUMIFS(营销场景数据源!$T:$T,营销场景数据源!$C:$C,$B$20,营销场景数据源!$A:$A,GP2)</f>
        <v>0</v>
      </c>
    </row>
    <row r="25" ht="15" customHeight="1" spans="1:198">
      <c r="A25" s="96">
        <f>A3*A21</f>
        <v>0</v>
      </c>
      <c r="B25" s="92"/>
      <c r="C25" s="93" t="s">
        <v>22</v>
      </c>
      <c r="D25" s="97">
        <f t="shared" ref="D25:O25" si="142">IFERROR(D20/D21,0)</f>
        <v>0</v>
      </c>
      <c r="E25" s="98">
        <f t="shared" si="142"/>
        <v>0</v>
      </c>
      <c r="F25" s="98">
        <f t="shared" si="142"/>
        <v>0</v>
      </c>
      <c r="G25" s="98">
        <f t="shared" si="142"/>
        <v>0</v>
      </c>
      <c r="H25" s="98">
        <f t="shared" si="142"/>
        <v>0</v>
      </c>
      <c r="I25" s="98">
        <f t="shared" si="142"/>
        <v>0</v>
      </c>
      <c r="J25" s="98">
        <f t="shared" si="142"/>
        <v>0</v>
      </c>
      <c r="K25" s="98">
        <f t="shared" si="142"/>
        <v>0</v>
      </c>
      <c r="L25" s="98">
        <f t="shared" si="142"/>
        <v>0</v>
      </c>
      <c r="M25" s="98">
        <f t="shared" si="142"/>
        <v>0</v>
      </c>
      <c r="N25" s="98">
        <f t="shared" si="142"/>
        <v>0</v>
      </c>
      <c r="O25" s="98">
        <f t="shared" si="142"/>
        <v>0</v>
      </c>
      <c r="P25" s="98">
        <f t="shared" ref="P25:R25" si="143">IFERROR(P20/P21,0)</f>
        <v>0</v>
      </c>
      <c r="Q25" s="70">
        <f t="shared" si="143"/>
        <v>0.702864721485411</v>
      </c>
      <c r="R25" s="99">
        <f t="shared" si="143"/>
        <v>0</v>
      </c>
      <c r="S25" s="99">
        <f t="shared" ref="S25:BH25" si="144">IFERROR(S20/S21,0)</f>
        <v>0</v>
      </c>
      <c r="T25" s="99">
        <f t="shared" si="144"/>
        <v>0</v>
      </c>
      <c r="U25" s="99">
        <f t="shared" si="144"/>
        <v>0</v>
      </c>
      <c r="V25" s="99">
        <f t="shared" si="144"/>
        <v>0</v>
      </c>
      <c r="W25" s="99">
        <f t="shared" si="144"/>
        <v>0</v>
      </c>
      <c r="X25" s="99">
        <f t="shared" si="144"/>
        <v>0</v>
      </c>
      <c r="Y25" s="99">
        <f t="shared" si="144"/>
        <v>0</v>
      </c>
      <c r="Z25" s="99">
        <f t="shared" si="144"/>
        <v>0</v>
      </c>
      <c r="AA25" s="99">
        <f t="shared" si="144"/>
        <v>0</v>
      </c>
      <c r="AB25" s="99">
        <f t="shared" si="144"/>
        <v>0</v>
      </c>
      <c r="AC25" s="99">
        <f t="shared" si="144"/>
        <v>0</v>
      </c>
      <c r="AD25" s="99">
        <f t="shared" si="144"/>
        <v>0</v>
      </c>
      <c r="AE25" s="99">
        <f t="shared" si="144"/>
        <v>0</v>
      </c>
      <c r="AF25" s="99">
        <f t="shared" si="144"/>
        <v>0</v>
      </c>
      <c r="AG25" s="99">
        <f t="shared" si="144"/>
        <v>0</v>
      </c>
      <c r="AH25" s="99">
        <f t="shared" si="144"/>
        <v>0</v>
      </c>
      <c r="AI25" s="99">
        <f t="shared" si="144"/>
        <v>0</v>
      </c>
      <c r="AJ25" s="99">
        <f t="shared" si="144"/>
        <v>0</v>
      </c>
      <c r="AK25" s="99">
        <f t="shared" si="144"/>
        <v>0</v>
      </c>
      <c r="AL25" s="99">
        <f t="shared" si="144"/>
        <v>0</v>
      </c>
      <c r="AM25" s="99">
        <f t="shared" si="144"/>
        <v>1.30434782608696</v>
      </c>
      <c r="AN25" s="99">
        <f t="shared" si="144"/>
        <v>1.11111111111111</v>
      </c>
      <c r="AO25" s="99">
        <f t="shared" si="144"/>
        <v>1.07142857142857</v>
      </c>
      <c r="AP25" s="99">
        <f t="shared" si="144"/>
        <v>1.15384615384615</v>
      </c>
      <c r="AQ25" s="99">
        <f t="shared" si="144"/>
        <v>1.2125</v>
      </c>
      <c r="AR25" s="99">
        <f t="shared" si="144"/>
        <v>0.833333333333333</v>
      </c>
      <c r="AS25" s="99">
        <f t="shared" si="144"/>
        <v>0.907894736842105</v>
      </c>
      <c r="AT25" s="99">
        <f t="shared" si="144"/>
        <v>0.268888888888889</v>
      </c>
      <c r="AU25" s="99">
        <f t="shared" si="144"/>
        <v>0.279014084507042</v>
      </c>
      <c r="AV25" s="99">
        <f t="shared" si="144"/>
        <v>0.273863636363636</v>
      </c>
      <c r="AW25" s="70">
        <f t="shared" si="144"/>
        <v>0.295537757437071</v>
      </c>
      <c r="AX25" s="99">
        <f t="shared" si="144"/>
        <v>0.284571428571429</v>
      </c>
      <c r="AY25" s="99">
        <f t="shared" si="144"/>
        <v>0.290361445783133</v>
      </c>
      <c r="AZ25" s="99">
        <f t="shared" si="144"/>
        <v>0.349010989010989</v>
      </c>
      <c r="BA25" s="99">
        <f t="shared" si="144"/>
        <v>0.336736842105263</v>
      </c>
      <c r="BB25" s="99">
        <f t="shared" si="144"/>
        <v>0.313333333333333</v>
      </c>
      <c r="BC25" s="99">
        <f t="shared" si="144"/>
        <v>0.3241</v>
      </c>
      <c r="BD25" s="99">
        <f t="shared" si="144"/>
        <v>0.309634146341463</v>
      </c>
      <c r="BE25" s="99">
        <f t="shared" si="144"/>
        <v>0.314672897196262</v>
      </c>
      <c r="BF25" s="99">
        <f t="shared" si="144"/>
        <v>0.305576923076923</v>
      </c>
      <c r="BG25" s="99">
        <f t="shared" si="144"/>
        <v>0.3040625</v>
      </c>
      <c r="BH25" s="99">
        <f t="shared" si="144"/>
        <v>0.301397849462366</v>
      </c>
      <c r="BI25" s="99">
        <f t="shared" ref="BI25:BW25" si="145">IFERROR(BI20/BI21,0)</f>
        <v>0.297818181818182</v>
      </c>
      <c r="BJ25" s="99">
        <f t="shared" si="145"/>
        <v>0.27</v>
      </c>
      <c r="BK25" s="99">
        <f t="shared" si="145"/>
        <v>0.265538461538462</v>
      </c>
      <c r="BL25" s="99">
        <f t="shared" si="145"/>
        <v>0.257099236641221</v>
      </c>
      <c r="BM25" s="99">
        <f t="shared" si="145"/>
        <v>0.291666666666667</v>
      </c>
      <c r="BN25" s="99">
        <f t="shared" si="145"/>
        <v>0.290166666666667</v>
      </c>
      <c r="BO25" s="99">
        <f t="shared" si="145"/>
        <v>0.301315789473684</v>
      </c>
      <c r="BP25" s="99">
        <f t="shared" si="145"/>
        <v>0.30051724137931</v>
      </c>
      <c r="BQ25" s="99">
        <f t="shared" si="145"/>
        <v>0.296610169491525</v>
      </c>
      <c r="BR25" s="99">
        <f t="shared" si="145"/>
        <v>0.308715596330275</v>
      </c>
      <c r="BS25" s="99">
        <f t="shared" si="145"/>
        <v>0.291666666666667</v>
      </c>
      <c r="BT25" s="99">
        <f t="shared" si="145"/>
        <v>0.302252252252252</v>
      </c>
      <c r="BU25" s="99">
        <f t="shared" si="145"/>
        <v>0.30283185840708</v>
      </c>
      <c r="BV25" s="99">
        <f t="shared" si="145"/>
        <v>0.288632478632479</v>
      </c>
      <c r="BW25" s="99">
        <f t="shared" si="145"/>
        <v>0.310089285714286</v>
      </c>
      <c r="BX25" s="99">
        <f t="shared" ref="BX25:CH25" si="146">IFERROR(BX20/BX21,0)</f>
        <v>0.255488721804511</v>
      </c>
      <c r="BY25" s="99">
        <f t="shared" si="146"/>
        <v>0.258064516129032</v>
      </c>
      <c r="BZ25" s="70">
        <f t="shared" si="146"/>
        <v>0.303944458097813</v>
      </c>
      <c r="CA25" s="99">
        <f t="shared" si="146"/>
        <v>0.253385826771654</v>
      </c>
      <c r="CB25" s="99">
        <f t="shared" si="146"/>
        <v>0.266422764227642</v>
      </c>
      <c r="CC25" s="99">
        <f t="shared" si="146"/>
        <v>0.246792452830189</v>
      </c>
      <c r="CD25" s="99">
        <f t="shared" si="146"/>
        <v>0.242142857142857</v>
      </c>
      <c r="CE25" s="99">
        <f t="shared" si="146"/>
        <v>0.329545454545455</v>
      </c>
      <c r="CF25" s="99">
        <f t="shared" si="146"/>
        <v>0.304897959183673</v>
      </c>
      <c r="CG25" s="99">
        <f t="shared" si="146"/>
        <v>0.288557692307692</v>
      </c>
      <c r="CH25" s="99">
        <f t="shared" si="146"/>
        <v>0.289495798319328</v>
      </c>
      <c r="CI25" s="99">
        <f t="shared" ref="CI25:EH25" si="147">IFERROR(CI20/CI21,0)</f>
        <v>0.279333333333333</v>
      </c>
      <c r="CJ25" s="99">
        <f t="shared" si="147"/>
        <v>0.285196078431373</v>
      </c>
      <c r="CK25" s="99">
        <f t="shared" si="147"/>
        <v>0.294070796460177</v>
      </c>
      <c r="CL25" s="99">
        <f t="shared" si="147"/>
        <v>0.295585585585586</v>
      </c>
      <c r="CM25" s="99">
        <f t="shared" si="147"/>
        <v>0.308415841584158</v>
      </c>
      <c r="CN25" s="99">
        <f t="shared" si="147"/>
        <v>0.294571428571429</v>
      </c>
      <c r="CO25" s="99">
        <f t="shared" si="147"/>
        <v>0.313333333333333</v>
      </c>
      <c r="CP25" s="99">
        <f t="shared" si="147"/>
        <v>0.283240740740741</v>
      </c>
      <c r="CQ25" s="99">
        <f t="shared" si="147"/>
        <v>0.296744186046512</v>
      </c>
      <c r="CR25" s="99">
        <f t="shared" si="147"/>
        <v>0.295882352941176</v>
      </c>
      <c r="CS25" s="99">
        <f t="shared" si="147"/>
        <v>0.309618320610687</v>
      </c>
      <c r="CT25" s="99">
        <f t="shared" si="147"/>
        <v>0.328487394957983</v>
      </c>
      <c r="CU25" s="99">
        <f t="shared" si="147"/>
        <v>0.317279411764706</v>
      </c>
      <c r="CV25" s="99">
        <f t="shared" si="147"/>
        <v>0.315579710144928</v>
      </c>
      <c r="CW25" s="99">
        <f t="shared" si="147"/>
        <v>0.329</v>
      </c>
      <c r="CX25" s="99">
        <f t="shared" si="147"/>
        <v>0.309772727272727</v>
      </c>
      <c r="CY25" s="99">
        <f t="shared" si="147"/>
        <v>0.331645569620253</v>
      </c>
      <c r="CZ25" s="99">
        <f t="shared" si="147"/>
        <v>0.316216216216216</v>
      </c>
      <c r="DA25" s="99">
        <f t="shared" si="147"/>
        <v>0.337177914110429</v>
      </c>
      <c r="DB25" s="99">
        <f t="shared" si="147"/>
        <v>0.346</v>
      </c>
      <c r="DC25" s="99">
        <f t="shared" si="147"/>
        <v>0.326764705882353</v>
      </c>
      <c r="DD25" s="99">
        <f t="shared" si="147"/>
        <v>0.301145833333333</v>
      </c>
      <c r="DE25" s="99">
        <f t="shared" si="147"/>
        <v>0.294170854271357</v>
      </c>
      <c r="DF25" s="70">
        <f t="shared" si="147"/>
        <v>0.34711106532042</v>
      </c>
      <c r="DG25" s="99">
        <f t="shared" si="147"/>
        <v>0.251983122362869</v>
      </c>
      <c r="DH25" s="99">
        <f t="shared" si="147"/>
        <v>0.24353488372093</v>
      </c>
      <c r="DI25" s="99">
        <f t="shared" si="147"/>
        <v>0.268153153153153</v>
      </c>
      <c r="DJ25" s="99">
        <f t="shared" si="147"/>
        <v>0.285625</v>
      </c>
      <c r="DK25" s="99">
        <f t="shared" si="147"/>
        <v>0.324207650273224</v>
      </c>
      <c r="DL25" s="99">
        <f t="shared" si="147"/>
        <v>0.334770114942529</v>
      </c>
      <c r="DM25" s="99">
        <f t="shared" si="147"/>
        <v>0.34187134502924</v>
      </c>
      <c r="DN25" s="99">
        <f t="shared" si="147"/>
        <v>0.31585635359116</v>
      </c>
      <c r="DO25" s="99">
        <f t="shared" si="147"/>
        <v>0.256195652173913</v>
      </c>
      <c r="DP25" s="99">
        <f t="shared" si="147"/>
        <v>0.227958115183246</v>
      </c>
      <c r="DQ25" s="99">
        <f t="shared" si="147"/>
        <v>0.216804979253112</v>
      </c>
      <c r="DR25" s="99">
        <f t="shared" si="147"/>
        <v>0.227659574468085</v>
      </c>
      <c r="DS25" s="99">
        <f t="shared" si="147"/>
        <v>0.259124087591241</v>
      </c>
      <c r="DT25" s="99">
        <f t="shared" si="147"/>
        <v>0.451595744680851</v>
      </c>
      <c r="DU25" s="99">
        <f t="shared" si="147"/>
        <v>0.4926</v>
      </c>
      <c r="DV25" s="99">
        <f t="shared" si="147"/>
        <v>0.5709</v>
      </c>
      <c r="DW25" s="99">
        <f t="shared" si="147"/>
        <v>0.541388888888889</v>
      </c>
      <c r="DX25" s="99">
        <f t="shared" si="147"/>
        <v>0.492166666666667</v>
      </c>
      <c r="DY25" s="99">
        <f t="shared" si="147"/>
        <v>0.458093023255814</v>
      </c>
      <c r="DZ25" s="99">
        <f t="shared" si="147"/>
        <v>0.426985294117647</v>
      </c>
      <c r="EA25" s="99">
        <f t="shared" si="147"/>
        <v>0.461694915254237</v>
      </c>
      <c r="EB25" s="99">
        <f t="shared" si="147"/>
        <v>0.385625</v>
      </c>
      <c r="EC25" s="99">
        <f t="shared" si="147"/>
        <v>0.415416666666667</v>
      </c>
      <c r="ED25" s="99">
        <f t="shared" si="147"/>
        <v>0.45805</v>
      </c>
      <c r="EE25" s="99">
        <f t="shared" si="147"/>
        <v>0.427548209366391</v>
      </c>
      <c r="EF25" s="99">
        <f t="shared" si="147"/>
        <v>0.476190476190476</v>
      </c>
      <c r="EG25" s="99">
        <f t="shared" si="147"/>
        <v>0.456774193548387</v>
      </c>
      <c r="EH25" s="99">
        <f t="shared" si="147"/>
        <v>0.339384615384615</v>
      </c>
      <c r="EI25" s="99">
        <f t="shared" ref="EI25:FM25" si="148">IFERROR(EI20/EI21,0)</f>
        <v>0.3178125</v>
      </c>
      <c r="EJ25" s="99">
        <f t="shared" si="148"/>
        <v>0.297183098591549</v>
      </c>
      <c r="EK25" s="70">
        <f t="shared" si="148"/>
        <v>0.554885167464115</v>
      </c>
      <c r="EL25" s="99">
        <f t="shared" si="148"/>
        <v>0.316842105263158</v>
      </c>
      <c r="EM25" s="99">
        <f t="shared" si="148"/>
        <v>0.336</v>
      </c>
      <c r="EN25" s="99">
        <f t="shared" si="148"/>
        <v>0.3865625</v>
      </c>
      <c r="EO25" s="99">
        <f t="shared" si="148"/>
        <v>0.368484848484848</v>
      </c>
      <c r="EP25" s="99">
        <f t="shared" si="148"/>
        <v>0.327096774193548</v>
      </c>
      <c r="EQ25" s="99">
        <f t="shared" si="148"/>
        <v>0.431458333333333</v>
      </c>
      <c r="ER25" s="99">
        <f t="shared" si="148"/>
        <v>0.411509433962264</v>
      </c>
      <c r="ES25" s="99">
        <f t="shared" si="148"/>
        <v>0.503589743589744</v>
      </c>
      <c r="ET25" s="99">
        <f t="shared" si="148"/>
        <v>0.5875</v>
      </c>
      <c r="EU25" s="99">
        <f t="shared" si="148"/>
        <v>0.475661764705882</v>
      </c>
      <c r="EV25" s="99">
        <f t="shared" si="148"/>
        <v>0.847301587301587</v>
      </c>
      <c r="EW25" s="99">
        <f t="shared" si="148"/>
        <v>0.720189573459716</v>
      </c>
      <c r="EX25" s="99">
        <f t="shared" si="148"/>
        <v>0.674953703703704</v>
      </c>
      <c r="EY25" s="99">
        <f t="shared" si="148"/>
        <v>0.57140127388535</v>
      </c>
      <c r="EZ25" s="99">
        <f t="shared" si="148"/>
        <v>0.579772727272727</v>
      </c>
      <c r="FA25" s="99">
        <f t="shared" si="148"/>
        <v>0.47603305785124</v>
      </c>
      <c r="FB25" s="99">
        <f t="shared" si="148"/>
        <v>0.500243902439024</v>
      </c>
      <c r="FC25" s="99">
        <f t="shared" si="148"/>
        <v>0.499270833333333</v>
      </c>
      <c r="FD25" s="99">
        <f t="shared" si="148"/>
        <v>0.460133333333333</v>
      </c>
      <c r="FE25" s="99">
        <f t="shared" si="148"/>
        <v>0.46962962962963</v>
      </c>
      <c r="FF25" s="99">
        <f t="shared" si="148"/>
        <v>0.547247191011236</v>
      </c>
      <c r="FG25" s="99">
        <f t="shared" si="148"/>
        <v>0.639294871794872</v>
      </c>
      <c r="FH25" s="99">
        <f t="shared" si="148"/>
        <v>0.56785</v>
      </c>
      <c r="FI25" s="99">
        <f t="shared" si="148"/>
        <v>0.504201680672269</v>
      </c>
      <c r="FJ25" s="99">
        <f t="shared" si="148"/>
        <v>0.562439024390244</v>
      </c>
      <c r="FK25" s="99">
        <f t="shared" si="148"/>
        <v>0.588643216080402</v>
      </c>
      <c r="FL25" s="99">
        <f t="shared" si="148"/>
        <v>0.588235294117647</v>
      </c>
      <c r="FM25" s="99">
        <f t="shared" si="148"/>
        <v>0.606839378238342</v>
      </c>
      <c r="FN25" s="99">
        <f t="shared" ref="FN25:GI25" si="149">IFERROR(FN20/FN21,0)</f>
        <v>0.612244897959184</v>
      </c>
      <c r="FO25" s="99">
        <f t="shared" si="149"/>
        <v>0.551534653465346</v>
      </c>
      <c r="FP25" s="99">
        <f t="shared" si="149"/>
        <v>0.434573643410853</v>
      </c>
      <c r="FQ25" s="70">
        <f t="shared" si="149"/>
        <v>0.693926876918783</v>
      </c>
      <c r="FR25" s="99">
        <f t="shared" si="149"/>
        <v>0.561963190184049</v>
      </c>
      <c r="FS25" s="99">
        <f t="shared" si="149"/>
        <v>0.638134328358209</v>
      </c>
      <c r="FT25" s="99">
        <f t="shared" si="149"/>
        <v>0.663921568627451</v>
      </c>
      <c r="FU25" s="99">
        <f t="shared" si="149"/>
        <v>0.581465968586387</v>
      </c>
      <c r="FV25" s="99">
        <f t="shared" si="149"/>
        <v>0.618125</v>
      </c>
      <c r="FW25" s="99">
        <f t="shared" si="149"/>
        <v>0.658875</v>
      </c>
      <c r="FX25" s="99">
        <f t="shared" si="149"/>
        <v>0.654022988505747</v>
      </c>
      <c r="FY25" s="99">
        <f t="shared" si="149"/>
        <v>0.74879781420765</v>
      </c>
      <c r="FZ25" s="99">
        <f t="shared" si="149"/>
        <v>0.699821428571428</v>
      </c>
      <c r="GA25" s="99">
        <f t="shared" si="149"/>
        <v>0.753768844221106</v>
      </c>
      <c r="GB25" s="99">
        <f t="shared" si="149"/>
        <v>0.701813186813187</v>
      </c>
      <c r="GC25" s="99">
        <f t="shared" si="149"/>
        <v>0.734691358024691</v>
      </c>
      <c r="GD25" s="99">
        <f t="shared" si="149"/>
        <v>0.656810810810811</v>
      </c>
      <c r="GE25" s="99">
        <f t="shared" si="149"/>
        <v>0.720867346938776</v>
      </c>
      <c r="GF25" s="99">
        <f t="shared" si="149"/>
        <v>0.717736842105263</v>
      </c>
      <c r="GG25" s="99">
        <f t="shared" si="149"/>
        <v>0.765942857142857</v>
      </c>
      <c r="GH25" s="99">
        <f t="shared" si="149"/>
        <v>0.718418367346939</v>
      </c>
      <c r="GI25" s="99">
        <f t="shared" si="149"/>
        <v>0.765238095238095</v>
      </c>
      <c r="GJ25" s="99">
        <f t="shared" ref="GJ25:GP25" si="150">IFERROR(GJ20/GJ21,0)</f>
        <v>0.710272108843537</v>
      </c>
      <c r="GK25" s="99">
        <f t="shared" si="150"/>
        <v>0.739310344827586</v>
      </c>
      <c r="GL25" s="99">
        <f t="shared" si="150"/>
        <v>0.732085561497326</v>
      </c>
      <c r="GM25" s="99">
        <f t="shared" si="150"/>
        <v>0</v>
      </c>
      <c r="GN25" s="99">
        <f t="shared" si="150"/>
        <v>0</v>
      </c>
      <c r="GO25" s="99">
        <f t="shared" si="150"/>
        <v>0</v>
      </c>
      <c r="GP25" s="99">
        <f t="shared" si="150"/>
        <v>0</v>
      </c>
    </row>
    <row r="26" ht="15" customHeight="1" spans="1:198">
      <c r="A26" s="91" t="s">
        <v>35</v>
      </c>
      <c r="B26" s="92"/>
      <c r="C26" s="93" t="s">
        <v>24</v>
      </c>
      <c r="D26" s="94">
        <f>IFERROR(D20/D22,0)</f>
        <v>0</v>
      </c>
      <c r="E26" s="98">
        <f t="shared" ref="D26:O26" si="151">IFERROR(E20/E22,0)</f>
        <v>0</v>
      </c>
      <c r="F26" s="98">
        <f t="shared" si="151"/>
        <v>0</v>
      </c>
      <c r="G26" s="98">
        <f t="shared" si="151"/>
        <v>0</v>
      </c>
      <c r="H26" s="98">
        <f t="shared" si="151"/>
        <v>0</v>
      </c>
      <c r="I26" s="98">
        <f t="shared" si="151"/>
        <v>0</v>
      </c>
      <c r="J26" s="98">
        <f t="shared" si="151"/>
        <v>0</v>
      </c>
      <c r="K26" s="98">
        <f t="shared" si="151"/>
        <v>0</v>
      </c>
      <c r="L26" s="98">
        <f t="shared" si="151"/>
        <v>0</v>
      </c>
      <c r="M26" s="98">
        <f t="shared" si="151"/>
        <v>0</v>
      </c>
      <c r="N26" s="98">
        <f t="shared" si="151"/>
        <v>0</v>
      </c>
      <c r="O26" s="98">
        <f t="shared" si="151"/>
        <v>0</v>
      </c>
      <c r="P26" s="98">
        <f t="shared" ref="P26:R26" si="152">IFERROR(P20/P22,0)</f>
        <v>0</v>
      </c>
      <c r="Q26" s="65">
        <f t="shared" si="152"/>
        <v>26.498</v>
      </c>
      <c r="R26" s="98">
        <f t="shared" si="152"/>
        <v>0</v>
      </c>
      <c r="S26" s="98">
        <f t="shared" ref="S26:BH26" si="153">IFERROR(S20/S22,0)</f>
        <v>0</v>
      </c>
      <c r="T26" s="98">
        <f t="shared" si="153"/>
        <v>0</v>
      </c>
      <c r="U26" s="98">
        <f t="shared" si="153"/>
        <v>0</v>
      </c>
      <c r="V26" s="98">
        <f t="shared" si="153"/>
        <v>0</v>
      </c>
      <c r="W26" s="98">
        <f t="shared" si="153"/>
        <v>0</v>
      </c>
      <c r="X26" s="98">
        <f t="shared" si="153"/>
        <v>0</v>
      </c>
      <c r="Y26" s="98">
        <f t="shared" si="153"/>
        <v>0</v>
      </c>
      <c r="Z26" s="98">
        <f t="shared" si="153"/>
        <v>0</v>
      </c>
      <c r="AA26" s="98">
        <f t="shared" si="153"/>
        <v>0</v>
      </c>
      <c r="AB26" s="98">
        <f t="shared" si="153"/>
        <v>0</v>
      </c>
      <c r="AC26" s="98">
        <f t="shared" si="153"/>
        <v>0</v>
      </c>
      <c r="AD26" s="98">
        <f t="shared" si="153"/>
        <v>0</v>
      </c>
      <c r="AE26" s="98">
        <f t="shared" si="153"/>
        <v>0</v>
      </c>
      <c r="AF26" s="98">
        <f t="shared" si="153"/>
        <v>0</v>
      </c>
      <c r="AG26" s="98">
        <f t="shared" si="153"/>
        <v>0</v>
      </c>
      <c r="AH26" s="98">
        <f t="shared" si="153"/>
        <v>0</v>
      </c>
      <c r="AI26" s="98">
        <f t="shared" si="153"/>
        <v>0</v>
      </c>
      <c r="AJ26" s="98">
        <f t="shared" si="153"/>
        <v>0</v>
      </c>
      <c r="AK26" s="98">
        <f t="shared" si="153"/>
        <v>0</v>
      </c>
      <c r="AL26" s="98">
        <f t="shared" si="153"/>
        <v>0</v>
      </c>
      <c r="AM26" s="98">
        <f t="shared" si="153"/>
        <v>0</v>
      </c>
      <c r="AN26" s="98">
        <f t="shared" si="153"/>
        <v>0</v>
      </c>
      <c r="AO26" s="98">
        <f t="shared" si="153"/>
        <v>0</v>
      </c>
      <c r="AP26" s="98">
        <f t="shared" si="153"/>
        <v>6</v>
      </c>
      <c r="AQ26" s="98">
        <f t="shared" si="153"/>
        <v>0</v>
      </c>
      <c r="AR26" s="98">
        <f t="shared" si="153"/>
        <v>0</v>
      </c>
      <c r="AS26" s="98">
        <f t="shared" si="153"/>
        <v>0</v>
      </c>
      <c r="AT26" s="98">
        <f t="shared" si="153"/>
        <v>7.26</v>
      </c>
      <c r="AU26" s="98">
        <f t="shared" si="153"/>
        <v>6.60333333333333</v>
      </c>
      <c r="AV26" s="98">
        <f t="shared" si="153"/>
        <v>0</v>
      </c>
      <c r="AW26" s="65">
        <f t="shared" si="153"/>
        <v>11.1611111111111</v>
      </c>
      <c r="AX26" s="98">
        <f t="shared" si="153"/>
        <v>6.64</v>
      </c>
      <c r="AY26" s="98">
        <f t="shared" si="153"/>
        <v>12.05</v>
      </c>
      <c r="AZ26" s="98">
        <f t="shared" si="153"/>
        <v>0</v>
      </c>
      <c r="BA26" s="98">
        <f t="shared" si="153"/>
        <v>0</v>
      </c>
      <c r="BB26" s="98">
        <f t="shared" si="153"/>
        <v>14.57</v>
      </c>
      <c r="BC26" s="98">
        <f t="shared" si="153"/>
        <v>4.63</v>
      </c>
      <c r="BD26" s="98">
        <f t="shared" si="153"/>
        <v>0</v>
      </c>
      <c r="BE26" s="98">
        <f t="shared" si="153"/>
        <v>11.2233333333333</v>
      </c>
      <c r="BF26" s="98">
        <f t="shared" si="153"/>
        <v>31.78</v>
      </c>
      <c r="BG26" s="98">
        <f t="shared" si="153"/>
        <v>2.28941176470588</v>
      </c>
      <c r="BH26" s="98">
        <f t="shared" si="153"/>
        <v>28.03</v>
      </c>
      <c r="BI26" s="98">
        <f t="shared" ref="BI26:BW26" si="154">IFERROR(BI20/BI22,0)</f>
        <v>0</v>
      </c>
      <c r="BJ26" s="98">
        <f t="shared" si="154"/>
        <v>15.525</v>
      </c>
      <c r="BK26" s="98">
        <f t="shared" si="154"/>
        <v>34.52</v>
      </c>
      <c r="BL26" s="98">
        <f t="shared" si="154"/>
        <v>4.81142857142857</v>
      </c>
      <c r="BM26" s="98">
        <f t="shared" si="154"/>
        <v>7</v>
      </c>
      <c r="BN26" s="98">
        <f t="shared" si="154"/>
        <v>34.82</v>
      </c>
      <c r="BO26" s="98">
        <f t="shared" si="154"/>
        <v>0</v>
      </c>
      <c r="BP26" s="98">
        <f t="shared" si="154"/>
        <v>0</v>
      </c>
      <c r="BQ26" s="98">
        <f t="shared" si="154"/>
        <v>35</v>
      </c>
      <c r="BR26" s="98">
        <f t="shared" si="154"/>
        <v>6.73</v>
      </c>
      <c r="BS26" s="98">
        <f t="shared" si="154"/>
        <v>11.6666666666667</v>
      </c>
      <c r="BT26" s="98">
        <f t="shared" si="154"/>
        <v>16.775</v>
      </c>
      <c r="BU26" s="98">
        <f t="shared" si="154"/>
        <v>5.70333333333333</v>
      </c>
      <c r="BV26" s="98">
        <f t="shared" si="154"/>
        <v>8.4425</v>
      </c>
      <c r="BW26" s="98">
        <f t="shared" si="154"/>
        <v>6.946</v>
      </c>
      <c r="BX26" s="98">
        <f t="shared" ref="BX26:CH26" si="155">IFERROR(BX20/BX22,0)</f>
        <v>16.99</v>
      </c>
      <c r="BY26" s="98">
        <f t="shared" si="155"/>
        <v>32</v>
      </c>
      <c r="BZ26" s="65">
        <f t="shared" si="155"/>
        <v>13.0184210526316</v>
      </c>
      <c r="CA26" s="98">
        <f t="shared" si="155"/>
        <v>32.18</v>
      </c>
      <c r="CB26" s="98">
        <f t="shared" si="155"/>
        <v>16.385</v>
      </c>
      <c r="CC26" s="98">
        <f t="shared" si="155"/>
        <v>2.90666666666667</v>
      </c>
      <c r="CD26" s="98">
        <f t="shared" si="155"/>
        <v>20.34</v>
      </c>
      <c r="CE26" s="98">
        <f t="shared" si="155"/>
        <v>8.45833333333333</v>
      </c>
      <c r="CF26" s="98">
        <f t="shared" si="155"/>
        <v>0</v>
      </c>
      <c r="CG26" s="98">
        <f t="shared" si="155"/>
        <v>30.01</v>
      </c>
      <c r="CH26" s="98">
        <f t="shared" si="155"/>
        <v>2.87083333333333</v>
      </c>
      <c r="CI26" s="98">
        <f t="shared" ref="CI26:EH26" si="156">IFERROR(CI20/CI22,0)</f>
        <v>3.72444444444444</v>
      </c>
      <c r="CJ26" s="98">
        <f t="shared" si="156"/>
        <v>4.15571428571429</v>
      </c>
      <c r="CK26" s="98">
        <f t="shared" si="156"/>
        <v>4.74714285714286</v>
      </c>
      <c r="CL26" s="98">
        <f t="shared" si="156"/>
        <v>32.81</v>
      </c>
      <c r="CM26" s="98">
        <f t="shared" si="156"/>
        <v>4.45</v>
      </c>
      <c r="CN26" s="98">
        <f t="shared" si="156"/>
        <v>30.93</v>
      </c>
      <c r="CO26" s="98">
        <f t="shared" si="156"/>
        <v>32.9</v>
      </c>
      <c r="CP26" s="98">
        <f t="shared" si="156"/>
        <v>15.295</v>
      </c>
      <c r="CQ26" s="98">
        <f t="shared" si="156"/>
        <v>5.104</v>
      </c>
      <c r="CR26" s="98">
        <f t="shared" si="156"/>
        <v>10.06</v>
      </c>
      <c r="CS26" s="98">
        <f t="shared" si="156"/>
        <v>20.28</v>
      </c>
      <c r="CT26" s="98">
        <f t="shared" si="156"/>
        <v>0</v>
      </c>
      <c r="CU26" s="98">
        <f t="shared" si="156"/>
        <v>43.15</v>
      </c>
      <c r="CV26" s="98">
        <f t="shared" si="156"/>
        <v>21.775</v>
      </c>
      <c r="CW26" s="98">
        <f t="shared" si="156"/>
        <v>42.77</v>
      </c>
      <c r="CX26" s="98">
        <f t="shared" si="156"/>
        <v>9.08666666666667</v>
      </c>
      <c r="CY26" s="98">
        <f t="shared" si="156"/>
        <v>0</v>
      </c>
      <c r="CZ26" s="98">
        <f t="shared" si="156"/>
        <v>0</v>
      </c>
      <c r="DA26" s="98">
        <f t="shared" si="156"/>
        <v>54.96</v>
      </c>
      <c r="DB26" s="98">
        <f t="shared" si="156"/>
        <v>19.6066666666667</v>
      </c>
      <c r="DC26" s="98">
        <f t="shared" si="156"/>
        <v>0</v>
      </c>
      <c r="DD26" s="98">
        <f t="shared" si="156"/>
        <v>28.91</v>
      </c>
      <c r="DE26" s="98">
        <f t="shared" si="156"/>
        <v>58.54</v>
      </c>
      <c r="DF26" s="65">
        <f t="shared" si="156"/>
        <v>18.5113186813187</v>
      </c>
      <c r="DG26" s="98">
        <f t="shared" si="156"/>
        <v>29.86</v>
      </c>
      <c r="DH26" s="98">
        <f t="shared" si="156"/>
        <v>13.09</v>
      </c>
      <c r="DI26" s="98">
        <f t="shared" si="156"/>
        <v>29.765</v>
      </c>
      <c r="DJ26" s="98">
        <f t="shared" si="156"/>
        <v>0</v>
      </c>
      <c r="DK26" s="98">
        <f t="shared" si="156"/>
        <v>0</v>
      </c>
      <c r="DL26" s="98">
        <f t="shared" si="156"/>
        <v>58.25</v>
      </c>
      <c r="DM26" s="98">
        <f t="shared" si="156"/>
        <v>0</v>
      </c>
      <c r="DN26" s="98">
        <f t="shared" si="156"/>
        <v>0</v>
      </c>
      <c r="DO26" s="98">
        <f t="shared" si="156"/>
        <v>15.7133333333333</v>
      </c>
      <c r="DP26" s="98">
        <f t="shared" si="156"/>
        <v>43.54</v>
      </c>
      <c r="DQ26" s="98">
        <f t="shared" si="156"/>
        <v>10.45</v>
      </c>
      <c r="DR26" s="98">
        <f t="shared" si="156"/>
        <v>26.75</v>
      </c>
      <c r="DS26" s="98">
        <f t="shared" si="156"/>
        <v>23.6666666666667</v>
      </c>
      <c r="DT26" s="98">
        <f t="shared" si="156"/>
        <v>7.075</v>
      </c>
      <c r="DU26" s="98">
        <f t="shared" si="156"/>
        <v>8.21</v>
      </c>
      <c r="DV26" s="98">
        <f t="shared" si="156"/>
        <v>0</v>
      </c>
      <c r="DW26" s="98">
        <f t="shared" si="156"/>
        <v>0</v>
      </c>
      <c r="DX26" s="98">
        <f t="shared" si="156"/>
        <v>29.53</v>
      </c>
      <c r="DY26" s="98">
        <f t="shared" si="156"/>
        <v>24.6225</v>
      </c>
      <c r="DZ26" s="98">
        <f t="shared" si="156"/>
        <v>29.035</v>
      </c>
      <c r="EA26" s="98">
        <f t="shared" si="156"/>
        <v>27.24</v>
      </c>
      <c r="EB26" s="98">
        <f t="shared" si="156"/>
        <v>2.84769230769231</v>
      </c>
      <c r="EC26" s="98">
        <f t="shared" si="156"/>
        <v>49.85</v>
      </c>
      <c r="ED26" s="98">
        <f t="shared" si="156"/>
        <v>13.0871428571429</v>
      </c>
      <c r="EE26" s="98">
        <f t="shared" si="156"/>
        <v>11.9384615384615</v>
      </c>
      <c r="EF26" s="98">
        <f t="shared" si="156"/>
        <v>16.6666666666667</v>
      </c>
      <c r="EG26" s="98">
        <f t="shared" si="156"/>
        <v>9.44</v>
      </c>
      <c r="EH26" s="98">
        <f t="shared" si="156"/>
        <v>7.35333333333333</v>
      </c>
      <c r="EI26" s="98">
        <f t="shared" ref="EI26:FM26" si="157">IFERROR(EI20/EI22,0)</f>
        <v>10.17</v>
      </c>
      <c r="EJ26" s="98">
        <f t="shared" si="157"/>
        <v>21.1</v>
      </c>
      <c r="EK26" s="65">
        <f t="shared" si="157"/>
        <v>18.12046875</v>
      </c>
      <c r="EL26" s="98">
        <f t="shared" si="157"/>
        <v>4.01333333333333</v>
      </c>
      <c r="EM26" s="98">
        <f t="shared" si="157"/>
        <v>5.88</v>
      </c>
      <c r="EN26" s="98">
        <f t="shared" si="157"/>
        <v>12.37</v>
      </c>
      <c r="EO26" s="98">
        <f t="shared" si="157"/>
        <v>6.08</v>
      </c>
      <c r="EP26" s="98">
        <f t="shared" si="157"/>
        <v>3.38</v>
      </c>
      <c r="EQ26" s="98">
        <f t="shared" si="157"/>
        <v>5.1775</v>
      </c>
      <c r="ER26" s="98">
        <f t="shared" si="157"/>
        <v>3.635</v>
      </c>
      <c r="ES26" s="98">
        <f t="shared" si="157"/>
        <v>9.82</v>
      </c>
      <c r="ET26" s="98">
        <f t="shared" si="157"/>
        <v>32.9</v>
      </c>
      <c r="EU26" s="98">
        <f t="shared" si="157"/>
        <v>21.5633333333333</v>
      </c>
      <c r="EV26" s="98">
        <f t="shared" si="157"/>
        <v>21.352</v>
      </c>
      <c r="EW26" s="98">
        <f t="shared" si="157"/>
        <v>13.8145454545455</v>
      </c>
      <c r="EX26" s="98">
        <f t="shared" si="157"/>
        <v>29.158</v>
      </c>
      <c r="EY26" s="98">
        <f t="shared" si="157"/>
        <v>8.15545454545454</v>
      </c>
      <c r="EZ26" s="98">
        <f t="shared" si="157"/>
        <v>10.204</v>
      </c>
      <c r="FA26" s="98">
        <f t="shared" si="157"/>
        <v>11.52</v>
      </c>
      <c r="FB26" s="98">
        <f t="shared" si="157"/>
        <v>20.51</v>
      </c>
      <c r="FC26" s="98">
        <f t="shared" si="157"/>
        <v>15.9766666666667</v>
      </c>
      <c r="FD26" s="98">
        <f t="shared" si="157"/>
        <v>34.51</v>
      </c>
      <c r="FE26" s="98">
        <f t="shared" si="157"/>
        <v>38.04</v>
      </c>
      <c r="FF26" s="98">
        <f t="shared" si="157"/>
        <v>97.41</v>
      </c>
      <c r="FG26" s="98">
        <f t="shared" si="157"/>
        <v>24.9325</v>
      </c>
      <c r="FH26" s="98">
        <f t="shared" si="157"/>
        <v>9.46416666666667</v>
      </c>
      <c r="FI26" s="98">
        <f t="shared" si="157"/>
        <v>120</v>
      </c>
      <c r="FJ26" s="98">
        <f t="shared" si="157"/>
        <v>23.06</v>
      </c>
      <c r="FK26" s="98">
        <f t="shared" si="157"/>
        <v>16.7342857142857</v>
      </c>
      <c r="FL26" s="98">
        <f t="shared" si="157"/>
        <v>30</v>
      </c>
      <c r="FM26" s="98">
        <f t="shared" si="157"/>
        <v>29.28</v>
      </c>
      <c r="FN26" s="98">
        <f t="shared" ref="FN26:GI26" si="158">IFERROR(FN20/FN22,0)</f>
        <v>15</v>
      </c>
      <c r="FO26" s="98">
        <f t="shared" si="158"/>
        <v>111.41</v>
      </c>
      <c r="FP26" s="98">
        <f t="shared" si="158"/>
        <v>56.06</v>
      </c>
      <c r="FQ26" s="65">
        <f t="shared" si="158"/>
        <v>20.8936134453781</v>
      </c>
      <c r="FR26" s="98">
        <f t="shared" si="158"/>
        <v>91.6</v>
      </c>
      <c r="FS26" s="98">
        <f t="shared" si="158"/>
        <v>42.755</v>
      </c>
      <c r="FT26" s="98">
        <f t="shared" si="158"/>
        <v>7.52444444444444</v>
      </c>
      <c r="FU26" s="98">
        <f t="shared" si="158"/>
        <v>55.53</v>
      </c>
      <c r="FV26" s="98">
        <f t="shared" si="158"/>
        <v>108.79</v>
      </c>
      <c r="FW26" s="98">
        <f t="shared" si="158"/>
        <v>11.7133333333333</v>
      </c>
      <c r="FX26" s="98">
        <f t="shared" si="158"/>
        <v>11.38</v>
      </c>
      <c r="FY26" s="98">
        <f t="shared" si="158"/>
        <v>22.8383333333333</v>
      </c>
      <c r="FZ26" s="98">
        <f t="shared" si="158"/>
        <v>23.514</v>
      </c>
      <c r="GA26" s="98">
        <f t="shared" si="158"/>
        <v>50</v>
      </c>
      <c r="GB26" s="98">
        <f t="shared" si="158"/>
        <v>25.546</v>
      </c>
      <c r="GC26" s="98">
        <f t="shared" si="158"/>
        <v>39.6733333333333</v>
      </c>
      <c r="GD26" s="98">
        <f t="shared" si="158"/>
        <v>30.3775</v>
      </c>
      <c r="GE26" s="98">
        <f t="shared" si="158"/>
        <v>12.8445454545455</v>
      </c>
      <c r="GF26" s="98">
        <f t="shared" si="158"/>
        <v>19.4814285714286</v>
      </c>
      <c r="GG26" s="98">
        <f t="shared" si="158"/>
        <v>7.44666666666667</v>
      </c>
      <c r="GH26" s="98">
        <f t="shared" si="158"/>
        <v>46.9366666666667</v>
      </c>
      <c r="GI26" s="98">
        <f t="shared" si="158"/>
        <v>32.14</v>
      </c>
      <c r="GJ26" s="98">
        <f t="shared" ref="GJ26:GP26" si="159">IFERROR(GJ20/GJ22,0)</f>
        <v>14.9157142857143</v>
      </c>
      <c r="GK26" s="98">
        <f t="shared" si="159"/>
        <v>17.8666666666667</v>
      </c>
      <c r="GL26" s="98">
        <f t="shared" si="159"/>
        <v>45.6333333333333</v>
      </c>
      <c r="GM26" s="98">
        <f t="shared" si="159"/>
        <v>0</v>
      </c>
      <c r="GN26" s="98">
        <f t="shared" si="159"/>
        <v>0</v>
      </c>
      <c r="GO26" s="98">
        <f t="shared" si="159"/>
        <v>0</v>
      </c>
      <c r="GP26" s="98">
        <f t="shared" si="159"/>
        <v>0</v>
      </c>
    </row>
    <row r="27" ht="15" customHeight="1" spans="1:198">
      <c r="A27" s="96" t="e">
        <f>A5*A23</f>
        <v>#REF!</v>
      </c>
      <c r="B27" s="92"/>
      <c r="C27" s="93" t="s">
        <v>14</v>
      </c>
      <c r="D27" s="97">
        <f t="shared" ref="D27:O27" si="160">IFERROR(D24/D20,0)</f>
        <v>0</v>
      </c>
      <c r="E27" s="98">
        <f t="shared" si="160"/>
        <v>0</v>
      </c>
      <c r="F27" s="98">
        <f t="shared" si="160"/>
        <v>0</v>
      </c>
      <c r="G27" s="98">
        <f t="shared" si="160"/>
        <v>0</v>
      </c>
      <c r="H27" s="98">
        <f t="shared" si="160"/>
        <v>0</v>
      </c>
      <c r="I27" s="98">
        <f t="shared" si="160"/>
        <v>0</v>
      </c>
      <c r="J27" s="98">
        <f t="shared" si="160"/>
        <v>0</v>
      </c>
      <c r="K27" s="98">
        <f t="shared" si="160"/>
        <v>0</v>
      </c>
      <c r="L27" s="98">
        <f t="shared" si="160"/>
        <v>0</v>
      </c>
      <c r="M27" s="98">
        <f t="shared" si="160"/>
        <v>0</v>
      </c>
      <c r="N27" s="98">
        <f t="shared" si="160"/>
        <v>0</v>
      </c>
      <c r="O27" s="98">
        <f t="shared" si="160"/>
        <v>0</v>
      </c>
      <c r="P27" s="98">
        <f t="shared" ref="P27:R27" si="161">IFERROR(P24/P20,0)</f>
        <v>0</v>
      </c>
      <c r="Q27" s="70">
        <f t="shared" si="161"/>
        <v>0</v>
      </c>
      <c r="R27" s="98">
        <f t="shared" si="161"/>
        <v>0</v>
      </c>
      <c r="S27" s="98">
        <f t="shared" ref="S27:BH27" si="162">IFERROR(S24/S20,0)</f>
        <v>0</v>
      </c>
      <c r="T27" s="98">
        <f t="shared" si="162"/>
        <v>0</v>
      </c>
      <c r="U27" s="98">
        <f t="shared" si="162"/>
        <v>0</v>
      </c>
      <c r="V27" s="98">
        <f t="shared" si="162"/>
        <v>0</v>
      </c>
      <c r="W27" s="98">
        <f t="shared" si="162"/>
        <v>0</v>
      </c>
      <c r="X27" s="98">
        <f t="shared" si="162"/>
        <v>0</v>
      </c>
      <c r="Y27" s="98">
        <f t="shared" si="162"/>
        <v>0</v>
      </c>
      <c r="Z27" s="98">
        <f t="shared" si="162"/>
        <v>0</v>
      </c>
      <c r="AA27" s="98">
        <f t="shared" si="162"/>
        <v>0</v>
      </c>
      <c r="AB27" s="98">
        <f t="shared" si="162"/>
        <v>0</v>
      </c>
      <c r="AC27" s="98">
        <f t="shared" si="162"/>
        <v>0</v>
      </c>
      <c r="AD27" s="98">
        <f t="shared" si="162"/>
        <v>0</v>
      </c>
      <c r="AE27" s="98">
        <f t="shared" si="162"/>
        <v>0</v>
      </c>
      <c r="AF27" s="98">
        <f t="shared" si="162"/>
        <v>0</v>
      </c>
      <c r="AG27" s="98">
        <f t="shared" si="162"/>
        <v>0</v>
      </c>
      <c r="AH27" s="98">
        <f t="shared" si="162"/>
        <v>0</v>
      </c>
      <c r="AI27" s="98">
        <f t="shared" si="162"/>
        <v>0</v>
      </c>
      <c r="AJ27" s="98">
        <f t="shared" si="162"/>
        <v>0</v>
      </c>
      <c r="AK27" s="98">
        <f t="shared" si="162"/>
        <v>0</v>
      </c>
      <c r="AL27" s="98">
        <f t="shared" si="162"/>
        <v>0</v>
      </c>
      <c r="AM27" s="98">
        <f t="shared" si="162"/>
        <v>0</v>
      </c>
      <c r="AN27" s="98">
        <f t="shared" si="162"/>
        <v>0</v>
      </c>
      <c r="AO27" s="98">
        <f t="shared" si="162"/>
        <v>0</v>
      </c>
      <c r="AP27" s="98">
        <f t="shared" si="162"/>
        <v>0</v>
      </c>
      <c r="AQ27" s="98">
        <f t="shared" si="162"/>
        <v>0</v>
      </c>
      <c r="AR27" s="98">
        <f t="shared" si="162"/>
        <v>0</v>
      </c>
      <c r="AS27" s="98">
        <f t="shared" si="162"/>
        <v>0</v>
      </c>
      <c r="AT27" s="98">
        <f t="shared" si="162"/>
        <v>0</v>
      </c>
      <c r="AU27" s="98">
        <f t="shared" si="162"/>
        <v>0</v>
      </c>
      <c r="AV27" s="98">
        <f t="shared" si="162"/>
        <v>0</v>
      </c>
      <c r="AW27" s="70">
        <f t="shared" si="162"/>
        <v>10.3638958022233</v>
      </c>
      <c r="AX27" s="98">
        <f t="shared" si="162"/>
        <v>281.734437751004</v>
      </c>
      <c r="AY27" s="98">
        <f t="shared" si="162"/>
        <v>97.8497925311203</v>
      </c>
      <c r="AZ27" s="98">
        <f t="shared" si="162"/>
        <v>0</v>
      </c>
      <c r="BA27" s="98">
        <f t="shared" si="162"/>
        <v>0</v>
      </c>
      <c r="BB27" s="98">
        <f t="shared" si="162"/>
        <v>0</v>
      </c>
      <c r="BC27" s="98">
        <f t="shared" si="162"/>
        <v>2.32798518975625</v>
      </c>
      <c r="BD27" s="98">
        <f t="shared" si="162"/>
        <v>0</v>
      </c>
      <c r="BE27" s="98">
        <f t="shared" si="162"/>
        <v>0</v>
      </c>
      <c r="BF27" s="98">
        <f t="shared" si="162"/>
        <v>0</v>
      </c>
      <c r="BG27" s="98">
        <f t="shared" si="162"/>
        <v>31.6675231243577</v>
      </c>
      <c r="BH27" s="98">
        <f t="shared" si="162"/>
        <v>0</v>
      </c>
      <c r="BI27" s="98">
        <f t="shared" ref="BI27:BW27" si="163">IFERROR(BI24/BI20,0)</f>
        <v>0</v>
      </c>
      <c r="BJ27" s="98">
        <f t="shared" si="163"/>
        <v>0</v>
      </c>
      <c r="BK27" s="98">
        <f t="shared" si="163"/>
        <v>0</v>
      </c>
      <c r="BL27" s="98">
        <f t="shared" si="163"/>
        <v>0</v>
      </c>
      <c r="BM27" s="98">
        <f t="shared" si="163"/>
        <v>0</v>
      </c>
      <c r="BN27" s="98">
        <f t="shared" si="163"/>
        <v>0</v>
      </c>
      <c r="BO27" s="98">
        <f t="shared" si="163"/>
        <v>0</v>
      </c>
      <c r="BP27" s="98">
        <f t="shared" si="163"/>
        <v>0</v>
      </c>
      <c r="BQ27" s="98">
        <f t="shared" si="163"/>
        <v>0</v>
      </c>
      <c r="BR27" s="98">
        <f t="shared" si="163"/>
        <v>1.70193164933135</v>
      </c>
      <c r="BS27" s="98">
        <f t="shared" si="163"/>
        <v>0</v>
      </c>
      <c r="BT27" s="98">
        <f t="shared" si="163"/>
        <v>0</v>
      </c>
      <c r="BU27" s="98">
        <f t="shared" si="163"/>
        <v>0</v>
      </c>
      <c r="BV27" s="98">
        <f t="shared" si="163"/>
        <v>0</v>
      </c>
      <c r="BW27" s="98">
        <f t="shared" si="163"/>
        <v>0.976965159804204</v>
      </c>
      <c r="BX27" s="98">
        <f t="shared" ref="BX27:CH27" si="164">IFERROR(BX24/BX20,0)</f>
        <v>0</v>
      </c>
      <c r="BY27" s="98">
        <f t="shared" si="164"/>
        <v>0</v>
      </c>
      <c r="BZ27" s="70">
        <f t="shared" si="164"/>
        <v>3.52748736608045</v>
      </c>
      <c r="CA27" s="98">
        <f t="shared" si="164"/>
        <v>0</v>
      </c>
      <c r="CB27" s="98">
        <f t="shared" si="164"/>
        <v>0</v>
      </c>
      <c r="CC27" s="98">
        <f t="shared" si="164"/>
        <v>0</v>
      </c>
      <c r="CD27" s="98">
        <f t="shared" si="164"/>
        <v>69.4960668633235</v>
      </c>
      <c r="CE27" s="98">
        <f t="shared" si="164"/>
        <v>25.6445320197044</v>
      </c>
      <c r="CF27" s="98">
        <f t="shared" si="164"/>
        <v>0</v>
      </c>
      <c r="CG27" s="98">
        <f t="shared" si="164"/>
        <v>0</v>
      </c>
      <c r="CH27" s="98">
        <f t="shared" si="164"/>
        <v>0</v>
      </c>
      <c r="CI27" s="98">
        <f t="shared" ref="CI27:EH27" si="165">IFERROR(CI24/CI20,0)</f>
        <v>0</v>
      </c>
      <c r="CJ27" s="98">
        <f t="shared" si="165"/>
        <v>0</v>
      </c>
      <c r="CK27" s="98">
        <f t="shared" si="165"/>
        <v>11.974119771291</v>
      </c>
      <c r="CL27" s="98">
        <f t="shared" si="165"/>
        <v>0</v>
      </c>
      <c r="CM27" s="98">
        <f t="shared" si="165"/>
        <v>29.9855537720706</v>
      </c>
      <c r="CN27" s="98">
        <f t="shared" si="165"/>
        <v>0</v>
      </c>
      <c r="CO27" s="98">
        <f t="shared" si="165"/>
        <v>5.0516717325228</v>
      </c>
      <c r="CP27" s="98">
        <f t="shared" si="165"/>
        <v>0</v>
      </c>
      <c r="CQ27" s="98">
        <f t="shared" si="165"/>
        <v>5.85658307210031</v>
      </c>
      <c r="CR27" s="98">
        <f t="shared" si="165"/>
        <v>0</v>
      </c>
      <c r="CS27" s="98">
        <f t="shared" si="165"/>
        <v>0</v>
      </c>
      <c r="CT27" s="98">
        <f t="shared" si="165"/>
        <v>0</v>
      </c>
      <c r="CU27" s="98">
        <f t="shared" si="165"/>
        <v>0</v>
      </c>
      <c r="CV27" s="98">
        <f t="shared" si="165"/>
        <v>0</v>
      </c>
      <c r="CW27" s="98">
        <f t="shared" si="165"/>
        <v>0</v>
      </c>
      <c r="CX27" s="98">
        <f t="shared" si="165"/>
        <v>0</v>
      </c>
      <c r="CY27" s="98">
        <f t="shared" si="165"/>
        <v>0</v>
      </c>
      <c r="CZ27" s="98">
        <f t="shared" si="165"/>
        <v>0</v>
      </c>
      <c r="DA27" s="98">
        <f t="shared" si="165"/>
        <v>0</v>
      </c>
      <c r="DB27" s="98">
        <f t="shared" si="165"/>
        <v>0</v>
      </c>
      <c r="DC27" s="98">
        <f t="shared" si="165"/>
        <v>0</v>
      </c>
      <c r="DD27" s="98">
        <f t="shared" si="165"/>
        <v>0</v>
      </c>
      <c r="DE27" s="98">
        <f t="shared" si="165"/>
        <v>0</v>
      </c>
      <c r="DF27" s="70">
        <f t="shared" si="165"/>
        <v>1.37218096442331</v>
      </c>
      <c r="DG27" s="98">
        <f t="shared" si="165"/>
        <v>0</v>
      </c>
      <c r="DH27" s="98">
        <f t="shared" si="165"/>
        <v>0</v>
      </c>
      <c r="DI27" s="98">
        <f t="shared" si="165"/>
        <v>0</v>
      </c>
      <c r="DJ27" s="98">
        <f t="shared" si="165"/>
        <v>0</v>
      </c>
      <c r="DK27" s="98">
        <f t="shared" si="165"/>
        <v>0</v>
      </c>
      <c r="DL27" s="98">
        <f t="shared" si="165"/>
        <v>0</v>
      </c>
      <c r="DM27" s="98">
        <f t="shared" si="165"/>
        <v>0</v>
      </c>
      <c r="DN27" s="98">
        <f t="shared" si="165"/>
        <v>0</v>
      </c>
      <c r="DO27" s="98">
        <f t="shared" si="165"/>
        <v>0</v>
      </c>
      <c r="DP27" s="98">
        <f t="shared" si="165"/>
        <v>0</v>
      </c>
      <c r="DQ27" s="98">
        <f t="shared" si="165"/>
        <v>5.54258373205742</v>
      </c>
      <c r="DR27" s="98">
        <f t="shared" si="165"/>
        <v>0</v>
      </c>
      <c r="DS27" s="98">
        <f t="shared" si="165"/>
        <v>2.07943661971831</v>
      </c>
      <c r="DT27" s="98">
        <f t="shared" si="165"/>
        <v>0</v>
      </c>
      <c r="DU27" s="98">
        <f t="shared" si="165"/>
        <v>0</v>
      </c>
      <c r="DV27" s="98">
        <f t="shared" si="165"/>
        <v>0</v>
      </c>
      <c r="DW27" s="98">
        <f t="shared" si="165"/>
        <v>0</v>
      </c>
      <c r="DX27" s="98">
        <f t="shared" si="165"/>
        <v>0</v>
      </c>
      <c r="DY27" s="98">
        <f t="shared" si="165"/>
        <v>1.40724946695096</v>
      </c>
      <c r="DZ27" s="98">
        <f t="shared" si="165"/>
        <v>0</v>
      </c>
      <c r="EA27" s="98">
        <f t="shared" si="165"/>
        <v>0</v>
      </c>
      <c r="EB27" s="98">
        <f t="shared" si="165"/>
        <v>33.3495407887628</v>
      </c>
      <c r="EC27" s="98">
        <f t="shared" si="165"/>
        <v>0</v>
      </c>
      <c r="ED27" s="98">
        <f t="shared" si="165"/>
        <v>2.38838554742932</v>
      </c>
      <c r="EE27" s="98">
        <f t="shared" si="165"/>
        <v>1.81855670103093</v>
      </c>
      <c r="EF27" s="98">
        <f t="shared" si="165"/>
        <v>0</v>
      </c>
      <c r="EG27" s="98">
        <f t="shared" si="165"/>
        <v>0</v>
      </c>
      <c r="EH27" s="98">
        <f t="shared" si="165"/>
        <v>0</v>
      </c>
      <c r="EI27" s="98">
        <f t="shared" ref="EI27:FM27" si="166">IFERROR(EI24/EI20,0)</f>
        <v>0</v>
      </c>
      <c r="EJ27" s="98">
        <f t="shared" si="166"/>
        <v>0</v>
      </c>
      <c r="EK27" s="70">
        <f t="shared" si="166"/>
        <v>4.79546610790629</v>
      </c>
      <c r="EL27" s="98">
        <f t="shared" si="166"/>
        <v>0</v>
      </c>
      <c r="EM27" s="98">
        <f t="shared" si="166"/>
        <v>12.8401360544218</v>
      </c>
      <c r="EN27" s="98">
        <f t="shared" si="166"/>
        <v>0</v>
      </c>
      <c r="EO27" s="98">
        <f t="shared" si="166"/>
        <v>0</v>
      </c>
      <c r="EP27" s="98">
        <f t="shared" si="166"/>
        <v>0</v>
      </c>
      <c r="EQ27" s="98">
        <f t="shared" si="166"/>
        <v>1.6368903911154</v>
      </c>
      <c r="ER27" s="98">
        <f t="shared" si="166"/>
        <v>370.197157267309</v>
      </c>
      <c r="ES27" s="98">
        <f t="shared" si="166"/>
        <v>0</v>
      </c>
      <c r="ET27" s="98">
        <f t="shared" si="166"/>
        <v>0</v>
      </c>
      <c r="EU27" s="98">
        <f t="shared" si="166"/>
        <v>0.948523728551554</v>
      </c>
      <c r="EV27" s="98">
        <f t="shared" si="166"/>
        <v>0.621112776320719</v>
      </c>
      <c r="EW27" s="98">
        <f t="shared" si="166"/>
        <v>0.279020794946038</v>
      </c>
      <c r="EX27" s="98">
        <f t="shared" si="166"/>
        <v>0.203031758008094</v>
      </c>
      <c r="EY27" s="98">
        <f t="shared" si="166"/>
        <v>3.09887415003901</v>
      </c>
      <c r="EZ27" s="98">
        <f t="shared" si="166"/>
        <v>8.14484515876127</v>
      </c>
      <c r="FA27" s="98">
        <f t="shared" si="166"/>
        <v>3.48958333333333</v>
      </c>
      <c r="FB27" s="98">
        <f t="shared" si="166"/>
        <v>3.13554363725012</v>
      </c>
      <c r="FC27" s="98">
        <f t="shared" si="166"/>
        <v>0</v>
      </c>
      <c r="FD27" s="98">
        <f t="shared" si="166"/>
        <v>2.57186322804984</v>
      </c>
      <c r="FE27" s="98">
        <f t="shared" si="166"/>
        <v>4.03522607781283</v>
      </c>
      <c r="FF27" s="98">
        <f t="shared" si="166"/>
        <v>0.819320398316395</v>
      </c>
      <c r="FG27" s="98">
        <f t="shared" si="166"/>
        <v>4.69868645342425</v>
      </c>
      <c r="FH27" s="98">
        <f t="shared" si="166"/>
        <v>1.91247688650172</v>
      </c>
      <c r="FI27" s="98">
        <f t="shared" si="166"/>
        <v>0</v>
      </c>
      <c r="FJ27" s="98">
        <f t="shared" si="166"/>
        <v>0</v>
      </c>
      <c r="FK27" s="98">
        <f t="shared" si="166"/>
        <v>0</v>
      </c>
      <c r="FL27" s="98">
        <f t="shared" si="166"/>
        <v>1.11333333333333</v>
      </c>
      <c r="FM27" s="98">
        <f t="shared" si="166"/>
        <v>0</v>
      </c>
      <c r="FN27" s="98">
        <f t="shared" ref="FN27:GI27" si="167">IFERROR(FN24/FN20,0)</f>
        <v>1.60775</v>
      </c>
      <c r="FO27" s="98">
        <f t="shared" si="167"/>
        <v>0</v>
      </c>
      <c r="FP27" s="98">
        <f t="shared" si="167"/>
        <v>0</v>
      </c>
      <c r="FQ27" s="70">
        <f t="shared" si="167"/>
        <v>0.924495443101105</v>
      </c>
      <c r="FR27" s="98">
        <f t="shared" si="167"/>
        <v>0.87117903930131</v>
      </c>
      <c r="FS27" s="98">
        <f t="shared" si="167"/>
        <v>0.881651268857443</v>
      </c>
      <c r="FT27" s="98">
        <f t="shared" si="167"/>
        <v>5.95998227997637</v>
      </c>
      <c r="FU27" s="98">
        <f t="shared" si="167"/>
        <v>0</v>
      </c>
      <c r="FV27" s="98">
        <f t="shared" si="167"/>
        <v>0</v>
      </c>
      <c r="FW27" s="98">
        <f t="shared" si="167"/>
        <v>1.53272623790552</v>
      </c>
      <c r="FX27" s="98">
        <f t="shared" si="167"/>
        <v>2.13374340949033</v>
      </c>
      <c r="FY27" s="98">
        <f t="shared" si="167"/>
        <v>1.14142888418594</v>
      </c>
      <c r="FZ27" s="98">
        <f t="shared" si="167"/>
        <v>3.32304159224292</v>
      </c>
      <c r="GA27" s="98">
        <f t="shared" si="167"/>
        <v>0.249733333333333</v>
      </c>
      <c r="GB27" s="98">
        <f t="shared" si="167"/>
        <v>0</v>
      </c>
      <c r="GC27" s="98">
        <f t="shared" si="167"/>
        <v>0</v>
      </c>
      <c r="GD27" s="98">
        <f t="shared" si="167"/>
        <v>1.65418484075385</v>
      </c>
      <c r="GE27" s="98">
        <f t="shared" si="167"/>
        <v>0</v>
      </c>
      <c r="GF27" s="98">
        <f t="shared" si="167"/>
        <v>0</v>
      </c>
      <c r="GG27" s="98">
        <f t="shared" si="167"/>
        <v>3.26372724559833</v>
      </c>
      <c r="GH27" s="98">
        <f t="shared" si="167"/>
        <v>0</v>
      </c>
      <c r="GI27" s="98">
        <f t="shared" si="167"/>
        <v>0.582762912258867</v>
      </c>
      <c r="GJ27" s="98">
        <f t="shared" ref="GJ27:GP27" si="168">IFERROR(GJ24/GJ20,0)</f>
        <v>0</v>
      </c>
      <c r="GK27" s="98">
        <f t="shared" si="168"/>
        <v>0.349440298507463</v>
      </c>
      <c r="GL27" s="98">
        <f t="shared" si="168"/>
        <v>0</v>
      </c>
      <c r="GM27" s="98">
        <f t="shared" si="168"/>
        <v>0</v>
      </c>
      <c r="GN27" s="98">
        <f t="shared" si="168"/>
        <v>0</v>
      </c>
      <c r="GO27" s="98">
        <f t="shared" si="168"/>
        <v>0</v>
      </c>
      <c r="GP27" s="98">
        <f t="shared" si="168"/>
        <v>0</v>
      </c>
    </row>
    <row r="28" ht="15" customHeight="1" spans="1:198">
      <c r="A28" s="96"/>
      <c r="B28" s="92"/>
      <c r="C28" s="93" t="s">
        <v>36</v>
      </c>
      <c r="D28" s="100" t="e">
        <f t="shared" ref="D28:O28" si="169">D20/D$130</f>
        <v>#REF!</v>
      </c>
      <c r="E28" s="101" t="e">
        <f t="shared" si="169"/>
        <v>#REF!</v>
      </c>
      <c r="F28" s="101" t="e">
        <f t="shared" si="169"/>
        <v>#REF!</v>
      </c>
      <c r="G28" s="101" t="e">
        <f t="shared" si="169"/>
        <v>#REF!</v>
      </c>
      <c r="H28" s="101" t="e">
        <f t="shared" si="169"/>
        <v>#REF!</v>
      </c>
      <c r="I28" s="101" t="e">
        <f t="shared" si="169"/>
        <v>#REF!</v>
      </c>
      <c r="J28" s="101" t="e">
        <f t="shared" si="169"/>
        <v>#REF!</v>
      </c>
      <c r="K28" s="101" t="e">
        <f t="shared" si="169"/>
        <v>#REF!</v>
      </c>
      <c r="L28" s="101" t="e">
        <f t="shared" si="169"/>
        <v>#REF!</v>
      </c>
      <c r="M28" s="101" t="e">
        <f t="shared" si="169"/>
        <v>#REF!</v>
      </c>
      <c r="N28" s="101" t="e">
        <f t="shared" si="169"/>
        <v>#REF!</v>
      </c>
      <c r="O28" s="101" t="e">
        <f t="shared" si="169"/>
        <v>#REF!</v>
      </c>
      <c r="P28" s="101" t="e">
        <f t="shared" ref="P28:R28" si="170">P20/P$130</f>
        <v>#REF!</v>
      </c>
      <c r="Q28" s="102">
        <f t="shared" si="170"/>
        <v>0.0259715056377123</v>
      </c>
      <c r="R28" s="101">
        <f t="shared" si="170"/>
        <v>0</v>
      </c>
      <c r="S28" s="101">
        <f t="shared" ref="S28:BH28" si="171">S20/S$130</f>
        <v>0</v>
      </c>
      <c r="T28" s="101">
        <f t="shared" si="171"/>
        <v>0</v>
      </c>
      <c r="U28" s="101">
        <f t="shared" si="171"/>
        <v>0</v>
      </c>
      <c r="V28" s="101">
        <f t="shared" si="171"/>
        <v>0</v>
      </c>
      <c r="W28" s="101">
        <f t="shared" si="171"/>
        <v>0</v>
      </c>
      <c r="X28" s="101">
        <f t="shared" si="171"/>
        <v>0</v>
      </c>
      <c r="Y28" s="101">
        <f t="shared" si="171"/>
        <v>0</v>
      </c>
      <c r="Z28" s="101">
        <f t="shared" si="171"/>
        <v>0</v>
      </c>
      <c r="AA28" s="101">
        <f t="shared" si="171"/>
        <v>0</v>
      </c>
      <c r="AB28" s="101">
        <f t="shared" si="171"/>
        <v>0</v>
      </c>
      <c r="AC28" s="101">
        <f t="shared" si="171"/>
        <v>0</v>
      </c>
      <c r="AD28" s="101">
        <f t="shared" si="171"/>
        <v>0</v>
      </c>
      <c r="AE28" s="101">
        <f t="shared" si="171"/>
        <v>0</v>
      </c>
      <c r="AF28" s="101">
        <f t="shared" si="171"/>
        <v>0</v>
      </c>
      <c r="AG28" s="101">
        <f t="shared" si="171"/>
        <v>0</v>
      </c>
      <c r="AH28" s="101">
        <f t="shared" si="171"/>
        <v>0</v>
      </c>
      <c r="AI28" s="101">
        <f t="shared" si="171"/>
        <v>0</v>
      </c>
      <c r="AJ28" s="101">
        <f t="shared" si="171"/>
        <v>0</v>
      </c>
      <c r="AK28" s="101">
        <f t="shared" si="171"/>
        <v>0</v>
      </c>
      <c r="AL28" s="101">
        <f t="shared" si="171"/>
        <v>0</v>
      </c>
      <c r="AM28" s="101">
        <f t="shared" si="171"/>
        <v>0.100860677783755</v>
      </c>
      <c r="AN28" s="101">
        <f t="shared" si="171"/>
        <v>0.103064449635839</v>
      </c>
      <c r="AO28" s="101">
        <f t="shared" si="171"/>
        <v>0.0995652318210481</v>
      </c>
      <c r="AP28" s="101">
        <f t="shared" si="171"/>
        <v>0.100106780565937</v>
      </c>
      <c r="AQ28" s="101">
        <f t="shared" si="171"/>
        <v>0.100601534951255</v>
      </c>
      <c r="AR28" s="101">
        <f t="shared" si="171"/>
        <v>0.107894817966029</v>
      </c>
      <c r="AS28" s="101">
        <f t="shared" si="171"/>
        <v>0.127170186884883</v>
      </c>
      <c r="AT28" s="101">
        <f t="shared" si="171"/>
        <v>0.052803840279293</v>
      </c>
      <c r="AU28" s="101">
        <f t="shared" si="171"/>
        <v>0.0680381920593488</v>
      </c>
      <c r="AV28" s="101">
        <f t="shared" si="171"/>
        <v>0.0450568351779839</v>
      </c>
      <c r="AW28" s="102">
        <f t="shared" si="171"/>
        <v>0.159172139373558</v>
      </c>
      <c r="AX28" s="101">
        <f t="shared" si="171"/>
        <v>0.0727139989049096</v>
      </c>
      <c r="AY28" s="101">
        <f t="shared" si="171"/>
        <v>0.084351265268979</v>
      </c>
      <c r="AZ28" s="101">
        <f t="shared" si="171"/>
        <v>0.121797821751802</v>
      </c>
      <c r="BA28" s="101">
        <f t="shared" si="171"/>
        <v>0.122370132354066</v>
      </c>
      <c r="BB28" s="101">
        <f t="shared" si="171"/>
        <v>0.106884788908044</v>
      </c>
      <c r="BC28" s="101">
        <f t="shared" si="171"/>
        <v>0.124114425764945</v>
      </c>
      <c r="BD28" s="101">
        <f t="shared" si="171"/>
        <v>0.0989207932364515</v>
      </c>
      <c r="BE28" s="101">
        <f t="shared" si="171"/>
        <v>0.124671381493687</v>
      </c>
      <c r="BF28" s="101">
        <f t="shared" si="171"/>
        <v>0.12087326943557</v>
      </c>
      <c r="BG28" s="101">
        <f t="shared" si="171"/>
        <v>0.149951839722597</v>
      </c>
      <c r="BH28" s="101">
        <f t="shared" si="171"/>
        <v>0.120980620656912</v>
      </c>
      <c r="BI28" s="101">
        <f t="shared" ref="BI28:BW28" si="172">BI20/BI$130</f>
        <v>0.141812042768711</v>
      </c>
      <c r="BJ28" s="101">
        <f t="shared" si="172"/>
        <v>0.131345177664975</v>
      </c>
      <c r="BK28" s="101">
        <f t="shared" si="172"/>
        <v>0.151303966688582</v>
      </c>
      <c r="BL28" s="101">
        <f t="shared" si="172"/>
        <v>0.26341310808697</v>
      </c>
      <c r="BM28" s="101">
        <f t="shared" si="172"/>
        <v>0.41686517389233</v>
      </c>
      <c r="BN28" s="101">
        <f t="shared" si="172"/>
        <v>0.309979524614974</v>
      </c>
      <c r="BO28" s="101">
        <f t="shared" si="172"/>
        <v>0.304036112586298</v>
      </c>
      <c r="BP28" s="101">
        <f t="shared" si="172"/>
        <v>0.289847842354702</v>
      </c>
      <c r="BQ28" s="101">
        <f t="shared" si="172"/>
        <v>0.290601129192959</v>
      </c>
      <c r="BR28" s="101">
        <f t="shared" si="172"/>
        <v>0.279229939424114</v>
      </c>
      <c r="BS28" s="101">
        <f t="shared" si="172"/>
        <v>0.285784273699682</v>
      </c>
      <c r="BT28" s="101">
        <f t="shared" si="172"/>
        <v>0.283337555949666</v>
      </c>
      <c r="BU28" s="101">
        <f t="shared" si="172"/>
        <v>0.263068880688807</v>
      </c>
      <c r="BV28" s="101">
        <f t="shared" si="172"/>
        <v>0.150490196078431</v>
      </c>
      <c r="BW28" s="101">
        <f t="shared" si="172"/>
        <v>0.152031167921555</v>
      </c>
      <c r="BX28" s="101">
        <f t="shared" ref="BX28:CH28" si="173">BX20/BX$130</f>
        <v>0.147450640052072</v>
      </c>
      <c r="BY28" s="101">
        <f t="shared" si="173"/>
        <v>0.136147038801906</v>
      </c>
      <c r="BZ28" s="102">
        <f t="shared" si="173"/>
        <v>0.118509525319882</v>
      </c>
      <c r="CA28" s="101">
        <f t="shared" si="173"/>
        <v>0.149119555143652</v>
      </c>
      <c r="CB28" s="101">
        <f t="shared" si="173"/>
        <v>0.145141287979449</v>
      </c>
      <c r="CC28" s="101">
        <f t="shared" si="173"/>
        <v>0.110133456826506</v>
      </c>
      <c r="CD28" s="101">
        <f t="shared" si="173"/>
        <v>0.0662627052384675</v>
      </c>
      <c r="CE28" s="101">
        <f t="shared" si="173"/>
        <v>0.149784546366802</v>
      </c>
      <c r="CF28" s="101">
        <f t="shared" si="173"/>
        <v>0.0974814041498108</v>
      </c>
      <c r="CG28" s="101">
        <f t="shared" si="173"/>
        <v>0.129498575990334</v>
      </c>
      <c r="CH28" s="101">
        <f t="shared" si="173"/>
        <v>0.125794201416782</v>
      </c>
      <c r="CI28" s="101">
        <f t="shared" ref="CI28:EH28" si="174">CI20/CI$130</f>
        <v>0.125707856741046</v>
      </c>
      <c r="CJ28" s="101">
        <f t="shared" si="174"/>
        <v>0.0848649279421203</v>
      </c>
      <c r="CK28" s="101">
        <f t="shared" si="174"/>
        <v>0.0984505081029834</v>
      </c>
      <c r="CL28" s="101">
        <f t="shared" si="174"/>
        <v>0.110549546817615</v>
      </c>
      <c r="CM28" s="101">
        <f t="shared" si="174"/>
        <v>0.0948018747337026</v>
      </c>
      <c r="CN28" s="101">
        <f t="shared" si="174"/>
        <v>0.0672669145951589</v>
      </c>
      <c r="CO28" s="101">
        <f t="shared" si="174"/>
        <v>0.0962128966223132</v>
      </c>
      <c r="CP28" s="101">
        <f t="shared" si="174"/>
        <v>0.0715304571495382</v>
      </c>
      <c r="CQ28" s="101">
        <f t="shared" si="174"/>
        <v>0.0785013380909902</v>
      </c>
      <c r="CR28" s="101">
        <f t="shared" si="174"/>
        <v>0.105872447905704</v>
      </c>
      <c r="CS28" s="101">
        <f t="shared" si="174"/>
        <v>0.109023465849528</v>
      </c>
      <c r="CT28" s="101">
        <f t="shared" si="174"/>
        <v>0.106384715871979</v>
      </c>
      <c r="CU28" s="101">
        <f t="shared" si="174"/>
        <v>0.126321028133142</v>
      </c>
      <c r="CV28" s="101">
        <f t="shared" si="174"/>
        <v>0.133703794670269</v>
      </c>
      <c r="CW28" s="101">
        <f t="shared" si="174"/>
        <v>0.116495070000545</v>
      </c>
      <c r="CX28" s="101">
        <f t="shared" si="174"/>
        <v>0.143609735538932</v>
      </c>
      <c r="CY28" s="101">
        <f t="shared" si="174"/>
        <v>0.106908230301547</v>
      </c>
      <c r="CZ28" s="101">
        <f t="shared" si="174"/>
        <v>0.146484375</v>
      </c>
      <c r="DA28" s="101">
        <f t="shared" si="174"/>
        <v>0.148484357270222</v>
      </c>
      <c r="DB28" s="101">
        <f t="shared" si="174"/>
        <v>0.162692924710959</v>
      </c>
      <c r="DC28" s="101">
        <f t="shared" si="174"/>
        <v>0.153571823509897</v>
      </c>
      <c r="DD28" s="101">
        <f t="shared" si="174"/>
        <v>0.172870511555595</v>
      </c>
      <c r="DE28" s="101">
        <f t="shared" si="174"/>
        <v>0.182356239486636</v>
      </c>
      <c r="DF28" s="102">
        <f t="shared" si="174"/>
        <v>0.156880111085345</v>
      </c>
      <c r="DG28" s="101">
        <f t="shared" si="174"/>
        <v>0.221966177290466</v>
      </c>
      <c r="DH28" s="101">
        <f t="shared" si="174"/>
        <v>0.234377797672337</v>
      </c>
      <c r="DI28" s="101">
        <f t="shared" si="174"/>
        <v>0.212447807001891</v>
      </c>
      <c r="DJ28" s="101">
        <f t="shared" si="174"/>
        <v>0.222517697292033</v>
      </c>
      <c r="DK28" s="101">
        <f t="shared" si="174"/>
        <v>0.175087056601546</v>
      </c>
      <c r="DL28" s="101">
        <f t="shared" si="174"/>
        <v>0.219339533832888</v>
      </c>
      <c r="DM28" s="101">
        <f t="shared" si="174"/>
        <v>0.115214820654316</v>
      </c>
      <c r="DN28" s="101">
        <f t="shared" si="174"/>
        <v>0.0834464538541256</v>
      </c>
      <c r="DO28" s="101">
        <f t="shared" si="174"/>
        <v>0.0619529504534104</v>
      </c>
      <c r="DP28" s="101">
        <f t="shared" si="174"/>
        <v>0.0981559132512737</v>
      </c>
      <c r="DQ28" s="101">
        <f t="shared" si="174"/>
        <v>0.164681038830055</v>
      </c>
      <c r="DR28" s="101">
        <f t="shared" si="174"/>
        <v>0.173865002762341</v>
      </c>
      <c r="DS28" s="101">
        <f t="shared" si="174"/>
        <v>0.238759794195783</v>
      </c>
      <c r="DT28" s="101">
        <f t="shared" si="174"/>
        <v>0.154774492288621</v>
      </c>
      <c r="DU28" s="101">
        <f t="shared" si="174"/>
        <v>0.162018155505854</v>
      </c>
      <c r="DV28" s="101">
        <f t="shared" si="174"/>
        <v>0.151528824716</v>
      </c>
      <c r="DW28" s="101">
        <f t="shared" si="174"/>
        <v>0.1912284144427</v>
      </c>
      <c r="DX28" s="101">
        <f t="shared" si="174"/>
        <v>0.205898758889973</v>
      </c>
      <c r="DY28" s="101">
        <f t="shared" si="174"/>
        <v>0.307358631881163</v>
      </c>
      <c r="DZ28" s="101">
        <f t="shared" si="174"/>
        <v>0.2342949364535</v>
      </c>
      <c r="EA28" s="101">
        <f t="shared" si="174"/>
        <v>0.250794089214197</v>
      </c>
      <c r="EB28" s="101">
        <f t="shared" si="174"/>
        <v>0.0965823115053483</v>
      </c>
      <c r="EC28" s="101">
        <f t="shared" si="174"/>
        <v>0.105122203243289</v>
      </c>
      <c r="ED28" s="101">
        <f t="shared" si="174"/>
        <v>0.198470470990944</v>
      </c>
      <c r="EE28" s="101">
        <f t="shared" si="174"/>
        <v>0.315005378635653</v>
      </c>
      <c r="EF28" s="101">
        <f t="shared" si="174"/>
        <v>0.141518779542045</v>
      </c>
      <c r="EG28" s="101">
        <f t="shared" si="174"/>
        <v>0.068529945553539</v>
      </c>
      <c r="EH28" s="101">
        <f t="shared" si="174"/>
        <v>0.0631548811909533</v>
      </c>
      <c r="EI28" s="101">
        <f t="shared" ref="EI28:FM28" si="175">EI20/EI$130</f>
        <v>0.0760572860187713</v>
      </c>
      <c r="EJ28" s="101">
        <f t="shared" si="175"/>
        <v>0.0857723577235772</v>
      </c>
      <c r="EK28" s="102">
        <f t="shared" si="175"/>
        <v>0.225355314857349</v>
      </c>
      <c r="EL28" s="101">
        <f t="shared" si="175"/>
        <v>0.0479013328028645</v>
      </c>
      <c r="EM28" s="101">
        <f t="shared" si="175"/>
        <v>0.0494574817057784</v>
      </c>
      <c r="EN28" s="101">
        <f t="shared" si="175"/>
        <v>0.0481248054777466</v>
      </c>
      <c r="EO28" s="101">
        <f t="shared" si="175"/>
        <v>0.0493947518076204</v>
      </c>
      <c r="EP28" s="101">
        <f t="shared" si="175"/>
        <v>0.038512666641346</v>
      </c>
      <c r="EQ28" s="101">
        <f t="shared" si="175"/>
        <v>0.0823001112700684</v>
      </c>
      <c r="ER28" s="101">
        <f t="shared" si="175"/>
        <v>0.0895871842267406</v>
      </c>
      <c r="ES28" s="101">
        <f t="shared" si="175"/>
        <v>0.0448166487917304</v>
      </c>
      <c r="ET28" s="101">
        <f t="shared" si="175"/>
        <v>0.0776492801510503</v>
      </c>
      <c r="EU28" s="101">
        <f t="shared" si="175"/>
        <v>0.154042147874747</v>
      </c>
      <c r="EV28" s="101">
        <f t="shared" si="175"/>
        <v>0.236299247454626</v>
      </c>
      <c r="EW28" s="101">
        <f t="shared" si="175"/>
        <v>0.346308113035552</v>
      </c>
      <c r="EX28" s="101">
        <f t="shared" si="175"/>
        <v>0.42764952626793</v>
      </c>
      <c r="EY28" s="101">
        <f t="shared" si="175"/>
        <v>0.27846411720884</v>
      </c>
      <c r="EZ28" s="101">
        <f t="shared" si="175"/>
        <v>0.205204520773841</v>
      </c>
      <c r="FA28" s="101">
        <f t="shared" si="175"/>
        <v>0.205905483663402</v>
      </c>
      <c r="FB28" s="101">
        <f t="shared" si="175"/>
        <v>0.217443545252147</v>
      </c>
      <c r="FC28" s="101">
        <f t="shared" si="175"/>
        <v>0.187761977514005</v>
      </c>
      <c r="FD28" s="101">
        <f t="shared" si="175"/>
        <v>0.248443180591051</v>
      </c>
      <c r="FE28" s="101">
        <f t="shared" si="175"/>
        <v>0.20319427381016</v>
      </c>
      <c r="FF28" s="101">
        <f t="shared" si="175"/>
        <v>0.253328825548736</v>
      </c>
      <c r="FG28" s="101">
        <f t="shared" si="175"/>
        <v>0.264957492029756</v>
      </c>
      <c r="FH28" s="101">
        <f t="shared" si="175"/>
        <v>0.298797653187403</v>
      </c>
      <c r="FI28" s="101">
        <f t="shared" si="175"/>
        <v>0.288087578623902</v>
      </c>
      <c r="FJ28" s="101">
        <f t="shared" si="175"/>
        <v>0.2959141771892</v>
      </c>
      <c r="FK28" s="101">
        <f t="shared" si="175"/>
        <v>0.337336213102952</v>
      </c>
      <c r="FL28" s="101">
        <f t="shared" si="175"/>
        <v>0.338935178647084</v>
      </c>
      <c r="FM28" s="101">
        <f t="shared" si="175"/>
        <v>0.320657084188912</v>
      </c>
      <c r="FN28" s="101">
        <f t="shared" ref="FN28:GI28" si="176">FN20/FN$130</f>
        <v>0.371321595445122</v>
      </c>
      <c r="FO28" s="101">
        <f t="shared" si="176"/>
        <v>0.356272584822999</v>
      </c>
      <c r="FP28" s="101">
        <f t="shared" si="176"/>
        <v>0.332168039343485</v>
      </c>
      <c r="FQ28" s="102">
        <f t="shared" si="176"/>
        <v>0.336704431269416</v>
      </c>
      <c r="FR28" s="101">
        <f t="shared" si="176"/>
        <v>0.292951260074197</v>
      </c>
      <c r="FS28" s="101">
        <f t="shared" si="176"/>
        <v>0.284634844550962</v>
      </c>
      <c r="FT28" s="101">
        <f t="shared" si="176"/>
        <v>0.242445940140341</v>
      </c>
      <c r="FU28" s="101">
        <f t="shared" si="176"/>
        <v>0.334518072289157</v>
      </c>
      <c r="FV28" s="101">
        <f t="shared" si="176"/>
        <v>0.360279507219499</v>
      </c>
      <c r="FW28" s="101">
        <f t="shared" si="176"/>
        <v>0.312893268431675</v>
      </c>
      <c r="FX28" s="101">
        <f t="shared" si="176"/>
        <v>0.314434129089301</v>
      </c>
      <c r="FY28" s="101">
        <f t="shared" si="176"/>
        <v>0.383150654289229</v>
      </c>
      <c r="FZ28" s="101">
        <f t="shared" si="176"/>
        <v>0.335875899897155</v>
      </c>
      <c r="GA28" s="101">
        <f t="shared" si="176"/>
        <v>0.40831881533101</v>
      </c>
      <c r="GB28" s="101">
        <f t="shared" si="176"/>
        <v>0.365988538681948</v>
      </c>
      <c r="GC28" s="101">
        <f t="shared" si="176"/>
        <v>0.373278971303121</v>
      </c>
      <c r="GD28" s="101">
        <f t="shared" si="176"/>
        <v>0.335662983425414</v>
      </c>
      <c r="GE28" s="101">
        <f t="shared" si="176"/>
        <v>0.381813268477233</v>
      </c>
      <c r="GF28" s="101">
        <f t="shared" si="176"/>
        <v>0.385160707224764</v>
      </c>
      <c r="GG28" s="101">
        <f t="shared" si="176"/>
        <v>0.413729242545836</v>
      </c>
      <c r="GH28" s="101">
        <f t="shared" si="176"/>
        <v>0.334576818894644</v>
      </c>
      <c r="GI28" s="101">
        <f t="shared" si="176"/>
        <v>0.338877612884519</v>
      </c>
      <c r="GJ28" s="101">
        <f t="shared" ref="GJ28:GP28" si="177">GJ20/GJ$130</f>
        <v>0.267128895256614</v>
      </c>
      <c r="GK28" s="101">
        <f t="shared" si="177"/>
        <v>0.269549911993965</v>
      </c>
      <c r="GL28" s="101">
        <f t="shared" si="177"/>
        <v>0.328022043848089</v>
      </c>
      <c r="GM28" s="101" t="e">
        <f t="shared" si="177"/>
        <v>#DIV/0!</v>
      </c>
      <c r="GN28" s="101" t="e">
        <f t="shared" si="177"/>
        <v>#DIV/0!</v>
      </c>
      <c r="GO28" s="101" t="e">
        <f t="shared" si="177"/>
        <v>#DIV/0!</v>
      </c>
      <c r="GP28" s="101" t="e">
        <f t="shared" si="177"/>
        <v>#DIV/0!</v>
      </c>
    </row>
    <row r="29" ht="15" customHeight="1" spans="1:198">
      <c r="A29" s="47"/>
      <c r="B29" s="103" t="s">
        <v>37</v>
      </c>
      <c r="C29" s="104" t="s">
        <v>12</v>
      </c>
      <c r="D29" s="94" t="e">
        <f>SUM(E29:P29)</f>
        <v>#REF!</v>
      </c>
      <c r="E29" s="105" t="e">
        <f>#REF!</f>
        <v>#REF!</v>
      </c>
      <c r="F29" s="105" t="e">
        <f>#REF!</f>
        <v>#REF!</v>
      </c>
      <c r="G29" s="105" t="e">
        <f>#REF!</f>
        <v>#REF!</v>
      </c>
      <c r="H29" s="105" t="e">
        <f>#REF!</f>
        <v>#REF!</v>
      </c>
      <c r="I29" s="105" t="e">
        <f>#REF!</f>
        <v>#REF!</v>
      </c>
      <c r="J29" s="105" t="e">
        <f>#REF!</f>
        <v>#REF!</v>
      </c>
      <c r="K29" s="105" t="e">
        <f>#REF!</f>
        <v>#REF!</v>
      </c>
      <c r="L29" s="105" t="e">
        <f>#REF!</f>
        <v>#REF!</v>
      </c>
      <c r="M29" s="105" t="e">
        <f>#REF!</f>
        <v>#REF!</v>
      </c>
      <c r="N29" s="105" t="e">
        <f>#REF!</f>
        <v>#REF!</v>
      </c>
      <c r="O29" s="105" t="e">
        <f>#REF!</f>
        <v>#REF!</v>
      </c>
      <c r="P29" s="105" t="e">
        <f>#REF!</f>
        <v>#REF!</v>
      </c>
      <c r="Q29" s="65">
        <f>SUM(R29:AV29)</f>
        <v>3304.75</v>
      </c>
      <c r="R29" s="95">
        <f>SUMIFS(营销场景数据源!$H:$H,营销场景数据源!$C:$C,$B$29,营销场景数据源!$A:$A,R2)</f>
        <v>99.76</v>
      </c>
      <c r="S29" s="95">
        <f>SUMIFS(营销场景数据源!$H:$H,营销场景数据源!$C:$C,$B$29,营销场景数据源!$A:$A,S2)</f>
        <v>87.67</v>
      </c>
      <c r="T29" s="95">
        <f>SUMIFS(营销场景数据源!$H:$H,营销场景数据源!$C:$C,$B$29,营销场景数据源!$A:$A,T2)</f>
        <v>138.13</v>
      </c>
      <c r="U29" s="95">
        <f>SUMIFS(营销场景数据源!$H:$H,营销场景数据源!$C:$C,$B$29,营销场景数据源!$A:$A,U2)</f>
        <v>187.34</v>
      </c>
      <c r="V29" s="95">
        <f>SUMIFS(营销场景数据源!$H:$H,营销场景数据源!$C:$C,$B$29,营销场景数据源!$A:$A,V2)</f>
        <v>132.55</v>
      </c>
      <c r="W29" s="95">
        <f>SUMIFS(营销场景数据源!$H:$H,营销场景数据源!$C:$C,$B$29,营销场景数据源!$A:$A,W2)</f>
        <v>151.03</v>
      </c>
      <c r="X29" s="95">
        <f>SUMIFS(营销场景数据源!$H:$H,营销场景数据源!$C:$C,$B$29,营销场景数据源!$A:$A,X2)</f>
        <v>139.72</v>
      </c>
      <c r="Y29" s="95">
        <f>SUMIFS(营销场景数据源!$H:$H,营销场景数据源!$C:$C,$B$29,营销场景数据源!$A:$A,Y2)</f>
        <v>131.9</v>
      </c>
      <c r="Z29" s="95">
        <f>SUMIFS(营销场景数据源!$H:$H,营销场景数据源!$C:$C,$B$29,营销场景数据源!$A:$A,Z2)</f>
        <v>166.48</v>
      </c>
      <c r="AA29" s="95">
        <f>SUMIFS(营销场景数据源!$H:$H,营销场景数据源!$C:$C,$B$29,营销场景数据源!$A:$A,AA2)</f>
        <v>158.75</v>
      </c>
      <c r="AB29" s="95">
        <f>SUMIFS(营销场景数据源!$H:$H,营销场景数据源!$C:$C,$B$29,营销场景数据源!$A:$A,AB2)</f>
        <v>158.97</v>
      </c>
      <c r="AC29" s="95">
        <f>SUMIFS(营销场景数据源!$H:$H,营销场景数据源!$C:$C,$B$29,营销场景数据源!$A:$A,AC2)</f>
        <v>139.04</v>
      </c>
      <c r="AD29" s="95">
        <f>SUMIFS(营销场景数据源!$H:$H,营销场景数据源!$C:$C,$B$29,营销场景数据源!$A:$A,AD2)</f>
        <v>144.22</v>
      </c>
      <c r="AE29" s="95">
        <f>SUMIFS(营销场景数据源!$H:$H,营销场景数据源!$C:$C,$B$29,营销场景数据源!$A:$A,AE2)</f>
        <v>179.06</v>
      </c>
      <c r="AF29" s="95">
        <f>SUMIFS(营销场景数据源!$H:$H,营销场景数据源!$C:$C,$B$29,营销场景数据源!$A:$A,AF2)</f>
        <v>140.81</v>
      </c>
      <c r="AG29" s="95">
        <f>SUMIFS(营销场景数据源!$H:$H,营销场景数据源!$C:$C,$B$29,营销场景数据源!$A:$A,AG2)</f>
        <v>101.17</v>
      </c>
      <c r="AH29" s="95">
        <f>SUMIFS(营销场景数据源!$H:$H,营销场景数据源!$C:$C,$B$29,营销场景数据源!$A:$A,AH2)</f>
        <v>89.97</v>
      </c>
      <c r="AI29" s="95">
        <f>SUMIFS(营销场景数据源!$H:$H,营销场景数据源!$C:$C,$B$29,营销场景数据源!$A:$A,AI2)</f>
        <v>179.43</v>
      </c>
      <c r="AJ29" s="95">
        <f>SUMIFS(营销场景数据源!$H:$H,营销场景数据源!$C:$C,$B$29,营销场景数据源!$A:$A,AJ2)</f>
        <v>78.42</v>
      </c>
      <c r="AK29" s="95">
        <f>SUMIFS(营销场景数据源!$H:$H,营销场景数据源!$C:$C,$B$29,营销场景数据源!$A:$A,AK2)</f>
        <v>46.63</v>
      </c>
      <c r="AL29" s="95">
        <f>SUMIFS(营销场景数据源!$H:$H,营销场景数据源!$C:$C,$B$29,营销场景数据源!$A:$A,AL2)</f>
        <v>25.84</v>
      </c>
      <c r="AM29" s="95">
        <f>SUMIFS(营销场景数据源!$H:$H,营销场景数据源!$C:$C,$B$29,营销场景数据源!$A:$A,AM2)</f>
        <v>61.1</v>
      </c>
      <c r="AN29" s="95">
        <f>SUMIFS(营销场景数据源!$H:$H,营销场景数据源!$C:$C,$B$29,营销场景数据源!$A:$A,AN2)</f>
        <v>65.73</v>
      </c>
      <c r="AO29" s="95">
        <f>SUMIFS(营销场景数据源!$H:$H,营销场景数据源!$C:$C,$B$29,营销场景数据源!$A:$A,AO2)</f>
        <v>69.73</v>
      </c>
      <c r="AP29" s="95">
        <f>SUMIFS(营销场景数据源!$H:$H,营销场景数据源!$C:$C,$B$29,营销场景数据源!$A:$A,AP2)</f>
        <v>75</v>
      </c>
      <c r="AQ29" s="95">
        <f>SUMIFS(营销场景数据源!$H:$H,营销场景数据源!$C:$C,$B$29,营销场景数据源!$A:$A,AQ2)</f>
        <v>78.45</v>
      </c>
      <c r="AR29" s="95">
        <f>SUMIFS(营销场景数据源!$H:$H,营销场景数据源!$C:$C,$B$29,营销场景数据源!$A:$A,AR2)</f>
        <v>81.74</v>
      </c>
      <c r="AS29" s="95">
        <f>SUMIFS(营销场景数据源!$H:$H,营销场景数据源!$C:$C,$B$29,营销场景数据源!$A:$A,AS2)</f>
        <v>36.96</v>
      </c>
      <c r="AT29" s="95">
        <f>SUMIFS(营销场景数据源!$H:$H,营销场景数据源!$C:$C,$B$29,营销场景数据源!$A:$A,AT2)</f>
        <v>44.26</v>
      </c>
      <c r="AU29" s="95">
        <f>SUMIFS(营销场景数据源!$H:$H,营销场景数据源!$C:$C,$B$29,营销场景数据源!$A:$A,AU2)</f>
        <v>63.42</v>
      </c>
      <c r="AV29" s="95">
        <f>SUMIFS(营销场景数据源!$H:$H,营销场景数据源!$C:$C,$B$29,营销场景数据源!$A:$A,AV2)</f>
        <v>51.47</v>
      </c>
      <c r="AW29" s="65">
        <f>SUM(AX29:BY29)</f>
        <v>352.13</v>
      </c>
      <c r="AX29" s="95">
        <f>SUMIFS(营销场景数据源!$H:$H,营销场景数据源!$C:$C,$B$29,营销场景数据源!$A:$A,AX2)</f>
        <v>56.2</v>
      </c>
      <c r="AY29" s="95">
        <f>SUMIFS(营销场景数据源!$H:$H,营销场景数据源!$C:$C,$B$29,营销场景数据源!$A:$A,AY2)</f>
        <v>60.23</v>
      </c>
      <c r="AZ29" s="95">
        <f>SUMIFS(营销场景数据源!$H:$H,营销场景数据源!$C:$C,$B$29,营销场景数据源!$A:$A,AZ2)</f>
        <v>37.32</v>
      </c>
      <c r="BA29" s="95">
        <f>SUMIFS(营销场景数据源!$H:$H,营销场景数据源!$C:$C,$B$29,营销场景数据源!$A:$A,BA2)</f>
        <v>31.01</v>
      </c>
      <c r="BB29" s="95">
        <f>SUMIFS(营销场景数据源!$H:$H,营销场景数据源!$C:$C,$B$29,营销场景数据源!$A:$A,BB2)</f>
        <v>42.08</v>
      </c>
      <c r="BC29" s="95">
        <f>SUMIFS(营销场景数据源!$H:$H,营销场景数据源!$C:$C,$B$29,营销场景数据源!$A:$A,BC2)</f>
        <v>20.9</v>
      </c>
      <c r="BD29" s="95">
        <f>SUMIFS(营销场景数据源!$H:$H,营销场景数据源!$C:$C,$B$29,营销场景数据源!$A:$A,BD2)</f>
        <v>32.71</v>
      </c>
      <c r="BE29" s="95">
        <f>SUMIFS(营销场景数据源!$H:$H,营销场景数据源!$C:$C,$B$29,营销场景数据源!$A:$A,BE2)</f>
        <v>35</v>
      </c>
      <c r="BF29" s="95">
        <f>SUMIFS(营销场景数据源!$H:$H,营销场景数据源!$C:$C,$B$29,营销场景数据源!$A:$A,BF2)</f>
        <v>30.96</v>
      </c>
      <c r="BG29" s="95">
        <f>SUMIFS(营销场景数据源!$H:$H,营销场景数据源!$C:$C,$B$29,营销场景数据源!$A:$A,BG2)</f>
        <v>5.72</v>
      </c>
      <c r="BH29" s="95">
        <f>SUMIFS(营销场景数据源!$H:$H,营销场景数据源!$C:$C,$B$29,营销场景数据源!$A:$A,BH2)</f>
        <v>0</v>
      </c>
      <c r="BI29" s="95">
        <f>SUMIFS(营销场景数据源!$H:$H,营销场景数据源!$C:$C,$B$29,营销场景数据源!$A:$A,BI2)</f>
        <v>0</v>
      </c>
      <c r="BJ29" s="95">
        <f>SUMIFS(营销场景数据源!$H:$H,营销场景数据源!$C:$C,$B$29,营销场景数据源!$A:$A,BJ2)</f>
        <v>0</v>
      </c>
      <c r="BK29" s="95">
        <f>SUMIFS(营销场景数据源!$H:$H,营销场景数据源!$C:$C,$B$29,营销场景数据源!$A:$A,BK2)</f>
        <v>0</v>
      </c>
      <c r="BL29" s="95">
        <f>SUMIFS(营销场景数据源!$H:$H,营销场景数据源!$C:$C,$B$29,营销场景数据源!$A:$A,BL2)</f>
        <v>0</v>
      </c>
      <c r="BM29" s="95">
        <f>SUMIFS(营销场景数据源!$H:$H,营销场景数据源!$C:$C,$B$29,营销场景数据源!$A:$A,BM2)</f>
        <v>0</v>
      </c>
      <c r="BN29" s="95">
        <f>SUMIFS(营销场景数据源!$H:$H,营销场景数据源!$C:$C,$B$29,营销场景数据源!$A:$A,BN2)</f>
        <v>0</v>
      </c>
      <c r="BO29" s="95">
        <f>SUMIFS(营销场景数据源!$H:$H,营销场景数据源!$C:$C,$B$29,营销场景数据源!$A:$A,BO2)</f>
        <v>0</v>
      </c>
      <c r="BP29" s="95">
        <f>SUMIFS(营销场景数据源!$H:$H,营销场景数据源!$C:$C,$B$29,营销场景数据源!$A:$A,BP2)</f>
        <v>0</v>
      </c>
      <c r="BQ29" s="95">
        <f>SUMIFS(营销场景数据源!$H:$H,营销场景数据源!$C:$C,$B$29,营销场景数据源!$A:$A,BQ2)</f>
        <v>0</v>
      </c>
      <c r="BR29" s="95">
        <f>SUMIFS(营销场景数据源!$H:$H,营销场景数据源!$C:$C,$B$29,营销场景数据源!$A:$A,BR2)</f>
        <v>0</v>
      </c>
      <c r="BS29" s="95">
        <f>SUMIFS(营销场景数据源!$H:$H,营销场景数据源!$C:$C,$B$29,营销场景数据源!$A:$A,BS2)</f>
        <v>0</v>
      </c>
      <c r="BT29" s="95">
        <f>SUMIFS(营销场景数据源!$H:$H,营销场景数据源!$C:$C,$B$29,营销场景数据源!$A:$A,BT2)</f>
        <v>0</v>
      </c>
      <c r="BU29" s="95">
        <f>SUMIFS(营销场景数据源!$H:$H,营销场景数据源!$C:$C,$B$29,营销场景数据源!$A:$A,BU2)</f>
        <v>0</v>
      </c>
      <c r="BV29" s="95">
        <f>SUMIFS(营销场景数据源!$H:$H,营销场景数据源!$C:$C,$B$29,营销场景数据源!$A:$A,BV2)</f>
        <v>0</v>
      </c>
      <c r="BW29" s="95">
        <f>SUMIFS(营销场景数据源!$H:$H,营销场景数据源!$C:$C,$B$29,营销场景数据源!$A:$A,BW2)</f>
        <v>0</v>
      </c>
      <c r="BX29" s="95">
        <f>SUMIFS(营销场景数据源!$H:$H,营销场景数据源!$C:$C,$B$29,营销场景数据源!$A:$A,BX2)</f>
        <v>0</v>
      </c>
      <c r="BY29" s="95">
        <f>SUMIFS(营销场景数据源!$H:$H,营销场景数据源!$C:$C,$B$29,营销场景数据源!$A:$A,BY2)</f>
        <v>0</v>
      </c>
      <c r="BZ29" s="65">
        <f>SUM(CA29:DE29)</f>
        <v>0</v>
      </c>
      <c r="CA29" s="95">
        <f>SUMIFS(营销场景数据源!$H:$H,营销场景数据源!$C:$C,$B$29,营销场景数据源!$A:$A,CA2)</f>
        <v>0</v>
      </c>
      <c r="CB29" s="95">
        <f>SUMIFS(营销场景数据源!$H:$H,营销场景数据源!$C:$C,$B$29,营销场景数据源!$A:$A,CB2)</f>
        <v>0</v>
      </c>
      <c r="CC29" s="95">
        <f>SUMIFS(营销场景数据源!$H:$H,营销场景数据源!$C:$C,$B$29,营销场景数据源!$A:$A,CC2)</f>
        <v>0</v>
      </c>
      <c r="CD29" s="95">
        <f>SUMIFS(营销场景数据源!$H:$H,营销场景数据源!$C:$C,$B$29,营销场景数据源!$A:$A,CD2)</f>
        <v>0</v>
      </c>
      <c r="CE29" s="95">
        <f>SUMIFS(营销场景数据源!$H:$H,营销场景数据源!$C:$C,$B$29,营销场景数据源!$A:$A,CE2)</f>
        <v>0</v>
      </c>
      <c r="CF29" s="95">
        <f>SUMIFS(营销场景数据源!$H:$H,营销场景数据源!$C:$C,$B$29,营销场景数据源!$A:$A,CF2)</f>
        <v>0</v>
      </c>
      <c r="CG29" s="95">
        <f>SUMIFS(营销场景数据源!$H:$H,营销场景数据源!$C:$C,$B$29,营销场景数据源!$A:$A,CG2)</f>
        <v>0</v>
      </c>
      <c r="CH29" s="95">
        <f>SUMIFS(营销场景数据源!$H:$H,营销场景数据源!$C:$C,$B$29,营销场景数据源!$A:$A,CH2)</f>
        <v>0</v>
      </c>
      <c r="CI29" s="95">
        <f>SUMIFS(营销场景数据源!$H:$H,营销场景数据源!$C:$C,$B$29,营销场景数据源!$A:$A,CI2)</f>
        <v>0</v>
      </c>
      <c r="CJ29" s="95">
        <f>SUMIFS(营销场景数据源!$H:$H,营销场景数据源!$C:$C,$B$29,营销场景数据源!$A:$A,CJ2)</f>
        <v>0</v>
      </c>
      <c r="CK29" s="95">
        <f>SUMIFS(营销场景数据源!$H:$H,营销场景数据源!$C:$C,$B$29,营销场景数据源!$A:$A,CK2)</f>
        <v>0</v>
      </c>
      <c r="CL29" s="95">
        <f>SUMIFS(营销场景数据源!$H:$H,营销场景数据源!$C:$C,$B$29,营销场景数据源!$A:$A,CL2)</f>
        <v>0</v>
      </c>
      <c r="CM29" s="95">
        <f>SUMIFS(营销场景数据源!$H:$H,营销场景数据源!$C:$C,$B$29,营销场景数据源!$A:$A,CM2)</f>
        <v>0</v>
      </c>
      <c r="CN29" s="95">
        <f>SUMIFS(营销场景数据源!$H:$H,营销场景数据源!$C:$C,$B$29,营销场景数据源!$A:$A,CN2)</f>
        <v>0</v>
      </c>
      <c r="CO29" s="95">
        <f>SUMIFS(营销场景数据源!$H:$H,营销场景数据源!$C:$C,$B$29,营销场景数据源!$A:$A,CO2)</f>
        <v>0</v>
      </c>
      <c r="CP29" s="95">
        <f>SUMIFS(营销场景数据源!$H:$H,营销场景数据源!$C:$C,$B$29,营销场景数据源!$A:$A,CP2)</f>
        <v>0</v>
      </c>
      <c r="CQ29" s="95">
        <f>SUMIFS(营销场景数据源!$H:$H,营销场景数据源!$C:$C,$B$29,营销场景数据源!$A:$A,CQ2)</f>
        <v>0</v>
      </c>
      <c r="CR29" s="95">
        <f>SUMIFS(营销场景数据源!$H:$H,营销场景数据源!$C:$C,$B$29,营销场景数据源!$A:$A,CR2)</f>
        <v>0</v>
      </c>
      <c r="CS29" s="95">
        <f>SUMIFS(营销场景数据源!$H:$H,营销场景数据源!$C:$C,$B$29,营销场景数据源!$A:$A,CS2)</f>
        <v>0</v>
      </c>
      <c r="CT29" s="95">
        <f>SUMIFS(营销场景数据源!$H:$H,营销场景数据源!$C:$C,$B$29,营销场景数据源!$A:$A,CT2)</f>
        <v>0</v>
      </c>
      <c r="CU29" s="95">
        <f>SUMIFS(营销场景数据源!$H:$H,营销场景数据源!$C:$C,$B$29,营销场景数据源!$A:$A,CU2)</f>
        <v>0</v>
      </c>
      <c r="CV29" s="95">
        <f>SUMIFS(营销场景数据源!$H:$H,营销场景数据源!$C:$C,$B$29,营销场景数据源!$A:$A,CV2)</f>
        <v>0</v>
      </c>
      <c r="CW29" s="95">
        <f>SUMIFS(营销场景数据源!$H:$H,营销场景数据源!$C:$C,$B$29,营销场景数据源!$A:$A,CW2)</f>
        <v>0</v>
      </c>
      <c r="CX29" s="95">
        <f>SUMIFS(营销场景数据源!$H:$H,营销场景数据源!$C:$C,$B$29,营销场景数据源!$A:$A,CX2)</f>
        <v>0</v>
      </c>
      <c r="CY29" s="95">
        <f>SUMIFS(营销场景数据源!$H:$H,营销场景数据源!$C:$C,$B$29,营销场景数据源!$A:$A,CY2)</f>
        <v>0</v>
      </c>
      <c r="CZ29" s="95">
        <f>SUMIFS(营销场景数据源!$H:$H,营销场景数据源!$C:$C,$B$29,营销场景数据源!$A:$A,CZ2)</f>
        <v>0</v>
      </c>
      <c r="DA29" s="95">
        <f>SUMIFS(营销场景数据源!$H:$H,营销场景数据源!$C:$C,$B$29,营销场景数据源!$A:$A,DA2)</f>
        <v>0</v>
      </c>
      <c r="DB29" s="95">
        <f>SUMIFS(营销场景数据源!$H:$H,营销场景数据源!$C:$C,$B$29,营销场景数据源!$A:$A,DB2)</f>
        <v>0</v>
      </c>
      <c r="DC29" s="95">
        <f>SUMIFS(营销场景数据源!$H:$H,营销场景数据源!$C:$C,$B$29,营销场景数据源!$A:$A,DC2)</f>
        <v>0</v>
      </c>
      <c r="DD29" s="95">
        <f>SUMIFS(营销场景数据源!$H:$H,营销场景数据源!$C:$C,$B$29,营销场景数据源!$A:$A,DD2)</f>
        <v>0</v>
      </c>
      <c r="DE29" s="95">
        <f>SUMIFS(营销场景数据源!$H:$H,营销场景数据源!$C:$C,$B$29,营销场景数据源!$A:$A,DE2)</f>
        <v>0</v>
      </c>
      <c r="DF29" s="65">
        <f>SUM(DG29:EJ29)</f>
        <v>2308.45</v>
      </c>
      <c r="DG29" s="95">
        <f>SUMIFS(营销场景数据源!$H:$H,营销场景数据源!$C:$C,$B$29,营销场景数据源!$A:$A,DG2)</f>
        <v>0</v>
      </c>
      <c r="DH29" s="95">
        <f>SUMIFS(营销场景数据源!$H:$H,营销场景数据源!$C:$C,$B$29,营销场景数据源!$A:$A,DH2)</f>
        <v>0</v>
      </c>
      <c r="DI29" s="95">
        <f>SUMIFS(营销场景数据源!$H:$H,营销场景数据源!$C:$C,$B$29,营销场景数据源!$A:$A,DI2)</f>
        <v>49.84</v>
      </c>
      <c r="DJ29" s="95">
        <f>SUMIFS(营销场景数据源!$H:$H,营销场景数据源!$C:$C,$B$29,营销场景数据源!$A:$A,DJ2)</f>
        <v>50</v>
      </c>
      <c r="DK29" s="95">
        <f>SUMIFS(营销场景数据源!$H:$H,营销场景数据源!$C:$C,$B$29,营销场景数据源!$A:$A,DK2)</f>
        <v>108</v>
      </c>
      <c r="DL29" s="95">
        <f>SUMIFS(营销场景数据源!$H:$H,营销场景数据源!$C:$C,$B$29,营销场景数据源!$A:$A,DL2)</f>
        <v>50</v>
      </c>
      <c r="DM29" s="95">
        <f>SUMIFS(营销场景数据源!$H:$H,营销场景数据源!$C:$C,$B$29,营销场景数据源!$A:$A,DM2)</f>
        <v>100</v>
      </c>
      <c r="DN29" s="95">
        <f>SUMIFS(营销场景数据源!$H:$H,营销场景数据源!$C:$C,$B$29,营销场景数据源!$A:$A,DN2)</f>
        <v>211.61</v>
      </c>
      <c r="DO29" s="95">
        <f>SUMIFS(营销场景数据源!$H:$H,营销场景数据源!$C:$C,$B$29,营销场景数据源!$A:$A,DO2)</f>
        <v>215</v>
      </c>
      <c r="DP29" s="95">
        <f>SUMIFS(营销场景数据源!$H:$H,营销场景数据源!$C:$C,$B$29,营销场景数据源!$A:$A,DP2)</f>
        <v>71.51</v>
      </c>
      <c r="DQ29" s="95">
        <f>SUMIFS(营销场景数据源!$H:$H,营销场景数据源!$C:$C,$B$29,营销场景数据源!$A:$A,DQ2)</f>
        <v>74.87</v>
      </c>
      <c r="DR29" s="95">
        <f>SUMIFS(营销场景数据源!$H:$H,营销场景数据源!$C:$C,$B$29,营销场景数据源!$A:$A,DR2)</f>
        <v>74.47</v>
      </c>
      <c r="DS29" s="95">
        <f>SUMIFS(营销场景数据源!$H:$H,营销场景数据源!$C:$C,$B$29,营销场景数据源!$A:$A,DS2)</f>
        <v>48.82</v>
      </c>
      <c r="DT29" s="95">
        <f>SUMIFS(营销场景数据源!$H:$H,营销场景数据源!$C:$C,$B$29,营销场景数据源!$A:$A,DT2)</f>
        <v>47.49</v>
      </c>
      <c r="DU29" s="95">
        <f>SUMIFS(营销场景数据源!$H:$H,营销场景数据源!$C:$C,$B$29,营销场景数据源!$A:$A,DU2)</f>
        <v>74.6</v>
      </c>
      <c r="DV29" s="95">
        <f>SUMIFS(营销场景数据源!$H:$H,营销场景数据源!$C:$C,$B$29,营销场景数据源!$A:$A,DV2)</f>
        <v>107.77</v>
      </c>
      <c r="DW29" s="95">
        <f>SUMIFS(营销场景数据源!$H:$H,营销场景数据源!$C:$C,$B$29,营销场景数据源!$A:$A,DW2)</f>
        <v>23</v>
      </c>
      <c r="DX29" s="95">
        <f>SUMIFS(营销场景数据源!$H:$H,营销场景数据源!$C:$C,$B$29,营销场景数据源!$A:$A,DX2)</f>
        <v>0.07</v>
      </c>
      <c r="DY29" s="95">
        <f>SUMIFS(营销场景数据源!$H:$H,营销场景数据源!$C:$C,$B$29,营销场景数据源!$A:$A,DY2)</f>
        <v>0</v>
      </c>
      <c r="DZ29" s="95">
        <f>SUMIFS(营销场景数据源!$H:$H,营销场景数据源!$C:$C,$B$29,营销场景数据源!$A:$A,DZ2)</f>
        <v>0</v>
      </c>
      <c r="EA29" s="95">
        <f>SUMIFS(营销场景数据源!$H:$H,营销场景数据源!$C:$C,$B$29,营销场景数据源!$A:$A,EA2)</f>
        <v>0</v>
      </c>
      <c r="EB29" s="95">
        <f>SUMIFS(营销场景数据源!$H:$H,营销场景数据源!$C:$C,$B$29,营销场景数据源!$A:$A,EB2)</f>
        <v>129.74</v>
      </c>
      <c r="EC29" s="95">
        <f>SUMIFS(营销场景数据源!$H:$H,营销场景数据源!$C:$C,$B$29,营销场景数据源!$A:$A,EC2)</f>
        <v>126.61</v>
      </c>
      <c r="ED29" s="95">
        <f>SUMIFS(营销场景数据源!$H:$H,营销场景数据源!$C:$C,$B$29,营销场景数据源!$A:$A,ED2)</f>
        <v>100.56</v>
      </c>
      <c r="EE29" s="95">
        <f>SUMIFS(营销场景数据源!$H:$H,营销场景数据源!$C:$C,$B$29,营销场景数据源!$A:$A,EE2)</f>
        <v>133.07</v>
      </c>
      <c r="EF29" s="95">
        <f>SUMIFS(营销场景数据源!$H:$H,营销场景数据源!$C:$C,$B$29,营销场景数据源!$A:$A,EF2)</f>
        <v>96.2</v>
      </c>
      <c r="EG29" s="95">
        <f>SUMIFS(营销场景数据源!$H:$H,营销场景数据源!$C:$C,$B$29,营销场景数据源!$A:$A,EG2)</f>
        <v>133.59</v>
      </c>
      <c r="EH29" s="95">
        <f>SUMIFS(营销场景数据源!$H:$H,营销场景数据源!$C:$C,$B$29,营销场景数据源!$A:$A,EH2)</f>
        <v>118.16</v>
      </c>
      <c r="EI29" s="95">
        <f>SUMIFS(营销场景数据源!$H:$H,营销场景数据源!$C:$C,$B$29,营销场景数据源!$A:$A,EI2)</f>
        <v>93.44</v>
      </c>
      <c r="EJ29" s="95">
        <f>SUMIFS(营销场景数据源!$H:$H,营销场景数据源!$C:$C,$B$29,营销场景数据源!$A:$A,EJ2)</f>
        <v>70.03</v>
      </c>
      <c r="EK29" s="65">
        <f>SUM(EL29:FP29)</f>
        <v>2337.35</v>
      </c>
      <c r="EL29" s="95">
        <f>SUMIFS(营销场景数据源!$H:$H,营销场景数据源!$C:$C,$B$29,营销场景数据源!$A:$A,EL2)</f>
        <v>90.15</v>
      </c>
      <c r="EM29" s="95">
        <f>SUMIFS(营销场景数据源!$H:$H,营销场景数据源!$C:$C,$B$29,营销场景数据源!$A:$A,EM2)</f>
        <v>83.83</v>
      </c>
      <c r="EN29" s="95">
        <f>SUMIFS(营销场景数据源!$H:$H,营销场景数据源!$C:$C,$B$29,营销场景数据源!$A:$A,EN2)</f>
        <v>100.4</v>
      </c>
      <c r="EO29" s="95">
        <f>SUMIFS(营销场景数据源!$H:$H,营销场景数据源!$C:$C,$B$29,营销场景数据源!$A:$A,EO2)</f>
        <v>90.27</v>
      </c>
      <c r="EP29" s="95">
        <f>SUMIFS(营销场景数据源!$H:$H,营销场景数据源!$C:$C,$B$29,营销场景数据源!$A:$A,EP2)</f>
        <v>101.66</v>
      </c>
      <c r="EQ29" s="95">
        <f>SUMIFS(营销场景数据源!$H:$H,营销场景数据源!$C:$C,$B$29,营销场景数据源!$A:$A,EQ2)</f>
        <v>77.37</v>
      </c>
      <c r="ER29" s="95">
        <f>SUMIFS(营销场景数据源!$H:$H,营销场景数据源!$C:$C,$B$29,营销场景数据源!$A:$A,ER2)</f>
        <v>72.05</v>
      </c>
      <c r="ES29" s="95">
        <f>SUMIFS(营销场景数据源!$H:$H,营销场景数据源!$C:$C,$B$29,营销场景数据源!$A:$A,ES2)</f>
        <v>94.72</v>
      </c>
      <c r="ET29" s="95">
        <f>SUMIFS(营销场景数据源!$H:$H,营销场景数据源!$C:$C,$B$29,营销场景数据源!$A:$A,ET2)</f>
        <v>101.5</v>
      </c>
      <c r="EU29" s="95">
        <f>SUMIFS(营销场景数据源!$H:$H,营销场景数据源!$C:$C,$B$29,营销场景数据源!$A:$A,EU2)</f>
        <v>109.48</v>
      </c>
      <c r="EV29" s="95">
        <f>SUMIFS(营销场景数据源!$H:$H,营销场景数据源!$C:$C,$B$29,营销场景数据源!$A:$A,EV2)</f>
        <v>101.25</v>
      </c>
      <c r="EW29" s="95">
        <f>SUMIFS(营销场景数据源!$H:$H,营销场景数据源!$C:$C,$B$29,营销场景数据源!$A:$A,EW2)</f>
        <v>95.11</v>
      </c>
      <c r="EX29" s="95">
        <f>SUMIFS(营销场景数据源!$H:$H,营销场景数据源!$C:$C,$B$29,营销场景数据源!$A:$A,EX2)</f>
        <v>50.35</v>
      </c>
      <c r="EY29" s="95">
        <f>SUMIFS(营销场景数据源!$H:$H,营销场景数据源!$C:$C,$B$29,营销场景数据源!$A:$A,EY2)</f>
        <v>69.85</v>
      </c>
      <c r="EZ29" s="95">
        <f>SUMIFS(营销场景数据源!$H:$H,营销场景数据源!$C:$C,$B$29,营销场景数据源!$A:$A,EZ2)</f>
        <v>40.94</v>
      </c>
      <c r="FA29" s="95">
        <f>SUMIFS(营销场景数据源!$H:$H,营销场景数据源!$C:$C,$B$29,营销场景数据源!$A:$A,FA2)</f>
        <v>73.82</v>
      </c>
      <c r="FB29" s="95">
        <f>SUMIFS(营销场景数据源!$H:$H,营销场景数据源!$C:$C,$B$29,营销场景数据源!$A:$A,FB2)</f>
        <v>72.02</v>
      </c>
      <c r="FC29" s="95">
        <f>SUMIFS(营销场景数据源!$H:$H,营销场景数据源!$C:$C,$B$29,营销场景数据源!$A:$A,FC2)</f>
        <v>48.99</v>
      </c>
      <c r="FD29" s="95">
        <f>SUMIFS(营销场景数据源!$H:$H,营销场景数据源!$C:$C,$B$29,营销场景数据源!$A:$A,FD2)</f>
        <v>60.39</v>
      </c>
      <c r="FE29" s="95">
        <f>SUMIFS(营销场景数据源!$H:$H,营销场景数据源!$C:$C,$B$29,营销场景数据源!$A:$A,FE2)</f>
        <v>76.23</v>
      </c>
      <c r="FF29" s="95">
        <f>SUMIFS(营销场景数据源!$H:$H,营销场景数据源!$C:$C,$B$29,营销场景数据源!$A:$A,FF2)</f>
        <v>61.46</v>
      </c>
      <c r="FG29" s="95">
        <f>SUMIFS(营销场景数据源!$H:$H,营销场景数据源!$C:$C,$B$29,营销场景数据源!$A:$A,FG2)</f>
        <v>59.48</v>
      </c>
      <c r="FH29" s="95">
        <f>SUMIFS(营销场景数据源!$H:$H,营销场景数据源!$C:$C,$B$29,营销场景数据源!$A:$A,FH2)</f>
        <v>65.05</v>
      </c>
      <c r="FI29" s="95">
        <f>SUMIFS(营销场景数据源!$H:$H,营销场景数据源!$C:$C,$B$29,营销场景数据源!$A:$A,FI2)</f>
        <v>80.27</v>
      </c>
      <c r="FJ29" s="95">
        <f>SUMIFS(营销场景数据源!$H:$H,营销场景数据源!$C:$C,$B$29,营销场景数据源!$A:$A,FJ2)</f>
        <v>61.07</v>
      </c>
      <c r="FK29" s="95">
        <f>SUMIFS(营销场景数据源!$H:$H,营销场景数据源!$C:$C,$B$29,营销场景数据源!$A:$A,FK2)</f>
        <v>70.8</v>
      </c>
      <c r="FL29" s="95">
        <f>SUMIFS(营销场景数据源!$H:$H,营销场景数据源!$C:$C,$B$29,营销场景数据源!$A:$A,FL2)</f>
        <v>68.75</v>
      </c>
      <c r="FM29" s="95">
        <f>SUMIFS(营销场景数据源!$H:$H,营销场景数据源!$C:$C,$B$29,营销场景数据源!$A:$A,FM2)</f>
        <v>85.77</v>
      </c>
      <c r="FN29" s="95">
        <f>SUMIFS(营销场景数据源!$H:$H,营销场景数据源!$C:$C,$B$29,营销场景数据源!$A:$A,FN2)</f>
        <v>49.89</v>
      </c>
      <c r="FO29" s="95">
        <f>SUMIFS(营销场景数据源!$H:$H,营销场景数据源!$C:$C,$B$29,营销场景数据源!$A:$A,FO2)</f>
        <v>44.54</v>
      </c>
      <c r="FP29" s="95">
        <f>SUMIFS(营销场景数据源!$H:$H,营销场景数据源!$C:$C,$B$29,营销场景数据源!$A:$A,FP2)</f>
        <v>79.89</v>
      </c>
      <c r="FQ29" s="65">
        <f t="shared" ref="FQ29:FQ33" si="178">SUM(FR29:GX29)</f>
        <v>1261.23</v>
      </c>
      <c r="FR29" s="95">
        <f>SUMIFS(营销场景数据源!$H:$H,营销场景数据源!$C:$C,$B$29,营销场景数据源!$A:$A,FR2)</f>
        <v>54.7</v>
      </c>
      <c r="FS29" s="95">
        <f>SUMIFS(营销场景数据源!$H:$H,营销场景数据源!$C:$C,$B$29,营销场景数据源!$A:$A,FS2)</f>
        <v>52.78</v>
      </c>
      <c r="FT29" s="95">
        <f>SUMIFS(营销场景数据源!$H:$H,营销场景数据源!$C:$C,$B$29,营销场景数据源!$A:$A,FT2)</f>
        <v>40.39</v>
      </c>
      <c r="FU29" s="95">
        <f>SUMIFS(营销场景数据源!$H:$H,营销场景数据源!$C:$C,$B$29,营销场景数据源!$A:$A,FU2)</f>
        <v>54.26</v>
      </c>
      <c r="FV29" s="95">
        <f>SUMIFS(营销场景数据源!$H:$H,营销场景数据源!$C:$C,$B$29,营销场景数据源!$A:$A,FV2)</f>
        <v>29.89</v>
      </c>
      <c r="FW29" s="95">
        <f>SUMIFS(营销场景数据源!$H:$H,营销场景数据源!$C:$C,$B$29,营销场景数据源!$A:$A,FW2)</f>
        <v>73.06</v>
      </c>
      <c r="FX29" s="95">
        <f>SUMIFS(营销场景数据源!$H:$H,营销场景数据源!$C:$C,$B$29,营销场景数据源!$A:$A,FX2)</f>
        <v>83.17</v>
      </c>
      <c r="FY29" s="95">
        <f>SUMIFS(营销场景数据源!$H:$H,营销场景数据源!$C:$C,$B$29,营销场景数据源!$A:$A,FY2)</f>
        <v>68.12</v>
      </c>
      <c r="FZ29" s="95">
        <f>SUMIFS(营销场景数据源!$H:$H,营销场景数据源!$C:$C,$B$29,营销场景数据源!$A:$A,FZ2)</f>
        <v>69.02</v>
      </c>
      <c r="GA29" s="95">
        <f>SUMIFS(营销场景数据源!$H:$H,营销场景数据源!$C:$C,$B$29,营销场景数据源!$A:$A,GA2)</f>
        <v>60.52</v>
      </c>
      <c r="GB29" s="95">
        <f>SUMIFS(营销场景数据源!$H:$H,营销场景数据源!$C:$C,$B$29,营销场景数据源!$A:$A,GB2)</f>
        <v>56.92</v>
      </c>
      <c r="GC29" s="95">
        <f>SUMIFS(营销场景数据源!$H:$H,营销场景数据源!$C:$C,$B$29,营销场景数据源!$A:$A,GC2)</f>
        <v>38.4</v>
      </c>
      <c r="GD29" s="95">
        <f>SUMIFS(营销场景数据源!$H:$H,营销场景数据源!$C:$C,$B$29,营销场景数据源!$A:$A,GD2)</f>
        <v>76.02</v>
      </c>
      <c r="GE29" s="95">
        <f>SUMIFS(营销场景数据源!$H:$H,营销场景数据源!$C:$C,$B$29,营销场景数据源!$A:$A,GE2)</f>
        <v>67.71</v>
      </c>
      <c r="GF29" s="95">
        <f>SUMIFS(营销场景数据源!$H:$H,营销场景数据源!$C:$C,$B$29,营销场景数据源!$A:$A,GF2)</f>
        <v>54.86</v>
      </c>
      <c r="GG29" s="95">
        <f>SUMIFS(营销场景数据源!$H:$H,营销场景数据源!$C:$C,$B$29,营销场景数据源!$A:$A,GG2)</f>
        <v>53.38</v>
      </c>
      <c r="GH29" s="95">
        <f>SUMIFS(营销场景数据源!$H:$H,营销场景数据源!$C:$C,$B$29,营销场景数据源!$A:$A,GH2)</f>
        <v>45.69</v>
      </c>
      <c r="GI29" s="95">
        <f>SUMIFS(营销场景数据源!$H:$H,营销场景数据源!$C:$C,$B$29,营销场景数据源!$A:$A,GI2)</f>
        <v>39.73</v>
      </c>
      <c r="GJ29" s="95">
        <f>SUMIFS(营销场景数据源!$H:$H,营销场景数据源!$C:$C,$B$29,营销场景数据源!$A:$A,GJ2)</f>
        <v>78.7</v>
      </c>
      <c r="GK29" s="95">
        <f>SUMIFS(营销场景数据源!$H:$H,营销场景数据源!$C:$C,$B$29,营销场景数据源!$A:$A,GK2)</f>
        <v>74.98</v>
      </c>
      <c r="GL29" s="95">
        <f>SUMIFS(营销场景数据源!$H:$H,营销场景数据源!$C:$C,$B$29,营销场景数据源!$A:$A,GL2)</f>
        <v>88.93</v>
      </c>
      <c r="GM29" s="95">
        <f>SUMIFS(营销场景数据源!$H:$H,营销场景数据源!$C:$C,$B$29,营销场景数据源!$A:$A,GM2)</f>
        <v>0</v>
      </c>
      <c r="GN29" s="95">
        <f>SUMIFS(营销场景数据源!$H:$H,营销场景数据源!$C:$C,$B$29,营销场景数据源!$A:$A,GN2)</f>
        <v>0</v>
      </c>
      <c r="GO29" s="95">
        <f>SUMIFS(营销场景数据源!$H:$H,营销场景数据源!$C:$C,$B$29,营销场景数据源!$A:$A,GO2)</f>
        <v>0</v>
      </c>
      <c r="GP29" s="95">
        <f>SUMIFS(营销场景数据源!$H:$H,营销场景数据源!$C:$C,$B$29,营销场景数据源!$A:$A,GP2)</f>
        <v>0</v>
      </c>
    </row>
    <row r="30" ht="15" customHeight="1" spans="1:198">
      <c r="A30" s="47"/>
      <c r="B30" s="103"/>
      <c r="C30" s="104" t="s">
        <v>21</v>
      </c>
      <c r="D30" s="94" t="e">
        <f>SUM(E30:P30)</f>
        <v>#REF!</v>
      </c>
      <c r="E30" s="105" t="e">
        <f>#REF!</f>
        <v>#REF!</v>
      </c>
      <c r="F30" s="105" t="e">
        <f>#REF!</f>
        <v>#REF!</v>
      </c>
      <c r="G30" s="105" t="e">
        <f>#REF!</f>
        <v>#REF!</v>
      </c>
      <c r="H30" s="105" t="e">
        <f>#REF!</f>
        <v>#REF!</v>
      </c>
      <c r="I30" s="105" t="e">
        <f>#REF!</f>
        <v>#REF!</v>
      </c>
      <c r="J30" s="105" t="e">
        <f>#REF!</f>
        <v>#REF!</v>
      </c>
      <c r="K30" s="105" t="e">
        <f>#REF!</f>
        <v>#REF!</v>
      </c>
      <c r="L30" s="105" t="e">
        <f>#REF!</f>
        <v>#REF!</v>
      </c>
      <c r="M30" s="105" t="e">
        <f>#REF!</f>
        <v>#REF!</v>
      </c>
      <c r="N30" s="105" t="e">
        <f>#REF!</f>
        <v>#REF!</v>
      </c>
      <c r="O30" s="105" t="e">
        <f>#REF!</f>
        <v>#REF!</v>
      </c>
      <c r="P30" s="105" t="e">
        <f>#REF!</f>
        <v>#REF!</v>
      </c>
      <c r="Q30" s="65">
        <f>SUM(R30:AV30)</f>
        <v>1840</v>
      </c>
      <c r="R30" s="95">
        <f>SUMIFS(营销场景数据源!$G:$G,营销场景数据源!$C:$C,$B$29,营销场景数据源!$A:$A,R2)</f>
        <v>78</v>
      </c>
      <c r="S30" s="95">
        <f>SUMIFS(营销场景数据源!$G:$G,营销场景数据源!$C:$C,$B$29,营销场景数据源!$A:$A,S2)</f>
        <v>95</v>
      </c>
      <c r="T30" s="95">
        <f>SUMIFS(营销场景数据源!$G:$G,营销场景数据源!$C:$C,$B$29,营销场景数据源!$A:$A,T2)</f>
        <v>127</v>
      </c>
      <c r="U30" s="95">
        <f>SUMIFS(营销场景数据源!$G:$G,营销场景数据源!$C:$C,$B$29,营销场景数据源!$A:$A,U2)</f>
        <v>127</v>
      </c>
      <c r="V30" s="95">
        <f>SUMIFS(营销场景数据源!$G:$G,营销场景数据源!$C:$C,$B$29,营销场景数据源!$A:$A,V2)</f>
        <v>112</v>
      </c>
      <c r="W30" s="95">
        <f>SUMIFS(营销场景数据源!$G:$G,营销场景数据源!$C:$C,$B$29,营销场景数据源!$A:$A,W2)</f>
        <v>73</v>
      </c>
      <c r="X30" s="95">
        <f>SUMIFS(营销场景数据源!$G:$G,营销场景数据源!$C:$C,$B$29,营销场景数据源!$A:$A,X2)</f>
        <v>90</v>
      </c>
      <c r="Y30" s="95">
        <f>SUMIFS(营销场景数据源!$G:$G,营销场景数据源!$C:$C,$B$29,营销场景数据源!$A:$A,Y2)</f>
        <v>64</v>
      </c>
      <c r="Z30" s="95">
        <f>SUMIFS(营销场景数据源!$G:$G,营销场景数据源!$C:$C,$B$29,营销场景数据源!$A:$A,Z2)</f>
        <v>81</v>
      </c>
      <c r="AA30" s="95">
        <f>SUMIFS(营销场景数据源!$G:$G,营销场景数据源!$C:$C,$B$29,营销场景数据源!$A:$A,AA2)</f>
        <v>87</v>
      </c>
      <c r="AB30" s="95">
        <f>SUMIFS(营销场景数据源!$G:$G,营销场景数据源!$C:$C,$B$29,营销场景数据源!$A:$A,AB2)</f>
        <v>86</v>
      </c>
      <c r="AC30" s="95">
        <f>SUMIFS(营销场景数据源!$G:$G,营销场景数据源!$C:$C,$B$29,营销场景数据源!$A:$A,AC2)</f>
        <v>58</v>
      </c>
      <c r="AD30" s="95">
        <f>SUMIFS(营销场景数据源!$G:$G,营销场景数据源!$C:$C,$B$29,营销场景数据源!$A:$A,AD2)</f>
        <v>71</v>
      </c>
      <c r="AE30" s="95">
        <f>SUMIFS(营销场景数据源!$G:$G,营销场景数据源!$C:$C,$B$29,营销场景数据源!$A:$A,AE2)</f>
        <v>86</v>
      </c>
      <c r="AF30" s="95">
        <f>SUMIFS(营销场景数据源!$G:$G,营销场景数据源!$C:$C,$B$29,营销场景数据源!$A:$A,AF2)</f>
        <v>81</v>
      </c>
      <c r="AG30" s="95">
        <f>SUMIFS(营销场景数据源!$G:$G,营销场景数据源!$C:$C,$B$29,营销场景数据源!$A:$A,AG2)</f>
        <v>67</v>
      </c>
      <c r="AH30" s="95">
        <f>SUMIFS(营销场景数据源!$G:$G,营销场景数据源!$C:$C,$B$29,营销场景数据源!$A:$A,AH2)</f>
        <v>59</v>
      </c>
      <c r="AI30" s="95">
        <f>SUMIFS(营销场景数据源!$G:$G,营销场景数据源!$C:$C,$B$29,营销场景数据源!$A:$A,AI2)</f>
        <v>71</v>
      </c>
      <c r="AJ30" s="95">
        <f>SUMIFS(营销场景数据源!$G:$G,营销场景数据源!$C:$C,$B$29,营销场景数据源!$A:$A,AJ2)</f>
        <v>40</v>
      </c>
      <c r="AK30" s="95">
        <f>SUMIFS(营销场景数据源!$G:$G,营销场景数据源!$C:$C,$B$29,营销场景数据源!$A:$A,AK2)</f>
        <v>17</v>
      </c>
      <c r="AL30" s="95">
        <f>SUMIFS(营销场景数据源!$G:$G,营销场景数据源!$C:$C,$B$29,营销场景数据源!$A:$A,AL2)</f>
        <v>13</v>
      </c>
      <c r="AM30" s="95">
        <f>SUMIFS(营销场景数据源!$G:$G,营销场景数据源!$C:$C,$B$29,营销场景数据源!$A:$A,AM2)</f>
        <v>18</v>
      </c>
      <c r="AN30" s="95">
        <f>SUMIFS(营销场景数据源!$G:$G,营销场景数据源!$C:$C,$B$29,营销场景数据源!$A:$A,AN2)</f>
        <v>31</v>
      </c>
      <c r="AO30" s="95">
        <f>SUMIFS(营销场景数据源!$G:$G,营销场景数据源!$C:$C,$B$29,营销场景数据源!$A:$A,AO2)</f>
        <v>28</v>
      </c>
      <c r="AP30" s="95">
        <f>SUMIFS(营销场景数据源!$G:$G,营销场景数据源!$C:$C,$B$29,营销场景数据源!$A:$A,AP2)</f>
        <v>41</v>
      </c>
      <c r="AQ30" s="95">
        <f>SUMIFS(营销场景数据源!$G:$G,营销场景数据源!$C:$C,$B$29,营销场景数据源!$A:$A,AQ2)</f>
        <v>25</v>
      </c>
      <c r="AR30" s="95">
        <f>SUMIFS(营销场景数据源!$G:$G,营销场景数据源!$C:$C,$B$29,营销场景数据源!$A:$A,AR2)</f>
        <v>35</v>
      </c>
      <c r="AS30" s="95">
        <f>SUMIFS(营销场景数据源!$G:$G,营销场景数据源!$C:$C,$B$29,营销场景数据源!$A:$A,AS2)</f>
        <v>13</v>
      </c>
      <c r="AT30" s="95">
        <f>SUMIFS(营销场景数据源!$G:$G,营销场景数据源!$C:$C,$B$29,营销场景数据源!$A:$A,AT2)</f>
        <v>14</v>
      </c>
      <c r="AU30" s="95">
        <f>SUMIFS(营销场景数据源!$G:$G,营销场景数据源!$C:$C,$B$29,营销场景数据源!$A:$A,AU2)</f>
        <v>27</v>
      </c>
      <c r="AV30" s="95">
        <f>SUMIFS(营销场景数据源!$G:$G,营销场景数据源!$C:$C,$B$29,营销场景数据源!$A:$A,AV2)</f>
        <v>25</v>
      </c>
      <c r="AW30" s="65">
        <f>SUM(AX30:BY30)</f>
        <v>154</v>
      </c>
      <c r="AX30" s="95">
        <f>SUMIFS(营销场景数据源!$G:$G,营销场景数据源!$C:$C,$B$29,营销场景数据源!$A:$A,AX2)</f>
        <v>22</v>
      </c>
      <c r="AY30" s="95">
        <f>SUMIFS(营销场景数据源!$G:$G,营销场景数据源!$C:$C,$B$29,营销场景数据源!$A:$A,AY2)</f>
        <v>28</v>
      </c>
      <c r="AZ30" s="95">
        <f>SUMIFS(营销场景数据源!$G:$G,营销场景数据源!$C:$C,$B$29,营销场景数据源!$A:$A,AZ2)</f>
        <v>15</v>
      </c>
      <c r="BA30" s="95">
        <f>SUMIFS(营销场景数据源!$G:$G,营销场景数据源!$C:$C,$B$29,营销场景数据源!$A:$A,BA2)</f>
        <v>11</v>
      </c>
      <c r="BB30" s="95">
        <f>SUMIFS(营销场景数据源!$G:$G,营销场景数据源!$C:$C,$B$29,营销场景数据源!$A:$A,BB2)</f>
        <v>15</v>
      </c>
      <c r="BC30" s="95">
        <f>SUMIFS(营销场景数据源!$G:$G,营销场景数据源!$C:$C,$B$29,营销场景数据源!$A:$A,BC2)</f>
        <v>11</v>
      </c>
      <c r="BD30" s="95">
        <f>SUMIFS(营销场景数据源!$G:$G,营销场景数据源!$C:$C,$B$29,营销场景数据源!$A:$A,BD2)</f>
        <v>19</v>
      </c>
      <c r="BE30" s="95">
        <f>SUMIFS(营销场景数据源!$G:$G,营销场景数据源!$C:$C,$B$29,营销场景数据源!$A:$A,BE2)</f>
        <v>19</v>
      </c>
      <c r="BF30" s="95">
        <f>SUMIFS(营销场景数据源!$G:$G,营销场景数据源!$C:$C,$B$29,营销场景数据源!$A:$A,BF2)</f>
        <v>12</v>
      </c>
      <c r="BG30" s="95">
        <f>SUMIFS(营销场景数据源!$G:$G,营销场景数据源!$C:$C,$B$29,营销场景数据源!$A:$A,BG2)</f>
        <v>2</v>
      </c>
      <c r="BH30" s="95">
        <f>SUMIFS(营销场景数据源!$G:$G,营销场景数据源!$C:$C,$B$29,营销场景数据源!$A:$A,BH2)</f>
        <v>0</v>
      </c>
      <c r="BI30" s="95">
        <f>SUMIFS(营销场景数据源!$G:$G,营销场景数据源!$C:$C,$B$29,营销场景数据源!$A:$A,BI2)</f>
        <v>0</v>
      </c>
      <c r="BJ30" s="95">
        <f>SUMIFS(营销场景数据源!$G:$G,营销场景数据源!$C:$C,$B$29,营销场景数据源!$A:$A,BJ2)</f>
        <v>0</v>
      </c>
      <c r="BK30" s="95">
        <f>SUMIFS(营销场景数据源!$G:$G,营销场景数据源!$C:$C,$B$29,营销场景数据源!$A:$A,BK2)</f>
        <v>0</v>
      </c>
      <c r="BL30" s="95">
        <f>SUMIFS(营销场景数据源!$G:$G,营销场景数据源!$C:$C,$B$29,营销场景数据源!$A:$A,BL2)</f>
        <v>0</v>
      </c>
      <c r="BM30" s="95">
        <f>SUMIFS(营销场景数据源!$G:$G,营销场景数据源!$C:$C,$B$29,营销场景数据源!$A:$A,BM2)</f>
        <v>0</v>
      </c>
      <c r="BN30" s="95">
        <f>SUMIFS(营销场景数据源!$G:$G,营销场景数据源!$C:$C,$B$29,营销场景数据源!$A:$A,BN2)</f>
        <v>0</v>
      </c>
      <c r="BO30" s="95">
        <f>SUMIFS(营销场景数据源!$G:$G,营销场景数据源!$C:$C,$B$29,营销场景数据源!$A:$A,BO2)</f>
        <v>0</v>
      </c>
      <c r="BP30" s="95">
        <f>SUMIFS(营销场景数据源!$G:$G,营销场景数据源!$C:$C,$B$29,营销场景数据源!$A:$A,BP2)</f>
        <v>0</v>
      </c>
      <c r="BQ30" s="95">
        <f>SUMIFS(营销场景数据源!$G:$G,营销场景数据源!$C:$C,$B$29,营销场景数据源!$A:$A,BQ2)</f>
        <v>0</v>
      </c>
      <c r="BR30" s="95">
        <f>SUMIFS(营销场景数据源!$G:$G,营销场景数据源!$C:$C,$B$29,营销场景数据源!$A:$A,BR2)</f>
        <v>0</v>
      </c>
      <c r="BS30" s="95">
        <f>SUMIFS(营销场景数据源!$G:$G,营销场景数据源!$C:$C,$B$29,营销场景数据源!$A:$A,BS2)</f>
        <v>0</v>
      </c>
      <c r="BT30" s="95">
        <f>SUMIFS(营销场景数据源!$G:$G,营销场景数据源!$C:$C,$B$29,营销场景数据源!$A:$A,BT2)</f>
        <v>0</v>
      </c>
      <c r="BU30" s="95">
        <f>SUMIFS(营销场景数据源!$G:$G,营销场景数据源!$C:$C,$B$29,营销场景数据源!$A:$A,BU2)</f>
        <v>0</v>
      </c>
      <c r="BV30" s="95">
        <f>SUMIFS(营销场景数据源!$G:$G,营销场景数据源!$C:$C,$B$29,营销场景数据源!$A:$A,BV2)</f>
        <v>0</v>
      </c>
      <c r="BW30" s="95">
        <f>SUMIFS(营销场景数据源!$G:$G,营销场景数据源!$C:$C,$B$29,营销场景数据源!$A:$A,BW2)</f>
        <v>0</v>
      </c>
      <c r="BX30" s="95">
        <f>SUMIFS(营销场景数据源!$G:$G,营销场景数据源!$C:$C,$B$29,营销场景数据源!$A:$A,BX2)</f>
        <v>0</v>
      </c>
      <c r="BY30" s="95">
        <f>SUMIFS(营销场景数据源!$G:$G,营销场景数据源!$C:$C,$B$29,营销场景数据源!$A:$A,BY2)</f>
        <v>0</v>
      </c>
      <c r="BZ30" s="65">
        <f>SUM(CA30:DE30)</f>
        <v>0</v>
      </c>
      <c r="CA30" s="95">
        <f>SUMIFS(营销场景数据源!$G:$G,营销场景数据源!$C:$C,$B$29,营销场景数据源!$A:$A,CA2)</f>
        <v>0</v>
      </c>
      <c r="CB30" s="95">
        <f>SUMIFS(营销场景数据源!$G:$G,营销场景数据源!$C:$C,$B$29,营销场景数据源!$A:$A,CB2)</f>
        <v>0</v>
      </c>
      <c r="CC30" s="95">
        <f>SUMIFS(营销场景数据源!$G:$G,营销场景数据源!$C:$C,$B$29,营销场景数据源!$A:$A,CC2)</f>
        <v>0</v>
      </c>
      <c r="CD30" s="95">
        <f>SUMIFS(营销场景数据源!$G:$G,营销场景数据源!$C:$C,$B$29,营销场景数据源!$A:$A,CD2)</f>
        <v>0</v>
      </c>
      <c r="CE30" s="95">
        <f>SUMIFS(营销场景数据源!$G:$G,营销场景数据源!$C:$C,$B$29,营销场景数据源!$A:$A,CE2)</f>
        <v>0</v>
      </c>
      <c r="CF30" s="95">
        <f>SUMIFS(营销场景数据源!$G:$G,营销场景数据源!$C:$C,$B$29,营销场景数据源!$A:$A,CF2)</f>
        <v>0</v>
      </c>
      <c r="CG30" s="95">
        <f>SUMIFS(营销场景数据源!$G:$G,营销场景数据源!$C:$C,$B$29,营销场景数据源!$A:$A,CG2)</f>
        <v>0</v>
      </c>
      <c r="CH30" s="95">
        <f>SUMIFS(营销场景数据源!$G:$G,营销场景数据源!$C:$C,$B$29,营销场景数据源!$A:$A,CH2)</f>
        <v>0</v>
      </c>
      <c r="CI30" s="95">
        <f>SUMIFS(营销场景数据源!$G:$G,营销场景数据源!$C:$C,$B$29,营销场景数据源!$A:$A,CI2)</f>
        <v>0</v>
      </c>
      <c r="CJ30" s="95">
        <f>SUMIFS(营销场景数据源!$G:$G,营销场景数据源!$C:$C,$B$29,营销场景数据源!$A:$A,CJ2)</f>
        <v>0</v>
      </c>
      <c r="CK30" s="95">
        <f>SUMIFS(营销场景数据源!$G:$G,营销场景数据源!$C:$C,$B$29,营销场景数据源!$A:$A,CK2)</f>
        <v>0</v>
      </c>
      <c r="CL30" s="95">
        <f>SUMIFS(营销场景数据源!$G:$G,营销场景数据源!$C:$C,$B$29,营销场景数据源!$A:$A,CL2)</f>
        <v>0</v>
      </c>
      <c r="CM30" s="95">
        <f>SUMIFS(营销场景数据源!$G:$G,营销场景数据源!$C:$C,$B$29,营销场景数据源!$A:$A,CM2)</f>
        <v>0</v>
      </c>
      <c r="CN30" s="95">
        <f>SUMIFS(营销场景数据源!$G:$G,营销场景数据源!$C:$C,$B$29,营销场景数据源!$A:$A,CN2)</f>
        <v>0</v>
      </c>
      <c r="CO30" s="95">
        <f>SUMIFS(营销场景数据源!$G:$G,营销场景数据源!$C:$C,$B$29,营销场景数据源!$A:$A,CO2)</f>
        <v>0</v>
      </c>
      <c r="CP30" s="95">
        <f>SUMIFS(营销场景数据源!$G:$G,营销场景数据源!$C:$C,$B$29,营销场景数据源!$A:$A,CP2)</f>
        <v>0</v>
      </c>
      <c r="CQ30" s="95">
        <f>SUMIFS(营销场景数据源!$G:$G,营销场景数据源!$C:$C,$B$29,营销场景数据源!$A:$A,CQ2)</f>
        <v>0</v>
      </c>
      <c r="CR30" s="95">
        <f>SUMIFS(营销场景数据源!$G:$G,营销场景数据源!$C:$C,$B$29,营销场景数据源!$A:$A,CR2)</f>
        <v>0</v>
      </c>
      <c r="CS30" s="95">
        <f>SUMIFS(营销场景数据源!$G:$G,营销场景数据源!$C:$C,$B$29,营销场景数据源!$A:$A,CS2)</f>
        <v>0</v>
      </c>
      <c r="CT30" s="95">
        <f>SUMIFS(营销场景数据源!$G:$G,营销场景数据源!$C:$C,$B$29,营销场景数据源!$A:$A,CT2)</f>
        <v>0</v>
      </c>
      <c r="CU30" s="95">
        <f>SUMIFS(营销场景数据源!$G:$G,营销场景数据源!$C:$C,$B$29,营销场景数据源!$A:$A,CU2)</f>
        <v>0</v>
      </c>
      <c r="CV30" s="95">
        <f>SUMIFS(营销场景数据源!$G:$G,营销场景数据源!$C:$C,$B$29,营销场景数据源!$A:$A,CV2)</f>
        <v>0</v>
      </c>
      <c r="CW30" s="95">
        <f>SUMIFS(营销场景数据源!$G:$G,营销场景数据源!$C:$C,$B$29,营销场景数据源!$A:$A,CW2)</f>
        <v>0</v>
      </c>
      <c r="CX30" s="95">
        <f>SUMIFS(营销场景数据源!$G:$G,营销场景数据源!$C:$C,$B$29,营销场景数据源!$A:$A,CX2)</f>
        <v>0</v>
      </c>
      <c r="CY30" s="95">
        <f>SUMIFS(营销场景数据源!$G:$G,营销场景数据源!$C:$C,$B$29,营销场景数据源!$A:$A,CY2)</f>
        <v>0</v>
      </c>
      <c r="CZ30" s="95">
        <f>SUMIFS(营销场景数据源!$G:$G,营销场景数据源!$C:$C,$B$29,营销场景数据源!$A:$A,CZ2)</f>
        <v>0</v>
      </c>
      <c r="DA30" s="95">
        <f>SUMIFS(营销场景数据源!$G:$G,营销场景数据源!$C:$C,$B$29,营销场景数据源!$A:$A,DA2)</f>
        <v>0</v>
      </c>
      <c r="DB30" s="95">
        <f>SUMIFS(营销场景数据源!$G:$G,营销场景数据源!$C:$C,$B$29,营销场景数据源!$A:$A,DB2)</f>
        <v>0</v>
      </c>
      <c r="DC30" s="95">
        <f>SUMIFS(营销场景数据源!$G:$G,营销场景数据源!$C:$C,$B$29,营销场景数据源!$A:$A,DC2)</f>
        <v>0</v>
      </c>
      <c r="DD30" s="95">
        <f>SUMIFS(营销场景数据源!$G:$G,营销场景数据源!$C:$C,$B$29,营销场景数据源!$A:$A,DD2)</f>
        <v>0</v>
      </c>
      <c r="DE30" s="95">
        <f>SUMIFS(营销场景数据源!$G:$G,营销场景数据源!$C:$C,$B$29,营销场景数据源!$A:$A,DE2)</f>
        <v>0</v>
      </c>
      <c r="DF30" s="65">
        <f>SUM(DG30:EJ30)</f>
        <v>3735</v>
      </c>
      <c r="DG30" s="95">
        <f>SUMIFS(营销场景数据源!$G:$G,营销场景数据源!$C:$C,$B$29,营销场景数据源!$A:$A,DG2)</f>
        <v>0</v>
      </c>
      <c r="DH30" s="95">
        <f>SUMIFS(营销场景数据源!$G:$G,营销场景数据源!$C:$C,$B$29,营销场景数据源!$A:$A,DH2)</f>
        <v>0</v>
      </c>
      <c r="DI30" s="95">
        <f>SUMIFS(营销场景数据源!$G:$G,营销场景数据源!$C:$C,$B$29,营销场景数据源!$A:$A,DI2)</f>
        <v>40</v>
      </c>
      <c r="DJ30" s="95">
        <f>SUMIFS(营销场景数据源!$G:$G,营销场景数据源!$C:$C,$B$29,营销场景数据源!$A:$A,DJ2)</f>
        <v>27</v>
      </c>
      <c r="DK30" s="95">
        <f>SUMIFS(营销场景数据源!$G:$G,营销场景数据源!$C:$C,$B$29,营销场景数据源!$A:$A,DK2)</f>
        <v>75</v>
      </c>
      <c r="DL30" s="95">
        <f>SUMIFS(营销场景数据源!$G:$G,营销场景数据源!$C:$C,$B$29,营销场景数据源!$A:$A,DL2)</f>
        <v>23</v>
      </c>
      <c r="DM30" s="95">
        <f>SUMIFS(营销场景数据源!$G:$G,营销场景数据源!$C:$C,$B$29,营销场景数据源!$A:$A,DM2)</f>
        <v>64</v>
      </c>
      <c r="DN30" s="95">
        <f>SUMIFS(营销场景数据源!$G:$G,营销场景数据源!$C:$C,$B$29,营销场景数据源!$A:$A,DN2)</f>
        <v>148</v>
      </c>
      <c r="DO30" s="95">
        <f>SUMIFS(营销场景数据源!$G:$G,营销场景数据源!$C:$C,$B$29,营销场景数据源!$A:$A,DO2)</f>
        <v>201</v>
      </c>
      <c r="DP30" s="95">
        <f>SUMIFS(营销场景数据源!$G:$G,营销场景数据源!$C:$C,$B$29,营销场景数据源!$A:$A,DP2)</f>
        <v>76</v>
      </c>
      <c r="DQ30" s="95">
        <f>SUMIFS(营销场景数据源!$G:$G,营销场景数据源!$C:$C,$B$29,营销场景数据源!$A:$A,DQ2)</f>
        <v>41</v>
      </c>
      <c r="DR30" s="95">
        <f>SUMIFS(营销场景数据源!$G:$G,营销场景数据源!$C:$C,$B$29,营销场景数据源!$A:$A,DR2)</f>
        <v>180</v>
      </c>
      <c r="DS30" s="95">
        <f>SUMIFS(营销场景数据源!$G:$G,营销场景数据源!$C:$C,$B$29,营销场景数据源!$A:$A,DS2)</f>
        <v>67</v>
      </c>
      <c r="DT30" s="95">
        <f>SUMIFS(营销场景数据源!$G:$G,营销场景数据源!$C:$C,$B$29,营销场景数据源!$A:$A,DT2)</f>
        <v>47</v>
      </c>
      <c r="DU30" s="95">
        <f>SUMIFS(营销场景数据源!$G:$G,营销场景数据源!$C:$C,$B$29,营销场景数据源!$A:$A,DU2)</f>
        <v>60</v>
      </c>
      <c r="DV30" s="95">
        <f>SUMIFS(营销场景数据源!$G:$G,营销场景数据源!$C:$C,$B$29,营销场景数据源!$A:$A,DV2)</f>
        <v>137</v>
      </c>
      <c r="DW30" s="95">
        <f>SUMIFS(营销场景数据源!$G:$G,营销场景数据源!$C:$C,$B$29,营销场景数据源!$A:$A,DW2)</f>
        <v>40</v>
      </c>
      <c r="DX30" s="95">
        <f>SUMIFS(营销场景数据源!$G:$G,营销场景数据源!$C:$C,$B$29,营销场景数据源!$A:$A,DX2)</f>
        <v>1</v>
      </c>
      <c r="DY30" s="95">
        <f>SUMIFS(营销场景数据源!$G:$G,营销场景数据源!$C:$C,$B$29,营销场景数据源!$A:$A,DY2)</f>
        <v>0</v>
      </c>
      <c r="DZ30" s="95">
        <f>SUMIFS(营销场景数据源!$G:$G,营销场景数据源!$C:$C,$B$29,营销场景数据源!$A:$A,DZ2)</f>
        <v>0</v>
      </c>
      <c r="EA30" s="95">
        <f>SUMIFS(营销场景数据源!$G:$G,营销场景数据源!$C:$C,$B$29,营销场景数据源!$A:$A,EA2)</f>
        <v>0</v>
      </c>
      <c r="EB30" s="95">
        <f>SUMIFS(营销场景数据源!$G:$G,营销场景数据源!$C:$C,$B$29,营销场景数据源!$A:$A,EB2)</f>
        <v>217</v>
      </c>
      <c r="EC30" s="95">
        <f>SUMIFS(营销场景数据源!$G:$G,营销场景数据源!$C:$C,$B$29,营销场景数据源!$A:$A,EC2)</f>
        <v>246</v>
      </c>
      <c r="ED30" s="95">
        <f>SUMIFS(营销场景数据源!$G:$G,营销场景数据源!$C:$C,$B$29,营销场景数据源!$A:$A,ED2)</f>
        <v>276</v>
      </c>
      <c r="EE30" s="95">
        <f>SUMIFS(营销场景数据源!$G:$G,营销场景数据源!$C:$C,$B$29,营销场景数据源!$A:$A,EE2)</f>
        <v>362</v>
      </c>
      <c r="EF30" s="95">
        <f>SUMIFS(营销场景数据源!$G:$G,营销场景数据源!$C:$C,$B$29,营销场景数据源!$A:$A,EF2)</f>
        <v>290</v>
      </c>
      <c r="EG30" s="95">
        <f>SUMIFS(营销场景数据源!$G:$G,营销场景数据源!$C:$C,$B$29,营销场景数据源!$A:$A,EG2)</f>
        <v>331</v>
      </c>
      <c r="EH30" s="95">
        <f>SUMIFS(营销场景数据源!$G:$G,营销场景数据源!$C:$C,$B$29,营销场景数据源!$A:$A,EH2)</f>
        <v>308</v>
      </c>
      <c r="EI30" s="95">
        <f>SUMIFS(营销场景数据源!$G:$G,营销场景数据源!$C:$C,$B$29,营销场景数据源!$A:$A,EI2)</f>
        <v>257</v>
      </c>
      <c r="EJ30" s="95">
        <f>SUMIFS(营销场景数据源!$G:$G,营销场景数据源!$C:$C,$B$29,营销场景数据源!$A:$A,EJ2)</f>
        <v>221</v>
      </c>
      <c r="EK30" s="65">
        <f>SUM(EL30:FP30)</f>
        <v>6320</v>
      </c>
      <c r="EL30" s="95">
        <f>SUMIFS(营销场景数据源!$G:$G,营销场景数据源!$C:$C,$B$29,营销场景数据源!$A:$A,EL2)</f>
        <v>287</v>
      </c>
      <c r="EM30" s="95">
        <f>SUMIFS(营销场景数据源!$G:$G,营销场景数据源!$C:$C,$B$29,营销场景数据源!$A:$A,EM2)</f>
        <v>268</v>
      </c>
      <c r="EN30" s="95">
        <f>SUMIFS(营销场景数据源!$G:$G,营销场景数据源!$C:$C,$B$29,营销场景数据源!$A:$A,EN2)</f>
        <v>290</v>
      </c>
      <c r="EO30" s="95">
        <f>SUMIFS(营销场景数据源!$G:$G,营销场景数据源!$C:$C,$B$29,营销场景数据源!$A:$A,EO2)</f>
        <v>277</v>
      </c>
      <c r="EP30" s="95">
        <f>SUMIFS(营销场景数据源!$G:$G,营销场景数据源!$C:$C,$B$29,营销场景数据源!$A:$A,EP2)</f>
        <v>300</v>
      </c>
      <c r="EQ30" s="95">
        <f>SUMIFS(营销场景数据源!$G:$G,营销场景数据源!$C:$C,$B$29,营销场景数据源!$A:$A,EQ2)</f>
        <v>239</v>
      </c>
      <c r="ER30" s="95">
        <f>SUMIFS(营销场景数据源!$G:$G,营销场景数据源!$C:$C,$B$29,营销场景数据源!$A:$A,ER2)</f>
        <v>214</v>
      </c>
      <c r="ES30" s="95">
        <f>SUMIFS(营销场景数据源!$G:$G,营销场景数据源!$C:$C,$B$29,营销场景数据源!$A:$A,ES2)</f>
        <v>282</v>
      </c>
      <c r="ET30" s="95">
        <f>SUMIFS(营销场景数据源!$G:$G,营销场景数据源!$C:$C,$B$29,营销场景数据源!$A:$A,ET2)</f>
        <v>324</v>
      </c>
      <c r="EU30" s="95">
        <f>SUMIFS(营销场景数据源!$G:$G,营销场景数据源!$C:$C,$B$29,营销场景数据源!$A:$A,EU2)</f>
        <v>328</v>
      </c>
      <c r="EV30" s="95">
        <f>SUMIFS(营销场景数据源!$G:$G,营销场景数据源!$C:$C,$B$29,营销场景数据源!$A:$A,EV2)</f>
        <v>306</v>
      </c>
      <c r="EW30" s="95">
        <f>SUMIFS(营销场景数据源!$G:$G,营销场景数据源!$C:$C,$B$29,营销场景数据源!$A:$A,EW2)</f>
        <v>284</v>
      </c>
      <c r="EX30" s="95">
        <f>SUMIFS(营销场景数据源!$G:$G,营销场景数据源!$C:$C,$B$29,营销场景数据源!$A:$A,EX2)</f>
        <v>154</v>
      </c>
      <c r="EY30" s="95">
        <f>SUMIFS(营销场景数据源!$G:$G,营销场景数据源!$C:$C,$B$29,营销场景数据源!$A:$A,EY2)</f>
        <v>187</v>
      </c>
      <c r="EZ30" s="95">
        <f>SUMIFS(营销场景数据源!$G:$G,营销场景数据源!$C:$C,$B$29,营销场景数据源!$A:$A,EZ2)</f>
        <v>118</v>
      </c>
      <c r="FA30" s="95">
        <f>SUMIFS(营销场景数据源!$G:$G,营销场景数据源!$C:$C,$B$29,营销场景数据源!$A:$A,FA2)</f>
        <v>229</v>
      </c>
      <c r="FB30" s="95">
        <f>SUMIFS(营销场景数据源!$G:$G,营销场景数据源!$C:$C,$B$29,营销场景数据源!$A:$A,FB2)</f>
        <v>197</v>
      </c>
      <c r="FC30" s="95">
        <f>SUMIFS(营销场景数据源!$G:$G,营销场景数据源!$C:$C,$B$29,营销场景数据源!$A:$A,FC2)</f>
        <v>131</v>
      </c>
      <c r="FD30" s="95">
        <f>SUMIFS(营销场景数据源!$G:$G,营销场景数据源!$C:$C,$B$29,营销场景数据源!$A:$A,FD2)</f>
        <v>190</v>
      </c>
      <c r="FE30" s="95">
        <f>SUMIFS(营销场景数据源!$G:$G,营销场景数据源!$C:$C,$B$29,营销场景数据源!$A:$A,FE2)</f>
        <v>192</v>
      </c>
      <c r="FF30" s="95">
        <f>SUMIFS(营销场景数据源!$G:$G,营销场景数据源!$C:$C,$B$29,营销场景数据源!$A:$A,FF2)</f>
        <v>92</v>
      </c>
      <c r="FG30" s="95">
        <f>SUMIFS(营销场景数据源!$G:$G,营销场景数据源!$C:$C,$B$29,营销场景数据源!$A:$A,FG2)</f>
        <v>115</v>
      </c>
      <c r="FH30" s="95">
        <f>SUMIFS(营销场景数据源!$G:$G,营销场景数据源!$C:$C,$B$29,营销场景数据源!$A:$A,FH2)</f>
        <v>162</v>
      </c>
      <c r="FI30" s="95">
        <f>SUMIFS(营销场景数据源!$G:$G,营销场景数据源!$C:$C,$B$29,营销场景数据源!$A:$A,FI2)</f>
        <v>221</v>
      </c>
      <c r="FJ30" s="95">
        <f>SUMIFS(营销场景数据源!$G:$G,营销场景数据源!$C:$C,$B$29,营销场景数据源!$A:$A,FJ2)</f>
        <v>133</v>
      </c>
      <c r="FK30" s="95">
        <f>SUMIFS(营销场景数据源!$G:$G,营销场景数据源!$C:$C,$B$29,营销场景数据源!$A:$A,FK2)</f>
        <v>135</v>
      </c>
      <c r="FL30" s="95">
        <f>SUMIFS(营销场景数据源!$G:$G,营销场景数据源!$C:$C,$B$29,营销场景数据源!$A:$A,FL2)</f>
        <v>138</v>
      </c>
      <c r="FM30" s="95">
        <f>SUMIFS(营销场景数据源!$G:$G,营销场景数据源!$C:$C,$B$29,营销场景数据源!$A:$A,FM2)</f>
        <v>225</v>
      </c>
      <c r="FN30" s="95">
        <f>SUMIFS(营销场景数据源!$G:$G,营销场景数据源!$C:$C,$B$29,营销场景数据源!$A:$A,FN2)</f>
        <v>65</v>
      </c>
      <c r="FO30" s="95">
        <f>SUMIFS(营销场景数据源!$G:$G,营销场景数据源!$C:$C,$B$29,营销场景数据源!$A:$A,FO2)</f>
        <v>41</v>
      </c>
      <c r="FP30" s="95">
        <f>SUMIFS(营销场景数据源!$G:$G,营销场景数据源!$C:$C,$B$29,营销场景数据源!$A:$A,FP2)</f>
        <v>196</v>
      </c>
      <c r="FQ30" s="65">
        <f t="shared" si="178"/>
        <v>2797</v>
      </c>
      <c r="FR30" s="95">
        <f>SUMIFS(营销场景数据源!$G:$G,营销场景数据源!$C:$C,$B$29,营销场景数据源!$A:$A,FR2)</f>
        <v>111</v>
      </c>
      <c r="FS30" s="95">
        <f>SUMIFS(营销场景数据源!$G:$G,营销场景数据源!$C:$C,$B$29,营销场景数据源!$A:$A,FS2)</f>
        <v>90</v>
      </c>
      <c r="FT30" s="95">
        <f>SUMIFS(营销场景数据源!$G:$G,营销场景数据源!$C:$C,$B$29,营销场景数据源!$A:$A,FT2)</f>
        <v>78</v>
      </c>
      <c r="FU30" s="95">
        <f>SUMIFS(营销场景数据源!$G:$G,营销场景数据源!$C:$C,$B$29,营销场景数据源!$A:$A,FU2)</f>
        <v>96</v>
      </c>
      <c r="FV30" s="95">
        <f>SUMIFS(营销场景数据源!$G:$G,营销场景数据源!$C:$C,$B$29,营销场景数据源!$A:$A,FV2)</f>
        <v>52</v>
      </c>
      <c r="FW30" s="95">
        <f>SUMIFS(营销场景数据源!$G:$G,营销场景数据源!$C:$C,$B$29,营销场景数据源!$A:$A,FW2)</f>
        <v>159</v>
      </c>
      <c r="FX30" s="95">
        <f>SUMIFS(营销场景数据源!$G:$G,营销场景数据源!$C:$C,$B$29,营销场景数据源!$A:$A,FX2)</f>
        <v>213</v>
      </c>
      <c r="FY30" s="95">
        <f>SUMIFS(营销场景数据源!$G:$G,营销场景数据源!$C:$C,$B$29,营销场景数据源!$A:$A,FY2)</f>
        <v>147</v>
      </c>
      <c r="FZ30" s="95">
        <f>SUMIFS(营销场景数据源!$G:$G,营销场景数据源!$C:$C,$B$29,营销场景数据源!$A:$A,FZ2)</f>
        <v>145</v>
      </c>
      <c r="GA30" s="95">
        <f>SUMIFS(营销场景数据源!$G:$G,营销场景数据源!$C:$C,$B$29,营销场景数据源!$A:$A,GA2)</f>
        <v>135</v>
      </c>
      <c r="GB30" s="95">
        <f>SUMIFS(营销场景数据源!$G:$G,营销场景数据源!$C:$C,$B$29,营销场景数据源!$A:$A,GB2)</f>
        <v>116</v>
      </c>
      <c r="GC30" s="95">
        <f>SUMIFS(营销场景数据源!$G:$G,营销场景数据源!$C:$C,$B$29,营销场景数据源!$A:$A,GC2)</f>
        <v>45</v>
      </c>
      <c r="GD30" s="95">
        <f>SUMIFS(营销场景数据源!$G:$G,营销场景数据源!$C:$C,$B$29,营销场景数据源!$A:$A,GD2)</f>
        <v>195</v>
      </c>
      <c r="GE30" s="95">
        <f>SUMIFS(营销场景数据源!$G:$G,营销场景数据源!$C:$C,$B$29,营销场景数据源!$A:$A,GE2)</f>
        <v>171</v>
      </c>
      <c r="GF30" s="95">
        <f>SUMIFS(营销场景数据源!$G:$G,营销场景数据源!$C:$C,$B$29,营销场景数据源!$A:$A,GF2)</f>
        <v>93</v>
      </c>
      <c r="GG30" s="95">
        <f>SUMIFS(营销场景数据源!$G:$G,营销场景数据源!$C:$C,$B$29,营销场景数据源!$A:$A,GG2)</f>
        <v>100</v>
      </c>
      <c r="GH30" s="95">
        <f>SUMIFS(营销场景数据源!$G:$G,营销场景数据源!$C:$C,$B$29,营销场景数据源!$A:$A,GH2)</f>
        <v>94</v>
      </c>
      <c r="GI30" s="95">
        <f>SUMIFS(营销场景数据源!$G:$G,营销场景数据源!$C:$C,$B$29,营销场景数据源!$A:$A,GI2)</f>
        <v>73</v>
      </c>
      <c r="GJ30" s="95">
        <f>SUMIFS(营销场景数据源!$G:$G,营销场景数据源!$C:$C,$B$29,营销场景数据源!$A:$A,GJ2)</f>
        <v>214</v>
      </c>
      <c r="GK30" s="95">
        <f>SUMIFS(营销场景数据源!$G:$G,营销场景数据源!$C:$C,$B$29,营销场景数据源!$A:$A,GK2)</f>
        <v>213</v>
      </c>
      <c r="GL30" s="95">
        <f>SUMIFS(营销场景数据源!$G:$G,营销场景数据源!$C:$C,$B$29,营销场景数据源!$A:$A,GL2)</f>
        <v>257</v>
      </c>
      <c r="GM30" s="95">
        <f>SUMIFS(营销场景数据源!$G:$G,营销场景数据源!$C:$C,$B$29,营销场景数据源!$A:$A,GM2)</f>
        <v>0</v>
      </c>
      <c r="GN30" s="95">
        <f>SUMIFS(营销场景数据源!$G:$G,营销场景数据源!$C:$C,$B$29,营销场景数据源!$A:$A,GN2)</f>
        <v>0</v>
      </c>
      <c r="GO30" s="95">
        <f>SUMIFS(营销场景数据源!$G:$G,营销场景数据源!$C:$C,$B$29,营销场景数据源!$A:$A,GO2)</f>
        <v>0</v>
      </c>
      <c r="GP30" s="95">
        <f>SUMIFS(营销场景数据源!$G:$G,营销场景数据源!$C:$C,$B$29,营销场景数据源!$A:$A,GP2)</f>
        <v>0</v>
      </c>
    </row>
    <row r="31" ht="15" customHeight="1" spans="1:198">
      <c r="A31" s="106"/>
      <c r="B31" s="103"/>
      <c r="C31" s="104" t="s">
        <v>23</v>
      </c>
      <c r="D31" s="94" t="e">
        <f>SUM(E31:P31)</f>
        <v>#REF!</v>
      </c>
      <c r="E31" s="105" t="e">
        <f>#REF!</f>
        <v>#REF!</v>
      </c>
      <c r="F31" s="105" t="e">
        <f>#REF!</f>
        <v>#REF!</v>
      </c>
      <c r="G31" s="105" t="e">
        <f>#REF!</f>
        <v>#REF!</v>
      </c>
      <c r="H31" s="105" t="e">
        <f>#REF!</f>
        <v>#REF!</v>
      </c>
      <c r="I31" s="105" t="e">
        <f>#REF!</f>
        <v>#REF!</v>
      </c>
      <c r="J31" s="105" t="e">
        <f>#REF!</f>
        <v>#REF!</v>
      </c>
      <c r="K31" s="105" t="e">
        <f>#REF!</f>
        <v>#REF!</v>
      </c>
      <c r="L31" s="105" t="e">
        <f>#REF!</f>
        <v>#REF!</v>
      </c>
      <c r="M31" s="105" t="e">
        <f>#REF!</f>
        <v>#REF!</v>
      </c>
      <c r="N31" s="105" t="e">
        <f>#REF!</f>
        <v>#REF!</v>
      </c>
      <c r="O31" s="105" t="e">
        <f>#REF!</f>
        <v>#REF!</v>
      </c>
      <c r="P31" s="105" t="e">
        <f>#REF!</f>
        <v>#REF!</v>
      </c>
      <c r="Q31" s="65">
        <f>SUM(R31:AV31)</f>
        <v>93</v>
      </c>
      <c r="R31" s="95">
        <f>SUMIFS(营销场景数据源!$AB:$AB,营销场景数据源!$C:$C,$B$29,营销场景数据源!$A:$A,R2)</f>
        <v>5</v>
      </c>
      <c r="S31" s="95">
        <f>SUMIFS(营销场景数据源!$AB:$AB,营销场景数据源!$C:$C,$B$29,营销场景数据源!$A:$A,S2)</f>
        <v>10</v>
      </c>
      <c r="T31" s="95">
        <f>SUMIFS(营销场景数据源!$AB:$AB,营销场景数据源!$C:$C,$B$29,营销场景数据源!$A:$A,T2)</f>
        <v>5</v>
      </c>
      <c r="U31" s="95">
        <f>SUMIFS(营销场景数据源!$AB:$AB,营销场景数据源!$C:$C,$B$29,营销场景数据源!$A:$A,U2)</f>
        <v>2</v>
      </c>
      <c r="V31" s="95">
        <f>SUMIFS(营销场景数据源!$AB:$AB,营销场景数据源!$C:$C,$B$29,营销场景数据源!$A:$A,V2)</f>
        <v>3</v>
      </c>
      <c r="W31" s="95">
        <f>SUMIFS(营销场景数据源!$AB:$AB,营销场景数据源!$C:$C,$B$29,营销场景数据源!$A:$A,W2)</f>
        <v>3</v>
      </c>
      <c r="X31" s="95">
        <f>SUMIFS(营销场景数据源!$AB:$AB,营销场景数据源!$C:$C,$B$29,营销场景数据源!$A:$A,X2)</f>
        <v>3</v>
      </c>
      <c r="Y31" s="95">
        <f>SUMIFS(营销场景数据源!$AB:$AB,营销场景数据源!$C:$C,$B$29,营销场景数据源!$A:$A,Y2)</f>
        <v>4</v>
      </c>
      <c r="Z31" s="95">
        <f>SUMIFS(营销场景数据源!$AB:$AB,营销场景数据源!$C:$C,$B$29,营销场景数据源!$A:$A,Z2)</f>
        <v>1</v>
      </c>
      <c r="AA31" s="95">
        <f>SUMIFS(营销场景数据源!$AB:$AB,营销场景数据源!$C:$C,$B$29,营销场景数据源!$A:$A,AA2)</f>
        <v>4</v>
      </c>
      <c r="AB31" s="95">
        <f>SUMIFS(营销场景数据源!$AB:$AB,营销场景数据源!$C:$C,$B$29,营销场景数据源!$A:$A,AB2)</f>
        <v>4</v>
      </c>
      <c r="AC31" s="95">
        <f>SUMIFS(营销场景数据源!$AB:$AB,营销场景数据源!$C:$C,$B$29,营销场景数据源!$A:$A,AC2)</f>
        <v>6</v>
      </c>
      <c r="AD31" s="95">
        <f>SUMIFS(营销场景数据源!$AB:$AB,营销场景数据源!$C:$C,$B$29,营销场景数据源!$A:$A,AD2)</f>
        <v>5</v>
      </c>
      <c r="AE31" s="95">
        <f>SUMIFS(营销场景数据源!$AB:$AB,营销场景数据源!$C:$C,$B$29,营销场景数据源!$A:$A,AE2)</f>
        <v>4</v>
      </c>
      <c r="AF31" s="95">
        <f>SUMIFS(营销场景数据源!$AB:$AB,营销场景数据源!$C:$C,$B$29,营销场景数据源!$A:$A,AF2)</f>
        <v>2</v>
      </c>
      <c r="AG31" s="95">
        <f>SUMIFS(营销场景数据源!$AB:$AB,营销场景数据源!$C:$C,$B$29,营销场景数据源!$A:$A,AG2)</f>
        <v>2</v>
      </c>
      <c r="AH31" s="95">
        <f>SUMIFS(营销场景数据源!$AB:$AB,营销场景数据源!$C:$C,$B$29,营销场景数据源!$A:$A,AH2)</f>
        <v>3</v>
      </c>
      <c r="AI31" s="95">
        <f>SUMIFS(营销场景数据源!$AB:$AB,营销场景数据源!$C:$C,$B$29,营销场景数据源!$A:$A,AI2)</f>
        <v>6</v>
      </c>
      <c r="AJ31" s="95">
        <f>SUMIFS(营销场景数据源!$AB:$AB,营销场景数据源!$C:$C,$B$29,营销场景数据源!$A:$A,AJ2)</f>
        <v>2</v>
      </c>
      <c r="AK31" s="95">
        <f>SUMIFS(营销场景数据源!$AB:$AB,营销场景数据源!$C:$C,$B$29,营销场景数据源!$A:$A,AK2)</f>
        <v>0</v>
      </c>
      <c r="AL31" s="95">
        <f>SUMIFS(营销场景数据源!$AB:$AB,营销场景数据源!$C:$C,$B$29,营销场景数据源!$A:$A,AL2)</f>
        <v>0</v>
      </c>
      <c r="AM31" s="95">
        <f>SUMIFS(营销场景数据源!$AB:$AB,营销场景数据源!$C:$C,$B$29,营销场景数据源!$A:$A,AM2)</f>
        <v>3</v>
      </c>
      <c r="AN31" s="95">
        <f>SUMIFS(营销场景数据源!$AB:$AB,营销场景数据源!$C:$C,$B$29,营销场景数据源!$A:$A,AN2)</f>
        <v>0</v>
      </c>
      <c r="AO31" s="95">
        <f>SUMIFS(营销场景数据源!$AB:$AB,营销场景数据源!$C:$C,$B$29,营销场景数据源!$A:$A,AO2)</f>
        <v>5</v>
      </c>
      <c r="AP31" s="95">
        <f>SUMIFS(营销场景数据源!$AB:$AB,营销场景数据源!$C:$C,$B$29,营销场景数据源!$A:$A,AP2)</f>
        <v>2</v>
      </c>
      <c r="AQ31" s="95">
        <f>SUMIFS(营销场景数据源!$AB:$AB,营销场景数据源!$C:$C,$B$29,营销场景数据源!$A:$A,AQ2)</f>
        <v>0</v>
      </c>
      <c r="AR31" s="95">
        <f>SUMIFS(营销场景数据源!$AB:$AB,营销场景数据源!$C:$C,$B$29,营销场景数据源!$A:$A,AR2)</f>
        <v>2</v>
      </c>
      <c r="AS31" s="95">
        <f>SUMIFS(营销场景数据源!$AB:$AB,营销场景数据源!$C:$C,$B$29,营销场景数据源!$A:$A,AS2)</f>
        <v>1</v>
      </c>
      <c r="AT31" s="95">
        <f>SUMIFS(营销场景数据源!$AB:$AB,营销场景数据源!$C:$C,$B$29,营销场景数据源!$A:$A,AT2)</f>
        <v>0</v>
      </c>
      <c r="AU31" s="95">
        <f>SUMIFS(营销场景数据源!$AB:$AB,营销场景数据源!$C:$C,$B$29,营销场景数据源!$A:$A,AU2)</f>
        <v>4</v>
      </c>
      <c r="AV31" s="95">
        <f>SUMIFS(营销场景数据源!$AB:$AB,营销场景数据源!$C:$C,$B$29,营销场景数据源!$A:$A,AV2)</f>
        <v>2</v>
      </c>
      <c r="AW31" s="65">
        <f>SUM(AX31:BY31)</f>
        <v>26</v>
      </c>
      <c r="AX31" s="95">
        <f>SUMIFS(营销场景数据源!$AB:$AB,营销场景数据源!$C:$C,$B$29,营销场景数据源!$A:$A,AX2)</f>
        <v>0</v>
      </c>
      <c r="AY31" s="95">
        <f>SUMIFS(营销场景数据源!$AB:$AB,营销场景数据源!$C:$C,$B$29,营销场景数据源!$A:$A,AY2)</f>
        <v>1</v>
      </c>
      <c r="AZ31" s="95">
        <f>SUMIFS(营销场景数据源!$AB:$AB,营销场景数据源!$C:$C,$B$29,营销场景数据源!$A:$A,AZ2)</f>
        <v>8</v>
      </c>
      <c r="BA31" s="95">
        <f>SUMIFS(营销场景数据源!$AB:$AB,营销场景数据源!$C:$C,$B$29,营销场景数据源!$A:$A,BA2)</f>
        <v>3</v>
      </c>
      <c r="BB31" s="95">
        <f>SUMIFS(营销场景数据源!$AB:$AB,营销场景数据源!$C:$C,$B$29,营销场景数据源!$A:$A,BB2)</f>
        <v>0</v>
      </c>
      <c r="BC31" s="95">
        <f>SUMIFS(营销场景数据源!$AB:$AB,营销场景数据源!$C:$C,$B$29,营销场景数据源!$A:$A,BC2)</f>
        <v>1</v>
      </c>
      <c r="BD31" s="95">
        <f>SUMIFS(营销场景数据源!$AB:$AB,营销场景数据源!$C:$C,$B$29,营销场景数据源!$A:$A,BD2)</f>
        <v>7</v>
      </c>
      <c r="BE31" s="95">
        <f>SUMIFS(营销场景数据源!$AB:$AB,营销场景数据源!$C:$C,$B$29,营销场景数据源!$A:$A,BE2)</f>
        <v>6</v>
      </c>
      <c r="BF31" s="95">
        <f>SUMIFS(营销场景数据源!$AB:$AB,营销场景数据源!$C:$C,$B$29,营销场景数据源!$A:$A,BF2)</f>
        <v>0</v>
      </c>
      <c r="BG31" s="95">
        <f>SUMIFS(营销场景数据源!$AB:$AB,营销场景数据源!$C:$C,$B$29,营销场景数据源!$A:$A,BG2)</f>
        <v>0</v>
      </c>
      <c r="BH31" s="95">
        <f>SUMIFS(营销场景数据源!$AB:$AB,营销场景数据源!$C:$C,$B$29,营销场景数据源!$A:$A,BH2)</f>
        <v>0</v>
      </c>
      <c r="BI31" s="95">
        <f>SUMIFS(营销场景数据源!$AB:$AB,营销场景数据源!$C:$C,$B$29,营销场景数据源!$A:$A,BI2)</f>
        <v>0</v>
      </c>
      <c r="BJ31" s="95">
        <f>SUMIFS(营销场景数据源!$AB:$AB,营销场景数据源!$C:$C,$B$29,营销场景数据源!$A:$A,BJ2)</f>
        <v>0</v>
      </c>
      <c r="BK31" s="95">
        <f>SUMIFS(营销场景数据源!$AB:$AB,营销场景数据源!$C:$C,$B$29,营销场景数据源!$A:$A,BK2)</f>
        <v>0</v>
      </c>
      <c r="BL31" s="95">
        <f>SUMIFS(营销场景数据源!$AB:$AB,营销场景数据源!$C:$C,$B$29,营销场景数据源!$A:$A,BL2)</f>
        <v>0</v>
      </c>
      <c r="BM31" s="95">
        <f>SUMIFS(营销场景数据源!$AB:$AB,营销场景数据源!$C:$C,$B$29,营销场景数据源!$A:$A,BM2)</f>
        <v>0</v>
      </c>
      <c r="BN31" s="95">
        <f>SUMIFS(营销场景数据源!$AB:$AB,营销场景数据源!$C:$C,$B$29,营销场景数据源!$A:$A,BN2)</f>
        <v>0</v>
      </c>
      <c r="BO31" s="95">
        <f>SUMIFS(营销场景数据源!$AB:$AB,营销场景数据源!$C:$C,$B$29,营销场景数据源!$A:$A,BO2)</f>
        <v>0</v>
      </c>
      <c r="BP31" s="95">
        <f>SUMIFS(营销场景数据源!$AB:$AB,营销场景数据源!$C:$C,$B$29,营销场景数据源!$A:$A,BP2)</f>
        <v>0</v>
      </c>
      <c r="BQ31" s="95">
        <f>SUMIFS(营销场景数据源!$AB:$AB,营销场景数据源!$C:$C,$B$29,营销场景数据源!$A:$A,BQ2)</f>
        <v>0</v>
      </c>
      <c r="BR31" s="95">
        <f>SUMIFS(营销场景数据源!$AB:$AB,营销场景数据源!$C:$C,$B$29,营销场景数据源!$A:$A,BR2)</f>
        <v>0</v>
      </c>
      <c r="BS31" s="95">
        <f>SUMIFS(营销场景数据源!$AB:$AB,营销场景数据源!$C:$C,$B$29,营销场景数据源!$A:$A,BS2)</f>
        <v>0</v>
      </c>
      <c r="BT31" s="95">
        <f>SUMIFS(营销场景数据源!$AB:$AB,营销场景数据源!$C:$C,$B$29,营销场景数据源!$A:$A,BT2)</f>
        <v>0</v>
      </c>
      <c r="BU31" s="95">
        <f>SUMIFS(营销场景数据源!$AB:$AB,营销场景数据源!$C:$C,$B$29,营销场景数据源!$A:$A,BU2)</f>
        <v>0</v>
      </c>
      <c r="BV31" s="95">
        <f>SUMIFS(营销场景数据源!$AB:$AB,营销场景数据源!$C:$C,$B$29,营销场景数据源!$A:$A,BV2)</f>
        <v>0</v>
      </c>
      <c r="BW31" s="95">
        <f>SUMIFS(营销场景数据源!$AB:$AB,营销场景数据源!$C:$C,$B$29,营销场景数据源!$A:$A,BW2)</f>
        <v>0</v>
      </c>
      <c r="BX31" s="95">
        <f>SUMIFS(营销场景数据源!$AB:$AB,营销场景数据源!$C:$C,$B$29,营销场景数据源!$A:$A,BX2)</f>
        <v>0</v>
      </c>
      <c r="BY31" s="95">
        <f>SUMIFS(营销场景数据源!$AB:$AB,营销场景数据源!$C:$C,$B$29,营销场景数据源!$A:$A,BY2)</f>
        <v>0</v>
      </c>
      <c r="BZ31" s="65">
        <f>SUM(CA31:DE31)</f>
        <v>0</v>
      </c>
      <c r="CA31" s="95">
        <f>SUMIFS(营销场景数据源!$AB:$AB,营销场景数据源!$C:$C,$B$29,营销场景数据源!$A:$A,CA2)</f>
        <v>0</v>
      </c>
      <c r="CB31" s="95">
        <f>SUMIFS(营销场景数据源!$AB:$AB,营销场景数据源!$C:$C,$B$29,营销场景数据源!$A:$A,CB2)</f>
        <v>0</v>
      </c>
      <c r="CC31" s="95">
        <f>SUMIFS(营销场景数据源!$AB:$AB,营销场景数据源!$C:$C,$B$29,营销场景数据源!$A:$A,CC2)</f>
        <v>0</v>
      </c>
      <c r="CD31" s="95">
        <f>SUMIFS(营销场景数据源!$AB:$AB,营销场景数据源!$C:$C,$B$29,营销场景数据源!$A:$A,CD2)</f>
        <v>0</v>
      </c>
      <c r="CE31" s="95">
        <f>SUMIFS(营销场景数据源!$AB:$AB,营销场景数据源!$C:$C,$B$29,营销场景数据源!$A:$A,CE2)</f>
        <v>0</v>
      </c>
      <c r="CF31" s="95">
        <f>SUMIFS(营销场景数据源!$AB:$AB,营销场景数据源!$C:$C,$B$29,营销场景数据源!$A:$A,CF2)</f>
        <v>0</v>
      </c>
      <c r="CG31" s="95">
        <f>SUMIFS(营销场景数据源!$AB:$AB,营销场景数据源!$C:$C,$B$29,营销场景数据源!$A:$A,CG2)</f>
        <v>0</v>
      </c>
      <c r="CH31" s="95">
        <f>SUMIFS(营销场景数据源!$AB:$AB,营销场景数据源!$C:$C,$B$29,营销场景数据源!$A:$A,CH2)</f>
        <v>0</v>
      </c>
      <c r="CI31" s="95">
        <f>SUMIFS(营销场景数据源!$AB:$AB,营销场景数据源!$C:$C,$B$29,营销场景数据源!$A:$A,CI2)</f>
        <v>0</v>
      </c>
      <c r="CJ31" s="95">
        <f>SUMIFS(营销场景数据源!$AB:$AB,营销场景数据源!$C:$C,$B$29,营销场景数据源!$A:$A,CJ2)</f>
        <v>0</v>
      </c>
      <c r="CK31" s="95">
        <f>SUMIFS(营销场景数据源!$AB:$AB,营销场景数据源!$C:$C,$B$29,营销场景数据源!$A:$A,CK2)</f>
        <v>0</v>
      </c>
      <c r="CL31" s="95">
        <f>SUMIFS(营销场景数据源!$AB:$AB,营销场景数据源!$C:$C,$B$29,营销场景数据源!$A:$A,CL2)</f>
        <v>0</v>
      </c>
      <c r="CM31" s="95">
        <f>SUMIFS(营销场景数据源!$AB:$AB,营销场景数据源!$C:$C,$B$29,营销场景数据源!$A:$A,CM2)</f>
        <v>0</v>
      </c>
      <c r="CN31" s="95">
        <f>SUMIFS(营销场景数据源!$AB:$AB,营销场景数据源!$C:$C,$B$29,营销场景数据源!$A:$A,CN2)</f>
        <v>0</v>
      </c>
      <c r="CO31" s="95">
        <f>SUMIFS(营销场景数据源!$AB:$AB,营销场景数据源!$C:$C,$B$29,营销场景数据源!$A:$A,CO2)</f>
        <v>0</v>
      </c>
      <c r="CP31" s="95">
        <f>SUMIFS(营销场景数据源!$AB:$AB,营销场景数据源!$C:$C,$B$29,营销场景数据源!$A:$A,CP2)</f>
        <v>0</v>
      </c>
      <c r="CQ31" s="95">
        <f>SUMIFS(营销场景数据源!$AB:$AB,营销场景数据源!$C:$C,$B$29,营销场景数据源!$A:$A,CQ2)</f>
        <v>0</v>
      </c>
      <c r="CR31" s="95">
        <f>SUMIFS(营销场景数据源!$AB:$AB,营销场景数据源!$C:$C,$B$29,营销场景数据源!$A:$A,CR2)</f>
        <v>0</v>
      </c>
      <c r="CS31" s="95">
        <f>SUMIFS(营销场景数据源!$AB:$AB,营销场景数据源!$C:$C,$B$29,营销场景数据源!$A:$A,CS2)</f>
        <v>0</v>
      </c>
      <c r="CT31" s="95">
        <f>SUMIFS(营销场景数据源!$AB:$AB,营销场景数据源!$C:$C,$B$29,营销场景数据源!$A:$A,CT2)</f>
        <v>0</v>
      </c>
      <c r="CU31" s="95">
        <f>SUMIFS(营销场景数据源!$AB:$AB,营销场景数据源!$C:$C,$B$29,营销场景数据源!$A:$A,CU2)</f>
        <v>0</v>
      </c>
      <c r="CV31" s="95">
        <f>SUMIFS(营销场景数据源!$AB:$AB,营销场景数据源!$C:$C,$B$29,营销场景数据源!$A:$A,CV2)</f>
        <v>0</v>
      </c>
      <c r="CW31" s="95">
        <f>SUMIFS(营销场景数据源!$AB:$AB,营销场景数据源!$C:$C,$B$29,营销场景数据源!$A:$A,CW2)</f>
        <v>0</v>
      </c>
      <c r="CX31" s="95">
        <f>SUMIFS(营销场景数据源!$AB:$AB,营销场景数据源!$C:$C,$B$29,营销场景数据源!$A:$A,CX2)</f>
        <v>0</v>
      </c>
      <c r="CY31" s="95">
        <f>SUMIFS(营销场景数据源!$AB:$AB,营销场景数据源!$C:$C,$B$29,营销场景数据源!$A:$A,CY2)</f>
        <v>0</v>
      </c>
      <c r="CZ31" s="95">
        <f>SUMIFS(营销场景数据源!$AB:$AB,营销场景数据源!$C:$C,$B$29,营销场景数据源!$A:$A,CZ2)</f>
        <v>0</v>
      </c>
      <c r="DA31" s="95">
        <f>SUMIFS(营销场景数据源!$AB:$AB,营销场景数据源!$C:$C,$B$29,营销场景数据源!$A:$A,DA2)</f>
        <v>0</v>
      </c>
      <c r="DB31" s="95">
        <f>SUMIFS(营销场景数据源!$AB:$AB,营销场景数据源!$C:$C,$B$29,营销场景数据源!$A:$A,DB2)</f>
        <v>0</v>
      </c>
      <c r="DC31" s="95">
        <f>SUMIFS(营销场景数据源!$AB:$AB,营销场景数据源!$C:$C,$B$29,营销场景数据源!$A:$A,DC2)</f>
        <v>0</v>
      </c>
      <c r="DD31" s="95">
        <f>SUMIFS(营销场景数据源!$AB:$AB,营销场景数据源!$C:$C,$B$29,营销场景数据源!$A:$A,DD2)</f>
        <v>0</v>
      </c>
      <c r="DE31" s="95">
        <f>SUMIFS(营销场景数据源!$AB:$AB,营销场景数据源!$C:$C,$B$29,营销场景数据源!$A:$A,DE2)</f>
        <v>0</v>
      </c>
      <c r="DF31" s="65">
        <f>SUM(DG31:EJ31)</f>
        <v>106</v>
      </c>
      <c r="DG31" s="95">
        <f>SUMIFS(营销场景数据源!$AB:$AB,营销场景数据源!$C:$C,$B$29,营销场景数据源!$A:$A,DG2)</f>
        <v>0</v>
      </c>
      <c r="DH31" s="95">
        <f>SUMIFS(营销场景数据源!$AB:$AB,营销场景数据源!$C:$C,$B$29,营销场景数据源!$A:$A,DH2)</f>
        <v>0</v>
      </c>
      <c r="DI31" s="95">
        <f>SUMIFS(营销场景数据源!$AB:$AB,营销场景数据源!$C:$C,$B$29,营销场景数据源!$A:$A,DI2)</f>
        <v>6</v>
      </c>
      <c r="DJ31" s="95">
        <f>SUMIFS(营销场景数据源!$AB:$AB,营销场景数据源!$C:$C,$B$29,营销场景数据源!$A:$A,DJ2)</f>
        <v>2</v>
      </c>
      <c r="DK31" s="95">
        <f>SUMIFS(营销场景数据源!$AB:$AB,营销场景数据源!$C:$C,$B$29,营销场景数据源!$A:$A,DK2)</f>
        <v>7</v>
      </c>
      <c r="DL31" s="95">
        <f>SUMIFS(营销场景数据源!$AB:$AB,营销场景数据源!$C:$C,$B$29,营销场景数据源!$A:$A,DL2)</f>
        <v>1</v>
      </c>
      <c r="DM31" s="95">
        <f>SUMIFS(营销场景数据源!$AB:$AB,营销场景数据源!$C:$C,$B$29,营销场景数据源!$A:$A,DM2)</f>
        <v>3</v>
      </c>
      <c r="DN31" s="95">
        <f>SUMIFS(营销场景数据源!$AB:$AB,营销场景数据源!$C:$C,$B$29,营销场景数据源!$A:$A,DN2)</f>
        <v>3</v>
      </c>
      <c r="DO31" s="95">
        <f>SUMIFS(营销场景数据源!$AB:$AB,营销场景数据源!$C:$C,$B$29,营销场景数据源!$A:$A,DO2)</f>
        <v>2</v>
      </c>
      <c r="DP31" s="95">
        <f>SUMIFS(营销场景数据源!$AB:$AB,营销场景数据源!$C:$C,$B$29,营销场景数据源!$A:$A,DP2)</f>
        <v>1</v>
      </c>
      <c r="DQ31" s="95">
        <f>SUMIFS(营销场景数据源!$AB:$AB,营销场景数据源!$C:$C,$B$29,营销场景数据源!$A:$A,DQ2)</f>
        <v>1</v>
      </c>
      <c r="DR31" s="95">
        <f>SUMIFS(营销场景数据源!$AB:$AB,营销场景数据源!$C:$C,$B$29,营销场景数据源!$A:$A,DR2)</f>
        <v>4</v>
      </c>
      <c r="DS31" s="95">
        <f>SUMIFS(营销场景数据源!$AB:$AB,营销场景数据源!$C:$C,$B$29,营销场景数据源!$A:$A,DS2)</f>
        <v>1</v>
      </c>
      <c r="DT31" s="95">
        <f>SUMIFS(营销场景数据源!$AB:$AB,营销场景数据源!$C:$C,$B$29,营销场景数据源!$A:$A,DT2)</f>
        <v>3</v>
      </c>
      <c r="DU31" s="95">
        <f>SUMIFS(营销场景数据源!$AB:$AB,营销场景数据源!$C:$C,$B$29,营销场景数据源!$A:$A,DU2)</f>
        <v>2</v>
      </c>
      <c r="DV31" s="95">
        <f>SUMIFS(营销场景数据源!$AB:$AB,营销场景数据源!$C:$C,$B$29,营销场景数据源!$A:$A,DV2)</f>
        <v>7</v>
      </c>
      <c r="DW31" s="95">
        <f>SUMIFS(营销场景数据源!$AB:$AB,营销场景数据源!$C:$C,$B$29,营销场景数据源!$A:$A,DW2)</f>
        <v>3</v>
      </c>
      <c r="DX31" s="95">
        <f>SUMIFS(营销场景数据源!$AB:$AB,营销场景数据源!$C:$C,$B$29,营销场景数据源!$A:$A,DX2)</f>
        <v>0</v>
      </c>
      <c r="DY31" s="95">
        <f>SUMIFS(营销场景数据源!$AB:$AB,营销场景数据源!$C:$C,$B$29,营销场景数据源!$A:$A,DY2)</f>
        <v>0</v>
      </c>
      <c r="DZ31" s="95">
        <f>SUMIFS(营销场景数据源!$AB:$AB,营销场景数据源!$C:$C,$B$29,营销场景数据源!$A:$A,DZ2)</f>
        <v>0</v>
      </c>
      <c r="EA31" s="95">
        <f>SUMIFS(营销场景数据源!$AB:$AB,营销场景数据源!$C:$C,$B$29,营销场景数据源!$A:$A,EA2)</f>
        <v>0</v>
      </c>
      <c r="EB31" s="95">
        <f>SUMIFS(营销场景数据源!$AB:$AB,营销场景数据源!$C:$C,$B$29,营销场景数据源!$A:$A,EB2)</f>
        <v>15</v>
      </c>
      <c r="EC31" s="95">
        <f>SUMIFS(营销场景数据源!$AB:$AB,营销场景数据源!$C:$C,$B$29,营销场景数据源!$A:$A,EC2)</f>
        <v>5</v>
      </c>
      <c r="ED31" s="95">
        <f>SUMIFS(营销场景数据源!$AB:$AB,营销场景数据源!$C:$C,$B$29,营销场景数据源!$A:$A,ED2)</f>
        <v>3</v>
      </c>
      <c r="EE31" s="95">
        <f>SUMIFS(营销场景数据源!$AB:$AB,营销场景数据源!$C:$C,$B$29,营销场景数据源!$A:$A,EE2)</f>
        <v>6</v>
      </c>
      <c r="EF31" s="95">
        <f>SUMIFS(营销场景数据源!$AB:$AB,营销场景数据源!$C:$C,$B$29,营销场景数据源!$A:$A,EF2)</f>
        <v>3</v>
      </c>
      <c r="EG31" s="95">
        <f>SUMIFS(营销场景数据源!$AB:$AB,营销场景数据源!$C:$C,$B$29,营销场景数据源!$A:$A,EG2)</f>
        <v>6</v>
      </c>
      <c r="EH31" s="95">
        <f>SUMIFS(营销场景数据源!$AB:$AB,营销场景数据源!$C:$C,$B$29,营销场景数据源!$A:$A,EH2)</f>
        <v>8</v>
      </c>
      <c r="EI31" s="95">
        <f>SUMIFS(营销场景数据源!$AB:$AB,营销场景数据源!$C:$C,$B$29,营销场景数据源!$A:$A,EI2)</f>
        <v>12</v>
      </c>
      <c r="EJ31" s="95">
        <f>SUMIFS(营销场景数据源!$AB:$AB,营销场景数据源!$C:$C,$B$29,营销场景数据源!$A:$A,EJ2)</f>
        <v>2</v>
      </c>
      <c r="EK31" s="65">
        <f>SUM(EL31:FP31)</f>
        <v>147</v>
      </c>
      <c r="EL31" s="95">
        <f>SUMIFS(营销场景数据源!$AB:$AB,营销场景数据源!$C:$C,$B$29,营销场景数据源!$A:$A,EL2)</f>
        <v>8</v>
      </c>
      <c r="EM31" s="95">
        <f>SUMIFS(营销场景数据源!$AB:$AB,营销场景数据源!$C:$C,$B$29,营销场景数据源!$A:$A,EM2)</f>
        <v>4</v>
      </c>
      <c r="EN31" s="95">
        <f>SUMIFS(营销场景数据源!$AB:$AB,营销场景数据源!$C:$C,$B$29,营销场景数据源!$A:$A,EN2)</f>
        <v>4</v>
      </c>
      <c r="EO31" s="95">
        <f>SUMIFS(营销场景数据源!$AB:$AB,营销场景数据源!$C:$C,$B$29,营销场景数据源!$A:$A,EO2)</f>
        <v>7</v>
      </c>
      <c r="EP31" s="95">
        <f>SUMIFS(营销场景数据源!$AB:$AB,营销场景数据源!$C:$C,$B$29,营销场景数据源!$A:$A,EP2)</f>
        <v>7</v>
      </c>
      <c r="EQ31" s="95">
        <f>SUMIFS(营销场景数据源!$AB:$AB,营销场景数据源!$C:$C,$B$29,营销场景数据源!$A:$A,EQ2)</f>
        <v>4</v>
      </c>
      <c r="ER31" s="95">
        <f>SUMIFS(营销场景数据源!$AB:$AB,营销场景数据源!$C:$C,$B$29,营销场景数据源!$A:$A,ER2)</f>
        <v>15</v>
      </c>
      <c r="ES31" s="95">
        <f>SUMIFS(营销场景数据源!$AB:$AB,营销场景数据源!$C:$C,$B$29,营销场景数据源!$A:$A,ES2)</f>
        <v>8</v>
      </c>
      <c r="ET31" s="95">
        <f>SUMIFS(营销场景数据源!$AB:$AB,营销场景数据源!$C:$C,$B$29,营销场景数据源!$A:$A,ET2)</f>
        <v>8</v>
      </c>
      <c r="EU31" s="95">
        <f>SUMIFS(营销场景数据源!$AB:$AB,营销场景数据源!$C:$C,$B$29,营销场景数据源!$A:$A,EU2)</f>
        <v>5</v>
      </c>
      <c r="EV31" s="95">
        <f>SUMIFS(营销场景数据源!$AB:$AB,营销场景数据源!$C:$C,$B$29,营销场景数据源!$A:$A,EV2)</f>
        <v>6</v>
      </c>
      <c r="EW31" s="95">
        <f>SUMIFS(营销场景数据源!$AB:$AB,营销场景数据源!$C:$C,$B$29,营销场景数据源!$A:$A,EW2)</f>
        <v>10</v>
      </c>
      <c r="EX31" s="95">
        <f>SUMIFS(营销场景数据源!$AB:$AB,营销场景数据源!$C:$C,$B$29,营销场景数据源!$A:$A,EX2)</f>
        <v>3</v>
      </c>
      <c r="EY31" s="95">
        <f>SUMIFS(营销场景数据源!$AB:$AB,营销场景数据源!$C:$C,$B$29,营销场景数据源!$A:$A,EY2)</f>
        <v>2</v>
      </c>
      <c r="EZ31" s="95">
        <f>SUMIFS(营销场景数据源!$AB:$AB,营销场景数据源!$C:$C,$B$29,营销场景数据源!$A:$A,EZ2)</f>
        <v>5</v>
      </c>
      <c r="FA31" s="95">
        <f>SUMIFS(营销场景数据源!$AB:$AB,营销场景数据源!$C:$C,$B$29,营销场景数据源!$A:$A,FA2)</f>
        <v>7</v>
      </c>
      <c r="FB31" s="95">
        <f>SUMIFS(营销场景数据源!$AB:$AB,营销场景数据源!$C:$C,$B$29,营销场景数据源!$A:$A,FB2)</f>
        <v>3</v>
      </c>
      <c r="FC31" s="95">
        <f>SUMIFS(营销场景数据源!$AB:$AB,营销场景数据源!$C:$C,$B$29,营销场景数据源!$A:$A,FC2)</f>
        <v>1</v>
      </c>
      <c r="FD31" s="95">
        <f>SUMIFS(营销场景数据源!$AB:$AB,营销场景数据源!$C:$C,$B$29,营销场景数据源!$A:$A,FD2)</f>
        <v>2</v>
      </c>
      <c r="FE31" s="95">
        <f>SUMIFS(营销场景数据源!$AB:$AB,营销场景数据源!$C:$C,$B$29,营销场景数据源!$A:$A,FE2)</f>
        <v>9</v>
      </c>
      <c r="FF31" s="95">
        <f>SUMIFS(营销场景数据源!$AB:$AB,营销场景数据源!$C:$C,$B$29,营销场景数据源!$A:$A,FF2)</f>
        <v>5</v>
      </c>
      <c r="FG31" s="95">
        <f>SUMIFS(营销场景数据源!$AB:$AB,营销场景数据源!$C:$C,$B$29,营销场景数据源!$A:$A,FG2)</f>
        <v>2</v>
      </c>
      <c r="FH31" s="95">
        <f>SUMIFS(营销场景数据源!$AB:$AB,营销场景数据源!$C:$C,$B$29,营销场景数据源!$A:$A,FH2)</f>
        <v>1</v>
      </c>
      <c r="FI31" s="95">
        <f>SUMIFS(营销场景数据源!$AB:$AB,营销场景数据源!$C:$C,$B$29,营销场景数据源!$A:$A,FI2)</f>
        <v>6</v>
      </c>
      <c r="FJ31" s="95">
        <f>SUMIFS(营销场景数据源!$AB:$AB,营销场景数据源!$C:$C,$B$29,营销场景数据源!$A:$A,FJ2)</f>
        <v>6</v>
      </c>
      <c r="FK31" s="95">
        <f>SUMIFS(营销场景数据源!$AB:$AB,营销场景数据源!$C:$C,$B$29,营销场景数据源!$A:$A,FK2)</f>
        <v>0</v>
      </c>
      <c r="FL31" s="95">
        <f>SUMIFS(营销场景数据源!$AB:$AB,营销场景数据源!$C:$C,$B$29,营销场景数据源!$A:$A,FL2)</f>
        <v>1</v>
      </c>
      <c r="FM31" s="95">
        <f>SUMIFS(营销场景数据源!$AB:$AB,营销场景数据源!$C:$C,$B$29,营销场景数据源!$A:$A,FM2)</f>
        <v>7</v>
      </c>
      <c r="FN31" s="95">
        <f>SUMIFS(营销场景数据源!$AB:$AB,营销场景数据源!$C:$C,$B$29,营销场景数据源!$A:$A,FN2)</f>
        <v>0</v>
      </c>
      <c r="FO31" s="95">
        <f>SUMIFS(营销场景数据源!$AB:$AB,营销场景数据源!$C:$C,$B$29,营销场景数据源!$A:$A,FO2)</f>
        <v>0</v>
      </c>
      <c r="FP31" s="95">
        <f>SUMIFS(营销场景数据源!$AB:$AB,营销场景数据源!$C:$C,$B$29,营销场景数据源!$A:$A,FP2)</f>
        <v>1</v>
      </c>
      <c r="FQ31" s="65">
        <f t="shared" si="178"/>
        <v>85</v>
      </c>
      <c r="FR31" s="95">
        <f>SUMIFS(营销场景数据源!$AB:$AB,营销场景数据源!$C:$C,$B$29,营销场景数据源!$A:$A,FR2)</f>
        <v>3</v>
      </c>
      <c r="FS31" s="95">
        <f>SUMIFS(营销场景数据源!$AB:$AB,营销场景数据源!$C:$C,$B$29,营销场景数据源!$A:$A,FS2)</f>
        <v>2</v>
      </c>
      <c r="FT31" s="95">
        <f>SUMIFS(营销场景数据源!$AB:$AB,营销场景数据源!$C:$C,$B$29,营销场景数据源!$A:$A,FT2)</f>
        <v>2</v>
      </c>
      <c r="FU31" s="95">
        <f>SUMIFS(营销场景数据源!$AB:$AB,营销场景数据源!$C:$C,$B$29,营销场景数据源!$A:$A,FU2)</f>
        <v>3</v>
      </c>
      <c r="FV31" s="95">
        <f>SUMIFS(营销场景数据源!$AB:$AB,营销场景数据源!$C:$C,$B$29,营销场景数据源!$A:$A,FV2)</f>
        <v>2</v>
      </c>
      <c r="FW31" s="95">
        <f>SUMIFS(营销场景数据源!$AB:$AB,营销场景数据源!$C:$C,$B$29,营销场景数据源!$A:$A,FW2)</f>
        <v>6</v>
      </c>
      <c r="FX31" s="95">
        <f>SUMIFS(营销场景数据源!$AB:$AB,营销场景数据源!$C:$C,$B$29,营销场景数据源!$A:$A,FX2)</f>
        <v>6</v>
      </c>
      <c r="FY31" s="95">
        <f>SUMIFS(营销场景数据源!$AB:$AB,营销场景数据源!$C:$C,$B$29,营销场景数据源!$A:$A,FY2)</f>
        <v>3</v>
      </c>
      <c r="FZ31" s="95">
        <f>SUMIFS(营销场景数据源!$AB:$AB,营销场景数据源!$C:$C,$B$29,营销场景数据源!$A:$A,FZ2)</f>
        <v>5</v>
      </c>
      <c r="GA31" s="95">
        <f>SUMIFS(营销场景数据源!$AB:$AB,营销场景数据源!$C:$C,$B$29,营销场景数据源!$A:$A,GA2)</f>
        <v>5</v>
      </c>
      <c r="GB31" s="95">
        <f>SUMIFS(营销场景数据源!$AB:$AB,营销场景数据源!$C:$C,$B$29,营销场景数据源!$A:$A,GB2)</f>
        <v>1</v>
      </c>
      <c r="GC31" s="95">
        <f>SUMIFS(营销场景数据源!$AB:$AB,营销场景数据源!$C:$C,$B$29,营销场景数据源!$A:$A,GC2)</f>
        <v>2</v>
      </c>
      <c r="GD31" s="95">
        <f>SUMIFS(营销场景数据源!$AB:$AB,营销场景数据源!$C:$C,$B$29,营销场景数据源!$A:$A,GD2)</f>
        <v>10</v>
      </c>
      <c r="GE31" s="95">
        <f>SUMIFS(营销场景数据源!$AB:$AB,营销场景数据源!$C:$C,$B$29,营销场景数据源!$A:$A,GE2)</f>
        <v>3</v>
      </c>
      <c r="GF31" s="95">
        <f>SUMIFS(营销场景数据源!$AB:$AB,营销场景数据源!$C:$C,$B$29,营销场景数据源!$A:$A,GF2)</f>
        <v>3</v>
      </c>
      <c r="GG31" s="95">
        <f>SUMIFS(营销场景数据源!$AB:$AB,营销场景数据源!$C:$C,$B$29,营销场景数据源!$A:$A,GG2)</f>
        <v>5</v>
      </c>
      <c r="GH31" s="95">
        <f>SUMIFS(营销场景数据源!$AB:$AB,营销场景数据源!$C:$C,$B$29,营销场景数据源!$A:$A,GH2)</f>
        <v>1</v>
      </c>
      <c r="GI31" s="95">
        <f>SUMIFS(营销场景数据源!$AB:$AB,营销场景数据源!$C:$C,$B$29,营销场景数据源!$A:$A,GI2)</f>
        <v>5</v>
      </c>
      <c r="GJ31" s="95">
        <f>SUMIFS(营销场景数据源!$AB:$AB,营销场景数据源!$C:$C,$B$29,营销场景数据源!$A:$A,GJ2)</f>
        <v>5</v>
      </c>
      <c r="GK31" s="95">
        <f>SUMIFS(营销场景数据源!$AB:$AB,营销场景数据源!$C:$C,$B$29,营销场景数据源!$A:$A,GK2)</f>
        <v>6</v>
      </c>
      <c r="GL31" s="95">
        <f>SUMIFS(营销场景数据源!$AB:$AB,营销场景数据源!$C:$C,$B$29,营销场景数据源!$A:$A,GL2)</f>
        <v>7</v>
      </c>
      <c r="GM31" s="95">
        <f>SUMIFS(营销场景数据源!$AB:$AB,营销场景数据源!$C:$C,$B$29,营销场景数据源!$A:$A,GM2)</f>
        <v>0</v>
      </c>
      <c r="GN31" s="95">
        <f>SUMIFS(营销场景数据源!$AB:$AB,营销场景数据源!$C:$C,$B$29,营销场景数据源!$A:$A,GN2)</f>
        <v>0</v>
      </c>
      <c r="GO31" s="95">
        <f>SUMIFS(营销场景数据源!$AB:$AB,营销场景数据源!$C:$C,$B$29,营销场景数据源!$A:$A,GO2)</f>
        <v>0</v>
      </c>
      <c r="GP31" s="95">
        <f>SUMIFS(营销场景数据源!$AB:$AB,营销场景数据源!$C:$C,$B$29,营销场景数据源!$A:$A,GP2)</f>
        <v>0</v>
      </c>
    </row>
    <row r="32" ht="15" customHeight="1" spans="1:198">
      <c r="A32" s="47"/>
      <c r="B32" s="103"/>
      <c r="C32" s="104" t="s">
        <v>25</v>
      </c>
      <c r="D32" s="94" t="e">
        <f>SUM(E32:P32)</f>
        <v>#REF!</v>
      </c>
      <c r="E32" s="105" t="e">
        <f>#REF!</f>
        <v>#REF!</v>
      </c>
      <c r="F32" s="105" t="e">
        <f>#REF!</f>
        <v>#REF!</v>
      </c>
      <c r="G32" s="105" t="e">
        <f>#REF!</f>
        <v>#REF!</v>
      </c>
      <c r="H32" s="105" t="e">
        <f>#REF!</f>
        <v>#REF!</v>
      </c>
      <c r="I32" s="105" t="e">
        <f>#REF!</f>
        <v>#REF!</v>
      </c>
      <c r="J32" s="105" t="e">
        <f>#REF!</f>
        <v>#REF!</v>
      </c>
      <c r="K32" s="105" t="e">
        <f>#REF!</f>
        <v>#REF!</v>
      </c>
      <c r="L32" s="105" t="e">
        <f>#REF!</f>
        <v>#REF!</v>
      </c>
      <c r="M32" s="105" t="e">
        <f>#REF!</f>
        <v>#REF!</v>
      </c>
      <c r="N32" s="105" t="e">
        <f>#REF!</f>
        <v>#REF!</v>
      </c>
      <c r="O32" s="105" t="e">
        <f>#REF!</f>
        <v>#REF!</v>
      </c>
      <c r="P32" s="105" t="e">
        <f>#REF!</f>
        <v>#REF!</v>
      </c>
      <c r="Q32" s="65">
        <f>SUM(R32:AV32)</f>
        <v>17</v>
      </c>
      <c r="R32" s="95">
        <f>SUMIFS(营销场景数据源!$U:$U,营销场景数据源!$C:$C,$B$29,营销场景数据源!$A:$A,R2)</f>
        <v>1</v>
      </c>
      <c r="S32" s="95">
        <f>SUMIFS(营销场景数据源!$U:$U,营销场景数据源!$C:$C,$B$29,营销场景数据源!$A:$A,S2)</f>
        <v>1</v>
      </c>
      <c r="T32" s="95">
        <f>SUMIFS(营销场景数据源!$U:$U,营销场景数据源!$C:$C,$B$29,营销场景数据源!$A:$A,T2)</f>
        <v>1</v>
      </c>
      <c r="U32" s="95">
        <f>SUMIFS(营销场景数据源!$U:$U,营销场景数据源!$C:$C,$B$29,营销场景数据源!$A:$A,U2)</f>
        <v>0</v>
      </c>
      <c r="V32" s="95">
        <f>SUMIFS(营销场景数据源!$U:$U,营销场景数据源!$C:$C,$B$29,营销场景数据源!$A:$A,V2)</f>
        <v>1</v>
      </c>
      <c r="W32" s="95">
        <f>SUMIFS(营销场景数据源!$U:$U,营销场景数据源!$C:$C,$B$29,营销场景数据源!$A:$A,W2)</f>
        <v>0</v>
      </c>
      <c r="X32" s="95">
        <f>SUMIFS(营销场景数据源!$U:$U,营销场景数据源!$C:$C,$B$29,营销场景数据源!$A:$A,X2)</f>
        <v>0</v>
      </c>
      <c r="Y32" s="95">
        <f>SUMIFS(营销场景数据源!$U:$U,营销场景数据源!$C:$C,$B$29,营销场景数据源!$A:$A,Y2)</f>
        <v>0</v>
      </c>
      <c r="Z32" s="95">
        <f>SUMIFS(营销场景数据源!$U:$U,营销场景数据源!$C:$C,$B$29,营销场景数据源!$A:$A,Z2)</f>
        <v>0</v>
      </c>
      <c r="AA32" s="95">
        <f>SUMIFS(营销场景数据源!$U:$U,营销场景数据源!$C:$C,$B$29,营销场景数据源!$A:$A,AA2)</f>
        <v>0</v>
      </c>
      <c r="AB32" s="95">
        <f>SUMIFS(营销场景数据源!$U:$U,营销场景数据源!$C:$C,$B$29,营销场景数据源!$A:$A,AB2)</f>
        <v>2</v>
      </c>
      <c r="AC32" s="95">
        <f>SUMIFS(营销场景数据源!$U:$U,营销场景数据源!$C:$C,$B$29,营销场景数据源!$A:$A,AC2)</f>
        <v>1</v>
      </c>
      <c r="AD32" s="95">
        <f>SUMIFS(营销场景数据源!$U:$U,营销场景数据源!$C:$C,$B$29,营销场景数据源!$A:$A,AD2)</f>
        <v>1</v>
      </c>
      <c r="AE32" s="95">
        <f>SUMIFS(营销场景数据源!$U:$U,营销场景数据源!$C:$C,$B$29,营销场景数据源!$A:$A,AE2)</f>
        <v>1</v>
      </c>
      <c r="AF32" s="95">
        <f>SUMIFS(营销场景数据源!$U:$U,营销场景数据源!$C:$C,$B$29,营销场景数据源!$A:$A,AF2)</f>
        <v>0</v>
      </c>
      <c r="AG32" s="95">
        <f>SUMIFS(营销场景数据源!$U:$U,营销场景数据源!$C:$C,$B$29,营销场景数据源!$A:$A,AG2)</f>
        <v>0</v>
      </c>
      <c r="AH32" s="95">
        <f>SUMIFS(营销场景数据源!$U:$U,营销场景数据源!$C:$C,$B$29,营销场景数据源!$A:$A,AH2)</f>
        <v>0</v>
      </c>
      <c r="AI32" s="95">
        <f>SUMIFS(营销场景数据源!$U:$U,营销场景数据源!$C:$C,$B$29,营销场景数据源!$A:$A,AI2)</f>
        <v>1</v>
      </c>
      <c r="AJ32" s="95">
        <f>SUMIFS(营销场景数据源!$U:$U,营销场景数据源!$C:$C,$B$29,营销场景数据源!$A:$A,AJ2)</f>
        <v>0</v>
      </c>
      <c r="AK32" s="95">
        <f>SUMIFS(营销场景数据源!$U:$U,营销场景数据源!$C:$C,$B$29,营销场景数据源!$A:$A,AK2)</f>
        <v>0</v>
      </c>
      <c r="AL32" s="95">
        <f>SUMIFS(营销场景数据源!$U:$U,营销场景数据源!$C:$C,$B$29,营销场景数据源!$A:$A,AL2)</f>
        <v>0</v>
      </c>
      <c r="AM32" s="95">
        <f>SUMIFS(营销场景数据源!$U:$U,营销场景数据源!$C:$C,$B$29,营销场景数据源!$A:$A,AM2)</f>
        <v>0</v>
      </c>
      <c r="AN32" s="95">
        <f>SUMIFS(营销场景数据源!$U:$U,营销场景数据源!$C:$C,$B$29,营销场景数据源!$A:$A,AN2)</f>
        <v>0</v>
      </c>
      <c r="AO32" s="95">
        <f>SUMIFS(营销场景数据源!$U:$U,营销场景数据源!$C:$C,$B$29,营销场景数据源!$A:$A,AO2)</f>
        <v>4</v>
      </c>
      <c r="AP32" s="95">
        <f>SUMIFS(营销场景数据源!$U:$U,营销场景数据源!$C:$C,$B$29,营销场景数据源!$A:$A,AP2)</f>
        <v>0</v>
      </c>
      <c r="AQ32" s="95">
        <f>SUMIFS(营销场景数据源!$U:$U,营销场景数据源!$C:$C,$B$29,营销场景数据源!$A:$A,AQ2)</f>
        <v>1</v>
      </c>
      <c r="AR32" s="95">
        <f>SUMIFS(营销场景数据源!$U:$U,营销场景数据源!$C:$C,$B$29,营销场景数据源!$A:$A,AR2)</f>
        <v>1</v>
      </c>
      <c r="AS32" s="95">
        <f>SUMIFS(营销场景数据源!$U:$U,营销场景数据源!$C:$C,$B$29,营销场景数据源!$A:$A,AS2)</f>
        <v>0</v>
      </c>
      <c r="AT32" s="95">
        <f>SUMIFS(营销场景数据源!$U:$U,营销场景数据源!$C:$C,$B$29,营销场景数据源!$A:$A,AT2)</f>
        <v>1</v>
      </c>
      <c r="AU32" s="95">
        <f>SUMIFS(营销场景数据源!$U:$U,营销场景数据源!$C:$C,$B$29,营销场景数据源!$A:$A,AU2)</f>
        <v>0</v>
      </c>
      <c r="AV32" s="95">
        <f>SUMIFS(营销场景数据源!$U:$U,营销场景数据源!$C:$C,$B$29,营销场景数据源!$A:$A,AV2)</f>
        <v>0</v>
      </c>
      <c r="AW32" s="65">
        <f>SUM(AX32:BY32)</f>
        <v>3</v>
      </c>
      <c r="AX32" s="95">
        <f>SUMIFS(营销场景数据源!$U:$U,营销场景数据源!$C:$C,$B$29,营销场景数据源!$A:$A,AX2)</f>
        <v>0</v>
      </c>
      <c r="AY32" s="95">
        <f>SUMIFS(营销场景数据源!$U:$U,营销场景数据源!$C:$C,$B$29,营销场景数据源!$A:$A,AY2)</f>
        <v>0</v>
      </c>
      <c r="AZ32" s="95">
        <f>SUMIFS(营销场景数据源!$U:$U,营销场景数据源!$C:$C,$B$29,营销场景数据源!$A:$A,AZ2)</f>
        <v>2</v>
      </c>
      <c r="BA32" s="95">
        <f>SUMIFS(营销场景数据源!$U:$U,营销场景数据源!$C:$C,$B$29,营销场景数据源!$A:$A,BA2)</f>
        <v>1</v>
      </c>
      <c r="BB32" s="95">
        <f>SUMIFS(营销场景数据源!$U:$U,营销场景数据源!$C:$C,$B$29,营销场景数据源!$A:$A,BB2)</f>
        <v>0</v>
      </c>
      <c r="BC32" s="95">
        <f>SUMIFS(营销场景数据源!$U:$U,营销场景数据源!$C:$C,$B$29,营销场景数据源!$A:$A,BC2)</f>
        <v>0</v>
      </c>
      <c r="BD32" s="95">
        <f>SUMIFS(营销场景数据源!$U:$U,营销场景数据源!$C:$C,$B$29,营销场景数据源!$A:$A,BD2)</f>
        <v>0</v>
      </c>
      <c r="BE32" s="95">
        <f>SUMIFS(营销场景数据源!$U:$U,营销场景数据源!$C:$C,$B$29,营销场景数据源!$A:$A,BE2)</f>
        <v>0</v>
      </c>
      <c r="BF32" s="95">
        <f>SUMIFS(营销场景数据源!$U:$U,营销场景数据源!$C:$C,$B$29,营销场景数据源!$A:$A,BF2)</f>
        <v>0</v>
      </c>
      <c r="BG32" s="95">
        <f>SUMIFS(营销场景数据源!$U:$U,营销场景数据源!$C:$C,$B$29,营销场景数据源!$A:$A,BG2)</f>
        <v>0</v>
      </c>
      <c r="BH32" s="95">
        <f>SUMIFS(营销场景数据源!$U:$U,营销场景数据源!$C:$C,$B$29,营销场景数据源!$A:$A,BH2)</f>
        <v>0</v>
      </c>
      <c r="BI32" s="95">
        <f>SUMIFS(营销场景数据源!$U:$U,营销场景数据源!$C:$C,$B$29,营销场景数据源!$A:$A,BI2)</f>
        <v>0</v>
      </c>
      <c r="BJ32" s="95">
        <f>SUMIFS(营销场景数据源!$U:$U,营销场景数据源!$C:$C,$B$29,营销场景数据源!$A:$A,BJ2)</f>
        <v>0</v>
      </c>
      <c r="BK32" s="95">
        <f>SUMIFS(营销场景数据源!$U:$U,营销场景数据源!$C:$C,$B$29,营销场景数据源!$A:$A,BK2)</f>
        <v>0</v>
      </c>
      <c r="BL32" s="95">
        <f>SUMIFS(营销场景数据源!$U:$U,营销场景数据源!$C:$C,$B$29,营销场景数据源!$A:$A,BL2)</f>
        <v>0</v>
      </c>
      <c r="BM32" s="95">
        <f>SUMIFS(营销场景数据源!$U:$U,营销场景数据源!$C:$C,$B$29,营销场景数据源!$A:$A,BM2)</f>
        <v>0</v>
      </c>
      <c r="BN32" s="95">
        <f>SUMIFS(营销场景数据源!$U:$U,营销场景数据源!$C:$C,$B$29,营销场景数据源!$A:$A,BN2)</f>
        <v>0</v>
      </c>
      <c r="BO32" s="95">
        <f>SUMIFS(营销场景数据源!$U:$U,营销场景数据源!$C:$C,$B$29,营销场景数据源!$A:$A,BO2)</f>
        <v>0</v>
      </c>
      <c r="BP32" s="95">
        <f>SUMIFS(营销场景数据源!$U:$U,营销场景数据源!$C:$C,$B$29,营销场景数据源!$A:$A,BP2)</f>
        <v>0</v>
      </c>
      <c r="BQ32" s="95">
        <f>SUMIFS(营销场景数据源!$U:$U,营销场景数据源!$C:$C,$B$29,营销场景数据源!$A:$A,BQ2)</f>
        <v>0</v>
      </c>
      <c r="BR32" s="95">
        <f>SUMIFS(营销场景数据源!$U:$U,营销场景数据源!$C:$C,$B$29,营销场景数据源!$A:$A,BR2)</f>
        <v>0</v>
      </c>
      <c r="BS32" s="95">
        <f>SUMIFS(营销场景数据源!$U:$U,营销场景数据源!$C:$C,$B$29,营销场景数据源!$A:$A,BS2)</f>
        <v>0</v>
      </c>
      <c r="BT32" s="95">
        <f>SUMIFS(营销场景数据源!$U:$U,营销场景数据源!$C:$C,$B$29,营销场景数据源!$A:$A,BT2)</f>
        <v>0</v>
      </c>
      <c r="BU32" s="95">
        <f>SUMIFS(营销场景数据源!$U:$U,营销场景数据源!$C:$C,$B$29,营销场景数据源!$A:$A,BU2)</f>
        <v>0</v>
      </c>
      <c r="BV32" s="95">
        <f>SUMIFS(营销场景数据源!$U:$U,营销场景数据源!$C:$C,$B$29,营销场景数据源!$A:$A,BV2)</f>
        <v>0</v>
      </c>
      <c r="BW32" s="95">
        <f>SUMIFS(营销场景数据源!$U:$U,营销场景数据源!$C:$C,$B$29,营销场景数据源!$A:$A,BW2)</f>
        <v>0</v>
      </c>
      <c r="BX32" s="95">
        <f>SUMIFS(营销场景数据源!$U:$U,营销场景数据源!$C:$C,$B$29,营销场景数据源!$A:$A,BX2)</f>
        <v>0</v>
      </c>
      <c r="BY32" s="95">
        <f>SUMIFS(营销场景数据源!$U:$U,营销场景数据源!$C:$C,$B$29,营销场景数据源!$A:$A,BY2)</f>
        <v>0</v>
      </c>
      <c r="BZ32" s="65">
        <f>SUM(CA32:DE32)</f>
        <v>0</v>
      </c>
      <c r="CA32" s="95">
        <f>SUMIFS(营销场景数据源!$U:$U,营销场景数据源!$C:$C,$B$29,营销场景数据源!$A:$A,CA2)</f>
        <v>0</v>
      </c>
      <c r="CB32" s="95">
        <f>SUMIFS(营销场景数据源!$U:$U,营销场景数据源!$C:$C,$B$29,营销场景数据源!$A:$A,CB2)</f>
        <v>0</v>
      </c>
      <c r="CC32" s="95">
        <f>SUMIFS(营销场景数据源!$U:$U,营销场景数据源!$C:$C,$B$29,营销场景数据源!$A:$A,CC2)</f>
        <v>0</v>
      </c>
      <c r="CD32" s="95">
        <f>SUMIFS(营销场景数据源!$U:$U,营销场景数据源!$C:$C,$B$29,营销场景数据源!$A:$A,CD2)</f>
        <v>0</v>
      </c>
      <c r="CE32" s="95">
        <f>SUMIFS(营销场景数据源!$U:$U,营销场景数据源!$C:$C,$B$29,营销场景数据源!$A:$A,CE2)</f>
        <v>0</v>
      </c>
      <c r="CF32" s="95">
        <f>SUMIFS(营销场景数据源!$U:$U,营销场景数据源!$C:$C,$B$29,营销场景数据源!$A:$A,CF2)</f>
        <v>0</v>
      </c>
      <c r="CG32" s="95">
        <f>SUMIFS(营销场景数据源!$U:$U,营销场景数据源!$C:$C,$B$29,营销场景数据源!$A:$A,CG2)</f>
        <v>0</v>
      </c>
      <c r="CH32" s="95">
        <f>SUMIFS(营销场景数据源!$U:$U,营销场景数据源!$C:$C,$B$29,营销场景数据源!$A:$A,CH2)</f>
        <v>0</v>
      </c>
      <c r="CI32" s="95">
        <f>SUMIFS(营销场景数据源!$U:$U,营销场景数据源!$C:$C,$B$29,营销场景数据源!$A:$A,CI2)</f>
        <v>0</v>
      </c>
      <c r="CJ32" s="95">
        <f>SUMIFS(营销场景数据源!$U:$U,营销场景数据源!$C:$C,$B$29,营销场景数据源!$A:$A,CJ2)</f>
        <v>0</v>
      </c>
      <c r="CK32" s="95">
        <f>SUMIFS(营销场景数据源!$U:$U,营销场景数据源!$C:$C,$B$29,营销场景数据源!$A:$A,CK2)</f>
        <v>0</v>
      </c>
      <c r="CL32" s="95">
        <f>SUMIFS(营销场景数据源!$U:$U,营销场景数据源!$C:$C,$B$29,营销场景数据源!$A:$A,CL2)</f>
        <v>0</v>
      </c>
      <c r="CM32" s="95">
        <f>SUMIFS(营销场景数据源!$U:$U,营销场景数据源!$C:$C,$B$29,营销场景数据源!$A:$A,CM2)</f>
        <v>0</v>
      </c>
      <c r="CN32" s="95">
        <f>SUMIFS(营销场景数据源!$U:$U,营销场景数据源!$C:$C,$B$29,营销场景数据源!$A:$A,CN2)</f>
        <v>0</v>
      </c>
      <c r="CO32" s="95">
        <f>SUMIFS(营销场景数据源!$U:$U,营销场景数据源!$C:$C,$B$29,营销场景数据源!$A:$A,CO2)</f>
        <v>0</v>
      </c>
      <c r="CP32" s="95">
        <f>SUMIFS(营销场景数据源!$U:$U,营销场景数据源!$C:$C,$B$29,营销场景数据源!$A:$A,CP2)</f>
        <v>0</v>
      </c>
      <c r="CQ32" s="95">
        <f>SUMIFS(营销场景数据源!$U:$U,营销场景数据源!$C:$C,$B$29,营销场景数据源!$A:$A,CQ2)</f>
        <v>0</v>
      </c>
      <c r="CR32" s="95">
        <f>SUMIFS(营销场景数据源!$U:$U,营销场景数据源!$C:$C,$B$29,营销场景数据源!$A:$A,CR2)</f>
        <v>0</v>
      </c>
      <c r="CS32" s="95">
        <f>SUMIFS(营销场景数据源!$U:$U,营销场景数据源!$C:$C,$B$29,营销场景数据源!$A:$A,CS2)</f>
        <v>0</v>
      </c>
      <c r="CT32" s="95">
        <f>SUMIFS(营销场景数据源!$U:$U,营销场景数据源!$C:$C,$B$29,营销场景数据源!$A:$A,CT2)</f>
        <v>0</v>
      </c>
      <c r="CU32" s="95">
        <f>SUMIFS(营销场景数据源!$U:$U,营销场景数据源!$C:$C,$B$29,营销场景数据源!$A:$A,CU2)</f>
        <v>0</v>
      </c>
      <c r="CV32" s="95">
        <f>SUMIFS(营销场景数据源!$U:$U,营销场景数据源!$C:$C,$B$29,营销场景数据源!$A:$A,CV2)</f>
        <v>0</v>
      </c>
      <c r="CW32" s="95">
        <f>SUMIFS(营销场景数据源!$U:$U,营销场景数据源!$C:$C,$B$29,营销场景数据源!$A:$A,CW2)</f>
        <v>0</v>
      </c>
      <c r="CX32" s="95">
        <f>SUMIFS(营销场景数据源!$U:$U,营销场景数据源!$C:$C,$B$29,营销场景数据源!$A:$A,CX2)</f>
        <v>0</v>
      </c>
      <c r="CY32" s="95">
        <f>SUMIFS(营销场景数据源!$U:$U,营销场景数据源!$C:$C,$B$29,营销场景数据源!$A:$A,CY2)</f>
        <v>0</v>
      </c>
      <c r="CZ32" s="95">
        <f>SUMIFS(营销场景数据源!$U:$U,营销场景数据源!$C:$C,$B$29,营销场景数据源!$A:$A,CZ2)</f>
        <v>0</v>
      </c>
      <c r="DA32" s="95">
        <f>SUMIFS(营销场景数据源!$U:$U,营销场景数据源!$C:$C,$B$29,营销场景数据源!$A:$A,DA2)</f>
        <v>0</v>
      </c>
      <c r="DB32" s="95">
        <f>SUMIFS(营销场景数据源!$U:$U,营销场景数据源!$C:$C,$B$29,营销场景数据源!$A:$A,DB2)</f>
        <v>0</v>
      </c>
      <c r="DC32" s="95">
        <f>SUMIFS(营销场景数据源!$U:$U,营销场景数据源!$C:$C,$B$29,营销场景数据源!$A:$A,DC2)</f>
        <v>0</v>
      </c>
      <c r="DD32" s="95">
        <f>SUMIFS(营销场景数据源!$U:$U,营销场景数据源!$C:$C,$B$29,营销场景数据源!$A:$A,DD2)</f>
        <v>0</v>
      </c>
      <c r="DE32" s="95">
        <f>SUMIFS(营销场景数据源!$U:$U,营销场景数据源!$C:$C,$B$29,营销场景数据源!$A:$A,DE2)</f>
        <v>0</v>
      </c>
      <c r="DF32" s="65">
        <f>SUM(DG32:EJ32)</f>
        <v>31</v>
      </c>
      <c r="DG32" s="95">
        <f>SUMIFS(营销场景数据源!$U:$U,营销场景数据源!$C:$C,$B$29,营销场景数据源!$A:$A,DG2)</f>
        <v>0</v>
      </c>
      <c r="DH32" s="95">
        <f>SUMIFS(营销场景数据源!$U:$U,营销场景数据源!$C:$C,$B$29,营销场景数据源!$A:$A,DH2)</f>
        <v>0</v>
      </c>
      <c r="DI32" s="95">
        <f>SUMIFS(营销场景数据源!$U:$U,营销场景数据源!$C:$C,$B$29,营销场景数据源!$A:$A,DI2)</f>
        <v>0</v>
      </c>
      <c r="DJ32" s="95">
        <f>SUMIFS(营销场景数据源!$U:$U,营销场景数据源!$C:$C,$B$29,营销场景数据源!$A:$A,DJ2)</f>
        <v>0</v>
      </c>
      <c r="DK32" s="95">
        <f>SUMIFS(营销场景数据源!$U:$U,营销场景数据源!$C:$C,$B$29,营销场景数据源!$A:$A,DK2)</f>
        <v>3</v>
      </c>
      <c r="DL32" s="95">
        <f>SUMIFS(营销场景数据源!$U:$U,营销场景数据源!$C:$C,$B$29,营销场景数据源!$A:$A,DL2)</f>
        <v>0</v>
      </c>
      <c r="DM32" s="95">
        <f>SUMIFS(营销场景数据源!$U:$U,营销场景数据源!$C:$C,$B$29,营销场景数据源!$A:$A,DM2)</f>
        <v>1</v>
      </c>
      <c r="DN32" s="95">
        <f>SUMIFS(营销场景数据源!$U:$U,营销场景数据源!$C:$C,$B$29,营销场景数据源!$A:$A,DN2)</f>
        <v>1</v>
      </c>
      <c r="DO32" s="95">
        <f>SUMIFS(营销场景数据源!$U:$U,营销场景数据源!$C:$C,$B$29,营销场景数据源!$A:$A,DO2)</f>
        <v>1</v>
      </c>
      <c r="DP32" s="95">
        <f>SUMIFS(营销场景数据源!$U:$U,营销场景数据源!$C:$C,$B$29,营销场景数据源!$A:$A,DP2)</f>
        <v>0</v>
      </c>
      <c r="DQ32" s="95">
        <f>SUMIFS(营销场景数据源!$U:$U,营销场景数据源!$C:$C,$B$29,营销场景数据源!$A:$A,DQ2)</f>
        <v>1</v>
      </c>
      <c r="DR32" s="95">
        <f>SUMIFS(营销场景数据源!$U:$U,营销场景数据源!$C:$C,$B$29,营销场景数据源!$A:$A,DR2)</f>
        <v>0</v>
      </c>
      <c r="DS32" s="95">
        <f>SUMIFS(营销场景数据源!$U:$U,营销场景数据源!$C:$C,$B$29,营销场景数据源!$A:$A,DS2)</f>
        <v>0</v>
      </c>
      <c r="DT32" s="95">
        <f>SUMIFS(营销场景数据源!$U:$U,营销场景数据源!$C:$C,$B$29,营销场景数据源!$A:$A,DT2)</f>
        <v>0</v>
      </c>
      <c r="DU32" s="95">
        <f>SUMIFS(营销场景数据源!$U:$U,营销场景数据源!$C:$C,$B$29,营销场景数据源!$A:$A,DU2)</f>
        <v>1</v>
      </c>
      <c r="DV32" s="95">
        <f>SUMIFS(营销场景数据源!$U:$U,营销场景数据源!$C:$C,$B$29,营销场景数据源!$A:$A,DV2)</f>
        <v>4</v>
      </c>
      <c r="DW32" s="95">
        <f>SUMIFS(营销场景数据源!$U:$U,营销场景数据源!$C:$C,$B$29,营销场景数据源!$A:$A,DW2)</f>
        <v>3</v>
      </c>
      <c r="DX32" s="95">
        <f>SUMIFS(营销场景数据源!$U:$U,营销场景数据源!$C:$C,$B$29,营销场景数据源!$A:$A,DX2)</f>
        <v>0</v>
      </c>
      <c r="DY32" s="95">
        <f>SUMIFS(营销场景数据源!$U:$U,营销场景数据源!$C:$C,$B$29,营销场景数据源!$A:$A,DY2)</f>
        <v>0</v>
      </c>
      <c r="DZ32" s="95">
        <f>SUMIFS(营销场景数据源!$U:$U,营销场景数据源!$C:$C,$B$29,营销场景数据源!$A:$A,DZ2)</f>
        <v>0</v>
      </c>
      <c r="EA32" s="95">
        <f>SUMIFS(营销场景数据源!$U:$U,营销场景数据源!$C:$C,$B$29,营销场景数据源!$A:$A,EA2)</f>
        <v>0</v>
      </c>
      <c r="EB32" s="95">
        <f>SUMIFS(营销场景数据源!$U:$U,营销场景数据源!$C:$C,$B$29,营销场景数据源!$A:$A,EB2)</f>
        <v>5</v>
      </c>
      <c r="EC32" s="95">
        <f>SUMIFS(营销场景数据源!$U:$U,营销场景数据源!$C:$C,$B$29,营销场景数据源!$A:$A,EC2)</f>
        <v>3</v>
      </c>
      <c r="ED32" s="95">
        <f>SUMIFS(营销场景数据源!$U:$U,营销场景数据源!$C:$C,$B$29,营销场景数据源!$A:$A,ED2)</f>
        <v>0</v>
      </c>
      <c r="EE32" s="95">
        <f>SUMIFS(营销场景数据源!$U:$U,营销场景数据源!$C:$C,$B$29,营销场景数据源!$A:$A,EE2)</f>
        <v>1</v>
      </c>
      <c r="EF32" s="95">
        <f>SUMIFS(营销场景数据源!$U:$U,营销场景数据源!$C:$C,$B$29,营销场景数据源!$A:$A,EF2)</f>
        <v>0</v>
      </c>
      <c r="EG32" s="95">
        <f>SUMIFS(营销场景数据源!$U:$U,营销场景数据源!$C:$C,$B$29,营销场景数据源!$A:$A,EG2)</f>
        <v>0</v>
      </c>
      <c r="EH32" s="95">
        <f>SUMIFS(营销场景数据源!$U:$U,营销场景数据源!$C:$C,$B$29,营销场景数据源!$A:$A,EH2)</f>
        <v>2</v>
      </c>
      <c r="EI32" s="95">
        <f>SUMIFS(营销场景数据源!$U:$U,营销场景数据源!$C:$C,$B$29,营销场景数据源!$A:$A,EI2)</f>
        <v>5</v>
      </c>
      <c r="EJ32" s="95">
        <f>SUMIFS(营销场景数据源!$U:$U,营销场景数据源!$C:$C,$B$29,营销场景数据源!$A:$A,EJ2)</f>
        <v>0</v>
      </c>
      <c r="EK32" s="65">
        <f>SUM(EL32:FP32)</f>
        <v>16</v>
      </c>
      <c r="EL32" s="95">
        <f>SUMIFS(营销场景数据源!$U:$U,营销场景数据源!$C:$C,$B$29,营销场景数据源!$A:$A,EL2)</f>
        <v>0</v>
      </c>
      <c r="EM32" s="95">
        <f>SUMIFS(营销场景数据源!$U:$U,营销场景数据源!$C:$C,$B$29,营销场景数据源!$A:$A,EM2)</f>
        <v>0</v>
      </c>
      <c r="EN32" s="95">
        <f>SUMIFS(营销场景数据源!$U:$U,营销场景数据源!$C:$C,$B$29,营销场景数据源!$A:$A,EN2)</f>
        <v>0</v>
      </c>
      <c r="EO32" s="95">
        <f>SUMIFS(营销场景数据源!$U:$U,营销场景数据源!$C:$C,$B$29,营销场景数据源!$A:$A,EO2)</f>
        <v>0</v>
      </c>
      <c r="EP32" s="95">
        <f>SUMIFS(营销场景数据源!$U:$U,营销场景数据源!$C:$C,$B$29,营销场景数据源!$A:$A,EP2)</f>
        <v>0</v>
      </c>
      <c r="EQ32" s="95">
        <f>SUMIFS(营销场景数据源!$U:$U,营销场景数据源!$C:$C,$B$29,营销场景数据源!$A:$A,EQ2)</f>
        <v>2</v>
      </c>
      <c r="ER32" s="95">
        <f>SUMIFS(营销场景数据源!$U:$U,营销场景数据源!$C:$C,$B$29,营销场景数据源!$A:$A,ER2)</f>
        <v>0</v>
      </c>
      <c r="ES32" s="95">
        <f>SUMIFS(营销场景数据源!$U:$U,营销场景数据源!$C:$C,$B$29,营销场景数据源!$A:$A,ES2)</f>
        <v>0</v>
      </c>
      <c r="ET32" s="95">
        <f>SUMIFS(营销场景数据源!$U:$U,营销场景数据源!$C:$C,$B$29,营销场景数据源!$A:$A,ET2)</f>
        <v>0</v>
      </c>
      <c r="EU32" s="95">
        <f>SUMIFS(营销场景数据源!$U:$U,营销场景数据源!$C:$C,$B$29,营销场景数据源!$A:$A,EU2)</f>
        <v>0</v>
      </c>
      <c r="EV32" s="95">
        <f>SUMIFS(营销场景数据源!$U:$U,营销场景数据源!$C:$C,$B$29,营销场景数据源!$A:$A,EV2)</f>
        <v>0</v>
      </c>
      <c r="EW32" s="95">
        <f>SUMIFS(营销场景数据源!$U:$U,营销场景数据源!$C:$C,$B$29,营销场景数据源!$A:$A,EW2)</f>
        <v>0</v>
      </c>
      <c r="EX32" s="95">
        <f>SUMIFS(营销场景数据源!$U:$U,营销场景数据源!$C:$C,$B$29,营销场景数据源!$A:$A,EX2)</f>
        <v>0</v>
      </c>
      <c r="EY32" s="95">
        <f>SUMIFS(营销场景数据源!$U:$U,营销场景数据源!$C:$C,$B$29,营销场景数据源!$A:$A,EY2)</f>
        <v>0</v>
      </c>
      <c r="EZ32" s="95">
        <f>SUMIFS(营销场景数据源!$U:$U,营销场景数据源!$C:$C,$B$29,营销场景数据源!$A:$A,EZ2)</f>
        <v>0</v>
      </c>
      <c r="FA32" s="95">
        <f>SUMIFS(营销场景数据源!$U:$U,营销场景数据源!$C:$C,$B$29,营销场景数据源!$A:$A,FA2)</f>
        <v>0</v>
      </c>
      <c r="FB32" s="95">
        <f>SUMIFS(营销场景数据源!$U:$U,营销场景数据源!$C:$C,$B$29,营销场景数据源!$A:$A,FB2)</f>
        <v>0</v>
      </c>
      <c r="FC32" s="95">
        <f>SUMIFS(营销场景数据源!$U:$U,营销场景数据源!$C:$C,$B$29,营销场景数据源!$A:$A,FC2)</f>
        <v>1</v>
      </c>
      <c r="FD32" s="95">
        <f>SUMIFS(营销场景数据源!$U:$U,营销场景数据源!$C:$C,$B$29,营销场景数据源!$A:$A,FD2)</f>
        <v>1</v>
      </c>
      <c r="FE32" s="95">
        <f>SUMIFS(营销场景数据源!$U:$U,营销场景数据源!$C:$C,$B$29,营销场景数据源!$A:$A,FE2)</f>
        <v>4</v>
      </c>
      <c r="FF32" s="95">
        <f>SUMIFS(营销场景数据源!$U:$U,营销场景数据源!$C:$C,$B$29,营销场景数据源!$A:$A,FF2)</f>
        <v>0</v>
      </c>
      <c r="FG32" s="95">
        <f>SUMIFS(营销场景数据源!$U:$U,营销场景数据源!$C:$C,$B$29,营销场景数据源!$A:$A,FG2)</f>
        <v>0</v>
      </c>
      <c r="FH32" s="95">
        <f>SUMIFS(营销场景数据源!$U:$U,营销场景数据源!$C:$C,$B$29,营销场景数据源!$A:$A,FH2)</f>
        <v>1</v>
      </c>
      <c r="FI32" s="95">
        <f>SUMIFS(营销场景数据源!$U:$U,营销场景数据源!$C:$C,$B$29,营销场景数据源!$A:$A,FI2)</f>
        <v>0</v>
      </c>
      <c r="FJ32" s="95">
        <f>SUMIFS(营销场景数据源!$U:$U,营销场景数据源!$C:$C,$B$29,营销场景数据源!$A:$A,FJ2)</f>
        <v>3</v>
      </c>
      <c r="FK32" s="95">
        <f>SUMIFS(营销场景数据源!$U:$U,营销场景数据源!$C:$C,$B$29,营销场景数据源!$A:$A,FK2)</f>
        <v>0</v>
      </c>
      <c r="FL32" s="95">
        <f>SUMIFS(营销场景数据源!$U:$U,营销场景数据源!$C:$C,$B$29,营销场景数据源!$A:$A,FL2)</f>
        <v>0</v>
      </c>
      <c r="FM32" s="95">
        <f>SUMIFS(营销场景数据源!$U:$U,营销场景数据源!$C:$C,$B$29,营销场景数据源!$A:$A,FM2)</f>
        <v>4</v>
      </c>
      <c r="FN32" s="95">
        <f>SUMIFS(营销场景数据源!$U:$U,营销场景数据源!$C:$C,$B$29,营销场景数据源!$A:$A,FN2)</f>
        <v>0</v>
      </c>
      <c r="FO32" s="95">
        <f>SUMIFS(营销场景数据源!$U:$U,营销场景数据源!$C:$C,$B$29,营销场景数据源!$A:$A,FO2)</f>
        <v>0</v>
      </c>
      <c r="FP32" s="95">
        <f>SUMIFS(营销场景数据源!$U:$U,营销场景数据源!$C:$C,$B$29,营销场景数据源!$A:$A,FP2)</f>
        <v>0</v>
      </c>
      <c r="FQ32" s="65">
        <f t="shared" si="178"/>
        <v>10</v>
      </c>
      <c r="FR32" s="95">
        <f>SUMIFS(营销场景数据源!$U:$U,营销场景数据源!$C:$C,$B$29,营销场景数据源!$A:$A,FR2)</f>
        <v>0</v>
      </c>
      <c r="FS32" s="95">
        <f>SUMIFS(营销场景数据源!$U:$U,营销场景数据源!$C:$C,$B$29,营销场景数据源!$A:$A,FS2)</f>
        <v>1</v>
      </c>
      <c r="FT32" s="95">
        <f>SUMIFS(营销场景数据源!$U:$U,营销场景数据源!$C:$C,$B$29,营销场景数据源!$A:$A,FT2)</f>
        <v>0</v>
      </c>
      <c r="FU32" s="95">
        <f>SUMIFS(营销场景数据源!$U:$U,营销场景数据源!$C:$C,$B$29,营销场景数据源!$A:$A,FU2)</f>
        <v>1</v>
      </c>
      <c r="FV32" s="95">
        <f>SUMIFS(营销场景数据源!$U:$U,营销场景数据源!$C:$C,$B$29,营销场景数据源!$A:$A,FV2)</f>
        <v>0</v>
      </c>
      <c r="FW32" s="95">
        <f>SUMIFS(营销场景数据源!$U:$U,营销场景数据源!$C:$C,$B$29,营销场景数据源!$A:$A,FW2)</f>
        <v>1</v>
      </c>
      <c r="FX32" s="95">
        <f>SUMIFS(营销场景数据源!$U:$U,营销场景数据源!$C:$C,$B$29,营销场景数据源!$A:$A,FX2)</f>
        <v>0</v>
      </c>
      <c r="FY32" s="95">
        <f>SUMIFS(营销场景数据源!$U:$U,营销场景数据源!$C:$C,$B$29,营销场景数据源!$A:$A,FY2)</f>
        <v>2</v>
      </c>
      <c r="FZ32" s="95">
        <f>SUMIFS(营销场景数据源!$U:$U,营销场景数据源!$C:$C,$B$29,营销场景数据源!$A:$A,FZ2)</f>
        <v>1</v>
      </c>
      <c r="GA32" s="95">
        <f>SUMIFS(营销场景数据源!$U:$U,营销场景数据源!$C:$C,$B$29,营销场景数据源!$A:$A,GA2)</f>
        <v>0</v>
      </c>
      <c r="GB32" s="95">
        <f>SUMIFS(营销场景数据源!$U:$U,营销场景数据源!$C:$C,$B$29,营销场景数据源!$A:$A,GB2)</f>
        <v>0</v>
      </c>
      <c r="GC32" s="95">
        <f>SUMIFS(营销场景数据源!$U:$U,营销场景数据源!$C:$C,$B$29,营销场景数据源!$A:$A,GC2)</f>
        <v>0</v>
      </c>
      <c r="GD32" s="95">
        <f>SUMIFS(营销场景数据源!$U:$U,营销场景数据源!$C:$C,$B$29,营销场景数据源!$A:$A,GD2)</f>
        <v>3</v>
      </c>
      <c r="GE32" s="95">
        <f>SUMIFS(营销场景数据源!$U:$U,营销场景数据源!$C:$C,$B$29,营销场景数据源!$A:$A,GE2)</f>
        <v>0</v>
      </c>
      <c r="GF32" s="95">
        <f>SUMIFS(营销场景数据源!$U:$U,营销场景数据源!$C:$C,$B$29,营销场景数据源!$A:$A,GF2)</f>
        <v>1</v>
      </c>
      <c r="GG32" s="95">
        <f>SUMIFS(营销场景数据源!$U:$U,营销场景数据源!$C:$C,$B$29,营销场景数据源!$A:$A,GG2)</f>
        <v>0</v>
      </c>
      <c r="GH32" s="95">
        <f>SUMIFS(营销场景数据源!$U:$U,营销场景数据源!$C:$C,$B$29,营销场景数据源!$A:$A,GH2)</f>
        <v>0</v>
      </c>
      <c r="GI32" s="95">
        <f>SUMIFS(营销场景数据源!$U:$U,营销场景数据源!$C:$C,$B$29,营销场景数据源!$A:$A,GI2)</f>
        <v>0</v>
      </c>
      <c r="GJ32" s="95">
        <f>SUMIFS(营销场景数据源!$U:$U,营销场景数据源!$C:$C,$B$29,营销场景数据源!$A:$A,GJ2)</f>
        <v>0</v>
      </c>
      <c r="GK32" s="95">
        <f>SUMIFS(营销场景数据源!$U:$U,营销场景数据源!$C:$C,$B$29,营销场景数据源!$A:$A,GK2)</f>
        <v>0</v>
      </c>
      <c r="GL32" s="95">
        <f>SUMIFS(营销场景数据源!$U:$U,营销场景数据源!$C:$C,$B$29,营销场景数据源!$A:$A,GL2)</f>
        <v>0</v>
      </c>
      <c r="GM32" s="95">
        <f>SUMIFS(营销场景数据源!$U:$U,营销场景数据源!$C:$C,$B$29,营销场景数据源!$A:$A,GM2)</f>
        <v>0</v>
      </c>
      <c r="GN32" s="95">
        <f>SUMIFS(营销场景数据源!$U:$U,营销场景数据源!$C:$C,$B$29,营销场景数据源!$A:$A,GN2)</f>
        <v>0</v>
      </c>
      <c r="GO32" s="95">
        <f>SUMIFS(营销场景数据源!$U:$U,营销场景数据源!$C:$C,$B$29,营销场景数据源!$A:$A,GO2)</f>
        <v>0</v>
      </c>
      <c r="GP32" s="95">
        <f>SUMIFS(营销场景数据源!$U:$U,营销场景数据源!$C:$C,$B$29,营销场景数据源!$A:$A,GP2)</f>
        <v>0</v>
      </c>
    </row>
    <row r="33" ht="15" customHeight="1" spans="1:198">
      <c r="A33" s="107"/>
      <c r="B33" s="103"/>
      <c r="C33" s="104" t="s">
        <v>26</v>
      </c>
      <c r="D33" s="94" t="e">
        <f>SUM(E33:P33)</f>
        <v>#REF!</v>
      </c>
      <c r="E33" s="105" t="e">
        <f>#REF!</f>
        <v>#REF!</v>
      </c>
      <c r="F33" s="105" t="e">
        <f>#REF!</f>
        <v>#REF!</v>
      </c>
      <c r="G33" s="105" t="e">
        <f>#REF!</f>
        <v>#REF!</v>
      </c>
      <c r="H33" s="105" t="e">
        <f>#REF!</f>
        <v>#REF!</v>
      </c>
      <c r="I33" s="105" t="e">
        <f>#REF!</f>
        <v>#REF!</v>
      </c>
      <c r="J33" s="105" t="e">
        <f>#REF!</f>
        <v>#REF!</v>
      </c>
      <c r="K33" s="105" t="e">
        <f>#REF!</f>
        <v>#REF!</v>
      </c>
      <c r="L33" s="105" t="e">
        <f>#REF!</f>
        <v>#REF!</v>
      </c>
      <c r="M33" s="105" t="e">
        <f>#REF!</f>
        <v>#REF!</v>
      </c>
      <c r="N33" s="105" t="e">
        <f>#REF!</f>
        <v>#REF!</v>
      </c>
      <c r="O33" s="105" t="e">
        <f>#REF!</f>
        <v>#REF!</v>
      </c>
      <c r="P33" s="105" t="e">
        <f>#REF!</f>
        <v>#REF!</v>
      </c>
      <c r="Q33" s="65">
        <f>SUM(R33:AV33)</f>
        <v>3334.85</v>
      </c>
      <c r="R33" s="95">
        <f>SUMIFS(营销场景数据源!$T:$T,营销场景数据源!$C:$C,$B$29,营销场景数据源!$A:$A,R2)</f>
        <v>338.3</v>
      </c>
      <c r="S33" s="95">
        <f>SUMIFS(营销场景数据源!$T:$T,营销场景数据源!$C:$C,$B$29,营销场景数据源!$A:$A,S2)</f>
        <v>82.17</v>
      </c>
      <c r="T33" s="95">
        <f>SUMIFS(营销场景数据源!$T:$T,营销场景数据源!$C:$C,$B$29,营销场景数据源!$A:$A,T2)</f>
        <v>24.65</v>
      </c>
      <c r="U33" s="95">
        <f>SUMIFS(营销场景数据源!$T:$T,营销场景数据源!$C:$C,$B$29,营销场景数据源!$A:$A,U2)</f>
        <v>0</v>
      </c>
      <c r="V33" s="95">
        <f>SUMIFS(营销场景数据源!$T:$T,营销场景数据源!$C:$C,$B$29,营销场景数据源!$A:$A,V2)</f>
        <v>278.8</v>
      </c>
      <c r="W33" s="95">
        <f>SUMIFS(营销场景数据源!$T:$T,营销场景数据源!$C:$C,$B$29,营销场景数据源!$A:$A,W2)</f>
        <v>0</v>
      </c>
      <c r="X33" s="95">
        <f>SUMIFS(营销场景数据源!$T:$T,营销场景数据源!$C:$C,$B$29,营销场景数据源!$A:$A,X2)</f>
        <v>0</v>
      </c>
      <c r="Y33" s="95">
        <f>SUMIFS(营销场景数据源!$T:$T,营销场景数据源!$C:$C,$B$29,营销场景数据源!$A:$A,Y2)</f>
        <v>0</v>
      </c>
      <c r="Z33" s="95">
        <f>SUMIFS(营销场景数据源!$T:$T,营销场景数据源!$C:$C,$B$29,营销场景数据源!$A:$A,Z2)</f>
        <v>0</v>
      </c>
      <c r="AA33" s="95">
        <f>SUMIFS(营销场景数据源!$T:$T,营销场景数据源!$C:$C,$B$29,营销场景数据源!$A:$A,AA2)</f>
        <v>0</v>
      </c>
      <c r="AB33" s="95">
        <f>SUMIFS(营销场景数据源!$T:$T,营销场景数据源!$C:$C,$B$29,营销场景数据源!$A:$A,AB2)</f>
        <v>787.1</v>
      </c>
      <c r="AC33" s="95">
        <f>SUMIFS(营销场景数据源!$T:$T,营销场景数据源!$C:$C,$B$29,营销场景数据源!$A:$A,AC2)</f>
        <v>26.46</v>
      </c>
      <c r="AD33" s="95">
        <f>SUMIFS(营销场景数据源!$T:$T,营销场景数据源!$C:$C,$B$29,营销场景数据源!$A:$A,AD2)</f>
        <v>59.86</v>
      </c>
      <c r="AE33" s="95">
        <f>SUMIFS(营销场景数据源!$T:$T,营销场景数据源!$C:$C,$B$29,营销场景数据源!$A:$A,AE2)</f>
        <v>339.15</v>
      </c>
      <c r="AF33" s="95">
        <f>SUMIFS(营销场景数据源!$T:$T,营销场景数据源!$C:$C,$B$29,营销场景数据源!$A:$A,AF2)</f>
        <v>0</v>
      </c>
      <c r="AG33" s="95">
        <f>SUMIFS(营销场景数据源!$T:$T,营销场景数据源!$C:$C,$B$29,营销场景数据源!$A:$A,AG2)</f>
        <v>0</v>
      </c>
      <c r="AH33" s="95">
        <f>SUMIFS(营销场景数据源!$T:$T,营销场景数据源!$C:$C,$B$29,营销场景数据源!$A:$A,AH2)</f>
        <v>0</v>
      </c>
      <c r="AI33" s="95">
        <f>SUMIFS(营销场景数据源!$T:$T,营销场景数据源!$C:$C,$B$29,营销场景数据源!$A:$A,AI2)</f>
        <v>576.85</v>
      </c>
      <c r="AJ33" s="95">
        <f>SUMIFS(营销场景数据源!$T:$T,营销场景数据源!$C:$C,$B$29,营销场景数据源!$A:$A,AJ2)</f>
        <v>0</v>
      </c>
      <c r="AK33" s="95">
        <f>SUMIFS(营销场景数据源!$T:$T,营销场景数据源!$C:$C,$B$29,营销场景数据源!$A:$A,AK2)</f>
        <v>0</v>
      </c>
      <c r="AL33" s="95">
        <f>SUMIFS(营销场景数据源!$T:$T,营销场景数据源!$C:$C,$B$29,营销场景数据源!$A:$A,AL2)</f>
        <v>0</v>
      </c>
      <c r="AM33" s="95">
        <f>SUMIFS(营销场景数据源!$T:$T,营销场景数据源!$C:$C,$B$29,营销场景数据源!$A:$A,AM2)</f>
        <v>0</v>
      </c>
      <c r="AN33" s="95">
        <f>SUMIFS(营销场景数据源!$T:$T,营销场景数据源!$C:$C,$B$29,营销场景数据源!$A:$A,AN2)</f>
        <v>0</v>
      </c>
      <c r="AO33" s="95">
        <f>SUMIFS(营销场景数据源!$T:$T,营销场景数据源!$C:$C,$B$29,营销场景数据源!$A:$A,AO2)</f>
        <v>117.74</v>
      </c>
      <c r="AP33" s="95">
        <f>SUMIFS(营销场景数据源!$T:$T,营销场景数据源!$C:$C,$B$29,营销场景数据源!$A:$A,AP2)</f>
        <v>0</v>
      </c>
      <c r="AQ33" s="95">
        <f>SUMIFS(营销场景数据源!$T:$T,营销场景数据源!$C:$C,$B$29,营销场景数据源!$A:$A,AQ2)</f>
        <v>71.13</v>
      </c>
      <c r="AR33" s="95">
        <f>SUMIFS(营销场景数据源!$T:$T,营销场景数据源!$C:$C,$B$29,营销场景数据源!$A:$A,AR2)</f>
        <v>73.6</v>
      </c>
      <c r="AS33" s="95">
        <f>SUMIFS(营销场景数据源!$T:$T,营销场景数据源!$C:$C,$B$29,营销场景数据源!$A:$A,AS2)</f>
        <v>0</v>
      </c>
      <c r="AT33" s="95">
        <f>SUMIFS(营销场景数据源!$T:$T,营销场景数据源!$C:$C,$B$29,营销场景数据源!$A:$A,AT2)</f>
        <v>559.04</v>
      </c>
      <c r="AU33" s="95">
        <f>SUMIFS(营销场景数据源!$T:$T,营销场景数据源!$C:$C,$B$29,营销场景数据源!$A:$A,AU2)</f>
        <v>0</v>
      </c>
      <c r="AV33" s="95">
        <f>SUMIFS(营销场景数据源!$T:$T,营销场景数据源!$C:$C,$B$29,营销场景数据源!$A:$A,AV2)</f>
        <v>0</v>
      </c>
      <c r="AW33" s="65">
        <f>SUM(AX33:BY33)</f>
        <v>78.85</v>
      </c>
      <c r="AX33" s="95">
        <f>SUMIFS(营销场景数据源!$T:$T,营销场景数据源!$C:$C,$B$29,营销场景数据源!$A:$A,AX2)</f>
        <v>0</v>
      </c>
      <c r="AY33" s="95">
        <f>SUMIFS(营销场景数据源!$T:$T,营销场景数据源!$C:$C,$B$29,营销场景数据源!$A:$A,AY2)</f>
        <v>0</v>
      </c>
      <c r="AZ33" s="95">
        <f>SUMIFS(营销场景数据源!$T:$T,营销场景数据源!$C:$C,$B$29,营销场景数据源!$A:$A,AZ2)</f>
        <v>51.4</v>
      </c>
      <c r="BA33" s="95">
        <f>SUMIFS(营销场景数据源!$T:$T,营销场景数据源!$C:$C,$B$29,营销场景数据源!$A:$A,BA2)</f>
        <v>27.45</v>
      </c>
      <c r="BB33" s="95">
        <f>SUMIFS(营销场景数据源!$T:$T,营销场景数据源!$C:$C,$B$29,营销场景数据源!$A:$A,BB2)</f>
        <v>0</v>
      </c>
      <c r="BC33" s="95">
        <f>SUMIFS(营销场景数据源!$T:$T,营销场景数据源!$C:$C,$B$29,营销场景数据源!$A:$A,BC2)</f>
        <v>0</v>
      </c>
      <c r="BD33" s="95">
        <f>SUMIFS(营销场景数据源!$T:$T,营销场景数据源!$C:$C,$B$29,营销场景数据源!$A:$A,BD2)</f>
        <v>0</v>
      </c>
      <c r="BE33" s="95">
        <f>SUMIFS(营销场景数据源!$T:$T,营销场景数据源!$C:$C,$B$29,营销场景数据源!$A:$A,BE2)</f>
        <v>0</v>
      </c>
      <c r="BF33" s="95">
        <f>SUMIFS(营销场景数据源!$T:$T,营销场景数据源!$C:$C,$B$29,营销场景数据源!$A:$A,BF2)</f>
        <v>0</v>
      </c>
      <c r="BG33" s="95">
        <f>SUMIFS(营销场景数据源!$T:$T,营销场景数据源!$C:$C,$B$29,营销场景数据源!$A:$A,BG2)</f>
        <v>0</v>
      </c>
      <c r="BH33" s="95">
        <f>SUMIFS(营销场景数据源!$T:$T,营销场景数据源!$C:$C,$B$29,营销场景数据源!$A:$A,BH2)</f>
        <v>0</v>
      </c>
      <c r="BI33" s="95">
        <f>SUMIFS(营销场景数据源!$T:$T,营销场景数据源!$C:$C,$B$29,营销场景数据源!$A:$A,BI2)</f>
        <v>0</v>
      </c>
      <c r="BJ33" s="95">
        <f>SUMIFS(营销场景数据源!$T:$T,营销场景数据源!$C:$C,$B$29,营销场景数据源!$A:$A,BJ2)</f>
        <v>0</v>
      </c>
      <c r="BK33" s="95">
        <f>SUMIFS(营销场景数据源!$T:$T,营销场景数据源!$C:$C,$B$29,营销场景数据源!$A:$A,BK2)</f>
        <v>0</v>
      </c>
      <c r="BL33" s="95">
        <f>SUMIFS(营销场景数据源!$T:$T,营销场景数据源!$C:$C,$B$29,营销场景数据源!$A:$A,BL2)</f>
        <v>0</v>
      </c>
      <c r="BM33" s="95">
        <f>SUMIFS(营销场景数据源!$T:$T,营销场景数据源!$C:$C,$B$29,营销场景数据源!$A:$A,BM2)</f>
        <v>0</v>
      </c>
      <c r="BN33" s="95">
        <f>SUMIFS(营销场景数据源!$T:$T,营销场景数据源!$C:$C,$B$29,营销场景数据源!$A:$A,BN2)</f>
        <v>0</v>
      </c>
      <c r="BO33" s="95">
        <f>SUMIFS(营销场景数据源!$T:$T,营销场景数据源!$C:$C,$B$29,营销场景数据源!$A:$A,BO2)</f>
        <v>0</v>
      </c>
      <c r="BP33" s="95">
        <f>SUMIFS(营销场景数据源!$T:$T,营销场景数据源!$C:$C,$B$29,营销场景数据源!$A:$A,BP2)</f>
        <v>0</v>
      </c>
      <c r="BQ33" s="95">
        <f>SUMIFS(营销场景数据源!$T:$T,营销场景数据源!$C:$C,$B$29,营销场景数据源!$A:$A,BQ2)</f>
        <v>0</v>
      </c>
      <c r="BR33" s="95">
        <f>SUMIFS(营销场景数据源!$T:$T,营销场景数据源!$C:$C,$B$29,营销场景数据源!$A:$A,BR2)</f>
        <v>0</v>
      </c>
      <c r="BS33" s="95">
        <f>SUMIFS(营销场景数据源!$T:$T,营销场景数据源!$C:$C,$B$29,营销场景数据源!$A:$A,BS2)</f>
        <v>0</v>
      </c>
      <c r="BT33" s="95">
        <f>SUMIFS(营销场景数据源!$T:$T,营销场景数据源!$C:$C,$B$29,营销场景数据源!$A:$A,BT2)</f>
        <v>0</v>
      </c>
      <c r="BU33" s="95">
        <f>SUMIFS(营销场景数据源!$T:$T,营销场景数据源!$C:$C,$B$29,营销场景数据源!$A:$A,BU2)</f>
        <v>0</v>
      </c>
      <c r="BV33" s="95">
        <f>SUMIFS(营销场景数据源!$T:$T,营销场景数据源!$C:$C,$B$29,营销场景数据源!$A:$A,BV2)</f>
        <v>0</v>
      </c>
      <c r="BW33" s="95">
        <f>SUMIFS(营销场景数据源!$T:$T,营销场景数据源!$C:$C,$B$29,营销场景数据源!$A:$A,BW2)</f>
        <v>0</v>
      </c>
      <c r="BX33" s="95">
        <f>SUMIFS(营销场景数据源!$T:$T,营销场景数据源!$C:$C,$B$29,营销场景数据源!$A:$A,BX2)</f>
        <v>0</v>
      </c>
      <c r="BY33" s="95">
        <f>SUMIFS(营销场景数据源!$T:$T,营销场景数据源!$C:$C,$B$29,营销场景数据源!$A:$A,BY2)</f>
        <v>0</v>
      </c>
      <c r="BZ33" s="65">
        <f>SUM(CA33:DE33)</f>
        <v>0</v>
      </c>
      <c r="CA33" s="95">
        <f>SUMIFS(营销场景数据源!$T:$T,营销场景数据源!$C:$C,$B$29,营销场景数据源!$A:$A,CA2)</f>
        <v>0</v>
      </c>
      <c r="CB33" s="95">
        <f>SUMIFS(营销场景数据源!$T:$T,营销场景数据源!$C:$C,$B$29,营销场景数据源!$A:$A,CB2)</f>
        <v>0</v>
      </c>
      <c r="CC33" s="95">
        <f>SUMIFS(营销场景数据源!$T:$T,营销场景数据源!$C:$C,$B$29,营销场景数据源!$A:$A,CC2)</f>
        <v>0</v>
      </c>
      <c r="CD33" s="95">
        <f>SUMIFS(营销场景数据源!$T:$T,营销场景数据源!$C:$C,$B$29,营销场景数据源!$A:$A,CD2)</f>
        <v>0</v>
      </c>
      <c r="CE33" s="95">
        <f>SUMIFS(营销场景数据源!$T:$T,营销场景数据源!$C:$C,$B$29,营销场景数据源!$A:$A,CE2)</f>
        <v>0</v>
      </c>
      <c r="CF33" s="95">
        <f>SUMIFS(营销场景数据源!$T:$T,营销场景数据源!$C:$C,$B$29,营销场景数据源!$A:$A,CF2)</f>
        <v>0</v>
      </c>
      <c r="CG33" s="95">
        <f>SUMIFS(营销场景数据源!$T:$T,营销场景数据源!$C:$C,$B$29,营销场景数据源!$A:$A,CG2)</f>
        <v>0</v>
      </c>
      <c r="CH33" s="95">
        <f>SUMIFS(营销场景数据源!$T:$T,营销场景数据源!$C:$C,$B$29,营销场景数据源!$A:$A,CH2)</f>
        <v>0</v>
      </c>
      <c r="CI33" s="95">
        <f>SUMIFS(营销场景数据源!$T:$T,营销场景数据源!$C:$C,$B$29,营销场景数据源!$A:$A,CI2)</f>
        <v>0</v>
      </c>
      <c r="CJ33" s="95">
        <f>SUMIFS(营销场景数据源!$T:$T,营销场景数据源!$C:$C,$B$29,营销场景数据源!$A:$A,CJ2)</f>
        <v>0</v>
      </c>
      <c r="CK33" s="95">
        <f>SUMIFS(营销场景数据源!$T:$T,营销场景数据源!$C:$C,$B$29,营销场景数据源!$A:$A,CK2)</f>
        <v>0</v>
      </c>
      <c r="CL33" s="95">
        <f>SUMIFS(营销场景数据源!$T:$T,营销场景数据源!$C:$C,$B$29,营销场景数据源!$A:$A,CL2)</f>
        <v>0</v>
      </c>
      <c r="CM33" s="95">
        <f>SUMIFS(营销场景数据源!$T:$T,营销场景数据源!$C:$C,$B$29,营销场景数据源!$A:$A,CM2)</f>
        <v>0</v>
      </c>
      <c r="CN33" s="95">
        <f>SUMIFS(营销场景数据源!$T:$T,营销场景数据源!$C:$C,$B$29,营销场景数据源!$A:$A,CN2)</f>
        <v>0</v>
      </c>
      <c r="CO33" s="95">
        <f>SUMIFS(营销场景数据源!$T:$T,营销场景数据源!$C:$C,$B$29,营销场景数据源!$A:$A,CO2)</f>
        <v>0</v>
      </c>
      <c r="CP33" s="95">
        <f>SUMIFS(营销场景数据源!$T:$T,营销场景数据源!$C:$C,$B$29,营销场景数据源!$A:$A,CP2)</f>
        <v>0</v>
      </c>
      <c r="CQ33" s="95">
        <f>SUMIFS(营销场景数据源!$T:$T,营销场景数据源!$C:$C,$B$29,营销场景数据源!$A:$A,CQ2)</f>
        <v>0</v>
      </c>
      <c r="CR33" s="95">
        <f>SUMIFS(营销场景数据源!$T:$T,营销场景数据源!$C:$C,$B$29,营销场景数据源!$A:$A,CR2)</f>
        <v>0</v>
      </c>
      <c r="CS33" s="95">
        <f>SUMIFS(营销场景数据源!$T:$T,营销场景数据源!$C:$C,$B$29,营销场景数据源!$A:$A,CS2)</f>
        <v>0</v>
      </c>
      <c r="CT33" s="95">
        <f>SUMIFS(营销场景数据源!$T:$T,营销场景数据源!$C:$C,$B$29,营销场景数据源!$A:$A,CT2)</f>
        <v>0</v>
      </c>
      <c r="CU33" s="95">
        <f>SUMIFS(营销场景数据源!$T:$T,营销场景数据源!$C:$C,$B$29,营销场景数据源!$A:$A,CU2)</f>
        <v>0</v>
      </c>
      <c r="CV33" s="95">
        <f>SUMIFS(营销场景数据源!$T:$T,营销场景数据源!$C:$C,$B$29,营销场景数据源!$A:$A,CV2)</f>
        <v>0</v>
      </c>
      <c r="CW33" s="95">
        <f>SUMIFS(营销场景数据源!$T:$T,营销场景数据源!$C:$C,$B$29,营销场景数据源!$A:$A,CW2)</f>
        <v>0</v>
      </c>
      <c r="CX33" s="95">
        <f>SUMIFS(营销场景数据源!$T:$T,营销场景数据源!$C:$C,$B$29,营销场景数据源!$A:$A,CX2)</f>
        <v>0</v>
      </c>
      <c r="CY33" s="95">
        <f>SUMIFS(营销场景数据源!$T:$T,营销场景数据源!$C:$C,$B$29,营销场景数据源!$A:$A,CY2)</f>
        <v>0</v>
      </c>
      <c r="CZ33" s="95">
        <f>SUMIFS(营销场景数据源!$T:$T,营销场景数据源!$C:$C,$B$29,营销场景数据源!$A:$A,CZ2)</f>
        <v>0</v>
      </c>
      <c r="DA33" s="95">
        <f>SUMIFS(营销场景数据源!$T:$T,营销场景数据源!$C:$C,$B$29,营销场景数据源!$A:$A,DA2)</f>
        <v>0</v>
      </c>
      <c r="DB33" s="95">
        <f>SUMIFS(营销场景数据源!$T:$T,营销场景数据源!$C:$C,$B$29,营销场景数据源!$A:$A,DB2)</f>
        <v>0</v>
      </c>
      <c r="DC33" s="95">
        <f>SUMIFS(营销场景数据源!$T:$T,营销场景数据源!$C:$C,$B$29,营销场景数据源!$A:$A,DC2)</f>
        <v>0</v>
      </c>
      <c r="DD33" s="95">
        <f>SUMIFS(营销场景数据源!$T:$T,营销场景数据源!$C:$C,$B$29,营销场景数据源!$A:$A,DD2)</f>
        <v>0</v>
      </c>
      <c r="DE33" s="95">
        <f>SUMIFS(营销场景数据源!$T:$T,营销场景数据源!$C:$C,$B$29,营销场景数据源!$A:$A,DE2)</f>
        <v>0</v>
      </c>
      <c r="DF33" s="65">
        <f>SUM(DG33:EJ33)</f>
        <v>5325.16</v>
      </c>
      <c r="DG33" s="95">
        <f>SUMIFS(营销场景数据源!$T:$T,营销场景数据源!$C:$C,$B$29,营销场景数据源!$A:$A,DG2)</f>
        <v>0</v>
      </c>
      <c r="DH33" s="95">
        <f>SUMIFS(营销场景数据源!$T:$T,营销场景数据源!$C:$C,$B$29,营销场景数据源!$A:$A,DH2)</f>
        <v>0</v>
      </c>
      <c r="DI33" s="95">
        <f>SUMIFS(营销场景数据源!$T:$T,营销场景数据源!$C:$C,$B$29,营销场景数据源!$A:$A,DI2)</f>
        <v>0</v>
      </c>
      <c r="DJ33" s="95">
        <f>SUMIFS(营销场景数据源!$T:$T,营销场景数据源!$C:$C,$B$29,营销场景数据源!$A:$A,DJ2)</f>
        <v>0</v>
      </c>
      <c r="DK33" s="95">
        <f>SUMIFS(营销场景数据源!$T:$T,营销场景数据源!$C:$C,$B$29,营销场景数据源!$A:$A,DK2)</f>
        <v>709.86</v>
      </c>
      <c r="DL33" s="95">
        <f>SUMIFS(营销场景数据源!$T:$T,营销场景数据源!$C:$C,$B$29,营销场景数据源!$A:$A,DL2)</f>
        <v>0</v>
      </c>
      <c r="DM33" s="95">
        <f>SUMIFS(营销场景数据源!$T:$T,营销场景数据源!$C:$C,$B$29,营销场景数据源!$A:$A,DM2)</f>
        <v>43.9</v>
      </c>
      <c r="DN33" s="95">
        <f>SUMIFS(营销场景数据源!$T:$T,营销场景数据源!$C:$C,$B$29,营销场景数据源!$A:$A,DN2)</f>
        <v>233.93</v>
      </c>
      <c r="DO33" s="95">
        <f>SUMIFS(营销场景数据源!$T:$T,营销场景数据源!$C:$C,$B$29,营销场景数据源!$A:$A,DO2)</f>
        <v>233.93</v>
      </c>
      <c r="DP33" s="95">
        <f>SUMIFS(营销场景数据源!$T:$T,营销场景数据源!$C:$C,$B$29,营销场景数据源!$A:$A,DP2)</f>
        <v>0</v>
      </c>
      <c r="DQ33" s="95">
        <f>SUMIFS(营销场景数据源!$T:$T,营销场景数据源!$C:$C,$B$29,营销场景数据源!$A:$A,DQ2)</f>
        <v>202.4</v>
      </c>
      <c r="DR33" s="95">
        <f>SUMIFS(营销场景数据源!$T:$T,营销场景数据源!$C:$C,$B$29,营销场景数据源!$A:$A,DR2)</f>
        <v>0</v>
      </c>
      <c r="DS33" s="95">
        <f>SUMIFS(营销场景数据源!$T:$T,营销场景数据源!$C:$C,$B$29,营销场景数据源!$A:$A,DS2)</f>
        <v>0</v>
      </c>
      <c r="DT33" s="95">
        <f>SUMIFS(营销场景数据源!$T:$T,营销场景数据源!$C:$C,$B$29,营销场景数据源!$A:$A,DT2)</f>
        <v>0</v>
      </c>
      <c r="DU33" s="95">
        <f>SUMIFS(营销场景数据源!$T:$T,营销场景数据源!$C:$C,$B$29,营销场景数据源!$A:$A,DU2)</f>
        <v>138.6</v>
      </c>
      <c r="DV33" s="95">
        <f>SUMIFS(营销场景数据源!$T:$T,营销场景数据源!$C:$C,$B$29,营销场景数据源!$A:$A,DV2)</f>
        <v>445.37</v>
      </c>
      <c r="DW33" s="95">
        <f>SUMIFS(营销场景数据源!$T:$T,营销场景数据源!$C:$C,$B$29,营销场景数据源!$A:$A,DW2)</f>
        <v>515.21</v>
      </c>
      <c r="DX33" s="95">
        <f>SUMIFS(营销场景数据源!$T:$T,营销场景数据源!$C:$C,$B$29,营销场景数据源!$A:$A,DX2)</f>
        <v>0</v>
      </c>
      <c r="DY33" s="95">
        <f>SUMIFS(营销场景数据源!$T:$T,营销场景数据源!$C:$C,$B$29,营销场景数据源!$A:$A,DY2)</f>
        <v>0</v>
      </c>
      <c r="DZ33" s="95">
        <f>SUMIFS(营销场景数据源!$T:$T,营销场景数据源!$C:$C,$B$29,营销场景数据源!$A:$A,DZ2)</f>
        <v>0</v>
      </c>
      <c r="EA33" s="95">
        <f>SUMIFS(营销场景数据源!$T:$T,营销场景数据源!$C:$C,$B$29,营销场景数据源!$A:$A,EA2)</f>
        <v>0</v>
      </c>
      <c r="EB33" s="95">
        <f>SUMIFS(营销场景数据源!$T:$T,营销场景数据源!$C:$C,$B$29,营销场景数据源!$A:$A,EB2)</f>
        <v>1274.7</v>
      </c>
      <c r="EC33" s="95">
        <f>SUMIFS(营销场景数据源!$T:$T,营销场景数据源!$C:$C,$B$29,营销场景数据源!$A:$A,EC2)</f>
        <v>330.19</v>
      </c>
      <c r="ED33" s="95">
        <f>SUMIFS(营销场景数据源!$T:$T,营销场景数据源!$C:$C,$B$29,营销场景数据源!$A:$A,ED2)</f>
        <v>0</v>
      </c>
      <c r="EE33" s="95">
        <f>SUMIFS(营销场景数据源!$T:$T,营销场景数据源!$C:$C,$B$29,营销场景数据源!$A:$A,EE2)</f>
        <v>143.64</v>
      </c>
      <c r="EF33" s="95">
        <f>SUMIFS(营销场景数据源!$T:$T,营销场景数据源!$C:$C,$B$29,营销场景数据源!$A:$A,EF2)</f>
        <v>0</v>
      </c>
      <c r="EG33" s="95">
        <f>SUMIFS(营销场景数据源!$T:$T,营销场景数据源!$C:$C,$B$29,营销场景数据源!$A:$A,EG2)</f>
        <v>0</v>
      </c>
      <c r="EH33" s="95">
        <f>SUMIFS(营销场景数据源!$T:$T,营销场景数据源!$C:$C,$B$29,营销场景数据源!$A:$A,EH2)</f>
        <v>306.36</v>
      </c>
      <c r="EI33" s="95">
        <f>SUMIFS(营销场景数据源!$T:$T,营销场景数据源!$C:$C,$B$29,营销场景数据源!$A:$A,EI2)</f>
        <v>747.07</v>
      </c>
      <c r="EJ33" s="95">
        <f>SUMIFS(营销场景数据源!$T:$T,营销场景数据源!$C:$C,$B$29,营销场景数据源!$A:$A,EJ2)</f>
        <v>0</v>
      </c>
      <c r="EK33" s="65">
        <f>SUM(EL33:FP33)</f>
        <v>1704.15</v>
      </c>
      <c r="EL33" s="95">
        <f>SUMIFS(营销场景数据源!$T:$T,营销场景数据源!$C:$C,$B$29,营销场景数据源!$A:$A,EL2)</f>
        <v>0</v>
      </c>
      <c r="EM33" s="95">
        <f>SUMIFS(营销场景数据源!$T:$T,营销场景数据源!$C:$C,$B$29,营销场景数据源!$A:$A,EM2)</f>
        <v>0</v>
      </c>
      <c r="EN33" s="95">
        <f>SUMIFS(营销场景数据源!$T:$T,营销场景数据源!$C:$C,$B$29,营销场景数据源!$A:$A,EN2)</f>
        <v>0</v>
      </c>
      <c r="EO33" s="95">
        <f>SUMIFS(营销场景数据源!$T:$T,营销场景数据源!$C:$C,$B$29,营销场景数据源!$A:$A,EO2)</f>
        <v>0</v>
      </c>
      <c r="EP33" s="95">
        <f>SUMIFS(营销场景数据源!$T:$T,营销场景数据源!$C:$C,$B$29,营销场景数据源!$A:$A,EP2)</f>
        <v>0</v>
      </c>
      <c r="EQ33" s="95">
        <f>SUMIFS(营销场景数据源!$T:$T,营销场景数据源!$C:$C,$B$29,营销场景数据源!$A:$A,EQ2)</f>
        <v>355.38</v>
      </c>
      <c r="ER33" s="95">
        <f>SUMIFS(营销场景数据源!$T:$T,营销场景数据源!$C:$C,$B$29,营销场景数据源!$A:$A,ER2)</f>
        <v>0</v>
      </c>
      <c r="ES33" s="95">
        <f>SUMIFS(营销场景数据源!$T:$T,营销场景数据源!$C:$C,$B$29,营销场景数据源!$A:$A,ES2)</f>
        <v>0</v>
      </c>
      <c r="ET33" s="95">
        <f>SUMIFS(营销场景数据源!$T:$T,营销场景数据源!$C:$C,$B$29,营销场景数据源!$A:$A,ET2)</f>
        <v>0</v>
      </c>
      <c r="EU33" s="95">
        <f>SUMIFS(营销场景数据源!$T:$T,营销场景数据源!$C:$C,$B$29,营销场景数据源!$A:$A,EU2)</f>
        <v>0</v>
      </c>
      <c r="EV33" s="95">
        <f>SUMIFS(营销场景数据源!$T:$T,营销场景数据源!$C:$C,$B$29,营销场景数据源!$A:$A,EV2)</f>
        <v>0</v>
      </c>
      <c r="EW33" s="95">
        <f>SUMIFS(营销场景数据源!$T:$T,营销场景数据源!$C:$C,$B$29,营销场景数据源!$A:$A,EW2)</f>
        <v>0</v>
      </c>
      <c r="EX33" s="95">
        <f>SUMIFS(营销场景数据源!$T:$T,营销场景数据源!$C:$C,$B$29,营销场景数据源!$A:$A,EX2)</f>
        <v>0</v>
      </c>
      <c r="EY33" s="95">
        <f>SUMIFS(营销场景数据源!$T:$T,营销场景数据源!$C:$C,$B$29,营销场景数据源!$A:$A,EY2)</f>
        <v>0</v>
      </c>
      <c r="EZ33" s="95">
        <f>SUMIFS(营销场景数据源!$T:$T,营销场景数据源!$C:$C,$B$29,营销场景数据源!$A:$A,EZ2)</f>
        <v>0</v>
      </c>
      <c r="FA33" s="95">
        <f>SUMIFS(营销场景数据源!$T:$T,营销场景数据源!$C:$C,$B$29,营销场景数据源!$A:$A,FA2)</f>
        <v>0</v>
      </c>
      <c r="FB33" s="95">
        <f>SUMIFS(营销场景数据源!$T:$T,营销场景数据源!$C:$C,$B$29,营销场景数据源!$A:$A,FB2)</f>
        <v>0</v>
      </c>
      <c r="FC33" s="95">
        <f>SUMIFS(营销场景数据源!$T:$T,营销场景数据源!$C:$C,$B$29,营销场景数据源!$A:$A,FC2)</f>
        <v>192.93</v>
      </c>
      <c r="FD33" s="95">
        <f>SUMIFS(营销场景数据源!$T:$T,营销场景数据源!$C:$C,$B$29,营销场景数据源!$A:$A,FD2)</f>
        <v>15.72</v>
      </c>
      <c r="FE33" s="95">
        <f>SUMIFS(营销场景数据源!$T:$T,营销场景数据源!$C:$C,$B$29,营销场景数据源!$A:$A,FE2)</f>
        <v>425.48</v>
      </c>
      <c r="FF33" s="95">
        <f>SUMIFS(营销场景数据源!$T:$T,营销场景数据源!$C:$C,$B$29,营销场景数据源!$A:$A,FF2)</f>
        <v>0</v>
      </c>
      <c r="FG33" s="95">
        <f>SUMIFS(营销场景数据源!$T:$T,营销场景数据源!$C:$C,$B$29,营销场景数据源!$A:$A,FG2)</f>
        <v>0</v>
      </c>
      <c r="FH33" s="95">
        <f>SUMIFS(营销场景数据源!$T:$T,营销场景数据源!$C:$C,$B$29,营销场景数据源!$A:$A,FH2)</f>
        <v>40.91</v>
      </c>
      <c r="FI33" s="95">
        <f>SUMIFS(营销场景数据源!$T:$T,营销场景数据源!$C:$C,$B$29,营销场景数据源!$A:$A,FI2)</f>
        <v>0</v>
      </c>
      <c r="FJ33" s="95">
        <f>SUMIFS(营销场景数据源!$T:$T,营销场景数据源!$C:$C,$B$29,营销场景数据源!$A:$A,FJ2)</f>
        <v>311.2</v>
      </c>
      <c r="FK33" s="95">
        <f>SUMIFS(营销场景数据源!$T:$T,营销场景数据源!$C:$C,$B$29,营销场景数据源!$A:$A,FK2)</f>
        <v>0</v>
      </c>
      <c r="FL33" s="95">
        <f>SUMIFS(营销场景数据源!$T:$T,营销场景数据源!$C:$C,$B$29,营销场景数据源!$A:$A,FL2)</f>
        <v>0</v>
      </c>
      <c r="FM33" s="95">
        <f>SUMIFS(营销场景数据源!$T:$T,营销场景数据源!$C:$C,$B$29,营销场景数据源!$A:$A,FM2)</f>
        <v>362.53</v>
      </c>
      <c r="FN33" s="95">
        <f>SUMIFS(营销场景数据源!$T:$T,营销场景数据源!$C:$C,$B$29,营销场景数据源!$A:$A,FN2)</f>
        <v>0</v>
      </c>
      <c r="FO33" s="95">
        <f>SUMIFS(营销场景数据源!$T:$T,营销场景数据源!$C:$C,$B$29,营销场景数据源!$A:$A,FO2)</f>
        <v>0</v>
      </c>
      <c r="FP33" s="95">
        <f>SUMIFS(营销场景数据源!$T:$T,营销场景数据源!$C:$C,$B$29,营销场景数据源!$A:$A,FP2)</f>
        <v>0</v>
      </c>
      <c r="FQ33" s="65">
        <f t="shared" si="178"/>
        <v>1100.06</v>
      </c>
      <c r="FR33" s="95">
        <f>SUMIFS(营销场景数据源!$T:$T,营销场景数据源!$C:$C,$B$29,营销场景数据源!$A:$A,FR2)</f>
        <v>0</v>
      </c>
      <c r="FS33" s="95">
        <f>SUMIFS(营销场景数据源!$T:$T,营销场景数据源!$C:$C,$B$29,营销场景数据源!$A:$A,FS2)</f>
        <v>90</v>
      </c>
      <c r="FT33" s="95">
        <f>SUMIFS(营销场景数据源!$T:$T,营销场景数据源!$C:$C,$B$29,营销场景数据源!$A:$A,FT2)</f>
        <v>0</v>
      </c>
      <c r="FU33" s="95">
        <f>SUMIFS(营销场景数据源!$T:$T,营销场景数据源!$C:$C,$B$29,营销场景数据源!$A:$A,FU2)</f>
        <v>138.64</v>
      </c>
      <c r="FV33" s="95">
        <f>SUMIFS(营销场景数据源!$T:$T,营销场景数据源!$C:$C,$B$29,营销场景数据源!$A:$A,FV2)</f>
        <v>0</v>
      </c>
      <c r="FW33" s="95">
        <f>SUMIFS(营销场景数据源!$T:$T,营销场景数据源!$C:$C,$B$29,营销场景数据源!$A:$A,FW2)</f>
        <v>77.4</v>
      </c>
      <c r="FX33" s="95">
        <f>SUMIFS(营销场景数据源!$T:$T,营销场景数据源!$C:$C,$B$29,营销场景数据源!$A:$A,FX2)</f>
        <v>0</v>
      </c>
      <c r="FY33" s="95">
        <f>SUMIFS(营销场景数据源!$T:$T,营销场景数据源!$C:$C,$B$29,营销场景数据源!$A:$A,FY2)</f>
        <v>277.28</v>
      </c>
      <c r="FZ33" s="95">
        <f>SUMIFS(营销场景数据源!$T:$T,营销场景数据源!$C:$C,$B$29,营销场景数据源!$A:$A,FZ2)</f>
        <v>138.64</v>
      </c>
      <c r="GA33" s="95">
        <f>SUMIFS(营销场景数据源!$T:$T,营销场景数据源!$C:$C,$B$29,营销场景数据源!$A:$A,GA2)</f>
        <v>0</v>
      </c>
      <c r="GB33" s="95">
        <f>SUMIFS(营销场景数据源!$T:$T,营销场景数据源!$C:$C,$B$29,营销场景数据源!$A:$A,GB2)</f>
        <v>0</v>
      </c>
      <c r="GC33" s="95">
        <f>SUMIFS(营销场景数据源!$T:$T,营销场景数据源!$C:$C,$B$29,营销场景数据源!$A:$A,GC2)</f>
        <v>0</v>
      </c>
      <c r="GD33" s="95">
        <f>SUMIFS(营销场景数据源!$T:$T,营销场景数据源!$C:$C,$B$29,营销场景数据源!$A:$A,GD2)</f>
        <v>236.1</v>
      </c>
      <c r="GE33" s="95">
        <f>SUMIFS(营销场景数据源!$T:$T,营销场景数据源!$C:$C,$B$29,营销场景数据源!$A:$A,GE2)</f>
        <v>0</v>
      </c>
      <c r="GF33" s="95">
        <f>SUMIFS(营销场景数据源!$T:$T,营销场景数据源!$C:$C,$B$29,营销场景数据源!$A:$A,GF2)</f>
        <v>142</v>
      </c>
      <c r="GG33" s="95">
        <f>SUMIFS(营销场景数据源!$T:$T,营销场景数据源!$C:$C,$B$29,营销场景数据源!$A:$A,GG2)</f>
        <v>0</v>
      </c>
      <c r="GH33" s="95">
        <f>SUMIFS(营销场景数据源!$T:$T,营销场景数据源!$C:$C,$B$29,营销场景数据源!$A:$A,GH2)</f>
        <v>0</v>
      </c>
      <c r="GI33" s="95">
        <f>SUMIFS(营销场景数据源!$T:$T,营销场景数据源!$C:$C,$B$29,营销场景数据源!$A:$A,GI2)</f>
        <v>0</v>
      </c>
      <c r="GJ33" s="95">
        <f>SUMIFS(营销场景数据源!$T:$T,营销场景数据源!$C:$C,$B$29,营销场景数据源!$A:$A,GJ2)</f>
        <v>0</v>
      </c>
      <c r="GK33" s="95">
        <f>SUMIFS(营销场景数据源!$T:$T,营销场景数据源!$C:$C,$B$29,营销场景数据源!$A:$A,GK2)</f>
        <v>0</v>
      </c>
      <c r="GL33" s="95">
        <f>SUMIFS(营销场景数据源!$T:$T,营销场景数据源!$C:$C,$B$29,营销场景数据源!$A:$A,GL2)</f>
        <v>0</v>
      </c>
      <c r="GM33" s="95">
        <f>SUMIFS(营销场景数据源!$T:$T,营销场景数据源!$C:$C,$B$29,营销场景数据源!$A:$A,GM2)</f>
        <v>0</v>
      </c>
      <c r="GN33" s="95">
        <f>SUMIFS(营销场景数据源!$T:$T,营销场景数据源!$C:$C,$B$29,营销场景数据源!$A:$A,GN2)</f>
        <v>0</v>
      </c>
      <c r="GO33" s="95">
        <f>SUMIFS(营销场景数据源!$T:$T,营销场景数据源!$C:$C,$B$29,营销场景数据源!$A:$A,GO2)</f>
        <v>0</v>
      </c>
      <c r="GP33" s="95">
        <f>SUMIFS(营销场景数据源!$T:$T,营销场景数据源!$C:$C,$B$29,营销场景数据源!$A:$A,GP2)</f>
        <v>0</v>
      </c>
    </row>
    <row r="34" ht="15" customHeight="1" spans="1:198">
      <c r="A34" s="47"/>
      <c r="B34" s="103"/>
      <c r="C34" s="104" t="s">
        <v>22</v>
      </c>
      <c r="D34" s="97">
        <f t="shared" ref="D34:O34" si="179">IFERROR(D29/D30,0)</f>
        <v>0</v>
      </c>
      <c r="E34" s="99">
        <f t="shared" si="179"/>
        <v>0</v>
      </c>
      <c r="F34" s="99">
        <f t="shared" si="179"/>
        <v>0</v>
      </c>
      <c r="G34" s="99">
        <f t="shared" si="179"/>
        <v>0</v>
      </c>
      <c r="H34" s="99">
        <f t="shared" si="179"/>
        <v>0</v>
      </c>
      <c r="I34" s="99">
        <f t="shared" si="179"/>
        <v>0</v>
      </c>
      <c r="J34" s="99">
        <f t="shared" si="179"/>
        <v>0</v>
      </c>
      <c r="K34" s="99">
        <f t="shared" si="179"/>
        <v>0</v>
      </c>
      <c r="L34" s="99">
        <f t="shared" si="179"/>
        <v>0</v>
      </c>
      <c r="M34" s="99">
        <f t="shared" si="179"/>
        <v>0</v>
      </c>
      <c r="N34" s="99">
        <f t="shared" si="179"/>
        <v>0</v>
      </c>
      <c r="O34" s="99">
        <f t="shared" si="179"/>
        <v>0</v>
      </c>
      <c r="P34" s="99">
        <f t="shared" ref="P34:V34" si="180">IFERROR(P29/P30,0)</f>
        <v>0</v>
      </c>
      <c r="Q34" s="70">
        <f t="shared" si="180"/>
        <v>1.7960597826087</v>
      </c>
      <c r="R34" s="99">
        <f t="shared" si="180"/>
        <v>1.27897435897436</v>
      </c>
      <c r="S34" s="99">
        <f t="shared" ref="S34:AK34" si="181">IFERROR(S29/S30,0)</f>
        <v>0.922842105263158</v>
      </c>
      <c r="T34" s="99">
        <f t="shared" si="181"/>
        <v>1.08763779527559</v>
      </c>
      <c r="U34" s="99">
        <f t="shared" si="181"/>
        <v>1.47511811023622</v>
      </c>
      <c r="V34" s="99">
        <f t="shared" si="181"/>
        <v>1.18348214285714</v>
      </c>
      <c r="W34" s="99">
        <f t="shared" si="181"/>
        <v>2.06890410958904</v>
      </c>
      <c r="X34" s="99">
        <f t="shared" si="181"/>
        <v>1.55244444444444</v>
      </c>
      <c r="Y34" s="99">
        <f t="shared" si="181"/>
        <v>2.0609375</v>
      </c>
      <c r="Z34" s="99">
        <f t="shared" si="181"/>
        <v>2.05530864197531</v>
      </c>
      <c r="AA34" s="99">
        <f t="shared" si="181"/>
        <v>1.82471264367816</v>
      </c>
      <c r="AB34" s="99">
        <f t="shared" si="181"/>
        <v>1.84848837209302</v>
      </c>
      <c r="AC34" s="99">
        <f t="shared" si="181"/>
        <v>2.39724137931034</v>
      </c>
      <c r="AD34" s="99">
        <f t="shared" si="181"/>
        <v>2.0312676056338</v>
      </c>
      <c r="AE34" s="99">
        <f t="shared" si="181"/>
        <v>2.08209302325581</v>
      </c>
      <c r="AF34" s="99">
        <f t="shared" si="181"/>
        <v>1.7383950617284</v>
      </c>
      <c r="AG34" s="99">
        <f t="shared" si="181"/>
        <v>1.51</v>
      </c>
      <c r="AH34" s="99">
        <f t="shared" si="181"/>
        <v>1.52491525423729</v>
      </c>
      <c r="AI34" s="99">
        <f t="shared" si="181"/>
        <v>2.52718309859155</v>
      </c>
      <c r="AJ34" s="99">
        <f t="shared" si="181"/>
        <v>1.9605</v>
      </c>
      <c r="AK34" s="99">
        <f t="shared" si="181"/>
        <v>2.74294117647059</v>
      </c>
      <c r="AL34" s="99">
        <f t="shared" ref="AL34:BH34" si="182">IFERROR(AL29/AL30,0)</f>
        <v>1.98769230769231</v>
      </c>
      <c r="AM34" s="99">
        <f t="shared" si="182"/>
        <v>3.39444444444444</v>
      </c>
      <c r="AN34" s="99">
        <f t="shared" si="182"/>
        <v>2.12032258064516</v>
      </c>
      <c r="AO34" s="99">
        <f t="shared" si="182"/>
        <v>2.49035714285714</v>
      </c>
      <c r="AP34" s="99">
        <f t="shared" si="182"/>
        <v>1.82926829268293</v>
      </c>
      <c r="AQ34" s="99">
        <f t="shared" si="182"/>
        <v>3.138</v>
      </c>
      <c r="AR34" s="99">
        <f t="shared" si="182"/>
        <v>2.33542857142857</v>
      </c>
      <c r="AS34" s="99">
        <f t="shared" si="182"/>
        <v>2.84307692307692</v>
      </c>
      <c r="AT34" s="99">
        <f t="shared" si="182"/>
        <v>3.16142857142857</v>
      </c>
      <c r="AU34" s="99">
        <f t="shared" si="182"/>
        <v>2.34888888888889</v>
      </c>
      <c r="AV34" s="99">
        <f t="shared" si="182"/>
        <v>2.0588</v>
      </c>
      <c r="AW34" s="70">
        <f t="shared" si="182"/>
        <v>2.28655844155844</v>
      </c>
      <c r="AX34" s="99">
        <f t="shared" si="182"/>
        <v>2.55454545454545</v>
      </c>
      <c r="AY34" s="99">
        <f t="shared" si="182"/>
        <v>2.15107142857143</v>
      </c>
      <c r="AZ34" s="99">
        <f t="shared" si="182"/>
        <v>2.488</v>
      </c>
      <c r="BA34" s="99">
        <f t="shared" si="182"/>
        <v>2.81909090909091</v>
      </c>
      <c r="BB34" s="99">
        <f t="shared" si="182"/>
        <v>2.80533333333333</v>
      </c>
      <c r="BC34" s="99">
        <f t="shared" si="182"/>
        <v>1.9</v>
      </c>
      <c r="BD34" s="99">
        <f t="shared" si="182"/>
        <v>1.72157894736842</v>
      </c>
      <c r="BE34" s="99">
        <f t="shared" si="182"/>
        <v>1.84210526315789</v>
      </c>
      <c r="BF34" s="99">
        <f t="shared" si="182"/>
        <v>2.58</v>
      </c>
      <c r="BG34" s="99">
        <f t="shared" si="182"/>
        <v>2.86</v>
      </c>
      <c r="BH34" s="99">
        <f t="shared" si="182"/>
        <v>0</v>
      </c>
      <c r="BI34" s="99">
        <f t="shared" ref="BI34:BW34" si="183">IFERROR(BI29/BI30,0)</f>
        <v>0</v>
      </c>
      <c r="BJ34" s="99">
        <f t="shared" si="183"/>
        <v>0</v>
      </c>
      <c r="BK34" s="99">
        <f t="shared" si="183"/>
        <v>0</v>
      </c>
      <c r="BL34" s="99">
        <f t="shared" si="183"/>
        <v>0</v>
      </c>
      <c r="BM34" s="99">
        <f t="shared" si="183"/>
        <v>0</v>
      </c>
      <c r="BN34" s="99">
        <f t="shared" si="183"/>
        <v>0</v>
      </c>
      <c r="BO34" s="99">
        <f t="shared" si="183"/>
        <v>0</v>
      </c>
      <c r="BP34" s="99">
        <f t="shared" si="183"/>
        <v>0</v>
      </c>
      <c r="BQ34" s="99">
        <f t="shared" si="183"/>
        <v>0</v>
      </c>
      <c r="BR34" s="99">
        <f t="shared" si="183"/>
        <v>0</v>
      </c>
      <c r="BS34" s="99">
        <f t="shared" si="183"/>
        <v>0</v>
      </c>
      <c r="BT34" s="99">
        <f t="shared" si="183"/>
        <v>0</v>
      </c>
      <c r="BU34" s="99">
        <f t="shared" si="183"/>
        <v>0</v>
      </c>
      <c r="BV34" s="99">
        <f t="shared" si="183"/>
        <v>0</v>
      </c>
      <c r="BW34" s="99">
        <f t="shared" si="183"/>
        <v>0</v>
      </c>
      <c r="BX34" s="99">
        <f t="shared" ref="BX34:CH34" si="184">IFERROR(BX29/BX30,0)</f>
        <v>0</v>
      </c>
      <c r="BY34" s="99">
        <f t="shared" si="184"/>
        <v>0</v>
      </c>
      <c r="BZ34" s="70">
        <f t="shared" si="184"/>
        <v>0</v>
      </c>
      <c r="CA34" s="99">
        <f t="shared" si="184"/>
        <v>0</v>
      </c>
      <c r="CB34" s="99">
        <f t="shared" si="184"/>
        <v>0</v>
      </c>
      <c r="CC34" s="99">
        <f t="shared" si="184"/>
        <v>0</v>
      </c>
      <c r="CD34" s="99">
        <f t="shared" si="184"/>
        <v>0</v>
      </c>
      <c r="CE34" s="99">
        <f t="shared" si="184"/>
        <v>0</v>
      </c>
      <c r="CF34" s="99">
        <f t="shared" si="184"/>
        <v>0</v>
      </c>
      <c r="CG34" s="99">
        <f t="shared" si="184"/>
        <v>0</v>
      </c>
      <c r="CH34" s="99">
        <f t="shared" si="184"/>
        <v>0</v>
      </c>
      <c r="CI34" s="99">
        <f t="shared" ref="CI34:EH34" si="185">IFERROR(CI29/CI30,0)</f>
        <v>0</v>
      </c>
      <c r="CJ34" s="99">
        <f t="shared" si="185"/>
        <v>0</v>
      </c>
      <c r="CK34" s="99">
        <f t="shared" si="185"/>
        <v>0</v>
      </c>
      <c r="CL34" s="99">
        <f t="shared" si="185"/>
        <v>0</v>
      </c>
      <c r="CM34" s="99">
        <f t="shared" si="185"/>
        <v>0</v>
      </c>
      <c r="CN34" s="99">
        <f t="shared" si="185"/>
        <v>0</v>
      </c>
      <c r="CO34" s="99">
        <f t="shared" si="185"/>
        <v>0</v>
      </c>
      <c r="CP34" s="99">
        <f t="shared" si="185"/>
        <v>0</v>
      </c>
      <c r="CQ34" s="99">
        <f t="shared" si="185"/>
        <v>0</v>
      </c>
      <c r="CR34" s="99">
        <f t="shared" si="185"/>
        <v>0</v>
      </c>
      <c r="CS34" s="99">
        <f t="shared" si="185"/>
        <v>0</v>
      </c>
      <c r="CT34" s="99">
        <f t="shared" si="185"/>
        <v>0</v>
      </c>
      <c r="CU34" s="99">
        <f t="shared" si="185"/>
        <v>0</v>
      </c>
      <c r="CV34" s="99">
        <f t="shared" si="185"/>
        <v>0</v>
      </c>
      <c r="CW34" s="99">
        <f t="shared" si="185"/>
        <v>0</v>
      </c>
      <c r="CX34" s="99">
        <f t="shared" si="185"/>
        <v>0</v>
      </c>
      <c r="CY34" s="99">
        <f t="shared" si="185"/>
        <v>0</v>
      </c>
      <c r="CZ34" s="99">
        <f t="shared" si="185"/>
        <v>0</v>
      </c>
      <c r="DA34" s="99">
        <f t="shared" si="185"/>
        <v>0</v>
      </c>
      <c r="DB34" s="99">
        <f t="shared" si="185"/>
        <v>0</v>
      </c>
      <c r="DC34" s="99">
        <f t="shared" si="185"/>
        <v>0</v>
      </c>
      <c r="DD34" s="99">
        <f t="shared" si="185"/>
        <v>0</v>
      </c>
      <c r="DE34" s="99">
        <f t="shared" si="185"/>
        <v>0</v>
      </c>
      <c r="DF34" s="70">
        <f t="shared" si="185"/>
        <v>0.61805890227577</v>
      </c>
      <c r="DG34" s="99">
        <f t="shared" si="185"/>
        <v>0</v>
      </c>
      <c r="DH34" s="99">
        <f t="shared" si="185"/>
        <v>0</v>
      </c>
      <c r="DI34" s="99">
        <f t="shared" si="185"/>
        <v>1.246</v>
      </c>
      <c r="DJ34" s="99">
        <f t="shared" si="185"/>
        <v>1.85185185185185</v>
      </c>
      <c r="DK34" s="99">
        <f t="shared" si="185"/>
        <v>1.44</v>
      </c>
      <c r="DL34" s="99">
        <f t="shared" si="185"/>
        <v>2.17391304347826</v>
      </c>
      <c r="DM34" s="99">
        <f t="shared" si="185"/>
        <v>1.5625</v>
      </c>
      <c r="DN34" s="99">
        <f t="shared" si="185"/>
        <v>1.4297972972973</v>
      </c>
      <c r="DO34" s="99">
        <f t="shared" si="185"/>
        <v>1.06965174129353</v>
      </c>
      <c r="DP34" s="99">
        <f t="shared" si="185"/>
        <v>0.940921052631579</v>
      </c>
      <c r="DQ34" s="99">
        <f t="shared" si="185"/>
        <v>1.82609756097561</v>
      </c>
      <c r="DR34" s="99">
        <f t="shared" si="185"/>
        <v>0.413722222222222</v>
      </c>
      <c r="DS34" s="99">
        <f t="shared" si="185"/>
        <v>0.72865671641791</v>
      </c>
      <c r="DT34" s="99">
        <f t="shared" si="185"/>
        <v>1.01042553191489</v>
      </c>
      <c r="DU34" s="99">
        <f t="shared" si="185"/>
        <v>1.24333333333333</v>
      </c>
      <c r="DV34" s="99">
        <f t="shared" si="185"/>
        <v>0.786642335766423</v>
      </c>
      <c r="DW34" s="99">
        <f t="shared" si="185"/>
        <v>0.575</v>
      </c>
      <c r="DX34" s="99">
        <f t="shared" si="185"/>
        <v>0.07</v>
      </c>
      <c r="DY34" s="99">
        <f t="shared" si="185"/>
        <v>0</v>
      </c>
      <c r="DZ34" s="99">
        <f t="shared" si="185"/>
        <v>0</v>
      </c>
      <c r="EA34" s="99">
        <f t="shared" si="185"/>
        <v>0</v>
      </c>
      <c r="EB34" s="99">
        <f t="shared" si="185"/>
        <v>0.597880184331797</v>
      </c>
      <c r="EC34" s="99">
        <f t="shared" si="185"/>
        <v>0.514674796747967</v>
      </c>
      <c r="ED34" s="99">
        <f t="shared" si="185"/>
        <v>0.364347826086957</v>
      </c>
      <c r="EE34" s="99">
        <f t="shared" si="185"/>
        <v>0.367596685082873</v>
      </c>
      <c r="EF34" s="99">
        <f t="shared" si="185"/>
        <v>0.331724137931035</v>
      </c>
      <c r="EG34" s="99">
        <f t="shared" si="185"/>
        <v>0.403595166163142</v>
      </c>
      <c r="EH34" s="99">
        <f t="shared" si="185"/>
        <v>0.383636363636364</v>
      </c>
      <c r="EI34" s="99">
        <f t="shared" ref="EI34:FM34" si="186">IFERROR(EI29/EI30,0)</f>
        <v>0.363579766536965</v>
      </c>
      <c r="EJ34" s="99">
        <f t="shared" si="186"/>
        <v>0.316877828054299</v>
      </c>
      <c r="EK34" s="70">
        <f t="shared" si="186"/>
        <v>0.369833860759494</v>
      </c>
      <c r="EL34" s="99">
        <f t="shared" si="186"/>
        <v>0.31411149825784</v>
      </c>
      <c r="EM34" s="99">
        <f t="shared" si="186"/>
        <v>0.312798507462687</v>
      </c>
      <c r="EN34" s="99">
        <f t="shared" si="186"/>
        <v>0.346206896551724</v>
      </c>
      <c r="EO34" s="99">
        <f t="shared" si="186"/>
        <v>0.325884476534296</v>
      </c>
      <c r="EP34" s="99">
        <f t="shared" si="186"/>
        <v>0.338866666666667</v>
      </c>
      <c r="EQ34" s="99">
        <f t="shared" si="186"/>
        <v>0.323723849372385</v>
      </c>
      <c r="ER34" s="99">
        <f t="shared" si="186"/>
        <v>0.336682242990654</v>
      </c>
      <c r="ES34" s="99">
        <f t="shared" si="186"/>
        <v>0.335886524822695</v>
      </c>
      <c r="ET34" s="99">
        <f t="shared" si="186"/>
        <v>0.313271604938272</v>
      </c>
      <c r="EU34" s="99">
        <f t="shared" si="186"/>
        <v>0.333780487804878</v>
      </c>
      <c r="EV34" s="99">
        <f t="shared" si="186"/>
        <v>0.330882352941176</v>
      </c>
      <c r="EW34" s="99">
        <f t="shared" si="186"/>
        <v>0.334894366197183</v>
      </c>
      <c r="EX34" s="99">
        <f t="shared" si="186"/>
        <v>0.326948051948052</v>
      </c>
      <c r="EY34" s="99">
        <f t="shared" si="186"/>
        <v>0.373529411764706</v>
      </c>
      <c r="EZ34" s="99">
        <f t="shared" si="186"/>
        <v>0.346949152542373</v>
      </c>
      <c r="FA34" s="99">
        <f t="shared" si="186"/>
        <v>0.32235807860262</v>
      </c>
      <c r="FB34" s="99">
        <f t="shared" si="186"/>
        <v>0.365583756345178</v>
      </c>
      <c r="FC34" s="99">
        <f t="shared" si="186"/>
        <v>0.373969465648855</v>
      </c>
      <c r="FD34" s="99">
        <f t="shared" si="186"/>
        <v>0.317842105263158</v>
      </c>
      <c r="FE34" s="99">
        <f t="shared" si="186"/>
        <v>0.39703125</v>
      </c>
      <c r="FF34" s="99">
        <f t="shared" si="186"/>
        <v>0.66804347826087</v>
      </c>
      <c r="FG34" s="99">
        <f t="shared" si="186"/>
        <v>0.517217391304348</v>
      </c>
      <c r="FH34" s="99">
        <f t="shared" si="186"/>
        <v>0.401543209876543</v>
      </c>
      <c r="FI34" s="99">
        <f t="shared" si="186"/>
        <v>0.363212669683258</v>
      </c>
      <c r="FJ34" s="99">
        <f t="shared" si="186"/>
        <v>0.459172932330827</v>
      </c>
      <c r="FK34" s="99">
        <f t="shared" si="186"/>
        <v>0.524444444444444</v>
      </c>
      <c r="FL34" s="99">
        <f t="shared" si="186"/>
        <v>0.498188405797101</v>
      </c>
      <c r="FM34" s="99">
        <f t="shared" si="186"/>
        <v>0.3812</v>
      </c>
      <c r="FN34" s="99">
        <f t="shared" ref="FN34:GI34" si="187">IFERROR(FN29/FN30,0)</f>
        <v>0.767538461538462</v>
      </c>
      <c r="FO34" s="99">
        <f t="shared" si="187"/>
        <v>1.08634146341463</v>
      </c>
      <c r="FP34" s="99">
        <f t="shared" si="187"/>
        <v>0.407602040816327</v>
      </c>
      <c r="FQ34" s="70">
        <f t="shared" si="187"/>
        <v>0.450922416875223</v>
      </c>
      <c r="FR34" s="99">
        <f t="shared" si="187"/>
        <v>0.492792792792793</v>
      </c>
      <c r="FS34" s="99">
        <f t="shared" si="187"/>
        <v>0.586444444444444</v>
      </c>
      <c r="FT34" s="99">
        <f t="shared" si="187"/>
        <v>0.517820512820513</v>
      </c>
      <c r="FU34" s="99">
        <f t="shared" si="187"/>
        <v>0.565208333333333</v>
      </c>
      <c r="FV34" s="99">
        <f t="shared" si="187"/>
        <v>0.574807692307692</v>
      </c>
      <c r="FW34" s="99">
        <f t="shared" si="187"/>
        <v>0.459496855345912</v>
      </c>
      <c r="FX34" s="99">
        <f t="shared" si="187"/>
        <v>0.390469483568075</v>
      </c>
      <c r="FY34" s="99">
        <f t="shared" si="187"/>
        <v>0.463401360544218</v>
      </c>
      <c r="FZ34" s="99">
        <f t="shared" si="187"/>
        <v>0.476</v>
      </c>
      <c r="GA34" s="99">
        <f t="shared" si="187"/>
        <v>0.448296296296296</v>
      </c>
      <c r="GB34" s="99">
        <f t="shared" si="187"/>
        <v>0.490689655172414</v>
      </c>
      <c r="GC34" s="99">
        <f t="shared" si="187"/>
        <v>0.853333333333333</v>
      </c>
      <c r="GD34" s="99">
        <f t="shared" si="187"/>
        <v>0.389846153846154</v>
      </c>
      <c r="GE34" s="99">
        <f t="shared" si="187"/>
        <v>0.395964912280702</v>
      </c>
      <c r="GF34" s="99">
        <f t="shared" si="187"/>
        <v>0.58989247311828</v>
      </c>
      <c r="GG34" s="99">
        <f t="shared" si="187"/>
        <v>0.5338</v>
      </c>
      <c r="GH34" s="99">
        <f t="shared" si="187"/>
        <v>0.486063829787234</v>
      </c>
      <c r="GI34" s="99">
        <f t="shared" si="187"/>
        <v>0.544246575342466</v>
      </c>
      <c r="GJ34" s="99">
        <f t="shared" ref="GJ34:GP34" si="188">IFERROR(GJ29/GJ30,0)</f>
        <v>0.367757009345794</v>
      </c>
      <c r="GK34" s="99">
        <f t="shared" si="188"/>
        <v>0.352018779342723</v>
      </c>
      <c r="GL34" s="99">
        <f t="shared" si="188"/>
        <v>0.346031128404669</v>
      </c>
      <c r="GM34" s="99">
        <f t="shared" si="188"/>
        <v>0</v>
      </c>
      <c r="GN34" s="99">
        <f t="shared" si="188"/>
        <v>0</v>
      </c>
      <c r="GO34" s="99">
        <f t="shared" si="188"/>
        <v>0</v>
      </c>
      <c r="GP34" s="99">
        <f t="shared" si="188"/>
        <v>0</v>
      </c>
    </row>
    <row r="35" ht="15" customHeight="1" spans="1:198">
      <c r="A35" s="106"/>
      <c r="B35" s="103"/>
      <c r="C35" s="104" t="s">
        <v>24</v>
      </c>
      <c r="D35" s="94">
        <f t="shared" ref="D35:O35" si="189">IFERROR(D29/D31,0)</f>
        <v>0</v>
      </c>
      <c r="E35" s="99">
        <f t="shared" si="189"/>
        <v>0</v>
      </c>
      <c r="F35" s="99">
        <f t="shared" si="189"/>
        <v>0</v>
      </c>
      <c r="G35" s="99">
        <f t="shared" si="189"/>
        <v>0</v>
      </c>
      <c r="H35" s="99">
        <f t="shared" si="189"/>
        <v>0</v>
      </c>
      <c r="I35" s="99">
        <f t="shared" si="189"/>
        <v>0</v>
      </c>
      <c r="J35" s="99">
        <f t="shared" si="189"/>
        <v>0</v>
      </c>
      <c r="K35" s="99">
        <f t="shared" si="189"/>
        <v>0</v>
      </c>
      <c r="L35" s="99">
        <f t="shared" si="189"/>
        <v>0</v>
      </c>
      <c r="M35" s="99">
        <f t="shared" si="189"/>
        <v>0</v>
      </c>
      <c r="N35" s="99">
        <f t="shared" si="189"/>
        <v>0</v>
      </c>
      <c r="O35" s="99">
        <f t="shared" si="189"/>
        <v>0</v>
      </c>
      <c r="P35" s="99">
        <f t="shared" ref="P35:V35" si="190">IFERROR(P29/P31,0)</f>
        <v>0</v>
      </c>
      <c r="Q35" s="65">
        <f t="shared" si="190"/>
        <v>35.5349462365591</v>
      </c>
      <c r="R35" s="98">
        <f t="shared" si="190"/>
        <v>19.952</v>
      </c>
      <c r="S35" s="98">
        <f t="shared" ref="S35:AK35" si="191">IFERROR(S29/S31,0)</f>
        <v>8.767</v>
      </c>
      <c r="T35" s="98">
        <f t="shared" si="191"/>
        <v>27.626</v>
      </c>
      <c r="U35" s="98">
        <f t="shared" si="191"/>
        <v>93.67</v>
      </c>
      <c r="V35" s="98">
        <f t="shared" si="191"/>
        <v>44.1833333333333</v>
      </c>
      <c r="W35" s="98">
        <f t="shared" si="191"/>
        <v>50.3433333333333</v>
      </c>
      <c r="X35" s="98">
        <f t="shared" si="191"/>
        <v>46.5733333333333</v>
      </c>
      <c r="Y35" s="98">
        <f t="shared" si="191"/>
        <v>32.975</v>
      </c>
      <c r="Z35" s="98">
        <f t="shared" si="191"/>
        <v>166.48</v>
      </c>
      <c r="AA35" s="98">
        <f t="shared" si="191"/>
        <v>39.6875</v>
      </c>
      <c r="AB35" s="98">
        <f t="shared" si="191"/>
        <v>39.7425</v>
      </c>
      <c r="AC35" s="98">
        <f t="shared" si="191"/>
        <v>23.1733333333333</v>
      </c>
      <c r="AD35" s="98">
        <f t="shared" si="191"/>
        <v>28.844</v>
      </c>
      <c r="AE35" s="98">
        <f t="shared" si="191"/>
        <v>44.765</v>
      </c>
      <c r="AF35" s="98">
        <f t="shared" si="191"/>
        <v>70.405</v>
      </c>
      <c r="AG35" s="98">
        <f t="shared" si="191"/>
        <v>50.585</v>
      </c>
      <c r="AH35" s="98">
        <f t="shared" si="191"/>
        <v>29.99</v>
      </c>
      <c r="AI35" s="98">
        <f t="shared" si="191"/>
        <v>29.905</v>
      </c>
      <c r="AJ35" s="98">
        <f t="shared" si="191"/>
        <v>39.21</v>
      </c>
      <c r="AK35" s="98">
        <f t="shared" si="191"/>
        <v>0</v>
      </c>
      <c r="AL35" s="98">
        <f t="shared" ref="AL35:BH35" si="192">IFERROR(AL29/AL31,0)</f>
        <v>0</v>
      </c>
      <c r="AM35" s="98">
        <f t="shared" si="192"/>
        <v>20.3666666666667</v>
      </c>
      <c r="AN35" s="98">
        <f t="shared" si="192"/>
        <v>0</v>
      </c>
      <c r="AO35" s="98">
        <f t="shared" si="192"/>
        <v>13.946</v>
      </c>
      <c r="AP35" s="98">
        <f t="shared" si="192"/>
        <v>37.5</v>
      </c>
      <c r="AQ35" s="98">
        <f t="shared" si="192"/>
        <v>0</v>
      </c>
      <c r="AR35" s="98">
        <f t="shared" si="192"/>
        <v>40.87</v>
      </c>
      <c r="AS35" s="98">
        <f t="shared" si="192"/>
        <v>36.96</v>
      </c>
      <c r="AT35" s="98">
        <f t="shared" si="192"/>
        <v>0</v>
      </c>
      <c r="AU35" s="98">
        <f t="shared" si="192"/>
        <v>15.855</v>
      </c>
      <c r="AV35" s="98">
        <f t="shared" si="192"/>
        <v>25.735</v>
      </c>
      <c r="AW35" s="65">
        <f t="shared" si="192"/>
        <v>13.5434615384615</v>
      </c>
      <c r="AX35" s="98">
        <f t="shared" si="192"/>
        <v>0</v>
      </c>
      <c r="AY35" s="98">
        <f t="shared" si="192"/>
        <v>60.23</v>
      </c>
      <c r="AZ35" s="98">
        <f t="shared" si="192"/>
        <v>4.665</v>
      </c>
      <c r="BA35" s="98">
        <f t="shared" si="192"/>
        <v>10.3366666666667</v>
      </c>
      <c r="BB35" s="98">
        <f t="shared" si="192"/>
        <v>0</v>
      </c>
      <c r="BC35" s="98">
        <f t="shared" si="192"/>
        <v>20.9</v>
      </c>
      <c r="BD35" s="98">
        <f t="shared" si="192"/>
        <v>4.67285714285714</v>
      </c>
      <c r="BE35" s="98">
        <f t="shared" si="192"/>
        <v>5.83333333333333</v>
      </c>
      <c r="BF35" s="98">
        <f t="shared" si="192"/>
        <v>0</v>
      </c>
      <c r="BG35" s="98">
        <f t="shared" si="192"/>
        <v>0</v>
      </c>
      <c r="BH35" s="98">
        <f t="shared" si="192"/>
        <v>0</v>
      </c>
      <c r="BI35" s="98">
        <f t="shared" ref="BI35:BW35" si="193">IFERROR(BI29/BI31,0)</f>
        <v>0</v>
      </c>
      <c r="BJ35" s="98">
        <f t="shared" si="193"/>
        <v>0</v>
      </c>
      <c r="BK35" s="98">
        <f t="shared" si="193"/>
        <v>0</v>
      </c>
      <c r="BL35" s="98">
        <f t="shared" si="193"/>
        <v>0</v>
      </c>
      <c r="BM35" s="98">
        <f t="shared" si="193"/>
        <v>0</v>
      </c>
      <c r="BN35" s="98">
        <f t="shared" si="193"/>
        <v>0</v>
      </c>
      <c r="BO35" s="98">
        <f t="shared" si="193"/>
        <v>0</v>
      </c>
      <c r="BP35" s="98">
        <f t="shared" si="193"/>
        <v>0</v>
      </c>
      <c r="BQ35" s="98">
        <f t="shared" si="193"/>
        <v>0</v>
      </c>
      <c r="BR35" s="98">
        <f t="shared" si="193"/>
        <v>0</v>
      </c>
      <c r="BS35" s="98">
        <f t="shared" si="193"/>
        <v>0</v>
      </c>
      <c r="BT35" s="98">
        <f t="shared" si="193"/>
        <v>0</v>
      </c>
      <c r="BU35" s="98">
        <f t="shared" si="193"/>
        <v>0</v>
      </c>
      <c r="BV35" s="98">
        <f t="shared" si="193"/>
        <v>0</v>
      </c>
      <c r="BW35" s="98">
        <f t="shared" si="193"/>
        <v>0</v>
      </c>
      <c r="BX35" s="98">
        <f t="shared" ref="BX35:CH35" si="194">IFERROR(BX29/BX31,0)</f>
        <v>0</v>
      </c>
      <c r="BY35" s="98">
        <f t="shared" si="194"/>
        <v>0</v>
      </c>
      <c r="BZ35" s="65">
        <f t="shared" si="194"/>
        <v>0</v>
      </c>
      <c r="CA35" s="98">
        <f t="shared" si="194"/>
        <v>0</v>
      </c>
      <c r="CB35" s="98">
        <f t="shared" si="194"/>
        <v>0</v>
      </c>
      <c r="CC35" s="98">
        <f t="shared" si="194"/>
        <v>0</v>
      </c>
      <c r="CD35" s="98">
        <f t="shared" si="194"/>
        <v>0</v>
      </c>
      <c r="CE35" s="98">
        <f t="shared" si="194"/>
        <v>0</v>
      </c>
      <c r="CF35" s="98">
        <f t="shared" si="194"/>
        <v>0</v>
      </c>
      <c r="CG35" s="98">
        <f t="shared" si="194"/>
        <v>0</v>
      </c>
      <c r="CH35" s="98">
        <f t="shared" si="194"/>
        <v>0</v>
      </c>
      <c r="CI35" s="98">
        <f t="shared" ref="CI35:EH35" si="195">IFERROR(CI29/CI31,0)</f>
        <v>0</v>
      </c>
      <c r="CJ35" s="98">
        <f t="shared" si="195"/>
        <v>0</v>
      </c>
      <c r="CK35" s="98">
        <f t="shared" si="195"/>
        <v>0</v>
      </c>
      <c r="CL35" s="98">
        <f t="shared" si="195"/>
        <v>0</v>
      </c>
      <c r="CM35" s="98">
        <f t="shared" si="195"/>
        <v>0</v>
      </c>
      <c r="CN35" s="98">
        <f t="shared" si="195"/>
        <v>0</v>
      </c>
      <c r="CO35" s="98">
        <f t="shared" si="195"/>
        <v>0</v>
      </c>
      <c r="CP35" s="98">
        <f t="shared" si="195"/>
        <v>0</v>
      </c>
      <c r="CQ35" s="98">
        <f t="shared" si="195"/>
        <v>0</v>
      </c>
      <c r="CR35" s="98">
        <f t="shared" si="195"/>
        <v>0</v>
      </c>
      <c r="CS35" s="98">
        <f t="shared" si="195"/>
        <v>0</v>
      </c>
      <c r="CT35" s="98">
        <f t="shared" si="195"/>
        <v>0</v>
      </c>
      <c r="CU35" s="98">
        <f t="shared" si="195"/>
        <v>0</v>
      </c>
      <c r="CV35" s="98">
        <f t="shared" si="195"/>
        <v>0</v>
      </c>
      <c r="CW35" s="98">
        <f t="shared" si="195"/>
        <v>0</v>
      </c>
      <c r="CX35" s="98">
        <f t="shared" si="195"/>
        <v>0</v>
      </c>
      <c r="CY35" s="98">
        <f t="shared" si="195"/>
        <v>0</v>
      </c>
      <c r="CZ35" s="98">
        <f t="shared" si="195"/>
        <v>0</v>
      </c>
      <c r="DA35" s="98">
        <f t="shared" si="195"/>
        <v>0</v>
      </c>
      <c r="DB35" s="98">
        <f t="shared" si="195"/>
        <v>0</v>
      </c>
      <c r="DC35" s="98">
        <f t="shared" si="195"/>
        <v>0</v>
      </c>
      <c r="DD35" s="98">
        <f t="shared" si="195"/>
        <v>0</v>
      </c>
      <c r="DE35" s="98">
        <f t="shared" si="195"/>
        <v>0</v>
      </c>
      <c r="DF35" s="65">
        <f t="shared" si="195"/>
        <v>21.7778301886792</v>
      </c>
      <c r="DG35" s="98">
        <f t="shared" si="195"/>
        <v>0</v>
      </c>
      <c r="DH35" s="98">
        <f t="shared" si="195"/>
        <v>0</v>
      </c>
      <c r="DI35" s="98">
        <f t="shared" si="195"/>
        <v>8.30666666666667</v>
      </c>
      <c r="DJ35" s="98">
        <f t="shared" si="195"/>
        <v>25</v>
      </c>
      <c r="DK35" s="98">
        <f t="shared" si="195"/>
        <v>15.4285714285714</v>
      </c>
      <c r="DL35" s="98">
        <f t="shared" si="195"/>
        <v>50</v>
      </c>
      <c r="DM35" s="98">
        <f t="shared" si="195"/>
        <v>33.3333333333333</v>
      </c>
      <c r="DN35" s="98">
        <f t="shared" si="195"/>
        <v>70.5366666666667</v>
      </c>
      <c r="DO35" s="98">
        <f t="shared" si="195"/>
        <v>107.5</v>
      </c>
      <c r="DP35" s="98">
        <f t="shared" si="195"/>
        <v>71.51</v>
      </c>
      <c r="DQ35" s="98">
        <f t="shared" si="195"/>
        <v>74.87</v>
      </c>
      <c r="DR35" s="98">
        <f t="shared" si="195"/>
        <v>18.6175</v>
      </c>
      <c r="DS35" s="98">
        <f t="shared" si="195"/>
        <v>48.82</v>
      </c>
      <c r="DT35" s="98">
        <f t="shared" si="195"/>
        <v>15.83</v>
      </c>
      <c r="DU35" s="98">
        <f t="shared" si="195"/>
        <v>37.3</v>
      </c>
      <c r="DV35" s="98">
        <f t="shared" si="195"/>
        <v>15.3957142857143</v>
      </c>
      <c r="DW35" s="98">
        <f t="shared" si="195"/>
        <v>7.66666666666667</v>
      </c>
      <c r="DX35" s="98">
        <f t="shared" si="195"/>
        <v>0</v>
      </c>
      <c r="DY35" s="98">
        <f t="shared" si="195"/>
        <v>0</v>
      </c>
      <c r="DZ35" s="98">
        <f t="shared" si="195"/>
        <v>0</v>
      </c>
      <c r="EA35" s="98">
        <f t="shared" si="195"/>
        <v>0</v>
      </c>
      <c r="EB35" s="98">
        <f t="shared" si="195"/>
        <v>8.64933333333333</v>
      </c>
      <c r="EC35" s="98">
        <f t="shared" si="195"/>
        <v>25.322</v>
      </c>
      <c r="ED35" s="98">
        <f t="shared" si="195"/>
        <v>33.52</v>
      </c>
      <c r="EE35" s="98">
        <f t="shared" si="195"/>
        <v>22.1783333333333</v>
      </c>
      <c r="EF35" s="98">
        <f t="shared" si="195"/>
        <v>32.0666666666667</v>
      </c>
      <c r="EG35" s="98">
        <f t="shared" si="195"/>
        <v>22.265</v>
      </c>
      <c r="EH35" s="98">
        <f t="shared" si="195"/>
        <v>14.77</v>
      </c>
      <c r="EI35" s="98">
        <f t="shared" ref="EI35:FM35" si="196">IFERROR(EI29/EI31,0)</f>
        <v>7.78666666666667</v>
      </c>
      <c r="EJ35" s="98">
        <f t="shared" si="196"/>
        <v>35.015</v>
      </c>
      <c r="EK35" s="65">
        <f t="shared" si="196"/>
        <v>15.9003401360544</v>
      </c>
      <c r="EL35" s="98">
        <f t="shared" si="196"/>
        <v>11.26875</v>
      </c>
      <c r="EM35" s="98">
        <f t="shared" si="196"/>
        <v>20.9575</v>
      </c>
      <c r="EN35" s="98">
        <f t="shared" si="196"/>
        <v>25.1</v>
      </c>
      <c r="EO35" s="98">
        <f t="shared" si="196"/>
        <v>12.8957142857143</v>
      </c>
      <c r="EP35" s="98">
        <f t="shared" si="196"/>
        <v>14.5228571428571</v>
      </c>
      <c r="EQ35" s="98">
        <f t="shared" si="196"/>
        <v>19.3425</v>
      </c>
      <c r="ER35" s="98">
        <f t="shared" si="196"/>
        <v>4.80333333333333</v>
      </c>
      <c r="ES35" s="98">
        <f t="shared" si="196"/>
        <v>11.84</v>
      </c>
      <c r="ET35" s="98">
        <f t="shared" si="196"/>
        <v>12.6875</v>
      </c>
      <c r="EU35" s="98">
        <f t="shared" si="196"/>
        <v>21.896</v>
      </c>
      <c r="EV35" s="98">
        <f t="shared" si="196"/>
        <v>16.875</v>
      </c>
      <c r="EW35" s="98">
        <f t="shared" si="196"/>
        <v>9.511</v>
      </c>
      <c r="EX35" s="98">
        <f t="shared" si="196"/>
        <v>16.7833333333333</v>
      </c>
      <c r="EY35" s="98">
        <f t="shared" si="196"/>
        <v>34.925</v>
      </c>
      <c r="EZ35" s="98">
        <f t="shared" si="196"/>
        <v>8.188</v>
      </c>
      <c r="FA35" s="98">
        <f t="shared" si="196"/>
        <v>10.5457142857143</v>
      </c>
      <c r="FB35" s="98">
        <f t="shared" si="196"/>
        <v>24.0066666666667</v>
      </c>
      <c r="FC35" s="98">
        <f t="shared" si="196"/>
        <v>48.99</v>
      </c>
      <c r="FD35" s="98">
        <f t="shared" si="196"/>
        <v>30.195</v>
      </c>
      <c r="FE35" s="98">
        <f t="shared" si="196"/>
        <v>8.47</v>
      </c>
      <c r="FF35" s="98">
        <f t="shared" si="196"/>
        <v>12.292</v>
      </c>
      <c r="FG35" s="98">
        <f t="shared" si="196"/>
        <v>29.74</v>
      </c>
      <c r="FH35" s="98">
        <f t="shared" si="196"/>
        <v>65.05</v>
      </c>
      <c r="FI35" s="98">
        <f t="shared" si="196"/>
        <v>13.3783333333333</v>
      </c>
      <c r="FJ35" s="98">
        <f t="shared" si="196"/>
        <v>10.1783333333333</v>
      </c>
      <c r="FK35" s="98">
        <f t="shared" si="196"/>
        <v>0</v>
      </c>
      <c r="FL35" s="98">
        <f t="shared" si="196"/>
        <v>68.75</v>
      </c>
      <c r="FM35" s="98">
        <f t="shared" si="196"/>
        <v>12.2528571428571</v>
      </c>
      <c r="FN35" s="98">
        <f t="shared" ref="FN35:GI35" si="197">IFERROR(FN29/FN31,0)</f>
        <v>0</v>
      </c>
      <c r="FO35" s="98">
        <f t="shared" si="197"/>
        <v>0</v>
      </c>
      <c r="FP35" s="98">
        <f t="shared" si="197"/>
        <v>79.89</v>
      </c>
      <c r="FQ35" s="65">
        <f t="shared" si="197"/>
        <v>14.838</v>
      </c>
      <c r="FR35" s="98">
        <f t="shared" si="197"/>
        <v>18.2333333333333</v>
      </c>
      <c r="FS35" s="98">
        <f t="shared" si="197"/>
        <v>26.39</v>
      </c>
      <c r="FT35" s="98">
        <f t="shared" si="197"/>
        <v>20.195</v>
      </c>
      <c r="FU35" s="98">
        <f t="shared" si="197"/>
        <v>18.0866666666667</v>
      </c>
      <c r="FV35" s="98">
        <f t="shared" si="197"/>
        <v>14.945</v>
      </c>
      <c r="FW35" s="98">
        <f t="shared" si="197"/>
        <v>12.1766666666667</v>
      </c>
      <c r="FX35" s="98">
        <f t="shared" si="197"/>
        <v>13.8616666666667</v>
      </c>
      <c r="FY35" s="98">
        <f t="shared" si="197"/>
        <v>22.7066666666667</v>
      </c>
      <c r="FZ35" s="98">
        <f t="shared" si="197"/>
        <v>13.804</v>
      </c>
      <c r="GA35" s="98">
        <f t="shared" si="197"/>
        <v>12.104</v>
      </c>
      <c r="GB35" s="98">
        <f t="shared" si="197"/>
        <v>56.92</v>
      </c>
      <c r="GC35" s="98">
        <f t="shared" si="197"/>
        <v>19.2</v>
      </c>
      <c r="GD35" s="98">
        <f t="shared" si="197"/>
        <v>7.602</v>
      </c>
      <c r="GE35" s="98">
        <f t="shared" si="197"/>
        <v>22.57</v>
      </c>
      <c r="GF35" s="98">
        <f t="shared" si="197"/>
        <v>18.2866666666667</v>
      </c>
      <c r="GG35" s="98">
        <f t="shared" si="197"/>
        <v>10.676</v>
      </c>
      <c r="GH35" s="98">
        <f t="shared" si="197"/>
        <v>45.69</v>
      </c>
      <c r="GI35" s="98">
        <f t="shared" si="197"/>
        <v>7.946</v>
      </c>
      <c r="GJ35" s="98">
        <f t="shared" ref="GJ35:GP35" si="198">IFERROR(GJ29/GJ31,0)</f>
        <v>15.74</v>
      </c>
      <c r="GK35" s="98">
        <f t="shared" si="198"/>
        <v>12.4966666666667</v>
      </c>
      <c r="GL35" s="98">
        <f t="shared" si="198"/>
        <v>12.7042857142857</v>
      </c>
      <c r="GM35" s="98">
        <f t="shared" si="198"/>
        <v>0</v>
      </c>
      <c r="GN35" s="98">
        <f t="shared" si="198"/>
        <v>0</v>
      </c>
      <c r="GO35" s="98">
        <f t="shared" si="198"/>
        <v>0</v>
      </c>
      <c r="GP35" s="98">
        <f t="shared" si="198"/>
        <v>0</v>
      </c>
    </row>
    <row r="36" ht="15" customHeight="1" spans="1:198">
      <c r="A36" s="47"/>
      <c r="B36" s="103"/>
      <c r="C36" s="104" t="s">
        <v>14</v>
      </c>
      <c r="D36" s="97">
        <f t="shared" ref="D36:O36" si="199">IFERROR(D33/D29,0)</f>
        <v>0</v>
      </c>
      <c r="E36" s="99">
        <f t="shared" si="199"/>
        <v>0</v>
      </c>
      <c r="F36" s="99">
        <f t="shared" si="199"/>
        <v>0</v>
      </c>
      <c r="G36" s="99">
        <f t="shared" si="199"/>
        <v>0</v>
      </c>
      <c r="H36" s="99">
        <f t="shared" si="199"/>
        <v>0</v>
      </c>
      <c r="I36" s="99">
        <f t="shared" si="199"/>
        <v>0</v>
      </c>
      <c r="J36" s="99">
        <f t="shared" si="199"/>
        <v>0</v>
      </c>
      <c r="K36" s="99">
        <f t="shared" si="199"/>
        <v>0</v>
      </c>
      <c r="L36" s="99">
        <f t="shared" si="199"/>
        <v>0</v>
      </c>
      <c r="M36" s="99">
        <f t="shared" si="199"/>
        <v>0</v>
      </c>
      <c r="N36" s="99">
        <f t="shared" si="199"/>
        <v>0</v>
      </c>
      <c r="O36" s="99">
        <f t="shared" si="199"/>
        <v>0</v>
      </c>
      <c r="P36" s="99">
        <f t="shared" ref="P36:V36" si="200">IFERROR(P33/P29,0)</f>
        <v>0</v>
      </c>
      <c r="Q36" s="70">
        <f t="shared" si="200"/>
        <v>1.00910810197443</v>
      </c>
      <c r="R36" s="98">
        <f t="shared" si="200"/>
        <v>3.3911387329591</v>
      </c>
      <c r="S36" s="98">
        <f t="shared" ref="S36:AK36" si="201">IFERROR(S33/S29,0)</f>
        <v>0.937264742785445</v>
      </c>
      <c r="T36" s="98">
        <f t="shared" si="201"/>
        <v>0.178455078549193</v>
      </c>
      <c r="U36" s="98">
        <f t="shared" si="201"/>
        <v>0</v>
      </c>
      <c r="V36" s="98">
        <f t="shared" si="201"/>
        <v>2.10335722368917</v>
      </c>
      <c r="W36" s="98">
        <f t="shared" si="201"/>
        <v>0</v>
      </c>
      <c r="X36" s="98">
        <f t="shared" si="201"/>
        <v>0</v>
      </c>
      <c r="Y36" s="98">
        <f t="shared" si="201"/>
        <v>0</v>
      </c>
      <c r="Z36" s="98">
        <f t="shared" si="201"/>
        <v>0</v>
      </c>
      <c r="AA36" s="98">
        <f t="shared" si="201"/>
        <v>0</v>
      </c>
      <c r="AB36" s="98">
        <f t="shared" si="201"/>
        <v>4.9512486632698</v>
      </c>
      <c r="AC36" s="98">
        <f t="shared" si="201"/>
        <v>0.190304948216341</v>
      </c>
      <c r="AD36" s="98">
        <f t="shared" si="201"/>
        <v>0.41506032450423</v>
      </c>
      <c r="AE36" s="98">
        <f t="shared" si="201"/>
        <v>1.89405785770133</v>
      </c>
      <c r="AF36" s="98">
        <f t="shared" si="201"/>
        <v>0</v>
      </c>
      <c r="AG36" s="98">
        <f t="shared" si="201"/>
        <v>0</v>
      </c>
      <c r="AH36" s="98">
        <f t="shared" si="201"/>
        <v>0</v>
      </c>
      <c r="AI36" s="98">
        <f t="shared" si="201"/>
        <v>3.21490274758959</v>
      </c>
      <c r="AJ36" s="98">
        <f t="shared" si="201"/>
        <v>0</v>
      </c>
      <c r="AK36" s="98">
        <f t="shared" si="201"/>
        <v>0</v>
      </c>
      <c r="AL36" s="98">
        <f t="shared" ref="AL36:BH36" si="202">IFERROR(AL33/AL29,0)</f>
        <v>0</v>
      </c>
      <c r="AM36" s="98">
        <f t="shared" si="202"/>
        <v>0</v>
      </c>
      <c r="AN36" s="98">
        <f t="shared" si="202"/>
        <v>0</v>
      </c>
      <c r="AO36" s="98">
        <f t="shared" si="202"/>
        <v>1.68851283522157</v>
      </c>
      <c r="AP36" s="98">
        <f t="shared" si="202"/>
        <v>0</v>
      </c>
      <c r="AQ36" s="98">
        <f t="shared" si="202"/>
        <v>0.906692160611855</v>
      </c>
      <c r="AR36" s="98">
        <f t="shared" si="202"/>
        <v>0.900415953021776</v>
      </c>
      <c r="AS36" s="98">
        <f t="shared" si="202"/>
        <v>0</v>
      </c>
      <c r="AT36" s="98">
        <f t="shared" si="202"/>
        <v>12.6308178942612</v>
      </c>
      <c r="AU36" s="98">
        <f t="shared" si="202"/>
        <v>0</v>
      </c>
      <c r="AV36" s="98">
        <f t="shared" si="202"/>
        <v>0</v>
      </c>
      <c r="AW36" s="70">
        <f t="shared" si="202"/>
        <v>0.223922982989237</v>
      </c>
      <c r="AX36" s="98">
        <f t="shared" si="202"/>
        <v>0</v>
      </c>
      <c r="AY36" s="98">
        <f t="shared" si="202"/>
        <v>0</v>
      </c>
      <c r="AZ36" s="98">
        <f t="shared" si="202"/>
        <v>1.37727759914255</v>
      </c>
      <c r="BA36" s="98">
        <f t="shared" si="202"/>
        <v>0.885198323121574</v>
      </c>
      <c r="BB36" s="98">
        <f t="shared" si="202"/>
        <v>0</v>
      </c>
      <c r="BC36" s="98">
        <f t="shared" si="202"/>
        <v>0</v>
      </c>
      <c r="BD36" s="98">
        <f t="shared" si="202"/>
        <v>0</v>
      </c>
      <c r="BE36" s="98">
        <f t="shared" si="202"/>
        <v>0</v>
      </c>
      <c r="BF36" s="98">
        <f t="shared" si="202"/>
        <v>0</v>
      </c>
      <c r="BG36" s="98">
        <f t="shared" si="202"/>
        <v>0</v>
      </c>
      <c r="BH36" s="98">
        <f t="shared" si="202"/>
        <v>0</v>
      </c>
      <c r="BI36" s="98">
        <f t="shared" ref="BI36:BW36" si="203">IFERROR(BI33/BI29,0)</f>
        <v>0</v>
      </c>
      <c r="BJ36" s="98">
        <f t="shared" si="203"/>
        <v>0</v>
      </c>
      <c r="BK36" s="98">
        <f t="shared" si="203"/>
        <v>0</v>
      </c>
      <c r="BL36" s="98">
        <f t="shared" si="203"/>
        <v>0</v>
      </c>
      <c r="BM36" s="98">
        <f t="shared" si="203"/>
        <v>0</v>
      </c>
      <c r="BN36" s="98">
        <f t="shared" si="203"/>
        <v>0</v>
      </c>
      <c r="BO36" s="98">
        <f t="shared" si="203"/>
        <v>0</v>
      </c>
      <c r="BP36" s="98">
        <f t="shared" si="203"/>
        <v>0</v>
      </c>
      <c r="BQ36" s="98">
        <f t="shared" si="203"/>
        <v>0</v>
      </c>
      <c r="BR36" s="98">
        <f t="shared" si="203"/>
        <v>0</v>
      </c>
      <c r="BS36" s="98">
        <f t="shared" si="203"/>
        <v>0</v>
      </c>
      <c r="BT36" s="98">
        <f t="shared" si="203"/>
        <v>0</v>
      </c>
      <c r="BU36" s="98">
        <f t="shared" si="203"/>
        <v>0</v>
      </c>
      <c r="BV36" s="98">
        <f t="shared" si="203"/>
        <v>0</v>
      </c>
      <c r="BW36" s="98">
        <f t="shared" si="203"/>
        <v>0</v>
      </c>
      <c r="BX36" s="98">
        <f t="shared" ref="BX36:CH36" si="204">IFERROR(BX33/BX29,0)</f>
        <v>0</v>
      </c>
      <c r="BY36" s="98">
        <f t="shared" si="204"/>
        <v>0</v>
      </c>
      <c r="BZ36" s="70">
        <f t="shared" si="204"/>
        <v>0</v>
      </c>
      <c r="CA36" s="98">
        <f t="shared" si="204"/>
        <v>0</v>
      </c>
      <c r="CB36" s="98">
        <f t="shared" si="204"/>
        <v>0</v>
      </c>
      <c r="CC36" s="98">
        <f t="shared" si="204"/>
        <v>0</v>
      </c>
      <c r="CD36" s="98">
        <f t="shared" si="204"/>
        <v>0</v>
      </c>
      <c r="CE36" s="98">
        <f t="shared" si="204"/>
        <v>0</v>
      </c>
      <c r="CF36" s="98">
        <f t="shared" si="204"/>
        <v>0</v>
      </c>
      <c r="CG36" s="98">
        <f t="shared" si="204"/>
        <v>0</v>
      </c>
      <c r="CH36" s="98">
        <f t="shared" si="204"/>
        <v>0</v>
      </c>
      <c r="CI36" s="98">
        <f t="shared" ref="CI36:EH36" si="205">IFERROR(CI33/CI29,0)</f>
        <v>0</v>
      </c>
      <c r="CJ36" s="98">
        <f t="shared" si="205"/>
        <v>0</v>
      </c>
      <c r="CK36" s="98">
        <f t="shared" si="205"/>
        <v>0</v>
      </c>
      <c r="CL36" s="98">
        <f t="shared" si="205"/>
        <v>0</v>
      </c>
      <c r="CM36" s="98">
        <f t="shared" si="205"/>
        <v>0</v>
      </c>
      <c r="CN36" s="98">
        <f t="shared" si="205"/>
        <v>0</v>
      </c>
      <c r="CO36" s="98">
        <f t="shared" si="205"/>
        <v>0</v>
      </c>
      <c r="CP36" s="98">
        <f t="shared" si="205"/>
        <v>0</v>
      </c>
      <c r="CQ36" s="98">
        <f t="shared" si="205"/>
        <v>0</v>
      </c>
      <c r="CR36" s="98">
        <f t="shared" si="205"/>
        <v>0</v>
      </c>
      <c r="CS36" s="98">
        <f t="shared" si="205"/>
        <v>0</v>
      </c>
      <c r="CT36" s="98">
        <f t="shared" si="205"/>
        <v>0</v>
      </c>
      <c r="CU36" s="98">
        <f t="shared" si="205"/>
        <v>0</v>
      </c>
      <c r="CV36" s="98">
        <f t="shared" si="205"/>
        <v>0</v>
      </c>
      <c r="CW36" s="98">
        <f t="shared" si="205"/>
        <v>0</v>
      </c>
      <c r="CX36" s="98">
        <f t="shared" si="205"/>
        <v>0</v>
      </c>
      <c r="CY36" s="98">
        <f t="shared" si="205"/>
        <v>0</v>
      </c>
      <c r="CZ36" s="98">
        <f t="shared" si="205"/>
        <v>0</v>
      </c>
      <c r="DA36" s="98">
        <f t="shared" si="205"/>
        <v>0</v>
      </c>
      <c r="DB36" s="98">
        <f t="shared" si="205"/>
        <v>0</v>
      </c>
      <c r="DC36" s="98">
        <f t="shared" si="205"/>
        <v>0</v>
      </c>
      <c r="DD36" s="98">
        <f t="shared" si="205"/>
        <v>0</v>
      </c>
      <c r="DE36" s="98">
        <f t="shared" si="205"/>
        <v>0</v>
      </c>
      <c r="DF36" s="70">
        <f t="shared" si="205"/>
        <v>2.30681193008296</v>
      </c>
      <c r="DG36" s="98">
        <f t="shared" si="205"/>
        <v>0</v>
      </c>
      <c r="DH36" s="98">
        <f t="shared" si="205"/>
        <v>0</v>
      </c>
      <c r="DI36" s="98">
        <f t="shared" si="205"/>
        <v>0</v>
      </c>
      <c r="DJ36" s="98">
        <f t="shared" si="205"/>
        <v>0</v>
      </c>
      <c r="DK36" s="98">
        <f t="shared" si="205"/>
        <v>6.57277777777778</v>
      </c>
      <c r="DL36" s="98">
        <f t="shared" si="205"/>
        <v>0</v>
      </c>
      <c r="DM36" s="98">
        <f t="shared" si="205"/>
        <v>0.439</v>
      </c>
      <c r="DN36" s="98">
        <f t="shared" si="205"/>
        <v>1.10547705684987</v>
      </c>
      <c r="DO36" s="98">
        <f t="shared" si="205"/>
        <v>1.08804651162791</v>
      </c>
      <c r="DP36" s="98">
        <f t="shared" si="205"/>
        <v>0</v>
      </c>
      <c r="DQ36" s="98">
        <f t="shared" si="205"/>
        <v>2.70335247762789</v>
      </c>
      <c r="DR36" s="98">
        <f t="shared" si="205"/>
        <v>0</v>
      </c>
      <c r="DS36" s="98">
        <f t="shared" si="205"/>
        <v>0</v>
      </c>
      <c r="DT36" s="98">
        <f t="shared" si="205"/>
        <v>0</v>
      </c>
      <c r="DU36" s="98">
        <f t="shared" si="205"/>
        <v>1.85790884718499</v>
      </c>
      <c r="DV36" s="98">
        <f t="shared" si="205"/>
        <v>4.13259719773592</v>
      </c>
      <c r="DW36" s="98">
        <f t="shared" si="205"/>
        <v>22.4004347826087</v>
      </c>
      <c r="DX36" s="98">
        <f t="shared" si="205"/>
        <v>0</v>
      </c>
      <c r="DY36" s="98">
        <f t="shared" si="205"/>
        <v>0</v>
      </c>
      <c r="DZ36" s="98">
        <f t="shared" si="205"/>
        <v>0</v>
      </c>
      <c r="EA36" s="98">
        <f t="shared" si="205"/>
        <v>0</v>
      </c>
      <c r="EB36" s="98">
        <f t="shared" si="205"/>
        <v>9.82503468475412</v>
      </c>
      <c r="EC36" s="98">
        <f t="shared" si="205"/>
        <v>2.60792986335992</v>
      </c>
      <c r="ED36" s="98">
        <f t="shared" si="205"/>
        <v>0</v>
      </c>
      <c r="EE36" s="98">
        <f t="shared" si="205"/>
        <v>1.07943187795897</v>
      </c>
      <c r="EF36" s="98">
        <f t="shared" si="205"/>
        <v>0</v>
      </c>
      <c r="EG36" s="98">
        <f t="shared" si="205"/>
        <v>0</v>
      </c>
      <c r="EH36" s="98">
        <f t="shared" si="205"/>
        <v>2.59275558564658</v>
      </c>
      <c r="EI36" s="98">
        <f t="shared" ref="EI36:FM36" si="206">IFERROR(EI33/EI29,0)</f>
        <v>7.99518407534247</v>
      </c>
      <c r="EJ36" s="98">
        <f t="shared" si="206"/>
        <v>0</v>
      </c>
      <c r="EK36" s="70">
        <f t="shared" si="206"/>
        <v>0.729094915181723</v>
      </c>
      <c r="EL36" s="98">
        <f t="shared" si="206"/>
        <v>0</v>
      </c>
      <c r="EM36" s="98">
        <f t="shared" si="206"/>
        <v>0</v>
      </c>
      <c r="EN36" s="98">
        <f t="shared" si="206"/>
        <v>0</v>
      </c>
      <c r="EO36" s="98">
        <f t="shared" si="206"/>
        <v>0</v>
      </c>
      <c r="EP36" s="98">
        <f t="shared" si="206"/>
        <v>0</v>
      </c>
      <c r="EQ36" s="98">
        <f t="shared" si="206"/>
        <v>4.59325319891431</v>
      </c>
      <c r="ER36" s="98">
        <f t="shared" si="206"/>
        <v>0</v>
      </c>
      <c r="ES36" s="98">
        <f t="shared" si="206"/>
        <v>0</v>
      </c>
      <c r="ET36" s="98">
        <f t="shared" si="206"/>
        <v>0</v>
      </c>
      <c r="EU36" s="98">
        <f t="shared" si="206"/>
        <v>0</v>
      </c>
      <c r="EV36" s="98">
        <f t="shared" si="206"/>
        <v>0</v>
      </c>
      <c r="EW36" s="98">
        <f t="shared" si="206"/>
        <v>0</v>
      </c>
      <c r="EX36" s="98">
        <f t="shared" si="206"/>
        <v>0</v>
      </c>
      <c r="EY36" s="98">
        <f t="shared" si="206"/>
        <v>0</v>
      </c>
      <c r="EZ36" s="98">
        <f t="shared" si="206"/>
        <v>0</v>
      </c>
      <c r="FA36" s="98">
        <f t="shared" si="206"/>
        <v>0</v>
      </c>
      <c r="FB36" s="98">
        <f t="shared" si="206"/>
        <v>0</v>
      </c>
      <c r="FC36" s="98">
        <f t="shared" si="206"/>
        <v>3.93815064298836</v>
      </c>
      <c r="FD36" s="98">
        <f t="shared" si="206"/>
        <v>0.260307998012916</v>
      </c>
      <c r="FE36" s="98">
        <f t="shared" si="206"/>
        <v>5.58152958152958</v>
      </c>
      <c r="FF36" s="98">
        <f t="shared" si="206"/>
        <v>0</v>
      </c>
      <c r="FG36" s="98">
        <f t="shared" si="206"/>
        <v>0</v>
      </c>
      <c r="FH36" s="98">
        <f t="shared" si="206"/>
        <v>0.628900845503459</v>
      </c>
      <c r="FI36" s="98">
        <f t="shared" si="206"/>
        <v>0</v>
      </c>
      <c r="FJ36" s="98">
        <f t="shared" si="206"/>
        <v>5.09579171442607</v>
      </c>
      <c r="FK36" s="98">
        <f t="shared" si="206"/>
        <v>0</v>
      </c>
      <c r="FL36" s="98">
        <f t="shared" si="206"/>
        <v>0</v>
      </c>
      <c r="FM36" s="98">
        <f t="shared" si="206"/>
        <v>4.22676926664335</v>
      </c>
      <c r="FN36" s="98">
        <f t="shared" ref="FN36:GI36" si="207">IFERROR(FN33/FN29,0)</f>
        <v>0</v>
      </c>
      <c r="FO36" s="98">
        <f t="shared" si="207"/>
        <v>0</v>
      </c>
      <c r="FP36" s="98">
        <f t="shared" si="207"/>
        <v>0</v>
      </c>
      <c r="FQ36" s="70">
        <f t="shared" si="207"/>
        <v>0.872212046970021</v>
      </c>
      <c r="FR36" s="98">
        <f t="shared" si="207"/>
        <v>0</v>
      </c>
      <c r="FS36" s="98">
        <f t="shared" si="207"/>
        <v>1.70519136036377</v>
      </c>
      <c r="FT36" s="98">
        <f t="shared" si="207"/>
        <v>0</v>
      </c>
      <c r="FU36" s="98">
        <f t="shared" si="207"/>
        <v>2.55510504976041</v>
      </c>
      <c r="FV36" s="98">
        <f t="shared" si="207"/>
        <v>0</v>
      </c>
      <c r="FW36" s="98">
        <f t="shared" si="207"/>
        <v>1.05940323022174</v>
      </c>
      <c r="FX36" s="98">
        <f t="shared" si="207"/>
        <v>0</v>
      </c>
      <c r="FY36" s="98">
        <f t="shared" si="207"/>
        <v>4.07046388725778</v>
      </c>
      <c r="FZ36" s="98">
        <f t="shared" si="207"/>
        <v>2.00869313242538</v>
      </c>
      <c r="GA36" s="98">
        <f t="shared" si="207"/>
        <v>0</v>
      </c>
      <c r="GB36" s="98">
        <f t="shared" si="207"/>
        <v>0</v>
      </c>
      <c r="GC36" s="98">
        <f t="shared" si="207"/>
        <v>0</v>
      </c>
      <c r="GD36" s="98">
        <f t="shared" si="207"/>
        <v>3.10576164167324</v>
      </c>
      <c r="GE36" s="98">
        <f t="shared" si="207"/>
        <v>0</v>
      </c>
      <c r="GF36" s="98">
        <f t="shared" si="207"/>
        <v>2.5884068538097</v>
      </c>
      <c r="GG36" s="98">
        <f t="shared" si="207"/>
        <v>0</v>
      </c>
      <c r="GH36" s="98">
        <f t="shared" si="207"/>
        <v>0</v>
      </c>
      <c r="GI36" s="98">
        <f t="shared" si="207"/>
        <v>0</v>
      </c>
      <c r="GJ36" s="98">
        <f t="shared" ref="GJ36:GP36" si="208">IFERROR(GJ33/GJ29,0)</f>
        <v>0</v>
      </c>
      <c r="GK36" s="98">
        <f t="shared" si="208"/>
        <v>0</v>
      </c>
      <c r="GL36" s="98">
        <f t="shared" si="208"/>
        <v>0</v>
      </c>
      <c r="GM36" s="98">
        <f t="shared" si="208"/>
        <v>0</v>
      </c>
      <c r="GN36" s="98">
        <f t="shared" si="208"/>
        <v>0</v>
      </c>
      <c r="GO36" s="98">
        <f t="shared" si="208"/>
        <v>0</v>
      </c>
      <c r="GP36" s="98">
        <f t="shared" si="208"/>
        <v>0</v>
      </c>
    </row>
    <row r="37" ht="15" customHeight="1" spans="1:198">
      <c r="A37" s="107"/>
      <c r="B37" s="103"/>
      <c r="C37" s="104" t="s">
        <v>36</v>
      </c>
      <c r="D37" s="100" t="e">
        <f t="shared" ref="D37:O37" si="209">D29/D$130</f>
        <v>#REF!</v>
      </c>
      <c r="E37" s="108" t="e">
        <f t="shared" si="209"/>
        <v>#REF!</v>
      </c>
      <c r="F37" s="108" t="e">
        <f t="shared" si="209"/>
        <v>#REF!</v>
      </c>
      <c r="G37" s="108" t="e">
        <f t="shared" si="209"/>
        <v>#REF!</v>
      </c>
      <c r="H37" s="108" t="e">
        <f t="shared" si="209"/>
        <v>#REF!</v>
      </c>
      <c r="I37" s="108" t="e">
        <f t="shared" si="209"/>
        <v>#REF!</v>
      </c>
      <c r="J37" s="108" t="e">
        <f t="shared" si="209"/>
        <v>#REF!</v>
      </c>
      <c r="K37" s="108" t="e">
        <f t="shared" si="209"/>
        <v>#REF!</v>
      </c>
      <c r="L37" s="108" t="e">
        <f t="shared" si="209"/>
        <v>#REF!</v>
      </c>
      <c r="M37" s="108" t="e">
        <f t="shared" si="209"/>
        <v>#REF!</v>
      </c>
      <c r="N37" s="108" t="e">
        <f t="shared" si="209"/>
        <v>#REF!</v>
      </c>
      <c r="O37" s="108" t="e">
        <f t="shared" si="209"/>
        <v>#REF!</v>
      </c>
      <c r="P37" s="108" t="e">
        <f t="shared" ref="P37:V37" si="210">P29/P$130</f>
        <v>#REF!</v>
      </c>
      <c r="Q37" s="102">
        <f t="shared" si="210"/>
        <v>0.323908722379914</v>
      </c>
      <c r="R37" s="101">
        <f t="shared" si="210"/>
        <v>0.432366835695402</v>
      </c>
      <c r="S37" s="101">
        <f t="shared" ref="S37:AK37" si="211">S29/S$130</f>
        <v>0.381671745755333</v>
      </c>
      <c r="T37" s="101">
        <f t="shared" si="211"/>
        <v>0.482364855426736</v>
      </c>
      <c r="U37" s="101">
        <f t="shared" si="211"/>
        <v>0.437077131258457</v>
      </c>
      <c r="V37" s="101">
        <f t="shared" si="211"/>
        <v>0.380060786787476</v>
      </c>
      <c r="W37" s="101">
        <f t="shared" si="211"/>
        <v>0.403607696419027</v>
      </c>
      <c r="X37" s="101">
        <f t="shared" si="211"/>
        <v>0.445180818862514</v>
      </c>
      <c r="Y37" s="101">
        <f t="shared" si="211"/>
        <v>0.349867374005305</v>
      </c>
      <c r="Z37" s="101">
        <f t="shared" si="211"/>
        <v>0.409766663384858</v>
      </c>
      <c r="AA37" s="101">
        <f t="shared" si="211"/>
        <v>0.433707619594022</v>
      </c>
      <c r="AB37" s="101">
        <f t="shared" si="211"/>
        <v>0.435498452182012</v>
      </c>
      <c r="AC37" s="101">
        <f t="shared" si="211"/>
        <v>0.390167246604557</v>
      </c>
      <c r="AD37" s="101">
        <f t="shared" si="211"/>
        <v>0.420086802015671</v>
      </c>
      <c r="AE37" s="101">
        <f t="shared" si="211"/>
        <v>0.464837361439215</v>
      </c>
      <c r="AF37" s="101">
        <f t="shared" si="211"/>
        <v>0.403420811368325</v>
      </c>
      <c r="AG37" s="101">
        <f t="shared" si="211"/>
        <v>0.256347235595196</v>
      </c>
      <c r="AH37" s="101">
        <f t="shared" si="211"/>
        <v>0.235554391936117</v>
      </c>
      <c r="AI37" s="101">
        <f t="shared" si="211"/>
        <v>0.416030976836931</v>
      </c>
      <c r="AJ37" s="101">
        <f t="shared" si="211"/>
        <v>0.180608014739751</v>
      </c>
      <c r="AK37" s="101">
        <f t="shared" si="211"/>
        <v>0.182333620082897</v>
      </c>
      <c r="AL37" s="101">
        <f t="shared" ref="AL37:BH37" si="212">AL29/AL$130</f>
        <v>0.109320133688708</v>
      </c>
      <c r="AM37" s="101">
        <f t="shared" si="212"/>
        <v>0.20541958041958</v>
      </c>
      <c r="AN37" s="101">
        <f t="shared" si="212"/>
        <v>0.225814209152123</v>
      </c>
      <c r="AO37" s="101">
        <f t="shared" si="212"/>
        <v>0.231422787162723</v>
      </c>
      <c r="AP37" s="101">
        <f t="shared" si="212"/>
        <v>0.250266951414843</v>
      </c>
      <c r="AQ37" s="101">
        <f t="shared" si="212"/>
        <v>0.271209292677868</v>
      </c>
      <c r="AR37" s="101">
        <f t="shared" si="212"/>
        <v>0.251980640586948</v>
      </c>
      <c r="AS37" s="101">
        <f t="shared" si="212"/>
        <v>0.136237974123632</v>
      </c>
      <c r="AT37" s="101">
        <f t="shared" si="212"/>
        <v>0.160957160520765</v>
      </c>
      <c r="AU37" s="101">
        <f t="shared" si="212"/>
        <v>0.217818381645831</v>
      </c>
      <c r="AV37" s="101">
        <f t="shared" si="212"/>
        <v>0.192454382291355</v>
      </c>
      <c r="AW37" s="102">
        <f t="shared" si="212"/>
        <v>0.0619979928517351</v>
      </c>
      <c r="AX37" s="101">
        <f t="shared" si="212"/>
        <v>0.205146924621281</v>
      </c>
      <c r="AY37" s="101">
        <f t="shared" si="212"/>
        <v>0.210808162122432</v>
      </c>
      <c r="AZ37" s="101">
        <f t="shared" si="212"/>
        <v>0.143120110446387</v>
      </c>
      <c r="BA37" s="101">
        <f t="shared" si="212"/>
        <v>0.118621375564226</v>
      </c>
      <c r="BB37" s="101">
        <f t="shared" si="212"/>
        <v>0.154348384257052</v>
      </c>
      <c r="BC37" s="101">
        <f t="shared" si="212"/>
        <v>0.0800367632979742</v>
      </c>
      <c r="BD37" s="101">
        <f t="shared" si="212"/>
        <v>0.127439903377878</v>
      </c>
      <c r="BE37" s="101">
        <f t="shared" si="212"/>
        <v>0.129596030658718</v>
      </c>
      <c r="BF37" s="101">
        <f t="shared" si="212"/>
        <v>0.117754450022821</v>
      </c>
      <c r="BG37" s="101">
        <f t="shared" si="212"/>
        <v>0.0220381429397033</v>
      </c>
      <c r="BH37" s="101">
        <f t="shared" si="212"/>
        <v>0</v>
      </c>
      <c r="BI37" s="101">
        <f t="shared" ref="BI37:BW37" si="213">BI29/BI$130</f>
        <v>0</v>
      </c>
      <c r="BJ37" s="101">
        <f t="shared" si="213"/>
        <v>0</v>
      </c>
      <c r="BK37" s="101">
        <f t="shared" si="213"/>
        <v>0</v>
      </c>
      <c r="BL37" s="101">
        <f t="shared" si="213"/>
        <v>0</v>
      </c>
      <c r="BM37" s="101">
        <f t="shared" si="213"/>
        <v>0</v>
      </c>
      <c r="BN37" s="101">
        <f t="shared" si="213"/>
        <v>0</v>
      </c>
      <c r="BO37" s="101">
        <f t="shared" si="213"/>
        <v>0</v>
      </c>
      <c r="BP37" s="101">
        <f t="shared" si="213"/>
        <v>0</v>
      </c>
      <c r="BQ37" s="101">
        <f t="shared" si="213"/>
        <v>0</v>
      </c>
      <c r="BR37" s="101">
        <f t="shared" si="213"/>
        <v>0</v>
      </c>
      <c r="BS37" s="101">
        <f t="shared" si="213"/>
        <v>0</v>
      </c>
      <c r="BT37" s="101">
        <f t="shared" si="213"/>
        <v>0</v>
      </c>
      <c r="BU37" s="101">
        <f t="shared" si="213"/>
        <v>0</v>
      </c>
      <c r="BV37" s="101">
        <f t="shared" si="213"/>
        <v>0</v>
      </c>
      <c r="BW37" s="101">
        <f t="shared" si="213"/>
        <v>0</v>
      </c>
      <c r="BX37" s="101">
        <f t="shared" ref="BX37:CH37" si="214">BX29/BX$130</f>
        <v>0</v>
      </c>
      <c r="BY37" s="101">
        <f t="shared" si="214"/>
        <v>0</v>
      </c>
      <c r="BZ37" s="102">
        <f t="shared" si="214"/>
        <v>0</v>
      </c>
      <c r="CA37" s="101">
        <f t="shared" si="214"/>
        <v>0</v>
      </c>
      <c r="CB37" s="101">
        <f t="shared" si="214"/>
        <v>0</v>
      </c>
      <c r="CC37" s="101">
        <f t="shared" si="214"/>
        <v>0</v>
      </c>
      <c r="CD37" s="101">
        <f t="shared" si="214"/>
        <v>0</v>
      </c>
      <c r="CE37" s="101">
        <f t="shared" si="214"/>
        <v>0</v>
      </c>
      <c r="CF37" s="101">
        <f t="shared" si="214"/>
        <v>0</v>
      </c>
      <c r="CG37" s="101">
        <f t="shared" si="214"/>
        <v>0</v>
      </c>
      <c r="CH37" s="101">
        <f t="shared" si="214"/>
        <v>0</v>
      </c>
      <c r="CI37" s="101">
        <f t="shared" ref="CI37:EH37" si="215">CI29/CI$130</f>
        <v>0</v>
      </c>
      <c r="CJ37" s="101">
        <f t="shared" si="215"/>
        <v>0</v>
      </c>
      <c r="CK37" s="101">
        <f t="shared" si="215"/>
        <v>0</v>
      </c>
      <c r="CL37" s="101">
        <f t="shared" si="215"/>
        <v>0</v>
      </c>
      <c r="CM37" s="101">
        <f t="shared" si="215"/>
        <v>0</v>
      </c>
      <c r="CN37" s="101">
        <f t="shared" si="215"/>
        <v>0</v>
      </c>
      <c r="CO37" s="101">
        <f t="shared" si="215"/>
        <v>0</v>
      </c>
      <c r="CP37" s="101">
        <f t="shared" si="215"/>
        <v>0</v>
      </c>
      <c r="CQ37" s="101">
        <f t="shared" si="215"/>
        <v>0</v>
      </c>
      <c r="CR37" s="101">
        <f t="shared" si="215"/>
        <v>0</v>
      </c>
      <c r="CS37" s="101">
        <f t="shared" si="215"/>
        <v>0</v>
      </c>
      <c r="CT37" s="101">
        <f t="shared" si="215"/>
        <v>0</v>
      </c>
      <c r="CU37" s="101">
        <f t="shared" si="215"/>
        <v>0</v>
      </c>
      <c r="CV37" s="101">
        <f t="shared" si="215"/>
        <v>0</v>
      </c>
      <c r="CW37" s="101">
        <f t="shared" si="215"/>
        <v>0</v>
      </c>
      <c r="CX37" s="101">
        <f t="shared" si="215"/>
        <v>0</v>
      </c>
      <c r="CY37" s="101">
        <f t="shared" si="215"/>
        <v>0</v>
      </c>
      <c r="CZ37" s="101">
        <f t="shared" si="215"/>
        <v>0</v>
      </c>
      <c r="DA37" s="101">
        <f t="shared" si="215"/>
        <v>0</v>
      </c>
      <c r="DB37" s="101">
        <f t="shared" si="215"/>
        <v>0</v>
      </c>
      <c r="DC37" s="101">
        <f t="shared" si="215"/>
        <v>0</v>
      </c>
      <c r="DD37" s="101">
        <f t="shared" si="215"/>
        <v>0</v>
      </c>
      <c r="DE37" s="101">
        <f t="shared" si="215"/>
        <v>0</v>
      </c>
      <c r="DF37" s="102">
        <f t="shared" si="215"/>
        <v>0.214985718529777</v>
      </c>
      <c r="DG37" s="101">
        <f t="shared" si="215"/>
        <v>0</v>
      </c>
      <c r="DH37" s="101">
        <f t="shared" si="215"/>
        <v>0</v>
      </c>
      <c r="DI37" s="101">
        <f t="shared" si="215"/>
        <v>0.177866600049963</v>
      </c>
      <c r="DJ37" s="101">
        <f t="shared" si="215"/>
        <v>0.187272931570471</v>
      </c>
      <c r="DK37" s="101">
        <f t="shared" si="215"/>
        <v>0.318715693796848</v>
      </c>
      <c r="DL37" s="101">
        <f t="shared" si="215"/>
        <v>0.188274277968144</v>
      </c>
      <c r="DM37" s="101">
        <f t="shared" si="215"/>
        <v>0.197083169097359</v>
      </c>
      <c r="DN37" s="101">
        <f t="shared" si="215"/>
        <v>0.308870108449738</v>
      </c>
      <c r="DO37" s="101">
        <f t="shared" si="215"/>
        <v>0.282560126166382</v>
      </c>
      <c r="DP37" s="101">
        <f t="shared" si="215"/>
        <v>0.161211055502953</v>
      </c>
      <c r="DQ37" s="101">
        <f t="shared" si="215"/>
        <v>0.235974533535048</v>
      </c>
      <c r="DR37" s="101">
        <f t="shared" si="215"/>
        <v>0.242013584218907</v>
      </c>
      <c r="DS37" s="101">
        <f t="shared" si="215"/>
        <v>0.164172579614622</v>
      </c>
      <c r="DT37" s="101">
        <f t="shared" si="215"/>
        <v>0.173150545083312</v>
      </c>
      <c r="DU37" s="101">
        <f t="shared" si="215"/>
        <v>0.245362452308907</v>
      </c>
      <c r="DV37" s="101">
        <f t="shared" si="215"/>
        <v>0.286044166047351</v>
      </c>
      <c r="DW37" s="101">
        <f t="shared" si="215"/>
        <v>0.0752223966509681</v>
      </c>
      <c r="DX37" s="101">
        <f t="shared" si="215"/>
        <v>0.000244038488355878</v>
      </c>
      <c r="DY37" s="101">
        <f t="shared" si="215"/>
        <v>0</v>
      </c>
      <c r="DZ37" s="101">
        <f t="shared" si="215"/>
        <v>0</v>
      </c>
      <c r="EA37" s="101">
        <f t="shared" si="215"/>
        <v>0</v>
      </c>
      <c r="EB37" s="101">
        <f t="shared" si="215"/>
        <v>0.338481607096269</v>
      </c>
      <c r="EC37" s="101">
        <f t="shared" si="215"/>
        <v>0.26699141730457</v>
      </c>
      <c r="ED37" s="101">
        <f t="shared" si="215"/>
        <v>0.217860392564669</v>
      </c>
      <c r="EE37" s="101">
        <f t="shared" si="215"/>
        <v>0.270088696746433</v>
      </c>
      <c r="EF37" s="101">
        <f t="shared" si="215"/>
        <v>0.272282131838895</v>
      </c>
      <c r="EG37" s="101">
        <f t="shared" si="215"/>
        <v>0.323266787658802</v>
      </c>
      <c r="EH37" s="101">
        <f t="shared" si="215"/>
        <v>0.338276553106212</v>
      </c>
      <c r="EI37" s="101">
        <f t="shared" ref="EI37:FM37" si="216">EI29/EI$130</f>
        <v>0.349399842949557</v>
      </c>
      <c r="EJ37" s="101">
        <f t="shared" si="216"/>
        <v>0.284674796747967</v>
      </c>
      <c r="EK37" s="102">
        <f t="shared" si="216"/>
        <v>0.227097397272519</v>
      </c>
      <c r="EL37" s="101">
        <f t="shared" si="216"/>
        <v>0.358663218619455</v>
      </c>
      <c r="EM37" s="101">
        <f t="shared" si="216"/>
        <v>0.352552779880562</v>
      </c>
      <c r="EN37" s="101">
        <f t="shared" si="216"/>
        <v>0.390600684718332</v>
      </c>
      <c r="EO37" s="101">
        <f t="shared" si="216"/>
        <v>0.366682914940288</v>
      </c>
      <c r="EP37" s="101">
        <f t="shared" si="216"/>
        <v>0.386114170686315</v>
      </c>
      <c r="EQ37" s="101">
        <f t="shared" si="216"/>
        <v>0.307463042441583</v>
      </c>
      <c r="ER37" s="101">
        <f t="shared" si="216"/>
        <v>0.295953994660094</v>
      </c>
      <c r="ES37" s="101">
        <f t="shared" si="216"/>
        <v>0.216142208429364</v>
      </c>
      <c r="ET37" s="101">
        <f t="shared" si="216"/>
        <v>0.239556289827708</v>
      </c>
      <c r="EU37" s="101">
        <f t="shared" si="216"/>
        <v>0.260697702107394</v>
      </c>
      <c r="EV37" s="101">
        <f t="shared" si="216"/>
        <v>0.224103585657371</v>
      </c>
      <c r="EW37" s="101">
        <f t="shared" si="216"/>
        <v>0.216750227894257</v>
      </c>
      <c r="EX37" s="101">
        <f t="shared" si="216"/>
        <v>0.147692939485495</v>
      </c>
      <c r="EY37" s="101">
        <f t="shared" si="216"/>
        <v>0.216817730320338</v>
      </c>
      <c r="EZ37" s="101">
        <f t="shared" si="216"/>
        <v>0.164662349676226</v>
      </c>
      <c r="FA37" s="101">
        <f t="shared" si="216"/>
        <v>0.263887895903339</v>
      </c>
      <c r="FB37" s="101">
        <f t="shared" si="216"/>
        <v>0.254514612856487</v>
      </c>
      <c r="FC37" s="101">
        <f t="shared" si="216"/>
        <v>0.19191444353038</v>
      </c>
      <c r="FD37" s="101">
        <f t="shared" si="216"/>
        <v>0.217378784061049</v>
      </c>
      <c r="FE37" s="101">
        <f t="shared" si="216"/>
        <v>0.20359489343518</v>
      </c>
      <c r="FF37" s="101">
        <f t="shared" si="216"/>
        <v>0.159835639238531</v>
      </c>
      <c r="FG37" s="101">
        <f t="shared" si="216"/>
        <v>0.158023379383634</v>
      </c>
      <c r="FH37" s="101">
        <f t="shared" si="216"/>
        <v>0.171143676497672</v>
      </c>
      <c r="FI37" s="101">
        <f t="shared" si="216"/>
        <v>0.192706582801172</v>
      </c>
      <c r="FJ37" s="101">
        <f t="shared" si="216"/>
        <v>0.156734421517298</v>
      </c>
      <c r="FK37" s="101">
        <f t="shared" si="216"/>
        <v>0.203887688984881</v>
      </c>
      <c r="FL37" s="101">
        <f t="shared" si="216"/>
        <v>0.194181612766558</v>
      </c>
      <c r="FM37" s="101">
        <f t="shared" si="216"/>
        <v>0.23482546201232</v>
      </c>
      <c r="FN37" s="101">
        <f t="shared" ref="FN37:GI37" si="217">FN29/FN$130</f>
        <v>0.154376953306309</v>
      </c>
      <c r="FO37" s="101">
        <f t="shared" si="217"/>
        <v>0.142432285504141</v>
      </c>
      <c r="FP37" s="101">
        <f t="shared" si="217"/>
        <v>0.236683059785507</v>
      </c>
      <c r="FQ37" s="102">
        <f t="shared" si="217"/>
        <v>0.170797931839542</v>
      </c>
      <c r="FR37" s="101">
        <f t="shared" si="217"/>
        <v>0.17493923500064</v>
      </c>
      <c r="FS37" s="101">
        <f t="shared" si="217"/>
        <v>0.175687371013914</v>
      </c>
      <c r="FT37" s="101">
        <f t="shared" si="217"/>
        <v>0.144601174280395</v>
      </c>
      <c r="FU37" s="101">
        <f t="shared" si="217"/>
        <v>0.163433734939759</v>
      </c>
      <c r="FV37" s="101">
        <f t="shared" si="217"/>
        <v>0.0989866207444695</v>
      </c>
      <c r="FW37" s="101">
        <f t="shared" si="217"/>
        <v>0.216846729193874</v>
      </c>
      <c r="FX37" s="101">
        <f t="shared" si="217"/>
        <v>0.22980216622458</v>
      </c>
      <c r="FY37" s="101">
        <f t="shared" si="217"/>
        <v>0.190470864556537</v>
      </c>
      <c r="FZ37" s="101">
        <f t="shared" si="217"/>
        <v>0.197177465432522</v>
      </c>
      <c r="GA37" s="101">
        <f t="shared" si="217"/>
        <v>0.164743031358885</v>
      </c>
      <c r="GB37" s="101">
        <f t="shared" si="217"/>
        <v>0.163094555873926</v>
      </c>
      <c r="GC37" s="101">
        <f t="shared" si="217"/>
        <v>0.120432805394386</v>
      </c>
      <c r="GD37" s="101">
        <f t="shared" si="217"/>
        <v>0.21</v>
      </c>
      <c r="GE37" s="101">
        <f t="shared" si="217"/>
        <v>0.182975273611674</v>
      </c>
      <c r="GF37" s="101">
        <f t="shared" si="217"/>
        <v>0.154945489465062</v>
      </c>
      <c r="GG37" s="101">
        <f t="shared" si="217"/>
        <v>0.164763256991172</v>
      </c>
      <c r="GH37" s="101">
        <f t="shared" si="217"/>
        <v>0.108563417763627</v>
      </c>
      <c r="GI37" s="101">
        <f t="shared" si="217"/>
        <v>0.104726256688721</v>
      </c>
      <c r="GJ37" s="101">
        <f t="shared" ref="GJ37:GP37" si="218">GJ29/GJ$130</f>
        <v>0.201350867318221</v>
      </c>
      <c r="GK37" s="101">
        <f t="shared" si="218"/>
        <v>0.188534070907719</v>
      </c>
      <c r="GL37" s="101">
        <f t="shared" si="218"/>
        <v>0.213082544626812</v>
      </c>
      <c r="GM37" s="101" t="e">
        <f t="shared" si="218"/>
        <v>#DIV/0!</v>
      </c>
      <c r="GN37" s="101" t="e">
        <f t="shared" si="218"/>
        <v>#DIV/0!</v>
      </c>
      <c r="GO37" s="101" t="e">
        <f t="shared" si="218"/>
        <v>#DIV/0!</v>
      </c>
      <c r="GP37" s="101" t="e">
        <f t="shared" si="218"/>
        <v>#DIV/0!</v>
      </c>
    </row>
    <row r="38" s="47" customFormat="1" ht="15" customHeight="1" spans="1:198">
      <c r="A38" s="107"/>
      <c r="B38" s="103" t="s">
        <v>38</v>
      </c>
      <c r="C38" s="109" t="s">
        <v>12</v>
      </c>
      <c r="D38" s="94" t="e">
        <f>SUM(E38:P38)</f>
        <v>#REF!</v>
      </c>
      <c r="E38" s="110" t="e">
        <f>#REF!</f>
        <v>#REF!</v>
      </c>
      <c r="F38" s="110" t="e">
        <f>#REF!</f>
        <v>#REF!</v>
      </c>
      <c r="G38" s="110" t="e">
        <f>#REF!</f>
        <v>#REF!</v>
      </c>
      <c r="H38" s="110" t="e">
        <f>#REF!</f>
        <v>#REF!</v>
      </c>
      <c r="I38" s="110" t="e">
        <f>#REF!</f>
        <v>#REF!</v>
      </c>
      <c r="J38" s="110" t="e">
        <f>#REF!</f>
        <v>#REF!</v>
      </c>
      <c r="K38" s="110" t="e">
        <f>#REF!</f>
        <v>#REF!</v>
      </c>
      <c r="L38" s="110" t="e">
        <f>#REF!</f>
        <v>#REF!</v>
      </c>
      <c r="M38" s="110" t="e">
        <f>#REF!</f>
        <v>#REF!</v>
      </c>
      <c r="N38" s="110" t="e">
        <f>#REF!</f>
        <v>#REF!</v>
      </c>
      <c r="O38" s="110" t="e">
        <f>#REF!</f>
        <v>#REF!</v>
      </c>
      <c r="P38" s="110" t="e">
        <f>#REF!</f>
        <v>#REF!</v>
      </c>
      <c r="Q38" s="65">
        <f>SUM(R38:AV38)</f>
        <v>3316.56</v>
      </c>
      <c r="R38" s="95">
        <f>SUMIFS(营销场景数据源!$H:$H,营销场景数据源!$C:$C,$B$38,营销场景数据源!$A:$A,R2)</f>
        <v>123.17</v>
      </c>
      <c r="S38" s="95">
        <f>SUMIFS(营销场景数据源!$H:$H,营销场景数据源!$C:$C,$B$38,营销场景数据源!$A:$A,S2)</f>
        <v>131.99</v>
      </c>
      <c r="T38" s="95">
        <f>SUMIFS(营销场景数据源!$H:$H,营销场景数据源!$C:$C,$B$38,营销场景数据源!$A:$A,T2)</f>
        <v>137.45</v>
      </c>
      <c r="U38" s="95">
        <f>SUMIFS(营销场景数据源!$H:$H,营销场景数据源!$C:$C,$B$38,营销场景数据源!$A:$A,U2)</f>
        <v>130.88</v>
      </c>
      <c r="V38" s="95">
        <f>SUMIFS(营销场景数据源!$H:$H,营销场景数据源!$C:$C,$B$38,营销场景数据源!$A:$A,V2)</f>
        <v>106.59</v>
      </c>
      <c r="W38" s="95">
        <f>SUMIFS(营销场景数据源!$H:$H,营销场景数据源!$C:$C,$B$38,营销场景数据源!$A:$A,W2)</f>
        <v>111.5</v>
      </c>
      <c r="X38" s="95">
        <f>SUMIFS(营销场景数据源!$H:$H,营销场景数据源!$C:$C,$B$38,营销场景数据源!$A:$A,X2)</f>
        <v>56.79</v>
      </c>
      <c r="Y38" s="95">
        <f>SUMIFS(营销场景数据源!$H:$H,营销场景数据源!$C:$C,$B$38,营销场景数据源!$A:$A,Y2)</f>
        <v>132.27</v>
      </c>
      <c r="Z38" s="95">
        <f>SUMIFS(营销场景数据源!$H:$H,营销场景数据源!$C:$C,$B$38,营销场景数据源!$A:$A,Z2)</f>
        <v>126.04</v>
      </c>
      <c r="AA38" s="95">
        <f>SUMIFS(营销场景数据源!$H:$H,营销场景数据源!$C:$C,$B$38,营销场景数据源!$A:$A,AA2)</f>
        <v>97.79</v>
      </c>
      <c r="AB38" s="95">
        <f>SUMIFS(营销场景数据源!$H:$H,营销场景数据源!$C:$C,$B$38,营销场景数据源!$A:$A,AB2)</f>
        <v>95.3</v>
      </c>
      <c r="AC38" s="95">
        <f>SUMIFS(营销场景数据源!$H:$H,营销场景数据源!$C:$C,$B$38,营销场景数据源!$A:$A,AC2)</f>
        <v>105.73</v>
      </c>
      <c r="AD38" s="95">
        <f>SUMIFS(营销场景数据源!$H:$H,营销场景数据源!$C:$C,$B$38,营销场景数据源!$A:$A,AD2)</f>
        <v>85.53</v>
      </c>
      <c r="AE38" s="95">
        <f>SUMIFS(营销场景数据源!$H:$H,营销场景数据源!$C:$C,$B$38,营销场景数据源!$A:$A,AE2)</f>
        <v>91.78</v>
      </c>
      <c r="AF38" s="95">
        <f>SUMIFS(营销场景数据源!$H:$H,营销场景数据源!$C:$C,$B$38,营销场景数据源!$A:$A,AF2)</f>
        <v>95.19</v>
      </c>
      <c r="AG38" s="95">
        <f>SUMIFS(营销场景数据源!$H:$H,营销场景数据源!$C:$C,$B$38,营销场景数据源!$A:$A,AG2)</f>
        <v>182.7</v>
      </c>
      <c r="AH38" s="95">
        <f>SUMIFS(营销场景数据源!$H:$H,营销场景数据源!$C:$C,$B$38,营销场景数据源!$A:$A,AH2)</f>
        <v>180.41</v>
      </c>
      <c r="AI38" s="95">
        <f>SUMIFS(营销场景数据源!$H:$H,营销场景数据源!$C:$C,$B$38,营销场景数据源!$A:$A,AI2)</f>
        <v>141.73</v>
      </c>
      <c r="AJ38" s="95">
        <f>SUMIFS(营销场景数据源!$H:$H,营销场景数据源!$C:$C,$B$38,营销场景数据源!$A:$A,AJ2)</f>
        <v>240.7</v>
      </c>
      <c r="AK38" s="95">
        <f>SUMIFS(营销场景数据源!$H:$H,营销场景数据源!$C:$C,$B$38,营销场景数据源!$A:$A,AK2)</f>
        <v>91.4</v>
      </c>
      <c r="AL38" s="95">
        <f>SUMIFS(营销场景数据源!$H:$H,营销场景数据源!$C:$C,$B$38,营销场景数据源!$A:$A,AL2)</f>
        <v>95.29</v>
      </c>
      <c r="AM38" s="95">
        <f>SUMIFS(营销场景数据源!$H:$H,营销场景数据源!$C:$C,$B$38,营销场景数据源!$A:$A,AM2)</f>
        <v>84.89</v>
      </c>
      <c r="AN38" s="95">
        <f>SUMIFS(营销场景数据源!$H:$H,营销场景数据源!$C:$C,$B$38,营销场景数据源!$A:$A,AN2)</f>
        <v>66.02</v>
      </c>
      <c r="AO38" s="95">
        <f>SUMIFS(营销场景数据源!$H:$H,营销场景数据源!$C:$C,$B$38,营销场景数据源!$A:$A,AO2)</f>
        <v>80</v>
      </c>
      <c r="AP38" s="95">
        <f>SUMIFS(营销场景数据源!$H:$H,营销场景数据源!$C:$C,$B$38,营销场景数据源!$A:$A,AP2)</f>
        <v>80</v>
      </c>
      <c r="AQ38" s="95">
        <f>SUMIFS(营销场景数据源!$H:$H,营销场景数据源!$C:$C,$B$38,营销场景数据源!$A:$A,AQ2)</f>
        <v>59.97</v>
      </c>
      <c r="AR38" s="95">
        <f>SUMIFS(营销场景数据源!$H:$H,营销场景数据源!$C:$C,$B$38,营销场景数据源!$A:$A,AR2)</f>
        <v>80</v>
      </c>
      <c r="AS38" s="95">
        <f>SUMIFS(营销场景数据源!$H:$H,营销场景数据源!$C:$C,$B$38,营销场景数据源!$A:$A,AS2)</f>
        <v>73.55</v>
      </c>
      <c r="AT38" s="95">
        <f>SUMIFS(营销场景数据源!$H:$H,营销场景数据源!$C:$C,$B$38,营销场景数据源!$A:$A,AT2)</f>
        <v>80</v>
      </c>
      <c r="AU38" s="95">
        <f>SUMIFS(营销场景数据源!$H:$H,营销场景数据源!$C:$C,$B$38,营销场景数据源!$A:$A,AU2)</f>
        <v>71.9</v>
      </c>
      <c r="AV38" s="95">
        <f>SUMIFS(营销场景数据源!$H:$H,营销场景数据源!$C:$C,$B$38,营销场景数据源!$A:$A,AV2)</f>
        <v>80</v>
      </c>
      <c r="AW38" s="65">
        <f>SUM(AX38:BY38)</f>
        <v>2078.67</v>
      </c>
      <c r="AX38" s="95">
        <f>SUMIFS(营销场景数据源!$H:$H,营销场景数据源!$C:$C,$B$38,营销场景数据源!$A:$A,AX2)</f>
        <v>73.48</v>
      </c>
      <c r="AY38" s="95">
        <f>SUMIFS(营销场景数据源!$H:$H,营销场景数据源!$C:$C,$B$38,营销场景数据源!$A:$A,AY2)</f>
        <v>80</v>
      </c>
      <c r="AZ38" s="95">
        <f>SUMIFS(营销场景数据源!$H:$H,营销场景数据源!$C:$C,$B$38,营销场景数据源!$A:$A,AZ2)</f>
        <v>72.34</v>
      </c>
      <c r="BA38" s="95">
        <f>SUMIFS(营销场景数据源!$H:$H,营销场景数据源!$C:$C,$B$38,营销场景数据源!$A:$A,BA2)</f>
        <v>66.86</v>
      </c>
      <c r="BB38" s="95">
        <f>SUMIFS(营销场景数据源!$H:$H,营销场景数据源!$C:$C,$B$38,营销场景数据源!$A:$A,BB2)</f>
        <v>80</v>
      </c>
      <c r="BC38" s="95">
        <f>SUMIFS(营销场景数据源!$H:$H,营销场景数据源!$C:$C,$B$38,营销场景数据源!$A:$A,BC2)</f>
        <v>75.5</v>
      </c>
      <c r="BD38" s="95">
        <f>SUMIFS(营销场景数据源!$H:$H,营销场景数据源!$C:$C,$B$38,营销场景数据源!$A:$A,BD2)</f>
        <v>80</v>
      </c>
      <c r="BE38" s="95">
        <f>SUMIFS(营销场景数据源!$H:$H,营销场景数据源!$C:$C,$B$38,营销场景数据源!$A:$A,BE2)</f>
        <v>80</v>
      </c>
      <c r="BF38" s="95">
        <f>SUMIFS(营销场景数据源!$H:$H,营销场景数据源!$C:$C,$B$38,营销场景数据源!$A:$A,BF2)</f>
        <v>80</v>
      </c>
      <c r="BG38" s="95">
        <f>SUMIFS(营销场景数据源!$H:$H,营销场景数据源!$C:$C,$B$38,营销场景数据源!$A:$A,BG2)</f>
        <v>80</v>
      </c>
      <c r="BH38" s="95">
        <f>SUMIFS(营销场景数据源!$H:$H,营销场景数据源!$C:$C,$B$38,营销场景数据源!$A:$A,BH2)</f>
        <v>80</v>
      </c>
      <c r="BI38" s="95">
        <f>SUMIFS(营销场景数据源!$H:$H,营销场景数据源!$C:$C,$B$38,营销场景数据源!$A:$A,BI2)</f>
        <v>74.49</v>
      </c>
      <c r="BJ38" s="95">
        <f>SUMIFS(营销场景数据源!$H:$H,营销场景数据源!$C:$C,$B$38,营销场景数据源!$A:$A,BJ2)</f>
        <v>80</v>
      </c>
      <c r="BK38" s="95">
        <f>SUMIFS(营销场景数据源!$H:$H,营销场景数据源!$C:$C,$B$38,营销场景数据源!$A:$A,BK2)</f>
        <v>80</v>
      </c>
      <c r="BL38" s="95">
        <f>SUMIFS(营销场景数据源!$H:$H,营销场景数据源!$C:$C,$B$38,营销场景数据源!$A:$A,BL2)</f>
        <v>74.55</v>
      </c>
      <c r="BM38" s="95">
        <f>SUMIFS(营销场景数据源!$H:$H,营销场景数据源!$C:$C,$B$38,营销场景数据源!$A:$A,BM2)</f>
        <v>40.4</v>
      </c>
      <c r="BN38" s="95">
        <f>SUMIFS(营销场景数据源!$H:$H,营销场景数据源!$C:$C,$B$38,营销场景数据源!$A:$A,BN2)</f>
        <v>68.05</v>
      </c>
      <c r="BO38" s="95">
        <f>SUMIFS(营销场景数据源!$H:$H,营销场景数据源!$C:$C,$B$38,营销场景数据源!$A:$A,BO2)</f>
        <v>67.43</v>
      </c>
      <c r="BP38" s="95">
        <f>SUMIFS(营销场景数据源!$H:$H,营销场景数据源!$C:$C,$B$38,营销场景数据源!$A:$A,BP2)</f>
        <v>72.84</v>
      </c>
      <c r="BQ38" s="95">
        <f>SUMIFS(营销场景数据源!$H:$H,营销场景数据源!$C:$C,$B$38,营销场景数据源!$A:$A,BQ2)</f>
        <v>75.43</v>
      </c>
      <c r="BR38" s="95">
        <f>SUMIFS(营销场景数据源!$H:$H,营销场景数据源!$C:$C,$B$38,营销场景数据源!$A:$A,BR2)</f>
        <v>68.8</v>
      </c>
      <c r="BS38" s="95">
        <f>SUMIFS(营销场景数据源!$H:$H,营销场景数据源!$C:$C,$B$38,营销场景数据源!$A:$A,BS2)</f>
        <v>66.01</v>
      </c>
      <c r="BT38" s="95">
        <f>SUMIFS(营销场景数据源!$H:$H,营销场景数据源!$C:$C,$B$38,营销场景数据源!$A:$A,BT2)</f>
        <v>71.05</v>
      </c>
      <c r="BU38" s="95">
        <f>SUMIFS(营销场景数据源!$H:$H,营销场景数据源!$C:$C,$B$38,营销场景数据源!$A:$A,BU2)</f>
        <v>80</v>
      </c>
      <c r="BV38" s="95">
        <f>SUMIFS(营销场景数据源!$H:$H,营销场景数据源!$C:$C,$B$38,营销场景数据源!$A:$A,BV2)</f>
        <v>71.44</v>
      </c>
      <c r="BW38" s="95">
        <f>SUMIFS(营销场景数据源!$H:$H,营销场景数据源!$C:$C,$B$38,营销场景数据源!$A:$A,BW2)</f>
        <v>80</v>
      </c>
      <c r="BX38" s="95">
        <f>SUMIFS(营销场景数据源!$H:$H,营销场景数据源!$C:$C,$B$38,营销场景数据源!$A:$A,BX2)</f>
        <v>80</v>
      </c>
      <c r="BY38" s="95">
        <f>SUMIFS(营销场景数据源!$H:$H,营销场景数据源!$C:$C,$B$38,营销场景数据源!$A:$A,BY2)</f>
        <v>80</v>
      </c>
      <c r="BZ38" s="65">
        <f>SUM(CA38:DE38)</f>
        <v>2480.16</v>
      </c>
      <c r="CA38" s="95">
        <f>SUMIFS(营销场景数据源!$H:$H,营销场景数据源!$C:$C,$B$38,营销场景数据源!$A:$A,CA2)</f>
        <v>69.93</v>
      </c>
      <c r="CB38" s="95">
        <f>SUMIFS(营销场景数据源!$H:$H,营销场景数据源!$C:$C,$B$38,营销场景数据源!$A:$A,CB2)</f>
        <v>79.56</v>
      </c>
      <c r="CC38" s="95">
        <f>SUMIFS(营销场景数据源!$H:$H,营销场景数据源!$C:$C,$B$38,营销场景数据源!$A:$A,CC2)</f>
        <v>80</v>
      </c>
      <c r="CD38" s="95">
        <f>SUMIFS(营销场景数据源!$H:$H,营销场景数据源!$C:$C,$B$38,营销场景数据源!$A:$A,CD2)</f>
        <v>80</v>
      </c>
      <c r="CE38" s="95">
        <f>SUMIFS(营销场景数据源!$H:$H,营销场景数据源!$C:$C,$B$38,营销场景数据源!$A:$A,CE2)</f>
        <v>66.54</v>
      </c>
      <c r="CF38" s="95">
        <f>SUMIFS(营销场景数据源!$H:$H,营销场景数据源!$C:$C,$B$38,营销场景数据源!$A:$A,CF2)</f>
        <v>80</v>
      </c>
      <c r="CG38" s="95">
        <f>SUMIFS(营销场景数据源!$H:$H,营销场景数据源!$C:$C,$B$38,营销场景数据源!$A:$A,CG2)</f>
        <v>78.73</v>
      </c>
      <c r="CH38" s="95">
        <f>SUMIFS(营销场景数据源!$H:$H,营销场景数据源!$C:$C,$B$38,营销场景数据源!$A:$A,CH2)</f>
        <v>80</v>
      </c>
      <c r="CI38" s="95">
        <f>SUMIFS(营销场景数据源!$H:$H,营销场景数据源!$C:$C,$B$38,营销场景数据源!$A:$A,CI2)</f>
        <v>80</v>
      </c>
      <c r="CJ38" s="95">
        <f>SUMIFS(营销场景数据源!$H:$H,营销场景数据源!$C:$C,$B$38,营销场景数据源!$A:$A,CJ2)</f>
        <v>80</v>
      </c>
      <c r="CK38" s="95">
        <f>SUMIFS(营销场景数据源!$H:$H,营销场景数据源!$C:$C,$B$38,营销场景数据源!$A:$A,CK2)</f>
        <v>77.6</v>
      </c>
      <c r="CL38" s="95">
        <f>SUMIFS(营销场景数据源!$H:$H,营销场景数据源!$C:$C,$B$38,营销场景数据源!$A:$A,CL2)</f>
        <v>26.69</v>
      </c>
      <c r="CM38" s="95">
        <f>SUMIFS(营销场景数据源!$H:$H,营销场景数据源!$C:$C,$B$38,营销场景数据源!$A:$A,CM2)</f>
        <v>67.73</v>
      </c>
      <c r="CN38" s="95">
        <f>SUMIFS(营销场景数据源!$H:$H,营销场景数据源!$C:$C,$B$38,营销场景数据源!$A:$A,CN2)</f>
        <v>76.42</v>
      </c>
      <c r="CO38" s="95">
        <f>SUMIFS(营销场景数据源!$H:$H,营销场景数据源!$C:$C,$B$38,营销场景数据源!$A:$A,CO2)</f>
        <v>80</v>
      </c>
      <c r="CP38" s="95">
        <f>SUMIFS(营销场景数据源!$H:$H,营销场景数据源!$C:$C,$B$38,营销场景数据源!$A:$A,CP2)</f>
        <v>65.74</v>
      </c>
      <c r="CQ38" s="95">
        <f>SUMIFS(营销场景数据源!$H:$H,营销场景数据源!$C:$C,$B$38,营销场景数据源!$A:$A,CQ2)</f>
        <v>73.37</v>
      </c>
      <c r="CR38" s="95">
        <f>SUMIFS(营销场景数据源!$H:$H,营销场景数据源!$C:$C,$B$38,营销场景数据源!$A:$A,CR2)</f>
        <v>60</v>
      </c>
      <c r="CS38" s="95">
        <f>SUMIFS(营销场景数据源!$H:$H,营销场景数据源!$C:$C,$B$38,营销场景数据源!$A:$A,CS2)</f>
        <v>110</v>
      </c>
      <c r="CT38" s="95">
        <f>SUMIFS(营销场景数据源!$H:$H,营销场景数据源!$C:$C,$B$38,营销场景数据源!$A:$A,CT2)</f>
        <v>110</v>
      </c>
      <c r="CU38" s="95">
        <f>SUMIFS(营销场景数据源!$H:$H,营销场景数据源!$C:$C,$B$38,营销场景数据源!$A:$A,CU2)</f>
        <v>60</v>
      </c>
      <c r="CV38" s="95">
        <f>SUMIFS(营销场景数据源!$H:$H,营销场景数据源!$C:$C,$B$38,营销场景数据源!$A:$A,CV2)</f>
        <v>50.77</v>
      </c>
      <c r="CW38" s="95">
        <f>SUMIFS(营销场景数据源!$H:$H,营销场景数据源!$C:$C,$B$38,营销场景数据源!$A:$A,CW2)</f>
        <v>110</v>
      </c>
      <c r="CX38" s="95">
        <f>SUMIFS(营销场景数据源!$H:$H,营销场景数据源!$C:$C,$B$38,营销场景数据源!$A:$A,CX2)</f>
        <v>110</v>
      </c>
      <c r="CY38" s="95">
        <f>SUMIFS(营销场景数据源!$H:$H,营销场景数据源!$C:$C,$B$38,营销场景数据源!$A:$A,CY2)</f>
        <v>110</v>
      </c>
      <c r="CZ38" s="95">
        <f>SUMIFS(营销场景数据源!$H:$H,营销场景数据源!$C:$C,$B$38,营销场景数据源!$A:$A,CZ2)</f>
        <v>124.48</v>
      </c>
      <c r="DA38" s="95">
        <f>SUMIFS(营销场景数据源!$H:$H,营销场景数据源!$C:$C,$B$38,营销场景数据源!$A:$A,DA2)</f>
        <v>96.81</v>
      </c>
      <c r="DB38" s="95">
        <f>SUMIFS(营销场景数据源!$H:$H,营销场景数据源!$C:$C,$B$38,营销场景数据源!$A:$A,DB2)</f>
        <v>88.25</v>
      </c>
      <c r="DC38" s="95">
        <f>SUMIFS(营销场景数据源!$H:$H,营销场景数据源!$C:$C,$B$38,营销场景数据源!$A:$A,DC2)</f>
        <v>93.86</v>
      </c>
      <c r="DD38" s="95">
        <f>SUMIFS(营销场景数据源!$H:$H,营销场景数据源!$C:$C,$B$38,营销场景数据源!$A:$A,DD2)</f>
        <v>65.26</v>
      </c>
      <c r="DE38" s="95">
        <f>SUMIFS(营销场景数据源!$H:$H,营销场景数据源!$C:$C,$B$38,营销场景数据源!$A:$A,DE2)</f>
        <v>48.42</v>
      </c>
      <c r="DF38" s="65">
        <f>SUM(DG38:EJ38)</f>
        <v>1847.72</v>
      </c>
      <c r="DG38" s="95">
        <f>SUMIFS(营销场景数据源!$H:$H,营销场景数据源!$C:$C,$B$38,营销场景数据源!$A:$A,DG2)</f>
        <v>49.76</v>
      </c>
      <c r="DH38" s="95">
        <f>SUMIFS(营销场景数据源!$H:$H,营销场景数据源!$C:$C,$B$38,营销场景数据源!$A:$A,DH2)</f>
        <v>60</v>
      </c>
      <c r="DI38" s="95">
        <f>SUMIFS(营销场景数据源!$H:$H,营销场景数据源!$C:$C,$B$38,营销场景数据源!$A:$A,DI2)</f>
        <v>60</v>
      </c>
      <c r="DJ38" s="95">
        <f>SUMIFS(营销场景数据源!$H:$H,营销场景数据源!$C:$C,$B$38,营销场景数据源!$A:$A,DJ2)</f>
        <v>48.02</v>
      </c>
      <c r="DK38" s="95">
        <f>SUMIFS(营销场景数据源!$H:$H,营销场景数据源!$C:$C,$B$38,营销场景数据源!$A:$A,DK2)</f>
        <v>60</v>
      </c>
      <c r="DL38" s="95">
        <f>SUMIFS(营销场景数据源!$H:$H,营销场景数据源!$C:$C,$B$38,营销场景数据源!$A:$A,DL2)</f>
        <v>46.25</v>
      </c>
      <c r="DM38" s="95">
        <f>SUMIFS(营销场景数据源!$H:$H,营销场景数据源!$C:$C,$B$38,营销场景数据源!$A:$A,DM2)</f>
        <v>91</v>
      </c>
      <c r="DN38" s="95">
        <f>SUMIFS(营销场景数据源!$H:$H,营销场景数据源!$C:$C,$B$38,营销场景数据源!$A:$A,DN2)</f>
        <v>55.65</v>
      </c>
      <c r="DO38" s="95">
        <f>SUMIFS(营销场景数据源!$H:$H,营销场景数据源!$C:$C,$B$38,营销场景数据源!$A:$A,DO2)</f>
        <v>180</v>
      </c>
      <c r="DP38" s="95">
        <f>SUMIFS(营销场景数据源!$H:$H,营销场景数据源!$C:$C,$B$38,营销场景数据源!$A:$A,DP2)</f>
        <v>86.07</v>
      </c>
      <c r="DQ38" s="95">
        <f>SUMIFS(营销场景数据源!$H:$H,营销场景数据源!$C:$C,$B$38,营销场景数据源!$A:$A,DQ2)</f>
        <v>59.63</v>
      </c>
      <c r="DR38" s="95">
        <f>SUMIFS(营销场景数据源!$H:$H,营销场景数据源!$C:$C,$B$38,营销场景数据源!$A:$A,DR2)</f>
        <v>51.22</v>
      </c>
      <c r="DS38" s="95">
        <f>SUMIFS(营销场景数据源!$H:$H,营销场景数据源!$C:$C,$B$38,营销场景数据源!$A:$A,DS2)</f>
        <v>64.98</v>
      </c>
      <c r="DT38" s="95">
        <f>SUMIFS(营销场景数据源!$H:$H,营销场景数据源!$C:$C,$B$38,营销场景数据源!$A:$A,DT2)</f>
        <v>70.22</v>
      </c>
      <c r="DU38" s="95">
        <f>SUMIFS(营销场景数据源!$H:$H,营销场景数据源!$C:$C,$B$38,营销场景数据源!$A:$A,DU2)</f>
        <v>64.03</v>
      </c>
      <c r="DV38" s="95">
        <f>SUMIFS(营销场景数据源!$H:$H,营销场景数据源!$C:$C,$B$38,营销场景数据源!$A:$A,DV2)</f>
        <v>52.68</v>
      </c>
      <c r="DW38" s="95">
        <f>SUMIFS(营销场景数据源!$H:$H,营销场景数据源!$C:$C,$B$38,营销场景数据源!$A:$A,DW2)</f>
        <v>61.95</v>
      </c>
      <c r="DX38" s="95">
        <f>SUMIFS(营销场景数据源!$H:$H,营销场景数据源!$C:$C,$B$38,营销场景数据源!$A:$A,DX2)</f>
        <v>68.38</v>
      </c>
      <c r="DY38" s="95">
        <f>SUMIFS(营销场景数据源!$H:$H,营销场景数据源!$C:$C,$B$38,营销场景数据源!$A:$A,DY2)</f>
        <v>64.1</v>
      </c>
      <c r="DZ38" s="95">
        <f>SUMIFS(营销场景数据源!$H:$H,营销场景数据源!$C:$C,$B$38,营销场景数据源!$A:$A,DZ2)</f>
        <v>74.87</v>
      </c>
      <c r="EA38" s="95">
        <f>SUMIFS(营销场景数据源!$H:$H,营销场景数据源!$C:$C,$B$38,营销场景数据源!$A:$A,EA2)</f>
        <v>52.22</v>
      </c>
      <c r="EB38" s="95">
        <f>SUMIFS(营销场景数据源!$H:$H,营销场景数据源!$C:$C,$B$38,营销场景数据源!$A:$A,EB2)</f>
        <v>58.18</v>
      </c>
      <c r="EC38" s="95">
        <f>SUMIFS(营销场景数据源!$H:$H,营销场景数据源!$C:$C,$B$38,营销场景数据源!$A:$A,EC2)</f>
        <v>59.97</v>
      </c>
      <c r="ED38" s="95">
        <f>SUMIFS(营销场景数据源!$H:$H,营销场景数据源!$C:$C,$B$38,营销场景数据源!$A:$A,ED2)</f>
        <v>50</v>
      </c>
      <c r="EE38" s="95">
        <f>SUMIFS(营销场景数据源!$H:$H,营销场景数据源!$C:$C,$B$38,营销场景数据源!$A:$A,EE2)</f>
        <v>38.42</v>
      </c>
      <c r="EF38" s="95">
        <f>SUMIFS(营销场景数据源!$H:$H,营销场景数据源!$C:$C,$B$38,营销场景数据源!$A:$A,EF2)</f>
        <v>50</v>
      </c>
      <c r="EG38" s="95">
        <f>SUMIFS(营销场景数据源!$H:$H,营销场景数据源!$C:$C,$B$38,营销场景数据源!$A:$A,EG2)</f>
        <v>44.18</v>
      </c>
      <c r="EH38" s="95">
        <f>SUMIFS(营销场景数据源!$H:$H,营销场景数据源!$C:$C,$B$38,营销场景数据源!$A:$A,EH2)</f>
        <v>50</v>
      </c>
      <c r="EI38" s="95">
        <f>SUMIFS(营销场景数据源!$H:$H,营销场景数据源!$C:$C,$B$38,营销场景数据源!$A:$A,EI2)</f>
        <v>35.75</v>
      </c>
      <c r="EJ38" s="95">
        <f>SUMIFS(营销场景数据源!$H:$H,营销场景数据源!$C:$C,$B$38,营销场景数据源!$A:$A,EJ2)</f>
        <v>40.19</v>
      </c>
      <c r="EK38" s="65">
        <f>SUM(EL38:FP38)</f>
        <v>1246.47</v>
      </c>
      <c r="EL38" s="95">
        <f>SUMIFS(营销场景数据源!$H:$H,营销场景数据源!$C:$C,$B$38,营销场景数据源!$A:$A,EL2)</f>
        <v>36.33</v>
      </c>
      <c r="EM38" s="95">
        <f>SUMIFS(营销场景数据源!$H:$H,营销场景数据源!$C:$C,$B$38,营销场景数据源!$A:$A,EM2)</f>
        <v>32.63</v>
      </c>
      <c r="EN38" s="95">
        <f>SUMIFS(营销场景数据源!$H:$H,营销场景数据源!$C:$C,$B$38,营销场景数据源!$A:$A,EN2)</f>
        <v>35.22</v>
      </c>
      <c r="EO38" s="95">
        <f>SUMIFS(营销场景数据源!$H:$H,营销场景数据源!$C:$C,$B$38,营销场景数据源!$A:$A,EO2)</f>
        <v>34.43</v>
      </c>
      <c r="EP38" s="95">
        <f>SUMIFS(营销场景数据源!$H:$H,营销场景数据源!$C:$C,$B$38,营销场景数据源!$A:$A,EP2)</f>
        <v>38.06</v>
      </c>
      <c r="EQ38" s="95">
        <f>SUMIFS(营销场景数据源!$H:$H,营销场景数据源!$C:$C,$B$38,营销场景数据源!$A:$A,EQ2)</f>
        <v>41</v>
      </c>
      <c r="ER38" s="95">
        <f>SUMIFS(营销场景数据源!$H:$H,营销场景数据源!$C:$C,$B$38,营销场景数据源!$A:$A,ER2)</f>
        <v>35.96</v>
      </c>
      <c r="ES38" s="95">
        <f>SUMIFS(营销场景数据源!$H:$H,营销场景数据源!$C:$C,$B$38,营销场景数据源!$A:$A,ES2)</f>
        <v>34.16</v>
      </c>
      <c r="ET38" s="95">
        <f>SUMIFS(营销场景数据源!$H:$H,营销场景数据源!$C:$C,$B$38,营销场景数据源!$A:$A,ET2)</f>
        <v>50</v>
      </c>
      <c r="EU38" s="95">
        <f>SUMIFS(营销场景数据源!$H:$H,营销场景数据源!$C:$C,$B$38,营销场景数据源!$A:$A,EU2)</f>
        <v>36.99</v>
      </c>
      <c r="EV38" s="95">
        <f>SUMIFS(营销场景数据源!$H:$H,营销场景数据源!$C:$C,$B$38,营销场景数据源!$A:$A,EV2)</f>
        <v>38.02</v>
      </c>
      <c r="EW38" s="95">
        <f>SUMIFS(营销场景数据源!$H:$H,营销场景数据源!$C:$C,$B$38,营销场景数据源!$A:$A,EW2)</f>
        <v>50</v>
      </c>
      <c r="EX38" s="95">
        <f>SUMIFS(营销场景数据源!$H:$H,营销场景数据源!$C:$C,$B$38,营销场景数据源!$A:$A,EX2)</f>
        <v>33.62</v>
      </c>
      <c r="EY38" s="95">
        <f>SUMIFS(营销场景数据源!$H:$H,营销场景数据源!$C:$C,$B$38,营销场景数据源!$A:$A,EY2)</f>
        <v>50</v>
      </c>
      <c r="EZ38" s="95">
        <f>SUMIFS(营销场景数据源!$H:$H,营销场景数据源!$C:$C,$B$38,营销场景数据源!$A:$A,EZ2)</f>
        <v>40.47</v>
      </c>
      <c r="FA38" s="95">
        <f>SUMIFS(营销场景数据源!$H:$H,营销场景数据源!$C:$C,$B$38,营销场景数据源!$A:$A,FA2)</f>
        <v>36.53</v>
      </c>
      <c r="FB38" s="95">
        <f>SUMIFS(营销场景数据源!$H:$H,营销场景数据源!$C:$C,$B$38,营销场景数据源!$A:$A,FB2)</f>
        <v>36.03</v>
      </c>
      <c r="FC38" s="95">
        <f>SUMIFS(营销场景数据源!$H:$H,营销场景数据源!$C:$C,$B$38,营销场景数据源!$A:$A,FC2)</f>
        <v>36.84</v>
      </c>
      <c r="FD38" s="95">
        <f>SUMIFS(营销场景数据源!$H:$H,营销场景数据源!$C:$C,$B$38,营销场景数据源!$A:$A,FD2)</f>
        <v>37.45</v>
      </c>
      <c r="FE38" s="95">
        <f>SUMIFS(营销场景数据源!$H:$H,营销场景数据源!$C:$C,$B$38,营销场景数据源!$A:$A,FE2)</f>
        <v>50</v>
      </c>
      <c r="FF38" s="95">
        <f>SUMIFS(营销场景数据源!$H:$H,营销场景数据源!$C:$C,$B$38,营销场景数据源!$A:$A,FF2)</f>
        <v>49.19</v>
      </c>
      <c r="FG38" s="95">
        <f>SUMIFS(营销场景数据源!$H:$H,营销场景数据源!$C:$C,$B$38,营销场景数据源!$A:$A,FG2)</f>
        <v>42.59</v>
      </c>
      <c r="FH38" s="95">
        <f>SUMIFS(营销场景数据源!$H:$H,营销场景数据源!$C:$C,$B$38,营销场景数据源!$A:$A,FH2)</f>
        <v>27.16</v>
      </c>
      <c r="FI38" s="95">
        <f>SUMIFS(营销场景数据源!$H:$H,营销场景数据源!$C:$C,$B$38,营销场景数据源!$A:$A,FI2)</f>
        <v>44.55</v>
      </c>
      <c r="FJ38" s="95">
        <f>SUMIFS(营销场景数据源!$H:$H,营销场景数据源!$C:$C,$B$38,营销场景数据源!$A:$A,FJ2)</f>
        <v>40.57</v>
      </c>
      <c r="FK38" s="95">
        <f>SUMIFS(营销场景数据源!$H:$H,营销场景数据源!$C:$C,$B$38,营销场景数据源!$A:$A,FK2)</f>
        <v>41.64</v>
      </c>
      <c r="FL38" s="95">
        <f>SUMIFS(营销场景数据源!$H:$H,营销场景数据源!$C:$C,$B$38,营销场景数据源!$A:$A,FL2)</f>
        <v>50</v>
      </c>
      <c r="FM38" s="95">
        <f>SUMIFS(营销场景数据源!$H:$H,营销场景数据源!$C:$C,$B$38,营销场景数据源!$A:$A,FM2)</f>
        <v>50</v>
      </c>
      <c r="FN38" s="95">
        <f>SUMIFS(营销场景数据源!$H:$H,营销场景数据源!$C:$C,$B$38,营销场景数据源!$A:$A,FN2)</f>
        <v>37.76</v>
      </c>
      <c r="FO38" s="95">
        <f>SUMIFS(营销场景数据源!$H:$H,营销场景数据源!$C:$C,$B$38,营销场景数据源!$A:$A,FO2)</f>
        <v>43.81</v>
      </c>
      <c r="FP38" s="95">
        <f>SUMIFS(营销场景数据源!$H:$H,营销场景数据源!$C:$C,$B$38,营销场景数据源!$A:$A,FP2)</f>
        <v>35.46</v>
      </c>
      <c r="FQ38" s="65">
        <f t="shared" ref="FQ38:FQ40" si="219">SUM(FR38:GX38)</f>
        <v>953.79</v>
      </c>
      <c r="FR38" s="95">
        <f>SUMIFS(营销场景数据源!$H:$H,营销场景数据源!$C:$C,$B$38,营销场景数据源!$A:$A,FR2)</f>
        <v>50</v>
      </c>
      <c r="FS38" s="95">
        <f>SUMIFS(营销场景数据源!$H:$H,营销场景数据源!$C:$C,$B$38,营销场景数据源!$A:$A,FS2)</f>
        <v>47.8</v>
      </c>
      <c r="FT38" s="95">
        <f>SUMIFS(营销场景数据源!$H:$H,营销场景数据源!$C:$C,$B$38,营销场景数据源!$A:$A,FT2)</f>
        <v>50</v>
      </c>
      <c r="FU38" s="95">
        <f>SUMIFS(营销场景数据源!$H:$H,营销场景数据源!$C:$C,$B$38,营销场景数据源!$A:$A,FU2)</f>
        <v>49.95</v>
      </c>
      <c r="FV38" s="95">
        <f>SUMIFS(营销场景数据源!$H:$H,营销场景数据源!$C:$C,$B$38,营销场景数据源!$A:$A,FV2)</f>
        <v>42.68</v>
      </c>
      <c r="FW38" s="95">
        <f>SUMIFS(营销场景数据源!$H:$H,营销场景数据源!$C:$C,$B$38,营销场景数据源!$A:$A,FW2)</f>
        <v>48.03</v>
      </c>
      <c r="FX38" s="95">
        <f>SUMIFS(营销场景数据源!$H:$H,营销场景数据源!$C:$C,$B$38,营销场景数据源!$A:$A,FX2)</f>
        <v>50</v>
      </c>
      <c r="FY38" s="95">
        <f>SUMIFS(营销场景数据源!$H:$H,营销场景数据源!$C:$C,$B$38,营销场景数据源!$A:$A,FY2)</f>
        <v>39.75</v>
      </c>
      <c r="FZ38" s="95">
        <f>SUMIFS(营销场景数据源!$H:$H,营销场景数据源!$C:$C,$B$38,营销场景数据源!$A:$A,FZ2)</f>
        <v>50</v>
      </c>
      <c r="GA38" s="95">
        <f>SUMIFS(营销场景数据源!$H:$H,营销场景数据源!$C:$C,$B$38,营销场景数据源!$A:$A,GA2)</f>
        <v>43.89</v>
      </c>
      <c r="GB38" s="95">
        <f>SUMIFS(营销场景数据源!$H:$H,营销场景数据源!$C:$C,$B$38,营销场景数据源!$A:$A,GB2)</f>
        <v>48.43</v>
      </c>
      <c r="GC38" s="95">
        <f>SUMIFS(营销场景数据源!$H:$H,营销场景数据源!$C:$C,$B$38,营销场景数据源!$A:$A,GC2)</f>
        <v>48.34</v>
      </c>
      <c r="GD38" s="95">
        <f>SUMIFS(营销场景数据源!$H:$H,营销场景数据源!$C:$C,$B$38,营销场景数据源!$A:$A,GD2)</f>
        <v>50</v>
      </c>
      <c r="GE38" s="95">
        <f>SUMIFS(营销场景数据源!$H:$H,营销场景数据源!$C:$C,$B$38,营销场景数据源!$A:$A,GE2)</f>
        <v>50</v>
      </c>
      <c r="GF38" s="95">
        <f>SUMIFS(营销场景数据源!$H:$H,营销场景数据源!$C:$C,$B$38,营销场景数据源!$A:$A,GF2)</f>
        <v>47.71</v>
      </c>
      <c r="GG38" s="95">
        <f>SUMIFS(营销场景数据源!$H:$H,营销场景数据源!$C:$C,$B$38,营销场景数据源!$A:$A,GG2)</f>
        <v>24.82</v>
      </c>
      <c r="GH38" s="95">
        <f>SUMIFS(营销场景数据源!$H:$H,营销场景数据源!$C:$C,$B$38,营销场景数据源!$A:$A,GH2)</f>
        <v>31.78</v>
      </c>
      <c r="GI38" s="95">
        <f>SUMIFS(营销场景数据源!$H:$H,营销场景数据源!$C:$C,$B$38,营销场景数据源!$A:$A,GI2)</f>
        <v>47.61</v>
      </c>
      <c r="GJ38" s="95">
        <f>SUMIFS(营销场景数据源!$H:$H,营销场景数据源!$C:$C,$B$38,营销场景数据源!$A:$A,GJ2)</f>
        <v>50</v>
      </c>
      <c r="GK38" s="95">
        <f>SUMIFS(营销场景数据源!$H:$H,营销场景数据源!$C:$C,$B$38,营销场景数据源!$A:$A,GK2)</f>
        <v>50</v>
      </c>
      <c r="GL38" s="95">
        <f>SUMIFS(营销场景数据源!$H:$H,营销场景数据源!$C:$C,$B$38,营销场景数据源!$A:$A,GL2)</f>
        <v>33</v>
      </c>
      <c r="GM38" s="95">
        <f>SUMIFS(营销场景数据源!$H:$H,营销场景数据源!$C:$C,$B$38,营销场景数据源!$A:$A,GM2)</f>
        <v>0</v>
      </c>
      <c r="GN38" s="95">
        <f>SUMIFS(营销场景数据源!$H:$H,营销场景数据源!$C:$C,$B$38,营销场景数据源!$A:$A,GN2)</f>
        <v>0</v>
      </c>
      <c r="GO38" s="95">
        <f>SUMIFS(营销场景数据源!$H:$H,营销场景数据源!$C:$C,$B$38,营销场景数据源!$A:$A,GO2)</f>
        <v>0</v>
      </c>
      <c r="GP38" s="95">
        <f>SUMIFS(营销场景数据源!$H:$H,营销场景数据源!$C:$C,$B$38,营销场景数据源!$A:$A,GP2)</f>
        <v>0</v>
      </c>
    </row>
    <row r="39" s="47" customFormat="1" ht="15" customHeight="1" spans="1:198">
      <c r="A39" s="106"/>
      <c r="B39" s="103"/>
      <c r="C39" s="109" t="s">
        <v>21</v>
      </c>
      <c r="D39" s="94" t="e">
        <f>SUM(E39:P39)</f>
        <v>#REF!</v>
      </c>
      <c r="E39" s="110" t="e">
        <f>#REF!</f>
        <v>#REF!</v>
      </c>
      <c r="F39" s="110" t="e">
        <f>#REF!</f>
        <v>#REF!</v>
      </c>
      <c r="G39" s="110" t="e">
        <f>#REF!</f>
        <v>#REF!</v>
      </c>
      <c r="H39" s="110" t="e">
        <f>#REF!</f>
        <v>#REF!</v>
      </c>
      <c r="I39" s="110" t="e">
        <f>#REF!</f>
        <v>#REF!</v>
      </c>
      <c r="J39" s="110" t="e">
        <f>#REF!</f>
        <v>#REF!</v>
      </c>
      <c r="K39" s="110" t="e">
        <f>#REF!</f>
        <v>#REF!</v>
      </c>
      <c r="L39" s="110" t="e">
        <f>#REF!</f>
        <v>#REF!</v>
      </c>
      <c r="M39" s="110" t="e">
        <f>#REF!</f>
        <v>#REF!</v>
      </c>
      <c r="N39" s="110" t="e">
        <f>#REF!</f>
        <v>#REF!</v>
      </c>
      <c r="O39" s="110" t="e">
        <f>#REF!</f>
        <v>#REF!</v>
      </c>
      <c r="P39" s="110" t="e">
        <f>#REF!</f>
        <v>#REF!</v>
      </c>
      <c r="Q39" s="65">
        <f>SUM(R39:AV39)</f>
        <v>1320</v>
      </c>
      <c r="R39" s="95">
        <f>SUMIFS(营销场景数据源!$G:$G,营销场景数据源!$C:$C,$B$38,营销场景数据源!$A:$A,R2)</f>
        <v>50</v>
      </c>
      <c r="S39" s="95">
        <f>SUMIFS(营销场景数据源!$G:$G,营销场景数据源!$C:$C,$B$38,营销场景数据源!$A:$A,S2)</f>
        <v>77</v>
      </c>
      <c r="T39" s="95">
        <f>SUMIFS(营销场景数据源!$G:$G,营销场景数据源!$C:$C,$B$38,营销场景数据源!$A:$A,T2)</f>
        <v>63</v>
      </c>
      <c r="U39" s="95">
        <f>SUMIFS(营销场景数据源!$G:$G,营销场景数据源!$C:$C,$B$38,营销场景数据源!$A:$A,U2)</f>
        <v>70</v>
      </c>
      <c r="V39" s="95">
        <f>SUMIFS(营销场景数据源!$G:$G,营销场景数据源!$C:$C,$B$38,营销场景数据源!$A:$A,V2)</f>
        <v>51</v>
      </c>
      <c r="W39" s="95">
        <f>SUMIFS(营销场景数据源!$G:$G,营销场景数据源!$C:$C,$B$38,营销场景数据源!$A:$A,W2)</f>
        <v>45</v>
      </c>
      <c r="X39" s="95">
        <f>SUMIFS(营销场景数据源!$G:$G,营销场景数据源!$C:$C,$B$38,营销场景数据源!$A:$A,X2)</f>
        <v>41</v>
      </c>
      <c r="Y39" s="95">
        <f>SUMIFS(营销场景数据源!$G:$G,营销场景数据源!$C:$C,$B$38,营销场景数据源!$A:$A,Y2)</f>
        <v>32</v>
      </c>
      <c r="Z39" s="95">
        <f>SUMIFS(营销场景数据源!$G:$G,营销场景数据源!$C:$C,$B$38,营销场景数据源!$A:$A,Z2)</f>
        <v>41</v>
      </c>
      <c r="AA39" s="95">
        <f>SUMIFS(营销场景数据源!$G:$G,营销场景数据源!$C:$C,$B$38,营销场景数据源!$A:$A,AA2)</f>
        <v>39</v>
      </c>
      <c r="AB39" s="95">
        <f>SUMIFS(营销场景数据源!$G:$G,营销场景数据源!$C:$C,$B$38,营销场景数据源!$A:$A,AB2)</f>
        <v>35</v>
      </c>
      <c r="AC39" s="95">
        <f>SUMIFS(营销场景数据源!$G:$G,营销场景数据源!$C:$C,$B$38,营销场景数据源!$A:$A,AC2)</f>
        <v>44</v>
      </c>
      <c r="AD39" s="95">
        <f>SUMIFS(营销场景数据源!$G:$G,营销场景数据源!$C:$C,$B$38,营销场景数据源!$A:$A,AD2)</f>
        <v>35</v>
      </c>
      <c r="AE39" s="95">
        <f>SUMIFS(营销场景数据源!$G:$G,营销场景数据源!$C:$C,$B$38,营销场景数据源!$A:$A,AE2)</f>
        <v>53</v>
      </c>
      <c r="AF39" s="95">
        <f>SUMIFS(营销场景数据源!$G:$G,营销场景数据源!$C:$C,$B$38,营销场景数据源!$A:$A,AF2)</f>
        <v>49</v>
      </c>
      <c r="AG39" s="95">
        <f>SUMIFS(营销场景数据源!$G:$G,营销场景数据源!$C:$C,$B$38,营销场景数据源!$A:$A,AG2)</f>
        <v>56</v>
      </c>
      <c r="AH39" s="95">
        <f>SUMIFS(营销场景数据源!$G:$G,营销场景数据源!$C:$C,$B$38,营销场景数据源!$A:$A,AH2)</f>
        <v>56</v>
      </c>
      <c r="AI39" s="95">
        <f>SUMIFS(营销场景数据源!$G:$G,营销场景数据源!$C:$C,$B$38,营销场景数据源!$A:$A,AI2)</f>
        <v>57</v>
      </c>
      <c r="AJ39" s="95">
        <f>SUMIFS(营销场景数据源!$G:$G,营销场景数据源!$C:$C,$B$38,营销场景数据源!$A:$A,AJ2)</f>
        <v>57</v>
      </c>
      <c r="AK39" s="95">
        <f>SUMIFS(营销场景数据源!$G:$G,营销场景数据源!$C:$C,$B$38,营销场景数据源!$A:$A,AK2)</f>
        <v>38</v>
      </c>
      <c r="AL39" s="95">
        <f>SUMIFS(营销场景数据源!$G:$G,营销场景数据源!$C:$C,$B$38,营销场景数据源!$A:$A,AL2)</f>
        <v>36</v>
      </c>
      <c r="AM39" s="95">
        <f>SUMIFS(营销场景数据源!$G:$G,营销场景数据源!$C:$C,$B$38,营销场景数据源!$A:$A,AM2)</f>
        <v>23</v>
      </c>
      <c r="AN39" s="95">
        <f>SUMIFS(营销场景数据源!$G:$G,营销场景数据源!$C:$C,$B$38,营销场景数据源!$A:$A,AN2)</f>
        <v>34</v>
      </c>
      <c r="AO39" s="95">
        <f>SUMIFS(营销场景数据源!$G:$G,营销场景数据源!$C:$C,$B$38,营销场景数据源!$A:$A,AO2)</f>
        <v>25</v>
      </c>
      <c r="AP39" s="95">
        <f>SUMIFS(营销场景数据源!$G:$G,营销场景数据源!$C:$C,$B$38,营销场景数据源!$A:$A,AP2)</f>
        <v>17</v>
      </c>
      <c r="AQ39" s="95">
        <f>SUMIFS(营销场景数据源!$G:$G,营销场景数据源!$C:$C,$B$38,营销场景数据源!$A:$A,AQ2)</f>
        <v>34</v>
      </c>
      <c r="AR39" s="95">
        <f>SUMIFS(营销场景数据源!$G:$G,营销场景数据源!$C:$C,$B$38,营销场景数据源!$A:$A,AR2)</f>
        <v>31</v>
      </c>
      <c r="AS39" s="95">
        <f>SUMIFS(营销场景数据源!$G:$G,营销场景数据源!$C:$C,$B$38,营销场景数据源!$A:$A,AS2)</f>
        <v>35</v>
      </c>
      <c r="AT39" s="95">
        <f>SUMIFS(营销场景数据源!$G:$G,营销场景数据源!$C:$C,$B$38,营销场景数据源!$A:$A,AT2)</f>
        <v>31</v>
      </c>
      <c r="AU39" s="95">
        <f>SUMIFS(营销场景数据源!$G:$G,营销场景数据源!$C:$C,$B$38,营销场景数据源!$A:$A,AU2)</f>
        <v>40</v>
      </c>
      <c r="AV39" s="95">
        <f>SUMIFS(营销场景数据源!$G:$G,营销场景数据源!$C:$C,$B$38,营销场景数据源!$A:$A,AV2)</f>
        <v>25</v>
      </c>
      <c r="AW39" s="65">
        <f>SUM(AX39:BY39)</f>
        <v>1050</v>
      </c>
      <c r="AX39" s="95">
        <f>SUMIFS(营销场景数据源!$G:$G,营销场景数据源!$C:$C,$B$38,营销场景数据源!$A:$A,AX2)</f>
        <v>39</v>
      </c>
      <c r="AY39" s="95">
        <f>SUMIFS(营销场景数据源!$G:$G,营销场景数据源!$C:$C,$B$38,营销场景数据源!$A:$A,AY2)</f>
        <v>50</v>
      </c>
      <c r="AZ39" s="95">
        <f>SUMIFS(营销场景数据源!$G:$G,营销场景数据源!$C:$C,$B$38,营销场景数据源!$A:$A,AZ2)</f>
        <v>37</v>
      </c>
      <c r="BA39" s="95">
        <f>SUMIFS(营销场景数据源!$G:$G,营销场景数据源!$C:$C,$B$38,营销场景数据源!$A:$A,BA2)</f>
        <v>48</v>
      </c>
      <c r="BB39" s="95">
        <f>SUMIFS(营销场景数据源!$G:$G,营销场景数据源!$C:$C,$B$38,营销场景数据源!$A:$A,BB2)</f>
        <v>49</v>
      </c>
      <c r="BC39" s="95">
        <f>SUMIFS(营销场景数据源!$G:$G,营销场景数据源!$C:$C,$B$38,营销场景数据源!$A:$A,BC2)</f>
        <v>38</v>
      </c>
      <c r="BD39" s="95">
        <f>SUMIFS(营销场景数据源!$G:$G,营销场景数据源!$C:$C,$B$38,营销场景数据源!$A:$A,BD2)</f>
        <v>14</v>
      </c>
      <c r="BE39" s="95">
        <f>SUMIFS(营销场景数据源!$G:$G,营销场景数据源!$C:$C,$B$38,营销场景数据源!$A:$A,BE2)</f>
        <v>15</v>
      </c>
      <c r="BF39" s="95">
        <f>SUMIFS(营销场景数据源!$G:$G,营销场景数据源!$C:$C,$B$38,营销场景数据源!$A:$A,BF2)</f>
        <v>31</v>
      </c>
      <c r="BG39" s="95">
        <f>SUMIFS(营销场景数据源!$G:$G,营销场景数据源!$C:$C,$B$38,营销场景数据源!$A:$A,BG2)</f>
        <v>40</v>
      </c>
      <c r="BH39" s="95">
        <f>SUMIFS(营销场景数据源!$G:$G,营销场景数据源!$C:$C,$B$38,营销场景数据源!$A:$A,BH2)</f>
        <v>36</v>
      </c>
      <c r="BI39" s="95">
        <f>SUMIFS(营销场景数据源!$G:$G,营销场景数据源!$C:$C,$B$38,营销场景数据源!$A:$A,BI2)</f>
        <v>45</v>
      </c>
      <c r="BJ39" s="95">
        <f>SUMIFS(营销场景数据源!$G:$G,营销场景数据源!$C:$C,$B$38,营销场景数据源!$A:$A,BJ2)</f>
        <v>40</v>
      </c>
      <c r="BK39" s="95">
        <f>SUMIFS(营销场景数据源!$G:$G,营销场景数据源!$C:$C,$B$38,营销场景数据源!$A:$A,BK2)</f>
        <v>45</v>
      </c>
      <c r="BL39" s="95">
        <f>SUMIFS(营销场景数据源!$G:$G,营销场景数据源!$C:$C,$B$38,营销场景数据源!$A:$A,BL2)</f>
        <v>35</v>
      </c>
      <c r="BM39" s="95">
        <f>SUMIFS(营销场景数据源!$G:$G,营销场景数据源!$C:$C,$B$38,营销场景数据源!$A:$A,BM2)</f>
        <v>55</v>
      </c>
      <c r="BN39" s="95">
        <f>SUMIFS(营销场景数据源!$G:$G,营销场景数据源!$C:$C,$B$38,营销场景数据源!$A:$A,BN2)</f>
        <v>44</v>
      </c>
      <c r="BO39" s="95">
        <f>SUMIFS(营销场景数据源!$G:$G,营销场景数据源!$C:$C,$B$38,营销场景数据源!$A:$A,BO2)</f>
        <v>40</v>
      </c>
      <c r="BP39" s="95">
        <f>SUMIFS(营销场景数据源!$G:$G,营销场景数据源!$C:$C,$B$38,营销场景数据源!$A:$A,BP2)</f>
        <v>49</v>
      </c>
      <c r="BQ39" s="95">
        <f>SUMIFS(营销场景数据源!$G:$G,营销场景数据源!$C:$C,$B$38,营销场景数据源!$A:$A,BQ2)</f>
        <v>67</v>
      </c>
      <c r="BR39" s="95">
        <f>SUMIFS(营销场景数据源!$G:$G,营销场景数据源!$C:$C,$B$38,营销场景数据源!$A:$A,BR2)</f>
        <v>38</v>
      </c>
      <c r="BS39" s="95">
        <f>SUMIFS(营销场景数据源!$G:$G,营销场景数据源!$C:$C,$B$38,营销场景数据源!$A:$A,BS2)</f>
        <v>28</v>
      </c>
      <c r="BT39" s="95">
        <f>SUMIFS(营销场景数据源!$G:$G,营销场景数据源!$C:$C,$B$38,营销场景数据源!$A:$A,BT2)</f>
        <v>41</v>
      </c>
      <c r="BU39" s="95">
        <f>SUMIFS(营销场景数据源!$G:$G,营销场景数据源!$C:$C,$B$38,营销场景数据源!$A:$A,BU2)</f>
        <v>25</v>
      </c>
      <c r="BV39" s="95">
        <f>SUMIFS(营销场景数据源!$G:$G,营销场景数据源!$C:$C,$B$38,营销场景数据源!$A:$A,BV2)</f>
        <v>41</v>
      </c>
      <c r="BW39" s="95">
        <f>SUMIFS(营销场景数据源!$G:$G,营销场景数据源!$C:$C,$B$38,营销场景数据源!$A:$A,BW2)</f>
        <v>20</v>
      </c>
      <c r="BX39" s="95">
        <f>SUMIFS(营销场景数据源!$G:$G,营销场景数据源!$C:$C,$B$38,营销场景数据源!$A:$A,BX2)</f>
        <v>30</v>
      </c>
      <c r="BY39" s="95">
        <f>SUMIFS(营销场景数据源!$G:$G,营销场景数据源!$C:$C,$B$38,营销场景数据源!$A:$A,BY2)</f>
        <v>10</v>
      </c>
      <c r="BZ39" s="65">
        <f>SUM(CA39:DE39)</f>
        <v>1376</v>
      </c>
      <c r="CA39" s="95">
        <f>SUMIFS(营销场景数据源!$G:$G,营销场景数据源!$C:$C,$B$38,营销场景数据源!$A:$A,CA2)</f>
        <v>34</v>
      </c>
      <c r="CB39" s="95">
        <f>SUMIFS(营销场景数据源!$G:$G,营销场景数据源!$C:$C,$B$38,营销场景数据源!$A:$A,CB2)</f>
        <v>28</v>
      </c>
      <c r="CC39" s="95">
        <f>SUMIFS(营销场景数据源!$G:$G,营销场景数据源!$C:$C,$B$38,营销场景数据源!$A:$A,CC2)</f>
        <v>41</v>
      </c>
      <c r="CD39" s="95">
        <f>SUMIFS(营销场景数据源!$G:$G,营销场景数据源!$C:$C,$B$38,营销场景数据源!$A:$A,CD2)</f>
        <v>15</v>
      </c>
      <c r="CE39" s="95">
        <f>SUMIFS(营销场景数据源!$G:$G,营销场景数据源!$C:$C,$B$38,营销场景数据源!$A:$A,CE2)</f>
        <v>36</v>
      </c>
      <c r="CF39" s="95">
        <f>SUMIFS(营销场景数据源!$G:$G,营销场景数据源!$C:$C,$B$38,营销场景数据源!$A:$A,CF2)</f>
        <v>35</v>
      </c>
      <c r="CG39" s="95">
        <f>SUMIFS(营销场景数据源!$G:$G,营销场景数据源!$C:$C,$B$38,营销场景数据源!$A:$A,CG2)</f>
        <v>47</v>
      </c>
      <c r="CH39" s="95">
        <f>SUMIFS(营销场景数据源!$G:$G,营销场景数据源!$C:$C,$B$38,营销场景数据源!$A:$A,CH2)</f>
        <v>28</v>
      </c>
      <c r="CI39" s="95">
        <f>SUMIFS(营销场景数据源!$G:$G,营销场景数据源!$C:$C,$B$38,营销场景数据源!$A:$A,CI2)</f>
        <v>28</v>
      </c>
      <c r="CJ39" s="95">
        <f>SUMIFS(营销场景数据源!$G:$G,营销场景数据源!$C:$C,$B$38,营销场景数据源!$A:$A,CJ2)</f>
        <v>36</v>
      </c>
      <c r="CK39" s="95">
        <f>SUMIFS(营销场景数据源!$G:$G,营销场景数据源!$C:$C,$B$38,营销场景数据源!$A:$A,CK2)</f>
        <v>47</v>
      </c>
      <c r="CL39" s="95">
        <f>SUMIFS(营销场景数据源!$G:$G,营销场景数据源!$C:$C,$B$38,营销场景数据源!$A:$A,CL2)</f>
        <v>58</v>
      </c>
      <c r="CM39" s="95">
        <f>SUMIFS(营销场景数据源!$G:$G,营销场景数据源!$C:$C,$B$38,营销场景数据源!$A:$A,CM2)</f>
        <v>53</v>
      </c>
      <c r="CN39" s="95">
        <f>SUMIFS(营销场景数据源!$G:$G,营销场景数据源!$C:$C,$B$38,营销场景数据源!$A:$A,CN2)</f>
        <v>42</v>
      </c>
      <c r="CO39" s="95">
        <f>SUMIFS(营销场景数据源!$G:$G,营销场景数据源!$C:$C,$B$38,营销场景数据源!$A:$A,CO2)</f>
        <v>57</v>
      </c>
      <c r="CP39" s="95">
        <f>SUMIFS(营销场景数据源!$G:$G,营销场景数据源!$C:$C,$B$38,营销场景数据源!$A:$A,CP2)</f>
        <v>38</v>
      </c>
      <c r="CQ39" s="95">
        <f>SUMIFS(营销场景数据源!$G:$G,营销场景数据源!$C:$C,$B$38,营销场景数据源!$A:$A,CQ2)</f>
        <v>39</v>
      </c>
      <c r="CR39" s="95">
        <f>SUMIFS(营销场景数据源!$G:$G,营销场景数据源!$C:$C,$B$38,营销场景数据源!$A:$A,CR2)</f>
        <v>18</v>
      </c>
      <c r="CS39" s="95">
        <f>SUMIFS(营销场景数据源!$G:$G,营销场景数据源!$C:$C,$B$38,营销场景数据源!$A:$A,CS2)</f>
        <v>67</v>
      </c>
      <c r="CT39" s="95">
        <f>SUMIFS(营销场景数据源!$G:$G,营销场景数据源!$C:$C,$B$38,营销场景数据源!$A:$A,CT2)</f>
        <v>61</v>
      </c>
      <c r="CU39" s="95">
        <f>SUMIFS(营销场景数据源!$G:$G,营销场景数据源!$C:$C,$B$38,营销场景数据源!$A:$A,CU2)</f>
        <v>24</v>
      </c>
      <c r="CV39" s="95">
        <f>SUMIFS(营销场景数据源!$G:$G,营销场景数据源!$C:$C,$B$38,营销场景数据源!$A:$A,CV2)</f>
        <v>28</v>
      </c>
      <c r="CW39" s="95">
        <f>SUMIFS(营销场景数据源!$G:$G,营销场景数据源!$C:$C,$B$38,营销场景数据源!$A:$A,CW2)</f>
        <v>77</v>
      </c>
      <c r="CX39" s="95">
        <f>SUMIFS(营销场景数据源!$G:$G,营销场景数据源!$C:$C,$B$38,营销场景数据源!$A:$A,CX2)</f>
        <v>61</v>
      </c>
      <c r="CY39" s="95">
        <f>SUMIFS(营销场景数据源!$G:$G,营销场景数据源!$C:$C,$B$38,营销场景数据源!$A:$A,CY2)</f>
        <v>77</v>
      </c>
      <c r="CZ39" s="95">
        <f>SUMIFS(营销场景数据源!$G:$G,营销场景数据源!$C:$C,$B$38,营销场景数据源!$A:$A,CZ2)</f>
        <v>86</v>
      </c>
      <c r="DA39" s="95">
        <f>SUMIFS(营销场景数据源!$G:$G,营销场景数据源!$C:$C,$B$38,营销场景数据源!$A:$A,DA2)</f>
        <v>45</v>
      </c>
      <c r="DB39" s="95">
        <f>SUMIFS(营销场景数据源!$G:$G,营销场景数据源!$C:$C,$B$38,营销场景数据源!$A:$A,DB2)</f>
        <v>51</v>
      </c>
      <c r="DC39" s="95">
        <f>SUMIFS(营销场景数据源!$G:$G,营销场景数据源!$C:$C,$B$38,营销场景数据源!$A:$A,DC2)</f>
        <v>53</v>
      </c>
      <c r="DD39" s="95">
        <f>SUMIFS(营销场景数据源!$G:$G,营销场景数据源!$C:$C,$B$38,营销场景数据源!$A:$A,DD2)</f>
        <v>33</v>
      </c>
      <c r="DE39" s="95">
        <f>SUMIFS(营销场景数据源!$G:$G,营销场景数据源!$C:$C,$B$38,营销场景数据源!$A:$A,DE2)</f>
        <v>33</v>
      </c>
      <c r="DF39" s="65">
        <f>SUM(DG39:EJ39)</f>
        <v>1044</v>
      </c>
      <c r="DG39" s="95">
        <f>SUMIFS(营销场景数据源!$G:$G,营销场景数据源!$C:$C,$B$38,营销场景数据源!$A:$A,DG2)</f>
        <v>24</v>
      </c>
      <c r="DH39" s="95">
        <f>SUMIFS(营销场景数据源!$G:$G,营销场景数据源!$C:$C,$B$38,营销场景数据源!$A:$A,DH2)</f>
        <v>25</v>
      </c>
      <c r="DI39" s="95">
        <f>SUMIFS(营销场景数据源!$G:$G,营销场景数据源!$C:$C,$B$38,营销场景数据源!$A:$A,DI2)</f>
        <v>25</v>
      </c>
      <c r="DJ39" s="95">
        <f>SUMIFS(营销场景数据源!$G:$G,营销场景数据源!$C:$C,$B$38,营销场景数据源!$A:$A,DJ2)</f>
        <v>62</v>
      </c>
      <c r="DK39" s="95">
        <f>SUMIFS(营销场景数据源!$G:$G,营销场景数据源!$C:$C,$B$38,营销场景数据源!$A:$A,DK2)</f>
        <v>16</v>
      </c>
      <c r="DL39" s="95">
        <f>SUMIFS(营销场景数据源!$G:$G,营销场景数据源!$C:$C,$B$38,营销场景数据源!$A:$A,DL2)</f>
        <v>45</v>
      </c>
      <c r="DM39" s="95">
        <f>SUMIFS(营销场景数据源!$G:$G,营销场景数据源!$C:$C,$B$38,营销场景数据源!$A:$A,DM2)</f>
        <v>40</v>
      </c>
      <c r="DN39" s="95">
        <f>SUMIFS(营销场景数据源!$G:$G,营销场景数据源!$C:$C,$B$38,营销场景数据源!$A:$A,DN2)</f>
        <v>44</v>
      </c>
      <c r="DO39" s="95">
        <f>SUMIFS(营销场景数据源!$G:$G,营销场景数据源!$C:$C,$B$38,营销场景数据源!$A:$A,DO2)</f>
        <v>36</v>
      </c>
      <c r="DP39" s="95">
        <f>SUMIFS(营销场景数据源!$G:$G,营销场景数据源!$C:$C,$B$38,营销场景数据源!$A:$A,DP2)</f>
        <v>33</v>
      </c>
      <c r="DQ39" s="95">
        <f>SUMIFS(营销场景数据源!$G:$G,营销场景数据源!$C:$C,$B$38,营销场景数据源!$A:$A,DQ2)</f>
        <v>49</v>
      </c>
      <c r="DR39" s="95">
        <f>SUMIFS(营销场景数据源!$G:$G,营销场景数据源!$C:$C,$B$38,营销场景数据源!$A:$A,DR2)</f>
        <v>43</v>
      </c>
      <c r="DS39" s="95">
        <f>SUMIFS(营销场景数据源!$G:$G,营销场景数据源!$C:$C,$B$38,营销场景数据源!$A:$A,DS2)</f>
        <v>45</v>
      </c>
      <c r="DT39" s="95">
        <f>SUMIFS(营销场景数据源!$G:$G,营销场景数据源!$C:$C,$B$38,营销场景数据源!$A:$A,DT2)</f>
        <v>27</v>
      </c>
      <c r="DU39" s="95">
        <f>SUMIFS(营销场景数据源!$G:$G,营销场景数据源!$C:$C,$B$38,营销场景数据源!$A:$A,DU2)</f>
        <v>41</v>
      </c>
      <c r="DV39" s="95">
        <f>SUMIFS(营销场景数据源!$G:$G,营销场景数据源!$C:$C,$B$38,营销场景数据源!$A:$A,DV2)</f>
        <v>50</v>
      </c>
      <c r="DW39" s="95">
        <f>SUMIFS(营销场景数据源!$G:$G,营销场景数据源!$C:$C,$B$38,营销场景数据源!$A:$A,DW2)</f>
        <v>33</v>
      </c>
      <c r="DX39" s="95">
        <f>SUMIFS(营销场景数据源!$G:$G,营销场景数据源!$C:$C,$B$38,营销场景数据源!$A:$A,DX2)</f>
        <v>39</v>
      </c>
      <c r="DY39" s="95">
        <f>SUMIFS(营销场景数据源!$G:$G,营销场景数据源!$C:$C,$B$38,营销场景数据源!$A:$A,DY2)</f>
        <v>50</v>
      </c>
      <c r="DZ39" s="95">
        <f>SUMIFS(营销场景数据源!$G:$G,营销场景数据源!$C:$C,$B$38,营销场景数据源!$A:$A,DZ2)</f>
        <v>37</v>
      </c>
      <c r="EA39" s="95">
        <f>SUMIFS(营销场景数据源!$G:$G,营销场景数据源!$C:$C,$B$38,营销场景数据源!$A:$A,EA2)</f>
        <v>28</v>
      </c>
      <c r="EB39" s="95">
        <f>SUMIFS(营销场景数据源!$G:$G,营销场景数据源!$C:$C,$B$38,营销场景数据源!$A:$A,EB2)</f>
        <v>33</v>
      </c>
      <c r="EC39" s="95">
        <f>SUMIFS(营销场景数据源!$G:$G,营销场景数据源!$C:$C,$B$38,营销场景数据源!$A:$A,EC2)</f>
        <v>32</v>
      </c>
      <c r="ED39" s="95">
        <f>SUMIFS(营销场景数据源!$G:$G,营销场景数据源!$C:$C,$B$38,营销场景数据源!$A:$A,ED2)</f>
        <v>33</v>
      </c>
      <c r="EE39" s="95">
        <f>SUMIFS(营销场景数据源!$G:$G,营销场景数据源!$C:$C,$B$38,营销场景数据源!$A:$A,EE2)</f>
        <v>23</v>
      </c>
      <c r="EF39" s="95">
        <f>SUMIFS(营销场景数据源!$G:$G,营销场景数据源!$C:$C,$B$38,营销场景数据源!$A:$A,EF2)</f>
        <v>26</v>
      </c>
      <c r="EG39" s="95">
        <f>SUMIFS(营销场景数据源!$G:$G,营销场景数据源!$C:$C,$B$38,营销场景数据源!$A:$A,EG2)</f>
        <v>34</v>
      </c>
      <c r="EH39" s="95">
        <f>SUMIFS(营销场景数据源!$G:$G,营销场景数据源!$C:$C,$B$38,营销场景数据源!$A:$A,EH2)</f>
        <v>11</v>
      </c>
      <c r="EI39" s="95">
        <f>SUMIFS(营销场景数据源!$G:$G,营销场景数据源!$C:$C,$B$38,营销场景数据源!$A:$A,EI2)</f>
        <v>27</v>
      </c>
      <c r="EJ39" s="95">
        <f>SUMIFS(营销场景数据源!$G:$G,营销场景数据源!$C:$C,$B$38,营销场景数据源!$A:$A,EJ2)</f>
        <v>33</v>
      </c>
      <c r="EK39" s="65">
        <f>SUM(EL39:FP39)</f>
        <v>796</v>
      </c>
      <c r="EL39" s="95">
        <f>SUMIFS(营销场景数据源!$G:$G,营销场景数据源!$C:$C,$B$38,营销场景数据源!$A:$A,EL2)</f>
        <v>34</v>
      </c>
      <c r="EM39" s="95">
        <f>SUMIFS(营销场景数据源!$G:$G,营销场景数据源!$C:$C,$B$38,营销场景数据源!$A:$A,EM2)</f>
        <v>30</v>
      </c>
      <c r="EN39" s="95">
        <f>SUMIFS(营销场景数据源!$G:$G,营销场景数据源!$C:$C,$B$38,营销场景数据源!$A:$A,EN2)</f>
        <v>28</v>
      </c>
      <c r="EO39" s="95">
        <f>SUMIFS(营销场景数据源!$G:$G,营销场景数据源!$C:$C,$B$38,营销场景数据源!$A:$A,EO2)</f>
        <v>27</v>
      </c>
      <c r="EP39" s="95">
        <f>SUMIFS(营销场景数据源!$G:$G,营销场景数据源!$C:$C,$B$38,营销场景数据源!$A:$A,EP2)</f>
        <v>28</v>
      </c>
      <c r="EQ39" s="95">
        <f>SUMIFS(营销场景数据源!$G:$G,营销场景数据源!$C:$C,$B$38,营销场景数据源!$A:$A,EQ2)</f>
        <v>23</v>
      </c>
      <c r="ER39" s="95">
        <f>SUMIFS(营销场景数据源!$G:$G,营销场景数据源!$C:$C,$B$38,营销场景数据源!$A:$A,ER2)</f>
        <v>21</v>
      </c>
      <c r="ES39" s="95">
        <f>SUMIFS(营销场景数据源!$G:$G,营销场景数据源!$C:$C,$B$38,营销场景数据源!$A:$A,ES2)</f>
        <v>24</v>
      </c>
      <c r="ET39" s="95">
        <f>SUMIFS(营销场景数据源!$G:$G,营销场景数据源!$C:$C,$B$38,营销场景数据源!$A:$A,ET2)</f>
        <v>34</v>
      </c>
      <c r="EU39" s="95">
        <f>SUMIFS(营销场景数据源!$G:$G,营销场景数据源!$C:$C,$B$38,营销场景数据源!$A:$A,EU2)</f>
        <v>37</v>
      </c>
      <c r="EV39" s="95">
        <f>SUMIFS(营销场景数据源!$G:$G,营销场景数据源!$C:$C,$B$38,营销场景数据源!$A:$A,EV2)</f>
        <v>24</v>
      </c>
      <c r="EW39" s="95">
        <f>SUMIFS(营销场景数据源!$G:$G,营销场景数据源!$C:$C,$B$38,营销场景数据源!$A:$A,EW2)</f>
        <v>32</v>
      </c>
      <c r="EX39" s="95">
        <f>SUMIFS(营销场景数据源!$G:$G,营销场景数据源!$C:$C,$B$38,营销场景数据源!$A:$A,EX2)</f>
        <v>20</v>
      </c>
      <c r="EY39" s="95">
        <f>SUMIFS(营销场景数据源!$G:$G,营销场景数据源!$C:$C,$B$38,营销场景数据源!$A:$A,EY2)</f>
        <v>23</v>
      </c>
      <c r="EZ39" s="95">
        <f>SUMIFS(营销场景数据源!$G:$G,营销场景数据源!$C:$C,$B$38,营销场景数据源!$A:$A,EZ2)</f>
        <v>27</v>
      </c>
      <c r="FA39" s="95">
        <f>SUMIFS(营销场景数据源!$G:$G,营销场景数据源!$C:$C,$B$38,营销场景数据源!$A:$A,FA2)</f>
        <v>20</v>
      </c>
      <c r="FB39" s="95">
        <f>SUMIFS(营销场景数据源!$G:$G,营销场景数据源!$C:$C,$B$38,营销场景数据源!$A:$A,FB2)</f>
        <v>20</v>
      </c>
      <c r="FC39" s="95">
        <f>SUMIFS(营销场景数据源!$G:$G,营销场景数据源!$C:$C,$B$38,营销场景数据源!$A:$A,FC2)</f>
        <v>28</v>
      </c>
      <c r="FD39" s="95">
        <f>SUMIFS(营销场景数据源!$G:$G,营销场景数据源!$C:$C,$B$38,营销场景数据源!$A:$A,FD2)</f>
        <v>18</v>
      </c>
      <c r="FE39" s="95">
        <f>SUMIFS(营销场景数据源!$G:$G,营销场景数据源!$C:$C,$B$38,营销场景数据源!$A:$A,FE2)</f>
        <v>26</v>
      </c>
      <c r="FF39" s="95">
        <f>SUMIFS(营销场景数据源!$G:$G,营销场景数据源!$C:$C,$B$38,营销场景数据源!$A:$A,FF2)</f>
        <v>27</v>
      </c>
      <c r="FG39" s="95">
        <f>SUMIFS(营销场景数据源!$G:$G,营销场景数据源!$C:$C,$B$38,营销场景数据源!$A:$A,FG2)</f>
        <v>24</v>
      </c>
      <c r="FH39" s="95">
        <f>SUMIFS(营销场景数据源!$G:$G,营销场景数据源!$C:$C,$B$38,营销场景数据源!$A:$A,FH2)</f>
        <v>21</v>
      </c>
      <c r="FI39" s="95">
        <f>SUMIFS(营销场景数据源!$G:$G,营销场景数据源!$C:$C,$B$38,营销场景数据源!$A:$A,FI2)</f>
        <v>21</v>
      </c>
      <c r="FJ39" s="95">
        <f>SUMIFS(营销场景数据源!$G:$G,营销场景数据源!$C:$C,$B$38,营销场景数据源!$A:$A,FJ2)</f>
        <v>22</v>
      </c>
      <c r="FK39" s="95">
        <f>SUMIFS(营销场景数据源!$G:$G,营销场景数据源!$C:$C,$B$38,营销场景数据源!$A:$A,FK2)</f>
        <v>32</v>
      </c>
      <c r="FL39" s="95">
        <f>SUMIFS(营销场景数据源!$G:$G,营销场景数据源!$C:$C,$B$38,营销场景数据源!$A:$A,FL2)</f>
        <v>24</v>
      </c>
      <c r="FM39" s="95">
        <f>SUMIFS(营销场景数据源!$G:$G,营销场景数据源!$C:$C,$B$38,营销场景数据源!$A:$A,FM2)</f>
        <v>22</v>
      </c>
      <c r="FN39" s="95">
        <f>SUMIFS(营销场景数据源!$G:$G,营销场景数据源!$C:$C,$B$38,营销场景数据源!$A:$A,FN2)</f>
        <v>19</v>
      </c>
      <c r="FO39" s="95">
        <f>SUMIFS(营销场景数据源!$G:$G,营销场景数据源!$C:$C,$B$38,营销场景数据源!$A:$A,FO2)</f>
        <v>29</v>
      </c>
      <c r="FP39" s="95">
        <f>SUMIFS(营销场景数据源!$G:$G,营销场景数据源!$C:$C,$B$38,营销场景数据源!$A:$A,FP2)</f>
        <v>31</v>
      </c>
      <c r="FQ39" s="65">
        <f t="shared" si="219"/>
        <v>698</v>
      </c>
      <c r="FR39" s="95">
        <f>SUMIFS(营销场景数据源!$G:$G,营销场景数据源!$C:$C,$B$38,营销场景数据源!$A:$A,FR2)</f>
        <v>25</v>
      </c>
      <c r="FS39" s="95">
        <f>SUMIFS(营销场景数据源!$G:$G,营销场景数据源!$C:$C,$B$38,营销场景数据源!$A:$A,FS2)</f>
        <v>25</v>
      </c>
      <c r="FT39" s="95">
        <f>SUMIFS(营销场景数据源!$G:$G,营销场景数据源!$C:$C,$B$38,营销场景数据源!$A:$A,FT2)</f>
        <v>39</v>
      </c>
      <c r="FU39" s="95">
        <f>SUMIFS(营销场景数据源!$G:$G,营销场景数据源!$C:$C,$B$38,营销场景数据源!$A:$A,FU2)</f>
        <v>23</v>
      </c>
      <c r="FV39" s="95">
        <f>SUMIFS(营销场景数据源!$G:$G,营销场景数据源!$C:$C,$B$38,营销场景数据源!$A:$A,FV2)</f>
        <v>59</v>
      </c>
      <c r="FW39" s="95">
        <f>SUMIFS(营销场景数据源!$G:$G,营销场景数据源!$C:$C,$B$38,营销场景数据源!$A:$A,FW2)</f>
        <v>88</v>
      </c>
      <c r="FX39" s="95">
        <f>SUMIFS(营销场景数据源!$G:$G,营销场景数据源!$C:$C,$B$38,营销场景数据源!$A:$A,FX2)</f>
        <v>68</v>
      </c>
      <c r="FY39" s="95">
        <f>SUMIFS(营销场景数据源!$G:$G,营销场景数据源!$C:$C,$B$38,营销场景数据源!$A:$A,FY2)</f>
        <v>21</v>
      </c>
      <c r="FZ39" s="95">
        <f>SUMIFS(营销场景数据源!$G:$G,营销场景数据源!$C:$C,$B$38,营销场景数据源!$A:$A,FZ2)</f>
        <v>26</v>
      </c>
      <c r="GA39" s="95">
        <f>SUMIFS(营销场景数据源!$G:$G,营销场景数据源!$C:$C,$B$38,营销场景数据源!$A:$A,GA2)</f>
        <v>19</v>
      </c>
      <c r="GB39" s="95">
        <f>SUMIFS(营销场景数据源!$G:$G,营销场景数据源!$C:$C,$B$38,营销场景数据源!$A:$A,GB2)</f>
        <v>25</v>
      </c>
      <c r="GC39" s="95">
        <f>SUMIFS(营销场景数据源!$G:$G,营销场景数据源!$C:$C,$B$38,营销场景数据源!$A:$A,GC2)</f>
        <v>24</v>
      </c>
      <c r="GD39" s="95">
        <f>SUMIFS(营销场景数据源!$G:$G,营销场景数据源!$C:$C,$B$38,营销场景数据源!$A:$A,GD2)</f>
        <v>23</v>
      </c>
      <c r="GE39" s="95">
        <f>SUMIFS(营销场景数据源!$G:$G,营销场景数据源!$C:$C,$B$38,营销场景数据源!$A:$A,GE2)</f>
        <v>18</v>
      </c>
      <c r="GF39" s="95">
        <f>SUMIFS(营销场景数据源!$G:$G,营销场景数据源!$C:$C,$B$38,营销场景数据源!$A:$A,GF2)</f>
        <v>32</v>
      </c>
      <c r="GG39" s="95">
        <f>SUMIFS(营销场景数据源!$G:$G,营销场景数据源!$C:$C,$B$38,营销场景数据源!$A:$A,GG2)</f>
        <v>39</v>
      </c>
      <c r="GH39" s="95">
        <f>SUMIFS(营销场景数据源!$G:$G,营销场景数据源!$C:$C,$B$38,营销场景数据源!$A:$A,GH2)</f>
        <v>16</v>
      </c>
      <c r="GI39" s="95">
        <f>SUMIFS(营销场景数据源!$G:$G,营销场景数据源!$C:$C,$B$38,营销场景数据源!$A:$A,GI2)</f>
        <v>36</v>
      </c>
      <c r="GJ39" s="95">
        <f>SUMIFS(营销场景数据源!$G:$G,营销场景数据源!$C:$C,$B$38,营销场景数据源!$A:$A,GJ2)</f>
        <v>20</v>
      </c>
      <c r="GK39" s="95">
        <f>SUMIFS(营销场景数据源!$G:$G,营销场景数据源!$C:$C,$B$38,营销场景数据源!$A:$A,GK2)</f>
        <v>36</v>
      </c>
      <c r="GL39" s="95">
        <f>SUMIFS(营销场景数据源!$G:$G,营销场景数据源!$C:$C,$B$38,营销场景数据源!$A:$A,GL2)</f>
        <v>36</v>
      </c>
      <c r="GM39" s="95">
        <f>SUMIFS(营销场景数据源!$G:$G,营销场景数据源!$C:$C,$B$38,营销场景数据源!$A:$A,GM2)</f>
        <v>0</v>
      </c>
      <c r="GN39" s="95">
        <f>SUMIFS(营销场景数据源!$G:$G,营销场景数据源!$C:$C,$B$38,营销场景数据源!$A:$A,GN2)</f>
        <v>0</v>
      </c>
      <c r="GO39" s="95">
        <f>SUMIFS(营销场景数据源!$G:$G,营销场景数据源!$C:$C,$B$38,营销场景数据源!$A:$A,GO2)</f>
        <v>0</v>
      </c>
      <c r="GP39" s="95">
        <f>SUMIFS(营销场景数据源!$G:$G,营销场景数据源!$C:$C,$B$38,营销场景数据源!$A:$A,GP2)</f>
        <v>0</v>
      </c>
    </row>
    <row r="40" s="47" customFormat="1" ht="15" customHeight="1" spans="1:198">
      <c r="A40" s="106"/>
      <c r="B40" s="103"/>
      <c r="C40" s="109" t="s">
        <v>23</v>
      </c>
      <c r="D40" s="94" t="e">
        <f>SUM(E40:P40)</f>
        <v>#REF!</v>
      </c>
      <c r="E40" s="110" t="e">
        <f>#REF!</f>
        <v>#REF!</v>
      </c>
      <c r="F40" s="110" t="e">
        <f>#REF!</f>
        <v>#REF!</v>
      </c>
      <c r="G40" s="110" t="e">
        <f>#REF!</f>
        <v>#REF!</v>
      </c>
      <c r="H40" s="110" t="e">
        <f>#REF!</f>
        <v>#REF!</v>
      </c>
      <c r="I40" s="110" t="e">
        <f>#REF!</f>
        <v>#REF!</v>
      </c>
      <c r="J40" s="110" t="e">
        <f>#REF!</f>
        <v>#REF!</v>
      </c>
      <c r="K40" s="110" t="e">
        <f>#REF!</f>
        <v>#REF!</v>
      </c>
      <c r="L40" s="110" t="e">
        <f>#REF!</f>
        <v>#REF!</v>
      </c>
      <c r="M40" s="110" t="e">
        <f>#REF!</f>
        <v>#REF!</v>
      </c>
      <c r="N40" s="110" t="e">
        <f>#REF!</f>
        <v>#REF!</v>
      </c>
      <c r="O40" s="110" t="e">
        <f>#REF!</f>
        <v>#REF!</v>
      </c>
      <c r="P40" s="110" t="e">
        <f>#REF!</f>
        <v>#REF!</v>
      </c>
      <c r="Q40" s="65">
        <f>SUM(R40:AV40)</f>
        <v>138</v>
      </c>
      <c r="R40" s="95">
        <f>SUMIFS(营销场景数据源!$AB:$AB,营销场景数据源!$C:$C,$B$38,营销场景数据源!$A:$A,R2)</f>
        <v>4</v>
      </c>
      <c r="S40" s="95">
        <f>SUMIFS(营销场景数据源!$AB:$AB,营销场景数据源!$C:$C,$B$38,营销场景数据源!$A:$A,S2)</f>
        <v>4</v>
      </c>
      <c r="T40" s="95">
        <f>SUMIFS(营销场景数据源!$AB:$AB,营销场景数据源!$C:$C,$B$38,营销场景数据源!$A:$A,T2)</f>
        <v>6</v>
      </c>
      <c r="U40" s="95">
        <f>SUMIFS(营销场景数据源!$AB:$AB,营销场景数据源!$C:$C,$B$38,营销场景数据源!$A:$A,U2)</f>
        <v>2</v>
      </c>
      <c r="V40" s="95">
        <f>SUMIFS(营销场景数据源!$AB:$AB,营销场景数据源!$C:$C,$B$38,营销场景数据源!$A:$A,V2)</f>
        <v>8</v>
      </c>
      <c r="W40" s="95">
        <f>SUMIFS(营销场景数据源!$AB:$AB,营销场景数据源!$C:$C,$B$38,营销场景数据源!$A:$A,W2)</f>
        <v>0</v>
      </c>
      <c r="X40" s="95">
        <f>SUMIFS(营销场景数据源!$AB:$AB,营销场景数据源!$C:$C,$B$38,营销场景数据源!$A:$A,X2)</f>
        <v>2</v>
      </c>
      <c r="Y40" s="95">
        <f>SUMIFS(营销场景数据源!$AB:$AB,营销场景数据源!$C:$C,$B$38,营销场景数据源!$A:$A,Y2)</f>
        <v>9</v>
      </c>
      <c r="Z40" s="95">
        <f>SUMIFS(营销场景数据源!$AB:$AB,营销场景数据源!$C:$C,$B$38,营销场景数据源!$A:$A,Z2)</f>
        <v>3</v>
      </c>
      <c r="AA40" s="95">
        <f>SUMIFS(营销场景数据源!$AB:$AB,营销场景数据源!$C:$C,$B$38,营销场景数据源!$A:$A,AA2)</f>
        <v>1</v>
      </c>
      <c r="AB40" s="95">
        <f>SUMIFS(营销场景数据源!$AB:$AB,营销场景数据源!$C:$C,$B$38,营销场景数据源!$A:$A,AB2)</f>
        <v>2</v>
      </c>
      <c r="AC40" s="95">
        <f>SUMIFS(营销场景数据源!$AB:$AB,营销场景数据源!$C:$C,$B$38,营销场景数据源!$A:$A,AC2)</f>
        <v>8</v>
      </c>
      <c r="AD40" s="95">
        <f>SUMIFS(营销场景数据源!$AB:$AB,营销场景数据源!$C:$C,$B$38,营销场景数据源!$A:$A,AD2)</f>
        <v>11</v>
      </c>
      <c r="AE40" s="95">
        <f>SUMIFS(营销场景数据源!$AB:$AB,营销场景数据源!$C:$C,$B$38,营销场景数据源!$A:$A,AE2)</f>
        <v>2</v>
      </c>
      <c r="AF40" s="95">
        <f>SUMIFS(营销场景数据源!$AB:$AB,营销场景数据源!$C:$C,$B$38,营销场景数据源!$A:$A,AF2)</f>
        <v>4</v>
      </c>
      <c r="AG40" s="95">
        <f>SUMIFS(营销场景数据源!$AB:$AB,营销场景数据源!$C:$C,$B$38,营销场景数据源!$A:$A,AG2)</f>
        <v>8</v>
      </c>
      <c r="AH40" s="95">
        <f>SUMIFS(营销场景数据源!$AB:$AB,营销场景数据源!$C:$C,$B$38,营销场景数据源!$A:$A,AH2)</f>
        <v>1</v>
      </c>
      <c r="AI40" s="95">
        <f>SUMIFS(营销场景数据源!$AB:$AB,营销场景数据源!$C:$C,$B$38,营销场景数据源!$A:$A,AI2)</f>
        <v>2</v>
      </c>
      <c r="AJ40" s="95">
        <f>SUMIFS(营销场景数据源!$AB:$AB,营销场景数据源!$C:$C,$B$38,营销场景数据源!$A:$A,AJ2)</f>
        <v>6</v>
      </c>
      <c r="AK40" s="95">
        <f>SUMIFS(营销场景数据源!$AB:$AB,营销场景数据源!$C:$C,$B$38,营销场景数据源!$A:$A,AK2)</f>
        <v>2</v>
      </c>
      <c r="AL40" s="95">
        <f>SUMIFS(营销场景数据源!$AB:$AB,营销场景数据源!$C:$C,$B$38,营销场景数据源!$A:$A,AL2)</f>
        <v>1</v>
      </c>
      <c r="AM40" s="95">
        <f>SUMIFS(营销场景数据源!$AB:$AB,营销场景数据源!$C:$C,$B$38,营销场景数据源!$A:$A,AM2)</f>
        <v>7</v>
      </c>
      <c r="AN40" s="95">
        <f>SUMIFS(营销场景数据源!$AB:$AB,营销场景数据源!$C:$C,$B$38,营销场景数据源!$A:$A,AN2)</f>
        <v>10</v>
      </c>
      <c r="AO40" s="95">
        <f>SUMIFS(营销场景数据源!$AB:$AB,营销场景数据源!$C:$C,$B$38,营销场景数据源!$A:$A,AO2)</f>
        <v>2</v>
      </c>
      <c r="AP40" s="95">
        <f>SUMIFS(营销场景数据源!$AB:$AB,营销场景数据源!$C:$C,$B$38,营销场景数据源!$A:$A,AP2)</f>
        <v>6</v>
      </c>
      <c r="AQ40" s="95">
        <f>SUMIFS(营销场景数据源!$AB:$AB,营销场景数据源!$C:$C,$B$38,营销场景数据源!$A:$A,AQ2)</f>
        <v>6</v>
      </c>
      <c r="AR40" s="95">
        <f>SUMIFS(营销场景数据源!$AB:$AB,营销场景数据源!$C:$C,$B$38,营销场景数据源!$A:$A,AR2)</f>
        <v>4</v>
      </c>
      <c r="AS40" s="95">
        <f>SUMIFS(营销场景数据源!$AB:$AB,营销场景数据源!$C:$C,$B$38,营销场景数据源!$A:$A,AS2)</f>
        <v>11</v>
      </c>
      <c r="AT40" s="95">
        <f>SUMIFS(营销场景数据源!$AB:$AB,营销场景数据源!$C:$C,$B$38,营销场景数据源!$A:$A,AT2)</f>
        <v>3</v>
      </c>
      <c r="AU40" s="95">
        <f>SUMIFS(营销场景数据源!$AB:$AB,营销场景数据源!$C:$C,$B$38,营销场景数据源!$A:$A,AU2)</f>
        <v>2</v>
      </c>
      <c r="AV40" s="95">
        <f>SUMIFS(营销场景数据源!$AB:$AB,营销场景数据源!$C:$C,$B$38,营销场景数据源!$A:$A,AV2)</f>
        <v>1</v>
      </c>
      <c r="AW40" s="65">
        <f>SUM(AX40:BY40)</f>
        <v>123</v>
      </c>
      <c r="AX40" s="95">
        <f>SUMIFS(营销场景数据源!$AB:$AB,营销场景数据源!$C:$C,$B$38,营销场景数据源!$A:$A,AX2)</f>
        <v>5</v>
      </c>
      <c r="AY40" s="95">
        <f>SUMIFS(营销场景数据源!$AB:$AB,营销场景数据源!$C:$C,$B$38,营销场景数据源!$A:$A,AY2)</f>
        <v>8</v>
      </c>
      <c r="AZ40" s="95">
        <f>SUMIFS(营销场景数据源!$AB:$AB,营销场景数据源!$C:$C,$B$38,营销场景数据源!$A:$A,AZ2)</f>
        <v>6</v>
      </c>
      <c r="BA40" s="95">
        <f>SUMIFS(营销场景数据源!$AB:$AB,营销场景数据源!$C:$C,$B$38,营销场景数据源!$A:$A,BA2)</f>
        <v>0</v>
      </c>
      <c r="BB40" s="95">
        <f>SUMIFS(营销场景数据源!$AB:$AB,营销场景数据源!$C:$C,$B$38,营销场景数据源!$A:$A,BB2)</f>
        <v>11</v>
      </c>
      <c r="BC40" s="95">
        <f>SUMIFS(营销场景数据源!$AB:$AB,营销场景数据源!$C:$C,$B$38,营销场景数据源!$A:$A,BC2)</f>
        <v>15</v>
      </c>
      <c r="BD40" s="95">
        <f>SUMIFS(营销场景数据源!$AB:$AB,营销场景数据源!$C:$C,$B$38,营销场景数据源!$A:$A,BD2)</f>
        <v>4</v>
      </c>
      <c r="BE40" s="95">
        <f>SUMIFS(营销场景数据源!$AB:$AB,营销场景数据源!$C:$C,$B$38,营销场景数据源!$A:$A,BE2)</f>
        <v>2</v>
      </c>
      <c r="BF40" s="95">
        <f>SUMIFS(营销场景数据源!$AB:$AB,营销场景数据源!$C:$C,$B$38,营销场景数据源!$A:$A,BF2)</f>
        <v>1</v>
      </c>
      <c r="BG40" s="95">
        <f>SUMIFS(营销场景数据源!$AB:$AB,营销场景数据源!$C:$C,$B$38,营销场景数据源!$A:$A,BG2)</f>
        <v>5</v>
      </c>
      <c r="BH40" s="95">
        <f>SUMIFS(营销场景数据源!$AB:$AB,营销场景数据源!$C:$C,$B$38,营销场景数据源!$A:$A,BH2)</f>
        <v>4</v>
      </c>
      <c r="BI40" s="95">
        <f>SUMIFS(营销场景数据源!$AB:$AB,营销场景数据源!$C:$C,$B$38,营销场景数据源!$A:$A,BI2)</f>
        <v>3</v>
      </c>
      <c r="BJ40" s="95">
        <f>SUMIFS(营销场景数据源!$AB:$AB,营销场景数据源!$C:$C,$B$38,营销场景数据源!$A:$A,BJ2)</f>
        <v>2</v>
      </c>
      <c r="BK40" s="95">
        <f>SUMIFS(营销场景数据源!$AB:$AB,营销场景数据源!$C:$C,$B$38,营销场景数据源!$A:$A,BK2)</f>
        <v>2</v>
      </c>
      <c r="BL40" s="95">
        <f>SUMIFS(营销场景数据源!$AB:$AB,营销场景数据源!$C:$C,$B$38,营销场景数据源!$A:$A,BL2)</f>
        <v>3</v>
      </c>
      <c r="BM40" s="95">
        <f>SUMIFS(营销场景数据源!$AB:$AB,营销场景数据源!$C:$C,$B$38,营销场景数据源!$A:$A,BM2)</f>
        <v>3</v>
      </c>
      <c r="BN40" s="95">
        <f>SUMIFS(营销场景数据源!$AB:$AB,营销场景数据源!$C:$C,$B$38,营销场景数据源!$A:$A,BN2)</f>
        <v>4</v>
      </c>
      <c r="BO40" s="95">
        <f>SUMIFS(营销场景数据源!$AB:$AB,营销场景数据源!$C:$C,$B$38,营销场景数据源!$A:$A,BO2)</f>
        <v>0</v>
      </c>
      <c r="BP40" s="95">
        <f>SUMIFS(营销场景数据源!$AB:$AB,营销场景数据源!$C:$C,$B$38,营销场景数据源!$A:$A,BP2)</f>
        <v>4</v>
      </c>
      <c r="BQ40" s="95">
        <f>SUMIFS(营销场景数据源!$AB:$AB,营销场景数据源!$C:$C,$B$38,营销场景数据源!$A:$A,BQ2)</f>
        <v>5</v>
      </c>
      <c r="BR40" s="95">
        <f>SUMIFS(营销场景数据源!$AB:$AB,营销场景数据源!$C:$C,$B$38,营销场景数据源!$A:$A,BR2)</f>
        <v>6</v>
      </c>
      <c r="BS40" s="95">
        <f>SUMIFS(营销场景数据源!$AB:$AB,营销场景数据源!$C:$C,$B$38,营销场景数据源!$A:$A,BS2)</f>
        <v>7</v>
      </c>
      <c r="BT40" s="95">
        <f>SUMIFS(营销场景数据源!$AB:$AB,营销场景数据源!$C:$C,$B$38,营销场景数据源!$A:$A,BT2)</f>
        <v>5</v>
      </c>
      <c r="BU40" s="95">
        <f>SUMIFS(营销场景数据源!$AB:$AB,营销场景数据源!$C:$C,$B$38,营销场景数据源!$A:$A,BU2)</f>
        <v>3</v>
      </c>
      <c r="BV40" s="95">
        <f>SUMIFS(营销场景数据源!$AB:$AB,营销场景数据源!$C:$C,$B$38,营销场景数据源!$A:$A,BV2)</f>
        <v>3</v>
      </c>
      <c r="BW40" s="95">
        <f>SUMIFS(营销场景数据源!$AB:$AB,营销场景数据源!$C:$C,$B$38,营销场景数据源!$A:$A,BW2)</f>
        <v>10</v>
      </c>
      <c r="BX40" s="95">
        <f>SUMIFS(营销场景数据源!$AB:$AB,营销场景数据源!$C:$C,$B$38,营销场景数据源!$A:$A,BX2)</f>
        <v>0</v>
      </c>
      <c r="BY40" s="95">
        <f>SUMIFS(营销场景数据源!$AB:$AB,营销场景数据源!$C:$C,$B$38,营销场景数据源!$A:$A,BY2)</f>
        <v>2</v>
      </c>
      <c r="BZ40" s="65">
        <f>SUM(CA40:DE40)</f>
        <v>228</v>
      </c>
      <c r="CA40" s="95">
        <f>SUMIFS(营销场景数据源!$AB:$AB,营销场景数据源!$C:$C,$B$38,营销场景数据源!$A:$A,CA2)</f>
        <v>1</v>
      </c>
      <c r="CB40" s="95">
        <f>SUMIFS(营销场景数据源!$AB:$AB,营销场景数据源!$C:$C,$B$38,营销场景数据源!$A:$A,CB2)</f>
        <v>3</v>
      </c>
      <c r="CC40" s="95">
        <f>SUMIFS(营销场景数据源!$AB:$AB,营销场景数据源!$C:$C,$B$38,营销场景数据源!$A:$A,CC2)</f>
        <v>4</v>
      </c>
      <c r="CD40" s="95">
        <f>SUMIFS(营销场景数据源!$AB:$AB,营销场景数据源!$C:$C,$B$38,营销场景数据源!$A:$A,CD2)</f>
        <v>5</v>
      </c>
      <c r="CE40" s="95">
        <f>SUMIFS(营销场景数据源!$AB:$AB,营销场景数据源!$C:$C,$B$38,营销场景数据源!$A:$A,CE2)</f>
        <v>5</v>
      </c>
      <c r="CF40" s="95">
        <f>SUMIFS(营销场景数据源!$AB:$AB,营销场景数据源!$C:$C,$B$38,营销场景数据源!$A:$A,CF2)</f>
        <v>3</v>
      </c>
      <c r="CG40" s="95">
        <f>SUMIFS(营销场景数据源!$AB:$AB,营销场景数据源!$C:$C,$B$38,营销场景数据源!$A:$A,CG2)</f>
        <v>7</v>
      </c>
      <c r="CH40" s="95">
        <f>SUMIFS(营销场景数据源!$AB:$AB,营销场景数据源!$C:$C,$B$38,营销场景数据源!$A:$A,CH2)</f>
        <v>17</v>
      </c>
      <c r="CI40" s="95">
        <f>SUMIFS(营销场景数据源!$AB:$AB,营销场景数据源!$C:$C,$B$38,营销场景数据源!$A:$A,CI2)</f>
        <v>10</v>
      </c>
      <c r="CJ40" s="95">
        <f>SUMIFS(营销场景数据源!$AB:$AB,营销场景数据源!$C:$C,$B$38,营销场景数据源!$A:$A,CJ2)</f>
        <v>11</v>
      </c>
      <c r="CK40" s="95">
        <f>SUMIFS(营销场景数据源!$AB:$AB,营销场景数据源!$C:$C,$B$38,营销场景数据源!$A:$A,CK2)</f>
        <v>10</v>
      </c>
      <c r="CL40" s="95">
        <f>SUMIFS(营销场景数据源!$AB:$AB,营销场景数据源!$C:$C,$B$38,营销场景数据源!$A:$A,CL2)</f>
        <v>15</v>
      </c>
      <c r="CM40" s="95">
        <f>SUMIFS(营销场景数据源!$AB:$AB,营销场景数据源!$C:$C,$B$38,营销场景数据源!$A:$A,CM2)</f>
        <v>4</v>
      </c>
      <c r="CN40" s="95">
        <f>SUMIFS(营销场景数据源!$AB:$AB,营销场景数据源!$C:$C,$B$38,营销场景数据源!$A:$A,CN2)</f>
        <v>4</v>
      </c>
      <c r="CO40" s="95">
        <f>SUMIFS(营销场景数据源!$AB:$AB,营销场景数据源!$C:$C,$B$38,营销场景数据源!$A:$A,CO2)</f>
        <v>5</v>
      </c>
      <c r="CP40" s="95">
        <f>SUMIFS(营销场景数据源!$AB:$AB,营销场景数据源!$C:$C,$B$38,营销场景数据源!$A:$A,CP2)</f>
        <v>6</v>
      </c>
      <c r="CQ40" s="95">
        <f>SUMIFS(营销场景数据源!$AB:$AB,营销场景数据源!$C:$C,$B$38,营销场景数据源!$A:$A,CQ2)</f>
        <v>16</v>
      </c>
      <c r="CR40" s="95">
        <f>SUMIFS(营销场景数据源!$AB:$AB,营销场景数据源!$C:$C,$B$38,营销场景数据源!$A:$A,CR2)</f>
        <v>5</v>
      </c>
      <c r="CS40" s="95">
        <f>SUMIFS(营销场景数据源!$AB:$AB,营销场景数据源!$C:$C,$B$38,营销场景数据源!$A:$A,CS2)</f>
        <v>24</v>
      </c>
      <c r="CT40" s="95">
        <f>SUMIFS(营销场景数据源!$AB:$AB,营销场景数据源!$C:$C,$B$38,营销场景数据源!$A:$A,CT2)</f>
        <v>12</v>
      </c>
      <c r="CU40" s="95">
        <f>SUMIFS(营销场景数据源!$AB:$AB,营销场景数据源!$C:$C,$B$38,营销场景数据源!$A:$A,CU2)</f>
        <v>0</v>
      </c>
      <c r="CV40" s="95">
        <f>SUMIFS(营销场景数据源!$AB:$AB,营销场景数据源!$C:$C,$B$38,营销场景数据源!$A:$A,CV2)</f>
        <v>6</v>
      </c>
      <c r="CW40" s="95">
        <f>SUMIFS(营销场景数据源!$AB:$AB,营销场景数据源!$C:$C,$B$38,营销场景数据源!$A:$A,CW2)</f>
        <v>4</v>
      </c>
      <c r="CX40" s="95">
        <f>SUMIFS(营销场景数据源!$AB:$AB,营销场景数据源!$C:$C,$B$38,营销场景数据源!$A:$A,CX2)</f>
        <v>23</v>
      </c>
      <c r="CY40" s="95">
        <f>SUMIFS(营销场景数据源!$AB:$AB,营销场景数据源!$C:$C,$B$38,营销场景数据源!$A:$A,CY2)</f>
        <v>5</v>
      </c>
      <c r="CZ40" s="95">
        <f>SUMIFS(营销场景数据源!$AB:$AB,营销场景数据源!$C:$C,$B$38,营销场景数据源!$A:$A,CZ2)</f>
        <v>9</v>
      </c>
      <c r="DA40" s="95">
        <f>SUMIFS(营销场景数据源!$AB:$AB,营销场景数据源!$C:$C,$B$38,营销场景数据源!$A:$A,DA2)</f>
        <v>5</v>
      </c>
      <c r="DB40" s="95">
        <f>SUMIFS(营销场景数据源!$AB:$AB,营销场景数据源!$C:$C,$B$38,营销场景数据源!$A:$A,DB2)</f>
        <v>3</v>
      </c>
      <c r="DC40" s="95">
        <f>SUMIFS(营销场景数据源!$AB:$AB,营销场景数据源!$C:$C,$B$38,营销场景数据源!$A:$A,DC2)</f>
        <v>2</v>
      </c>
      <c r="DD40" s="95">
        <f>SUMIFS(营销场景数据源!$AB:$AB,营销场景数据源!$C:$C,$B$38,营销场景数据源!$A:$A,DD2)</f>
        <v>4</v>
      </c>
      <c r="DE40" s="95">
        <f>SUMIFS(营销场景数据源!$AB:$AB,营销场景数据源!$C:$C,$B$38,营销场景数据源!$A:$A,DE2)</f>
        <v>0</v>
      </c>
      <c r="DF40" s="65">
        <f>SUM(DG40:EJ40)</f>
        <v>77</v>
      </c>
      <c r="DG40" s="95">
        <f>SUMIFS(营销场景数据源!$AB:$AB,营销场景数据源!$C:$C,$B$38,营销场景数据源!$A:$A,DG2)</f>
        <v>1</v>
      </c>
      <c r="DH40" s="95">
        <f>SUMIFS(营销场景数据源!$AB:$AB,营销场景数据源!$C:$C,$B$38,营销场景数据源!$A:$A,DH2)</f>
        <v>0</v>
      </c>
      <c r="DI40" s="95">
        <f>SUMIFS(营销场景数据源!$AB:$AB,营销场景数据源!$C:$C,$B$38,营销场景数据源!$A:$A,DI2)</f>
        <v>1</v>
      </c>
      <c r="DJ40" s="95">
        <f>SUMIFS(营销场景数据源!$AB:$AB,营销场景数据源!$C:$C,$B$38,营销场景数据源!$A:$A,DJ2)</f>
        <v>4</v>
      </c>
      <c r="DK40" s="95">
        <f>SUMIFS(营销场景数据源!$AB:$AB,营销场景数据源!$C:$C,$B$38,营销场景数据源!$A:$A,DK2)</f>
        <v>2</v>
      </c>
      <c r="DL40" s="95">
        <f>SUMIFS(营销场景数据源!$AB:$AB,营销场景数据源!$C:$C,$B$38,营销场景数据源!$A:$A,DL2)</f>
        <v>5</v>
      </c>
      <c r="DM40" s="95">
        <f>SUMIFS(营销场景数据源!$AB:$AB,营销场景数据源!$C:$C,$B$38,营销场景数据源!$A:$A,DM2)</f>
        <v>2</v>
      </c>
      <c r="DN40" s="95">
        <f>SUMIFS(营销场景数据源!$AB:$AB,营销场景数据源!$C:$C,$B$38,营销场景数据源!$A:$A,DN2)</f>
        <v>3</v>
      </c>
      <c r="DO40" s="95">
        <f>SUMIFS(营销场景数据源!$AB:$AB,营销场景数据源!$C:$C,$B$38,营销场景数据源!$A:$A,DO2)</f>
        <v>3</v>
      </c>
      <c r="DP40" s="95">
        <f>SUMIFS(营销场景数据源!$AB:$AB,营销场景数据源!$C:$C,$B$38,营销场景数据源!$A:$A,DP2)</f>
        <v>1</v>
      </c>
      <c r="DQ40" s="95">
        <f>SUMIFS(营销场景数据源!$AB:$AB,营销场景数据源!$C:$C,$B$38,营销场景数据源!$A:$A,DQ2)</f>
        <v>2</v>
      </c>
      <c r="DR40" s="95">
        <f>SUMIFS(营销场景数据源!$AB:$AB,营销场景数据源!$C:$C,$B$38,营销场景数据源!$A:$A,DR2)</f>
        <v>4</v>
      </c>
      <c r="DS40" s="95">
        <f>SUMIFS(营销场景数据源!$AB:$AB,营销场景数据源!$C:$C,$B$38,营销场景数据源!$A:$A,DS2)</f>
        <v>3</v>
      </c>
      <c r="DT40" s="95">
        <f>SUMIFS(营销场景数据源!$AB:$AB,营销场景数据源!$C:$C,$B$38,营销场景数据源!$A:$A,DT2)</f>
        <v>1</v>
      </c>
      <c r="DU40" s="95">
        <f>SUMIFS(营销场景数据源!$AB:$AB,营销场景数据源!$C:$C,$B$38,营销场景数据源!$A:$A,DU2)</f>
        <v>7</v>
      </c>
      <c r="DV40" s="95">
        <f>SUMIFS(营销场景数据源!$AB:$AB,营销场景数据源!$C:$C,$B$38,营销场景数据源!$A:$A,DV2)</f>
        <v>4</v>
      </c>
      <c r="DW40" s="95">
        <f>SUMIFS(营销场景数据源!$AB:$AB,营销场景数据源!$C:$C,$B$38,营销场景数据源!$A:$A,DW2)</f>
        <v>2</v>
      </c>
      <c r="DX40" s="95">
        <f>SUMIFS(营销场景数据源!$AB:$AB,营销场景数据源!$C:$C,$B$38,营销场景数据源!$A:$A,DX2)</f>
        <v>6</v>
      </c>
      <c r="DY40" s="95">
        <f>SUMIFS(营销场景数据源!$AB:$AB,营销场景数据源!$C:$C,$B$38,营销场景数据源!$A:$A,DY2)</f>
        <v>5</v>
      </c>
      <c r="DZ40" s="95">
        <f>SUMIFS(营销场景数据源!$AB:$AB,营销场景数据源!$C:$C,$B$38,营销场景数据源!$A:$A,DZ2)</f>
        <v>1</v>
      </c>
      <c r="EA40" s="95">
        <f>SUMIFS(营销场景数据源!$AB:$AB,营销场景数据源!$C:$C,$B$38,营销场景数据源!$A:$A,EA2)</f>
        <v>5</v>
      </c>
      <c r="EB40" s="95">
        <f>SUMIFS(营销场景数据源!$AB:$AB,营销场景数据源!$C:$C,$B$38,营销场景数据源!$A:$A,EB2)</f>
        <v>1</v>
      </c>
      <c r="EC40" s="95">
        <f>SUMIFS(营销场景数据源!$AB:$AB,营销场景数据源!$C:$C,$B$38,营销场景数据源!$A:$A,EC2)</f>
        <v>5</v>
      </c>
      <c r="ED40" s="95">
        <f>SUMIFS(营销场景数据源!$AB:$AB,营销场景数据源!$C:$C,$B$38,营销场景数据源!$A:$A,ED2)</f>
        <v>1</v>
      </c>
      <c r="EE40" s="95">
        <f>SUMIFS(营销场景数据源!$AB:$AB,营销场景数据源!$C:$C,$B$38,营销场景数据源!$A:$A,EE2)</f>
        <v>1</v>
      </c>
      <c r="EF40" s="95">
        <f>SUMIFS(营销场景数据源!$AB:$AB,营销场景数据源!$C:$C,$B$38,营销场景数据源!$A:$A,EF2)</f>
        <v>1</v>
      </c>
      <c r="EG40" s="95">
        <f>SUMIFS(营销场景数据源!$AB:$AB,营销场景数据源!$C:$C,$B$38,营销场景数据源!$A:$A,EG2)</f>
        <v>2</v>
      </c>
      <c r="EH40" s="95">
        <f>SUMIFS(营销场景数据源!$AB:$AB,营销场景数据源!$C:$C,$B$38,营销场景数据源!$A:$A,EH2)</f>
        <v>1</v>
      </c>
      <c r="EI40" s="95">
        <f>SUMIFS(营销场景数据源!$AB:$AB,营销场景数据源!$C:$C,$B$38,营销场景数据源!$A:$A,EI2)</f>
        <v>2</v>
      </c>
      <c r="EJ40" s="95">
        <f>SUMIFS(营销场景数据源!$AB:$AB,营销场景数据源!$C:$C,$B$38,营销场景数据源!$A:$A,EJ2)</f>
        <v>1</v>
      </c>
      <c r="EK40" s="65">
        <f>SUM(EL40:FP40)</f>
        <v>60</v>
      </c>
      <c r="EL40" s="95">
        <f>SUMIFS(营销场景数据源!$AB:$AB,营销场景数据源!$C:$C,$B$38,营销场景数据源!$A:$A,EL2)</f>
        <v>1</v>
      </c>
      <c r="EM40" s="95">
        <f>SUMIFS(营销场景数据源!$AB:$AB,营销场景数据源!$C:$C,$B$38,营销场景数据源!$A:$A,EM2)</f>
        <v>0</v>
      </c>
      <c r="EN40" s="95">
        <f>SUMIFS(营销场景数据源!$AB:$AB,营销场景数据源!$C:$C,$B$38,营销场景数据源!$A:$A,EN2)</f>
        <v>1</v>
      </c>
      <c r="EO40" s="95">
        <f>SUMIFS(营销场景数据源!$AB:$AB,营销场景数据源!$C:$C,$B$38,营销场景数据源!$A:$A,EO2)</f>
        <v>1</v>
      </c>
      <c r="EP40" s="95">
        <f>SUMIFS(营销场景数据源!$AB:$AB,营销场景数据源!$C:$C,$B$38,营销场景数据源!$A:$A,EP2)</f>
        <v>2</v>
      </c>
      <c r="EQ40" s="95">
        <f>SUMIFS(营销场景数据源!$AB:$AB,营销场景数据源!$C:$C,$B$38,营销场景数据源!$A:$A,EQ2)</f>
        <v>7</v>
      </c>
      <c r="ER40" s="95">
        <f>SUMIFS(营销场景数据源!$AB:$AB,营销场景数据源!$C:$C,$B$38,营销场景数据源!$A:$A,ER2)</f>
        <v>1</v>
      </c>
      <c r="ES40" s="95">
        <f>SUMIFS(营销场景数据源!$AB:$AB,营销场景数据源!$C:$C,$B$38,营销场景数据源!$A:$A,ES2)</f>
        <v>0</v>
      </c>
      <c r="ET40" s="95">
        <f>SUMIFS(营销场景数据源!$AB:$AB,营销场景数据源!$C:$C,$B$38,营销场景数据源!$A:$A,ET2)</f>
        <v>1</v>
      </c>
      <c r="EU40" s="95">
        <f>SUMIFS(营销场景数据源!$AB:$AB,营销场景数据源!$C:$C,$B$38,营销场景数据源!$A:$A,EU2)</f>
        <v>1</v>
      </c>
      <c r="EV40" s="95">
        <f>SUMIFS(营销场景数据源!$AB:$AB,营销场景数据源!$C:$C,$B$38,营销场景数据源!$A:$A,EV2)</f>
        <v>2</v>
      </c>
      <c r="EW40" s="95">
        <f>SUMIFS(营销场景数据源!$AB:$AB,营销场景数据源!$C:$C,$B$38,营销场景数据源!$A:$A,EW2)</f>
        <v>0</v>
      </c>
      <c r="EX40" s="95">
        <f>SUMIFS(营销场景数据源!$AB:$AB,营销场景数据源!$C:$C,$B$38,营销场景数据源!$A:$A,EX2)</f>
        <v>2</v>
      </c>
      <c r="EY40" s="95">
        <f>SUMIFS(营销场景数据源!$AB:$AB,营销场景数据源!$C:$C,$B$38,营销场景数据源!$A:$A,EY2)</f>
        <v>2</v>
      </c>
      <c r="EZ40" s="95">
        <f>SUMIFS(营销场景数据源!$AB:$AB,营销场景数据源!$C:$C,$B$38,营销场景数据源!$A:$A,EZ2)</f>
        <v>3</v>
      </c>
      <c r="FA40" s="95">
        <f>SUMIFS(营销场景数据源!$AB:$AB,营销场景数据源!$C:$C,$B$38,营销场景数据源!$A:$A,FA2)</f>
        <v>0</v>
      </c>
      <c r="FB40" s="95">
        <f>SUMIFS(营销场景数据源!$AB:$AB,营销场景数据源!$C:$C,$B$38,营销场景数据源!$A:$A,FB2)</f>
        <v>1</v>
      </c>
      <c r="FC40" s="95">
        <f>SUMIFS(营销场景数据源!$AB:$AB,营销场景数据源!$C:$C,$B$38,营销场景数据源!$A:$A,FC2)</f>
        <v>3</v>
      </c>
      <c r="FD40" s="95">
        <f>SUMIFS(营销场景数据源!$AB:$AB,营销场景数据源!$C:$C,$B$38,营销场景数据源!$A:$A,FD2)</f>
        <v>1</v>
      </c>
      <c r="FE40" s="95">
        <f>SUMIFS(营销场景数据源!$AB:$AB,营销场景数据源!$C:$C,$B$38,营销场景数据源!$A:$A,FE2)</f>
        <v>1</v>
      </c>
      <c r="FF40" s="95">
        <f>SUMIFS(营销场景数据源!$AB:$AB,营销场景数据源!$C:$C,$B$38,营销场景数据源!$A:$A,FF2)</f>
        <v>1</v>
      </c>
      <c r="FG40" s="95">
        <f>SUMIFS(营销场景数据源!$AB:$AB,营销场景数据源!$C:$C,$B$38,营销场景数据源!$A:$A,FG2)</f>
        <v>1</v>
      </c>
      <c r="FH40" s="95">
        <f>SUMIFS(营销场景数据源!$AB:$AB,营销场景数据源!$C:$C,$B$38,营销场景数据源!$A:$A,FH2)</f>
        <v>0</v>
      </c>
      <c r="FI40" s="95">
        <f>SUMIFS(营销场景数据源!$AB:$AB,营销场景数据源!$C:$C,$B$38,营销场景数据源!$A:$A,FI2)</f>
        <v>2</v>
      </c>
      <c r="FJ40" s="95">
        <f>SUMIFS(营销场景数据源!$AB:$AB,营销场景数据源!$C:$C,$B$38,营销场景数据源!$A:$A,FJ2)</f>
        <v>4</v>
      </c>
      <c r="FK40" s="95">
        <f>SUMIFS(营销场景数据源!$AB:$AB,营销场景数据源!$C:$C,$B$38,营销场景数据源!$A:$A,FK2)</f>
        <v>2</v>
      </c>
      <c r="FL40" s="95">
        <f>SUMIFS(营销场景数据源!$AB:$AB,营销场景数据源!$C:$C,$B$38,营销场景数据源!$A:$A,FL2)</f>
        <v>1</v>
      </c>
      <c r="FM40" s="95">
        <f>SUMIFS(营销场景数据源!$AB:$AB,营销场景数据源!$C:$C,$B$38,营销场景数据源!$A:$A,FM2)</f>
        <v>2</v>
      </c>
      <c r="FN40" s="95">
        <f>SUMIFS(营销场景数据源!$AB:$AB,营销场景数据源!$C:$C,$B$38,营销场景数据源!$A:$A,FN2)</f>
        <v>0</v>
      </c>
      <c r="FO40" s="95">
        <f>SUMIFS(营销场景数据源!$AB:$AB,营销场景数据源!$C:$C,$B$38,营销场景数据源!$A:$A,FO2)</f>
        <v>7</v>
      </c>
      <c r="FP40" s="95">
        <f>SUMIFS(营销场景数据源!$AB:$AB,营销场景数据源!$C:$C,$B$38,营销场景数据源!$A:$A,FP2)</f>
        <v>10</v>
      </c>
      <c r="FQ40" s="65">
        <f t="shared" si="219"/>
        <v>64</v>
      </c>
      <c r="FR40" s="95">
        <f>SUMIFS(营销场景数据源!$AB:$AB,营销场景数据源!$C:$C,$B$38,营销场景数据源!$A:$A,FR2)</f>
        <v>4</v>
      </c>
      <c r="FS40" s="95">
        <f>SUMIFS(营销场景数据源!$AB:$AB,营销场景数据源!$C:$C,$B$38,营销场景数据源!$A:$A,FS2)</f>
        <v>0</v>
      </c>
      <c r="FT40" s="95">
        <f>SUMIFS(营销场景数据源!$AB:$AB,营销场景数据源!$C:$C,$B$38,营销场景数据源!$A:$A,FT2)</f>
        <v>4</v>
      </c>
      <c r="FU40" s="95">
        <f>SUMIFS(营销场景数据源!$AB:$AB,营销场景数据源!$C:$C,$B$38,营销场景数据源!$A:$A,FU2)</f>
        <v>0</v>
      </c>
      <c r="FV40" s="95">
        <f>SUMIFS(营销场景数据源!$AB:$AB,营销场景数据源!$C:$C,$B$38,营销场景数据源!$A:$A,FV2)</f>
        <v>8</v>
      </c>
      <c r="FW40" s="95">
        <f>SUMIFS(营销场景数据源!$AB:$AB,营销场景数据源!$C:$C,$B$38,营销场景数据源!$A:$A,FW2)</f>
        <v>2</v>
      </c>
      <c r="FX40" s="95">
        <f>SUMIFS(营销场景数据源!$AB:$AB,营销场景数据源!$C:$C,$B$38,营销场景数据源!$A:$A,FX2)</f>
        <v>0</v>
      </c>
      <c r="FY40" s="95">
        <f>SUMIFS(营销场景数据源!$AB:$AB,营销场景数据源!$C:$C,$B$38,营销场景数据源!$A:$A,FY2)</f>
        <v>3</v>
      </c>
      <c r="FZ40" s="95">
        <f>SUMIFS(营销场景数据源!$AB:$AB,营销场景数据源!$C:$C,$B$38,营销场景数据源!$A:$A,FZ2)</f>
        <v>0</v>
      </c>
      <c r="GA40" s="95">
        <f>SUMIFS(营销场景数据源!$AB:$AB,营销场景数据源!$C:$C,$B$38,营销场景数据源!$A:$A,GA2)</f>
        <v>2</v>
      </c>
      <c r="GB40" s="95">
        <f>SUMIFS(营销场景数据源!$AB:$AB,营销场景数据源!$C:$C,$B$38,营销场景数据源!$A:$A,GB2)</f>
        <v>0</v>
      </c>
      <c r="GC40" s="95">
        <f>SUMIFS(营销场景数据源!$AB:$AB,营销场景数据源!$C:$C,$B$38,营销场景数据源!$A:$A,GC2)</f>
        <v>2</v>
      </c>
      <c r="GD40" s="95">
        <f>SUMIFS(营销场景数据源!$AB:$AB,营销场景数据源!$C:$C,$B$38,营销场景数据源!$A:$A,GD2)</f>
        <v>3</v>
      </c>
      <c r="GE40" s="95">
        <f>SUMIFS(营销场景数据源!$AB:$AB,营销场景数据源!$C:$C,$B$38,营销场景数据源!$A:$A,GE2)</f>
        <v>5</v>
      </c>
      <c r="GF40" s="95">
        <f>SUMIFS(营销场景数据源!$AB:$AB,营销场景数据源!$C:$C,$B$38,营销场景数据源!$A:$A,GF2)</f>
        <v>2</v>
      </c>
      <c r="GG40" s="95">
        <f>SUMIFS(营销场景数据源!$AB:$AB,营销场景数据源!$C:$C,$B$38,营销场景数据源!$A:$A,GG2)</f>
        <v>2</v>
      </c>
      <c r="GH40" s="95">
        <f>SUMIFS(营销场景数据源!$AB:$AB,营销场景数据源!$C:$C,$B$38,营销场景数据源!$A:$A,GH2)</f>
        <v>3</v>
      </c>
      <c r="GI40" s="95">
        <f>SUMIFS(营销场景数据源!$AB:$AB,营销场景数据源!$C:$C,$B$38,营销场景数据源!$A:$A,GI2)</f>
        <v>3</v>
      </c>
      <c r="GJ40" s="95">
        <f>SUMIFS(营销场景数据源!$AB:$AB,营销场景数据源!$C:$C,$B$38,营销场景数据源!$A:$A,GJ2)</f>
        <v>4</v>
      </c>
      <c r="GK40" s="95">
        <f>SUMIFS(营销场景数据源!$AB:$AB,营销场景数据源!$C:$C,$B$38,营销场景数据源!$A:$A,GK2)</f>
        <v>8</v>
      </c>
      <c r="GL40" s="95">
        <f>SUMIFS(营销场景数据源!$AB:$AB,营销场景数据源!$C:$C,$B$38,营销场景数据源!$A:$A,GL2)</f>
        <v>9</v>
      </c>
      <c r="GM40" s="95">
        <f>SUMIFS(营销场景数据源!$AB:$AB,营销场景数据源!$C:$C,$B$38,营销场景数据源!$A:$A,GM2)</f>
        <v>0</v>
      </c>
      <c r="GN40" s="95">
        <f>SUMIFS(营销场景数据源!$AB:$AB,营销场景数据源!$C:$C,$B$38,营销场景数据源!$A:$A,GN2)</f>
        <v>0</v>
      </c>
      <c r="GO40" s="95">
        <f>SUMIFS(营销场景数据源!$AB:$AB,营销场景数据源!$C:$C,$B$38,营销场景数据源!$A:$A,GO2)</f>
        <v>0</v>
      </c>
      <c r="GP40" s="95">
        <f>SUMIFS(营销场景数据源!$AB:$AB,营销场景数据源!$C:$C,$B$38,营销场景数据源!$A:$A,GP2)</f>
        <v>0</v>
      </c>
    </row>
    <row r="41" s="47" customFormat="1" ht="15" customHeight="1" spans="1:198">
      <c r="A41" s="106"/>
      <c r="B41" s="103"/>
      <c r="C41" s="109" t="s">
        <v>25</v>
      </c>
      <c r="D41" s="94" t="e">
        <f>SUM(E41:P41)</f>
        <v>#REF!</v>
      </c>
      <c r="E41" s="110" t="e">
        <f>#REF!</f>
        <v>#REF!</v>
      </c>
      <c r="F41" s="110" t="e">
        <f>#REF!</f>
        <v>#REF!</v>
      </c>
      <c r="G41" s="110" t="e">
        <f>#REF!</f>
        <v>#REF!</v>
      </c>
      <c r="H41" s="110" t="e">
        <f>#REF!</f>
        <v>#REF!</v>
      </c>
      <c r="I41" s="110" t="e">
        <f>#REF!</f>
        <v>#REF!</v>
      </c>
      <c r="J41" s="110" t="e">
        <f>#REF!</f>
        <v>#REF!</v>
      </c>
      <c r="K41" s="110" t="e">
        <f>#REF!</f>
        <v>#REF!</v>
      </c>
      <c r="L41" s="110" t="e">
        <f>#REF!</f>
        <v>#REF!</v>
      </c>
      <c r="M41" s="110" t="e">
        <f>#REF!</f>
        <v>#REF!</v>
      </c>
      <c r="N41" s="110" t="e">
        <f>#REF!</f>
        <v>#REF!</v>
      </c>
      <c r="O41" s="110" t="e">
        <f>#REF!</f>
        <v>#REF!</v>
      </c>
      <c r="P41" s="110" t="e">
        <f>#REF!</f>
        <v>#REF!</v>
      </c>
      <c r="Q41" s="65">
        <v>25</v>
      </c>
      <c r="R41" s="95">
        <f>SUMIFS(营销场景数据源!$U:$U,营销场景数据源!$C:$C,$B$38,营销场景数据源!$A:$A,R2)</f>
        <v>0</v>
      </c>
      <c r="S41" s="95">
        <f>SUMIFS(营销场景数据源!$U:$U,营销场景数据源!$C:$C,$B$38,营销场景数据源!$A:$A,S2)</f>
        <v>2</v>
      </c>
      <c r="T41" s="95">
        <f>SUMIFS(营销场景数据源!$U:$U,营销场景数据源!$C:$C,$B$38,营销场景数据源!$A:$A,T2)</f>
        <v>1</v>
      </c>
      <c r="U41" s="95">
        <f>SUMIFS(营销场景数据源!$U:$U,营销场景数据源!$C:$C,$B$38,营销场景数据源!$A:$A,U2)</f>
        <v>3</v>
      </c>
      <c r="V41" s="95">
        <f>SUMIFS(营销场景数据源!$U:$U,营销场景数据源!$C:$C,$B$38,营销场景数据源!$A:$A,V2)</f>
        <v>0</v>
      </c>
      <c r="W41" s="95">
        <f>SUMIFS(营销场景数据源!$U:$U,营销场景数据源!$C:$C,$B$38,营销场景数据源!$A:$A,W2)</f>
        <v>1</v>
      </c>
      <c r="X41" s="95">
        <f>SUMIFS(营销场景数据源!$U:$U,营销场景数据源!$C:$C,$B$38,营销场景数据源!$A:$A,X2)</f>
        <v>0</v>
      </c>
      <c r="Y41" s="95">
        <f>SUMIFS(营销场景数据源!$U:$U,营销场景数据源!$C:$C,$B$38,营销场景数据源!$A:$A,Y2)</f>
        <v>2</v>
      </c>
      <c r="Z41" s="95">
        <f>SUMIFS(营销场景数据源!$U:$U,营销场景数据源!$C:$C,$B$38,营销场景数据源!$A:$A,Z2)</f>
        <v>3</v>
      </c>
      <c r="AA41" s="95">
        <f>SUMIFS(营销场景数据源!$U:$U,营销场景数据源!$C:$C,$B$38,营销场景数据源!$A:$A,AA2)</f>
        <v>0</v>
      </c>
      <c r="AB41" s="95">
        <f>SUMIFS(营销场景数据源!$U:$U,营销场景数据源!$C:$C,$B$38,营销场景数据源!$A:$A,AB2)</f>
        <v>0</v>
      </c>
      <c r="AC41" s="95">
        <f>SUMIFS(营销场景数据源!$U:$U,营销场景数据源!$C:$C,$B$38,营销场景数据源!$A:$A,AC2)</f>
        <v>0</v>
      </c>
      <c r="AD41" s="95">
        <f>SUMIFS(营销场景数据源!$U:$U,营销场景数据源!$C:$C,$B$38,营销场景数据源!$A:$A,AD2)</f>
        <v>3</v>
      </c>
      <c r="AE41" s="95">
        <f>SUMIFS(营销场景数据源!$U:$U,营销场景数据源!$C:$C,$B$38,营销场景数据源!$A:$A,AE2)</f>
        <v>0</v>
      </c>
      <c r="AF41" s="95">
        <f>SUMIFS(营销场景数据源!$U:$U,营销场景数据源!$C:$C,$B$38,营销场景数据源!$A:$A,AF2)</f>
        <v>0</v>
      </c>
      <c r="AG41" s="95">
        <f>SUMIFS(营销场景数据源!$U:$U,营销场景数据源!$C:$C,$B$38,营销场景数据源!$A:$A,AG2)</f>
        <v>2</v>
      </c>
      <c r="AH41" s="95">
        <f>SUMIFS(营销场景数据源!$U:$U,营销场景数据源!$C:$C,$B$38,营销场景数据源!$A:$A,AH2)</f>
        <v>0</v>
      </c>
      <c r="AI41" s="95">
        <f>SUMIFS(营销场景数据源!$U:$U,营销场景数据源!$C:$C,$B$38,营销场景数据源!$A:$A,AI2)</f>
        <v>0</v>
      </c>
      <c r="AJ41" s="95">
        <f>SUMIFS(营销场景数据源!$U:$U,营销场景数据源!$C:$C,$B$38,营销场景数据源!$A:$A,AJ2)</f>
        <v>3</v>
      </c>
      <c r="AK41" s="95">
        <f>SUMIFS(营销场景数据源!$U:$U,营销场景数据源!$C:$C,$B$38,营销场景数据源!$A:$A,AK2)</f>
        <v>0</v>
      </c>
      <c r="AL41" s="95">
        <f>SUMIFS(营销场景数据源!$U:$U,营销场景数据源!$C:$C,$B$38,营销场景数据源!$A:$A,AL2)</f>
        <v>0</v>
      </c>
      <c r="AM41" s="95">
        <f>SUMIFS(营销场景数据源!$U:$U,营销场景数据源!$C:$C,$B$38,营销场景数据源!$A:$A,AM2)</f>
        <v>1</v>
      </c>
      <c r="AN41" s="95">
        <f>SUMIFS(营销场景数据源!$U:$U,营销场景数据源!$C:$C,$B$38,营销场景数据源!$A:$A,AN2)</f>
        <v>3</v>
      </c>
      <c r="AO41" s="95">
        <f>SUMIFS(营销场景数据源!$U:$U,营销场景数据源!$C:$C,$B$38,营销场景数据源!$A:$A,AO2)</f>
        <v>0</v>
      </c>
      <c r="AP41" s="95">
        <f>SUMIFS(营销场景数据源!$U:$U,营销场景数据源!$C:$C,$B$38,营销场景数据源!$A:$A,AP2)</f>
        <v>1</v>
      </c>
      <c r="AQ41" s="95">
        <f>SUMIFS(营销场景数据源!$U:$U,营销场景数据源!$C:$C,$B$38,营销场景数据源!$A:$A,AQ2)</f>
        <v>2</v>
      </c>
      <c r="AR41" s="95">
        <f>SUMIFS(营销场景数据源!$U:$U,营销场景数据源!$C:$C,$B$38,营销场景数据源!$A:$A,AR2)</f>
        <v>0</v>
      </c>
      <c r="AS41" s="95">
        <f>SUMIFS(营销场景数据源!$U:$U,营销场景数据源!$C:$C,$B$38,营销场景数据源!$A:$A,AS2)</f>
        <v>0</v>
      </c>
      <c r="AT41" s="95">
        <f>SUMIFS(营销场景数据源!$U:$U,营销场景数据源!$C:$C,$B$38,营销场景数据源!$A:$A,AT2)</f>
        <v>2</v>
      </c>
      <c r="AU41" s="95">
        <f>SUMIFS(营销场景数据源!$U:$U,营销场景数据源!$C:$C,$B$38,营销场景数据源!$A:$A,AU2)</f>
        <v>0</v>
      </c>
      <c r="AV41" s="95">
        <f>SUMIFS(营销场景数据源!$U:$U,营销场景数据源!$C:$C,$B$38,营销场景数据源!$A:$A,AV2)</f>
        <v>1</v>
      </c>
      <c r="AW41" s="65">
        <v>25</v>
      </c>
      <c r="AX41" s="95">
        <f>SUMIFS(营销场景数据源!$U:$U,营销场景数据源!$C:$C,$B$38,营销场景数据源!$A:$A,AX2)</f>
        <v>0</v>
      </c>
      <c r="AY41" s="95">
        <f>SUMIFS(营销场景数据源!$U:$U,营销场景数据源!$C:$C,$B$38,营销场景数据源!$A:$A,AY2)</f>
        <v>2</v>
      </c>
      <c r="AZ41" s="95">
        <f>SUMIFS(营销场景数据源!$U:$U,营销场景数据源!$C:$C,$B$38,营销场景数据源!$A:$A,AZ2)</f>
        <v>2</v>
      </c>
      <c r="BA41" s="95">
        <f>SUMIFS(营销场景数据源!$U:$U,营销场景数据源!$C:$C,$B$38,营销场景数据源!$A:$A,BA2)</f>
        <v>0</v>
      </c>
      <c r="BB41" s="95">
        <f>SUMIFS(营销场景数据源!$U:$U,营销场景数据源!$C:$C,$B$38,营销场景数据源!$A:$A,BB2)</f>
        <v>7</v>
      </c>
      <c r="BC41" s="95">
        <f>SUMIFS(营销场景数据源!$U:$U,营销场景数据源!$C:$C,$B$38,营销场景数据源!$A:$A,BC2)</f>
        <v>5</v>
      </c>
      <c r="BD41" s="95">
        <f>SUMIFS(营销场景数据源!$U:$U,营销场景数据源!$C:$C,$B$38,营销场景数据源!$A:$A,BD2)</f>
        <v>5</v>
      </c>
      <c r="BE41" s="95">
        <f>SUMIFS(营销场景数据源!$U:$U,营销场景数据源!$C:$C,$B$38,营销场景数据源!$A:$A,BE2)</f>
        <v>1</v>
      </c>
      <c r="BF41" s="95">
        <f>SUMIFS(营销场景数据源!$U:$U,营销场景数据源!$C:$C,$B$38,营销场景数据源!$A:$A,BF2)</f>
        <v>0</v>
      </c>
      <c r="BG41" s="95">
        <f>SUMIFS(营销场景数据源!$U:$U,营销场景数据源!$C:$C,$B$38,营销场景数据源!$A:$A,BG2)</f>
        <v>3</v>
      </c>
      <c r="BH41" s="95">
        <f>SUMIFS(营销场景数据源!$U:$U,营销场景数据源!$C:$C,$B$38,营销场景数据源!$A:$A,BH2)</f>
        <v>0</v>
      </c>
      <c r="BI41" s="95">
        <f>SUMIFS(营销场景数据源!$U:$U,营销场景数据源!$C:$C,$B$38,营销场景数据源!$A:$A,BI2)</f>
        <v>1</v>
      </c>
      <c r="BJ41" s="95">
        <f>SUMIFS(营销场景数据源!$U:$U,营销场景数据源!$C:$C,$B$38,营销场景数据源!$A:$A,BJ2)</f>
        <v>0</v>
      </c>
      <c r="BK41" s="95">
        <f>SUMIFS(营销场景数据源!$U:$U,营销场景数据源!$C:$C,$B$38,营销场景数据源!$A:$A,BK2)</f>
        <v>0</v>
      </c>
      <c r="BL41" s="95">
        <f>SUMIFS(营销场景数据源!$U:$U,营销场景数据源!$C:$C,$B$38,营销场景数据源!$A:$A,BL2)</f>
        <v>1</v>
      </c>
      <c r="BM41" s="95">
        <f>SUMIFS(营销场景数据源!$U:$U,营销场景数据源!$C:$C,$B$38,营销场景数据源!$A:$A,BM2)</f>
        <v>0</v>
      </c>
      <c r="BN41" s="95">
        <f>SUMIFS(营销场景数据源!$U:$U,营销场景数据源!$C:$C,$B$38,营销场景数据源!$A:$A,BN2)</f>
        <v>0</v>
      </c>
      <c r="BO41" s="95">
        <f>SUMIFS(营销场景数据源!$U:$U,营销场景数据源!$C:$C,$B$38,营销场景数据源!$A:$A,BO2)</f>
        <v>0</v>
      </c>
      <c r="BP41" s="95">
        <f>SUMIFS(营销场景数据源!$U:$U,营销场景数据源!$C:$C,$B$38,营销场景数据源!$A:$A,BP2)</f>
        <v>0</v>
      </c>
      <c r="BQ41" s="95">
        <f>SUMIFS(营销场景数据源!$U:$U,营销场景数据源!$C:$C,$B$38,营销场景数据源!$A:$A,BQ2)</f>
        <v>0</v>
      </c>
      <c r="BR41" s="95">
        <f>SUMIFS(营销场景数据源!$U:$U,营销场景数据源!$C:$C,$B$38,营销场景数据源!$A:$A,BR2)</f>
        <v>1</v>
      </c>
      <c r="BS41" s="95">
        <f>SUMIFS(营销场景数据源!$U:$U,营销场景数据源!$C:$C,$B$38,营销场景数据源!$A:$A,BS2)</f>
        <v>0</v>
      </c>
      <c r="BT41" s="95">
        <f>SUMIFS(营销场景数据源!$U:$U,营销场景数据源!$C:$C,$B$38,营销场景数据源!$A:$A,BT2)</f>
        <v>1</v>
      </c>
      <c r="BU41" s="95">
        <f>SUMIFS(营销场景数据源!$U:$U,营销场景数据源!$C:$C,$B$38,营销场景数据源!$A:$A,BU2)</f>
        <v>0</v>
      </c>
      <c r="BV41" s="95">
        <f>SUMIFS(营销场景数据源!$U:$U,营销场景数据源!$C:$C,$B$38,营销场景数据源!$A:$A,BV2)</f>
        <v>1</v>
      </c>
      <c r="BW41" s="95">
        <f>SUMIFS(营销场景数据源!$U:$U,营销场景数据源!$C:$C,$B$38,营销场景数据源!$A:$A,BW2)</f>
        <v>8</v>
      </c>
      <c r="BX41" s="95">
        <f>SUMIFS(营销场景数据源!$U:$U,营销场景数据源!$C:$C,$B$38,营销场景数据源!$A:$A,BX2)</f>
        <v>0</v>
      </c>
      <c r="BY41" s="95">
        <f>SUMIFS(营销场景数据源!$U:$U,营销场景数据源!$C:$C,$B$38,营销场景数据源!$A:$A,BY2)</f>
        <v>1</v>
      </c>
      <c r="BZ41" s="65">
        <v>25</v>
      </c>
      <c r="CA41" s="95">
        <f>SUMIFS(营销场景数据源!$U:$U,营销场景数据源!$C:$C,$B$38,营销场景数据源!$A:$A,CA2)</f>
        <v>1</v>
      </c>
      <c r="CB41" s="95">
        <f>SUMIFS(营销场景数据源!$U:$U,营销场景数据源!$C:$C,$B$38,营销场景数据源!$A:$A,CB2)</f>
        <v>0</v>
      </c>
      <c r="CC41" s="95">
        <f>SUMIFS(营销场景数据源!$U:$U,营销场景数据源!$C:$C,$B$38,营销场景数据源!$A:$A,CC2)</f>
        <v>2</v>
      </c>
      <c r="CD41" s="95">
        <f>SUMIFS(营销场景数据源!$U:$U,营销场景数据源!$C:$C,$B$38,营销场景数据源!$A:$A,CD2)</f>
        <v>2</v>
      </c>
      <c r="CE41" s="95">
        <f>SUMIFS(营销场景数据源!$U:$U,营销场景数据源!$C:$C,$B$38,营销场景数据源!$A:$A,CE2)</f>
        <v>1</v>
      </c>
      <c r="CF41" s="95">
        <f>SUMIFS(营销场景数据源!$U:$U,营销场景数据源!$C:$C,$B$38,营销场景数据源!$A:$A,CF2)</f>
        <v>1</v>
      </c>
      <c r="CG41" s="95">
        <f>SUMIFS(营销场景数据源!$U:$U,营销场景数据源!$C:$C,$B$38,营销场景数据源!$A:$A,CG2)</f>
        <v>1</v>
      </c>
      <c r="CH41" s="95">
        <f>SUMIFS(营销场景数据源!$U:$U,营销场景数据源!$C:$C,$B$38,营销场景数据源!$A:$A,CH2)</f>
        <v>2</v>
      </c>
      <c r="CI41" s="95">
        <f>SUMIFS(营销场景数据源!$U:$U,营销场景数据源!$C:$C,$B$38,营销场景数据源!$A:$A,CI2)</f>
        <v>0</v>
      </c>
      <c r="CJ41" s="95">
        <f>SUMIFS(营销场景数据源!$U:$U,营销场景数据源!$C:$C,$B$38,营销场景数据源!$A:$A,CJ2)</f>
        <v>1</v>
      </c>
      <c r="CK41" s="95">
        <f>SUMIFS(营销场景数据源!$U:$U,营销场景数据源!$C:$C,$B$38,营销场景数据源!$A:$A,CK2)</f>
        <v>0</v>
      </c>
      <c r="CL41" s="95">
        <f>SUMIFS(营销场景数据源!$U:$U,营销场景数据源!$C:$C,$B$38,营销场景数据源!$A:$A,CL2)</f>
        <v>1</v>
      </c>
      <c r="CM41" s="95">
        <f>SUMIFS(营销场景数据源!$U:$U,营销场景数据源!$C:$C,$B$38,营销场景数据源!$A:$A,CM2)</f>
        <v>1</v>
      </c>
      <c r="CN41" s="95">
        <f>SUMIFS(营销场景数据源!$U:$U,营销场景数据源!$C:$C,$B$38,营销场景数据源!$A:$A,CN2)</f>
        <v>1</v>
      </c>
      <c r="CO41" s="95">
        <f>SUMIFS(营销场景数据源!$U:$U,营销场景数据源!$C:$C,$B$38,营销场景数据源!$A:$A,CO2)</f>
        <v>4</v>
      </c>
      <c r="CP41" s="95">
        <f>SUMIFS(营销场景数据源!$U:$U,营销场景数据源!$C:$C,$B$38,营销场景数据源!$A:$A,CP2)</f>
        <v>0</v>
      </c>
      <c r="CQ41" s="95">
        <f>SUMIFS(营销场景数据源!$U:$U,营销场景数据源!$C:$C,$B$38,营销场景数据源!$A:$A,CQ2)</f>
        <v>4</v>
      </c>
      <c r="CR41" s="95">
        <f>SUMIFS(营销场景数据源!$U:$U,营销场景数据源!$C:$C,$B$38,营销场景数据源!$A:$A,CR2)</f>
        <v>5</v>
      </c>
      <c r="CS41" s="95">
        <f>SUMIFS(营销场景数据源!$U:$U,营销场景数据源!$C:$C,$B$38,营销场景数据源!$A:$A,CS2)</f>
        <v>8</v>
      </c>
      <c r="CT41" s="95">
        <f>SUMIFS(营销场景数据源!$U:$U,营销场景数据源!$C:$C,$B$38,营销场景数据源!$A:$A,CT2)</f>
        <v>6</v>
      </c>
      <c r="CU41" s="95">
        <f>SUMIFS(营销场景数据源!$U:$U,营销场景数据源!$C:$C,$B$38,营销场景数据源!$A:$A,CU2)</f>
        <v>0</v>
      </c>
      <c r="CV41" s="95">
        <f>SUMIFS(营销场景数据源!$U:$U,营销场景数据源!$C:$C,$B$38,营销场景数据源!$A:$A,CV2)</f>
        <v>0</v>
      </c>
      <c r="CW41" s="95">
        <f>SUMIFS(营销场景数据源!$U:$U,营销场景数据源!$C:$C,$B$38,营销场景数据源!$A:$A,CW2)</f>
        <v>0</v>
      </c>
      <c r="CX41" s="95">
        <f>SUMIFS(营销场景数据源!$U:$U,营销场景数据源!$C:$C,$B$38,营销场景数据源!$A:$A,CX2)</f>
        <v>5</v>
      </c>
      <c r="CY41" s="95">
        <f>SUMIFS(营销场景数据源!$U:$U,营销场景数据源!$C:$C,$B$38,营销场景数据源!$A:$A,CY2)</f>
        <v>1</v>
      </c>
      <c r="CZ41" s="95">
        <f>SUMIFS(营销场景数据源!$U:$U,营销场景数据源!$C:$C,$B$38,营销场景数据源!$A:$A,CZ2)</f>
        <v>0</v>
      </c>
      <c r="DA41" s="95">
        <f>SUMIFS(营销场景数据源!$U:$U,营销场景数据源!$C:$C,$B$38,营销场景数据源!$A:$A,DA2)</f>
        <v>0</v>
      </c>
      <c r="DB41" s="95">
        <f>SUMIFS(营销场景数据源!$U:$U,营销场景数据源!$C:$C,$B$38,营销场景数据源!$A:$A,DB2)</f>
        <v>2</v>
      </c>
      <c r="DC41" s="95">
        <f>SUMIFS(营销场景数据源!$U:$U,营销场景数据源!$C:$C,$B$38,营销场景数据源!$A:$A,DC2)</f>
        <v>0</v>
      </c>
      <c r="DD41" s="95">
        <f>SUMIFS(营销场景数据源!$U:$U,营销场景数据源!$C:$C,$B$38,营销场景数据源!$A:$A,DD2)</f>
        <v>0</v>
      </c>
      <c r="DE41" s="95">
        <f>SUMIFS(营销场景数据源!$U:$U,营销场景数据源!$C:$C,$B$38,营销场景数据源!$A:$A,DE2)</f>
        <v>1</v>
      </c>
      <c r="DF41" s="65">
        <v>25</v>
      </c>
      <c r="DG41" s="95">
        <f>SUMIFS(营销场景数据源!$U:$U,营销场景数据源!$C:$C,$B$38,营销场景数据源!$A:$A,DG2)</f>
        <v>0</v>
      </c>
      <c r="DH41" s="95">
        <f>SUMIFS(营销场景数据源!$U:$U,营销场景数据源!$C:$C,$B$38,营销场景数据源!$A:$A,DH2)</f>
        <v>1</v>
      </c>
      <c r="DI41" s="95">
        <f>SUMIFS(营销场景数据源!$U:$U,营销场景数据源!$C:$C,$B$38,营销场景数据源!$A:$A,DI2)</f>
        <v>2</v>
      </c>
      <c r="DJ41" s="95">
        <f>SUMIFS(营销场景数据源!$U:$U,营销场景数据源!$C:$C,$B$38,营销场景数据源!$A:$A,DJ2)</f>
        <v>1</v>
      </c>
      <c r="DK41" s="95">
        <f>SUMIFS(营销场景数据源!$U:$U,营销场景数据源!$C:$C,$B$38,营销场景数据源!$A:$A,DK2)</f>
        <v>1</v>
      </c>
      <c r="DL41" s="95">
        <f>SUMIFS(营销场景数据源!$U:$U,营销场景数据源!$C:$C,$B$38,营销场景数据源!$A:$A,DL2)</f>
        <v>0</v>
      </c>
      <c r="DM41" s="95">
        <f>SUMIFS(营销场景数据源!$U:$U,营销场景数据源!$C:$C,$B$38,营销场景数据源!$A:$A,DM2)</f>
        <v>3</v>
      </c>
      <c r="DN41" s="95">
        <f>SUMIFS(营销场景数据源!$U:$U,营销场景数据源!$C:$C,$B$38,营销场景数据源!$A:$A,DN2)</f>
        <v>0</v>
      </c>
      <c r="DO41" s="95">
        <f>SUMIFS(营销场景数据源!$U:$U,营销场景数据源!$C:$C,$B$38,营销场景数据源!$A:$A,DO2)</f>
        <v>3</v>
      </c>
      <c r="DP41" s="95">
        <f>SUMIFS(营销场景数据源!$U:$U,营销场景数据源!$C:$C,$B$38,营销场景数据源!$A:$A,DP2)</f>
        <v>1</v>
      </c>
      <c r="DQ41" s="95">
        <f>SUMIFS(营销场景数据源!$U:$U,营销场景数据源!$C:$C,$B$38,营销场景数据源!$A:$A,DQ2)</f>
        <v>1</v>
      </c>
      <c r="DR41" s="95">
        <f>SUMIFS(营销场景数据源!$U:$U,营销场景数据源!$C:$C,$B$38,营销场景数据源!$A:$A,DR2)</f>
        <v>2</v>
      </c>
      <c r="DS41" s="95">
        <f>SUMIFS(营销场景数据源!$U:$U,营销场景数据源!$C:$C,$B$38,营销场景数据源!$A:$A,DS2)</f>
        <v>1</v>
      </c>
      <c r="DT41" s="95">
        <f>SUMIFS(营销场景数据源!$U:$U,营销场景数据源!$C:$C,$B$38,营销场景数据源!$A:$A,DT2)</f>
        <v>1</v>
      </c>
      <c r="DU41" s="95">
        <f>SUMIFS(营销场景数据源!$U:$U,营销场景数据源!$C:$C,$B$38,营销场景数据源!$A:$A,DU2)</f>
        <v>1</v>
      </c>
      <c r="DV41" s="95">
        <f>SUMIFS(营销场景数据源!$U:$U,营销场景数据源!$C:$C,$B$38,营销场景数据源!$A:$A,DV2)</f>
        <v>1</v>
      </c>
      <c r="DW41" s="95">
        <f>SUMIFS(营销场景数据源!$U:$U,营销场景数据源!$C:$C,$B$38,营销场景数据源!$A:$A,DW2)</f>
        <v>0</v>
      </c>
      <c r="DX41" s="95">
        <f>SUMIFS(营销场景数据源!$U:$U,营销场景数据源!$C:$C,$B$38,营销场景数据源!$A:$A,DX2)</f>
        <v>2</v>
      </c>
      <c r="DY41" s="95">
        <f>SUMIFS(营销场景数据源!$U:$U,营销场景数据源!$C:$C,$B$38,营销场景数据源!$A:$A,DY2)</f>
        <v>0</v>
      </c>
      <c r="DZ41" s="95">
        <f>SUMIFS(营销场景数据源!$U:$U,营销场景数据源!$C:$C,$B$38,营销场景数据源!$A:$A,DZ2)</f>
        <v>0</v>
      </c>
      <c r="EA41" s="95">
        <f>SUMIFS(营销场景数据源!$U:$U,营销场景数据源!$C:$C,$B$38,营销场景数据源!$A:$A,EA2)</f>
        <v>2</v>
      </c>
      <c r="EB41" s="95">
        <f>SUMIFS(营销场景数据源!$U:$U,营销场景数据源!$C:$C,$B$38,营销场景数据源!$A:$A,EB2)</f>
        <v>0</v>
      </c>
      <c r="EC41" s="95">
        <f>SUMIFS(营销场景数据源!$U:$U,营销场景数据源!$C:$C,$B$38,营销场景数据源!$A:$A,EC2)</f>
        <v>0</v>
      </c>
      <c r="ED41" s="95">
        <f>SUMIFS(营销场景数据源!$U:$U,营销场景数据源!$C:$C,$B$38,营销场景数据源!$A:$A,ED2)</f>
        <v>0</v>
      </c>
      <c r="EE41" s="95">
        <f>SUMIFS(营销场景数据源!$U:$U,营销场景数据源!$C:$C,$B$38,营销场景数据源!$A:$A,EE2)</f>
        <v>0</v>
      </c>
      <c r="EF41" s="95">
        <f>SUMIFS(营销场景数据源!$U:$U,营销场景数据源!$C:$C,$B$38,营销场景数据源!$A:$A,EF2)</f>
        <v>1</v>
      </c>
      <c r="EG41" s="95">
        <f>SUMIFS(营销场景数据源!$U:$U,营销场景数据源!$C:$C,$B$38,营销场景数据源!$A:$A,EG2)</f>
        <v>0</v>
      </c>
      <c r="EH41" s="95">
        <f>SUMIFS(营销场景数据源!$U:$U,营销场景数据源!$C:$C,$B$38,营销场景数据源!$A:$A,EH2)</f>
        <v>1</v>
      </c>
      <c r="EI41" s="95">
        <f>SUMIFS(营销场景数据源!$U:$U,营销场景数据源!$C:$C,$B$38,营销场景数据源!$A:$A,EI2)</f>
        <v>2</v>
      </c>
      <c r="EJ41" s="95">
        <f>SUMIFS(营销场景数据源!$U:$U,营销场景数据源!$C:$C,$B$38,营销场景数据源!$A:$A,EJ2)</f>
        <v>0</v>
      </c>
      <c r="EK41" s="65">
        <v>25</v>
      </c>
      <c r="EL41" s="95">
        <f>SUMIFS(营销场景数据源!$U:$U,营销场景数据源!$C:$C,$B$38,营销场景数据源!$A:$A,EL2)</f>
        <v>1</v>
      </c>
      <c r="EM41" s="95">
        <f>SUMIFS(营销场景数据源!$U:$U,营销场景数据源!$C:$C,$B$38,营销场景数据源!$A:$A,EM2)</f>
        <v>0</v>
      </c>
      <c r="EN41" s="95">
        <f>SUMIFS(营销场景数据源!$U:$U,营销场景数据源!$C:$C,$B$38,营销场景数据源!$A:$A,EN2)</f>
        <v>2</v>
      </c>
      <c r="EO41" s="95">
        <f>SUMIFS(营销场景数据源!$U:$U,营销场景数据源!$C:$C,$B$38,营销场景数据源!$A:$A,EO2)</f>
        <v>0</v>
      </c>
      <c r="EP41" s="95">
        <f>SUMIFS(营销场景数据源!$U:$U,营销场景数据源!$C:$C,$B$38,营销场景数据源!$A:$A,EP2)</f>
        <v>1</v>
      </c>
      <c r="EQ41" s="95">
        <f>SUMIFS(营销场景数据源!$U:$U,营销场景数据源!$C:$C,$B$38,营销场景数据源!$A:$A,EQ2)</f>
        <v>1</v>
      </c>
      <c r="ER41" s="95">
        <f>SUMIFS(营销场景数据源!$U:$U,营销场景数据源!$C:$C,$B$38,营销场景数据源!$A:$A,ER2)</f>
        <v>0</v>
      </c>
      <c r="ES41" s="95">
        <f>SUMIFS(营销场景数据源!$U:$U,营销场景数据源!$C:$C,$B$38,营销场景数据源!$A:$A,ES2)</f>
        <v>0</v>
      </c>
      <c r="ET41" s="95">
        <f>SUMIFS(营销场景数据源!$U:$U,营销场景数据源!$C:$C,$B$38,营销场景数据源!$A:$A,ET2)</f>
        <v>1</v>
      </c>
      <c r="EU41" s="95">
        <f>SUMIFS(营销场景数据源!$U:$U,营销场景数据源!$C:$C,$B$38,营销场景数据源!$A:$A,EU2)</f>
        <v>0</v>
      </c>
      <c r="EV41" s="95">
        <f>SUMIFS(营销场景数据源!$U:$U,营销场景数据源!$C:$C,$B$38,营销场景数据源!$A:$A,EV2)</f>
        <v>0</v>
      </c>
      <c r="EW41" s="95">
        <f>SUMIFS(营销场景数据源!$U:$U,营销场景数据源!$C:$C,$B$38,营销场景数据源!$A:$A,EW2)</f>
        <v>0</v>
      </c>
      <c r="EX41" s="95">
        <f>SUMIFS(营销场景数据源!$U:$U,营销场景数据源!$C:$C,$B$38,营销场景数据源!$A:$A,EX2)</f>
        <v>0</v>
      </c>
      <c r="EY41" s="95">
        <f>SUMIFS(营销场景数据源!$U:$U,营销场景数据源!$C:$C,$B$38,营销场景数据源!$A:$A,EY2)</f>
        <v>0</v>
      </c>
      <c r="EZ41" s="95">
        <f>SUMIFS(营销场景数据源!$U:$U,营销场景数据源!$C:$C,$B$38,营销场景数据源!$A:$A,EZ2)</f>
        <v>0</v>
      </c>
      <c r="FA41" s="95">
        <f>SUMIFS(营销场景数据源!$U:$U,营销场景数据源!$C:$C,$B$38,营销场景数据源!$A:$A,FA2)</f>
        <v>0</v>
      </c>
      <c r="FB41" s="95">
        <f>SUMIFS(营销场景数据源!$U:$U,营销场景数据源!$C:$C,$B$38,营销场景数据源!$A:$A,FB2)</f>
        <v>0</v>
      </c>
      <c r="FC41" s="95">
        <f>SUMIFS(营销场景数据源!$U:$U,营销场景数据源!$C:$C,$B$38,营销场景数据源!$A:$A,FC2)</f>
        <v>1</v>
      </c>
      <c r="FD41" s="95">
        <f>SUMIFS(营销场景数据源!$U:$U,营销场景数据源!$C:$C,$B$38,营销场景数据源!$A:$A,FD2)</f>
        <v>0</v>
      </c>
      <c r="FE41" s="95">
        <f>SUMIFS(营销场景数据源!$U:$U,营销场景数据源!$C:$C,$B$38,营销场景数据源!$A:$A,FE2)</f>
        <v>1</v>
      </c>
      <c r="FF41" s="95">
        <f>SUMIFS(营销场景数据源!$U:$U,营销场景数据源!$C:$C,$B$38,营销场景数据源!$A:$A,FF2)</f>
        <v>0</v>
      </c>
      <c r="FG41" s="95">
        <f>SUMIFS(营销场景数据源!$U:$U,营销场景数据源!$C:$C,$B$38,营销场景数据源!$A:$A,FG2)</f>
        <v>0</v>
      </c>
      <c r="FH41" s="95">
        <f>SUMIFS(营销场景数据源!$U:$U,营销场景数据源!$C:$C,$B$38,营销场景数据源!$A:$A,FH2)</f>
        <v>0</v>
      </c>
      <c r="FI41" s="95">
        <f>SUMIFS(营销场景数据源!$U:$U,营销场景数据源!$C:$C,$B$38,营销场景数据源!$A:$A,FI2)</f>
        <v>1</v>
      </c>
      <c r="FJ41" s="95">
        <f>SUMIFS(营销场景数据源!$U:$U,营销场景数据源!$C:$C,$B$38,营销场景数据源!$A:$A,FJ2)</f>
        <v>0</v>
      </c>
      <c r="FK41" s="95">
        <f>SUMIFS(营销场景数据源!$U:$U,营销场景数据源!$C:$C,$B$38,营销场景数据源!$A:$A,FK2)</f>
        <v>1</v>
      </c>
      <c r="FL41" s="95">
        <f>SUMIFS(营销场景数据源!$U:$U,营销场景数据源!$C:$C,$B$38,营销场景数据源!$A:$A,FL2)</f>
        <v>0</v>
      </c>
      <c r="FM41" s="95">
        <f>SUMIFS(营销场景数据源!$U:$U,营销场景数据源!$C:$C,$B$38,营销场景数据源!$A:$A,FM2)</f>
        <v>0</v>
      </c>
      <c r="FN41" s="95">
        <f>SUMIFS(营销场景数据源!$U:$U,营销场景数据源!$C:$C,$B$38,营销场景数据源!$A:$A,FN2)</f>
        <v>0</v>
      </c>
      <c r="FO41" s="95">
        <f>SUMIFS(营销场景数据源!$U:$U,营销场景数据源!$C:$C,$B$38,营销场景数据源!$A:$A,FO2)</f>
        <v>1</v>
      </c>
      <c r="FP41" s="95">
        <f>SUMIFS(营销场景数据源!$U:$U,营销场景数据源!$C:$C,$B$38,营销场景数据源!$A:$A,FP2)</f>
        <v>1</v>
      </c>
      <c r="FQ41" s="65">
        <v>25</v>
      </c>
      <c r="FR41" s="95">
        <f>SUMIFS(营销场景数据源!$U:$U,营销场景数据源!$C:$C,$B$38,营销场景数据源!$A:$A,FR2)</f>
        <v>1</v>
      </c>
      <c r="FS41" s="95">
        <f>SUMIFS(营销场景数据源!$U:$U,营销场景数据源!$C:$C,$B$38,营销场景数据源!$A:$A,FS2)</f>
        <v>0</v>
      </c>
      <c r="FT41" s="95">
        <f>SUMIFS(营销场景数据源!$U:$U,营销场景数据源!$C:$C,$B$38,营销场景数据源!$A:$A,FT2)</f>
        <v>3</v>
      </c>
      <c r="FU41" s="95">
        <f>SUMIFS(营销场景数据源!$U:$U,营销场景数据源!$C:$C,$B$38,营销场景数据源!$A:$A,FU2)</f>
        <v>2</v>
      </c>
      <c r="FV41" s="95">
        <f>SUMIFS(营销场景数据源!$U:$U,营销场景数据源!$C:$C,$B$38,营销场景数据源!$A:$A,FV2)</f>
        <v>8</v>
      </c>
      <c r="FW41" s="95">
        <f>SUMIFS(营销场景数据源!$U:$U,营销场景数据源!$C:$C,$B$38,营销场景数据源!$A:$A,FW2)</f>
        <v>1</v>
      </c>
      <c r="FX41" s="95">
        <f>SUMIFS(营销场景数据源!$U:$U,营销场景数据源!$C:$C,$B$38,营销场景数据源!$A:$A,FX2)</f>
        <v>0</v>
      </c>
      <c r="FY41" s="95">
        <f>SUMIFS(营销场景数据源!$U:$U,营销场景数据源!$C:$C,$B$38,营销场景数据源!$A:$A,FY2)</f>
        <v>0</v>
      </c>
      <c r="FZ41" s="95">
        <f>SUMIFS(营销场景数据源!$U:$U,营销场景数据源!$C:$C,$B$38,营销场景数据源!$A:$A,FZ2)</f>
        <v>2</v>
      </c>
      <c r="GA41" s="95">
        <f>SUMIFS(营销场景数据源!$U:$U,营销场景数据源!$C:$C,$B$38,营销场景数据源!$A:$A,GA2)</f>
        <v>0</v>
      </c>
      <c r="GB41" s="95">
        <f>SUMIFS(营销场景数据源!$U:$U,营销场景数据源!$C:$C,$B$38,营销场景数据源!$A:$A,GB2)</f>
        <v>0</v>
      </c>
      <c r="GC41" s="95">
        <f>SUMIFS(营销场景数据源!$U:$U,营销场景数据源!$C:$C,$B$38,营销场景数据源!$A:$A,GC2)</f>
        <v>0</v>
      </c>
      <c r="GD41" s="95">
        <f>SUMIFS(营销场景数据源!$U:$U,营销场景数据源!$C:$C,$B$38,营销场景数据源!$A:$A,GD2)</f>
        <v>3</v>
      </c>
      <c r="GE41" s="95">
        <f>SUMIFS(营销场景数据源!$U:$U,营销场景数据源!$C:$C,$B$38,营销场景数据源!$A:$A,GE2)</f>
        <v>2</v>
      </c>
      <c r="GF41" s="95">
        <f>SUMIFS(营销场景数据源!$U:$U,营销场景数据源!$C:$C,$B$38,营销场景数据源!$A:$A,GF2)</f>
        <v>1</v>
      </c>
      <c r="GG41" s="95">
        <f>SUMIFS(营销场景数据源!$U:$U,营销场景数据源!$C:$C,$B$38,营销场景数据源!$A:$A,GG2)</f>
        <v>1</v>
      </c>
      <c r="GH41" s="95">
        <f>SUMIFS(营销场景数据源!$U:$U,营销场景数据源!$C:$C,$B$38,营销场景数据源!$A:$A,GH2)</f>
        <v>0</v>
      </c>
      <c r="GI41" s="95">
        <f>SUMIFS(营销场景数据源!$U:$U,营销场景数据源!$C:$C,$B$38,营销场景数据源!$A:$A,GI2)</f>
        <v>1</v>
      </c>
      <c r="GJ41" s="95">
        <f>SUMIFS(营销场景数据源!$U:$U,营销场景数据源!$C:$C,$B$38,营销场景数据源!$A:$A,GJ2)</f>
        <v>2</v>
      </c>
      <c r="GK41" s="95">
        <f>SUMIFS(营销场景数据源!$U:$U,营销场景数据源!$C:$C,$B$38,营销场景数据源!$A:$A,GK2)</f>
        <v>1</v>
      </c>
      <c r="GL41" s="95">
        <f>SUMIFS(营销场景数据源!$U:$U,营销场景数据源!$C:$C,$B$38,营销场景数据源!$A:$A,GL2)</f>
        <v>0</v>
      </c>
      <c r="GM41" s="95">
        <f>SUMIFS(营销场景数据源!$U:$U,营销场景数据源!$C:$C,$B$38,营销场景数据源!$A:$A,GM2)</f>
        <v>0</v>
      </c>
      <c r="GN41" s="95">
        <f>SUMIFS(营销场景数据源!$U:$U,营销场景数据源!$C:$C,$B$38,营销场景数据源!$A:$A,GN2)</f>
        <v>0</v>
      </c>
      <c r="GO41" s="95">
        <f>SUMIFS(营销场景数据源!$U:$U,营销场景数据源!$C:$C,$B$38,营销场景数据源!$A:$A,GO2)</f>
        <v>0</v>
      </c>
      <c r="GP41" s="95">
        <f>SUMIFS(营销场景数据源!$U:$U,营销场景数据源!$C:$C,$B$38,营销场景数据源!$A:$A,GP2)</f>
        <v>0</v>
      </c>
    </row>
    <row r="42" s="47" customFormat="1" ht="15" customHeight="1" spans="1:198">
      <c r="B42" s="103"/>
      <c r="C42" s="109" t="s">
        <v>26</v>
      </c>
      <c r="D42" s="94" t="e">
        <f>SUM(E42:P42)</f>
        <v>#REF!</v>
      </c>
      <c r="E42" s="110" t="e">
        <f>#REF!</f>
        <v>#REF!</v>
      </c>
      <c r="F42" s="110" t="e">
        <f>#REF!</f>
        <v>#REF!</v>
      </c>
      <c r="G42" s="110" t="e">
        <f>#REF!</f>
        <v>#REF!</v>
      </c>
      <c r="H42" s="110" t="e">
        <f>#REF!</f>
        <v>#REF!</v>
      </c>
      <c r="I42" s="110" t="e">
        <f>#REF!</f>
        <v>#REF!</v>
      </c>
      <c r="J42" s="110" t="e">
        <f>#REF!</f>
        <v>#REF!</v>
      </c>
      <c r="K42" s="110" t="e">
        <f>#REF!</f>
        <v>#REF!</v>
      </c>
      <c r="L42" s="110" t="e">
        <f>#REF!</f>
        <v>#REF!</v>
      </c>
      <c r="M42" s="110" t="e">
        <f>#REF!</f>
        <v>#REF!</v>
      </c>
      <c r="N42" s="110" t="e">
        <f>#REF!</f>
        <v>#REF!</v>
      </c>
      <c r="O42" s="110" t="e">
        <f>#REF!</f>
        <v>#REF!</v>
      </c>
      <c r="P42" s="110" t="e">
        <f>#REF!</f>
        <v>#REF!</v>
      </c>
      <c r="Q42" s="65">
        <f>SUM(R42:AV42)</f>
        <v>11427.2</v>
      </c>
      <c r="R42" s="95">
        <f>SUMIFS(营销场景数据源!$T:$T,营销场景数据源!$C:$C,$B$38,营销场景数据源!$A:$A,R2)</f>
        <v>0</v>
      </c>
      <c r="S42" s="95">
        <f>SUMIFS(营销场景数据源!$T:$T,营销场景数据源!$C:$C,$B$38,营销场景数据源!$A:$A,S2)</f>
        <v>319.74</v>
      </c>
      <c r="T42" s="95">
        <f>SUMIFS(营销场景数据源!$T:$T,营销场景数据源!$C:$C,$B$38,营销场景数据源!$A:$A,T2)</f>
        <v>72.25</v>
      </c>
      <c r="U42" s="95">
        <f>SUMIFS(营销场景数据源!$T:$T,营销场景数据源!$C:$C,$B$38,营销场景数据源!$A:$A,U2)</f>
        <v>666</v>
      </c>
      <c r="V42" s="95">
        <f>SUMIFS(营销场景数据源!$T:$T,营销场景数据源!$C:$C,$B$38,营销场景数据源!$A:$A,V2)</f>
        <v>0</v>
      </c>
      <c r="W42" s="95">
        <f>SUMIFS(营销场景数据源!$T:$T,营销场景数据源!$C:$C,$B$38,营销场景数据源!$A:$A,W2)</f>
        <v>262.4</v>
      </c>
      <c r="X42" s="95">
        <f>SUMIFS(营销场景数据源!$T:$T,营销场景数据源!$C:$C,$B$38,营销场景数据源!$A:$A,X2)</f>
        <v>0</v>
      </c>
      <c r="Y42" s="95">
        <f>SUMIFS(营销场景数据源!$T:$T,营销场景数据源!$C:$C,$B$38,营销场景数据源!$A:$A,Y2)</f>
        <v>2268</v>
      </c>
      <c r="Z42" s="95">
        <f>SUMIFS(营销场景数据源!$T:$T,营销场景数据源!$C:$C,$B$38,营销场景数据源!$A:$A,Z2)</f>
        <v>799.25</v>
      </c>
      <c r="AA42" s="95">
        <f>SUMIFS(营销场景数据源!$T:$T,营销场景数据源!$C:$C,$B$38,营销场景数据源!$A:$A,AA2)</f>
        <v>0</v>
      </c>
      <c r="AB42" s="95">
        <f>SUMIFS(营销场景数据源!$T:$T,营销场景数据源!$C:$C,$B$38,营销场景数据源!$A:$A,AB2)</f>
        <v>0</v>
      </c>
      <c r="AC42" s="95">
        <f>SUMIFS(营销场景数据源!$T:$T,营销场景数据源!$C:$C,$B$38,营销场景数据源!$A:$A,AC2)</f>
        <v>0</v>
      </c>
      <c r="AD42" s="95">
        <f>SUMIFS(营销场景数据源!$T:$T,营销场景数据源!$C:$C,$B$38,营销场景数据源!$A:$A,AD2)</f>
        <v>868.61</v>
      </c>
      <c r="AE42" s="95">
        <f>SUMIFS(营销场景数据源!$T:$T,营销场景数据源!$C:$C,$B$38,营销场景数据源!$A:$A,AE2)</f>
        <v>0</v>
      </c>
      <c r="AF42" s="95">
        <f>SUMIFS(营销场景数据源!$T:$T,营销场景数据源!$C:$C,$B$38,营销场景数据源!$A:$A,AF2)</f>
        <v>0</v>
      </c>
      <c r="AG42" s="95">
        <f>SUMIFS(营销场景数据源!$T:$T,营销场景数据源!$C:$C,$B$38,营销场景数据源!$A:$A,AG2)</f>
        <v>814.15</v>
      </c>
      <c r="AH42" s="95">
        <f>SUMIFS(营销场景数据源!$T:$T,营销场景数据源!$C:$C,$B$38,营销场景数据源!$A:$A,AH2)</f>
        <v>0</v>
      </c>
      <c r="AI42" s="95">
        <f>SUMIFS(营销场景数据源!$T:$T,营销场景数据源!$C:$C,$B$38,营销场景数据源!$A:$A,AI2)</f>
        <v>0</v>
      </c>
      <c r="AJ42" s="95">
        <f>SUMIFS(营销场景数据源!$T:$T,营销场景数据源!$C:$C,$B$38,营销场景数据源!$A:$A,AJ2)</f>
        <v>208.11</v>
      </c>
      <c r="AK42" s="95">
        <f>SUMIFS(营销场景数据源!$T:$T,营销场景数据源!$C:$C,$B$38,营销场景数据源!$A:$A,AK2)</f>
        <v>0</v>
      </c>
      <c r="AL42" s="95">
        <f>SUMIFS(营销场景数据源!$T:$T,营销场景数据源!$C:$C,$B$38,营销场景数据源!$A:$A,AL2)</f>
        <v>0</v>
      </c>
      <c r="AM42" s="95">
        <f>SUMIFS(营销场景数据源!$T:$T,营销场景数据源!$C:$C,$B$38,营销场景数据源!$A:$A,AM2)</f>
        <v>313.83</v>
      </c>
      <c r="AN42" s="95">
        <f>SUMIFS(营销场景数据源!$T:$T,营销场景数据源!$C:$C,$B$38,营销场景数据源!$A:$A,AN2)</f>
        <v>2005.72</v>
      </c>
      <c r="AO42" s="95">
        <f>SUMIFS(营销场景数据源!$T:$T,营销场景数据源!$C:$C,$B$38,营销场景数据源!$A:$A,AO2)</f>
        <v>0</v>
      </c>
      <c r="AP42" s="95">
        <f>SUMIFS(营销场景数据源!$T:$T,营销场景数据源!$C:$C,$B$38,营销场景数据源!$A:$A,AP2)</f>
        <v>248</v>
      </c>
      <c r="AQ42" s="95">
        <f>SUMIFS(营销场景数据源!$T:$T,营销场景数据源!$C:$C,$B$38,营销场景数据源!$A:$A,AQ2)</f>
        <v>732</v>
      </c>
      <c r="AR42" s="95">
        <f>SUMIFS(营销场景数据源!$T:$T,营销场景数据源!$C:$C,$B$38,营销场景数据源!$A:$A,AR2)</f>
        <v>0</v>
      </c>
      <c r="AS42" s="95">
        <f>SUMIFS(营销场景数据源!$T:$T,营销场景数据源!$C:$C,$B$38,营销场景数据源!$A:$A,AS2)</f>
        <v>0</v>
      </c>
      <c r="AT42" s="95">
        <f>SUMIFS(营销场景数据源!$T:$T,营销场景数据源!$C:$C,$B$38,营销场景数据源!$A:$A,AT2)</f>
        <v>1262.5</v>
      </c>
      <c r="AU42" s="95">
        <f>SUMIFS(营销场景数据源!$T:$T,营销场景数据源!$C:$C,$B$38,营销场景数据源!$A:$A,AU2)</f>
        <v>0</v>
      </c>
      <c r="AV42" s="95">
        <f>SUMIFS(营销场景数据源!$T:$T,营销场景数据源!$C:$C,$B$38,营销场景数据源!$A:$A,AV2)</f>
        <v>586.64</v>
      </c>
      <c r="AW42" s="65">
        <f>SUM(AX42:BY42)</f>
        <v>12889.05</v>
      </c>
      <c r="AX42" s="95">
        <f>SUMIFS(营销场景数据源!$T:$T,营销场景数据源!$C:$C,$B$38,营销场景数据源!$A:$A,AX2)</f>
        <v>0</v>
      </c>
      <c r="AY42" s="95">
        <f>SUMIFS(营销场景数据源!$T:$T,营销场景数据源!$C:$C,$B$38,营销场景数据源!$A:$A,AY2)</f>
        <v>432</v>
      </c>
      <c r="AZ42" s="95">
        <f>SUMIFS(营销场景数据源!$T:$T,营销场景数据源!$C:$C,$B$38,营销场景数据源!$A:$A,AZ2)</f>
        <v>375.76</v>
      </c>
      <c r="BA42" s="95">
        <f>SUMIFS(营销场景数据源!$T:$T,营销场景数据源!$C:$C,$B$38,营销场景数据源!$A:$A,BA2)</f>
        <v>0</v>
      </c>
      <c r="BB42" s="95">
        <f>SUMIFS(营销场景数据源!$T:$T,营销场景数据源!$C:$C,$B$38,营销场景数据源!$A:$A,BB2)</f>
        <v>2447.26</v>
      </c>
      <c r="BC42" s="95">
        <f>SUMIFS(营销场景数据源!$T:$T,营销场景数据源!$C:$C,$B$38,营销场景数据源!$A:$A,BC2)</f>
        <v>779.48</v>
      </c>
      <c r="BD42" s="95">
        <f>SUMIFS(营销场景数据源!$T:$T,营销场景数据源!$C:$C,$B$38,营销场景数据源!$A:$A,BD2)</f>
        <v>1021.63</v>
      </c>
      <c r="BE42" s="95">
        <f>SUMIFS(营销场景数据源!$T:$T,营销场景数据源!$C:$C,$B$38,营销场景数据源!$A:$A,BE2)</f>
        <v>162.68</v>
      </c>
      <c r="BF42" s="95">
        <f>SUMIFS(营销场景数据源!$T:$T,营销场景数据源!$C:$C,$B$38,营销场景数据源!$A:$A,BF2)</f>
        <v>0</v>
      </c>
      <c r="BG42" s="95">
        <f>SUMIFS(营销场景数据源!$T:$T,营销场景数据源!$C:$C,$B$38,营销场景数据源!$A:$A,BG2)</f>
        <v>243.32</v>
      </c>
      <c r="BH42" s="95">
        <f>SUMIFS(营销场景数据源!$T:$T,营销场景数据源!$C:$C,$B$38,营销场景数据源!$A:$A,BH2)</f>
        <v>0</v>
      </c>
      <c r="BI42" s="95">
        <f>SUMIFS(营销场景数据源!$T:$T,营销场景数据源!$C:$C,$B$38,营销场景数据源!$A:$A,BI2)</f>
        <v>165</v>
      </c>
      <c r="BJ42" s="95">
        <f>SUMIFS(营销场景数据源!$T:$T,营销场景数据源!$C:$C,$B$38,营销场景数据源!$A:$A,BJ2)</f>
        <v>0</v>
      </c>
      <c r="BK42" s="95">
        <f>SUMIFS(营销场景数据源!$T:$T,营销场景数据源!$C:$C,$B$38,营销场景数据源!$A:$A,BK2)</f>
        <v>0</v>
      </c>
      <c r="BL42" s="95">
        <f>SUMIFS(营销场景数据源!$T:$T,营销场景数据源!$C:$C,$B$38,营销场景数据源!$A:$A,BL2)</f>
        <v>85.14</v>
      </c>
      <c r="BM42" s="95">
        <f>SUMIFS(营销场景数据源!$T:$T,营销场景数据源!$C:$C,$B$38,营销场景数据源!$A:$A,BM2)</f>
        <v>0</v>
      </c>
      <c r="BN42" s="95">
        <f>SUMIFS(营销场景数据源!$T:$T,营销场景数据源!$C:$C,$B$38,营销场景数据源!$A:$A,BN2)</f>
        <v>0</v>
      </c>
      <c r="BO42" s="95">
        <f>SUMIFS(营销场景数据源!$T:$T,营销场景数据源!$C:$C,$B$38,营销场景数据源!$A:$A,BO2)</f>
        <v>0</v>
      </c>
      <c r="BP42" s="95">
        <f>SUMIFS(营销场景数据源!$T:$T,营销场景数据源!$C:$C,$B$38,营销场景数据源!$A:$A,BP2)</f>
        <v>0</v>
      </c>
      <c r="BQ42" s="95">
        <f>SUMIFS(营销场景数据源!$T:$T,营销场景数据源!$C:$C,$B$38,营销场景数据源!$A:$A,BQ2)</f>
        <v>0</v>
      </c>
      <c r="BR42" s="95">
        <f>SUMIFS(营销场景数据源!$T:$T,营销场景数据源!$C:$C,$B$38,营销场景数据源!$A:$A,BR2)</f>
        <v>162.68</v>
      </c>
      <c r="BS42" s="95">
        <f>SUMIFS(营销场景数据源!$T:$T,营销场景数据源!$C:$C,$B$38,营销场景数据源!$A:$A,BS2)</f>
        <v>0</v>
      </c>
      <c r="BT42" s="95">
        <f>SUMIFS(营销场景数据源!$T:$T,营销场景数据源!$C:$C,$B$38,营销场景数据源!$A:$A,BT2)</f>
        <v>236</v>
      </c>
      <c r="BU42" s="95">
        <f>SUMIFS(营销场景数据源!$T:$T,营销场景数据源!$C:$C,$B$38,营销场景数据源!$A:$A,BU2)</f>
        <v>0</v>
      </c>
      <c r="BV42" s="95">
        <f>SUMIFS(营销场景数据源!$T:$T,营销场景数据源!$C:$C,$B$38,营销场景数据源!$A:$A,BV2)</f>
        <v>168.08</v>
      </c>
      <c r="BW42" s="95">
        <f>SUMIFS(营销场景数据源!$T:$T,营销场景数据源!$C:$C,$B$38,营销场景数据源!$A:$A,BW2)</f>
        <v>6434.02</v>
      </c>
      <c r="BX42" s="95">
        <f>SUMIFS(营销场景数据源!$T:$T,营销场景数据源!$C:$C,$B$38,营销场景数据源!$A:$A,BX2)</f>
        <v>0</v>
      </c>
      <c r="BY42" s="95">
        <f>SUMIFS(营销场景数据源!$T:$T,营销场景数据源!$C:$C,$B$38,营销场景数据源!$A:$A,BY2)</f>
        <v>176</v>
      </c>
      <c r="BZ42" s="65">
        <f>SUM(CA42:DE42)</f>
        <v>9064.44</v>
      </c>
      <c r="CA42" s="95">
        <f>SUMIFS(营销场景数据源!$T:$T,营销场景数据源!$C:$C,$B$38,营销场景数据源!$A:$A,CA2)</f>
        <v>172</v>
      </c>
      <c r="CB42" s="95">
        <f>SUMIFS(营销场景数据源!$T:$T,营销场景数据源!$C:$C,$B$38,营销场景数据源!$A:$A,CB2)</f>
        <v>0</v>
      </c>
      <c r="CC42" s="95">
        <f>SUMIFS(营销场景数据源!$T:$T,营销场景数据源!$C:$C,$B$38,营销场景数据源!$A:$A,CC2)</f>
        <v>135.04</v>
      </c>
      <c r="CD42" s="95">
        <f>SUMIFS(营销场景数据源!$T:$T,营销场景数据源!$C:$C,$B$38,营销场景数据源!$A:$A,CD2)</f>
        <v>1480.69</v>
      </c>
      <c r="CE42" s="95">
        <f>SUMIFS(营销场景数据源!$T:$T,营销场景数据源!$C:$C,$B$38,营销场景数据源!$A:$A,CE2)</f>
        <v>196</v>
      </c>
      <c r="CF42" s="95">
        <f>SUMIFS(营销场景数据源!$T:$T,营销场景数据源!$C:$C,$B$38,营销场景数据源!$A:$A,CF2)</f>
        <v>68.6</v>
      </c>
      <c r="CG42" s="95">
        <f>SUMIFS(营销场景数据源!$T:$T,营销场景数据源!$C:$C,$B$38,营销场景数据源!$A:$A,CG2)</f>
        <v>172</v>
      </c>
      <c r="CH42" s="95">
        <f>SUMIFS(营销场景数据源!$T:$T,营销场景数据源!$C:$C,$B$38,营销场景数据源!$A:$A,CH2)</f>
        <v>457.04</v>
      </c>
      <c r="CI42" s="95">
        <f>SUMIFS(营销场景数据源!$T:$T,营销场景数据源!$C:$C,$B$38,营销场景数据源!$A:$A,CI2)</f>
        <v>0</v>
      </c>
      <c r="CJ42" s="95">
        <f>SUMIFS(营销场景数据源!$T:$T,营销场景数据源!$C:$C,$B$38,营销场景数据源!$A:$A,CJ2)</f>
        <v>99</v>
      </c>
      <c r="CK42" s="95">
        <f>SUMIFS(营销场景数据源!$T:$T,营销场景数据源!$C:$C,$B$38,营销场景数据源!$A:$A,CK2)</f>
        <v>0</v>
      </c>
      <c r="CL42" s="95">
        <f>SUMIFS(营销场景数据源!$T:$T,营销场景数据源!$C:$C,$B$38,营销场景数据源!$A:$A,CL2)</f>
        <v>49.9</v>
      </c>
      <c r="CM42" s="95">
        <f>SUMIFS(营销场景数据源!$T:$T,营销场景数据源!$C:$C,$B$38,营销场景数据源!$A:$A,CM2)</f>
        <v>49.9</v>
      </c>
      <c r="CN42" s="95">
        <f>SUMIFS(营销场景数据源!$T:$T,营销场景数据源!$C:$C,$B$38,营销场景数据源!$A:$A,CN2)</f>
        <v>48.91</v>
      </c>
      <c r="CO42" s="95">
        <f>SUMIFS(营销场景数据源!$T:$T,营销场景数据源!$C:$C,$B$38,营销场景数据源!$A:$A,CO2)</f>
        <v>196.53</v>
      </c>
      <c r="CP42" s="95">
        <f>SUMIFS(营销场景数据源!$T:$T,营销场景数据源!$C:$C,$B$38,营销场景数据源!$A:$A,CP2)</f>
        <v>0</v>
      </c>
      <c r="CQ42" s="95">
        <f>SUMIFS(营销场景数据源!$T:$T,营销场景数据源!$C:$C,$B$38,营销场景数据源!$A:$A,CQ2)</f>
        <v>2000.68</v>
      </c>
      <c r="CR42" s="95">
        <f>SUMIFS(营销场景数据源!$T:$T,营销场景数据源!$C:$C,$B$38,营销场景数据源!$A:$A,CR2)</f>
        <v>1207.53</v>
      </c>
      <c r="CS42" s="95">
        <f>SUMIFS(营销场景数据源!$T:$T,营销场景数据源!$C:$C,$B$38,营销场景数据源!$A:$A,CS2)</f>
        <v>774.33</v>
      </c>
      <c r="CT42" s="95">
        <f>SUMIFS(营销场景数据源!$T:$T,营销场景数据源!$C:$C,$B$38,营销场景数据源!$A:$A,CT2)</f>
        <v>949.62</v>
      </c>
      <c r="CU42" s="95">
        <f>SUMIFS(营销场景数据源!$T:$T,营销场景数据源!$C:$C,$B$38,营销场景数据源!$A:$A,CU2)</f>
        <v>0</v>
      </c>
      <c r="CV42" s="95">
        <f>SUMIFS(营销场景数据源!$T:$T,营销场景数据源!$C:$C,$B$38,营销场景数据源!$A:$A,CV2)</f>
        <v>0</v>
      </c>
      <c r="CW42" s="95">
        <f>SUMIFS(营销场景数据源!$T:$T,营销场景数据源!$C:$C,$B$38,营销场景数据源!$A:$A,CW2)</f>
        <v>0</v>
      </c>
      <c r="CX42" s="95">
        <f>SUMIFS(营销场景数据源!$T:$T,营销场景数据源!$C:$C,$B$38,营销场景数据源!$A:$A,CX2)</f>
        <v>342.22</v>
      </c>
      <c r="CY42" s="95">
        <f>SUMIFS(营销场景数据源!$T:$T,营销场景数据源!$C:$C,$B$38,营销场景数据源!$A:$A,CY2)</f>
        <v>147.64</v>
      </c>
      <c r="CZ42" s="95">
        <f>SUMIFS(营销场景数据源!$T:$T,营销场景数据源!$C:$C,$B$38,营销场景数据源!$A:$A,CZ2)</f>
        <v>0</v>
      </c>
      <c r="DA42" s="95">
        <f>SUMIFS(营销场景数据源!$T:$T,营销场景数据源!$C:$C,$B$38,营销场景数据源!$A:$A,DA2)</f>
        <v>0</v>
      </c>
      <c r="DB42" s="95">
        <f>SUMIFS(营销场景数据源!$T:$T,营销场景数据源!$C:$C,$B$38,营销场景数据源!$A:$A,DB2)</f>
        <v>472.9</v>
      </c>
      <c r="DC42" s="95">
        <f>SUMIFS(营销场景数据源!$T:$T,营销场景数据源!$C:$C,$B$38,营销场景数据源!$A:$A,DC2)</f>
        <v>0</v>
      </c>
      <c r="DD42" s="95">
        <f>SUMIFS(营销场景数据源!$T:$T,营销场景数据源!$C:$C,$B$38,营销场景数据源!$A:$A,DD2)</f>
        <v>0</v>
      </c>
      <c r="DE42" s="95">
        <f>SUMIFS(营销场景数据源!$T:$T,营销场景数据源!$C:$C,$B$38,营销场景数据源!$A:$A,DE2)</f>
        <v>43.91</v>
      </c>
      <c r="DF42" s="65">
        <f>SUM(DG42:EJ42)</f>
        <v>6071.91</v>
      </c>
      <c r="DG42" s="95">
        <f>SUMIFS(营销场景数据源!$T:$T,营销场景数据源!$C:$C,$B$38,营销场景数据源!$A:$A,DG2)</f>
        <v>0</v>
      </c>
      <c r="DH42" s="95">
        <f>SUMIFS(营销场景数据源!$T:$T,营销场景数据源!$C:$C,$B$38,营销场景数据源!$A:$A,DH2)</f>
        <v>269.64</v>
      </c>
      <c r="DI42" s="95">
        <f>SUMIFS(营销场景数据源!$T:$T,营销场景数据源!$C:$C,$B$38,营销场景数据源!$A:$A,DI2)</f>
        <v>302.72</v>
      </c>
      <c r="DJ42" s="95">
        <f>SUMIFS(营销场景数据源!$T:$T,营销场景数据源!$C:$C,$B$38,营销场景数据源!$A:$A,DJ2)</f>
        <v>84.15</v>
      </c>
      <c r="DK42" s="95">
        <f>SUMIFS(营销场景数据源!$T:$T,营销场景数据源!$C:$C,$B$38,营销场景数据源!$A:$A,DK2)</f>
        <v>295</v>
      </c>
      <c r="DL42" s="95">
        <f>SUMIFS(营销场景数据源!$T:$T,营销场景数据源!$C:$C,$B$38,营销场景数据源!$A:$A,DL2)</f>
        <v>0</v>
      </c>
      <c r="DM42" s="95">
        <f>SUMIFS(营销场景数据源!$T:$T,营销场景数据源!$C:$C,$B$38,营销场景数据源!$A:$A,DM2)</f>
        <v>512.34</v>
      </c>
      <c r="DN42" s="95">
        <f>SUMIFS(营销场景数据源!$T:$T,营销场景数据源!$C:$C,$B$38,营销场景数据源!$A:$A,DN2)</f>
        <v>0</v>
      </c>
      <c r="DO42" s="95">
        <f>SUMIFS(营销场景数据源!$T:$T,营销场景数据源!$C:$C,$B$38,营销场景数据源!$A:$A,DO2)</f>
        <v>2574</v>
      </c>
      <c r="DP42" s="95">
        <f>SUMIFS(营销场景数据源!$T:$T,营销场景数据源!$C:$C,$B$38,营销场景数据源!$A:$A,DP2)</f>
        <v>42.91</v>
      </c>
      <c r="DQ42" s="95">
        <f>SUMIFS(营销场景数据源!$T:$T,营销场景数据源!$C:$C,$B$38,营销场景数据源!$A:$A,DQ2)</f>
        <v>142.6</v>
      </c>
      <c r="DR42" s="95">
        <f>SUMIFS(营销场景数据源!$T:$T,营销场景数据源!$C:$C,$B$38,营销场景数据源!$A:$A,DR2)</f>
        <v>195.9</v>
      </c>
      <c r="DS42" s="95">
        <f>SUMIFS(营销场景数据源!$T:$T,营销场景数据源!$C:$C,$B$38,营销场景数据源!$A:$A,DS2)</f>
        <v>150.91</v>
      </c>
      <c r="DT42" s="95">
        <f>SUMIFS(营销场景数据源!$T:$T,营销场景数据源!$C:$C,$B$38,营销场景数据源!$A:$A,DT2)</f>
        <v>143.64</v>
      </c>
      <c r="DU42" s="95">
        <f>SUMIFS(营销场景数据源!$T:$T,营销场景数据源!$C:$C,$B$38,营销场景数据源!$A:$A,DU2)</f>
        <v>24.92</v>
      </c>
      <c r="DV42" s="95">
        <f>SUMIFS(营销场景数据源!$T:$T,营销场景数据源!$C:$C,$B$38,营销场景数据源!$A:$A,DV2)</f>
        <v>42.91</v>
      </c>
      <c r="DW42" s="95">
        <f>SUMIFS(营销场景数据源!$T:$T,营销场景数据源!$C:$C,$B$38,营销场景数据源!$A:$A,DW2)</f>
        <v>0</v>
      </c>
      <c r="DX42" s="95">
        <f>SUMIFS(营销场景数据源!$T:$T,营销场景数据源!$C:$C,$B$38,营销场景数据源!$A:$A,DX2)</f>
        <v>190.9</v>
      </c>
      <c r="DY42" s="95">
        <f>SUMIFS(营销场景数据源!$T:$T,营销场景数据源!$C:$C,$B$38,营销场景数据源!$A:$A,DY2)</f>
        <v>0</v>
      </c>
      <c r="DZ42" s="95">
        <f>SUMIFS(营销场景数据源!$T:$T,营销场景数据源!$C:$C,$B$38,营销场景数据源!$A:$A,DZ2)</f>
        <v>0</v>
      </c>
      <c r="EA42" s="95">
        <f>SUMIFS(营销场景数据源!$T:$T,营销场景数据源!$C:$C,$B$38,营销场景数据源!$A:$A,EA2)</f>
        <v>236.68</v>
      </c>
      <c r="EB42" s="95">
        <f>SUMIFS(营销场景数据源!$T:$T,营销场景数据源!$C:$C,$B$38,营销场景数据源!$A:$A,EB2)</f>
        <v>0</v>
      </c>
      <c r="EC42" s="95">
        <f>SUMIFS(营销场景数据源!$T:$T,营销场景数据源!$C:$C,$B$38,营销场景数据源!$A:$A,EC2)</f>
        <v>0</v>
      </c>
      <c r="ED42" s="95">
        <f>SUMIFS(营销场景数据源!$T:$T,营销场景数据源!$C:$C,$B$38,营销场景数据源!$A:$A,ED2)</f>
        <v>0</v>
      </c>
      <c r="EE42" s="95">
        <f>SUMIFS(营销场景数据源!$T:$T,营销场景数据源!$C:$C,$B$38,营销场景数据源!$A:$A,EE2)</f>
        <v>0</v>
      </c>
      <c r="EF42" s="95">
        <f>SUMIFS(营销场景数据源!$T:$T,营销场景数据源!$C:$C,$B$38,营销场景数据源!$A:$A,EF2)</f>
        <v>143.64</v>
      </c>
      <c r="EG42" s="95">
        <f>SUMIFS(营销场景数据源!$T:$T,营销场景数据源!$C:$C,$B$38,营销场景数据源!$A:$A,EG2)</f>
        <v>0</v>
      </c>
      <c r="EH42" s="95">
        <f>SUMIFS(营销场景数据源!$T:$T,营销场景数据源!$C:$C,$B$38,营销场景数据源!$A:$A,EH2)</f>
        <v>596</v>
      </c>
      <c r="EI42" s="95">
        <f>SUMIFS(营销场景数据源!$T:$T,营销场景数据源!$C:$C,$B$38,营销场景数据源!$A:$A,EI2)</f>
        <v>123.05</v>
      </c>
      <c r="EJ42" s="95">
        <f>SUMIFS(营销场景数据源!$T:$T,营销场景数据源!$C:$C,$B$38,营销场景数据源!$A:$A,EJ2)</f>
        <v>0</v>
      </c>
      <c r="EK42" s="65">
        <f>SUM(EL42:FP42)</f>
        <v>1747.02</v>
      </c>
      <c r="EL42" s="95">
        <f>SUMIFS(营销场景数据源!$T:$T,营销场景数据源!$C:$C,$B$38,营销场景数据源!$A:$A,EL2)</f>
        <v>70.2</v>
      </c>
      <c r="EM42" s="95">
        <f>SUMIFS(营销场景数据源!$T:$T,营销场景数据源!$C:$C,$B$38,营销场景数据源!$A:$A,EM2)</f>
        <v>0</v>
      </c>
      <c r="EN42" s="95">
        <f>SUMIFS(营销场景数据源!$T:$T,营销场景数据源!$C:$C,$B$38,营销场景数据源!$A:$A,EN2)</f>
        <v>125.1</v>
      </c>
      <c r="EO42" s="95">
        <f>SUMIFS(营销场景数据源!$T:$T,营销场景数据源!$C:$C,$B$38,营销场景数据源!$A:$A,EO2)</f>
        <v>0</v>
      </c>
      <c r="EP42" s="95">
        <f>SUMIFS(营销场景数据源!$T:$T,营销场景数据源!$C:$C,$B$38,营销场景数据源!$A:$A,EP2)</f>
        <v>138.64</v>
      </c>
      <c r="EQ42" s="95">
        <f>SUMIFS(营销场景数据源!$T:$T,营销场景数据源!$C:$C,$B$38,营销场景数据源!$A:$A,EQ2)</f>
        <v>732.28</v>
      </c>
      <c r="ER42" s="95">
        <f>SUMIFS(营销场景数据源!$T:$T,营销场景数据源!$C:$C,$B$38,营销场景数据源!$A:$A,ER2)</f>
        <v>0</v>
      </c>
      <c r="ES42" s="95">
        <f>SUMIFS(营销场景数据源!$T:$T,营销场景数据源!$C:$C,$B$38,营销场景数据源!$A:$A,ES2)</f>
        <v>0</v>
      </c>
      <c r="ET42" s="95">
        <f>SUMIFS(营销场景数据源!$T:$T,营销场景数据源!$C:$C,$B$38,营销场景数据源!$A:$A,ET2)</f>
        <v>33.9</v>
      </c>
      <c r="EU42" s="95">
        <f>SUMIFS(营销场景数据源!$T:$T,营销场景数据源!$C:$C,$B$38,营销场景数据源!$A:$A,EU2)</f>
        <v>0</v>
      </c>
      <c r="EV42" s="95">
        <f>SUMIFS(营销场景数据源!$T:$T,营销场景数据源!$C:$C,$B$38,营销场景数据源!$A:$A,EV2)</f>
        <v>0</v>
      </c>
      <c r="EW42" s="95">
        <f>SUMIFS(营销场景数据源!$T:$T,营销场景数据源!$C:$C,$B$38,营销场景数据源!$A:$A,EW2)</f>
        <v>0</v>
      </c>
      <c r="EX42" s="95">
        <f>SUMIFS(营销场景数据源!$T:$T,营销场景数据源!$C:$C,$B$38,营销场景数据源!$A:$A,EX2)</f>
        <v>0</v>
      </c>
      <c r="EY42" s="95">
        <f>SUMIFS(营销场景数据源!$T:$T,营销场景数据源!$C:$C,$B$38,营销场景数据源!$A:$A,EY2)</f>
        <v>0</v>
      </c>
      <c r="EZ42" s="95">
        <f>SUMIFS(营销场景数据源!$T:$T,营销场景数据源!$C:$C,$B$38,营销场景数据源!$A:$A,EZ2)</f>
        <v>0</v>
      </c>
      <c r="FA42" s="95">
        <f>SUMIFS(营销场景数据源!$T:$T,营销场景数据源!$C:$C,$B$38,营销场景数据源!$A:$A,FA2)</f>
        <v>0</v>
      </c>
      <c r="FB42" s="95">
        <f>SUMIFS(营销场景数据源!$T:$T,营销场景数据源!$C:$C,$B$38,营销场景数据源!$A:$A,FB2)</f>
        <v>0</v>
      </c>
      <c r="FC42" s="95">
        <f>SUMIFS(营销场景数据源!$T:$T,营销场景数据源!$C:$C,$B$38,营销场景数据源!$A:$A,FC2)</f>
        <v>142</v>
      </c>
      <c r="FD42" s="95">
        <f>SUMIFS(营销场景数据源!$T:$T,营销场景数据源!$C:$C,$B$38,营销场景数据源!$A:$A,FD2)</f>
        <v>0</v>
      </c>
      <c r="FE42" s="95">
        <f>SUMIFS(营销场景数据源!$T:$T,营销场景数据源!$C:$C,$B$38,营销场景数据源!$A:$A,FE2)</f>
        <v>245</v>
      </c>
      <c r="FF42" s="95">
        <f>SUMIFS(营销场景数据源!$T:$T,营销场景数据源!$C:$C,$B$38,营销场景数据源!$A:$A,FF2)</f>
        <v>0</v>
      </c>
      <c r="FG42" s="95">
        <f>SUMIFS(营销场景数据源!$T:$T,营销场景数据源!$C:$C,$B$38,营销场景数据源!$A:$A,FG2)</f>
        <v>0</v>
      </c>
      <c r="FH42" s="95">
        <f>SUMIFS(营销场景数据源!$T:$T,营销场景数据源!$C:$C,$B$38,营销场景数据源!$A:$A,FH2)</f>
        <v>0</v>
      </c>
      <c r="FI42" s="95">
        <f>SUMIFS(营销场景数据源!$T:$T,营销场景数据源!$C:$C,$B$38,营销场景数据源!$A:$A,FI2)</f>
        <v>39.9</v>
      </c>
      <c r="FJ42" s="95">
        <f>SUMIFS(营销场景数据源!$T:$T,营销场景数据源!$C:$C,$B$38,营销场景数据源!$A:$A,FJ2)</f>
        <v>0</v>
      </c>
      <c r="FK42" s="95">
        <f>SUMIFS(营销场景数据源!$T:$T,营销场景数据源!$C:$C,$B$38,营销场景数据源!$A:$A,FK2)</f>
        <v>138.64</v>
      </c>
      <c r="FL42" s="95">
        <f>SUMIFS(营销场景数据源!$T:$T,营销场景数据源!$C:$C,$B$38,营销场景数据源!$A:$A,FL2)</f>
        <v>0</v>
      </c>
      <c r="FM42" s="95">
        <f>SUMIFS(营销场景数据源!$T:$T,营销场景数据源!$C:$C,$B$38,营销场景数据源!$A:$A,FM2)</f>
        <v>0</v>
      </c>
      <c r="FN42" s="95">
        <f>SUMIFS(营销场景数据源!$T:$T,营销场景数据源!$C:$C,$B$38,营销场景数据源!$A:$A,FN2)</f>
        <v>0</v>
      </c>
      <c r="FO42" s="95">
        <f>SUMIFS(营销场景数据源!$T:$T,营销场景数据源!$C:$C,$B$38,营销场景数据源!$A:$A,FO2)</f>
        <v>38.96</v>
      </c>
      <c r="FP42" s="95">
        <f>SUMIFS(营销场景数据源!$T:$T,营销场景数据源!$C:$C,$B$38,营销场景数据源!$A:$A,FP2)</f>
        <v>42.4</v>
      </c>
      <c r="FQ42" s="65">
        <f>SUM(FR42:GX42)</f>
        <v>20753.22</v>
      </c>
      <c r="FR42" s="95">
        <f>SUMIFS(营销场景数据源!$T:$T,营销场景数据源!$C:$C,$B$38,营销场景数据源!$A:$A,FR2)</f>
        <v>37.93</v>
      </c>
      <c r="FS42" s="95">
        <f>SUMIFS(营销场景数据源!$T:$T,营销场景数据源!$C:$C,$B$38,营销场景数据源!$A:$A,FS2)</f>
        <v>0</v>
      </c>
      <c r="FT42" s="95">
        <f>SUMIFS(营销场景数据源!$T:$T,营销场景数据源!$C:$C,$B$38,营销场景数据源!$A:$A,FT2)</f>
        <v>930.12</v>
      </c>
      <c r="FU42" s="95">
        <f>SUMIFS(营销场景数据源!$T:$T,营销场景数据源!$C:$C,$B$38,营销场景数据源!$A:$A,FU2)</f>
        <v>167.03</v>
      </c>
      <c r="FV42" s="95">
        <f>SUMIFS(营销场景数据源!$T:$T,营销场景数据源!$C:$C,$B$38,营销场景数据源!$A:$A,FV2)</f>
        <v>17623.09</v>
      </c>
      <c r="FW42" s="95">
        <f>SUMIFS(营销场景数据源!$T:$T,营销场景数据源!$C:$C,$B$38,营销场景数据源!$A:$A,FW2)</f>
        <v>40.41</v>
      </c>
      <c r="FX42" s="95">
        <f>SUMIFS(营销场景数据源!$T:$T,营销场景数据源!$C:$C,$B$38,营销场景数据源!$A:$A,FX2)</f>
        <v>0</v>
      </c>
      <c r="FY42" s="95">
        <f>SUMIFS(营销场景数据源!$T:$T,营销场景数据源!$C:$C,$B$38,营销场景数据源!$A:$A,FY2)</f>
        <v>0</v>
      </c>
      <c r="FZ42" s="95">
        <f>SUMIFS(营销场景数据源!$T:$T,营销场景数据源!$C:$C,$B$38,营销场景数据源!$A:$A,FZ2)</f>
        <v>79.86</v>
      </c>
      <c r="GA42" s="95">
        <f>SUMIFS(营销场景数据源!$T:$T,营销场景数据源!$C:$C,$B$38,营销场景数据源!$A:$A,GA2)</f>
        <v>0</v>
      </c>
      <c r="GB42" s="95">
        <f>SUMIFS(营销场景数据源!$T:$T,营销场景数据源!$C:$C,$B$38,营销场景数据源!$A:$A,GB2)</f>
        <v>0</v>
      </c>
      <c r="GC42" s="95">
        <f>SUMIFS(营销场景数据源!$T:$T,营销场景数据源!$C:$C,$B$38,营销场景数据源!$A:$A,GC2)</f>
        <v>0</v>
      </c>
      <c r="GD42" s="95">
        <f>SUMIFS(营销场景数据源!$T:$T,营销场景数据源!$C:$C,$B$38,营销场景数据源!$A:$A,GD2)</f>
        <v>835.3</v>
      </c>
      <c r="GE42" s="95">
        <f>SUMIFS(营销场景数据源!$T:$T,营销场景数据源!$C:$C,$B$38,营销场景数据源!$A:$A,GE2)</f>
        <v>181.8</v>
      </c>
      <c r="GF42" s="95">
        <f>SUMIFS(营销场景数据源!$T:$T,营销场景数据源!$C:$C,$B$38,营销场景数据源!$A:$A,GF2)</f>
        <v>16.1</v>
      </c>
      <c r="GG42" s="95">
        <f>SUMIFS(营销场景数据源!$T:$T,营销场景数据源!$C:$C,$B$38,营销场景数据源!$A:$A,GG2)</f>
        <v>166</v>
      </c>
      <c r="GH42" s="95">
        <f>SUMIFS(营销场景数据源!$T:$T,营销场景数据源!$C:$C,$B$38,营销场景数据源!$A:$A,GH2)</f>
        <v>0</v>
      </c>
      <c r="GI42" s="95">
        <f>SUMIFS(营销场景数据源!$T:$T,营销场景数据源!$C:$C,$B$38,营销场景数据源!$A:$A,GI2)</f>
        <v>138.64</v>
      </c>
      <c r="GJ42" s="95">
        <f>SUMIFS(营销场景数据源!$T:$T,营销场景数据源!$C:$C,$B$38,营销场景数据源!$A:$A,GJ2)</f>
        <v>470.64</v>
      </c>
      <c r="GK42" s="95">
        <f>SUMIFS(营销场景数据源!$T:$T,营销场景数据源!$C:$C,$B$38,营销场景数据源!$A:$A,GK2)</f>
        <v>66.3</v>
      </c>
      <c r="GL42" s="95">
        <f>SUMIFS(营销场景数据源!$T:$T,营销场景数据源!$C:$C,$B$38,营销场景数据源!$A:$A,GL2)</f>
        <v>0</v>
      </c>
      <c r="GM42" s="95">
        <f>SUMIFS(营销场景数据源!$T:$T,营销场景数据源!$C:$C,$B$38,营销场景数据源!$A:$A,GM2)</f>
        <v>0</v>
      </c>
      <c r="GN42" s="95">
        <f>SUMIFS(营销场景数据源!$T:$T,营销场景数据源!$C:$C,$B$38,营销场景数据源!$A:$A,GN2)</f>
        <v>0</v>
      </c>
      <c r="GO42" s="95">
        <f>SUMIFS(营销场景数据源!$T:$T,营销场景数据源!$C:$C,$B$38,营销场景数据源!$A:$A,GO2)</f>
        <v>0</v>
      </c>
      <c r="GP42" s="95">
        <f>SUMIFS(营销场景数据源!$T:$T,营销场景数据源!$C:$C,$B$38,营销场景数据源!$A:$A,GP2)</f>
        <v>0</v>
      </c>
    </row>
    <row r="43" s="47" customFormat="1" ht="15" customHeight="1" spans="1:198">
      <c r="B43" s="103"/>
      <c r="C43" s="109" t="s">
        <v>22</v>
      </c>
      <c r="D43" s="97">
        <f t="shared" ref="D43:O43" si="220">IFERROR(D38/D39,0)</f>
        <v>0</v>
      </c>
      <c r="E43" s="111">
        <f t="shared" si="220"/>
        <v>0</v>
      </c>
      <c r="F43" s="111">
        <f t="shared" si="220"/>
        <v>0</v>
      </c>
      <c r="G43" s="111">
        <f t="shared" si="220"/>
        <v>0</v>
      </c>
      <c r="H43" s="111">
        <f t="shared" si="220"/>
        <v>0</v>
      </c>
      <c r="I43" s="111">
        <f t="shared" si="220"/>
        <v>0</v>
      </c>
      <c r="J43" s="111">
        <f t="shared" si="220"/>
        <v>0</v>
      </c>
      <c r="K43" s="111">
        <f t="shared" si="220"/>
        <v>0</v>
      </c>
      <c r="L43" s="111">
        <f t="shared" si="220"/>
        <v>0</v>
      </c>
      <c r="M43" s="111">
        <f t="shared" si="220"/>
        <v>0</v>
      </c>
      <c r="N43" s="111">
        <f t="shared" si="220"/>
        <v>0</v>
      </c>
      <c r="O43" s="111">
        <f t="shared" si="220"/>
        <v>0</v>
      </c>
      <c r="P43" s="111">
        <f t="shared" ref="P43:V43" si="221">IFERROR(P38/P39,0)</f>
        <v>0</v>
      </c>
      <c r="Q43" s="70">
        <f t="shared" si="221"/>
        <v>2.51254545454545</v>
      </c>
      <c r="R43" s="111">
        <f t="shared" si="221"/>
        <v>2.4634</v>
      </c>
      <c r="S43" s="111">
        <f t="shared" ref="S43:AK43" si="222">IFERROR(S38/S39,0)</f>
        <v>1.71415584415584</v>
      </c>
      <c r="T43" s="111">
        <f t="shared" si="222"/>
        <v>2.18174603174603</v>
      </c>
      <c r="U43" s="111">
        <f t="shared" si="222"/>
        <v>1.86971428571429</v>
      </c>
      <c r="V43" s="111">
        <f t="shared" si="222"/>
        <v>2.09</v>
      </c>
      <c r="W43" s="111">
        <f t="shared" si="222"/>
        <v>2.47777777777778</v>
      </c>
      <c r="X43" s="111">
        <f t="shared" si="222"/>
        <v>1.38512195121951</v>
      </c>
      <c r="Y43" s="111">
        <f t="shared" si="222"/>
        <v>4.1334375</v>
      </c>
      <c r="Z43" s="111">
        <f t="shared" si="222"/>
        <v>3.07414634146341</v>
      </c>
      <c r="AA43" s="111">
        <f t="shared" si="222"/>
        <v>2.5074358974359</v>
      </c>
      <c r="AB43" s="111">
        <f t="shared" si="222"/>
        <v>2.72285714285714</v>
      </c>
      <c r="AC43" s="111">
        <f t="shared" si="222"/>
        <v>2.40295454545455</v>
      </c>
      <c r="AD43" s="111">
        <f t="shared" si="222"/>
        <v>2.44371428571429</v>
      </c>
      <c r="AE43" s="111">
        <f t="shared" si="222"/>
        <v>1.73169811320755</v>
      </c>
      <c r="AF43" s="111">
        <f t="shared" si="222"/>
        <v>1.94265306122449</v>
      </c>
      <c r="AG43" s="111">
        <f t="shared" si="222"/>
        <v>3.2625</v>
      </c>
      <c r="AH43" s="111">
        <f t="shared" si="222"/>
        <v>3.22160714285714</v>
      </c>
      <c r="AI43" s="111">
        <f t="shared" si="222"/>
        <v>2.48649122807018</v>
      </c>
      <c r="AJ43" s="111">
        <f t="shared" si="222"/>
        <v>4.22280701754386</v>
      </c>
      <c r="AK43" s="111">
        <f t="shared" si="222"/>
        <v>2.40526315789474</v>
      </c>
      <c r="AL43" s="111">
        <f t="shared" ref="AL43:BH43" si="223">IFERROR(AL38/AL39,0)</f>
        <v>2.64694444444444</v>
      </c>
      <c r="AM43" s="111">
        <f t="shared" si="223"/>
        <v>3.69086956521739</v>
      </c>
      <c r="AN43" s="111">
        <f t="shared" si="223"/>
        <v>1.94176470588235</v>
      </c>
      <c r="AO43" s="111">
        <f t="shared" si="223"/>
        <v>3.2</v>
      </c>
      <c r="AP43" s="111">
        <f t="shared" si="223"/>
        <v>4.70588235294118</v>
      </c>
      <c r="AQ43" s="111">
        <f t="shared" si="223"/>
        <v>1.76382352941176</v>
      </c>
      <c r="AR43" s="111">
        <f t="shared" si="223"/>
        <v>2.58064516129032</v>
      </c>
      <c r="AS43" s="111">
        <f t="shared" si="223"/>
        <v>2.10142857142857</v>
      </c>
      <c r="AT43" s="111">
        <f t="shared" si="223"/>
        <v>2.58064516129032</v>
      </c>
      <c r="AU43" s="111">
        <f t="shared" si="223"/>
        <v>1.7975</v>
      </c>
      <c r="AV43" s="111">
        <f t="shared" si="223"/>
        <v>3.2</v>
      </c>
      <c r="AW43" s="70">
        <f t="shared" si="223"/>
        <v>1.97968571428571</v>
      </c>
      <c r="AX43" s="111">
        <f t="shared" si="223"/>
        <v>1.88410256410256</v>
      </c>
      <c r="AY43" s="111">
        <f t="shared" si="223"/>
        <v>1.6</v>
      </c>
      <c r="AZ43" s="111">
        <f t="shared" si="223"/>
        <v>1.95513513513514</v>
      </c>
      <c r="BA43" s="111">
        <f t="shared" si="223"/>
        <v>1.39291666666667</v>
      </c>
      <c r="BB43" s="111">
        <f t="shared" si="223"/>
        <v>1.63265306122449</v>
      </c>
      <c r="BC43" s="111">
        <f t="shared" si="223"/>
        <v>1.98684210526316</v>
      </c>
      <c r="BD43" s="111">
        <f t="shared" si="223"/>
        <v>5.71428571428571</v>
      </c>
      <c r="BE43" s="111">
        <f t="shared" si="223"/>
        <v>5.33333333333333</v>
      </c>
      <c r="BF43" s="111">
        <f t="shared" si="223"/>
        <v>2.58064516129032</v>
      </c>
      <c r="BG43" s="111">
        <f t="shared" si="223"/>
        <v>2</v>
      </c>
      <c r="BH43" s="111">
        <f t="shared" si="223"/>
        <v>2.22222222222222</v>
      </c>
      <c r="BI43" s="111">
        <f t="shared" ref="BI43:BW43" si="224">IFERROR(BI38/BI39,0)</f>
        <v>1.65533333333333</v>
      </c>
      <c r="BJ43" s="111">
        <f t="shared" si="224"/>
        <v>2</v>
      </c>
      <c r="BK43" s="111">
        <f t="shared" si="224"/>
        <v>1.77777777777778</v>
      </c>
      <c r="BL43" s="111">
        <f t="shared" si="224"/>
        <v>2.13</v>
      </c>
      <c r="BM43" s="111">
        <f t="shared" si="224"/>
        <v>0.734545454545455</v>
      </c>
      <c r="BN43" s="111">
        <f t="shared" si="224"/>
        <v>1.54659090909091</v>
      </c>
      <c r="BO43" s="111">
        <f t="shared" si="224"/>
        <v>1.68575</v>
      </c>
      <c r="BP43" s="111">
        <f t="shared" si="224"/>
        <v>1.4865306122449</v>
      </c>
      <c r="BQ43" s="111">
        <f t="shared" si="224"/>
        <v>1.12582089552239</v>
      </c>
      <c r="BR43" s="111">
        <f t="shared" si="224"/>
        <v>1.81052631578947</v>
      </c>
      <c r="BS43" s="111">
        <f t="shared" si="224"/>
        <v>2.3575</v>
      </c>
      <c r="BT43" s="111">
        <f t="shared" si="224"/>
        <v>1.73292682926829</v>
      </c>
      <c r="BU43" s="111">
        <f t="shared" si="224"/>
        <v>3.2</v>
      </c>
      <c r="BV43" s="111">
        <f t="shared" si="224"/>
        <v>1.74243902439024</v>
      </c>
      <c r="BW43" s="111">
        <f t="shared" si="224"/>
        <v>4</v>
      </c>
      <c r="BX43" s="111">
        <f t="shared" ref="BX43:CH43" si="225">IFERROR(BX38/BX39,0)</f>
        <v>2.66666666666667</v>
      </c>
      <c r="BY43" s="111">
        <f t="shared" si="225"/>
        <v>8</v>
      </c>
      <c r="BZ43" s="70">
        <f t="shared" si="225"/>
        <v>1.80244186046512</v>
      </c>
      <c r="CA43" s="111">
        <f t="shared" si="225"/>
        <v>2.05676470588235</v>
      </c>
      <c r="CB43" s="111">
        <f t="shared" si="225"/>
        <v>2.84142857142857</v>
      </c>
      <c r="CC43" s="111">
        <f t="shared" si="225"/>
        <v>1.95121951219512</v>
      </c>
      <c r="CD43" s="111">
        <f t="shared" si="225"/>
        <v>5.33333333333333</v>
      </c>
      <c r="CE43" s="111">
        <f t="shared" si="225"/>
        <v>1.84833333333333</v>
      </c>
      <c r="CF43" s="111">
        <f t="shared" si="225"/>
        <v>2.28571428571429</v>
      </c>
      <c r="CG43" s="111">
        <f t="shared" si="225"/>
        <v>1.67510638297872</v>
      </c>
      <c r="CH43" s="111">
        <f t="shared" si="225"/>
        <v>2.85714285714286</v>
      </c>
      <c r="CI43" s="111">
        <f t="shared" ref="CI43:EH43" si="226">IFERROR(CI38/CI39,0)</f>
        <v>2.85714285714286</v>
      </c>
      <c r="CJ43" s="111">
        <f t="shared" si="226"/>
        <v>2.22222222222222</v>
      </c>
      <c r="CK43" s="111">
        <f t="shared" si="226"/>
        <v>1.65106382978723</v>
      </c>
      <c r="CL43" s="111">
        <f t="shared" si="226"/>
        <v>0.460172413793103</v>
      </c>
      <c r="CM43" s="111">
        <f t="shared" si="226"/>
        <v>1.27792452830189</v>
      </c>
      <c r="CN43" s="111">
        <f t="shared" si="226"/>
        <v>1.81952380952381</v>
      </c>
      <c r="CO43" s="111">
        <f t="shared" si="226"/>
        <v>1.40350877192982</v>
      </c>
      <c r="CP43" s="111">
        <f t="shared" si="226"/>
        <v>1.73</v>
      </c>
      <c r="CQ43" s="111">
        <f t="shared" si="226"/>
        <v>1.88128205128205</v>
      </c>
      <c r="CR43" s="111">
        <f t="shared" si="226"/>
        <v>3.33333333333333</v>
      </c>
      <c r="CS43" s="111">
        <f t="shared" si="226"/>
        <v>1.64179104477612</v>
      </c>
      <c r="CT43" s="111">
        <f t="shared" si="226"/>
        <v>1.80327868852459</v>
      </c>
      <c r="CU43" s="111">
        <f t="shared" si="226"/>
        <v>2.5</v>
      </c>
      <c r="CV43" s="111">
        <f t="shared" si="226"/>
        <v>1.81321428571429</v>
      </c>
      <c r="CW43" s="111">
        <f t="shared" si="226"/>
        <v>1.42857142857143</v>
      </c>
      <c r="CX43" s="111">
        <f t="shared" si="226"/>
        <v>1.80327868852459</v>
      </c>
      <c r="CY43" s="111">
        <f t="shared" si="226"/>
        <v>1.42857142857143</v>
      </c>
      <c r="CZ43" s="111">
        <f t="shared" si="226"/>
        <v>1.44744186046512</v>
      </c>
      <c r="DA43" s="111">
        <f t="shared" si="226"/>
        <v>2.15133333333333</v>
      </c>
      <c r="DB43" s="111">
        <f t="shared" si="226"/>
        <v>1.73039215686275</v>
      </c>
      <c r="DC43" s="111">
        <f t="shared" si="226"/>
        <v>1.77094339622642</v>
      </c>
      <c r="DD43" s="111">
        <f t="shared" si="226"/>
        <v>1.97757575757576</v>
      </c>
      <c r="DE43" s="111">
        <f t="shared" si="226"/>
        <v>1.46727272727273</v>
      </c>
      <c r="DF43" s="70">
        <f t="shared" si="226"/>
        <v>1.76984674329502</v>
      </c>
      <c r="DG43" s="111">
        <f t="shared" si="226"/>
        <v>2.07333333333333</v>
      </c>
      <c r="DH43" s="111">
        <f t="shared" si="226"/>
        <v>2.4</v>
      </c>
      <c r="DI43" s="111">
        <f t="shared" si="226"/>
        <v>2.4</v>
      </c>
      <c r="DJ43" s="111">
        <f t="shared" si="226"/>
        <v>0.774516129032258</v>
      </c>
      <c r="DK43" s="111">
        <f t="shared" si="226"/>
        <v>3.75</v>
      </c>
      <c r="DL43" s="111">
        <f t="shared" si="226"/>
        <v>1.02777777777778</v>
      </c>
      <c r="DM43" s="111">
        <f t="shared" si="226"/>
        <v>2.275</v>
      </c>
      <c r="DN43" s="111">
        <f t="shared" si="226"/>
        <v>1.26477272727273</v>
      </c>
      <c r="DO43" s="111">
        <f t="shared" si="226"/>
        <v>5</v>
      </c>
      <c r="DP43" s="111">
        <f t="shared" si="226"/>
        <v>2.60818181818182</v>
      </c>
      <c r="DQ43" s="111">
        <f t="shared" si="226"/>
        <v>1.2169387755102</v>
      </c>
      <c r="DR43" s="111">
        <f t="shared" si="226"/>
        <v>1.19116279069767</v>
      </c>
      <c r="DS43" s="111">
        <f t="shared" si="226"/>
        <v>1.444</v>
      </c>
      <c r="DT43" s="111">
        <f t="shared" si="226"/>
        <v>2.60074074074074</v>
      </c>
      <c r="DU43" s="111">
        <f t="shared" si="226"/>
        <v>1.56170731707317</v>
      </c>
      <c r="DV43" s="111">
        <f t="shared" si="226"/>
        <v>1.0536</v>
      </c>
      <c r="DW43" s="111">
        <f t="shared" si="226"/>
        <v>1.87727272727273</v>
      </c>
      <c r="DX43" s="111">
        <f t="shared" si="226"/>
        <v>1.75333333333333</v>
      </c>
      <c r="DY43" s="111">
        <f t="shared" si="226"/>
        <v>1.282</v>
      </c>
      <c r="DZ43" s="111">
        <f t="shared" si="226"/>
        <v>2.02351351351351</v>
      </c>
      <c r="EA43" s="111">
        <f t="shared" si="226"/>
        <v>1.865</v>
      </c>
      <c r="EB43" s="111">
        <f t="shared" si="226"/>
        <v>1.7630303030303</v>
      </c>
      <c r="EC43" s="111">
        <f t="shared" si="226"/>
        <v>1.8740625</v>
      </c>
      <c r="ED43" s="111">
        <f t="shared" si="226"/>
        <v>1.51515151515152</v>
      </c>
      <c r="EE43" s="111">
        <f t="shared" si="226"/>
        <v>1.6704347826087</v>
      </c>
      <c r="EF43" s="111">
        <f t="shared" si="226"/>
        <v>1.92307692307692</v>
      </c>
      <c r="EG43" s="111">
        <f t="shared" si="226"/>
        <v>1.29941176470588</v>
      </c>
      <c r="EH43" s="111">
        <f t="shared" si="226"/>
        <v>4.54545454545455</v>
      </c>
      <c r="EI43" s="111">
        <f t="shared" ref="EI43:FM43" si="227">IFERROR(EI38/EI39,0)</f>
        <v>1.32407407407407</v>
      </c>
      <c r="EJ43" s="111">
        <f t="shared" si="227"/>
        <v>1.21787878787879</v>
      </c>
      <c r="EK43" s="70">
        <f t="shared" si="227"/>
        <v>1.56591708542714</v>
      </c>
      <c r="EL43" s="111">
        <f t="shared" si="227"/>
        <v>1.06852941176471</v>
      </c>
      <c r="EM43" s="111">
        <f t="shared" si="227"/>
        <v>1.08766666666667</v>
      </c>
      <c r="EN43" s="111">
        <f t="shared" si="227"/>
        <v>1.25785714285714</v>
      </c>
      <c r="EO43" s="111">
        <f t="shared" si="227"/>
        <v>1.27518518518519</v>
      </c>
      <c r="EP43" s="111">
        <f t="shared" si="227"/>
        <v>1.35928571428571</v>
      </c>
      <c r="EQ43" s="111">
        <f t="shared" si="227"/>
        <v>1.78260869565217</v>
      </c>
      <c r="ER43" s="111">
        <f t="shared" si="227"/>
        <v>1.71238095238095</v>
      </c>
      <c r="ES43" s="111">
        <f t="shared" si="227"/>
        <v>1.42333333333333</v>
      </c>
      <c r="ET43" s="111">
        <f t="shared" si="227"/>
        <v>1.47058823529412</v>
      </c>
      <c r="EU43" s="111">
        <f t="shared" si="227"/>
        <v>0.99972972972973</v>
      </c>
      <c r="EV43" s="111">
        <f t="shared" si="227"/>
        <v>1.58416666666667</v>
      </c>
      <c r="EW43" s="111">
        <f t="shared" si="227"/>
        <v>1.5625</v>
      </c>
      <c r="EX43" s="111">
        <f t="shared" si="227"/>
        <v>1.681</v>
      </c>
      <c r="EY43" s="111">
        <f t="shared" si="227"/>
        <v>2.17391304347826</v>
      </c>
      <c r="EZ43" s="111">
        <f t="shared" si="227"/>
        <v>1.49888888888889</v>
      </c>
      <c r="FA43" s="111">
        <f t="shared" si="227"/>
        <v>1.8265</v>
      </c>
      <c r="FB43" s="111">
        <f t="shared" si="227"/>
        <v>1.8015</v>
      </c>
      <c r="FC43" s="111">
        <f t="shared" si="227"/>
        <v>1.31571428571429</v>
      </c>
      <c r="FD43" s="111">
        <f t="shared" si="227"/>
        <v>2.08055555555556</v>
      </c>
      <c r="FE43" s="111">
        <f t="shared" si="227"/>
        <v>1.92307692307692</v>
      </c>
      <c r="FF43" s="111">
        <f t="shared" si="227"/>
        <v>1.82185185185185</v>
      </c>
      <c r="FG43" s="111">
        <f t="shared" si="227"/>
        <v>1.77458333333333</v>
      </c>
      <c r="FH43" s="111">
        <f t="shared" si="227"/>
        <v>1.29333333333333</v>
      </c>
      <c r="FI43" s="111">
        <f t="shared" si="227"/>
        <v>2.12142857142857</v>
      </c>
      <c r="FJ43" s="111">
        <f t="shared" si="227"/>
        <v>1.84409090909091</v>
      </c>
      <c r="FK43" s="111">
        <f t="shared" si="227"/>
        <v>1.30125</v>
      </c>
      <c r="FL43" s="111">
        <f t="shared" si="227"/>
        <v>2.08333333333333</v>
      </c>
      <c r="FM43" s="111">
        <f t="shared" si="227"/>
        <v>2.27272727272727</v>
      </c>
      <c r="FN43" s="111">
        <f t="shared" ref="FN43:GI43" si="228">IFERROR(FN38/FN39,0)</f>
        <v>1.98736842105263</v>
      </c>
      <c r="FO43" s="111">
        <f t="shared" si="228"/>
        <v>1.51068965517241</v>
      </c>
      <c r="FP43" s="111">
        <f t="shared" si="228"/>
        <v>1.14387096774194</v>
      </c>
      <c r="FQ43" s="70">
        <f t="shared" si="228"/>
        <v>1.36646131805158</v>
      </c>
      <c r="FR43" s="111">
        <f t="shared" si="228"/>
        <v>2</v>
      </c>
      <c r="FS43" s="111">
        <f t="shared" si="228"/>
        <v>1.912</v>
      </c>
      <c r="FT43" s="111">
        <f t="shared" si="228"/>
        <v>1.28205128205128</v>
      </c>
      <c r="FU43" s="111">
        <f t="shared" si="228"/>
        <v>2.17173913043478</v>
      </c>
      <c r="FV43" s="111">
        <f t="shared" si="228"/>
        <v>0.723389830508475</v>
      </c>
      <c r="FW43" s="111">
        <f t="shared" si="228"/>
        <v>0.545795454545455</v>
      </c>
      <c r="FX43" s="111">
        <f t="shared" si="228"/>
        <v>0.735294117647059</v>
      </c>
      <c r="FY43" s="111">
        <f t="shared" si="228"/>
        <v>1.89285714285714</v>
      </c>
      <c r="FZ43" s="111">
        <f t="shared" si="228"/>
        <v>1.92307692307692</v>
      </c>
      <c r="GA43" s="111">
        <f t="shared" si="228"/>
        <v>2.31</v>
      </c>
      <c r="GB43" s="111">
        <f t="shared" si="228"/>
        <v>1.9372</v>
      </c>
      <c r="GC43" s="111">
        <f t="shared" si="228"/>
        <v>2.01416666666667</v>
      </c>
      <c r="GD43" s="111">
        <f t="shared" si="228"/>
        <v>2.17391304347826</v>
      </c>
      <c r="GE43" s="111">
        <f t="shared" si="228"/>
        <v>2.77777777777778</v>
      </c>
      <c r="GF43" s="111">
        <f t="shared" si="228"/>
        <v>1.4909375</v>
      </c>
      <c r="GG43" s="111">
        <f t="shared" si="228"/>
        <v>0.636410256410256</v>
      </c>
      <c r="GH43" s="111">
        <f t="shared" si="228"/>
        <v>1.98625</v>
      </c>
      <c r="GI43" s="111">
        <f t="shared" si="228"/>
        <v>1.3225</v>
      </c>
      <c r="GJ43" s="111">
        <f t="shared" ref="GJ43:GP43" si="229">IFERROR(GJ38/GJ39,0)</f>
        <v>2.5</v>
      </c>
      <c r="GK43" s="111">
        <f t="shared" si="229"/>
        <v>1.38888888888889</v>
      </c>
      <c r="GL43" s="111">
        <f t="shared" si="229"/>
        <v>0.916666666666667</v>
      </c>
      <c r="GM43" s="111">
        <f t="shared" si="229"/>
        <v>0</v>
      </c>
      <c r="GN43" s="111">
        <f t="shared" si="229"/>
        <v>0</v>
      </c>
      <c r="GO43" s="111">
        <f t="shared" si="229"/>
        <v>0</v>
      </c>
      <c r="GP43" s="111">
        <f t="shared" si="229"/>
        <v>0</v>
      </c>
    </row>
    <row r="44" s="47" customFormat="1" ht="15" customHeight="1" spans="1:198">
      <c r="B44" s="103"/>
      <c r="C44" s="109" t="s">
        <v>24</v>
      </c>
      <c r="D44" s="94">
        <f t="shared" ref="D44:O44" si="230">IFERROR(D38/D40,0)</f>
        <v>0</v>
      </c>
      <c r="E44" s="111">
        <f t="shared" si="230"/>
        <v>0</v>
      </c>
      <c r="F44" s="111">
        <f t="shared" si="230"/>
        <v>0</v>
      </c>
      <c r="G44" s="111">
        <f t="shared" si="230"/>
        <v>0</v>
      </c>
      <c r="H44" s="111">
        <f t="shared" si="230"/>
        <v>0</v>
      </c>
      <c r="I44" s="111">
        <f t="shared" si="230"/>
        <v>0</v>
      </c>
      <c r="J44" s="111">
        <f t="shared" si="230"/>
        <v>0</v>
      </c>
      <c r="K44" s="111">
        <f t="shared" si="230"/>
        <v>0</v>
      </c>
      <c r="L44" s="111">
        <f t="shared" si="230"/>
        <v>0</v>
      </c>
      <c r="M44" s="111">
        <f t="shared" si="230"/>
        <v>0</v>
      </c>
      <c r="N44" s="111">
        <f t="shared" si="230"/>
        <v>0</v>
      </c>
      <c r="O44" s="111">
        <f t="shared" si="230"/>
        <v>0</v>
      </c>
      <c r="P44" s="111">
        <f t="shared" ref="P44:V44" si="231">IFERROR(P38/P40,0)</f>
        <v>0</v>
      </c>
      <c r="Q44" s="65">
        <f t="shared" si="231"/>
        <v>24.0330434782609</v>
      </c>
      <c r="R44" s="111">
        <f t="shared" si="231"/>
        <v>30.7925</v>
      </c>
      <c r="S44" s="111">
        <f t="shared" ref="S44:AK44" si="232">IFERROR(S38/S40,0)</f>
        <v>32.9975</v>
      </c>
      <c r="T44" s="111">
        <f t="shared" si="232"/>
        <v>22.9083333333333</v>
      </c>
      <c r="U44" s="111">
        <f t="shared" si="232"/>
        <v>65.44</v>
      </c>
      <c r="V44" s="111">
        <f t="shared" si="232"/>
        <v>13.32375</v>
      </c>
      <c r="W44" s="111">
        <f t="shared" si="232"/>
        <v>0</v>
      </c>
      <c r="X44" s="111">
        <f t="shared" si="232"/>
        <v>28.395</v>
      </c>
      <c r="Y44" s="111">
        <f t="shared" si="232"/>
        <v>14.6966666666667</v>
      </c>
      <c r="Z44" s="111">
        <f t="shared" si="232"/>
        <v>42.0133333333333</v>
      </c>
      <c r="AA44" s="111">
        <f t="shared" si="232"/>
        <v>97.79</v>
      </c>
      <c r="AB44" s="111">
        <f t="shared" si="232"/>
        <v>47.65</v>
      </c>
      <c r="AC44" s="111">
        <f t="shared" si="232"/>
        <v>13.21625</v>
      </c>
      <c r="AD44" s="111">
        <f t="shared" si="232"/>
        <v>7.77545454545455</v>
      </c>
      <c r="AE44" s="111">
        <f t="shared" si="232"/>
        <v>45.89</v>
      </c>
      <c r="AF44" s="111">
        <f t="shared" si="232"/>
        <v>23.7975</v>
      </c>
      <c r="AG44" s="111">
        <f t="shared" si="232"/>
        <v>22.8375</v>
      </c>
      <c r="AH44" s="111">
        <f t="shared" si="232"/>
        <v>180.41</v>
      </c>
      <c r="AI44" s="111">
        <f t="shared" si="232"/>
        <v>70.865</v>
      </c>
      <c r="AJ44" s="111">
        <f t="shared" si="232"/>
        <v>40.1166666666667</v>
      </c>
      <c r="AK44" s="111">
        <f t="shared" si="232"/>
        <v>45.7</v>
      </c>
      <c r="AL44" s="111">
        <f t="shared" ref="AL44:BH44" si="233">IFERROR(AL38/AL40,0)</f>
        <v>95.29</v>
      </c>
      <c r="AM44" s="111">
        <f t="shared" si="233"/>
        <v>12.1271428571429</v>
      </c>
      <c r="AN44" s="111">
        <f t="shared" si="233"/>
        <v>6.602</v>
      </c>
      <c r="AO44" s="111">
        <f t="shared" si="233"/>
        <v>40</v>
      </c>
      <c r="AP44" s="111">
        <f t="shared" si="233"/>
        <v>13.3333333333333</v>
      </c>
      <c r="AQ44" s="111">
        <f t="shared" si="233"/>
        <v>9.995</v>
      </c>
      <c r="AR44" s="111">
        <f t="shared" si="233"/>
        <v>20</v>
      </c>
      <c r="AS44" s="111">
        <f t="shared" si="233"/>
        <v>6.68636363636364</v>
      </c>
      <c r="AT44" s="111">
        <f t="shared" si="233"/>
        <v>26.6666666666667</v>
      </c>
      <c r="AU44" s="111">
        <f t="shared" si="233"/>
        <v>35.95</v>
      </c>
      <c r="AV44" s="111">
        <f t="shared" si="233"/>
        <v>80</v>
      </c>
      <c r="AW44" s="65">
        <f t="shared" si="233"/>
        <v>16.899756097561</v>
      </c>
      <c r="AX44" s="111">
        <f t="shared" si="233"/>
        <v>14.696</v>
      </c>
      <c r="AY44" s="111">
        <f t="shared" si="233"/>
        <v>10</v>
      </c>
      <c r="AZ44" s="111">
        <f t="shared" si="233"/>
        <v>12.0566666666667</v>
      </c>
      <c r="BA44" s="111">
        <f t="shared" si="233"/>
        <v>0</v>
      </c>
      <c r="BB44" s="111">
        <f t="shared" si="233"/>
        <v>7.27272727272727</v>
      </c>
      <c r="BC44" s="111">
        <f t="shared" si="233"/>
        <v>5.03333333333333</v>
      </c>
      <c r="BD44" s="111">
        <f t="shared" si="233"/>
        <v>20</v>
      </c>
      <c r="BE44" s="111">
        <f t="shared" si="233"/>
        <v>40</v>
      </c>
      <c r="BF44" s="111">
        <f t="shared" si="233"/>
        <v>80</v>
      </c>
      <c r="BG44" s="111">
        <f t="shared" si="233"/>
        <v>16</v>
      </c>
      <c r="BH44" s="111">
        <f t="shared" si="233"/>
        <v>20</v>
      </c>
      <c r="BI44" s="111">
        <f t="shared" ref="BI44:BW44" si="234">IFERROR(BI38/BI40,0)</f>
        <v>24.83</v>
      </c>
      <c r="BJ44" s="111">
        <f t="shared" si="234"/>
        <v>40</v>
      </c>
      <c r="BK44" s="111">
        <f t="shared" si="234"/>
        <v>40</v>
      </c>
      <c r="BL44" s="111">
        <f t="shared" si="234"/>
        <v>24.85</v>
      </c>
      <c r="BM44" s="111">
        <f t="shared" si="234"/>
        <v>13.4666666666667</v>
      </c>
      <c r="BN44" s="111">
        <f t="shared" si="234"/>
        <v>17.0125</v>
      </c>
      <c r="BO44" s="111">
        <f t="shared" si="234"/>
        <v>0</v>
      </c>
      <c r="BP44" s="111">
        <f t="shared" si="234"/>
        <v>18.21</v>
      </c>
      <c r="BQ44" s="111">
        <f t="shared" si="234"/>
        <v>15.086</v>
      </c>
      <c r="BR44" s="111">
        <f t="shared" si="234"/>
        <v>11.4666666666667</v>
      </c>
      <c r="BS44" s="111">
        <f t="shared" si="234"/>
        <v>9.43</v>
      </c>
      <c r="BT44" s="111">
        <f t="shared" si="234"/>
        <v>14.21</v>
      </c>
      <c r="BU44" s="111">
        <f t="shared" si="234"/>
        <v>26.6666666666667</v>
      </c>
      <c r="BV44" s="111">
        <f t="shared" si="234"/>
        <v>23.8133333333333</v>
      </c>
      <c r="BW44" s="111">
        <f t="shared" si="234"/>
        <v>8</v>
      </c>
      <c r="BX44" s="111">
        <f t="shared" ref="BX44:CH44" si="235">IFERROR(BX38/BX40,0)</f>
        <v>0</v>
      </c>
      <c r="BY44" s="111">
        <f t="shared" si="235"/>
        <v>40</v>
      </c>
      <c r="BZ44" s="65">
        <f t="shared" si="235"/>
        <v>10.8778947368421</v>
      </c>
      <c r="CA44" s="111">
        <f t="shared" si="235"/>
        <v>69.93</v>
      </c>
      <c r="CB44" s="111">
        <f t="shared" si="235"/>
        <v>26.52</v>
      </c>
      <c r="CC44" s="111">
        <f t="shared" si="235"/>
        <v>20</v>
      </c>
      <c r="CD44" s="111">
        <f t="shared" si="235"/>
        <v>16</v>
      </c>
      <c r="CE44" s="111">
        <f t="shared" si="235"/>
        <v>13.308</v>
      </c>
      <c r="CF44" s="111">
        <f t="shared" si="235"/>
        <v>26.6666666666667</v>
      </c>
      <c r="CG44" s="111">
        <f t="shared" si="235"/>
        <v>11.2471428571429</v>
      </c>
      <c r="CH44" s="111">
        <f t="shared" si="235"/>
        <v>4.70588235294118</v>
      </c>
      <c r="CI44" s="111">
        <f t="shared" ref="CI44:EH44" si="236">IFERROR(CI38/CI40,0)</f>
        <v>8</v>
      </c>
      <c r="CJ44" s="111">
        <f t="shared" si="236"/>
        <v>7.27272727272727</v>
      </c>
      <c r="CK44" s="111">
        <f t="shared" si="236"/>
        <v>7.76</v>
      </c>
      <c r="CL44" s="111">
        <f t="shared" si="236"/>
        <v>1.77933333333333</v>
      </c>
      <c r="CM44" s="111">
        <f t="shared" si="236"/>
        <v>16.9325</v>
      </c>
      <c r="CN44" s="111">
        <f t="shared" si="236"/>
        <v>19.105</v>
      </c>
      <c r="CO44" s="111">
        <f t="shared" si="236"/>
        <v>16</v>
      </c>
      <c r="CP44" s="111">
        <f t="shared" si="236"/>
        <v>10.9566666666667</v>
      </c>
      <c r="CQ44" s="111">
        <f t="shared" si="236"/>
        <v>4.585625</v>
      </c>
      <c r="CR44" s="111">
        <f t="shared" si="236"/>
        <v>12</v>
      </c>
      <c r="CS44" s="111">
        <f t="shared" si="236"/>
        <v>4.58333333333333</v>
      </c>
      <c r="CT44" s="111">
        <f t="shared" si="236"/>
        <v>9.16666666666667</v>
      </c>
      <c r="CU44" s="111">
        <f t="shared" si="236"/>
        <v>0</v>
      </c>
      <c r="CV44" s="111">
        <f t="shared" si="236"/>
        <v>8.46166666666667</v>
      </c>
      <c r="CW44" s="111">
        <f t="shared" si="236"/>
        <v>27.5</v>
      </c>
      <c r="CX44" s="111">
        <f t="shared" si="236"/>
        <v>4.78260869565217</v>
      </c>
      <c r="CY44" s="111">
        <f t="shared" si="236"/>
        <v>22</v>
      </c>
      <c r="CZ44" s="111">
        <f t="shared" si="236"/>
        <v>13.8311111111111</v>
      </c>
      <c r="DA44" s="111">
        <f t="shared" si="236"/>
        <v>19.362</v>
      </c>
      <c r="DB44" s="111">
        <f t="shared" si="236"/>
        <v>29.4166666666667</v>
      </c>
      <c r="DC44" s="111">
        <f t="shared" si="236"/>
        <v>46.93</v>
      </c>
      <c r="DD44" s="111">
        <f t="shared" si="236"/>
        <v>16.315</v>
      </c>
      <c r="DE44" s="111">
        <f t="shared" si="236"/>
        <v>0</v>
      </c>
      <c r="DF44" s="65">
        <f t="shared" si="236"/>
        <v>23.9963636363636</v>
      </c>
      <c r="DG44" s="111">
        <f t="shared" si="236"/>
        <v>49.76</v>
      </c>
      <c r="DH44" s="111">
        <f t="shared" si="236"/>
        <v>0</v>
      </c>
      <c r="DI44" s="111">
        <f t="shared" si="236"/>
        <v>60</v>
      </c>
      <c r="DJ44" s="111">
        <f t="shared" si="236"/>
        <v>12.005</v>
      </c>
      <c r="DK44" s="111">
        <f t="shared" si="236"/>
        <v>30</v>
      </c>
      <c r="DL44" s="111">
        <f t="shared" si="236"/>
        <v>9.25</v>
      </c>
      <c r="DM44" s="111">
        <f t="shared" si="236"/>
        <v>45.5</v>
      </c>
      <c r="DN44" s="111">
        <f t="shared" si="236"/>
        <v>18.55</v>
      </c>
      <c r="DO44" s="111">
        <f t="shared" si="236"/>
        <v>60</v>
      </c>
      <c r="DP44" s="111">
        <f t="shared" si="236"/>
        <v>86.07</v>
      </c>
      <c r="DQ44" s="111">
        <f t="shared" si="236"/>
        <v>29.815</v>
      </c>
      <c r="DR44" s="111">
        <f t="shared" si="236"/>
        <v>12.805</v>
      </c>
      <c r="DS44" s="111">
        <f t="shared" si="236"/>
        <v>21.66</v>
      </c>
      <c r="DT44" s="111">
        <f t="shared" si="236"/>
        <v>70.22</v>
      </c>
      <c r="DU44" s="111">
        <f t="shared" si="236"/>
        <v>9.14714285714286</v>
      </c>
      <c r="DV44" s="111">
        <f t="shared" si="236"/>
        <v>13.17</v>
      </c>
      <c r="DW44" s="111">
        <f t="shared" si="236"/>
        <v>30.975</v>
      </c>
      <c r="DX44" s="111">
        <f t="shared" si="236"/>
        <v>11.3966666666667</v>
      </c>
      <c r="DY44" s="111">
        <f t="shared" si="236"/>
        <v>12.82</v>
      </c>
      <c r="DZ44" s="111">
        <f t="shared" si="236"/>
        <v>74.87</v>
      </c>
      <c r="EA44" s="111">
        <f t="shared" si="236"/>
        <v>10.444</v>
      </c>
      <c r="EB44" s="111">
        <f t="shared" si="236"/>
        <v>58.18</v>
      </c>
      <c r="EC44" s="111">
        <f t="shared" si="236"/>
        <v>11.994</v>
      </c>
      <c r="ED44" s="111">
        <f t="shared" si="236"/>
        <v>50</v>
      </c>
      <c r="EE44" s="111">
        <f t="shared" si="236"/>
        <v>38.42</v>
      </c>
      <c r="EF44" s="111">
        <f t="shared" si="236"/>
        <v>50</v>
      </c>
      <c r="EG44" s="111">
        <f t="shared" si="236"/>
        <v>22.09</v>
      </c>
      <c r="EH44" s="111">
        <f t="shared" si="236"/>
        <v>50</v>
      </c>
      <c r="EI44" s="111">
        <f t="shared" ref="EI44:FM44" si="237">IFERROR(EI38/EI40,0)</f>
        <v>17.875</v>
      </c>
      <c r="EJ44" s="111">
        <f t="shared" si="237"/>
        <v>40.19</v>
      </c>
      <c r="EK44" s="65">
        <f t="shared" si="237"/>
        <v>20.7745</v>
      </c>
      <c r="EL44" s="111">
        <f t="shared" si="237"/>
        <v>36.33</v>
      </c>
      <c r="EM44" s="111">
        <f t="shared" si="237"/>
        <v>0</v>
      </c>
      <c r="EN44" s="111">
        <f t="shared" si="237"/>
        <v>35.22</v>
      </c>
      <c r="EO44" s="111">
        <f t="shared" si="237"/>
        <v>34.43</v>
      </c>
      <c r="EP44" s="111">
        <f t="shared" si="237"/>
        <v>19.03</v>
      </c>
      <c r="EQ44" s="111">
        <f t="shared" si="237"/>
        <v>5.85714285714286</v>
      </c>
      <c r="ER44" s="111">
        <f t="shared" si="237"/>
        <v>35.96</v>
      </c>
      <c r="ES44" s="111">
        <f t="shared" si="237"/>
        <v>0</v>
      </c>
      <c r="ET44" s="111">
        <f t="shared" si="237"/>
        <v>50</v>
      </c>
      <c r="EU44" s="111">
        <f t="shared" si="237"/>
        <v>36.99</v>
      </c>
      <c r="EV44" s="111">
        <f t="shared" si="237"/>
        <v>19.01</v>
      </c>
      <c r="EW44" s="111">
        <f t="shared" si="237"/>
        <v>0</v>
      </c>
      <c r="EX44" s="111">
        <f t="shared" si="237"/>
        <v>16.81</v>
      </c>
      <c r="EY44" s="111">
        <f t="shared" si="237"/>
        <v>25</v>
      </c>
      <c r="EZ44" s="111">
        <f t="shared" si="237"/>
        <v>13.49</v>
      </c>
      <c r="FA44" s="111">
        <f t="shared" si="237"/>
        <v>0</v>
      </c>
      <c r="FB44" s="111">
        <f t="shared" si="237"/>
        <v>36.03</v>
      </c>
      <c r="FC44" s="111">
        <f t="shared" si="237"/>
        <v>12.28</v>
      </c>
      <c r="FD44" s="111">
        <f t="shared" si="237"/>
        <v>37.45</v>
      </c>
      <c r="FE44" s="111">
        <f t="shared" si="237"/>
        <v>50</v>
      </c>
      <c r="FF44" s="111">
        <f t="shared" si="237"/>
        <v>49.19</v>
      </c>
      <c r="FG44" s="111">
        <f t="shared" si="237"/>
        <v>42.59</v>
      </c>
      <c r="FH44" s="111">
        <f t="shared" si="237"/>
        <v>0</v>
      </c>
      <c r="FI44" s="111">
        <f t="shared" si="237"/>
        <v>22.275</v>
      </c>
      <c r="FJ44" s="111">
        <f t="shared" si="237"/>
        <v>10.1425</v>
      </c>
      <c r="FK44" s="111">
        <f t="shared" si="237"/>
        <v>20.82</v>
      </c>
      <c r="FL44" s="111">
        <f t="shared" si="237"/>
        <v>50</v>
      </c>
      <c r="FM44" s="111">
        <f t="shared" si="237"/>
        <v>25</v>
      </c>
      <c r="FN44" s="111">
        <f t="shared" ref="FN44:GI44" si="238">IFERROR(FN38/FN40,0)</f>
        <v>0</v>
      </c>
      <c r="FO44" s="111">
        <f t="shared" si="238"/>
        <v>6.25857142857143</v>
      </c>
      <c r="FP44" s="111">
        <f t="shared" si="238"/>
        <v>3.546</v>
      </c>
      <c r="FQ44" s="65">
        <f t="shared" si="238"/>
        <v>14.90296875</v>
      </c>
      <c r="FR44" s="111">
        <f t="shared" si="238"/>
        <v>12.5</v>
      </c>
      <c r="FS44" s="111">
        <f t="shared" si="238"/>
        <v>0</v>
      </c>
      <c r="FT44" s="111">
        <f t="shared" si="238"/>
        <v>12.5</v>
      </c>
      <c r="FU44" s="111">
        <f t="shared" si="238"/>
        <v>0</v>
      </c>
      <c r="FV44" s="111">
        <f t="shared" si="238"/>
        <v>5.335</v>
      </c>
      <c r="FW44" s="111">
        <f t="shared" si="238"/>
        <v>24.015</v>
      </c>
      <c r="FX44" s="111">
        <f t="shared" si="238"/>
        <v>0</v>
      </c>
      <c r="FY44" s="111">
        <f t="shared" si="238"/>
        <v>13.25</v>
      </c>
      <c r="FZ44" s="111">
        <f t="shared" si="238"/>
        <v>0</v>
      </c>
      <c r="GA44" s="111">
        <f t="shared" si="238"/>
        <v>21.945</v>
      </c>
      <c r="GB44" s="111">
        <f t="shared" si="238"/>
        <v>0</v>
      </c>
      <c r="GC44" s="111">
        <f t="shared" si="238"/>
        <v>24.17</v>
      </c>
      <c r="GD44" s="111">
        <f t="shared" si="238"/>
        <v>16.6666666666667</v>
      </c>
      <c r="GE44" s="111">
        <f t="shared" si="238"/>
        <v>10</v>
      </c>
      <c r="GF44" s="111">
        <f t="shared" si="238"/>
        <v>23.855</v>
      </c>
      <c r="GG44" s="111">
        <f t="shared" si="238"/>
        <v>12.41</v>
      </c>
      <c r="GH44" s="111">
        <f t="shared" si="238"/>
        <v>10.5933333333333</v>
      </c>
      <c r="GI44" s="111">
        <f t="shared" si="238"/>
        <v>15.87</v>
      </c>
      <c r="GJ44" s="111">
        <f t="shared" ref="GJ44:GP44" si="239">IFERROR(GJ38/GJ40,0)</f>
        <v>12.5</v>
      </c>
      <c r="GK44" s="111">
        <f t="shared" si="239"/>
        <v>6.25</v>
      </c>
      <c r="GL44" s="111">
        <f t="shared" si="239"/>
        <v>3.66666666666667</v>
      </c>
      <c r="GM44" s="111">
        <f t="shared" si="239"/>
        <v>0</v>
      </c>
      <c r="GN44" s="111">
        <f t="shared" si="239"/>
        <v>0</v>
      </c>
      <c r="GO44" s="111">
        <f t="shared" si="239"/>
        <v>0</v>
      </c>
      <c r="GP44" s="111">
        <f t="shared" si="239"/>
        <v>0</v>
      </c>
    </row>
    <row r="45" s="47" customFormat="1" ht="15" customHeight="1" spans="1:198">
      <c r="A45" s="106"/>
      <c r="B45" s="103"/>
      <c r="C45" s="109" t="s">
        <v>14</v>
      </c>
      <c r="D45" s="97">
        <f t="shared" ref="D45:O45" si="240">IFERROR(D42/D38,0)</f>
        <v>0</v>
      </c>
      <c r="E45" s="111">
        <f t="shared" si="240"/>
        <v>0</v>
      </c>
      <c r="F45" s="111">
        <f t="shared" si="240"/>
        <v>0</v>
      </c>
      <c r="G45" s="111">
        <f t="shared" si="240"/>
        <v>0</v>
      </c>
      <c r="H45" s="111">
        <f t="shared" si="240"/>
        <v>0</v>
      </c>
      <c r="I45" s="111">
        <f t="shared" si="240"/>
        <v>0</v>
      </c>
      <c r="J45" s="111">
        <f t="shared" si="240"/>
        <v>0</v>
      </c>
      <c r="K45" s="111">
        <f t="shared" si="240"/>
        <v>0</v>
      </c>
      <c r="L45" s="111">
        <f t="shared" si="240"/>
        <v>0</v>
      </c>
      <c r="M45" s="111">
        <f t="shared" si="240"/>
        <v>0</v>
      </c>
      <c r="N45" s="111">
        <f t="shared" si="240"/>
        <v>0</v>
      </c>
      <c r="O45" s="111">
        <f t="shared" si="240"/>
        <v>0</v>
      </c>
      <c r="P45" s="111">
        <f t="shared" ref="P45:V45" si="241">IFERROR(P42/P38,0)</f>
        <v>0</v>
      </c>
      <c r="Q45" s="70">
        <f t="shared" si="241"/>
        <v>3.44549774465108</v>
      </c>
      <c r="R45" s="111">
        <f t="shared" si="241"/>
        <v>0</v>
      </c>
      <c r="S45" s="111">
        <f t="shared" ref="S45:AK45" si="242">IFERROR(S42/S38,0)</f>
        <v>2.42245624668535</v>
      </c>
      <c r="T45" s="111">
        <f t="shared" si="242"/>
        <v>0.525645689341579</v>
      </c>
      <c r="U45" s="111">
        <f t="shared" si="242"/>
        <v>5.08863080684597</v>
      </c>
      <c r="V45" s="111">
        <f t="shared" si="242"/>
        <v>0</v>
      </c>
      <c r="W45" s="111">
        <f t="shared" si="242"/>
        <v>2.35336322869955</v>
      </c>
      <c r="X45" s="111">
        <f t="shared" si="242"/>
        <v>0</v>
      </c>
      <c r="Y45" s="111">
        <f t="shared" si="242"/>
        <v>17.1467452937174</v>
      </c>
      <c r="Z45" s="111">
        <f t="shared" si="242"/>
        <v>6.34124087591241</v>
      </c>
      <c r="AA45" s="111">
        <f t="shared" si="242"/>
        <v>0</v>
      </c>
      <c r="AB45" s="111">
        <f t="shared" si="242"/>
        <v>0</v>
      </c>
      <c r="AC45" s="111">
        <f t="shared" si="242"/>
        <v>0</v>
      </c>
      <c r="AD45" s="111">
        <f t="shared" si="242"/>
        <v>10.1556179118438</v>
      </c>
      <c r="AE45" s="111">
        <f t="shared" si="242"/>
        <v>0</v>
      </c>
      <c r="AF45" s="111">
        <f t="shared" si="242"/>
        <v>0</v>
      </c>
      <c r="AG45" s="111">
        <f t="shared" si="242"/>
        <v>4.45621237000547</v>
      </c>
      <c r="AH45" s="111">
        <f t="shared" si="242"/>
        <v>0</v>
      </c>
      <c r="AI45" s="111">
        <f t="shared" si="242"/>
        <v>0</v>
      </c>
      <c r="AJ45" s="111">
        <f t="shared" si="242"/>
        <v>0.864603240548401</v>
      </c>
      <c r="AK45" s="111">
        <f t="shared" si="242"/>
        <v>0</v>
      </c>
      <c r="AL45" s="111">
        <f t="shared" ref="AL45:BH45" si="243">IFERROR(AL42/AL38,0)</f>
        <v>0</v>
      </c>
      <c r="AM45" s="111">
        <f t="shared" si="243"/>
        <v>3.69690187301213</v>
      </c>
      <c r="AN45" s="111">
        <f t="shared" si="243"/>
        <v>30.3804907603756</v>
      </c>
      <c r="AO45" s="111">
        <f t="shared" si="243"/>
        <v>0</v>
      </c>
      <c r="AP45" s="111">
        <f t="shared" si="243"/>
        <v>3.1</v>
      </c>
      <c r="AQ45" s="111">
        <f t="shared" si="243"/>
        <v>12.2061030515258</v>
      </c>
      <c r="AR45" s="111">
        <f t="shared" si="243"/>
        <v>0</v>
      </c>
      <c r="AS45" s="111">
        <f t="shared" si="243"/>
        <v>0</v>
      </c>
      <c r="AT45" s="111">
        <f t="shared" si="243"/>
        <v>15.78125</v>
      </c>
      <c r="AU45" s="111">
        <f t="shared" si="243"/>
        <v>0</v>
      </c>
      <c r="AV45" s="111">
        <f t="shared" si="243"/>
        <v>7.333</v>
      </c>
      <c r="AW45" s="70">
        <f t="shared" si="243"/>
        <v>6.20062347558776</v>
      </c>
      <c r="AX45" s="111">
        <f t="shared" si="243"/>
        <v>0</v>
      </c>
      <c r="AY45" s="111">
        <f t="shared" si="243"/>
        <v>5.4</v>
      </c>
      <c r="AZ45" s="111">
        <f t="shared" si="243"/>
        <v>5.19435996682333</v>
      </c>
      <c r="BA45" s="111">
        <f t="shared" si="243"/>
        <v>0</v>
      </c>
      <c r="BB45" s="111">
        <f t="shared" si="243"/>
        <v>30.59075</v>
      </c>
      <c r="BC45" s="111">
        <f t="shared" si="243"/>
        <v>10.324238410596</v>
      </c>
      <c r="BD45" s="111">
        <f t="shared" si="243"/>
        <v>12.770375</v>
      </c>
      <c r="BE45" s="111">
        <f t="shared" si="243"/>
        <v>2.0335</v>
      </c>
      <c r="BF45" s="111">
        <f t="shared" si="243"/>
        <v>0</v>
      </c>
      <c r="BG45" s="111">
        <f t="shared" si="243"/>
        <v>3.0415</v>
      </c>
      <c r="BH45" s="111">
        <f t="shared" si="243"/>
        <v>0</v>
      </c>
      <c r="BI45" s="111">
        <f t="shared" ref="BI45:BW45" si="244">IFERROR(BI42/BI38,0)</f>
        <v>2.21506242448651</v>
      </c>
      <c r="BJ45" s="111">
        <f t="shared" si="244"/>
        <v>0</v>
      </c>
      <c r="BK45" s="111">
        <f t="shared" si="244"/>
        <v>0</v>
      </c>
      <c r="BL45" s="111">
        <f t="shared" si="244"/>
        <v>1.1420523138833</v>
      </c>
      <c r="BM45" s="111">
        <f t="shared" si="244"/>
        <v>0</v>
      </c>
      <c r="BN45" s="111">
        <f t="shared" si="244"/>
        <v>0</v>
      </c>
      <c r="BO45" s="111">
        <f t="shared" si="244"/>
        <v>0</v>
      </c>
      <c r="BP45" s="111">
        <f t="shared" si="244"/>
        <v>0</v>
      </c>
      <c r="BQ45" s="111">
        <f t="shared" si="244"/>
        <v>0</v>
      </c>
      <c r="BR45" s="111">
        <f t="shared" si="244"/>
        <v>2.36453488372093</v>
      </c>
      <c r="BS45" s="111">
        <f t="shared" si="244"/>
        <v>0</v>
      </c>
      <c r="BT45" s="111">
        <f t="shared" si="244"/>
        <v>3.32160450387051</v>
      </c>
      <c r="BU45" s="111">
        <f t="shared" si="244"/>
        <v>0</v>
      </c>
      <c r="BV45" s="111">
        <f t="shared" si="244"/>
        <v>2.35274356103024</v>
      </c>
      <c r="BW45" s="111">
        <f t="shared" si="244"/>
        <v>80.42525</v>
      </c>
      <c r="BX45" s="111">
        <f t="shared" ref="BX45:CH45" si="245">IFERROR(BX42/BX38,0)</f>
        <v>0</v>
      </c>
      <c r="BY45" s="111">
        <f t="shared" si="245"/>
        <v>2.2</v>
      </c>
      <c r="BZ45" s="70">
        <f t="shared" si="245"/>
        <v>3.65478033675247</v>
      </c>
      <c r="CA45" s="111">
        <f t="shared" si="245"/>
        <v>2.45960245960246</v>
      </c>
      <c r="CB45" s="111">
        <f t="shared" si="245"/>
        <v>0</v>
      </c>
      <c r="CC45" s="111">
        <f t="shared" si="245"/>
        <v>1.688</v>
      </c>
      <c r="CD45" s="111">
        <f t="shared" si="245"/>
        <v>18.508625</v>
      </c>
      <c r="CE45" s="111">
        <f t="shared" si="245"/>
        <v>2.94559663360385</v>
      </c>
      <c r="CF45" s="111">
        <f t="shared" si="245"/>
        <v>0.8575</v>
      </c>
      <c r="CG45" s="111">
        <f t="shared" si="245"/>
        <v>2.18468182395529</v>
      </c>
      <c r="CH45" s="111">
        <f t="shared" si="245"/>
        <v>5.713</v>
      </c>
      <c r="CI45" s="111">
        <f t="shared" ref="CI45:EH45" si="246">IFERROR(CI42/CI38,0)</f>
        <v>0</v>
      </c>
      <c r="CJ45" s="111">
        <f t="shared" si="246"/>
        <v>1.2375</v>
      </c>
      <c r="CK45" s="111">
        <f t="shared" si="246"/>
        <v>0</v>
      </c>
      <c r="CL45" s="111">
        <f t="shared" si="246"/>
        <v>1.86961408767329</v>
      </c>
      <c r="CM45" s="111">
        <f t="shared" si="246"/>
        <v>0.736748855750775</v>
      </c>
      <c r="CN45" s="111">
        <f t="shared" si="246"/>
        <v>0.640015702695629</v>
      </c>
      <c r="CO45" s="111">
        <f t="shared" si="246"/>
        <v>2.456625</v>
      </c>
      <c r="CP45" s="111">
        <f t="shared" si="246"/>
        <v>0</v>
      </c>
      <c r="CQ45" s="111">
        <f t="shared" si="246"/>
        <v>27.2683658170915</v>
      </c>
      <c r="CR45" s="111">
        <f t="shared" si="246"/>
        <v>20.1255</v>
      </c>
      <c r="CS45" s="111">
        <f t="shared" si="246"/>
        <v>7.03936363636364</v>
      </c>
      <c r="CT45" s="111">
        <f t="shared" si="246"/>
        <v>8.63290909090909</v>
      </c>
      <c r="CU45" s="111">
        <f t="shared" si="246"/>
        <v>0</v>
      </c>
      <c r="CV45" s="111">
        <f t="shared" si="246"/>
        <v>0</v>
      </c>
      <c r="CW45" s="111">
        <f t="shared" si="246"/>
        <v>0</v>
      </c>
      <c r="CX45" s="111">
        <f t="shared" si="246"/>
        <v>3.11109090909091</v>
      </c>
      <c r="CY45" s="111">
        <f t="shared" si="246"/>
        <v>1.34218181818182</v>
      </c>
      <c r="CZ45" s="111">
        <f t="shared" si="246"/>
        <v>0</v>
      </c>
      <c r="DA45" s="111">
        <f t="shared" si="246"/>
        <v>0</v>
      </c>
      <c r="DB45" s="111">
        <f t="shared" si="246"/>
        <v>5.35864022662889</v>
      </c>
      <c r="DC45" s="111">
        <f t="shared" si="246"/>
        <v>0</v>
      </c>
      <c r="DD45" s="111">
        <f t="shared" si="246"/>
        <v>0</v>
      </c>
      <c r="DE45" s="111">
        <f t="shared" si="246"/>
        <v>0.906856670797191</v>
      </c>
      <c r="DF45" s="70">
        <f t="shared" si="246"/>
        <v>3.28616348797437</v>
      </c>
      <c r="DG45" s="111">
        <f t="shared" si="246"/>
        <v>0</v>
      </c>
      <c r="DH45" s="111">
        <f t="shared" si="246"/>
        <v>4.494</v>
      </c>
      <c r="DI45" s="111">
        <f t="shared" si="246"/>
        <v>5.04533333333333</v>
      </c>
      <c r="DJ45" s="111">
        <f t="shared" si="246"/>
        <v>1.75239483548521</v>
      </c>
      <c r="DK45" s="111">
        <f t="shared" si="246"/>
        <v>4.91666666666667</v>
      </c>
      <c r="DL45" s="111">
        <f t="shared" si="246"/>
        <v>0</v>
      </c>
      <c r="DM45" s="111">
        <f t="shared" si="246"/>
        <v>5.63010989010989</v>
      </c>
      <c r="DN45" s="111">
        <f t="shared" si="246"/>
        <v>0</v>
      </c>
      <c r="DO45" s="111">
        <f t="shared" si="246"/>
        <v>14.3</v>
      </c>
      <c r="DP45" s="111">
        <f t="shared" si="246"/>
        <v>0.498547693737655</v>
      </c>
      <c r="DQ45" s="111">
        <f t="shared" si="246"/>
        <v>2.39141371792722</v>
      </c>
      <c r="DR45" s="111">
        <f t="shared" si="246"/>
        <v>3.82467786021086</v>
      </c>
      <c r="DS45" s="111">
        <f t="shared" si="246"/>
        <v>2.32240689442905</v>
      </c>
      <c r="DT45" s="111">
        <f t="shared" si="246"/>
        <v>2.04557106237539</v>
      </c>
      <c r="DU45" s="111">
        <f t="shared" si="246"/>
        <v>0.389192565984695</v>
      </c>
      <c r="DV45" s="111">
        <f t="shared" si="246"/>
        <v>0.814540622627183</v>
      </c>
      <c r="DW45" s="111">
        <f t="shared" si="246"/>
        <v>0</v>
      </c>
      <c r="DX45" s="111">
        <f t="shared" si="246"/>
        <v>2.79175197426148</v>
      </c>
      <c r="DY45" s="111">
        <f t="shared" si="246"/>
        <v>0</v>
      </c>
      <c r="DZ45" s="111">
        <f t="shared" si="246"/>
        <v>0</v>
      </c>
      <c r="EA45" s="111">
        <f t="shared" si="246"/>
        <v>4.53236307927997</v>
      </c>
      <c r="EB45" s="111">
        <f t="shared" si="246"/>
        <v>0</v>
      </c>
      <c r="EC45" s="111">
        <f t="shared" si="246"/>
        <v>0</v>
      </c>
      <c r="ED45" s="111">
        <f t="shared" si="246"/>
        <v>0</v>
      </c>
      <c r="EE45" s="111">
        <f t="shared" si="246"/>
        <v>0</v>
      </c>
      <c r="EF45" s="111">
        <f t="shared" si="246"/>
        <v>2.8728</v>
      </c>
      <c r="EG45" s="111">
        <f t="shared" si="246"/>
        <v>0</v>
      </c>
      <c r="EH45" s="111">
        <f t="shared" si="246"/>
        <v>11.92</v>
      </c>
      <c r="EI45" s="111">
        <f t="shared" ref="EI45:FM45" si="247">IFERROR(EI42/EI38,0)</f>
        <v>3.44195804195804</v>
      </c>
      <c r="EJ45" s="111">
        <f t="shared" si="247"/>
        <v>0</v>
      </c>
      <c r="EK45" s="70">
        <f t="shared" si="247"/>
        <v>1.40157404510337</v>
      </c>
      <c r="EL45" s="111">
        <f t="shared" si="247"/>
        <v>1.93228736581338</v>
      </c>
      <c r="EM45" s="111">
        <f t="shared" si="247"/>
        <v>0</v>
      </c>
      <c r="EN45" s="111">
        <f t="shared" si="247"/>
        <v>3.55195911413969</v>
      </c>
      <c r="EO45" s="111">
        <f t="shared" si="247"/>
        <v>0</v>
      </c>
      <c r="EP45" s="111">
        <f t="shared" si="247"/>
        <v>3.64266946925906</v>
      </c>
      <c r="EQ45" s="111">
        <f t="shared" si="247"/>
        <v>17.860487804878</v>
      </c>
      <c r="ER45" s="111">
        <f t="shared" si="247"/>
        <v>0</v>
      </c>
      <c r="ES45" s="111">
        <f t="shared" si="247"/>
        <v>0</v>
      </c>
      <c r="ET45" s="111">
        <f t="shared" si="247"/>
        <v>0.678</v>
      </c>
      <c r="EU45" s="111">
        <f t="shared" si="247"/>
        <v>0</v>
      </c>
      <c r="EV45" s="111">
        <f t="shared" si="247"/>
        <v>0</v>
      </c>
      <c r="EW45" s="111">
        <f t="shared" si="247"/>
        <v>0</v>
      </c>
      <c r="EX45" s="111">
        <f t="shared" si="247"/>
        <v>0</v>
      </c>
      <c r="EY45" s="111">
        <f t="shared" si="247"/>
        <v>0</v>
      </c>
      <c r="EZ45" s="111">
        <f t="shared" si="247"/>
        <v>0</v>
      </c>
      <c r="FA45" s="111">
        <f t="shared" si="247"/>
        <v>0</v>
      </c>
      <c r="FB45" s="111">
        <f t="shared" si="247"/>
        <v>0</v>
      </c>
      <c r="FC45" s="111">
        <f t="shared" si="247"/>
        <v>3.85450597176981</v>
      </c>
      <c r="FD45" s="111">
        <f t="shared" si="247"/>
        <v>0</v>
      </c>
      <c r="FE45" s="111">
        <f t="shared" si="247"/>
        <v>4.9</v>
      </c>
      <c r="FF45" s="111">
        <f t="shared" si="247"/>
        <v>0</v>
      </c>
      <c r="FG45" s="111">
        <f t="shared" si="247"/>
        <v>0</v>
      </c>
      <c r="FH45" s="111">
        <f t="shared" si="247"/>
        <v>0</v>
      </c>
      <c r="FI45" s="111">
        <f t="shared" si="247"/>
        <v>0.895622895622896</v>
      </c>
      <c r="FJ45" s="111">
        <f t="shared" si="247"/>
        <v>0</v>
      </c>
      <c r="FK45" s="111">
        <f t="shared" si="247"/>
        <v>3.32949087415946</v>
      </c>
      <c r="FL45" s="111">
        <f t="shared" si="247"/>
        <v>0</v>
      </c>
      <c r="FM45" s="111">
        <f t="shared" si="247"/>
        <v>0</v>
      </c>
      <c r="FN45" s="111">
        <f t="shared" ref="FN45:GI45" si="248">IFERROR(FN42/FN38,0)</f>
        <v>0</v>
      </c>
      <c r="FO45" s="111">
        <f t="shared" si="248"/>
        <v>0.889294681579548</v>
      </c>
      <c r="FP45" s="111">
        <f t="shared" si="248"/>
        <v>1.19571347997744</v>
      </c>
      <c r="FQ45" s="70">
        <f t="shared" si="248"/>
        <v>21.7586890195955</v>
      </c>
      <c r="FR45" s="111">
        <f t="shared" si="248"/>
        <v>0.7586</v>
      </c>
      <c r="FS45" s="111">
        <f t="shared" si="248"/>
        <v>0</v>
      </c>
      <c r="FT45" s="111">
        <f t="shared" si="248"/>
        <v>18.6024</v>
      </c>
      <c r="FU45" s="111">
        <f t="shared" si="248"/>
        <v>3.34394394394394</v>
      </c>
      <c r="FV45" s="111">
        <f t="shared" si="248"/>
        <v>412.91213683224</v>
      </c>
      <c r="FW45" s="111">
        <f t="shared" si="248"/>
        <v>0.841349156777014</v>
      </c>
      <c r="FX45" s="111">
        <f t="shared" si="248"/>
        <v>0</v>
      </c>
      <c r="FY45" s="111">
        <f t="shared" si="248"/>
        <v>0</v>
      </c>
      <c r="FZ45" s="111">
        <f t="shared" si="248"/>
        <v>1.5972</v>
      </c>
      <c r="GA45" s="111">
        <f t="shared" si="248"/>
        <v>0</v>
      </c>
      <c r="GB45" s="111">
        <f t="shared" si="248"/>
        <v>0</v>
      </c>
      <c r="GC45" s="111">
        <f t="shared" si="248"/>
        <v>0</v>
      </c>
      <c r="GD45" s="111">
        <f t="shared" si="248"/>
        <v>16.706</v>
      </c>
      <c r="GE45" s="111">
        <f t="shared" si="248"/>
        <v>3.636</v>
      </c>
      <c r="GF45" s="111">
        <f t="shared" si="248"/>
        <v>0.337455460071264</v>
      </c>
      <c r="GG45" s="111">
        <f t="shared" si="248"/>
        <v>6.68815471394037</v>
      </c>
      <c r="GH45" s="111">
        <f t="shared" si="248"/>
        <v>0</v>
      </c>
      <c r="GI45" s="111">
        <f t="shared" si="248"/>
        <v>2.91199327872296</v>
      </c>
      <c r="GJ45" s="111">
        <f t="shared" ref="GJ45:GP45" si="249">IFERROR(GJ42/GJ38,0)</f>
        <v>9.4128</v>
      </c>
      <c r="GK45" s="111">
        <f t="shared" si="249"/>
        <v>1.326</v>
      </c>
      <c r="GL45" s="111">
        <f t="shared" si="249"/>
        <v>0</v>
      </c>
      <c r="GM45" s="111">
        <f t="shared" si="249"/>
        <v>0</v>
      </c>
      <c r="GN45" s="111">
        <f t="shared" si="249"/>
        <v>0</v>
      </c>
      <c r="GO45" s="111">
        <f t="shared" si="249"/>
        <v>0</v>
      </c>
      <c r="GP45" s="111">
        <f t="shared" si="249"/>
        <v>0</v>
      </c>
    </row>
    <row r="46" s="47" customFormat="1" ht="15" customHeight="1" spans="1:198">
      <c r="B46" s="103"/>
      <c r="C46" s="109" t="s">
        <v>36</v>
      </c>
      <c r="D46" s="100" t="e">
        <f t="shared" ref="D46:O46" si="250">D38/D$130</f>
        <v>#REF!</v>
      </c>
      <c r="E46" s="101" t="e">
        <f t="shared" si="250"/>
        <v>#REF!</v>
      </c>
      <c r="F46" s="101" t="e">
        <f t="shared" si="250"/>
        <v>#REF!</v>
      </c>
      <c r="G46" s="101" t="e">
        <f t="shared" si="250"/>
        <v>#REF!</v>
      </c>
      <c r="H46" s="101" t="e">
        <f t="shared" si="250"/>
        <v>#REF!</v>
      </c>
      <c r="I46" s="101" t="e">
        <f t="shared" si="250"/>
        <v>#REF!</v>
      </c>
      <c r="J46" s="101" t="e">
        <f t="shared" si="250"/>
        <v>#REF!</v>
      </c>
      <c r="K46" s="101" t="e">
        <f t="shared" si="250"/>
        <v>#REF!</v>
      </c>
      <c r="L46" s="101" t="e">
        <f t="shared" si="250"/>
        <v>#REF!</v>
      </c>
      <c r="M46" s="101" t="e">
        <f t="shared" si="250"/>
        <v>#REF!</v>
      </c>
      <c r="N46" s="101" t="e">
        <f t="shared" si="250"/>
        <v>#REF!</v>
      </c>
      <c r="O46" s="101" t="e">
        <f t="shared" si="250"/>
        <v>#REF!</v>
      </c>
      <c r="P46" s="101" t="e">
        <f t="shared" ref="P46:V46" si="251">P38/P$130</f>
        <v>#REF!</v>
      </c>
      <c r="Q46" s="102">
        <f t="shared" si="251"/>
        <v>0.325066256841313</v>
      </c>
      <c r="R46" s="101">
        <f t="shared" si="251"/>
        <v>0.533827417327612</v>
      </c>
      <c r="S46" s="101">
        <f t="shared" ref="S46:AK46" si="252">S38/S$130</f>
        <v>0.574619068350022</v>
      </c>
      <c r="T46" s="101">
        <f t="shared" si="252"/>
        <v>0.479990222098058</v>
      </c>
      <c r="U46" s="101">
        <f t="shared" si="252"/>
        <v>0.305352060099855</v>
      </c>
      <c r="V46" s="101">
        <f t="shared" si="252"/>
        <v>0.305625645142792</v>
      </c>
      <c r="W46" s="101">
        <f t="shared" si="252"/>
        <v>0.297969000534474</v>
      </c>
      <c r="X46" s="101">
        <f t="shared" si="252"/>
        <v>0.180946311932452</v>
      </c>
      <c r="Y46" s="101">
        <f t="shared" si="252"/>
        <v>0.350848806366048</v>
      </c>
      <c r="Z46" s="101">
        <f t="shared" si="252"/>
        <v>0.310229398444423</v>
      </c>
      <c r="AA46" s="101">
        <f t="shared" si="252"/>
        <v>0.267163893669918</v>
      </c>
      <c r="AB46" s="101">
        <f t="shared" si="252"/>
        <v>0.261074432238446</v>
      </c>
      <c r="AC46" s="101">
        <f t="shared" si="252"/>
        <v>0.296694354024021</v>
      </c>
      <c r="AD46" s="101">
        <f t="shared" si="252"/>
        <v>0.249133436252949</v>
      </c>
      <c r="AE46" s="101">
        <f t="shared" si="252"/>
        <v>0.238259650580203</v>
      </c>
      <c r="AF46" s="101">
        <f t="shared" si="252"/>
        <v>0.272719459087784</v>
      </c>
      <c r="AG46" s="101">
        <f t="shared" si="252"/>
        <v>0.462930117062788</v>
      </c>
      <c r="AH46" s="101">
        <f t="shared" si="252"/>
        <v>0.472339311428197</v>
      </c>
      <c r="AI46" s="101">
        <f t="shared" si="252"/>
        <v>0.328618794778455</v>
      </c>
      <c r="AJ46" s="101">
        <f t="shared" si="252"/>
        <v>0.554352832795947</v>
      </c>
      <c r="AK46" s="101">
        <f t="shared" si="252"/>
        <v>0.357394228513334</v>
      </c>
      <c r="AL46" s="101">
        <f t="shared" ref="AL46:BH46" si="253">AL38/AL$130</f>
        <v>0.403139146253755</v>
      </c>
      <c r="AM46" s="101">
        <f t="shared" si="253"/>
        <v>0.285402097902098</v>
      </c>
      <c r="AN46" s="101">
        <f t="shared" si="253"/>
        <v>0.226810498831936</v>
      </c>
      <c r="AO46" s="101">
        <f t="shared" si="253"/>
        <v>0.265507284856128</v>
      </c>
      <c r="AP46" s="101">
        <f t="shared" si="253"/>
        <v>0.266951414842499</v>
      </c>
      <c r="AQ46" s="101">
        <f t="shared" si="253"/>
        <v>0.207322132337689</v>
      </c>
      <c r="AR46" s="101">
        <f t="shared" si="253"/>
        <v>0.246616726779494</v>
      </c>
      <c r="AS46" s="101">
        <f t="shared" si="253"/>
        <v>0.271112094069077</v>
      </c>
      <c r="AT46" s="101">
        <f t="shared" si="253"/>
        <v>0.290930249472689</v>
      </c>
      <c r="AU46" s="101">
        <f t="shared" si="253"/>
        <v>0.246943261437011</v>
      </c>
      <c r="AV46" s="101">
        <f t="shared" si="253"/>
        <v>0.299132515704457</v>
      </c>
      <c r="AW46" s="102">
        <f t="shared" si="253"/>
        <v>0.365982358223146</v>
      </c>
      <c r="AX46" s="101">
        <f t="shared" si="253"/>
        <v>0.2682241284906</v>
      </c>
      <c r="AY46" s="101">
        <f t="shared" si="253"/>
        <v>0.280004200063001</v>
      </c>
      <c r="AZ46" s="101">
        <f t="shared" si="253"/>
        <v>0.277419849670195</v>
      </c>
      <c r="BA46" s="101">
        <f t="shared" si="253"/>
        <v>0.255757019355826</v>
      </c>
      <c r="BB46" s="101">
        <f t="shared" si="253"/>
        <v>0.293437992884129</v>
      </c>
      <c r="BC46" s="101">
        <f t="shared" si="253"/>
        <v>0.289128020526175</v>
      </c>
      <c r="BD46" s="101">
        <f t="shared" si="253"/>
        <v>0.311684263840729</v>
      </c>
      <c r="BE46" s="101">
        <f t="shared" si="253"/>
        <v>0.296219498648499</v>
      </c>
      <c r="BF46" s="101">
        <f t="shared" si="253"/>
        <v>0.304275064658451</v>
      </c>
      <c r="BG46" s="101">
        <f t="shared" si="253"/>
        <v>0.308225775380466</v>
      </c>
      <c r="BH46" s="101">
        <f t="shared" si="253"/>
        <v>0.345288963701498</v>
      </c>
      <c r="BI46" s="101">
        <f t="shared" ref="BI46:BW46" si="254">BI38/BI$130</f>
        <v>0.322453573438379</v>
      </c>
      <c r="BJ46" s="101">
        <f t="shared" si="254"/>
        <v>0.338409475465313</v>
      </c>
      <c r="BK46" s="101">
        <f t="shared" si="254"/>
        <v>0.350646504492658</v>
      </c>
      <c r="BL46" s="101">
        <f t="shared" si="254"/>
        <v>0.583059596433599</v>
      </c>
      <c r="BM46" s="101">
        <f t="shared" si="254"/>
        <v>0.481181515007146</v>
      </c>
      <c r="BN46" s="101">
        <f t="shared" si="254"/>
        <v>0.605804326537879</v>
      </c>
      <c r="BO46" s="101">
        <f t="shared" si="254"/>
        <v>0.596831297574792</v>
      </c>
      <c r="BP46" s="101">
        <f t="shared" si="254"/>
        <v>0.605637316038912</v>
      </c>
      <c r="BQ46" s="101">
        <f t="shared" si="254"/>
        <v>0.626286947857855</v>
      </c>
      <c r="BR46" s="101">
        <f t="shared" si="254"/>
        <v>0.570906978673969</v>
      </c>
      <c r="BS46" s="101">
        <f t="shared" si="254"/>
        <v>0.538989140197599</v>
      </c>
      <c r="BT46" s="101">
        <f t="shared" si="254"/>
        <v>0.600033780930665</v>
      </c>
      <c r="BU46" s="101">
        <f t="shared" si="254"/>
        <v>0.615006150061501</v>
      </c>
      <c r="BV46" s="101">
        <f t="shared" si="254"/>
        <v>0.318360071301248</v>
      </c>
      <c r="BW46" s="101">
        <f t="shared" si="254"/>
        <v>0.350201365785327</v>
      </c>
      <c r="BX46" s="101">
        <f t="shared" ref="BX46:CH46" si="255">BX38/BX$130</f>
        <v>0.347146886526361</v>
      </c>
      <c r="BY46" s="101">
        <f t="shared" si="255"/>
        <v>0.340367597004765</v>
      </c>
      <c r="BZ46" s="102">
        <f t="shared" si="255"/>
        <v>0.237657234135726</v>
      </c>
      <c r="CA46" s="101">
        <f t="shared" si="255"/>
        <v>0.324050046339203</v>
      </c>
      <c r="CB46" s="101">
        <f t="shared" si="255"/>
        <v>0.35237842147223</v>
      </c>
      <c r="CC46" s="101">
        <f t="shared" si="255"/>
        <v>0.336799562160569</v>
      </c>
      <c r="CD46" s="101">
        <f t="shared" si="255"/>
        <v>0.260620276257493</v>
      </c>
      <c r="CE46" s="101">
        <f t="shared" si="255"/>
        <v>0.1963874623694</v>
      </c>
      <c r="CF46" s="101">
        <f t="shared" si="255"/>
        <v>0.260994388620645</v>
      </c>
      <c r="CG46" s="101">
        <f t="shared" si="255"/>
        <v>0.339734184862346</v>
      </c>
      <c r="CH46" s="101">
        <f t="shared" si="255"/>
        <v>0.292120061345213</v>
      </c>
      <c r="CI46" s="101">
        <f t="shared" ref="CI46:EH46" si="256">CI38/CI$130</f>
        <v>0.300018751171948</v>
      </c>
      <c r="CJ46" s="101">
        <f t="shared" si="256"/>
        <v>0.233385845148492</v>
      </c>
      <c r="CK46" s="101">
        <f t="shared" si="256"/>
        <v>0.229905489882381</v>
      </c>
      <c r="CL46" s="101">
        <f t="shared" si="256"/>
        <v>0.0899289059604434</v>
      </c>
      <c r="CM46" s="101">
        <f t="shared" si="256"/>
        <v>0.206129405319861</v>
      </c>
      <c r="CN46" s="101">
        <f t="shared" si="256"/>
        <v>0.166199082229617</v>
      </c>
      <c r="CO46" s="101">
        <f t="shared" si="256"/>
        <v>0.233952332212312</v>
      </c>
      <c r="CP46" s="101">
        <f t="shared" si="256"/>
        <v>0.153723839588448</v>
      </c>
      <c r="CQ46" s="101">
        <f t="shared" si="256"/>
        <v>0.225691347011597</v>
      </c>
      <c r="CR46" s="101">
        <f t="shared" si="256"/>
        <v>0.157861502841507</v>
      </c>
      <c r="CS46" s="101">
        <f t="shared" si="256"/>
        <v>0.295675079966669</v>
      </c>
      <c r="CT46" s="101">
        <f t="shared" si="256"/>
        <v>0.299368604397997</v>
      </c>
      <c r="CU46" s="101">
        <f t="shared" si="256"/>
        <v>0.175649170057671</v>
      </c>
      <c r="CV46" s="101">
        <f t="shared" si="256"/>
        <v>0.155870072454869</v>
      </c>
      <c r="CW46" s="101">
        <f t="shared" si="256"/>
        <v>0.299613226562074</v>
      </c>
      <c r="CX46" s="101">
        <f t="shared" si="256"/>
        <v>0.289748182488674</v>
      </c>
      <c r="CY46" s="101">
        <f t="shared" si="256"/>
        <v>0.22442567429714</v>
      </c>
      <c r="CZ46" s="101">
        <f t="shared" si="256"/>
        <v>0.311698717948718</v>
      </c>
      <c r="DA46" s="101">
        <f t="shared" si="256"/>
        <v>0.261549683903388</v>
      </c>
      <c r="DB46" s="101">
        <f t="shared" si="256"/>
        <v>0.244094705979975</v>
      </c>
      <c r="DC46" s="101">
        <f t="shared" si="256"/>
        <v>0.259482472630764</v>
      </c>
      <c r="DD46" s="101">
        <f t="shared" si="256"/>
        <v>0.195114659012766</v>
      </c>
      <c r="DE46" s="101">
        <f t="shared" si="256"/>
        <v>0.150831723880132</v>
      </c>
      <c r="DF46" s="102">
        <f t="shared" si="256"/>
        <v>0.172077979528185</v>
      </c>
      <c r="DG46" s="101">
        <f t="shared" si="256"/>
        <v>0.184947035866939</v>
      </c>
      <c r="DH46" s="101">
        <f t="shared" si="256"/>
        <v>0.26857654431513</v>
      </c>
      <c r="DI46" s="101">
        <f t="shared" si="256"/>
        <v>0.21412512044538</v>
      </c>
      <c r="DJ46" s="101">
        <f t="shared" si="256"/>
        <v>0.17985692348028</v>
      </c>
      <c r="DK46" s="101">
        <f t="shared" si="256"/>
        <v>0.177064274331582</v>
      </c>
      <c r="DL46" s="101">
        <f t="shared" si="256"/>
        <v>0.174153707120533</v>
      </c>
      <c r="DM46" s="101">
        <f t="shared" si="256"/>
        <v>0.179345683878597</v>
      </c>
      <c r="DN46" s="101">
        <f t="shared" si="256"/>
        <v>0.0812278320269738</v>
      </c>
      <c r="DO46" s="101">
        <f t="shared" si="256"/>
        <v>0.236561966092785</v>
      </c>
      <c r="DP46" s="101">
        <f t="shared" si="256"/>
        <v>0.19403489787637</v>
      </c>
      <c r="DQ46" s="101">
        <f t="shared" si="256"/>
        <v>0.187941250630358</v>
      </c>
      <c r="DR46" s="101">
        <f t="shared" si="256"/>
        <v>0.166455428812843</v>
      </c>
      <c r="DS46" s="101">
        <f t="shared" si="256"/>
        <v>0.218515653899183</v>
      </c>
      <c r="DT46" s="101">
        <f t="shared" si="256"/>
        <v>0.256025084770482</v>
      </c>
      <c r="DU46" s="101">
        <f t="shared" si="256"/>
        <v>0.210597289830286</v>
      </c>
      <c r="DV46" s="101">
        <f t="shared" si="256"/>
        <v>0.139823760484128</v>
      </c>
      <c r="DW46" s="101">
        <f t="shared" si="256"/>
        <v>0.20260989010989</v>
      </c>
      <c r="DX46" s="101">
        <f t="shared" si="256"/>
        <v>0.238390740482499</v>
      </c>
      <c r="DY46" s="101">
        <f t="shared" si="256"/>
        <v>0.200037448508301</v>
      </c>
      <c r="DZ46" s="101">
        <f t="shared" si="256"/>
        <v>0.302077869679241</v>
      </c>
      <c r="EA46" s="101">
        <f t="shared" si="256"/>
        <v>0.240390369654283</v>
      </c>
      <c r="EB46" s="101">
        <f t="shared" si="256"/>
        <v>0.151787111922776</v>
      </c>
      <c r="EC46" s="101">
        <f t="shared" si="256"/>
        <v>0.126462959448346</v>
      </c>
      <c r="ED46" s="101">
        <f t="shared" si="256"/>
        <v>0.108323584210754</v>
      </c>
      <c r="EE46" s="101">
        <f t="shared" si="256"/>
        <v>0.0779800686029755</v>
      </c>
      <c r="EF46" s="101">
        <f t="shared" si="256"/>
        <v>0.141518779542045</v>
      </c>
      <c r="EG46" s="101">
        <f t="shared" si="256"/>
        <v>0.106908650937689</v>
      </c>
      <c r="EH46" s="101">
        <f t="shared" si="256"/>
        <v>0.143143429716576</v>
      </c>
      <c r="EI46" s="101">
        <f t="shared" ref="EI46:FM46" si="257">EI38/EI$130</f>
        <v>0.133679841453838</v>
      </c>
      <c r="EJ46" s="101">
        <f t="shared" si="257"/>
        <v>0.163373983739837</v>
      </c>
      <c r="EK46" s="102">
        <f t="shared" si="257"/>
        <v>0.12110727652182</v>
      </c>
      <c r="EL46" s="101">
        <f t="shared" si="257"/>
        <v>0.144539486771434</v>
      </c>
      <c r="EM46" s="101">
        <f t="shared" si="257"/>
        <v>0.137227689460846</v>
      </c>
      <c r="EN46" s="101">
        <f t="shared" si="257"/>
        <v>0.137021475256769</v>
      </c>
      <c r="EO46" s="101">
        <f t="shared" si="257"/>
        <v>0.139857015192136</v>
      </c>
      <c r="EP46" s="101">
        <f t="shared" si="257"/>
        <v>0.144555433172547</v>
      </c>
      <c r="EQ46" s="101">
        <f t="shared" si="257"/>
        <v>0.162931171514862</v>
      </c>
      <c r="ER46" s="101">
        <f t="shared" si="257"/>
        <v>0.14771000205381</v>
      </c>
      <c r="ES46" s="101">
        <f t="shared" si="257"/>
        <v>0.0779499349656573</v>
      </c>
      <c r="ET46" s="101">
        <f t="shared" si="257"/>
        <v>0.118008024545669</v>
      </c>
      <c r="EU46" s="101">
        <f t="shared" si="257"/>
        <v>0.0880819145136326</v>
      </c>
      <c r="EV46" s="101">
        <f t="shared" si="257"/>
        <v>0.0841522797698097</v>
      </c>
      <c r="EW46" s="101">
        <f t="shared" si="257"/>
        <v>0.113947128532361</v>
      </c>
      <c r="EX46" s="101">
        <f t="shared" si="257"/>
        <v>0.0986184036842568</v>
      </c>
      <c r="EY46" s="101">
        <f t="shared" si="257"/>
        <v>0.155202383908617</v>
      </c>
      <c r="EZ46" s="101">
        <f t="shared" si="257"/>
        <v>0.162771990507984</v>
      </c>
      <c r="FA46" s="101">
        <f t="shared" si="257"/>
        <v>0.130585543719168</v>
      </c>
      <c r="FB46" s="101">
        <f t="shared" si="257"/>
        <v>0.127327985298795</v>
      </c>
      <c r="FC46" s="101">
        <f t="shared" si="257"/>
        <v>0.144317781172876</v>
      </c>
      <c r="FD46" s="101">
        <f t="shared" si="257"/>
        <v>0.134804362693928</v>
      </c>
      <c r="FE46" s="101">
        <f t="shared" si="257"/>
        <v>0.133539875006677</v>
      </c>
      <c r="FF46" s="101">
        <f t="shared" si="257"/>
        <v>0.127925725579944</v>
      </c>
      <c r="FG46" s="101">
        <f t="shared" si="257"/>
        <v>0.113150903294368</v>
      </c>
      <c r="FH46" s="101">
        <f t="shared" si="257"/>
        <v>0.0714567602409956</v>
      </c>
      <c r="FI46" s="101">
        <f t="shared" si="257"/>
        <v>0.106952513564123</v>
      </c>
      <c r="FJ46" s="101">
        <f t="shared" si="257"/>
        <v>0.104121753413407</v>
      </c>
      <c r="FK46" s="101">
        <f t="shared" si="257"/>
        <v>0.119913606911447</v>
      </c>
      <c r="FL46" s="101">
        <f t="shared" si="257"/>
        <v>0.141222991102952</v>
      </c>
      <c r="FM46" s="101">
        <f t="shared" si="257"/>
        <v>0.136892539356605</v>
      </c>
      <c r="FN46" s="101">
        <f t="shared" ref="FN46:GI46" si="258">FN38/FN$130</f>
        <v>0.116842528700065</v>
      </c>
      <c r="FO46" s="101">
        <f t="shared" si="258"/>
        <v>0.140097854241949</v>
      </c>
      <c r="FP46" s="101">
        <f t="shared" si="258"/>
        <v>0.105054215796646</v>
      </c>
      <c r="FQ46" s="102">
        <f t="shared" si="258"/>
        <v>0.12916387923633</v>
      </c>
      <c r="FR46" s="101">
        <f t="shared" si="258"/>
        <v>0.159907893053601</v>
      </c>
      <c r="FS46" s="101">
        <f t="shared" si="258"/>
        <v>0.159110578523401</v>
      </c>
      <c r="FT46" s="101">
        <f t="shared" si="258"/>
        <v>0.179006157811829</v>
      </c>
      <c r="FU46" s="101">
        <f t="shared" si="258"/>
        <v>0.150451807228916</v>
      </c>
      <c r="FV46" s="101">
        <f t="shared" si="258"/>
        <v>0.141343224268115</v>
      </c>
      <c r="FW46" s="101">
        <f t="shared" si="258"/>
        <v>0.142556096402707</v>
      </c>
      <c r="FX46" s="101">
        <f t="shared" si="258"/>
        <v>0.13815207780725</v>
      </c>
      <c r="FY46" s="101">
        <f t="shared" si="258"/>
        <v>0.111145285762219</v>
      </c>
      <c r="FZ46" s="101">
        <f t="shared" si="258"/>
        <v>0.142840818192207</v>
      </c>
      <c r="GA46" s="101">
        <f t="shared" si="258"/>
        <v>0.119474085365854</v>
      </c>
      <c r="GB46" s="101">
        <f t="shared" si="258"/>
        <v>0.138767908309456</v>
      </c>
      <c r="GC46" s="101">
        <f t="shared" si="258"/>
        <v>0.151607338874079</v>
      </c>
      <c r="GD46" s="101">
        <f t="shared" si="258"/>
        <v>0.138121546961326</v>
      </c>
      <c r="GE46" s="101">
        <f t="shared" si="258"/>
        <v>0.135116876097825</v>
      </c>
      <c r="GF46" s="101">
        <f t="shared" si="258"/>
        <v>0.13475117211772</v>
      </c>
      <c r="GG46" s="101">
        <f t="shared" si="258"/>
        <v>0.0766096672634113</v>
      </c>
      <c r="GH46" s="101">
        <f t="shared" si="258"/>
        <v>0.0755120467613933</v>
      </c>
      <c r="GI46" s="101">
        <f t="shared" si="258"/>
        <v>0.125497535387616</v>
      </c>
      <c r="GJ46" s="101">
        <f t="shared" ref="GJ46:GP46" si="259">GJ38/GJ$130</f>
        <v>0.127923041498235</v>
      </c>
      <c r="GK46" s="101">
        <f t="shared" si="259"/>
        <v>0.125722906713603</v>
      </c>
      <c r="GL46" s="101">
        <f t="shared" si="259"/>
        <v>0.0790703246675452</v>
      </c>
      <c r="GM46" s="101" t="e">
        <f t="shared" si="259"/>
        <v>#DIV/0!</v>
      </c>
      <c r="GN46" s="101" t="e">
        <f t="shared" si="259"/>
        <v>#DIV/0!</v>
      </c>
      <c r="GO46" s="101" t="e">
        <f t="shared" si="259"/>
        <v>#DIV/0!</v>
      </c>
      <c r="GP46" s="101" t="e">
        <f t="shared" si="259"/>
        <v>#DIV/0!</v>
      </c>
    </row>
    <row r="47" s="47" customFormat="1" ht="15" customHeight="1" spans="1:198">
      <c r="A47" s="107"/>
      <c r="B47" s="103" t="s">
        <v>39</v>
      </c>
      <c r="C47" s="104" t="s">
        <v>12</v>
      </c>
      <c r="D47" s="94" t="e">
        <f>SUM(E47:P47)</f>
        <v>#REF!</v>
      </c>
      <c r="E47" s="105" t="e">
        <f>#REF!</f>
        <v>#REF!</v>
      </c>
      <c r="F47" s="105" t="e">
        <f>#REF!</f>
        <v>#REF!</v>
      </c>
      <c r="G47" s="105" t="e">
        <f>#REF!</f>
        <v>#REF!</v>
      </c>
      <c r="H47" s="105" t="e">
        <f>#REF!</f>
        <v>#REF!</v>
      </c>
      <c r="I47" s="105" t="e">
        <f>#REF!</f>
        <v>#REF!</v>
      </c>
      <c r="J47" s="105" t="e">
        <f>#REF!</f>
        <v>#REF!</v>
      </c>
      <c r="K47" s="105" t="e">
        <f>#REF!</f>
        <v>#REF!</v>
      </c>
      <c r="L47" s="105" t="e">
        <f>#REF!</f>
        <v>#REF!</v>
      </c>
      <c r="M47" s="105" t="e">
        <f>#REF!</f>
        <v>#REF!</v>
      </c>
      <c r="N47" s="105" t="e">
        <f>#REF!</f>
        <v>#REF!</v>
      </c>
      <c r="O47" s="105" t="e">
        <f>#REF!</f>
        <v>#REF!</v>
      </c>
      <c r="P47" s="105" t="e">
        <f>#REF!</f>
        <v>#REF!</v>
      </c>
      <c r="Q47" s="65">
        <f>SUM(R47:AV47)</f>
        <v>531.97</v>
      </c>
      <c r="R47" s="95">
        <f>SUMIFS(营销场景数据源!$H:$H,营销场景数据源!$C:$C,$B$47,营销场景数据源!$A:$A,R2)</f>
        <v>7.8</v>
      </c>
      <c r="S47" s="95">
        <f>SUMIFS(营销场景数据源!$H:$H,营销场景数据源!$C:$C,$B$47,营销场景数据源!$A:$A,S2)</f>
        <v>10.04</v>
      </c>
      <c r="T47" s="95">
        <f>SUMIFS(营销场景数据源!$H:$H,营销场景数据源!$C:$C,$B$47,营销场景数据源!$A:$A,T2)</f>
        <v>10.78</v>
      </c>
      <c r="U47" s="95">
        <f>SUMIFS(营销场景数据源!$H:$H,营销场景数据源!$C:$C,$B$47,营销场景数据源!$A:$A,U2)</f>
        <v>16.24</v>
      </c>
      <c r="V47" s="95">
        <f>SUMIFS(营销场景数据源!$H:$H,营销场景数据源!$C:$C,$B$47,营销场景数据源!$A:$A,V2)</f>
        <v>10.17</v>
      </c>
      <c r="W47" s="95">
        <f>SUMIFS(营销场景数据源!$H:$H,营销场景数据源!$C:$C,$B$47,营销场景数据源!$A:$A,W2)</f>
        <v>11.67</v>
      </c>
      <c r="X47" s="95">
        <f>SUMIFS(营销场景数据源!$H:$H,营销场景数据源!$C:$C,$B$47,营销场景数据源!$A:$A,X2)</f>
        <v>18.68</v>
      </c>
      <c r="Y47" s="95">
        <f>SUMIFS(营销场景数据源!$H:$H,营销场景数据源!$C:$C,$B$47,营销场景数据源!$A:$A,Y2)</f>
        <v>13.9</v>
      </c>
      <c r="Z47" s="95">
        <f>SUMIFS(营销场景数据源!$H:$H,营销场景数据源!$C:$C,$B$47,营销场景数据源!$A:$A,Z2)</f>
        <v>17.33</v>
      </c>
      <c r="AA47" s="95">
        <f>SUMIFS(营销场景数据源!$H:$H,营销场景数据源!$C:$C,$B$47,营销场景数据源!$A:$A,AA2)</f>
        <v>9.87</v>
      </c>
      <c r="AB47" s="95">
        <f>SUMIFS(营销场景数据源!$H:$H,营销场景数据源!$C:$C,$B$47,营销场景数据源!$A:$A,AB2)</f>
        <v>10.76</v>
      </c>
      <c r="AC47" s="95">
        <f>SUMIFS(营销场景数据源!$H:$H,营销场景数据源!$C:$C,$B$47,营销场景数据源!$A:$A,AC2)</f>
        <v>11.59</v>
      </c>
      <c r="AD47" s="95">
        <f>SUMIFS(营销场景数据源!$H:$H,营销场景数据源!$C:$C,$B$47,营销场景数据源!$A:$A,AD2)</f>
        <v>13.56</v>
      </c>
      <c r="AE47" s="95">
        <f>SUMIFS(营销场景数据源!$H:$H,营销场景数据源!$C:$C,$B$47,营销场景数据源!$A:$A,AE2)</f>
        <v>14.58</v>
      </c>
      <c r="AF47" s="95">
        <f>SUMIFS(营销场景数据源!$H:$H,营销场景数据源!$C:$C,$B$47,营销场景数据源!$A:$A,AF2)</f>
        <v>13.04</v>
      </c>
      <c r="AG47" s="95">
        <f>SUMIFS(营销场景数据源!$H:$H,营销场景数据源!$C:$C,$B$47,营销场景数据源!$A:$A,AG2)</f>
        <v>13.37</v>
      </c>
      <c r="AH47" s="95">
        <f>SUMIFS(营销场景数据源!$H:$H,营销场景数据源!$C:$C,$B$47,营销场景数据源!$A:$A,AH2)</f>
        <v>11.57</v>
      </c>
      <c r="AI47" s="95">
        <f>SUMIFS(营销场景数据源!$H:$H,营销场景数据源!$C:$C,$B$47,营销场景数据源!$A:$A,AI2)</f>
        <v>10.13</v>
      </c>
      <c r="AJ47" s="95">
        <f>SUMIFS(营销场景数据源!$H:$H,营销场景数据源!$C:$C,$B$47,营销场景数据源!$A:$A,AJ2)</f>
        <v>15.08</v>
      </c>
      <c r="AK47" s="95">
        <f>SUMIFS(营销场景数据源!$H:$H,营销场景数据源!$C:$C,$B$47,营销场景数据源!$A:$A,AK2)</f>
        <v>17.71</v>
      </c>
      <c r="AL47" s="95">
        <f>SUMIFS(营销场景数据源!$H:$H,营销场景数据源!$C:$C,$B$47,营销场景数据源!$A:$A,AL2)</f>
        <v>15.24</v>
      </c>
      <c r="AM47" s="95">
        <f>SUMIFS(营销场景数据源!$H:$H,营销场景数据源!$C:$C,$B$47,营销场景数据源!$A:$A,AM2)</f>
        <v>21.45</v>
      </c>
      <c r="AN47" s="95">
        <f>SUMIFS(营销场景数据源!$H:$H,营销场景数据源!$C:$C,$B$47,营销场景数据源!$A:$A,AN2)</f>
        <v>29.33</v>
      </c>
      <c r="AO47" s="95">
        <f>SUMIFS(营销场景数据源!$H:$H,营销场景数据源!$C:$C,$B$47,营销场景数据源!$A:$A,AO2)</f>
        <v>21.58</v>
      </c>
      <c r="AP47" s="95">
        <f>SUMIFS(营销场景数据源!$H:$H,营销场景数据源!$C:$C,$B$47,营销场景数据源!$A:$A,AP2)</f>
        <v>14.68</v>
      </c>
      <c r="AQ47" s="95">
        <f>SUMIFS(营销场景数据源!$H:$H,营销场景数据源!$C:$C,$B$47,营销场景数据源!$A:$A,AQ2)</f>
        <v>21.74</v>
      </c>
      <c r="AR47" s="95">
        <f>SUMIFS(营销场景数据源!$H:$H,营销场景数据源!$C:$C,$B$47,营销场景数据源!$A:$A,AR2)</f>
        <v>27.65</v>
      </c>
      <c r="AS47" s="95">
        <f>SUMIFS(营销场景数据源!$H:$H,营销场景数据源!$C:$C,$B$47,营销场景数据源!$A:$A,AS2)</f>
        <v>26.28</v>
      </c>
      <c r="AT47" s="95">
        <f>SUMIFS(营销场景数据源!$H:$H,营销场景数据源!$C:$C,$B$47,营销场景数据源!$A:$A,AT2)</f>
        <v>36.2</v>
      </c>
      <c r="AU47" s="95">
        <f>SUMIFS(营销场景数据源!$H:$H,营销场景数据源!$C:$C,$B$47,营销场景数据源!$A:$A,AU2)</f>
        <v>36.03</v>
      </c>
      <c r="AV47" s="95">
        <f>SUMIFS(营销场景数据源!$H:$H,营销场景数据源!$C:$C,$B$47,营销场景数据源!$A:$A,AV2)</f>
        <v>23.92</v>
      </c>
      <c r="AW47" s="65">
        <f>SUM(AX47:BY47)</f>
        <v>548.21</v>
      </c>
      <c r="AX47" s="95">
        <f>SUMIFS(营销场景数据源!$H:$H,营销场景数据源!$C:$C,$B$47,营销场景数据源!$A:$A,AX2)</f>
        <v>24.35</v>
      </c>
      <c r="AY47" s="95">
        <f>SUMIFS(营销场景数据源!$H:$H,营销场景数据源!$C:$C,$B$47,营销场景数据源!$A:$A,AY2)</f>
        <v>21.38</v>
      </c>
      <c r="AZ47" s="95">
        <f>SUMIFS(营销场景数据源!$H:$H,营销场景数据源!$C:$C,$B$47,营销场景数据源!$A:$A,AZ2)</f>
        <v>19.34</v>
      </c>
      <c r="BA47" s="95">
        <f>SUMIFS(营销场景数据源!$H:$H,营销场景数据源!$C:$C,$B$47,营销场景数据源!$A:$A,BA2)</f>
        <v>31.56</v>
      </c>
      <c r="BB47" s="95">
        <f>SUMIFS(营销场景数据源!$H:$H,营销场景数据源!$C:$C,$B$47,营销场景数据源!$A:$A,BB2)</f>
        <v>21.41</v>
      </c>
      <c r="BC47" s="95">
        <f>SUMIFS(营销场景数据源!$H:$H,营销场景数据源!$C:$C,$B$47,营销场景数据源!$A:$A,BC2)</f>
        <v>32.32</v>
      </c>
      <c r="BD47" s="95">
        <f>SUMIFS(营销场景数据源!$H:$H,营销场景数据源!$C:$C,$B$47,营销场景数据源!$A:$A,BD2)</f>
        <v>18.57</v>
      </c>
      <c r="BE47" s="95">
        <f>SUMIFS(营销场景数据源!$H:$H,营销场景数据源!$C:$C,$B$47,营销场景数据源!$A:$A,BE2)</f>
        <v>21.4</v>
      </c>
      <c r="BF47" s="95">
        <f>SUMIFS(营销场景数据源!$H:$H,营销场景数据源!$C:$C,$B$47,营销场景数据源!$A:$A,BF2)</f>
        <v>20.18</v>
      </c>
      <c r="BG47" s="95">
        <f>SUMIFS(营销场景数据源!$H:$H,营销场景数据源!$C:$C,$B$47,营销场景数据源!$A:$A,BG2)</f>
        <v>34.91</v>
      </c>
      <c r="BH47" s="95">
        <f>SUMIFS(营销场景数据源!$H:$H,营销场景数据源!$C:$C,$B$47,营销场景数据源!$A:$A,BH2)</f>
        <v>23.66</v>
      </c>
      <c r="BI47" s="95">
        <f>SUMIFS(营销场景数据源!$H:$H,营销场景数据源!$C:$C,$B$47,营销场景数据源!$A:$A,BI2)</f>
        <v>23.76</v>
      </c>
      <c r="BJ47" s="95">
        <f>SUMIFS(营销场景数据源!$H:$H,营销场景数据源!$C:$C,$B$47,营销场景数据源!$A:$A,BJ2)</f>
        <v>25.35</v>
      </c>
      <c r="BK47" s="95">
        <f>SUMIFS(营销场景数据源!$H:$H,营销场景数据源!$C:$C,$B$47,营销场景数据源!$A:$A,BK2)</f>
        <v>14.52</v>
      </c>
      <c r="BL47" s="95">
        <f>SUMIFS(营销场景数据源!$H:$H,营销场景数据源!$C:$C,$B$47,营销场景数据源!$A:$A,BL2)</f>
        <v>19.63</v>
      </c>
      <c r="BM47" s="95">
        <f>SUMIFS(营销场景数据源!$H:$H,营销场景数据源!$C:$C,$B$47,营销场景数据源!$A:$A,BM2)</f>
        <v>8.56</v>
      </c>
      <c r="BN47" s="95">
        <f>SUMIFS(营销场景数据源!$H:$H,营销场景数据源!$C:$C,$B$47,营销场景数据源!$A:$A,BN2)</f>
        <v>9.46</v>
      </c>
      <c r="BO47" s="95">
        <f>SUMIFS(营销场景数据源!$H:$H,营销场景数据源!$C:$C,$B$47,营销场景数据源!$A:$A,BO2)</f>
        <v>11.2</v>
      </c>
      <c r="BP47" s="95">
        <f>SUMIFS(营销场景数据源!$H:$H,营销场景数据源!$C:$C,$B$47,营销场景数据源!$A:$A,BP2)</f>
        <v>12.57</v>
      </c>
      <c r="BQ47" s="95">
        <f>SUMIFS(营销场景数据源!$H:$H,营销场景数据源!$C:$C,$B$47,营销场景数据源!$A:$A,BQ2)</f>
        <v>10.01</v>
      </c>
      <c r="BR47" s="95">
        <f>SUMIFS(营销场景数据源!$H:$H,营销场景数据源!$C:$C,$B$47,营销场景数据源!$A:$A,BR2)</f>
        <v>18.06</v>
      </c>
      <c r="BS47" s="95">
        <f>SUMIFS(营销场景数据源!$H:$H,营销场景数据源!$C:$C,$B$47,营销场景数据源!$A:$A,BS2)</f>
        <v>21.46</v>
      </c>
      <c r="BT47" s="95">
        <f>SUMIFS(营销场景数据源!$H:$H,营销场景数据源!$C:$C,$B$47,营销场景数据源!$A:$A,BT2)</f>
        <v>13.81</v>
      </c>
      <c r="BU47" s="95">
        <f>SUMIFS(营销场景数据源!$H:$H,营销场景数据源!$C:$C,$B$47,营销场景数据源!$A:$A,BU2)</f>
        <v>15.86</v>
      </c>
      <c r="BV47" s="95">
        <f>SUMIFS(营销场景数据源!$H:$H,营销场景数据源!$C:$C,$B$47,营销场景数据源!$A:$A,BV2)</f>
        <v>21.03</v>
      </c>
      <c r="BW47" s="95">
        <f>SUMIFS(营销场景数据源!$H:$H,营销场景数据源!$C:$C,$B$47,营销场景数据源!$A:$A,BW2)</f>
        <v>14.34</v>
      </c>
      <c r="BX47" s="95">
        <f>SUMIFS(营销场景数据源!$H:$H,营销场景数据源!$C:$C,$B$47,营销场景数据源!$A:$A,BX2)</f>
        <v>16.47</v>
      </c>
      <c r="BY47" s="95">
        <f>SUMIFS(营销场景数据源!$H:$H,营销场景数据源!$C:$C,$B$47,营销场景数据源!$A:$A,BY2)</f>
        <v>23.04</v>
      </c>
      <c r="BZ47" s="65">
        <f>SUM(CA47:DE47)</f>
        <v>791.2</v>
      </c>
      <c r="CA47" s="95">
        <f>SUMIFS(营销场景数据源!$H:$H,营销场景数据源!$C:$C,$B$47,营销场景数据源!$A:$A,CA2)</f>
        <v>13.69</v>
      </c>
      <c r="CB47" s="95">
        <f>SUMIFS(营销场景数据源!$H:$H,营销场景数据源!$C:$C,$B$47,营销场景数据源!$A:$A,CB2)</f>
        <v>13.45</v>
      </c>
      <c r="CC47" s="95">
        <f>SUMIFS(营销场景数据源!$H:$H,营销场景数据源!$C:$C,$B$47,营销场景数据源!$A:$A,CC2)</f>
        <v>31.37</v>
      </c>
      <c r="CD47" s="95">
        <f>SUMIFS(营销场景数据源!$H:$H,营销场景数据源!$C:$C,$B$47,营销场景数据源!$A:$A,CD2)</f>
        <v>28.53</v>
      </c>
      <c r="CE47" s="95">
        <f>SUMIFS(营销场景数据源!$H:$H,营销场景数据源!$C:$C,$B$47,营销场景数据源!$A:$A,CE2)</f>
        <v>23.88</v>
      </c>
      <c r="CF47" s="95">
        <f>SUMIFS(营销场景数据源!$H:$H,营销场景数据源!$C:$C,$B$47,营销场景数据源!$A:$A,CF2)</f>
        <v>23.36</v>
      </c>
      <c r="CG47" s="95">
        <f>SUMIFS(营销场景数据源!$H:$H,营销场景数据源!$C:$C,$B$47,营销场景数据源!$A:$A,CG2)</f>
        <v>23</v>
      </c>
      <c r="CH47" s="95">
        <f>SUMIFS(营销场景数据源!$H:$H,营销场景数据源!$C:$C,$B$47,营销场景数据源!$A:$A,CH2)</f>
        <v>59.41</v>
      </c>
      <c r="CI47" s="95">
        <f>SUMIFS(营销场景数据源!$H:$H,营销场景数据源!$C:$C,$B$47,营销场景数据源!$A:$A,CI2)</f>
        <v>42.33</v>
      </c>
      <c r="CJ47" s="95">
        <f>SUMIFS(营销场景数据源!$H:$H,营销场景数据源!$C:$C,$B$47,营销场景数据源!$A:$A,CJ2)</f>
        <v>33.69</v>
      </c>
      <c r="CK47" s="95">
        <f>SUMIFS(营销场景数据源!$H:$H,营销场景数据源!$C:$C,$B$47,营销场景数据源!$A:$A,CK2)</f>
        <v>30.22</v>
      </c>
      <c r="CL47" s="95">
        <f>SUMIFS(营销场景数据源!$H:$H,营销场景数据源!$C:$C,$B$47,营销场景数据源!$A:$A,CL2)</f>
        <v>37.29</v>
      </c>
      <c r="CM47" s="95">
        <f>SUMIFS(营销场景数据源!$H:$H,营销场景数据源!$C:$C,$B$47,营销场景数据源!$A:$A,CM2)</f>
        <v>31.48</v>
      </c>
      <c r="CN47" s="95">
        <f>SUMIFS(营销场景数据源!$H:$H,营销场景数据源!$C:$C,$B$47,营销场景数据源!$A:$A,CN2)</f>
        <v>51.23</v>
      </c>
      <c r="CO47" s="95">
        <f>SUMIFS(营销场景数据源!$H:$H,营销场景数据源!$C:$C,$B$47,营销场景数据源!$A:$A,CO2)</f>
        <v>29.05</v>
      </c>
      <c r="CP47" s="95">
        <f>SUMIFS(营销场景数据源!$H:$H,营销场景数据源!$C:$C,$B$47,营销场景数据源!$A:$A,CP2)</f>
        <v>16.32</v>
      </c>
      <c r="CQ47" s="95">
        <f>SUMIFS(营销场景数据源!$H:$H,营销场景数据源!$C:$C,$B$47,营销场景数据源!$A:$A,CQ2)</f>
        <v>26.2</v>
      </c>
      <c r="CR47" s="95">
        <f>SUMIFS(营销场景数据源!$H:$H,营销场景数据源!$C:$C,$B$47,营销场景数据源!$A:$A,CR2)</f>
        <v>34.78</v>
      </c>
      <c r="CS47" s="95">
        <f>SUMIFS(营销场景数据源!$H:$H,营销场景数据源!$C:$C,$B$47,营销场景数据源!$A:$A,CS2)</f>
        <v>21.47</v>
      </c>
      <c r="CT47" s="95">
        <f>SUMIFS(营销场景数据源!$H:$H,营销场景数据源!$C:$C,$B$47,营销场景数据源!$A:$A,CT2)</f>
        <v>18.35</v>
      </c>
      <c r="CU47" s="95">
        <f>SUMIFS(营销场景数据源!$H:$H,营销场景数据源!$C:$C,$B$47,营销场景数据源!$A:$A,CU2)</f>
        <v>38.44</v>
      </c>
      <c r="CV47" s="95">
        <f>SUMIFS(营销场景数据源!$H:$H,营销场景数据源!$C:$C,$B$47,营销场景数据源!$A:$A,CV2)</f>
        <v>31.4</v>
      </c>
      <c r="CW47" s="95">
        <f>SUMIFS(营销场景数据源!$H:$H,营销场景数据源!$C:$C,$B$47,营销场景数据源!$A:$A,CW2)</f>
        <v>14.37</v>
      </c>
      <c r="CX47" s="95">
        <f>SUMIFS(营销场景数据源!$H:$H,营销场景数据源!$C:$C,$B$47,营销场景数据源!$A:$A,CX2)</f>
        <v>15.12</v>
      </c>
      <c r="CY47" s="95">
        <f>SUMIFS(营销场景数据源!$H:$H,营销场景数据源!$C:$C,$B$47,营销场景数据源!$A:$A,CY2)</f>
        <v>15.79</v>
      </c>
      <c r="CZ47" s="95">
        <f>SUMIFS(营销场景数据源!$H:$H,营销场景数据源!$C:$C,$B$47,营销场景数据源!$A:$A,CZ2)</f>
        <v>16.38</v>
      </c>
      <c r="DA47" s="95">
        <f>SUMIFS(营销场景数据源!$H:$H,营销场景数据源!$C:$C,$B$47,营销场景数据源!$A:$A,DA2)</f>
        <v>18.37</v>
      </c>
      <c r="DB47" s="95">
        <f>SUMIFS(营销场景数据源!$H:$H,营销场景数据源!$C:$C,$B$47,营销场景数据源!$A:$A,DB2)</f>
        <v>14.47</v>
      </c>
      <c r="DC47" s="95">
        <f>SUMIFS(营销场景数据源!$H:$H,营销场景数据源!$C:$C,$B$47,营销场景数据源!$A:$A,DC2)</f>
        <v>12.31</v>
      </c>
      <c r="DD47" s="95">
        <f>SUMIFS(营销场景数据源!$H:$H,营销场景数据源!$C:$C,$B$47,营销场景数据源!$A:$A,DD2)</f>
        <v>11.39</v>
      </c>
      <c r="DE47" s="95">
        <f>SUMIFS(营销场景数据源!$H:$H,营销场景数据源!$C:$C,$B$47,营销场景数据源!$A:$A,DE2)</f>
        <v>14.06</v>
      </c>
      <c r="DF47" s="65">
        <f>SUM(DG47:EJ47)</f>
        <v>401</v>
      </c>
      <c r="DG47" s="95">
        <f>SUMIFS(营销场景数据源!$H:$H,营销场景数据源!$C:$C,$B$47,营销场景数据源!$A:$A,DG2)</f>
        <v>19.19</v>
      </c>
      <c r="DH47" s="95">
        <f>SUMIFS(营销场景数据源!$H:$H,营销场景数据源!$C:$C,$B$47,营销场景数据源!$A:$A,DH2)</f>
        <v>11.04</v>
      </c>
      <c r="DI47" s="95">
        <f>SUMIFS(营销场景数据源!$H:$H,营销场景数据源!$C:$C,$B$47,营销场景数据源!$A:$A,DI2)</f>
        <v>10.84</v>
      </c>
      <c r="DJ47" s="95">
        <f>SUMIFS(营销场景数据源!$H:$H,营销场景数据源!$C:$C,$B$47,营销场景数据源!$A:$A,DJ2)</f>
        <v>9.56</v>
      </c>
      <c r="DK47" s="95">
        <f>SUMIFS(营销场景数据源!$H:$H,营销场景数据源!$C:$C,$B$47,营销场景数据源!$A:$A,DK2)</f>
        <v>11.53</v>
      </c>
      <c r="DL47" s="95">
        <f>SUMIFS(营销场景数据源!$H:$H,营销场景数据源!$C:$C,$B$47,营销场景数据源!$A:$A,DL2)</f>
        <v>11.07</v>
      </c>
      <c r="DM47" s="95">
        <f>SUMIFS(营销场景数据源!$H:$H,营销场景数据源!$C:$C,$B$47,营销场景数据源!$A:$A,DM2)</f>
        <v>15.24</v>
      </c>
      <c r="DN47" s="95">
        <f>SUMIFS(营销场景数据源!$H:$H,营销场景数据源!$C:$C,$B$47,营销场景数据源!$A:$A,DN2)</f>
        <v>13.77</v>
      </c>
      <c r="DO47" s="95">
        <f>SUMIFS(营销场景数据源!$H:$H,营销场景数据源!$C:$C,$B$47,营销场景数据源!$A:$A,DO2)</f>
        <v>18.76</v>
      </c>
      <c r="DP47" s="95">
        <f>SUMIFS(营销场景数据源!$H:$H,营销场景数据源!$C:$C,$B$47,营销场景数据源!$A:$A,DP2)</f>
        <v>12.46</v>
      </c>
      <c r="DQ47" s="95">
        <f>SUMIFS(营销场景数据源!$H:$H,营销场景数据源!$C:$C,$B$47,营销场景数据源!$A:$A,DQ2)</f>
        <v>10.53</v>
      </c>
      <c r="DR47" s="95">
        <f>SUMIFS(营销场景数据源!$H:$H,营销场景数据源!$C:$C,$B$47,营销场景数据源!$A:$A,DR2)</f>
        <v>8.52</v>
      </c>
      <c r="DS47" s="95">
        <f>SUMIFS(营销场景数据源!$H:$H,营销场景数据源!$C:$C,$B$47,营销场景数据源!$A:$A,DS2)</f>
        <v>12.57</v>
      </c>
      <c r="DT47" s="95">
        <f>SUMIFS(营销场景数据源!$H:$H,营销场景数据源!$C:$C,$B$47,营销场景数据源!$A:$A,DT2)</f>
        <v>14.11</v>
      </c>
      <c r="DU47" s="95">
        <f>SUMIFS(营销场景数据源!$H:$H,营销场景数据源!$C:$C,$B$47,营销场景数据源!$A:$A,DU2)</f>
        <v>16.15</v>
      </c>
      <c r="DV47" s="95">
        <f>SUMIFS(营销场景数据源!$H:$H,营销场景数据源!$C:$C,$B$47,营销场景数据源!$A:$A,DV2)</f>
        <v>13.22</v>
      </c>
      <c r="DW47" s="95">
        <f>SUMIFS(营销场景数据源!$H:$H,营销场景数据源!$C:$C,$B$47,营销场景数据源!$A:$A,DW2)</f>
        <v>16.34</v>
      </c>
      <c r="DX47" s="95">
        <f>SUMIFS(营销场景数据源!$H:$H,营销场景数据源!$C:$C,$B$47,营销场景数据源!$A:$A,DX2)</f>
        <v>13.33</v>
      </c>
      <c r="DY47" s="95">
        <f>SUMIFS(营销场景数据源!$H:$H,营销场景数据源!$C:$C,$B$47,营销场景数据源!$A:$A,DY2)</f>
        <v>11.85</v>
      </c>
      <c r="DZ47" s="95">
        <f>SUMIFS(营销场景数据源!$H:$H,营销场景数据源!$C:$C,$B$47,营销场景数据源!$A:$A,DZ2)</f>
        <v>14.91</v>
      </c>
      <c r="EA47" s="95">
        <f>SUMIFS(营销场景数据源!$H:$H,营销场景数据源!$C:$C,$B$47,营销场景数据源!$A:$A,EA2)</f>
        <v>10.53</v>
      </c>
      <c r="EB47" s="95">
        <f>SUMIFS(营销场景数据源!$H:$H,营销场景数据源!$C:$C,$B$47,营销场景数据源!$A:$A,EB2)</f>
        <v>10.36</v>
      </c>
      <c r="EC47" s="95">
        <f>SUMIFS(营销场景数据源!$H:$H,营销场景数据源!$C:$C,$B$47,营销场景数据源!$A:$A,EC2)</f>
        <v>15.78</v>
      </c>
      <c r="ED47" s="95">
        <f>SUMIFS(营销场景数据源!$H:$H,营销场景数据源!$C:$C,$B$47,营销场景数据源!$A:$A,ED2)</f>
        <v>16.41</v>
      </c>
      <c r="EE47" s="95">
        <f>SUMIFS(营销场景数据源!$H:$H,营销场景数据源!$C:$C,$B$47,营销场景数据源!$A:$A,EE2)</f>
        <v>18</v>
      </c>
      <c r="EF47" s="95">
        <f>SUMIFS(营销场景数据源!$H:$H,营销场景数据源!$C:$C,$B$47,营销场景数据源!$A:$A,EF2)</f>
        <v>9.11</v>
      </c>
      <c r="EG47" s="95">
        <f>SUMIFS(营销场景数据源!$H:$H,营销场景数据源!$C:$C,$B$47,营销场景数据源!$A:$A,EG2)</f>
        <v>12.16</v>
      </c>
      <c r="EH47" s="95">
        <f>SUMIFS(营销场景数据源!$H:$H,营销场景数据源!$C:$C,$B$47,营销场景数据源!$A:$A,EH2)</f>
        <v>11.08</v>
      </c>
      <c r="EI47" s="95">
        <f>SUMIFS(营销场景数据源!$H:$H,营销场景数据源!$C:$C,$B$47,营销场景数据源!$A:$A,EI2)</f>
        <v>17.9</v>
      </c>
      <c r="EJ47" s="95">
        <f>SUMIFS(营销场景数据源!$H:$H,营销场景数据源!$C:$C,$B$47,营销场景数据源!$A:$A,EJ2)</f>
        <v>14.68</v>
      </c>
      <c r="EK47" s="65">
        <f>SUM(EL47:FP47)</f>
        <v>406.28</v>
      </c>
      <c r="EL47" s="95">
        <f>SUMIFS(营销场景数据源!$H:$H,营销场景数据源!$C:$C,$B$47,营销场景数据源!$A:$A,EL2)</f>
        <v>12.83</v>
      </c>
      <c r="EM47" s="95">
        <f>SUMIFS(营销场景数据源!$H:$H,营销场景数据源!$C:$C,$B$47,营销场景数据源!$A:$A,EM2)</f>
        <v>9.56</v>
      </c>
      <c r="EN47" s="95">
        <f>SUMIFS(营销场景数据源!$H:$H,营销场景数据源!$C:$C,$B$47,营销场景数据源!$A:$A,EN2)</f>
        <v>9.05</v>
      </c>
      <c r="EO47" s="95">
        <f>SUMIFS(营销场景数据源!$H:$H,营销场景数据源!$C:$C,$B$47,营销场景数据源!$A:$A,EO2)</f>
        <v>9.32</v>
      </c>
      <c r="EP47" s="95">
        <f>SUMIFS(营销场景数据源!$H:$H,营销场景数据源!$C:$C,$B$47,营销场景数据源!$A:$A,EP2)</f>
        <v>13.43</v>
      </c>
      <c r="EQ47" s="95">
        <f>SUMIFS(营销场景数据源!$H:$H,营销场景数据源!$C:$C,$B$47,营销场景数据源!$A:$A,EQ2)</f>
        <v>12.56</v>
      </c>
      <c r="ER47" s="95">
        <f>SUMIFS(营销场景数据源!$H:$H,营销场景数据源!$C:$C,$B$47,营销场景数据源!$A:$A,ER2)</f>
        <v>13.63</v>
      </c>
      <c r="ES47" s="95">
        <f>SUMIFS(营销场景数据源!$H:$H,营销场景数据源!$C:$C,$B$47,营销场景数据源!$A:$A,ES2)</f>
        <v>11.94</v>
      </c>
      <c r="ET47" s="95">
        <f>SUMIFS(营销场景数据源!$H:$H,营销场景数据源!$C:$C,$B$47,营销场景数据源!$A:$A,ET2)</f>
        <v>11.88</v>
      </c>
      <c r="EU47" s="95">
        <f>SUMIFS(营销场景数据源!$H:$H,营销场景数据源!$C:$C,$B$47,营销场景数据源!$A:$A,EU2)</f>
        <v>8.79</v>
      </c>
      <c r="EV47" s="95">
        <f>SUMIFS(营销场景数据源!$H:$H,营销场景数据源!$C:$C,$B$47,营销场景数据源!$A:$A,EV2)</f>
        <v>9.9</v>
      </c>
      <c r="EW47" s="95">
        <f>SUMIFS(营销场景数据源!$H:$H,营销场景数据源!$C:$C,$B$47,营销场景数据源!$A:$A,EW2)</f>
        <v>14.03</v>
      </c>
      <c r="EX47" s="95">
        <f>SUMIFS(营销场景数据源!$H:$H,营销场景数据源!$C:$C,$B$47,营销场景数据源!$A:$A,EX2)</f>
        <v>11.15</v>
      </c>
      <c r="EY47" s="95">
        <f>SUMIFS(营销场景数据源!$H:$H,营销场景数据源!$C:$C,$B$47,营销场景数据源!$A:$A,EY2)</f>
        <v>12.6</v>
      </c>
      <c r="EZ47" s="95">
        <f>SUMIFS(营销场景数据源!$H:$H,营销场景数据源!$C:$C,$B$47,营销场景数据源!$A:$A,EZ2)</f>
        <v>16.2</v>
      </c>
      <c r="FA47" s="95">
        <f>SUMIFS(营销场景数据源!$H:$H,营销场景数据源!$C:$C,$B$47,营销场景数据源!$A:$A,FA2)</f>
        <v>11.79</v>
      </c>
      <c r="FB47" s="95">
        <f>SUMIFS(营销场景数据源!$H:$H,营销场景数据源!$C:$C,$B$47,营销场景数据源!$A:$A,FB2)</f>
        <v>13.39</v>
      </c>
      <c r="FC47" s="95">
        <f>SUMIFS(营销场景数据源!$H:$H,营销场景数据源!$C:$C,$B$47,营销场景数据源!$A:$A,FC2)</f>
        <v>21.51</v>
      </c>
      <c r="FD47" s="95">
        <f>SUMIFS(营销场景数据源!$H:$H,营销场景数据源!$C:$C,$B$47,营销场景数据源!$A:$A,FD2)</f>
        <v>10.95</v>
      </c>
      <c r="FE47" s="95">
        <f>SUMIFS(营销场景数据源!$H:$H,营销场景数据源!$C:$C,$B$47,营销场景数据源!$A:$A,FE2)</f>
        <v>13.11</v>
      </c>
      <c r="FF47" s="95">
        <f>SUMIFS(营销场景数据源!$H:$H,营销场景数据源!$C:$C,$B$47,营销场景数据源!$A:$A,FF2)</f>
        <v>17.46</v>
      </c>
      <c r="FG47" s="95">
        <f>SUMIFS(营销场景数据源!$H:$H,营销场景数据源!$C:$C,$B$47,营销场景数据源!$A:$A,FG2)</f>
        <v>15.6</v>
      </c>
      <c r="FH47" s="95">
        <f>SUMIFS(营销场景数据源!$H:$H,营销场景数据源!$C:$C,$B$47,营销场景数据源!$A:$A,FH2)</f>
        <v>15.31</v>
      </c>
      <c r="FI47" s="95">
        <f>SUMIFS(营销场景数据源!$H:$H,营销场景数据源!$C:$C,$B$47,营销场景数据源!$A:$A,FI2)</f>
        <v>12.72</v>
      </c>
      <c r="FJ47" s="95">
        <f>SUMIFS(营销场景数据源!$H:$H,营销场景数据源!$C:$C,$B$47,营销场景数据源!$A:$A,FJ2)</f>
        <v>13.7</v>
      </c>
      <c r="FK47" s="95">
        <f>SUMIFS(营销场景数据源!$H:$H,营销场景数据源!$C:$C,$B$47,营销场景数据源!$A:$A,FK2)</f>
        <v>17.67</v>
      </c>
      <c r="FL47" s="95">
        <f>SUMIFS(营销场景数据源!$H:$H,营销场景数据源!$C:$C,$B$47,营销场景数据源!$A:$A,FL2)</f>
        <v>15.3</v>
      </c>
      <c r="FM47" s="95">
        <f>SUMIFS(营销场景数据源!$H:$H,营销场景数据源!$C:$C,$B$47,营销场景数据源!$A:$A,FM2)</f>
        <v>12.36</v>
      </c>
      <c r="FN47" s="95">
        <f>SUMIFS(营销场景数据源!$H:$H,营销场景数据源!$C:$C,$B$47,营销场景数据源!$A:$A,FN2)</f>
        <v>15.52</v>
      </c>
      <c r="FO47" s="95">
        <f>SUMIFS(营销场景数据源!$H:$H,营销场景数据源!$C:$C,$B$47,营销场景数据源!$A:$A,FO2)</f>
        <v>12.95</v>
      </c>
      <c r="FP47" s="95">
        <f>SUMIFS(营销场景数据源!$H:$H,营销场景数据源!$C:$C,$B$47,营销场景数据源!$A:$A,FP2)</f>
        <v>10.07</v>
      </c>
      <c r="FQ47" s="65">
        <f t="shared" ref="FQ47:FQ51" si="260">SUM(FR47:GX47)</f>
        <v>290.68</v>
      </c>
      <c r="FR47" s="95">
        <f>SUMIFS(营销场景数据源!$H:$H,营销场景数据源!$C:$C,$B$47,营销场景数据源!$A:$A,FR2)</f>
        <v>16.38</v>
      </c>
      <c r="FS47" s="95">
        <f>SUMIFS(营销场景数据源!$H:$H,营销场景数据源!$C:$C,$B$47,营销场景数据源!$A:$A,FS2)</f>
        <v>14.33</v>
      </c>
      <c r="FT47" s="95">
        <f>SUMIFS(营销场景数据源!$H:$H,营销场景数据源!$C:$C,$B$47,营销场景数据源!$A:$A,FT2)</f>
        <v>21.21</v>
      </c>
      <c r="FU47" s="95">
        <f>SUMIFS(营销场景数据源!$H:$H,营销场景数据源!$C:$C,$B$47,营销场景数据源!$A:$A,FU2)</f>
        <v>16.73</v>
      </c>
      <c r="FV47" s="95">
        <f>SUMIFS(营销场景数据源!$H:$H,营销场景数据源!$C:$C,$B$47,营销场景数据源!$A:$A,FV2)</f>
        <v>20.6</v>
      </c>
      <c r="FW47" s="95">
        <f>SUMIFS(营销场景数据源!$H:$H,营销场景数据源!$C:$C,$B$47,营销场景数据源!$A:$A,FW2)</f>
        <v>10.41</v>
      </c>
      <c r="FX47" s="95">
        <f>SUMIFS(营销场景数据源!$H:$H,营销场景数据源!$C:$C,$B$47,营销场景数据源!$A:$A,FX2)</f>
        <v>14.95</v>
      </c>
      <c r="FY47" s="95">
        <f>SUMIFS(营销场景数据源!$H:$H,营销场景数据源!$C:$C,$B$47,营销场景数据源!$A:$A,FY2)</f>
        <v>12.74</v>
      </c>
      <c r="FZ47" s="95">
        <f>SUMIFS(营销场景数据源!$H:$H,营销场景数据源!$C:$C,$B$47,营销场景数据源!$A:$A,FZ2)</f>
        <v>13.45</v>
      </c>
      <c r="GA47" s="95">
        <f>SUMIFS(营销场景数据源!$H:$H,营销场景数据源!$C:$C,$B$47,营销场景数据源!$A:$A,GA2)</f>
        <v>12.95</v>
      </c>
      <c r="GB47" s="95">
        <f>SUMIFS(营销场景数据源!$H:$H,营销场景数据源!$C:$C,$B$47,营销场景数据源!$A:$A,GB2)</f>
        <v>15.92</v>
      </c>
      <c r="GC47" s="95">
        <f>SUMIFS(营销场景数据源!$H:$H,营销场景数据源!$C:$C,$B$47,营销场景数据源!$A:$A,GC2)</f>
        <v>13.09</v>
      </c>
      <c r="GD47" s="95">
        <f>SUMIFS(营销场景数据源!$H:$H,营销场景数据源!$C:$C,$B$47,营销场景数据源!$A:$A,GD2)</f>
        <v>14.47</v>
      </c>
      <c r="GE47" s="95">
        <f>SUMIFS(营销场景数据源!$H:$H,营销场景数据源!$C:$C,$B$47,营销场景数据源!$A:$A,GE2)</f>
        <v>11.05</v>
      </c>
      <c r="GF47" s="95">
        <f>SUMIFS(营销场景数据源!$H:$H,营销场景数据源!$C:$C,$B$47,营销场景数据源!$A:$A,GF2)</f>
        <v>15.12</v>
      </c>
      <c r="GG47" s="95">
        <f>SUMIFS(营销场景数据源!$H:$H,营销场景数据源!$C:$C,$B$47,营销场景数据源!$A:$A,GG2)</f>
        <v>11.74</v>
      </c>
      <c r="GH47" s="95">
        <f>SUMIFS(营销场景数据源!$H:$H,营销场景数据源!$C:$C,$B$47,营销场景数据源!$A:$A,GH2)</f>
        <v>10.28</v>
      </c>
      <c r="GI47" s="95">
        <f>SUMIFS(营销场景数据源!$H:$H,营销场景数据源!$C:$C,$B$47,营销场景数据源!$A:$A,GI2)</f>
        <v>13.47</v>
      </c>
      <c r="GJ47" s="95">
        <f>SUMIFS(营销场景数据源!$H:$H,营销场景数据源!$C:$C,$B$47,营销场景数据源!$A:$A,GJ2)</f>
        <v>7.75</v>
      </c>
      <c r="GK47" s="95">
        <f>SUMIFS(营销场景数据源!$H:$H,营销场景数据源!$C:$C,$B$47,营销场景数据源!$A:$A,GK2)</f>
        <v>15.52</v>
      </c>
      <c r="GL47" s="95">
        <f>SUMIFS(营销场景数据源!$H:$H,营销场景数据源!$C:$C,$B$47,营销场景数据源!$A:$A,GL2)</f>
        <v>8.52</v>
      </c>
      <c r="GM47" s="95">
        <f>SUMIFS(营销场景数据源!$H:$H,营销场景数据源!$C:$C,$B$47,营销场景数据源!$A:$A,GM2)</f>
        <v>0</v>
      </c>
      <c r="GN47" s="95">
        <f>SUMIFS(营销场景数据源!$H:$H,营销场景数据源!$C:$C,$B$47,营销场景数据源!$A:$A,GN2)</f>
        <v>0</v>
      </c>
      <c r="GO47" s="95">
        <f>SUMIFS(营销场景数据源!$H:$H,营销场景数据源!$C:$C,$B$47,营销场景数据源!$A:$A,GO2)</f>
        <v>0</v>
      </c>
      <c r="GP47" s="95">
        <f>SUMIFS(营销场景数据源!$H:$H,营销场景数据源!$C:$C,$B$47,营销场景数据源!$A:$A,GP2)</f>
        <v>0</v>
      </c>
    </row>
    <row r="48" s="47" customFormat="1" ht="15" customHeight="1" spans="1:198">
      <c r="A48" s="107"/>
      <c r="B48" s="103"/>
      <c r="C48" s="104" t="s">
        <v>21</v>
      </c>
      <c r="D48" s="94" t="e">
        <f>SUM(E48:P48)</f>
        <v>#REF!</v>
      </c>
      <c r="E48" s="105" t="e">
        <f>#REF!</f>
        <v>#REF!</v>
      </c>
      <c r="F48" s="105" t="e">
        <f>#REF!</f>
        <v>#REF!</v>
      </c>
      <c r="G48" s="105" t="e">
        <f>#REF!</f>
        <v>#REF!</v>
      </c>
      <c r="H48" s="105" t="e">
        <f>#REF!</f>
        <v>#REF!</v>
      </c>
      <c r="I48" s="105" t="e">
        <f>#REF!</f>
        <v>#REF!</v>
      </c>
      <c r="J48" s="105" t="e">
        <f>#REF!</f>
        <v>#REF!</v>
      </c>
      <c r="K48" s="105" t="e">
        <f>#REF!</f>
        <v>#REF!</v>
      </c>
      <c r="L48" s="105" t="e">
        <f>#REF!</f>
        <v>#REF!</v>
      </c>
      <c r="M48" s="105" t="e">
        <f>#REF!</f>
        <v>#REF!</v>
      </c>
      <c r="N48" s="105" t="e">
        <f>#REF!</f>
        <v>#REF!</v>
      </c>
      <c r="O48" s="105" t="e">
        <f>#REF!</f>
        <v>#REF!</v>
      </c>
      <c r="P48" s="105" t="e">
        <f>#REF!</f>
        <v>#REF!</v>
      </c>
      <c r="Q48" s="65">
        <f>SUM(R48:AV48)</f>
        <v>825</v>
      </c>
      <c r="R48" s="95">
        <f>SUMIFS(营销场景数据源!$G:$G,营销场景数据源!$C:$C,$B$47,营销场景数据源!$A:$A,R2)</f>
        <v>15</v>
      </c>
      <c r="S48" s="95">
        <f>SUMIFS(营销场景数据源!$G:$G,营销场景数据源!$C:$C,$B$47,营销场景数据源!$A:$A,S2)</f>
        <v>16</v>
      </c>
      <c r="T48" s="95">
        <f>SUMIFS(营销场景数据源!$G:$G,营销场景数据源!$C:$C,$B$47,营销场景数据源!$A:$A,T2)</f>
        <v>11</v>
      </c>
      <c r="U48" s="95">
        <f>SUMIFS(营销场景数据源!$G:$G,营销场景数据源!$C:$C,$B$47,营销场景数据源!$A:$A,U2)</f>
        <v>23</v>
      </c>
      <c r="V48" s="95">
        <f>SUMIFS(营销场景数据源!$G:$G,营销场景数据源!$C:$C,$B$47,营销场景数据源!$A:$A,V2)</f>
        <v>14</v>
      </c>
      <c r="W48" s="95">
        <f>SUMIFS(营销场景数据源!$G:$G,营销场景数据源!$C:$C,$B$47,营销场景数据源!$A:$A,W2)</f>
        <v>14</v>
      </c>
      <c r="X48" s="95">
        <f>SUMIFS(营销场景数据源!$G:$G,营销场景数据源!$C:$C,$B$47,营销场景数据源!$A:$A,X2)</f>
        <v>33</v>
      </c>
      <c r="Y48" s="95">
        <f>SUMIFS(营销场景数据源!$G:$G,营销场景数据源!$C:$C,$B$47,营销场景数据源!$A:$A,Y2)</f>
        <v>22</v>
      </c>
      <c r="Z48" s="95">
        <f>SUMIFS(营销场景数据源!$G:$G,营销场景数据源!$C:$C,$B$47,营销场景数据源!$A:$A,Z2)</f>
        <v>36</v>
      </c>
      <c r="AA48" s="95">
        <f>SUMIFS(营销场景数据源!$G:$G,营销场景数据源!$C:$C,$B$47,营销场景数据源!$A:$A,AA2)</f>
        <v>22</v>
      </c>
      <c r="AB48" s="95">
        <f>SUMIFS(营销场景数据源!$G:$G,营销场景数据源!$C:$C,$B$47,营销场景数据源!$A:$A,AB2)</f>
        <v>20</v>
      </c>
      <c r="AC48" s="95">
        <f>SUMIFS(营销场景数据源!$G:$G,营销场景数据源!$C:$C,$B$47,营销场景数据源!$A:$A,AC2)</f>
        <v>20</v>
      </c>
      <c r="AD48" s="95">
        <f>SUMIFS(营销场景数据源!$G:$G,营销场景数据源!$C:$C,$B$47,营销场景数据源!$A:$A,AD2)</f>
        <v>25</v>
      </c>
      <c r="AE48" s="95">
        <f>SUMIFS(营销场景数据源!$G:$G,营销场景数据源!$C:$C,$B$47,营销场景数据源!$A:$A,AE2)</f>
        <v>16</v>
      </c>
      <c r="AF48" s="95">
        <f>SUMIFS(营销场景数据源!$G:$G,营销场景数据源!$C:$C,$B$47,营销场景数据源!$A:$A,AF2)</f>
        <v>24</v>
      </c>
      <c r="AG48" s="95">
        <f>SUMIFS(营销场景数据源!$G:$G,营销场景数据源!$C:$C,$B$47,营销场景数据源!$A:$A,AG2)</f>
        <v>29</v>
      </c>
      <c r="AH48" s="95">
        <f>SUMIFS(营销场景数据源!$G:$G,营销场景数据源!$C:$C,$B$47,营销场景数据源!$A:$A,AH2)</f>
        <v>17</v>
      </c>
      <c r="AI48" s="95">
        <f>SUMIFS(营销场景数据源!$G:$G,营销场景数据源!$C:$C,$B$47,营销场景数据源!$A:$A,AI2)</f>
        <v>18</v>
      </c>
      <c r="AJ48" s="95">
        <f>SUMIFS(营销场景数据源!$G:$G,营销场景数据源!$C:$C,$B$47,营销场景数据源!$A:$A,AJ2)</f>
        <v>23</v>
      </c>
      <c r="AK48" s="95">
        <f>SUMIFS(营销场景数据源!$G:$G,营销场景数据源!$C:$C,$B$47,营销场景数据源!$A:$A,AK2)</f>
        <v>24</v>
      </c>
      <c r="AL48" s="95">
        <f>SUMIFS(营销场景数据源!$G:$G,营销场景数据源!$C:$C,$B$47,营销场景数据源!$A:$A,AL2)</f>
        <v>19</v>
      </c>
      <c r="AM48" s="95">
        <f>SUMIFS(营销场景数据源!$G:$G,营销场景数据源!$C:$C,$B$47,营销场景数据源!$A:$A,AM2)</f>
        <v>29</v>
      </c>
      <c r="AN48" s="95">
        <f>SUMIFS(营销场景数据源!$G:$G,营销场景数据源!$C:$C,$B$47,营销场景数据源!$A:$A,AN2)</f>
        <v>41</v>
      </c>
      <c r="AO48" s="95">
        <f>SUMIFS(营销场景数据源!$G:$G,营销场景数据源!$C:$C,$B$47,营销场景数据源!$A:$A,AO2)</f>
        <v>32</v>
      </c>
      <c r="AP48" s="95">
        <f>SUMIFS(营销场景数据源!$G:$G,营销场景数据源!$C:$C,$B$47,营销场景数据源!$A:$A,AP2)</f>
        <v>26</v>
      </c>
      <c r="AQ48" s="95">
        <f>SUMIFS(营销场景数据源!$G:$G,营销场景数据源!$C:$C,$B$47,营销场景数据源!$A:$A,AQ2)</f>
        <v>21</v>
      </c>
      <c r="AR48" s="95">
        <f>SUMIFS(营销场景数据源!$G:$G,营销场景数据源!$C:$C,$B$47,营销场景数据源!$A:$A,AR2)</f>
        <v>46</v>
      </c>
      <c r="AS48" s="95">
        <f>SUMIFS(营销场景数据源!$G:$G,营销场景数据源!$C:$C,$B$47,营销场景数据源!$A:$A,AS2)</f>
        <v>45</v>
      </c>
      <c r="AT48" s="95">
        <f>SUMIFS(营销场景数据源!$G:$G,营销场景数据源!$C:$C,$B$47,营销场景数据源!$A:$A,AT2)</f>
        <v>64</v>
      </c>
      <c r="AU48" s="95">
        <f>SUMIFS(营销场景数据源!$G:$G,营销场景数据源!$C:$C,$B$47,营销场景数据源!$A:$A,AU2)</f>
        <v>47</v>
      </c>
      <c r="AV48" s="95">
        <f>SUMIFS(营销场景数据源!$G:$G,营销场景数据源!$C:$C,$B$47,营销场景数据源!$A:$A,AV2)</f>
        <v>33</v>
      </c>
      <c r="AW48" s="65">
        <f>SUM(AX48:BY48)</f>
        <v>812</v>
      </c>
      <c r="AX48" s="95">
        <f>SUMIFS(营销场景数据源!$G:$G,营销场景数据源!$C:$C,$B$47,营销场景数据源!$A:$A,AX2)</f>
        <v>40</v>
      </c>
      <c r="AY48" s="95">
        <f>SUMIFS(营销场景数据源!$G:$G,营销场景数据源!$C:$C,$B$47,营销场景数据源!$A:$A,AY2)</f>
        <v>30</v>
      </c>
      <c r="AZ48" s="95">
        <f>SUMIFS(营销场景数据源!$G:$G,营销场景数据源!$C:$C,$B$47,营销场景数据源!$A:$A,AZ2)</f>
        <v>28</v>
      </c>
      <c r="BA48" s="95">
        <f>SUMIFS(营销场景数据源!$G:$G,营销场景数据源!$C:$C,$B$47,营销场景数据源!$A:$A,BA2)</f>
        <v>54</v>
      </c>
      <c r="BB48" s="95">
        <f>SUMIFS(营销场景数据源!$G:$G,营销场景数据源!$C:$C,$B$47,营销场景数据源!$A:$A,BB2)</f>
        <v>33</v>
      </c>
      <c r="BC48" s="95">
        <f>SUMIFS(营销场景数据源!$G:$G,营销场景数据源!$C:$C,$B$47,营销场景数据源!$A:$A,BC2)</f>
        <v>47</v>
      </c>
      <c r="BD48" s="95">
        <f>SUMIFS(营销场景数据源!$G:$G,营销场景数据源!$C:$C,$B$47,营销场景数据源!$A:$A,BD2)</f>
        <v>21</v>
      </c>
      <c r="BE48" s="95">
        <f>SUMIFS(营销场景数据源!$G:$G,营销场景数据源!$C:$C,$B$47,营销场景数据源!$A:$A,BE2)</f>
        <v>36</v>
      </c>
      <c r="BF48" s="95">
        <f>SUMIFS(营销场景数据源!$G:$G,营销场景数据源!$C:$C,$B$47,营销场景数据源!$A:$A,BF2)</f>
        <v>29</v>
      </c>
      <c r="BG48" s="95">
        <f>SUMIFS(营销场景数据源!$G:$G,营销场景数据源!$C:$C,$B$47,营销场景数据源!$A:$A,BG2)</f>
        <v>41</v>
      </c>
      <c r="BH48" s="95">
        <f>SUMIFS(营销场景数据源!$G:$G,营销场景数据源!$C:$C,$B$47,营销场景数据源!$A:$A,BH2)</f>
        <v>30</v>
      </c>
      <c r="BI48" s="95">
        <f>SUMIFS(营销场景数据源!$G:$G,营销场景数据源!$C:$C,$B$47,营销场景数据源!$A:$A,BI2)</f>
        <v>31</v>
      </c>
      <c r="BJ48" s="95">
        <f>SUMIFS(营销场景数据源!$G:$G,营销场景数据源!$C:$C,$B$47,营销场景数据源!$A:$A,BJ2)</f>
        <v>44</v>
      </c>
      <c r="BK48" s="95">
        <f>SUMIFS(营销场景数据源!$G:$G,营销场景数据源!$C:$C,$B$47,营销场景数据源!$A:$A,BK2)</f>
        <v>23</v>
      </c>
      <c r="BL48" s="95">
        <f>SUMIFS(营销场景数据源!$G:$G,营销场景数据源!$C:$C,$B$47,营销场景数据源!$A:$A,BL2)</f>
        <v>23</v>
      </c>
      <c r="BM48" s="95">
        <f>SUMIFS(营销场景数据源!$G:$G,营销场景数据源!$C:$C,$B$47,营销场景数据源!$A:$A,BM2)</f>
        <v>9</v>
      </c>
      <c r="BN48" s="95">
        <f>SUMIFS(营销场景数据源!$G:$G,营销场景数据源!$C:$C,$B$47,营销场景数据源!$A:$A,BN2)</f>
        <v>11</v>
      </c>
      <c r="BO48" s="95">
        <f>SUMIFS(营销场景数据源!$G:$G,营销场景数据源!$C:$C,$B$47,营销场景数据源!$A:$A,BO2)</f>
        <v>18</v>
      </c>
      <c r="BP48" s="95">
        <f>SUMIFS(营销场景数据源!$G:$G,营销场景数据源!$C:$C,$B$47,营销场景数据源!$A:$A,BP2)</f>
        <v>24</v>
      </c>
      <c r="BQ48" s="95">
        <f>SUMIFS(营销场景数据源!$G:$G,营销场景数据源!$C:$C,$B$47,营销场景数据源!$A:$A,BQ2)</f>
        <v>24</v>
      </c>
      <c r="BR48" s="95">
        <f>SUMIFS(营销场景数据源!$G:$G,营销场景数据源!$C:$C,$B$47,营销场景数据源!$A:$A,BR2)</f>
        <v>27</v>
      </c>
      <c r="BS48" s="95">
        <f>SUMIFS(营销场景数据源!$G:$G,营销场景数据源!$C:$C,$B$47,营销场景数据源!$A:$A,BS2)</f>
        <v>29</v>
      </c>
      <c r="BT48" s="95">
        <f>SUMIFS(营销场景数据源!$G:$G,营销场景数据源!$C:$C,$B$47,营销场景数据源!$A:$A,BT2)</f>
        <v>20</v>
      </c>
      <c r="BU48" s="95">
        <f>SUMIFS(营销场景数据源!$G:$G,营销场景数据源!$C:$C,$B$47,营销场景数据源!$A:$A,BU2)</f>
        <v>23</v>
      </c>
      <c r="BV48" s="95">
        <f>SUMIFS(营销场景数据源!$G:$G,营销场景数据源!$C:$C,$B$47,营销场景数据源!$A:$A,BV2)</f>
        <v>29</v>
      </c>
      <c r="BW48" s="95">
        <f>SUMIFS(营销场景数据源!$G:$G,营销场景数据源!$C:$C,$B$47,营销场景数据源!$A:$A,BW2)</f>
        <v>22</v>
      </c>
      <c r="BX48" s="95">
        <f>SUMIFS(营销场景数据源!$G:$G,营销场景数据源!$C:$C,$B$47,营销场景数据源!$A:$A,BX2)</f>
        <v>24</v>
      </c>
      <c r="BY48" s="95">
        <f>SUMIFS(营销场景数据源!$G:$G,营销场景数据源!$C:$C,$B$47,营销场景数据源!$A:$A,BY2)</f>
        <v>42</v>
      </c>
      <c r="BZ48" s="65">
        <f>SUM(CA48:DE48)</f>
        <v>1312</v>
      </c>
      <c r="CA48" s="95">
        <f>SUMIFS(营销场景数据源!$G:$G,营销场景数据源!$C:$C,$B$47,营销场景数据源!$A:$A,CA2)</f>
        <v>28</v>
      </c>
      <c r="CB48" s="95">
        <f>SUMIFS(营销场景数据源!$G:$G,营销场景数据源!$C:$C,$B$47,营销场景数据源!$A:$A,CB2)</f>
        <v>22</v>
      </c>
      <c r="CC48" s="95">
        <f>SUMIFS(营销场景数据源!$G:$G,营销场景数据源!$C:$C,$B$47,营销场景数据源!$A:$A,CC2)</f>
        <v>49</v>
      </c>
      <c r="CD48" s="95">
        <f>SUMIFS(营销场景数据源!$G:$G,营销场景数据源!$C:$C,$B$47,营销场景数据源!$A:$A,CD2)</f>
        <v>50</v>
      </c>
      <c r="CE48" s="95">
        <f>SUMIFS(营销场景数据源!$G:$G,营销场景数据源!$C:$C,$B$47,营销场景数据源!$A:$A,CE2)</f>
        <v>48</v>
      </c>
      <c r="CF48" s="95">
        <f>SUMIFS(营销场景数据源!$G:$G,营销场景数据源!$C:$C,$B$47,营销场景数据源!$A:$A,CF2)</f>
        <v>36</v>
      </c>
      <c r="CG48" s="95">
        <f>SUMIFS(营销场景数据源!$G:$G,营销场景数据源!$C:$C,$B$47,营销场景数据源!$A:$A,CG2)</f>
        <v>37</v>
      </c>
      <c r="CH48" s="95">
        <f>SUMIFS(营销场景数据源!$G:$G,营销场景数据源!$C:$C,$B$47,营销场景数据源!$A:$A,CH2)</f>
        <v>97</v>
      </c>
      <c r="CI48" s="95">
        <f>SUMIFS(营销场景数据源!$G:$G,营销场景数据源!$C:$C,$B$47,营销场景数据源!$A:$A,CI2)</f>
        <v>53</v>
      </c>
      <c r="CJ48" s="95">
        <f>SUMIFS(营销场景数据源!$G:$G,营销场景数据源!$C:$C,$B$47,营销场景数据源!$A:$A,CJ2)</f>
        <v>53</v>
      </c>
      <c r="CK48" s="95">
        <f>SUMIFS(营销场景数据源!$G:$G,营销场景数据源!$C:$C,$B$47,营销场景数据源!$A:$A,CK2)</f>
        <v>67</v>
      </c>
      <c r="CL48" s="95">
        <f>SUMIFS(营销场景数据源!$G:$G,营销场景数据源!$C:$C,$B$47,营销场景数据源!$A:$A,CL2)</f>
        <v>45</v>
      </c>
      <c r="CM48" s="95">
        <f>SUMIFS(营销场景数据源!$G:$G,营销场景数据源!$C:$C,$B$47,营销场景数据源!$A:$A,CM2)</f>
        <v>42</v>
      </c>
      <c r="CN48" s="95">
        <f>SUMIFS(营销场景数据源!$G:$G,营销场景数据源!$C:$C,$B$47,营销场景数据源!$A:$A,CN2)</f>
        <v>95</v>
      </c>
      <c r="CO48" s="95">
        <f>SUMIFS(营销场景数据源!$G:$G,营销场景数据源!$C:$C,$B$47,营销场景数据源!$A:$A,CO2)</f>
        <v>50</v>
      </c>
      <c r="CP48" s="95">
        <f>SUMIFS(营销场景数据源!$G:$G,营销场景数据源!$C:$C,$B$47,营销场景数据源!$A:$A,CP2)</f>
        <v>21</v>
      </c>
      <c r="CQ48" s="95">
        <f>SUMIFS(营销场景数据源!$G:$G,营销场景数据源!$C:$C,$B$47,营销场景数据源!$A:$A,CQ2)</f>
        <v>38</v>
      </c>
      <c r="CR48" s="95">
        <f>SUMIFS(营销场景数据源!$G:$G,营销场景数据源!$C:$C,$B$47,营销场景数据源!$A:$A,CR2)</f>
        <v>64</v>
      </c>
      <c r="CS48" s="95">
        <f>SUMIFS(营销场景数据源!$G:$G,营销场景数据源!$C:$C,$B$47,营销场景数据源!$A:$A,CS2)</f>
        <v>43</v>
      </c>
      <c r="CT48" s="95">
        <f>SUMIFS(营销场景数据源!$G:$G,营销场景数据源!$C:$C,$B$47,营销场景数据源!$A:$A,CT2)</f>
        <v>43</v>
      </c>
      <c r="CU48" s="95">
        <f>SUMIFS(营销场景数据源!$G:$G,营销场景数据源!$C:$C,$B$47,营销场景数据源!$A:$A,CU2)</f>
        <v>79</v>
      </c>
      <c r="CV48" s="95">
        <f>SUMIFS(营销场景数据源!$G:$G,营销场景数据源!$C:$C,$B$47,营销场景数据源!$A:$A,CV2)</f>
        <v>66</v>
      </c>
      <c r="CW48" s="95">
        <f>SUMIFS(营销场景数据源!$G:$G,营销场景数据源!$C:$C,$B$47,营销场景数据源!$A:$A,CW2)</f>
        <v>23</v>
      </c>
      <c r="CX48" s="95">
        <f>SUMIFS(营销场景数据源!$G:$G,营销场景数据源!$C:$C,$B$47,营销场景数据源!$A:$A,CX2)</f>
        <v>19</v>
      </c>
      <c r="CY48" s="95">
        <f>SUMIFS(营销场景数据源!$G:$G,营销场景数据源!$C:$C,$B$47,营销场景数据源!$A:$A,CY2)</f>
        <v>27</v>
      </c>
      <c r="CZ48" s="95">
        <f>SUMIFS(营销场景数据源!$G:$G,营销场景数据源!$C:$C,$B$47,营销场景数据源!$A:$A,CZ2)</f>
        <v>25</v>
      </c>
      <c r="DA48" s="95">
        <f>SUMIFS(营销场景数据源!$G:$G,营销场景数据源!$C:$C,$B$47,营销场景数据源!$A:$A,DA2)</f>
        <v>21</v>
      </c>
      <c r="DB48" s="95">
        <f>SUMIFS(营销场景数据源!$G:$G,营销场景数据源!$C:$C,$B$47,营销场景数据源!$A:$A,DB2)</f>
        <v>17</v>
      </c>
      <c r="DC48" s="95">
        <f>SUMIFS(营销场景数据源!$G:$G,营销场景数据源!$C:$C,$B$47,营销场景数据源!$A:$A,DC2)</f>
        <v>16</v>
      </c>
      <c r="DD48" s="95">
        <f>SUMIFS(营销场景数据源!$G:$G,营销场景数据源!$C:$C,$B$47,营销场景数据源!$A:$A,DD2)</f>
        <v>21</v>
      </c>
      <c r="DE48" s="95">
        <f>SUMIFS(营销场景数据源!$G:$G,营销场景数据源!$C:$C,$B$47,营销场景数据源!$A:$A,DE2)</f>
        <v>17</v>
      </c>
      <c r="DF48" s="65">
        <f>SUM(DG48:EJ48)</f>
        <v>634</v>
      </c>
      <c r="DG48" s="95">
        <f>SUMIFS(营销场景数据源!$G:$G,营销场景数据源!$C:$C,$B$47,营销场景数据源!$A:$A,DG2)</f>
        <v>29</v>
      </c>
      <c r="DH48" s="95">
        <f>SUMIFS(营销场景数据源!$G:$G,营销场景数据源!$C:$C,$B$47,营销场景数据源!$A:$A,DH2)</f>
        <v>22</v>
      </c>
      <c r="DI48" s="95">
        <f>SUMIFS(营销场景数据源!$G:$G,营销场景数据源!$C:$C,$B$47,营销场景数据源!$A:$A,DI2)</f>
        <v>24</v>
      </c>
      <c r="DJ48" s="95">
        <f>SUMIFS(营销场景数据源!$G:$G,营销场景数据源!$C:$C,$B$47,营销场景数据源!$A:$A,DJ2)</f>
        <v>15</v>
      </c>
      <c r="DK48" s="95">
        <f>SUMIFS(营销场景数据源!$G:$G,营销场景数据源!$C:$C,$B$47,营销场景数据源!$A:$A,DK2)</f>
        <v>17</v>
      </c>
      <c r="DL48" s="95">
        <f>SUMIFS(营销场景数据源!$G:$G,营销场景数据源!$C:$C,$B$47,营销场景数据源!$A:$A,DL2)</f>
        <v>21</v>
      </c>
      <c r="DM48" s="95">
        <f>SUMIFS(营销场景数据源!$G:$G,营销场景数据源!$C:$C,$B$47,营销场景数据源!$A:$A,DM2)</f>
        <v>29</v>
      </c>
      <c r="DN48" s="95">
        <f>SUMIFS(营销场景数据源!$G:$G,营销场景数据源!$C:$C,$B$47,营销场景数据源!$A:$A,DN2)</f>
        <v>32</v>
      </c>
      <c r="DO48" s="95">
        <f>SUMIFS(营销场景数据源!$G:$G,营销场景数据源!$C:$C,$B$47,营销场景数据源!$A:$A,DO2)</f>
        <v>28</v>
      </c>
      <c r="DP48" s="95">
        <f>SUMIFS(营销场景数据源!$G:$G,营销场景数据源!$C:$C,$B$47,营销场景数据源!$A:$A,DP2)</f>
        <v>22</v>
      </c>
      <c r="DQ48" s="95">
        <f>SUMIFS(营销场景数据源!$G:$G,营销场景数据源!$C:$C,$B$47,营销场景数据源!$A:$A,DQ2)</f>
        <v>24</v>
      </c>
      <c r="DR48" s="95">
        <f>SUMIFS(营销场景数据源!$G:$G,营销场景数据源!$C:$C,$B$47,营销场景数据源!$A:$A,DR2)</f>
        <v>13</v>
      </c>
      <c r="DS48" s="95">
        <f>SUMIFS(营销场景数据源!$G:$G,营销场景数据源!$C:$C,$B$47,营销场景数据源!$A:$A,DS2)</f>
        <v>20</v>
      </c>
      <c r="DT48" s="95">
        <f>SUMIFS(营销场景数据源!$G:$G,营销场景数据源!$C:$C,$B$47,营销场景数据源!$A:$A,DT2)</f>
        <v>21</v>
      </c>
      <c r="DU48" s="95">
        <f>SUMIFS(营销场景数据源!$G:$G,营销场景数据源!$C:$C,$B$47,营销场景数据源!$A:$A,DU2)</f>
        <v>23</v>
      </c>
      <c r="DV48" s="95">
        <f>SUMIFS(营销场景数据源!$G:$G,营销场景数据源!$C:$C,$B$47,营销场景数据源!$A:$A,DV2)</f>
        <v>24</v>
      </c>
      <c r="DW48" s="95">
        <f>SUMIFS(营销场景数据源!$G:$G,营销场景数据源!$C:$C,$B$47,营销场景数据源!$A:$A,DW2)</f>
        <v>21</v>
      </c>
      <c r="DX48" s="95">
        <f>SUMIFS(营销场景数据源!$G:$G,营销场景数据源!$C:$C,$B$47,营销场景数据源!$A:$A,DX2)</f>
        <v>24</v>
      </c>
      <c r="DY48" s="95">
        <f>SUMIFS(营销场景数据源!$G:$G,营销场景数据源!$C:$C,$B$47,营销场景数据源!$A:$A,DY2)</f>
        <v>17</v>
      </c>
      <c r="DZ48" s="95">
        <f>SUMIFS(营销场景数据源!$G:$G,营销场景数据源!$C:$C,$B$47,营销场景数据源!$A:$A,DZ2)</f>
        <v>21</v>
      </c>
      <c r="EA48" s="95">
        <f>SUMIFS(营销场景数据源!$G:$G,营销场景数据源!$C:$C,$B$47,营销场景数据源!$A:$A,EA2)</f>
        <v>16</v>
      </c>
      <c r="EB48" s="95">
        <f>SUMIFS(营销场景数据源!$G:$G,营销场景数据源!$C:$C,$B$47,营销场景数据源!$A:$A,EB2)</f>
        <v>19</v>
      </c>
      <c r="EC48" s="95">
        <f>SUMIFS(营销场景数据源!$G:$G,营销场景数据源!$C:$C,$B$47,营销场景数据源!$A:$A,EC2)</f>
        <v>22</v>
      </c>
      <c r="ED48" s="95">
        <f>SUMIFS(营销场景数据源!$G:$G,营销场景数据源!$C:$C,$B$47,营销场景数据源!$A:$A,ED2)</f>
        <v>23</v>
      </c>
      <c r="EE48" s="95">
        <f>SUMIFS(营销场景数据源!$G:$G,营销场景数据源!$C:$C,$B$47,营销场景数据源!$A:$A,EE2)</f>
        <v>19</v>
      </c>
      <c r="EF48" s="95">
        <f>SUMIFS(营销场景数据源!$G:$G,营销场景数据源!$C:$C,$B$47,营销场景数据源!$A:$A,EF2)</f>
        <v>17</v>
      </c>
      <c r="EG48" s="95">
        <f>SUMIFS(营销场景数据源!$G:$G,营销场景数据源!$C:$C,$B$47,营销场景数据源!$A:$A,EG2)</f>
        <v>12</v>
      </c>
      <c r="EH48" s="95">
        <f>SUMIFS(营销场景数据源!$G:$G,营销场景数据源!$C:$C,$B$47,营销场景数据源!$A:$A,EH2)</f>
        <v>15</v>
      </c>
      <c r="EI48" s="95">
        <f>SUMIFS(营销场景数据源!$G:$G,营销场景数据源!$C:$C,$B$47,营销场景数据源!$A:$A,EI2)</f>
        <v>22</v>
      </c>
      <c r="EJ48" s="95">
        <f>SUMIFS(营销场景数据源!$G:$G,营销场景数据源!$C:$C,$B$47,营销场景数据源!$A:$A,EJ2)</f>
        <v>22</v>
      </c>
      <c r="EK48" s="65">
        <f>SUM(EL48:FP48)</f>
        <v>555</v>
      </c>
      <c r="EL48" s="95">
        <f>SUMIFS(营销场景数据源!$G:$G,营销场景数据源!$C:$C,$B$47,营销场景数据源!$A:$A,EL2)</f>
        <v>18</v>
      </c>
      <c r="EM48" s="95">
        <f>SUMIFS(营销场景数据源!$G:$G,营销场景数据源!$C:$C,$B$47,营销场景数据源!$A:$A,EM2)</f>
        <v>14</v>
      </c>
      <c r="EN48" s="95">
        <f>SUMIFS(营销场景数据源!$G:$G,营销场景数据源!$C:$C,$B$47,营销场景数据源!$A:$A,EN2)</f>
        <v>12</v>
      </c>
      <c r="EO48" s="95">
        <f>SUMIFS(营销场景数据源!$G:$G,营销场景数据源!$C:$C,$B$47,营销场景数据源!$A:$A,EO2)</f>
        <v>13</v>
      </c>
      <c r="EP48" s="95">
        <f>SUMIFS(营销场景数据源!$G:$G,营销场景数据源!$C:$C,$B$47,营销场景数据源!$A:$A,EP2)</f>
        <v>21</v>
      </c>
      <c r="EQ48" s="95">
        <f>SUMIFS(营销场景数据源!$G:$G,营销场景数据源!$C:$C,$B$47,营销场景数据源!$A:$A,EQ2)</f>
        <v>21</v>
      </c>
      <c r="ER48" s="95">
        <f>SUMIFS(营销场景数据源!$G:$G,营销场景数据源!$C:$C,$B$47,营销场景数据源!$A:$A,ER2)</f>
        <v>18</v>
      </c>
      <c r="ES48" s="95">
        <f>SUMIFS(营销场景数据源!$G:$G,营销场景数据源!$C:$C,$B$47,营销场景数据源!$A:$A,ES2)</f>
        <v>22</v>
      </c>
      <c r="ET48" s="95">
        <f>SUMIFS(营销场景数据源!$G:$G,营销场景数据源!$C:$C,$B$47,营销场景数据源!$A:$A,ET2)</f>
        <v>17</v>
      </c>
      <c r="EU48" s="95">
        <f>SUMIFS(营销场景数据源!$G:$G,营销场景数据源!$C:$C,$B$47,营销场景数据源!$A:$A,EU2)</f>
        <v>12</v>
      </c>
      <c r="EV48" s="95">
        <f>SUMIFS(营销场景数据源!$G:$G,营销场景数据源!$C:$C,$B$47,营销场景数据源!$A:$A,EV2)</f>
        <v>17</v>
      </c>
      <c r="EW48" s="95">
        <f>SUMIFS(营销场景数据源!$G:$G,营销场景数据源!$C:$C,$B$47,营销场景数据源!$A:$A,EW2)</f>
        <v>21</v>
      </c>
      <c r="EX48" s="95">
        <f>SUMIFS(营销场景数据源!$G:$G,营销场景数据源!$C:$C,$B$47,营销场景数据源!$A:$A,EX2)</f>
        <v>19</v>
      </c>
      <c r="EY48" s="95">
        <f>SUMIFS(营销场景数据源!$G:$G,营销场景数据源!$C:$C,$B$47,营销场景数据源!$A:$A,EY2)</f>
        <v>21</v>
      </c>
      <c r="EZ48" s="95">
        <f>SUMIFS(营销场景数据源!$G:$G,营销场景数据源!$C:$C,$B$47,营销场景数据源!$A:$A,EZ2)</f>
        <v>20</v>
      </c>
      <c r="FA48" s="95">
        <f>SUMIFS(营销场景数据源!$G:$G,营销场景数据源!$C:$C,$B$47,营销场景数据源!$A:$A,FA2)</f>
        <v>11</v>
      </c>
      <c r="FB48" s="95">
        <f>SUMIFS(营销场景数据源!$G:$G,营销场景数据源!$C:$C,$B$47,营销场景数据源!$A:$A,FB2)</f>
        <v>20</v>
      </c>
      <c r="FC48" s="95">
        <f>SUMIFS(营销场景数据源!$G:$G,营销场景数据源!$C:$C,$B$47,营销场景数据源!$A:$A,FC2)</f>
        <v>27</v>
      </c>
      <c r="FD48" s="95">
        <f>SUMIFS(营销场景数据源!$G:$G,营销场景数据源!$C:$C,$B$47,营销场景数据源!$A:$A,FD2)</f>
        <v>18</v>
      </c>
      <c r="FE48" s="95">
        <f>SUMIFS(营销场景数据源!$G:$G,营销场景数据源!$C:$C,$B$47,营销场景数据源!$A:$A,FE2)</f>
        <v>15</v>
      </c>
      <c r="FF48" s="95">
        <f>SUMIFS(营销场景数据源!$G:$G,营销场景数据源!$C:$C,$B$47,营销场景数据源!$A:$A,FF2)</f>
        <v>16</v>
      </c>
      <c r="FG48" s="95">
        <f>SUMIFS(营销场景数据源!$G:$G,营销场景数据源!$C:$C,$B$47,营销场景数据源!$A:$A,FG2)</f>
        <v>24</v>
      </c>
      <c r="FH48" s="95">
        <f>SUMIFS(营销场景数据源!$G:$G,营销场景数据源!$C:$C,$B$47,营销场景数据源!$A:$A,FH2)</f>
        <v>18</v>
      </c>
      <c r="FI48" s="95">
        <f>SUMIFS(营销场景数据源!$G:$G,营销场景数据源!$C:$C,$B$47,营销场景数据源!$A:$A,FI2)</f>
        <v>15</v>
      </c>
      <c r="FJ48" s="95">
        <f>SUMIFS(营销场景数据源!$G:$G,营销场景数据源!$C:$C,$B$47,营销场景数据源!$A:$A,FJ2)</f>
        <v>18</v>
      </c>
      <c r="FK48" s="95">
        <f>SUMIFS(营销场景数据源!$G:$G,营销场景数据源!$C:$C,$B$47,营销场景数据源!$A:$A,FK2)</f>
        <v>21</v>
      </c>
      <c r="FL48" s="95">
        <f>SUMIFS(营销场景数据源!$G:$G,营销场景数据源!$C:$C,$B$47,营销场景数据源!$A:$A,FL2)</f>
        <v>18</v>
      </c>
      <c r="FM48" s="95">
        <f>SUMIFS(营销场景数据源!$G:$G,营销场景数据源!$C:$C,$B$47,营销场景数据源!$A:$A,FM2)</f>
        <v>11</v>
      </c>
      <c r="FN48" s="95">
        <f>SUMIFS(营销场景数据源!$G:$G,营销场景数据源!$C:$C,$B$47,营销场景数据源!$A:$A,FN2)</f>
        <v>25</v>
      </c>
      <c r="FO48" s="95">
        <f>SUMIFS(营销场景数据源!$G:$G,营销场景数据源!$C:$C,$B$47,营销场景数据源!$A:$A,FO2)</f>
        <v>17</v>
      </c>
      <c r="FP48" s="95">
        <f>SUMIFS(营销场景数据源!$G:$G,营销场景数据源!$C:$C,$B$47,营销场景数据源!$A:$A,FP2)</f>
        <v>15</v>
      </c>
      <c r="FQ48" s="65">
        <f t="shared" si="260"/>
        <v>350</v>
      </c>
      <c r="FR48" s="95">
        <f>SUMIFS(营销场景数据源!$G:$G,营销场景数据源!$C:$C,$B$47,营销场景数据源!$A:$A,FR2)</f>
        <v>23</v>
      </c>
      <c r="FS48" s="95">
        <f>SUMIFS(营销场景数据源!$G:$G,营销场景数据源!$C:$C,$B$47,营销场景数据源!$A:$A,FS2)</f>
        <v>20</v>
      </c>
      <c r="FT48" s="95">
        <f>SUMIFS(营销场景数据源!$G:$G,营销场景数据源!$C:$C,$B$47,营销场景数据源!$A:$A,FT2)</f>
        <v>25</v>
      </c>
      <c r="FU48" s="95">
        <f>SUMIFS(营销场景数据源!$G:$G,营销场景数据源!$C:$C,$B$47,营销场景数据源!$A:$A,FU2)</f>
        <v>22</v>
      </c>
      <c r="FV48" s="95">
        <f>SUMIFS(营销场景数据源!$G:$G,营销场景数据源!$C:$C,$B$47,营销场景数据源!$A:$A,FV2)</f>
        <v>23</v>
      </c>
      <c r="FW48" s="95">
        <f>SUMIFS(营销场景数据源!$G:$G,营销场景数据源!$C:$C,$B$47,营销场景数据源!$A:$A,FW2)</f>
        <v>16</v>
      </c>
      <c r="FX48" s="95">
        <f>SUMIFS(营销场景数据源!$G:$G,营销场景数据源!$C:$C,$B$47,营销场景数据源!$A:$A,FX2)</f>
        <v>23</v>
      </c>
      <c r="FY48" s="95">
        <f>SUMIFS(营销场景数据源!$G:$G,营销场景数据源!$C:$C,$B$47,营销场景数据源!$A:$A,FY2)</f>
        <v>21</v>
      </c>
      <c r="FZ48" s="95">
        <f>SUMIFS(营销场景数据源!$G:$G,营销场景数据源!$C:$C,$B$47,营销场景数据源!$A:$A,FZ2)</f>
        <v>17</v>
      </c>
      <c r="GA48" s="95">
        <f>SUMIFS(营销场景数据源!$G:$G,营销场景数据源!$C:$C,$B$47,营销场景数据源!$A:$A,GA2)</f>
        <v>12</v>
      </c>
      <c r="GB48" s="95">
        <f>SUMIFS(营销场景数据源!$G:$G,营销场景数据源!$C:$C,$B$47,营销场景数据源!$A:$A,GB2)</f>
        <v>16</v>
      </c>
      <c r="GC48" s="95">
        <f>SUMIFS(营销场景数据源!$G:$G,营销场景数据源!$C:$C,$B$47,营销场景数据源!$A:$A,GC2)</f>
        <v>17</v>
      </c>
      <c r="GD48" s="95">
        <f>SUMIFS(营销场景数据源!$G:$G,营销场景数据源!$C:$C,$B$47,营销场景数据源!$A:$A,GD2)</f>
        <v>15</v>
      </c>
      <c r="GE48" s="95">
        <f>SUMIFS(营销场景数据源!$G:$G,营销场景数据源!$C:$C,$B$47,营销场景数据源!$A:$A,GE2)</f>
        <v>13</v>
      </c>
      <c r="GF48" s="95">
        <f>SUMIFS(营销场景数据源!$G:$G,营销场景数据源!$C:$C,$B$47,营销场景数据源!$A:$A,GF2)</f>
        <v>11</v>
      </c>
      <c r="GG48" s="95">
        <f>SUMIFS(营销场景数据源!$G:$G,营销场景数据源!$C:$C,$B$47,营销场景数据源!$A:$A,GG2)</f>
        <v>11</v>
      </c>
      <c r="GH48" s="95">
        <f>SUMIFS(营销场景数据源!$G:$G,营销场景数据源!$C:$C,$B$47,营销场景数据源!$A:$A,GH2)</f>
        <v>16</v>
      </c>
      <c r="GI48" s="95">
        <f>SUMIFS(营销场景数据源!$G:$G,营销场景数据源!$C:$C,$B$47,营销场景数据源!$A:$A,GI2)</f>
        <v>14</v>
      </c>
      <c r="GJ48" s="95">
        <f>SUMIFS(营销场景数据源!$G:$G,营销场景数据源!$C:$C,$B$47,营销场景数据源!$A:$A,GJ2)</f>
        <v>5</v>
      </c>
      <c r="GK48" s="95">
        <f>SUMIFS(营销场景数据源!$G:$G,营销场景数据源!$C:$C,$B$47,营销场景数据源!$A:$A,GK2)</f>
        <v>16</v>
      </c>
      <c r="GL48" s="95">
        <f>SUMIFS(营销场景数据源!$G:$G,营销场景数据源!$C:$C,$B$47,营销场景数据源!$A:$A,GL2)</f>
        <v>14</v>
      </c>
      <c r="GM48" s="95">
        <f>SUMIFS(营销场景数据源!$G:$G,营销场景数据源!$C:$C,$B$47,营销场景数据源!$A:$A,GM2)</f>
        <v>0</v>
      </c>
      <c r="GN48" s="95">
        <f>SUMIFS(营销场景数据源!$G:$G,营销场景数据源!$C:$C,$B$47,营销场景数据源!$A:$A,GN2)</f>
        <v>0</v>
      </c>
      <c r="GO48" s="95">
        <f>SUMIFS(营销场景数据源!$G:$G,营销场景数据源!$C:$C,$B$47,营销场景数据源!$A:$A,GO2)</f>
        <v>0</v>
      </c>
      <c r="GP48" s="95">
        <f>SUMIFS(营销场景数据源!$G:$G,营销场景数据源!$C:$C,$B$47,营销场景数据源!$A:$A,GP2)</f>
        <v>0</v>
      </c>
    </row>
    <row r="49" s="47" customFormat="1" ht="15" customHeight="1" spans="1:198">
      <c r="A49" s="106"/>
      <c r="B49" s="103"/>
      <c r="C49" s="104" t="s">
        <v>23</v>
      </c>
      <c r="D49" s="94" t="e">
        <f>SUM(E49:P49)</f>
        <v>#REF!</v>
      </c>
      <c r="E49" s="105" t="e">
        <f>#REF!</f>
        <v>#REF!</v>
      </c>
      <c r="F49" s="105" t="e">
        <f>#REF!</f>
        <v>#REF!</v>
      </c>
      <c r="G49" s="105" t="e">
        <f>#REF!</f>
        <v>#REF!</v>
      </c>
      <c r="H49" s="105" t="e">
        <f>#REF!</f>
        <v>#REF!</v>
      </c>
      <c r="I49" s="105" t="e">
        <f>#REF!</f>
        <v>#REF!</v>
      </c>
      <c r="J49" s="105" t="e">
        <f>#REF!</f>
        <v>#REF!</v>
      </c>
      <c r="K49" s="105" t="e">
        <f>#REF!</f>
        <v>#REF!</v>
      </c>
      <c r="L49" s="105" t="e">
        <f>#REF!</f>
        <v>#REF!</v>
      </c>
      <c r="M49" s="105" t="e">
        <f>#REF!</f>
        <v>#REF!</v>
      </c>
      <c r="N49" s="105" t="e">
        <f>#REF!</f>
        <v>#REF!</v>
      </c>
      <c r="O49" s="105" t="e">
        <f>#REF!</f>
        <v>#REF!</v>
      </c>
      <c r="P49" s="105" t="e">
        <f>#REF!</f>
        <v>#REF!</v>
      </c>
      <c r="Q49" s="65">
        <f>SUM(R49:AV49)</f>
        <v>153</v>
      </c>
      <c r="R49" s="95">
        <f>SUMIFS(营销场景数据源!$AB:$AB,营销场景数据源!$C:$C,$B$47,营销场景数据源!$A:$A,R2)</f>
        <v>2</v>
      </c>
      <c r="S49" s="95">
        <f>SUMIFS(营销场景数据源!$AB:$AB,营销场景数据源!$C:$C,$B$47,营销场景数据源!$A:$A,S2)</f>
        <v>3</v>
      </c>
      <c r="T49" s="95">
        <f>SUMIFS(营销场景数据源!$AB:$AB,营销场景数据源!$C:$C,$B$47,营销场景数据源!$A:$A,T2)</f>
        <v>0</v>
      </c>
      <c r="U49" s="95">
        <f>SUMIFS(营销场景数据源!$AB:$AB,营销场景数据源!$C:$C,$B$47,营销场景数据源!$A:$A,U2)</f>
        <v>7</v>
      </c>
      <c r="V49" s="95">
        <f>SUMIFS(营销场景数据源!$AB:$AB,营销场景数据源!$C:$C,$B$47,营销场景数据源!$A:$A,V2)</f>
        <v>1</v>
      </c>
      <c r="W49" s="95">
        <f>SUMIFS(营销场景数据源!$AB:$AB,营销场景数据源!$C:$C,$B$47,营销场景数据源!$A:$A,W2)</f>
        <v>6</v>
      </c>
      <c r="X49" s="95">
        <f>SUMIFS(营销场景数据源!$AB:$AB,营销场景数据源!$C:$C,$B$47,营销场景数据源!$A:$A,X2)</f>
        <v>2</v>
      </c>
      <c r="Y49" s="95">
        <f>SUMIFS(营销场景数据源!$AB:$AB,营销场景数据源!$C:$C,$B$47,营销场景数据源!$A:$A,Y2)</f>
        <v>2</v>
      </c>
      <c r="Z49" s="95">
        <f>SUMIFS(营销场景数据源!$AB:$AB,营销场景数据源!$C:$C,$B$47,营销场景数据源!$A:$A,Z2)</f>
        <v>12</v>
      </c>
      <c r="AA49" s="95">
        <f>SUMIFS(营销场景数据源!$AB:$AB,营销场景数据源!$C:$C,$B$47,营销场景数据源!$A:$A,AA2)</f>
        <v>5</v>
      </c>
      <c r="AB49" s="95">
        <f>SUMIFS(营销场景数据源!$AB:$AB,营销场景数据源!$C:$C,$B$47,营销场景数据源!$A:$A,AB2)</f>
        <v>0</v>
      </c>
      <c r="AC49" s="95">
        <f>SUMIFS(营销场景数据源!$AB:$AB,营销场景数据源!$C:$C,$B$47,营销场景数据源!$A:$A,AC2)</f>
        <v>2</v>
      </c>
      <c r="AD49" s="95">
        <f>SUMIFS(营销场景数据源!$AB:$AB,营销场景数据源!$C:$C,$B$47,营销场景数据源!$A:$A,AD2)</f>
        <v>6</v>
      </c>
      <c r="AE49" s="95">
        <f>SUMIFS(营销场景数据源!$AB:$AB,营销场景数据源!$C:$C,$B$47,营销场景数据源!$A:$A,AE2)</f>
        <v>0</v>
      </c>
      <c r="AF49" s="95">
        <f>SUMIFS(营销场景数据源!$AB:$AB,营销场景数据源!$C:$C,$B$47,营销场景数据源!$A:$A,AF2)</f>
        <v>11</v>
      </c>
      <c r="AG49" s="95">
        <f>SUMIFS(营销场景数据源!$AB:$AB,营销场景数据源!$C:$C,$B$47,营销场景数据源!$A:$A,AG2)</f>
        <v>1</v>
      </c>
      <c r="AH49" s="95">
        <f>SUMIFS(营销场景数据源!$AB:$AB,营销场景数据源!$C:$C,$B$47,营销场景数据源!$A:$A,AH2)</f>
        <v>3</v>
      </c>
      <c r="AI49" s="95">
        <f>SUMIFS(营销场景数据源!$AB:$AB,营销场景数据源!$C:$C,$B$47,营销场景数据源!$A:$A,AI2)</f>
        <v>2</v>
      </c>
      <c r="AJ49" s="95">
        <f>SUMIFS(营销场景数据源!$AB:$AB,营销场景数据源!$C:$C,$B$47,营销场景数据源!$A:$A,AJ2)</f>
        <v>1</v>
      </c>
      <c r="AK49" s="95">
        <f>SUMIFS(营销场景数据源!$AB:$AB,营销场景数据源!$C:$C,$B$47,营销场景数据源!$A:$A,AK2)</f>
        <v>1</v>
      </c>
      <c r="AL49" s="95">
        <f>SUMIFS(营销场景数据源!$AB:$AB,营销场景数据源!$C:$C,$B$47,营销场景数据源!$A:$A,AL2)</f>
        <v>3</v>
      </c>
      <c r="AM49" s="95">
        <f>SUMIFS(营销场景数据源!$AB:$AB,营销场景数据源!$C:$C,$B$47,营销场景数据源!$A:$A,AM2)</f>
        <v>2</v>
      </c>
      <c r="AN49" s="95">
        <f>SUMIFS(营销场景数据源!$AB:$AB,营销场景数据源!$C:$C,$B$47,营销场景数据源!$A:$A,AN2)</f>
        <v>5</v>
      </c>
      <c r="AO49" s="95">
        <f>SUMIFS(营销场景数据源!$AB:$AB,营销场景数据源!$C:$C,$B$47,营销场景数据源!$A:$A,AO2)</f>
        <v>16</v>
      </c>
      <c r="AP49" s="95">
        <f>SUMIFS(营销场景数据源!$AB:$AB,营销场景数据源!$C:$C,$B$47,营销场景数据源!$A:$A,AP2)</f>
        <v>4</v>
      </c>
      <c r="AQ49" s="95">
        <f>SUMIFS(营销场景数据源!$AB:$AB,营销场景数据源!$C:$C,$B$47,营销场景数据源!$A:$A,AQ2)</f>
        <v>2</v>
      </c>
      <c r="AR49" s="95">
        <f>SUMIFS(营销场景数据源!$AB:$AB,营销场景数据源!$C:$C,$B$47,营销场景数据源!$A:$A,AR2)</f>
        <v>6</v>
      </c>
      <c r="AS49" s="95">
        <f>SUMIFS(营销场景数据源!$AB:$AB,营销场景数据源!$C:$C,$B$47,营销场景数据源!$A:$A,AS2)</f>
        <v>13</v>
      </c>
      <c r="AT49" s="95">
        <f>SUMIFS(营销场景数据源!$AB:$AB,营销场景数据源!$C:$C,$B$47,营销场景数据源!$A:$A,AT2)</f>
        <v>9</v>
      </c>
      <c r="AU49" s="95">
        <f>SUMIFS(营销场景数据源!$AB:$AB,营销场景数据源!$C:$C,$B$47,营销场景数据源!$A:$A,AU2)</f>
        <v>10</v>
      </c>
      <c r="AV49" s="95">
        <f>SUMIFS(营销场景数据源!$AB:$AB,营销场景数据源!$C:$C,$B$47,营销场景数据源!$A:$A,AV2)</f>
        <v>16</v>
      </c>
      <c r="AW49" s="65">
        <f>SUM(AX49:BY49)</f>
        <v>185</v>
      </c>
      <c r="AX49" s="95">
        <f>SUMIFS(营销场景数据源!$AB:$AB,营销场景数据源!$C:$C,$B$47,营销场景数据源!$A:$A,AX2)</f>
        <v>21</v>
      </c>
      <c r="AY49" s="95">
        <f>SUMIFS(营销场景数据源!$AB:$AB,营销场景数据源!$C:$C,$B$47,营销场景数据源!$A:$A,AY2)</f>
        <v>1</v>
      </c>
      <c r="AZ49" s="95">
        <f>SUMIFS(营销场景数据源!$AB:$AB,营销场景数据源!$C:$C,$B$47,营销场景数据源!$A:$A,AZ2)</f>
        <v>4</v>
      </c>
      <c r="BA49" s="95">
        <f>SUMIFS(营销场景数据源!$AB:$AB,营销场景数据源!$C:$C,$B$47,营销场景数据源!$A:$A,BA2)</f>
        <v>8</v>
      </c>
      <c r="BB49" s="95">
        <f>SUMIFS(营销场景数据源!$AB:$AB,营销场景数据源!$C:$C,$B$47,营销场景数据源!$A:$A,BB2)</f>
        <v>3</v>
      </c>
      <c r="BC49" s="95">
        <f>SUMIFS(营销场景数据源!$AB:$AB,营销场景数据源!$C:$C,$B$47,营销场景数据源!$A:$A,BC2)</f>
        <v>21</v>
      </c>
      <c r="BD49" s="95">
        <f>SUMIFS(营销场景数据源!$AB:$AB,营销场景数据源!$C:$C,$B$47,营销场景数据源!$A:$A,BD2)</f>
        <v>8</v>
      </c>
      <c r="BE49" s="95">
        <f>SUMIFS(营销场景数据源!$AB:$AB,营销场景数据源!$C:$C,$B$47,营销场景数据源!$A:$A,BE2)</f>
        <v>8</v>
      </c>
      <c r="BF49" s="95">
        <f>SUMIFS(营销场景数据源!$AB:$AB,营销场景数据源!$C:$C,$B$47,营销场景数据源!$A:$A,BF2)</f>
        <v>4</v>
      </c>
      <c r="BG49" s="95">
        <f>SUMIFS(营销场景数据源!$AB:$AB,营销场景数据源!$C:$C,$B$47,营销场景数据源!$A:$A,BG2)</f>
        <v>6</v>
      </c>
      <c r="BH49" s="95">
        <f>SUMIFS(营销场景数据源!$AB:$AB,营销场景数据源!$C:$C,$B$47,营销场景数据源!$A:$A,BH2)</f>
        <v>8</v>
      </c>
      <c r="BI49" s="95">
        <f>SUMIFS(营销场景数据源!$AB:$AB,营销场景数据源!$C:$C,$B$47,营销场景数据源!$A:$A,BI2)</f>
        <v>5</v>
      </c>
      <c r="BJ49" s="95">
        <f>SUMIFS(营销场景数据源!$AB:$AB,营销场景数据源!$C:$C,$B$47,营销场景数据源!$A:$A,BJ2)</f>
        <v>4</v>
      </c>
      <c r="BK49" s="95">
        <f>SUMIFS(营销场景数据源!$AB:$AB,营销场景数据源!$C:$C,$B$47,营销场景数据源!$A:$A,BK2)</f>
        <v>4</v>
      </c>
      <c r="BL49" s="95">
        <f>SUMIFS(营销场景数据源!$AB:$AB,营销场景数据源!$C:$C,$B$47,营销场景数据源!$A:$A,BL2)</f>
        <v>6</v>
      </c>
      <c r="BM49" s="95">
        <f>SUMIFS(营销场景数据源!$AB:$AB,营销场景数据源!$C:$C,$B$47,营销场景数据源!$A:$A,BM2)</f>
        <v>2</v>
      </c>
      <c r="BN49" s="95">
        <f>SUMIFS(营销场景数据源!$AB:$AB,营销场景数据源!$C:$C,$B$47,营销场景数据源!$A:$A,BN2)</f>
        <v>0</v>
      </c>
      <c r="BO49" s="95">
        <f>SUMIFS(营销场景数据源!$AB:$AB,营销场景数据源!$C:$C,$B$47,营销场景数据源!$A:$A,BO2)</f>
        <v>4</v>
      </c>
      <c r="BP49" s="95">
        <f>SUMIFS(营销场景数据源!$AB:$AB,营销场景数据源!$C:$C,$B$47,营销场景数据源!$A:$A,BP2)</f>
        <v>4</v>
      </c>
      <c r="BQ49" s="95">
        <f>SUMIFS(营销场景数据源!$AB:$AB,营销场景数据源!$C:$C,$B$47,营销场景数据源!$A:$A,BQ2)</f>
        <v>6</v>
      </c>
      <c r="BR49" s="95">
        <f>SUMIFS(营销场景数据源!$AB:$AB,营销场景数据源!$C:$C,$B$47,营销场景数据源!$A:$A,BR2)</f>
        <v>8</v>
      </c>
      <c r="BS49" s="95">
        <f>SUMIFS(营销场景数据源!$AB:$AB,营销场景数据源!$C:$C,$B$47,营销场景数据源!$A:$A,BS2)</f>
        <v>11</v>
      </c>
      <c r="BT49" s="95">
        <f>SUMIFS(营销场景数据源!$AB:$AB,营销场景数据源!$C:$C,$B$47,营销场景数据源!$A:$A,BT2)</f>
        <v>6</v>
      </c>
      <c r="BU49" s="95">
        <f>SUMIFS(营销场景数据源!$AB:$AB,营销场景数据源!$C:$C,$B$47,营销场景数据源!$A:$A,BU2)</f>
        <v>4</v>
      </c>
      <c r="BV49" s="95">
        <f>SUMIFS(营销场景数据源!$AB:$AB,营销场景数据源!$C:$C,$B$47,营销场景数据源!$A:$A,BV2)</f>
        <v>5</v>
      </c>
      <c r="BW49" s="95">
        <f>SUMIFS(营销场景数据源!$AB:$AB,营销场景数据源!$C:$C,$B$47,营销场景数据源!$A:$A,BW2)</f>
        <v>0</v>
      </c>
      <c r="BX49" s="95">
        <f>SUMIFS(营销场景数据源!$AB:$AB,营销场景数据源!$C:$C,$B$47,营销场景数据源!$A:$A,BX2)</f>
        <v>14</v>
      </c>
      <c r="BY49" s="95">
        <f>SUMIFS(营销场景数据源!$AB:$AB,营销场景数据源!$C:$C,$B$47,营销场景数据源!$A:$A,BY2)</f>
        <v>10</v>
      </c>
      <c r="BZ49" s="65">
        <f>SUM(CA49:DE49)</f>
        <v>336</v>
      </c>
      <c r="CA49" s="95">
        <f>SUMIFS(营销场景数据源!$AB:$AB,营销场景数据源!$C:$C,$B$47,营销场景数据源!$A:$A,CA2)</f>
        <v>11</v>
      </c>
      <c r="CB49" s="95">
        <f>SUMIFS(营销场景数据源!$AB:$AB,营销场景数据源!$C:$C,$B$47,营销场景数据源!$A:$A,CB2)</f>
        <v>4</v>
      </c>
      <c r="CC49" s="95">
        <f>SUMIFS(营销场景数据源!$AB:$AB,营销场景数据源!$C:$C,$B$47,营销场景数据源!$A:$A,CC2)</f>
        <v>12</v>
      </c>
      <c r="CD49" s="95">
        <f>SUMIFS(营销场景数据源!$AB:$AB,营销场景数据源!$C:$C,$B$47,营销场景数据源!$A:$A,CD2)</f>
        <v>9</v>
      </c>
      <c r="CE49" s="95">
        <f>SUMIFS(营销场景数据源!$AB:$AB,营销场景数据源!$C:$C,$B$47,营销场景数据源!$A:$A,CE2)</f>
        <v>7</v>
      </c>
      <c r="CF49" s="95">
        <f>SUMIFS(营销场景数据源!$AB:$AB,营销场景数据源!$C:$C,$B$47,营销场景数据源!$A:$A,CF2)</f>
        <v>5</v>
      </c>
      <c r="CG49" s="95">
        <f>SUMIFS(营销场景数据源!$AB:$AB,营销场景数据源!$C:$C,$B$47,营销场景数据源!$A:$A,CG2)</f>
        <v>12</v>
      </c>
      <c r="CH49" s="95">
        <f>SUMIFS(营销场景数据源!$AB:$AB,营销场景数据源!$C:$C,$B$47,营销场景数据源!$A:$A,CH2)</f>
        <v>23</v>
      </c>
      <c r="CI49" s="95">
        <f>SUMIFS(营销场景数据源!$AB:$AB,营销场景数据源!$C:$C,$B$47,营销场景数据源!$A:$A,CI2)</f>
        <v>9</v>
      </c>
      <c r="CJ49" s="95">
        <f>SUMIFS(营销场景数据源!$AB:$AB,营销场景数据源!$C:$C,$B$47,营销场景数据源!$A:$A,CJ2)</f>
        <v>12</v>
      </c>
      <c r="CK49" s="95">
        <f>SUMIFS(营销场景数据源!$AB:$AB,营销场景数据源!$C:$C,$B$47,营销场景数据源!$A:$A,CK2)</f>
        <v>19</v>
      </c>
      <c r="CL49" s="95">
        <f>SUMIFS(营销场景数据源!$AB:$AB,营销场景数据源!$C:$C,$B$47,营销场景数据源!$A:$A,CL2)</f>
        <v>9</v>
      </c>
      <c r="CM49" s="95">
        <f>SUMIFS(营销场景数据源!$AB:$AB,营销场景数据源!$C:$C,$B$47,营销场景数据源!$A:$A,CM2)</f>
        <v>11</v>
      </c>
      <c r="CN49" s="95">
        <f>SUMIFS(营销场景数据源!$AB:$AB,营销场景数据源!$C:$C,$B$47,营销场景数据源!$A:$A,CN2)</f>
        <v>35</v>
      </c>
      <c r="CO49" s="95">
        <f>SUMIFS(营销场景数据源!$AB:$AB,营销场景数据源!$C:$C,$B$47,营销场景数据源!$A:$A,CO2)</f>
        <v>14</v>
      </c>
      <c r="CP49" s="95">
        <f>SUMIFS(营销场景数据源!$AB:$AB,营销场景数据源!$C:$C,$B$47,营销场景数据源!$A:$A,CP2)</f>
        <v>9</v>
      </c>
      <c r="CQ49" s="95">
        <f>SUMIFS(营销场景数据源!$AB:$AB,营销场景数据源!$C:$C,$B$47,营销场景数据源!$A:$A,CQ2)</f>
        <v>10</v>
      </c>
      <c r="CR49" s="95">
        <f>SUMIFS(营销场景数据源!$AB:$AB,营销场景数据源!$C:$C,$B$47,营销场景数据源!$A:$A,CR2)</f>
        <v>15</v>
      </c>
      <c r="CS49" s="95">
        <f>SUMIFS(营销场景数据源!$AB:$AB,营销场景数据源!$C:$C,$B$47,营销场景数据源!$A:$A,CS2)</f>
        <v>20</v>
      </c>
      <c r="CT49" s="95">
        <f>SUMIFS(营销场景数据源!$AB:$AB,营销场景数据源!$C:$C,$B$47,营销场景数据源!$A:$A,CT2)</f>
        <v>18</v>
      </c>
      <c r="CU49" s="95">
        <f>SUMIFS(营销场景数据源!$AB:$AB,营销场景数据源!$C:$C,$B$47,营销场景数据源!$A:$A,CU2)</f>
        <v>25</v>
      </c>
      <c r="CV49" s="95">
        <f>SUMIFS(营销场景数据源!$AB:$AB,营销场景数据源!$C:$C,$B$47,营销场景数据源!$A:$A,CV2)</f>
        <v>13</v>
      </c>
      <c r="CW49" s="95">
        <f>SUMIFS(营销场景数据源!$AB:$AB,营销场景数据源!$C:$C,$B$47,营销场景数据源!$A:$A,CW2)</f>
        <v>4</v>
      </c>
      <c r="CX49" s="95">
        <f>SUMIFS(营销场景数据源!$AB:$AB,营销场景数据源!$C:$C,$B$47,营销场景数据源!$A:$A,CX2)</f>
        <v>11</v>
      </c>
      <c r="CY49" s="95">
        <f>SUMIFS(营销场景数据源!$AB:$AB,营销场景数据源!$C:$C,$B$47,营销场景数据源!$A:$A,CY2)</f>
        <v>0</v>
      </c>
      <c r="CZ49" s="95">
        <f>SUMIFS(营销场景数据源!$AB:$AB,营销场景数据源!$C:$C,$B$47,营销场景数据源!$A:$A,CZ2)</f>
        <v>2</v>
      </c>
      <c r="DA49" s="95">
        <f>SUMIFS(营销场景数据源!$AB:$AB,营销场景数据源!$C:$C,$B$47,营销场景数据源!$A:$A,DA2)</f>
        <v>7</v>
      </c>
      <c r="DB49" s="95">
        <f>SUMIFS(营销场景数据源!$AB:$AB,营销场景数据源!$C:$C,$B$47,营销场景数据源!$A:$A,DB2)</f>
        <v>2</v>
      </c>
      <c r="DC49" s="95">
        <f>SUMIFS(营销场景数据源!$AB:$AB,营销场景数据源!$C:$C,$B$47,营销场景数据源!$A:$A,DC2)</f>
        <v>1</v>
      </c>
      <c r="DD49" s="95">
        <f>SUMIFS(营销场景数据源!$AB:$AB,营销场景数据源!$C:$C,$B$47,营销场景数据源!$A:$A,DD2)</f>
        <v>1</v>
      </c>
      <c r="DE49" s="95">
        <f>SUMIFS(营销场景数据源!$AB:$AB,营销场景数据源!$C:$C,$B$47,营销场景数据源!$A:$A,DE2)</f>
        <v>6</v>
      </c>
      <c r="DF49" s="65">
        <f>SUM(DG49:EJ49)</f>
        <v>106</v>
      </c>
      <c r="DG49" s="95">
        <f>SUMIFS(营销场景数据源!$AB:$AB,营销场景数据源!$C:$C,$B$47,营销场景数据源!$A:$A,DG2)</f>
        <v>4</v>
      </c>
      <c r="DH49" s="95">
        <f>SUMIFS(营销场景数据源!$AB:$AB,营销场景数据源!$C:$C,$B$47,营销场景数据源!$A:$A,DH2)</f>
        <v>5</v>
      </c>
      <c r="DI49" s="95">
        <f>SUMIFS(营销场景数据源!$AB:$AB,营销场景数据源!$C:$C,$B$47,营销场景数据源!$A:$A,DI2)</f>
        <v>1</v>
      </c>
      <c r="DJ49" s="95">
        <f>SUMIFS(营销场景数据源!$AB:$AB,营销场景数据源!$C:$C,$B$47,营销场景数据源!$A:$A,DJ2)</f>
        <v>1</v>
      </c>
      <c r="DK49" s="95">
        <f>SUMIFS(营销场景数据源!$AB:$AB,营销场景数据源!$C:$C,$B$47,营销场景数据源!$A:$A,DK2)</f>
        <v>3</v>
      </c>
      <c r="DL49" s="95">
        <f>SUMIFS(营销场景数据源!$AB:$AB,营销场景数据源!$C:$C,$B$47,营销场景数据源!$A:$A,DL2)</f>
        <v>4</v>
      </c>
      <c r="DM49" s="95">
        <f>SUMIFS(营销场景数据源!$AB:$AB,营销场景数据源!$C:$C,$B$47,营销场景数据源!$A:$A,DM2)</f>
        <v>7</v>
      </c>
      <c r="DN49" s="95">
        <f>SUMIFS(营销场景数据源!$AB:$AB,营销场景数据源!$C:$C,$B$47,营销场景数据源!$A:$A,DN2)</f>
        <v>14</v>
      </c>
      <c r="DO49" s="95">
        <f>SUMIFS(营销场景数据源!$AB:$AB,营销场景数据源!$C:$C,$B$47,营销场景数据源!$A:$A,DO2)</f>
        <v>5</v>
      </c>
      <c r="DP49" s="95">
        <f>SUMIFS(营销场景数据源!$AB:$AB,营销场景数据源!$C:$C,$B$47,营销场景数据源!$A:$A,DP2)</f>
        <v>0</v>
      </c>
      <c r="DQ49" s="95">
        <f>SUMIFS(营销场景数据源!$AB:$AB,营销场景数据源!$C:$C,$B$47,营销场景数据源!$A:$A,DQ2)</f>
        <v>3</v>
      </c>
      <c r="DR49" s="95">
        <f>SUMIFS(营销场景数据源!$AB:$AB,营销场景数据源!$C:$C,$B$47,营销场景数据源!$A:$A,DR2)</f>
        <v>3</v>
      </c>
      <c r="DS49" s="95">
        <f>SUMIFS(营销场景数据源!$AB:$AB,营销场景数据源!$C:$C,$B$47,营销场景数据源!$A:$A,DS2)</f>
        <v>0</v>
      </c>
      <c r="DT49" s="95">
        <f>SUMIFS(营销场景数据源!$AB:$AB,营销场景数据源!$C:$C,$B$47,营销场景数据源!$A:$A,DT2)</f>
        <v>0</v>
      </c>
      <c r="DU49" s="95">
        <f>SUMIFS(营销场景数据源!$AB:$AB,营销场景数据源!$C:$C,$B$47,营销场景数据源!$A:$A,DU2)</f>
        <v>1</v>
      </c>
      <c r="DV49" s="95">
        <f>SUMIFS(营销场景数据源!$AB:$AB,营销场景数据源!$C:$C,$B$47,营销场景数据源!$A:$A,DV2)</f>
        <v>9</v>
      </c>
      <c r="DW49" s="95">
        <f>SUMIFS(营销场景数据源!$AB:$AB,营销场景数据源!$C:$C,$B$47,营销场景数据源!$A:$A,DW2)</f>
        <v>5</v>
      </c>
      <c r="DX49" s="95">
        <f>SUMIFS(营销场景数据源!$AB:$AB,营销场景数据源!$C:$C,$B$47,营销场景数据源!$A:$A,DX2)</f>
        <v>3</v>
      </c>
      <c r="DY49" s="95">
        <f>SUMIFS(营销场景数据源!$AB:$AB,营销场景数据源!$C:$C,$B$47,营销场景数据源!$A:$A,DY2)</f>
        <v>7</v>
      </c>
      <c r="DZ49" s="95">
        <f>SUMIFS(营销场景数据源!$AB:$AB,营销场景数据源!$C:$C,$B$47,营销场景数据源!$A:$A,DZ2)</f>
        <v>2</v>
      </c>
      <c r="EA49" s="95">
        <f>SUMIFS(营销场景数据源!$AB:$AB,营销场景数据源!$C:$C,$B$47,营销场景数据源!$A:$A,EA2)</f>
        <v>0</v>
      </c>
      <c r="EB49" s="95">
        <f>SUMIFS(营销场景数据源!$AB:$AB,营销场景数据源!$C:$C,$B$47,营销场景数据源!$A:$A,EB2)</f>
        <v>2</v>
      </c>
      <c r="EC49" s="95">
        <f>SUMIFS(营销场景数据源!$AB:$AB,营销场景数据源!$C:$C,$B$47,营销场景数据源!$A:$A,EC2)</f>
        <v>4</v>
      </c>
      <c r="ED49" s="95">
        <f>SUMIFS(营销场景数据源!$AB:$AB,营销场景数据源!$C:$C,$B$47,营销场景数据源!$A:$A,ED2)</f>
        <v>1</v>
      </c>
      <c r="EE49" s="95">
        <f>SUMIFS(营销场景数据源!$AB:$AB,营销场景数据源!$C:$C,$B$47,营销场景数据源!$A:$A,EE2)</f>
        <v>1</v>
      </c>
      <c r="EF49" s="95">
        <f>SUMIFS(营销场景数据源!$AB:$AB,营销场景数据源!$C:$C,$B$47,营销场景数据源!$A:$A,EF2)</f>
        <v>6</v>
      </c>
      <c r="EG49" s="95">
        <f>SUMIFS(营销场景数据源!$AB:$AB,营销场景数据源!$C:$C,$B$47,营销场景数据源!$A:$A,EG2)</f>
        <v>1</v>
      </c>
      <c r="EH49" s="95">
        <f>SUMIFS(营销场景数据源!$AB:$AB,营销场景数据源!$C:$C,$B$47,营销场景数据源!$A:$A,EH2)</f>
        <v>0</v>
      </c>
      <c r="EI49" s="95">
        <f>SUMIFS(营销场景数据源!$AB:$AB,营销场景数据源!$C:$C,$B$47,营销场景数据源!$A:$A,EI2)</f>
        <v>5</v>
      </c>
      <c r="EJ49" s="95">
        <f>SUMIFS(营销场景数据源!$AB:$AB,营销场景数据源!$C:$C,$B$47,营销场景数据源!$A:$A,EJ2)</f>
        <v>9</v>
      </c>
      <c r="EK49" s="65">
        <f>SUM(EL49:FP49)</f>
        <v>113</v>
      </c>
      <c r="EL49" s="95">
        <f>SUMIFS(营销场景数据源!$AB:$AB,营销场景数据源!$C:$C,$B$47,营销场景数据源!$A:$A,EL2)</f>
        <v>0</v>
      </c>
      <c r="EM49" s="95">
        <f>SUMIFS(营销场景数据源!$AB:$AB,营销场景数据源!$C:$C,$B$47,营销场景数据源!$A:$A,EM2)</f>
        <v>2</v>
      </c>
      <c r="EN49" s="95">
        <f>SUMIFS(营销场景数据源!$AB:$AB,营销场景数据源!$C:$C,$B$47,营销场景数据源!$A:$A,EN2)</f>
        <v>3</v>
      </c>
      <c r="EO49" s="95">
        <f>SUMIFS(营销场景数据源!$AB:$AB,营销场景数据源!$C:$C,$B$47,营销场景数据源!$A:$A,EO2)</f>
        <v>1</v>
      </c>
      <c r="EP49" s="95">
        <f>SUMIFS(营销场景数据源!$AB:$AB,营销场景数据源!$C:$C,$B$47,营销场景数据源!$A:$A,EP2)</f>
        <v>21</v>
      </c>
      <c r="EQ49" s="95">
        <f>SUMIFS(营销场景数据源!$AB:$AB,营销场景数据源!$C:$C,$B$47,营销场景数据源!$A:$A,EQ2)</f>
        <v>3</v>
      </c>
      <c r="ER49" s="95">
        <f>SUMIFS(营销场景数据源!$AB:$AB,营销场景数据源!$C:$C,$B$47,营销场景数据源!$A:$A,ER2)</f>
        <v>2</v>
      </c>
      <c r="ES49" s="95">
        <f>SUMIFS(营销场景数据源!$AB:$AB,营销场景数据源!$C:$C,$B$47,营销场景数据源!$A:$A,ES2)</f>
        <v>1</v>
      </c>
      <c r="ET49" s="95">
        <f>SUMIFS(营销场景数据源!$AB:$AB,营销场景数据源!$C:$C,$B$47,营销场景数据源!$A:$A,ET2)</f>
        <v>0</v>
      </c>
      <c r="EU49" s="95">
        <f>SUMIFS(营销场景数据源!$AB:$AB,营销场景数据源!$C:$C,$B$47,营销场景数据源!$A:$A,EU2)</f>
        <v>4</v>
      </c>
      <c r="EV49" s="95">
        <f>SUMIFS(营销场景数据源!$AB:$AB,营销场景数据源!$C:$C,$B$47,营销场景数据源!$A:$A,EV2)</f>
        <v>2</v>
      </c>
      <c r="EW49" s="95">
        <f>SUMIFS(营销场景数据源!$AB:$AB,营销场景数据源!$C:$C,$B$47,营销场景数据源!$A:$A,EW2)</f>
        <v>0</v>
      </c>
      <c r="EX49" s="95">
        <f>SUMIFS(营销场景数据源!$AB:$AB,营销场景数据源!$C:$C,$B$47,营销场景数据源!$A:$A,EX2)</f>
        <v>7</v>
      </c>
      <c r="EY49" s="95">
        <f>SUMIFS(营销场景数据源!$AB:$AB,营销场景数据源!$C:$C,$B$47,营销场景数据源!$A:$A,EY2)</f>
        <v>1</v>
      </c>
      <c r="EZ49" s="95">
        <f>SUMIFS(营销场景数据源!$AB:$AB,营销场景数据源!$C:$C,$B$47,营销场景数据源!$A:$A,EZ2)</f>
        <v>3</v>
      </c>
      <c r="FA49" s="95">
        <f>SUMIFS(营销场景数据源!$AB:$AB,营销场景数据源!$C:$C,$B$47,营销场景数据源!$A:$A,FA2)</f>
        <v>0</v>
      </c>
      <c r="FB49" s="95">
        <f>SUMIFS(营销场景数据源!$AB:$AB,营销场景数据源!$C:$C,$B$47,营销场景数据源!$A:$A,FB2)</f>
        <v>2</v>
      </c>
      <c r="FC49" s="95">
        <f>SUMIFS(营销场景数据源!$AB:$AB,营销场景数据源!$C:$C,$B$47,营销场景数据源!$A:$A,FC2)</f>
        <v>10</v>
      </c>
      <c r="FD49" s="95">
        <f>SUMIFS(营销场景数据源!$AB:$AB,营销场景数据源!$C:$C,$B$47,营销场景数据源!$A:$A,FD2)</f>
        <v>1</v>
      </c>
      <c r="FE49" s="95">
        <f>SUMIFS(营销场景数据源!$AB:$AB,营销场景数据源!$C:$C,$B$47,营销场景数据源!$A:$A,FE2)</f>
        <v>0</v>
      </c>
      <c r="FF49" s="95">
        <f>SUMIFS(营销场景数据源!$AB:$AB,营销场景数据源!$C:$C,$B$47,营销场景数据源!$A:$A,FF2)</f>
        <v>4</v>
      </c>
      <c r="FG49" s="95">
        <f>SUMIFS(营销场景数据源!$AB:$AB,营销场景数据源!$C:$C,$B$47,营销场景数据源!$A:$A,FG2)</f>
        <v>4</v>
      </c>
      <c r="FH49" s="95">
        <f>SUMIFS(营销场景数据源!$AB:$AB,营销场景数据源!$C:$C,$B$47,营销场景数据源!$A:$A,FH2)</f>
        <v>7</v>
      </c>
      <c r="FI49" s="95">
        <f>SUMIFS(营销场景数据源!$AB:$AB,营销场景数据源!$C:$C,$B$47,营销场景数据源!$A:$A,FI2)</f>
        <v>0</v>
      </c>
      <c r="FJ49" s="95">
        <f>SUMIFS(营销场景数据源!$AB:$AB,营销场景数据源!$C:$C,$B$47,营销场景数据源!$A:$A,FJ2)</f>
        <v>6</v>
      </c>
      <c r="FK49" s="95">
        <f>SUMIFS(营销场景数据源!$AB:$AB,营销场景数据源!$C:$C,$B$47,营销场景数据源!$A:$A,FK2)</f>
        <v>2</v>
      </c>
      <c r="FL49" s="95">
        <f>SUMIFS(营销场景数据源!$AB:$AB,营销场景数据源!$C:$C,$B$47,营销场景数据源!$A:$A,FL2)</f>
        <v>9</v>
      </c>
      <c r="FM49" s="95">
        <f>SUMIFS(营销场景数据源!$AB:$AB,营销场景数据源!$C:$C,$B$47,营销场景数据源!$A:$A,FM2)</f>
        <v>1</v>
      </c>
      <c r="FN49" s="95">
        <f>SUMIFS(营销场景数据源!$AB:$AB,营销场景数据源!$C:$C,$B$47,营销场景数据源!$A:$A,FN2)</f>
        <v>6</v>
      </c>
      <c r="FO49" s="95">
        <f>SUMIFS(营销场景数据源!$AB:$AB,营销场景数据源!$C:$C,$B$47,营销场景数据源!$A:$A,FO2)</f>
        <v>4</v>
      </c>
      <c r="FP49" s="95">
        <f>SUMIFS(营销场景数据源!$AB:$AB,营销场景数据源!$C:$C,$B$47,营销场景数据源!$A:$A,FP2)</f>
        <v>7</v>
      </c>
      <c r="FQ49" s="65">
        <f t="shared" si="260"/>
        <v>61</v>
      </c>
      <c r="FR49" s="95">
        <f>SUMIFS(营销场景数据源!$AB:$AB,营销场景数据源!$C:$C,$B$47,营销场景数据源!$A:$A,FR2)</f>
        <v>1</v>
      </c>
      <c r="FS49" s="95">
        <f>SUMIFS(营销场景数据源!$AB:$AB,营销场景数据源!$C:$C,$B$47,营销场景数据源!$A:$A,FS2)</f>
        <v>3</v>
      </c>
      <c r="FT49" s="95">
        <f>SUMIFS(营销场景数据源!$AB:$AB,营销场景数据源!$C:$C,$B$47,营销场景数据源!$A:$A,FT2)</f>
        <v>1</v>
      </c>
      <c r="FU49" s="95">
        <f>SUMIFS(营销场景数据源!$AB:$AB,营销场景数据源!$C:$C,$B$47,营销场景数据源!$A:$A,FU2)</f>
        <v>7</v>
      </c>
      <c r="FV49" s="95">
        <f>SUMIFS(营销场景数据源!$AB:$AB,营销场景数据源!$C:$C,$B$47,营销场景数据源!$A:$A,FV2)</f>
        <v>2</v>
      </c>
      <c r="FW49" s="95">
        <f>SUMIFS(营销场景数据源!$AB:$AB,营销场景数据源!$C:$C,$B$47,营销场景数据源!$A:$A,FW2)</f>
        <v>0</v>
      </c>
      <c r="FX49" s="95">
        <f>SUMIFS(营销场景数据源!$AB:$AB,营销场景数据源!$C:$C,$B$47,营销场景数据源!$A:$A,FX2)</f>
        <v>5</v>
      </c>
      <c r="FY49" s="95">
        <f>SUMIFS(营销场景数据源!$AB:$AB,营销场景数据源!$C:$C,$B$47,营销场景数据源!$A:$A,FY2)</f>
        <v>7</v>
      </c>
      <c r="FZ49" s="95">
        <f>SUMIFS(营销场景数据源!$AB:$AB,营销场景数据源!$C:$C,$B$47,营销场景数据源!$A:$A,FZ2)</f>
        <v>13</v>
      </c>
      <c r="GA49" s="95">
        <f>SUMIFS(营销场景数据源!$AB:$AB,营销场景数据源!$C:$C,$B$47,营销场景数据源!$A:$A,GA2)</f>
        <v>2</v>
      </c>
      <c r="GB49" s="95">
        <f>SUMIFS(营销场景数据源!$AB:$AB,营销场景数据源!$C:$C,$B$47,营销场景数据源!$A:$A,GB2)</f>
        <v>1</v>
      </c>
      <c r="GC49" s="95">
        <f>SUMIFS(营销场景数据源!$AB:$AB,营销场景数据源!$C:$C,$B$47,营销场景数据源!$A:$A,GC2)</f>
        <v>1</v>
      </c>
      <c r="GD49" s="95">
        <f>SUMIFS(营销场景数据源!$AB:$AB,营销场景数据源!$C:$C,$B$47,营销场景数据源!$A:$A,GD2)</f>
        <v>6</v>
      </c>
      <c r="GE49" s="95">
        <f>SUMIFS(营销场景数据源!$AB:$AB,营销场景数据源!$C:$C,$B$47,营销场景数据源!$A:$A,GE2)</f>
        <v>1</v>
      </c>
      <c r="GF49" s="95">
        <f>SUMIFS(营销场景数据源!$AB:$AB,营销场景数据源!$C:$C,$B$47,营销场景数据源!$A:$A,GF2)</f>
        <v>5</v>
      </c>
      <c r="GG49" s="95">
        <f>SUMIFS(营销场景数据源!$AB:$AB,营销场景数据源!$C:$C,$B$47,营销场景数据源!$A:$A,GG2)</f>
        <v>0</v>
      </c>
      <c r="GH49" s="95">
        <f>SUMIFS(营销场景数据源!$AB:$AB,营销场景数据源!$C:$C,$B$47,营销场景数据源!$A:$A,GH2)</f>
        <v>2</v>
      </c>
      <c r="GI49" s="95">
        <f>SUMIFS(营销场景数据源!$AB:$AB,营销场景数据源!$C:$C,$B$47,营销场景数据源!$A:$A,GI2)</f>
        <v>1</v>
      </c>
      <c r="GJ49" s="95">
        <f>SUMIFS(营销场景数据源!$AB:$AB,营销场景数据源!$C:$C,$B$47,营销场景数据源!$A:$A,GJ2)</f>
        <v>0</v>
      </c>
      <c r="GK49" s="95">
        <f>SUMIFS(营销场景数据源!$AB:$AB,营销场景数据源!$C:$C,$B$47,营销场景数据源!$A:$A,GK2)</f>
        <v>0</v>
      </c>
      <c r="GL49" s="95">
        <f>SUMIFS(营销场景数据源!$AB:$AB,营销场景数据源!$C:$C,$B$47,营销场景数据源!$A:$A,GL2)</f>
        <v>3</v>
      </c>
      <c r="GM49" s="95">
        <f>SUMIFS(营销场景数据源!$AB:$AB,营销场景数据源!$C:$C,$B$47,营销场景数据源!$A:$A,GM2)</f>
        <v>0</v>
      </c>
      <c r="GN49" s="95">
        <f>SUMIFS(营销场景数据源!$AB:$AB,营销场景数据源!$C:$C,$B$47,营销场景数据源!$A:$A,GN2)</f>
        <v>0</v>
      </c>
      <c r="GO49" s="95">
        <f>SUMIFS(营销场景数据源!$AB:$AB,营销场景数据源!$C:$C,$B$47,营销场景数据源!$A:$A,GO2)</f>
        <v>0</v>
      </c>
      <c r="GP49" s="95">
        <f>SUMIFS(营销场景数据源!$AB:$AB,营销场景数据源!$C:$C,$B$47,营销场景数据源!$A:$A,GP2)</f>
        <v>0</v>
      </c>
    </row>
    <row r="50" s="47" customFormat="1" ht="15" customHeight="1" spans="1:198">
      <c r="A50" s="106"/>
      <c r="B50" s="103"/>
      <c r="C50" s="104" t="s">
        <v>25</v>
      </c>
      <c r="D50" s="94" t="e">
        <f>SUM(E50:P50)</f>
        <v>#REF!</v>
      </c>
      <c r="E50" s="105" t="e">
        <f>#REF!</f>
        <v>#REF!</v>
      </c>
      <c r="F50" s="105" t="e">
        <f>#REF!</f>
        <v>#REF!</v>
      </c>
      <c r="G50" s="105" t="e">
        <f>#REF!</f>
        <v>#REF!</v>
      </c>
      <c r="H50" s="105" t="e">
        <f>#REF!</f>
        <v>#REF!</v>
      </c>
      <c r="I50" s="105" t="e">
        <f>#REF!</f>
        <v>#REF!</v>
      </c>
      <c r="J50" s="105" t="e">
        <f>#REF!</f>
        <v>#REF!</v>
      </c>
      <c r="K50" s="105" t="e">
        <f>#REF!</f>
        <v>#REF!</v>
      </c>
      <c r="L50" s="105" t="e">
        <f>#REF!</f>
        <v>#REF!</v>
      </c>
      <c r="M50" s="105" t="e">
        <f>#REF!</f>
        <v>#REF!</v>
      </c>
      <c r="N50" s="105" t="e">
        <f>#REF!</f>
        <v>#REF!</v>
      </c>
      <c r="O50" s="105" t="e">
        <f>#REF!</f>
        <v>#REF!</v>
      </c>
      <c r="P50" s="105" t="e">
        <f>#REF!</f>
        <v>#REF!</v>
      </c>
      <c r="Q50" s="65">
        <f>SUM(R50:AV50)</f>
        <v>38</v>
      </c>
      <c r="R50" s="95">
        <f>SUMIFS(营销场景数据源!$U:$U,营销场景数据源!$C:$C,$B$47,营销场景数据源!$A:$A,R2)</f>
        <v>1</v>
      </c>
      <c r="S50" s="95">
        <f>SUMIFS(营销场景数据源!$U:$U,营销场景数据源!$C:$C,$B$47,营销场景数据源!$A:$A,S2)</f>
        <v>0</v>
      </c>
      <c r="T50" s="95">
        <f>SUMIFS(营销场景数据源!$U:$U,营销场景数据源!$C:$C,$B$47,营销场景数据源!$A:$A,T2)</f>
        <v>0</v>
      </c>
      <c r="U50" s="95">
        <f>SUMIFS(营销场景数据源!$U:$U,营销场景数据源!$C:$C,$B$47,营销场景数据源!$A:$A,U2)</f>
        <v>3</v>
      </c>
      <c r="V50" s="95">
        <f>SUMIFS(营销场景数据源!$U:$U,营销场景数据源!$C:$C,$B$47,营销场景数据源!$A:$A,V2)</f>
        <v>0</v>
      </c>
      <c r="W50" s="95">
        <f>SUMIFS(营销场景数据源!$U:$U,营销场景数据源!$C:$C,$B$47,营销场景数据源!$A:$A,W2)</f>
        <v>1</v>
      </c>
      <c r="X50" s="95">
        <f>SUMIFS(营销场景数据源!$U:$U,营销场景数据源!$C:$C,$B$47,营销场景数据源!$A:$A,X2)</f>
        <v>0</v>
      </c>
      <c r="Y50" s="95">
        <f>SUMIFS(营销场景数据源!$U:$U,营销场景数据源!$C:$C,$B$47,营销场景数据源!$A:$A,Y2)</f>
        <v>0</v>
      </c>
      <c r="Z50" s="95">
        <f>SUMIFS(营销场景数据源!$U:$U,营销场景数据源!$C:$C,$B$47,营销场景数据源!$A:$A,Z2)</f>
        <v>0</v>
      </c>
      <c r="AA50" s="95">
        <f>SUMIFS(营销场景数据源!$U:$U,营销场景数据源!$C:$C,$B$47,营销场景数据源!$A:$A,AA2)</f>
        <v>0</v>
      </c>
      <c r="AB50" s="95">
        <f>SUMIFS(营销场景数据源!$U:$U,营销场景数据源!$C:$C,$B$47,营销场景数据源!$A:$A,AB2)</f>
        <v>0</v>
      </c>
      <c r="AC50" s="95">
        <f>SUMIFS(营销场景数据源!$U:$U,营销场景数据源!$C:$C,$B$47,营销场景数据源!$A:$A,AC2)</f>
        <v>0</v>
      </c>
      <c r="AD50" s="95">
        <f>SUMIFS(营销场景数据源!$U:$U,营销场景数据源!$C:$C,$B$47,营销场景数据源!$A:$A,AD2)</f>
        <v>1</v>
      </c>
      <c r="AE50" s="95">
        <f>SUMIFS(营销场景数据源!$U:$U,营销场景数据源!$C:$C,$B$47,营销场景数据源!$A:$A,AE2)</f>
        <v>0</v>
      </c>
      <c r="AF50" s="95">
        <f>SUMIFS(营销场景数据源!$U:$U,营销场景数据源!$C:$C,$B$47,营销场景数据源!$A:$A,AF2)</f>
        <v>0</v>
      </c>
      <c r="AG50" s="95">
        <f>SUMIFS(营销场景数据源!$U:$U,营销场景数据源!$C:$C,$B$47,营销场景数据源!$A:$A,AG2)</f>
        <v>0</v>
      </c>
      <c r="AH50" s="95">
        <f>SUMIFS(营销场景数据源!$U:$U,营销场景数据源!$C:$C,$B$47,营销场景数据源!$A:$A,AH2)</f>
        <v>2</v>
      </c>
      <c r="AI50" s="95">
        <f>SUMIFS(营销场景数据源!$U:$U,营销场景数据源!$C:$C,$B$47,营销场景数据源!$A:$A,AI2)</f>
        <v>2</v>
      </c>
      <c r="AJ50" s="95">
        <f>SUMIFS(营销场景数据源!$U:$U,营销场景数据源!$C:$C,$B$47,营销场景数据源!$A:$A,AJ2)</f>
        <v>0</v>
      </c>
      <c r="AK50" s="95">
        <f>SUMIFS(营销场景数据源!$U:$U,营销场景数据源!$C:$C,$B$47,营销场景数据源!$A:$A,AK2)</f>
        <v>0</v>
      </c>
      <c r="AL50" s="95">
        <f>SUMIFS(营销场景数据源!$U:$U,营销场景数据源!$C:$C,$B$47,营销场景数据源!$A:$A,AL2)</f>
        <v>0</v>
      </c>
      <c r="AM50" s="95">
        <f>SUMIFS(营销场景数据源!$U:$U,营销场景数据源!$C:$C,$B$47,营销场景数据源!$A:$A,AM2)</f>
        <v>0</v>
      </c>
      <c r="AN50" s="95">
        <f>SUMIFS(营销场景数据源!$U:$U,营销场景数据源!$C:$C,$B$47,营销场景数据源!$A:$A,AN2)</f>
        <v>1</v>
      </c>
      <c r="AO50" s="95">
        <f>SUMIFS(营销场景数据源!$U:$U,营销场景数据源!$C:$C,$B$47,营销场景数据源!$A:$A,AO2)</f>
        <v>7</v>
      </c>
      <c r="AP50" s="95">
        <f>SUMIFS(营销场景数据源!$U:$U,营销场景数据源!$C:$C,$B$47,营销场景数据源!$A:$A,AP2)</f>
        <v>4</v>
      </c>
      <c r="AQ50" s="95">
        <f>SUMIFS(营销场景数据源!$U:$U,营销场景数据源!$C:$C,$B$47,营销场景数据源!$A:$A,AQ2)</f>
        <v>0</v>
      </c>
      <c r="AR50" s="95">
        <f>SUMIFS(营销场景数据源!$U:$U,营销场景数据源!$C:$C,$B$47,营销场景数据源!$A:$A,AR2)</f>
        <v>0</v>
      </c>
      <c r="AS50" s="95">
        <f>SUMIFS(营销场景数据源!$U:$U,营销场景数据源!$C:$C,$B$47,营销场景数据源!$A:$A,AS2)</f>
        <v>7</v>
      </c>
      <c r="AT50" s="95">
        <f>SUMIFS(营销场景数据源!$U:$U,营销场景数据源!$C:$C,$B$47,营销场景数据源!$A:$A,AT2)</f>
        <v>2</v>
      </c>
      <c r="AU50" s="95">
        <f>SUMIFS(营销场景数据源!$U:$U,营销场景数据源!$C:$C,$B$47,营销场景数据源!$A:$A,AU2)</f>
        <v>3</v>
      </c>
      <c r="AV50" s="95">
        <f>SUMIFS(营销场景数据源!$U:$U,营销场景数据源!$C:$C,$B$47,营销场景数据源!$A:$A,AV2)</f>
        <v>4</v>
      </c>
      <c r="AW50" s="65">
        <f>SUM(AX50:BY50)</f>
        <v>28</v>
      </c>
      <c r="AX50" s="95">
        <f>SUMIFS(营销场景数据源!$U:$U,营销场景数据源!$C:$C,$B$47,营销场景数据源!$A:$A,AX2)</f>
        <v>2</v>
      </c>
      <c r="AY50" s="95">
        <f>SUMIFS(营销场景数据源!$U:$U,营销场景数据源!$C:$C,$B$47,营销场景数据源!$A:$A,AY2)</f>
        <v>0</v>
      </c>
      <c r="AZ50" s="95">
        <f>SUMIFS(营销场景数据源!$U:$U,营销场景数据源!$C:$C,$B$47,营销场景数据源!$A:$A,AZ2)</f>
        <v>0</v>
      </c>
      <c r="BA50" s="95">
        <f>SUMIFS(营销场景数据源!$U:$U,营销场景数据源!$C:$C,$B$47,营销场景数据源!$A:$A,BA2)</f>
        <v>6</v>
      </c>
      <c r="BB50" s="95">
        <f>SUMIFS(营销场景数据源!$U:$U,营销场景数据源!$C:$C,$B$47,营销场景数据源!$A:$A,BB2)</f>
        <v>1</v>
      </c>
      <c r="BC50" s="95">
        <f>SUMIFS(营销场景数据源!$U:$U,营销场景数据源!$C:$C,$B$47,营销场景数据源!$A:$A,BC2)</f>
        <v>7</v>
      </c>
      <c r="BD50" s="95">
        <f>SUMIFS(营销场景数据源!$U:$U,营销场景数据源!$C:$C,$B$47,营销场景数据源!$A:$A,BD2)</f>
        <v>2</v>
      </c>
      <c r="BE50" s="95">
        <f>SUMIFS(营销场景数据源!$U:$U,营销场景数据源!$C:$C,$B$47,营销场景数据源!$A:$A,BE2)</f>
        <v>1</v>
      </c>
      <c r="BF50" s="95">
        <f>SUMIFS(营销场景数据源!$U:$U,营销场景数据源!$C:$C,$B$47,营销场景数据源!$A:$A,BF2)</f>
        <v>0</v>
      </c>
      <c r="BG50" s="95">
        <f>SUMIFS(营销场景数据源!$U:$U,营销场景数据源!$C:$C,$B$47,营销场景数据源!$A:$A,BG2)</f>
        <v>0</v>
      </c>
      <c r="BH50" s="95">
        <f>SUMIFS(营销场景数据源!$U:$U,营销场景数据源!$C:$C,$B$47,营销场景数据源!$A:$A,BH2)</f>
        <v>1</v>
      </c>
      <c r="BI50" s="95">
        <f>SUMIFS(营销场景数据源!$U:$U,营销场景数据源!$C:$C,$B$47,营销场景数据源!$A:$A,BI2)</f>
        <v>0</v>
      </c>
      <c r="BJ50" s="95">
        <f>SUMIFS(营销场景数据源!$U:$U,营销场景数据源!$C:$C,$B$47,营销场景数据源!$A:$A,BJ2)</f>
        <v>0</v>
      </c>
      <c r="BK50" s="95">
        <f>SUMIFS(营销场景数据源!$U:$U,营销场景数据源!$C:$C,$B$47,营销场景数据源!$A:$A,BK2)</f>
        <v>3</v>
      </c>
      <c r="BL50" s="95">
        <f>SUMIFS(营销场景数据源!$U:$U,营销场景数据源!$C:$C,$B$47,营销场景数据源!$A:$A,BL2)</f>
        <v>0</v>
      </c>
      <c r="BM50" s="95">
        <f>SUMIFS(营销场景数据源!$U:$U,营销场景数据源!$C:$C,$B$47,营销场景数据源!$A:$A,BM2)</f>
        <v>0</v>
      </c>
      <c r="BN50" s="95">
        <f>SUMIFS(营销场景数据源!$U:$U,营销场景数据源!$C:$C,$B$47,营销场景数据源!$A:$A,BN2)</f>
        <v>0</v>
      </c>
      <c r="BO50" s="95">
        <f>SUMIFS(营销场景数据源!$U:$U,营销场景数据源!$C:$C,$B$47,营销场景数据源!$A:$A,BO2)</f>
        <v>0</v>
      </c>
      <c r="BP50" s="95">
        <f>SUMIFS(营销场景数据源!$U:$U,营销场景数据源!$C:$C,$B$47,营销场景数据源!$A:$A,BP2)</f>
        <v>0</v>
      </c>
      <c r="BQ50" s="95">
        <f>SUMIFS(营销场景数据源!$U:$U,营销场景数据源!$C:$C,$B$47,营销场景数据源!$A:$A,BQ2)</f>
        <v>1</v>
      </c>
      <c r="BR50" s="95">
        <f>SUMIFS(营销场景数据源!$U:$U,营销场景数据源!$C:$C,$B$47,营销场景数据源!$A:$A,BR2)</f>
        <v>1</v>
      </c>
      <c r="BS50" s="95">
        <f>SUMIFS(营销场景数据源!$U:$U,营销场景数据源!$C:$C,$B$47,营销场景数据源!$A:$A,BS2)</f>
        <v>2</v>
      </c>
      <c r="BT50" s="95">
        <f>SUMIFS(营销场景数据源!$U:$U,营销场景数据源!$C:$C,$B$47,营销场景数据源!$A:$A,BT2)</f>
        <v>0</v>
      </c>
      <c r="BU50" s="95">
        <f>SUMIFS(营销场景数据源!$U:$U,营销场景数据源!$C:$C,$B$47,营销场景数据源!$A:$A,BU2)</f>
        <v>1</v>
      </c>
      <c r="BV50" s="95">
        <f>SUMIFS(营销场景数据源!$U:$U,营销场景数据源!$C:$C,$B$47,营销场景数据源!$A:$A,BV2)</f>
        <v>0</v>
      </c>
      <c r="BW50" s="95">
        <f>SUMIFS(营销场景数据源!$U:$U,营销场景数据源!$C:$C,$B$47,营销场景数据源!$A:$A,BW2)</f>
        <v>0</v>
      </c>
      <c r="BX50" s="95">
        <f>SUMIFS(营销场景数据源!$U:$U,营销场景数据源!$C:$C,$B$47,营销场景数据源!$A:$A,BX2)</f>
        <v>0</v>
      </c>
      <c r="BY50" s="95">
        <f>SUMIFS(营销场景数据源!$U:$U,营销场景数据源!$C:$C,$B$47,营销场景数据源!$A:$A,BY2)</f>
        <v>0</v>
      </c>
      <c r="BZ50" s="65">
        <f>SUM(CA50:DE50)</f>
        <v>66</v>
      </c>
      <c r="CA50" s="95">
        <f>SUMIFS(营销场景数据源!$U:$U,营销场景数据源!$C:$C,$B$47,营销场景数据源!$A:$A,CA2)</f>
        <v>2</v>
      </c>
      <c r="CB50" s="95">
        <f>SUMIFS(营销场景数据源!$U:$U,营销场景数据源!$C:$C,$B$47,营销场景数据源!$A:$A,CB2)</f>
        <v>0</v>
      </c>
      <c r="CC50" s="95">
        <f>SUMIFS(营销场景数据源!$U:$U,营销场景数据源!$C:$C,$B$47,营销场景数据源!$A:$A,CC2)</f>
        <v>2</v>
      </c>
      <c r="CD50" s="95">
        <f>SUMIFS(营销场景数据源!$U:$U,营销场景数据源!$C:$C,$B$47,营销场景数据源!$A:$A,CD2)</f>
        <v>1</v>
      </c>
      <c r="CE50" s="95">
        <f>SUMIFS(营销场景数据源!$U:$U,营销场景数据源!$C:$C,$B$47,营销场景数据源!$A:$A,CE2)</f>
        <v>0</v>
      </c>
      <c r="CF50" s="95">
        <f>SUMIFS(营销场景数据源!$U:$U,营销场景数据源!$C:$C,$B$47,营销场景数据源!$A:$A,CF2)</f>
        <v>0</v>
      </c>
      <c r="CG50" s="95">
        <f>SUMIFS(营销场景数据源!$U:$U,营销场景数据源!$C:$C,$B$47,营销场景数据源!$A:$A,CG2)</f>
        <v>2</v>
      </c>
      <c r="CH50" s="95">
        <f>SUMIFS(营销场景数据源!$U:$U,营销场景数据源!$C:$C,$B$47,营销场景数据源!$A:$A,CH2)</f>
        <v>4</v>
      </c>
      <c r="CI50" s="95">
        <f>SUMIFS(营销场景数据源!$U:$U,营销场景数据源!$C:$C,$B$47,营销场景数据源!$A:$A,CI2)</f>
        <v>3</v>
      </c>
      <c r="CJ50" s="95">
        <f>SUMIFS(营销场景数据源!$U:$U,营销场景数据源!$C:$C,$B$47,营销场景数据源!$A:$A,CJ2)</f>
        <v>1</v>
      </c>
      <c r="CK50" s="95">
        <f>SUMIFS(营销场景数据源!$U:$U,营销场景数据源!$C:$C,$B$47,营销场景数据源!$A:$A,CK2)</f>
        <v>4</v>
      </c>
      <c r="CL50" s="95">
        <f>SUMIFS(营销场景数据源!$U:$U,营销场景数据源!$C:$C,$B$47,营销场景数据源!$A:$A,CL2)</f>
        <v>1</v>
      </c>
      <c r="CM50" s="95">
        <f>SUMIFS(营销场景数据源!$U:$U,营销场景数据源!$C:$C,$B$47,营销场景数据源!$A:$A,CM2)</f>
        <v>3</v>
      </c>
      <c r="CN50" s="95">
        <f>SUMIFS(营销场景数据源!$U:$U,营销场景数据源!$C:$C,$B$47,营销场景数据源!$A:$A,CN2)</f>
        <v>9</v>
      </c>
      <c r="CO50" s="95">
        <f>SUMIFS(营销场景数据源!$U:$U,营销场景数据源!$C:$C,$B$47,营销场景数据源!$A:$A,CO2)</f>
        <v>3</v>
      </c>
      <c r="CP50" s="95">
        <f>SUMIFS(营销场景数据源!$U:$U,营销场景数据源!$C:$C,$B$47,营销场景数据源!$A:$A,CP2)</f>
        <v>4</v>
      </c>
      <c r="CQ50" s="95">
        <f>SUMIFS(营销场景数据源!$U:$U,营销场景数据源!$C:$C,$B$47,营销场景数据源!$A:$A,CQ2)</f>
        <v>1</v>
      </c>
      <c r="CR50" s="95">
        <f>SUMIFS(营销场景数据源!$U:$U,营销场景数据源!$C:$C,$B$47,营销场景数据源!$A:$A,CR2)</f>
        <v>3</v>
      </c>
      <c r="CS50" s="95">
        <f>SUMIFS(营销场景数据源!$U:$U,营销场景数据源!$C:$C,$B$47,营销场景数据源!$A:$A,CS2)</f>
        <v>7</v>
      </c>
      <c r="CT50" s="95">
        <f>SUMIFS(营销场景数据源!$U:$U,营销场景数据源!$C:$C,$B$47,营销场景数据源!$A:$A,CT2)</f>
        <v>1</v>
      </c>
      <c r="CU50" s="95">
        <f>SUMIFS(营销场景数据源!$U:$U,营销场景数据源!$C:$C,$B$47,营销场景数据源!$A:$A,CU2)</f>
        <v>1</v>
      </c>
      <c r="CV50" s="95">
        <f>SUMIFS(营销场景数据源!$U:$U,营销场景数据源!$C:$C,$B$47,营销场景数据源!$A:$A,CV2)</f>
        <v>0</v>
      </c>
      <c r="CW50" s="95">
        <f>SUMIFS(营销场景数据源!$U:$U,营销场景数据源!$C:$C,$B$47,营销场景数据源!$A:$A,CW2)</f>
        <v>0</v>
      </c>
      <c r="CX50" s="95">
        <f>SUMIFS(营销场景数据源!$U:$U,营销场景数据源!$C:$C,$B$47,营销场景数据源!$A:$A,CX2)</f>
        <v>3</v>
      </c>
      <c r="CY50" s="95">
        <f>SUMIFS(营销场景数据源!$U:$U,营销场景数据源!$C:$C,$B$47,营销场景数据源!$A:$A,CY2)</f>
        <v>0</v>
      </c>
      <c r="CZ50" s="95">
        <f>SUMIFS(营销场景数据源!$U:$U,营销场景数据源!$C:$C,$B$47,营销场景数据源!$A:$A,CZ2)</f>
        <v>1</v>
      </c>
      <c r="DA50" s="95">
        <f>SUMIFS(营销场景数据源!$U:$U,营销场景数据源!$C:$C,$B$47,营销场景数据源!$A:$A,DA2)</f>
        <v>5</v>
      </c>
      <c r="DB50" s="95">
        <f>SUMIFS(营销场景数据源!$U:$U,营销场景数据源!$C:$C,$B$47,营销场景数据源!$A:$A,DB2)</f>
        <v>0</v>
      </c>
      <c r="DC50" s="95">
        <f>SUMIFS(营销场景数据源!$U:$U,营销场景数据源!$C:$C,$B$47,营销场景数据源!$A:$A,DC2)</f>
        <v>0</v>
      </c>
      <c r="DD50" s="95">
        <f>SUMIFS(营销场景数据源!$U:$U,营销场景数据源!$C:$C,$B$47,营销场景数据源!$A:$A,DD2)</f>
        <v>1</v>
      </c>
      <c r="DE50" s="95">
        <f>SUMIFS(营销场景数据源!$U:$U,营销场景数据源!$C:$C,$B$47,营销场景数据源!$A:$A,DE2)</f>
        <v>4</v>
      </c>
      <c r="DF50" s="65">
        <f>SUM(DG50:EJ50)</f>
        <v>13</v>
      </c>
      <c r="DG50" s="95">
        <f>SUMIFS(营销场景数据源!$U:$U,营销场景数据源!$C:$C,$B$47,营销场景数据源!$A:$A,DG2)</f>
        <v>3</v>
      </c>
      <c r="DH50" s="95">
        <f>SUMIFS(营销场景数据源!$U:$U,营销场景数据源!$C:$C,$B$47,营销场景数据源!$A:$A,DH2)</f>
        <v>2</v>
      </c>
      <c r="DI50" s="95">
        <f>SUMIFS(营销场景数据源!$U:$U,营销场景数据源!$C:$C,$B$47,营销场景数据源!$A:$A,DI2)</f>
        <v>0</v>
      </c>
      <c r="DJ50" s="95">
        <f>SUMIFS(营销场景数据源!$U:$U,营销场景数据源!$C:$C,$B$47,营销场景数据源!$A:$A,DJ2)</f>
        <v>0</v>
      </c>
      <c r="DK50" s="95">
        <f>SUMIFS(营销场景数据源!$U:$U,营销场景数据源!$C:$C,$B$47,营销场景数据源!$A:$A,DK2)</f>
        <v>1</v>
      </c>
      <c r="DL50" s="95">
        <f>SUMIFS(营销场景数据源!$U:$U,营销场景数据源!$C:$C,$B$47,营销场景数据源!$A:$A,DL2)</f>
        <v>0</v>
      </c>
      <c r="DM50" s="95">
        <f>SUMIFS(营销场景数据源!$U:$U,营销场景数据源!$C:$C,$B$47,营销场景数据源!$A:$A,DM2)</f>
        <v>2</v>
      </c>
      <c r="DN50" s="95">
        <f>SUMIFS(营销场景数据源!$U:$U,营销场景数据源!$C:$C,$B$47,营销场景数据源!$A:$A,DN2)</f>
        <v>0</v>
      </c>
      <c r="DO50" s="95">
        <f>SUMIFS(营销场景数据源!$U:$U,营销场景数据源!$C:$C,$B$47,营销场景数据源!$A:$A,DO2)</f>
        <v>0</v>
      </c>
      <c r="DP50" s="95">
        <f>SUMIFS(营销场景数据源!$U:$U,营销场景数据源!$C:$C,$B$47,营销场景数据源!$A:$A,DP2)</f>
        <v>1</v>
      </c>
      <c r="DQ50" s="95">
        <f>SUMIFS(营销场景数据源!$U:$U,营销场景数据源!$C:$C,$B$47,营销场景数据源!$A:$A,DQ2)</f>
        <v>0</v>
      </c>
      <c r="DR50" s="95">
        <f>SUMIFS(营销场景数据源!$U:$U,营销场景数据源!$C:$C,$B$47,营销场景数据源!$A:$A,DR2)</f>
        <v>0</v>
      </c>
      <c r="DS50" s="95">
        <f>SUMIFS(营销场景数据源!$U:$U,营销场景数据源!$C:$C,$B$47,营销场景数据源!$A:$A,DS2)</f>
        <v>0</v>
      </c>
      <c r="DT50" s="95">
        <f>SUMIFS(营销场景数据源!$U:$U,营销场景数据源!$C:$C,$B$47,营销场景数据源!$A:$A,DT2)</f>
        <v>1</v>
      </c>
      <c r="DU50" s="95">
        <f>SUMIFS(营销场景数据源!$U:$U,营销场景数据源!$C:$C,$B$47,营销场景数据源!$A:$A,DU2)</f>
        <v>0</v>
      </c>
      <c r="DV50" s="95">
        <f>SUMIFS(营销场景数据源!$U:$U,营销场景数据源!$C:$C,$B$47,营销场景数据源!$A:$A,DV2)</f>
        <v>1</v>
      </c>
      <c r="DW50" s="95">
        <f>SUMIFS(营销场景数据源!$U:$U,营销场景数据源!$C:$C,$B$47,营销场景数据源!$A:$A,DW2)</f>
        <v>0</v>
      </c>
      <c r="DX50" s="95">
        <f>SUMIFS(营销场景数据源!$U:$U,营销场景数据源!$C:$C,$B$47,营销场景数据源!$A:$A,DX2)</f>
        <v>0</v>
      </c>
      <c r="DY50" s="95">
        <f>SUMIFS(营销场景数据源!$U:$U,营销场景数据源!$C:$C,$B$47,营销场景数据源!$A:$A,DY2)</f>
        <v>0</v>
      </c>
      <c r="DZ50" s="95">
        <f>SUMIFS(营销场景数据源!$U:$U,营销场景数据源!$C:$C,$B$47,营销场景数据源!$A:$A,DZ2)</f>
        <v>0</v>
      </c>
      <c r="EA50" s="95">
        <f>SUMIFS(营销场景数据源!$U:$U,营销场景数据源!$C:$C,$B$47,营销场景数据源!$A:$A,EA2)</f>
        <v>0</v>
      </c>
      <c r="EB50" s="95">
        <f>SUMIFS(营销场景数据源!$U:$U,营销场景数据源!$C:$C,$B$47,营销场景数据源!$A:$A,EB2)</f>
        <v>2</v>
      </c>
      <c r="EC50" s="95">
        <f>SUMIFS(营销场景数据源!$U:$U,营销场景数据源!$C:$C,$B$47,营销场景数据源!$A:$A,EC2)</f>
        <v>0</v>
      </c>
      <c r="ED50" s="95">
        <f>SUMIFS(营销场景数据源!$U:$U,营销场景数据源!$C:$C,$B$47,营销场景数据源!$A:$A,ED2)</f>
        <v>0</v>
      </c>
      <c r="EE50" s="95">
        <f>SUMIFS(营销场景数据源!$U:$U,营销场景数据源!$C:$C,$B$47,营销场景数据源!$A:$A,EE2)</f>
        <v>0</v>
      </c>
      <c r="EF50" s="95">
        <f>SUMIFS(营销场景数据源!$U:$U,营销场景数据源!$C:$C,$B$47,营销场景数据源!$A:$A,EF2)</f>
        <v>0</v>
      </c>
      <c r="EG50" s="95">
        <f>SUMIFS(营销场景数据源!$U:$U,营销场景数据源!$C:$C,$B$47,营销场景数据源!$A:$A,EG2)</f>
        <v>0</v>
      </c>
      <c r="EH50" s="95">
        <f>SUMIFS(营销场景数据源!$U:$U,营销场景数据源!$C:$C,$B$47,营销场景数据源!$A:$A,EH2)</f>
        <v>0</v>
      </c>
      <c r="EI50" s="95">
        <f>SUMIFS(营销场景数据源!$U:$U,营销场景数据源!$C:$C,$B$47,营销场景数据源!$A:$A,EI2)</f>
        <v>0</v>
      </c>
      <c r="EJ50" s="95">
        <f>SUMIFS(营销场景数据源!$U:$U,营销场景数据源!$C:$C,$B$47,营销场景数据源!$A:$A,EJ2)</f>
        <v>0</v>
      </c>
      <c r="EK50" s="65">
        <f>SUM(EL50:FP50)</f>
        <v>44</v>
      </c>
      <c r="EL50" s="95">
        <f>SUMIFS(营销场景数据源!$U:$U,营销场景数据源!$C:$C,$B$47,营销场景数据源!$A:$A,EL2)</f>
        <v>2</v>
      </c>
      <c r="EM50" s="95">
        <f>SUMIFS(营销场景数据源!$U:$U,营销场景数据源!$C:$C,$B$47,营销场景数据源!$A:$A,EM2)</f>
        <v>0</v>
      </c>
      <c r="EN50" s="95">
        <f>SUMIFS(营销场景数据源!$U:$U,营销场景数据源!$C:$C,$B$47,营销场景数据源!$A:$A,EN2)</f>
        <v>0</v>
      </c>
      <c r="EO50" s="95">
        <f>SUMIFS(营销场景数据源!$U:$U,营销场景数据源!$C:$C,$B$47,营销场景数据源!$A:$A,EO2)</f>
        <v>0</v>
      </c>
      <c r="EP50" s="95">
        <f>SUMIFS(营销场景数据源!$U:$U,营销场景数据源!$C:$C,$B$47,营销场景数据源!$A:$A,EP2)</f>
        <v>19</v>
      </c>
      <c r="EQ50" s="95">
        <f>SUMIFS(营销场景数据源!$U:$U,营销场景数据源!$C:$C,$B$47,营销场景数据源!$A:$A,EQ2)</f>
        <v>0</v>
      </c>
      <c r="ER50" s="95">
        <f>SUMIFS(营销场景数据源!$U:$U,营销场景数据源!$C:$C,$B$47,营销场景数据源!$A:$A,ER2)</f>
        <v>0</v>
      </c>
      <c r="ES50" s="95">
        <f>SUMIFS(营销场景数据源!$U:$U,营销场景数据源!$C:$C,$B$47,营销场景数据源!$A:$A,ES2)</f>
        <v>1</v>
      </c>
      <c r="ET50" s="95">
        <f>SUMIFS(营销场景数据源!$U:$U,营销场景数据源!$C:$C,$B$47,营销场景数据源!$A:$A,ET2)</f>
        <v>0</v>
      </c>
      <c r="EU50" s="95">
        <f>SUMIFS(营销场景数据源!$U:$U,营销场景数据源!$C:$C,$B$47,营销场景数据源!$A:$A,EU2)</f>
        <v>4</v>
      </c>
      <c r="EV50" s="95">
        <f>SUMIFS(营销场景数据源!$U:$U,营销场景数据源!$C:$C,$B$47,营销场景数据源!$A:$A,EV2)</f>
        <v>0</v>
      </c>
      <c r="EW50" s="95">
        <f>SUMIFS(营销场景数据源!$U:$U,营销场景数据源!$C:$C,$B$47,营销场景数据源!$A:$A,EW2)</f>
        <v>0</v>
      </c>
      <c r="EX50" s="95">
        <f>SUMIFS(营销场景数据源!$U:$U,营销场景数据源!$C:$C,$B$47,营销场景数据源!$A:$A,EX2)</f>
        <v>1</v>
      </c>
      <c r="EY50" s="95">
        <f>SUMIFS(营销场景数据源!$U:$U,营销场景数据源!$C:$C,$B$47,营销场景数据源!$A:$A,EY2)</f>
        <v>1</v>
      </c>
      <c r="EZ50" s="95">
        <f>SUMIFS(营销场景数据源!$U:$U,营销场景数据源!$C:$C,$B$47,营销场景数据源!$A:$A,EZ2)</f>
        <v>3</v>
      </c>
      <c r="FA50" s="95">
        <f>SUMIFS(营销场景数据源!$U:$U,营销场景数据源!$C:$C,$B$47,营销场景数据源!$A:$A,FA2)</f>
        <v>0</v>
      </c>
      <c r="FB50" s="95">
        <f>SUMIFS(营销场景数据源!$U:$U,营销场景数据源!$C:$C,$B$47,营销场景数据源!$A:$A,FB2)</f>
        <v>0</v>
      </c>
      <c r="FC50" s="95">
        <f>SUMIFS(营销场景数据源!$U:$U,营销场景数据源!$C:$C,$B$47,营销场景数据源!$A:$A,FC2)</f>
        <v>0</v>
      </c>
      <c r="FD50" s="95">
        <f>SUMIFS(营销场景数据源!$U:$U,营销场景数据源!$C:$C,$B$47,营销场景数据源!$A:$A,FD2)</f>
        <v>1</v>
      </c>
      <c r="FE50" s="95">
        <f>SUMIFS(营销场景数据源!$U:$U,营销场景数据源!$C:$C,$B$47,营销场景数据源!$A:$A,FE2)</f>
        <v>1</v>
      </c>
      <c r="FF50" s="95">
        <f>SUMIFS(营销场景数据源!$U:$U,营销场景数据源!$C:$C,$B$47,营销场景数据源!$A:$A,FF2)</f>
        <v>1</v>
      </c>
      <c r="FG50" s="95">
        <f>SUMIFS(营销场景数据源!$U:$U,营销场景数据源!$C:$C,$B$47,营销场景数据源!$A:$A,FG2)</f>
        <v>0</v>
      </c>
      <c r="FH50" s="95">
        <f>SUMIFS(营销场景数据源!$U:$U,营销场景数据源!$C:$C,$B$47,营销场景数据源!$A:$A,FH2)</f>
        <v>7</v>
      </c>
      <c r="FI50" s="95">
        <f>SUMIFS(营销场景数据源!$U:$U,营销场景数据源!$C:$C,$B$47,营销场景数据源!$A:$A,FI2)</f>
        <v>0</v>
      </c>
      <c r="FJ50" s="95">
        <f>SUMIFS(营销场景数据源!$U:$U,营销场景数据源!$C:$C,$B$47,营销场景数据源!$A:$A,FJ2)</f>
        <v>1</v>
      </c>
      <c r="FK50" s="95">
        <f>SUMIFS(营销场景数据源!$U:$U,营销场景数据源!$C:$C,$B$47,营销场景数据源!$A:$A,FK2)</f>
        <v>0</v>
      </c>
      <c r="FL50" s="95">
        <f>SUMIFS(营销场景数据源!$U:$U,营销场景数据源!$C:$C,$B$47,营销场景数据源!$A:$A,FL2)</f>
        <v>1</v>
      </c>
      <c r="FM50" s="95">
        <f>SUMIFS(营销场景数据源!$U:$U,营销场景数据源!$C:$C,$B$47,营销场景数据源!$A:$A,FM2)</f>
        <v>0</v>
      </c>
      <c r="FN50" s="95">
        <f>SUMIFS(营销场景数据源!$U:$U,营销场景数据源!$C:$C,$B$47,营销场景数据源!$A:$A,FN2)</f>
        <v>1</v>
      </c>
      <c r="FO50" s="95">
        <f>SUMIFS(营销场景数据源!$U:$U,营销场景数据源!$C:$C,$B$47,营销场景数据源!$A:$A,FO2)</f>
        <v>0</v>
      </c>
      <c r="FP50" s="95">
        <f>SUMIFS(营销场景数据源!$U:$U,营销场景数据源!$C:$C,$B$47,营销场景数据源!$A:$A,FP2)</f>
        <v>0</v>
      </c>
      <c r="FQ50" s="65">
        <f t="shared" si="260"/>
        <v>10</v>
      </c>
      <c r="FR50" s="95">
        <f>SUMIFS(营销场景数据源!$U:$U,营销场景数据源!$C:$C,$B$47,营销场景数据源!$A:$A,FR2)</f>
        <v>1</v>
      </c>
      <c r="FS50" s="95">
        <f>SUMIFS(营销场景数据源!$U:$U,营销场景数据源!$C:$C,$B$47,营销场景数据源!$A:$A,FS2)</f>
        <v>0</v>
      </c>
      <c r="FT50" s="95">
        <f>SUMIFS(营销场景数据源!$U:$U,营销场景数据源!$C:$C,$B$47,营销场景数据源!$A:$A,FT2)</f>
        <v>0</v>
      </c>
      <c r="FU50" s="95">
        <f>SUMIFS(营销场景数据源!$U:$U,营销场景数据源!$C:$C,$B$47,营销场景数据源!$A:$A,FU2)</f>
        <v>2</v>
      </c>
      <c r="FV50" s="95">
        <f>SUMIFS(营销场景数据源!$U:$U,营销场景数据源!$C:$C,$B$47,营销场景数据源!$A:$A,FV2)</f>
        <v>1</v>
      </c>
      <c r="FW50" s="95">
        <f>SUMIFS(营销场景数据源!$U:$U,营销场景数据源!$C:$C,$B$47,营销场景数据源!$A:$A,FW2)</f>
        <v>0</v>
      </c>
      <c r="FX50" s="95">
        <f>SUMIFS(营销场景数据源!$U:$U,营销场景数据源!$C:$C,$B$47,营销场景数据源!$A:$A,FX2)</f>
        <v>1</v>
      </c>
      <c r="FY50" s="95">
        <f>SUMIFS(营销场景数据源!$U:$U,营销场景数据源!$C:$C,$B$47,营销场景数据源!$A:$A,FY2)</f>
        <v>1</v>
      </c>
      <c r="FZ50" s="95">
        <f>SUMIFS(营销场景数据源!$U:$U,营销场景数据源!$C:$C,$B$47,营销场景数据源!$A:$A,FZ2)</f>
        <v>0</v>
      </c>
      <c r="GA50" s="95">
        <f>SUMIFS(营销场景数据源!$U:$U,营销场景数据源!$C:$C,$B$47,营销场景数据源!$A:$A,GA2)</f>
        <v>0</v>
      </c>
      <c r="GB50" s="95">
        <f>SUMIFS(营销场景数据源!$U:$U,营销场景数据源!$C:$C,$B$47,营销场景数据源!$A:$A,GB2)</f>
        <v>0</v>
      </c>
      <c r="GC50" s="95">
        <f>SUMIFS(营销场景数据源!$U:$U,营销场景数据源!$C:$C,$B$47,营销场景数据源!$A:$A,GC2)</f>
        <v>1</v>
      </c>
      <c r="GD50" s="95">
        <f>SUMIFS(营销场景数据源!$U:$U,营销场景数据源!$C:$C,$B$47,营销场景数据源!$A:$A,GD2)</f>
        <v>1</v>
      </c>
      <c r="GE50" s="95">
        <f>SUMIFS(营销场景数据源!$U:$U,营销场景数据源!$C:$C,$B$47,营销场景数据源!$A:$A,GE2)</f>
        <v>0</v>
      </c>
      <c r="GF50" s="95">
        <f>SUMIFS(营销场景数据源!$U:$U,营销场景数据源!$C:$C,$B$47,营销场景数据源!$A:$A,GF2)</f>
        <v>2</v>
      </c>
      <c r="GG50" s="95">
        <f>SUMIFS(营销场景数据源!$U:$U,营销场景数据源!$C:$C,$B$47,营销场景数据源!$A:$A,GG2)</f>
        <v>0</v>
      </c>
      <c r="GH50" s="95">
        <f>SUMIFS(营销场景数据源!$U:$U,营销场景数据源!$C:$C,$B$47,营销场景数据源!$A:$A,GH2)</f>
        <v>0</v>
      </c>
      <c r="GI50" s="95">
        <f>SUMIFS(营销场景数据源!$U:$U,营销场景数据源!$C:$C,$B$47,营销场景数据源!$A:$A,GI2)</f>
        <v>0</v>
      </c>
      <c r="GJ50" s="95">
        <f>SUMIFS(营销场景数据源!$U:$U,营销场景数据源!$C:$C,$B$47,营销场景数据源!$A:$A,GJ2)</f>
        <v>0</v>
      </c>
      <c r="GK50" s="95">
        <f>SUMIFS(营销场景数据源!$U:$U,营销场景数据源!$C:$C,$B$47,营销场景数据源!$A:$A,GK2)</f>
        <v>0</v>
      </c>
      <c r="GL50" s="95">
        <f>SUMIFS(营销场景数据源!$U:$U,营销场景数据源!$C:$C,$B$47,营销场景数据源!$A:$A,GL2)</f>
        <v>0</v>
      </c>
      <c r="GM50" s="95">
        <f>SUMIFS(营销场景数据源!$U:$U,营销场景数据源!$C:$C,$B$47,营销场景数据源!$A:$A,GM2)</f>
        <v>0</v>
      </c>
      <c r="GN50" s="95">
        <f>SUMIFS(营销场景数据源!$U:$U,营销场景数据源!$C:$C,$B$47,营销场景数据源!$A:$A,GN2)</f>
        <v>0</v>
      </c>
      <c r="GO50" s="95">
        <f>SUMIFS(营销场景数据源!$U:$U,营销场景数据源!$C:$C,$B$47,营销场景数据源!$A:$A,GO2)</f>
        <v>0</v>
      </c>
      <c r="GP50" s="95">
        <f>SUMIFS(营销场景数据源!$U:$U,营销场景数据源!$C:$C,$B$47,营销场景数据源!$A:$A,GP2)</f>
        <v>0</v>
      </c>
    </row>
    <row r="51" s="47" customFormat="1" ht="15" customHeight="1" spans="1:198">
      <c r="A51" s="106"/>
      <c r="B51" s="103"/>
      <c r="C51" s="104" t="s">
        <v>26</v>
      </c>
      <c r="D51" s="94" t="e">
        <f>SUM(E51:P51)</f>
        <v>#REF!</v>
      </c>
      <c r="E51" s="105" t="e">
        <f>#REF!</f>
        <v>#REF!</v>
      </c>
      <c r="F51" s="105" t="e">
        <f>#REF!</f>
        <v>#REF!</v>
      </c>
      <c r="G51" s="105" t="e">
        <f>#REF!</f>
        <v>#REF!</v>
      </c>
      <c r="H51" s="105" t="e">
        <f>#REF!</f>
        <v>#REF!</v>
      </c>
      <c r="I51" s="105" t="e">
        <f>#REF!</f>
        <v>#REF!</v>
      </c>
      <c r="J51" s="105" t="e">
        <f>#REF!</f>
        <v>#REF!</v>
      </c>
      <c r="K51" s="105" t="e">
        <f>#REF!</f>
        <v>#REF!</v>
      </c>
      <c r="L51" s="105" t="e">
        <f>#REF!</f>
        <v>#REF!</v>
      </c>
      <c r="M51" s="105" t="e">
        <f>#REF!</f>
        <v>#REF!</v>
      </c>
      <c r="N51" s="105" t="e">
        <f>#REF!</f>
        <v>#REF!</v>
      </c>
      <c r="O51" s="105" t="e">
        <f>#REF!</f>
        <v>#REF!</v>
      </c>
      <c r="P51" s="105" t="e">
        <f>#REF!</f>
        <v>#REF!</v>
      </c>
      <c r="Q51" s="65">
        <f>SUM(R51:AV51)</f>
        <v>173238.85</v>
      </c>
      <c r="R51" s="95">
        <f>SUMIFS(营销场景数据源!$T:$T,营销场景数据源!$C:$C,$B$47,营销场景数据源!$A:$A,R2)</f>
        <v>278.8</v>
      </c>
      <c r="S51" s="95">
        <f>SUMIFS(营销场景数据源!$T:$T,营销场景数据源!$C:$C,$B$47,营销场景数据源!$A:$A,S2)</f>
        <v>0</v>
      </c>
      <c r="T51" s="95">
        <f>SUMIFS(营销场景数据源!$T:$T,营销场景数据源!$C:$C,$B$47,营销场景数据源!$A:$A,T2)</f>
        <v>0</v>
      </c>
      <c r="U51" s="95">
        <f>SUMIFS(营销场景数据源!$T:$T,营销场景数据源!$C:$C,$B$47,营销场景数据源!$A:$A,U2)</f>
        <v>6178.52</v>
      </c>
      <c r="V51" s="95">
        <f>SUMIFS(营销场景数据源!$T:$T,营销场景数据源!$C:$C,$B$47,营销场景数据源!$A:$A,V2)</f>
        <v>0</v>
      </c>
      <c r="W51" s="95">
        <f>SUMIFS(营销场景数据源!$T:$T,营销场景数据源!$C:$C,$B$47,营销场景数据源!$A:$A,W2)</f>
        <v>726.16</v>
      </c>
      <c r="X51" s="95">
        <f>SUMIFS(营销场景数据源!$T:$T,营销场景数据源!$C:$C,$B$47,营销场景数据源!$A:$A,X2)</f>
        <v>0</v>
      </c>
      <c r="Y51" s="95">
        <f>SUMIFS(营销场景数据源!$T:$T,营销场景数据源!$C:$C,$B$47,营销场景数据源!$A:$A,Y2)</f>
        <v>0</v>
      </c>
      <c r="Z51" s="95">
        <f>SUMIFS(营销场景数据源!$T:$T,营销场景数据源!$C:$C,$B$47,营销场景数据源!$A:$A,Z2)</f>
        <v>0</v>
      </c>
      <c r="AA51" s="95">
        <f>SUMIFS(营销场景数据源!$T:$T,营销场景数据源!$C:$C,$B$47,营销场景数据源!$A:$A,AA2)</f>
        <v>0</v>
      </c>
      <c r="AB51" s="95">
        <f>SUMIFS(营销场景数据源!$T:$T,营销场景数据源!$C:$C,$B$47,营销场景数据源!$A:$A,AB2)</f>
        <v>0</v>
      </c>
      <c r="AC51" s="95">
        <f>SUMIFS(营销场景数据源!$T:$T,营销场景数据源!$C:$C,$B$47,营销场景数据源!$A:$A,AC2)</f>
        <v>0</v>
      </c>
      <c r="AD51" s="95">
        <f>SUMIFS(营销场景数据源!$T:$T,营销场景数据源!$C:$C,$B$47,营销场景数据源!$A:$A,AD2)</f>
        <v>142.8</v>
      </c>
      <c r="AE51" s="95">
        <f>SUMIFS(营销场景数据源!$T:$T,营销场景数据源!$C:$C,$B$47,营销场景数据源!$A:$A,AE2)</f>
        <v>0</v>
      </c>
      <c r="AF51" s="95">
        <f>SUMIFS(营销场景数据源!$T:$T,营销场景数据源!$C:$C,$B$47,营销场景数据源!$A:$A,AF2)</f>
        <v>0</v>
      </c>
      <c r="AG51" s="95">
        <f>SUMIFS(营销场景数据源!$T:$T,营销场景数据源!$C:$C,$B$47,营销场景数据源!$A:$A,AG2)</f>
        <v>0</v>
      </c>
      <c r="AH51" s="95">
        <f>SUMIFS(营销场景数据源!$T:$T,营销场景数据源!$C:$C,$B$47,营销场景数据源!$A:$A,AH2)</f>
        <v>955.4</v>
      </c>
      <c r="AI51" s="95">
        <f>SUMIFS(营销场景数据源!$T:$T,营销场景数据源!$C:$C,$B$47,营销场景数据源!$A:$A,AI2)</f>
        <v>326</v>
      </c>
      <c r="AJ51" s="95">
        <f>SUMIFS(营销场景数据源!$T:$T,营销场景数据源!$C:$C,$B$47,营销场景数据源!$A:$A,AJ2)</f>
        <v>0</v>
      </c>
      <c r="AK51" s="95">
        <f>SUMIFS(营销场景数据源!$T:$T,营销场景数据源!$C:$C,$B$47,营销场景数据源!$A:$A,AK2)</f>
        <v>0</v>
      </c>
      <c r="AL51" s="95">
        <f>SUMIFS(营销场景数据源!$T:$T,营销场景数据源!$C:$C,$B$47,营销场景数据源!$A:$A,AL2)</f>
        <v>0</v>
      </c>
      <c r="AM51" s="95">
        <f>SUMIFS(营销场景数据源!$T:$T,营销场景数据源!$C:$C,$B$47,营销场景数据源!$A:$A,AM2)</f>
        <v>0</v>
      </c>
      <c r="AN51" s="95">
        <f>SUMIFS(营销场景数据源!$T:$T,营销场景数据源!$C:$C,$B$47,营销场景数据源!$A:$A,AN2)</f>
        <v>218</v>
      </c>
      <c r="AO51" s="95">
        <f>SUMIFS(营销场景数据源!$T:$T,营销场景数据源!$C:$C,$B$47,营销场景数据源!$A:$A,AO2)</f>
        <v>2861.15</v>
      </c>
      <c r="AP51" s="95">
        <f>SUMIFS(营销场景数据源!$T:$T,营销场景数据源!$C:$C,$B$47,营销场景数据源!$A:$A,AP2)</f>
        <v>2138.21</v>
      </c>
      <c r="AQ51" s="95">
        <f>SUMIFS(营销场景数据源!$T:$T,营销场景数据源!$C:$C,$B$47,营销场景数据源!$A:$A,AQ2)</f>
        <v>0</v>
      </c>
      <c r="AR51" s="95">
        <f>SUMIFS(营销场景数据源!$T:$T,营销场景数据源!$C:$C,$B$47,营销场景数据源!$A:$A,AR2)</f>
        <v>0</v>
      </c>
      <c r="AS51" s="95">
        <f>SUMIFS(营销场景数据源!$T:$T,营销场景数据源!$C:$C,$B$47,营销场景数据源!$A:$A,AS2)</f>
        <v>157658.55</v>
      </c>
      <c r="AT51" s="95">
        <f>SUMIFS(营销场景数据源!$T:$T,营销场景数据源!$C:$C,$B$47,营销场景数据源!$A:$A,AT2)</f>
        <v>349.77</v>
      </c>
      <c r="AU51" s="95">
        <f>SUMIFS(营销场景数据源!$T:$T,营销场景数据源!$C:$C,$B$47,营销场景数据源!$A:$A,AU2)</f>
        <v>121.65</v>
      </c>
      <c r="AV51" s="95">
        <f>SUMIFS(营销场景数据源!$T:$T,营销场景数据源!$C:$C,$B$47,营销场景数据源!$A:$A,AV2)</f>
        <v>1283.84</v>
      </c>
      <c r="AW51" s="65">
        <f>SUM(AX51:BY51)</f>
        <v>9294.48</v>
      </c>
      <c r="AX51" s="95">
        <f>SUMIFS(营销场景数据源!$T:$T,营销场景数据源!$C:$C,$B$47,营销场景数据源!$A:$A,AX2)</f>
        <v>498.27</v>
      </c>
      <c r="AY51" s="95">
        <f>SUMIFS(营销场景数据源!$T:$T,营销场景数据源!$C:$C,$B$47,营销场景数据源!$A:$A,AY2)</f>
        <v>0</v>
      </c>
      <c r="AZ51" s="95">
        <f>SUMIFS(营销场景数据源!$T:$T,营销场景数据源!$C:$C,$B$47,营销场景数据源!$A:$A,AZ2)</f>
        <v>0</v>
      </c>
      <c r="BA51" s="95">
        <f>SUMIFS(营销场景数据源!$T:$T,营销场景数据源!$C:$C,$B$47,营销场景数据源!$A:$A,BA2)</f>
        <v>3706.31</v>
      </c>
      <c r="BB51" s="95">
        <f>SUMIFS(营销场景数据源!$T:$T,营销场景数据源!$C:$C,$B$47,营销场景数据源!$A:$A,BB2)</f>
        <v>1154.56</v>
      </c>
      <c r="BC51" s="95">
        <f>SUMIFS(营销场景数据源!$T:$T,营销场景数据源!$C:$C,$B$47,营销场景数据源!$A:$A,BC2)</f>
        <v>1746.96</v>
      </c>
      <c r="BD51" s="95">
        <f>SUMIFS(营销场景数据源!$T:$T,营销场景数据源!$C:$C,$B$47,营销场景数据源!$A:$A,BD2)</f>
        <v>65.35</v>
      </c>
      <c r="BE51" s="95">
        <f>SUMIFS(营销场景数据源!$T:$T,营销场景数据源!$C:$C,$B$47,营销场景数据源!$A:$A,BE2)</f>
        <v>147.24</v>
      </c>
      <c r="BF51" s="95">
        <f>SUMIFS(营销场景数据源!$T:$T,营销场景数据源!$C:$C,$B$47,营销场景数据源!$A:$A,BF2)</f>
        <v>0</v>
      </c>
      <c r="BG51" s="95">
        <f>SUMIFS(营销场景数据源!$T:$T,营销场景数据源!$C:$C,$B$47,营销场景数据源!$A:$A,BG2)</f>
        <v>0</v>
      </c>
      <c r="BH51" s="95">
        <f>SUMIFS(营销场景数据源!$T:$T,营销场景数据源!$C:$C,$B$47,营销场景数据源!$A:$A,BH2)</f>
        <v>288.64</v>
      </c>
      <c r="BI51" s="95">
        <f>SUMIFS(营销场景数据源!$T:$T,营销场景数据源!$C:$C,$B$47,营销场景数据源!$A:$A,BI2)</f>
        <v>0</v>
      </c>
      <c r="BJ51" s="95">
        <f>SUMIFS(营销场景数据源!$T:$T,营销场景数据源!$C:$C,$B$47,营销场景数据源!$A:$A,BJ2)</f>
        <v>0</v>
      </c>
      <c r="BK51" s="95">
        <f>SUMIFS(营销场景数据源!$T:$T,营销场景数据源!$C:$C,$B$47,营销场景数据源!$A:$A,BK2)</f>
        <v>1174.4</v>
      </c>
      <c r="BL51" s="95">
        <f>SUMIFS(营销场景数据源!$T:$T,营销场景数据源!$C:$C,$B$47,营销场景数据源!$A:$A,BL2)</f>
        <v>0</v>
      </c>
      <c r="BM51" s="95">
        <f>SUMIFS(营销场景数据源!$T:$T,营销场景数据源!$C:$C,$B$47,营销场景数据源!$A:$A,BM2)</f>
        <v>0</v>
      </c>
      <c r="BN51" s="95">
        <f>SUMIFS(营销场景数据源!$T:$T,营销场景数据源!$C:$C,$B$47,营销场景数据源!$A:$A,BN2)</f>
        <v>0</v>
      </c>
      <c r="BO51" s="95">
        <f>SUMIFS(营销场景数据源!$T:$T,营销场景数据源!$C:$C,$B$47,营销场景数据源!$A:$A,BO2)</f>
        <v>0</v>
      </c>
      <c r="BP51" s="95">
        <f>SUMIFS(营销场景数据源!$T:$T,营销场景数据源!$C:$C,$B$47,营销场景数据源!$A:$A,BP2)</f>
        <v>0</v>
      </c>
      <c r="BQ51" s="95">
        <f>SUMIFS(营销场景数据源!$T:$T,营销场景数据源!$C:$C,$B$47,营销场景数据源!$A:$A,BQ2)</f>
        <v>28.42</v>
      </c>
      <c r="BR51" s="95">
        <f>SUMIFS(营销场景数据源!$T:$T,营销场景数据源!$C:$C,$B$47,营销场景数据源!$A:$A,BR2)</f>
        <v>75.66</v>
      </c>
      <c r="BS51" s="95">
        <f>SUMIFS(营销场景数据源!$T:$T,营销场景数据源!$C:$C,$B$47,营销场景数据源!$A:$A,BS2)</f>
        <v>381.22</v>
      </c>
      <c r="BT51" s="95">
        <f>SUMIFS(营销场景数据源!$T:$T,营销场景数据源!$C:$C,$B$47,营销场景数据源!$A:$A,BT2)</f>
        <v>0</v>
      </c>
      <c r="BU51" s="95">
        <f>SUMIFS(营销场景数据源!$T:$T,营销场景数据源!$C:$C,$B$47,营销场景数据源!$A:$A,BU2)</f>
        <v>27.45</v>
      </c>
      <c r="BV51" s="95">
        <f>SUMIFS(营销场景数据源!$T:$T,营销场景数据源!$C:$C,$B$47,营销场景数据源!$A:$A,BV2)</f>
        <v>0</v>
      </c>
      <c r="BW51" s="95">
        <f>SUMIFS(营销场景数据源!$T:$T,营销场景数据源!$C:$C,$B$47,营销场景数据源!$A:$A,BW2)</f>
        <v>0</v>
      </c>
      <c r="BX51" s="95">
        <f>SUMIFS(营销场景数据源!$T:$T,营销场景数据源!$C:$C,$B$47,营销场景数据源!$A:$A,BX2)</f>
        <v>0</v>
      </c>
      <c r="BY51" s="95">
        <f>SUMIFS(营销场景数据源!$T:$T,营销场景数据源!$C:$C,$B$47,营销场景数据源!$A:$A,BY2)</f>
        <v>0</v>
      </c>
      <c r="BZ51" s="65">
        <f>SUM(CA51:DE51)</f>
        <v>7406.71</v>
      </c>
      <c r="CA51" s="95">
        <f>SUMIFS(营销场景数据源!$T:$T,营销场景数据源!$C:$C,$B$47,营销场景数据源!$A:$A,CA2)</f>
        <v>318.7</v>
      </c>
      <c r="CB51" s="95">
        <f>SUMIFS(营销场景数据源!$T:$T,营销场景数据源!$C:$C,$B$47,营销场景数据源!$A:$A,CB2)</f>
        <v>0</v>
      </c>
      <c r="CC51" s="95">
        <f>SUMIFS(营销场景数据源!$T:$T,营销场景数据源!$C:$C,$B$47,营销场景数据源!$A:$A,CC2)</f>
        <v>291.24</v>
      </c>
      <c r="CD51" s="95">
        <f>SUMIFS(营销场景数据源!$T:$T,营销场景数据源!$C:$C,$B$47,营销场景数据源!$A:$A,CD2)</f>
        <v>262.24</v>
      </c>
      <c r="CE51" s="95">
        <f>SUMIFS(营销场景数据源!$T:$T,营销场景数据源!$C:$C,$B$47,营销场景数据源!$A:$A,CE2)</f>
        <v>0</v>
      </c>
      <c r="CF51" s="95">
        <f>SUMIFS(营销场景数据源!$T:$T,营销场景数据源!$C:$C,$B$47,营销场景数据源!$A:$A,CF2)</f>
        <v>0</v>
      </c>
      <c r="CG51" s="95">
        <f>SUMIFS(营销场景数据源!$T:$T,营销场景数据源!$C:$C,$B$47,营销场景数据源!$A:$A,CG2)</f>
        <v>148.4</v>
      </c>
      <c r="CH51" s="95">
        <f>SUMIFS(营销场景数据源!$T:$T,营销场景数据源!$C:$C,$B$47,营销场景数据源!$A:$A,CH2)</f>
        <v>384.49</v>
      </c>
      <c r="CI51" s="95">
        <f>SUMIFS(营销场景数据源!$T:$T,营销场景数据源!$C:$C,$B$47,营销场景数据源!$A:$A,CI2)</f>
        <v>566.6</v>
      </c>
      <c r="CJ51" s="95">
        <f>SUMIFS(营销场景数据源!$T:$T,营销场景数据源!$C:$C,$B$47,营销场景数据源!$A:$A,CJ2)</f>
        <v>269</v>
      </c>
      <c r="CK51" s="95">
        <f>SUMIFS(营销场景数据源!$T:$T,营销场景数据源!$C:$C,$B$47,营销场景数据源!$A:$A,CK2)</f>
        <v>567.4</v>
      </c>
      <c r="CL51" s="95">
        <f>SUMIFS(营销场景数据源!$T:$T,营销场景数据源!$C:$C,$B$47,营销场景数据源!$A:$A,CL2)</f>
        <v>151</v>
      </c>
      <c r="CM51" s="95">
        <f>SUMIFS(营销场景数据源!$T:$T,营销场景数据源!$C:$C,$B$47,营销场景数据源!$A:$A,CM2)</f>
        <v>287.51</v>
      </c>
      <c r="CN51" s="95">
        <f>SUMIFS(营销场景数据源!$T:$T,营销场景数据源!$C:$C,$B$47,营销场景数据源!$A:$A,CN2)</f>
        <v>1039.7</v>
      </c>
      <c r="CO51" s="95">
        <f>SUMIFS(营销场景数据源!$T:$T,营销场景数据源!$C:$C,$B$47,营销场景数据源!$A:$A,CO2)</f>
        <v>242.1</v>
      </c>
      <c r="CP51" s="95">
        <f>SUMIFS(营销场景数据源!$T:$T,营销场景数据源!$C:$C,$B$47,营销场景数据源!$A:$A,CP2)</f>
        <v>549.06</v>
      </c>
      <c r="CQ51" s="95">
        <f>SUMIFS(营销场景数据源!$T:$T,营销场景数据源!$C:$C,$B$47,营销场景数据源!$A:$A,CQ2)</f>
        <v>147.64</v>
      </c>
      <c r="CR51" s="95">
        <f>SUMIFS(营销场景数据源!$T:$T,营销场景数据源!$C:$C,$B$47,营销场景数据源!$A:$A,CR2)</f>
        <v>345.03</v>
      </c>
      <c r="CS51" s="95">
        <f>SUMIFS(营销场景数据源!$T:$T,营销场景数据源!$C:$C,$B$47,营销场景数据源!$A:$A,CS2)</f>
        <v>378.43</v>
      </c>
      <c r="CT51" s="95">
        <f>SUMIFS(营销场景数据源!$T:$T,营销场景数据源!$C:$C,$B$47,营销场景数据源!$A:$A,CT2)</f>
        <v>29</v>
      </c>
      <c r="CU51" s="95">
        <f>SUMIFS(营销场景数据源!$T:$T,营销场景数据源!$C:$C,$B$47,营销场景数据源!$A:$A,CU2)</f>
        <v>228.55</v>
      </c>
      <c r="CV51" s="95">
        <f>SUMIFS(营销场景数据源!$T:$T,营销场景数据源!$C:$C,$B$47,营销场景数据源!$A:$A,CV2)</f>
        <v>0</v>
      </c>
      <c r="CW51" s="95">
        <f>SUMIFS(营销场景数据源!$T:$T,营销场景数据源!$C:$C,$B$47,营销场景数据源!$A:$A,CW2)</f>
        <v>0</v>
      </c>
      <c r="CX51" s="95">
        <f>SUMIFS(营销场景数据源!$T:$T,营销场景数据源!$C:$C,$B$47,营销场景数据源!$A:$A,CX2)</f>
        <v>69.3</v>
      </c>
      <c r="CY51" s="95">
        <f>SUMIFS(营销场景数据源!$T:$T,营销场景数据源!$C:$C,$B$47,营销场景数据源!$A:$A,CY2)</f>
        <v>0</v>
      </c>
      <c r="CZ51" s="95">
        <f>SUMIFS(营销场景数据源!$T:$T,营销场景数据源!$C:$C,$B$47,营销场景数据源!$A:$A,CZ2)</f>
        <v>87.12</v>
      </c>
      <c r="DA51" s="95">
        <f>SUMIFS(营销场景数据源!$T:$T,营销场景数据源!$C:$C,$B$47,营销场景数据源!$A:$A,DA2)</f>
        <v>500</v>
      </c>
      <c r="DB51" s="95">
        <f>SUMIFS(营销场景数据源!$T:$T,营销场景数据源!$C:$C,$B$47,营销场景数据源!$A:$A,DB2)</f>
        <v>0</v>
      </c>
      <c r="DC51" s="95">
        <f>SUMIFS(营销场景数据源!$T:$T,营销场景数据源!$C:$C,$B$47,营销场景数据源!$A:$A,DC2)</f>
        <v>0</v>
      </c>
      <c r="DD51" s="95">
        <f>SUMIFS(营销场景数据源!$T:$T,营销场景数据源!$C:$C,$B$47,营销场景数据源!$A:$A,DD2)</f>
        <v>295</v>
      </c>
      <c r="DE51" s="95">
        <f>SUMIFS(营销场景数据源!$T:$T,营销场景数据源!$C:$C,$B$47,营销场景数据源!$A:$A,DE2)</f>
        <v>249.2</v>
      </c>
      <c r="DF51" s="65">
        <f>SUM(DG51:EJ51)</f>
        <v>2746.02</v>
      </c>
      <c r="DG51" s="95">
        <f>SUMIFS(营销场景数据源!$T:$T,营销场景数据源!$C:$C,$B$47,营销场景数据源!$A:$A,DG2)</f>
        <v>183.71</v>
      </c>
      <c r="DH51" s="95">
        <f>SUMIFS(营销场景数据源!$T:$T,营销场景数据源!$C:$C,$B$47,营销场景数据源!$A:$A,DH2)</f>
        <v>63.9</v>
      </c>
      <c r="DI51" s="95">
        <f>SUMIFS(营销场景数据源!$T:$T,营销场景数据源!$C:$C,$B$47,营销场景数据源!$A:$A,DI2)</f>
        <v>0</v>
      </c>
      <c r="DJ51" s="95">
        <f>SUMIFS(营销场景数据源!$T:$T,营销场景数据源!$C:$C,$B$47,营销场景数据源!$A:$A,DJ2)</f>
        <v>0</v>
      </c>
      <c r="DK51" s="95">
        <f>SUMIFS(营销场景数据源!$T:$T,营销场景数据源!$C:$C,$B$47,营销场景数据源!$A:$A,DK2)</f>
        <v>70.2</v>
      </c>
      <c r="DL51" s="95">
        <f>SUMIFS(营销场景数据源!$T:$T,营销场景数据源!$C:$C,$B$47,营销场景数据源!$A:$A,DL2)</f>
        <v>0</v>
      </c>
      <c r="DM51" s="95">
        <f>SUMIFS(营销场景数据源!$T:$T,营销场景数据源!$C:$C,$B$47,营销场景数据源!$A:$A,DM2)</f>
        <v>900.94</v>
      </c>
      <c r="DN51" s="95">
        <f>SUMIFS(营销场景数据源!$T:$T,营销场景数据源!$C:$C,$B$47,营销场景数据源!$A:$A,DN2)</f>
        <v>0</v>
      </c>
      <c r="DO51" s="95">
        <f>SUMIFS(营销场景数据源!$T:$T,营销场景数据源!$C:$C,$B$47,营销场景数据源!$A:$A,DO2)</f>
        <v>0</v>
      </c>
      <c r="DP51" s="95">
        <f>SUMIFS(营销场景数据源!$T:$T,营销场景数据源!$C:$C,$B$47,营销场景数据源!$A:$A,DP2)</f>
        <v>42.91</v>
      </c>
      <c r="DQ51" s="95">
        <f>SUMIFS(营销场景数据源!$T:$T,营销场景数据源!$C:$C,$B$47,营销场景数据源!$A:$A,DQ2)</f>
        <v>0</v>
      </c>
      <c r="DR51" s="95">
        <f>SUMIFS(营销场景数据源!$T:$T,营销场景数据源!$C:$C,$B$47,营销场景数据源!$A:$A,DR2)</f>
        <v>0</v>
      </c>
      <c r="DS51" s="95">
        <f>SUMIFS(营销场景数据源!$T:$T,营销场景数据源!$C:$C,$B$47,营销场景数据源!$A:$A,DS2)</f>
        <v>0</v>
      </c>
      <c r="DT51" s="95">
        <f>SUMIFS(营销场景数据源!$T:$T,营销场景数据源!$C:$C,$B$47,营销场景数据源!$A:$A,DT2)</f>
        <v>684.04</v>
      </c>
      <c r="DU51" s="95">
        <f>SUMIFS(营销场景数据源!$T:$T,营销场景数据源!$C:$C,$B$47,营销场景数据源!$A:$A,DU2)</f>
        <v>0</v>
      </c>
      <c r="DV51" s="95">
        <f>SUMIFS(营销场景数据源!$T:$T,营销场景数据源!$C:$C,$B$47,营销场景数据源!$A:$A,DV2)</f>
        <v>571.56</v>
      </c>
      <c r="DW51" s="95">
        <f>SUMIFS(营销场景数据源!$T:$T,营销场景数据源!$C:$C,$B$47,营销场景数据源!$A:$A,DW2)</f>
        <v>0</v>
      </c>
      <c r="DX51" s="95">
        <f>SUMIFS(营销场景数据源!$T:$T,营销场景数据源!$C:$C,$B$47,营销场景数据源!$A:$A,DX2)</f>
        <v>0</v>
      </c>
      <c r="DY51" s="95">
        <f>SUMIFS(营销场景数据源!$T:$T,营销场景数据源!$C:$C,$B$47,营销场景数据源!$A:$A,DY2)</f>
        <v>0</v>
      </c>
      <c r="DZ51" s="95">
        <f>SUMIFS(营销场景数据源!$T:$T,营销场景数据源!$C:$C,$B$47,营销场景数据源!$A:$A,DZ2)</f>
        <v>0</v>
      </c>
      <c r="EA51" s="95">
        <f>SUMIFS(营销场景数据源!$T:$T,营销场景数据源!$C:$C,$B$47,营销场景数据源!$A:$A,EA2)</f>
        <v>0</v>
      </c>
      <c r="EB51" s="95">
        <f>SUMIFS(营销场景数据源!$T:$T,营销场景数据源!$C:$C,$B$47,营销场景数据源!$A:$A,EB2)</f>
        <v>228.76</v>
      </c>
      <c r="EC51" s="95">
        <f>SUMIFS(营销场景数据源!$T:$T,营销场景数据源!$C:$C,$B$47,营销场景数据源!$A:$A,EC2)</f>
        <v>0</v>
      </c>
      <c r="ED51" s="95">
        <f>SUMIFS(营销场景数据源!$T:$T,营销场景数据源!$C:$C,$B$47,营销场景数据源!$A:$A,ED2)</f>
        <v>0</v>
      </c>
      <c r="EE51" s="95">
        <f>SUMIFS(营销场景数据源!$T:$T,营销场景数据源!$C:$C,$B$47,营销场景数据源!$A:$A,EE2)</f>
        <v>0</v>
      </c>
      <c r="EF51" s="95">
        <f>SUMIFS(营销场景数据源!$T:$T,营销场景数据源!$C:$C,$B$47,营销场景数据源!$A:$A,EF2)</f>
        <v>0</v>
      </c>
      <c r="EG51" s="95">
        <f>SUMIFS(营销场景数据源!$T:$T,营销场景数据源!$C:$C,$B$47,营销场景数据源!$A:$A,EG2)</f>
        <v>0</v>
      </c>
      <c r="EH51" s="95">
        <f>SUMIFS(营销场景数据源!$T:$T,营销场景数据源!$C:$C,$B$47,营销场景数据源!$A:$A,EH2)</f>
        <v>0</v>
      </c>
      <c r="EI51" s="95">
        <f>SUMIFS(营销场景数据源!$T:$T,营销场景数据源!$C:$C,$B$47,营销场景数据源!$A:$A,EI2)</f>
        <v>0</v>
      </c>
      <c r="EJ51" s="95">
        <f>SUMIFS(营销场景数据源!$T:$T,营销场景数据源!$C:$C,$B$47,营销场景数据源!$A:$A,EJ2)</f>
        <v>0</v>
      </c>
      <c r="EK51" s="65">
        <f>SUM(EL51:FP51)</f>
        <v>23029.77</v>
      </c>
      <c r="EL51" s="95">
        <f>SUMIFS(营销场景数据源!$T:$T,营销场景数据源!$C:$C,$B$47,营销场景数据源!$A:$A,EL2)</f>
        <v>189.05</v>
      </c>
      <c r="EM51" s="95">
        <f>SUMIFS(营销场景数据源!$T:$T,营销场景数据源!$C:$C,$B$47,营销场景数据源!$A:$A,EM2)</f>
        <v>0</v>
      </c>
      <c r="EN51" s="95">
        <f>SUMIFS(营销场景数据源!$T:$T,营销场景数据源!$C:$C,$B$47,营销场景数据源!$A:$A,EN2)</f>
        <v>0</v>
      </c>
      <c r="EO51" s="95">
        <f>SUMIFS(营销场景数据源!$T:$T,营销场景数据源!$C:$C,$B$47,营销场景数据源!$A:$A,EO2)</f>
        <v>0</v>
      </c>
      <c r="EP51" s="95">
        <f>SUMIFS(营销场景数据源!$T:$T,营销场景数据源!$C:$C,$B$47,营销场景数据源!$A:$A,EP2)</f>
        <v>4537.75</v>
      </c>
      <c r="EQ51" s="95">
        <f>SUMIFS(营销场景数据源!$T:$T,营销场景数据源!$C:$C,$B$47,营销场景数据源!$A:$A,EQ2)</f>
        <v>0</v>
      </c>
      <c r="ER51" s="95">
        <f>SUMIFS(营销场景数据源!$T:$T,营销场景数据源!$C:$C,$B$47,营销场景数据源!$A:$A,ER2)</f>
        <v>0</v>
      </c>
      <c r="ES51" s="95">
        <f>SUMIFS(营销场景数据源!$T:$T,营销场景数据源!$C:$C,$B$47,营销场景数据源!$A:$A,ES2)</f>
        <v>81.13</v>
      </c>
      <c r="ET51" s="95">
        <f>SUMIFS(营销场景数据源!$T:$T,营销场景数据源!$C:$C,$B$47,营销场景数据源!$A:$A,ET2)</f>
        <v>0</v>
      </c>
      <c r="EU51" s="95">
        <f>SUMIFS(营销场景数据源!$T:$T,营销场景数据源!$C:$C,$B$47,营销场景数据源!$A:$A,EU2)</f>
        <v>277.7</v>
      </c>
      <c r="EV51" s="95">
        <f>SUMIFS(营销场景数据源!$T:$T,营销场景数据源!$C:$C,$B$47,营销场景数据源!$A:$A,EV2)</f>
        <v>0</v>
      </c>
      <c r="EW51" s="95">
        <f>SUMIFS(营销场景数据源!$T:$T,营销场景数据源!$C:$C,$B$47,营销场景数据源!$A:$A,EW2)</f>
        <v>0</v>
      </c>
      <c r="EX51" s="95">
        <f>SUMIFS(营销场景数据源!$T:$T,营销场景数据源!$C:$C,$B$47,营销场景数据源!$A:$A,EX2)</f>
        <v>42.4</v>
      </c>
      <c r="EY51" s="95">
        <f>SUMIFS(营销场景数据源!$T:$T,营销场景数据源!$C:$C,$B$47,营销场景数据源!$A:$A,EY2)</f>
        <v>338</v>
      </c>
      <c r="EZ51" s="95">
        <f>SUMIFS(营销场景数据源!$T:$T,营销场景数据源!$C:$C,$B$47,营销场景数据源!$A:$A,EZ2)</f>
        <v>4717</v>
      </c>
      <c r="FA51" s="95">
        <f>SUMIFS(营销场景数据源!$T:$T,营销场景数据源!$C:$C,$B$47,营销场景数据源!$A:$A,FA2)</f>
        <v>0</v>
      </c>
      <c r="FB51" s="95">
        <f>SUMIFS(营销场景数据源!$T:$T,营销场景数据源!$C:$C,$B$47,营销场景数据源!$A:$A,FB2)</f>
        <v>0</v>
      </c>
      <c r="FC51" s="95">
        <f>SUMIFS(营销场景数据源!$T:$T,营销场景数据源!$C:$C,$B$47,营销场景数据源!$A:$A,FC2)</f>
        <v>0</v>
      </c>
      <c r="FD51" s="95">
        <f>SUMIFS(营销场景数据源!$T:$T,营销场景数据源!$C:$C,$B$47,营销场景数据源!$A:$A,FD2)</f>
        <v>38.87</v>
      </c>
      <c r="FE51" s="95">
        <f>SUMIFS(营销场景数据源!$T:$T,营销场景数据源!$C:$C,$B$47,营销场景数据源!$A:$A,FE2)</f>
        <v>142</v>
      </c>
      <c r="FF51" s="95">
        <f>SUMIFS(营销场景数据源!$T:$T,营销场景数据源!$C:$C,$B$47,营销场景数据源!$A:$A,FF2)</f>
        <v>8074</v>
      </c>
      <c r="FG51" s="95">
        <f>SUMIFS(营销场景数据源!$T:$T,营销场景数据源!$C:$C,$B$47,营销场景数据源!$A:$A,FG2)</f>
        <v>0</v>
      </c>
      <c r="FH51" s="95">
        <f>SUMIFS(营销场景数据源!$T:$T,营销场景数据源!$C:$C,$B$47,营销场景数据源!$A:$A,FH2)</f>
        <v>466.54</v>
      </c>
      <c r="FI51" s="95">
        <f>SUMIFS(营销场景数据源!$T:$T,营销场景数据源!$C:$C,$B$47,营销场景数据源!$A:$A,FI2)</f>
        <v>0</v>
      </c>
      <c r="FJ51" s="95">
        <f>SUMIFS(营销场景数据源!$T:$T,营销场景数据源!$C:$C,$B$47,营销场景数据源!$A:$A,FJ2)</f>
        <v>64.73</v>
      </c>
      <c r="FK51" s="95">
        <f>SUMIFS(营销场景数据源!$T:$T,营销场景数据源!$C:$C,$B$47,营销场景数据源!$A:$A,FK2)</f>
        <v>0</v>
      </c>
      <c r="FL51" s="95">
        <f>SUMIFS(营销场景数据源!$T:$T,营销场景数据源!$C:$C,$B$47,营销场景数据源!$A:$A,FL2)</f>
        <v>4036</v>
      </c>
      <c r="FM51" s="95">
        <f>SUMIFS(营销场景数据源!$T:$T,营销场景数据源!$C:$C,$B$47,营销场景数据源!$A:$A,FM2)</f>
        <v>0</v>
      </c>
      <c r="FN51" s="95">
        <f>SUMIFS(营销场景数据源!$T:$T,营销场景数据源!$C:$C,$B$47,营销场景数据源!$A:$A,FN2)</f>
        <v>24.6</v>
      </c>
      <c r="FO51" s="95">
        <f>SUMIFS(营销场景数据源!$T:$T,营销场景数据源!$C:$C,$B$47,营销场景数据源!$A:$A,FO2)</f>
        <v>0</v>
      </c>
      <c r="FP51" s="95">
        <f>SUMIFS(营销场景数据源!$T:$T,营销场景数据源!$C:$C,$B$47,营销场景数据源!$A:$A,FP2)</f>
        <v>0</v>
      </c>
      <c r="FQ51" s="65">
        <f t="shared" si="260"/>
        <v>2038.54</v>
      </c>
      <c r="FR51" s="95">
        <f>SUMIFS(营销场景数据源!$T:$T,营销场景数据源!$C:$C,$B$47,营销场景数据源!$A:$A,FR2)</f>
        <v>37.93</v>
      </c>
      <c r="FS51" s="95">
        <f>SUMIFS(营销场景数据源!$T:$T,营销场景数据源!$C:$C,$B$47,营销场景数据源!$A:$A,FS2)</f>
        <v>0</v>
      </c>
      <c r="FT51" s="95">
        <f>SUMIFS(营销场景数据源!$T:$T,营销场景数据源!$C:$C,$B$47,营销场景数据源!$A:$A,FT2)</f>
        <v>0</v>
      </c>
      <c r="FU51" s="95">
        <f>SUMIFS(营销场景数据源!$T:$T,营销场景数据源!$C:$C,$B$47,营销场景数据源!$A:$A,FU2)</f>
        <v>383.64</v>
      </c>
      <c r="FV51" s="95">
        <f>SUMIFS(营销场景数据源!$T:$T,营销场景数据源!$C:$C,$B$47,营销场景数据源!$A:$A,FV2)</f>
        <v>245</v>
      </c>
      <c r="FW51" s="95">
        <f>SUMIFS(营销场景数据源!$T:$T,营销场景数据源!$C:$C,$B$47,营销场景数据源!$A:$A,FW2)</f>
        <v>0</v>
      </c>
      <c r="FX51" s="95">
        <f>SUMIFS(营销场景数据源!$T:$T,营销场景数据源!$C:$C,$B$47,营销场景数据源!$A:$A,FX2)</f>
        <v>414</v>
      </c>
      <c r="FY51" s="95">
        <f>SUMIFS(营销场景数据源!$T:$T,营销场景数据源!$C:$C,$B$47,营销场景数据源!$A:$A,FY2)</f>
        <v>331.73</v>
      </c>
      <c r="FZ51" s="95">
        <f>SUMIFS(营销场景数据源!$T:$T,营销场景数据源!$C:$C,$B$47,营销场景数据源!$A:$A,FZ2)</f>
        <v>0</v>
      </c>
      <c r="GA51" s="95">
        <f>SUMIFS(营销场景数据源!$T:$T,营销场景数据源!$C:$C,$B$47,营销场景数据源!$A:$A,GA2)</f>
        <v>0</v>
      </c>
      <c r="GB51" s="95">
        <f>SUMIFS(营销场景数据源!$T:$T,营销场景数据源!$C:$C,$B$47,营销场景数据源!$A:$A,GB2)</f>
        <v>0</v>
      </c>
      <c r="GC51" s="95">
        <f>SUMIFS(营销场景数据源!$T:$T,营销场景数据源!$C:$C,$B$47,营销场景数据源!$A:$A,GC2)</f>
        <v>271.49</v>
      </c>
      <c r="GD51" s="95">
        <f>SUMIFS(营销场景数据源!$T:$T,营销场景数据源!$C:$C,$B$47,营销场景数据源!$A:$A,GD2)</f>
        <v>79.15</v>
      </c>
      <c r="GE51" s="95">
        <f>SUMIFS(营销场景数据源!$T:$T,营销场景数据源!$C:$C,$B$47,营销场景数据源!$A:$A,GE2)</f>
        <v>0</v>
      </c>
      <c r="GF51" s="95">
        <f>SUMIFS(营销场景数据源!$T:$T,营销场景数据源!$C:$C,$B$47,营销场景数据源!$A:$A,GF2)</f>
        <v>275.6</v>
      </c>
      <c r="GG51" s="95">
        <f>SUMIFS(营销场景数据源!$T:$T,营销场景数据源!$C:$C,$B$47,营销场景数据源!$A:$A,GG2)</f>
        <v>0</v>
      </c>
      <c r="GH51" s="95">
        <f>SUMIFS(营销场景数据源!$T:$T,营销场景数据源!$C:$C,$B$47,营销场景数据源!$A:$A,GH2)</f>
        <v>0</v>
      </c>
      <c r="GI51" s="95">
        <f>SUMIFS(营销场景数据源!$T:$T,营销场景数据源!$C:$C,$B$47,营销场景数据源!$A:$A,GI2)</f>
        <v>0</v>
      </c>
      <c r="GJ51" s="95">
        <f>SUMIFS(营销场景数据源!$T:$T,营销场景数据源!$C:$C,$B$47,营销场景数据源!$A:$A,GJ2)</f>
        <v>0</v>
      </c>
      <c r="GK51" s="95">
        <f>SUMIFS(营销场景数据源!$T:$T,营销场景数据源!$C:$C,$B$47,营销场景数据源!$A:$A,GK2)</f>
        <v>0</v>
      </c>
      <c r="GL51" s="95">
        <f>SUMIFS(营销场景数据源!$T:$T,营销场景数据源!$C:$C,$B$47,营销场景数据源!$A:$A,GL2)</f>
        <v>0</v>
      </c>
      <c r="GM51" s="95">
        <f>SUMIFS(营销场景数据源!$T:$T,营销场景数据源!$C:$C,$B$47,营销场景数据源!$A:$A,GM2)</f>
        <v>0</v>
      </c>
      <c r="GN51" s="95">
        <f>SUMIFS(营销场景数据源!$T:$T,营销场景数据源!$C:$C,$B$47,营销场景数据源!$A:$A,GN2)</f>
        <v>0</v>
      </c>
      <c r="GO51" s="95">
        <f>SUMIFS(营销场景数据源!$T:$T,营销场景数据源!$C:$C,$B$47,营销场景数据源!$A:$A,GO2)</f>
        <v>0</v>
      </c>
      <c r="GP51" s="95">
        <f>SUMIFS(营销场景数据源!$T:$T,营销场景数据源!$C:$C,$B$47,营销场景数据源!$A:$A,GP2)</f>
        <v>0</v>
      </c>
    </row>
    <row r="52" s="47" customFormat="1" ht="15" customHeight="1" spans="1:198">
      <c r="B52" s="103"/>
      <c r="C52" s="104" t="s">
        <v>22</v>
      </c>
      <c r="D52" s="97">
        <f t="shared" ref="D52:O52" si="261">IFERROR(D47/D48,0)</f>
        <v>0</v>
      </c>
      <c r="E52" s="99">
        <f t="shared" si="261"/>
        <v>0</v>
      </c>
      <c r="F52" s="99">
        <f t="shared" si="261"/>
        <v>0</v>
      </c>
      <c r="G52" s="99">
        <f t="shared" si="261"/>
        <v>0</v>
      </c>
      <c r="H52" s="99">
        <f t="shared" si="261"/>
        <v>0</v>
      </c>
      <c r="I52" s="99">
        <f t="shared" si="261"/>
        <v>0</v>
      </c>
      <c r="J52" s="99">
        <f t="shared" si="261"/>
        <v>0</v>
      </c>
      <c r="K52" s="99">
        <f t="shared" si="261"/>
        <v>0</v>
      </c>
      <c r="L52" s="99">
        <f t="shared" si="261"/>
        <v>0</v>
      </c>
      <c r="M52" s="99">
        <f t="shared" si="261"/>
        <v>0</v>
      </c>
      <c r="N52" s="99">
        <f t="shared" si="261"/>
        <v>0</v>
      </c>
      <c r="O52" s="99">
        <f t="shared" si="261"/>
        <v>0</v>
      </c>
      <c r="P52" s="99">
        <f t="shared" ref="P52:V52" si="262">IFERROR(P47/P48,0)</f>
        <v>0</v>
      </c>
      <c r="Q52" s="70">
        <f t="shared" si="262"/>
        <v>0.644812121212121</v>
      </c>
      <c r="R52" s="99">
        <f t="shared" si="262"/>
        <v>0.52</v>
      </c>
      <c r="S52" s="99">
        <f t="shared" ref="S52:AK52" si="263">IFERROR(S47/S48,0)</f>
        <v>0.6275</v>
      </c>
      <c r="T52" s="99">
        <f t="shared" si="263"/>
        <v>0.98</v>
      </c>
      <c r="U52" s="99">
        <f t="shared" si="263"/>
        <v>0.706086956521739</v>
      </c>
      <c r="V52" s="99">
        <f t="shared" si="263"/>
        <v>0.726428571428571</v>
      </c>
      <c r="W52" s="99">
        <f t="shared" si="263"/>
        <v>0.833571428571429</v>
      </c>
      <c r="X52" s="99">
        <f t="shared" si="263"/>
        <v>0.566060606060606</v>
      </c>
      <c r="Y52" s="99">
        <f t="shared" si="263"/>
        <v>0.631818181818182</v>
      </c>
      <c r="Z52" s="99">
        <f t="shared" si="263"/>
        <v>0.481388888888889</v>
      </c>
      <c r="AA52" s="99">
        <f t="shared" si="263"/>
        <v>0.448636363636364</v>
      </c>
      <c r="AB52" s="99">
        <f t="shared" si="263"/>
        <v>0.538</v>
      </c>
      <c r="AC52" s="99">
        <f t="shared" si="263"/>
        <v>0.5795</v>
      </c>
      <c r="AD52" s="99">
        <f t="shared" si="263"/>
        <v>0.5424</v>
      </c>
      <c r="AE52" s="99">
        <f t="shared" si="263"/>
        <v>0.91125</v>
      </c>
      <c r="AF52" s="99">
        <f t="shared" si="263"/>
        <v>0.543333333333333</v>
      </c>
      <c r="AG52" s="99">
        <f t="shared" si="263"/>
        <v>0.461034482758621</v>
      </c>
      <c r="AH52" s="99">
        <f t="shared" si="263"/>
        <v>0.680588235294118</v>
      </c>
      <c r="AI52" s="99">
        <f t="shared" si="263"/>
        <v>0.562777777777778</v>
      </c>
      <c r="AJ52" s="99">
        <f t="shared" si="263"/>
        <v>0.655652173913044</v>
      </c>
      <c r="AK52" s="99">
        <f t="shared" si="263"/>
        <v>0.737916666666667</v>
      </c>
      <c r="AL52" s="99">
        <f t="shared" ref="AL52:BH52" si="264">IFERROR(AL47/AL48,0)</f>
        <v>0.802105263157895</v>
      </c>
      <c r="AM52" s="99">
        <f t="shared" si="264"/>
        <v>0.739655172413793</v>
      </c>
      <c r="AN52" s="99">
        <f t="shared" si="264"/>
        <v>0.715365853658537</v>
      </c>
      <c r="AO52" s="99">
        <f t="shared" si="264"/>
        <v>0.674375</v>
      </c>
      <c r="AP52" s="99">
        <f t="shared" si="264"/>
        <v>0.564615384615385</v>
      </c>
      <c r="AQ52" s="99">
        <f t="shared" si="264"/>
        <v>1.0352380952381</v>
      </c>
      <c r="AR52" s="99">
        <f t="shared" si="264"/>
        <v>0.601086956521739</v>
      </c>
      <c r="AS52" s="99">
        <f t="shared" si="264"/>
        <v>0.584</v>
      </c>
      <c r="AT52" s="99">
        <f t="shared" si="264"/>
        <v>0.565625</v>
      </c>
      <c r="AU52" s="99">
        <f t="shared" si="264"/>
        <v>0.766595744680851</v>
      </c>
      <c r="AV52" s="99">
        <f t="shared" si="264"/>
        <v>0.724848484848485</v>
      </c>
      <c r="AW52" s="70">
        <f t="shared" si="264"/>
        <v>0.675135467980295</v>
      </c>
      <c r="AX52" s="99">
        <f t="shared" si="264"/>
        <v>0.60875</v>
      </c>
      <c r="AY52" s="99">
        <f t="shared" si="264"/>
        <v>0.712666666666667</v>
      </c>
      <c r="AZ52" s="99">
        <f t="shared" si="264"/>
        <v>0.690714285714286</v>
      </c>
      <c r="BA52" s="99">
        <f t="shared" si="264"/>
        <v>0.584444444444444</v>
      </c>
      <c r="BB52" s="99">
        <f t="shared" si="264"/>
        <v>0.648787878787879</v>
      </c>
      <c r="BC52" s="99">
        <f t="shared" si="264"/>
        <v>0.687659574468085</v>
      </c>
      <c r="BD52" s="99">
        <f t="shared" si="264"/>
        <v>0.884285714285714</v>
      </c>
      <c r="BE52" s="99">
        <f t="shared" si="264"/>
        <v>0.594444444444444</v>
      </c>
      <c r="BF52" s="99">
        <f t="shared" si="264"/>
        <v>0.695862068965517</v>
      </c>
      <c r="BG52" s="99">
        <f t="shared" si="264"/>
        <v>0.851463414634146</v>
      </c>
      <c r="BH52" s="99">
        <f t="shared" si="264"/>
        <v>0.788666666666667</v>
      </c>
      <c r="BI52" s="99">
        <f t="shared" ref="BI52:BW52" si="265">IFERROR(BI47/BI48,0)</f>
        <v>0.766451612903226</v>
      </c>
      <c r="BJ52" s="99">
        <f t="shared" si="265"/>
        <v>0.576136363636364</v>
      </c>
      <c r="BK52" s="99">
        <f t="shared" si="265"/>
        <v>0.631304347826087</v>
      </c>
      <c r="BL52" s="99">
        <f t="shared" si="265"/>
        <v>0.853478260869565</v>
      </c>
      <c r="BM52" s="99">
        <f t="shared" si="265"/>
        <v>0.951111111111111</v>
      </c>
      <c r="BN52" s="99">
        <f t="shared" si="265"/>
        <v>0.86</v>
      </c>
      <c r="BO52" s="99">
        <f t="shared" si="265"/>
        <v>0.622222222222222</v>
      </c>
      <c r="BP52" s="99">
        <f t="shared" si="265"/>
        <v>0.52375</v>
      </c>
      <c r="BQ52" s="99">
        <f t="shared" si="265"/>
        <v>0.417083333333333</v>
      </c>
      <c r="BR52" s="99">
        <f t="shared" si="265"/>
        <v>0.668888888888889</v>
      </c>
      <c r="BS52" s="99">
        <f t="shared" si="265"/>
        <v>0.74</v>
      </c>
      <c r="BT52" s="99">
        <f t="shared" si="265"/>
        <v>0.6905</v>
      </c>
      <c r="BU52" s="99">
        <f t="shared" si="265"/>
        <v>0.689565217391304</v>
      </c>
      <c r="BV52" s="99">
        <f t="shared" si="265"/>
        <v>0.725172413793103</v>
      </c>
      <c r="BW52" s="99">
        <f t="shared" si="265"/>
        <v>0.651818181818182</v>
      </c>
      <c r="BX52" s="99">
        <f t="shared" ref="BX52:CH52" si="266">IFERROR(BX47/BX48,0)</f>
        <v>0.68625</v>
      </c>
      <c r="BY52" s="99">
        <f t="shared" si="266"/>
        <v>0.548571428571429</v>
      </c>
      <c r="BZ52" s="70">
        <f t="shared" si="266"/>
        <v>0.603048780487805</v>
      </c>
      <c r="CA52" s="99">
        <f t="shared" si="266"/>
        <v>0.488928571428571</v>
      </c>
      <c r="CB52" s="99">
        <f t="shared" si="266"/>
        <v>0.611363636363636</v>
      </c>
      <c r="CC52" s="99">
        <f t="shared" si="266"/>
        <v>0.640204081632653</v>
      </c>
      <c r="CD52" s="99">
        <f t="shared" si="266"/>
        <v>0.5706</v>
      </c>
      <c r="CE52" s="99">
        <f t="shared" si="266"/>
        <v>0.4975</v>
      </c>
      <c r="CF52" s="99">
        <f t="shared" si="266"/>
        <v>0.648888888888889</v>
      </c>
      <c r="CG52" s="99">
        <f t="shared" si="266"/>
        <v>0.621621621621622</v>
      </c>
      <c r="CH52" s="99">
        <f t="shared" si="266"/>
        <v>0.612474226804124</v>
      </c>
      <c r="CI52" s="99">
        <f t="shared" ref="CI52:EH52" si="267">IFERROR(CI47/CI48,0)</f>
        <v>0.798679245283019</v>
      </c>
      <c r="CJ52" s="99">
        <f t="shared" si="267"/>
        <v>0.635660377358491</v>
      </c>
      <c r="CK52" s="99">
        <f t="shared" si="267"/>
        <v>0.451044776119403</v>
      </c>
      <c r="CL52" s="99">
        <f t="shared" si="267"/>
        <v>0.828666666666667</v>
      </c>
      <c r="CM52" s="99">
        <f t="shared" si="267"/>
        <v>0.749523809523809</v>
      </c>
      <c r="CN52" s="99">
        <f t="shared" si="267"/>
        <v>0.539263157894737</v>
      </c>
      <c r="CO52" s="99">
        <f t="shared" si="267"/>
        <v>0.581</v>
      </c>
      <c r="CP52" s="99">
        <f t="shared" si="267"/>
        <v>0.777142857142857</v>
      </c>
      <c r="CQ52" s="99">
        <f t="shared" si="267"/>
        <v>0.689473684210526</v>
      </c>
      <c r="CR52" s="99">
        <f t="shared" si="267"/>
        <v>0.5434375</v>
      </c>
      <c r="CS52" s="99">
        <f t="shared" si="267"/>
        <v>0.499302325581395</v>
      </c>
      <c r="CT52" s="99">
        <f t="shared" si="267"/>
        <v>0.426744186046512</v>
      </c>
      <c r="CU52" s="99">
        <f t="shared" si="267"/>
        <v>0.486582278481013</v>
      </c>
      <c r="CV52" s="99">
        <f t="shared" si="267"/>
        <v>0.475757575757576</v>
      </c>
      <c r="CW52" s="99">
        <f t="shared" si="267"/>
        <v>0.624782608695652</v>
      </c>
      <c r="CX52" s="99">
        <f t="shared" si="267"/>
        <v>0.79578947368421</v>
      </c>
      <c r="CY52" s="99">
        <f t="shared" si="267"/>
        <v>0.584814814814815</v>
      </c>
      <c r="CZ52" s="99">
        <f t="shared" si="267"/>
        <v>0.6552</v>
      </c>
      <c r="DA52" s="99">
        <f t="shared" si="267"/>
        <v>0.874761904761905</v>
      </c>
      <c r="DB52" s="99">
        <f t="shared" si="267"/>
        <v>0.851176470588235</v>
      </c>
      <c r="DC52" s="99">
        <f t="shared" si="267"/>
        <v>0.769375</v>
      </c>
      <c r="DD52" s="99">
        <f t="shared" si="267"/>
        <v>0.542380952380952</v>
      </c>
      <c r="DE52" s="99">
        <f t="shared" si="267"/>
        <v>0.827058823529412</v>
      </c>
      <c r="DF52" s="70">
        <f t="shared" si="267"/>
        <v>0.632492113564669</v>
      </c>
      <c r="DG52" s="99">
        <f t="shared" si="267"/>
        <v>0.661724137931035</v>
      </c>
      <c r="DH52" s="99">
        <f t="shared" si="267"/>
        <v>0.501818181818182</v>
      </c>
      <c r="DI52" s="99">
        <f t="shared" si="267"/>
        <v>0.451666666666667</v>
      </c>
      <c r="DJ52" s="99">
        <f t="shared" si="267"/>
        <v>0.637333333333333</v>
      </c>
      <c r="DK52" s="99">
        <f t="shared" si="267"/>
        <v>0.678235294117647</v>
      </c>
      <c r="DL52" s="99">
        <f t="shared" si="267"/>
        <v>0.527142857142857</v>
      </c>
      <c r="DM52" s="99">
        <f t="shared" si="267"/>
        <v>0.52551724137931</v>
      </c>
      <c r="DN52" s="99">
        <f t="shared" si="267"/>
        <v>0.4303125</v>
      </c>
      <c r="DO52" s="99">
        <f t="shared" si="267"/>
        <v>0.67</v>
      </c>
      <c r="DP52" s="99">
        <f t="shared" si="267"/>
        <v>0.566363636363636</v>
      </c>
      <c r="DQ52" s="99">
        <f t="shared" si="267"/>
        <v>0.43875</v>
      </c>
      <c r="DR52" s="99">
        <f t="shared" si="267"/>
        <v>0.655384615384615</v>
      </c>
      <c r="DS52" s="99">
        <f t="shared" si="267"/>
        <v>0.6285</v>
      </c>
      <c r="DT52" s="99">
        <f t="shared" si="267"/>
        <v>0.671904761904762</v>
      </c>
      <c r="DU52" s="99">
        <f t="shared" si="267"/>
        <v>0.702173913043478</v>
      </c>
      <c r="DV52" s="99">
        <f t="shared" si="267"/>
        <v>0.550833333333333</v>
      </c>
      <c r="DW52" s="99">
        <f t="shared" si="267"/>
        <v>0.778095238095238</v>
      </c>
      <c r="DX52" s="99">
        <f t="shared" si="267"/>
        <v>0.555416666666667</v>
      </c>
      <c r="DY52" s="99">
        <f t="shared" si="267"/>
        <v>0.697058823529412</v>
      </c>
      <c r="DZ52" s="99">
        <f t="shared" si="267"/>
        <v>0.71</v>
      </c>
      <c r="EA52" s="99">
        <f t="shared" si="267"/>
        <v>0.658125</v>
      </c>
      <c r="EB52" s="99">
        <f t="shared" si="267"/>
        <v>0.545263157894737</v>
      </c>
      <c r="EC52" s="99">
        <f t="shared" si="267"/>
        <v>0.717272727272727</v>
      </c>
      <c r="ED52" s="99">
        <f t="shared" si="267"/>
        <v>0.713478260869565</v>
      </c>
      <c r="EE52" s="99">
        <f t="shared" si="267"/>
        <v>0.947368421052632</v>
      </c>
      <c r="EF52" s="99">
        <f t="shared" si="267"/>
        <v>0.535882352941176</v>
      </c>
      <c r="EG52" s="99">
        <f t="shared" si="267"/>
        <v>1.01333333333333</v>
      </c>
      <c r="EH52" s="99">
        <f t="shared" si="267"/>
        <v>0.738666666666667</v>
      </c>
      <c r="EI52" s="99">
        <f t="shared" ref="EI52:FM52" si="268">IFERROR(EI47/EI48,0)</f>
        <v>0.813636363636364</v>
      </c>
      <c r="EJ52" s="99">
        <f t="shared" si="268"/>
        <v>0.667272727272727</v>
      </c>
      <c r="EK52" s="70">
        <f t="shared" si="268"/>
        <v>0.732036036036036</v>
      </c>
      <c r="EL52" s="99">
        <f t="shared" si="268"/>
        <v>0.712777777777778</v>
      </c>
      <c r="EM52" s="99">
        <f t="shared" si="268"/>
        <v>0.682857142857143</v>
      </c>
      <c r="EN52" s="99">
        <f t="shared" si="268"/>
        <v>0.754166666666667</v>
      </c>
      <c r="EO52" s="99">
        <f t="shared" si="268"/>
        <v>0.716923076923077</v>
      </c>
      <c r="EP52" s="99">
        <f t="shared" si="268"/>
        <v>0.639523809523809</v>
      </c>
      <c r="EQ52" s="99">
        <f t="shared" si="268"/>
        <v>0.598095238095238</v>
      </c>
      <c r="ER52" s="99">
        <f t="shared" si="268"/>
        <v>0.757222222222222</v>
      </c>
      <c r="ES52" s="99">
        <f t="shared" si="268"/>
        <v>0.542727272727273</v>
      </c>
      <c r="ET52" s="99">
        <f t="shared" si="268"/>
        <v>0.698823529411765</v>
      </c>
      <c r="EU52" s="99">
        <f t="shared" si="268"/>
        <v>0.7325</v>
      </c>
      <c r="EV52" s="99">
        <f t="shared" si="268"/>
        <v>0.582352941176471</v>
      </c>
      <c r="EW52" s="99">
        <f t="shared" si="268"/>
        <v>0.668095238095238</v>
      </c>
      <c r="EX52" s="99">
        <f t="shared" si="268"/>
        <v>0.586842105263158</v>
      </c>
      <c r="EY52" s="99">
        <f t="shared" si="268"/>
        <v>0.6</v>
      </c>
      <c r="EZ52" s="99">
        <f t="shared" si="268"/>
        <v>0.81</v>
      </c>
      <c r="FA52" s="99">
        <f t="shared" si="268"/>
        <v>1.07181818181818</v>
      </c>
      <c r="FB52" s="99">
        <f t="shared" si="268"/>
        <v>0.6695</v>
      </c>
      <c r="FC52" s="99">
        <f t="shared" si="268"/>
        <v>0.796666666666667</v>
      </c>
      <c r="FD52" s="99">
        <f t="shared" si="268"/>
        <v>0.608333333333333</v>
      </c>
      <c r="FE52" s="99">
        <f t="shared" si="268"/>
        <v>0.874</v>
      </c>
      <c r="FF52" s="99">
        <f t="shared" si="268"/>
        <v>1.09125</v>
      </c>
      <c r="FG52" s="99">
        <f t="shared" si="268"/>
        <v>0.65</v>
      </c>
      <c r="FH52" s="99">
        <f t="shared" si="268"/>
        <v>0.850555555555556</v>
      </c>
      <c r="FI52" s="99">
        <f t="shared" si="268"/>
        <v>0.848</v>
      </c>
      <c r="FJ52" s="99">
        <f t="shared" si="268"/>
        <v>0.761111111111111</v>
      </c>
      <c r="FK52" s="99">
        <f t="shared" si="268"/>
        <v>0.841428571428572</v>
      </c>
      <c r="FL52" s="99">
        <f t="shared" si="268"/>
        <v>0.85</v>
      </c>
      <c r="FM52" s="99">
        <f t="shared" si="268"/>
        <v>1.12363636363636</v>
      </c>
      <c r="FN52" s="99">
        <f t="shared" ref="FN52:GI52" si="269">IFERROR(FN47/FN48,0)</f>
        <v>0.6208</v>
      </c>
      <c r="FO52" s="99">
        <f t="shared" si="269"/>
        <v>0.761764705882353</v>
      </c>
      <c r="FP52" s="99">
        <f t="shared" si="269"/>
        <v>0.671333333333333</v>
      </c>
      <c r="FQ52" s="70">
        <f t="shared" si="269"/>
        <v>0.830514285714286</v>
      </c>
      <c r="FR52" s="99">
        <f t="shared" si="269"/>
        <v>0.712173913043478</v>
      </c>
      <c r="FS52" s="99">
        <f t="shared" si="269"/>
        <v>0.7165</v>
      </c>
      <c r="FT52" s="99">
        <f t="shared" si="269"/>
        <v>0.8484</v>
      </c>
      <c r="FU52" s="99">
        <f t="shared" si="269"/>
        <v>0.760454545454545</v>
      </c>
      <c r="FV52" s="99">
        <f t="shared" si="269"/>
        <v>0.895652173913044</v>
      </c>
      <c r="FW52" s="99">
        <f t="shared" si="269"/>
        <v>0.650625</v>
      </c>
      <c r="FX52" s="99">
        <f t="shared" si="269"/>
        <v>0.65</v>
      </c>
      <c r="FY52" s="99">
        <f t="shared" si="269"/>
        <v>0.606666666666667</v>
      </c>
      <c r="FZ52" s="99">
        <f t="shared" si="269"/>
        <v>0.791176470588235</v>
      </c>
      <c r="GA52" s="99">
        <f t="shared" si="269"/>
        <v>1.07916666666667</v>
      </c>
      <c r="GB52" s="99">
        <f t="shared" si="269"/>
        <v>0.995</v>
      </c>
      <c r="GC52" s="99">
        <f t="shared" si="269"/>
        <v>0.77</v>
      </c>
      <c r="GD52" s="99">
        <f t="shared" si="269"/>
        <v>0.964666666666667</v>
      </c>
      <c r="GE52" s="99">
        <f t="shared" si="269"/>
        <v>0.85</v>
      </c>
      <c r="GF52" s="99">
        <f t="shared" si="269"/>
        <v>1.37454545454545</v>
      </c>
      <c r="GG52" s="99">
        <f t="shared" si="269"/>
        <v>1.06727272727273</v>
      </c>
      <c r="GH52" s="99">
        <f t="shared" si="269"/>
        <v>0.6425</v>
      </c>
      <c r="GI52" s="99">
        <f t="shared" si="269"/>
        <v>0.962142857142857</v>
      </c>
      <c r="GJ52" s="99">
        <f t="shared" ref="GJ52:GP52" si="270">IFERROR(GJ47/GJ48,0)</f>
        <v>1.55</v>
      </c>
      <c r="GK52" s="99">
        <f t="shared" si="270"/>
        <v>0.97</v>
      </c>
      <c r="GL52" s="99">
        <f t="shared" si="270"/>
        <v>0.608571428571429</v>
      </c>
      <c r="GM52" s="99">
        <f t="shared" si="270"/>
        <v>0</v>
      </c>
      <c r="GN52" s="99">
        <f t="shared" si="270"/>
        <v>0</v>
      </c>
      <c r="GO52" s="99">
        <f t="shared" si="270"/>
        <v>0</v>
      </c>
      <c r="GP52" s="99">
        <f t="shared" si="270"/>
        <v>0</v>
      </c>
    </row>
    <row r="53" s="47" customFormat="1" ht="15" customHeight="1" spans="1:198">
      <c r="B53" s="103"/>
      <c r="C53" s="104" t="s">
        <v>24</v>
      </c>
      <c r="D53" s="94">
        <f t="shared" ref="D53:O53" si="271">IFERROR(D47/D49,0)</f>
        <v>0</v>
      </c>
      <c r="E53" s="99">
        <f t="shared" si="271"/>
        <v>0</v>
      </c>
      <c r="F53" s="99">
        <f t="shared" si="271"/>
        <v>0</v>
      </c>
      <c r="G53" s="99">
        <f t="shared" si="271"/>
        <v>0</v>
      </c>
      <c r="H53" s="99">
        <f t="shared" si="271"/>
        <v>0</v>
      </c>
      <c r="I53" s="99">
        <f t="shared" si="271"/>
        <v>0</v>
      </c>
      <c r="J53" s="99">
        <f t="shared" si="271"/>
        <v>0</v>
      </c>
      <c r="K53" s="99">
        <f t="shared" si="271"/>
        <v>0</v>
      </c>
      <c r="L53" s="99">
        <f t="shared" si="271"/>
        <v>0</v>
      </c>
      <c r="M53" s="99">
        <f t="shared" si="271"/>
        <v>0</v>
      </c>
      <c r="N53" s="99">
        <f t="shared" si="271"/>
        <v>0</v>
      </c>
      <c r="O53" s="99">
        <f t="shared" si="271"/>
        <v>0</v>
      </c>
      <c r="P53" s="99">
        <f t="shared" ref="P53:V53" si="272">IFERROR(P47/P49,0)</f>
        <v>0</v>
      </c>
      <c r="Q53" s="65">
        <f t="shared" si="272"/>
        <v>3.47692810457516</v>
      </c>
      <c r="R53" s="99">
        <f t="shared" si="272"/>
        <v>3.9</v>
      </c>
      <c r="S53" s="99">
        <f t="shared" ref="S53:AK53" si="273">IFERROR(S47/S49,0)</f>
        <v>3.34666666666667</v>
      </c>
      <c r="T53" s="99">
        <f t="shared" si="273"/>
        <v>0</v>
      </c>
      <c r="U53" s="99">
        <f t="shared" si="273"/>
        <v>2.32</v>
      </c>
      <c r="V53" s="99">
        <f t="shared" si="273"/>
        <v>10.17</v>
      </c>
      <c r="W53" s="99">
        <f t="shared" si="273"/>
        <v>1.945</v>
      </c>
      <c r="X53" s="99">
        <f t="shared" si="273"/>
        <v>9.34</v>
      </c>
      <c r="Y53" s="99">
        <f t="shared" si="273"/>
        <v>6.95</v>
      </c>
      <c r="Z53" s="99">
        <f t="shared" si="273"/>
        <v>1.44416666666667</v>
      </c>
      <c r="AA53" s="99">
        <f t="shared" si="273"/>
        <v>1.974</v>
      </c>
      <c r="AB53" s="99">
        <f t="shared" si="273"/>
        <v>0</v>
      </c>
      <c r="AC53" s="99">
        <f t="shared" si="273"/>
        <v>5.795</v>
      </c>
      <c r="AD53" s="99">
        <f t="shared" si="273"/>
        <v>2.26</v>
      </c>
      <c r="AE53" s="99">
        <f t="shared" si="273"/>
        <v>0</v>
      </c>
      <c r="AF53" s="99">
        <f t="shared" si="273"/>
        <v>1.18545454545455</v>
      </c>
      <c r="AG53" s="99">
        <f t="shared" si="273"/>
        <v>13.37</v>
      </c>
      <c r="AH53" s="99">
        <f t="shared" si="273"/>
        <v>3.85666666666667</v>
      </c>
      <c r="AI53" s="99">
        <f t="shared" si="273"/>
        <v>5.065</v>
      </c>
      <c r="AJ53" s="99">
        <f t="shared" si="273"/>
        <v>15.08</v>
      </c>
      <c r="AK53" s="99">
        <f t="shared" si="273"/>
        <v>17.71</v>
      </c>
      <c r="AL53" s="99">
        <f t="shared" ref="AL53:BH53" si="274">IFERROR(AL47/AL49,0)</f>
        <v>5.08</v>
      </c>
      <c r="AM53" s="99">
        <f t="shared" si="274"/>
        <v>10.725</v>
      </c>
      <c r="AN53" s="99">
        <f t="shared" si="274"/>
        <v>5.866</v>
      </c>
      <c r="AO53" s="99">
        <f t="shared" si="274"/>
        <v>1.34875</v>
      </c>
      <c r="AP53" s="99">
        <f t="shared" si="274"/>
        <v>3.67</v>
      </c>
      <c r="AQ53" s="99">
        <f t="shared" si="274"/>
        <v>10.87</v>
      </c>
      <c r="AR53" s="99">
        <f t="shared" si="274"/>
        <v>4.60833333333333</v>
      </c>
      <c r="AS53" s="99">
        <f t="shared" si="274"/>
        <v>2.02153846153846</v>
      </c>
      <c r="AT53" s="99">
        <f t="shared" si="274"/>
        <v>4.02222222222222</v>
      </c>
      <c r="AU53" s="99">
        <f t="shared" si="274"/>
        <v>3.603</v>
      </c>
      <c r="AV53" s="99">
        <f t="shared" si="274"/>
        <v>1.495</v>
      </c>
      <c r="AW53" s="65">
        <f t="shared" si="274"/>
        <v>2.9632972972973</v>
      </c>
      <c r="AX53" s="99">
        <f t="shared" si="274"/>
        <v>1.15952380952381</v>
      </c>
      <c r="AY53" s="99">
        <f t="shared" si="274"/>
        <v>21.38</v>
      </c>
      <c r="AZ53" s="99">
        <f t="shared" si="274"/>
        <v>4.835</v>
      </c>
      <c r="BA53" s="99">
        <f t="shared" si="274"/>
        <v>3.945</v>
      </c>
      <c r="BB53" s="99">
        <f t="shared" si="274"/>
        <v>7.13666666666667</v>
      </c>
      <c r="BC53" s="99">
        <f t="shared" si="274"/>
        <v>1.53904761904762</v>
      </c>
      <c r="BD53" s="99">
        <f t="shared" si="274"/>
        <v>2.32125</v>
      </c>
      <c r="BE53" s="99">
        <f t="shared" si="274"/>
        <v>2.675</v>
      </c>
      <c r="BF53" s="99">
        <f t="shared" si="274"/>
        <v>5.045</v>
      </c>
      <c r="BG53" s="99">
        <f t="shared" si="274"/>
        <v>5.81833333333333</v>
      </c>
      <c r="BH53" s="99">
        <f t="shared" si="274"/>
        <v>2.9575</v>
      </c>
      <c r="BI53" s="99">
        <f t="shared" ref="BI53:BW53" si="275">IFERROR(BI47/BI49,0)</f>
        <v>4.752</v>
      </c>
      <c r="BJ53" s="99">
        <f t="shared" si="275"/>
        <v>6.3375</v>
      </c>
      <c r="BK53" s="99">
        <f t="shared" si="275"/>
        <v>3.63</v>
      </c>
      <c r="BL53" s="99">
        <f t="shared" si="275"/>
        <v>3.27166666666667</v>
      </c>
      <c r="BM53" s="99">
        <f t="shared" si="275"/>
        <v>4.28</v>
      </c>
      <c r="BN53" s="99">
        <f t="shared" si="275"/>
        <v>0</v>
      </c>
      <c r="BO53" s="99">
        <f t="shared" si="275"/>
        <v>2.8</v>
      </c>
      <c r="BP53" s="99">
        <f t="shared" si="275"/>
        <v>3.1425</v>
      </c>
      <c r="BQ53" s="99">
        <f t="shared" si="275"/>
        <v>1.66833333333333</v>
      </c>
      <c r="BR53" s="99">
        <f t="shared" si="275"/>
        <v>2.2575</v>
      </c>
      <c r="BS53" s="99">
        <f t="shared" si="275"/>
        <v>1.95090909090909</v>
      </c>
      <c r="BT53" s="99">
        <f t="shared" si="275"/>
        <v>2.30166666666667</v>
      </c>
      <c r="BU53" s="99">
        <f t="shared" si="275"/>
        <v>3.965</v>
      </c>
      <c r="BV53" s="99">
        <f t="shared" si="275"/>
        <v>4.206</v>
      </c>
      <c r="BW53" s="99">
        <f t="shared" si="275"/>
        <v>0</v>
      </c>
      <c r="BX53" s="99">
        <f t="shared" ref="BX53:CH53" si="276">IFERROR(BX47/BX49,0)</f>
        <v>1.17642857142857</v>
      </c>
      <c r="BY53" s="99">
        <f t="shared" si="276"/>
        <v>2.304</v>
      </c>
      <c r="BZ53" s="65">
        <f t="shared" si="276"/>
        <v>2.3547619047619</v>
      </c>
      <c r="CA53" s="99">
        <f t="shared" si="276"/>
        <v>1.24454545454545</v>
      </c>
      <c r="CB53" s="99">
        <f t="shared" si="276"/>
        <v>3.3625</v>
      </c>
      <c r="CC53" s="99">
        <f t="shared" si="276"/>
        <v>2.61416666666667</v>
      </c>
      <c r="CD53" s="99">
        <f t="shared" si="276"/>
        <v>3.17</v>
      </c>
      <c r="CE53" s="99">
        <f t="shared" si="276"/>
        <v>3.41142857142857</v>
      </c>
      <c r="CF53" s="99">
        <f t="shared" si="276"/>
        <v>4.672</v>
      </c>
      <c r="CG53" s="99">
        <f t="shared" si="276"/>
        <v>1.91666666666667</v>
      </c>
      <c r="CH53" s="99">
        <f t="shared" si="276"/>
        <v>2.58304347826087</v>
      </c>
      <c r="CI53" s="99">
        <f t="shared" ref="CI53:EH53" si="277">IFERROR(CI47/CI49,0)</f>
        <v>4.70333333333333</v>
      </c>
      <c r="CJ53" s="99">
        <f t="shared" si="277"/>
        <v>2.8075</v>
      </c>
      <c r="CK53" s="99">
        <f t="shared" si="277"/>
        <v>1.59052631578947</v>
      </c>
      <c r="CL53" s="99">
        <f t="shared" si="277"/>
        <v>4.14333333333333</v>
      </c>
      <c r="CM53" s="99">
        <f t="shared" si="277"/>
        <v>2.86181818181818</v>
      </c>
      <c r="CN53" s="99">
        <f t="shared" si="277"/>
        <v>1.46371428571429</v>
      </c>
      <c r="CO53" s="99">
        <f t="shared" si="277"/>
        <v>2.075</v>
      </c>
      <c r="CP53" s="99">
        <f t="shared" si="277"/>
        <v>1.81333333333333</v>
      </c>
      <c r="CQ53" s="99">
        <f t="shared" si="277"/>
        <v>2.62</v>
      </c>
      <c r="CR53" s="99">
        <f t="shared" si="277"/>
        <v>2.31866666666667</v>
      </c>
      <c r="CS53" s="99">
        <f t="shared" si="277"/>
        <v>1.0735</v>
      </c>
      <c r="CT53" s="99">
        <f t="shared" si="277"/>
        <v>1.01944444444444</v>
      </c>
      <c r="CU53" s="99">
        <f t="shared" si="277"/>
        <v>1.5376</v>
      </c>
      <c r="CV53" s="99">
        <f t="shared" si="277"/>
        <v>2.41538461538462</v>
      </c>
      <c r="CW53" s="99">
        <f t="shared" si="277"/>
        <v>3.5925</v>
      </c>
      <c r="CX53" s="99">
        <f t="shared" si="277"/>
        <v>1.37454545454545</v>
      </c>
      <c r="CY53" s="99">
        <f t="shared" si="277"/>
        <v>0</v>
      </c>
      <c r="CZ53" s="99">
        <f t="shared" si="277"/>
        <v>8.19</v>
      </c>
      <c r="DA53" s="99">
        <f t="shared" si="277"/>
        <v>2.62428571428571</v>
      </c>
      <c r="DB53" s="99">
        <f t="shared" si="277"/>
        <v>7.235</v>
      </c>
      <c r="DC53" s="99">
        <f t="shared" si="277"/>
        <v>12.31</v>
      </c>
      <c r="DD53" s="99">
        <f t="shared" si="277"/>
        <v>11.39</v>
      </c>
      <c r="DE53" s="99">
        <f t="shared" si="277"/>
        <v>2.34333333333333</v>
      </c>
      <c r="DF53" s="65">
        <f t="shared" si="277"/>
        <v>3.78301886792453</v>
      </c>
      <c r="DG53" s="99">
        <f t="shared" si="277"/>
        <v>4.7975</v>
      </c>
      <c r="DH53" s="99">
        <f t="shared" si="277"/>
        <v>2.208</v>
      </c>
      <c r="DI53" s="99">
        <f t="shared" si="277"/>
        <v>10.84</v>
      </c>
      <c r="DJ53" s="99">
        <f t="shared" si="277"/>
        <v>9.56</v>
      </c>
      <c r="DK53" s="99">
        <f t="shared" si="277"/>
        <v>3.84333333333333</v>
      </c>
      <c r="DL53" s="99">
        <f t="shared" si="277"/>
        <v>2.7675</v>
      </c>
      <c r="DM53" s="99">
        <f t="shared" si="277"/>
        <v>2.17714285714286</v>
      </c>
      <c r="DN53" s="99">
        <f t="shared" si="277"/>
        <v>0.983571428571429</v>
      </c>
      <c r="DO53" s="99">
        <f t="shared" si="277"/>
        <v>3.752</v>
      </c>
      <c r="DP53" s="99">
        <f t="shared" si="277"/>
        <v>0</v>
      </c>
      <c r="DQ53" s="99">
        <f t="shared" si="277"/>
        <v>3.51</v>
      </c>
      <c r="DR53" s="99">
        <f t="shared" si="277"/>
        <v>2.84</v>
      </c>
      <c r="DS53" s="99">
        <f t="shared" si="277"/>
        <v>0</v>
      </c>
      <c r="DT53" s="99">
        <f t="shared" si="277"/>
        <v>0</v>
      </c>
      <c r="DU53" s="99">
        <f t="shared" si="277"/>
        <v>16.15</v>
      </c>
      <c r="DV53" s="99">
        <f t="shared" si="277"/>
        <v>1.46888888888889</v>
      </c>
      <c r="DW53" s="99">
        <f t="shared" si="277"/>
        <v>3.268</v>
      </c>
      <c r="DX53" s="99">
        <f t="shared" si="277"/>
        <v>4.44333333333333</v>
      </c>
      <c r="DY53" s="99">
        <f t="shared" si="277"/>
        <v>1.69285714285714</v>
      </c>
      <c r="DZ53" s="99">
        <f t="shared" si="277"/>
        <v>7.455</v>
      </c>
      <c r="EA53" s="99">
        <f t="shared" si="277"/>
        <v>0</v>
      </c>
      <c r="EB53" s="99">
        <f t="shared" si="277"/>
        <v>5.18</v>
      </c>
      <c r="EC53" s="99">
        <f t="shared" si="277"/>
        <v>3.945</v>
      </c>
      <c r="ED53" s="99">
        <f t="shared" si="277"/>
        <v>16.41</v>
      </c>
      <c r="EE53" s="99">
        <f t="shared" si="277"/>
        <v>18</v>
      </c>
      <c r="EF53" s="99">
        <f t="shared" si="277"/>
        <v>1.51833333333333</v>
      </c>
      <c r="EG53" s="99">
        <f t="shared" si="277"/>
        <v>12.16</v>
      </c>
      <c r="EH53" s="99">
        <f t="shared" si="277"/>
        <v>0</v>
      </c>
      <c r="EI53" s="99">
        <f t="shared" ref="EI53:FM53" si="278">IFERROR(EI47/EI49,0)</f>
        <v>3.58</v>
      </c>
      <c r="EJ53" s="99">
        <f t="shared" si="278"/>
        <v>1.63111111111111</v>
      </c>
      <c r="EK53" s="65">
        <f t="shared" si="278"/>
        <v>3.5953982300885</v>
      </c>
      <c r="EL53" s="99">
        <f t="shared" si="278"/>
        <v>0</v>
      </c>
      <c r="EM53" s="99">
        <f t="shared" si="278"/>
        <v>4.78</v>
      </c>
      <c r="EN53" s="99">
        <f t="shared" si="278"/>
        <v>3.01666666666667</v>
      </c>
      <c r="EO53" s="99">
        <f t="shared" si="278"/>
        <v>9.32</v>
      </c>
      <c r="EP53" s="99">
        <f t="shared" si="278"/>
        <v>0.639523809523809</v>
      </c>
      <c r="EQ53" s="99">
        <f t="shared" si="278"/>
        <v>4.18666666666667</v>
      </c>
      <c r="ER53" s="99">
        <f t="shared" si="278"/>
        <v>6.815</v>
      </c>
      <c r="ES53" s="99">
        <f t="shared" si="278"/>
        <v>11.94</v>
      </c>
      <c r="ET53" s="99">
        <f t="shared" si="278"/>
        <v>0</v>
      </c>
      <c r="EU53" s="99">
        <f t="shared" si="278"/>
        <v>2.1975</v>
      </c>
      <c r="EV53" s="99">
        <f t="shared" si="278"/>
        <v>4.95</v>
      </c>
      <c r="EW53" s="99">
        <f t="shared" si="278"/>
        <v>0</v>
      </c>
      <c r="EX53" s="99">
        <f t="shared" si="278"/>
        <v>1.59285714285714</v>
      </c>
      <c r="EY53" s="99">
        <f t="shared" si="278"/>
        <v>12.6</v>
      </c>
      <c r="EZ53" s="99">
        <f t="shared" si="278"/>
        <v>5.4</v>
      </c>
      <c r="FA53" s="99">
        <f t="shared" si="278"/>
        <v>0</v>
      </c>
      <c r="FB53" s="99">
        <f t="shared" si="278"/>
        <v>6.695</v>
      </c>
      <c r="FC53" s="99">
        <f t="shared" si="278"/>
        <v>2.151</v>
      </c>
      <c r="FD53" s="99">
        <f t="shared" si="278"/>
        <v>10.95</v>
      </c>
      <c r="FE53" s="99">
        <f t="shared" si="278"/>
        <v>0</v>
      </c>
      <c r="FF53" s="99">
        <f t="shared" si="278"/>
        <v>4.365</v>
      </c>
      <c r="FG53" s="99">
        <f t="shared" si="278"/>
        <v>3.9</v>
      </c>
      <c r="FH53" s="99">
        <f t="shared" si="278"/>
        <v>2.18714285714286</v>
      </c>
      <c r="FI53" s="99">
        <f t="shared" si="278"/>
        <v>0</v>
      </c>
      <c r="FJ53" s="99">
        <f t="shared" si="278"/>
        <v>2.28333333333333</v>
      </c>
      <c r="FK53" s="99">
        <f t="shared" si="278"/>
        <v>8.835</v>
      </c>
      <c r="FL53" s="99">
        <f t="shared" si="278"/>
        <v>1.7</v>
      </c>
      <c r="FM53" s="99">
        <f t="shared" si="278"/>
        <v>12.36</v>
      </c>
      <c r="FN53" s="99">
        <f t="shared" ref="FN53:GI53" si="279">IFERROR(FN47/FN49,0)</f>
        <v>2.58666666666667</v>
      </c>
      <c r="FO53" s="99">
        <f t="shared" si="279"/>
        <v>3.2375</v>
      </c>
      <c r="FP53" s="99">
        <f t="shared" si="279"/>
        <v>1.43857142857143</v>
      </c>
      <c r="FQ53" s="65">
        <f t="shared" si="279"/>
        <v>4.76524590163934</v>
      </c>
      <c r="FR53" s="99">
        <f t="shared" si="279"/>
        <v>16.38</v>
      </c>
      <c r="FS53" s="99">
        <f t="shared" si="279"/>
        <v>4.77666666666667</v>
      </c>
      <c r="FT53" s="99">
        <f t="shared" si="279"/>
        <v>21.21</v>
      </c>
      <c r="FU53" s="99">
        <f t="shared" si="279"/>
        <v>2.39</v>
      </c>
      <c r="FV53" s="99">
        <f t="shared" si="279"/>
        <v>10.3</v>
      </c>
      <c r="FW53" s="99">
        <f t="shared" si="279"/>
        <v>0</v>
      </c>
      <c r="FX53" s="99">
        <f t="shared" si="279"/>
        <v>2.99</v>
      </c>
      <c r="FY53" s="99">
        <f t="shared" si="279"/>
        <v>1.82</v>
      </c>
      <c r="FZ53" s="99">
        <f t="shared" si="279"/>
        <v>1.03461538461538</v>
      </c>
      <c r="GA53" s="99">
        <f t="shared" si="279"/>
        <v>6.475</v>
      </c>
      <c r="GB53" s="99">
        <f t="shared" si="279"/>
        <v>15.92</v>
      </c>
      <c r="GC53" s="99">
        <f t="shared" si="279"/>
        <v>13.09</v>
      </c>
      <c r="GD53" s="99">
        <f t="shared" si="279"/>
        <v>2.41166666666667</v>
      </c>
      <c r="GE53" s="99">
        <f t="shared" si="279"/>
        <v>11.05</v>
      </c>
      <c r="GF53" s="99">
        <f t="shared" si="279"/>
        <v>3.024</v>
      </c>
      <c r="GG53" s="99">
        <f t="shared" si="279"/>
        <v>0</v>
      </c>
      <c r="GH53" s="99">
        <f t="shared" si="279"/>
        <v>5.14</v>
      </c>
      <c r="GI53" s="99">
        <f t="shared" si="279"/>
        <v>13.47</v>
      </c>
      <c r="GJ53" s="99">
        <f t="shared" ref="GJ53:GP53" si="280">IFERROR(GJ47/GJ49,0)</f>
        <v>0</v>
      </c>
      <c r="GK53" s="99">
        <f t="shared" si="280"/>
        <v>0</v>
      </c>
      <c r="GL53" s="99">
        <f t="shared" si="280"/>
        <v>2.84</v>
      </c>
      <c r="GM53" s="99">
        <f t="shared" si="280"/>
        <v>0</v>
      </c>
      <c r="GN53" s="99">
        <f t="shared" si="280"/>
        <v>0</v>
      </c>
      <c r="GO53" s="99">
        <f t="shared" si="280"/>
        <v>0</v>
      </c>
      <c r="GP53" s="99">
        <f t="shared" si="280"/>
        <v>0</v>
      </c>
    </row>
    <row r="54" s="47" customFormat="1" ht="15" customHeight="1" spans="1:198">
      <c r="B54" s="103"/>
      <c r="C54" s="104" t="s">
        <v>14</v>
      </c>
      <c r="D54" s="97">
        <f t="shared" ref="D54:O54" si="281">IFERROR(D51/D47,0)</f>
        <v>0</v>
      </c>
      <c r="E54" s="99">
        <f t="shared" si="281"/>
        <v>0</v>
      </c>
      <c r="F54" s="99">
        <f t="shared" si="281"/>
        <v>0</v>
      </c>
      <c r="G54" s="99">
        <f t="shared" si="281"/>
        <v>0</v>
      </c>
      <c r="H54" s="99">
        <f t="shared" si="281"/>
        <v>0</v>
      </c>
      <c r="I54" s="99">
        <f t="shared" si="281"/>
        <v>0</v>
      </c>
      <c r="J54" s="99">
        <f t="shared" si="281"/>
        <v>0</v>
      </c>
      <c r="K54" s="99">
        <f t="shared" si="281"/>
        <v>0</v>
      </c>
      <c r="L54" s="99">
        <f t="shared" si="281"/>
        <v>0</v>
      </c>
      <c r="M54" s="99">
        <f t="shared" si="281"/>
        <v>0</v>
      </c>
      <c r="N54" s="99">
        <f t="shared" si="281"/>
        <v>0</v>
      </c>
      <c r="O54" s="99">
        <f t="shared" si="281"/>
        <v>0</v>
      </c>
      <c r="P54" s="99">
        <f t="shared" ref="P54:V54" si="282">IFERROR(P51/P47,0)</f>
        <v>0</v>
      </c>
      <c r="Q54" s="70">
        <f t="shared" si="282"/>
        <v>325.655300110909</v>
      </c>
      <c r="R54" s="99">
        <f t="shared" si="282"/>
        <v>35.7435897435897</v>
      </c>
      <c r="S54" s="99">
        <f t="shared" ref="S54:AK54" si="283">IFERROR(S51/S47,0)</f>
        <v>0</v>
      </c>
      <c r="T54" s="99">
        <f t="shared" si="283"/>
        <v>0</v>
      </c>
      <c r="U54" s="99">
        <f t="shared" si="283"/>
        <v>380.450738916256</v>
      </c>
      <c r="V54" s="99">
        <f t="shared" si="283"/>
        <v>0</v>
      </c>
      <c r="W54" s="99">
        <f t="shared" si="283"/>
        <v>62.2245072836332</v>
      </c>
      <c r="X54" s="99">
        <f t="shared" si="283"/>
        <v>0</v>
      </c>
      <c r="Y54" s="99">
        <f t="shared" si="283"/>
        <v>0</v>
      </c>
      <c r="Z54" s="99">
        <f t="shared" si="283"/>
        <v>0</v>
      </c>
      <c r="AA54" s="99">
        <f t="shared" si="283"/>
        <v>0</v>
      </c>
      <c r="AB54" s="99">
        <f t="shared" si="283"/>
        <v>0</v>
      </c>
      <c r="AC54" s="99">
        <f t="shared" si="283"/>
        <v>0</v>
      </c>
      <c r="AD54" s="99">
        <f t="shared" si="283"/>
        <v>10.5309734513274</v>
      </c>
      <c r="AE54" s="99">
        <f t="shared" si="283"/>
        <v>0</v>
      </c>
      <c r="AF54" s="99">
        <f t="shared" si="283"/>
        <v>0</v>
      </c>
      <c r="AG54" s="99">
        <f t="shared" si="283"/>
        <v>0</v>
      </c>
      <c r="AH54" s="99">
        <f t="shared" si="283"/>
        <v>82.5756266205704</v>
      </c>
      <c r="AI54" s="99">
        <f t="shared" si="283"/>
        <v>32.1816386969398</v>
      </c>
      <c r="AJ54" s="99">
        <f t="shared" si="283"/>
        <v>0</v>
      </c>
      <c r="AK54" s="99">
        <f t="shared" si="283"/>
        <v>0</v>
      </c>
      <c r="AL54" s="99">
        <f t="shared" ref="AL54:BH54" si="284">IFERROR(AL51/AL47,0)</f>
        <v>0</v>
      </c>
      <c r="AM54" s="99">
        <f t="shared" si="284"/>
        <v>0</v>
      </c>
      <c r="AN54" s="99">
        <f t="shared" si="284"/>
        <v>7.4326628025912</v>
      </c>
      <c r="AO54" s="99">
        <f t="shared" si="284"/>
        <v>132.583410565338</v>
      </c>
      <c r="AP54" s="99">
        <f t="shared" si="284"/>
        <v>145.654632152589</v>
      </c>
      <c r="AQ54" s="99">
        <f t="shared" si="284"/>
        <v>0</v>
      </c>
      <c r="AR54" s="99">
        <f t="shared" si="284"/>
        <v>0</v>
      </c>
      <c r="AS54" s="99">
        <f t="shared" si="284"/>
        <v>5999.18378995434</v>
      </c>
      <c r="AT54" s="99">
        <f t="shared" si="284"/>
        <v>9.6621546961326</v>
      </c>
      <c r="AU54" s="99">
        <f t="shared" si="284"/>
        <v>3.37635303913405</v>
      </c>
      <c r="AV54" s="99">
        <f t="shared" si="284"/>
        <v>53.6722408026756</v>
      </c>
      <c r="AW54" s="70">
        <f t="shared" si="284"/>
        <v>16.954232866967</v>
      </c>
      <c r="AX54" s="99">
        <f t="shared" si="284"/>
        <v>20.4628336755647</v>
      </c>
      <c r="AY54" s="99">
        <f t="shared" si="284"/>
        <v>0</v>
      </c>
      <c r="AZ54" s="99">
        <f t="shared" si="284"/>
        <v>0</v>
      </c>
      <c r="BA54" s="99">
        <f t="shared" si="284"/>
        <v>117.436945500634</v>
      </c>
      <c r="BB54" s="99">
        <f t="shared" si="284"/>
        <v>53.9262027090145</v>
      </c>
      <c r="BC54" s="99">
        <f t="shared" si="284"/>
        <v>54.0519801980198</v>
      </c>
      <c r="BD54" s="99">
        <f t="shared" si="284"/>
        <v>3.5191168551427</v>
      </c>
      <c r="BE54" s="99">
        <f t="shared" si="284"/>
        <v>6.8803738317757</v>
      </c>
      <c r="BF54" s="99">
        <f t="shared" si="284"/>
        <v>0</v>
      </c>
      <c r="BG54" s="99">
        <f t="shared" si="284"/>
        <v>0</v>
      </c>
      <c r="BH54" s="99">
        <f t="shared" si="284"/>
        <v>12.1994928148774</v>
      </c>
      <c r="BI54" s="99">
        <f t="shared" ref="BI54:BW54" si="285">IFERROR(BI51/BI47,0)</f>
        <v>0</v>
      </c>
      <c r="BJ54" s="99">
        <f t="shared" si="285"/>
        <v>0</v>
      </c>
      <c r="BK54" s="99">
        <f t="shared" si="285"/>
        <v>80.8815426997245</v>
      </c>
      <c r="BL54" s="99">
        <f t="shared" si="285"/>
        <v>0</v>
      </c>
      <c r="BM54" s="99">
        <f t="shared" si="285"/>
        <v>0</v>
      </c>
      <c r="BN54" s="99">
        <f t="shared" si="285"/>
        <v>0</v>
      </c>
      <c r="BO54" s="99">
        <f t="shared" si="285"/>
        <v>0</v>
      </c>
      <c r="BP54" s="99">
        <f t="shared" si="285"/>
        <v>0</v>
      </c>
      <c r="BQ54" s="99">
        <f t="shared" si="285"/>
        <v>2.83916083916084</v>
      </c>
      <c r="BR54" s="99">
        <f t="shared" si="285"/>
        <v>4.18936877076412</v>
      </c>
      <c r="BS54" s="99">
        <f t="shared" si="285"/>
        <v>17.7642124883504</v>
      </c>
      <c r="BT54" s="99">
        <f t="shared" si="285"/>
        <v>0</v>
      </c>
      <c r="BU54" s="99">
        <f t="shared" si="285"/>
        <v>1.73076923076923</v>
      </c>
      <c r="BV54" s="99">
        <f t="shared" si="285"/>
        <v>0</v>
      </c>
      <c r="BW54" s="99">
        <f t="shared" si="285"/>
        <v>0</v>
      </c>
      <c r="BX54" s="99">
        <f t="shared" ref="BX54:CH54" si="286">IFERROR(BX51/BX47,0)</f>
        <v>0</v>
      </c>
      <c r="BY54" s="99">
        <f t="shared" si="286"/>
        <v>0</v>
      </c>
      <c r="BZ54" s="70">
        <f t="shared" si="286"/>
        <v>9.36136248736097</v>
      </c>
      <c r="CA54" s="99">
        <f t="shared" si="286"/>
        <v>23.2797662527392</v>
      </c>
      <c r="CB54" s="99">
        <f t="shared" si="286"/>
        <v>0</v>
      </c>
      <c r="CC54" s="99">
        <f t="shared" si="286"/>
        <v>9.28402932738285</v>
      </c>
      <c r="CD54" s="99">
        <f t="shared" si="286"/>
        <v>9.19172800560813</v>
      </c>
      <c r="CE54" s="99">
        <f t="shared" si="286"/>
        <v>0</v>
      </c>
      <c r="CF54" s="99">
        <f t="shared" si="286"/>
        <v>0</v>
      </c>
      <c r="CG54" s="99">
        <f t="shared" si="286"/>
        <v>6.45217391304348</v>
      </c>
      <c r="CH54" s="99">
        <f t="shared" si="286"/>
        <v>6.4718060932503</v>
      </c>
      <c r="CI54" s="99">
        <f t="shared" ref="CI54:EH54" si="287">IFERROR(CI51/CI47,0)</f>
        <v>13.3853059296008</v>
      </c>
      <c r="CJ54" s="99">
        <f t="shared" si="287"/>
        <v>7.98456515286435</v>
      </c>
      <c r="CK54" s="99">
        <f t="shared" si="287"/>
        <v>18.7756452680344</v>
      </c>
      <c r="CL54" s="99">
        <f t="shared" si="287"/>
        <v>4.04934298739609</v>
      </c>
      <c r="CM54" s="99">
        <f t="shared" si="287"/>
        <v>9.13310038119441</v>
      </c>
      <c r="CN54" s="99">
        <f t="shared" si="287"/>
        <v>20.294749170408</v>
      </c>
      <c r="CO54" s="99">
        <f t="shared" si="287"/>
        <v>8.33390705679862</v>
      </c>
      <c r="CP54" s="99">
        <f t="shared" si="287"/>
        <v>33.6433823529412</v>
      </c>
      <c r="CQ54" s="99">
        <f t="shared" si="287"/>
        <v>5.63511450381679</v>
      </c>
      <c r="CR54" s="99">
        <f t="shared" si="287"/>
        <v>9.9203565267395</v>
      </c>
      <c r="CS54" s="99">
        <f t="shared" si="287"/>
        <v>17.6259897531439</v>
      </c>
      <c r="CT54" s="99">
        <f t="shared" si="287"/>
        <v>1.58038147138965</v>
      </c>
      <c r="CU54" s="99">
        <f t="shared" si="287"/>
        <v>5.94562955254943</v>
      </c>
      <c r="CV54" s="99">
        <f t="shared" si="287"/>
        <v>0</v>
      </c>
      <c r="CW54" s="99">
        <f t="shared" si="287"/>
        <v>0</v>
      </c>
      <c r="CX54" s="99">
        <f t="shared" si="287"/>
        <v>4.58333333333333</v>
      </c>
      <c r="CY54" s="99">
        <f t="shared" si="287"/>
        <v>0</v>
      </c>
      <c r="CZ54" s="99">
        <f t="shared" si="287"/>
        <v>5.31868131868132</v>
      </c>
      <c r="DA54" s="99">
        <f t="shared" si="287"/>
        <v>27.2182906913446</v>
      </c>
      <c r="DB54" s="99">
        <f t="shared" si="287"/>
        <v>0</v>
      </c>
      <c r="DC54" s="99">
        <f t="shared" si="287"/>
        <v>0</v>
      </c>
      <c r="DD54" s="99">
        <f t="shared" si="287"/>
        <v>25.8999122036874</v>
      </c>
      <c r="DE54" s="99">
        <f t="shared" si="287"/>
        <v>17.724039829303</v>
      </c>
      <c r="DF54" s="70">
        <f t="shared" si="287"/>
        <v>6.84793017456359</v>
      </c>
      <c r="DG54" s="99">
        <f t="shared" si="287"/>
        <v>9.57321521625847</v>
      </c>
      <c r="DH54" s="99">
        <f t="shared" si="287"/>
        <v>5.78804347826087</v>
      </c>
      <c r="DI54" s="99">
        <f t="shared" si="287"/>
        <v>0</v>
      </c>
      <c r="DJ54" s="99">
        <f t="shared" si="287"/>
        <v>0</v>
      </c>
      <c r="DK54" s="99">
        <f t="shared" si="287"/>
        <v>6.08846487424111</v>
      </c>
      <c r="DL54" s="99">
        <f t="shared" si="287"/>
        <v>0</v>
      </c>
      <c r="DM54" s="99">
        <f t="shared" si="287"/>
        <v>59.1167979002625</v>
      </c>
      <c r="DN54" s="99">
        <f t="shared" si="287"/>
        <v>0</v>
      </c>
      <c r="DO54" s="99">
        <f t="shared" si="287"/>
        <v>0</v>
      </c>
      <c r="DP54" s="99">
        <f t="shared" si="287"/>
        <v>3.4438202247191</v>
      </c>
      <c r="DQ54" s="99">
        <f t="shared" si="287"/>
        <v>0</v>
      </c>
      <c r="DR54" s="99">
        <f t="shared" si="287"/>
        <v>0</v>
      </c>
      <c r="DS54" s="99">
        <f t="shared" si="287"/>
        <v>0</v>
      </c>
      <c r="DT54" s="99">
        <f t="shared" si="287"/>
        <v>48.4790928419561</v>
      </c>
      <c r="DU54" s="99">
        <f t="shared" si="287"/>
        <v>0</v>
      </c>
      <c r="DV54" s="99">
        <f t="shared" si="287"/>
        <v>43.2344931921331</v>
      </c>
      <c r="DW54" s="99">
        <f t="shared" si="287"/>
        <v>0</v>
      </c>
      <c r="DX54" s="99">
        <f t="shared" si="287"/>
        <v>0</v>
      </c>
      <c r="DY54" s="99">
        <f t="shared" si="287"/>
        <v>0</v>
      </c>
      <c r="DZ54" s="99">
        <f t="shared" si="287"/>
        <v>0</v>
      </c>
      <c r="EA54" s="99">
        <f t="shared" si="287"/>
        <v>0</v>
      </c>
      <c r="EB54" s="99">
        <f t="shared" si="287"/>
        <v>22.0810810810811</v>
      </c>
      <c r="EC54" s="99">
        <f t="shared" si="287"/>
        <v>0</v>
      </c>
      <c r="ED54" s="99">
        <f t="shared" si="287"/>
        <v>0</v>
      </c>
      <c r="EE54" s="99">
        <f t="shared" si="287"/>
        <v>0</v>
      </c>
      <c r="EF54" s="99">
        <f t="shared" si="287"/>
        <v>0</v>
      </c>
      <c r="EG54" s="99">
        <f t="shared" si="287"/>
        <v>0</v>
      </c>
      <c r="EH54" s="99">
        <f t="shared" si="287"/>
        <v>0</v>
      </c>
      <c r="EI54" s="99">
        <f t="shared" ref="EI54:FM54" si="288">IFERROR(EI51/EI47,0)</f>
        <v>0</v>
      </c>
      <c r="EJ54" s="99">
        <f t="shared" si="288"/>
        <v>0</v>
      </c>
      <c r="EK54" s="70">
        <f t="shared" si="288"/>
        <v>56.684478684651</v>
      </c>
      <c r="EL54" s="99">
        <f t="shared" si="288"/>
        <v>14.7349961028839</v>
      </c>
      <c r="EM54" s="99">
        <f t="shared" si="288"/>
        <v>0</v>
      </c>
      <c r="EN54" s="99">
        <f t="shared" si="288"/>
        <v>0</v>
      </c>
      <c r="EO54" s="99">
        <f t="shared" si="288"/>
        <v>0</v>
      </c>
      <c r="EP54" s="99">
        <f t="shared" si="288"/>
        <v>337.881608339538</v>
      </c>
      <c r="EQ54" s="99">
        <f t="shared" si="288"/>
        <v>0</v>
      </c>
      <c r="ER54" s="99">
        <f t="shared" si="288"/>
        <v>0</v>
      </c>
      <c r="ES54" s="99">
        <f t="shared" si="288"/>
        <v>6.79480737018425</v>
      </c>
      <c r="ET54" s="99">
        <f t="shared" si="288"/>
        <v>0</v>
      </c>
      <c r="EU54" s="99">
        <f t="shared" si="288"/>
        <v>31.5927189988623</v>
      </c>
      <c r="EV54" s="99">
        <f t="shared" si="288"/>
        <v>0</v>
      </c>
      <c r="EW54" s="99">
        <f t="shared" si="288"/>
        <v>0</v>
      </c>
      <c r="EX54" s="99">
        <f t="shared" si="288"/>
        <v>3.80269058295964</v>
      </c>
      <c r="EY54" s="99">
        <f t="shared" si="288"/>
        <v>26.8253968253968</v>
      </c>
      <c r="EZ54" s="99">
        <f t="shared" si="288"/>
        <v>291.172839506173</v>
      </c>
      <c r="FA54" s="99">
        <f t="shared" si="288"/>
        <v>0</v>
      </c>
      <c r="FB54" s="99">
        <f t="shared" si="288"/>
        <v>0</v>
      </c>
      <c r="FC54" s="99">
        <f t="shared" si="288"/>
        <v>0</v>
      </c>
      <c r="FD54" s="99">
        <f t="shared" si="288"/>
        <v>3.54977168949772</v>
      </c>
      <c r="FE54" s="99">
        <f t="shared" si="288"/>
        <v>10.8314263920671</v>
      </c>
      <c r="FF54" s="99">
        <f t="shared" si="288"/>
        <v>462.428407789232</v>
      </c>
      <c r="FG54" s="99">
        <f t="shared" si="288"/>
        <v>0</v>
      </c>
      <c r="FH54" s="99">
        <f t="shared" si="288"/>
        <v>30.4728935336381</v>
      </c>
      <c r="FI54" s="99">
        <f t="shared" si="288"/>
        <v>0</v>
      </c>
      <c r="FJ54" s="99">
        <f t="shared" si="288"/>
        <v>4.72481751824818</v>
      </c>
      <c r="FK54" s="99">
        <f t="shared" si="288"/>
        <v>0</v>
      </c>
      <c r="FL54" s="99">
        <f t="shared" si="288"/>
        <v>263.790849673203</v>
      </c>
      <c r="FM54" s="99">
        <f t="shared" si="288"/>
        <v>0</v>
      </c>
      <c r="FN54" s="99">
        <f t="shared" ref="FN54:GI54" si="289">IFERROR(FN51/FN47,0)</f>
        <v>1.58505154639175</v>
      </c>
      <c r="FO54" s="99">
        <f t="shared" si="289"/>
        <v>0</v>
      </c>
      <c r="FP54" s="99">
        <f t="shared" si="289"/>
        <v>0</v>
      </c>
      <c r="FQ54" s="70">
        <f t="shared" si="289"/>
        <v>7.01300399064263</v>
      </c>
      <c r="FR54" s="99">
        <f t="shared" si="289"/>
        <v>2.31562881562882</v>
      </c>
      <c r="FS54" s="99">
        <f t="shared" si="289"/>
        <v>0</v>
      </c>
      <c r="FT54" s="99">
        <f t="shared" si="289"/>
        <v>0</v>
      </c>
      <c r="FU54" s="99">
        <f t="shared" si="289"/>
        <v>22.9312612074118</v>
      </c>
      <c r="FV54" s="99">
        <f t="shared" si="289"/>
        <v>11.8932038834951</v>
      </c>
      <c r="FW54" s="99">
        <f t="shared" si="289"/>
        <v>0</v>
      </c>
      <c r="FX54" s="99">
        <f t="shared" si="289"/>
        <v>27.6923076923077</v>
      </c>
      <c r="FY54" s="99">
        <f t="shared" si="289"/>
        <v>26.0384615384615</v>
      </c>
      <c r="FZ54" s="99">
        <f t="shared" si="289"/>
        <v>0</v>
      </c>
      <c r="GA54" s="99">
        <f t="shared" si="289"/>
        <v>0</v>
      </c>
      <c r="GB54" s="99">
        <f t="shared" si="289"/>
        <v>0</v>
      </c>
      <c r="GC54" s="99">
        <f t="shared" si="289"/>
        <v>20.7402597402597</v>
      </c>
      <c r="GD54" s="99">
        <f t="shared" si="289"/>
        <v>5.46993780234969</v>
      </c>
      <c r="GE54" s="99">
        <f t="shared" si="289"/>
        <v>0</v>
      </c>
      <c r="GF54" s="99">
        <f t="shared" si="289"/>
        <v>18.2275132275132</v>
      </c>
      <c r="GG54" s="99">
        <f t="shared" si="289"/>
        <v>0</v>
      </c>
      <c r="GH54" s="99">
        <f t="shared" si="289"/>
        <v>0</v>
      </c>
      <c r="GI54" s="99">
        <f t="shared" si="289"/>
        <v>0</v>
      </c>
      <c r="GJ54" s="99">
        <f t="shared" ref="GJ54:GP54" si="290">IFERROR(GJ51/GJ47,0)</f>
        <v>0</v>
      </c>
      <c r="GK54" s="99">
        <f t="shared" si="290"/>
        <v>0</v>
      </c>
      <c r="GL54" s="99">
        <f t="shared" si="290"/>
        <v>0</v>
      </c>
      <c r="GM54" s="99">
        <f t="shared" si="290"/>
        <v>0</v>
      </c>
      <c r="GN54" s="99">
        <f t="shared" si="290"/>
        <v>0</v>
      </c>
      <c r="GO54" s="99">
        <f t="shared" si="290"/>
        <v>0</v>
      </c>
      <c r="GP54" s="99">
        <f t="shared" si="290"/>
        <v>0</v>
      </c>
    </row>
    <row r="55" s="47" customFormat="1" ht="15" customHeight="1" spans="1:198">
      <c r="B55" s="103"/>
      <c r="C55" s="104" t="s">
        <v>36</v>
      </c>
      <c r="D55" s="100" t="e">
        <f t="shared" ref="D55:O55" si="291">D47/D$130</f>
        <v>#REF!</v>
      </c>
      <c r="E55" s="108" t="e">
        <f t="shared" si="291"/>
        <v>#REF!</v>
      </c>
      <c r="F55" s="108" t="e">
        <f t="shared" si="291"/>
        <v>#REF!</v>
      </c>
      <c r="G55" s="108" t="e">
        <f t="shared" si="291"/>
        <v>#REF!</v>
      </c>
      <c r="H55" s="108" t="e">
        <f t="shared" si="291"/>
        <v>#REF!</v>
      </c>
      <c r="I55" s="108" t="e">
        <f t="shared" si="291"/>
        <v>#REF!</v>
      </c>
      <c r="J55" s="108" t="e">
        <f t="shared" si="291"/>
        <v>#REF!</v>
      </c>
      <c r="K55" s="108" t="e">
        <f t="shared" si="291"/>
        <v>#REF!</v>
      </c>
      <c r="L55" s="108" t="e">
        <f t="shared" si="291"/>
        <v>#REF!</v>
      </c>
      <c r="M55" s="108" t="e">
        <f t="shared" si="291"/>
        <v>#REF!</v>
      </c>
      <c r="N55" s="108" t="e">
        <f t="shared" si="291"/>
        <v>#REF!</v>
      </c>
      <c r="O55" s="108" t="e">
        <f t="shared" si="291"/>
        <v>#REF!</v>
      </c>
      <c r="P55" s="108" t="e">
        <f t="shared" ref="P55:V55" si="292">P47/P$130</f>
        <v>#REF!</v>
      </c>
      <c r="Q55" s="102">
        <f t="shared" si="292"/>
        <v>0.0521400175639437</v>
      </c>
      <c r="R55" s="108">
        <f t="shared" si="292"/>
        <v>0.0338057469769861</v>
      </c>
      <c r="S55" s="108">
        <f t="shared" ref="S55:AK55" si="293">S47/S$130</f>
        <v>0.0437091858946452</v>
      </c>
      <c r="T55" s="108">
        <f t="shared" si="293"/>
        <v>0.037644922475206</v>
      </c>
      <c r="U55" s="108">
        <f t="shared" si="293"/>
        <v>0.0378890392422192</v>
      </c>
      <c r="V55" s="108">
        <f t="shared" si="293"/>
        <v>0.0291604541805253</v>
      </c>
      <c r="W55" s="108">
        <f t="shared" si="293"/>
        <v>0.0311865312667023</v>
      </c>
      <c r="X55" s="108">
        <f t="shared" si="293"/>
        <v>0.0595188784451171</v>
      </c>
      <c r="Y55" s="108">
        <f t="shared" si="293"/>
        <v>0.0368700265251989</v>
      </c>
      <c r="Z55" s="108">
        <f t="shared" si="293"/>
        <v>0.0426553116077582</v>
      </c>
      <c r="AA55" s="108">
        <f t="shared" si="293"/>
        <v>0.0269650028686173</v>
      </c>
      <c r="AB55" s="108">
        <f t="shared" si="293"/>
        <v>0.0294770292852642</v>
      </c>
      <c r="AC55" s="108">
        <f t="shared" si="293"/>
        <v>0.0325232910539903</v>
      </c>
      <c r="AD55" s="108">
        <f t="shared" si="293"/>
        <v>0.0394978299496082</v>
      </c>
      <c r="AE55" s="108">
        <f t="shared" si="293"/>
        <v>0.037849484696659</v>
      </c>
      <c r="AF55" s="108">
        <f t="shared" si="293"/>
        <v>0.037359614943846</v>
      </c>
      <c r="AG55" s="108">
        <f t="shared" si="293"/>
        <v>0.033877261440227</v>
      </c>
      <c r="AH55" s="108">
        <f t="shared" si="293"/>
        <v>0.0302919230265742</v>
      </c>
      <c r="AI55" s="108">
        <f t="shared" si="293"/>
        <v>0.0234876765053676</v>
      </c>
      <c r="AJ55" s="108">
        <f t="shared" si="293"/>
        <v>0.0347305389221557</v>
      </c>
      <c r="AK55" s="108">
        <f t="shared" si="293"/>
        <v>0.0692500195511066</v>
      </c>
      <c r="AL55" s="108">
        <f t="shared" ref="AL55:BH55" si="294">AL47/AL$130</f>
        <v>0.0644751872064983</v>
      </c>
      <c r="AM55" s="108">
        <f t="shared" si="294"/>
        <v>0.0721153846153846</v>
      </c>
      <c r="AN55" s="108">
        <f t="shared" si="294"/>
        <v>0.100762676927305</v>
      </c>
      <c r="AO55" s="108">
        <f t="shared" si="294"/>
        <v>0.0716205900899406</v>
      </c>
      <c r="AP55" s="108">
        <f t="shared" si="294"/>
        <v>0.0489855846235985</v>
      </c>
      <c r="AQ55" s="108">
        <f t="shared" si="294"/>
        <v>0.0751572979326557</v>
      </c>
      <c r="AR55" s="108">
        <f t="shared" si="294"/>
        <v>0.0852369061931626</v>
      </c>
      <c r="AS55" s="108">
        <f t="shared" si="294"/>
        <v>0.0968705075749198</v>
      </c>
      <c r="AT55" s="108">
        <f t="shared" si="294"/>
        <v>0.131645937886392</v>
      </c>
      <c r="AU55" s="108">
        <f t="shared" si="294"/>
        <v>0.123746393735403</v>
      </c>
      <c r="AV55" s="108">
        <f t="shared" si="294"/>
        <v>0.0894406221956327</v>
      </c>
      <c r="AW55" s="102">
        <f t="shared" si="294"/>
        <v>0.0965209430075532</v>
      </c>
      <c r="AX55" s="108">
        <f t="shared" si="294"/>
        <v>0.0888848329987224</v>
      </c>
      <c r="AY55" s="108">
        <f t="shared" si="294"/>
        <v>0.074831122466837</v>
      </c>
      <c r="AZ55" s="108">
        <f t="shared" si="294"/>
        <v>0.0741678171498696</v>
      </c>
      <c r="BA55" s="108">
        <f t="shared" si="294"/>
        <v>0.120725269680973</v>
      </c>
      <c r="BB55" s="108">
        <f t="shared" si="294"/>
        <v>0.0785313428456149</v>
      </c>
      <c r="BC55" s="108">
        <f t="shared" si="294"/>
        <v>0.123769769846437</v>
      </c>
      <c r="BD55" s="108">
        <f t="shared" si="294"/>
        <v>0.0723497097440293</v>
      </c>
      <c r="BE55" s="108">
        <f t="shared" si="294"/>
        <v>0.0792387158884733</v>
      </c>
      <c r="BF55" s="108">
        <f t="shared" si="294"/>
        <v>0.0767533850600943</v>
      </c>
      <c r="BG55" s="108">
        <f t="shared" si="294"/>
        <v>0.134502022731651</v>
      </c>
      <c r="BH55" s="108">
        <f t="shared" si="294"/>
        <v>0.102119211014718</v>
      </c>
      <c r="BI55" s="108">
        <f t="shared" ref="BI55:BW55" si="295">BI47/BI$130</f>
        <v>0.102852690359725</v>
      </c>
      <c r="BJ55" s="108">
        <f t="shared" si="295"/>
        <v>0.107233502538071</v>
      </c>
      <c r="BK55" s="108">
        <f t="shared" si="295"/>
        <v>0.0636423405654175</v>
      </c>
      <c r="BL55" s="108">
        <f t="shared" si="295"/>
        <v>0.153527295479431</v>
      </c>
      <c r="BM55" s="108">
        <f t="shared" si="295"/>
        <v>0.101953311100524</v>
      </c>
      <c r="BN55" s="108">
        <f t="shared" si="295"/>
        <v>0.0842161488471468</v>
      </c>
      <c r="BO55" s="108">
        <f t="shared" si="295"/>
        <v>0.0991325898389095</v>
      </c>
      <c r="BP55" s="108">
        <f t="shared" si="295"/>
        <v>0.104514841606386</v>
      </c>
      <c r="BQ55" s="108">
        <f t="shared" si="295"/>
        <v>0.0831119229491863</v>
      </c>
      <c r="BR55" s="108">
        <f t="shared" si="295"/>
        <v>0.149863081901917</v>
      </c>
      <c r="BS55" s="108">
        <f t="shared" si="295"/>
        <v>0.175226586102719</v>
      </c>
      <c r="BT55" s="108">
        <f t="shared" si="295"/>
        <v>0.116628663119669</v>
      </c>
      <c r="BU55" s="108">
        <f t="shared" si="295"/>
        <v>0.121924969249693</v>
      </c>
      <c r="BV55" s="108">
        <f t="shared" si="295"/>
        <v>0.093716577540107</v>
      </c>
      <c r="BW55" s="108">
        <f t="shared" si="295"/>
        <v>0.0627735948170198</v>
      </c>
      <c r="BX55" s="108">
        <f t="shared" ref="BX55:CH55" si="296">BX47/BX$130</f>
        <v>0.0714688652636147</v>
      </c>
      <c r="BY55" s="108">
        <f t="shared" si="296"/>
        <v>0.0980258679373724</v>
      </c>
      <c r="BZ55" s="102">
        <f t="shared" si="296"/>
        <v>0.0758154327334472</v>
      </c>
      <c r="CA55" s="108">
        <f t="shared" si="296"/>
        <v>0.0634383688600556</v>
      </c>
      <c r="CB55" s="108">
        <f t="shared" si="296"/>
        <v>0.0595712640623616</v>
      </c>
      <c r="CC55" s="108">
        <f t="shared" si="296"/>
        <v>0.132067528312213</v>
      </c>
      <c r="CD55" s="108">
        <f t="shared" si="296"/>
        <v>0.0929437060203284</v>
      </c>
      <c r="CE55" s="108">
        <f t="shared" si="296"/>
        <v>0.0704799008323003</v>
      </c>
      <c r="CF55" s="108">
        <f t="shared" si="296"/>
        <v>0.0762103614772282</v>
      </c>
      <c r="CG55" s="108">
        <f t="shared" si="296"/>
        <v>0.0992491585397428</v>
      </c>
      <c r="CH55" s="108">
        <f t="shared" si="296"/>
        <v>0.216935660556489</v>
      </c>
      <c r="CI55" s="108">
        <f t="shared" ref="CI55:EH55" si="297">CI47/CI$130</f>
        <v>0.158747421713857</v>
      </c>
      <c r="CJ55" s="108">
        <f t="shared" si="297"/>
        <v>0.0982846140381586</v>
      </c>
      <c r="CK55" s="108">
        <f t="shared" si="297"/>
        <v>0.0895327822712055</v>
      </c>
      <c r="CL55" s="108">
        <f t="shared" si="297"/>
        <v>0.125644395026787</v>
      </c>
      <c r="CM55" s="108">
        <f t="shared" si="297"/>
        <v>0.095806196360095</v>
      </c>
      <c r="CN55" s="108">
        <f t="shared" si="297"/>
        <v>0.111415584698027</v>
      </c>
      <c r="CO55" s="108">
        <f t="shared" si="297"/>
        <v>0.0849539406345957</v>
      </c>
      <c r="CP55" s="108">
        <f t="shared" si="297"/>
        <v>0.0381620484040687</v>
      </c>
      <c r="CQ55" s="108">
        <f t="shared" si="297"/>
        <v>0.0805930665354209</v>
      </c>
      <c r="CR55" s="108">
        <f t="shared" si="297"/>
        <v>0.0915070511471269</v>
      </c>
      <c r="CS55" s="108">
        <f t="shared" si="297"/>
        <v>0.057710399698949</v>
      </c>
      <c r="CT55" s="108">
        <f t="shared" si="297"/>
        <v>0.0499401262791204</v>
      </c>
      <c r="CU55" s="108">
        <f t="shared" si="297"/>
        <v>0.112532568283615</v>
      </c>
      <c r="CV55" s="108">
        <f t="shared" si="297"/>
        <v>0.0964018175119735</v>
      </c>
      <c r="CW55" s="108">
        <f t="shared" si="297"/>
        <v>0.0391403824154274</v>
      </c>
      <c r="CX55" s="108">
        <f t="shared" si="297"/>
        <v>0.0398272047202613</v>
      </c>
      <c r="CY55" s="108">
        <f t="shared" si="297"/>
        <v>0.032215285428653</v>
      </c>
      <c r="CZ55" s="108">
        <f t="shared" si="297"/>
        <v>0.041015625</v>
      </c>
      <c r="DA55" s="108">
        <f t="shared" si="297"/>
        <v>0.0496298697790025</v>
      </c>
      <c r="DB55" s="108">
        <f t="shared" si="297"/>
        <v>0.0400232339436854</v>
      </c>
      <c r="DC55" s="108">
        <f t="shared" si="297"/>
        <v>0.0340318478381068</v>
      </c>
      <c r="DD55" s="108">
        <f t="shared" si="297"/>
        <v>0.0340538762818788</v>
      </c>
      <c r="DE55" s="108">
        <f t="shared" si="297"/>
        <v>0.0437978942121986</v>
      </c>
      <c r="DF55" s="102">
        <f t="shared" si="297"/>
        <v>0.0373450900519572</v>
      </c>
      <c r="DG55" s="108">
        <f t="shared" si="297"/>
        <v>0.0713250325218361</v>
      </c>
      <c r="DH55" s="108">
        <f t="shared" si="297"/>
        <v>0.0494180841539839</v>
      </c>
      <c r="DI55" s="108">
        <f t="shared" si="297"/>
        <v>0.0386852717604654</v>
      </c>
      <c r="DJ55" s="108">
        <f t="shared" si="297"/>
        <v>0.035806584516274</v>
      </c>
      <c r="DK55" s="108">
        <f t="shared" si="297"/>
        <v>0.0340258513840524</v>
      </c>
      <c r="DL55" s="108">
        <f t="shared" si="297"/>
        <v>0.0416839251421471</v>
      </c>
      <c r="DM55" s="108">
        <f t="shared" si="297"/>
        <v>0.0300354749704375</v>
      </c>
      <c r="DN55" s="108">
        <f t="shared" si="297"/>
        <v>0.020098962210448</v>
      </c>
      <c r="DO55" s="108">
        <f t="shared" si="297"/>
        <v>0.024655013799448</v>
      </c>
      <c r="DP55" s="108">
        <f t="shared" si="297"/>
        <v>0.0280896343387889</v>
      </c>
      <c r="DQ55" s="108">
        <f t="shared" si="297"/>
        <v>0.0331883509833585</v>
      </c>
      <c r="DR55" s="108">
        <f t="shared" si="297"/>
        <v>0.0276884079165448</v>
      </c>
      <c r="DS55" s="108">
        <f t="shared" si="297"/>
        <v>0.0422705720146619</v>
      </c>
      <c r="DT55" s="108">
        <f t="shared" si="297"/>
        <v>0.0514456557406935</v>
      </c>
      <c r="DU55" s="108">
        <f t="shared" si="297"/>
        <v>0.0531180107880542</v>
      </c>
      <c r="DV55" s="108">
        <f t="shared" si="297"/>
        <v>0.0350886505998514</v>
      </c>
      <c r="DW55" s="108">
        <f t="shared" si="297"/>
        <v>0.0534406070120356</v>
      </c>
      <c r="DX55" s="108">
        <f t="shared" si="297"/>
        <v>0.0464719007111979</v>
      </c>
      <c r="DY55" s="108">
        <f t="shared" si="297"/>
        <v>0.0369804019473224</v>
      </c>
      <c r="DZ55" s="108">
        <f t="shared" si="297"/>
        <v>0.0601573532378455</v>
      </c>
      <c r="EA55" s="108">
        <f t="shared" si="297"/>
        <v>0.0484739676840215</v>
      </c>
      <c r="EB55" s="108">
        <f t="shared" si="297"/>
        <v>0.0270284372554135</v>
      </c>
      <c r="EC55" s="108">
        <f t="shared" si="297"/>
        <v>0.0332763965331815</v>
      </c>
      <c r="ED55" s="108">
        <f t="shared" si="297"/>
        <v>0.0355518003379696</v>
      </c>
      <c r="EE55" s="108">
        <f t="shared" si="297"/>
        <v>0.0365341289654752</v>
      </c>
      <c r="EF55" s="108">
        <f t="shared" si="297"/>
        <v>0.0257847216325606</v>
      </c>
      <c r="EG55" s="108">
        <f t="shared" si="297"/>
        <v>0.0294252873563218</v>
      </c>
      <c r="EH55" s="108">
        <f t="shared" si="297"/>
        <v>0.0317205840251932</v>
      </c>
      <c r="EI55" s="108">
        <f t="shared" ref="EI55:FM55" si="298">EI47/EI$130</f>
        <v>0.0669334031335303</v>
      </c>
      <c r="EJ55" s="108">
        <f t="shared" si="298"/>
        <v>0.0596747967479675</v>
      </c>
      <c r="EK55" s="102">
        <f t="shared" si="298"/>
        <v>0.0394742467169568</v>
      </c>
      <c r="EL55" s="108">
        <f t="shared" si="298"/>
        <v>0.0510443604535508</v>
      </c>
      <c r="EM55" s="108">
        <f t="shared" si="298"/>
        <v>0.0402052317268063</v>
      </c>
      <c r="EN55" s="108">
        <f t="shared" si="298"/>
        <v>0.0352085278555867</v>
      </c>
      <c r="EO55" s="108">
        <f t="shared" si="298"/>
        <v>0.0378584775367617</v>
      </c>
      <c r="EP55" s="108">
        <f t="shared" si="298"/>
        <v>0.0510083937863193</v>
      </c>
      <c r="EQ55" s="108">
        <f t="shared" si="298"/>
        <v>0.0499125735177237</v>
      </c>
      <c r="ER55" s="108">
        <f t="shared" si="298"/>
        <v>0.0559868556171699</v>
      </c>
      <c r="ES55" s="108">
        <f t="shared" si="298"/>
        <v>0.0272459667297994</v>
      </c>
      <c r="ET55" s="108">
        <f t="shared" si="298"/>
        <v>0.028038706632051</v>
      </c>
      <c r="EU55" s="108">
        <f t="shared" si="298"/>
        <v>0.0209310632218121</v>
      </c>
      <c r="EV55" s="108">
        <f t="shared" si="298"/>
        <v>0.0219123505976096</v>
      </c>
      <c r="EW55" s="108">
        <f t="shared" si="298"/>
        <v>0.0319735642661805</v>
      </c>
      <c r="EX55" s="108">
        <f t="shared" si="298"/>
        <v>0.0327065794491215</v>
      </c>
      <c r="EY55" s="108">
        <f t="shared" si="298"/>
        <v>0.0391110007449714</v>
      </c>
      <c r="EZ55" s="108">
        <f t="shared" si="298"/>
        <v>0.0651570606925954</v>
      </c>
      <c r="FA55" s="108">
        <f t="shared" si="298"/>
        <v>0.0421462786873525</v>
      </c>
      <c r="FB55" s="108">
        <f t="shared" si="298"/>
        <v>0.0473195038343287</v>
      </c>
      <c r="FC55" s="108">
        <f t="shared" si="298"/>
        <v>0.0842637207662475</v>
      </c>
      <c r="FD55" s="108">
        <f t="shared" si="298"/>
        <v>0.039415427810374</v>
      </c>
      <c r="FE55" s="108">
        <f t="shared" si="298"/>
        <v>0.0350141552267507</v>
      </c>
      <c r="FF55" s="108">
        <f t="shared" si="298"/>
        <v>0.0454072610007282</v>
      </c>
      <c r="FG55" s="108">
        <f t="shared" si="298"/>
        <v>0.0414452709883103</v>
      </c>
      <c r="FH55" s="108">
        <f t="shared" si="298"/>
        <v>0.0402799336999132</v>
      </c>
      <c r="FI55" s="108">
        <f t="shared" si="298"/>
        <v>0.0305372833341336</v>
      </c>
      <c r="FJ55" s="108">
        <f t="shared" si="298"/>
        <v>0.035160661123088</v>
      </c>
      <c r="FK55" s="108">
        <f t="shared" si="298"/>
        <v>0.0508855291576674</v>
      </c>
      <c r="FL55" s="108">
        <f t="shared" si="298"/>
        <v>0.0432142352775032</v>
      </c>
      <c r="FM55" s="108">
        <f t="shared" si="298"/>
        <v>0.0338398357289528</v>
      </c>
      <c r="FN55" s="108">
        <f t="shared" ref="FN55:GI55" si="299">FN47/FN$130</f>
        <v>0.0480242596775691</v>
      </c>
      <c r="FO55" s="108">
        <f t="shared" si="299"/>
        <v>0.0414121710210738</v>
      </c>
      <c r="FP55" s="108">
        <f t="shared" si="299"/>
        <v>0.0298335012146709</v>
      </c>
      <c r="FQ55" s="102">
        <f t="shared" si="299"/>
        <v>0.0393643846301768</v>
      </c>
      <c r="FR55" s="108">
        <f t="shared" si="299"/>
        <v>0.0523858257643597</v>
      </c>
      <c r="FS55" s="108">
        <f t="shared" si="299"/>
        <v>0.0476998868251115</v>
      </c>
      <c r="FT55" s="108">
        <f t="shared" si="299"/>
        <v>0.0759344121437777</v>
      </c>
      <c r="FU55" s="108">
        <f t="shared" si="299"/>
        <v>0.0503915662650602</v>
      </c>
      <c r="FV55" s="108">
        <f t="shared" si="299"/>
        <v>0.0682209564180686</v>
      </c>
      <c r="FW55" s="108">
        <f t="shared" si="299"/>
        <v>0.03089754244331</v>
      </c>
      <c r="FX55" s="108">
        <f t="shared" si="299"/>
        <v>0.0413074712643678</v>
      </c>
      <c r="FY55" s="108">
        <f t="shared" si="299"/>
        <v>0.0356224136002684</v>
      </c>
      <c r="FZ55" s="108">
        <f t="shared" si="299"/>
        <v>0.0384241800937036</v>
      </c>
      <c r="GA55" s="108">
        <f t="shared" si="299"/>
        <v>0.0352515243902439</v>
      </c>
      <c r="GB55" s="108">
        <f t="shared" si="299"/>
        <v>0.0456160458452722</v>
      </c>
      <c r="GC55" s="108">
        <f t="shared" si="299"/>
        <v>0.0410537870472009</v>
      </c>
      <c r="GD55" s="108">
        <f t="shared" si="299"/>
        <v>0.0399723756906077</v>
      </c>
      <c r="GE55" s="108">
        <f t="shared" si="299"/>
        <v>0.0298608296176192</v>
      </c>
      <c r="GF55" s="108">
        <f t="shared" si="299"/>
        <v>0.0427046263345196</v>
      </c>
      <c r="GG55" s="108">
        <f t="shared" si="299"/>
        <v>0.0362368047410334</v>
      </c>
      <c r="GH55" s="108">
        <f t="shared" si="299"/>
        <v>0.0244261749750511</v>
      </c>
      <c r="GI55" s="108">
        <f t="shared" si="299"/>
        <v>0.0355062340195587</v>
      </c>
      <c r="GJ55" s="108">
        <f t="shared" ref="GJ55:GP55" si="300">GJ47/GJ$130</f>
        <v>0.0198280714322264</v>
      </c>
      <c r="GK55" s="108">
        <f t="shared" si="300"/>
        <v>0.0390243902439024</v>
      </c>
      <c r="GL55" s="108">
        <f t="shared" si="300"/>
        <v>0.0204145201868935</v>
      </c>
      <c r="GM55" s="108" t="e">
        <f t="shared" si="300"/>
        <v>#DIV/0!</v>
      </c>
      <c r="GN55" s="108" t="e">
        <f t="shared" si="300"/>
        <v>#DIV/0!</v>
      </c>
      <c r="GO55" s="108" t="e">
        <f t="shared" si="300"/>
        <v>#DIV/0!</v>
      </c>
      <c r="GP55" s="108" t="e">
        <f t="shared" si="300"/>
        <v>#DIV/0!</v>
      </c>
    </row>
    <row r="56" s="47" customFormat="1" ht="15" customHeight="1" spans="1:198">
      <c r="B56" s="103" t="s">
        <v>40</v>
      </c>
      <c r="C56" s="109" t="s">
        <v>12</v>
      </c>
      <c r="D56" s="94" t="e">
        <f>SUM(E56:P56)</f>
        <v>#REF!</v>
      </c>
      <c r="E56" s="110" t="e">
        <f>#REF!</f>
        <v>#REF!</v>
      </c>
      <c r="F56" s="110" t="e">
        <f>#REF!</f>
        <v>#REF!</v>
      </c>
      <c r="G56" s="110" t="e">
        <f>#REF!</f>
        <v>#REF!</v>
      </c>
      <c r="H56" s="110" t="e">
        <f>#REF!</f>
        <v>#REF!</v>
      </c>
      <c r="I56" s="110" t="e">
        <f>#REF!</f>
        <v>#REF!</v>
      </c>
      <c r="J56" s="110" t="e">
        <f>#REF!</f>
        <v>#REF!</v>
      </c>
      <c r="K56" s="110" t="e">
        <f>#REF!</f>
        <v>#REF!</v>
      </c>
      <c r="L56" s="110" t="e">
        <f>#REF!</f>
        <v>#REF!</v>
      </c>
      <c r="M56" s="110" t="e">
        <f>#REF!</f>
        <v>#REF!</v>
      </c>
      <c r="N56" s="110" t="e">
        <f>#REF!</f>
        <v>#REF!</v>
      </c>
      <c r="O56" s="110" t="e">
        <f>#REF!</f>
        <v>#REF!</v>
      </c>
      <c r="P56" s="110" t="e">
        <f>#REF!</f>
        <v>#REF!</v>
      </c>
      <c r="Q56" s="65">
        <f>SUM(R56:AV56)</f>
        <v>2784.46</v>
      </c>
      <c r="R56" s="95">
        <f>SUMIFS(营销场景数据源!$H:$H,营销场景数据源!$C:$C,$B$56,营销场景数据源!$A:$A,R2)</f>
        <v>0</v>
      </c>
      <c r="S56" s="95">
        <f>SUMIFS(营销场景数据源!$H:$H,营销场景数据源!$C:$C,$B$56,营销场景数据源!$A:$A,S2)</f>
        <v>0</v>
      </c>
      <c r="T56" s="95">
        <f>SUMIFS(营销场景数据源!$H:$H,营销场景数据源!$C:$C,$B$56,营销场景数据源!$A:$A,T2)</f>
        <v>0</v>
      </c>
      <c r="U56" s="95">
        <f>SUMIFS(营销场景数据源!$H:$H,营销场景数据源!$C:$C,$B$56,营销场景数据源!$A:$A,U2)</f>
        <v>94.16</v>
      </c>
      <c r="V56" s="95">
        <f>SUMIFS(营销场景数据源!$H:$H,营销场景数据源!$C:$C,$B$56,营销场景数据源!$A:$A,V2)</f>
        <v>99.45</v>
      </c>
      <c r="W56" s="95">
        <f>SUMIFS(营销场景数据源!$H:$H,营销场景数据源!$C:$C,$B$56,营销场景数据源!$A:$A,W2)</f>
        <v>100</v>
      </c>
      <c r="X56" s="95">
        <f>SUMIFS(营销场景数据源!$H:$H,营销场景数据源!$C:$C,$B$56,营销场景数据源!$A:$A,X2)</f>
        <v>98.66</v>
      </c>
      <c r="Y56" s="95">
        <f>SUMIFS(营销场景数据源!$H:$H,营销场景数据源!$C:$C,$B$56,营销场景数据源!$A:$A,Y2)</f>
        <v>98.93</v>
      </c>
      <c r="Z56" s="95">
        <f>SUMIFS(营销场景数据源!$H:$H,营销场景数据源!$C:$C,$B$56,营销场景数据源!$A:$A,Z2)</f>
        <v>96.43</v>
      </c>
      <c r="AA56" s="95">
        <f>SUMIFS(营销场景数据源!$H:$H,营销场景数据源!$C:$C,$B$56,营销场景数据源!$A:$A,AA2)</f>
        <v>99.62</v>
      </c>
      <c r="AB56" s="95">
        <f>SUMIFS(营销场景数据源!$H:$H,营销场景数据源!$C:$C,$B$56,营销场景数据源!$A:$A,AB2)</f>
        <v>100</v>
      </c>
      <c r="AC56" s="95">
        <f>SUMIFS(营销场景数据源!$H:$H,营销场景数据源!$C:$C,$B$56,营销场景数据源!$A:$A,AC2)</f>
        <v>100</v>
      </c>
      <c r="AD56" s="95">
        <f>SUMIFS(营销场景数据源!$H:$H,营销场景数据源!$C:$C,$B$56,营销场景数据源!$A:$A,AD2)</f>
        <v>100</v>
      </c>
      <c r="AE56" s="95">
        <f>SUMIFS(营销场景数据源!$H:$H,营销场景数据源!$C:$C,$B$56,营销场景数据源!$A:$A,AE2)</f>
        <v>99.79</v>
      </c>
      <c r="AF56" s="95">
        <f>SUMIFS(营销场景数据源!$H:$H,营销场景数据源!$C:$C,$B$56,营销场景数据源!$A:$A,AF2)</f>
        <v>100</v>
      </c>
      <c r="AG56" s="95">
        <f>SUMIFS(营销场景数据源!$H:$H,营销场景数据源!$C:$C,$B$56,营销场景数据源!$A:$A,AG2)</f>
        <v>97.42</v>
      </c>
      <c r="AH56" s="95">
        <f>SUMIFS(营销场景数据源!$H:$H,营销场景数据源!$C:$C,$B$56,营销场景数据源!$A:$A,AH2)</f>
        <v>100</v>
      </c>
      <c r="AI56" s="95">
        <f>SUMIFS(营销场景数据源!$H:$H,营销场景数据源!$C:$C,$B$56,营销场景数据源!$A:$A,AI2)</f>
        <v>100</v>
      </c>
      <c r="AJ56" s="95">
        <f>SUMIFS(营销场景数据源!$H:$H,营销场景数据源!$C:$C,$B$56,营销场景数据源!$A:$A,AJ2)</f>
        <v>100</v>
      </c>
      <c r="AK56" s="95">
        <f>SUMIFS(营销场景数据源!$H:$H,营销场景数据源!$C:$C,$B$56,营销场景数据源!$A:$A,AK2)</f>
        <v>100</v>
      </c>
      <c r="AL56" s="95">
        <f>SUMIFS(营销场景数据源!$H:$H,营销场景数据源!$C:$C,$B$56,营销场景数据源!$A:$A,AL2)</f>
        <v>100</v>
      </c>
      <c r="AM56" s="95">
        <f>SUMIFS(营销场景数据源!$H:$H,营销场景数据源!$C:$C,$B$56,营销场景数据源!$A:$A,AM2)</f>
        <v>100</v>
      </c>
      <c r="AN56" s="95">
        <f>SUMIFS(营销场景数据源!$H:$H,营销场景数据源!$C:$C,$B$56,营销场景数据源!$A:$A,AN2)</f>
        <v>100</v>
      </c>
      <c r="AO56" s="95">
        <f>SUMIFS(营销场景数据源!$H:$H,营销场景数据源!$C:$C,$B$56,营销场景数据源!$A:$A,AO2)</f>
        <v>100</v>
      </c>
      <c r="AP56" s="95">
        <f>SUMIFS(营销场景数据源!$H:$H,营销场景数据源!$C:$C,$B$56,营销场景数据源!$A:$A,AP2)</f>
        <v>100</v>
      </c>
      <c r="AQ56" s="95">
        <f>SUMIFS(营销场景数据源!$H:$H,营销场景数据源!$C:$C,$B$56,营销场景数据源!$A:$A,AQ2)</f>
        <v>100</v>
      </c>
      <c r="AR56" s="95">
        <f>SUMIFS(营销场景数据源!$H:$H,营销场景数据源!$C:$C,$B$56,营销场景数据源!$A:$A,AR2)</f>
        <v>100</v>
      </c>
      <c r="AS56" s="95">
        <f>SUMIFS(营销场景数据源!$H:$H,营销场景数据源!$C:$C,$B$56,营销场景数据源!$A:$A,AS2)</f>
        <v>100</v>
      </c>
      <c r="AT56" s="95">
        <f>SUMIFS(营销场景数据源!$H:$H,营销场景数据源!$C:$C,$B$56,营销场景数据源!$A:$A,AT2)</f>
        <v>100</v>
      </c>
      <c r="AU56" s="95">
        <f>SUMIFS(营销场景数据源!$H:$H,营销场景数据源!$C:$C,$B$56,营销场景数据源!$A:$A,AU2)</f>
        <v>100</v>
      </c>
      <c r="AV56" s="95">
        <f>SUMIFS(营销场景数据源!$H:$H,营销场景数据源!$C:$C,$B$56,营销场景数据源!$A:$A,AV2)</f>
        <v>100</v>
      </c>
      <c r="AW56" s="65">
        <f>SUM(AX56:BY56)</f>
        <v>1796.64</v>
      </c>
      <c r="AX56" s="95">
        <f>SUMIFS(营销场景数据源!$H:$H,营销场景数据源!$C:$C,$B$56,营销场景数据源!$A:$A,AX2)</f>
        <v>100</v>
      </c>
      <c r="AY56" s="95">
        <f>SUMIFS(营销场景数据源!$H:$H,营销场景数据源!$C:$C,$B$56,营销场景数据源!$A:$A,AY2)</f>
        <v>100</v>
      </c>
      <c r="AZ56" s="95">
        <f>SUMIFS(营销场景数据源!$H:$H,营销场景数据源!$C:$C,$B$56,营销场景数据源!$A:$A,AZ2)</f>
        <v>100</v>
      </c>
      <c r="BA56" s="95">
        <f>SUMIFS(营销场景数据源!$H:$H,营销场景数据源!$C:$C,$B$56,营销场景数据源!$A:$A,BA2)</f>
        <v>100</v>
      </c>
      <c r="BB56" s="95">
        <f>SUMIFS(营销场景数据源!$H:$H,营销场景数据源!$C:$C,$B$56,营销场景数据源!$A:$A,BB2)</f>
        <v>100</v>
      </c>
      <c r="BC56" s="95">
        <f>SUMIFS(营销场景数据源!$H:$H,营销场景数据源!$C:$C,$B$56,营销场景数据源!$A:$A,BC2)</f>
        <v>100</v>
      </c>
      <c r="BD56" s="95">
        <f>SUMIFS(营销场景数据源!$H:$H,营销场景数据源!$C:$C,$B$56,营销场景数据源!$A:$A,BD2)</f>
        <v>100</v>
      </c>
      <c r="BE56" s="95">
        <f>SUMIFS(营销场景数据源!$H:$H,营销场景数据源!$C:$C,$B$56,营销场景数据源!$A:$A,BE2)</f>
        <v>100</v>
      </c>
      <c r="BF56" s="95">
        <f>SUMIFS(营销场景数据源!$H:$H,营销场景数据源!$C:$C,$B$56,营销场景数据源!$A:$A,BF2)</f>
        <v>100</v>
      </c>
      <c r="BG56" s="95">
        <f>SUMIFS(营销场景数据源!$H:$H,营销场景数据源!$C:$C,$B$56,营销场景数据源!$A:$A,BG2)</f>
        <v>100</v>
      </c>
      <c r="BH56" s="95">
        <f>SUMIFS(营销场景数据源!$H:$H,营销场景数据源!$C:$C,$B$56,营销场景数据源!$A:$A,BH2)</f>
        <v>100</v>
      </c>
      <c r="BI56" s="95">
        <f>SUMIFS(营销场景数据源!$H:$H,营销场景数据源!$C:$C,$B$56,营销场景数据源!$A:$A,BI2)</f>
        <v>100</v>
      </c>
      <c r="BJ56" s="95">
        <f>SUMIFS(营销场景数据源!$H:$H,营销场景数据源!$C:$C,$B$56,营销场景数据源!$A:$A,BJ2)</f>
        <v>100</v>
      </c>
      <c r="BK56" s="95">
        <f>SUMIFS(营销场景数据源!$H:$H,营销场景数据源!$C:$C,$B$56,营销场景数据源!$A:$A,BK2)</f>
        <v>99.11</v>
      </c>
      <c r="BL56" s="95">
        <f>SUMIFS(营销场景数据源!$H:$H,营销场景数据源!$C:$C,$B$56,营销场景数据源!$A:$A,BL2)</f>
        <v>0</v>
      </c>
      <c r="BM56" s="95">
        <f>SUMIFS(营销场景数据源!$H:$H,营销场景数据源!$C:$C,$B$56,营销场景数据源!$A:$A,BM2)</f>
        <v>0</v>
      </c>
      <c r="BN56" s="95">
        <f>SUMIFS(营销场景数据源!$H:$H,营销场景数据源!$C:$C,$B$56,营销场景数据源!$A:$A,BN2)</f>
        <v>0</v>
      </c>
      <c r="BO56" s="95">
        <f>SUMIFS(营销场景数据源!$H:$H,营销场景数据源!$C:$C,$B$56,营销场景数据源!$A:$A,BO2)</f>
        <v>0</v>
      </c>
      <c r="BP56" s="95">
        <f>SUMIFS(营销场景数据源!$H:$H,营销场景数据源!$C:$C,$B$56,营销场景数据源!$A:$A,BP2)</f>
        <v>0</v>
      </c>
      <c r="BQ56" s="95">
        <f>SUMIFS(营销场景数据源!$H:$H,营销场景数据源!$C:$C,$B$56,营销场景数据源!$A:$A,BQ2)</f>
        <v>0</v>
      </c>
      <c r="BR56" s="95">
        <f>SUMIFS(营销场景数据源!$H:$H,营销场景数据源!$C:$C,$B$56,营销场景数据源!$A:$A,BR2)</f>
        <v>0</v>
      </c>
      <c r="BS56" s="95">
        <f>SUMIFS(营销场景数据源!$H:$H,营销场景数据源!$C:$C,$B$56,营销场景数据源!$A:$A,BS2)</f>
        <v>0</v>
      </c>
      <c r="BT56" s="95">
        <f>SUMIFS(营销场景数据源!$H:$H,营销场景数据源!$C:$C,$B$56,营销场景数据源!$A:$A,BT2)</f>
        <v>0</v>
      </c>
      <c r="BU56" s="95">
        <f>SUMIFS(营销场景数据源!$H:$H,营销场景数据源!$C:$C,$B$56,营销场景数据源!$A:$A,BU2)</f>
        <v>0</v>
      </c>
      <c r="BV56" s="95">
        <f>SUMIFS(营销场景数据源!$H:$H,营销场景数据源!$C:$C,$B$56,营销场景数据源!$A:$A,BV2)</f>
        <v>98.16</v>
      </c>
      <c r="BW56" s="95">
        <f>SUMIFS(营销场景数据源!$H:$H,营销场景数据源!$C:$C,$B$56,营销场景数据源!$A:$A,BW2)</f>
        <v>99.37</v>
      </c>
      <c r="BX56" s="95">
        <f>SUMIFS(营销场景数据源!$H:$H,营销场景数据源!$C:$C,$B$56,营销场景数据源!$A:$A,BX2)</f>
        <v>100</v>
      </c>
      <c r="BY56" s="95">
        <f>SUMIFS(营销场景数据源!$H:$H,营销场景数据源!$C:$C,$B$56,营销场景数据源!$A:$A,BY2)</f>
        <v>100</v>
      </c>
      <c r="BZ56" s="65">
        <f>SUM(CA56:DE56)</f>
        <v>5927.76</v>
      </c>
      <c r="CA56" s="95">
        <f>SUMIFS(营销场景数据源!$H:$H,营销场景数据源!$C:$C,$B$56,营销场景数据源!$A:$A,CA2)</f>
        <v>100</v>
      </c>
      <c r="CB56" s="95">
        <f>SUMIFS(营销场景数据源!$H:$H,营销场景数据源!$C:$C,$B$56,营销场景数据源!$A:$A,CB2)</f>
        <v>100</v>
      </c>
      <c r="CC56" s="95">
        <f>SUMIFS(营销场景数据源!$H:$H,营销场景数据源!$C:$C,$B$56,营销场景数据源!$A:$A,CC2)</f>
        <v>100</v>
      </c>
      <c r="CD56" s="95">
        <f>SUMIFS(营销场景数据源!$H:$H,营销场景数据源!$C:$C,$B$56,营销场景数据源!$A:$A,CD2)</f>
        <v>178.09</v>
      </c>
      <c r="CE56" s="95">
        <f>SUMIFS(营销场景数据源!$H:$H,营销场景数据源!$C:$C,$B$56,营销场景数据源!$A:$A,CE2)</f>
        <v>197.65</v>
      </c>
      <c r="CF56" s="95">
        <f>SUMIFS(营销场景数据源!$H:$H,营销场景数据源!$C:$C,$B$56,营销场景数据源!$A:$A,CF2)</f>
        <v>173.28</v>
      </c>
      <c r="CG56" s="95">
        <f>SUMIFS(营销场景数据源!$H:$H,营销场景数据源!$C:$C,$B$56,营销场景数据源!$A:$A,CG2)</f>
        <v>100</v>
      </c>
      <c r="CH56" s="95">
        <f>SUMIFS(营销场景数据源!$H:$H,营销场景数据源!$C:$C,$B$56,营销场景数据源!$A:$A,CH2)</f>
        <v>100</v>
      </c>
      <c r="CI56" s="95">
        <f>SUMIFS(营销场景数据源!$H:$H,营销场景数据源!$C:$C,$B$56,营销场景数据源!$A:$A,CI2)</f>
        <v>110.8</v>
      </c>
      <c r="CJ56" s="95">
        <f>SUMIFS(营销场景数据源!$H:$H,营销场景数据源!$C:$C,$B$56,营销场景数据源!$A:$A,CJ2)</f>
        <v>200</v>
      </c>
      <c r="CK56" s="95">
        <f>SUMIFS(营销场景数据源!$H:$H,营销场景数据源!$C:$C,$B$56,营销场景数据源!$A:$A,CK2)</f>
        <v>196.48</v>
      </c>
      <c r="CL56" s="95">
        <f>SUMIFS(营销场景数据源!$H:$H,营销场景数据源!$C:$C,$B$56,营销场景数据源!$A:$A,CL2)</f>
        <v>200</v>
      </c>
      <c r="CM56" s="95">
        <f>SUMIFS(营销场景数据源!$H:$H,营销场景数据源!$C:$C,$B$56,营销场景数据源!$A:$A,CM2)</f>
        <v>198.22</v>
      </c>
      <c r="CN56" s="95">
        <f>SUMIFS(营销场景数据源!$H:$H,营销场景数据源!$C:$C,$B$56,营销场景数据源!$A:$A,CN2)</f>
        <v>301.23</v>
      </c>
      <c r="CO56" s="95">
        <f>SUMIFS(营销场景数据源!$H:$H,营销场景数据源!$C:$C,$B$56,营销场景数据源!$A:$A,CO2)</f>
        <v>200</v>
      </c>
      <c r="CP56" s="95">
        <f>SUMIFS(营销场景数据源!$H:$H,营销场景数据源!$C:$C,$B$56,营销场景数据源!$A:$A,CP2)</f>
        <v>315</v>
      </c>
      <c r="CQ56" s="95">
        <f>SUMIFS(营销场景数据源!$H:$H,营销场景数据源!$C:$C,$B$56,营销场景数据源!$A:$A,CQ2)</f>
        <v>200</v>
      </c>
      <c r="CR56" s="95">
        <f>SUMIFS(营销场景数据源!$H:$H,营销场景数据源!$C:$C,$B$56,营销场景数据源!$A:$A,CR2)</f>
        <v>245.06</v>
      </c>
      <c r="CS56" s="95">
        <f>SUMIFS(营销场景数据源!$H:$H,营销场景数据源!$C:$C,$B$56,营销场景数据源!$A:$A,CS2)</f>
        <v>200</v>
      </c>
      <c r="CT56" s="95">
        <f>SUMIFS(营销场景数据源!$H:$H,营销场景数据源!$C:$C,$B$56,营销场景数据源!$A:$A,CT2)</f>
        <v>200</v>
      </c>
      <c r="CU56" s="95">
        <f>SUMIFS(营销场景数据源!$H:$H,营销场景数据源!$C:$C,$B$56,营销场景数据源!$A:$A,CU2)</f>
        <v>200</v>
      </c>
      <c r="CV56" s="95">
        <f>SUMIFS(营销场景数据源!$H:$H,营销场景数据源!$C:$C,$B$56,营销场景数据源!$A:$A,CV2)</f>
        <v>200</v>
      </c>
      <c r="CW56" s="95">
        <f>SUMIFS(营销场景数据源!$H:$H,营销场景数据源!$C:$C,$B$56,营销场景数据源!$A:$A,CW2)</f>
        <v>200</v>
      </c>
      <c r="CX56" s="95">
        <f>SUMIFS(营销场景数据源!$H:$H,营销场景数据源!$C:$C,$B$56,营销场景数据源!$A:$A,CX2)</f>
        <v>200</v>
      </c>
      <c r="CY56" s="95">
        <f>SUMIFS(营销场景数据源!$H:$H,营销场景数据源!$C:$C,$B$56,营销场景数据源!$A:$A,CY2)</f>
        <v>311.95</v>
      </c>
      <c r="CZ56" s="95">
        <f>SUMIFS(营销场景数据源!$H:$H,营销场景数据源!$C:$C,$B$56,营销场景数据源!$A:$A,CZ2)</f>
        <v>200</v>
      </c>
      <c r="DA56" s="95">
        <f>SUMIFS(营销场景数据源!$H:$H,营销场景数据源!$C:$C,$B$56,营销场景数据源!$A:$A,DA2)</f>
        <v>200</v>
      </c>
      <c r="DB56" s="95">
        <f>SUMIFS(营销场景数据源!$H:$H,营销场景数据源!$C:$C,$B$56,营销场景数据源!$A:$A,DB2)</f>
        <v>200</v>
      </c>
      <c r="DC56" s="95">
        <f>SUMIFS(营销场景数据源!$H:$H,营销场景数据源!$C:$C,$B$56,营销场景数据源!$A:$A,DC2)</f>
        <v>200</v>
      </c>
      <c r="DD56" s="95">
        <f>SUMIFS(营销场景数据源!$H:$H,营销场景数据源!$C:$C,$B$56,营销场景数据源!$A:$A,DD2)</f>
        <v>200</v>
      </c>
      <c r="DE56" s="95">
        <f>SUMIFS(营销场景数据源!$H:$H,营销场景数据源!$C:$C,$B$56,营销场景数据源!$A:$A,DE2)</f>
        <v>200</v>
      </c>
      <c r="DF56" s="65">
        <f>SUM(DG56:EJ56)</f>
        <v>4495.99</v>
      </c>
      <c r="DG56" s="95">
        <f>SUMIFS(营销场景数据源!$H:$H,营销场景数据源!$C:$C,$B$56,营销场景数据源!$A:$A,DG2)</f>
        <v>140.38</v>
      </c>
      <c r="DH56" s="95">
        <f>SUMIFS(营销场景数据源!$H:$H,营销场景数据源!$C:$C,$B$56,营销场景数据源!$A:$A,DH2)</f>
        <v>100</v>
      </c>
      <c r="DI56" s="95">
        <f>SUMIFS(营销场景数据源!$H:$H,营销场景数据源!$C:$C,$B$56,营销场景数据源!$A:$A,DI2)</f>
        <v>100</v>
      </c>
      <c r="DJ56" s="95">
        <f>SUMIFS(营销场景数据源!$H:$H,营销场景数据源!$C:$C,$B$56,营销场景数据源!$A:$A,DJ2)</f>
        <v>100</v>
      </c>
      <c r="DK56" s="95">
        <f>SUMIFS(营销场景数据源!$H:$H,营销场景数据源!$C:$C,$B$56,营销场景数据源!$A:$A,DK2)</f>
        <v>100</v>
      </c>
      <c r="DL56" s="95">
        <f>SUMIFS(营销场景数据源!$H:$H,营销场景数据源!$C:$C,$B$56,营销场景数据源!$A:$A,DL2)</f>
        <v>100</v>
      </c>
      <c r="DM56" s="95">
        <f>SUMIFS(营销场景数据源!$H:$H,营销场景数据源!$C:$C,$B$56,营销场景数据源!$A:$A,DM2)</f>
        <v>242.7</v>
      </c>
      <c r="DN56" s="95">
        <f>SUMIFS(营销场景数据源!$H:$H,营销场景数据源!$C:$C,$B$56,营销场景数据源!$A:$A,DN2)</f>
        <v>346.91</v>
      </c>
      <c r="DO56" s="95">
        <f>SUMIFS(营销场景数据源!$H:$H,营销场景数据源!$C:$C,$B$56,营销场景数据源!$A:$A,DO2)</f>
        <v>300</v>
      </c>
      <c r="DP56" s="95">
        <f>SUMIFS(营销场景数据源!$H:$H,营销场景数据源!$C:$C,$B$56,营销场景数据源!$A:$A,DP2)</f>
        <v>230</v>
      </c>
      <c r="DQ56" s="95">
        <f>SUMIFS(营销场景数据源!$H:$H,营销场景数据源!$C:$C,$B$56,营销场景数据源!$A:$A,DQ2)</f>
        <v>120</v>
      </c>
      <c r="DR56" s="95">
        <f>SUMIFS(营销场景数据源!$H:$H,营销场景数据源!$C:$C,$B$56,营销场景数据源!$A:$A,DR2)</f>
        <v>120</v>
      </c>
      <c r="DS56" s="95">
        <f>SUMIFS(营销场景数据源!$H:$H,营销场景数据源!$C:$C,$B$56,营销场景数据源!$A:$A,DS2)</f>
        <v>100</v>
      </c>
      <c r="DT56" s="95">
        <f>SUMIFS(营销场景数据源!$H:$H,营销场景数据源!$C:$C,$B$56,营销场景数据源!$A:$A,DT2)</f>
        <v>100</v>
      </c>
      <c r="DU56" s="95">
        <f>SUMIFS(营销场景数据源!$H:$H,营销场景数据源!$C:$C,$B$56,营销场景数据源!$A:$A,DU2)</f>
        <v>100</v>
      </c>
      <c r="DV56" s="95">
        <f>SUMIFS(营销场景数据源!$H:$H,营销场景数据源!$C:$C,$B$56,营销场景数据源!$A:$A,DV2)</f>
        <v>146</v>
      </c>
      <c r="DW56" s="95">
        <f>SUMIFS(营销场景数据源!$H:$H,营销场景数据源!$C:$C,$B$56,营销场景数据源!$A:$A,DW2)</f>
        <v>146</v>
      </c>
      <c r="DX56" s="95">
        <f>SUMIFS(营销场景数据源!$H:$H,营销场景数据源!$C:$C,$B$56,营销场景数据源!$A:$A,DX2)</f>
        <v>146</v>
      </c>
      <c r="DY56" s="95">
        <f>SUMIFS(营销场景数据源!$H:$H,营销场景数据源!$C:$C,$B$56,营销场景数据源!$A:$A,DY2)</f>
        <v>146</v>
      </c>
      <c r="DZ56" s="95">
        <f>SUMIFS(营销场景数据源!$H:$H,营销场景数据源!$C:$C,$B$56,营销场景数据源!$A:$A,DZ2)</f>
        <v>100</v>
      </c>
      <c r="EA56" s="95">
        <f>SUMIFS(营销场景数据源!$H:$H,营销场景数据源!$C:$C,$B$56,营销场景数据源!$A:$A,EA2)</f>
        <v>100</v>
      </c>
      <c r="EB56" s="95">
        <f>SUMIFS(营销场景数据源!$H:$H,营销场景数据源!$C:$C,$B$56,营销场景数据源!$A:$A,EB2)</f>
        <v>148</v>
      </c>
      <c r="EC56" s="95">
        <f>SUMIFS(营销场景数据源!$H:$H,营销场景数据源!$C:$C,$B$56,营销场景数据源!$A:$A,EC2)</f>
        <v>222</v>
      </c>
      <c r="ED56" s="95">
        <f>SUMIFS(营销场景数据源!$H:$H,营销场景数据源!$C:$C,$B$56,营销场景数据源!$A:$A,ED2)</f>
        <v>203</v>
      </c>
      <c r="EE56" s="95">
        <f>SUMIFS(营销场景数据源!$H:$H,营销场景数据源!$C:$C,$B$56,营销场景数据源!$A:$A,EE2)</f>
        <v>148</v>
      </c>
      <c r="EF56" s="95">
        <f>SUMIFS(营销场景数据源!$H:$H,营销场景数据源!$C:$C,$B$56,营销场景数据源!$A:$A,EF2)</f>
        <v>148</v>
      </c>
      <c r="EG56" s="95">
        <f>SUMIFS(营销场景数据源!$H:$H,营销场景数据源!$C:$C,$B$56,营销场景数据源!$A:$A,EG2)</f>
        <v>195</v>
      </c>
      <c r="EH56" s="95">
        <f>SUMIFS(营销场景数据源!$H:$H,营销场景数据源!$C:$C,$B$56,营销场景数据源!$A:$A,EH2)</f>
        <v>148</v>
      </c>
      <c r="EI56" s="95">
        <f>SUMIFS(营销场景数据源!$H:$H,营销场景数据源!$C:$C,$B$56,营销场景数据源!$A:$A,EI2)</f>
        <v>100</v>
      </c>
      <c r="EJ56" s="95">
        <f>SUMIFS(营销场景数据源!$H:$H,营销场景数据源!$C:$C,$B$56,营销场景数据源!$A:$A,EJ2)</f>
        <v>100</v>
      </c>
      <c r="EK56" s="65">
        <f>SUM(EL56:FP56)</f>
        <v>3982.76</v>
      </c>
      <c r="EL56" s="95">
        <f>SUMIFS(营销场景数据源!$H:$H,营销场景数据源!$C:$C,$B$56,营销场景数据源!$A:$A,EL2)</f>
        <v>100</v>
      </c>
      <c r="EM56" s="95">
        <f>SUMIFS(营销场景数据源!$H:$H,营销场景数据源!$C:$C,$B$56,营销场景数据源!$A:$A,EM2)</f>
        <v>100</v>
      </c>
      <c r="EN56" s="95">
        <f>SUMIFS(营销场景数据源!$H:$H,营销场景数据源!$C:$C,$B$56,营销场景数据源!$A:$A,EN2)</f>
        <v>100</v>
      </c>
      <c r="EO56" s="95">
        <f>SUMIFS(营销场景数据源!$H:$H,营销场景数据源!$C:$C,$B$56,营销场景数据源!$A:$A,EO2)</f>
        <v>100</v>
      </c>
      <c r="EP56" s="95">
        <f>SUMIFS(营销场景数据源!$H:$H,营销场景数据源!$C:$C,$B$56,营销场景数据源!$A:$A,EP2)</f>
        <v>100</v>
      </c>
      <c r="EQ56" s="95">
        <f>SUMIFS(营销场景数据源!$H:$H,营销场景数据源!$C:$C,$B$56,营销场景数据源!$A:$A,EQ2)</f>
        <v>100</v>
      </c>
      <c r="ER56" s="95">
        <f>SUMIFS(营销场景数据源!$H:$H,营销场景数据源!$C:$C,$B$56,营销场景数据源!$A:$A,ER2)</f>
        <v>100</v>
      </c>
      <c r="ES56" s="95">
        <f>SUMIFS(营销场景数据源!$H:$H,营销场景数据源!$C:$C,$B$56,营销场景数据源!$A:$A,ES2)</f>
        <v>277.77</v>
      </c>
      <c r="ET56" s="95">
        <f>SUMIFS(营销场景数据源!$H:$H,营销场景数据源!$C:$C,$B$56,营销场景数据源!$A:$A,ET2)</f>
        <v>227.42</v>
      </c>
      <c r="EU56" s="95">
        <f>SUMIFS(营销场景数据源!$H:$H,营销场景数据源!$C:$C,$B$56,营销场景数据源!$A:$A,EU2)</f>
        <v>200</v>
      </c>
      <c r="EV56" s="95">
        <f>SUMIFS(营销场景数据源!$H:$H,营销场景数据源!$C:$C,$B$56,营销场景数据源!$A:$A,EV2)</f>
        <v>195.87</v>
      </c>
      <c r="EW56" s="95">
        <f>SUMIFS(营销场景数据源!$H:$H,营销场景数据源!$C:$C,$B$56,营销场景数据源!$A:$A,EW2)</f>
        <v>127.7</v>
      </c>
      <c r="EX56" s="95">
        <f>SUMIFS(营销场景数据源!$H:$H,营销场景数据源!$C:$C,$B$56,营销场景数据源!$A:$A,EX2)</f>
        <v>100</v>
      </c>
      <c r="EY56" s="95">
        <f>SUMIFS(营销场景数据源!$H:$H,营销场景数据源!$C:$C,$B$56,营销场景数据源!$A:$A,EY2)</f>
        <v>100</v>
      </c>
      <c r="EZ56" s="95">
        <f>SUMIFS(营销场景数据源!$H:$H,营销场景数据源!$C:$C,$B$56,营销场景数据源!$A:$A,EZ2)</f>
        <v>100</v>
      </c>
      <c r="FA56" s="95">
        <f>SUMIFS(营销场景数据源!$H:$H,营销场景数据源!$C:$C,$B$56,营销场景数据源!$A:$A,FA2)</f>
        <v>100</v>
      </c>
      <c r="FB56" s="95">
        <f>SUMIFS(营销场景数据源!$H:$H,营销场景数据源!$C:$C,$B$56,营销场景数据源!$A:$A,FB2)</f>
        <v>100</v>
      </c>
      <c r="FC56" s="95">
        <f>SUMIFS(营销场景数据源!$H:$H,营销场景数据源!$C:$C,$B$56,营销场景数据源!$A:$A,FC2)</f>
        <v>100</v>
      </c>
      <c r="FD56" s="95">
        <f>SUMIFS(营销场景数据源!$H:$H,营销场景数据源!$C:$C,$B$56,营销场景数据源!$A:$A,FD2)</f>
        <v>100</v>
      </c>
      <c r="FE56" s="95">
        <f>SUMIFS(营销场景数据源!$H:$H,营销场景数据源!$C:$C,$B$56,营销场景数据源!$A:$A,FE2)</f>
        <v>159</v>
      </c>
      <c r="FF56" s="95">
        <f>SUMIFS(营销场景数据源!$H:$H,营销场景数据源!$C:$C,$B$56,营销场景数据源!$A:$A,FF2)</f>
        <v>159</v>
      </c>
      <c r="FG56" s="95">
        <f>SUMIFS(营销场景数据源!$H:$H,营销场景数据源!$C:$C,$B$56,营销场景数据源!$A:$A,FG2)</f>
        <v>159</v>
      </c>
      <c r="FH56" s="95">
        <f>SUMIFS(营销场景数据源!$H:$H,营销场景数据源!$C:$C,$B$56,营销场景数据源!$A:$A,FH2)</f>
        <v>159</v>
      </c>
      <c r="FI56" s="95">
        <f>SUMIFS(营销场景数据源!$H:$H,营销场景数据源!$C:$C,$B$56,营销场景数据源!$A:$A,FI2)</f>
        <v>159</v>
      </c>
      <c r="FJ56" s="95">
        <f>SUMIFS(营销场景数据源!$H:$H,营销场景数据源!$C:$C,$B$56,营销场景数据源!$A:$A,FJ2)</f>
        <v>159</v>
      </c>
      <c r="FK56" s="95">
        <f>SUMIFS(营销场景数据源!$H:$H,营销场景数据源!$C:$C,$B$56,营销场景数据源!$A:$A,FK2)</f>
        <v>100</v>
      </c>
      <c r="FL56" s="95">
        <f>SUMIFS(营销场景数据源!$H:$H,营销场景数据源!$C:$C,$B$56,营销场景数据源!$A:$A,FL2)</f>
        <v>100</v>
      </c>
      <c r="FM56" s="95">
        <f>SUMIFS(营销场景数据源!$H:$H,营销场景数据源!$C:$C,$B$56,营销场景数据源!$A:$A,FM2)</f>
        <v>100</v>
      </c>
      <c r="FN56" s="95">
        <f>SUMIFS(营销场景数据源!$H:$H,营销场景数据源!$C:$C,$B$56,营销场景数据源!$A:$A,FN2)</f>
        <v>100</v>
      </c>
      <c r="FO56" s="95">
        <f>SUMIFS(营销场景数据源!$H:$H,营销场景数据源!$C:$C,$B$56,营销场景数据源!$A:$A,FO2)</f>
        <v>100</v>
      </c>
      <c r="FP56" s="95">
        <f>SUMIFS(营销场景数据源!$H:$H,营销场景数据源!$C:$C,$B$56,营销场景数据源!$A:$A,FP2)</f>
        <v>100</v>
      </c>
      <c r="FQ56" s="65">
        <f t="shared" ref="FQ56:FQ60" si="301">SUM(FR56:GX56)</f>
        <v>2392.3</v>
      </c>
      <c r="FR56" s="95">
        <f>SUMIFS(营销场景数据源!$H:$H,营销场景数据源!$C:$C,$B$56,营销场景数据源!$A:$A,FR2)</f>
        <v>100</v>
      </c>
      <c r="FS56" s="95">
        <f>SUMIFS(营销场景数据源!$H:$H,营销场景数据源!$C:$C,$B$56,营销场景数据源!$A:$A,FS2)</f>
        <v>100</v>
      </c>
      <c r="FT56" s="95">
        <f>SUMIFS(营销场景数据源!$H:$H,营销场景数据源!$C:$C,$B$56,营销场景数据源!$A:$A,FT2)</f>
        <v>100</v>
      </c>
      <c r="FU56" s="95">
        <f>SUMIFS(营销场景数据源!$H:$H,营销场景数据源!$C:$C,$B$56,营销场景数据源!$A:$A,FU2)</f>
        <v>100</v>
      </c>
      <c r="FV56" s="95">
        <f>SUMIFS(营销场景数据源!$H:$H,营销场景数据源!$C:$C,$B$56,营销场景数据源!$A:$A,FV2)</f>
        <v>100</v>
      </c>
      <c r="FW56" s="95">
        <f>SUMIFS(营销场景数据源!$H:$H,营销场景数据源!$C:$C,$B$56,营销场景数据源!$A:$A,FW2)</f>
        <v>100</v>
      </c>
      <c r="FX56" s="95">
        <f>SUMIFS(营销场景数据源!$H:$H,营销场景数据源!$C:$C,$B$56,营销场景数据源!$A:$A,FX2)</f>
        <v>100</v>
      </c>
      <c r="FY56" s="95">
        <f>SUMIFS(营销场景数据源!$H:$H,营销场景数据源!$C:$C,$B$56,营销场景数据源!$A:$A,FY2)</f>
        <v>100</v>
      </c>
      <c r="FZ56" s="95">
        <f>SUMIFS(营销场景数据源!$H:$H,营销场景数据源!$C:$C,$B$56,营销场景数据源!$A:$A,FZ2)</f>
        <v>100</v>
      </c>
      <c r="GA56" s="95">
        <f>SUMIFS(营销场景数据源!$H:$H,营销场景数据源!$C:$C,$B$56,营销场景数据源!$A:$A,GA2)</f>
        <v>100</v>
      </c>
      <c r="GB56" s="95">
        <f>SUMIFS(营销场景数据源!$H:$H,营销场景数据源!$C:$C,$B$56,营销场景数据源!$A:$A,GB2)</f>
        <v>100</v>
      </c>
      <c r="GC56" s="95">
        <f>SUMIFS(营销场景数据源!$H:$H,营销场景数据源!$C:$C,$B$56,营销场景数据源!$A:$A,GC2)</f>
        <v>100</v>
      </c>
      <c r="GD56" s="95">
        <f>SUMIFS(营销场景数据源!$H:$H,营销场景数据源!$C:$C,$B$56,营销场景数据源!$A:$A,GD2)</f>
        <v>100</v>
      </c>
      <c r="GE56" s="95">
        <f>SUMIFS(营销场景数据源!$H:$H,营销场景数据源!$C:$C,$B$56,营销场景数据源!$A:$A,GE2)</f>
        <v>100</v>
      </c>
      <c r="GF56" s="95">
        <f>SUMIFS(营销场景数据源!$H:$H,营销场景数据源!$C:$C,$B$56,营销场景数据源!$A:$A,GF2)</f>
        <v>100</v>
      </c>
      <c r="GG56" s="95">
        <f>SUMIFS(营销场景数据源!$H:$H,营销场景数据源!$C:$C,$B$56,营销场景数据源!$A:$A,GG2)</f>
        <v>100</v>
      </c>
      <c r="GH56" s="95">
        <f>SUMIFS(营销场景数据源!$H:$H,营销场景数据源!$C:$C,$B$56,营销场景数据源!$A:$A,GH2)</f>
        <v>192.3</v>
      </c>
      <c r="GI56" s="95">
        <f>SUMIFS(营销场景数据源!$H:$H,营销场景数据源!$C:$C,$B$56,营销场景数据源!$A:$A,GI2)</f>
        <v>150</v>
      </c>
      <c r="GJ56" s="95">
        <f>SUMIFS(营销场景数据源!$H:$H,营销场景数据源!$C:$C,$B$56,营销场景数据源!$A:$A,GJ2)</f>
        <v>150</v>
      </c>
      <c r="GK56" s="95">
        <f>SUMIFS(营销场景数据源!$H:$H,营销场景数据源!$C:$C,$B$56,营销场景数据源!$A:$A,GK2)</f>
        <v>150</v>
      </c>
      <c r="GL56" s="95">
        <f>SUMIFS(营销场景数据源!$H:$H,营销场景数据源!$C:$C,$B$56,营销场景数据源!$A:$A,GL2)</f>
        <v>150</v>
      </c>
      <c r="GM56" s="95">
        <f>SUMIFS(营销场景数据源!$H:$H,营销场景数据源!$C:$C,$B$56,营销场景数据源!$A:$A,GM2)</f>
        <v>0</v>
      </c>
      <c r="GN56" s="95">
        <f>SUMIFS(营销场景数据源!$H:$H,营销场景数据源!$C:$C,$B$56,营销场景数据源!$A:$A,GN2)</f>
        <v>0</v>
      </c>
      <c r="GO56" s="95">
        <f>SUMIFS(营销场景数据源!$H:$H,营销场景数据源!$C:$C,$B$56,营销场景数据源!$A:$A,GO2)</f>
        <v>0</v>
      </c>
      <c r="GP56" s="95">
        <f>SUMIFS(营销场景数据源!$H:$H,营销场景数据源!$C:$C,$B$56,营销场景数据源!$A:$A,GP2)</f>
        <v>0</v>
      </c>
    </row>
    <row r="57" s="47" customFormat="1" ht="15" customHeight="1" spans="1:198">
      <c r="B57" s="103"/>
      <c r="C57" s="109" t="s">
        <v>21</v>
      </c>
      <c r="D57" s="94" t="e">
        <f>SUM(E57:P57)</f>
        <v>#REF!</v>
      </c>
      <c r="E57" s="110" t="e">
        <f>#REF!</f>
        <v>#REF!</v>
      </c>
      <c r="F57" s="110" t="e">
        <f>#REF!</f>
        <v>#REF!</v>
      </c>
      <c r="G57" s="110" t="e">
        <f>#REF!</f>
        <v>#REF!</v>
      </c>
      <c r="H57" s="110" t="e">
        <f>#REF!</f>
        <v>#REF!</v>
      </c>
      <c r="I57" s="110" t="e">
        <f>#REF!</f>
        <v>#REF!</v>
      </c>
      <c r="J57" s="110" t="e">
        <f>#REF!</f>
        <v>#REF!</v>
      </c>
      <c r="K57" s="110" t="e">
        <f>#REF!</f>
        <v>#REF!</v>
      </c>
      <c r="L57" s="110" t="e">
        <f>#REF!</f>
        <v>#REF!</v>
      </c>
      <c r="M57" s="110" t="e">
        <f>#REF!</f>
        <v>#REF!</v>
      </c>
      <c r="N57" s="110" t="e">
        <f>#REF!</f>
        <v>#REF!</v>
      </c>
      <c r="O57" s="110" t="e">
        <f>#REF!</f>
        <v>#REF!</v>
      </c>
      <c r="P57" s="110" t="e">
        <f>#REF!</f>
        <v>#REF!</v>
      </c>
      <c r="Q57" s="65">
        <f>SUM(R57:AV57)</f>
        <v>1804</v>
      </c>
      <c r="R57" s="95">
        <f>SUMIFS(营销场景数据源!$G:$G,营销场景数据源!$C:$C,$B$56,营销场景数据源!$A:$A,R2)</f>
        <v>0</v>
      </c>
      <c r="S57" s="95">
        <f>SUMIFS(营销场景数据源!$G:$G,营销场景数据源!$C:$C,$B$56,营销场景数据源!$A:$A,S2)</f>
        <v>0</v>
      </c>
      <c r="T57" s="95">
        <f>SUMIFS(营销场景数据源!$G:$G,营销场景数据源!$C:$C,$B$56,营销场景数据源!$A:$A,T2)</f>
        <v>0</v>
      </c>
      <c r="U57" s="95">
        <f>SUMIFS(营销场景数据源!$G:$G,营销场景数据源!$C:$C,$B$56,营销场景数据源!$A:$A,U2)</f>
        <v>44</v>
      </c>
      <c r="V57" s="95">
        <f>SUMIFS(营销场景数据源!$G:$G,营销场景数据源!$C:$C,$B$56,营销场景数据源!$A:$A,V2)</f>
        <v>67</v>
      </c>
      <c r="W57" s="95">
        <f>SUMIFS(营销场景数据源!$G:$G,营销场景数据源!$C:$C,$B$56,营销场景数据源!$A:$A,W2)</f>
        <v>64</v>
      </c>
      <c r="X57" s="95">
        <f>SUMIFS(营销场景数据源!$G:$G,营销场景数据源!$C:$C,$B$56,营销场景数据源!$A:$A,X2)</f>
        <v>74</v>
      </c>
      <c r="Y57" s="95">
        <f>SUMIFS(营销场景数据源!$G:$G,营销场景数据源!$C:$C,$B$56,营销场景数据源!$A:$A,Y2)</f>
        <v>86</v>
      </c>
      <c r="Z57" s="95">
        <f>SUMIFS(营销场景数据源!$G:$G,营销场景数据源!$C:$C,$B$56,营销场景数据源!$A:$A,Z2)</f>
        <v>75</v>
      </c>
      <c r="AA57" s="95">
        <f>SUMIFS(营销场景数据源!$G:$G,营销场景数据源!$C:$C,$B$56,营销场景数据源!$A:$A,AA2)</f>
        <v>81</v>
      </c>
      <c r="AB57" s="95">
        <f>SUMIFS(营销场景数据源!$G:$G,营销场景数据源!$C:$C,$B$56,营销场景数据源!$A:$A,AB2)</f>
        <v>89</v>
      </c>
      <c r="AC57" s="95">
        <f>SUMIFS(营销场景数据源!$G:$G,营销场景数据源!$C:$C,$B$56,营销场景数据源!$A:$A,AC2)</f>
        <v>109</v>
      </c>
      <c r="AD57" s="95">
        <f>SUMIFS(营销场景数据源!$G:$G,营销场景数据源!$C:$C,$B$56,营销场景数据源!$A:$A,AD2)</f>
        <v>88</v>
      </c>
      <c r="AE57" s="95">
        <f>SUMIFS(营销场景数据源!$G:$G,营销场景数据源!$C:$C,$B$56,营销场景数据源!$A:$A,AE2)</f>
        <v>110</v>
      </c>
      <c r="AF57" s="95">
        <f>SUMIFS(营销场景数据源!$G:$G,营销场景数据源!$C:$C,$B$56,营销场景数据源!$A:$A,AF2)</f>
        <v>88</v>
      </c>
      <c r="AG57" s="95">
        <f>SUMIFS(营销场景数据源!$G:$G,营销场景数据源!$C:$C,$B$56,营销场景数据源!$A:$A,AG2)</f>
        <v>71</v>
      </c>
      <c r="AH57" s="95">
        <f>SUMIFS(营销场景数据源!$G:$G,营销场景数据源!$C:$C,$B$56,营销场景数据源!$A:$A,AH2)</f>
        <v>73</v>
      </c>
      <c r="AI57" s="95">
        <f>SUMIFS(营销场景数据源!$G:$G,营销场景数据源!$C:$C,$B$56,营销场景数据源!$A:$A,AI2)</f>
        <v>61</v>
      </c>
      <c r="AJ57" s="95">
        <f>SUMIFS(营销场景数据源!$G:$G,营销场景数据源!$C:$C,$B$56,营销场景数据源!$A:$A,AJ2)</f>
        <v>68</v>
      </c>
      <c r="AK57" s="95">
        <f>SUMIFS(营销场景数据源!$G:$G,营销场景数据源!$C:$C,$B$56,营销场景数据源!$A:$A,AK2)</f>
        <v>52</v>
      </c>
      <c r="AL57" s="95">
        <f>SUMIFS(营销场景数据源!$G:$G,营销场景数据源!$C:$C,$B$56,营销场景数据源!$A:$A,AL2)</f>
        <v>51</v>
      </c>
      <c r="AM57" s="95">
        <f>SUMIFS(营销场景数据源!$G:$G,营销场景数据源!$C:$C,$B$56,营销场景数据源!$A:$A,AM2)</f>
        <v>47</v>
      </c>
      <c r="AN57" s="95">
        <f>SUMIFS(营销场景数据源!$G:$G,营销场景数据源!$C:$C,$B$56,营销场景数据源!$A:$A,AN2)</f>
        <v>47</v>
      </c>
      <c r="AO57" s="95">
        <f>SUMIFS(营销场景数据源!$G:$G,营销场景数据源!$C:$C,$B$56,营销场景数据源!$A:$A,AO2)</f>
        <v>45</v>
      </c>
      <c r="AP57" s="95">
        <f>SUMIFS(营销场景数据源!$G:$G,营销场景数据源!$C:$C,$B$56,营销场景数据源!$A:$A,AP2)</f>
        <v>38</v>
      </c>
      <c r="AQ57" s="95">
        <f>SUMIFS(营销场景数据源!$G:$G,营销场景数据源!$C:$C,$B$56,营销场景数据源!$A:$A,AQ2)</f>
        <v>38</v>
      </c>
      <c r="AR57" s="95">
        <f>SUMIFS(营销场景数据源!$G:$G,营销场景数据源!$C:$C,$B$56,营销场景数据源!$A:$A,AR2)</f>
        <v>50</v>
      </c>
      <c r="AS57" s="95">
        <f>SUMIFS(营销场景数据源!$G:$G,营销场景数据源!$C:$C,$B$56,营销场景数据源!$A:$A,AS2)</f>
        <v>41</v>
      </c>
      <c r="AT57" s="95">
        <f>SUMIFS(营销场景数据源!$G:$G,营销场景数据源!$C:$C,$B$56,营销场景数据源!$A:$A,AT2)</f>
        <v>47</v>
      </c>
      <c r="AU57" s="95">
        <f>SUMIFS(营销场景数据源!$G:$G,营销场景数据源!$C:$C,$B$56,营销场景数据源!$A:$A,AU2)</f>
        <v>52</v>
      </c>
      <c r="AV57" s="95">
        <f>SUMIFS(营销场景数据源!$G:$G,营销场景数据源!$C:$C,$B$56,营销场景数据源!$A:$A,AV2)</f>
        <v>48</v>
      </c>
      <c r="AW57" s="65">
        <f>SUM(AX57:BY57)</f>
        <v>775</v>
      </c>
      <c r="AX57" s="95">
        <f>SUMIFS(营销场景数据源!$G:$G,营销场景数据源!$C:$C,$B$56,营销场景数据源!$A:$A,AX2)</f>
        <v>43</v>
      </c>
      <c r="AY57" s="95">
        <f>SUMIFS(营销场景数据源!$G:$G,营销场景数据源!$C:$C,$B$56,营销场景数据源!$A:$A,AY2)</f>
        <v>53</v>
      </c>
      <c r="AZ57" s="95">
        <f>SUMIFS(营销场景数据源!$G:$G,营销场景数据源!$C:$C,$B$56,营销场景数据源!$A:$A,AZ2)</f>
        <v>39</v>
      </c>
      <c r="BA57" s="95">
        <f>SUMIFS(营销场景数据源!$G:$G,营销场景数据源!$C:$C,$B$56,营销场景数据源!$A:$A,BA2)</f>
        <v>43</v>
      </c>
      <c r="BB57" s="95">
        <f>SUMIFS(营销场景数据源!$G:$G,营销场景数据源!$C:$C,$B$56,营销场景数据源!$A:$A,BB2)</f>
        <v>33</v>
      </c>
      <c r="BC57" s="95">
        <f>SUMIFS(营销场景数据源!$G:$G,营销场景数据源!$C:$C,$B$56,营销场景数据源!$A:$A,BC2)</f>
        <v>43</v>
      </c>
      <c r="BD57" s="95">
        <f>SUMIFS(营销场景数据源!$G:$G,营销场景数据源!$C:$C,$B$56,营销场景数据源!$A:$A,BD2)</f>
        <v>40</v>
      </c>
      <c r="BE57" s="95">
        <f>SUMIFS(营销场景数据源!$G:$G,营销场景数据源!$C:$C,$B$56,营销场景数据源!$A:$A,BE2)</f>
        <v>44</v>
      </c>
      <c r="BF57" s="95">
        <f>SUMIFS(营销场景数据源!$G:$G,营销场景数据源!$C:$C,$B$56,营销场景数据源!$A:$A,BF2)</f>
        <v>41</v>
      </c>
      <c r="BG57" s="95">
        <f>SUMIFS(营销场景数据源!$G:$G,营销场景数据源!$C:$C,$B$56,营销场景数据源!$A:$A,BG2)</f>
        <v>52</v>
      </c>
      <c r="BH57" s="95">
        <f>SUMIFS(营销场景数据源!$G:$G,营销场景数据源!$C:$C,$B$56,营销场景数据源!$A:$A,BH2)</f>
        <v>39</v>
      </c>
      <c r="BI57" s="95">
        <f>SUMIFS(营销场景数据源!$G:$G,营销场景数据源!$C:$C,$B$56,营销场景数据源!$A:$A,BI2)</f>
        <v>39</v>
      </c>
      <c r="BJ57" s="95">
        <f>SUMIFS(营销场景数据源!$G:$G,营销场景数据源!$C:$C,$B$56,营销场景数据源!$A:$A,BJ2)</f>
        <v>41</v>
      </c>
      <c r="BK57" s="95">
        <f>SUMIFS(营销场景数据源!$G:$G,营销场景数据源!$C:$C,$B$56,营销场景数据源!$A:$A,BK2)</f>
        <v>35</v>
      </c>
      <c r="BL57" s="95">
        <f>SUMIFS(营销场景数据源!$G:$G,营销场景数据源!$C:$C,$B$56,营销场景数据源!$A:$A,BL2)</f>
        <v>0</v>
      </c>
      <c r="BM57" s="95">
        <f>SUMIFS(营销场景数据源!$G:$G,营销场景数据源!$C:$C,$B$56,营销场景数据源!$A:$A,BM2)</f>
        <v>0</v>
      </c>
      <c r="BN57" s="95">
        <f>SUMIFS(营销场景数据源!$G:$G,营销场景数据源!$C:$C,$B$56,营销场景数据源!$A:$A,BN2)</f>
        <v>0</v>
      </c>
      <c r="BO57" s="95">
        <f>SUMIFS(营销场景数据源!$G:$G,营销场景数据源!$C:$C,$B$56,营销场景数据源!$A:$A,BO2)</f>
        <v>0</v>
      </c>
      <c r="BP57" s="95">
        <f>SUMIFS(营销场景数据源!$G:$G,营销场景数据源!$C:$C,$B$56,营销场景数据源!$A:$A,BP2)</f>
        <v>0</v>
      </c>
      <c r="BQ57" s="95">
        <f>SUMIFS(营销场景数据源!$G:$G,营销场景数据源!$C:$C,$B$56,营销场景数据源!$A:$A,BQ2)</f>
        <v>0</v>
      </c>
      <c r="BR57" s="95">
        <f>SUMIFS(营销场景数据源!$G:$G,营销场景数据源!$C:$C,$B$56,营销场景数据源!$A:$A,BR2)</f>
        <v>0</v>
      </c>
      <c r="BS57" s="95">
        <f>SUMIFS(营销场景数据源!$G:$G,营销场景数据源!$C:$C,$B$56,营销场景数据源!$A:$A,BS2)</f>
        <v>0</v>
      </c>
      <c r="BT57" s="95">
        <f>SUMIFS(营销场景数据源!$G:$G,营销场景数据源!$C:$C,$B$56,营销场景数据源!$A:$A,BT2)</f>
        <v>0</v>
      </c>
      <c r="BU57" s="95">
        <f>SUMIFS(营销场景数据源!$G:$G,营销场景数据源!$C:$C,$B$56,营销场景数据源!$A:$A,BU2)</f>
        <v>0</v>
      </c>
      <c r="BV57" s="95">
        <f>SUMIFS(营销场景数据源!$G:$G,营销场景数据源!$C:$C,$B$56,营销场景数据源!$A:$A,BV2)</f>
        <v>37</v>
      </c>
      <c r="BW57" s="95">
        <f>SUMIFS(营销场景数据源!$G:$G,营销场景数据源!$C:$C,$B$56,营销场景数据源!$A:$A,BW2)</f>
        <v>55</v>
      </c>
      <c r="BX57" s="95">
        <f>SUMIFS(营销场景数据源!$G:$G,营销场景数据源!$C:$C,$B$56,营销场景数据源!$A:$A,BX2)</f>
        <v>50</v>
      </c>
      <c r="BY57" s="95">
        <f>SUMIFS(营销场景数据源!$G:$G,营销场景数据源!$C:$C,$B$56,营销场景数据源!$A:$A,BY2)</f>
        <v>48</v>
      </c>
      <c r="BZ57" s="65">
        <f>SUM(CA57:DE57)</f>
        <v>3119</v>
      </c>
      <c r="CA57" s="95">
        <f>SUMIFS(营销场景数据源!$G:$G,营销场景数据源!$C:$C,$B$56,营销场景数据源!$A:$A,CA2)</f>
        <v>56</v>
      </c>
      <c r="CB57" s="95">
        <f>SUMIFS(营销场景数据源!$G:$G,营销场景数据源!$C:$C,$B$56,营销场景数据源!$A:$A,CB2)</f>
        <v>50</v>
      </c>
      <c r="CC57" s="95">
        <f>SUMIFS(营销场景数据源!$G:$G,营销场景数据源!$C:$C,$B$56,营销场景数据源!$A:$A,CC2)</f>
        <v>40</v>
      </c>
      <c r="CD57" s="95">
        <f>SUMIFS(营销场景数据源!$G:$G,营销场景数据源!$C:$C,$B$56,营销场景数据源!$A:$A,CD2)</f>
        <v>72</v>
      </c>
      <c r="CE57" s="95">
        <f>SUMIFS(营销场景数据源!$G:$G,营销场景数据源!$C:$C,$B$56,营销场景数据源!$A:$A,CE2)</f>
        <v>110</v>
      </c>
      <c r="CF57" s="95">
        <f>SUMIFS(营销场景数据源!$G:$G,营销场景数据源!$C:$C,$B$56,营销场景数据源!$A:$A,CF2)</f>
        <v>119</v>
      </c>
      <c r="CG57" s="95">
        <f>SUMIFS(营销场景数据源!$G:$G,营销场景数据源!$C:$C,$B$56,营销场景数据源!$A:$A,CG2)</f>
        <v>42</v>
      </c>
      <c r="CH57" s="95">
        <f>SUMIFS(营销场景数据源!$G:$G,营销场景数据源!$C:$C,$B$56,营销场景数据源!$A:$A,CH2)</f>
        <v>62</v>
      </c>
      <c r="CI57" s="95">
        <f>SUMIFS(营销场景数据源!$G:$G,营销场景数据源!$C:$C,$B$56,营销场景数据源!$A:$A,CI2)</f>
        <v>60</v>
      </c>
      <c r="CJ57" s="95">
        <f>SUMIFS(营销场景数据源!$G:$G,营销场景数据源!$C:$C,$B$56,营销场景数据源!$A:$A,CJ2)</f>
        <v>105</v>
      </c>
      <c r="CK57" s="95">
        <f>SUMIFS(营销场景数据源!$G:$G,营销场景数据源!$C:$C,$B$56,营销场景数据源!$A:$A,CK2)</f>
        <v>91</v>
      </c>
      <c r="CL57" s="95">
        <f>SUMIFS(营销场景数据源!$G:$G,营销场景数据源!$C:$C,$B$56,营销场景数据源!$A:$A,CL2)</f>
        <v>99</v>
      </c>
      <c r="CM57" s="95">
        <f>SUMIFS(营销场景数据源!$G:$G,营销场景数据源!$C:$C,$B$56,营销场景数据源!$A:$A,CM2)</f>
        <v>101</v>
      </c>
      <c r="CN57" s="95">
        <f>SUMIFS(营销场景数据源!$G:$G,营销场景数据源!$C:$C,$B$56,营销场景数据源!$A:$A,CN2)</f>
        <v>130</v>
      </c>
      <c r="CO57" s="95">
        <f>SUMIFS(营销场景数据源!$G:$G,营销场景数据源!$C:$C,$B$56,营销场景数据源!$A:$A,CO2)</f>
        <v>80</v>
      </c>
      <c r="CP57" s="95">
        <f>SUMIFS(营销场景数据源!$G:$G,营销场景数据源!$C:$C,$B$56,营销场景数据源!$A:$A,CP2)</f>
        <v>124</v>
      </c>
      <c r="CQ57" s="95">
        <f>SUMIFS(营销场景数据源!$G:$G,营销场景数据源!$C:$C,$B$56,营销场景数据源!$A:$A,CQ2)</f>
        <v>104</v>
      </c>
      <c r="CR57" s="95">
        <f>SUMIFS(营销场景数据源!$G:$G,营销场景数据源!$C:$C,$B$56,营销场景数据源!$A:$A,CR2)</f>
        <v>95</v>
      </c>
      <c r="CS57" s="95">
        <f>SUMIFS(营销场景数据源!$G:$G,营销场景数据源!$C:$C,$B$56,营销场景数据源!$A:$A,CS2)</f>
        <v>99</v>
      </c>
      <c r="CT57" s="95">
        <f>SUMIFS(营销场景数据源!$G:$G,营销场景数据源!$C:$C,$B$56,营销场景数据源!$A:$A,CT2)</f>
        <v>114</v>
      </c>
      <c r="CU57" s="95">
        <f>SUMIFS(营销场景数据源!$G:$G,营销场景数据源!$C:$C,$B$56,营销场景数据源!$A:$A,CU2)</f>
        <v>124</v>
      </c>
      <c r="CV57" s="95">
        <f>SUMIFS(营销场景数据源!$G:$G,营销场景数据源!$C:$C,$B$56,营销场景数据源!$A:$A,CV2)</f>
        <v>101</v>
      </c>
      <c r="CW57" s="95">
        <f>SUMIFS(营销场景数据源!$G:$G,营销场景数据源!$C:$C,$B$56,营销场景数据源!$A:$A,CW2)</f>
        <v>136</v>
      </c>
      <c r="CX57" s="95">
        <f>SUMIFS(营销场景数据源!$G:$G,营销场景数据源!$C:$C,$B$56,营销场景数据源!$A:$A,CX2)</f>
        <v>152</v>
      </c>
      <c r="CY57" s="95">
        <f>SUMIFS(营销场景数据源!$G:$G,营销场景数据源!$C:$C,$B$56,营销场景数据源!$A:$A,CY2)</f>
        <v>173</v>
      </c>
      <c r="CZ57" s="95">
        <f>SUMIFS(营销场景数据源!$G:$G,营销场景数据源!$C:$C,$B$56,营销场景数据源!$A:$A,CZ2)</f>
        <v>114</v>
      </c>
      <c r="DA57" s="95">
        <f>SUMIFS(营销场景数据源!$G:$G,营销场景数据源!$C:$C,$B$56,营销场景数据源!$A:$A,DA2)</f>
        <v>90</v>
      </c>
      <c r="DB57" s="95">
        <f>SUMIFS(营销场景数据源!$G:$G,营销场景数据源!$C:$C,$B$56,营销场景数据源!$A:$A,DB2)</f>
        <v>123</v>
      </c>
      <c r="DC57" s="95">
        <f>SUMIFS(营销场景数据源!$G:$G,营销场景数据源!$C:$C,$B$56,营销场景数据源!$A:$A,DC2)</f>
        <v>124</v>
      </c>
      <c r="DD57" s="95">
        <f>SUMIFS(营销场景数据源!$G:$G,营销场景数据源!$C:$C,$B$56,营销场景数据源!$A:$A,DD2)</f>
        <v>118</v>
      </c>
      <c r="DE57" s="95">
        <f>SUMIFS(营销场景数据源!$G:$G,营销场景数据源!$C:$C,$B$56,营销场景数据源!$A:$A,DE2)</f>
        <v>111</v>
      </c>
      <c r="DF57" s="65">
        <f>SUM(DG57:EJ57)</f>
        <v>1981</v>
      </c>
      <c r="DG57" s="95">
        <f>SUMIFS(营销场景数据源!$G:$G,营销场景数据源!$C:$C,$B$56,营销场景数据源!$A:$A,DG2)</f>
        <v>80</v>
      </c>
      <c r="DH57" s="95">
        <f>SUMIFS(营销场景数据源!$G:$G,营销场景数据源!$C:$C,$B$56,营销场景数据源!$A:$A,DH2)</f>
        <v>43</v>
      </c>
      <c r="DI57" s="95">
        <f>SUMIFS(营销场景数据源!$G:$G,营销场景数据源!$C:$C,$B$56,营销场景数据源!$A:$A,DI2)</f>
        <v>42</v>
      </c>
      <c r="DJ57" s="95">
        <f>SUMIFS(营销场景数据源!$G:$G,营销场景数据源!$C:$C,$B$56,营销场景数据源!$A:$A,DJ2)</f>
        <v>48</v>
      </c>
      <c r="DK57" s="95">
        <f>SUMIFS(营销场景数据源!$G:$G,营销场景数据源!$C:$C,$B$56,营销场景数据源!$A:$A,DK2)</f>
        <v>47</v>
      </c>
      <c r="DL57" s="95">
        <f>SUMIFS(营销场景数据源!$G:$G,营销场景数据源!$C:$C,$B$56,营销场景数据源!$A:$A,DL2)</f>
        <v>55</v>
      </c>
      <c r="DM57" s="95">
        <f>SUMIFS(营销场景数据源!$G:$G,营销场景数据源!$C:$C,$B$56,营销场景数据源!$A:$A,DM2)</f>
        <v>85</v>
      </c>
      <c r="DN57" s="95">
        <f>SUMIFS(营销场景数据源!$G:$G,营销场景数据源!$C:$C,$B$56,营销场景数据源!$A:$A,DN2)</f>
        <v>136</v>
      </c>
      <c r="DO57" s="95">
        <f>SUMIFS(营销场景数据源!$G:$G,营销场景数据源!$C:$C,$B$56,营销场景数据源!$A:$A,DO2)</f>
        <v>100</v>
      </c>
      <c r="DP57" s="95">
        <f>SUMIFS(营销场景数据源!$G:$G,营销场景数据源!$C:$C,$B$56,营销场景数据源!$A:$A,DP2)</f>
        <v>84</v>
      </c>
      <c r="DQ57" s="95">
        <f>SUMIFS(营销场景数据源!$G:$G,营销场景数据源!$C:$C,$B$56,营销场景数据源!$A:$A,DQ2)</f>
        <v>64</v>
      </c>
      <c r="DR57" s="95">
        <f>SUMIFS(营销场景数据源!$G:$G,营销场景数据源!$C:$C,$B$56,营销场景数据源!$A:$A,DR2)</f>
        <v>63</v>
      </c>
      <c r="DS57" s="95">
        <f>SUMIFS(营销场景数据源!$G:$G,营销场景数据源!$C:$C,$B$56,营销场景数据源!$A:$A,DS2)</f>
        <v>61</v>
      </c>
      <c r="DT57" s="95">
        <f>SUMIFS(营销场景数据源!$G:$G,营销场景数据源!$C:$C,$B$56,营销场景数据源!$A:$A,DT2)</f>
        <v>63</v>
      </c>
      <c r="DU57" s="95">
        <f>SUMIFS(营销场景数据源!$G:$G,营销场景数据源!$C:$C,$B$56,营销场景数据源!$A:$A,DU2)</f>
        <v>45</v>
      </c>
      <c r="DV57" s="95">
        <f>SUMIFS(营销场景数据源!$G:$G,营销场景数据源!$C:$C,$B$56,营销场景数据源!$A:$A,DV2)</f>
        <v>157</v>
      </c>
      <c r="DW57" s="95">
        <f>SUMIFS(营销场景数据源!$G:$G,营销场景数据源!$C:$C,$B$56,营销场景数据源!$A:$A,DW2)</f>
        <v>70</v>
      </c>
      <c r="DX57" s="95">
        <f>SUMIFS(营销场景数据源!$G:$G,营销场景数据源!$C:$C,$B$56,营销场景数据源!$A:$A,DX2)</f>
        <v>54</v>
      </c>
      <c r="DY57" s="95">
        <f>SUMIFS(营销场景数据源!$G:$G,营销场景数据源!$C:$C,$B$56,营销场景数据源!$A:$A,DY2)</f>
        <v>58</v>
      </c>
      <c r="DZ57" s="95">
        <f>SUMIFS(营销场景数据源!$G:$G,营销场景数据源!$C:$C,$B$56,营销场景数据源!$A:$A,DZ2)</f>
        <v>32</v>
      </c>
      <c r="EA57" s="95">
        <f>SUMIFS(营销场景数据源!$G:$G,营销场景数据源!$C:$C,$B$56,营销场景数据源!$A:$A,EA2)</f>
        <v>51</v>
      </c>
      <c r="EB57" s="95">
        <f>SUMIFS(营销场景数据源!$G:$G,营销场景数据源!$C:$C,$B$56,营销场景数据源!$A:$A,EB2)</f>
        <v>54</v>
      </c>
      <c r="EC57" s="95">
        <f>SUMIFS(营销场景数据源!$G:$G,营销场景数据源!$C:$C,$B$56,营销场景数据源!$A:$A,EC2)</f>
        <v>74</v>
      </c>
      <c r="ED57" s="95">
        <f>SUMIFS(营销场景数据源!$G:$G,营销场景数据源!$C:$C,$B$56,营销场景数据源!$A:$A,ED2)</f>
        <v>64</v>
      </c>
      <c r="EE57" s="95">
        <f>SUMIFS(营销场景数据源!$G:$G,营销场景数据源!$C:$C,$B$56,营销场景数据源!$A:$A,EE2)</f>
        <v>52</v>
      </c>
      <c r="EF57" s="95">
        <f>SUMIFS(营销场景数据源!$G:$G,营销场景数据源!$C:$C,$B$56,营销场景数据源!$A:$A,EF2)</f>
        <v>48</v>
      </c>
      <c r="EG57" s="95">
        <f>SUMIFS(营销场景数据源!$G:$G,营销场景数据源!$C:$C,$B$56,营销场景数据源!$A:$A,EG2)</f>
        <v>70</v>
      </c>
      <c r="EH57" s="95">
        <f>SUMIFS(营销场景数据源!$G:$G,营销场景数据源!$C:$C,$B$56,营销场景数据源!$A:$A,EH2)</f>
        <v>77</v>
      </c>
      <c r="EI57" s="95">
        <f>SUMIFS(营销场景数据源!$G:$G,营销场景数据源!$C:$C,$B$56,营销场景数据源!$A:$A,EI2)</f>
        <v>52</v>
      </c>
      <c r="EJ57" s="95">
        <f>SUMIFS(营销场景数据源!$G:$G,营销场景数据源!$C:$C,$B$56,营销场景数据源!$A:$A,EJ2)</f>
        <v>52</v>
      </c>
      <c r="EK57" s="65">
        <f>SUM(EL57:FP57)</f>
        <v>2607</v>
      </c>
      <c r="EL57" s="95">
        <f>SUMIFS(营销场景数据源!$G:$G,营销场景数据源!$C:$C,$B$56,营销场景数据源!$A:$A,EL2)</f>
        <v>50</v>
      </c>
      <c r="EM57" s="95">
        <f>SUMIFS(营销场景数据源!$G:$G,营销场景数据源!$C:$C,$B$56,营销场景数据源!$A:$A,EM2)</f>
        <v>49</v>
      </c>
      <c r="EN57" s="95">
        <f>SUMIFS(营销场景数据源!$G:$G,营销场景数据源!$C:$C,$B$56,营销场景数据源!$A:$A,EN2)</f>
        <v>52</v>
      </c>
      <c r="EO57" s="95">
        <f>SUMIFS(营销场景数据源!$G:$G,营销场景数据源!$C:$C,$B$56,营销场景数据源!$A:$A,EO2)</f>
        <v>58</v>
      </c>
      <c r="EP57" s="95">
        <f>SUMIFS(营销场景数据源!$G:$G,营销场景数据源!$C:$C,$B$56,营销场景数据源!$A:$A,EP2)</f>
        <v>52</v>
      </c>
      <c r="EQ57" s="95">
        <f>SUMIFS(营销场景数据源!$G:$G,营销场景数据源!$C:$C,$B$56,营销场景数据源!$A:$A,EQ2)</f>
        <v>40</v>
      </c>
      <c r="ER57" s="95">
        <f>SUMIFS(营销场景数据源!$G:$G,营销场景数据源!$C:$C,$B$56,营销场景数据源!$A:$A,ER2)</f>
        <v>42</v>
      </c>
      <c r="ES57" s="95">
        <f>SUMIFS(营销场景数据源!$G:$G,营销场景数据源!$C:$C,$B$56,营销场景数据源!$A:$A,ES2)</f>
        <v>320</v>
      </c>
      <c r="ET57" s="95">
        <f>SUMIFS(营销场景数据源!$G:$G,营销场景数据源!$C:$C,$B$56,营销场景数据源!$A:$A,ET2)</f>
        <v>402</v>
      </c>
      <c r="EU57" s="95">
        <f>SUMIFS(营销场景数据源!$G:$G,营销场景数据源!$C:$C,$B$56,营销场景数据源!$A:$A,EU2)</f>
        <v>234</v>
      </c>
      <c r="EV57" s="95">
        <f>SUMIFS(营销场景数据源!$G:$G,营销场景数据源!$C:$C,$B$56,营销场景数据源!$A:$A,EV2)</f>
        <v>225</v>
      </c>
      <c r="EW57" s="95">
        <f>SUMIFS(营销场景数据源!$G:$G,营销场景数据源!$C:$C,$B$56,营销场景数据源!$A:$A,EW2)</f>
        <v>78</v>
      </c>
      <c r="EX57" s="95">
        <f>SUMIFS(营销场景数据源!$G:$G,营销场景数据源!$C:$C,$B$56,营销场景数据源!$A:$A,EX2)</f>
        <v>47</v>
      </c>
      <c r="EY57" s="95">
        <f>SUMIFS(营销场景数据源!$G:$G,营销场景数据源!$C:$C,$B$56,营销场景数据源!$A:$A,EY2)</f>
        <v>39</v>
      </c>
      <c r="EZ57" s="95">
        <f>SUMIFS(营销场景数据源!$G:$G,营销场景数据源!$C:$C,$B$56,营销场景数据源!$A:$A,EZ2)</f>
        <v>45</v>
      </c>
      <c r="FA57" s="95">
        <f>SUMIFS(营销场景数据源!$G:$G,营销场景数据源!$C:$C,$B$56,营销场景数据源!$A:$A,FA2)</f>
        <v>51</v>
      </c>
      <c r="FB57" s="95">
        <f>SUMIFS(营销场景数据源!$G:$G,营销场景数据源!$C:$C,$B$56,营销场景数据源!$A:$A,FB2)</f>
        <v>58</v>
      </c>
      <c r="FC57" s="95">
        <f>SUMIFS(营销场景数据源!$G:$G,营销场景数据源!$C:$C,$B$56,营销场景数据源!$A:$A,FC2)</f>
        <v>40</v>
      </c>
      <c r="FD57" s="95">
        <f>SUMIFS(营销场景数据源!$G:$G,营销场景数据源!$C:$C,$B$56,营销场景数据源!$A:$A,FD2)</f>
        <v>59</v>
      </c>
      <c r="FE57" s="95">
        <f>SUMIFS(营销场景数据源!$G:$G,营销场景数据源!$C:$C,$B$56,营销场景数据源!$A:$A,FE2)</f>
        <v>63</v>
      </c>
      <c r="FF57" s="95">
        <f>SUMIFS(营销场景数据源!$G:$G,营销场景数据源!$C:$C,$B$56,营销场景数据源!$A:$A,FF2)</f>
        <v>55</v>
      </c>
      <c r="FG57" s="95">
        <f>SUMIFS(营销场景数据源!$G:$G,营销场景数据源!$C:$C,$B$56,营销场景数据源!$A:$A,FG2)</f>
        <v>76</v>
      </c>
      <c r="FH57" s="95">
        <f>SUMIFS(营销场景数据源!$G:$G,营销场景数据源!$C:$C,$B$56,营销场景数据源!$A:$A,FH2)</f>
        <v>61</v>
      </c>
      <c r="FI57" s="95">
        <f>SUMIFS(营销场景数据源!$G:$G,营销场景数据源!$C:$C,$B$56,营销场景数据源!$A:$A,FI2)</f>
        <v>65</v>
      </c>
      <c r="FJ57" s="95">
        <f>SUMIFS(营销场景数据源!$G:$G,营销场景数据源!$C:$C,$B$56,营销场景数据源!$A:$A,FJ2)</f>
        <v>59</v>
      </c>
      <c r="FK57" s="95">
        <f>SUMIFS(营销场景数据源!$G:$G,营销场景数据源!$C:$C,$B$56,营销场景数据源!$A:$A,FK2)</f>
        <v>50</v>
      </c>
      <c r="FL57" s="95">
        <f>SUMIFS(营销场景数据源!$G:$G,营销场景数据源!$C:$C,$B$56,营销场景数据源!$A:$A,FL2)</f>
        <v>49</v>
      </c>
      <c r="FM57" s="95">
        <f>SUMIFS(营销场景数据源!$G:$G,营销场景数据源!$C:$C,$B$56,营销场景数据源!$A:$A,FM2)</f>
        <v>49</v>
      </c>
      <c r="FN57" s="95">
        <f>SUMIFS(营销场景数据源!$G:$G,营销场景数据源!$C:$C,$B$56,营销场景数据源!$A:$A,FN2)</f>
        <v>38</v>
      </c>
      <c r="FO57" s="95">
        <f>SUMIFS(营销场景数据源!$G:$G,营销场景数据源!$C:$C,$B$56,营销场景数据源!$A:$A,FO2)</f>
        <v>61</v>
      </c>
      <c r="FP57" s="95">
        <f>SUMIFS(营销场景数据源!$G:$G,营销场景数据源!$C:$C,$B$56,营销场景数据源!$A:$A,FP2)</f>
        <v>40</v>
      </c>
      <c r="FQ57" s="65">
        <f t="shared" si="301"/>
        <v>911</v>
      </c>
      <c r="FR57" s="95">
        <f>SUMIFS(营销场景数据源!$G:$G,营销场景数据源!$C:$C,$B$56,营销场景数据源!$A:$A,FR2)</f>
        <v>39</v>
      </c>
      <c r="FS57" s="95">
        <f>SUMIFS(营销场景数据源!$G:$G,营销场景数据源!$C:$C,$B$56,营销场景数据源!$A:$A,FS2)</f>
        <v>46</v>
      </c>
      <c r="FT57" s="95">
        <f>SUMIFS(营销场景数据源!$G:$G,营销场景数据源!$C:$C,$B$56,营销场景数据源!$A:$A,FT2)</f>
        <v>51</v>
      </c>
      <c r="FU57" s="95">
        <f>SUMIFS(营销场景数据源!$G:$G,营销场景数据源!$C:$C,$B$56,营销场景数据源!$A:$A,FU2)</f>
        <v>38</v>
      </c>
      <c r="FV57" s="95">
        <f>SUMIFS(营销场景数据源!$G:$G,营销场景数据源!$C:$C,$B$56,营销场景数据源!$A:$A,FV2)</f>
        <v>46</v>
      </c>
      <c r="FW57" s="95">
        <f>SUMIFS(营销场景数据源!$G:$G,营销场景数据源!$C:$C,$B$56,营销场景数据源!$A:$A,FW2)</f>
        <v>40</v>
      </c>
      <c r="FX57" s="95">
        <f>SUMIFS(营销场景数据源!$G:$G,营销场景数据源!$C:$C,$B$56,营销场景数据源!$A:$A,FX2)</f>
        <v>45</v>
      </c>
      <c r="FY57" s="95">
        <f>SUMIFS(营销场景数据源!$G:$G,营销场景数据源!$C:$C,$B$56,营销场景数据源!$A:$A,FY2)</f>
        <v>42</v>
      </c>
      <c r="FZ57" s="95">
        <f>SUMIFS(营销场景数据源!$G:$G,营销场景数据源!$C:$C,$B$56,营销场景数据源!$A:$A,FZ2)</f>
        <v>42</v>
      </c>
      <c r="GA57" s="95">
        <f>SUMIFS(营销场景数据源!$G:$G,营销场景数据源!$C:$C,$B$56,营销场景数据源!$A:$A,GA2)</f>
        <v>37</v>
      </c>
      <c r="GB57" s="95">
        <f>SUMIFS(营销场景数据源!$G:$G,营销场景数据源!$C:$C,$B$56,营销场景数据源!$A:$A,GB2)</f>
        <v>42</v>
      </c>
      <c r="GC57" s="95">
        <f>SUMIFS(营销场景数据源!$G:$G,营销场景数据源!$C:$C,$B$56,营销场景数据源!$A:$A,GC2)</f>
        <v>40</v>
      </c>
      <c r="GD57" s="95">
        <f>SUMIFS(营销场景数据源!$G:$G,营销场景数据源!$C:$C,$B$56,营销场景数据源!$A:$A,GD2)</f>
        <v>42</v>
      </c>
      <c r="GE57" s="95">
        <f>SUMIFS(营销场景数据源!$G:$G,营销场景数据源!$C:$C,$B$56,营销场景数据源!$A:$A,GE2)</f>
        <v>59</v>
      </c>
      <c r="GF57" s="95">
        <f>SUMIFS(营销场景数据源!$G:$G,营销场景数据源!$C:$C,$B$56,营销场景数据源!$A:$A,GF2)</f>
        <v>39</v>
      </c>
      <c r="GG57" s="95">
        <f>SUMIFS(营销场景数据源!$G:$G,营销场景数据源!$C:$C,$B$56,营销场景数据源!$A:$A,GG2)</f>
        <v>36</v>
      </c>
      <c r="GH57" s="95">
        <f>SUMIFS(营销场景数据源!$G:$G,营销场景数据源!$C:$C,$B$56,营销场景数据源!$A:$A,GH2)</f>
        <v>63</v>
      </c>
      <c r="GI57" s="95">
        <f>SUMIFS(营销场景数据源!$G:$G,营销场景数据源!$C:$C,$B$56,营销场景数据源!$A:$A,GI2)</f>
        <v>40</v>
      </c>
      <c r="GJ57" s="95">
        <f>SUMIFS(营销场景数据源!$G:$G,营销场景数据源!$C:$C,$B$56,营销场景数据源!$A:$A,GJ2)</f>
        <v>45</v>
      </c>
      <c r="GK57" s="95">
        <f>SUMIFS(营销场景数据源!$G:$G,营销场景数据源!$C:$C,$B$56,营销场景数据源!$A:$A,GK2)</f>
        <v>39</v>
      </c>
      <c r="GL57" s="95">
        <f>SUMIFS(营销场景数据源!$G:$G,营销场景数据源!$C:$C,$B$56,营销场景数据源!$A:$A,GL2)</f>
        <v>40</v>
      </c>
      <c r="GM57" s="95">
        <f>SUMIFS(营销场景数据源!$G:$G,营销场景数据源!$C:$C,$B$56,营销场景数据源!$A:$A,GM2)</f>
        <v>0</v>
      </c>
      <c r="GN57" s="95">
        <f>SUMIFS(营销场景数据源!$G:$G,营销场景数据源!$C:$C,$B$56,营销场景数据源!$A:$A,GN2)</f>
        <v>0</v>
      </c>
      <c r="GO57" s="95">
        <f>SUMIFS(营销场景数据源!$G:$G,营销场景数据源!$C:$C,$B$56,营销场景数据源!$A:$A,GO2)</f>
        <v>0</v>
      </c>
      <c r="GP57" s="95">
        <f>SUMIFS(营销场景数据源!$G:$G,营销场景数据源!$C:$C,$B$56,营销场景数据源!$A:$A,GP2)</f>
        <v>0</v>
      </c>
    </row>
    <row r="58" s="47" customFormat="1" ht="15" customHeight="1" spans="1:198">
      <c r="B58" s="103"/>
      <c r="C58" s="109" t="s">
        <v>23</v>
      </c>
      <c r="D58" s="94" t="e">
        <f>SUM(E58:P58)</f>
        <v>#REF!</v>
      </c>
      <c r="E58" s="110" t="e">
        <f>#REF!</f>
        <v>#REF!</v>
      </c>
      <c r="F58" s="110" t="e">
        <f>#REF!</f>
        <v>#REF!</v>
      </c>
      <c r="G58" s="110" t="e">
        <f>#REF!</f>
        <v>#REF!</v>
      </c>
      <c r="H58" s="110" t="e">
        <f>#REF!</f>
        <v>#REF!</v>
      </c>
      <c r="I58" s="110" t="e">
        <f>#REF!</f>
        <v>#REF!</v>
      </c>
      <c r="J58" s="110" t="e">
        <f>#REF!</f>
        <v>#REF!</v>
      </c>
      <c r="K58" s="110" t="e">
        <f>#REF!</f>
        <v>#REF!</v>
      </c>
      <c r="L58" s="110" t="e">
        <f>#REF!</f>
        <v>#REF!</v>
      </c>
      <c r="M58" s="110" t="e">
        <f>#REF!</f>
        <v>#REF!</v>
      </c>
      <c r="N58" s="110" t="e">
        <f>#REF!</f>
        <v>#REF!</v>
      </c>
      <c r="O58" s="110" t="e">
        <f>#REF!</f>
        <v>#REF!</v>
      </c>
      <c r="P58" s="110" t="e">
        <f>#REF!</f>
        <v>#REF!</v>
      </c>
      <c r="Q58" s="65">
        <f>SUM(R58:AV58)</f>
        <v>179</v>
      </c>
      <c r="R58" s="95">
        <f>SUMIFS(营销场景数据源!$AB:$AB,营销场景数据源!$C:$C,$B$56,营销场景数据源!$A:$A,R2)</f>
        <v>0</v>
      </c>
      <c r="S58" s="95">
        <f>SUMIFS(营销场景数据源!$AB:$AB,营销场景数据源!$C:$C,$B$56,营销场景数据源!$A:$A,S2)</f>
        <v>0</v>
      </c>
      <c r="T58" s="95">
        <f>SUMIFS(营销场景数据源!$AB:$AB,营销场景数据源!$C:$C,$B$56,营销场景数据源!$A:$A,T2)</f>
        <v>0</v>
      </c>
      <c r="U58" s="95">
        <f>SUMIFS(营销场景数据源!$AB:$AB,营销场景数据源!$C:$C,$B$56,营销场景数据源!$A:$A,U2)</f>
        <v>6</v>
      </c>
      <c r="V58" s="95">
        <f>SUMIFS(营销场景数据源!$AB:$AB,营销场景数据源!$C:$C,$B$56,营销场景数据源!$A:$A,V2)</f>
        <v>5</v>
      </c>
      <c r="W58" s="95">
        <f>SUMIFS(营销场景数据源!$AB:$AB,营销场景数据源!$C:$C,$B$56,营销场景数据源!$A:$A,W2)</f>
        <v>8</v>
      </c>
      <c r="X58" s="95">
        <f>SUMIFS(营销场景数据源!$AB:$AB,营销场景数据源!$C:$C,$B$56,营销场景数据源!$A:$A,X2)</f>
        <v>11</v>
      </c>
      <c r="Y58" s="95">
        <f>SUMIFS(营销场景数据源!$AB:$AB,营销场景数据源!$C:$C,$B$56,营销场景数据源!$A:$A,Y2)</f>
        <v>5</v>
      </c>
      <c r="Z58" s="95">
        <f>SUMIFS(营销场景数据源!$AB:$AB,营销场景数据源!$C:$C,$B$56,营销场景数据源!$A:$A,Z2)</f>
        <v>3</v>
      </c>
      <c r="AA58" s="95">
        <f>SUMIFS(营销场景数据源!$AB:$AB,营销场景数据源!$C:$C,$B$56,营销场景数据源!$A:$A,AA2)</f>
        <v>5</v>
      </c>
      <c r="AB58" s="95">
        <f>SUMIFS(营销场景数据源!$AB:$AB,营销场景数据源!$C:$C,$B$56,营销场景数据源!$A:$A,AB2)</f>
        <v>13</v>
      </c>
      <c r="AC58" s="95">
        <f>SUMIFS(营销场景数据源!$AB:$AB,营销场景数据源!$C:$C,$B$56,营销场景数据源!$A:$A,AC2)</f>
        <v>3</v>
      </c>
      <c r="AD58" s="95">
        <f>SUMIFS(营销场景数据源!$AB:$AB,营销场景数据源!$C:$C,$B$56,营销场景数据源!$A:$A,AD2)</f>
        <v>4</v>
      </c>
      <c r="AE58" s="95">
        <f>SUMIFS(营销场景数据源!$AB:$AB,营销场景数据源!$C:$C,$B$56,营销场景数据源!$A:$A,AE2)</f>
        <v>1</v>
      </c>
      <c r="AF58" s="95">
        <f>SUMIFS(营销场景数据源!$AB:$AB,营销场景数据源!$C:$C,$B$56,营销场景数据源!$A:$A,AF2)</f>
        <v>4</v>
      </c>
      <c r="AG58" s="95">
        <f>SUMIFS(营销场景数据源!$AB:$AB,营销场景数据源!$C:$C,$B$56,营销场景数据源!$A:$A,AG2)</f>
        <v>9</v>
      </c>
      <c r="AH58" s="95">
        <f>SUMIFS(营销场景数据源!$AB:$AB,营销场景数据源!$C:$C,$B$56,营销场景数据源!$A:$A,AH2)</f>
        <v>7</v>
      </c>
      <c r="AI58" s="95">
        <f>SUMIFS(营销场景数据源!$AB:$AB,营销场景数据源!$C:$C,$B$56,营销场景数据源!$A:$A,AI2)</f>
        <v>1</v>
      </c>
      <c r="AJ58" s="95">
        <f>SUMIFS(营销场景数据源!$AB:$AB,营销场景数据源!$C:$C,$B$56,营销场景数据源!$A:$A,AJ2)</f>
        <v>3</v>
      </c>
      <c r="AK58" s="95">
        <f>SUMIFS(营销场景数据源!$AB:$AB,营销场景数据源!$C:$C,$B$56,营销场景数据源!$A:$A,AK2)</f>
        <v>5</v>
      </c>
      <c r="AL58" s="95">
        <f>SUMIFS(营销场景数据源!$AB:$AB,营销场景数据源!$C:$C,$B$56,营销场景数据源!$A:$A,AL2)</f>
        <v>11</v>
      </c>
      <c r="AM58" s="95">
        <f>SUMIFS(营销场景数据源!$AB:$AB,营销场景数据源!$C:$C,$B$56,营销场景数据源!$A:$A,AM2)</f>
        <v>1</v>
      </c>
      <c r="AN58" s="95">
        <f>SUMIFS(营销场景数据源!$AB:$AB,营销场景数据源!$C:$C,$B$56,营销场景数据源!$A:$A,AN2)</f>
        <v>4</v>
      </c>
      <c r="AO58" s="95">
        <f>SUMIFS(营销场景数据源!$AB:$AB,营销场景数据源!$C:$C,$B$56,营销场景数据源!$A:$A,AO2)</f>
        <v>15</v>
      </c>
      <c r="AP58" s="95">
        <f>SUMIFS(营销场景数据源!$AB:$AB,营销场景数据源!$C:$C,$B$56,营销场景数据源!$A:$A,AP2)</f>
        <v>6</v>
      </c>
      <c r="AQ58" s="95">
        <f>SUMIFS(营销场景数据源!$AB:$AB,营销场景数据源!$C:$C,$B$56,营销场景数据源!$A:$A,AQ2)</f>
        <v>3</v>
      </c>
      <c r="AR58" s="95">
        <f>SUMIFS(营销场景数据源!$AB:$AB,营销场景数据源!$C:$C,$B$56,营销场景数据源!$A:$A,AR2)</f>
        <v>13</v>
      </c>
      <c r="AS58" s="95">
        <f>SUMIFS(营销场景数据源!$AB:$AB,营销场景数据源!$C:$C,$B$56,营销场景数据源!$A:$A,AS2)</f>
        <v>20</v>
      </c>
      <c r="AT58" s="95">
        <f>SUMIFS(营销场景数据源!$AB:$AB,营销场景数据源!$C:$C,$B$56,营销场景数据源!$A:$A,AT2)</f>
        <v>4</v>
      </c>
      <c r="AU58" s="95">
        <f>SUMIFS(营销场景数据源!$AB:$AB,营销场景数据源!$C:$C,$B$56,营销场景数据源!$A:$A,AU2)</f>
        <v>4</v>
      </c>
      <c r="AV58" s="95">
        <f>SUMIFS(营销场景数据源!$AB:$AB,营销场景数据源!$C:$C,$B$56,营销场景数据源!$A:$A,AV2)</f>
        <v>5</v>
      </c>
      <c r="AW58" s="65">
        <f>SUM(AX58:BY58)</f>
        <v>103</v>
      </c>
      <c r="AX58" s="95">
        <f>SUMIFS(营销场景数据源!$AB:$AB,营销场景数据源!$C:$C,$B$56,营销场景数据源!$A:$A,AX2)</f>
        <v>8</v>
      </c>
      <c r="AY58" s="95">
        <f>SUMIFS(营销场景数据源!$AB:$AB,营销场景数据源!$C:$C,$B$56,营销场景数据源!$A:$A,AY2)</f>
        <v>5</v>
      </c>
      <c r="AZ58" s="95">
        <f>SUMIFS(营销场景数据源!$AB:$AB,营销场景数据源!$C:$C,$B$56,营销场景数据源!$A:$A,AZ2)</f>
        <v>5</v>
      </c>
      <c r="BA58" s="95">
        <f>SUMIFS(营销场景数据源!$AB:$AB,营销场景数据源!$C:$C,$B$56,营销场景数据源!$A:$A,BA2)</f>
        <v>1</v>
      </c>
      <c r="BB58" s="95">
        <f>SUMIFS(营销场景数据源!$AB:$AB,营销场景数据源!$C:$C,$B$56,营销场景数据源!$A:$A,BB2)</f>
        <v>3</v>
      </c>
      <c r="BC58" s="95">
        <f>SUMIFS(营销场景数据源!$AB:$AB,营销场景数据源!$C:$C,$B$56,营销场景数据源!$A:$A,BC2)</f>
        <v>7</v>
      </c>
      <c r="BD58" s="95">
        <f>SUMIFS(营销场景数据源!$AB:$AB,营销场景数据源!$C:$C,$B$56,营销场景数据源!$A:$A,BD2)</f>
        <v>6</v>
      </c>
      <c r="BE58" s="95">
        <f>SUMIFS(营销场景数据源!$AB:$AB,营销场景数据源!$C:$C,$B$56,营销场景数据源!$A:$A,BE2)</f>
        <v>17</v>
      </c>
      <c r="BF58" s="95">
        <f>SUMIFS(营销场景数据源!$AB:$AB,营销场景数据源!$C:$C,$B$56,营销场景数据源!$A:$A,BF2)</f>
        <v>4</v>
      </c>
      <c r="BG58" s="95">
        <f>SUMIFS(营销场景数据源!$AB:$AB,营销场景数据源!$C:$C,$B$56,营销场景数据源!$A:$A,BG2)</f>
        <v>2</v>
      </c>
      <c r="BH58" s="95">
        <f>SUMIFS(营销场景数据源!$AB:$AB,营销场景数据源!$C:$C,$B$56,营销场景数据源!$A:$A,BH2)</f>
        <v>4</v>
      </c>
      <c r="BI58" s="95">
        <f>SUMIFS(营销场景数据源!$AB:$AB,营销场景数据源!$C:$C,$B$56,营销场景数据源!$A:$A,BI2)</f>
        <v>4</v>
      </c>
      <c r="BJ58" s="95">
        <f>SUMIFS(营销场景数据源!$AB:$AB,营销场景数据源!$C:$C,$B$56,营销场景数据源!$A:$A,BJ2)</f>
        <v>4</v>
      </c>
      <c r="BK58" s="95">
        <f>SUMIFS(营销场景数据源!$AB:$AB,营销场景数据源!$C:$C,$B$56,营销场景数据源!$A:$A,BK2)</f>
        <v>5</v>
      </c>
      <c r="BL58" s="95">
        <f>SUMIFS(营销场景数据源!$AB:$AB,营销场景数据源!$C:$C,$B$56,营销场景数据源!$A:$A,BL2)</f>
        <v>0</v>
      </c>
      <c r="BM58" s="95">
        <f>SUMIFS(营销场景数据源!$AB:$AB,营销场景数据源!$C:$C,$B$56,营销场景数据源!$A:$A,BM2)</f>
        <v>0</v>
      </c>
      <c r="BN58" s="95">
        <f>SUMIFS(营销场景数据源!$AB:$AB,营销场景数据源!$C:$C,$B$56,营销场景数据源!$A:$A,BN2)</f>
        <v>0</v>
      </c>
      <c r="BO58" s="95">
        <f>SUMIFS(营销场景数据源!$AB:$AB,营销场景数据源!$C:$C,$B$56,营销场景数据源!$A:$A,BO2)</f>
        <v>0</v>
      </c>
      <c r="BP58" s="95">
        <f>SUMIFS(营销场景数据源!$AB:$AB,营销场景数据源!$C:$C,$B$56,营销场景数据源!$A:$A,BP2)</f>
        <v>0</v>
      </c>
      <c r="BQ58" s="95">
        <f>SUMIFS(营销场景数据源!$AB:$AB,营销场景数据源!$C:$C,$B$56,营销场景数据源!$A:$A,BQ2)</f>
        <v>0</v>
      </c>
      <c r="BR58" s="95">
        <f>SUMIFS(营销场景数据源!$AB:$AB,营销场景数据源!$C:$C,$B$56,营销场景数据源!$A:$A,BR2)</f>
        <v>0</v>
      </c>
      <c r="BS58" s="95">
        <f>SUMIFS(营销场景数据源!$AB:$AB,营销场景数据源!$C:$C,$B$56,营销场景数据源!$A:$A,BS2)</f>
        <v>0</v>
      </c>
      <c r="BT58" s="95">
        <f>SUMIFS(营销场景数据源!$AB:$AB,营销场景数据源!$C:$C,$B$56,营销场景数据源!$A:$A,BT2)</f>
        <v>0</v>
      </c>
      <c r="BU58" s="95">
        <f>SUMIFS(营销场景数据源!$AB:$AB,营销场景数据源!$C:$C,$B$56,营销场景数据源!$A:$A,BU2)</f>
        <v>0</v>
      </c>
      <c r="BV58" s="95">
        <f>SUMIFS(营销场景数据源!$AB:$AB,营销场景数据源!$C:$C,$B$56,营销场景数据源!$A:$A,BV2)</f>
        <v>7</v>
      </c>
      <c r="BW58" s="95">
        <f>SUMIFS(营销场景数据源!$AB:$AB,营销场景数据源!$C:$C,$B$56,营销场景数据源!$A:$A,BW2)</f>
        <v>15</v>
      </c>
      <c r="BX58" s="95">
        <f>SUMIFS(营销场景数据源!$AB:$AB,营销场景数据源!$C:$C,$B$56,营销场景数据源!$A:$A,BX2)</f>
        <v>4</v>
      </c>
      <c r="BY58" s="95">
        <f>SUMIFS(营销场景数据源!$AB:$AB,营销场景数据源!$C:$C,$B$56,营销场景数据源!$A:$A,BY2)</f>
        <v>2</v>
      </c>
      <c r="BZ58" s="65">
        <f>SUM(CA58:DE58)</f>
        <v>279</v>
      </c>
      <c r="CA58" s="95">
        <f>SUMIFS(营销场景数据源!$AB:$AB,营销场景数据源!$C:$C,$B$56,营销场景数据源!$A:$A,CA2)</f>
        <v>9</v>
      </c>
      <c r="CB58" s="95">
        <f>SUMIFS(营销场景数据源!$AB:$AB,营销场景数据源!$C:$C,$B$56,营销场景数据源!$A:$A,CB2)</f>
        <v>8</v>
      </c>
      <c r="CC58" s="95">
        <f>SUMIFS(营销场景数据源!$AB:$AB,营销场景数据源!$C:$C,$B$56,营销场景数据源!$A:$A,CC2)</f>
        <v>3</v>
      </c>
      <c r="CD58" s="95">
        <f>SUMIFS(营销场景数据源!$AB:$AB,营销场景数据源!$C:$C,$B$56,营销场景数据源!$A:$A,CD2)</f>
        <v>10</v>
      </c>
      <c r="CE58" s="95">
        <f>SUMIFS(营销场景数据源!$AB:$AB,营销场景数据源!$C:$C,$B$56,营销场景数据源!$A:$A,CE2)</f>
        <v>5</v>
      </c>
      <c r="CF58" s="95">
        <f>SUMIFS(营销场景数据源!$AB:$AB,营销场景数据源!$C:$C,$B$56,营销场景数据源!$A:$A,CF2)</f>
        <v>3</v>
      </c>
      <c r="CG58" s="95">
        <f>SUMIFS(营销场景数据源!$AB:$AB,营销场景数据源!$C:$C,$B$56,营销场景数据源!$A:$A,CG2)</f>
        <v>7</v>
      </c>
      <c r="CH58" s="95">
        <f>SUMIFS(营销场景数据源!$AB:$AB,营销场景数据源!$C:$C,$B$56,营销场景数据源!$A:$A,CH2)</f>
        <v>17</v>
      </c>
      <c r="CI58" s="95">
        <f>SUMIFS(营销场景数据源!$AB:$AB,营销场景数据源!$C:$C,$B$56,营销场景数据源!$A:$A,CI2)</f>
        <v>13</v>
      </c>
      <c r="CJ58" s="95">
        <f>SUMIFS(营销场景数据源!$AB:$AB,营销场景数据源!$C:$C,$B$56,营销场景数据源!$A:$A,CJ2)</f>
        <v>12</v>
      </c>
      <c r="CK58" s="95">
        <f>SUMIFS(营销场景数据源!$AB:$AB,营销场景数据源!$C:$C,$B$56,营销场景数据源!$A:$A,CK2)</f>
        <v>8</v>
      </c>
      <c r="CL58" s="95">
        <f>SUMIFS(营销场景数据源!$AB:$AB,营销场景数据源!$C:$C,$B$56,营销场景数据源!$A:$A,CL2)</f>
        <v>17</v>
      </c>
      <c r="CM58" s="95">
        <f>SUMIFS(营销场景数据源!$AB:$AB,营销场景数据源!$C:$C,$B$56,营销场景数据源!$A:$A,CM2)</f>
        <v>21</v>
      </c>
      <c r="CN58" s="95">
        <f>SUMIFS(营销场景数据源!$AB:$AB,营销场景数据源!$C:$C,$B$56,营销场景数据源!$A:$A,CN2)</f>
        <v>24</v>
      </c>
      <c r="CO58" s="95">
        <f>SUMIFS(营销场景数据源!$AB:$AB,营销场景数据源!$C:$C,$B$56,营销场景数据源!$A:$A,CO2)</f>
        <v>7</v>
      </c>
      <c r="CP58" s="95">
        <f>SUMIFS(营销场景数据源!$AB:$AB,营销场景数据源!$C:$C,$B$56,营销场景数据源!$A:$A,CP2)</f>
        <v>15</v>
      </c>
      <c r="CQ58" s="95">
        <f>SUMIFS(营销场景数据源!$AB:$AB,营销场景数据源!$C:$C,$B$56,营销场景数据源!$A:$A,CQ2)</f>
        <v>8</v>
      </c>
      <c r="CR58" s="95">
        <f>SUMIFS(营销场景数据源!$AB:$AB,营销场景数据源!$C:$C,$B$56,营销场景数据源!$A:$A,CR2)</f>
        <v>7</v>
      </c>
      <c r="CS58" s="95">
        <f>SUMIFS(营销场景数据源!$AB:$AB,营销场景数据源!$C:$C,$B$56,营销场景数据源!$A:$A,CS2)</f>
        <v>12</v>
      </c>
      <c r="CT58" s="95">
        <f>SUMIFS(营销场景数据源!$AB:$AB,营销场景数据源!$C:$C,$B$56,营销场景数据源!$A:$A,CT2)</f>
        <v>6</v>
      </c>
      <c r="CU58" s="95">
        <f>SUMIFS(营销场景数据源!$AB:$AB,营销场景数据源!$C:$C,$B$56,营销场景数据源!$A:$A,CU2)</f>
        <v>6</v>
      </c>
      <c r="CV58" s="95">
        <f>SUMIFS(营销场景数据源!$AB:$AB,营销场景数据源!$C:$C,$B$56,营销场景数据源!$A:$A,CV2)</f>
        <v>13</v>
      </c>
      <c r="CW58" s="95">
        <f>SUMIFS(营销场景数据源!$AB:$AB,营销场景数据源!$C:$C,$B$56,营销场景数据源!$A:$A,CW2)</f>
        <v>6</v>
      </c>
      <c r="CX58" s="95">
        <f>SUMIFS(营销场景数据源!$AB:$AB,营销场景数据源!$C:$C,$B$56,营销场景数据源!$A:$A,CX2)</f>
        <v>2</v>
      </c>
      <c r="CY58" s="95">
        <f>SUMIFS(营销场景数据源!$AB:$AB,营销场景数据源!$C:$C,$B$56,营销场景数据源!$A:$A,CY2)</f>
        <v>5</v>
      </c>
      <c r="CZ58" s="95">
        <f>SUMIFS(营销场景数据源!$AB:$AB,营销场景数据源!$C:$C,$B$56,营销场景数据源!$A:$A,CZ2)</f>
        <v>4</v>
      </c>
      <c r="DA58" s="95">
        <f>SUMIFS(营销场景数据源!$AB:$AB,营销场景数据源!$C:$C,$B$56,营销场景数据源!$A:$A,DA2)</f>
        <v>4</v>
      </c>
      <c r="DB58" s="95">
        <f>SUMIFS(营销场景数据源!$AB:$AB,营销场景数据源!$C:$C,$B$56,营销场景数据源!$A:$A,DB2)</f>
        <v>9</v>
      </c>
      <c r="DC58" s="95">
        <f>SUMIFS(营销场景数据源!$AB:$AB,营销场景数据源!$C:$C,$B$56,营销场景数据源!$A:$A,DC2)</f>
        <v>7</v>
      </c>
      <c r="DD58" s="95">
        <f>SUMIFS(营销场景数据源!$AB:$AB,营销场景数据源!$C:$C,$B$56,营销场景数据源!$A:$A,DD2)</f>
        <v>4</v>
      </c>
      <c r="DE58" s="95">
        <f>SUMIFS(营销场景数据源!$AB:$AB,营销场景数据源!$C:$C,$B$56,营销场景数据源!$A:$A,DE2)</f>
        <v>7</v>
      </c>
      <c r="DF58" s="65">
        <f>SUM(DG58:EJ58)</f>
        <v>142</v>
      </c>
      <c r="DG58" s="95">
        <f>SUMIFS(营销场景数据源!$AB:$AB,营销场景数据源!$C:$C,$B$56,营销场景数据源!$A:$A,DG2)</f>
        <v>3</v>
      </c>
      <c r="DH58" s="95">
        <f>SUMIFS(营销场景数据源!$AB:$AB,营销场景数据源!$C:$C,$B$56,营销场景数据源!$A:$A,DH2)</f>
        <v>3</v>
      </c>
      <c r="DI58" s="95">
        <f>SUMIFS(营销场景数据源!$AB:$AB,营销场景数据源!$C:$C,$B$56,营销场景数据源!$A:$A,DI2)</f>
        <v>0</v>
      </c>
      <c r="DJ58" s="95">
        <f>SUMIFS(营销场景数据源!$AB:$AB,营销场景数据源!$C:$C,$B$56,营销场景数据源!$A:$A,DJ2)</f>
        <v>2</v>
      </c>
      <c r="DK58" s="95">
        <f>SUMIFS(营销场景数据源!$AB:$AB,营销场景数据源!$C:$C,$B$56,营销场景数据源!$A:$A,DK2)</f>
        <v>4</v>
      </c>
      <c r="DL58" s="95">
        <f>SUMIFS(营销场景数据源!$AB:$AB,营销场景数据源!$C:$C,$B$56,营销场景数据源!$A:$A,DL2)</f>
        <v>4</v>
      </c>
      <c r="DM58" s="95">
        <f>SUMIFS(营销场景数据源!$AB:$AB,营销场景数据源!$C:$C,$B$56,营销场景数据源!$A:$A,DM2)</f>
        <v>4</v>
      </c>
      <c r="DN58" s="95">
        <f>SUMIFS(营销场景数据源!$AB:$AB,营销场景数据源!$C:$C,$B$56,营销场景数据源!$A:$A,DN2)</f>
        <v>3</v>
      </c>
      <c r="DO58" s="95">
        <f>SUMIFS(营销场景数据源!$AB:$AB,营销场景数据源!$C:$C,$B$56,营销场景数据源!$A:$A,DO2)</f>
        <v>10</v>
      </c>
      <c r="DP58" s="95">
        <f>SUMIFS(营销场景数据源!$AB:$AB,营销场景数据源!$C:$C,$B$56,营销场景数据源!$A:$A,DP2)</f>
        <v>3</v>
      </c>
      <c r="DQ58" s="95">
        <f>SUMIFS(营销场景数据源!$AB:$AB,营销场景数据源!$C:$C,$B$56,营销场景数据源!$A:$A,DQ2)</f>
        <v>9</v>
      </c>
      <c r="DR58" s="95">
        <f>SUMIFS(营销场景数据源!$AB:$AB,营销场景数据源!$C:$C,$B$56,营销场景数据源!$A:$A,DR2)</f>
        <v>3</v>
      </c>
      <c r="DS58" s="95">
        <f>SUMIFS(营销场景数据源!$AB:$AB,营销场景数据源!$C:$C,$B$56,营销场景数据源!$A:$A,DS2)</f>
        <v>3</v>
      </c>
      <c r="DT58" s="95">
        <f>SUMIFS(营销场景数据源!$AB:$AB,营销场景数据源!$C:$C,$B$56,营销场景数据源!$A:$A,DT2)</f>
        <v>10</v>
      </c>
      <c r="DU58" s="95">
        <f>SUMIFS(营销场景数据源!$AB:$AB,营销场景数据源!$C:$C,$B$56,营销场景数据源!$A:$A,DU2)</f>
        <v>1</v>
      </c>
      <c r="DV58" s="95">
        <f>SUMIFS(营销场景数据源!$AB:$AB,营销场景数据源!$C:$C,$B$56,营销场景数据源!$A:$A,DV2)</f>
        <v>11</v>
      </c>
      <c r="DW58" s="95">
        <f>SUMIFS(营销场景数据源!$AB:$AB,营销场景数据源!$C:$C,$B$56,营销场景数据源!$A:$A,DW2)</f>
        <v>8</v>
      </c>
      <c r="DX58" s="95">
        <f>SUMIFS(营销场景数据源!$AB:$AB,营销场景数据源!$C:$C,$B$56,营销场景数据源!$A:$A,DX2)</f>
        <v>3</v>
      </c>
      <c r="DY58" s="95">
        <f>SUMIFS(营销场景数据源!$AB:$AB,营销场景数据源!$C:$C,$B$56,营销场景数据源!$A:$A,DY2)</f>
        <v>2</v>
      </c>
      <c r="DZ58" s="95">
        <f>SUMIFS(营销场景数据源!$AB:$AB,营销场景数据源!$C:$C,$B$56,营销场景数据源!$A:$A,DZ2)</f>
        <v>2</v>
      </c>
      <c r="EA58" s="95">
        <f>SUMIFS(营销场景数据源!$AB:$AB,营销场景数据源!$C:$C,$B$56,营销场景数据源!$A:$A,EA2)</f>
        <v>4</v>
      </c>
      <c r="EB58" s="95">
        <f>SUMIFS(营销场景数据源!$AB:$AB,营销场景数据源!$C:$C,$B$56,营销场景数据源!$A:$A,EB2)</f>
        <v>8</v>
      </c>
      <c r="EC58" s="95">
        <f>SUMIFS(营销场景数据源!$AB:$AB,营销场景数据源!$C:$C,$B$56,营销场景数据源!$A:$A,EC2)</f>
        <v>13</v>
      </c>
      <c r="ED58" s="95">
        <f>SUMIFS(营销场景数据源!$AB:$AB,营销场景数据源!$C:$C,$B$56,营销场景数据源!$A:$A,ED2)</f>
        <v>16</v>
      </c>
      <c r="EE58" s="95">
        <f>SUMIFS(营销场景数据源!$AB:$AB,营销场景数据源!$C:$C,$B$56,营销场景数据源!$A:$A,EE2)</f>
        <v>1</v>
      </c>
      <c r="EF58" s="95">
        <f>SUMIFS(营销场景数据源!$AB:$AB,营销场景数据源!$C:$C,$B$56,营销场景数据源!$A:$A,EF2)</f>
        <v>4</v>
      </c>
      <c r="EG58" s="95">
        <f>SUMIFS(营销场景数据源!$AB:$AB,营销场景数据源!$C:$C,$B$56,营销场景数据源!$A:$A,EG2)</f>
        <v>2</v>
      </c>
      <c r="EH58" s="95">
        <f>SUMIFS(营销场景数据源!$AB:$AB,营销场景数据源!$C:$C,$B$56,营销场景数据源!$A:$A,EH2)</f>
        <v>2</v>
      </c>
      <c r="EI58" s="95">
        <f>SUMIFS(营销场景数据源!$AB:$AB,营销场景数据源!$C:$C,$B$56,营销场景数据源!$A:$A,EI2)</f>
        <v>2</v>
      </c>
      <c r="EJ58" s="95">
        <f>SUMIFS(营销场景数据源!$AB:$AB,营销场景数据源!$C:$C,$B$56,营销场景数据源!$A:$A,EJ2)</f>
        <v>2</v>
      </c>
      <c r="EK58" s="65">
        <f>SUM(EL58:FP58)</f>
        <v>179</v>
      </c>
      <c r="EL58" s="95">
        <f>SUMIFS(营销场景数据源!$AB:$AB,营销场景数据源!$C:$C,$B$56,营销场景数据源!$A:$A,EL2)</f>
        <v>6</v>
      </c>
      <c r="EM58" s="95">
        <f>SUMIFS(营销场景数据源!$AB:$AB,营销场景数据源!$C:$C,$B$56,营销场景数据源!$A:$A,EM2)</f>
        <v>1</v>
      </c>
      <c r="EN58" s="95">
        <f>SUMIFS(营销场景数据源!$AB:$AB,营销场景数据源!$C:$C,$B$56,营销场景数据源!$A:$A,EN2)</f>
        <v>4</v>
      </c>
      <c r="EO58" s="95">
        <f>SUMIFS(营销场景数据源!$AB:$AB,营销场景数据源!$C:$C,$B$56,营销场景数据源!$A:$A,EO2)</f>
        <v>4</v>
      </c>
      <c r="EP58" s="95">
        <f>SUMIFS(营销场景数据源!$AB:$AB,营销场景数据源!$C:$C,$B$56,营销场景数据源!$A:$A,EP2)</f>
        <v>2</v>
      </c>
      <c r="EQ58" s="95">
        <f>SUMIFS(营销场景数据源!$AB:$AB,营销场景数据源!$C:$C,$B$56,营销场景数据源!$A:$A,EQ2)</f>
        <v>1</v>
      </c>
      <c r="ER58" s="95">
        <f>SUMIFS(营销场景数据源!$AB:$AB,营销场景数据源!$C:$C,$B$56,营销场景数据源!$A:$A,ER2)</f>
        <v>4</v>
      </c>
      <c r="ES58" s="95">
        <f>SUMIFS(营销场景数据源!$AB:$AB,营销场景数据源!$C:$C,$B$56,营销场景数据源!$A:$A,ES2)</f>
        <v>4</v>
      </c>
      <c r="ET58" s="95">
        <f>SUMIFS(营销场景数据源!$AB:$AB,营销场景数据源!$C:$C,$B$56,营销场景数据源!$A:$A,ET2)</f>
        <v>14</v>
      </c>
      <c r="EU58" s="95">
        <f>SUMIFS(营销场景数据源!$AB:$AB,营销场景数据源!$C:$C,$B$56,营销场景数据源!$A:$A,EU2)</f>
        <v>10</v>
      </c>
      <c r="EV58" s="95">
        <f>SUMIFS(营销场景数据源!$AB:$AB,营销场景数据源!$C:$C,$B$56,营销场景数据源!$A:$A,EV2)</f>
        <v>9</v>
      </c>
      <c r="EW58" s="95">
        <f>SUMIFS(营销场景数据源!$AB:$AB,营销场景数据源!$C:$C,$B$56,营销场景数据源!$A:$A,EW2)</f>
        <v>9</v>
      </c>
      <c r="EX58" s="95">
        <f>SUMIFS(营销场景数据源!$AB:$AB,营销场景数据源!$C:$C,$B$56,营销场景数据源!$A:$A,EX2)</f>
        <v>7</v>
      </c>
      <c r="EY58" s="95">
        <f>SUMIFS(营销场景数据源!$AB:$AB,营销场景数据源!$C:$C,$B$56,营销场景数据源!$A:$A,EY2)</f>
        <v>5</v>
      </c>
      <c r="EZ58" s="95">
        <f>SUMIFS(营销场景数据源!$AB:$AB,营销场景数据源!$C:$C,$B$56,营销场景数据源!$A:$A,EZ2)</f>
        <v>5</v>
      </c>
      <c r="FA58" s="95">
        <f>SUMIFS(营销场景数据源!$AB:$AB,营销场景数据源!$C:$C,$B$56,营销场景数据源!$A:$A,FA2)</f>
        <v>5</v>
      </c>
      <c r="FB58" s="95">
        <f>SUMIFS(营销场景数据源!$AB:$AB,营销场景数据源!$C:$C,$B$56,营销场景数据源!$A:$A,FB2)</f>
        <v>8</v>
      </c>
      <c r="FC58" s="95">
        <f>SUMIFS(营销场景数据源!$AB:$AB,营销场景数据源!$C:$C,$B$56,营销场景数据源!$A:$A,FC2)</f>
        <v>3</v>
      </c>
      <c r="FD58" s="95">
        <f>SUMIFS(营销场景数据源!$AB:$AB,营销场景数据源!$C:$C,$B$56,营销场景数据源!$A:$A,FD2)</f>
        <v>3</v>
      </c>
      <c r="FE58" s="95">
        <f>SUMIFS(营销场景数据源!$AB:$AB,营销场景数据源!$C:$C,$B$56,营销场景数据源!$A:$A,FE2)</f>
        <v>8</v>
      </c>
      <c r="FF58" s="95">
        <f>SUMIFS(营销场景数据源!$AB:$AB,营销场景数据源!$C:$C,$B$56,营销场景数据源!$A:$A,FF2)</f>
        <v>4</v>
      </c>
      <c r="FG58" s="95">
        <f>SUMIFS(营销场景数据源!$AB:$AB,营销场景数据源!$C:$C,$B$56,营销场景数据源!$A:$A,FG2)</f>
        <v>9</v>
      </c>
      <c r="FH58" s="95">
        <f>SUMIFS(营销场景数据源!$AB:$AB,营销场景数据源!$C:$C,$B$56,营销场景数据源!$A:$A,FH2)</f>
        <v>9</v>
      </c>
      <c r="FI58" s="95">
        <f>SUMIFS(营销场景数据源!$AB:$AB,营销场景数据源!$C:$C,$B$56,营销场景数据源!$A:$A,FI2)</f>
        <v>15</v>
      </c>
      <c r="FJ58" s="95">
        <f>SUMIFS(营销场景数据源!$AB:$AB,营销场景数据源!$C:$C,$B$56,营销场景数据源!$A:$A,FJ2)</f>
        <v>3</v>
      </c>
      <c r="FK58" s="95">
        <f>SUMIFS(营销场景数据源!$AB:$AB,营销场景数据源!$C:$C,$B$56,营销场景数据源!$A:$A,FK2)</f>
        <v>2</v>
      </c>
      <c r="FL58" s="95">
        <f>SUMIFS(营销场景数据源!$AB:$AB,营销场景数据源!$C:$C,$B$56,营销场景数据源!$A:$A,FL2)</f>
        <v>7</v>
      </c>
      <c r="FM58" s="95">
        <f>SUMIFS(营销场景数据源!$AB:$AB,营销场景数据源!$C:$C,$B$56,营销场景数据源!$A:$A,FM2)</f>
        <v>12</v>
      </c>
      <c r="FN58" s="95">
        <f>SUMIFS(营销场景数据源!$AB:$AB,营销场景数据源!$C:$C,$B$56,营销场景数据源!$A:$A,FN2)</f>
        <v>1</v>
      </c>
      <c r="FO58" s="95">
        <f>SUMIFS(营销场景数据源!$AB:$AB,营销场景数据源!$C:$C,$B$56,营销场景数据源!$A:$A,FO2)</f>
        <v>2</v>
      </c>
      <c r="FP58" s="95">
        <f>SUMIFS(营销场景数据源!$AB:$AB,营销场景数据源!$C:$C,$B$56,营销场景数据源!$A:$A,FP2)</f>
        <v>3</v>
      </c>
      <c r="FQ58" s="65">
        <f t="shared" si="301"/>
        <v>99</v>
      </c>
      <c r="FR58" s="95">
        <f>SUMIFS(营销场景数据源!$AB:$AB,营销场景数据源!$C:$C,$B$56,营销场景数据源!$A:$A,FR2)</f>
        <v>3</v>
      </c>
      <c r="FS58" s="95">
        <f>SUMIFS(营销场景数据源!$AB:$AB,营销场景数据源!$C:$C,$B$56,营销场景数据源!$A:$A,FS2)</f>
        <v>5</v>
      </c>
      <c r="FT58" s="95">
        <f>SUMIFS(营销场景数据源!$AB:$AB,营销场景数据源!$C:$C,$B$56,营销场景数据源!$A:$A,FT2)</f>
        <v>4</v>
      </c>
      <c r="FU58" s="95">
        <f>SUMIFS(营销场景数据源!$AB:$AB,营销场景数据源!$C:$C,$B$56,营销场景数据源!$A:$A,FU2)</f>
        <v>3</v>
      </c>
      <c r="FV58" s="95">
        <f>SUMIFS(营销场景数据源!$AB:$AB,营销场景数据源!$C:$C,$B$56,营销场景数据源!$A:$A,FV2)</f>
        <v>2</v>
      </c>
      <c r="FW58" s="95">
        <f>SUMIFS(营销场景数据源!$AB:$AB,营销场景数据源!$C:$C,$B$56,营销场景数据源!$A:$A,FW2)</f>
        <v>3</v>
      </c>
      <c r="FX58" s="95">
        <f>SUMIFS(营销场景数据源!$AB:$AB,营销场景数据源!$C:$C,$B$56,营销场景数据源!$A:$A,FX2)</f>
        <v>11</v>
      </c>
      <c r="FY58" s="95">
        <f>SUMIFS(营销场景数据源!$AB:$AB,营销场景数据源!$C:$C,$B$56,营销场景数据源!$A:$A,FY2)</f>
        <v>4</v>
      </c>
      <c r="FZ58" s="95">
        <f>SUMIFS(营销场景数据源!$AB:$AB,营销场景数据源!$C:$C,$B$56,营销场景数据源!$A:$A,FZ2)</f>
        <v>1</v>
      </c>
      <c r="GA58" s="95">
        <f>SUMIFS(营销场景数据源!$AB:$AB,营销场景数据源!$C:$C,$B$56,营销场景数据源!$A:$A,GA2)</f>
        <v>3</v>
      </c>
      <c r="GB58" s="95">
        <f>SUMIFS(营销场景数据源!$AB:$AB,营销场景数据源!$C:$C,$B$56,营销场景数据源!$A:$A,GB2)</f>
        <v>3</v>
      </c>
      <c r="GC58" s="95">
        <f>SUMIFS(营销场景数据源!$AB:$AB,营销场景数据源!$C:$C,$B$56,营销场景数据源!$A:$A,GC2)</f>
        <v>4</v>
      </c>
      <c r="GD58" s="95">
        <f>SUMIFS(营销场景数据源!$AB:$AB,营销场景数据源!$C:$C,$B$56,营销场景数据源!$A:$A,GD2)</f>
        <v>2</v>
      </c>
      <c r="GE58" s="95">
        <f>SUMIFS(营销场景数据源!$AB:$AB,营销场景数据源!$C:$C,$B$56,营销场景数据源!$A:$A,GE2)</f>
        <v>12</v>
      </c>
      <c r="GF58" s="95">
        <f>SUMIFS(营销场景数据源!$AB:$AB,营销场景数据源!$C:$C,$B$56,营销场景数据源!$A:$A,GF2)</f>
        <v>4</v>
      </c>
      <c r="GG58" s="95">
        <f>SUMIFS(营销场景数据源!$AB:$AB,营销场景数据源!$C:$C,$B$56,营销场景数据源!$A:$A,GG2)</f>
        <v>1</v>
      </c>
      <c r="GH58" s="95">
        <f>SUMIFS(营销场景数据源!$AB:$AB,营销场景数据源!$C:$C,$B$56,营销场景数据源!$A:$A,GH2)</f>
        <v>17</v>
      </c>
      <c r="GI58" s="95">
        <f>SUMIFS(营销场景数据源!$AB:$AB,营销场景数据源!$C:$C,$B$56,营销场景数据源!$A:$A,GI2)</f>
        <v>6</v>
      </c>
      <c r="GJ58" s="95">
        <f>SUMIFS(营销场景数据源!$AB:$AB,营销场景数据源!$C:$C,$B$56,营销场景数据源!$A:$A,GJ2)</f>
        <v>4</v>
      </c>
      <c r="GK58" s="95">
        <f>SUMIFS(营销场景数据源!$AB:$AB,营销场景数据源!$C:$C,$B$56,营销场景数据源!$A:$A,GK2)</f>
        <v>3</v>
      </c>
      <c r="GL58" s="95">
        <f>SUMIFS(营销场景数据源!$AB:$AB,营销场景数据源!$C:$C,$B$56,营销场景数据源!$A:$A,GL2)</f>
        <v>4</v>
      </c>
      <c r="GM58" s="95">
        <f>SUMIFS(营销场景数据源!$AB:$AB,营销场景数据源!$C:$C,$B$56,营销场景数据源!$A:$A,GM2)</f>
        <v>0</v>
      </c>
      <c r="GN58" s="95">
        <f>SUMIFS(营销场景数据源!$AB:$AB,营销场景数据源!$C:$C,$B$56,营销场景数据源!$A:$A,GN2)</f>
        <v>0</v>
      </c>
      <c r="GO58" s="95">
        <f>SUMIFS(营销场景数据源!$AB:$AB,营销场景数据源!$C:$C,$B$56,营销场景数据源!$A:$A,GO2)</f>
        <v>0</v>
      </c>
      <c r="GP58" s="95">
        <f>SUMIFS(营销场景数据源!$AB:$AB,营销场景数据源!$C:$C,$B$56,营销场景数据源!$A:$A,GP2)</f>
        <v>0</v>
      </c>
    </row>
    <row r="59" s="47" customFormat="1" ht="15" customHeight="1" spans="1:198">
      <c r="B59" s="103"/>
      <c r="C59" s="109" t="s">
        <v>25</v>
      </c>
      <c r="D59" s="94" t="e">
        <f>SUM(E59:P59)</f>
        <v>#REF!</v>
      </c>
      <c r="E59" s="110" t="e">
        <f>#REF!</f>
        <v>#REF!</v>
      </c>
      <c r="F59" s="110" t="e">
        <f>#REF!</f>
        <v>#REF!</v>
      </c>
      <c r="G59" s="110" t="e">
        <f>#REF!</f>
        <v>#REF!</v>
      </c>
      <c r="H59" s="110" t="e">
        <f>#REF!</f>
        <v>#REF!</v>
      </c>
      <c r="I59" s="110" t="e">
        <f>#REF!</f>
        <v>#REF!</v>
      </c>
      <c r="J59" s="110" t="e">
        <f>#REF!</f>
        <v>#REF!</v>
      </c>
      <c r="K59" s="110" t="e">
        <f>#REF!</f>
        <v>#REF!</v>
      </c>
      <c r="L59" s="110" t="e">
        <f>#REF!</f>
        <v>#REF!</v>
      </c>
      <c r="M59" s="110" t="e">
        <f>#REF!</f>
        <v>#REF!</v>
      </c>
      <c r="N59" s="110" t="e">
        <f>#REF!</f>
        <v>#REF!</v>
      </c>
      <c r="O59" s="110" t="e">
        <f>#REF!</f>
        <v>#REF!</v>
      </c>
      <c r="P59" s="110" t="e">
        <f>#REF!</f>
        <v>#REF!</v>
      </c>
      <c r="Q59" s="65">
        <f>SUM(R59:AV59)</f>
        <v>38</v>
      </c>
      <c r="R59" s="95">
        <f>SUMIFS(营销场景数据源!$U:$U,营销场景数据源!$C:$C,$B$56,营销场景数据源!$A:$A,R2)</f>
        <v>0</v>
      </c>
      <c r="S59" s="95">
        <f>SUMIFS(营销场景数据源!$U:$U,营销场景数据源!$C:$C,$B$56,营销场景数据源!$A:$A,S2)</f>
        <v>0</v>
      </c>
      <c r="T59" s="95">
        <f>SUMIFS(营销场景数据源!$U:$U,营销场景数据源!$C:$C,$B$56,营销场景数据源!$A:$A,T2)</f>
        <v>0</v>
      </c>
      <c r="U59" s="95">
        <f>SUMIFS(营销场景数据源!$U:$U,营销场景数据源!$C:$C,$B$56,营销场景数据源!$A:$A,U2)</f>
        <v>4</v>
      </c>
      <c r="V59" s="95">
        <f>SUMIFS(营销场景数据源!$U:$U,营销场景数据源!$C:$C,$B$56,营销场景数据源!$A:$A,V2)</f>
        <v>1</v>
      </c>
      <c r="W59" s="95">
        <f>SUMIFS(营销场景数据源!$U:$U,营销场景数据源!$C:$C,$B$56,营销场景数据源!$A:$A,W2)</f>
        <v>1</v>
      </c>
      <c r="X59" s="95">
        <f>SUMIFS(营销场景数据源!$U:$U,营销场景数据源!$C:$C,$B$56,营销场景数据源!$A:$A,X2)</f>
        <v>2</v>
      </c>
      <c r="Y59" s="95">
        <f>SUMIFS(营销场景数据源!$U:$U,营销场景数据源!$C:$C,$B$56,营销场景数据源!$A:$A,Y2)</f>
        <v>1</v>
      </c>
      <c r="Z59" s="95">
        <f>SUMIFS(营销场景数据源!$U:$U,营销场景数据源!$C:$C,$B$56,营销场景数据源!$A:$A,Z2)</f>
        <v>4</v>
      </c>
      <c r="AA59" s="95">
        <f>SUMIFS(营销场景数据源!$U:$U,营销场景数据源!$C:$C,$B$56,营销场景数据源!$A:$A,AA2)</f>
        <v>0</v>
      </c>
      <c r="AB59" s="95">
        <f>SUMIFS(营销场景数据源!$U:$U,营销场景数据源!$C:$C,$B$56,营销场景数据源!$A:$A,AB2)</f>
        <v>1</v>
      </c>
      <c r="AC59" s="95">
        <f>SUMIFS(营销场景数据源!$U:$U,营销场景数据源!$C:$C,$B$56,营销场景数据源!$A:$A,AC2)</f>
        <v>0</v>
      </c>
      <c r="AD59" s="95">
        <f>SUMIFS(营销场景数据源!$U:$U,营销场景数据源!$C:$C,$B$56,营销场景数据源!$A:$A,AD2)</f>
        <v>0</v>
      </c>
      <c r="AE59" s="95">
        <f>SUMIFS(营销场景数据源!$U:$U,营销场景数据源!$C:$C,$B$56,营销场景数据源!$A:$A,AE2)</f>
        <v>0</v>
      </c>
      <c r="AF59" s="95">
        <f>SUMIFS(营销场景数据源!$U:$U,营销场景数据源!$C:$C,$B$56,营销场景数据源!$A:$A,AF2)</f>
        <v>0</v>
      </c>
      <c r="AG59" s="95">
        <f>SUMIFS(营销场景数据源!$U:$U,营销场景数据源!$C:$C,$B$56,营销场景数据源!$A:$A,AG2)</f>
        <v>0</v>
      </c>
      <c r="AH59" s="95">
        <f>SUMIFS(营销场景数据源!$U:$U,营销场景数据源!$C:$C,$B$56,营销场景数据源!$A:$A,AH2)</f>
        <v>2</v>
      </c>
      <c r="AI59" s="95">
        <f>SUMIFS(营销场景数据源!$U:$U,营销场景数据源!$C:$C,$B$56,营销场景数据源!$A:$A,AI2)</f>
        <v>1</v>
      </c>
      <c r="AJ59" s="95">
        <f>SUMIFS(营销场景数据源!$U:$U,营销场景数据源!$C:$C,$B$56,营销场景数据源!$A:$A,AJ2)</f>
        <v>0</v>
      </c>
      <c r="AK59" s="95">
        <f>SUMIFS(营销场景数据源!$U:$U,营销场景数据源!$C:$C,$B$56,营销场景数据源!$A:$A,AK2)</f>
        <v>1</v>
      </c>
      <c r="AL59" s="95">
        <f>SUMIFS(营销场景数据源!$U:$U,营销场景数据源!$C:$C,$B$56,营销场景数据源!$A:$A,AL2)</f>
        <v>1</v>
      </c>
      <c r="AM59" s="95">
        <f>SUMIFS(营销场景数据源!$U:$U,营销场景数据源!$C:$C,$B$56,营销场景数据源!$A:$A,AM2)</f>
        <v>0</v>
      </c>
      <c r="AN59" s="95">
        <f>SUMIFS(营销场景数据源!$U:$U,营销场景数据源!$C:$C,$B$56,营销场景数据源!$A:$A,AN2)</f>
        <v>2</v>
      </c>
      <c r="AO59" s="95">
        <f>SUMIFS(营销场景数据源!$U:$U,营销场景数据源!$C:$C,$B$56,营销场景数据源!$A:$A,AO2)</f>
        <v>2</v>
      </c>
      <c r="AP59" s="95">
        <f>SUMIFS(营销场景数据源!$U:$U,营销场景数据源!$C:$C,$B$56,营销场景数据源!$A:$A,AP2)</f>
        <v>5</v>
      </c>
      <c r="AQ59" s="95">
        <f>SUMIFS(营销场景数据源!$U:$U,营销场景数据源!$C:$C,$B$56,营销场景数据源!$A:$A,AQ2)</f>
        <v>0</v>
      </c>
      <c r="AR59" s="95">
        <f>SUMIFS(营销场景数据源!$U:$U,营销场景数据源!$C:$C,$B$56,营销场景数据源!$A:$A,AR2)</f>
        <v>0</v>
      </c>
      <c r="AS59" s="95">
        <f>SUMIFS(营销场景数据源!$U:$U,营销场景数据源!$C:$C,$B$56,营销场景数据源!$A:$A,AS2)</f>
        <v>8</v>
      </c>
      <c r="AT59" s="95">
        <f>SUMIFS(营销场景数据源!$U:$U,营销场景数据源!$C:$C,$B$56,营销场景数据源!$A:$A,AT2)</f>
        <v>2</v>
      </c>
      <c r="AU59" s="95">
        <f>SUMIFS(营销场景数据源!$U:$U,营销场景数据源!$C:$C,$B$56,营销场景数据源!$A:$A,AU2)</f>
        <v>0</v>
      </c>
      <c r="AV59" s="95">
        <f>SUMIFS(营销场景数据源!$U:$U,营销场景数据源!$C:$C,$B$56,营销场景数据源!$A:$A,AV2)</f>
        <v>0</v>
      </c>
      <c r="AW59" s="65">
        <f>SUM(AX59:BY59)</f>
        <v>18</v>
      </c>
      <c r="AX59" s="95">
        <f>SUMIFS(营销场景数据源!$U:$U,营销场景数据源!$C:$C,$B$56,营销场景数据源!$A:$A,AX2)</f>
        <v>2</v>
      </c>
      <c r="AY59" s="95">
        <f>SUMIFS(营销场景数据源!$U:$U,营销场景数据源!$C:$C,$B$56,营销场景数据源!$A:$A,AY2)</f>
        <v>0</v>
      </c>
      <c r="AZ59" s="95">
        <f>SUMIFS(营销场景数据源!$U:$U,营销场景数据源!$C:$C,$B$56,营销场景数据源!$A:$A,AZ2)</f>
        <v>0</v>
      </c>
      <c r="BA59" s="95">
        <f>SUMIFS(营销场景数据源!$U:$U,营销场景数据源!$C:$C,$B$56,营销场景数据源!$A:$A,BA2)</f>
        <v>1</v>
      </c>
      <c r="BB59" s="95">
        <f>SUMIFS(营销场景数据源!$U:$U,营销场景数据源!$C:$C,$B$56,营销场景数据源!$A:$A,BB2)</f>
        <v>0</v>
      </c>
      <c r="BC59" s="95">
        <f>SUMIFS(营销场景数据源!$U:$U,营销场景数据源!$C:$C,$B$56,营销场景数据源!$A:$A,BC2)</f>
        <v>2</v>
      </c>
      <c r="BD59" s="95">
        <f>SUMIFS(营销场景数据源!$U:$U,营销场景数据源!$C:$C,$B$56,营销场景数据源!$A:$A,BD2)</f>
        <v>2</v>
      </c>
      <c r="BE59" s="95">
        <f>SUMIFS(营销场景数据源!$U:$U,营销场景数据源!$C:$C,$B$56,营销场景数据源!$A:$A,BE2)</f>
        <v>3</v>
      </c>
      <c r="BF59" s="95">
        <f>SUMIFS(营销场景数据源!$U:$U,营销场景数据源!$C:$C,$B$56,营销场景数据源!$A:$A,BF2)</f>
        <v>0</v>
      </c>
      <c r="BG59" s="95">
        <f>SUMIFS(营销场景数据源!$U:$U,营销场景数据源!$C:$C,$B$56,营销场景数据源!$A:$A,BG2)</f>
        <v>1</v>
      </c>
      <c r="BH59" s="95">
        <f>SUMIFS(营销场景数据源!$U:$U,营销场景数据源!$C:$C,$B$56,营销场景数据源!$A:$A,BH2)</f>
        <v>0</v>
      </c>
      <c r="BI59" s="95">
        <f>SUMIFS(营销场景数据源!$U:$U,营销场景数据源!$C:$C,$B$56,营销场景数据源!$A:$A,BI2)</f>
        <v>0</v>
      </c>
      <c r="BJ59" s="95">
        <f>SUMIFS(营销场景数据源!$U:$U,营销场景数据源!$C:$C,$B$56,营销场景数据源!$A:$A,BJ2)</f>
        <v>1</v>
      </c>
      <c r="BK59" s="95">
        <f>SUMIFS(营销场景数据源!$U:$U,营销场景数据源!$C:$C,$B$56,营销场景数据源!$A:$A,BK2)</f>
        <v>1</v>
      </c>
      <c r="BL59" s="95">
        <f>SUMIFS(营销场景数据源!$U:$U,营销场景数据源!$C:$C,$B$56,营销场景数据源!$A:$A,BL2)</f>
        <v>0</v>
      </c>
      <c r="BM59" s="95">
        <f>SUMIFS(营销场景数据源!$U:$U,营销场景数据源!$C:$C,$B$56,营销场景数据源!$A:$A,BM2)</f>
        <v>0</v>
      </c>
      <c r="BN59" s="95">
        <f>SUMIFS(营销场景数据源!$U:$U,营销场景数据源!$C:$C,$B$56,营销场景数据源!$A:$A,BN2)</f>
        <v>0</v>
      </c>
      <c r="BO59" s="95">
        <f>SUMIFS(营销场景数据源!$U:$U,营销场景数据源!$C:$C,$B$56,营销场景数据源!$A:$A,BO2)</f>
        <v>0</v>
      </c>
      <c r="BP59" s="95">
        <f>SUMIFS(营销场景数据源!$U:$U,营销场景数据源!$C:$C,$B$56,营销场景数据源!$A:$A,BP2)</f>
        <v>0</v>
      </c>
      <c r="BQ59" s="95">
        <f>SUMIFS(营销场景数据源!$U:$U,营销场景数据源!$C:$C,$B$56,营销场景数据源!$A:$A,BQ2)</f>
        <v>0</v>
      </c>
      <c r="BR59" s="95">
        <f>SUMIFS(营销场景数据源!$U:$U,营销场景数据源!$C:$C,$B$56,营销场景数据源!$A:$A,BR2)</f>
        <v>0</v>
      </c>
      <c r="BS59" s="95">
        <f>SUMIFS(营销场景数据源!$U:$U,营销场景数据源!$C:$C,$B$56,营销场景数据源!$A:$A,BS2)</f>
        <v>0</v>
      </c>
      <c r="BT59" s="95">
        <f>SUMIFS(营销场景数据源!$U:$U,营销场景数据源!$C:$C,$B$56,营销场景数据源!$A:$A,BT2)</f>
        <v>0</v>
      </c>
      <c r="BU59" s="95">
        <f>SUMIFS(营销场景数据源!$U:$U,营销场景数据源!$C:$C,$B$56,营销场景数据源!$A:$A,BU2)</f>
        <v>0</v>
      </c>
      <c r="BV59" s="95">
        <f>SUMIFS(营销场景数据源!$U:$U,营销场景数据源!$C:$C,$B$56,营销场景数据源!$A:$A,BV2)</f>
        <v>3</v>
      </c>
      <c r="BW59" s="95">
        <f>SUMIFS(营销场景数据源!$U:$U,营销场景数据源!$C:$C,$B$56,营销场景数据源!$A:$A,BW2)</f>
        <v>2</v>
      </c>
      <c r="BX59" s="95">
        <f>SUMIFS(营销场景数据源!$U:$U,营销场景数据源!$C:$C,$B$56,营销场景数据源!$A:$A,BX2)</f>
        <v>0</v>
      </c>
      <c r="BY59" s="95">
        <f>SUMIFS(营销场景数据源!$U:$U,营销场景数据源!$C:$C,$B$56,营销场景数据源!$A:$A,BY2)</f>
        <v>0</v>
      </c>
      <c r="BZ59" s="65">
        <f>SUM(CA59:DE59)</f>
        <v>41</v>
      </c>
      <c r="CA59" s="95">
        <f>SUMIFS(营销场景数据源!$U:$U,营销场景数据源!$C:$C,$B$56,营销场景数据源!$A:$A,CA2)</f>
        <v>1</v>
      </c>
      <c r="CB59" s="95">
        <f>SUMIFS(营销场景数据源!$U:$U,营销场景数据源!$C:$C,$B$56,营销场景数据源!$A:$A,CB2)</f>
        <v>1</v>
      </c>
      <c r="CC59" s="95">
        <f>SUMIFS(营销场景数据源!$U:$U,营销场景数据源!$C:$C,$B$56,营销场景数据源!$A:$A,CC2)</f>
        <v>0</v>
      </c>
      <c r="CD59" s="95">
        <f>SUMIFS(营销场景数据源!$U:$U,营销场景数据源!$C:$C,$B$56,营销场景数据源!$A:$A,CD2)</f>
        <v>2</v>
      </c>
      <c r="CE59" s="95">
        <f>SUMIFS(营销场景数据源!$U:$U,营销场景数据源!$C:$C,$B$56,营销场景数据源!$A:$A,CE2)</f>
        <v>1</v>
      </c>
      <c r="CF59" s="95">
        <f>SUMIFS(营销场景数据源!$U:$U,营销场景数据源!$C:$C,$B$56,营销场景数据源!$A:$A,CF2)</f>
        <v>1</v>
      </c>
      <c r="CG59" s="95">
        <f>SUMIFS(营销场景数据源!$U:$U,营销场景数据源!$C:$C,$B$56,营销场景数据源!$A:$A,CG2)</f>
        <v>0</v>
      </c>
      <c r="CH59" s="95">
        <f>SUMIFS(营销场景数据源!$U:$U,营销场景数据源!$C:$C,$B$56,营销场景数据源!$A:$A,CH2)</f>
        <v>2</v>
      </c>
      <c r="CI59" s="95">
        <f>SUMIFS(营销场景数据源!$U:$U,营销场景数据源!$C:$C,$B$56,营销场景数据源!$A:$A,CI2)</f>
        <v>3</v>
      </c>
      <c r="CJ59" s="95">
        <f>SUMIFS(营销场景数据源!$U:$U,营销场景数据源!$C:$C,$B$56,营销场景数据源!$A:$A,CJ2)</f>
        <v>0</v>
      </c>
      <c r="CK59" s="95">
        <f>SUMIFS(营销场景数据源!$U:$U,营销场景数据源!$C:$C,$B$56,营销场景数据源!$A:$A,CK2)</f>
        <v>2</v>
      </c>
      <c r="CL59" s="95">
        <f>SUMIFS(营销场景数据源!$U:$U,营销场景数据源!$C:$C,$B$56,营销场景数据源!$A:$A,CL2)</f>
        <v>2</v>
      </c>
      <c r="CM59" s="95">
        <f>SUMIFS(营销场景数据源!$U:$U,营销场景数据源!$C:$C,$B$56,营销场景数据源!$A:$A,CM2)</f>
        <v>1</v>
      </c>
      <c r="CN59" s="95">
        <f>SUMIFS(营销场景数据源!$U:$U,营销场景数据源!$C:$C,$B$56,营销场景数据源!$A:$A,CN2)</f>
        <v>5</v>
      </c>
      <c r="CO59" s="95">
        <f>SUMIFS(营销场景数据源!$U:$U,营销场景数据源!$C:$C,$B$56,营销场景数据源!$A:$A,CO2)</f>
        <v>0</v>
      </c>
      <c r="CP59" s="95">
        <f>SUMIFS(营销场景数据源!$U:$U,营销场景数据源!$C:$C,$B$56,营销场景数据源!$A:$A,CP2)</f>
        <v>4</v>
      </c>
      <c r="CQ59" s="95">
        <f>SUMIFS(营销场景数据源!$U:$U,营销场景数据源!$C:$C,$B$56,营销场景数据源!$A:$A,CQ2)</f>
        <v>1</v>
      </c>
      <c r="CR59" s="95">
        <f>SUMIFS(营销场景数据源!$U:$U,营销场景数据源!$C:$C,$B$56,营销场景数据源!$A:$A,CR2)</f>
        <v>4</v>
      </c>
      <c r="CS59" s="95">
        <f>SUMIFS(营销场景数据源!$U:$U,营销场景数据源!$C:$C,$B$56,营销场景数据源!$A:$A,CS2)</f>
        <v>2</v>
      </c>
      <c r="CT59" s="95">
        <f>SUMIFS(营销场景数据源!$U:$U,营销场景数据源!$C:$C,$B$56,营销场景数据源!$A:$A,CT2)</f>
        <v>1</v>
      </c>
      <c r="CU59" s="95">
        <f>SUMIFS(营销场景数据源!$U:$U,营销场景数据源!$C:$C,$B$56,营销场景数据源!$A:$A,CU2)</f>
        <v>1</v>
      </c>
      <c r="CV59" s="95">
        <f>SUMIFS(营销场景数据源!$U:$U,营销场景数据源!$C:$C,$B$56,营销场景数据源!$A:$A,CV2)</f>
        <v>3</v>
      </c>
      <c r="CW59" s="95">
        <f>SUMIFS(营销场景数据源!$U:$U,营销场景数据源!$C:$C,$B$56,营销场景数据源!$A:$A,CW2)</f>
        <v>0</v>
      </c>
      <c r="CX59" s="95">
        <f>SUMIFS(营销场景数据源!$U:$U,营销场景数据源!$C:$C,$B$56,营销场景数据源!$A:$A,CX2)</f>
        <v>0</v>
      </c>
      <c r="CY59" s="95">
        <f>SUMIFS(营销场景数据源!$U:$U,营销场景数据源!$C:$C,$B$56,营销场景数据源!$A:$A,CY2)</f>
        <v>2</v>
      </c>
      <c r="CZ59" s="95">
        <f>SUMIFS(营销场景数据源!$U:$U,营销场景数据源!$C:$C,$B$56,营销场景数据源!$A:$A,CZ2)</f>
        <v>1</v>
      </c>
      <c r="DA59" s="95">
        <f>SUMIFS(营销场景数据源!$U:$U,营销场景数据源!$C:$C,$B$56,营销场景数据源!$A:$A,DA2)</f>
        <v>0</v>
      </c>
      <c r="DB59" s="95">
        <f>SUMIFS(营销场景数据源!$U:$U,营销场景数据源!$C:$C,$B$56,营销场景数据源!$A:$A,DB2)</f>
        <v>0</v>
      </c>
      <c r="DC59" s="95">
        <f>SUMIFS(营销场景数据源!$U:$U,营销场景数据源!$C:$C,$B$56,营销场景数据源!$A:$A,DC2)</f>
        <v>0</v>
      </c>
      <c r="DD59" s="95">
        <f>SUMIFS(营销场景数据源!$U:$U,营销场景数据源!$C:$C,$B$56,营销场景数据源!$A:$A,DD2)</f>
        <v>1</v>
      </c>
      <c r="DE59" s="95">
        <f>SUMIFS(营销场景数据源!$U:$U,营销场景数据源!$C:$C,$B$56,营销场景数据源!$A:$A,DE2)</f>
        <v>0</v>
      </c>
      <c r="DF59" s="65">
        <f>SUM(DG59:EJ59)</f>
        <v>52</v>
      </c>
      <c r="DG59" s="95">
        <f>SUMIFS(营销场景数据源!$U:$U,营销场景数据源!$C:$C,$B$56,营销场景数据源!$A:$A,DG2)</f>
        <v>1</v>
      </c>
      <c r="DH59" s="95">
        <f>SUMIFS(营销场景数据源!$U:$U,营销场景数据源!$C:$C,$B$56,营销场景数据源!$A:$A,DH2)</f>
        <v>0</v>
      </c>
      <c r="DI59" s="95">
        <f>SUMIFS(营销场景数据源!$U:$U,营销场景数据源!$C:$C,$B$56,营销场景数据源!$A:$A,DI2)</f>
        <v>2</v>
      </c>
      <c r="DJ59" s="95">
        <f>SUMIFS(营销场景数据源!$U:$U,营销场景数据源!$C:$C,$B$56,营销场景数据源!$A:$A,DJ2)</f>
        <v>0</v>
      </c>
      <c r="DK59" s="95">
        <f>SUMIFS(营销场景数据源!$U:$U,营销场景数据源!$C:$C,$B$56,营销场景数据源!$A:$A,DK2)</f>
        <v>1</v>
      </c>
      <c r="DL59" s="95">
        <f>SUMIFS(营销场景数据源!$U:$U,营销场景数据源!$C:$C,$B$56,营销场景数据源!$A:$A,DL2)</f>
        <v>2</v>
      </c>
      <c r="DM59" s="95">
        <f>SUMIFS(营销场景数据源!$U:$U,营销场景数据源!$C:$C,$B$56,营销场景数据源!$A:$A,DM2)</f>
        <v>1</v>
      </c>
      <c r="DN59" s="95">
        <f>SUMIFS(营销场景数据源!$U:$U,营销场景数据源!$C:$C,$B$56,营销场景数据源!$A:$A,DN2)</f>
        <v>3</v>
      </c>
      <c r="DO59" s="95">
        <f>SUMIFS(营销场景数据源!$U:$U,营销场景数据源!$C:$C,$B$56,营销场景数据源!$A:$A,DO2)</f>
        <v>3</v>
      </c>
      <c r="DP59" s="95">
        <f>SUMIFS(营销场景数据源!$U:$U,营销场景数据源!$C:$C,$B$56,营销场景数据源!$A:$A,DP2)</f>
        <v>1</v>
      </c>
      <c r="DQ59" s="95">
        <f>SUMIFS(营销场景数据源!$U:$U,营销场景数据源!$C:$C,$B$56,营销场景数据源!$A:$A,DQ2)</f>
        <v>1</v>
      </c>
      <c r="DR59" s="95">
        <f>SUMIFS(营销场景数据源!$U:$U,营销场景数据源!$C:$C,$B$56,营销场景数据源!$A:$A,DR2)</f>
        <v>2</v>
      </c>
      <c r="DS59" s="95">
        <f>SUMIFS(营销场景数据源!$U:$U,营销场景数据源!$C:$C,$B$56,营销场景数据源!$A:$A,DS2)</f>
        <v>1</v>
      </c>
      <c r="DT59" s="95">
        <f>SUMIFS(营销场景数据源!$U:$U,营销场景数据源!$C:$C,$B$56,营销场景数据源!$A:$A,DT2)</f>
        <v>4</v>
      </c>
      <c r="DU59" s="95">
        <f>SUMIFS(营销场景数据源!$U:$U,营销场景数据源!$C:$C,$B$56,营销场景数据源!$A:$A,DU2)</f>
        <v>4</v>
      </c>
      <c r="DV59" s="95">
        <f>SUMIFS(营销场景数据源!$U:$U,营销场景数据源!$C:$C,$B$56,营销场景数据源!$A:$A,DV2)</f>
        <v>3</v>
      </c>
      <c r="DW59" s="95">
        <f>SUMIFS(营销场景数据源!$U:$U,营销场景数据源!$C:$C,$B$56,营销场景数据源!$A:$A,DW2)</f>
        <v>3</v>
      </c>
      <c r="DX59" s="95">
        <f>SUMIFS(营销场景数据源!$U:$U,营销场景数据源!$C:$C,$B$56,营销场景数据源!$A:$A,DX2)</f>
        <v>0</v>
      </c>
      <c r="DY59" s="95">
        <f>SUMIFS(营销场景数据源!$U:$U,营销场景数据源!$C:$C,$B$56,营销场景数据源!$A:$A,DY2)</f>
        <v>0</v>
      </c>
      <c r="DZ59" s="95">
        <f>SUMIFS(营销场景数据源!$U:$U,营销场景数据源!$C:$C,$B$56,营销场景数据源!$A:$A,DZ2)</f>
        <v>0</v>
      </c>
      <c r="EA59" s="95">
        <f>SUMIFS(营销场景数据源!$U:$U,营销场景数据源!$C:$C,$B$56,营销场景数据源!$A:$A,EA2)</f>
        <v>0</v>
      </c>
      <c r="EB59" s="95">
        <f>SUMIFS(营销场景数据源!$U:$U,营销场景数据源!$C:$C,$B$56,营销场景数据源!$A:$A,EB2)</f>
        <v>3</v>
      </c>
      <c r="EC59" s="95">
        <f>SUMIFS(营销场景数据源!$U:$U,营销场景数据源!$C:$C,$B$56,营销场景数据源!$A:$A,EC2)</f>
        <v>4</v>
      </c>
      <c r="ED59" s="95">
        <f>SUMIFS(营销场景数据源!$U:$U,营销场景数据源!$C:$C,$B$56,营销场景数据源!$A:$A,ED2)</f>
        <v>7</v>
      </c>
      <c r="EE59" s="95">
        <f>SUMIFS(营销场景数据源!$U:$U,营销场景数据源!$C:$C,$B$56,营销场景数据源!$A:$A,EE2)</f>
        <v>0</v>
      </c>
      <c r="EF59" s="95">
        <f>SUMIFS(营销场景数据源!$U:$U,营销场景数据源!$C:$C,$B$56,营销场景数据源!$A:$A,EF2)</f>
        <v>2</v>
      </c>
      <c r="EG59" s="95">
        <f>SUMIFS(营销场景数据源!$U:$U,营销场景数据源!$C:$C,$B$56,营销场景数据源!$A:$A,EG2)</f>
        <v>0</v>
      </c>
      <c r="EH59" s="95">
        <f>SUMIFS(营销场景数据源!$U:$U,营销场景数据源!$C:$C,$B$56,营销场景数据源!$A:$A,EH2)</f>
        <v>2</v>
      </c>
      <c r="EI59" s="95">
        <f>SUMIFS(营销场景数据源!$U:$U,营销场景数据源!$C:$C,$B$56,营销场景数据源!$A:$A,EI2)</f>
        <v>1</v>
      </c>
      <c r="EJ59" s="95">
        <f>SUMIFS(营销场景数据源!$U:$U,营销场景数据源!$C:$C,$B$56,营销场景数据源!$A:$A,EJ2)</f>
        <v>1</v>
      </c>
      <c r="EK59" s="65">
        <f>SUM(EL59:FP59)</f>
        <v>31</v>
      </c>
      <c r="EL59" s="95">
        <f>SUMIFS(营销场景数据源!$U:$U,营销场景数据源!$C:$C,$B$56,营销场景数据源!$A:$A,EL2)</f>
        <v>0</v>
      </c>
      <c r="EM59" s="95">
        <f>SUMIFS(营销场景数据源!$U:$U,营销场景数据源!$C:$C,$B$56,营销场景数据源!$A:$A,EM2)</f>
        <v>0</v>
      </c>
      <c r="EN59" s="95">
        <f>SUMIFS(营销场景数据源!$U:$U,营销场景数据源!$C:$C,$B$56,营销场景数据源!$A:$A,EN2)</f>
        <v>0</v>
      </c>
      <c r="EO59" s="95">
        <f>SUMIFS(营销场景数据源!$U:$U,营销场景数据源!$C:$C,$B$56,营销场景数据源!$A:$A,EO2)</f>
        <v>0</v>
      </c>
      <c r="EP59" s="95">
        <f>SUMIFS(营销场景数据源!$U:$U,营销场景数据源!$C:$C,$B$56,营销场景数据源!$A:$A,EP2)</f>
        <v>0</v>
      </c>
      <c r="EQ59" s="95">
        <f>SUMIFS(营销场景数据源!$U:$U,营销场景数据源!$C:$C,$B$56,营销场景数据源!$A:$A,EQ2)</f>
        <v>0</v>
      </c>
      <c r="ER59" s="95">
        <f>SUMIFS(营销场景数据源!$U:$U,营销场景数据源!$C:$C,$B$56,营销场景数据源!$A:$A,ER2)</f>
        <v>1</v>
      </c>
      <c r="ES59" s="95">
        <f>SUMIFS(营销场景数据源!$U:$U,营销场景数据源!$C:$C,$B$56,营销场景数据源!$A:$A,ES2)</f>
        <v>0</v>
      </c>
      <c r="ET59" s="95">
        <f>SUMIFS(营销场景数据源!$U:$U,营销场景数据源!$C:$C,$B$56,营销场景数据源!$A:$A,ET2)</f>
        <v>6</v>
      </c>
      <c r="EU59" s="95">
        <f>SUMIFS(营销场景数据源!$U:$U,营销场景数据源!$C:$C,$B$56,营销场景数据源!$A:$A,EU2)</f>
        <v>1</v>
      </c>
      <c r="EV59" s="95">
        <f>SUMIFS(营销场景数据源!$U:$U,营销场景数据源!$C:$C,$B$56,营销场景数据源!$A:$A,EV2)</f>
        <v>3</v>
      </c>
      <c r="EW59" s="95">
        <f>SUMIFS(营销场景数据源!$U:$U,营销场景数据源!$C:$C,$B$56,营销场景数据源!$A:$A,EW2)</f>
        <v>1</v>
      </c>
      <c r="EX59" s="95">
        <f>SUMIFS(营销场景数据源!$U:$U,营销场景数据源!$C:$C,$B$56,营销场景数据源!$A:$A,EX2)</f>
        <v>3</v>
      </c>
      <c r="EY59" s="95">
        <f>SUMIFS(营销场景数据源!$U:$U,营销场景数据源!$C:$C,$B$56,营销场景数据源!$A:$A,EY2)</f>
        <v>2</v>
      </c>
      <c r="EZ59" s="95">
        <f>SUMIFS(营销场景数据源!$U:$U,营销场景数据源!$C:$C,$B$56,营销场景数据源!$A:$A,EZ2)</f>
        <v>1</v>
      </c>
      <c r="FA59" s="95">
        <f>SUMIFS(营销场景数据源!$U:$U,营销场景数据源!$C:$C,$B$56,营销场景数据源!$A:$A,FA2)</f>
        <v>1</v>
      </c>
      <c r="FB59" s="95">
        <f>SUMIFS(营销场景数据源!$U:$U,营销场景数据源!$C:$C,$B$56,营销场景数据源!$A:$A,FB2)</f>
        <v>2</v>
      </c>
      <c r="FC59" s="95">
        <f>SUMIFS(营销场景数据源!$U:$U,营销场景数据源!$C:$C,$B$56,营销场景数据源!$A:$A,FC2)</f>
        <v>1</v>
      </c>
      <c r="FD59" s="95">
        <f>SUMIFS(营销场景数据源!$U:$U,营销场景数据源!$C:$C,$B$56,营销场景数据源!$A:$A,FD2)</f>
        <v>0</v>
      </c>
      <c r="FE59" s="95">
        <f>SUMIFS(营销场景数据源!$U:$U,营销场景数据源!$C:$C,$B$56,营销场景数据源!$A:$A,FE2)</f>
        <v>0</v>
      </c>
      <c r="FF59" s="95">
        <f>SUMIFS(营销场景数据源!$U:$U,营销场景数据源!$C:$C,$B$56,营销场景数据源!$A:$A,FF2)</f>
        <v>0</v>
      </c>
      <c r="FG59" s="95">
        <f>SUMIFS(营销场景数据源!$U:$U,营销场景数据源!$C:$C,$B$56,营销场景数据源!$A:$A,FG2)</f>
        <v>1</v>
      </c>
      <c r="FH59" s="95">
        <f>SUMIFS(营销场景数据源!$U:$U,营销场景数据源!$C:$C,$B$56,营销场景数据源!$A:$A,FH2)</f>
        <v>1</v>
      </c>
      <c r="FI59" s="95">
        <f>SUMIFS(营销场景数据源!$U:$U,营销场景数据源!$C:$C,$B$56,营销场景数据源!$A:$A,FI2)</f>
        <v>4</v>
      </c>
      <c r="FJ59" s="95">
        <f>SUMIFS(营销场景数据源!$U:$U,营销场景数据源!$C:$C,$B$56,营销场景数据源!$A:$A,FJ2)</f>
        <v>0</v>
      </c>
      <c r="FK59" s="95">
        <f>SUMIFS(营销场景数据源!$U:$U,营销场景数据源!$C:$C,$B$56,营销场景数据源!$A:$A,FK2)</f>
        <v>1</v>
      </c>
      <c r="FL59" s="95">
        <f>SUMIFS(营销场景数据源!$U:$U,营销场景数据源!$C:$C,$B$56,营销场景数据源!$A:$A,FL2)</f>
        <v>1</v>
      </c>
      <c r="FM59" s="95">
        <f>SUMIFS(营销场景数据源!$U:$U,营销场景数据源!$C:$C,$B$56,营销场景数据源!$A:$A,FM2)</f>
        <v>1</v>
      </c>
      <c r="FN59" s="95">
        <f>SUMIFS(营销场景数据源!$U:$U,营销场景数据源!$C:$C,$B$56,营销场景数据源!$A:$A,FN2)</f>
        <v>0</v>
      </c>
      <c r="FO59" s="95">
        <f>SUMIFS(营销场景数据源!$U:$U,营销场景数据源!$C:$C,$B$56,营销场景数据源!$A:$A,FO2)</f>
        <v>0</v>
      </c>
      <c r="FP59" s="95">
        <f>SUMIFS(营销场景数据源!$U:$U,营销场景数据源!$C:$C,$B$56,营销场景数据源!$A:$A,FP2)</f>
        <v>0</v>
      </c>
      <c r="FQ59" s="65">
        <f t="shared" si="301"/>
        <v>27</v>
      </c>
      <c r="FR59" s="95">
        <f>SUMIFS(营销场景数据源!$U:$U,营销场景数据源!$C:$C,$B$56,营销场景数据源!$A:$A,FR2)</f>
        <v>0</v>
      </c>
      <c r="FS59" s="95">
        <f>SUMIFS(营销场景数据源!$U:$U,营销场景数据源!$C:$C,$B$56,营销场景数据源!$A:$A,FS2)</f>
        <v>2</v>
      </c>
      <c r="FT59" s="95">
        <f>SUMIFS(营销场景数据源!$U:$U,营销场景数据源!$C:$C,$B$56,营销场景数据源!$A:$A,FT2)</f>
        <v>1</v>
      </c>
      <c r="FU59" s="95">
        <f>SUMIFS(营销场景数据源!$U:$U,营销场景数据源!$C:$C,$B$56,营销场景数据源!$A:$A,FU2)</f>
        <v>1</v>
      </c>
      <c r="FV59" s="95">
        <f>SUMIFS(营销场景数据源!$U:$U,营销场景数据源!$C:$C,$B$56,营销场景数据源!$A:$A,FV2)</f>
        <v>1</v>
      </c>
      <c r="FW59" s="95">
        <f>SUMIFS(营销场景数据源!$U:$U,营销场景数据源!$C:$C,$B$56,营销场景数据源!$A:$A,FW2)</f>
        <v>2</v>
      </c>
      <c r="FX59" s="95">
        <f>SUMIFS(营销场景数据源!$U:$U,营销场景数据源!$C:$C,$B$56,营销场景数据源!$A:$A,FX2)</f>
        <v>4</v>
      </c>
      <c r="FY59" s="95">
        <f>SUMIFS(营销场景数据源!$U:$U,营销场景数据源!$C:$C,$B$56,营销场景数据源!$A:$A,FY2)</f>
        <v>1</v>
      </c>
      <c r="FZ59" s="95">
        <f>SUMIFS(营销场景数据源!$U:$U,营销场景数据源!$C:$C,$B$56,营销场景数据源!$A:$A,FZ2)</f>
        <v>0</v>
      </c>
      <c r="GA59" s="95">
        <f>SUMIFS(营销场景数据源!$U:$U,营销场景数据源!$C:$C,$B$56,营销场景数据源!$A:$A,GA2)</f>
        <v>0</v>
      </c>
      <c r="GB59" s="95">
        <f>SUMIFS(营销场景数据源!$U:$U,营销场景数据源!$C:$C,$B$56,营销场景数据源!$A:$A,GB2)</f>
        <v>2</v>
      </c>
      <c r="GC59" s="95">
        <f>SUMIFS(营销场景数据源!$U:$U,营销场景数据源!$C:$C,$B$56,营销场景数据源!$A:$A,GC2)</f>
        <v>2</v>
      </c>
      <c r="GD59" s="95">
        <f>SUMIFS(营销场景数据源!$U:$U,营销场景数据源!$C:$C,$B$56,营销场景数据源!$A:$A,GD2)</f>
        <v>1</v>
      </c>
      <c r="GE59" s="95">
        <f>SUMIFS(营销场景数据源!$U:$U,营销场景数据源!$C:$C,$B$56,营销场景数据源!$A:$A,GE2)</f>
        <v>4</v>
      </c>
      <c r="GF59" s="95">
        <f>SUMIFS(营销场景数据源!$U:$U,营销场景数据源!$C:$C,$B$56,营销场景数据源!$A:$A,GF2)</f>
        <v>1</v>
      </c>
      <c r="GG59" s="95">
        <f>SUMIFS(营销场景数据源!$U:$U,营销场景数据源!$C:$C,$B$56,营销场景数据源!$A:$A,GG2)</f>
        <v>0</v>
      </c>
      <c r="GH59" s="95">
        <f>SUMIFS(营销场景数据源!$U:$U,营销场景数据源!$C:$C,$B$56,营销场景数据源!$A:$A,GH2)</f>
        <v>4</v>
      </c>
      <c r="GI59" s="95">
        <f>SUMIFS(营销场景数据源!$U:$U,营销场景数据源!$C:$C,$B$56,营销场景数据源!$A:$A,GI2)</f>
        <v>1</v>
      </c>
      <c r="GJ59" s="95">
        <f>SUMIFS(营销场景数据源!$U:$U,营销场景数据源!$C:$C,$B$56,营销场景数据源!$A:$A,GJ2)</f>
        <v>0</v>
      </c>
      <c r="GK59" s="95">
        <f>SUMIFS(营销场景数据源!$U:$U,营销场景数据源!$C:$C,$B$56,营销场景数据源!$A:$A,GK2)</f>
        <v>0</v>
      </c>
      <c r="GL59" s="95">
        <f>SUMIFS(营销场景数据源!$U:$U,营销场景数据源!$C:$C,$B$56,营销场景数据源!$A:$A,GL2)</f>
        <v>0</v>
      </c>
      <c r="GM59" s="95">
        <f>SUMIFS(营销场景数据源!$U:$U,营销场景数据源!$C:$C,$B$56,营销场景数据源!$A:$A,GM2)</f>
        <v>0</v>
      </c>
      <c r="GN59" s="95">
        <f>SUMIFS(营销场景数据源!$U:$U,营销场景数据源!$C:$C,$B$56,营销场景数据源!$A:$A,GN2)</f>
        <v>0</v>
      </c>
      <c r="GO59" s="95">
        <f>SUMIFS(营销场景数据源!$U:$U,营销场景数据源!$C:$C,$B$56,营销场景数据源!$A:$A,GO2)</f>
        <v>0</v>
      </c>
      <c r="GP59" s="95">
        <f>SUMIFS(营销场景数据源!$U:$U,营销场景数据源!$C:$C,$B$56,营销场景数据源!$A:$A,GP2)</f>
        <v>0</v>
      </c>
    </row>
    <row r="60" s="47" customFormat="1" ht="15" customHeight="1" spans="1:198">
      <c r="B60" s="103"/>
      <c r="C60" s="109" t="s">
        <v>26</v>
      </c>
      <c r="D60" s="94" t="e">
        <f>SUM(E60:P60)</f>
        <v>#REF!</v>
      </c>
      <c r="E60" s="110" t="e">
        <f>#REF!</f>
        <v>#REF!</v>
      </c>
      <c r="F60" s="110" t="e">
        <f>#REF!</f>
        <v>#REF!</v>
      </c>
      <c r="G60" s="110" t="e">
        <f>#REF!</f>
        <v>#REF!</v>
      </c>
      <c r="H60" s="110" t="e">
        <f>#REF!</f>
        <v>#REF!</v>
      </c>
      <c r="I60" s="110" t="e">
        <f>#REF!</f>
        <v>#REF!</v>
      </c>
      <c r="J60" s="110" t="e">
        <f>#REF!</f>
        <v>#REF!</v>
      </c>
      <c r="K60" s="110" t="e">
        <f>#REF!</f>
        <v>#REF!</v>
      </c>
      <c r="L60" s="110" t="e">
        <f>#REF!</f>
        <v>#REF!</v>
      </c>
      <c r="M60" s="110" t="e">
        <f>#REF!</f>
        <v>#REF!</v>
      </c>
      <c r="N60" s="110" t="e">
        <f>#REF!</f>
        <v>#REF!</v>
      </c>
      <c r="O60" s="110" t="e">
        <f>#REF!</f>
        <v>#REF!</v>
      </c>
      <c r="P60" s="110" t="e">
        <f>#REF!</f>
        <v>#REF!</v>
      </c>
      <c r="Q60" s="65">
        <f>SUM(R60:AV60)</f>
        <v>12210.78</v>
      </c>
      <c r="R60" s="95">
        <f>SUMIFS(营销场景数据源!$T:$T,营销场景数据源!$C:$C,$B$56,营销场景数据源!$A:$A,R2)</f>
        <v>0</v>
      </c>
      <c r="S60" s="95">
        <f>SUMIFS(营销场景数据源!$T:$T,营销场景数据源!$C:$C,$B$56,营销场景数据源!$A:$A,S2)</f>
        <v>0</v>
      </c>
      <c r="T60" s="95">
        <f>SUMIFS(营销场景数据源!$T:$T,营销场景数据源!$C:$C,$B$56,营销场景数据源!$A:$A,T2)</f>
        <v>0</v>
      </c>
      <c r="U60" s="95">
        <f>SUMIFS(营销场景数据源!$T:$T,营销场景数据源!$C:$C,$B$56,营销场景数据源!$A:$A,U2)</f>
        <v>106.97</v>
      </c>
      <c r="V60" s="95">
        <f>SUMIFS(营销场景数据源!$T:$T,营销场景数据源!$C:$C,$B$56,营销场景数据源!$A:$A,V2)</f>
        <v>1514.6</v>
      </c>
      <c r="W60" s="95">
        <f>SUMIFS(营销场景数据源!$T:$T,营销场景数据源!$C:$C,$B$56,营销场景数据源!$A:$A,W2)</f>
        <v>139.44</v>
      </c>
      <c r="X60" s="95">
        <f>SUMIFS(营销场景数据源!$T:$T,营销场景数据源!$C:$C,$B$56,营销场景数据源!$A:$A,X2)</f>
        <v>122.56</v>
      </c>
      <c r="Y60" s="95">
        <f>SUMIFS(营销场景数据源!$T:$T,营销场景数据源!$C:$C,$B$56,营销场景数据源!$A:$A,Y2)</f>
        <v>139.44</v>
      </c>
      <c r="Z60" s="95">
        <f>SUMIFS(营销场景数据源!$T:$T,营销场景数据源!$C:$C,$B$56,营销场景数据源!$A:$A,Z2)</f>
        <v>3213.95</v>
      </c>
      <c r="AA60" s="95">
        <f>SUMIFS(营销场景数据源!$T:$T,营销场景数据源!$C:$C,$B$56,营销场景数据源!$A:$A,AA2)</f>
        <v>0</v>
      </c>
      <c r="AB60" s="95">
        <f>SUMIFS(营销场景数据源!$T:$T,营销场景数据源!$C:$C,$B$56,营销场景数据源!$A:$A,AB2)</f>
        <v>120.16</v>
      </c>
      <c r="AC60" s="95">
        <f>SUMIFS(营销场景数据源!$T:$T,营销场景数据源!$C:$C,$B$56,营销场景数据源!$A:$A,AC2)</f>
        <v>0</v>
      </c>
      <c r="AD60" s="95">
        <f>SUMIFS(营销场景数据源!$T:$T,营销场景数据源!$C:$C,$B$56,营销场景数据源!$A:$A,AD2)</f>
        <v>0</v>
      </c>
      <c r="AE60" s="95">
        <f>SUMIFS(营销场景数据源!$T:$T,营销场景数据源!$C:$C,$B$56,营销场景数据源!$A:$A,AE2)</f>
        <v>0</v>
      </c>
      <c r="AF60" s="95">
        <f>SUMIFS(营销场景数据源!$T:$T,营销场景数据源!$C:$C,$B$56,营销场景数据源!$A:$A,AF2)</f>
        <v>0</v>
      </c>
      <c r="AG60" s="95">
        <f>SUMIFS(营销场景数据源!$T:$T,营销场景数据源!$C:$C,$B$56,营销场景数据源!$A:$A,AG2)</f>
        <v>0</v>
      </c>
      <c r="AH60" s="95">
        <f>SUMIFS(营销场景数据源!$T:$T,营销场景数据源!$C:$C,$B$56,营销场景数据源!$A:$A,AH2)</f>
        <v>1047.64</v>
      </c>
      <c r="AI60" s="95">
        <f>SUMIFS(营销场景数据源!$T:$T,营销场景数据源!$C:$C,$B$56,营销场景数据源!$A:$A,AI2)</f>
        <v>19</v>
      </c>
      <c r="AJ60" s="95">
        <f>SUMIFS(营销场景数据源!$T:$T,营销场景数据源!$C:$C,$B$56,营销场景数据源!$A:$A,AJ2)</f>
        <v>0</v>
      </c>
      <c r="AK60" s="95">
        <f>SUMIFS(营销场景数据源!$T:$T,营销场景数据源!$C:$C,$B$56,营销场景数据源!$A:$A,AK2)</f>
        <v>217.93</v>
      </c>
      <c r="AL60" s="95">
        <f>SUMIFS(营销场景数据源!$T:$T,营销场景数据源!$C:$C,$B$56,营销场景数据源!$A:$A,AL2)</f>
        <v>74.1</v>
      </c>
      <c r="AM60" s="95">
        <f>SUMIFS(营销场景数据源!$T:$T,营销场景数据源!$C:$C,$B$56,营销场景数据源!$A:$A,AM2)</f>
        <v>0</v>
      </c>
      <c r="AN60" s="95">
        <f>SUMIFS(营销场景数据源!$T:$T,营销场景数据源!$C:$C,$B$56,营销场景数据源!$A:$A,AN2)</f>
        <v>1249.14</v>
      </c>
      <c r="AO60" s="95">
        <f>SUMIFS(营销场景数据源!$T:$T,营销场景数据源!$C:$C,$B$56,营销场景数据源!$A:$A,AO2)</f>
        <v>830.32</v>
      </c>
      <c r="AP60" s="95">
        <f>SUMIFS(营销场景数据源!$T:$T,营销场景数据源!$C:$C,$B$56,营销场景数据源!$A:$A,AP2)</f>
        <v>133.07</v>
      </c>
      <c r="AQ60" s="95">
        <f>SUMIFS(营销场景数据源!$T:$T,营销场景数据源!$C:$C,$B$56,营销场景数据源!$A:$A,AQ2)</f>
        <v>0</v>
      </c>
      <c r="AR60" s="95">
        <f>SUMIFS(营销场景数据源!$T:$T,营销场景数据源!$C:$C,$B$56,营销场景数据源!$A:$A,AR2)</f>
        <v>0</v>
      </c>
      <c r="AS60" s="95">
        <f>SUMIFS(营销场景数据源!$T:$T,营销场景数据源!$C:$C,$B$56,营销场景数据源!$A:$A,AS2)</f>
        <v>1533.33</v>
      </c>
      <c r="AT60" s="95">
        <f>SUMIFS(营销场景数据源!$T:$T,营销场景数据源!$C:$C,$B$56,营销场景数据源!$A:$A,AT2)</f>
        <v>1749.13</v>
      </c>
      <c r="AU60" s="95">
        <f>SUMIFS(营销场景数据源!$T:$T,营销场景数据源!$C:$C,$B$56,营销场景数据源!$A:$A,AU2)</f>
        <v>0</v>
      </c>
      <c r="AV60" s="95">
        <f>SUMIFS(营销场景数据源!$T:$T,营销场景数据源!$C:$C,$B$56,营销场景数据源!$A:$A,AV2)</f>
        <v>0</v>
      </c>
      <c r="AW60" s="65">
        <f>SUM(AX60:BY60)</f>
        <v>7490.25</v>
      </c>
      <c r="AX60" s="95">
        <f>SUMIFS(营销场景数据源!$T:$T,营销场景数据源!$C:$C,$B$56,营销场景数据源!$A:$A,AX2)</f>
        <v>2280.32</v>
      </c>
      <c r="AY60" s="95">
        <f>SUMIFS(营销场景数据源!$T:$T,营销场景数据源!$C:$C,$B$56,营销场景数据源!$A:$A,AY2)</f>
        <v>0</v>
      </c>
      <c r="AZ60" s="95">
        <f>SUMIFS(营销场景数据源!$T:$T,营销场景数据源!$C:$C,$B$56,营销场景数据源!$A:$A,AZ2)</f>
        <v>0</v>
      </c>
      <c r="BA60" s="95">
        <f>SUMIFS(营销场景数据源!$T:$T,营销场景数据源!$C:$C,$B$56,营销场景数据源!$A:$A,BA2)</f>
        <v>2076</v>
      </c>
      <c r="BB60" s="95">
        <f>SUMIFS(营销场景数据源!$T:$T,营销场景数据源!$C:$C,$B$56,营销场景数据源!$A:$A,BB2)</f>
        <v>0</v>
      </c>
      <c r="BC60" s="95">
        <f>SUMIFS(营销场景数据源!$T:$T,营销场景数据源!$C:$C,$B$56,营销场景数据源!$A:$A,BC2)</f>
        <v>65.35</v>
      </c>
      <c r="BD60" s="95">
        <f>SUMIFS(营销场景数据源!$T:$T,营销场景数据源!$C:$C,$B$56,营销场景数据源!$A:$A,BD2)</f>
        <v>183.26</v>
      </c>
      <c r="BE60" s="95">
        <f>SUMIFS(营销场景数据源!$T:$T,营销场景数据源!$C:$C,$B$56,营销场景数据源!$A:$A,BE2)</f>
        <v>516.89</v>
      </c>
      <c r="BF60" s="95">
        <f>SUMIFS(营销场景数据源!$T:$T,营销场景数据源!$C:$C,$B$56,营销场景数据源!$A:$A,BF2)</f>
        <v>0</v>
      </c>
      <c r="BG60" s="95">
        <f>SUMIFS(营销场景数据源!$T:$T,营销场景数据源!$C:$C,$B$56,营销场景数据源!$A:$A,BG2)</f>
        <v>882.3</v>
      </c>
      <c r="BH60" s="95">
        <f>SUMIFS(营销场景数据源!$T:$T,营销场景数据源!$C:$C,$B$56,营销场景数据源!$A:$A,BH2)</f>
        <v>0</v>
      </c>
      <c r="BI60" s="95">
        <f>SUMIFS(营销场景数据源!$T:$T,营销场景数据源!$C:$C,$B$56,营销场景数据源!$A:$A,BI2)</f>
        <v>0</v>
      </c>
      <c r="BJ60" s="95">
        <f>SUMIFS(营销场景数据源!$T:$T,营销场景数据源!$C:$C,$B$56,营销场景数据源!$A:$A,BJ2)</f>
        <v>928</v>
      </c>
      <c r="BK60" s="95">
        <f>SUMIFS(营销场景数据源!$T:$T,营销场景数据源!$C:$C,$B$56,营销场景数据源!$A:$A,BK2)</f>
        <v>24.94</v>
      </c>
      <c r="BL60" s="95">
        <f>SUMIFS(营销场景数据源!$T:$T,营销场景数据源!$C:$C,$B$56,营销场景数据源!$A:$A,BL2)</f>
        <v>0</v>
      </c>
      <c r="BM60" s="95">
        <f>SUMIFS(营销场景数据源!$T:$T,营销场景数据源!$C:$C,$B$56,营销场景数据源!$A:$A,BM2)</f>
        <v>0</v>
      </c>
      <c r="BN60" s="95">
        <f>SUMIFS(营销场景数据源!$T:$T,营销场景数据源!$C:$C,$B$56,营销场景数据源!$A:$A,BN2)</f>
        <v>0</v>
      </c>
      <c r="BO60" s="95">
        <f>SUMIFS(营销场景数据源!$T:$T,营销场景数据源!$C:$C,$B$56,营销场景数据源!$A:$A,BO2)</f>
        <v>0</v>
      </c>
      <c r="BP60" s="95">
        <f>SUMIFS(营销场景数据源!$T:$T,营销场景数据源!$C:$C,$B$56,营销场景数据源!$A:$A,BP2)</f>
        <v>0</v>
      </c>
      <c r="BQ60" s="95">
        <f>SUMIFS(营销场景数据源!$T:$T,营销场景数据源!$C:$C,$B$56,营销场景数据源!$A:$A,BQ2)</f>
        <v>0</v>
      </c>
      <c r="BR60" s="95">
        <f>SUMIFS(营销场景数据源!$T:$T,营销场景数据源!$C:$C,$B$56,营销场景数据源!$A:$A,BR2)</f>
        <v>0</v>
      </c>
      <c r="BS60" s="95">
        <f>SUMIFS(营销场景数据源!$T:$T,营销场景数据源!$C:$C,$B$56,营销场景数据源!$A:$A,BS2)</f>
        <v>0</v>
      </c>
      <c r="BT60" s="95">
        <f>SUMIFS(营销场景数据源!$T:$T,营销场景数据源!$C:$C,$B$56,营销场景数据源!$A:$A,BT2)</f>
        <v>0</v>
      </c>
      <c r="BU60" s="95">
        <f>SUMIFS(营销场景数据源!$T:$T,营销场景数据源!$C:$C,$B$56,营销场景数据源!$A:$A,BU2)</f>
        <v>0</v>
      </c>
      <c r="BV60" s="95">
        <f>SUMIFS(营销场景数据源!$T:$T,营销场景数据源!$C:$C,$B$56,营销场景数据源!$A:$A,BV2)</f>
        <v>299.92</v>
      </c>
      <c r="BW60" s="95">
        <f>SUMIFS(营销场景数据源!$T:$T,营销场景数据源!$C:$C,$B$56,营销场景数据源!$A:$A,BW2)</f>
        <v>233.27</v>
      </c>
      <c r="BX60" s="95">
        <f>SUMIFS(营销场景数据源!$T:$T,营销场景数据源!$C:$C,$B$56,营销场景数据源!$A:$A,BX2)</f>
        <v>0</v>
      </c>
      <c r="BY60" s="95">
        <f>SUMIFS(营销场景数据源!$T:$T,营销场景数据源!$C:$C,$B$56,营销场景数据源!$A:$A,BY2)</f>
        <v>0</v>
      </c>
      <c r="BZ60" s="65">
        <f>SUM(CA60:DE60)</f>
        <v>11617.44</v>
      </c>
      <c r="CA60" s="95">
        <f>SUMIFS(营销场景数据源!$T:$T,营销场景数据源!$C:$C,$B$56,营销场景数据源!$A:$A,CA2)</f>
        <v>77.17</v>
      </c>
      <c r="CB60" s="95">
        <f>SUMIFS(营销场景数据源!$T:$T,营销场景数据源!$C:$C,$B$56,营销场景数据源!$A:$A,CB2)</f>
        <v>236</v>
      </c>
      <c r="CC60" s="95">
        <f>SUMIFS(营销场景数据源!$T:$T,营销场景数据源!$C:$C,$B$56,营销场景数据源!$A:$A,CC2)</f>
        <v>0</v>
      </c>
      <c r="CD60" s="95">
        <f>SUMIFS(营销场景数据源!$T:$T,营销场景数据源!$C:$C,$B$56,营销场景数据源!$A:$A,CD2)</f>
        <v>171.6</v>
      </c>
      <c r="CE60" s="95">
        <f>SUMIFS(营销场景数据源!$T:$T,营销场景数据源!$C:$C,$B$56,营销场景数据源!$A:$A,CE2)</f>
        <v>113.44</v>
      </c>
      <c r="CF60" s="95">
        <f>SUMIFS(营销场景数据源!$T:$T,营销场景数据源!$C:$C,$B$56,营销场景数据源!$A:$A,CF2)</f>
        <v>978.22</v>
      </c>
      <c r="CG60" s="95">
        <f>SUMIFS(营销场景数据源!$T:$T,营销场景数据源!$C:$C,$B$56,营销场景数据源!$A:$A,CG2)</f>
        <v>0</v>
      </c>
      <c r="CH60" s="95">
        <f>SUMIFS(营销场景数据源!$T:$T,营销场景数据源!$C:$C,$B$56,营销场景数据源!$A:$A,CH2)</f>
        <v>369.64</v>
      </c>
      <c r="CI60" s="95">
        <f>SUMIFS(营销场景数据源!$T:$T,营销场景数据源!$C:$C,$B$56,营销场景数据源!$A:$A,CI2)</f>
        <v>311.7</v>
      </c>
      <c r="CJ60" s="95">
        <f>SUMIFS(营销场景数据源!$T:$T,营销场景数据源!$C:$C,$B$56,营销场景数据源!$A:$A,CJ2)</f>
        <v>0</v>
      </c>
      <c r="CK60" s="95">
        <f>SUMIFS(营销场景数据源!$T:$T,营销场景数据源!$C:$C,$B$56,营销场景数据源!$A:$A,CK2)</f>
        <v>449.1</v>
      </c>
      <c r="CL60" s="95">
        <f>SUMIFS(营销场景数据源!$T:$T,营销场景数据源!$C:$C,$B$56,营销场景数据源!$A:$A,CL2)</f>
        <v>389.64</v>
      </c>
      <c r="CM60" s="95">
        <f>SUMIFS(营销场景数据源!$T:$T,营销场景数据源!$C:$C,$B$56,营销场景数据源!$A:$A,CM2)</f>
        <v>89.1</v>
      </c>
      <c r="CN60" s="95">
        <f>SUMIFS(营销场景数据源!$T:$T,营销场景数据源!$C:$C,$B$56,营销场景数据源!$A:$A,CN2)</f>
        <v>1595.68</v>
      </c>
      <c r="CO60" s="95">
        <f>SUMIFS(营销场景数据源!$T:$T,营销场景数据源!$C:$C,$B$56,营销场景数据源!$A:$A,CO2)</f>
        <v>0</v>
      </c>
      <c r="CP60" s="95">
        <f>SUMIFS(营销场景数据源!$T:$T,营销场景数据源!$C:$C,$B$56,营销场景数据源!$A:$A,CP2)</f>
        <v>2473.9</v>
      </c>
      <c r="CQ60" s="95">
        <f>SUMIFS(营销场景数据源!$T:$T,营销场景数据源!$C:$C,$B$56,营销场景数据源!$A:$A,CQ2)</f>
        <v>74.2</v>
      </c>
      <c r="CR60" s="95">
        <f>SUMIFS(营销场景数据源!$T:$T,营销场景数据源!$C:$C,$B$56,营销场景数据源!$A:$A,CR2)</f>
        <v>354.13</v>
      </c>
      <c r="CS60" s="95">
        <f>SUMIFS(营销场景数据源!$T:$T,营销场景数据源!$C:$C,$B$56,营销场景数据源!$A:$A,CS2)</f>
        <v>2746.32</v>
      </c>
      <c r="CT60" s="95">
        <f>SUMIFS(营销场景数据源!$T:$T,营销场景数据源!$C:$C,$B$56,营销场景数据源!$A:$A,CT2)</f>
        <v>49.9</v>
      </c>
      <c r="CU60" s="95">
        <f>SUMIFS(营销场景数据源!$T:$T,营销场景数据源!$C:$C,$B$56,营销场景数据源!$A:$A,CU2)</f>
        <v>27.55</v>
      </c>
      <c r="CV60" s="95">
        <f>SUMIFS(营销场景数据源!$T:$T,营销场景数据源!$C:$C,$B$56,营销场景数据源!$A:$A,CV2)</f>
        <v>231.99</v>
      </c>
      <c r="CW60" s="95">
        <f>SUMIFS(营销场景数据源!$T:$T,营销场景数据源!$C:$C,$B$56,营销场景数据源!$A:$A,CW2)</f>
        <v>0</v>
      </c>
      <c r="CX60" s="95">
        <f>SUMIFS(营销场景数据源!$T:$T,营销场景数据源!$C:$C,$B$56,营销场景数据源!$A:$A,CX2)</f>
        <v>0</v>
      </c>
      <c r="CY60" s="95">
        <f>SUMIFS(营销场景数据源!$T:$T,营销场景数据源!$C:$C,$B$56,营销场景数据源!$A:$A,CY2)</f>
        <v>520.06</v>
      </c>
      <c r="CZ60" s="95">
        <f>SUMIFS(营销场景数据源!$T:$T,营销场景数据源!$C:$C,$B$56,营销场景数据源!$A:$A,CZ2)</f>
        <v>269</v>
      </c>
      <c r="DA60" s="95">
        <f>SUMIFS(营销场景数据源!$T:$T,营销场景数据源!$C:$C,$B$56,营销场景数据源!$A:$A,DA2)</f>
        <v>0</v>
      </c>
      <c r="DB60" s="95">
        <f>SUMIFS(营销场景数据源!$T:$T,营销场景数据源!$C:$C,$B$56,营销场景数据源!$A:$A,DB2)</f>
        <v>0</v>
      </c>
      <c r="DC60" s="95">
        <f>SUMIFS(营销场景数据源!$T:$T,营销场景数据源!$C:$C,$B$56,营销场景数据源!$A:$A,DC2)</f>
        <v>0</v>
      </c>
      <c r="DD60" s="95">
        <f>SUMIFS(营销场景数据源!$T:$T,营销场景数据源!$C:$C,$B$56,营销场景数据源!$A:$A,DD2)</f>
        <v>89.1</v>
      </c>
      <c r="DE60" s="95">
        <f>SUMIFS(营销场景数据源!$T:$T,营销场景数据源!$C:$C,$B$56,营销场景数据源!$A:$A,DE2)</f>
        <v>0</v>
      </c>
      <c r="DF60" s="65">
        <f>SUM(DG60:EJ60)</f>
        <v>12597.59</v>
      </c>
      <c r="DG60" s="95">
        <f>SUMIFS(营销场景数据源!$T:$T,营销场景数据源!$C:$C,$B$56,营销场景数据源!$A:$A,DG2)</f>
        <v>88.51</v>
      </c>
      <c r="DH60" s="95">
        <f>SUMIFS(营销场景数据源!$T:$T,营销场景数据源!$C:$C,$B$56,营销场景数据源!$A:$A,DH2)</f>
        <v>0</v>
      </c>
      <c r="DI60" s="95">
        <f>SUMIFS(营销场景数据源!$T:$T,营销场景数据源!$C:$C,$B$56,营销场景数据源!$A:$A,DI2)</f>
        <v>137.8</v>
      </c>
      <c r="DJ60" s="95">
        <f>SUMIFS(营销场景数据源!$T:$T,营销场景数据源!$C:$C,$B$56,营销场景数据源!$A:$A,DJ2)</f>
        <v>0</v>
      </c>
      <c r="DK60" s="95">
        <f>SUMIFS(营销场景数据源!$T:$T,营销场景数据源!$C:$C,$B$56,营销场景数据源!$A:$A,DK2)</f>
        <v>87.12</v>
      </c>
      <c r="DL60" s="95">
        <f>SUMIFS(营销场景数据源!$T:$T,营销场景数据源!$C:$C,$B$56,营销场景数据源!$A:$A,DL2)</f>
        <v>194.9</v>
      </c>
      <c r="DM60" s="95">
        <f>SUMIFS(营销场景数据源!$T:$T,营销场景数据源!$C:$C,$B$56,营销场景数据源!$A:$A,DM2)</f>
        <v>753.3</v>
      </c>
      <c r="DN60" s="95">
        <f>SUMIFS(营销场景数据源!$T:$T,营销场景数据源!$C:$C,$B$56,营销场景数据源!$A:$A,DN2)</f>
        <v>2703</v>
      </c>
      <c r="DO60" s="95">
        <f>SUMIFS(营销场景数据源!$T:$T,营销场景数据源!$C:$C,$B$56,营销场景数据源!$A:$A,DO2)</f>
        <v>827.24</v>
      </c>
      <c r="DP60" s="95">
        <f>SUMIFS(营销场景数据源!$T:$T,营销场景数据源!$C:$C,$B$56,营销场景数据源!$A:$A,DP2)</f>
        <v>509.03</v>
      </c>
      <c r="DQ60" s="95">
        <f>SUMIFS(营销场景数据源!$T:$T,营销场景数据源!$C:$C,$B$56,营销场景数据源!$A:$A,DQ2)</f>
        <v>537.6</v>
      </c>
      <c r="DR60" s="95">
        <f>SUMIFS(营销场景数据源!$T:$T,营销场景数据源!$C:$C,$B$56,营销场景数据源!$A:$A,DR2)</f>
        <v>102.67</v>
      </c>
      <c r="DS60" s="95">
        <f>SUMIFS(营销场景数据源!$T:$T,营销场景数据源!$C:$C,$B$56,营销场景数据源!$A:$A,DS2)</f>
        <v>147.64</v>
      </c>
      <c r="DT60" s="95">
        <f>SUMIFS(营销场景数据源!$T:$T,营销场景数据源!$C:$C,$B$56,营销场景数据源!$A:$A,DT2)</f>
        <v>296.47</v>
      </c>
      <c r="DU60" s="95">
        <f>SUMIFS(营销场景数据源!$T:$T,营销场景数据源!$C:$C,$B$56,营销场景数据源!$A:$A,DU2)</f>
        <v>278.4</v>
      </c>
      <c r="DV60" s="95">
        <f>SUMIFS(营销场景数据源!$T:$T,营销场景数据源!$C:$C,$B$56,营销场景数据源!$A:$A,DV2)</f>
        <v>247.81</v>
      </c>
      <c r="DW60" s="95">
        <f>SUMIFS(营销场景数据源!$T:$T,营销场景数据源!$C:$C,$B$56,营销场景数据源!$A:$A,DW2)</f>
        <v>384.05</v>
      </c>
      <c r="DX60" s="95">
        <f>SUMIFS(营销场景数据源!$T:$T,营销场景数据源!$C:$C,$B$56,营销场景数据源!$A:$A,DX2)</f>
        <v>0</v>
      </c>
      <c r="DY60" s="95">
        <f>SUMIFS(营销场景数据源!$T:$T,营销场景数据源!$C:$C,$B$56,营销场景数据源!$A:$A,DY2)</f>
        <v>0</v>
      </c>
      <c r="DZ60" s="95">
        <f>SUMIFS(营销场景数据源!$T:$T,营销场景数据源!$C:$C,$B$56,营销场景数据源!$A:$A,DZ2)</f>
        <v>0</v>
      </c>
      <c r="EA60" s="95">
        <f>SUMIFS(营销场景数据源!$T:$T,营销场景数据源!$C:$C,$B$56,营销场景数据源!$A:$A,EA2)</f>
        <v>0</v>
      </c>
      <c r="EB60" s="95">
        <f>SUMIFS(营销场景数据源!$T:$T,营销场景数据源!$C:$C,$B$56,营销场景数据源!$A:$A,EB2)</f>
        <v>510.23</v>
      </c>
      <c r="EC60" s="95">
        <f>SUMIFS(营销场景数据源!$T:$T,营销场景数据源!$C:$C,$B$56,营销场景数据源!$A:$A,EC2)</f>
        <v>411.71</v>
      </c>
      <c r="ED60" s="95">
        <f>SUMIFS(营销场景数据源!$T:$T,营销场景数据源!$C:$C,$B$56,营销场景数据源!$A:$A,ED2)</f>
        <v>3719.47</v>
      </c>
      <c r="EE60" s="95">
        <f>SUMIFS(营销场景数据源!$T:$T,营销场景数据源!$C:$C,$B$56,营销场景数据源!$A:$A,EE2)</f>
        <v>0</v>
      </c>
      <c r="EF60" s="95">
        <f>SUMIFS(营销场景数据源!$T:$T,营销场景数据源!$C:$C,$B$56,营销场景数据源!$A:$A,EF2)</f>
        <v>212.8</v>
      </c>
      <c r="EG60" s="95">
        <f>SUMIFS(营销场景数据源!$T:$T,营销场景数据源!$C:$C,$B$56,营销场景数据源!$A:$A,EG2)</f>
        <v>0</v>
      </c>
      <c r="EH60" s="95">
        <f>SUMIFS(营销场景数据源!$T:$T,营销场景数据源!$C:$C,$B$56,营销场景数据源!$A:$A,EH2)</f>
        <v>229.12</v>
      </c>
      <c r="EI60" s="95">
        <f>SUMIFS(营销场景数据源!$T:$T,营销场景数据源!$C:$C,$B$56,营销场景数据源!$A:$A,EI2)</f>
        <v>133.6</v>
      </c>
      <c r="EJ60" s="95">
        <f>SUMIFS(营销场景数据源!$T:$T,营销场景数据源!$C:$C,$B$56,营销场景数据源!$A:$A,EJ2)</f>
        <v>85.12</v>
      </c>
      <c r="EK60" s="65">
        <f>SUM(EL60:FP60)</f>
        <v>4869.39</v>
      </c>
      <c r="EL60" s="95">
        <f>SUMIFS(营销场景数据源!$T:$T,营销场景数据源!$C:$C,$B$56,营销场景数据源!$A:$A,EL2)</f>
        <v>0</v>
      </c>
      <c r="EM60" s="95">
        <f>SUMIFS(营销场景数据源!$T:$T,营销场景数据源!$C:$C,$B$56,营销场景数据源!$A:$A,EM2)</f>
        <v>0</v>
      </c>
      <c r="EN60" s="95">
        <f>SUMIFS(营销场景数据源!$T:$T,营销场景数据源!$C:$C,$B$56,营销场景数据源!$A:$A,EN2)</f>
        <v>0</v>
      </c>
      <c r="EO60" s="95">
        <f>SUMIFS(营销场景数据源!$T:$T,营销场景数据源!$C:$C,$B$56,营销场景数据源!$A:$A,EO2)</f>
        <v>0</v>
      </c>
      <c r="EP60" s="95">
        <f>SUMIFS(营销场景数据源!$T:$T,营销场景数据源!$C:$C,$B$56,营销场景数据源!$A:$A,EP2)</f>
        <v>0</v>
      </c>
      <c r="EQ60" s="95">
        <f>SUMIFS(营销场景数据源!$T:$T,营销场景数据源!$C:$C,$B$56,营销场景数据源!$A:$A,EQ2)</f>
        <v>0</v>
      </c>
      <c r="ER60" s="95">
        <f>SUMIFS(营销场景数据源!$T:$T,营销场景数据源!$C:$C,$B$56,营销场景数据源!$A:$A,ER2)</f>
        <v>82.9</v>
      </c>
      <c r="ES60" s="95">
        <f>SUMIFS(营销场景数据源!$T:$T,营销场景数据源!$C:$C,$B$56,营销场景数据源!$A:$A,ES2)</f>
        <v>0</v>
      </c>
      <c r="ET60" s="95">
        <f>SUMIFS(营销场景数据源!$T:$T,营销场景数据源!$C:$C,$B$56,营销场景数据源!$A:$A,ET2)</f>
        <v>1665.67</v>
      </c>
      <c r="EU60" s="95">
        <f>SUMIFS(营销场景数据源!$T:$T,营销场景数据源!$C:$C,$B$56,营销场景数据源!$A:$A,EU2)</f>
        <v>29.25</v>
      </c>
      <c r="EV60" s="95">
        <f>SUMIFS(营销场景数据源!$T:$T,营销场景数据源!$C:$C,$B$56,营销场景数据源!$A:$A,EV2)</f>
        <v>112.61</v>
      </c>
      <c r="EW60" s="95">
        <f>SUMIFS(营销场景数据源!$T:$T,营销场景数据源!$C:$C,$B$56,营销场景数据源!$A:$A,EW2)</f>
        <v>496.04</v>
      </c>
      <c r="EX60" s="95">
        <f>SUMIFS(营销场景数据源!$T:$T,营销场景数据源!$C:$C,$B$56,营销场景数据源!$A:$A,EX2)</f>
        <v>630.02</v>
      </c>
      <c r="EY60" s="95">
        <f>SUMIFS(营销场景数据源!$T:$T,营销场景数据源!$C:$C,$B$56,营销场景数据源!$A:$A,EY2)</f>
        <v>107.72</v>
      </c>
      <c r="EZ60" s="95">
        <f>SUMIFS(营销场景数据源!$T:$T,营销场景数据源!$C:$C,$B$56,营销场景数据源!$A:$A,EZ2)</f>
        <v>82.12</v>
      </c>
      <c r="FA60" s="95">
        <f>SUMIFS(营销场景数据源!$T:$T,营销场景数据源!$C:$C,$B$56,营销场景数据源!$A:$A,FA2)</f>
        <v>66.31</v>
      </c>
      <c r="FB60" s="95">
        <f>SUMIFS(营销场景数据源!$T:$T,营销场景数据源!$C:$C,$B$56,营销场景数据源!$A:$A,FB2)</f>
        <v>134.3</v>
      </c>
      <c r="FC60" s="95">
        <f>SUMIFS(营销场景数据源!$T:$T,营销场景数据源!$C:$C,$B$56,营销场景数据源!$A:$A,FC2)</f>
        <v>327.1</v>
      </c>
      <c r="FD60" s="95">
        <f>SUMIFS(营销场景数据源!$T:$T,营销场景数据源!$C:$C,$B$56,营销场景数据源!$A:$A,FD2)</f>
        <v>0</v>
      </c>
      <c r="FE60" s="95">
        <f>SUMIFS(营销场景数据源!$T:$T,营销场景数据源!$C:$C,$B$56,营销场景数据源!$A:$A,FE2)</f>
        <v>0</v>
      </c>
      <c r="FF60" s="95">
        <f>SUMIFS(营销场景数据源!$T:$T,营销场景数据源!$C:$C,$B$56,营销场景数据源!$A:$A,FF2)</f>
        <v>0</v>
      </c>
      <c r="FG60" s="95">
        <f>SUMIFS(营销场景数据源!$T:$T,营销场景数据源!$C:$C,$B$56,营销场景数据源!$A:$A,FG2)</f>
        <v>79.15</v>
      </c>
      <c r="FH60" s="95">
        <f>SUMIFS(营销场景数据源!$T:$T,营销场景数据源!$C:$C,$B$56,营销场景数据源!$A:$A,FH2)</f>
        <v>142</v>
      </c>
      <c r="FI60" s="95">
        <f>SUMIFS(营销场景数据源!$T:$T,营销场景数据源!$C:$C,$B$56,营销场景数据源!$A:$A,FI2)</f>
        <v>302.59</v>
      </c>
      <c r="FJ60" s="95">
        <f>SUMIFS(营销场景数据源!$T:$T,营销场景数据源!$C:$C,$B$56,营销场景数据源!$A:$A,FJ2)</f>
        <v>0</v>
      </c>
      <c r="FK60" s="95">
        <f>SUMIFS(营销场景数据源!$T:$T,营销场景数据源!$C:$C,$B$56,营销场景数据源!$A:$A,FK2)</f>
        <v>37.55</v>
      </c>
      <c r="FL60" s="95">
        <f>SUMIFS(营销场景数据源!$T:$T,营销场景数据源!$C:$C,$B$56,营销场景数据源!$A:$A,FL2)</f>
        <v>78.02</v>
      </c>
      <c r="FM60" s="95">
        <f>SUMIFS(营销场景数据源!$T:$T,营销场景数据源!$C:$C,$B$56,营销场景数据源!$A:$A,FM2)</f>
        <v>496.04</v>
      </c>
      <c r="FN60" s="95">
        <f>SUMIFS(营销场景数据源!$T:$T,营销场景数据源!$C:$C,$B$56,营销场景数据源!$A:$A,FN2)</f>
        <v>0</v>
      </c>
      <c r="FO60" s="95">
        <f>SUMIFS(营销场景数据源!$T:$T,营销场景数据源!$C:$C,$B$56,营销场景数据源!$A:$A,FO2)</f>
        <v>0</v>
      </c>
      <c r="FP60" s="95">
        <f>SUMIFS(营销场景数据源!$T:$T,营销场景数据源!$C:$C,$B$56,营销场景数据源!$A:$A,FP2)</f>
        <v>0</v>
      </c>
      <c r="FQ60" s="65">
        <f t="shared" si="301"/>
        <v>7127.69</v>
      </c>
      <c r="FR60" s="95">
        <f>SUMIFS(营销场景数据源!$T:$T,营销场景数据源!$C:$C,$B$56,营销场景数据源!$A:$A,FR2)</f>
        <v>0</v>
      </c>
      <c r="FS60" s="95">
        <f>SUMIFS(营销场景数据源!$T:$T,营销场景数据源!$C:$C,$B$56,营销场景数据源!$A:$A,FS2)</f>
        <v>223.92</v>
      </c>
      <c r="FT60" s="95">
        <f>SUMIFS(营销场景数据源!$T:$T,营销场景数据源!$C:$C,$B$56,营销场景数据源!$A:$A,FT2)</f>
        <v>281.31</v>
      </c>
      <c r="FU60" s="95">
        <f>SUMIFS(营销场景数据源!$T:$T,营销场景数据源!$C:$C,$B$56,营销场景数据源!$A:$A,FU2)</f>
        <v>37.46</v>
      </c>
      <c r="FV60" s="95">
        <f>SUMIFS(营销场景数据源!$T:$T,营销场景数据源!$C:$C,$B$56,营销场景数据源!$A:$A,FV2)</f>
        <v>133.6</v>
      </c>
      <c r="FW60" s="95">
        <f>SUMIFS(营销场景数据源!$T:$T,营销场景数据源!$C:$C,$B$56,营销场景数据源!$A:$A,FW2)</f>
        <v>144.87</v>
      </c>
      <c r="FX60" s="95">
        <f>SUMIFS(营销场景数据源!$T:$T,营销场景数据源!$C:$C,$B$56,营销场景数据源!$A:$A,FX2)</f>
        <v>227.76</v>
      </c>
      <c r="FY60" s="95">
        <f>SUMIFS(营销场景数据源!$T:$T,营销场景数据源!$C:$C,$B$56,营销场景数据源!$A:$A,FY2)</f>
        <v>76.18</v>
      </c>
      <c r="FZ60" s="95">
        <f>SUMIFS(营销场景数据源!$T:$T,营销场景数据源!$C:$C,$B$56,营销场景数据源!$A:$A,FZ2)</f>
        <v>0</v>
      </c>
      <c r="GA60" s="95">
        <f>SUMIFS(营销场景数据源!$T:$T,营销场景数据源!$C:$C,$B$56,营销场景数据源!$A:$A,GA2)</f>
        <v>0</v>
      </c>
      <c r="GB60" s="95">
        <f>SUMIFS(营销场景数据源!$T:$T,营销场景数据源!$C:$C,$B$56,营销场景数据源!$A:$A,GB2)</f>
        <v>721.82</v>
      </c>
      <c r="GC60" s="95">
        <f>SUMIFS(营销场景数据源!$T:$T,营销场景数据源!$C:$C,$B$56,营销场景数据源!$A:$A,GC2)</f>
        <v>154.05</v>
      </c>
      <c r="GD60" s="95">
        <f>SUMIFS(营销场景数据源!$T:$T,营销场景数据源!$C:$C,$B$56,营销场景数据源!$A:$A,GD2)</f>
        <v>76.18</v>
      </c>
      <c r="GE60" s="95">
        <f>SUMIFS(营销场景数据源!$T:$T,营销场景数据源!$C:$C,$B$56,营销场景数据源!$A:$A,GE2)</f>
        <v>4595.99</v>
      </c>
      <c r="GF60" s="95">
        <f>SUMIFS(营销场景数据源!$T:$T,营销场景数据源!$C:$C,$B$56,营销场景数据源!$A:$A,GF2)</f>
        <v>37.46</v>
      </c>
      <c r="GG60" s="95">
        <f>SUMIFS(营销场景数据源!$T:$T,营销场景数据源!$C:$C,$B$56,营销场景数据源!$A:$A,GG2)</f>
        <v>0</v>
      </c>
      <c r="GH60" s="95">
        <f>SUMIFS(营销场景数据源!$T:$T,营销场景数据源!$C:$C,$B$56,营销场景数据源!$A:$A,GH2)</f>
        <v>278.45</v>
      </c>
      <c r="GI60" s="95">
        <f>SUMIFS(营销场景数据源!$T:$T,营销场景数据源!$C:$C,$B$56,营销场景数据源!$A:$A,GI2)</f>
        <v>138.64</v>
      </c>
      <c r="GJ60" s="95">
        <f>SUMIFS(营销场景数据源!$T:$T,营销场景数据源!$C:$C,$B$56,营销场景数据源!$A:$A,GJ2)</f>
        <v>0</v>
      </c>
      <c r="GK60" s="95">
        <f>SUMIFS(营销场景数据源!$T:$T,营销场景数据源!$C:$C,$B$56,营销场景数据源!$A:$A,GK2)</f>
        <v>0</v>
      </c>
      <c r="GL60" s="95">
        <f>SUMIFS(营销场景数据源!$T:$T,营销场景数据源!$C:$C,$B$56,营销场景数据源!$A:$A,GL2)</f>
        <v>0</v>
      </c>
      <c r="GM60" s="95">
        <f>SUMIFS(营销场景数据源!$T:$T,营销场景数据源!$C:$C,$B$56,营销场景数据源!$A:$A,GM2)</f>
        <v>0</v>
      </c>
      <c r="GN60" s="95">
        <f>SUMIFS(营销场景数据源!$T:$T,营销场景数据源!$C:$C,$B$56,营销场景数据源!$A:$A,GN2)</f>
        <v>0</v>
      </c>
      <c r="GO60" s="95">
        <f>SUMIFS(营销场景数据源!$T:$T,营销场景数据源!$C:$C,$B$56,营销场景数据源!$A:$A,GO2)</f>
        <v>0</v>
      </c>
      <c r="GP60" s="95">
        <f>SUMIFS(营销场景数据源!$T:$T,营销场景数据源!$C:$C,$B$56,营销场景数据源!$A:$A,GP2)</f>
        <v>0</v>
      </c>
    </row>
    <row r="61" s="47" customFormat="1" ht="15" customHeight="1" spans="1:198">
      <c r="B61" s="103"/>
      <c r="C61" s="109" t="s">
        <v>22</v>
      </c>
      <c r="D61" s="97">
        <f t="shared" ref="D61:O61" si="302">IFERROR(D56/D57,0)</f>
        <v>0</v>
      </c>
      <c r="E61" s="111">
        <f t="shared" si="302"/>
        <v>0</v>
      </c>
      <c r="F61" s="111">
        <f t="shared" si="302"/>
        <v>0</v>
      </c>
      <c r="G61" s="111">
        <f t="shared" si="302"/>
        <v>0</v>
      </c>
      <c r="H61" s="111">
        <f t="shared" si="302"/>
        <v>0</v>
      </c>
      <c r="I61" s="111">
        <f t="shared" si="302"/>
        <v>0</v>
      </c>
      <c r="J61" s="111">
        <f t="shared" si="302"/>
        <v>0</v>
      </c>
      <c r="K61" s="111">
        <f t="shared" si="302"/>
        <v>0</v>
      </c>
      <c r="L61" s="111">
        <f t="shared" si="302"/>
        <v>0</v>
      </c>
      <c r="M61" s="111">
        <f t="shared" si="302"/>
        <v>0</v>
      </c>
      <c r="N61" s="111">
        <f t="shared" si="302"/>
        <v>0</v>
      </c>
      <c r="O61" s="111">
        <f t="shared" si="302"/>
        <v>0</v>
      </c>
      <c r="P61" s="111">
        <f t="shared" ref="P61:V61" si="303">IFERROR(P56/P57,0)</f>
        <v>0</v>
      </c>
      <c r="Q61" s="70">
        <f t="shared" si="303"/>
        <v>1.54349223946785</v>
      </c>
      <c r="R61" s="111">
        <f t="shared" si="303"/>
        <v>0</v>
      </c>
      <c r="S61" s="111">
        <f t="shared" ref="S61:AK61" si="304">IFERROR(S56/S57,0)</f>
        <v>0</v>
      </c>
      <c r="T61" s="111">
        <f t="shared" si="304"/>
        <v>0</v>
      </c>
      <c r="U61" s="111">
        <f t="shared" si="304"/>
        <v>2.14</v>
      </c>
      <c r="V61" s="111">
        <f t="shared" si="304"/>
        <v>1.48432835820896</v>
      </c>
      <c r="W61" s="111">
        <f t="shared" si="304"/>
        <v>1.5625</v>
      </c>
      <c r="X61" s="111">
        <f t="shared" si="304"/>
        <v>1.33324324324324</v>
      </c>
      <c r="Y61" s="111">
        <f t="shared" si="304"/>
        <v>1.1503488372093</v>
      </c>
      <c r="Z61" s="111">
        <f t="shared" si="304"/>
        <v>1.28573333333333</v>
      </c>
      <c r="AA61" s="111">
        <f t="shared" si="304"/>
        <v>1.22987654320988</v>
      </c>
      <c r="AB61" s="111">
        <f t="shared" si="304"/>
        <v>1.12359550561798</v>
      </c>
      <c r="AC61" s="111">
        <f t="shared" si="304"/>
        <v>0.917431192660551</v>
      </c>
      <c r="AD61" s="111">
        <f t="shared" si="304"/>
        <v>1.13636363636364</v>
      </c>
      <c r="AE61" s="111">
        <f t="shared" si="304"/>
        <v>0.907181818181818</v>
      </c>
      <c r="AF61" s="111">
        <f t="shared" si="304"/>
        <v>1.13636363636364</v>
      </c>
      <c r="AG61" s="111">
        <f t="shared" si="304"/>
        <v>1.37211267605634</v>
      </c>
      <c r="AH61" s="111">
        <f t="shared" si="304"/>
        <v>1.36986301369863</v>
      </c>
      <c r="AI61" s="111">
        <f t="shared" si="304"/>
        <v>1.63934426229508</v>
      </c>
      <c r="AJ61" s="111">
        <f t="shared" si="304"/>
        <v>1.47058823529412</v>
      </c>
      <c r="AK61" s="111">
        <f t="shared" si="304"/>
        <v>1.92307692307692</v>
      </c>
      <c r="AL61" s="111">
        <f t="shared" ref="AL61:BH61" si="305">IFERROR(AL56/AL57,0)</f>
        <v>1.96078431372549</v>
      </c>
      <c r="AM61" s="111">
        <f t="shared" si="305"/>
        <v>2.12765957446808</v>
      </c>
      <c r="AN61" s="111">
        <f t="shared" si="305"/>
        <v>2.12765957446808</v>
      </c>
      <c r="AO61" s="111">
        <f t="shared" si="305"/>
        <v>2.22222222222222</v>
      </c>
      <c r="AP61" s="111">
        <f t="shared" si="305"/>
        <v>2.63157894736842</v>
      </c>
      <c r="AQ61" s="111">
        <f t="shared" si="305"/>
        <v>2.63157894736842</v>
      </c>
      <c r="AR61" s="111">
        <f t="shared" si="305"/>
        <v>2</v>
      </c>
      <c r="AS61" s="111">
        <f t="shared" si="305"/>
        <v>2.4390243902439</v>
      </c>
      <c r="AT61" s="111">
        <f t="shared" si="305"/>
        <v>2.12765957446808</v>
      </c>
      <c r="AU61" s="111">
        <f t="shared" si="305"/>
        <v>1.92307692307692</v>
      </c>
      <c r="AV61" s="111">
        <f t="shared" si="305"/>
        <v>2.08333333333333</v>
      </c>
      <c r="AW61" s="70">
        <f t="shared" si="305"/>
        <v>2.31824516129032</v>
      </c>
      <c r="AX61" s="111">
        <f t="shared" si="305"/>
        <v>2.32558139534884</v>
      </c>
      <c r="AY61" s="111">
        <f t="shared" si="305"/>
        <v>1.88679245283019</v>
      </c>
      <c r="AZ61" s="111">
        <f t="shared" si="305"/>
        <v>2.56410256410256</v>
      </c>
      <c r="BA61" s="111">
        <f t="shared" si="305"/>
        <v>2.32558139534884</v>
      </c>
      <c r="BB61" s="111">
        <f t="shared" si="305"/>
        <v>3.03030303030303</v>
      </c>
      <c r="BC61" s="111">
        <f t="shared" si="305"/>
        <v>2.32558139534884</v>
      </c>
      <c r="BD61" s="111">
        <f t="shared" si="305"/>
        <v>2.5</v>
      </c>
      <c r="BE61" s="111">
        <f t="shared" si="305"/>
        <v>2.27272727272727</v>
      </c>
      <c r="BF61" s="111">
        <f t="shared" si="305"/>
        <v>2.4390243902439</v>
      </c>
      <c r="BG61" s="111">
        <f t="shared" si="305"/>
        <v>1.92307692307692</v>
      </c>
      <c r="BH61" s="111">
        <f t="shared" si="305"/>
        <v>2.56410256410256</v>
      </c>
      <c r="BI61" s="111">
        <f t="shared" ref="BI61:BW61" si="306">IFERROR(BI56/BI57,0)</f>
        <v>2.56410256410256</v>
      </c>
      <c r="BJ61" s="111">
        <f t="shared" si="306"/>
        <v>2.4390243902439</v>
      </c>
      <c r="BK61" s="111">
        <f t="shared" si="306"/>
        <v>2.83171428571429</v>
      </c>
      <c r="BL61" s="111">
        <f t="shared" si="306"/>
        <v>0</v>
      </c>
      <c r="BM61" s="111">
        <f t="shared" si="306"/>
        <v>0</v>
      </c>
      <c r="BN61" s="111">
        <f t="shared" si="306"/>
        <v>0</v>
      </c>
      <c r="BO61" s="111">
        <f t="shared" si="306"/>
        <v>0</v>
      </c>
      <c r="BP61" s="111">
        <f t="shared" si="306"/>
        <v>0</v>
      </c>
      <c r="BQ61" s="111">
        <f t="shared" si="306"/>
        <v>0</v>
      </c>
      <c r="BR61" s="111">
        <f t="shared" si="306"/>
        <v>0</v>
      </c>
      <c r="BS61" s="111">
        <f t="shared" si="306"/>
        <v>0</v>
      </c>
      <c r="BT61" s="111">
        <f t="shared" si="306"/>
        <v>0</v>
      </c>
      <c r="BU61" s="111">
        <f t="shared" si="306"/>
        <v>0</v>
      </c>
      <c r="BV61" s="111">
        <f t="shared" si="306"/>
        <v>2.65297297297297</v>
      </c>
      <c r="BW61" s="111">
        <f t="shared" si="306"/>
        <v>1.80672727272727</v>
      </c>
      <c r="BX61" s="111">
        <f t="shared" ref="BX61:CH61" si="307">IFERROR(BX56/BX57,0)</f>
        <v>2</v>
      </c>
      <c r="BY61" s="111">
        <f t="shared" si="307"/>
        <v>2.08333333333333</v>
      </c>
      <c r="BZ61" s="70">
        <f t="shared" si="307"/>
        <v>1.90053222186598</v>
      </c>
      <c r="CA61" s="111">
        <f t="shared" si="307"/>
        <v>1.78571428571429</v>
      </c>
      <c r="CB61" s="111">
        <f t="shared" si="307"/>
        <v>2</v>
      </c>
      <c r="CC61" s="111">
        <f t="shared" si="307"/>
        <v>2.5</v>
      </c>
      <c r="CD61" s="111">
        <f t="shared" si="307"/>
        <v>2.47347222222222</v>
      </c>
      <c r="CE61" s="111">
        <f t="shared" si="307"/>
        <v>1.79681818181818</v>
      </c>
      <c r="CF61" s="111">
        <f t="shared" si="307"/>
        <v>1.45613445378151</v>
      </c>
      <c r="CG61" s="111">
        <f t="shared" si="307"/>
        <v>2.38095238095238</v>
      </c>
      <c r="CH61" s="111">
        <f t="shared" si="307"/>
        <v>1.61290322580645</v>
      </c>
      <c r="CI61" s="111">
        <f t="shared" ref="CI61:EH61" si="308">IFERROR(CI56/CI57,0)</f>
        <v>1.84666666666667</v>
      </c>
      <c r="CJ61" s="111">
        <f t="shared" si="308"/>
        <v>1.9047619047619</v>
      </c>
      <c r="CK61" s="111">
        <f t="shared" si="308"/>
        <v>2.15912087912088</v>
      </c>
      <c r="CL61" s="111">
        <f t="shared" si="308"/>
        <v>2.02020202020202</v>
      </c>
      <c r="CM61" s="111">
        <f t="shared" si="308"/>
        <v>1.96257425742574</v>
      </c>
      <c r="CN61" s="111">
        <f t="shared" si="308"/>
        <v>2.31715384615385</v>
      </c>
      <c r="CO61" s="111">
        <f t="shared" si="308"/>
        <v>2.5</v>
      </c>
      <c r="CP61" s="111">
        <f t="shared" si="308"/>
        <v>2.54032258064516</v>
      </c>
      <c r="CQ61" s="111">
        <f t="shared" si="308"/>
        <v>1.92307692307692</v>
      </c>
      <c r="CR61" s="111">
        <f t="shared" si="308"/>
        <v>2.57957894736842</v>
      </c>
      <c r="CS61" s="111">
        <f t="shared" si="308"/>
        <v>2.02020202020202</v>
      </c>
      <c r="CT61" s="111">
        <f t="shared" si="308"/>
        <v>1.75438596491228</v>
      </c>
      <c r="CU61" s="111">
        <f t="shared" si="308"/>
        <v>1.61290322580645</v>
      </c>
      <c r="CV61" s="111">
        <f t="shared" si="308"/>
        <v>1.98019801980198</v>
      </c>
      <c r="CW61" s="111">
        <f t="shared" si="308"/>
        <v>1.47058823529412</v>
      </c>
      <c r="CX61" s="111">
        <f t="shared" si="308"/>
        <v>1.31578947368421</v>
      </c>
      <c r="CY61" s="111">
        <f t="shared" si="308"/>
        <v>1.80317919075144</v>
      </c>
      <c r="CZ61" s="111">
        <f t="shared" si="308"/>
        <v>1.75438596491228</v>
      </c>
      <c r="DA61" s="111">
        <f t="shared" si="308"/>
        <v>2.22222222222222</v>
      </c>
      <c r="DB61" s="111">
        <f t="shared" si="308"/>
        <v>1.6260162601626</v>
      </c>
      <c r="DC61" s="111">
        <f t="shared" si="308"/>
        <v>1.61290322580645</v>
      </c>
      <c r="DD61" s="111">
        <f t="shared" si="308"/>
        <v>1.69491525423729</v>
      </c>
      <c r="DE61" s="111">
        <f t="shared" si="308"/>
        <v>1.8018018018018</v>
      </c>
      <c r="DF61" s="70">
        <f t="shared" si="308"/>
        <v>2.26955577990914</v>
      </c>
      <c r="DG61" s="111">
        <f t="shared" si="308"/>
        <v>1.75475</v>
      </c>
      <c r="DH61" s="111">
        <f t="shared" si="308"/>
        <v>2.32558139534884</v>
      </c>
      <c r="DI61" s="111">
        <f t="shared" si="308"/>
        <v>2.38095238095238</v>
      </c>
      <c r="DJ61" s="111">
        <f t="shared" si="308"/>
        <v>2.08333333333333</v>
      </c>
      <c r="DK61" s="111">
        <f t="shared" si="308"/>
        <v>2.12765957446808</v>
      </c>
      <c r="DL61" s="111">
        <f t="shared" si="308"/>
        <v>1.81818181818182</v>
      </c>
      <c r="DM61" s="111">
        <f t="shared" si="308"/>
        <v>2.85529411764706</v>
      </c>
      <c r="DN61" s="111">
        <f t="shared" si="308"/>
        <v>2.55080882352941</v>
      </c>
      <c r="DO61" s="111">
        <f t="shared" si="308"/>
        <v>3</v>
      </c>
      <c r="DP61" s="111">
        <f t="shared" si="308"/>
        <v>2.73809523809524</v>
      </c>
      <c r="DQ61" s="111">
        <f t="shared" si="308"/>
        <v>1.875</v>
      </c>
      <c r="DR61" s="111">
        <f t="shared" si="308"/>
        <v>1.9047619047619</v>
      </c>
      <c r="DS61" s="111">
        <f t="shared" si="308"/>
        <v>1.63934426229508</v>
      </c>
      <c r="DT61" s="111">
        <f t="shared" si="308"/>
        <v>1.58730158730159</v>
      </c>
      <c r="DU61" s="111">
        <f t="shared" si="308"/>
        <v>2.22222222222222</v>
      </c>
      <c r="DV61" s="111">
        <f t="shared" si="308"/>
        <v>0.929936305732484</v>
      </c>
      <c r="DW61" s="111">
        <f t="shared" si="308"/>
        <v>2.08571428571429</v>
      </c>
      <c r="DX61" s="111">
        <f t="shared" si="308"/>
        <v>2.7037037037037</v>
      </c>
      <c r="DY61" s="111">
        <f t="shared" si="308"/>
        <v>2.51724137931034</v>
      </c>
      <c r="DZ61" s="111">
        <f t="shared" si="308"/>
        <v>3.125</v>
      </c>
      <c r="EA61" s="111">
        <f t="shared" si="308"/>
        <v>1.96078431372549</v>
      </c>
      <c r="EB61" s="111">
        <f t="shared" si="308"/>
        <v>2.74074074074074</v>
      </c>
      <c r="EC61" s="111">
        <f t="shared" si="308"/>
        <v>3</v>
      </c>
      <c r="ED61" s="111">
        <f t="shared" si="308"/>
        <v>3.171875</v>
      </c>
      <c r="EE61" s="111">
        <f t="shared" si="308"/>
        <v>2.84615384615385</v>
      </c>
      <c r="EF61" s="111">
        <f t="shared" si="308"/>
        <v>3.08333333333333</v>
      </c>
      <c r="EG61" s="111">
        <f t="shared" si="308"/>
        <v>2.78571428571429</v>
      </c>
      <c r="EH61" s="111">
        <f t="shared" si="308"/>
        <v>1.92207792207792</v>
      </c>
      <c r="EI61" s="111">
        <f t="shared" ref="EI61:FM61" si="309">IFERROR(EI56/EI57,0)</f>
        <v>1.92307692307692</v>
      </c>
      <c r="EJ61" s="111">
        <f t="shared" si="309"/>
        <v>1.92307692307692</v>
      </c>
      <c r="EK61" s="70">
        <f t="shared" si="309"/>
        <v>1.52771768316072</v>
      </c>
      <c r="EL61" s="111">
        <f t="shared" si="309"/>
        <v>2</v>
      </c>
      <c r="EM61" s="111">
        <f t="shared" si="309"/>
        <v>2.04081632653061</v>
      </c>
      <c r="EN61" s="111">
        <f t="shared" si="309"/>
        <v>1.92307692307692</v>
      </c>
      <c r="EO61" s="111">
        <f t="shared" si="309"/>
        <v>1.72413793103448</v>
      </c>
      <c r="EP61" s="111">
        <f t="shared" si="309"/>
        <v>1.92307692307692</v>
      </c>
      <c r="EQ61" s="111">
        <f t="shared" si="309"/>
        <v>2.5</v>
      </c>
      <c r="ER61" s="111">
        <f t="shared" si="309"/>
        <v>2.38095238095238</v>
      </c>
      <c r="ES61" s="111">
        <f t="shared" si="309"/>
        <v>0.86803125</v>
      </c>
      <c r="ET61" s="111">
        <f t="shared" si="309"/>
        <v>0.565721393034826</v>
      </c>
      <c r="EU61" s="111">
        <f t="shared" si="309"/>
        <v>0.854700854700855</v>
      </c>
      <c r="EV61" s="111">
        <f t="shared" si="309"/>
        <v>0.870533333333333</v>
      </c>
      <c r="EW61" s="111">
        <f t="shared" si="309"/>
        <v>1.63717948717949</v>
      </c>
      <c r="EX61" s="111">
        <f t="shared" si="309"/>
        <v>2.12765957446808</v>
      </c>
      <c r="EY61" s="111">
        <f t="shared" si="309"/>
        <v>2.56410256410256</v>
      </c>
      <c r="EZ61" s="111">
        <f t="shared" si="309"/>
        <v>2.22222222222222</v>
      </c>
      <c r="FA61" s="111">
        <f t="shared" si="309"/>
        <v>1.96078431372549</v>
      </c>
      <c r="FB61" s="111">
        <f t="shared" si="309"/>
        <v>1.72413793103448</v>
      </c>
      <c r="FC61" s="111">
        <f t="shared" si="309"/>
        <v>2.5</v>
      </c>
      <c r="FD61" s="111">
        <f t="shared" si="309"/>
        <v>1.69491525423729</v>
      </c>
      <c r="FE61" s="111">
        <f t="shared" si="309"/>
        <v>2.52380952380952</v>
      </c>
      <c r="FF61" s="111">
        <f t="shared" si="309"/>
        <v>2.89090909090909</v>
      </c>
      <c r="FG61" s="111">
        <f t="shared" si="309"/>
        <v>2.09210526315789</v>
      </c>
      <c r="FH61" s="111">
        <f t="shared" si="309"/>
        <v>2.60655737704918</v>
      </c>
      <c r="FI61" s="111">
        <f t="shared" si="309"/>
        <v>2.44615384615385</v>
      </c>
      <c r="FJ61" s="111">
        <f t="shared" si="309"/>
        <v>2.69491525423729</v>
      </c>
      <c r="FK61" s="111">
        <f t="shared" si="309"/>
        <v>2</v>
      </c>
      <c r="FL61" s="111">
        <f t="shared" si="309"/>
        <v>2.04081632653061</v>
      </c>
      <c r="FM61" s="111">
        <f t="shared" si="309"/>
        <v>2.04081632653061</v>
      </c>
      <c r="FN61" s="111">
        <f t="shared" ref="FN61:GI61" si="310">IFERROR(FN56/FN57,0)</f>
        <v>2.63157894736842</v>
      </c>
      <c r="FO61" s="111">
        <f t="shared" si="310"/>
        <v>1.63934426229508</v>
      </c>
      <c r="FP61" s="111">
        <f t="shared" si="310"/>
        <v>2.5</v>
      </c>
      <c r="FQ61" s="70">
        <f t="shared" si="310"/>
        <v>2.62601536772777</v>
      </c>
      <c r="FR61" s="111">
        <f t="shared" si="310"/>
        <v>2.56410256410256</v>
      </c>
      <c r="FS61" s="111">
        <f t="shared" si="310"/>
        <v>2.17391304347826</v>
      </c>
      <c r="FT61" s="111">
        <f t="shared" si="310"/>
        <v>1.96078431372549</v>
      </c>
      <c r="FU61" s="111">
        <f t="shared" si="310"/>
        <v>2.63157894736842</v>
      </c>
      <c r="FV61" s="111">
        <f t="shared" si="310"/>
        <v>2.17391304347826</v>
      </c>
      <c r="FW61" s="111">
        <f t="shared" si="310"/>
        <v>2.5</v>
      </c>
      <c r="FX61" s="111">
        <f t="shared" si="310"/>
        <v>2.22222222222222</v>
      </c>
      <c r="FY61" s="111">
        <f t="shared" si="310"/>
        <v>2.38095238095238</v>
      </c>
      <c r="FZ61" s="111">
        <f t="shared" si="310"/>
        <v>2.38095238095238</v>
      </c>
      <c r="GA61" s="111">
        <f t="shared" si="310"/>
        <v>2.7027027027027</v>
      </c>
      <c r="GB61" s="111">
        <f t="shared" si="310"/>
        <v>2.38095238095238</v>
      </c>
      <c r="GC61" s="111">
        <f t="shared" si="310"/>
        <v>2.5</v>
      </c>
      <c r="GD61" s="111">
        <f t="shared" si="310"/>
        <v>2.38095238095238</v>
      </c>
      <c r="GE61" s="111">
        <f t="shared" si="310"/>
        <v>1.69491525423729</v>
      </c>
      <c r="GF61" s="111">
        <f t="shared" si="310"/>
        <v>2.56410256410256</v>
      </c>
      <c r="GG61" s="111">
        <f t="shared" si="310"/>
        <v>2.77777777777778</v>
      </c>
      <c r="GH61" s="111">
        <f t="shared" si="310"/>
        <v>3.05238095238095</v>
      </c>
      <c r="GI61" s="111">
        <f t="shared" si="310"/>
        <v>3.75</v>
      </c>
      <c r="GJ61" s="111">
        <f t="shared" ref="GJ61:GP61" si="311">IFERROR(GJ56/GJ57,0)</f>
        <v>3.33333333333333</v>
      </c>
      <c r="GK61" s="111">
        <f t="shared" si="311"/>
        <v>3.84615384615385</v>
      </c>
      <c r="GL61" s="111">
        <f t="shared" si="311"/>
        <v>3.75</v>
      </c>
      <c r="GM61" s="111">
        <f t="shared" si="311"/>
        <v>0</v>
      </c>
      <c r="GN61" s="111">
        <f t="shared" si="311"/>
        <v>0</v>
      </c>
      <c r="GO61" s="111">
        <f t="shared" si="311"/>
        <v>0</v>
      </c>
      <c r="GP61" s="111">
        <f t="shared" si="311"/>
        <v>0</v>
      </c>
    </row>
    <row r="62" s="47" customFormat="1" ht="15" customHeight="1" spans="1:198">
      <c r="B62" s="103"/>
      <c r="C62" s="109" t="s">
        <v>24</v>
      </c>
      <c r="D62" s="94">
        <f t="shared" ref="D62:O62" si="312">IFERROR(D56/D58,0)</f>
        <v>0</v>
      </c>
      <c r="E62" s="111">
        <f t="shared" si="312"/>
        <v>0</v>
      </c>
      <c r="F62" s="111">
        <f t="shared" si="312"/>
        <v>0</v>
      </c>
      <c r="G62" s="111">
        <f t="shared" si="312"/>
        <v>0</v>
      </c>
      <c r="H62" s="111">
        <f t="shared" si="312"/>
        <v>0</v>
      </c>
      <c r="I62" s="111">
        <f t="shared" si="312"/>
        <v>0</v>
      </c>
      <c r="J62" s="111">
        <f t="shared" si="312"/>
        <v>0</v>
      </c>
      <c r="K62" s="111">
        <f t="shared" si="312"/>
        <v>0</v>
      </c>
      <c r="L62" s="111">
        <f t="shared" si="312"/>
        <v>0</v>
      </c>
      <c r="M62" s="111">
        <f t="shared" si="312"/>
        <v>0</v>
      </c>
      <c r="N62" s="111">
        <f t="shared" si="312"/>
        <v>0</v>
      </c>
      <c r="O62" s="111">
        <f t="shared" si="312"/>
        <v>0</v>
      </c>
      <c r="P62" s="111">
        <f t="shared" ref="P62:V62" si="313">IFERROR(P56/P58,0)</f>
        <v>0</v>
      </c>
      <c r="Q62" s="65">
        <f t="shared" si="313"/>
        <v>15.5556424581006</v>
      </c>
      <c r="R62" s="111">
        <f t="shared" si="313"/>
        <v>0</v>
      </c>
      <c r="S62" s="111">
        <f t="shared" ref="S62:AK62" si="314">IFERROR(S56/S58,0)</f>
        <v>0</v>
      </c>
      <c r="T62" s="111">
        <f t="shared" si="314"/>
        <v>0</v>
      </c>
      <c r="U62" s="111">
        <f t="shared" si="314"/>
        <v>15.6933333333333</v>
      </c>
      <c r="V62" s="111">
        <f t="shared" si="314"/>
        <v>19.89</v>
      </c>
      <c r="W62" s="111">
        <f t="shared" si="314"/>
        <v>12.5</v>
      </c>
      <c r="X62" s="111">
        <f t="shared" si="314"/>
        <v>8.96909090909091</v>
      </c>
      <c r="Y62" s="111">
        <f t="shared" si="314"/>
        <v>19.786</v>
      </c>
      <c r="Z62" s="111">
        <f t="shared" si="314"/>
        <v>32.1433333333333</v>
      </c>
      <c r="AA62" s="111">
        <f t="shared" si="314"/>
        <v>19.924</v>
      </c>
      <c r="AB62" s="111">
        <f t="shared" si="314"/>
        <v>7.69230769230769</v>
      </c>
      <c r="AC62" s="111">
        <f t="shared" si="314"/>
        <v>33.3333333333333</v>
      </c>
      <c r="AD62" s="111">
        <f t="shared" si="314"/>
        <v>25</v>
      </c>
      <c r="AE62" s="111">
        <f t="shared" si="314"/>
        <v>99.79</v>
      </c>
      <c r="AF62" s="111">
        <f t="shared" si="314"/>
        <v>25</v>
      </c>
      <c r="AG62" s="111">
        <f t="shared" si="314"/>
        <v>10.8244444444444</v>
      </c>
      <c r="AH62" s="111">
        <f t="shared" si="314"/>
        <v>14.2857142857143</v>
      </c>
      <c r="AI62" s="111">
        <f t="shared" si="314"/>
        <v>100</v>
      </c>
      <c r="AJ62" s="111">
        <f t="shared" si="314"/>
        <v>33.3333333333333</v>
      </c>
      <c r="AK62" s="111">
        <f t="shared" si="314"/>
        <v>20</v>
      </c>
      <c r="AL62" s="111">
        <f t="shared" ref="AL62:BH62" si="315">IFERROR(AL56/AL58,0)</f>
        <v>9.09090909090909</v>
      </c>
      <c r="AM62" s="111">
        <f t="shared" si="315"/>
        <v>100</v>
      </c>
      <c r="AN62" s="111">
        <f t="shared" si="315"/>
        <v>25</v>
      </c>
      <c r="AO62" s="111">
        <f t="shared" si="315"/>
        <v>6.66666666666667</v>
      </c>
      <c r="AP62" s="111">
        <f t="shared" si="315"/>
        <v>16.6666666666667</v>
      </c>
      <c r="AQ62" s="111">
        <f t="shared" si="315"/>
        <v>33.3333333333333</v>
      </c>
      <c r="AR62" s="111">
        <f t="shared" si="315"/>
        <v>7.69230769230769</v>
      </c>
      <c r="AS62" s="111">
        <f t="shared" si="315"/>
        <v>5</v>
      </c>
      <c r="AT62" s="111">
        <f t="shared" si="315"/>
        <v>25</v>
      </c>
      <c r="AU62" s="111">
        <f t="shared" si="315"/>
        <v>25</v>
      </c>
      <c r="AV62" s="111">
        <f t="shared" si="315"/>
        <v>20</v>
      </c>
      <c r="AW62" s="65">
        <f t="shared" si="315"/>
        <v>17.4431067961165</v>
      </c>
      <c r="AX62" s="111">
        <f t="shared" si="315"/>
        <v>12.5</v>
      </c>
      <c r="AY62" s="111">
        <f t="shared" si="315"/>
        <v>20</v>
      </c>
      <c r="AZ62" s="111">
        <f t="shared" si="315"/>
        <v>20</v>
      </c>
      <c r="BA62" s="111">
        <f t="shared" si="315"/>
        <v>100</v>
      </c>
      <c r="BB62" s="111">
        <f t="shared" si="315"/>
        <v>33.3333333333333</v>
      </c>
      <c r="BC62" s="111">
        <f t="shared" si="315"/>
        <v>14.2857142857143</v>
      </c>
      <c r="BD62" s="111">
        <f t="shared" si="315"/>
        <v>16.6666666666667</v>
      </c>
      <c r="BE62" s="111">
        <f t="shared" si="315"/>
        <v>5.88235294117647</v>
      </c>
      <c r="BF62" s="111">
        <f t="shared" si="315"/>
        <v>25</v>
      </c>
      <c r="BG62" s="111">
        <f t="shared" si="315"/>
        <v>50</v>
      </c>
      <c r="BH62" s="111">
        <f t="shared" si="315"/>
        <v>25</v>
      </c>
      <c r="BI62" s="111">
        <f t="shared" ref="BI62:BW62" si="316">IFERROR(BI56/BI58,0)</f>
        <v>25</v>
      </c>
      <c r="BJ62" s="111">
        <f t="shared" si="316"/>
        <v>25</v>
      </c>
      <c r="BK62" s="111">
        <f t="shared" si="316"/>
        <v>19.822</v>
      </c>
      <c r="BL62" s="111">
        <f t="shared" si="316"/>
        <v>0</v>
      </c>
      <c r="BM62" s="111">
        <f t="shared" si="316"/>
        <v>0</v>
      </c>
      <c r="BN62" s="111">
        <f t="shared" si="316"/>
        <v>0</v>
      </c>
      <c r="BO62" s="111">
        <f t="shared" si="316"/>
        <v>0</v>
      </c>
      <c r="BP62" s="111">
        <f t="shared" si="316"/>
        <v>0</v>
      </c>
      <c r="BQ62" s="111">
        <f t="shared" si="316"/>
        <v>0</v>
      </c>
      <c r="BR62" s="111">
        <f t="shared" si="316"/>
        <v>0</v>
      </c>
      <c r="BS62" s="111">
        <f t="shared" si="316"/>
        <v>0</v>
      </c>
      <c r="BT62" s="111">
        <f t="shared" si="316"/>
        <v>0</v>
      </c>
      <c r="BU62" s="111">
        <f t="shared" si="316"/>
        <v>0</v>
      </c>
      <c r="BV62" s="111">
        <f t="shared" si="316"/>
        <v>14.0228571428571</v>
      </c>
      <c r="BW62" s="111">
        <f t="shared" si="316"/>
        <v>6.62466666666667</v>
      </c>
      <c r="BX62" s="111">
        <f t="shared" ref="BX62:CH62" si="317">IFERROR(BX56/BX58,0)</f>
        <v>25</v>
      </c>
      <c r="BY62" s="111">
        <f t="shared" si="317"/>
        <v>50</v>
      </c>
      <c r="BZ62" s="65">
        <f t="shared" si="317"/>
        <v>21.2464516129032</v>
      </c>
      <c r="CA62" s="111">
        <f t="shared" si="317"/>
        <v>11.1111111111111</v>
      </c>
      <c r="CB62" s="111">
        <f t="shared" si="317"/>
        <v>12.5</v>
      </c>
      <c r="CC62" s="111">
        <f t="shared" si="317"/>
        <v>33.3333333333333</v>
      </c>
      <c r="CD62" s="111">
        <f t="shared" si="317"/>
        <v>17.809</v>
      </c>
      <c r="CE62" s="111">
        <f t="shared" si="317"/>
        <v>39.53</v>
      </c>
      <c r="CF62" s="111">
        <f t="shared" si="317"/>
        <v>57.76</v>
      </c>
      <c r="CG62" s="111">
        <f t="shared" si="317"/>
        <v>14.2857142857143</v>
      </c>
      <c r="CH62" s="111">
        <f t="shared" si="317"/>
        <v>5.88235294117647</v>
      </c>
      <c r="CI62" s="111">
        <f t="shared" ref="CI62:EH62" si="318">IFERROR(CI56/CI58,0)</f>
        <v>8.52307692307692</v>
      </c>
      <c r="CJ62" s="111">
        <f t="shared" si="318"/>
        <v>16.6666666666667</v>
      </c>
      <c r="CK62" s="111">
        <f t="shared" si="318"/>
        <v>24.56</v>
      </c>
      <c r="CL62" s="111">
        <f t="shared" si="318"/>
        <v>11.7647058823529</v>
      </c>
      <c r="CM62" s="111">
        <f t="shared" si="318"/>
        <v>9.43904761904762</v>
      </c>
      <c r="CN62" s="111">
        <f t="shared" si="318"/>
        <v>12.55125</v>
      </c>
      <c r="CO62" s="111">
        <f t="shared" si="318"/>
        <v>28.5714285714286</v>
      </c>
      <c r="CP62" s="111">
        <f t="shared" si="318"/>
        <v>21</v>
      </c>
      <c r="CQ62" s="111">
        <f t="shared" si="318"/>
        <v>25</v>
      </c>
      <c r="CR62" s="111">
        <f t="shared" si="318"/>
        <v>35.0085714285714</v>
      </c>
      <c r="CS62" s="111">
        <f t="shared" si="318"/>
        <v>16.6666666666667</v>
      </c>
      <c r="CT62" s="111">
        <f t="shared" si="318"/>
        <v>33.3333333333333</v>
      </c>
      <c r="CU62" s="111">
        <f t="shared" si="318"/>
        <v>33.3333333333333</v>
      </c>
      <c r="CV62" s="111">
        <f t="shared" si="318"/>
        <v>15.3846153846154</v>
      </c>
      <c r="CW62" s="111">
        <f t="shared" si="318"/>
        <v>33.3333333333333</v>
      </c>
      <c r="CX62" s="111">
        <f t="shared" si="318"/>
        <v>100</v>
      </c>
      <c r="CY62" s="111">
        <f t="shared" si="318"/>
        <v>62.39</v>
      </c>
      <c r="CZ62" s="111">
        <f t="shared" si="318"/>
        <v>50</v>
      </c>
      <c r="DA62" s="111">
        <f t="shared" si="318"/>
        <v>50</v>
      </c>
      <c r="DB62" s="111">
        <f t="shared" si="318"/>
        <v>22.2222222222222</v>
      </c>
      <c r="DC62" s="111">
        <f t="shared" si="318"/>
        <v>28.5714285714286</v>
      </c>
      <c r="DD62" s="111">
        <f t="shared" si="318"/>
        <v>50</v>
      </c>
      <c r="DE62" s="111">
        <f t="shared" si="318"/>
        <v>28.5714285714286</v>
      </c>
      <c r="DF62" s="65">
        <f t="shared" si="318"/>
        <v>31.6619014084507</v>
      </c>
      <c r="DG62" s="111">
        <f t="shared" si="318"/>
        <v>46.7933333333333</v>
      </c>
      <c r="DH62" s="111">
        <f t="shared" si="318"/>
        <v>33.3333333333333</v>
      </c>
      <c r="DI62" s="111">
        <f t="shared" si="318"/>
        <v>0</v>
      </c>
      <c r="DJ62" s="111">
        <f t="shared" si="318"/>
        <v>50</v>
      </c>
      <c r="DK62" s="111">
        <f t="shared" si="318"/>
        <v>25</v>
      </c>
      <c r="DL62" s="111">
        <f t="shared" si="318"/>
        <v>25</v>
      </c>
      <c r="DM62" s="111">
        <f t="shared" si="318"/>
        <v>60.675</v>
      </c>
      <c r="DN62" s="111">
        <f t="shared" si="318"/>
        <v>115.636666666667</v>
      </c>
      <c r="DO62" s="111">
        <f t="shared" si="318"/>
        <v>30</v>
      </c>
      <c r="DP62" s="111">
        <f t="shared" si="318"/>
        <v>76.6666666666667</v>
      </c>
      <c r="DQ62" s="111">
        <f t="shared" si="318"/>
        <v>13.3333333333333</v>
      </c>
      <c r="DR62" s="111">
        <f t="shared" si="318"/>
        <v>40</v>
      </c>
      <c r="DS62" s="111">
        <f t="shared" si="318"/>
        <v>33.3333333333333</v>
      </c>
      <c r="DT62" s="111">
        <f t="shared" si="318"/>
        <v>10</v>
      </c>
      <c r="DU62" s="111">
        <f t="shared" si="318"/>
        <v>100</v>
      </c>
      <c r="DV62" s="111">
        <f t="shared" si="318"/>
        <v>13.2727272727273</v>
      </c>
      <c r="DW62" s="111">
        <f t="shared" si="318"/>
        <v>18.25</v>
      </c>
      <c r="DX62" s="111">
        <f t="shared" si="318"/>
        <v>48.6666666666667</v>
      </c>
      <c r="DY62" s="111">
        <f t="shared" si="318"/>
        <v>73</v>
      </c>
      <c r="DZ62" s="111">
        <f t="shared" si="318"/>
        <v>50</v>
      </c>
      <c r="EA62" s="111">
        <f t="shared" si="318"/>
        <v>25</v>
      </c>
      <c r="EB62" s="111">
        <f t="shared" si="318"/>
        <v>18.5</v>
      </c>
      <c r="EC62" s="111">
        <f t="shared" si="318"/>
        <v>17.0769230769231</v>
      </c>
      <c r="ED62" s="111">
        <f t="shared" si="318"/>
        <v>12.6875</v>
      </c>
      <c r="EE62" s="111">
        <f t="shared" si="318"/>
        <v>148</v>
      </c>
      <c r="EF62" s="111">
        <f t="shared" si="318"/>
        <v>37</v>
      </c>
      <c r="EG62" s="111">
        <f t="shared" si="318"/>
        <v>97.5</v>
      </c>
      <c r="EH62" s="111">
        <f t="shared" si="318"/>
        <v>74</v>
      </c>
      <c r="EI62" s="111">
        <f t="shared" ref="EI62:FM62" si="319">IFERROR(EI56/EI58,0)</f>
        <v>50</v>
      </c>
      <c r="EJ62" s="111">
        <f t="shared" si="319"/>
        <v>50</v>
      </c>
      <c r="EK62" s="65">
        <f t="shared" si="319"/>
        <v>22.2500558659218</v>
      </c>
      <c r="EL62" s="111">
        <f t="shared" si="319"/>
        <v>16.6666666666667</v>
      </c>
      <c r="EM62" s="111">
        <f t="shared" si="319"/>
        <v>100</v>
      </c>
      <c r="EN62" s="111">
        <f t="shared" si="319"/>
        <v>25</v>
      </c>
      <c r="EO62" s="111">
        <f t="shared" si="319"/>
        <v>25</v>
      </c>
      <c r="EP62" s="111">
        <f t="shared" si="319"/>
        <v>50</v>
      </c>
      <c r="EQ62" s="111">
        <f t="shared" si="319"/>
        <v>100</v>
      </c>
      <c r="ER62" s="111">
        <f t="shared" si="319"/>
        <v>25</v>
      </c>
      <c r="ES62" s="111">
        <f t="shared" si="319"/>
        <v>69.4425</v>
      </c>
      <c r="ET62" s="111">
        <f t="shared" si="319"/>
        <v>16.2442857142857</v>
      </c>
      <c r="EU62" s="111">
        <f t="shared" si="319"/>
        <v>20</v>
      </c>
      <c r="EV62" s="111">
        <f t="shared" si="319"/>
        <v>21.7633333333333</v>
      </c>
      <c r="EW62" s="111">
        <f t="shared" si="319"/>
        <v>14.1888888888889</v>
      </c>
      <c r="EX62" s="111">
        <f t="shared" si="319"/>
        <v>14.2857142857143</v>
      </c>
      <c r="EY62" s="111">
        <f t="shared" si="319"/>
        <v>20</v>
      </c>
      <c r="EZ62" s="111">
        <f t="shared" si="319"/>
        <v>20</v>
      </c>
      <c r="FA62" s="111">
        <f t="shared" si="319"/>
        <v>20</v>
      </c>
      <c r="FB62" s="111">
        <f t="shared" si="319"/>
        <v>12.5</v>
      </c>
      <c r="FC62" s="111">
        <f t="shared" si="319"/>
        <v>33.3333333333333</v>
      </c>
      <c r="FD62" s="111">
        <f t="shared" si="319"/>
        <v>33.3333333333333</v>
      </c>
      <c r="FE62" s="111">
        <f t="shared" si="319"/>
        <v>19.875</v>
      </c>
      <c r="FF62" s="111">
        <f t="shared" si="319"/>
        <v>39.75</v>
      </c>
      <c r="FG62" s="111">
        <f t="shared" si="319"/>
        <v>17.6666666666667</v>
      </c>
      <c r="FH62" s="111">
        <f t="shared" si="319"/>
        <v>17.6666666666667</v>
      </c>
      <c r="FI62" s="111">
        <f t="shared" si="319"/>
        <v>10.6</v>
      </c>
      <c r="FJ62" s="111">
        <f t="shared" si="319"/>
        <v>53</v>
      </c>
      <c r="FK62" s="111">
        <f t="shared" si="319"/>
        <v>50</v>
      </c>
      <c r="FL62" s="111">
        <f t="shared" si="319"/>
        <v>14.2857142857143</v>
      </c>
      <c r="FM62" s="111">
        <f t="shared" si="319"/>
        <v>8.33333333333333</v>
      </c>
      <c r="FN62" s="111">
        <f t="shared" ref="FN62:GI62" si="320">IFERROR(FN56/FN58,0)</f>
        <v>100</v>
      </c>
      <c r="FO62" s="111">
        <f t="shared" si="320"/>
        <v>50</v>
      </c>
      <c r="FP62" s="111">
        <f t="shared" si="320"/>
        <v>33.3333333333333</v>
      </c>
      <c r="FQ62" s="65">
        <f t="shared" si="320"/>
        <v>24.1646464646465</v>
      </c>
      <c r="FR62" s="111">
        <f t="shared" si="320"/>
        <v>33.3333333333333</v>
      </c>
      <c r="FS62" s="111">
        <f t="shared" si="320"/>
        <v>20</v>
      </c>
      <c r="FT62" s="111">
        <f t="shared" si="320"/>
        <v>25</v>
      </c>
      <c r="FU62" s="111">
        <f t="shared" si="320"/>
        <v>33.3333333333333</v>
      </c>
      <c r="FV62" s="111">
        <f t="shared" si="320"/>
        <v>50</v>
      </c>
      <c r="FW62" s="111">
        <f t="shared" si="320"/>
        <v>33.3333333333333</v>
      </c>
      <c r="FX62" s="111">
        <f t="shared" si="320"/>
        <v>9.09090909090909</v>
      </c>
      <c r="FY62" s="111">
        <f t="shared" si="320"/>
        <v>25</v>
      </c>
      <c r="FZ62" s="111">
        <f t="shared" si="320"/>
        <v>100</v>
      </c>
      <c r="GA62" s="111">
        <f t="shared" si="320"/>
        <v>33.3333333333333</v>
      </c>
      <c r="GB62" s="111">
        <f t="shared" si="320"/>
        <v>33.3333333333333</v>
      </c>
      <c r="GC62" s="111">
        <f t="shared" si="320"/>
        <v>25</v>
      </c>
      <c r="GD62" s="111">
        <f t="shared" si="320"/>
        <v>50</v>
      </c>
      <c r="GE62" s="111">
        <f t="shared" si="320"/>
        <v>8.33333333333333</v>
      </c>
      <c r="GF62" s="111">
        <f t="shared" si="320"/>
        <v>25</v>
      </c>
      <c r="GG62" s="111">
        <f t="shared" si="320"/>
        <v>100</v>
      </c>
      <c r="GH62" s="111">
        <f t="shared" si="320"/>
        <v>11.3117647058824</v>
      </c>
      <c r="GI62" s="111">
        <f t="shared" si="320"/>
        <v>25</v>
      </c>
      <c r="GJ62" s="111">
        <f t="shared" ref="GJ62:GP62" si="321">IFERROR(GJ56/GJ58,0)</f>
        <v>37.5</v>
      </c>
      <c r="GK62" s="111">
        <f t="shared" si="321"/>
        <v>50</v>
      </c>
      <c r="GL62" s="111">
        <f t="shared" si="321"/>
        <v>37.5</v>
      </c>
      <c r="GM62" s="111">
        <f t="shared" si="321"/>
        <v>0</v>
      </c>
      <c r="GN62" s="111">
        <f t="shared" si="321"/>
        <v>0</v>
      </c>
      <c r="GO62" s="111">
        <f t="shared" si="321"/>
        <v>0</v>
      </c>
      <c r="GP62" s="111">
        <f t="shared" si="321"/>
        <v>0</v>
      </c>
    </row>
    <row r="63" s="47" customFormat="1" ht="15" customHeight="1" spans="1:198">
      <c r="B63" s="103"/>
      <c r="C63" s="109" t="s">
        <v>14</v>
      </c>
      <c r="D63" s="97">
        <f t="shared" ref="D63:O63" si="322">IFERROR(D60/D56,0)</f>
        <v>0</v>
      </c>
      <c r="E63" s="111">
        <f t="shared" si="322"/>
        <v>0</v>
      </c>
      <c r="F63" s="111">
        <f t="shared" si="322"/>
        <v>0</v>
      </c>
      <c r="G63" s="111">
        <f t="shared" si="322"/>
        <v>0</v>
      </c>
      <c r="H63" s="111">
        <f t="shared" si="322"/>
        <v>0</v>
      </c>
      <c r="I63" s="111">
        <f t="shared" si="322"/>
        <v>0</v>
      </c>
      <c r="J63" s="111">
        <f t="shared" si="322"/>
        <v>0</v>
      </c>
      <c r="K63" s="111">
        <f t="shared" si="322"/>
        <v>0</v>
      </c>
      <c r="L63" s="111">
        <f t="shared" si="322"/>
        <v>0</v>
      </c>
      <c r="M63" s="111">
        <f t="shared" si="322"/>
        <v>0</v>
      </c>
      <c r="N63" s="111">
        <f t="shared" si="322"/>
        <v>0</v>
      </c>
      <c r="O63" s="111">
        <f t="shared" si="322"/>
        <v>0</v>
      </c>
      <c r="P63" s="111">
        <f t="shared" ref="P63:V63" si="323">IFERROR(P60/P56,0)</f>
        <v>0</v>
      </c>
      <c r="Q63" s="70">
        <f t="shared" si="323"/>
        <v>4.38533144667189</v>
      </c>
      <c r="R63" s="111">
        <f t="shared" si="323"/>
        <v>0</v>
      </c>
      <c r="S63" s="111">
        <f t="shared" ref="S63:AK63" si="324">IFERROR(S60/S56,0)</f>
        <v>0</v>
      </c>
      <c r="T63" s="111">
        <f t="shared" si="324"/>
        <v>0</v>
      </c>
      <c r="U63" s="111">
        <f t="shared" si="324"/>
        <v>1.13604502973662</v>
      </c>
      <c r="V63" s="111">
        <f t="shared" si="324"/>
        <v>15.2297637003519</v>
      </c>
      <c r="W63" s="111">
        <f t="shared" si="324"/>
        <v>1.3944</v>
      </c>
      <c r="X63" s="111">
        <f t="shared" si="324"/>
        <v>1.2422460977093</v>
      </c>
      <c r="Y63" s="111">
        <f t="shared" si="324"/>
        <v>1.40948145153139</v>
      </c>
      <c r="Z63" s="111">
        <f t="shared" si="324"/>
        <v>33.3293580835839</v>
      </c>
      <c r="AA63" s="111">
        <f t="shared" si="324"/>
        <v>0</v>
      </c>
      <c r="AB63" s="111">
        <f t="shared" si="324"/>
        <v>1.2016</v>
      </c>
      <c r="AC63" s="111">
        <f t="shared" si="324"/>
        <v>0</v>
      </c>
      <c r="AD63" s="111">
        <f t="shared" si="324"/>
        <v>0</v>
      </c>
      <c r="AE63" s="111">
        <f t="shared" si="324"/>
        <v>0</v>
      </c>
      <c r="AF63" s="111">
        <f t="shared" si="324"/>
        <v>0</v>
      </c>
      <c r="AG63" s="111">
        <f t="shared" si="324"/>
        <v>0</v>
      </c>
      <c r="AH63" s="111">
        <f t="shared" si="324"/>
        <v>10.4764</v>
      </c>
      <c r="AI63" s="111">
        <f t="shared" si="324"/>
        <v>0.19</v>
      </c>
      <c r="AJ63" s="111">
        <f t="shared" si="324"/>
        <v>0</v>
      </c>
      <c r="AK63" s="111">
        <f t="shared" si="324"/>
        <v>2.1793</v>
      </c>
      <c r="AL63" s="111">
        <f t="shared" ref="AL63:BH63" si="325">IFERROR(AL60/AL56,0)</f>
        <v>0.741</v>
      </c>
      <c r="AM63" s="111">
        <f t="shared" si="325"/>
        <v>0</v>
      </c>
      <c r="AN63" s="111">
        <f t="shared" si="325"/>
        <v>12.4914</v>
      </c>
      <c r="AO63" s="111">
        <f t="shared" si="325"/>
        <v>8.3032</v>
      </c>
      <c r="AP63" s="111">
        <f t="shared" si="325"/>
        <v>1.3307</v>
      </c>
      <c r="AQ63" s="111">
        <f t="shared" si="325"/>
        <v>0</v>
      </c>
      <c r="AR63" s="111">
        <f t="shared" si="325"/>
        <v>0</v>
      </c>
      <c r="AS63" s="111">
        <f t="shared" si="325"/>
        <v>15.3333</v>
      </c>
      <c r="AT63" s="111">
        <f t="shared" si="325"/>
        <v>17.4913</v>
      </c>
      <c r="AU63" s="111">
        <f t="shared" si="325"/>
        <v>0</v>
      </c>
      <c r="AV63" s="111">
        <f t="shared" si="325"/>
        <v>0</v>
      </c>
      <c r="AW63" s="70">
        <f t="shared" si="325"/>
        <v>4.16903219342773</v>
      </c>
      <c r="AX63" s="111">
        <f t="shared" si="325"/>
        <v>22.8032</v>
      </c>
      <c r="AY63" s="111">
        <f t="shared" si="325"/>
        <v>0</v>
      </c>
      <c r="AZ63" s="111">
        <f t="shared" si="325"/>
        <v>0</v>
      </c>
      <c r="BA63" s="111">
        <f t="shared" si="325"/>
        <v>20.76</v>
      </c>
      <c r="BB63" s="111">
        <f t="shared" si="325"/>
        <v>0</v>
      </c>
      <c r="BC63" s="111">
        <f t="shared" si="325"/>
        <v>0.6535</v>
      </c>
      <c r="BD63" s="111">
        <f t="shared" si="325"/>
        <v>1.8326</v>
      </c>
      <c r="BE63" s="111">
        <f t="shared" si="325"/>
        <v>5.1689</v>
      </c>
      <c r="BF63" s="111">
        <f t="shared" si="325"/>
        <v>0</v>
      </c>
      <c r="BG63" s="111">
        <f t="shared" si="325"/>
        <v>8.823</v>
      </c>
      <c r="BH63" s="111">
        <f t="shared" si="325"/>
        <v>0</v>
      </c>
      <c r="BI63" s="111">
        <f t="shared" ref="BI63:BW63" si="326">IFERROR(BI60/BI56,0)</f>
        <v>0</v>
      </c>
      <c r="BJ63" s="111">
        <f t="shared" si="326"/>
        <v>9.28</v>
      </c>
      <c r="BK63" s="111">
        <f t="shared" si="326"/>
        <v>0.251639592372112</v>
      </c>
      <c r="BL63" s="111">
        <f t="shared" si="326"/>
        <v>0</v>
      </c>
      <c r="BM63" s="111">
        <f t="shared" si="326"/>
        <v>0</v>
      </c>
      <c r="BN63" s="111">
        <f t="shared" si="326"/>
        <v>0</v>
      </c>
      <c r="BO63" s="111">
        <f t="shared" si="326"/>
        <v>0</v>
      </c>
      <c r="BP63" s="111">
        <f t="shared" si="326"/>
        <v>0</v>
      </c>
      <c r="BQ63" s="111">
        <f t="shared" si="326"/>
        <v>0</v>
      </c>
      <c r="BR63" s="111">
        <f t="shared" si="326"/>
        <v>0</v>
      </c>
      <c r="BS63" s="111">
        <f t="shared" si="326"/>
        <v>0</v>
      </c>
      <c r="BT63" s="111">
        <f t="shared" si="326"/>
        <v>0</v>
      </c>
      <c r="BU63" s="111">
        <f t="shared" si="326"/>
        <v>0</v>
      </c>
      <c r="BV63" s="111">
        <f t="shared" si="326"/>
        <v>3.05541972290139</v>
      </c>
      <c r="BW63" s="111">
        <f t="shared" si="326"/>
        <v>2.34748918184563</v>
      </c>
      <c r="BX63" s="111">
        <f t="shared" ref="BX63:CH63" si="327">IFERROR(BX60/BX56,0)</f>
        <v>0</v>
      </c>
      <c r="BY63" s="111">
        <f t="shared" si="327"/>
        <v>0</v>
      </c>
      <c r="BZ63" s="70">
        <f t="shared" si="327"/>
        <v>1.95983643062472</v>
      </c>
      <c r="CA63" s="111">
        <f t="shared" si="327"/>
        <v>0.7717</v>
      </c>
      <c r="CB63" s="111">
        <f t="shared" si="327"/>
        <v>2.36</v>
      </c>
      <c r="CC63" s="111">
        <f t="shared" si="327"/>
        <v>0</v>
      </c>
      <c r="CD63" s="111">
        <f t="shared" si="327"/>
        <v>0.963557751698579</v>
      </c>
      <c r="CE63" s="111">
        <f t="shared" si="327"/>
        <v>0.573943840121427</v>
      </c>
      <c r="CF63" s="111">
        <f t="shared" si="327"/>
        <v>5.64531394275162</v>
      </c>
      <c r="CG63" s="111">
        <f t="shared" si="327"/>
        <v>0</v>
      </c>
      <c r="CH63" s="111">
        <f t="shared" si="327"/>
        <v>3.6964</v>
      </c>
      <c r="CI63" s="111">
        <f t="shared" ref="CI63:EH63" si="328">IFERROR(CI60/CI56,0)</f>
        <v>2.81317689530686</v>
      </c>
      <c r="CJ63" s="111">
        <f t="shared" si="328"/>
        <v>0</v>
      </c>
      <c r="CK63" s="111">
        <f t="shared" si="328"/>
        <v>2.28572882736156</v>
      </c>
      <c r="CL63" s="111">
        <f t="shared" si="328"/>
        <v>1.9482</v>
      </c>
      <c r="CM63" s="111">
        <f t="shared" si="328"/>
        <v>0.449500554938957</v>
      </c>
      <c r="CN63" s="111">
        <f t="shared" si="328"/>
        <v>5.29721475284666</v>
      </c>
      <c r="CO63" s="111">
        <f t="shared" si="328"/>
        <v>0</v>
      </c>
      <c r="CP63" s="111">
        <f t="shared" si="328"/>
        <v>7.85365079365079</v>
      </c>
      <c r="CQ63" s="111">
        <f t="shared" si="328"/>
        <v>0.371</v>
      </c>
      <c r="CR63" s="111">
        <f t="shared" si="328"/>
        <v>1.44507467558965</v>
      </c>
      <c r="CS63" s="111">
        <f t="shared" si="328"/>
        <v>13.7316</v>
      </c>
      <c r="CT63" s="111">
        <f t="shared" si="328"/>
        <v>0.2495</v>
      </c>
      <c r="CU63" s="111">
        <f t="shared" si="328"/>
        <v>0.13775</v>
      </c>
      <c r="CV63" s="111">
        <f t="shared" si="328"/>
        <v>1.15995</v>
      </c>
      <c r="CW63" s="111">
        <f t="shared" si="328"/>
        <v>0</v>
      </c>
      <c r="CX63" s="111">
        <f t="shared" si="328"/>
        <v>0</v>
      </c>
      <c r="CY63" s="111">
        <f t="shared" si="328"/>
        <v>1.66712614200994</v>
      </c>
      <c r="CZ63" s="111">
        <f t="shared" si="328"/>
        <v>1.345</v>
      </c>
      <c r="DA63" s="111">
        <f t="shared" si="328"/>
        <v>0</v>
      </c>
      <c r="DB63" s="111">
        <f t="shared" si="328"/>
        <v>0</v>
      </c>
      <c r="DC63" s="111">
        <f t="shared" si="328"/>
        <v>0</v>
      </c>
      <c r="DD63" s="111">
        <f t="shared" si="328"/>
        <v>0.4455</v>
      </c>
      <c r="DE63" s="111">
        <f t="shared" si="328"/>
        <v>0</v>
      </c>
      <c r="DF63" s="70">
        <f t="shared" si="328"/>
        <v>2.80196130329471</v>
      </c>
      <c r="DG63" s="111">
        <f t="shared" si="328"/>
        <v>0.630502920643966</v>
      </c>
      <c r="DH63" s="111">
        <f t="shared" si="328"/>
        <v>0</v>
      </c>
      <c r="DI63" s="111">
        <f t="shared" si="328"/>
        <v>1.378</v>
      </c>
      <c r="DJ63" s="111">
        <f t="shared" si="328"/>
        <v>0</v>
      </c>
      <c r="DK63" s="111">
        <f t="shared" si="328"/>
        <v>0.8712</v>
      </c>
      <c r="DL63" s="111">
        <f t="shared" si="328"/>
        <v>1.949</v>
      </c>
      <c r="DM63" s="111">
        <f t="shared" si="328"/>
        <v>3.10383189122373</v>
      </c>
      <c r="DN63" s="111">
        <f t="shared" si="328"/>
        <v>7.79164624830648</v>
      </c>
      <c r="DO63" s="111">
        <f t="shared" si="328"/>
        <v>2.75746666666667</v>
      </c>
      <c r="DP63" s="111">
        <f t="shared" si="328"/>
        <v>2.21317391304348</v>
      </c>
      <c r="DQ63" s="111">
        <f t="shared" si="328"/>
        <v>4.48</v>
      </c>
      <c r="DR63" s="111">
        <f t="shared" si="328"/>
        <v>0.855583333333333</v>
      </c>
      <c r="DS63" s="111">
        <f t="shared" si="328"/>
        <v>1.4764</v>
      </c>
      <c r="DT63" s="111">
        <f t="shared" si="328"/>
        <v>2.9647</v>
      </c>
      <c r="DU63" s="111">
        <f t="shared" si="328"/>
        <v>2.784</v>
      </c>
      <c r="DV63" s="111">
        <f t="shared" si="328"/>
        <v>1.69732876712329</v>
      </c>
      <c r="DW63" s="111">
        <f t="shared" si="328"/>
        <v>2.63047945205479</v>
      </c>
      <c r="DX63" s="111">
        <f t="shared" si="328"/>
        <v>0</v>
      </c>
      <c r="DY63" s="111">
        <f t="shared" si="328"/>
        <v>0</v>
      </c>
      <c r="DZ63" s="111">
        <f t="shared" si="328"/>
        <v>0</v>
      </c>
      <c r="EA63" s="111">
        <f t="shared" si="328"/>
        <v>0</v>
      </c>
      <c r="EB63" s="111">
        <f t="shared" si="328"/>
        <v>3.4475</v>
      </c>
      <c r="EC63" s="111">
        <f t="shared" si="328"/>
        <v>1.85454954954955</v>
      </c>
      <c r="ED63" s="111">
        <f t="shared" si="328"/>
        <v>18.3225123152709</v>
      </c>
      <c r="EE63" s="111">
        <f t="shared" si="328"/>
        <v>0</v>
      </c>
      <c r="EF63" s="111">
        <f t="shared" si="328"/>
        <v>1.43783783783784</v>
      </c>
      <c r="EG63" s="111">
        <f t="shared" si="328"/>
        <v>0</v>
      </c>
      <c r="EH63" s="111">
        <f t="shared" si="328"/>
        <v>1.54810810810811</v>
      </c>
      <c r="EI63" s="111">
        <f t="shared" ref="EI63:FM63" si="329">IFERROR(EI60/EI56,0)</f>
        <v>1.336</v>
      </c>
      <c r="EJ63" s="111">
        <f t="shared" si="329"/>
        <v>0.8512</v>
      </c>
      <c r="EK63" s="70">
        <f t="shared" si="329"/>
        <v>1.22261697918027</v>
      </c>
      <c r="EL63" s="111">
        <f t="shared" si="329"/>
        <v>0</v>
      </c>
      <c r="EM63" s="111">
        <f t="shared" si="329"/>
        <v>0</v>
      </c>
      <c r="EN63" s="111">
        <f t="shared" si="329"/>
        <v>0</v>
      </c>
      <c r="EO63" s="111">
        <f t="shared" si="329"/>
        <v>0</v>
      </c>
      <c r="EP63" s="111">
        <f t="shared" si="329"/>
        <v>0</v>
      </c>
      <c r="EQ63" s="111">
        <f t="shared" si="329"/>
        <v>0</v>
      </c>
      <c r="ER63" s="111">
        <f t="shared" si="329"/>
        <v>0.829</v>
      </c>
      <c r="ES63" s="111">
        <f t="shared" si="329"/>
        <v>0</v>
      </c>
      <c r="ET63" s="111">
        <f t="shared" si="329"/>
        <v>7.32420191715768</v>
      </c>
      <c r="EU63" s="111">
        <f t="shared" si="329"/>
        <v>0.14625</v>
      </c>
      <c r="EV63" s="111">
        <f t="shared" si="329"/>
        <v>0.574922142237198</v>
      </c>
      <c r="EW63" s="111">
        <f t="shared" si="329"/>
        <v>3.88441660140955</v>
      </c>
      <c r="EX63" s="111">
        <f t="shared" si="329"/>
        <v>6.3002</v>
      </c>
      <c r="EY63" s="111">
        <f t="shared" si="329"/>
        <v>1.0772</v>
      </c>
      <c r="EZ63" s="111">
        <f t="shared" si="329"/>
        <v>0.8212</v>
      </c>
      <c r="FA63" s="111">
        <f t="shared" si="329"/>
        <v>0.6631</v>
      </c>
      <c r="FB63" s="111">
        <f t="shared" si="329"/>
        <v>1.343</v>
      </c>
      <c r="FC63" s="111">
        <f t="shared" si="329"/>
        <v>3.271</v>
      </c>
      <c r="FD63" s="111">
        <f t="shared" si="329"/>
        <v>0</v>
      </c>
      <c r="FE63" s="111">
        <f t="shared" si="329"/>
        <v>0</v>
      </c>
      <c r="FF63" s="111">
        <f t="shared" si="329"/>
        <v>0</v>
      </c>
      <c r="FG63" s="111">
        <f t="shared" si="329"/>
        <v>0.497798742138365</v>
      </c>
      <c r="FH63" s="111">
        <f t="shared" si="329"/>
        <v>0.893081761006289</v>
      </c>
      <c r="FI63" s="111">
        <f t="shared" si="329"/>
        <v>1.90308176100629</v>
      </c>
      <c r="FJ63" s="111">
        <f t="shared" si="329"/>
        <v>0</v>
      </c>
      <c r="FK63" s="111">
        <f t="shared" si="329"/>
        <v>0.3755</v>
      </c>
      <c r="FL63" s="111">
        <f t="shared" si="329"/>
        <v>0.7802</v>
      </c>
      <c r="FM63" s="111">
        <f t="shared" si="329"/>
        <v>4.9604</v>
      </c>
      <c r="FN63" s="111">
        <f t="shared" ref="FN63:GI63" si="330">IFERROR(FN60/FN56,0)</f>
        <v>0</v>
      </c>
      <c r="FO63" s="111">
        <f t="shared" si="330"/>
        <v>0</v>
      </c>
      <c r="FP63" s="111">
        <f t="shared" si="330"/>
        <v>0</v>
      </c>
      <c r="FQ63" s="70">
        <f t="shared" si="330"/>
        <v>2.97942983739498</v>
      </c>
      <c r="FR63" s="111">
        <f t="shared" si="330"/>
        <v>0</v>
      </c>
      <c r="FS63" s="111">
        <f t="shared" si="330"/>
        <v>2.2392</v>
      </c>
      <c r="FT63" s="111">
        <f t="shared" si="330"/>
        <v>2.8131</v>
      </c>
      <c r="FU63" s="111">
        <f t="shared" si="330"/>
        <v>0.3746</v>
      </c>
      <c r="FV63" s="111">
        <f t="shared" si="330"/>
        <v>1.336</v>
      </c>
      <c r="FW63" s="111">
        <f t="shared" si="330"/>
        <v>1.4487</v>
      </c>
      <c r="FX63" s="111">
        <f t="shared" si="330"/>
        <v>2.2776</v>
      </c>
      <c r="FY63" s="111">
        <f t="shared" si="330"/>
        <v>0.7618</v>
      </c>
      <c r="FZ63" s="111">
        <f t="shared" si="330"/>
        <v>0</v>
      </c>
      <c r="GA63" s="111">
        <f t="shared" si="330"/>
        <v>0</v>
      </c>
      <c r="GB63" s="111">
        <f t="shared" si="330"/>
        <v>7.2182</v>
      </c>
      <c r="GC63" s="111">
        <f t="shared" si="330"/>
        <v>1.5405</v>
      </c>
      <c r="GD63" s="111">
        <f t="shared" si="330"/>
        <v>0.7618</v>
      </c>
      <c r="GE63" s="111">
        <f t="shared" si="330"/>
        <v>45.9599</v>
      </c>
      <c r="GF63" s="111">
        <f t="shared" si="330"/>
        <v>0.3746</v>
      </c>
      <c r="GG63" s="111">
        <f t="shared" si="330"/>
        <v>0</v>
      </c>
      <c r="GH63" s="111">
        <f t="shared" si="330"/>
        <v>1.4479979199168</v>
      </c>
      <c r="GI63" s="111">
        <f t="shared" si="330"/>
        <v>0.924266666666667</v>
      </c>
      <c r="GJ63" s="111">
        <f t="shared" ref="GJ63:GP63" si="331">IFERROR(GJ60/GJ56,0)</f>
        <v>0</v>
      </c>
      <c r="GK63" s="111">
        <f t="shared" si="331"/>
        <v>0</v>
      </c>
      <c r="GL63" s="111">
        <f t="shared" si="331"/>
        <v>0</v>
      </c>
      <c r="GM63" s="111">
        <f t="shared" si="331"/>
        <v>0</v>
      </c>
      <c r="GN63" s="111">
        <f t="shared" si="331"/>
        <v>0</v>
      </c>
      <c r="GO63" s="111">
        <f t="shared" si="331"/>
        <v>0</v>
      </c>
      <c r="GP63" s="111">
        <f t="shared" si="331"/>
        <v>0</v>
      </c>
    </row>
    <row r="64" s="47" customFormat="1" ht="15" customHeight="1" spans="1:198">
      <c r="B64" s="103"/>
      <c r="C64" s="109" t="s">
        <v>36</v>
      </c>
      <c r="D64" s="100" t="e">
        <f t="shared" ref="D64:O64" si="332">D56/D$130</f>
        <v>#REF!</v>
      </c>
      <c r="E64" s="101" t="e">
        <f t="shared" si="332"/>
        <v>#REF!</v>
      </c>
      <c r="F64" s="101" t="e">
        <f t="shared" si="332"/>
        <v>#REF!</v>
      </c>
      <c r="G64" s="101" t="e">
        <f t="shared" si="332"/>
        <v>#REF!</v>
      </c>
      <c r="H64" s="101" t="e">
        <f t="shared" si="332"/>
        <v>#REF!</v>
      </c>
      <c r="I64" s="101" t="e">
        <f t="shared" si="332"/>
        <v>#REF!</v>
      </c>
      <c r="J64" s="101" t="e">
        <f t="shared" si="332"/>
        <v>#REF!</v>
      </c>
      <c r="K64" s="101" t="e">
        <f t="shared" si="332"/>
        <v>#REF!</v>
      </c>
      <c r="L64" s="101" t="e">
        <f t="shared" si="332"/>
        <v>#REF!</v>
      </c>
      <c r="M64" s="101" t="e">
        <f t="shared" si="332"/>
        <v>#REF!</v>
      </c>
      <c r="N64" s="101" t="e">
        <f t="shared" si="332"/>
        <v>#REF!</v>
      </c>
      <c r="O64" s="101" t="e">
        <f t="shared" si="332"/>
        <v>#REF!</v>
      </c>
      <c r="P64" s="101" t="e">
        <f t="shared" ref="P64:V64" si="333">P56/P$130</f>
        <v>#REF!</v>
      </c>
      <c r="Q64" s="102">
        <f t="shared" si="333"/>
        <v>0.272913497577117</v>
      </c>
      <c r="R64" s="101">
        <f t="shared" si="333"/>
        <v>0</v>
      </c>
      <c r="S64" s="101">
        <f t="shared" ref="S64:AK64" si="334">S56/S$130</f>
        <v>0</v>
      </c>
      <c r="T64" s="101">
        <f t="shared" si="334"/>
        <v>0</v>
      </c>
      <c r="U64" s="101">
        <f t="shared" si="334"/>
        <v>0.219681769399468</v>
      </c>
      <c r="V64" s="101">
        <f t="shared" si="334"/>
        <v>0.285153113889207</v>
      </c>
      <c r="W64" s="101">
        <f t="shared" si="334"/>
        <v>0.267236771779797</v>
      </c>
      <c r="X64" s="101">
        <f t="shared" si="334"/>
        <v>0.314353990759917</v>
      </c>
      <c r="Y64" s="101">
        <f t="shared" si="334"/>
        <v>0.262413793103448</v>
      </c>
      <c r="Z64" s="101">
        <f t="shared" si="334"/>
        <v>0.237348626562962</v>
      </c>
      <c r="AA64" s="101">
        <f t="shared" si="334"/>
        <v>0.272163483867443</v>
      </c>
      <c r="AB64" s="101">
        <f t="shared" si="334"/>
        <v>0.273950086294277</v>
      </c>
      <c r="AC64" s="101">
        <f t="shared" si="334"/>
        <v>0.280615108317432</v>
      </c>
      <c r="AD64" s="101">
        <f t="shared" si="334"/>
        <v>0.291281931781772</v>
      </c>
      <c r="AE64" s="101">
        <f t="shared" si="334"/>
        <v>0.259053503283923</v>
      </c>
      <c r="AF64" s="101">
        <f t="shared" si="334"/>
        <v>0.286500114600046</v>
      </c>
      <c r="AG64" s="101">
        <f t="shared" si="334"/>
        <v>0.246845385901789</v>
      </c>
      <c r="AH64" s="101">
        <f t="shared" si="334"/>
        <v>0.261814373609111</v>
      </c>
      <c r="AI64" s="101">
        <f t="shared" si="334"/>
        <v>0.231862551879246</v>
      </c>
      <c r="AJ64" s="101">
        <f t="shared" si="334"/>
        <v>0.230308613542146</v>
      </c>
      <c r="AK64" s="101">
        <f t="shared" si="334"/>
        <v>0.391022131852663</v>
      </c>
      <c r="AL64" s="101">
        <f t="shared" ref="AL64:BH64" si="335">AL56/AL$130</f>
        <v>0.423065532851039</v>
      </c>
      <c r="AM64" s="101">
        <f t="shared" si="335"/>
        <v>0.336202259279182</v>
      </c>
      <c r="AN64" s="101">
        <f t="shared" si="335"/>
        <v>0.343548165452796</v>
      </c>
      <c r="AO64" s="101">
        <f t="shared" si="335"/>
        <v>0.33188410607016</v>
      </c>
      <c r="AP64" s="101">
        <f t="shared" si="335"/>
        <v>0.333689268553123</v>
      </c>
      <c r="AQ64" s="101">
        <f t="shared" si="335"/>
        <v>0.345709742100532</v>
      </c>
      <c r="AR64" s="101">
        <f t="shared" si="335"/>
        <v>0.308270908474367</v>
      </c>
      <c r="AS64" s="101">
        <f t="shared" si="335"/>
        <v>0.368609237347488</v>
      </c>
      <c r="AT64" s="101">
        <f t="shared" si="335"/>
        <v>0.363662811840861</v>
      </c>
      <c r="AU64" s="101">
        <f t="shared" si="335"/>
        <v>0.343453771122407</v>
      </c>
      <c r="AV64" s="101">
        <f t="shared" si="335"/>
        <v>0.373915644630571</v>
      </c>
      <c r="AW64" s="102">
        <f t="shared" si="335"/>
        <v>0.316326566544008</v>
      </c>
      <c r="AX64" s="101">
        <f t="shared" si="335"/>
        <v>0.365030114984486</v>
      </c>
      <c r="AY64" s="101">
        <f t="shared" si="335"/>
        <v>0.350005250078751</v>
      </c>
      <c r="AZ64" s="101">
        <f t="shared" si="335"/>
        <v>0.383494400981746</v>
      </c>
      <c r="BA64" s="101">
        <f t="shared" si="335"/>
        <v>0.382526203044909</v>
      </c>
      <c r="BB64" s="101">
        <f t="shared" si="335"/>
        <v>0.366797491105161</v>
      </c>
      <c r="BC64" s="101">
        <f t="shared" si="335"/>
        <v>0.38295102056447</v>
      </c>
      <c r="BD64" s="101">
        <f t="shared" si="335"/>
        <v>0.389605329800912</v>
      </c>
      <c r="BE64" s="101">
        <f t="shared" si="335"/>
        <v>0.370274373310623</v>
      </c>
      <c r="BF64" s="101">
        <f t="shared" si="335"/>
        <v>0.380343830823064</v>
      </c>
      <c r="BG64" s="101">
        <f t="shared" si="335"/>
        <v>0.385282219225583</v>
      </c>
      <c r="BH64" s="101">
        <f t="shared" si="335"/>
        <v>0.431611204626872</v>
      </c>
      <c r="BI64" s="101">
        <f t="shared" ref="BI64:BW64" si="336">BI56/BI$130</f>
        <v>0.432881693433185</v>
      </c>
      <c r="BJ64" s="101">
        <f t="shared" si="336"/>
        <v>0.423011844331641</v>
      </c>
      <c r="BK64" s="101">
        <f t="shared" si="336"/>
        <v>0.434407188253342</v>
      </c>
      <c r="BL64" s="101">
        <f t="shared" si="336"/>
        <v>0</v>
      </c>
      <c r="BM64" s="101">
        <f t="shared" si="336"/>
        <v>0</v>
      </c>
      <c r="BN64" s="101">
        <f t="shared" si="336"/>
        <v>0</v>
      </c>
      <c r="BO64" s="101">
        <f t="shared" si="336"/>
        <v>0</v>
      </c>
      <c r="BP64" s="101">
        <f t="shared" si="336"/>
        <v>0</v>
      </c>
      <c r="BQ64" s="101">
        <f t="shared" si="336"/>
        <v>0</v>
      </c>
      <c r="BR64" s="101">
        <f t="shared" si="336"/>
        <v>0</v>
      </c>
      <c r="BS64" s="101">
        <f t="shared" si="336"/>
        <v>0</v>
      </c>
      <c r="BT64" s="101">
        <f t="shared" si="336"/>
        <v>0</v>
      </c>
      <c r="BU64" s="101">
        <f t="shared" si="336"/>
        <v>0</v>
      </c>
      <c r="BV64" s="101">
        <f t="shared" si="336"/>
        <v>0.437433155080214</v>
      </c>
      <c r="BW64" s="101">
        <f t="shared" si="336"/>
        <v>0.434993871476099</v>
      </c>
      <c r="BX64" s="101">
        <f t="shared" ref="BX64:CH64" si="337">BX56/BX$130</f>
        <v>0.433933608157952</v>
      </c>
      <c r="BY64" s="101">
        <f t="shared" si="337"/>
        <v>0.425459496255956</v>
      </c>
      <c r="BZ64" s="102">
        <f t="shared" si="337"/>
        <v>0.568017807810944</v>
      </c>
      <c r="CA64" s="101">
        <f t="shared" si="337"/>
        <v>0.46339202965709</v>
      </c>
      <c r="CB64" s="101">
        <f t="shared" si="337"/>
        <v>0.44290902648596</v>
      </c>
      <c r="CC64" s="101">
        <f t="shared" si="337"/>
        <v>0.420999452700711</v>
      </c>
      <c r="CD64" s="101">
        <f t="shared" si="337"/>
        <v>0.580173312483711</v>
      </c>
      <c r="CE64" s="101">
        <f t="shared" si="337"/>
        <v>0.583348090431497</v>
      </c>
      <c r="CF64" s="101">
        <f t="shared" si="337"/>
        <v>0.565313845752316</v>
      </c>
      <c r="CG64" s="101">
        <f t="shared" si="337"/>
        <v>0.431518080607577</v>
      </c>
      <c r="CH64" s="101">
        <f t="shared" si="337"/>
        <v>0.365150076681516</v>
      </c>
      <c r="CI64" s="101">
        <f t="shared" ref="CI64:EH64" si="338">CI56/CI$130</f>
        <v>0.415525970373148</v>
      </c>
      <c r="CJ64" s="101">
        <f t="shared" si="338"/>
        <v>0.583464612871229</v>
      </c>
      <c r="CK64" s="101">
        <f t="shared" si="338"/>
        <v>0.58211121974343</v>
      </c>
      <c r="CL64" s="101">
        <f t="shared" si="338"/>
        <v>0.673877152195155</v>
      </c>
      <c r="CM64" s="101">
        <f t="shared" si="338"/>
        <v>0.603262523586341</v>
      </c>
      <c r="CN64" s="101">
        <f t="shared" si="338"/>
        <v>0.655118418477197</v>
      </c>
      <c r="CO64" s="101">
        <f t="shared" si="338"/>
        <v>0.584880830530779</v>
      </c>
      <c r="CP64" s="101">
        <f t="shared" si="338"/>
        <v>0.736583654857945</v>
      </c>
      <c r="CQ64" s="101">
        <f t="shared" si="338"/>
        <v>0.615214248361992</v>
      </c>
      <c r="CR64" s="101">
        <f t="shared" si="338"/>
        <v>0.644758998105662</v>
      </c>
      <c r="CS64" s="101">
        <f t="shared" si="338"/>
        <v>0.537591054484853</v>
      </c>
      <c r="CT64" s="101">
        <f t="shared" si="338"/>
        <v>0.544306553450904</v>
      </c>
      <c r="CU64" s="101">
        <f t="shared" si="338"/>
        <v>0.585497233525572</v>
      </c>
      <c r="CV64" s="101">
        <f t="shared" si="338"/>
        <v>0.614024315362888</v>
      </c>
      <c r="CW64" s="101">
        <f t="shared" si="338"/>
        <v>0.544751321021953</v>
      </c>
      <c r="CX64" s="101">
        <f t="shared" si="338"/>
        <v>0.526814877252134</v>
      </c>
      <c r="CY64" s="101">
        <f t="shared" si="338"/>
        <v>0.636450809972661</v>
      </c>
      <c r="CZ64" s="101">
        <f t="shared" si="338"/>
        <v>0.500801282051282</v>
      </c>
      <c r="DA64" s="101">
        <f t="shared" si="338"/>
        <v>0.540336089047388</v>
      </c>
      <c r="DB64" s="101">
        <f t="shared" si="338"/>
        <v>0.553189135365382</v>
      </c>
      <c r="DC64" s="101">
        <f t="shared" si="338"/>
        <v>0.552913856021232</v>
      </c>
      <c r="DD64" s="101">
        <f t="shared" si="338"/>
        <v>0.597960953149759</v>
      </c>
      <c r="DE64" s="101">
        <f t="shared" si="338"/>
        <v>0.623014142421033</v>
      </c>
      <c r="DF64" s="102">
        <f t="shared" si="338"/>
        <v>0.418711100804736</v>
      </c>
      <c r="DG64" s="101">
        <f t="shared" si="338"/>
        <v>0.521761754320758</v>
      </c>
      <c r="DH64" s="101">
        <f t="shared" si="338"/>
        <v>0.44762757385855</v>
      </c>
      <c r="DI64" s="101">
        <f t="shared" si="338"/>
        <v>0.3568752007423</v>
      </c>
      <c r="DJ64" s="101">
        <f t="shared" si="338"/>
        <v>0.374545863140942</v>
      </c>
      <c r="DK64" s="101">
        <f t="shared" si="338"/>
        <v>0.295107123885971</v>
      </c>
      <c r="DL64" s="101">
        <f t="shared" si="338"/>
        <v>0.376548555936288</v>
      </c>
      <c r="DM64" s="101">
        <f t="shared" si="338"/>
        <v>0.47832085139929</v>
      </c>
      <c r="DN64" s="101">
        <f t="shared" si="338"/>
        <v>0.506356643458715</v>
      </c>
      <c r="DO64" s="101">
        <f t="shared" si="338"/>
        <v>0.394269943487975</v>
      </c>
      <c r="DP64" s="101">
        <f t="shared" si="338"/>
        <v>0.518508499030614</v>
      </c>
      <c r="DQ64" s="101">
        <f t="shared" si="338"/>
        <v>0.37821482602118</v>
      </c>
      <c r="DR64" s="101">
        <f t="shared" si="338"/>
        <v>0.389977576289363</v>
      </c>
      <c r="DS64" s="101">
        <f t="shared" si="338"/>
        <v>0.336281400275751</v>
      </c>
      <c r="DT64" s="101">
        <f t="shared" si="338"/>
        <v>0.364604222116892</v>
      </c>
      <c r="DU64" s="101">
        <f t="shared" si="338"/>
        <v>0.328904091566899</v>
      </c>
      <c r="DV64" s="101">
        <f t="shared" si="338"/>
        <v>0.38751459815267</v>
      </c>
      <c r="DW64" s="101">
        <f t="shared" si="338"/>
        <v>0.477498691784406</v>
      </c>
      <c r="DX64" s="101">
        <f t="shared" si="338"/>
        <v>0.508994561427974</v>
      </c>
      <c r="DY64" s="101">
        <f t="shared" si="338"/>
        <v>0.455623517663213</v>
      </c>
      <c r="DZ64" s="101">
        <f t="shared" si="338"/>
        <v>0.403469840629413</v>
      </c>
      <c r="EA64" s="101">
        <f t="shared" si="338"/>
        <v>0.460341573447498</v>
      </c>
      <c r="EB64" s="101">
        <f t="shared" si="338"/>
        <v>0.386120532220193</v>
      </c>
      <c r="EC64" s="101">
        <f t="shared" si="338"/>
        <v>0.468147023470614</v>
      </c>
      <c r="ED64" s="101">
        <f t="shared" si="338"/>
        <v>0.439793751895663</v>
      </c>
      <c r="EE64" s="101">
        <f t="shared" si="338"/>
        <v>0.300391727049463</v>
      </c>
      <c r="EF64" s="101">
        <f t="shared" si="338"/>
        <v>0.418895587444454</v>
      </c>
      <c r="EG64" s="101">
        <f t="shared" si="338"/>
        <v>0.471869328493648</v>
      </c>
      <c r="EH64" s="101">
        <f t="shared" si="338"/>
        <v>0.423704551961065</v>
      </c>
      <c r="EI64" s="101">
        <f t="shared" ref="EI64:FM64" si="339">EI56/EI$130</f>
        <v>0.373929626444303</v>
      </c>
      <c r="EJ64" s="101">
        <f t="shared" si="339"/>
        <v>0.40650406504065</v>
      </c>
      <c r="EK64" s="102">
        <f t="shared" si="339"/>
        <v>0.386965764631355</v>
      </c>
      <c r="EL64" s="101">
        <f t="shared" si="339"/>
        <v>0.397851601352695</v>
      </c>
      <c r="EM64" s="101">
        <f t="shared" si="339"/>
        <v>0.420556817226007</v>
      </c>
      <c r="EN64" s="101">
        <f t="shared" si="339"/>
        <v>0.389044506691565</v>
      </c>
      <c r="EO64" s="101">
        <f t="shared" si="339"/>
        <v>0.406206840523194</v>
      </c>
      <c r="EP64" s="101">
        <f t="shared" si="339"/>
        <v>0.379809335713472</v>
      </c>
      <c r="EQ64" s="101">
        <f t="shared" si="339"/>
        <v>0.397393101255762</v>
      </c>
      <c r="ER64" s="101">
        <f t="shared" si="339"/>
        <v>0.410761963442185</v>
      </c>
      <c r="ES64" s="101">
        <f t="shared" si="339"/>
        <v>0.633845241083449</v>
      </c>
      <c r="ET64" s="101">
        <f t="shared" si="339"/>
        <v>0.536747698843521</v>
      </c>
      <c r="EU64" s="101">
        <f t="shared" si="339"/>
        <v>0.476247172282415</v>
      </c>
      <c r="EV64" s="101">
        <f t="shared" si="339"/>
        <v>0.433532536520584</v>
      </c>
      <c r="EW64" s="101">
        <f t="shared" si="339"/>
        <v>0.29102096627165</v>
      </c>
      <c r="EX64" s="101">
        <f t="shared" si="339"/>
        <v>0.293332551113197</v>
      </c>
      <c r="EY64" s="101">
        <f t="shared" si="339"/>
        <v>0.310404767817234</v>
      </c>
      <c r="EZ64" s="101">
        <f t="shared" si="339"/>
        <v>0.402204078349354</v>
      </c>
      <c r="FA64" s="101">
        <f t="shared" si="339"/>
        <v>0.357474798026739</v>
      </c>
      <c r="FB64" s="101">
        <f t="shared" si="339"/>
        <v>0.353394352758243</v>
      </c>
      <c r="FC64" s="101">
        <f t="shared" si="339"/>
        <v>0.391742077016492</v>
      </c>
      <c r="FD64" s="101">
        <f t="shared" si="339"/>
        <v>0.359958244843598</v>
      </c>
      <c r="FE64" s="101">
        <f t="shared" si="339"/>
        <v>0.424656802521233</v>
      </c>
      <c r="FF64" s="101">
        <f t="shared" si="339"/>
        <v>0.413502548632061</v>
      </c>
      <c r="FG64" s="101">
        <f t="shared" si="339"/>
        <v>0.422422954303932</v>
      </c>
      <c r="FH64" s="101">
        <f t="shared" si="339"/>
        <v>0.418321976374017</v>
      </c>
      <c r="FI64" s="101">
        <f t="shared" si="339"/>
        <v>0.38171604167667</v>
      </c>
      <c r="FJ64" s="101">
        <f t="shared" si="339"/>
        <v>0.408068986757006</v>
      </c>
      <c r="FK64" s="101">
        <f t="shared" si="339"/>
        <v>0.287976961843053</v>
      </c>
      <c r="FL64" s="101">
        <f t="shared" si="339"/>
        <v>0.282445982205903</v>
      </c>
      <c r="FM64" s="101">
        <f t="shared" si="339"/>
        <v>0.27378507871321</v>
      </c>
      <c r="FN64" s="101">
        <f t="shared" ref="FN64:GI64" si="340">FN56/FN$130</f>
        <v>0.309434662870935</v>
      </c>
      <c r="FO64" s="101">
        <f t="shared" si="340"/>
        <v>0.319785104409837</v>
      </c>
      <c r="FP64" s="101">
        <f t="shared" si="340"/>
        <v>0.296261183859691</v>
      </c>
      <c r="FQ64" s="102">
        <f t="shared" si="340"/>
        <v>0.323969373024536</v>
      </c>
      <c r="FR64" s="101">
        <f t="shared" si="340"/>
        <v>0.319815786107202</v>
      </c>
      <c r="FS64" s="101">
        <f t="shared" si="340"/>
        <v>0.332867319086612</v>
      </c>
      <c r="FT64" s="101">
        <f t="shared" si="340"/>
        <v>0.358012315623657</v>
      </c>
      <c r="FU64" s="101">
        <f t="shared" si="340"/>
        <v>0.301204819277108</v>
      </c>
      <c r="FV64" s="101">
        <f t="shared" si="340"/>
        <v>0.331169691349848</v>
      </c>
      <c r="FW64" s="101">
        <f t="shared" si="340"/>
        <v>0.296806363528434</v>
      </c>
      <c r="FX64" s="101">
        <f t="shared" si="340"/>
        <v>0.2763041556145</v>
      </c>
      <c r="FY64" s="101">
        <f t="shared" si="340"/>
        <v>0.279610781791746</v>
      </c>
      <c r="FZ64" s="101">
        <f t="shared" si="340"/>
        <v>0.285681636384413</v>
      </c>
      <c r="GA64" s="101">
        <f t="shared" si="340"/>
        <v>0.272212543554007</v>
      </c>
      <c r="GB64" s="101">
        <f t="shared" si="340"/>
        <v>0.286532951289398</v>
      </c>
      <c r="GC64" s="101">
        <f t="shared" si="340"/>
        <v>0.313627097381214</v>
      </c>
      <c r="GD64" s="101">
        <f t="shared" si="340"/>
        <v>0.276243093922652</v>
      </c>
      <c r="GE64" s="101">
        <f t="shared" si="340"/>
        <v>0.270233752195649</v>
      </c>
      <c r="GF64" s="101">
        <f t="shared" si="340"/>
        <v>0.282438004857934</v>
      </c>
      <c r="GG64" s="101">
        <f t="shared" si="340"/>
        <v>0.308661028458547</v>
      </c>
      <c r="GH64" s="101">
        <f t="shared" si="340"/>
        <v>0.456921541605284</v>
      </c>
      <c r="GI64" s="101">
        <f t="shared" si="340"/>
        <v>0.395392361019585</v>
      </c>
      <c r="GJ64" s="101">
        <f t="shared" ref="GJ64:GP64" si="341">GJ56/GJ$130</f>
        <v>0.383769124494704</v>
      </c>
      <c r="GK64" s="101">
        <f t="shared" si="341"/>
        <v>0.37716872014081</v>
      </c>
      <c r="GL64" s="101">
        <f t="shared" si="341"/>
        <v>0.35941056667066</v>
      </c>
      <c r="GM64" s="101" t="e">
        <f t="shared" si="341"/>
        <v>#DIV/0!</v>
      </c>
      <c r="GN64" s="101" t="e">
        <f t="shared" si="341"/>
        <v>#DIV/0!</v>
      </c>
      <c r="GO64" s="101" t="e">
        <f t="shared" si="341"/>
        <v>#DIV/0!</v>
      </c>
      <c r="GP64" s="101" t="e">
        <f t="shared" si="341"/>
        <v>#DIV/0!</v>
      </c>
    </row>
    <row r="65" s="47" customFormat="1" ht="15" hidden="1" customHeight="1" spans="2:198">
      <c r="B65" s="103" t="s">
        <v>41</v>
      </c>
      <c r="C65" s="104" t="s">
        <v>12</v>
      </c>
      <c r="D65" s="94" t="e">
        <f>SUM(E65:P65)</f>
        <v>#REF!</v>
      </c>
      <c r="E65" s="105" t="e">
        <f>#REF!</f>
        <v>#REF!</v>
      </c>
      <c r="F65" s="105" t="e">
        <f>#REF!</f>
        <v>#REF!</v>
      </c>
      <c r="G65" s="105" t="e">
        <f>#REF!</f>
        <v>#REF!</v>
      </c>
      <c r="H65" s="105" t="e">
        <f>#REF!</f>
        <v>#REF!</v>
      </c>
      <c r="I65" s="105" t="e">
        <f>#REF!</f>
        <v>#REF!</v>
      </c>
      <c r="J65" s="105" t="e">
        <f>#REF!</f>
        <v>#REF!</v>
      </c>
      <c r="K65" s="105" t="e">
        <f>#REF!</f>
        <v>#REF!</v>
      </c>
      <c r="L65" s="105" t="e">
        <f>#REF!</f>
        <v>#REF!</v>
      </c>
      <c r="M65" s="105" t="e">
        <f>#REF!</f>
        <v>#REF!</v>
      </c>
      <c r="N65" s="105" t="e">
        <f>#REF!</f>
        <v>#REF!</v>
      </c>
      <c r="O65" s="105" t="e">
        <f>#REF!</f>
        <v>#REF!</v>
      </c>
      <c r="P65" s="105" t="e">
        <f>#REF!</f>
        <v>#REF!</v>
      </c>
      <c r="Q65" s="65">
        <f>SUM(R65:AV65)</f>
        <v>0</v>
      </c>
      <c r="R65" s="95">
        <f>SUMIFS(营销场景数据源!$H:$H,营销场景数据源!$C:$C,$B$65,营销场景数据源!$A:$A,R2)</f>
        <v>0</v>
      </c>
      <c r="S65" s="95">
        <f>SUMIFS(营销场景数据源!$H:$H,营销场景数据源!$C:$C,$B$65,营销场景数据源!$A:$A,S2)</f>
        <v>0</v>
      </c>
      <c r="T65" s="95">
        <f>SUMIFS(营销场景数据源!$H:$H,营销场景数据源!$C:$C,$B$65,营销场景数据源!$A:$A,T2)</f>
        <v>0</v>
      </c>
      <c r="U65" s="95">
        <f>SUMIFS(营销场景数据源!$H:$H,营销场景数据源!$C:$C,$B$65,营销场景数据源!$A:$A,U2)</f>
        <v>0</v>
      </c>
      <c r="V65" s="95">
        <f>SUMIFS(营销场景数据源!$H:$H,营销场景数据源!$C:$C,$B$65,营销场景数据源!$A:$A,V2)</f>
        <v>0</v>
      </c>
      <c r="W65" s="95">
        <f>SUMIFS(营销场景数据源!$H:$H,营销场景数据源!$C:$C,$B$65,营销场景数据源!$A:$A,W2)</f>
        <v>0</v>
      </c>
      <c r="X65" s="95">
        <f>SUMIFS(营销场景数据源!$H:$H,营销场景数据源!$C:$C,$B$65,营销场景数据源!$A:$A,X2)</f>
        <v>0</v>
      </c>
      <c r="Y65" s="95">
        <f>SUMIFS(营销场景数据源!$H:$H,营销场景数据源!$C:$C,$B$65,营销场景数据源!$A:$A,Y2)</f>
        <v>0</v>
      </c>
      <c r="Z65" s="95">
        <f>SUMIFS(营销场景数据源!$H:$H,营销场景数据源!$C:$C,$B$65,营销场景数据源!$A:$A,Z2)</f>
        <v>0</v>
      </c>
      <c r="AA65" s="95">
        <f>SUMIFS(营销场景数据源!$H:$H,营销场景数据源!$C:$C,$B$65,营销场景数据源!$A:$A,AA2)</f>
        <v>0</v>
      </c>
      <c r="AB65" s="95">
        <f>SUMIFS(营销场景数据源!$H:$H,营销场景数据源!$C:$C,$B$65,营销场景数据源!$A:$A,AB2)</f>
        <v>0</v>
      </c>
      <c r="AC65" s="95">
        <f>SUMIFS(营销场景数据源!$H:$H,营销场景数据源!$C:$C,$B$65,营销场景数据源!$A:$A,AC2)</f>
        <v>0</v>
      </c>
      <c r="AD65" s="95">
        <f>SUMIFS(营销场景数据源!$H:$H,营销场景数据源!$C:$C,$B$65,营销场景数据源!$A:$A,AD2)</f>
        <v>0</v>
      </c>
      <c r="AE65" s="95">
        <f>SUMIFS(营销场景数据源!$H:$H,营销场景数据源!$C:$C,$B$65,营销场景数据源!$A:$A,AE2)</f>
        <v>0</v>
      </c>
      <c r="AF65" s="95">
        <f>SUMIFS(营销场景数据源!$H:$H,营销场景数据源!$C:$C,$B$65,营销场景数据源!$A:$A,AF2)</f>
        <v>0</v>
      </c>
      <c r="AG65" s="95">
        <f>SUMIFS(营销场景数据源!$H:$H,营销场景数据源!$C:$C,$B$65,营销场景数据源!$A:$A,AG2)</f>
        <v>0</v>
      </c>
      <c r="AH65" s="95">
        <f>SUMIFS(营销场景数据源!$H:$H,营销场景数据源!$C:$C,$B$65,营销场景数据源!$A:$A,AH2)</f>
        <v>0</v>
      </c>
      <c r="AI65" s="95">
        <f>SUMIFS(营销场景数据源!$H:$H,营销场景数据源!$C:$C,$B$65,营销场景数据源!$A:$A,AI2)</f>
        <v>0</v>
      </c>
      <c r="AJ65" s="95">
        <f>SUMIFS(营销场景数据源!$H:$H,营销场景数据源!$C:$C,$B$65,营销场景数据源!$A:$A,AJ2)</f>
        <v>0</v>
      </c>
      <c r="AK65" s="95">
        <f>SUMIFS(营销场景数据源!$H:$H,营销场景数据源!$C:$C,$B$65,营销场景数据源!$A:$A,AK2)</f>
        <v>0</v>
      </c>
      <c r="AL65" s="95">
        <f>SUMIFS(营销场景数据源!$H:$H,营销场景数据源!$C:$C,$B$65,营销场景数据源!$A:$A,AL2)</f>
        <v>0</v>
      </c>
      <c r="AM65" s="95">
        <f>SUMIFS(营销场景数据源!$H:$H,营销场景数据源!$C:$C,$B$65,营销场景数据源!$A:$A,AM2)</f>
        <v>0</v>
      </c>
      <c r="AN65" s="95">
        <f>SUMIFS(营销场景数据源!$H:$H,营销场景数据源!$C:$C,$B$65,营销场景数据源!$A:$A,AN2)</f>
        <v>0</v>
      </c>
      <c r="AO65" s="95">
        <f>SUMIFS(营销场景数据源!$H:$H,营销场景数据源!$C:$C,$B$65,营销场景数据源!$A:$A,AO2)</f>
        <v>0</v>
      </c>
      <c r="AP65" s="95">
        <f>SUMIFS(营销场景数据源!$H:$H,营销场景数据源!$C:$C,$B$65,营销场景数据源!$A:$A,AP2)</f>
        <v>0</v>
      </c>
      <c r="AQ65" s="95">
        <f>SUMIFS(营销场景数据源!$H:$H,营销场景数据源!$C:$C,$B$65,营销场景数据源!$A:$A,AQ2)</f>
        <v>0</v>
      </c>
      <c r="AR65" s="95">
        <f>SUMIFS(营销场景数据源!$H:$H,营销场景数据源!$C:$C,$B$65,营销场景数据源!$A:$A,AR2)</f>
        <v>0</v>
      </c>
      <c r="AS65" s="95">
        <f>SUMIFS(营销场景数据源!$H:$H,营销场景数据源!$C:$C,$B$65,营销场景数据源!$A:$A,AS2)</f>
        <v>0</v>
      </c>
      <c r="AT65" s="95">
        <f>SUMIFS(营销场景数据源!$H:$H,营销场景数据源!$C:$C,$B$65,营销场景数据源!$A:$A,AT2)</f>
        <v>0</v>
      </c>
      <c r="AU65" s="95">
        <f>SUMIFS(营销场景数据源!$H:$H,营销场景数据源!$C:$C,$B$65,营销场景数据源!$A:$A,AU2)</f>
        <v>0</v>
      </c>
      <c r="AV65" s="95">
        <f>SUMIFS(营销场景数据源!$H:$H,营销场景数据源!$C:$C,$B$65,营销场景数据源!$A:$A,AV2)</f>
        <v>0</v>
      </c>
      <c r="AW65" s="65">
        <f>SUM(AX65:BY65)</f>
        <v>0</v>
      </c>
      <c r="AX65" s="95">
        <f>SUMIFS(营销场景数据源!$H:$H,营销场景数据源!$C:$C,$B$65,营销场景数据源!$A:$A,AX2)</f>
        <v>0</v>
      </c>
      <c r="AY65" s="95">
        <f>SUMIFS(营销场景数据源!$H:$H,营销场景数据源!$C:$C,$B$65,营销场景数据源!$A:$A,AY2)</f>
        <v>0</v>
      </c>
      <c r="AZ65" s="95">
        <f>SUMIFS(营销场景数据源!$H:$H,营销场景数据源!$C:$C,$B$65,营销场景数据源!$A:$A,AZ2)</f>
        <v>0</v>
      </c>
      <c r="BA65" s="95">
        <f>SUMIFS(营销场景数据源!$H:$H,营销场景数据源!$C:$C,$B$65,营销场景数据源!$A:$A,BA2)</f>
        <v>0</v>
      </c>
      <c r="BB65" s="95">
        <f>SUMIFS(营销场景数据源!$H:$H,营销场景数据源!$C:$C,$B$65,营销场景数据源!$A:$A,BB2)</f>
        <v>0</v>
      </c>
      <c r="BC65" s="95">
        <f>SUMIFS(营销场景数据源!$H:$H,营销场景数据源!$C:$C,$B$65,营销场景数据源!$A:$A,BC2)</f>
        <v>0</v>
      </c>
      <c r="BD65" s="95">
        <f>SUMIFS(营销场景数据源!$H:$H,营销场景数据源!$C:$C,$B$65,营销场景数据源!$A:$A,BD2)</f>
        <v>0</v>
      </c>
      <c r="BE65" s="95">
        <f>SUMIFS(营销场景数据源!$H:$H,营销场景数据源!$C:$C,$B$65,营销场景数据源!$A:$A,BE2)</f>
        <v>0</v>
      </c>
      <c r="BF65" s="95">
        <f>SUMIFS(营销场景数据源!$H:$H,营销场景数据源!$C:$C,$B$65,营销场景数据源!$A:$A,BF2)</f>
        <v>0</v>
      </c>
      <c r="BG65" s="95">
        <f>SUMIFS(营销场景数据源!$H:$H,营销场景数据源!$C:$C,$B$65,营销场景数据源!$A:$A,BG2)</f>
        <v>0</v>
      </c>
      <c r="BH65" s="95">
        <f>SUMIFS(营销场景数据源!$H:$H,营销场景数据源!$C:$C,$B$65,营销场景数据源!$A:$A,BH2)</f>
        <v>0</v>
      </c>
      <c r="BI65" s="95">
        <f>SUMIFS(营销场景数据源!$H:$H,营销场景数据源!$C:$C,$B$65,营销场景数据源!$A:$A,BI2)</f>
        <v>0</v>
      </c>
      <c r="BJ65" s="95">
        <f>SUMIFS(营销场景数据源!$H:$H,营销场景数据源!$C:$C,$B$65,营销场景数据源!$A:$A,BJ2)</f>
        <v>0</v>
      </c>
      <c r="BK65" s="95">
        <f>SUMIFS(营销场景数据源!$H:$H,营销场景数据源!$C:$C,$B$65,营销场景数据源!$A:$A,BK2)</f>
        <v>0</v>
      </c>
      <c r="BL65" s="95">
        <f>SUMIFS(营销场景数据源!$H:$H,营销场景数据源!$C:$C,$B$65,营销场景数据源!$A:$A,BL2)</f>
        <v>0</v>
      </c>
      <c r="BM65" s="95">
        <f>SUMIFS(营销场景数据源!$H:$H,营销场景数据源!$C:$C,$B$65,营销场景数据源!$A:$A,BM2)</f>
        <v>0</v>
      </c>
      <c r="BN65" s="95">
        <f>SUMIFS(营销场景数据源!$H:$H,营销场景数据源!$C:$C,$B$65,营销场景数据源!$A:$A,BN2)</f>
        <v>0</v>
      </c>
      <c r="BO65" s="95">
        <f>SUMIFS(营销场景数据源!$H:$H,营销场景数据源!$C:$C,$B$65,营销场景数据源!$A:$A,BO2)</f>
        <v>0</v>
      </c>
      <c r="BP65" s="95">
        <f>SUMIFS(营销场景数据源!$H:$H,营销场景数据源!$C:$C,$B$65,营销场景数据源!$A:$A,BP2)</f>
        <v>0</v>
      </c>
      <c r="BQ65" s="95">
        <f>SUMIFS(营销场景数据源!$H:$H,营销场景数据源!$C:$C,$B$65,营销场景数据源!$A:$A,BQ2)</f>
        <v>0</v>
      </c>
      <c r="BR65" s="95">
        <f>SUMIFS(营销场景数据源!$H:$H,营销场景数据源!$C:$C,$B$65,营销场景数据源!$A:$A,BR2)</f>
        <v>0</v>
      </c>
      <c r="BS65" s="95">
        <f>SUMIFS(营销场景数据源!$H:$H,营销场景数据源!$C:$C,$B$65,营销场景数据源!$A:$A,BS2)</f>
        <v>0</v>
      </c>
      <c r="BT65" s="95">
        <f>SUMIFS(营销场景数据源!$H:$H,营销场景数据源!$C:$C,$B$65,营销场景数据源!$A:$A,BT2)</f>
        <v>0</v>
      </c>
      <c r="BU65" s="95">
        <f>SUMIFS(营销场景数据源!$H:$H,营销场景数据源!$C:$C,$B$65,营销场景数据源!$A:$A,BU2)</f>
        <v>0</v>
      </c>
      <c r="BV65" s="95">
        <f>SUMIFS(营销场景数据源!$H:$H,营销场景数据源!$C:$C,$B$65,营销场景数据源!$A:$A,BV2)</f>
        <v>0</v>
      </c>
      <c r="BW65" s="95">
        <f>SUMIFS(营销场景数据源!$H:$H,营销场景数据源!$C:$C,$B$65,营销场景数据源!$A:$A,BW2)</f>
        <v>0</v>
      </c>
      <c r="BX65" s="95">
        <f>SUMIFS(营销场景数据源!$H:$H,营销场景数据源!$C:$C,$B$65,营销场景数据源!$A:$A,BX2)</f>
        <v>0</v>
      </c>
      <c r="BY65" s="95">
        <f>SUMIFS(营销场景数据源!$H:$H,营销场景数据源!$C:$C,$B$65,营销场景数据源!$A:$A,BY2)</f>
        <v>0</v>
      </c>
      <c r="BZ65" s="65">
        <f>SUM(CA65:DE65)</f>
        <v>0</v>
      </c>
      <c r="CA65" s="95">
        <f>SUMIFS(营销场景数据源!$H:$H,营销场景数据源!$C:$C,$B$65,营销场景数据源!$A:$A,CA2)</f>
        <v>0</v>
      </c>
      <c r="CB65" s="95">
        <f>SUMIFS(营销场景数据源!$H:$H,营销场景数据源!$C:$C,$B$65,营销场景数据源!$A:$A,CB2)</f>
        <v>0</v>
      </c>
      <c r="CC65" s="95">
        <f>SUMIFS(营销场景数据源!$H:$H,营销场景数据源!$C:$C,$B$65,营销场景数据源!$A:$A,CC2)</f>
        <v>0</v>
      </c>
      <c r="CD65" s="95">
        <f>SUMIFS(营销场景数据源!$H:$H,营销场景数据源!$C:$C,$B$65,营销场景数据源!$A:$A,CD2)</f>
        <v>0</v>
      </c>
      <c r="CE65" s="95">
        <f>SUMIFS(营销场景数据源!$H:$H,营销场景数据源!$C:$C,$B$65,营销场景数据源!$A:$A,CE2)</f>
        <v>0</v>
      </c>
      <c r="CF65" s="95">
        <f>SUMIFS(营销场景数据源!$H:$H,营销场景数据源!$C:$C,$B$65,营销场景数据源!$A:$A,CF2)</f>
        <v>0</v>
      </c>
      <c r="CG65" s="95">
        <f>SUMIFS(营销场景数据源!$H:$H,营销场景数据源!$C:$C,$B$65,营销场景数据源!$A:$A,CG2)</f>
        <v>0</v>
      </c>
      <c r="CH65" s="95">
        <f>SUMIFS(营销场景数据源!$H:$H,营销场景数据源!$C:$C,$B$65,营销场景数据源!$A:$A,CH2)</f>
        <v>0</v>
      </c>
      <c r="CI65" s="95">
        <f>SUMIFS(营销场景数据源!$H:$H,营销场景数据源!$C:$C,$B$65,营销场景数据源!$A:$A,CI2)</f>
        <v>0</v>
      </c>
      <c r="CJ65" s="95">
        <f>SUMIFS(营销场景数据源!$H:$H,营销场景数据源!$C:$C,$B$65,营销场景数据源!$A:$A,CJ2)</f>
        <v>0</v>
      </c>
      <c r="CK65" s="95">
        <f>SUMIFS(营销场景数据源!$H:$H,营销场景数据源!$C:$C,$B$65,营销场景数据源!$A:$A,CK2)</f>
        <v>0</v>
      </c>
      <c r="CL65" s="95">
        <f>SUMIFS(营销场景数据源!$H:$H,营销场景数据源!$C:$C,$B$65,营销场景数据源!$A:$A,CL2)</f>
        <v>0</v>
      </c>
      <c r="CM65" s="95">
        <f>SUMIFS(营销场景数据源!$H:$H,营销场景数据源!$C:$C,$B$65,营销场景数据源!$A:$A,CM2)</f>
        <v>0</v>
      </c>
      <c r="CN65" s="95">
        <f>SUMIFS(营销场景数据源!$H:$H,营销场景数据源!$C:$C,$B$65,营销场景数据源!$A:$A,CN2)</f>
        <v>0</v>
      </c>
      <c r="CO65" s="95">
        <f>SUMIFS(营销场景数据源!$H:$H,营销场景数据源!$C:$C,$B$65,营销场景数据源!$A:$A,CO2)</f>
        <v>0</v>
      </c>
      <c r="CP65" s="95">
        <f>SUMIFS(营销场景数据源!$H:$H,营销场景数据源!$C:$C,$B$65,营销场景数据源!$A:$A,CP2)</f>
        <v>0</v>
      </c>
      <c r="CQ65" s="95">
        <f>SUMIFS(营销场景数据源!$H:$H,营销场景数据源!$C:$C,$B$65,营销场景数据源!$A:$A,CQ2)</f>
        <v>0</v>
      </c>
      <c r="CR65" s="95">
        <f>SUMIFS(营销场景数据源!$H:$H,营销场景数据源!$C:$C,$B$65,营销场景数据源!$A:$A,CR2)</f>
        <v>0</v>
      </c>
      <c r="CS65" s="95">
        <f>SUMIFS(营销场景数据源!$H:$H,营销场景数据源!$C:$C,$B$65,营销场景数据源!$A:$A,CS2)</f>
        <v>0</v>
      </c>
      <c r="CT65" s="95">
        <f>SUMIFS(营销场景数据源!$H:$H,营销场景数据源!$C:$C,$B$65,营销场景数据源!$A:$A,CT2)</f>
        <v>0</v>
      </c>
      <c r="CU65" s="95">
        <f>SUMIFS(营销场景数据源!$H:$H,营销场景数据源!$C:$C,$B$65,营销场景数据源!$A:$A,CU2)</f>
        <v>0</v>
      </c>
      <c r="CV65" s="95">
        <f>SUMIFS(营销场景数据源!$H:$H,营销场景数据源!$C:$C,$B$65,营销场景数据源!$A:$A,CV2)</f>
        <v>0</v>
      </c>
      <c r="CW65" s="95">
        <f>SUMIFS(营销场景数据源!$H:$H,营销场景数据源!$C:$C,$B$65,营销场景数据源!$A:$A,CW2)</f>
        <v>0</v>
      </c>
      <c r="CX65" s="95">
        <f>SUMIFS(营销场景数据源!$H:$H,营销场景数据源!$C:$C,$B$65,营销场景数据源!$A:$A,CX2)</f>
        <v>0</v>
      </c>
      <c r="CY65" s="95">
        <f>SUMIFS(营销场景数据源!$H:$H,营销场景数据源!$C:$C,$B$65,营销场景数据源!$A:$A,CY2)</f>
        <v>0</v>
      </c>
      <c r="CZ65" s="95">
        <f>SUMIFS(营销场景数据源!$H:$H,营销场景数据源!$C:$C,$B$65,营销场景数据源!$A:$A,CZ2)</f>
        <v>0</v>
      </c>
      <c r="DA65" s="95">
        <f>SUMIFS(营销场景数据源!$H:$H,营销场景数据源!$C:$C,$B$65,营销场景数据源!$A:$A,DA2)</f>
        <v>0</v>
      </c>
      <c r="DB65" s="95">
        <f>SUMIFS(营销场景数据源!$H:$H,营销场景数据源!$C:$C,$B$65,营销场景数据源!$A:$A,DB2)</f>
        <v>0</v>
      </c>
      <c r="DC65" s="95">
        <f>SUMIFS(营销场景数据源!$H:$H,营销场景数据源!$C:$C,$B$65,营销场景数据源!$A:$A,DC2)</f>
        <v>0</v>
      </c>
      <c r="DD65" s="95">
        <f>SUMIFS(营销场景数据源!$H:$H,营销场景数据源!$C:$C,$B$65,营销场景数据源!$A:$A,DD2)</f>
        <v>0</v>
      </c>
      <c r="DE65" s="95">
        <f>SUMIFS(营销场景数据源!$H:$H,营销场景数据源!$C:$C,$B$65,营销场景数据源!$A:$A,DE2)</f>
        <v>0</v>
      </c>
      <c r="DF65" s="65">
        <f>SUM(DG65:EJ65)</f>
        <v>0</v>
      </c>
      <c r="DG65" s="95">
        <f>SUMIFS(营销场景数据源!$H:$H,营销场景数据源!$C:$C,$B$65,营销场景数据源!$A:$A,DG2)</f>
        <v>0</v>
      </c>
      <c r="DH65" s="95">
        <f>SUMIFS(营销场景数据源!$H:$H,营销场景数据源!$C:$C,$B$65,营销场景数据源!$A:$A,DH2)</f>
        <v>0</v>
      </c>
      <c r="DI65" s="95">
        <f>SUMIFS(营销场景数据源!$H:$H,营销场景数据源!$C:$C,$B$65,营销场景数据源!$A:$A,DI2)</f>
        <v>0</v>
      </c>
      <c r="DJ65" s="95">
        <f>SUMIFS(营销场景数据源!$H:$H,营销场景数据源!$C:$C,$B$65,营销场景数据源!$A:$A,DJ2)</f>
        <v>0</v>
      </c>
      <c r="DK65" s="95">
        <f>SUMIFS(营销场景数据源!$H:$H,营销场景数据源!$C:$C,$B$65,营销场景数据源!$A:$A,DK2)</f>
        <v>0</v>
      </c>
      <c r="DL65" s="95">
        <f>SUMIFS(营销场景数据源!$H:$H,营销场景数据源!$C:$C,$B$65,营销场景数据源!$A:$A,DL2)</f>
        <v>0</v>
      </c>
      <c r="DM65" s="95">
        <f>SUMIFS(营销场景数据源!$H:$H,营销场景数据源!$C:$C,$B$65,营销场景数据源!$A:$A,DM2)</f>
        <v>0</v>
      </c>
      <c r="DN65" s="95">
        <f>SUMIFS(营销场景数据源!$H:$H,营销场景数据源!$C:$C,$B$65,营销场景数据源!$A:$A,DN2)</f>
        <v>0</v>
      </c>
      <c r="DO65" s="95">
        <f>SUMIFS(营销场景数据源!$H:$H,营销场景数据源!$C:$C,$B$65,营销场景数据源!$A:$A,DO2)</f>
        <v>0</v>
      </c>
      <c r="DP65" s="95">
        <f>SUMIFS(营销场景数据源!$H:$H,营销场景数据源!$C:$C,$B$65,营销场景数据源!$A:$A,DP2)</f>
        <v>0</v>
      </c>
      <c r="DQ65" s="95">
        <f>SUMIFS(营销场景数据源!$H:$H,营销场景数据源!$C:$C,$B$65,营销场景数据源!$A:$A,DQ2)</f>
        <v>0</v>
      </c>
      <c r="DR65" s="95">
        <f>SUMIFS(营销场景数据源!$H:$H,营销场景数据源!$C:$C,$B$65,营销场景数据源!$A:$A,DR2)</f>
        <v>0</v>
      </c>
      <c r="DS65" s="95">
        <f>SUMIFS(营销场景数据源!$H:$H,营销场景数据源!$C:$C,$B$65,营销场景数据源!$A:$A,DS2)</f>
        <v>0</v>
      </c>
      <c r="DT65" s="95">
        <f>SUMIFS(营销场景数据源!$H:$H,营销场景数据源!$C:$C,$B$65,营销场景数据源!$A:$A,DT2)</f>
        <v>0</v>
      </c>
      <c r="DU65" s="95">
        <f>SUMIFS(营销场景数据源!$H:$H,营销场景数据源!$C:$C,$B$65,营销场景数据源!$A:$A,DU2)</f>
        <v>0</v>
      </c>
      <c r="DV65" s="95">
        <f>SUMIFS(营销场景数据源!$H:$H,营销场景数据源!$C:$C,$B$65,营销场景数据源!$A:$A,DV2)</f>
        <v>0</v>
      </c>
      <c r="DW65" s="95">
        <f>SUMIFS(营销场景数据源!$H:$H,营销场景数据源!$C:$C,$B$65,营销场景数据源!$A:$A,DW2)</f>
        <v>0</v>
      </c>
      <c r="DX65" s="95">
        <f>SUMIFS(营销场景数据源!$H:$H,营销场景数据源!$C:$C,$B$65,营销场景数据源!$A:$A,DX2)</f>
        <v>0</v>
      </c>
      <c r="DY65" s="95">
        <f>SUMIFS(营销场景数据源!$H:$H,营销场景数据源!$C:$C,$B$65,营销场景数据源!$A:$A,DY2)</f>
        <v>0</v>
      </c>
      <c r="DZ65" s="95">
        <f>SUMIFS(营销场景数据源!$H:$H,营销场景数据源!$C:$C,$B$65,营销场景数据源!$A:$A,DZ2)</f>
        <v>0</v>
      </c>
      <c r="EA65" s="95">
        <f>SUMIFS(营销场景数据源!$H:$H,营销场景数据源!$C:$C,$B$65,营销场景数据源!$A:$A,EA2)</f>
        <v>0</v>
      </c>
      <c r="EB65" s="95">
        <f>SUMIFS(营销场景数据源!$H:$H,营销场景数据源!$C:$C,$B$65,营销场景数据源!$A:$A,EB2)</f>
        <v>0</v>
      </c>
      <c r="EC65" s="95">
        <f>SUMIFS(营销场景数据源!$H:$H,营销场景数据源!$C:$C,$B$65,营销场景数据源!$A:$A,EC2)</f>
        <v>0</v>
      </c>
      <c r="ED65" s="95">
        <f>SUMIFS(营销场景数据源!$H:$H,营销场景数据源!$C:$C,$B$65,营销场景数据源!$A:$A,ED2)</f>
        <v>0</v>
      </c>
      <c r="EE65" s="95">
        <f>SUMIFS(营销场景数据源!$H:$H,营销场景数据源!$C:$C,$B$65,营销场景数据源!$A:$A,EE2)</f>
        <v>0</v>
      </c>
      <c r="EF65" s="95">
        <f>SUMIFS(营销场景数据源!$H:$H,营销场景数据源!$C:$C,$B$65,营销场景数据源!$A:$A,EF2)</f>
        <v>0</v>
      </c>
      <c r="EG65" s="95">
        <f>SUMIFS(营销场景数据源!$H:$H,营销场景数据源!$C:$C,$B$65,营销场景数据源!$A:$A,EG2)</f>
        <v>0</v>
      </c>
      <c r="EH65" s="95">
        <f>SUMIFS(营销场景数据源!$H:$H,营销场景数据源!$C:$C,$B$65,营销场景数据源!$A:$A,EH2)</f>
        <v>0</v>
      </c>
      <c r="EI65" s="95">
        <f>SUMIFS(营销场景数据源!$H:$H,营销场景数据源!$C:$C,$B$65,营销场景数据源!$A:$A,EI2)</f>
        <v>0</v>
      </c>
      <c r="EJ65" s="95">
        <f>SUMIFS(营销场景数据源!$H:$H,营销场景数据源!$C:$C,$B$65,营销场景数据源!$A:$A,EJ2)</f>
        <v>0</v>
      </c>
      <c r="EK65" s="65">
        <f>SUM(EL65:FP65)</f>
        <v>0</v>
      </c>
      <c r="EL65" s="95">
        <f>SUMIFS(营销场景数据源!$H:$H,营销场景数据源!$C:$C,$B$65,营销场景数据源!$A:$A,EL2)</f>
        <v>0</v>
      </c>
      <c r="EM65" s="95">
        <f>SUMIFS(营销场景数据源!$H:$H,营销场景数据源!$C:$C,$B$65,营销场景数据源!$A:$A,EM2)</f>
        <v>0</v>
      </c>
      <c r="EN65" s="95">
        <f>SUMIFS(营销场景数据源!$H:$H,营销场景数据源!$C:$C,$B$65,营销场景数据源!$A:$A,EN2)</f>
        <v>0</v>
      </c>
      <c r="EO65" s="95">
        <f>SUMIFS(营销场景数据源!$H:$H,营销场景数据源!$C:$C,$B$65,营销场景数据源!$A:$A,EO2)</f>
        <v>0</v>
      </c>
      <c r="EP65" s="95">
        <f>SUMIFS(营销场景数据源!$H:$H,营销场景数据源!$C:$C,$B$65,营销场景数据源!$A:$A,EP2)</f>
        <v>0</v>
      </c>
      <c r="EQ65" s="95">
        <f>SUMIFS(营销场景数据源!$H:$H,营销场景数据源!$C:$C,$B$65,营销场景数据源!$A:$A,EQ2)</f>
        <v>0</v>
      </c>
      <c r="ER65" s="95">
        <f>SUMIFS(营销场景数据源!$H:$H,营销场景数据源!$C:$C,$B$65,营销场景数据源!$A:$A,ER2)</f>
        <v>0</v>
      </c>
      <c r="ES65" s="95">
        <f>SUMIFS(营销场景数据源!$H:$H,营销场景数据源!$C:$C,$B$65,营销场景数据源!$A:$A,ES2)</f>
        <v>0</v>
      </c>
      <c r="ET65" s="95">
        <f>SUMIFS(营销场景数据源!$H:$H,营销场景数据源!$C:$C,$B$65,营销场景数据源!$A:$A,ET2)</f>
        <v>0</v>
      </c>
      <c r="EU65" s="95">
        <f>SUMIFS(营销场景数据源!$H:$H,营销场景数据源!$C:$C,$B$65,营销场景数据源!$A:$A,EU2)</f>
        <v>0</v>
      </c>
      <c r="EV65" s="95">
        <f>SUMIFS(营销场景数据源!$H:$H,营销场景数据源!$C:$C,$B$65,营销场景数据源!$A:$A,EV2)</f>
        <v>0</v>
      </c>
      <c r="EW65" s="95">
        <f>SUMIFS(营销场景数据源!$H:$H,营销场景数据源!$C:$C,$B$65,营销场景数据源!$A:$A,EW2)</f>
        <v>0</v>
      </c>
      <c r="EX65" s="95">
        <f>SUMIFS(营销场景数据源!$H:$H,营销场景数据源!$C:$C,$B$65,营销场景数据源!$A:$A,EX2)</f>
        <v>0</v>
      </c>
      <c r="EY65" s="95">
        <f>SUMIFS(营销场景数据源!$H:$H,营销场景数据源!$C:$C,$B$65,营销场景数据源!$A:$A,EY2)</f>
        <v>0</v>
      </c>
      <c r="EZ65" s="95">
        <f>SUMIFS(营销场景数据源!$H:$H,营销场景数据源!$C:$C,$B$65,营销场景数据源!$A:$A,EZ2)</f>
        <v>0</v>
      </c>
      <c r="FA65" s="95">
        <f>SUMIFS(营销场景数据源!$H:$H,营销场景数据源!$C:$C,$B$65,营销场景数据源!$A:$A,FA2)</f>
        <v>0</v>
      </c>
      <c r="FB65" s="95">
        <f>SUMIFS(营销场景数据源!$H:$H,营销场景数据源!$C:$C,$B$65,营销场景数据源!$A:$A,FB2)</f>
        <v>0</v>
      </c>
      <c r="FC65" s="95">
        <f>SUMIFS(营销场景数据源!$H:$H,营销场景数据源!$C:$C,$B$65,营销场景数据源!$A:$A,FC2)</f>
        <v>0</v>
      </c>
      <c r="FD65" s="95">
        <f>SUMIFS(营销场景数据源!$H:$H,营销场景数据源!$C:$C,$B$65,营销场景数据源!$A:$A,FD2)</f>
        <v>0</v>
      </c>
      <c r="FE65" s="95">
        <f>SUMIFS(营销场景数据源!$H:$H,营销场景数据源!$C:$C,$B$65,营销场景数据源!$A:$A,FE2)</f>
        <v>0</v>
      </c>
      <c r="FF65" s="95">
        <f>SUMIFS(营销场景数据源!$H:$H,营销场景数据源!$C:$C,$B$65,营销场景数据源!$A:$A,FF2)</f>
        <v>0</v>
      </c>
      <c r="FG65" s="95">
        <f>SUMIFS(营销场景数据源!$H:$H,营销场景数据源!$C:$C,$B$65,营销场景数据源!$A:$A,FG2)</f>
        <v>0</v>
      </c>
      <c r="FH65" s="95">
        <f>SUMIFS(营销场景数据源!$H:$H,营销场景数据源!$C:$C,$B$65,营销场景数据源!$A:$A,FH2)</f>
        <v>0</v>
      </c>
      <c r="FI65" s="95">
        <f>SUMIFS(营销场景数据源!$H:$H,营销场景数据源!$C:$C,$B$65,营销场景数据源!$A:$A,FI2)</f>
        <v>0</v>
      </c>
      <c r="FJ65" s="95">
        <f>SUMIFS(营销场景数据源!$H:$H,营销场景数据源!$C:$C,$B$65,营销场景数据源!$A:$A,FJ2)</f>
        <v>0</v>
      </c>
      <c r="FK65" s="95">
        <f>SUMIFS(营销场景数据源!$H:$H,营销场景数据源!$C:$C,$B$65,营销场景数据源!$A:$A,FK2)</f>
        <v>0</v>
      </c>
      <c r="FL65" s="95">
        <f>SUMIFS(营销场景数据源!$H:$H,营销场景数据源!$C:$C,$B$65,营销场景数据源!$A:$A,FL2)</f>
        <v>0</v>
      </c>
      <c r="FM65" s="95">
        <f>SUMIFS(营销场景数据源!$H:$H,营销场景数据源!$C:$C,$B$65,营销场景数据源!$A:$A,FM2)</f>
        <v>0</v>
      </c>
      <c r="FN65" s="95">
        <f>SUMIFS(营销场景数据源!$H:$H,营销场景数据源!$C:$C,$B$65,营销场景数据源!$A:$A,FN2)</f>
        <v>0</v>
      </c>
      <c r="FO65" s="95">
        <f>SUMIFS(营销场景数据源!$H:$H,营销场景数据源!$C:$C,$B$65,营销场景数据源!$A:$A,FO2)</f>
        <v>0</v>
      </c>
      <c r="FP65" s="95">
        <f>SUMIFS(营销场景数据源!$H:$H,营销场景数据源!$C:$C,$B$65,营销场景数据源!$A:$A,FP2)</f>
        <v>0</v>
      </c>
      <c r="FQ65" s="65">
        <f t="shared" ref="FQ65:FQ69" si="342">SUM(FR65:GX65)</f>
        <v>0</v>
      </c>
      <c r="FR65" s="95">
        <f>SUMIFS(营销场景数据源!$H:$H,营销场景数据源!$C:$C,$B$65,营销场景数据源!$A:$A,FR2)</f>
        <v>0</v>
      </c>
      <c r="FS65" s="95">
        <f>SUMIFS(营销场景数据源!$H:$H,营销场景数据源!$C:$C,$B$65,营销场景数据源!$A:$A,FS2)</f>
        <v>0</v>
      </c>
      <c r="FT65" s="95">
        <f>SUMIFS(营销场景数据源!$H:$H,营销场景数据源!$C:$C,$B$65,营销场景数据源!$A:$A,FT2)</f>
        <v>0</v>
      </c>
      <c r="FU65" s="95">
        <f>SUMIFS(营销场景数据源!$H:$H,营销场景数据源!$C:$C,$B$65,营销场景数据源!$A:$A,FU2)</f>
        <v>0</v>
      </c>
      <c r="FV65" s="95">
        <f>SUMIFS(营销场景数据源!$H:$H,营销场景数据源!$C:$C,$B$65,营销场景数据源!$A:$A,FV2)</f>
        <v>0</v>
      </c>
      <c r="FW65" s="95">
        <f>SUMIFS(营销场景数据源!$H:$H,营销场景数据源!$C:$C,$B$65,营销场景数据源!$A:$A,FW2)</f>
        <v>0</v>
      </c>
      <c r="FX65" s="95">
        <f>SUMIFS(营销场景数据源!$H:$H,营销场景数据源!$C:$C,$B$65,营销场景数据源!$A:$A,FX2)</f>
        <v>0</v>
      </c>
      <c r="FY65" s="95">
        <f>SUMIFS(营销场景数据源!$H:$H,营销场景数据源!$C:$C,$B$65,营销场景数据源!$A:$A,FY2)</f>
        <v>0</v>
      </c>
      <c r="FZ65" s="95">
        <f>SUMIFS(营销场景数据源!$H:$H,营销场景数据源!$C:$C,$B$65,营销场景数据源!$A:$A,FZ2)</f>
        <v>0</v>
      </c>
      <c r="GA65" s="95">
        <f>SUMIFS(营销场景数据源!$H:$H,营销场景数据源!$C:$C,$B$65,营销场景数据源!$A:$A,GA2)</f>
        <v>0</v>
      </c>
      <c r="GB65" s="95">
        <f>SUMIFS(营销场景数据源!$H:$H,营销场景数据源!$C:$C,$B$65,营销场景数据源!$A:$A,GB2)</f>
        <v>0</v>
      </c>
      <c r="GC65" s="95">
        <f>SUMIFS(营销场景数据源!$H:$H,营销场景数据源!$C:$C,$B$65,营销场景数据源!$A:$A,GC2)</f>
        <v>0</v>
      </c>
      <c r="GD65" s="95">
        <f>SUMIFS(营销场景数据源!$H:$H,营销场景数据源!$C:$C,$B$65,营销场景数据源!$A:$A,GD2)</f>
        <v>0</v>
      </c>
      <c r="GE65" s="95">
        <f>SUMIFS(营销场景数据源!$H:$H,营销场景数据源!$C:$C,$B$65,营销场景数据源!$A:$A,GE2)</f>
        <v>0</v>
      </c>
      <c r="GF65" s="95">
        <f>SUMIFS(营销场景数据源!$H:$H,营销场景数据源!$C:$C,$B$65,营销场景数据源!$A:$A,GF2)</f>
        <v>0</v>
      </c>
      <c r="GG65" s="95">
        <f>SUMIFS(营销场景数据源!$H:$H,营销场景数据源!$C:$C,$B$65,营销场景数据源!$A:$A,GG2)</f>
        <v>0</v>
      </c>
      <c r="GH65" s="95">
        <f>SUMIFS(营销场景数据源!$H:$H,营销场景数据源!$C:$C,$B$65,营销场景数据源!$A:$A,GH2)</f>
        <v>0</v>
      </c>
      <c r="GI65" s="95">
        <f>SUMIFS(营销场景数据源!$H:$H,营销场景数据源!$C:$C,$B$65,营销场景数据源!$A:$A,GI2)</f>
        <v>0</v>
      </c>
      <c r="GJ65" s="95">
        <f>SUMIFS(营销场景数据源!$H:$H,营销场景数据源!$C:$C,$B$65,营销场景数据源!$A:$A,GJ2)</f>
        <v>0</v>
      </c>
      <c r="GK65" s="95">
        <f>SUMIFS(营销场景数据源!$H:$H,营销场景数据源!$C:$C,$B$65,营销场景数据源!$A:$A,GK2)</f>
        <v>0</v>
      </c>
      <c r="GL65" s="95">
        <f>SUMIFS(营销场景数据源!$H:$H,营销场景数据源!$C:$C,$B$65,营销场景数据源!$A:$A,GL2)</f>
        <v>0</v>
      </c>
      <c r="GM65" s="95">
        <f>SUMIFS(营销场景数据源!$H:$H,营销场景数据源!$C:$C,$B$65,营销场景数据源!$A:$A,GM2)</f>
        <v>0</v>
      </c>
      <c r="GN65" s="95">
        <f>SUMIFS(营销场景数据源!$H:$H,营销场景数据源!$C:$C,$B$65,营销场景数据源!$A:$A,GN2)</f>
        <v>0</v>
      </c>
      <c r="GO65" s="95">
        <f>SUMIFS(营销场景数据源!$H:$H,营销场景数据源!$C:$C,$B$65,营销场景数据源!$A:$A,GO2)</f>
        <v>0</v>
      </c>
      <c r="GP65" s="95">
        <f>SUMIFS(营销场景数据源!$H:$H,营销场景数据源!$C:$C,$B$65,营销场景数据源!$A:$A,GP2)</f>
        <v>0</v>
      </c>
    </row>
    <row r="66" s="47" customFormat="1" ht="15" hidden="1" customHeight="1" spans="2:198">
      <c r="B66" s="103"/>
      <c r="C66" s="104" t="s">
        <v>21</v>
      </c>
      <c r="D66" s="94" t="e">
        <f>SUM(E66:P66)</f>
        <v>#REF!</v>
      </c>
      <c r="E66" s="105" t="e">
        <f>#REF!</f>
        <v>#REF!</v>
      </c>
      <c r="F66" s="105" t="e">
        <f>#REF!</f>
        <v>#REF!</v>
      </c>
      <c r="G66" s="105" t="e">
        <f>#REF!</f>
        <v>#REF!</v>
      </c>
      <c r="H66" s="105" t="e">
        <f>#REF!</f>
        <v>#REF!</v>
      </c>
      <c r="I66" s="105" t="e">
        <f>#REF!</f>
        <v>#REF!</v>
      </c>
      <c r="J66" s="105" t="e">
        <f>#REF!</f>
        <v>#REF!</v>
      </c>
      <c r="K66" s="105" t="e">
        <f>#REF!</f>
        <v>#REF!</v>
      </c>
      <c r="L66" s="105" t="e">
        <f>#REF!</f>
        <v>#REF!</v>
      </c>
      <c r="M66" s="105" t="e">
        <f>#REF!</f>
        <v>#REF!</v>
      </c>
      <c r="N66" s="105" t="e">
        <f>#REF!</f>
        <v>#REF!</v>
      </c>
      <c r="O66" s="105" t="e">
        <f>#REF!</f>
        <v>#REF!</v>
      </c>
      <c r="P66" s="105" t="e">
        <f>#REF!</f>
        <v>#REF!</v>
      </c>
      <c r="Q66" s="65">
        <f>SUM(R66:AV66)</f>
        <v>0</v>
      </c>
      <c r="R66" s="95">
        <f>SUMIFS(营销场景数据源!$G:$G,营销场景数据源!$C:$C,$B$65,营销场景数据源!$A:$A,R2)</f>
        <v>0</v>
      </c>
      <c r="S66" s="95">
        <f>SUMIFS(营销场景数据源!$G:$G,营销场景数据源!$C:$C,$B$65,营销场景数据源!$A:$A,S2)</f>
        <v>0</v>
      </c>
      <c r="T66" s="95">
        <f>SUMIFS(营销场景数据源!$G:$G,营销场景数据源!$C:$C,$B$65,营销场景数据源!$A:$A,T2)</f>
        <v>0</v>
      </c>
      <c r="U66" s="95">
        <f>SUMIFS(营销场景数据源!$G:$G,营销场景数据源!$C:$C,$B$65,营销场景数据源!$A:$A,U2)</f>
        <v>0</v>
      </c>
      <c r="V66" s="95">
        <f>SUMIFS(营销场景数据源!$G:$G,营销场景数据源!$C:$C,$B$65,营销场景数据源!$A:$A,V2)</f>
        <v>0</v>
      </c>
      <c r="W66" s="95">
        <f>SUMIFS(营销场景数据源!$G:$G,营销场景数据源!$C:$C,$B$65,营销场景数据源!$A:$A,W2)</f>
        <v>0</v>
      </c>
      <c r="X66" s="95">
        <f>SUMIFS(营销场景数据源!$G:$G,营销场景数据源!$C:$C,$B$65,营销场景数据源!$A:$A,X2)</f>
        <v>0</v>
      </c>
      <c r="Y66" s="95">
        <f>SUMIFS(营销场景数据源!$G:$G,营销场景数据源!$C:$C,$B$65,营销场景数据源!$A:$A,Y2)</f>
        <v>0</v>
      </c>
      <c r="Z66" s="95">
        <f>SUMIFS(营销场景数据源!$G:$G,营销场景数据源!$C:$C,$B$65,营销场景数据源!$A:$A,Z2)</f>
        <v>0</v>
      </c>
      <c r="AA66" s="95">
        <f>SUMIFS(营销场景数据源!$G:$G,营销场景数据源!$C:$C,$B$65,营销场景数据源!$A:$A,AA2)</f>
        <v>0</v>
      </c>
      <c r="AB66" s="95">
        <f>SUMIFS(营销场景数据源!$G:$G,营销场景数据源!$C:$C,$B$65,营销场景数据源!$A:$A,AB2)</f>
        <v>0</v>
      </c>
      <c r="AC66" s="95">
        <f>SUMIFS(营销场景数据源!$G:$G,营销场景数据源!$C:$C,$B$65,营销场景数据源!$A:$A,AC2)</f>
        <v>0</v>
      </c>
      <c r="AD66" s="95">
        <f>SUMIFS(营销场景数据源!$G:$G,营销场景数据源!$C:$C,$B$65,营销场景数据源!$A:$A,AD2)</f>
        <v>0</v>
      </c>
      <c r="AE66" s="95">
        <f>SUMIFS(营销场景数据源!$G:$G,营销场景数据源!$C:$C,$B$65,营销场景数据源!$A:$A,AE2)</f>
        <v>0</v>
      </c>
      <c r="AF66" s="95">
        <f>SUMIFS(营销场景数据源!$G:$G,营销场景数据源!$C:$C,$B$65,营销场景数据源!$A:$A,AF2)</f>
        <v>0</v>
      </c>
      <c r="AG66" s="95">
        <f>SUMIFS(营销场景数据源!$G:$G,营销场景数据源!$C:$C,$B$65,营销场景数据源!$A:$A,AG2)</f>
        <v>0</v>
      </c>
      <c r="AH66" s="95">
        <f>SUMIFS(营销场景数据源!$G:$G,营销场景数据源!$C:$C,$B$65,营销场景数据源!$A:$A,AH2)</f>
        <v>0</v>
      </c>
      <c r="AI66" s="95">
        <f>SUMIFS(营销场景数据源!$G:$G,营销场景数据源!$C:$C,$B$65,营销场景数据源!$A:$A,AI2)</f>
        <v>0</v>
      </c>
      <c r="AJ66" s="95">
        <f>SUMIFS(营销场景数据源!$G:$G,营销场景数据源!$C:$C,$B$65,营销场景数据源!$A:$A,AJ2)</f>
        <v>0</v>
      </c>
      <c r="AK66" s="95">
        <f>SUMIFS(营销场景数据源!$G:$G,营销场景数据源!$C:$C,$B$65,营销场景数据源!$A:$A,AK2)</f>
        <v>0</v>
      </c>
      <c r="AL66" s="95">
        <f>SUMIFS(营销场景数据源!$G:$G,营销场景数据源!$C:$C,$B$65,营销场景数据源!$A:$A,AL2)</f>
        <v>0</v>
      </c>
      <c r="AM66" s="95">
        <f>SUMIFS(营销场景数据源!$G:$G,营销场景数据源!$C:$C,$B$65,营销场景数据源!$A:$A,AM2)</f>
        <v>0</v>
      </c>
      <c r="AN66" s="95">
        <f>SUMIFS(营销场景数据源!$G:$G,营销场景数据源!$C:$C,$B$65,营销场景数据源!$A:$A,AN2)</f>
        <v>0</v>
      </c>
      <c r="AO66" s="95">
        <f>SUMIFS(营销场景数据源!$G:$G,营销场景数据源!$C:$C,$B$65,营销场景数据源!$A:$A,AO2)</f>
        <v>0</v>
      </c>
      <c r="AP66" s="95">
        <f>SUMIFS(营销场景数据源!$G:$G,营销场景数据源!$C:$C,$B$65,营销场景数据源!$A:$A,AP2)</f>
        <v>0</v>
      </c>
      <c r="AQ66" s="95">
        <f>SUMIFS(营销场景数据源!$G:$G,营销场景数据源!$C:$C,$B$65,营销场景数据源!$A:$A,AQ2)</f>
        <v>0</v>
      </c>
      <c r="AR66" s="95">
        <f>SUMIFS(营销场景数据源!$G:$G,营销场景数据源!$C:$C,$B$65,营销场景数据源!$A:$A,AR2)</f>
        <v>0</v>
      </c>
      <c r="AS66" s="95">
        <f>SUMIFS(营销场景数据源!$G:$G,营销场景数据源!$C:$C,$B$65,营销场景数据源!$A:$A,AS2)</f>
        <v>0</v>
      </c>
      <c r="AT66" s="95">
        <f>SUMIFS(营销场景数据源!$G:$G,营销场景数据源!$C:$C,$B$65,营销场景数据源!$A:$A,AT2)</f>
        <v>0</v>
      </c>
      <c r="AU66" s="95">
        <f>SUMIFS(营销场景数据源!$G:$G,营销场景数据源!$C:$C,$B$65,营销场景数据源!$A:$A,AU2)</f>
        <v>0</v>
      </c>
      <c r="AV66" s="95">
        <f>SUMIFS(营销场景数据源!$G:$G,营销场景数据源!$C:$C,$B$65,营销场景数据源!$A:$A,AV2)</f>
        <v>0</v>
      </c>
      <c r="AW66" s="65">
        <f>SUM(AX66:BY66)</f>
        <v>0</v>
      </c>
      <c r="AX66" s="95">
        <f>SUMIFS(营销场景数据源!$G:$G,营销场景数据源!$C:$C,$B$65,营销场景数据源!$A:$A,AX2)</f>
        <v>0</v>
      </c>
      <c r="AY66" s="95">
        <f>SUMIFS(营销场景数据源!$G:$G,营销场景数据源!$C:$C,$B$65,营销场景数据源!$A:$A,AY2)</f>
        <v>0</v>
      </c>
      <c r="AZ66" s="95">
        <f>SUMIFS(营销场景数据源!$G:$G,营销场景数据源!$C:$C,$B$65,营销场景数据源!$A:$A,AZ2)</f>
        <v>0</v>
      </c>
      <c r="BA66" s="95">
        <f>SUMIFS(营销场景数据源!$G:$G,营销场景数据源!$C:$C,$B$65,营销场景数据源!$A:$A,BA2)</f>
        <v>0</v>
      </c>
      <c r="BB66" s="95">
        <f>SUMIFS(营销场景数据源!$G:$G,营销场景数据源!$C:$C,$B$65,营销场景数据源!$A:$A,BB2)</f>
        <v>0</v>
      </c>
      <c r="BC66" s="95">
        <f>SUMIFS(营销场景数据源!$G:$G,营销场景数据源!$C:$C,$B$65,营销场景数据源!$A:$A,BC2)</f>
        <v>0</v>
      </c>
      <c r="BD66" s="95">
        <f>SUMIFS(营销场景数据源!$G:$G,营销场景数据源!$C:$C,$B$65,营销场景数据源!$A:$A,BD2)</f>
        <v>0</v>
      </c>
      <c r="BE66" s="95">
        <f>SUMIFS(营销场景数据源!$G:$G,营销场景数据源!$C:$C,$B$65,营销场景数据源!$A:$A,BE2)</f>
        <v>0</v>
      </c>
      <c r="BF66" s="95">
        <f>SUMIFS(营销场景数据源!$G:$G,营销场景数据源!$C:$C,$B$65,营销场景数据源!$A:$A,BF2)</f>
        <v>0</v>
      </c>
      <c r="BG66" s="95">
        <f>SUMIFS(营销场景数据源!$G:$G,营销场景数据源!$C:$C,$B$65,营销场景数据源!$A:$A,BG2)</f>
        <v>0</v>
      </c>
      <c r="BH66" s="95">
        <f>SUMIFS(营销场景数据源!$G:$G,营销场景数据源!$C:$C,$B$65,营销场景数据源!$A:$A,BH2)</f>
        <v>0</v>
      </c>
      <c r="BI66" s="95">
        <f>SUMIFS(营销场景数据源!$G:$G,营销场景数据源!$C:$C,$B$65,营销场景数据源!$A:$A,BI2)</f>
        <v>0</v>
      </c>
      <c r="BJ66" s="95">
        <f>SUMIFS(营销场景数据源!$G:$G,营销场景数据源!$C:$C,$B$65,营销场景数据源!$A:$A,BJ2)</f>
        <v>0</v>
      </c>
      <c r="BK66" s="95">
        <f>SUMIFS(营销场景数据源!$G:$G,营销场景数据源!$C:$C,$B$65,营销场景数据源!$A:$A,BK2)</f>
        <v>0</v>
      </c>
      <c r="BL66" s="95">
        <f>SUMIFS(营销场景数据源!$G:$G,营销场景数据源!$C:$C,$B$65,营销场景数据源!$A:$A,BL2)</f>
        <v>0</v>
      </c>
      <c r="BM66" s="95">
        <f>SUMIFS(营销场景数据源!$G:$G,营销场景数据源!$C:$C,$B$65,营销场景数据源!$A:$A,BM2)</f>
        <v>0</v>
      </c>
      <c r="BN66" s="95">
        <f>SUMIFS(营销场景数据源!$G:$G,营销场景数据源!$C:$C,$B$65,营销场景数据源!$A:$A,BN2)</f>
        <v>0</v>
      </c>
      <c r="BO66" s="95">
        <f>SUMIFS(营销场景数据源!$G:$G,营销场景数据源!$C:$C,$B$65,营销场景数据源!$A:$A,BO2)</f>
        <v>0</v>
      </c>
      <c r="BP66" s="95">
        <f>SUMIFS(营销场景数据源!$G:$G,营销场景数据源!$C:$C,$B$65,营销场景数据源!$A:$A,BP2)</f>
        <v>0</v>
      </c>
      <c r="BQ66" s="95">
        <f>SUMIFS(营销场景数据源!$G:$G,营销场景数据源!$C:$C,$B$65,营销场景数据源!$A:$A,BQ2)</f>
        <v>0</v>
      </c>
      <c r="BR66" s="95">
        <f>SUMIFS(营销场景数据源!$G:$G,营销场景数据源!$C:$C,$B$65,营销场景数据源!$A:$A,BR2)</f>
        <v>0</v>
      </c>
      <c r="BS66" s="95">
        <f>SUMIFS(营销场景数据源!$G:$G,营销场景数据源!$C:$C,$B$65,营销场景数据源!$A:$A,BS2)</f>
        <v>0</v>
      </c>
      <c r="BT66" s="95">
        <f>SUMIFS(营销场景数据源!$G:$G,营销场景数据源!$C:$C,$B$65,营销场景数据源!$A:$A,BT2)</f>
        <v>0</v>
      </c>
      <c r="BU66" s="95">
        <f>SUMIFS(营销场景数据源!$G:$G,营销场景数据源!$C:$C,$B$65,营销场景数据源!$A:$A,BU2)</f>
        <v>0</v>
      </c>
      <c r="BV66" s="95">
        <f>SUMIFS(营销场景数据源!$G:$G,营销场景数据源!$C:$C,$B$65,营销场景数据源!$A:$A,BV2)</f>
        <v>0</v>
      </c>
      <c r="BW66" s="95">
        <f>SUMIFS(营销场景数据源!$G:$G,营销场景数据源!$C:$C,$B$65,营销场景数据源!$A:$A,BW2)</f>
        <v>0</v>
      </c>
      <c r="BX66" s="95">
        <f>SUMIFS(营销场景数据源!$G:$G,营销场景数据源!$C:$C,$B$65,营销场景数据源!$A:$A,BX2)</f>
        <v>0</v>
      </c>
      <c r="BY66" s="95">
        <f>SUMIFS(营销场景数据源!$G:$G,营销场景数据源!$C:$C,$B$65,营销场景数据源!$A:$A,BY2)</f>
        <v>0</v>
      </c>
      <c r="BZ66" s="65">
        <f>SUM(CA66:DE66)</f>
        <v>0</v>
      </c>
      <c r="CA66" s="95">
        <f>SUMIFS(营销场景数据源!$G:$G,营销场景数据源!$C:$C,$B$65,营销场景数据源!$A:$A,CA2)</f>
        <v>0</v>
      </c>
      <c r="CB66" s="95">
        <f>SUMIFS(营销场景数据源!$G:$G,营销场景数据源!$C:$C,$B$65,营销场景数据源!$A:$A,CB2)</f>
        <v>0</v>
      </c>
      <c r="CC66" s="95">
        <f>SUMIFS(营销场景数据源!$G:$G,营销场景数据源!$C:$C,$B$65,营销场景数据源!$A:$A,CC2)</f>
        <v>0</v>
      </c>
      <c r="CD66" s="95">
        <f>SUMIFS(营销场景数据源!$G:$G,营销场景数据源!$C:$C,$B$65,营销场景数据源!$A:$A,CD2)</f>
        <v>0</v>
      </c>
      <c r="CE66" s="95">
        <f>SUMIFS(营销场景数据源!$G:$G,营销场景数据源!$C:$C,$B$65,营销场景数据源!$A:$A,CE2)</f>
        <v>0</v>
      </c>
      <c r="CF66" s="95">
        <f>SUMIFS(营销场景数据源!$G:$G,营销场景数据源!$C:$C,$B$65,营销场景数据源!$A:$A,CF2)</f>
        <v>0</v>
      </c>
      <c r="CG66" s="95">
        <f>SUMIFS(营销场景数据源!$G:$G,营销场景数据源!$C:$C,$B$65,营销场景数据源!$A:$A,CG2)</f>
        <v>0</v>
      </c>
      <c r="CH66" s="95">
        <f>SUMIFS(营销场景数据源!$G:$G,营销场景数据源!$C:$C,$B$65,营销场景数据源!$A:$A,CH2)</f>
        <v>0</v>
      </c>
      <c r="CI66" s="95">
        <f>SUMIFS(营销场景数据源!$G:$G,营销场景数据源!$C:$C,$B$65,营销场景数据源!$A:$A,CI2)</f>
        <v>0</v>
      </c>
      <c r="CJ66" s="95">
        <f>SUMIFS(营销场景数据源!$G:$G,营销场景数据源!$C:$C,$B$65,营销场景数据源!$A:$A,CJ2)</f>
        <v>0</v>
      </c>
      <c r="CK66" s="95">
        <f>SUMIFS(营销场景数据源!$G:$G,营销场景数据源!$C:$C,$B$65,营销场景数据源!$A:$A,CK2)</f>
        <v>0</v>
      </c>
      <c r="CL66" s="95">
        <f>SUMIFS(营销场景数据源!$G:$G,营销场景数据源!$C:$C,$B$65,营销场景数据源!$A:$A,CL2)</f>
        <v>0</v>
      </c>
      <c r="CM66" s="95">
        <f>SUMIFS(营销场景数据源!$G:$G,营销场景数据源!$C:$C,$B$65,营销场景数据源!$A:$A,CM2)</f>
        <v>0</v>
      </c>
      <c r="CN66" s="95">
        <f>SUMIFS(营销场景数据源!$G:$G,营销场景数据源!$C:$C,$B$65,营销场景数据源!$A:$A,CN2)</f>
        <v>0</v>
      </c>
      <c r="CO66" s="95">
        <f>SUMIFS(营销场景数据源!$G:$G,营销场景数据源!$C:$C,$B$65,营销场景数据源!$A:$A,CO2)</f>
        <v>0</v>
      </c>
      <c r="CP66" s="95">
        <f>SUMIFS(营销场景数据源!$G:$G,营销场景数据源!$C:$C,$B$65,营销场景数据源!$A:$A,CP2)</f>
        <v>0</v>
      </c>
      <c r="CQ66" s="95">
        <f>SUMIFS(营销场景数据源!$G:$G,营销场景数据源!$C:$C,$B$65,营销场景数据源!$A:$A,CQ2)</f>
        <v>0</v>
      </c>
      <c r="CR66" s="95">
        <f>SUMIFS(营销场景数据源!$G:$G,营销场景数据源!$C:$C,$B$65,营销场景数据源!$A:$A,CR2)</f>
        <v>0</v>
      </c>
      <c r="CS66" s="95">
        <f>SUMIFS(营销场景数据源!$G:$G,营销场景数据源!$C:$C,$B$65,营销场景数据源!$A:$A,CS2)</f>
        <v>0</v>
      </c>
      <c r="CT66" s="95">
        <f>SUMIFS(营销场景数据源!$G:$G,营销场景数据源!$C:$C,$B$65,营销场景数据源!$A:$A,CT2)</f>
        <v>0</v>
      </c>
      <c r="CU66" s="95">
        <f>SUMIFS(营销场景数据源!$G:$G,营销场景数据源!$C:$C,$B$65,营销场景数据源!$A:$A,CU2)</f>
        <v>0</v>
      </c>
      <c r="CV66" s="95">
        <f>SUMIFS(营销场景数据源!$G:$G,营销场景数据源!$C:$C,$B$65,营销场景数据源!$A:$A,CV2)</f>
        <v>0</v>
      </c>
      <c r="CW66" s="95">
        <f>SUMIFS(营销场景数据源!$G:$G,营销场景数据源!$C:$C,$B$65,营销场景数据源!$A:$A,CW2)</f>
        <v>0</v>
      </c>
      <c r="CX66" s="95">
        <f>SUMIFS(营销场景数据源!$G:$G,营销场景数据源!$C:$C,$B$65,营销场景数据源!$A:$A,CX2)</f>
        <v>0</v>
      </c>
      <c r="CY66" s="95">
        <f>SUMIFS(营销场景数据源!$G:$G,营销场景数据源!$C:$C,$B$65,营销场景数据源!$A:$A,CY2)</f>
        <v>0</v>
      </c>
      <c r="CZ66" s="95">
        <f>SUMIFS(营销场景数据源!$G:$G,营销场景数据源!$C:$C,$B$65,营销场景数据源!$A:$A,CZ2)</f>
        <v>0</v>
      </c>
      <c r="DA66" s="95">
        <f>SUMIFS(营销场景数据源!$G:$G,营销场景数据源!$C:$C,$B$65,营销场景数据源!$A:$A,DA2)</f>
        <v>0</v>
      </c>
      <c r="DB66" s="95">
        <f>SUMIFS(营销场景数据源!$G:$G,营销场景数据源!$C:$C,$B$65,营销场景数据源!$A:$A,DB2)</f>
        <v>0</v>
      </c>
      <c r="DC66" s="95">
        <f>SUMIFS(营销场景数据源!$G:$G,营销场景数据源!$C:$C,$B$65,营销场景数据源!$A:$A,DC2)</f>
        <v>0</v>
      </c>
      <c r="DD66" s="95">
        <f>SUMIFS(营销场景数据源!$G:$G,营销场景数据源!$C:$C,$B$65,营销场景数据源!$A:$A,DD2)</f>
        <v>0</v>
      </c>
      <c r="DE66" s="95">
        <f>SUMIFS(营销场景数据源!$G:$G,营销场景数据源!$C:$C,$B$65,营销场景数据源!$A:$A,DE2)</f>
        <v>0</v>
      </c>
      <c r="DF66" s="65">
        <f>SUM(DG66:EJ66)</f>
        <v>0</v>
      </c>
      <c r="DG66" s="95">
        <f>SUMIFS(营销场景数据源!$G:$G,营销场景数据源!$C:$C,$B$65,营销场景数据源!$A:$A,DG2)</f>
        <v>0</v>
      </c>
      <c r="DH66" s="95">
        <f>SUMIFS(营销场景数据源!$G:$G,营销场景数据源!$C:$C,$B$65,营销场景数据源!$A:$A,DH2)</f>
        <v>0</v>
      </c>
      <c r="DI66" s="95">
        <f>SUMIFS(营销场景数据源!$G:$G,营销场景数据源!$C:$C,$B$65,营销场景数据源!$A:$A,DI2)</f>
        <v>0</v>
      </c>
      <c r="DJ66" s="95">
        <f>SUMIFS(营销场景数据源!$G:$G,营销场景数据源!$C:$C,$B$65,营销场景数据源!$A:$A,DJ2)</f>
        <v>0</v>
      </c>
      <c r="DK66" s="95">
        <f>SUMIFS(营销场景数据源!$G:$G,营销场景数据源!$C:$C,$B$65,营销场景数据源!$A:$A,DK2)</f>
        <v>0</v>
      </c>
      <c r="DL66" s="95">
        <f>SUMIFS(营销场景数据源!$G:$G,营销场景数据源!$C:$C,$B$65,营销场景数据源!$A:$A,DL2)</f>
        <v>0</v>
      </c>
      <c r="DM66" s="95">
        <f>SUMIFS(营销场景数据源!$G:$G,营销场景数据源!$C:$C,$B$65,营销场景数据源!$A:$A,DM2)</f>
        <v>0</v>
      </c>
      <c r="DN66" s="95">
        <f>SUMIFS(营销场景数据源!$G:$G,营销场景数据源!$C:$C,$B$65,营销场景数据源!$A:$A,DN2)</f>
        <v>0</v>
      </c>
      <c r="DO66" s="95">
        <f>SUMIFS(营销场景数据源!$G:$G,营销场景数据源!$C:$C,$B$65,营销场景数据源!$A:$A,DO2)</f>
        <v>0</v>
      </c>
      <c r="DP66" s="95">
        <f>SUMIFS(营销场景数据源!$G:$G,营销场景数据源!$C:$C,$B$65,营销场景数据源!$A:$A,DP2)</f>
        <v>0</v>
      </c>
      <c r="DQ66" s="95">
        <f>SUMIFS(营销场景数据源!$G:$G,营销场景数据源!$C:$C,$B$65,营销场景数据源!$A:$A,DQ2)</f>
        <v>0</v>
      </c>
      <c r="DR66" s="95">
        <f>SUMIFS(营销场景数据源!$G:$G,营销场景数据源!$C:$C,$B$65,营销场景数据源!$A:$A,DR2)</f>
        <v>0</v>
      </c>
      <c r="DS66" s="95">
        <f>SUMIFS(营销场景数据源!$G:$G,营销场景数据源!$C:$C,$B$65,营销场景数据源!$A:$A,DS2)</f>
        <v>0</v>
      </c>
      <c r="DT66" s="95">
        <f>SUMIFS(营销场景数据源!$G:$G,营销场景数据源!$C:$C,$B$65,营销场景数据源!$A:$A,DT2)</f>
        <v>0</v>
      </c>
      <c r="DU66" s="95">
        <f>SUMIFS(营销场景数据源!$G:$G,营销场景数据源!$C:$C,$B$65,营销场景数据源!$A:$A,DU2)</f>
        <v>0</v>
      </c>
      <c r="DV66" s="95">
        <f>SUMIFS(营销场景数据源!$G:$G,营销场景数据源!$C:$C,$B$65,营销场景数据源!$A:$A,DV2)</f>
        <v>0</v>
      </c>
      <c r="DW66" s="95">
        <f>SUMIFS(营销场景数据源!$G:$G,营销场景数据源!$C:$C,$B$65,营销场景数据源!$A:$A,DW2)</f>
        <v>0</v>
      </c>
      <c r="DX66" s="95">
        <f>SUMIFS(营销场景数据源!$G:$G,营销场景数据源!$C:$C,$B$65,营销场景数据源!$A:$A,DX2)</f>
        <v>0</v>
      </c>
      <c r="DY66" s="95">
        <f>SUMIFS(营销场景数据源!$G:$G,营销场景数据源!$C:$C,$B$65,营销场景数据源!$A:$A,DY2)</f>
        <v>0</v>
      </c>
      <c r="DZ66" s="95">
        <f>SUMIFS(营销场景数据源!$G:$G,营销场景数据源!$C:$C,$B$65,营销场景数据源!$A:$A,DZ2)</f>
        <v>0</v>
      </c>
      <c r="EA66" s="95">
        <f>SUMIFS(营销场景数据源!$G:$G,营销场景数据源!$C:$C,$B$65,营销场景数据源!$A:$A,EA2)</f>
        <v>0</v>
      </c>
      <c r="EB66" s="95">
        <f>SUMIFS(营销场景数据源!$G:$G,营销场景数据源!$C:$C,$B$65,营销场景数据源!$A:$A,EB2)</f>
        <v>0</v>
      </c>
      <c r="EC66" s="95">
        <f>SUMIFS(营销场景数据源!$G:$G,营销场景数据源!$C:$C,$B$65,营销场景数据源!$A:$A,EC2)</f>
        <v>0</v>
      </c>
      <c r="ED66" s="95">
        <f>SUMIFS(营销场景数据源!$G:$G,营销场景数据源!$C:$C,$B$65,营销场景数据源!$A:$A,ED2)</f>
        <v>0</v>
      </c>
      <c r="EE66" s="95">
        <f>SUMIFS(营销场景数据源!$G:$G,营销场景数据源!$C:$C,$B$65,营销场景数据源!$A:$A,EE2)</f>
        <v>0</v>
      </c>
      <c r="EF66" s="95">
        <f>SUMIFS(营销场景数据源!$G:$G,营销场景数据源!$C:$C,$B$65,营销场景数据源!$A:$A,EF2)</f>
        <v>0</v>
      </c>
      <c r="EG66" s="95">
        <f>SUMIFS(营销场景数据源!$G:$G,营销场景数据源!$C:$C,$B$65,营销场景数据源!$A:$A,EG2)</f>
        <v>0</v>
      </c>
      <c r="EH66" s="95">
        <f>SUMIFS(营销场景数据源!$G:$G,营销场景数据源!$C:$C,$B$65,营销场景数据源!$A:$A,EH2)</f>
        <v>0</v>
      </c>
      <c r="EI66" s="95">
        <f>SUMIFS(营销场景数据源!$G:$G,营销场景数据源!$C:$C,$B$65,营销场景数据源!$A:$A,EI2)</f>
        <v>0</v>
      </c>
      <c r="EJ66" s="95">
        <f>SUMIFS(营销场景数据源!$G:$G,营销场景数据源!$C:$C,$B$65,营销场景数据源!$A:$A,EJ2)</f>
        <v>0</v>
      </c>
      <c r="EK66" s="65">
        <f>SUM(EL66:FP66)</f>
        <v>0</v>
      </c>
      <c r="EL66" s="95">
        <f>SUMIFS(营销场景数据源!$G:$G,营销场景数据源!$C:$C,$B$65,营销场景数据源!$A:$A,EL2)</f>
        <v>0</v>
      </c>
      <c r="EM66" s="95">
        <f>SUMIFS(营销场景数据源!$G:$G,营销场景数据源!$C:$C,$B$65,营销场景数据源!$A:$A,EM2)</f>
        <v>0</v>
      </c>
      <c r="EN66" s="95">
        <f>SUMIFS(营销场景数据源!$G:$G,营销场景数据源!$C:$C,$B$65,营销场景数据源!$A:$A,EN2)</f>
        <v>0</v>
      </c>
      <c r="EO66" s="95">
        <f>SUMIFS(营销场景数据源!$G:$G,营销场景数据源!$C:$C,$B$65,营销场景数据源!$A:$A,EO2)</f>
        <v>0</v>
      </c>
      <c r="EP66" s="95">
        <f>SUMIFS(营销场景数据源!$G:$G,营销场景数据源!$C:$C,$B$65,营销场景数据源!$A:$A,EP2)</f>
        <v>0</v>
      </c>
      <c r="EQ66" s="95">
        <f>SUMIFS(营销场景数据源!$G:$G,营销场景数据源!$C:$C,$B$65,营销场景数据源!$A:$A,EQ2)</f>
        <v>0</v>
      </c>
      <c r="ER66" s="95">
        <f>SUMIFS(营销场景数据源!$G:$G,营销场景数据源!$C:$C,$B$65,营销场景数据源!$A:$A,ER2)</f>
        <v>0</v>
      </c>
      <c r="ES66" s="95">
        <f>SUMIFS(营销场景数据源!$G:$G,营销场景数据源!$C:$C,$B$65,营销场景数据源!$A:$A,ES2)</f>
        <v>0</v>
      </c>
      <c r="ET66" s="95">
        <f>SUMIFS(营销场景数据源!$G:$G,营销场景数据源!$C:$C,$B$65,营销场景数据源!$A:$A,ET2)</f>
        <v>0</v>
      </c>
      <c r="EU66" s="95">
        <f>SUMIFS(营销场景数据源!$G:$G,营销场景数据源!$C:$C,$B$65,营销场景数据源!$A:$A,EU2)</f>
        <v>0</v>
      </c>
      <c r="EV66" s="95">
        <f>SUMIFS(营销场景数据源!$G:$G,营销场景数据源!$C:$C,$B$65,营销场景数据源!$A:$A,EV2)</f>
        <v>0</v>
      </c>
      <c r="EW66" s="95">
        <f>SUMIFS(营销场景数据源!$G:$G,营销场景数据源!$C:$C,$B$65,营销场景数据源!$A:$A,EW2)</f>
        <v>0</v>
      </c>
      <c r="EX66" s="95">
        <f>SUMIFS(营销场景数据源!$G:$G,营销场景数据源!$C:$C,$B$65,营销场景数据源!$A:$A,EX2)</f>
        <v>0</v>
      </c>
      <c r="EY66" s="95">
        <f>SUMIFS(营销场景数据源!$G:$G,营销场景数据源!$C:$C,$B$65,营销场景数据源!$A:$A,EY2)</f>
        <v>0</v>
      </c>
      <c r="EZ66" s="95">
        <f>SUMIFS(营销场景数据源!$G:$G,营销场景数据源!$C:$C,$B$65,营销场景数据源!$A:$A,EZ2)</f>
        <v>0</v>
      </c>
      <c r="FA66" s="95">
        <f>SUMIFS(营销场景数据源!$G:$G,营销场景数据源!$C:$C,$B$65,营销场景数据源!$A:$A,FA2)</f>
        <v>0</v>
      </c>
      <c r="FB66" s="95">
        <f>SUMIFS(营销场景数据源!$G:$G,营销场景数据源!$C:$C,$B$65,营销场景数据源!$A:$A,FB2)</f>
        <v>0</v>
      </c>
      <c r="FC66" s="95">
        <f>SUMIFS(营销场景数据源!$G:$G,营销场景数据源!$C:$C,$B$65,营销场景数据源!$A:$A,FC2)</f>
        <v>0</v>
      </c>
      <c r="FD66" s="95">
        <f>SUMIFS(营销场景数据源!$G:$G,营销场景数据源!$C:$C,$B$65,营销场景数据源!$A:$A,FD2)</f>
        <v>0</v>
      </c>
      <c r="FE66" s="95">
        <f>SUMIFS(营销场景数据源!$G:$G,营销场景数据源!$C:$C,$B$65,营销场景数据源!$A:$A,FE2)</f>
        <v>0</v>
      </c>
      <c r="FF66" s="95">
        <f>SUMIFS(营销场景数据源!$G:$G,营销场景数据源!$C:$C,$B$65,营销场景数据源!$A:$A,FF2)</f>
        <v>0</v>
      </c>
      <c r="FG66" s="95">
        <f>SUMIFS(营销场景数据源!$G:$G,营销场景数据源!$C:$C,$B$65,营销场景数据源!$A:$A,FG2)</f>
        <v>0</v>
      </c>
      <c r="FH66" s="95">
        <f>SUMIFS(营销场景数据源!$G:$G,营销场景数据源!$C:$C,$B$65,营销场景数据源!$A:$A,FH2)</f>
        <v>0</v>
      </c>
      <c r="FI66" s="95">
        <f>SUMIFS(营销场景数据源!$G:$G,营销场景数据源!$C:$C,$B$65,营销场景数据源!$A:$A,FI2)</f>
        <v>0</v>
      </c>
      <c r="FJ66" s="95">
        <f>SUMIFS(营销场景数据源!$G:$G,营销场景数据源!$C:$C,$B$65,营销场景数据源!$A:$A,FJ2)</f>
        <v>0</v>
      </c>
      <c r="FK66" s="95">
        <f>SUMIFS(营销场景数据源!$G:$G,营销场景数据源!$C:$C,$B$65,营销场景数据源!$A:$A,FK2)</f>
        <v>0</v>
      </c>
      <c r="FL66" s="95">
        <f>SUMIFS(营销场景数据源!$G:$G,营销场景数据源!$C:$C,$B$65,营销场景数据源!$A:$A,FL2)</f>
        <v>0</v>
      </c>
      <c r="FM66" s="95">
        <f>SUMIFS(营销场景数据源!$G:$G,营销场景数据源!$C:$C,$B$65,营销场景数据源!$A:$A,FM2)</f>
        <v>0</v>
      </c>
      <c r="FN66" s="95">
        <f>SUMIFS(营销场景数据源!$G:$G,营销场景数据源!$C:$C,$B$65,营销场景数据源!$A:$A,FN2)</f>
        <v>0</v>
      </c>
      <c r="FO66" s="95">
        <f>SUMIFS(营销场景数据源!$G:$G,营销场景数据源!$C:$C,$B$65,营销场景数据源!$A:$A,FO2)</f>
        <v>0</v>
      </c>
      <c r="FP66" s="95">
        <f>SUMIFS(营销场景数据源!$G:$G,营销场景数据源!$C:$C,$B$65,营销场景数据源!$A:$A,FP2)</f>
        <v>0</v>
      </c>
      <c r="FQ66" s="65">
        <f t="shared" si="342"/>
        <v>0</v>
      </c>
      <c r="FR66" s="95">
        <f>SUMIFS(营销场景数据源!$G:$G,营销场景数据源!$C:$C,$B$65,营销场景数据源!$A:$A,FR2)</f>
        <v>0</v>
      </c>
      <c r="FS66" s="95">
        <f>SUMIFS(营销场景数据源!$G:$G,营销场景数据源!$C:$C,$B$65,营销场景数据源!$A:$A,FS2)</f>
        <v>0</v>
      </c>
      <c r="FT66" s="95">
        <f>SUMIFS(营销场景数据源!$G:$G,营销场景数据源!$C:$C,$B$65,营销场景数据源!$A:$A,FT2)</f>
        <v>0</v>
      </c>
      <c r="FU66" s="95">
        <f>SUMIFS(营销场景数据源!$G:$G,营销场景数据源!$C:$C,$B$65,营销场景数据源!$A:$A,FU2)</f>
        <v>0</v>
      </c>
      <c r="FV66" s="95">
        <f>SUMIFS(营销场景数据源!$G:$G,营销场景数据源!$C:$C,$B$65,营销场景数据源!$A:$A,FV2)</f>
        <v>0</v>
      </c>
      <c r="FW66" s="95">
        <f>SUMIFS(营销场景数据源!$G:$G,营销场景数据源!$C:$C,$B$65,营销场景数据源!$A:$A,FW2)</f>
        <v>0</v>
      </c>
      <c r="FX66" s="95">
        <f>SUMIFS(营销场景数据源!$G:$G,营销场景数据源!$C:$C,$B$65,营销场景数据源!$A:$A,FX2)</f>
        <v>0</v>
      </c>
      <c r="FY66" s="95">
        <f>SUMIFS(营销场景数据源!$G:$G,营销场景数据源!$C:$C,$B$65,营销场景数据源!$A:$A,FY2)</f>
        <v>0</v>
      </c>
      <c r="FZ66" s="95">
        <f>SUMIFS(营销场景数据源!$G:$G,营销场景数据源!$C:$C,$B$65,营销场景数据源!$A:$A,FZ2)</f>
        <v>0</v>
      </c>
      <c r="GA66" s="95">
        <f>SUMIFS(营销场景数据源!$G:$G,营销场景数据源!$C:$C,$B$65,营销场景数据源!$A:$A,GA2)</f>
        <v>0</v>
      </c>
      <c r="GB66" s="95">
        <f>SUMIFS(营销场景数据源!$G:$G,营销场景数据源!$C:$C,$B$65,营销场景数据源!$A:$A,GB2)</f>
        <v>0</v>
      </c>
      <c r="GC66" s="95">
        <f>SUMIFS(营销场景数据源!$G:$G,营销场景数据源!$C:$C,$B$65,营销场景数据源!$A:$A,GC2)</f>
        <v>0</v>
      </c>
      <c r="GD66" s="95">
        <f>SUMIFS(营销场景数据源!$G:$G,营销场景数据源!$C:$C,$B$65,营销场景数据源!$A:$A,GD2)</f>
        <v>0</v>
      </c>
      <c r="GE66" s="95">
        <f>SUMIFS(营销场景数据源!$G:$G,营销场景数据源!$C:$C,$B$65,营销场景数据源!$A:$A,GE2)</f>
        <v>0</v>
      </c>
      <c r="GF66" s="95">
        <f>SUMIFS(营销场景数据源!$G:$G,营销场景数据源!$C:$C,$B$65,营销场景数据源!$A:$A,GF2)</f>
        <v>0</v>
      </c>
      <c r="GG66" s="95">
        <f>SUMIFS(营销场景数据源!$G:$G,营销场景数据源!$C:$C,$B$65,营销场景数据源!$A:$A,GG2)</f>
        <v>0</v>
      </c>
      <c r="GH66" s="95">
        <f>SUMIFS(营销场景数据源!$G:$G,营销场景数据源!$C:$C,$B$65,营销场景数据源!$A:$A,GH2)</f>
        <v>0</v>
      </c>
      <c r="GI66" s="95">
        <f>SUMIFS(营销场景数据源!$G:$G,营销场景数据源!$C:$C,$B$65,营销场景数据源!$A:$A,GI2)</f>
        <v>0</v>
      </c>
      <c r="GJ66" s="95">
        <f>SUMIFS(营销场景数据源!$G:$G,营销场景数据源!$C:$C,$B$65,营销场景数据源!$A:$A,GJ2)</f>
        <v>0</v>
      </c>
      <c r="GK66" s="95">
        <f>SUMIFS(营销场景数据源!$G:$G,营销场景数据源!$C:$C,$B$65,营销场景数据源!$A:$A,GK2)</f>
        <v>0</v>
      </c>
      <c r="GL66" s="95">
        <f>SUMIFS(营销场景数据源!$G:$G,营销场景数据源!$C:$C,$B$65,营销场景数据源!$A:$A,GL2)</f>
        <v>0</v>
      </c>
      <c r="GM66" s="95">
        <f>SUMIFS(营销场景数据源!$G:$G,营销场景数据源!$C:$C,$B$65,营销场景数据源!$A:$A,GM2)</f>
        <v>0</v>
      </c>
      <c r="GN66" s="95">
        <f>SUMIFS(营销场景数据源!$G:$G,营销场景数据源!$C:$C,$B$65,营销场景数据源!$A:$A,GN2)</f>
        <v>0</v>
      </c>
      <c r="GO66" s="95">
        <f>SUMIFS(营销场景数据源!$G:$G,营销场景数据源!$C:$C,$B$65,营销场景数据源!$A:$A,GO2)</f>
        <v>0</v>
      </c>
      <c r="GP66" s="95">
        <f>SUMIFS(营销场景数据源!$G:$G,营销场景数据源!$C:$C,$B$65,营销场景数据源!$A:$A,GP2)</f>
        <v>0</v>
      </c>
    </row>
    <row r="67" s="47" customFormat="1" ht="15" hidden="1" customHeight="1" spans="2:198">
      <c r="B67" s="103"/>
      <c r="C67" s="104" t="s">
        <v>23</v>
      </c>
      <c r="D67" s="94" t="e">
        <f>SUM(E67:P67)</f>
        <v>#REF!</v>
      </c>
      <c r="E67" s="105" t="e">
        <f>#REF!</f>
        <v>#REF!</v>
      </c>
      <c r="F67" s="105" t="e">
        <f>#REF!</f>
        <v>#REF!</v>
      </c>
      <c r="G67" s="105" t="e">
        <f>#REF!</f>
        <v>#REF!</v>
      </c>
      <c r="H67" s="105" t="e">
        <f>#REF!</f>
        <v>#REF!</v>
      </c>
      <c r="I67" s="105" t="e">
        <f>#REF!</f>
        <v>#REF!</v>
      </c>
      <c r="J67" s="105" t="e">
        <f>#REF!</f>
        <v>#REF!</v>
      </c>
      <c r="K67" s="105" t="e">
        <f>#REF!</f>
        <v>#REF!</v>
      </c>
      <c r="L67" s="105" t="e">
        <f>#REF!</f>
        <v>#REF!</v>
      </c>
      <c r="M67" s="105" t="e">
        <f>#REF!</f>
        <v>#REF!</v>
      </c>
      <c r="N67" s="105" t="e">
        <f>#REF!</f>
        <v>#REF!</v>
      </c>
      <c r="O67" s="105" t="e">
        <f>#REF!</f>
        <v>#REF!</v>
      </c>
      <c r="P67" s="105" t="e">
        <f>#REF!</f>
        <v>#REF!</v>
      </c>
      <c r="Q67" s="65">
        <f>SUM(R67:AV67)</f>
        <v>0</v>
      </c>
      <c r="R67" s="95">
        <f>SUMIFS(营销场景数据源!$AB:$AB,营销场景数据源!$C:$C,$B$65,营销场景数据源!$A:$A,R2)</f>
        <v>0</v>
      </c>
      <c r="S67" s="95">
        <f>SUMIFS(营销场景数据源!$AB:$AB,营销场景数据源!$C:$C,$B$65,营销场景数据源!$A:$A,S2)</f>
        <v>0</v>
      </c>
      <c r="T67" s="95">
        <f>SUMIFS(营销场景数据源!$AB:$AB,营销场景数据源!$C:$C,$B$65,营销场景数据源!$A:$A,T2)</f>
        <v>0</v>
      </c>
      <c r="U67" s="95">
        <f>SUMIFS(营销场景数据源!$AB:$AB,营销场景数据源!$C:$C,$B$65,营销场景数据源!$A:$A,U2)</f>
        <v>0</v>
      </c>
      <c r="V67" s="95">
        <f>SUMIFS(营销场景数据源!$AB:$AB,营销场景数据源!$C:$C,$B$65,营销场景数据源!$A:$A,V2)</f>
        <v>0</v>
      </c>
      <c r="W67" s="95">
        <f>SUMIFS(营销场景数据源!$AB:$AB,营销场景数据源!$C:$C,$B$65,营销场景数据源!$A:$A,W2)</f>
        <v>0</v>
      </c>
      <c r="X67" s="95">
        <f>SUMIFS(营销场景数据源!$AB:$AB,营销场景数据源!$C:$C,$B$65,营销场景数据源!$A:$A,X2)</f>
        <v>0</v>
      </c>
      <c r="Y67" s="95">
        <f>SUMIFS(营销场景数据源!$AB:$AB,营销场景数据源!$C:$C,$B$65,营销场景数据源!$A:$A,Y2)</f>
        <v>0</v>
      </c>
      <c r="Z67" s="95">
        <f>SUMIFS(营销场景数据源!$AB:$AB,营销场景数据源!$C:$C,$B$65,营销场景数据源!$A:$A,Z2)</f>
        <v>0</v>
      </c>
      <c r="AA67" s="95">
        <f>SUMIFS(营销场景数据源!$AB:$AB,营销场景数据源!$C:$C,$B$65,营销场景数据源!$A:$A,AA2)</f>
        <v>0</v>
      </c>
      <c r="AB67" s="95">
        <f>SUMIFS(营销场景数据源!$AB:$AB,营销场景数据源!$C:$C,$B$65,营销场景数据源!$A:$A,AB2)</f>
        <v>0</v>
      </c>
      <c r="AC67" s="95">
        <f>SUMIFS(营销场景数据源!$AB:$AB,营销场景数据源!$C:$C,$B$65,营销场景数据源!$A:$A,AC2)</f>
        <v>0</v>
      </c>
      <c r="AD67" s="95">
        <f>SUMIFS(营销场景数据源!$AB:$AB,营销场景数据源!$C:$C,$B$65,营销场景数据源!$A:$A,AD2)</f>
        <v>0</v>
      </c>
      <c r="AE67" s="95">
        <f>SUMIFS(营销场景数据源!$AB:$AB,营销场景数据源!$C:$C,$B$65,营销场景数据源!$A:$A,AE2)</f>
        <v>0</v>
      </c>
      <c r="AF67" s="95">
        <f>SUMIFS(营销场景数据源!$AB:$AB,营销场景数据源!$C:$C,$B$65,营销场景数据源!$A:$A,AF2)</f>
        <v>0</v>
      </c>
      <c r="AG67" s="95">
        <f>SUMIFS(营销场景数据源!$AB:$AB,营销场景数据源!$C:$C,$B$65,营销场景数据源!$A:$A,AG2)</f>
        <v>0</v>
      </c>
      <c r="AH67" s="95">
        <f>SUMIFS(营销场景数据源!$AB:$AB,营销场景数据源!$C:$C,$B$65,营销场景数据源!$A:$A,AH2)</f>
        <v>0</v>
      </c>
      <c r="AI67" s="95">
        <f>SUMIFS(营销场景数据源!$AB:$AB,营销场景数据源!$C:$C,$B$65,营销场景数据源!$A:$A,AI2)</f>
        <v>0</v>
      </c>
      <c r="AJ67" s="95">
        <f>SUMIFS(营销场景数据源!$AB:$AB,营销场景数据源!$C:$C,$B$65,营销场景数据源!$A:$A,AJ2)</f>
        <v>0</v>
      </c>
      <c r="AK67" s="95">
        <f>SUMIFS(营销场景数据源!$AB:$AB,营销场景数据源!$C:$C,$B$65,营销场景数据源!$A:$A,AK2)</f>
        <v>0</v>
      </c>
      <c r="AL67" s="95">
        <f>SUMIFS(营销场景数据源!$AB:$AB,营销场景数据源!$C:$C,$B$65,营销场景数据源!$A:$A,AL2)</f>
        <v>0</v>
      </c>
      <c r="AM67" s="95">
        <f>SUMIFS(营销场景数据源!$AB:$AB,营销场景数据源!$C:$C,$B$65,营销场景数据源!$A:$A,AM2)</f>
        <v>0</v>
      </c>
      <c r="AN67" s="95">
        <f>SUMIFS(营销场景数据源!$AB:$AB,营销场景数据源!$C:$C,$B$65,营销场景数据源!$A:$A,AN2)</f>
        <v>0</v>
      </c>
      <c r="AO67" s="95">
        <f>SUMIFS(营销场景数据源!$AB:$AB,营销场景数据源!$C:$C,$B$65,营销场景数据源!$A:$A,AO2)</f>
        <v>0</v>
      </c>
      <c r="AP67" s="95">
        <f>SUMIFS(营销场景数据源!$AB:$AB,营销场景数据源!$C:$C,$B$65,营销场景数据源!$A:$A,AP2)</f>
        <v>0</v>
      </c>
      <c r="AQ67" s="95">
        <f>SUMIFS(营销场景数据源!$AB:$AB,营销场景数据源!$C:$C,$B$65,营销场景数据源!$A:$A,AQ2)</f>
        <v>0</v>
      </c>
      <c r="AR67" s="95">
        <f>SUMIFS(营销场景数据源!$AB:$AB,营销场景数据源!$C:$C,$B$65,营销场景数据源!$A:$A,AR2)</f>
        <v>0</v>
      </c>
      <c r="AS67" s="95">
        <f>SUMIFS(营销场景数据源!$AB:$AB,营销场景数据源!$C:$C,$B$65,营销场景数据源!$A:$A,AS2)</f>
        <v>0</v>
      </c>
      <c r="AT67" s="95">
        <f>SUMIFS(营销场景数据源!$AB:$AB,营销场景数据源!$C:$C,$B$65,营销场景数据源!$A:$A,AT2)</f>
        <v>0</v>
      </c>
      <c r="AU67" s="95">
        <f>SUMIFS(营销场景数据源!$AB:$AB,营销场景数据源!$C:$C,$B$65,营销场景数据源!$A:$A,AU2)</f>
        <v>0</v>
      </c>
      <c r="AV67" s="95">
        <f>SUMIFS(营销场景数据源!$AB:$AB,营销场景数据源!$C:$C,$B$65,营销场景数据源!$A:$A,AV2)</f>
        <v>0</v>
      </c>
      <c r="AW67" s="65">
        <f>SUM(AX67:BY67)</f>
        <v>0</v>
      </c>
      <c r="AX67" s="95">
        <f>SUMIFS(营销场景数据源!$AB:$AB,营销场景数据源!$C:$C,$B$65,营销场景数据源!$A:$A,AX2)</f>
        <v>0</v>
      </c>
      <c r="AY67" s="95">
        <f>SUMIFS(营销场景数据源!$AB:$AB,营销场景数据源!$C:$C,$B$65,营销场景数据源!$A:$A,AY2)</f>
        <v>0</v>
      </c>
      <c r="AZ67" s="95">
        <f>SUMIFS(营销场景数据源!$AB:$AB,营销场景数据源!$C:$C,$B$65,营销场景数据源!$A:$A,AZ2)</f>
        <v>0</v>
      </c>
      <c r="BA67" s="95">
        <f>SUMIFS(营销场景数据源!$AB:$AB,营销场景数据源!$C:$C,$B$65,营销场景数据源!$A:$A,BA2)</f>
        <v>0</v>
      </c>
      <c r="BB67" s="95">
        <f>SUMIFS(营销场景数据源!$AB:$AB,营销场景数据源!$C:$C,$B$65,营销场景数据源!$A:$A,BB2)</f>
        <v>0</v>
      </c>
      <c r="BC67" s="95">
        <f>SUMIFS(营销场景数据源!$AB:$AB,营销场景数据源!$C:$C,$B$65,营销场景数据源!$A:$A,BC2)</f>
        <v>0</v>
      </c>
      <c r="BD67" s="95">
        <f>SUMIFS(营销场景数据源!$AB:$AB,营销场景数据源!$C:$C,$B$65,营销场景数据源!$A:$A,BD2)</f>
        <v>0</v>
      </c>
      <c r="BE67" s="95">
        <f>SUMIFS(营销场景数据源!$AB:$AB,营销场景数据源!$C:$C,$B$65,营销场景数据源!$A:$A,BE2)</f>
        <v>0</v>
      </c>
      <c r="BF67" s="95">
        <f>SUMIFS(营销场景数据源!$AB:$AB,营销场景数据源!$C:$C,$B$65,营销场景数据源!$A:$A,BF2)</f>
        <v>0</v>
      </c>
      <c r="BG67" s="95">
        <f>SUMIFS(营销场景数据源!$AB:$AB,营销场景数据源!$C:$C,$B$65,营销场景数据源!$A:$A,BG2)</f>
        <v>0</v>
      </c>
      <c r="BH67" s="95">
        <f>SUMIFS(营销场景数据源!$AB:$AB,营销场景数据源!$C:$C,$B$65,营销场景数据源!$A:$A,BH2)</f>
        <v>0</v>
      </c>
      <c r="BI67" s="95">
        <f>SUMIFS(营销场景数据源!$AB:$AB,营销场景数据源!$C:$C,$B$65,营销场景数据源!$A:$A,BI2)</f>
        <v>0</v>
      </c>
      <c r="BJ67" s="95">
        <f>SUMIFS(营销场景数据源!$AB:$AB,营销场景数据源!$C:$C,$B$65,营销场景数据源!$A:$A,BJ2)</f>
        <v>0</v>
      </c>
      <c r="BK67" s="95">
        <f>SUMIFS(营销场景数据源!$AB:$AB,营销场景数据源!$C:$C,$B$65,营销场景数据源!$A:$A,BK2)</f>
        <v>0</v>
      </c>
      <c r="BL67" s="95">
        <f>SUMIFS(营销场景数据源!$AB:$AB,营销场景数据源!$C:$C,$B$65,营销场景数据源!$A:$A,BL2)</f>
        <v>0</v>
      </c>
      <c r="BM67" s="95">
        <f>SUMIFS(营销场景数据源!$AB:$AB,营销场景数据源!$C:$C,$B$65,营销场景数据源!$A:$A,BM2)</f>
        <v>0</v>
      </c>
      <c r="BN67" s="95">
        <f>SUMIFS(营销场景数据源!$AB:$AB,营销场景数据源!$C:$C,$B$65,营销场景数据源!$A:$A,BN2)</f>
        <v>0</v>
      </c>
      <c r="BO67" s="95">
        <f>SUMIFS(营销场景数据源!$AB:$AB,营销场景数据源!$C:$C,$B$65,营销场景数据源!$A:$A,BO2)</f>
        <v>0</v>
      </c>
      <c r="BP67" s="95">
        <f>SUMIFS(营销场景数据源!$AB:$AB,营销场景数据源!$C:$C,$B$65,营销场景数据源!$A:$A,BP2)</f>
        <v>0</v>
      </c>
      <c r="BQ67" s="95">
        <f>SUMIFS(营销场景数据源!$AB:$AB,营销场景数据源!$C:$C,$B$65,营销场景数据源!$A:$A,BQ2)</f>
        <v>0</v>
      </c>
      <c r="BR67" s="95">
        <f>SUMIFS(营销场景数据源!$AB:$AB,营销场景数据源!$C:$C,$B$65,营销场景数据源!$A:$A,BR2)</f>
        <v>0</v>
      </c>
      <c r="BS67" s="95">
        <f>SUMIFS(营销场景数据源!$AB:$AB,营销场景数据源!$C:$C,$B$65,营销场景数据源!$A:$A,BS2)</f>
        <v>0</v>
      </c>
      <c r="BT67" s="95">
        <f>SUMIFS(营销场景数据源!$AB:$AB,营销场景数据源!$C:$C,$B$65,营销场景数据源!$A:$A,BT2)</f>
        <v>0</v>
      </c>
      <c r="BU67" s="95">
        <f>SUMIFS(营销场景数据源!$AB:$AB,营销场景数据源!$C:$C,$B$65,营销场景数据源!$A:$A,BU2)</f>
        <v>0</v>
      </c>
      <c r="BV67" s="95">
        <f>SUMIFS(营销场景数据源!$AB:$AB,营销场景数据源!$C:$C,$B$65,营销场景数据源!$A:$A,BV2)</f>
        <v>0</v>
      </c>
      <c r="BW67" s="95">
        <f>SUMIFS(营销场景数据源!$AB:$AB,营销场景数据源!$C:$C,$B$65,营销场景数据源!$A:$A,BW2)</f>
        <v>0</v>
      </c>
      <c r="BX67" s="95">
        <f>SUMIFS(营销场景数据源!$AB:$AB,营销场景数据源!$C:$C,$B$65,营销场景数据源!$A:$A,BX2)</f>
        <v>0</v>
      </c>
      <c r="BY67" s="95">
        <f>SUMIFS(营销场景数据源!$AB:$AB,营销场景数据源!$C:$C,$B$65,营销场景数据源!$A:$A,BY2)</f>
        <v>0</v>
      </c>
      <c r="BZ67" s="65">
        <f>SUM(CA67:DE67)</f>
        <v>0</v>
      </c>
      <c r="CA67" s="95">
        <f>SUMIFS(营销场景数据源!$AB:$AB,营销场景数据源!$C:$C,$B$65,营销场景数据源!$A:$A,CA2)</f>
        <v>0</v>
      </c>
      <c r="CB67" s="95">
        <f>SUMIFS(营销场景数据源!$AB:$AB,营销场景数据源!$C:$C,$B$65,营销场景数据源!$A:$A,CB2)</f>
        <v>0</v>
      </c>
      <c r="CC67" s="95">
        <f>SUMIFS(营销场景数据源!$AB:$AB,营销场景数据源!$C:$C,$B$65,营销场景数据源!$A:$A,CC2)</f>
        <v>0</v>
      </c>
      <c r="CD67" s="95">
        <f>SUMIFS(营销场景数据源!$AB:$AB,营销场景数据源!$C:$C,$B$65,营销场景数据源!$A:$A,CD2)</f>
        <v>0</v>
      </c>
      <c r="CE67" s="95">
        <f>SUMIFS(营销场景数据源!$AB:$AB,营销场景数据源!$C:$C,$B$65,营销场景数据源!$A:$A,CE2)</f>
        <v>0</v>
      </c>
      <c r="CF67" s="95">
        <f>SUMIFS(营销场景数据源!$AB:$AB,营销场景数据源!$C:$C,$B$65,营销场景数据源!$A:$A,CF2)</f>
        <v>0</v>
      </c>
      <c r="CG67" s="95">
        <f>SUMIFS(营销场景数据源!$AB:$AB,营销场景数据源!$C:$C,$B$65,营销场景数据源!$A:$A,CG2)</f>
        <v>0</v>
      </c>
      <c r="CH67" s="95">
        <f>SUMIFS(营销场景数据源!$AB:$AB,营销场景数据源!$C:$C,$B$65,营销场景数据源!$A:$A,CH2)</f>
        <v>0</v>
      </c>
      <c r="CI67" s="95">
        <f>SUMIFS(营销场景数据源!$AB:$AB,营销场景数据源!$C:$C,$B$65,营销场景数据源!$A:$A,CI2)</f>
        <v>0</v>
      </c>
      <c r="CJ67" s="95">
        <f>SUMIFS(营销场景数据源!$AB:$AB,营销场景数据源!$C:$C,$B$65,营销场景数据源!$A:$A,CJ2)</f>
        <v>0</v>
      </c>
      <c r="CK67" s="95">
        <f>SUMIFS(营销场景数据源!$AB:$AB,营销场景数据源!$C:$C,$B$65,营销场景数据源!$A:$A,CK2)</f>
        <v>0</v>
      </c>
      <c r="CL67" s="95">
        <f>SUMIFS(营销场景数据源!$AB:$AB,营销场景数据源!$C:$C,$B$65,营销场景数据源!$A:$A,CL2)</f>
        <v>0</v>
      </c>
      <c r="CM67" s="95">
        <f>SUMIFS(营销场景数据源!$AB:$AB,营销场景数据源!$C:$C,$B$65,营销场景数据源!$A:$A,CM2)</f>
        <v>0</v>
      </c>
      <c r="CN67" s="95">
        <f>SUMIFS(营销场景数据源!$AB:$AB,营销场景数据源!$C:$C,$B$65,营销场景数据源!$A:$A,CN2)</f>
        <v>0</v>
      </c>
      <c r="CO67" s="95">
        <f>SUMIFS(营销场景数据源!$AB:$AB,营销场景数据源!$C:$C,$B$65,营销场景数据源!$A:$A,CO2)</f>
        <v>0</v>
      </c>
      <c r="CP67" s="95">
        <f>SUMIFS(营销场景数据源!$AB:$AB,营销场景数据源!$C:$C,$B$65,营销场景数据源!$A:$A,CP2)</f>
        <v>0</v>
      </c>
      <c r="CQ67" s="95">
        <f>SUMIFS(营销场景数据源!$AB:$AB,营销场景数据源!$C:$C,$B$65,营销场景数据源!$A:$A,CQ2)</f>
        <v>0</v>
      </c>
      <c r="CR67" s="95">
        <f>SUMIFS(营销场景数据源!$AB:$AB,营销场景数据源!$C:$C,$B$65,营销场景数据源!$A:$A,CR2)</f>
        <v>0</v>
      </c>
      <c r="CS67" s="95">
        <f>SUMIFS(营销场景数据源!$AB:$AB,营销场景数据源!$C:$C,$B$65,营销场景数据源!$A:$A,CS2)</f>
        <v>0</v>
      </c>
      <c r="CT67" s="95">
        <f>SUMIFS(营销场景数据源!$AB:$AB,营销场景数据源!$C:$C,$B$65,营销场景数据源!$A:$A,CT2)</f>
        <v>0</v>
      </c>
      <c r="CU67" s="95">
        <f>SUMIFS(营销场景数据源!$AB:$AB,营销场景数据源!$C:$C,$B$65,营销场景数据源!$A:$A,CU2)</f>
        <v>0</v>
      </c>
      <c r="CV67" s="95">
        <f>SUMIFS(营销场景数据源!$AB:$AB,营销场景数据源!$C:$C,$B$65,营销场景数据源!$A:$A,CV2)</f>
        <v>0</v>
      </c>
      <c r="CW67" s="95">
        <f>SUMIFS(营销场景数据源!$AB:$AB,营销场景数据源!$C:$C,$B$65,营销场景数据源!$A:$A,CW2)</f>
        <v>0</v>
      </c>
      <c r="CX67" s="95">
        <f>SUMIFS(营销场景数据源!$AB:$AB,营销场景数据源!$C:$C,$B$65,营销场景数据源!$A:$A,CX2)</f>
        <v>0</v>
      </c>
      <c r="CY67" s="95">
        <f>SUMIFS(营销场景数据源!$AB:$AB,营销场景数据源!$C:$C,$B$65,营销场景数据源!$A:$A,CY2)</f>
        <v>0</v>
      </c>
      <c r="CZ67" s="95">
        <f>SUMIFS(营销场景数据源!$AB:$AB,营销场景数据源!$C:$C,$B$65,营销场景数据源!$A:$A,CZ2)</f>
        <v>0</v>
      </c>
      <c r="DA67" s="95">
        <f>SUMIFS(营销场景数据源!$AB:$AB,营销场景数据源!$C:$C,$B$65,营销场景数据源!$A:$A,DA2)</f>
        <v>0</v>
      </c>
      <c r="DB67" s="95">
        <f>SUMIFS(营销场景数据源!$AB:$AB,营销场景数据源!$C:$C,$B$65,营销场景数据源!$A:$A,DB2)</f>
        <v>0</v>
      </c>
      <c r="DC67" s="95">
        <f>SUMIFS(营销场景数据源!$AB:$AB,营销场景数据源!$C:$C,$B$65,营销场景数据源!$A:$A,DC2)</f>
        <v>0</v>
      </c>
      <c r="DD67" s="95">
        <f>SUMIFS(营销场景数据源!$AB:$AB,营销场景数据源!$C:$C,$B$65,营销场景数据源!$A:$A,DD2)</f>
        <v>0</v>
      </c>
      <c r="DE67" s="95">
        <f>SUMIFS(营销场景数据源!$AB:$AB,营销场景数据源!$C:$C,$B$65,营销场景数据源!$A:$A,DE2)</f>
        <v>0</v>
      </c>
      <c r="DF67" s="65">
        <f>SUM(DG67:EJ67)</f>
        <v>0</v>
      </c>
      <c r="DG67" s="95">
        <f>SUMIFS(营销场景数据源!$AB:$AB,营销场景数据源!$C:$C,$B$65,营销场景数据源!$A:$A,DG2)</f>
        <v>0</v>
      </c>
      <c r="DH67" s="95">
        <f>SUMIFS(营销场景数据源!$AB:$AB,营销场景数据源!$C:$C,$B$65,营销场景数据源!$A:$A,DH2)</f>
        <v>0</v>
      </c>
      <c r="DI67" s="95">
        <f>SUMIFS(营销场景数据源!$AB:$AB,营销场景数据源!$C:$C,$B$65,营销场景数据源!$A:$A,DI2)</f>
        <v>0</v>
      </c>
      <c r="DJ67" s="95">
        <f>SUMIFS(营销场景数据源!$AB:$AB,营销场景数据源!$C:$C,$B$65,营销场景数据源!$A:$A,DJ2)</f>
        <v>0</v>
      </c>
      <c r="DK67" s="95">
        <f>SUMIFS(营销场景数据源!$AB:$AB,营销场景数据源!$C:$C,$B$65,营销场景数据源!$A:$A,DK2)</f>
        <v>0</v>
      </c>
      <c r="DL67" s="95">
        <f>SUMIFS(营销场景数据源!$AB:$AB,营销场景数据源!$C:$C,$B$65,营销场景数据源!$A:$A,DL2)</f>
        <v>0</v>
      </c>
      <c r="DM67" s="95">
        <f>SUMIFS(营销场景数据源!$AB:$AB,营销场景数据源!$C:$C,$B$65,营销场景数据源!$A:$A,DM2)</f>
        <v>0</v>
      </c>
      <c r="DN67" s="95">
        <f>SUMIFS(营销场景数据源!$AB:$AB,营销场景数据源!$C:$C,$B$65,营销场景数据源!$A:$A,DN2)</f>
        <v>0</v>
      </c>
      <c r="DO67" s="95">
        <f>SUMIFS(营销场景数据源!$AB:$AB,营销场景数据源!$C:$C,$B$65,营销场景数据源!$A:$A,DO2)</f>
        <v>0</v>
      </c>
      <c r="DP67" s="95">
        <f>SUMIFS(营销场景数据源!$AB:$AB,营销场景数据源!$C:$C,$B$65,营销场景数据源!$A:$A,DP2)</f>
        <v>0</v>
      </c>
      <c r="DQ67" s="95">
        <f>SUMIFS(营销场景数据源!$AB:$AB,营销场景数据源!$C:$C,$B$65,营销场景数据源!$A:$A,DQ2)</f>
        <v>0</v>
      </c>
      <c r="DR67" s="95">
        <f>SUMIFS(营销场景数据源!$AB:$AB,营销场景数据源!$C:$C,$B$65,营销场景数据源!$A:$A,DR2)</f>
        <v>0</v>
      </c>
      <c r="DS67" s="95">
        <f>SUMIFS(营销场景数据源!$AB:$AB,营销场景数据源!$C:$C,$B$65,营销场景数据源!$A:$A,DS2)</f>
        <v>0</v>
      </c>
      <c r="DT67" s="95">
        <f>SUMIFS(营销场景数据源!$AB:$AB,营销场景数据源!$C:$C,$B$65,营销场景数据源!$A:$A,DT2)</f>
        <v>0</v>
      </c>
      <c r="DU67" s="95">
        <f>SUMIFS(营销场景数据源!$AB:$AB,营销场景数据源!$C:$C,$B$65,营销场景数据源!$A:$A,DU2)</f>
        <v>0</v>
      </c>
      <c r="DV67" s="95">
        <f>SUMIFS(营销场景数据源!$AB:$AB,营销场景数据源!$C:$C,$B$65,营销场景数据源!$A:$A,DV2)</f>
        <v>0</v>
      </c>
      <c r="DW67" s="95">
        <f>SUMIFS(营销场景数据源!$AB:$AB,营销场景数据源!$C:$C,$B$65,营销场景数据源!$A:$A,DW2)</f>
        <v>0</v>
      </c>
      <c r="DX67" s="95">
        <f>SUMIFS(营销场景数据源!$AB:$AB,营销场景数据源!$C:$C,$B$65,营销场景数据源!$A:$A,DX2)</f>
        <v>0</v>
      </c>
      <c r="DY67" s="95">
        <f>SUMIFS(营销场景数据源!$AB:$AB,营销场景数据源!$C:$C,$B$65,营销场景数据源!$A:$A,DY2)</f>
        <v>0</v>
      </c>
      <c r="DZ67" s="95">
        <f>SUMIFS(营销场景数据源!$AB:$AB,营销场景数据源!$C:$C,$B$65,营销场景数据源!$A:$A,DZ2)</f>
        <v>0</v>
      </c>
      <c r="EA67" s="95">
        <f>SUMIFS(营销场景数据源!$AB:$AB,营销场景数据源!$C:$C,$B$65,营销场景数据源!$A:$A,EA2)</f>
        <v>0</v>
      </c>
      <c r="EB67" s="95">
        <f>SUMIFS(营销场景数据源!$AB:$AB,营销场景数据源!$C:$C,$B$65,营销场景数据源!$A:$A,EB2)</f>
        <v>0</v>
      </c>
      <c r="EC67" s="95">
        <f>SUMIFS(营销场景数据源!$AB:$AB,营销场景数据源!$C:$C,$B$65,营销场景数据源!$A:$A,EC2)</f>
        <v>0</v>
      </c>
      <c r="ED67" s="95">
        <f>SUMIFS(营销场景数据源!$AB:$AB,营销场景数据源!$C:$C,$B$65,营销场景数据源!$A:$A,ED2)</f>
        <v>0</v>
      </c>
      <c r="EE67" s="95">
        <f>SUMIFS(营销场景数据源!$AB:$AB,营销场景数据源!$C:$C,$B$65,营销场景数据源!$A:$A,EE2)</f>
        <v>0</v>
      </c>
      <c r="EF67" s="95">
        <f>SUMIFS(营销场景数据源!$AB:$AB,营销场景数据源!$C:$C,$B$65,营销场景数据源!$A:$A,EF2)</f>
        <v>0</v>
      </c>
      <c r="EG67" s="95">
        <f>SUMIFS(营销场景数据源!$AB:$AB,营销场景数据源!$C:$C,$B$65,营销场景数据源!$A:$A,EG2)</f>
        <v>0</v>
      </c>
      <c r="EH67" s="95">
        <f>SUMIFS(营销场景数据源!$AB:$AB,营销场景数据源!$C:$C,$B$65,营销场景数据源!$A:$A,EH2)</f>
        <v>0</v>
      </c>
      <c r="EI67" s="95">
        <f>SUMIFS(营销场景数据源!$AB:$AB,营销场景数据源!$C:$C,$B$65,营销场景数据源!$A:$A,EI2)</f>
        <v>0</v>
      </c>
      <c r="EJ67" s="95">
        <f>SUMIFS(营销场景数据源!$AB:$AB,营销场景数据源!$C:$C,$B$65,营销场景数据源!$A:$A,EJ2)</f>
        <v>0</v>
      </c>
      <c r="EK67" s="65">
        <f>SUM(EL67:FP67)</f>
        <v>0</v>
      </c>
      <c r="EL67" s="95">
        <f>SUMIFS(营销场景数据源!$AB:$AB,营销场景数据源!$C:$C,$B$65,营销场景数据源!$A:$A,EL2)</f>
        <v>0</v>
      </c>
      <c r="EM67" s="95">
        <f>SUMIFS(营销场景数据源!$AB:$AB,营销场景数据源!$C:$C,$B$65,营销场景数据源!$A:$A,EM2)</f>
        <v>0</v>
      </c>
      <c r="EN67" s="95">
        <f>SUMIFS(营销场景数据源!$AB:$AB,营销场景数据源!$C:$C,$B$65,营销场景数据源!$A:$A,EN2)</f>
        <v>0</v>
      </c>
      <c r="EO67" s="95">
        <f>SUMIFS(营销场景数据源!$AB:$AB,营销场景数据源!$C:$C,$B$65,营销场景数据源!$A:$A,EO2)</f>
        <v>0</v>
      </c>
      <c r="EP67" s="95">
        <f>SUMIFS(营销场景数据源!$AB:$AB,营销场景数据源!$C:$C,$B$65,营销场景数据源!$A:$A,EP2)</f>
        <v>0</v>
      </c>
      <c r="EQ67" s="95">
        <f>SUMIFS(营销场景数据源!$AB:$AB,营销场景数据源!$C:$C,$B$65,营销场景数据源!$A:$A,EQ2)</f>
        <v>0</v>
      </c>
      <c r="ER67" s="95">
        <f>SUMIFS(营销场景数据源!$AB:$AB,营销场景数据源!$C:$C,$B$65,营销场景数据源!$A:$A,ER2)</f>
        <v>0</v>
      </c>
      <c r="ES67" s="95">
        <f>SUMIFS(营销场景数据源!$AB:$AB,营销场景数据源!$C:$C,$B$65,营销场景数据源!$A:$A,ES2)</f>
        <v>0</v>
      </c>
      <c r="ET67" s="95">
        <f>SUMIFS(营销场景数据源!$AB:$AB,营销场景数据源!$C:$C,$B$65,营销场景数据源!$A:$A,ET2)</f>
        <v>0</v>
      </c>
      <c r="EU67" s="95">
        <f>SUMIFS(营销场景数据源!$AB:$AB,营销场景数据源!$C:$C,$B$65,营销场景数据源!$A:$A,EU2)</f>
        <v>0</v>
      </c>
      <c r="EV67" s="95">
        <f>SUMIFS(营销场景数据源!$AB:$AB,营销场景数据源!$C:$C,$B$65,营销场景数据源!$A:$A,EV2)</f>
        <v>0</v>
      </c>
      <c r="EW67" s="95">
        <f>SUMIFS(营销场景数据源!$AB:$AB,营销场景数据源!$C:$C,$B$65,营销场景数据源!$A:$A,EW2)</f>
        <v>0</v>
      </c>
      <c r="EX67" s="95">
        <f>SUMIFS(营销场景数据源!$AB:$AB,营销场景数据源!$C:$C,$B$65,营销场景数据源!$A:$A,EX2)</f>
        <v>0</v>
      </c>
      <c r="EY67" s="95">
        <f>SUMIFS(营销场景数据源!$AB:$AB,营销场景数据源!$C:$C,$B$65,营销场景数据源!$A:$A,EY2)</f>
        <v>0</v>
      </c>
      <c r="EZ67" s="95">
        <f>SUMIFS(营销场景数据源!$AB:$AB,营销场景数据源!$C:$C,$B$65,营销场景数据源!$A:$A,EZ2)</f>
        <v>0</v>
      </c>
      <c r="FA67" s="95">
        <f>SUMIFS(营销场景数据源!$AB:$AB,营销场景数据源!$C:$C,$B$65,营销场景数据源!$A:$A,FA2)</f>
        <v>0</v>
      </c>
      <c r="FB67" s="95">
        <f>SUMIFS(营销场景数据源!$AB:$AB,营销场景数据源!$C:$C,$B$65,营销场景数据源!$A:$A,FB2)</f>
        <v>0</v>
      </c>
      <c r="FC67" s="95">
        <f>SUMIFS(营销场景数据源!$AB:$AB,营销场景数据源!$C:$C,$B$65,营销场景数据源!$A:$A,FC2)</f>
        <v>0</v>
      </c>
      <c r="FD67" s="95">
        <f>SUMIFS(营销场景数据源!$AB:$AB,营销场景数据源!$C:$C,$B$65,营销场景数据源!$A:$A,FD2)</f>
        <v>0</v>
      </c>
      <c r="FE67" s="95">
        <f>SUMIFS(营销场景数据源!$AB:$AB,营销场景数据源!$C:$C,$B$65,营销场景数据源!$A:$A,FE2)</f>
        <v>0</v>
      </c>
      <c r="FF67" s="95">
        <f>SUMIFS(营销场景数据源!$AB:$AB,营销场景数据源!$C:$C,$B$65,营销场景数据源!$A:$A,FF2)</f>
        <v>0</v>
      </c>
      <c r="FG67" s="95">
        <f>SUMIFS(营销场景数据源!$AB:$AB,营销场景数据源!$C:$C,$B$65,营销场景数据源!$A:$A,FG2)</f>
        <v>0</v>
      </c>
      <c r="FH67" s="95">
        <f>SUMIFS(营销场景数据源!$AB:$AB,营销场景数据源!$C:$C,$B$65,营销场景数据源!$A:$A,FH2)</f>
        <v>0</v>
      </c>
      <c r="FI67" s="95">
        <f>SUMIFS(营销场景数据源!$AB:$AB,营销场景数据源!$C:$C,$B$65,营销场景数据源!$A:$A,FI2)</f>
        <v>0</v>
      </c>
      <c r="FJ67" s="95">
        <f>SUMIFS(营销场景数据源!$AB:$AB,营销场景数据源!$C:$C,$B$65,营销场景数据源!$A:$A,FJ2)</f>
        <v>0</v>
      </c>
      <c r="FK67" s="95">
        <f>SUMIFS(营销场景数据源!$AB:$AB,营销场景数据源!$C:$C,$B$65,营销场景数据源!$A:$A,FK2)</f>
        <v>0</v>
      </c>
      <c r="FL67" s="95">
        <f>SUMIFS(营销场景数据源!$AB:$AB,营销场景数据源!$C:$C,$B$65,营销场景数据源!$A:$A,FL2)</f>
        <v>0</v>
      </c>
      <c r="FM67" s="95">
        <f>SUMIFS(营销场景数据源!$AB:$AB,营销场景数据源!$C:$C,$B$65,营销场景数据源!$A:$A,FM2)</f>
        <v>0</v>
      </c>
      <c r="FN67" s="95">
        <f>SUMIFS(营销场景数据源!$AB:$AB,营销场景数据源!$C:$C,$B$65,营销场景数据源!$A:$A,FN2)</f>
        <v>0</v>
      </c>
      <c r="FO67" s="95">
        <f>SUMIFS(营销场景数据源!$AB:$AB,营销场景数据源!$C:$C,$B$65,营销场景数据源!$A:$A,FO2)</f>
        <v>0</v>
      </c>
      <c r="FP67" s="95">
        <f>SUMIFS(营销场景数据源!$AB:$AB,营销场景数据源!$C:$C,$B$65,营销场景数据源!$A:$A,FP2)</f>
        <v>0</v>
      </c>
      <c r="FQ67" s="65">
        <f t="shared" si="342"/>
        <v>0</v>
      </c>
      <c r="FR67" s="95">
        <f>SUMIFS(营销场景数据源!$AB:$AB,营销场景数据源!$C:$C,$B$65,营销场景数据源!$A:$A,FR2)</f>
        <v>0</v>
      </c>
      <c r="FS67" s="95">
        <f>SUMIFS(营销场景数据源!$AB:$AB,营销场景数据源!$C:$C,$B$65,营销场景数据源!$A:$A,FS2)</f>
        <v>0</v>
      </c>
      <c r="FT67" s="95">
        <f>SUMIFS(营销场景数据源!$AB:$AB,营销场景数据源!$C:$C,$B$65,营销场景数据源!$A:$A,FT2)</f>
        <v>0</v>
      </c>
      <c r="FU67" s="95">
        <f>SUMIFS(营销场景数据源!$AB:$AB,营销场景数据源!$C:$C,$B$65,营销场景数据源!$A:$A,FU2)</f>
        <v>0</v>
      </c>
      <c r="FV67" s="95">
        <f>SUMIFS(营销场景数据源!$AB:$AB,营销场景数据源!$C:$C,$B$65,营销场景数据源!$A:$A,FV2)</f>
        <v>0</v>
      </c>
      <c r="FW67" s="95">
        <f>SUMIFS(营销场景数据源!$AB:$AB,营销场景数据源!$C:$C,$B$65,营销场景数据源!$A:$A,FW2)</f>
        <v>0</v>
      </c>
      <c r="FX67" s="95">
        <f>SUMIFS(营销场景数据源!$AB:$AB,营销场景数据源!$C:$C,$B$65,营销场景数据源!$A:$A,FX2)</f>
        <v>0</v>
      </c>
      <c r="FY67" s="95">
        <f>SUMIFS(营销场景数据源!$AB:$AB,营销场景数据源!$C:$C,$B$65,营销场景数据源!$A:$A,FY2)</f>
        <v>0</v>
      </c>
      <c r="FZ67" s="95">
        <f>SUMIFS(营销场景数据源!$AB:$AB,营销场景数据源!$C:$C,$B$65,营销场景数据源!$A:$A,FZ2)</f>
        <v>0</v>
      </c>
      <c r="GA67" s="95">
        <f>SUMIFS(营销场景数据源!$AB:$AB,营销场景数据源!$C:$C,$B$65,营销场景数据源!$A:$A,GA2)</f>
        <v>0</v>
      </c>
      <c r="GB67" s="95">
        <f>SUMIFS(营销场景数据源!$AB:$AB,营销场景数据源!$C:$C,$B$65,营销场景数据源!$A:$A,GB2)</f>
        <v>0</v>
      </c>
      <c r="GC67" s="95">
        <f>SUMIFS(营销场景数据源!$AB:$AB,营销场景数据源!$C:$C,$B$65,营销场景数据源!$A:$A,GC2)</f>
        <v>0</v>
      </c>
      <c r="GD67" s="95">
        <f>SUMIFS(营销场景数据源!$AB:$AB,营销场景数据源!$C:$C,$B$65,营销场景数据源!$A:$A,GD2)</f>
        <v>0</v>
      </c>
      <c r="GE67" s="95">
        <f>SUMIFS(营销场景数据源!$AB:$AB,营销场景数据源!$C:$C,$B$65,营销场景数据源!$A:$A,GE2)</f>
        <v>0</v>
      </c>
      <c r="GF67" s="95">
        <f>SUMIFS(营销场景数据源!$AB:$AB,营销场景数据源!$C:$C,$B$65,营销场景数据源!$A:$A,GF2)</f>
        <v>0</v>
      </c>
      <c r="GG67" s="95">
        <f>SUMIFS(营销场景数据源!$AB:$AB,营销场景数据源!$C:$C,$B$65,营销场景数据源!$A:$A,GG2)</f>
        <v>0</v>
      </c>
      <c r="GH67" s="95">
        <f>SUMIFS(营销场景数据源!$AB:$AB,营销场景数据源!$C:$C,$B$65,营销场景数据源!$A:$A,GH2)</f>
        <v>0</v>
      </c>
      <c r="GI67" s="95">
        <f>SUMIFS(营销场景数据源!$AB:$AB,营销场景数据源!$C:$C,$B$65,营销场景数据源!$A:$A,GI2)</f>
        <v>0</v>
      </c>
      <c r="GJ67" s="95">
        <f>SUMIFS(营销场景数据源!$AB:$AB,营销场景数据源!$C:$C,$B$65,营销场景数据源!$A:$A,GJ2)</f>
        <v>0</v>
      </c>
      <c r="GK67" s="95">
        <f>SUMIFS(营销场景数据源!$AB:$AB,营销场景数据源!$C:$C,$B$65,营销场景数据源!$A:$A,GK2)</f>
        <v>0</v>
      </c>
      <c r="GL67" s="95">
        <f>SUMIFS(营销场景数据源!$AB:$AB,营销场景数据源!$C:$C,$B$65,营销场景数据源!$A:$A,GL2)</f>
        <v>0</v>
      </c>
      <c r="GM67" s="95">
        <f>SUMIFS(营销场景数据源!$AB:$AB,营销场景数据源!$C:$C,$B$65,营销场景数据源!$A:$A,GM2)</f>
        <v>0</v>
      </c>
      <c r="GN67" s="95">
        <f>SUMIFS(营销场景数据源!$AB:$AB,营销场景数据源!$C:$C,$B$65,营销场景数据源!$A:$A,GN2)</f>
        <v>0</v>
      </c>
      <c r="GO67" s="95">
        <f>SUMIFS(营销场景数据源!$AB:$AB,营销场景数据源!$C:$C,$B$65,营销场景数据源!$A:$A,GO2)</f>
        <v>0</v>
      </c>
      <c r="GP67" s="95">
        <f>SUMIFS(营销场景数据源!$AB:$AB,营销场景数据源!$C:$C,$B$65,营销场景数据源!$A:$A,GP2)</f>
        <v>0</v>
      </c>
    </row>
    <row r="68" s="47" customFormat="1" ht="15" hidden="1" customHeight="1" spans="2:198">
      <c r="B68" s="103"/>
      <c r="C68" s="104" t="s">
        <v>25</v>
      </c>
      <c r="D68" s="94" t="e">
        <f>SUM(E68:P68)</f>
        <v>#REF!</v>
      </c>
      <c r="E68" s="105" t="e">
        <f>#REF!</f>
        <v>#REF!</v>
      </c>
      <c r="F68" s="105" t="e">
        <f>#REF!</f>
        <v>#REF!</v>
      </c>
      <c r="G68" s="105" t="e">
        <f>#REF!</f>
        <v>#REF!</v>
      </c>
      <c r="H68" s="105" t="e">
        <f>#REF!</f>
        <v>#REF!</v>
      </c>
      <c r="I68" s="105" t="e">
        <f>#REF!</f>
        <v>#REF!</v>
      </c>
      <c r="J68" s="105" t="e">
        <f>#REF!</f>
        <v>#REF!</v>
      </c>
      <c r="K68" s="105" t="e">
        <f>#REF!</f>
        <v>#REF!</v>
      </c>
      <c r="L68" s="105" t="e">
        <f>#REF!</f>
        <v>#REF!</v>
      </c>
      <c r="M68" s="105" t="e">
        <f>#REF!</f>
        <v>#REF!</v>
      </c>
      <c r="N68" s="105" t="e">
        <f>#REF!</f>
        <v>#REF!</v>
      </c>
      <c r="O68" s="105" t="e">
        <f>#REF!</f>
        <v>#REF!</v>
      </c>
      <c r="P68" s="105" t="e">
        <f>#REF!</f>
        <v>#REF!</v>
      </c>
      <c r="Q68" s="65">
        <f>SUM(R68:AV68)</f>
        <v>0</v>
      </c>
      <c r="R68" s="95">
        <f>SUMIFS(营销场景数据源!$U:$U,营销场景数据源!$C:$C,$B$65,营销场景数据源!$A:$A,R2)</f>
        <v>0</v>
      </c>
      <c r="S68" s="95">
        <f>SUMIFS(营销场景数据源!$U:$U,营销场景数据源!$C:$C,$B$65,营销场景数据源!$A:$A,S2)</f>
        <v>0</v>
      </c>
      <c r="T68" s="95">
        <f>SUMIFS(营销场景数据源!$U:$U,营销场景数据源!$C:$C,$B$65,营销场景数据源!$A:$A,T2)</f>
        <v>0</v>
      </c>
      <c r="U68" s="95">
        <f>SUMIFS(营销场景数据源!$U:$U,营销场景数据源!$C:$C,$B$65,营销场景数据源!$A:$A,U2)</f>
        <v>0</v>
      </c>
      <c r="V68" s="95">
        <f>SUMIFS(营销场景数据源!$U:$U,营销场景数据源!$C:$C,$B$65,营销场景数据源!$A:$A,V2)</f>
        <v>0</v>
      </c>
      <c r="W68" s="95">
        <f>SUMIFS(营销场景数据源!$U:$U,营销场景数据源!$C:$C,$B$65,营销场景数据源!$A:$A,W2)</f>
        <v>0</v>
      </c>
      <c r="X68" s="95">
        <f>SUMIFS(营销场景数据源!$U:$U,营销场景数据源!$C:$C,$B$65,营销场景数据源!$A:$A,X2)</f>
        <v>0</v>
      </c>
      <c r="Y68" s="95">
        <f>SUMIFS(营销场景数据源!$U:$U,营销场景数据源!$C:$C,$B$65,营销场景数据源!$A:$A,Y2)</f>
        <v>0</v>
      </c>
      <c r="Z68" s="95">
        <f>SUMIFS(营销场景数据源!$U:$U,营销场景数据源!$C:$C,$B$65,营销场景数据源!$A:$A,Z2)</f>
        <v>0</v>
      </c>
      <c r="AA68" s="95">
        <f>SUMIFS(营销场景数据源!$U:$U,营销场景数据源!$C:$C,$B$65,营销场景数据源!$A:$A,AA2)</f>
        <v>0</v>
      </c>
      <c r="AB68" s="95">
        <f>SUMIFS(营销场景数据源!$U:$U,营销场景数据源!$C:$C,$B$65,营销场景数据源!$A:$A,AB2)</f>
        <v>0</v>
      </c>
      <c r="AC68" s="95">
        <f>SUMIFS(营销场景数据源!$U:$U,营销场景数据源!$C:$C,$B$65,营销场景数据源!$A:$A,AC2)</f>
        <v>0</v>
      </c>
      <c r="AD68" s="95">
        <f>SUMIFS(营销场景数据源!$U:$U,营销场景数据源!$C:$C,$B$65,营销场景数据源!$A:$A,AD2)</f>
        <v>0</v>
      </c>
      <c r="AE68" s="95">
        <f>SUMIFS(营销场景数据源!$U:$U,营销场景数据源!$C:$C,$B$65,营销场景数据源!$A:$A,AE2)</f>
        <v>0</v>
      </c>
      <c r="AF68" s="95">
        <f>SUMIFS(营销场景数据源!$U:$U,营销场景数据源!$C:$C,$B$65,营销场景数据源!$A:$A,AF2)</f>
        <v>0</v>
      </c>
      <c r="AG68" s="95">
        <f>SUMIFS(营销场景数据源!$U:$U,营销场景数据源!$C:$C,$B$65,营销场景数据源!$A:$A,AG2)</f>
        <v>0</v>
      </c>
      <c r="AH68" s="95">
        <f>SUMIFS(营销场景数据源!$U:$U,营销场景数据源!$C:$C,$B$65,营销场景数据源!$A:$A,AH2)</f>
        <v>0</v>
      </c>
      <c r="AI68" s="95">
        <f>SUMIFS(营销场景数据源!$U:$U,营销场景数据源!$C:$C,$B$65,营销场景数据源!$A:$A,AI2)</f>
        <v>0</v>
      </c>
      <c r="AJ68" s="95">
        <f>SUMIFS(营销场景数据源!$U:$U,营销场景数据源!$C:$C,$B$65,营销场景数据源!$A:$A,AJ2)</f>
        <v>0</v>
      </c>
      <c r="AK68" s="95">
        <f>SUMIFS(营销场景数据源!$U:$U,营销场景数据源!$C:$C,$B$65,营销场景数据源!$A:$A,AK2)</f>
        <v>0</v>
      </c>
      <c r="AL68" s="95">
        <f>SUMIFS(营销场景数据源!$U:$U,营销场景数据源!$C:$C,$B$65,营销场景数据源!$A:$A,AL2)</f>
        <v>0</v>
      </c>
      <c r="AM68" s="95">
        <f>SUMIFS(营销场景数据源!$U:$U,营销场景数据源!$C:$C,$B$65,营销场景数据源!$A:$A,AM2)</f>
        <v>0</v>
      </c>
      <c r="AN68" s="95">
        <f>SUMIFS(营销场景数据源!$U:$U,营销场景数据源!$C:$C,$B$65,营销场景数据源!$A:$A,AN2)</f>
        <v>0</v>
      </c>
      <c r="AO68" s="95">
        <f>SUMIFS(营销场景数据源!$U:$U,营销场景数据源!$C:$C,$B$65,营销场景数据源!$A:$A,AO2)</f>
        <v>0</v>
      </c>
      <c r="AP68" s="95">
        <f>SUMIFS(营销场景数据源!$U:$U,营销场景数据源!$C:$C,$B$65,营销场景数据源!$A:$A,AP2)</f>
        <v>0</v>
      </c>
      <c r="AQ68" s="95">
        <f>SUMIFS(营销场景数据源!$U:$U,营销场景数据源!$C:$C,$B$65,营销场景数据源!$A:$A,AQ2)</f>
        <v>0</v>
      </c>
      <c r="AR68" s="95">
        <f>SUMIFS(营销场景数据源!$U:$U,营销场景数据源!$C:$C,$B$65,营销场景数据源!$A:$A,AR2)</f>
        <v>0</v>
      </c>
      <c r="AS68" s="95">
        <f>SUMIFS(营销场景数据源!$U:$U,营销场景数据源!$C:$C,$B$65,营销场景数据源!$A:$A,AS2)</f>
        <v>0</v>
      </c>
      <c r="AT68" s="95">
        <f>SUMIFS(营销场景数据源!$U:$U,营销场景数据源!$C:$C,$B$65,营销场景数据源!$A:$A,AT2)</f>
        <v>0</v>
      </c>
      <c r="AU68" s="95">
        <f>SUMIFS(营销场景数据源!$U:$U,营销场景数据源!$C:$C,$B$65,营销场景数据源!$A:$A,AU2)</f>
        <v>0</v>
      </c>
      <c r="AV68" s="95">
        <f>SUMIFS(营销场景数据源!$U:$U,营销场景数据源!$C:$C,$B$65,营销场景数据源!$A:$A,AV2)</f>
        <v>0</v>
      </c>
      <c r="AW68" s="65">
        <f>SUM(AX68:BY68)</f>
        <v>0</v>
      </c>
      <c r="AX68" s="95">
        <f>SUMIFS(营销场景数据源!$U:$U,营销场景数据源!$C:$C,$B$65,营销场景数据源!$A:$A,AX2)</f>
        <v>0</v>
      </c>
      <c r="AY68" s="95">
        <f>SUMIFS(营销场景数据源!$U:$U,营销场景数据源!$C:$C,$B$65,营销场景数据源!$A:$A,AY2)</f>
        <v>0</v>
      </c>
      <c r="AZ68" s="95">
        <f>SUMIFS(营销场景数据源!$U:$U,营销场景数据源!$C:$C,$B$65,营销场景数据源!$A:$A,AZ2)</f>
        <v>0</v>
      </c>
      <c r="BA68" s="95">
        <f>SUMIFS(营销场景数据源!$U:$U,营销场景数据源!$C:$C,$B$65,营销场景数据源!$A:$A,BA2)</f>
        <v>0</v>
      </c>
      <c r="BB68" s="95">
        <f>SUMIFS(营销场景数据源!$U:$U,营销场景数据源!$C:$C,$B$65,营销场景数据源!$A:$A,BB2)</f>
        <v>0</v>
      </c>
      <c r="BC68" s="95">
        <f>SUMIFS(营销场景数据源!$U:$U,营销场景数据源!$C:$C,$B$65,营销场景数据源!$A:$A,BC2)</f>
        <v>0</v>
      </c>
      <c r="BD68" s="95">
        <f>SUMIFS(营销场景数据源!$U:$U,营销场景数据源!$C:$C,$B$65,营销场景数据源!$A:$A,BD2)</f>
        <v>0</v>
      </c>
      <c r="BE68" s="95">
        <f>SUMIFS(营销场景数据源!$U:$U,营销场景数据源!$C:$C,$B$65,营销场景数据源!$A:$A,BE2)</f>
        <v>0</v>
      </c>
      <c r="BF68" s="95">
        <f>SUMIFS(营销场景数据源!$U:$U,营销场景数据源!$C:$C,$B$65,营销场景数据源!$A:$A,BF2)</f>
        <v>0</v>
      </c>
      <c r="BG68" s="95">
        <f>SUMIFS(营销场景数据源!$U:$U,营销场景数据源!$C:$C,$B$65,营销场景数据源!$A:$A,BG2)</f>
        <v>0</v>
      </c>
      <c r="BH68" s="95">
        <f>SUMIFS(营销场景数据源!$U:$U,营销场景数据源!$C:$C,$B$65,营销场景数据源!$A:$A,BH2)</f>
        <v>0</v>
      </c>
      <c r="BI68" s="95">
        <f>SUMIFS(营销场景数据源!$U:$U,营销场景数据源!$C:$C,$B$65,营销场景数据源!$A:$A,BI2)</f>
        <v>0</v>
      </c>
      <c r="BJ68" s="95">
        <f>SUMIFS(营销场景数据源!$U:$U,营销场景数据源!$C:$C,$B$65,营销场景数据源!$A:$A,BJ2)</f>
        <v>0</v>
      </c>
      <c r="BK68" s="95">
        <f>SUMIFS(营销场景数据源!$U:$U,营销场景数据源!$C:$C,$B$65,营销场景数据源!$A:$A,BK2)</f>
        <v>0</v>
      </c>
      <c r="BL68" s="95">
        <f>SUMIFS(营销场景数据源!$U:$U,营销场景数据源!$C:$C,$B$65,营销场景数据源!$A:$A,BL2)</f>
        <v>0</v>
      </c>
      <c r="BM68" s="95">
        <f>SUMIFS(营销场景数据源!$U:$U,营销场景数据源!$C:$C,$B$65,营销场景数据源!$A:$A,BM2)</f>
        <v>0</v>
      </c>
      <c r="BN68" s="95">
        <f>SUMIFS(营销场景数据源!$U:$U,营销场景数据源!$C:$C,$B$65,营销场景数据源!$A:$A,BN2)</f>
        <v>0</v>
      </c>
      <c r="BO68" s="95">
        <f>SUMIFS(营销场景数据源!$U:$U,营销场景数据源!$C:$C,$B$65,营销场景数据源!$A:$A,BO2)</f>
        <v>0</v>
      </c>
      <c r="BP68" s="95">
        <f>SUMIFS(营销场景数据源!$U:$U,营销场景数据源!$C:$C,$B$65,营销场景数据源!$A:$A,BP2)</f>
        <v>0</v>
      </c>
      <c r="BQ68" s="95">
        <f>SUMIFS(营销场景数据源!$U:$U,营销场景数据源!$C:$C,$B$65,营销场景数据源!$A:$A,BQ2)</f>
        <v>0</v>
      </c>
      <c r="BR68" s="95">
        <f>SUMIFS(营销场景数据源!$U:$U,营销场景数据源!$C:$C,$B$65,营销场景数据源!$A:$A,BR2)</f>
        <v>0</v>
      </c>
      <c r="BS68" s="95">
        <f>SUMIFS(营销场景数据源!$U:$U,营销场景数据源!$C:$C,$B$65,营销场景数据源!$A:$A,BS2)</f>
        <v>0</v>
      </c>
      <c r="BT68" s="95">
        <f>SUMIFS(营销场景数据源!$U:$U,营销场景数据源!$C:$C,$B$65,营销场景数据源!$A:$A,BT2)</f>
        <v>0</v>
      </c>
      <c r="BU68" s="95">
        <f>SUMIFS(营销场景数据源!$U:$U,营销场景数据源!$C:$C,$B$65,营销场景数据源!$A:$A,BU2)</f>
        <v>0</v>
      </c>
      <c r="BV68" s="95">
        <f>SUMIFS(营销场景数据源!$U:$U,营销场景数据源!$C:$C,$B$65,营销场景数据源!$A:$A,BV2)</f>
        <v>0</v>
      </c>
      <c r="BW68" s="95">
        <f>SUMIFS(营销场景数据源!$U:$U,营销场景数据源!$C:$C,$B$65,营销场景数据源!$A:$A,BW2)</f>
        <v>0</v>
      </c>
      <c r="BX68" s="95">
        <f>SUMIFS(营销场景数据源!$U:$U,营销场景数据源!$C:$C,$B$65,营销场景数据源!$A:$A,BX2)</f>
        <v>0</v>
      </c>
      <c r="BY68" s="95">
        <f>SUMIFS(营销场景数据源!$U:$U,营销场景数据源!$C:$C,$B$65,营销场景数据源!$A:$A,BY2)</f>
        <v>0</v>
      </c>
      <c r="BZ68" s="65">
        <f>SUM(CA68:DE68)</f>
        <v>0</v>
      </c>
      <c r="CA68" s="95">
        <f>SUMIFS(营销场景数据源!$U:$U,营销场景数据源!$C:$C,$B$65,营销场景数据源!$A:$A,CA2)</f>
        <v>0</v>
      </c>
      <c r="CB68" s="95">
        <f>SUMIFS(营销场景数据源!$U:$U,营销场景数据源!$C:$C,$B$65,营销场景数据源!$A:$A,CB2)</f>
        <v>0</v>
      </c>
      <c r="CC68" s="95">
        <f>SUMIFS(营销场景数据源!$U:$U,营销场景数据源!$C:$C,$B$65,营销场景数据源!$A:$A,CC2)</f>
        <v>0</v>
      </c>
      <c r="CD68" s="95">
        <f>SUMIFS(营销场景数据源!$U:$U,营销场景数据源!$C:$C,$B$65,营销场景数据源!$A:$A,CD2)</f>
        <v>0</v>
      </c>
      <c r="CE68" s="95">
        <f>SUMIFS(营销场景数据源!$U:$U,营销场景数据源!$C:$C,$B$65,营销场景数据源!$A:$A,CE2)</f>
        <v>0</v>
      </c>
      <c r="CF68" s="95">
        <f>SUMIFS(营销场景数据源!$U:$U,营销场景数据源!$C:$C,$B$65,营销场景数据源!$A:$A,CF2)</f>
        <v>0</v>
      </c>
      <c r="CG68" s="95">
        <f>SUMIFS(营销场景数据源!$U:$U,营销场景数据源!$C:$C,$B$65,营销场景数据源!$A:$A,CG2)</f>
        <v>0</v>
      </c>
      <c r="CH68" s="95">
        <f>SUMIFS(营销场景数据源!$U:$U,营销场景数据源!$C:$C,$B$65,营销场景数据源!$A:$A,CH2)</f>
        <v>0</v>
      </c>
      <c r="CI68" s="95">
        <f>SUMIFS(营销场景数据源!$U:$U,营销场景数据源!$C:$C,$B$65,营销场景数据源!$A:$A,CI2)</f>
        <v>0</v>
      </c>
      <c r="CJ68" s="95">
        <f>SUMIFS(营销场景数据源!$U:$U,营销场景数据源!$C:$C,$B$65,营销场景数据源!$A:$A,CJ2)</f>
        <v>0</v>
      </c>
      <c r="CK68" s="95">
        <f>SUMIFS(营销场景数据源!$U:$U,营销场景数据源!$C:$C,$B$65,营销场景数据源!$A:$A,CK2)</f>
        <v>0</v>
      </c>
      <c r="CL68" s="95">
        <f>SUMIFS(营销场景数据源!$U:$U,营销场景数据源!$C:$C,$B$65,营销场景数据源!$A:$A,CL2)</f>
        <v>0</v>
      </c>
      <c r="CM68" s="95">
        <f>SUMIFS(营销场景数据源!$U:$U,营销场景数据源!$C:$C,$B$65,营销场景数据源!$A:$A,CM2)</f>
        <v>0</v>
      </c>
      <c r="CN68" s="95">
        <f>SUMIFS(营销场景数据源!$U:$U,营销场景数据源!$C:$C,$B$65,营销场景数据源!$A:$A,CN2)</f>
        <v>0</v>
      </c>
      <c r="CO68" s="95">
        <f>SUMIFS(营销场景数据源!$U:$U,营销场景数据源!$C:$C,$B$65,营销场景数据源!$A:$A,CO2)</f>
        <v>0</v>
      </c>
      <c r="CP68" s="95">
        <f>SUMIFS(营销场景数据源!$U:$U,营销场景数据源!$C:$C,$B$65,营销场景数据源!$A:$A,CP2)</f>
        <v>0</v>
      </c>
      <c r="CQ68" s="95">
        <f>SUMIFS(营销场景数据源!$U:$U,营销场景数据源!$C:$C,$B$65,营销场景数据源!$A:$A,CQ2)</f>
        <v>0</v>
      </c>
      <c r="CR68" s="95">
        <f>SUMIFS(营销场景数据源!$U:$U,营销场景数据源!$C:$C,$B$65,营销场景数据源!$A:$A,CR2)</f>
        <v>0</v>
      </c>
      <c r="CS68" s="95">
        <f>SUMIFS(营销场景数据源!$U:$U,营销场景数据源!$C:$C,$B$65,营销场景数据源!$A:$A,CS2)</f>
        <v>0</v>
      </c>
      <c r="CT68" s="95">
        <f>SUMIFS(营销场景数据源!$U:$U,营销场景数据源!$C:$C,$B$65,营销场景数据源!$A:$A,CT2)</f>
        <v>0</v>
      </c>
      <c r="CU68" s="95">
        <f>SUMIFS(营销场景数据源!$U:$U,营销场景数据源!$C:$C,$B$65,营销场景数据源!$A:$A,CU2)</f>
        <v>0</v>
      </c>
      <c r="CV68" s="95">
        <f>SUMIFS(营销场景数据源!$U:$U,营销场景数据源!$C:$C,$B$65,营销场景数据源!$A:$A,CV2)</f>
        <v>0</v>
      </c>
      <c r="CW68" s="95">
        <f>SUMIFS(营销场景数据源!$U:$U,营销场景数据源!$C:$C,$B$65,营销场景数据源!$A:$A,CW2)</f>
        <v>0</v>
      </c>
      <c r="CX68" s="95">
        <f>SUMIFS(营销场景数据源!$U:$U,营销场景数据源!$C:$C,$B$65,营销场景数据源!$A:$A,CX2)</f>
        <v>0</v>
      </c>
      <c r="CY68" s="95">
        <f>SUMIFS(营销场景数据源!$U:$U,营销场景数据源!$C:$C,$B$65,营销场景数据源!$A:$A,CY2)</f>
        <v>0</v>
      </c>
      <c r="CZ68" s="95">
        <f>SUMIFS(营销场景数据源!$U:$U,营销场景数据源!$C:$C,$B$65,营销场景数据源!$A:$A,CZ2)</f>
        <v>0</v>
      </c>
      <c r="DA68" s="95">
        <f>SUMIFS(营销场景数据源!$U:$U,营销场景数据源!$C:$C,$B$65,营销场景数据源!$A:$A,DA2)</f>
        <v>0</v>
      </c>
      <c r="DB68" s="95">
        <f>SUMIFS(营销场景数据源!$U:$U,营销场景数据源!$C:$C,$B$65,营销场景数据源!$A:$A,DB2)</f>
        <v>0</v>
      </c>
      <c r="DC68" s="95">
        <f>SUMIFS(营销场景数据源!$U:$U,营销场景数据源!$C:$C,$B$65,营销场景数据源!$A:$A,DC2)</f>
        <v>0</v>
      </c>
      <c r="DD68" s="95">
        <f>SUMIFS(营销场景数据源!$U:$U,营销场景数据源!$C:$C,$B$65,营销场景数据源!$A:$A,DD2)</f>
        <v>0</v>
      </c>
      <c r="DE68" s="95">
        <f>SUMIFS(营销场景数据源!$U:$U,营销场景数据源!$C:$C,$B$65,营销场景数据源!$A:$A,DE2)</f>
        <v>0</v>
      </c>
      <c r="DF68" s="65">
        <f>SUM(DG68:EJ68)</f>
        <v>0</v>
      </c>
      <c r="DG68" s="95">
        <f>SUMIFS(营销场景数据源!$U:$U,营销场景数据源!$C:$C,$B$65,营销场景数据源!$A:$A,DG2)</f>
        <v>0</v>
      </c>
      <c r="DH68" s="95">
        <f>SUMIFS(营销场景数据源!$U:$U,营销场景数据源!$C:$C,$B$65,营销场景数据源!$A:$A,DH2)</f>
        <v>0</v>
      </c>
      <c r="DI68" s="95">
        <f>SUMIFS(营销场景数据源!$U:$U,营销场景数据源!$C:$C,$B$65,营销场景数据源!$A:$A,DI2)</f>
        <v>0</v>
      </c>
      <c r="DJ68" s="95">
        <f>SUMIFS(营销场景数据源!$U:$U,营销场景数据源!$C:$C,$B$65,营销场景数据源!$A:$A,DJ2)</f>
        <v>0</v>
      </c>
      <c r="DK68" s="95">
        <f>SUMIFS(营销场景数据源!$U:$U,营销场景数据源!$C:$C,$B$65,营销场景数据源!$A:$A,DK2)</f>
        <v>0</v>
      </c>
      <c r="DL68" s="95">
        <f>SUMIFS(营销场景数据源!$U:$U,营销场景数据源!$C:$C,$B$65,营销场景数据源!$A:$A,DL2)</f>
        <v>0</v>
      </c>
      <c r="DM68" s="95">
        <f>SUMIFS(营销场景数据源!$U:$U,营销场景数据源!$C:$C,$B$65,营销场景数据源!$A:$A,DM2)</f>
        <v>0</v>
      </c>
      <c r="DN68" s="95">
        <f>SUMIFS(营销场景数据源!$U:$U,营销场景数据源!$C:$C,$B$65,营销场景数据源!$A:$A,DN2)</f>
        <v>0</v>
      </c>
      <c r="DO68" s="95">
        <f>SUMIFS(营销场景数据源!$U:$U,营销场景数据源!$C:$C,$B$65,营销场景数据源!$A:$A,DO2)</f>
        <v>0</v>
      </c>
      <c r="DP68" s="95">
        <f>SUMIFS(营销场景数据源!$U:$U,营销场景数据源!$C:$C,$B$65,营销场景数据源!$A:$A,DP2)</f>
        <v>0</v>
      </c>
      <c r="DQ68" s="95">
        <f>SUMIFS(营销场景数据源!$U:$U,营销场景数据源!$C:$C,$B$65,营销场景数据源!$A:$A,DQ2)</f>
        <v>0</v>
      </c>
      <c r="DR68" s="95">
        <f>SUMIFS(营销场景数据源!$U:$U,营销场景数据源!$C:$C,$B$65,营销场景数据源!$A:$A,DR2)</f>
        <v>0</v>
      </c>
      <c r="DS68" s="95">
        <f>SUMIFS(营销场景数据源!$U:$U,营销场景数据源!$C:$C,$B$65,营销场景数据源!$A:$A,DS2)</f>
        <v>0</v>
      </c>
      <c r="DT68" s="95">
        <f>SUMIFS(营销场景数据源!$U:$U,营销场景数据源!$C:$C,$B$65,营销场景数据源!$A:$A,DT2)</f>
        <v>0</v>
      </c>
      <c r="DU68" s="95">
        <f>SUMIFS(营销场景数据源!$U:$U,营销场景数据源!$C:$C,$B$65,营销场景数据源!$A:$A,DU2)</f>
        <v>0</v>
      </c>
      <c r="DV68" s="95">
        <f>SUMIFS(营销场景数据源!$U:$U,营销场景数据源!$C:$C,$B$65,营销场景数据源!$A:$A,DV2)</f>
        <v>0</v>
      </c>
      <c r="DW68" s="95">
        <f>SUMIFS(营销场景数据源!$U:$U,营销场景数据源!$C:$C,$B$65,营销场景数据源!$A:$A,DW2)</f>
        <v>0</v>
      </c>
      <c r="DX68" s="95">
        <f>SUMIFS(营销场景数据源!$U:$U,营销场景数据源!$C:$C,$B$65,营销场景数据源!$A:$A,DX2)</f>
        <v>0</v>
      </c>
      <c r="DY68" s="95">
        <f>SUMIFS(营销场景数据源!$U:$U,营销场景数据源!$C:$C,$B$65,营销场景数据源!$A:$A,DY2)</f>
        <v>0</v>
      </c>
      <c r="DZ68" s="95">
        <f>SUMIFS(营销场景数据源!$U:$U,营销场景数据源!$C:$C,$B$65,营销场景数据源!$A:$A,DZ2)</f>
        <v>0</v>
      </c>
      <c r="EA68" s="95">
        <f>SUMIFS(营销场景数据源!$U:$U,营销场景数据源!$C:$C,$B$65,营销场景数据源!$A:$A,EA2)</f>
        <v>0</v>
      </c>
      <c r="EB68" s="95">
        <f>SUMIFS(营销场景数据源!$U:$U,营销场景数据源!$C:$C,$B$65,营销场景数据源!$A:$A,EB2)</f>
        <v>0</v>
      </c>
      <c r="EC68" s="95">
        <f>SUMIFS(营销场景数据源!$U:$U,营销场景数据源!$C:$C,$B$65,营销场景数据源!$A:$A,EC2)</f>
        <v>0</v>
      </c>
      <c r="ED68" s="95">
        <f>SUMIFS(营销场景数据源!$U:$U,营销场景数据源!$C:$C,$B$65,营销场景数据源!$A:$A,ED2)</f>
        <v>0</v>
      </c>
      <c r="EE68" s="95">
        <f>SUMIFS(营销场景数据源!$U:$U,营销场景数据源!$C:$C,$B$65,营销场景数据源!$A:$A,EE2)</f>
        <v>0</v>
      </c>
      <c r="EF68" s="95">
        <f>SUMIFS(营销场景数据源!$U:$U,营销场景数据源!$C:$C,$B$65,营销场景数据源!$A:$A,EF2)</f>
        <v>0</v>
      </c>
      <c r="EG68" s="95">
        <f>SUMIFS(营销场景数据源!$U:$U,营销场景数据源!$C:$C,$B$65,营销场景数据源!$A:$A,EG2)</f>
        <v>0</v>
      </c>
      <c r="EH68" s="95">
        <f>SUMIFS(营销场景数据源!$U:$U,营销场景数据源!$C:$C,$B$65,营销场景数据源!$A:$A,EH2)</f>
        <v>0</v>
      </c>
      <c r="EI68" s="95">
        <f>SUMIFS(营销场景数据源!$U:$U,营销场景数据源!$C:$C,$B$65,营销场景数据源!$A:$A,EI2)</f>
        <v>0</v>
      </c>
      <c r="EJ68" s="95">
        <f>SUMIFS(营销场景数据源!$U:$U,营销场景数据源!$C:$C,$B$65,营销场景数据源!$A:$A,EJ2)</f>
        <v>0</v>
      </c>
      <c r="EK68" s="65">
        <f>SUM(EL68:FP68)</f>
        <v>0</v>
      </c>
      <c r="EL68" s="95">
        <f>SUMIFS(营销场景数据源!$U:$U,营销场景数据源!$C:$C,$B$65,营销场景数据源!$A:$A,EL2)</f>
        <v>0</v>
      </c>
      <c r="EM68" s="95">
        <f>SUMIFS(营销场景数据源!$U:$U,营销场景数据源!$C:$C,$B$65,营销场景数据源!$A:$A,EM2)</f>
        <v>0</v>
      </c>
      <c r="EN68" s="95">
        <f>SUMIFS(营销场景数据源!$U:$U,营销场景数据源!$C:$C,$B$65,营销场景数据源!$A:$A,EN2)</f>
        <v>0</v>
      </c>
      <c r="EO68" s="95">
        <f>SUMIFS(营销场景数据源!$U:$U,营销场景数据源!$C:$C,$B$65,营销场景数据源!$A:$A,EO2)</f>
        <v>0</v>
      </c>
      <c r="EP68" s="95">
        <f>SUMIFS(营销场景数据源!$U:$U,营销场景数据源!$C:$C,$B$65,营销场景数据源!$A:$A,EP2)</f>
        <v>0</v>
      </c>
      <c r="EQ68" s="95">
        <f>SUMIFS(营销场景数据源!$U:$U,营销场景数据源!$C:$C,$B$65,营销场景数据源!$A:$A,EQ2)</f>
        <v>0</v>
      </c>
      <c r="ER68" s="95">
        <f>SUMIFS(营销场景数据源!$U:$U,营销场景数据源!$C:$C,$B$65,营销场景数据源!$A:$A,ER2)</f>
        <v>0</v>
      </c>
      <c r="ES68" s="95">
        <f>SUMIFS(营销场景数据源!$U:$U,营销场景数据源!$C:$C,$B$65,营销场景数据源!$A:$A,ES2)</f>
        <v>0</v>
      </c>
      <c r="ET68" s="95">
        <f>SUMIFS(营销场景数据源!$U:$U,营销场景数据源!$C:$C,$B$65,营销场景数据源!$A:$A,ET2)</f>
        <v>0</v>
      </c>
      <c r="EU68" s="95">
        <f>SUMIFS(营销场景数据源!$U:$U,营销场景数据源!$C:$C,$B$65,营销场景数据源!$A:$A,EU2)</f>
        <v>0</v>
      </c>
      <c r="EV68" s="95">
        <f>SUMIFS(营销场景数据源!$U:$U,营销场景数据源!$C:$C,$B$65,营销场景数据源!$A:$A,EV2)</f>
        <v>0</v>
      </c>
      <c r="EW68" s="95">
        <f>SUMIFS(营销场景数据源!$U:$U,营销场景数据源!$C:$C,$B$65,营销场景数据源!$A:$A,EW2)</f>
        <v>0</v>
      </c>
      <c r="EX68" s="95">
        <f>SUMIFS(营销场景数据源!$U:$U,营销场景数据源!$C:$C,$B$65,营销场景数据源!$A:$A,EX2)</f>
        <v>0</v>
      </c>
      <c r="EY68" s="95">
        <f>SUMIFS(营销场景数据源!$U:$U,营销场景数据源!$C:$C,$B$65,营销场景数据源!$A:$A,EY2)</f>
        <v>0</v>
      </c>
      <c r="EZ68" s="95">
        <f>SUMIFS(营销场景数据源!$U:$U,营销场景数据源!$C:$C,$B$65,营销场景数据源!$A:$A,EZ2)</f>
        <v>0</v>
      </c>
      <c r="FA68" s="95">
        <f>SUMIFS(营销场景数据源!$U:$U,营销场景数据源!$C:$C,$B$65,营销场景数据源!$A:$A,FA2)</f>
        <v>0</v>
      </c>
      <c r="FB68" s="95">
        <f>SUMIFS(营销场景数据源!$U:$U,营销场景数据源!$C:$C,$B$65,营销场景数据源!$A:$A,FB2)</f>
        <v>0</v>
      </c>
      <c r="FC68" s="95">
        <f>SUMIFS(营销场景数据源!$U:$U,营销场景数据源!$C:$C,$B$65,营销场景数据源!$A:$A,FC2)</f>
        <v>0</v>
      </c>
      <c r="FD68" s="95">
        <f>SUMIFS(营销场景数据源!$U:$U,营销场景数据源!$C:$C,$B$65,营销场景数据源!$A:$A,FD2)</f>
        <v>0</v>
      </c>
      <c r="FE68" s="95">
        <f>SUMIFS(营销场景数据源!$U:$U,营销场景数据源!$C:$C,$B$65,营销场景数据源!$A:$A,FE2)</f>
        <v>0</v>
      </c>
      <c r="FF68" s="95">
        <f>SUMIFS(营销场景数据源!$U:$U,营销场景数据源!$C:$C,$B$65,营销场景数据源!$A:$A,FF2)</f>
        <v>0</v>
      </c>
      <c r="FG68" s="95">
        <f>SUMIFS(营销场景数据源!$U:$U,营销场景数据源!$C:$C,$B$65,营销场景数据源!$A:$A,FG2)</f>
        <v>0</v>
      </c>
      <c r="FH68" s="95">
        <f>SUMIFS(营销场景数据源!$U:$U,营销场景数据源!$C:$C,$B$65,营销场景数据源!$A:$A,FH2)</f>
        <v>0</v>
      </c>
      <c r="FI68" s="95">
        <f>SUMIFS(营销场景数据源!$U:$U,营销场景数据源!$C:$C,$B$65,营销场景数据源!$A:$A,FI2)</f>
        <v>0</v>
      </c>
      <c r="FJ68" s="95">
        <f>SUMIFS(营销场景数据源!$U:$U,营销场景数据源!$C:$C,$B$65,营销场景数据源!$A:$A,FJ2)</f>
        <v>0</v>
      </c>
      <c r="FK68" s="95">
        <f>SUMIFS(营销场景数据源!$U:$U,营销场景数据源!$C:$C,$B$65,营销场景数据源!$A:$A,FK2)</f>
        <v>0</v>
      </c>
      <c r="FL68" s="95">
        <f>SUMIFS(营销场景数据源!$U:$U,营销场景数据源!$C:$C,$B$65,营销场景数据源!$A:$A,FL2)</f>
        <v>0</v>
      </c>
      <c r="FM68" s="95">
        <f>SUMIFS(营销场景数据源!$U:$U,营销场景数据源!$C:$C,$B$65,营销场景数据源!$A:$A,FM2)</f>
        <v>0</v>
      </c>
      <c r="FN68" s="95">
        <f>SUMIFS(营销场景数据源!$U:$U,营销场景数据源!$C:$C,$B$65,营销场景数据源!$A:$A,FN2)</f>
        <v>0</v>
      </c>
      <c r="FO68" s="95">
        <f>SUMIFS(营销场景数据源!$U:$U,营销场景数据源!$C:$C,$B$65,营销场景数据源!$A:$A,FO2)</f>
        <v>0</v>
      </c>
      <c r="FP68" s="95">
        <f>SUMIFS(营销场景数据源!$U:$U,营销场景数据源!$C:$C,$B$65,营销场景数据源!$A:$A,FP2)</f>
        <v>0</v>
      </c>
      <c r="FQ68" s="65">
        <f t="shared" si="342"/>
        <v>0</v>
      </c>
      <c r="FR68" s="95">
        <f>SUMIFS(营销场景数据源!$U:$U,营销场景数据源!$C:$C,$B$65,营销场景数据源!$A:$A,FR2)</f>
        <v>0</v>
      </c>
      <c r="FS68" s="95">
        <f>SUMIFS(营销场景数据源!$U:$U,营销场景数据源!$C:$C,$B$65,营销场景数据源!$A:$A,FS2)</f>
        <v>0</v>
      </c>
      <c r="FT68" s="95">
        <f>SUMIFS(营销场景数据源!$U:$U,营销场景数据源!$C:$C,$B$65,营销场景数据源!$A:$A,FT2)</f>
        <v>0</v>
      </c>
      <c r="FU68" s="95">
        <f>SUMIFS(营销场景数据源!$U:$U,营销场景数据源!$C:$C,$B$65,营销场景数据源!$A:$A,FU2)</f>
        <v>0</v>
      </c>
      <c r="FV68" s="95">
        <f>SUMIFS(营销场景数据源!$U:$U,营销场景数据源!$C:$C,$B$65,营销场景数据源!$A:$A,FV2)</f>
        <v>0</v>
      </c>
      <c r="FW68" s="95">
        <f>SUMIFS(营销场景数据源!$U:$U,营销场景数据源!$C:$C,$B$65,营销场景数据源!$A:$A,FW2)</f>
        <v>0</v>
      </c>
      <c r="FX68" s="95">
        <f>SUMIFS(营销场景数据源!$U:$U,营销场景数据源!$C:$C,$B$65,营销场景数据源!$A:$A,FX2)</f>
        <v>0</v>
      </c>
      <c r="FY68" s="95">
        <f>SUMIFS(营销场景数据源!$U:$U,营销场景数据源!$C:$C,$B$65,营销场景数据源!$A:$A,FY2)</f>
        <v>0</v>
      </c>
      <c r="FZ68" s="95">
        <f>SUMIFS(营销场景数据源!$U:$U,营销场景数据源!$C:$C,$B$65,营销场景数据源!$A:$A,FZ2)</f>
        <v>0</v>
      </c>
      <c r="GA68" s="95">
        <f>SUMIFS(营销场景数据源!$U:$U,营销场景数据源!$C:$C,$B$65,营销场景数据源!$A:$A,GA2)</f>
        <v>0</v>
      </c>
      <c r="GB68" s="95">
        <f>SUMIFS(营销场景数据源!$U:$U,营销场景数据源!$C:$C,$B$65,营销场景数据源!$A:$A,GB2)</f>
        <v>0</v>
      </c>
      <c r="GC68" s="95">
        <f>SUMIFS(营销场景数据源!$U:$U,营销场景数据源!$C:$C,$B$65,营销场景数据源!$A:$A,GC2)</f>
        <v>0</v>
      </c>
      <c r="GD68" s="95">
        <f>SUMIFS(营销场景数据源!$U:$U,营销场景数据源!$C:$C,$B$65,营销场景数据源!$A:$A,GD2)</f>
        <v>0</v>
      </c>
      <c r="GE68" s="95">
        <f>SUMIFS(营销场景数据源!$U:$U,营销场景数据源!$C:$C,$B$65,营销场景数据源!$A:$A,GE2)</f>
        <v>0</v>
      </c>
      <c r="GF68" s="95">
        <f>SUMIFS(营销场景数据源!$U:$U,营销场景数据源!$C:$C,$B$65,营销场景数据源!$A:$A,GF2)</f>
        <v>0</v>
      </c>
      <c r="GG68" s="95">
        <f>SUMIFS(营销场景数据源!$U:$U,营销场景数据源!$C:$C,$B$65,营销场景数据源!$A:$A,GG2)</f>
        <v>0</v>
      </c>
      <c r="GH68" s="95">
        <f>SUMIFS(营销场景数据源!$U:$U,营销场景数据源!$C:$C,$B$65,营销场景数据源!$A:$A,GH2)</f>
        <v>0</v>
      </c>
      <c r="GI68" s="95">
        <f>SUMIFS(营销场景数据源!$U:$U,营销场景数据源!$C:$C,$B$65,营销场景数据源!$A:$A,GI2)</f>
        <v>0</v>
      </c>
      <c r="GJ68" s="95">
        <f>SUMIFS(营销场景数据源!$U:$U,营销场景数据源!$C:$C,$B$65,营销场景数据源!$A:$A,GJ2)</f>
        <v>0</v>
      </c>
      <c r="GK68" s="95">
        <f>SUMIFS(营销场景数据源!$U:$U,营销场景数据源!$C:$C,$B$65,营销场景数据源!$A:$A,GK2)</f>
        <v>0</v>
      </c>
      <c r="GL68" s="95">
        <f>SUMIFS(营销场景数据源!$U:$U,营销场景数据源!$C:$C,$B$65,营销场景数据源!$A:$A,GL2)</f>
        <v>0</v>
      </c>
      <c r="GM68" s="95">
        <f>SUMIFS(营销场景数据源!$U:$U,营销场景数据源!$C:$C,$B$65,营销场景数据源!$A:$A,GM2)</f>
        <v>0</v>
      </c>
      <c r="GN68" s="95">
        <f>SUMIFS(营销场景数据源!$U:$U,营销场景数据源!$C:$C,$B$65,营销场景数据源!$A:$A,GN2)</f>
        <v>0</v>
      </c>
      <c r="GO68" s="95">
        <f>SUMIFS(营销场景数据源!$U:$U,营销场景数据源!$C:$C,$B$65,营销场景数据源!$A:$A,GO2)</f>
        <v>0</v>
      </c>
      <c r="GP68" s="95">
        <f>SUMIFS(营销场景数据源!$U:$U,营销场景数据源!$C:$C,$B$65,营销场景数据源!$A:$A,GP2)</f>
        <v>0</v>
      </c>
    </row>
    <row r="69" s="47" customFormat="1" ht="15" hidden="1" customHeight="1" spans="2:198">
      <c r="B69" s="103"/>
      <c r="C69" s="104" t="s">
        <v>26</v>
      </c>
      <c r="D69" s="94" t="e">
        <f>SUM(E69:P69)</f>
        <v>#REF!</v>
      </c>
      <c r="E69" s="105" t="e">
        <f>#REF!</f>
        <v>#REF!</v>
      </c>
      <c r="F69" s="105" t="e">
        <f>#REF!</f>
        <v>#REF!</v>
      </c>
      <c r="G69" s="105" t="e">
        <f>#REF!</f>
        <v>#REF!</v>
      </c>
      <c r="H69" s="105" t="e">
        <f>#REF!</f>
        <v>#REF!</v>
      </c>
      <c r="I69" s="105" t="e">
        <f>#REF!</f>
        <v>#REF!</v>
      </c>
      <c r="J69" s="105" t="e">
        <f>#REF!</f>
        <v>#REF!</v>
      </c>
      <c r="K69" s="105" t="e">
        <f>#REF!</f>
        <v>#REF!</v>
      </c>
      <c r="L69" s="105" t="e">
        <f>#REF!</f>
        <v>#REF!</v>
      </c>
      <c r="M69" s="105" t="e">
        <f>#REF!</f>
        <v>#REF!</v>
      </c>
      <c r="N69" s="105" t="e">
        <f>#REF!</f>
        <v>#REF!</v>
      </c>
      <c r="O69" s="105" t="e">
        <f>#REF!</f>
        <v>#REF!</v>
      </c>
      <c r="P69" s="105" t="e">
        <f>#REF!</f>
        <v>#REF!</v>
      </c>
      <c r="Q69" s="65">
        <f>SUM(R69:AV69)</f>
        <v>0</v>
      </c>
      <c r="R69" s="95">
        <f>SUMIFS(营销场景数据源!$T:$T,营销场景数据源!$C:$C,$B$65,营销场景数据源!$A:$A,R2)</f>
        <v>0</v>
      </c>
      <c r="S69" s="95">
        <f>SUMIFS(营销场景数据源!$T:$T,营销场景数据源!$C:$C,$B$65,营销场景数据源!$A:$A,S2)</f>
        <v>0</v>
      </c>
      <c r="T69" s="95">
        <f>SUMIFS(营销场景数据源!$T:$T,营销场景数据源!$C:$C,$B$65,营销场景数据源!$A:$A,T2)</f>
        <v>0</v>
      </c>
      <c r="U69" s="95">
        <f>SUMIFS(营销场景数据源!$T:$T,营销场景数据源!$C:$C,$B$65,营销场景数据源!$A:$A,U2)</f>
        <v>0</v>
      </c>
      <c r="V69" s="95">
        <f>SUMIFS(营销场景数据源!$T:$T,营销场景数据源!$C:$C,$B$65,营销场景数据源!$A:$A,V2)</f>
        <v>0</v>
      </c>
      <c r="W69" s="95">
        <f>SUMIFS(营销场景数据源!$T:$T,营销场景数据源!$C:$C,$B$65,营销场景数据源!$A:$A,W2)</f>
        <v>0</v>
      </c>
      <c r="X69" s="95">
        <f>SUMIFS(营销场景数据源!$T:$T,营销场景数据源!$C:$C,$B$65,营销场景数据源!$A:$A,X2)</f>
        <v>0</v>
      </c>
      <c r="Y69" s="95">
        <f>SUMIFS(营销场景数据源!$T:$T,营销场景数据源!$C:$C,$B$65,营销场景数据源!$A:$A,Y2)</f>
        <v>0</v>
      </c>
      <c r="Z69" s="95">
        <f>SUMIFS(营销场景数据源!$T:$T,营销场景数据源!$C:$C,$B$65,营销场景数据源!$A:$A,Z2)</f>
        <v>0</v>
      </c>
      <c r="AA69" s="95">
        <f>SUMIFS(营销场景数据源!$T:$T,营销场景数据源!$C:$C,$B$65,营销场景数据源!$A:$A,AA2)</f>
        <v>0</v>
      </c>
      <c r="AB69" s="95">
        <f>SUMIFS(营销场景数据源!$T:$T,营销场景数据源!$C:$C,$B$65,营销场景数据源!$A:$A,AB2)</f>
        <v>0</v>
      </c>
      <c r="AC69" s="95">
        <f>SUMIFS(营销场景数据源!$T:$T,营销场景数据源!$C:$C,$B$65,营销场景数据源!$A:$A,AC2)</f>
        <v>0</v>
      </c>
      <c r="AD69" s="95">
        <f>SUMIFS(营销场景数据源!$T:$T,营销场景数据源!$C:$C,$B$65,营销场景数据源!$A:$A,AD2)</f>
        <v>0</v>
      </c>
      <c r="AE69" s="95">
        <f>SUMIFS(营销场景数据源!$T:$T,营销场景数据源!$C:$C,$B$65,营销场景数据源!$A:$A,AE2)</f>
        <v>0</v>
      </c>
      <c r="AF69" s="95">
        <f>SUMIFS(营销场景数据源!$T:$T,营销场景数据源!$C:$C,$B$65,营销场景数据源!$A:$A,AF2)</f>
        <v>0</v>
      </c>
      <c r="AG69" s="95">
        <f>SUMIFS(营销场景数据源!$T:$T,营销场景数据源!$C:$C,$B$65,营销场景数据源!$A:$A,AG2)</f>
        <v>0</v>
      </c>
      <c r="AH69" s="95">
        <f>SUMIFS(营销场景数据源!$T:$T,营销场景数据源!$C:$C,$B$65,营销场景数据源!$A:$A,AH2)</f>
        <v>0</v>
      </c>
      <c r="AI69" s="95">
        <f>SUMIFS(营销场景数据源!$T:$T,营销场景数据源!$C:$C,$B$65,营销场景数据源!$A:$A,AI2)</f>
        <v>0</v>
      </c>
      <c r="AJ69" s="95">
        <f>SUMIFS(营销场景数据源!$T:$T,营销场景数据源!$C:$C,$B$65,营销场景数据源!$A:$A,AJ2)</f>
        <v>0</v>
      </c>
      <c r="AK69" s="95">
        <f>SUMIFS(营销场景数据源!$T:$T,营销场景数据源!$C:$C,$B$65,营销场景数据源!$A:$A,AK2)</f>
        <v>0</v>
      </c>
      <c r="AL69" s="95">
        <f>SUMIFS(营销场景数据源!$T:$T,营销场景数据源!$C:$C,$B$65,营销场景数据源!$A:$A,AL2)</f>
        <v>0</v>
      </c>
      <c r="AM69" s="95">
        <f>SUMIFS(营销场景数据源!$T:$T,营销场景数据源!$C:$C,$B$65,营销场景数据源!$A:$A,AM2)</f>
        <v>0</v>
      </c>
      <c r="AN69" s="95">
        <f>SUMIFS(营销场景数据源!$T:$T,营销场景数据源!$C:$C,$B$65,营销场景数据源!$A:$A,AN2)</f>
        <v>0</v>
      </c>
      <c r="AO69" s="95">
        <f>SUMIFS(营销场景数据源!$T:$T,营销场景数据源!$C:$C,$B$65,营销场景数据源!$A:$A,AO2)</f>
        <v>0</v>
      </c>
      <c r="AP69" s="95">
        <f>SUMIFS(营销场景数据源!$T:$T,营销场景数据源!$C:$C,$B$65,营销场景数据源!$A:$A,AP2)</f>
        <v>0</v>
      </c>
      <c r="AQ69" s="95">
        <f>SUMIFS(营销场景数据源!$T:$T,营销场景数据源!$C:$C,$B$65,营销场景数据源!$A:$A,AQ2)</f>
        <v>0</v>
      </c>
      <c r="AR69" s="95">
        <f>SUMIFS(营销场景数据源!$T:$T,营销场景数据源!$C:$C,$B$65,营销场景数据源!$A:$A,AR2)</f>
        <v>0</v>
      </c>
      <c r="AS69" s="95">
        <f>SUMIFS(营销场景数据源!$T:$T,营销场景数据源!$C:$C,$B$65,营销场景数据源!$A:$A,AS2)</f>
        <v>0</v>
      </c>
      <c r="AT69" s="95">
        <f>SUMIFS(营销场景数据源!$T:$T,营销场景数据源!$C:$C,$B$65,营销场景数据源!$A:$A,AT2)</f>
        <v>0</v>
      </c>
      <c r="AU69" s="95">
        <f>SUMIFS(营销场景数据源!$T:$T,营销场景数据源!$C:$C,$B$65,营销场景数据源!$A:$A,AU2)</f>
        <v>0</v>
      </c>
      <c r="AV69" s="95">
        <f>SUMIFS(营销场景数据源!$T:$T,营销场景数据源!$C:$C,$B$65,营销场景数据源!$A:$A,AV2)</f>
        <v>0</v>
      </c>
      <c r="AW69" s="65">
        <f>SUM(AX69:BY69)</f>
        <v>0</v>
      </c>
      <c r="AX69" s="95">
        <f>SUMIFS(营销场景数据源!$T:$T,营销场景数据源!$C:$C,$B$65,营销场景数据源!$A:$A,AX2)</f>
        <v>0</v>
      </c>
      <c r="AY69" s="95">
        <f>SUMIFS(营销场景数据源!$T:$T,营销场景数据源!$C:$C,$B$65,营销场景数据源!$A:$A,AY2)</f>
        <v>0</v>
      </c>
      <c r="AZ69" s="95">
        <f>SUMIFS(营销场景数据源!$T:$T,营销场景数据源!$C:$C,$B$65,营销场景数据源!$A:$A,AZ2)</f>
        <v>0</v>
      </c>
      <c r="BA69" s="95">
        <f>SUMIFS(营销场景数据源!$T:$T,营销场景数据源!$C:$C,$B$65,营销场景数据源!$A:$A,BA2)</f>
        <v>0</v>
      </c>
      <c r="BB69" s="95">
        <f>SUMIFS(营销场景数据源!$T:$T,营销场景数据源!$C:$C,$B$65,营销场景数据源!$A:$A,BB2)</f>
        <v>0</v>
      </c>
      <c r="BC69" s="95">
        <f>SUMIFS(营销场景数据源!$T:$T,营销场景数据源!$C:$C,$B$65,营销场景数据源!$A:$A,BC2)</f>
        <v>0</v>
      </c>
      <c r="BD69" s="95">
        <f>SUMIFS(营销场景数据源!$T:$T,营销场景数据源!$C:$C,$B$65,营销场景数据源!$A:$A,BD2)</f>
        <v>0</v>
      </c>
      <c r="BE69" s="95">
        <f>SUMIFS(营销场景数据源!$T:$T,营销场景数据源!$C:$C,$B$65,营销场景数据源!$A:$A,BE2)</f>
        <v>0</v>
      </c>
      <c r="BF69" s="95">
        <f>SUMIFS(营销场景数据源!$T:$T,营销场景数据源!$C:$C,$B$65,营销场景数据源!$A:$A,BF2)</f>
        <v>0</v>
      </c>
      <c r="BG69" s="95">
        <f>SUMIFS(营销场景数据源!$T:$T,营销场景数据源!$C:$C,$B$65,营销场景数据源!$A:$A,BG2)</f>
        <v>0</v>
      </c>
      <c r="BH69" s="95">
        <f>SUMIFS(营销场景数据源!$T:$T,营销场景数据源!$C:$C,$B$65,营销场景数据源!$A:$A,BH2)</f>
        <v>0</v>
      </c>
      <c r="BI69" s="95">
        <f>SUMIFS(营销场景数据源!$T:$T,营销场景数据源!$C:$C,$B$65,营销场景数据源!$A:$A,BI2)</f>
        <v>0</v>
      </c>
      <c r="BJ69" s="95">
        <f>SUMIFS(营销场景数据源!$T:$T,营销场景数据源!$C:$C,$B$65,营销场景数据源!$A:$A,BJ2)</f>
        <v>0</v>
      </c>
      <c r="BK69" s="95">
        <f>SUMIFS(营销场景数据源!$T:$T,营销场景数据源!$C:$C,$B$65,营销场景数据源!$A:$A,BK2)</f>
        <v>0</v>
      </c>
      <c r="BL69" s="95">
        <f>SUMIFS(营销场景数据源!$T:$T,营销场景数据源!$C:$C,$B$65,营销场景数据源!$A:$A,BL2)</f>
        <v>0</v>
      </c>
      <c r="BM69" s="95">
        <f>SUMIFS(营销场景数据源!$T:$T,营销场景数据源!$C:$C,$B$65,营销场景数据源!$A:$A,BM2)</f>
        <v>0</v>
      </c>
      <c r="BN69" s="95">
        <f>SUMIFS(营销场景数据源!$T:$T,营销场景数据源!$C:$C,$B$65,营销场景数据源!$A:$A,BN2)</f>
        <v>0</v>
      </c>
      <c r="BO69" s="95">
        <f>SUMIFS(营销场景数据源!$T:$T,营销场景数据源!$C:$C,$B$65,营销场景数据源!$A:$A,BO2)</f>
        <v>0</v>
      </c>
      <c r="BP69" s="95">
        <f>SUMIFS(营销场景数据源!$T:$T,营销场景数据源!$C:$C,$B$65,营销场景数据源!$A:$A,BP2)</f>
        <v>0</v>
      </c>
      <c r="BQ69" s="95">
        <f>SUMIFS(营销场景数据源!$T:$T,营销场景数据源!$C:$C,$B$65,营销场景数据源!$A:$A,BQ2)</f>
        <v>0</v>
      </c>
      <c r="BR69" s="95">
        <f>SUMIFS(营销场景数据源!$T:$T,营销场景数据源!$C:$C,$B$65,营销场景数据源!$A:$A,BR2)</f>
        <v>0</v>
      </c>
      <c r="BS69" s="95">
        <f>SUMIFS(营销场景数据源!$T:$T,营销场景数据源!$C:$C,$B$65,营销场景数据源!$A:$A,BS2)</f>
        <v>0</v>
      </c>
      <c r="BT69" s="95">
        <f>SUMIFS(营销场景数据源!$T:$T,营销场景数据源!$C:$C,$B$65,营销场景数据源!$A:$A,BT2)</f>
        <v>0</v>
      </c>
      <c r="BU69" s="95">
        <f>SUMIFS(营销场景数据源!$T:$T,营销场景数据源!$C:$C,$B$65,营销场景数据源!$A:$A,BU2)</f>
        <v>0</v>
      </c>
      <c r="BV69" s="95">
        <f>SUMIFS(营销场景数据源!$T:$T,营销场景数据源!$C:$C,$B$65,营销场景数据源!$A:$A,BV2)</f>
        <v>0</v>
      </c>
      <c r="BW69" s="95">
        <f>SUMIFS(营销场景数据源!$T:$T,营销场景数据源!$C:$C,$B$65,营销场景数据源!$A:$A,BW2)</f>
        <v>0</v>
      </c>
      <c r="BX69" s="95">
        <f>SUMIFS(营销场景数据源!$T:$T,营销场景数据源!$C:$C,$B$65,营销场景数据源!$A:$A,BX2)</f>
        <v>0</v>
      </c>
      <c r="BY69" s="95">
        <f>SUMIFS(营销场景数据源!$T:$T,营销场景数据源!$C:$C,$B$65,营销场景数据源!$A:$A,BY2)</f>
        <v>0</v>
      </c>
      <c r="BZ69" s="65">
        <f>SUM(CA69:DE69)</f>
        <v>0</v>
      </c>
      <c r="CA69" s="95">
        <f>SUMIFS(营销场景数据源!$T:$T,营销场景数据源!$C:$C,$B$65,营销场景数据源!$A:$A,CA2)</f>
        <v>0</v>
      </c>
      <c r="CB69" s="95">
        <f>SUMIFS(营销场景数据源!$T:$T,营销场景数据源!$C:$C,$B$65,营销场景数据源!$A:$A,CB2)</f>
        <v>0</v>
      </c>
      <c r="CC69" s="95">
        <f>SUMIFS(营销场景数据源!$T:$T,营销场景数据源!$C:$C,$B$65,营销场景数据源!$A:$A,CC2)</f>
        <v>0</v>
      </c>
      <c r="CD69" s="95">
        <f>SUMIFS(营销场景数据源!$T:$T,营销场景数据源!$C:$C,$B$65,营销场景数据源!$A:$A,CD2)</f>
        <v>0</v>
      </c>
      <c r="CE69" s="95">
        <f>SUMIFS(营销场景数据源!$T:$T,营销场景数据源!$C:$C,$B$65,营销场景数据源!$A:$A,CE2)</f>
        <v>0</v>
      </c>
      <c r="CF69" s="95">
        <f>SUMIFS(营销场景数据源!$T:$T,营销场景数据源!$C:$C,$B$65,营销场景数据源!$A:$A,CF2)</f>
        <v>0</v>
      </c>
      <c r="CG69" s="95">
        <f>SUMIFS(营销场景数据源!$T:$T,营销场景数据源!$C:$C,$B$65,营销场景数据源!$A:$A,CG2)</f>
        <v>0</v>
      </c>
      <c r="CH69" s="95">
        <f>SUMIFS(营销场景数据源!$T:$T,营销场景数据源!$C:$C,$B$65,营销场景数据源!$A:$A,CH2)</f>
        <v>0</v>
      </c>
      <c r="CI69" s="95">
        <f>SUMIFS(营销场景数据源!$T:$T,营销场景数据源!$C:$C,$B$65,营销场景数据源!$A:$A,CI2)</f>
        <v>0</v>
      </c>
      <c r="CJ69" s="95">
        <f>SUMIFS(营销场景数据源!$T:$T,营销场景数据源!$C:$C,$B$65,营销场景数据源!$A:$A,CJ2)</f>
        <v>0</v>
      </c>
      <c r="CK69" s="95">
        <f>SUMIFS(营销场景数据源!$T:$T,营销场景数据源!$C:$C,$B$65,营销场景数据源!$A:$A,CK2)</f>
        <v>0</v>
      </c>
      <c r="CL69" s="95">
        <f>SUMIFS(营销场景数据源!$T:$T,营销场景数据源!$C:$C,$B$65,营销场景数据源!$A:$A,CL2)</f>
        <v>0</v>
      </c>
      <c r="CM69" s="95">
        <f>SUMIFS(营销场景数据源!$T:$T,营销场景数据源!$C:$C,$B$65,营销场景数据源!$A:$A,CM2)</f>
        <v>0</v>
      </c>
      <c r="CN69" s="95">
        <f>SUMIFS(营销场景数据源!$T:$T,营销场景数据源!$C:$C,$B$65,营销场景数据源!$A:$A,CN2)</f>
        <v>0</v>
      </c>
      <c r="CO69" s="95">
        <f>SUMIFS(营销场景数据源!$T:$T,营销场景数据源!$C:$C,$B$65,营销场景数据源!$A:$A,CO2)</f>
        <v>0</v>
      </c>
      <c r="CP69" s="95">
        <f>SUMIFS(营销场景数据源!$T:$T,营销场景数据源!$C:$C,$B$65,营销场景数据源!$A:$A,CP2)</f>
        <v>0</v>
      </c>
      <c r="CQ69" s="95">
        <f>SUMIFS(营销场景数据源!$T:$T,营销场景数据源!$C:$C,$B$65,营销场景数据源!$A:$A,CQ2)</f>
        <v>0</v>
      </c>
      <c r="CR69" s="95">
        <f>SUMIFS(营销场景数据源!$T:$T,营销场景数据源!$C:$C,$B$65,营销场景数据源!$A:$A,CR2)</f>
        <v>0</v>
      </c>
      <c r="CS69" s="95">
        <f>SUMIFS(营销场景数据源!$T:$T,营销场景数据源!$C:$C,$B$65,营销场景数据源!$A:$A,CS2)</f>
        <v>0</v>
      </c>
      <c r="CT69" s="95">
        <f>SUMIFS(营销场景数据源!$T:$T,营销场景数据源!$C:$C,$B$65,营销场景数据源!$A:$A,CT2)</f>
        <v>0</v>
      </c>
      <c r="CU69" s="95">
        <f>SUMIFS(营销场景数据源!$T:$T,营销场景数据源!$C:$C,$B$65,营销场景数据源!$A:$A,CU2)</f>
        <v>0</v>
      </c>
      <c r="CV69" s="95">
        <f>SUMIFS(营销场景数据源!$T:$T,营销场景数据源!$C:$C,$B$65,营销场景数据源!$A:$A,CV2)</f>
        <v>0</v>
      </c>
      <c r="CW69" s="95">
        <f>SUMIFS(营销场景数据源!$T:$T,营销场景数据源!$C:$C,$B$65,营销场景数据源!$A:$A,CW2)</f>
        <v>0</v>
      </c>
      <c r="CX69" s="95">
        <f>SUMIFS(营销场景数据源!$T:$T,营销场景数据源!$C:$C,$B$65,营销场景数据源!$A:$A,CX2)</f>
        <v>0</v>
      </c>
      <c r="CY69" s="95">
        <f>SUMIFS(营销场景数据源!$T:$T,营销场景数据源!$C:$C,$B$65,营销场景数据源!$A:$A,CY2)</f>
        <v>0</v>
      </c>
      <c r="CZ69" s="95">
        <f>SUMIFS(营销场景数据源!$T:$T,营销场景数据源!$C:$C,$B$65,营销场景数据源!$A:$A,CZ2)</f>
        <v>0</v>
      </c>
      <c r="DA69" s="95">
        <f>SUMIFS(营销场景数据源!$T:$T,营销场景数据源!$C:$C,$B$65,营销场景数据源!$A:$A,DA2)</f>
        <v>0</v>
      </c>
      <c r="DB69" s="95">
        <f>SUMIFS(营销场景数据源!$T:$T,营销场景数据源!$C:$C,$B$65,营销场景数据源!$A:$A,DB2)</f>
        <v>0</v>
      </c>
      <c r="DC69" s="95">
        <f>SUMIFS(营销场景数据源!$T:$T,营销场景数据源!$C:$C,$B$65,营销场景数据源!$A:$A,DC2)</f>
        <v>0</v>
      </c>
      <c r="DD69" s="95">
        <f>SUMIFS(营销场景数据源!$T:$T,营销场景数据源!$C:$C,$B$65,营销场景数据源!$A:$A,DD2)</f>
        <v>0</v>
      </c>
      <c r="DE69" s="95">
        <f>SUMIFS(营销场景数据源!$T:$T,营销场景数据源!$C:$C,$B$65,营销场景数据源!$A:$A,DE2)</f>
        <v>0</v>
      </c>
      <c r="DF69" s="65">
        <f>SUM(DG69:EJ69)</f>
        <v>0</v>
      </c>
      <c r="DG69" s="95">
        <f>SUMIFS(营销场景数据源!$T:$T,营销场景数据源!$C:$C,$B$65,营销场景数据源!$A:$A,DG2)</f>
        <v>0</v>
      </c>
      <c r="DH69" s="95">
        <f>SUMIFS(营销场景数据源!$T:$T,营销场景数据源!$C:$C,$B$65,营销场景数据源!$A:$A,DH2)</f>
        <v>0</v>
      </c>
      <c r="DI69" s="95">
        <f>SUMIFS(营销场景数据源!$T:$T,营销场景数据源!$C:$C,$B$65,营销场景数据源!$A:$A,DI2)</f>
        <v>0</v>
      </c>
      <c r="DJ69" s="95">
        <f>SUMIFS(营销场景数据源!$T:$T,营销场景数据源!$C:$C,$B$65,营销场景数据源!$A:$A,DJ2)</f>
        <v>0</v>
      </c>
      <c r="DK69" s="95">
        <f>SUMIFS(营销场景数据源!$T:$T,营销场景数据源!$C:$C,$B$65,营销场景数据源!$A:$A,DK2)</f>
        <v>0</v>
      </c>
      <c r="DL69" s="95">
        <f>SUMIFS(营销场景数据源!$T:$T,营销场景数据源!$C:$C,$B$65,营销场景数据源!$A:$A,DL2)</f>
        <v>0</v>
      </c>
      <c r="DM69" s="95">
        <f>SUMIFS(营销场景数据源!$T:$T,营销场景数据源!$C:$C,$B$65,营销场景数据源!$A:$A,DM2)</f>
        <v>0</v>
      </c>
      <c r="DN69" s="95">
        <f>SUMIFS(营销场景数据源!$T:$T,营销场景数据源!$C:$C,$B$65,营销场景数据源!$A:$A,DN2)</f>
        <v>0</v>
      </c>
      <c r="DO69" s="95">
        <f>SUMIFS(营销场景数据源!$T:$T,营销场景数据源!$C:$C,$B$65,营销场景数据源!$A:$A,DO2)</f>
        <v>0</v>
      </c>
      <c r="DP69" s="95">
        <f>SUMIFS(营销场景数据源!$T:$T,营销场景数据源!$C:$C,$B$65,营销场景数据源!$A:$A,DP2)</f>
        <v>0</v>
      </c>
      <c r="DQ69" s="95">
        <f>SUMIFS(营销场景数据源!$T:$T,营销场景数据源!$C:$C,$B$65,营销场景数据源!$A:$A,DQ2)</f>
        <v>0</v>
      </c>
      <c r="DR69" s="95">
        <f>SUMIFS(营销场景数据源!$T:$T,营销场景数据源!$C:$C,$B$65,营销场景数据源!$A:$A,DR2)</f>
        <v>0</v>
      </c>
      <c r="DS69" s="95">
        <f>SUMIFS(营销场景数据源!$T:$T,营销场景数据源!$C:$C,$B$65,营销场景数据源!$A:$A,DS2)</f>
        <v>0</v>
      </c>
      <c r="DT69" s="95">
        <f>SUMIFS(营销场景数据源!$T:$T,营销场景数据源!$C:$C,$B$65,营销场景数据源!$A:$A,DT2)</f>
        <v>0</v>
      </c>
      <c r="DU69" s="95">
        <f>SUMIFS(营销场景数据源!$T:$T,营销场景数据源!$C:$C,$B$65,营销场景数据源!$A:$A,DU2)</f>
        <v>0</v>
      </c>
      <c r="DV69" s="95">
        <f>SUMIFS(营销场景数据源!$T:$T,营销场景数据源!$C:$C,$B$65,营销场景数据源!$A:$A,DV2)</f>
        <v>0</v>
      </c>
      <c r="DW69" s="95">
        <f>SUMIFS(营销场景数据源!$T:$T,营销场景数据源!$C:$C,$B$65,营销场景数据源!$A:$A,DW2)</f>
        <v>0</v>
      </c>
      <c r="DX69" s="95">
        <f>SUMIFS(营销场景数据源!$T:$T,营销场景数据源!$C:$C,$B$65,营销场景数据源!$A:$A,DX2)</f>
        <v>0</v>
      </c>
      <c r="DY69" s="95">
        <f>SUMIFS(营销场景数据源!$T:$T,营销场景数据源!$C:$C,$B$65,营销场景数据源!$A:$A,DY2)</f>
        <v>0</v>
      </c>
      <c r="DZ69" s="95">
        <f>SUMIFS(营销场景数据源!$T:$T,营销场景数据源!$C:$C,$B$65,营销场景数据源!$A:$A,DZ2)</f>
        <v>0</v>
      </c>
      <c r="EA69" s="95">
        <f>SUMIFS(营销场景数据源!$T:$T,营销场景数据源!$C:$C,$B$65,营销场景数据源!$A:$A,EA2)</f>
        <v>0</v>
      </c>
      <c r="EB69" s="95">
        <f>SUMIFS(营销场景数据源!$T:$T,营销场景数据源!$C:$C,$B$65,营销场景数据源!$A:$A,EB2)</f>
        <v>0</v>
      </c>
      <c r="EC69" s="95">
        <f>SUMIFS(营销场景数据源!$T:$T,营销场景数据源!$C:$C,$B$65,营销场景数据源!$A:$A,EC2)</f>
        <v>0</v>
      </c>
      <c r="ED69" s="95">
        <f>SUMIFS(营销场景数据源!$T:$T,营销场景数据源!$C:$C,$B$65,营销场景数据源!$A:$A,ED2)</f>
        <v>0</v>
      </c>
      <c r="EE69" s="95">
        <f>SUMIFS(营销场景数据源!$T:$T,营销场景数据源!$C:$C,$B$65,营销场景数据源!$A:$A,EE2)</f>
        <v>0</v>
      </c>
      <c r="EF69" s="95">
        <f>SUMIFS(营销场景数据源!$T:$T,营销场景数据源!$C:$C,$B$65,营销场景数据源!$A:$A,EF2)</f>
        <v>0</v>
      </c>
      <c r="EG69" s="95">
        <f>SUMIFS(营销场景数据源!$T:$T,营销场景数据源!$C:$C,$B$65,营销场景数据源!$A:$A,EG2)</f>
        <v>0</v>
      </c>
      <c r="EH69" s="95">
        <f>SUMIFS(营销场景数据源!$T:$T,营销场景数据源!$C:$C,$B$65,营销场景数据源!$A:$A,EH2)</f>
        <v>0</v>
      </c>
      <c r="EI69" s="95">
        <f>SUMIFS(营销场景数据源!$T:$T,营销场景数据源!$C:$C,$B$65,营销场景数据源!$A:$A,EI2)</f>
        <v>0</v>
      </c>
      <c r="EJ69" s="95">
        <f>SUMIFS(营销场景数据源!$T:$T,营销场景数据源!$C:$C,$B$65,营销场景数据源!$A:$A,EJ2)</f>
        <v>0</v>
      </c>
      <c r="EK69" s="65">
        <f>SUM(EL69:FP69)</f>
        <v>0</v>
      </c>
      <c r="EL69" s="95">
        <f>SUMIFS(营销场景数据源!$T:$T,营销场景数据源!$C:$C,$B$65,营销场景数据源!$A:$A,EL2)</f>
        <v>0</v>
      </c>
      <c r="EM69" s="95">
        <f>SUMIFS(营销场景数据源!$T:$T,营销场景数据源!$C:$C,$B$65,营销场景数据源!$A:$A,EM2)</f>
        <v>0</v>
      </c>
      <c r="EN69" s="95">
        <f>SUMIFS(营销场景数据源!$T:$T,营销场景数据源!$C:$C,$B$65,营销场景数据源!$A:$A,EN2)</f>
        <v>0</v>
      </c>
      <c r="EO69" s="95">
        <f>SUMIFS(营销场景数据源!$T:$T,营销场景数据源!$C:$C,$B$65,营销场景数据源!$A:$A,EO2)</f>
        <v>0</v>
      </c>
      <c r="EP69" s="95">
        <f>SUMIFS(营销场景数据源!$T:$T,营销场景数据源!$C:$C,$B$65,营销场景数据源!$A:$A,EP2)</f>
        <v>0</v>
      </c>
      <c r="EQ69" s="95">
        <f>SUMIFS(营销场景数据源!$T:$T,营销场景数据源!$C:$C,$B$65,营销场景数据源!$A:$A,EQ2)</f>
        <v>0</v>
      </c>
      <c r="ER69" s="95">
        <f>SUMIFS(营销场景数据源!$T:$T,营销场景数据源!$C:$C,$B$65,营销场景数据源!$A:$A,ER2)</f>
        <v>0</v>
      </c>
      <c r="ES69" s="95">
        <f>SUMIFS(营销场景数据源!$T:$T,营销场景数据源!$C:$C,$B$65,营销场景数据源!$A:$A,ES2)</f>
        <v>0</v>
      </c>
      <c r="ET69" s="95">
        <f>SUMIFS(营销场景数据源!$T:$T,营销场景数据源!$C:$C,$B$65,营销场景数据源!$A:$A,ET2)</f>
        <v>0</v>
      </c>
      <c r="EU69" s="95">
        <f>SUMIFS(营销场景数据源!$T:$T,营销场景数据源!$C:$C,$B$65,营销场景数据源!$A:$A,EU2)</f>
        <v>0</v>
      </c>
      <c r="EV69" s="95">
        <f>SUMIFS(营销场景数据源!$T:$T,营销场景数据源!$C:$C,$B$65,营销场景数据源!$A:$A,EV2)</f>
        <v>0</v>
      </c>
      <c r="EW69" s="95">
        <f>SUMIFS(营销场景数据源!$T:$T,营销场景数据源!$C:$C,$B$65,营销场景数据源!$A:$A,EW2)</f>
        <v>0</v>
      </c>
      <c r="EX69" s="95">
        <f>SUMIFS(营销场景数据源!$T:$T,营销场景数据源!$C:$C,$B$65,营销场景数据源!$A:$A,EX2)</f>
        <v>0</v>
      </c>
      <c r="EY69" s="95">
        <f>SUMIFS(营销场景数据源!$T:$T,营销场景数据源!$C:$C,$B$65,营销场景数据源!$A:$A,EY2)</f>
        <v>0</v>
      </c>
      <c r="EZ69" s="95">
        <f>SUMIFS(营销场景数据源!$T:$T,营销场景数据源!$C:$C,$B$65,营销场景数据源!$A:$A,EZ2)</f>
        <v>0</v>
      </c>
      <c r="FA69" s="95">
        <f>SUMIFS(营销场景数据源!$T:$T,营销场景数据源!$C:$C,$B$65,营销场景数据源!$A:$A,FA2)</f>
        <v>0</v>
      </c>
      <c r="FB69" s="95">
        <f>SUMIFS(营销场景数据源!$T:$T,营销场景数据源!$C:$C,$B$65,营销场景数据源!$A:$A,FB2)</f>
        <v>0</v>
      </c>
      <c r="FC69" s="95">
        <f>SUMIFS(营销场景数据源!$T:$T,营销场景数据源!$C:$C,$B$65,营销场景数据源!$A:$A,FC2)</f>
        <v>0</v>
      </c>
      <c r="FD69" s="95">
        <f>SUMIFS(营销场景数据源!$T:$T,营销场景数据源!$C:$C,$B$65,营销场景数据源!$A:$A,FD2)</f>
        <v>0</v>
      </c>
      <c r="FE69" s="95">
        <f>SUMIFS(营销场景数据源!$T:$T,营销场景数据源!$C:$C,$B$65,营销场景数据源!$A:$A,FE2)</f>
        <v>0</v>
      </c>
      <c r="FF69" s="95">
        <f>SUMIFS(营销场景数据源!$T:$T,营销场景数据源!$C:$C,$B$65,营销场景数据源!$A:$A,FF2)</f>
        <v>0</v>
      </c>
      <c r="FG69" s="95">
        <f>SUMIFS(营销场景数据源!$T:$T,营销场景数据源!$C:$C,$B$65,营销场景数据源!$A:$A,FG2)</f>
        <v>0</v>
      </c>
      <c r="FH69" s="95">
        <f>SUMIFS(营销场景数据源!$T:$T,营销场景数据源!$C:$C,$B$65,营销场景数据源!$A:$A,FH2)</f>
        <v>0</v>
      </c>
      <c r="FI69" s="95">
        <f>SUMIFS(营销场景数据源!$T:$T,营销场景数据源!$C:$C,$B$65,营销场景数据源!$A:$A,FI2)</f>
        <v>0</v>
      </c>
      <c r="FJ69" s="95">
        <f>SUMIFS(营销场景数据源!$T:$T,营销场景数据源!$C:$C,$B$65,营销场景数据源!$A:$A,FJ2)</f>
        <v>0</v>
      </c>
      <c r="FK69" s="95">
        <f>SUMIFS(营销场景数据源!$T:$T,营销场景数据源!$C:$C,$B$65,营销场景数据源!$A:$A,FK2)</f>
        <v>0</v>
      </c>
      <c r="FL69" s="95">
        <f>SUMIFS(营销场景数据源!$T:$T,营销场景数据源!$C:$C,$B$65,营销场景数据源!$A:$A,FL2)</f>
        <v>0</v>
      </c>
      <c r="FM69" s="95">
        <f>SUMIFS(营销场景数据源!$T:$T,营销场景数据源!$C:$C,$B$65,营销场景数据源!$A:$A,FM2)</f>
        <v>0</v>
      </c>
      <c r="FN69" s="95">
        <f>SUMIFS(营销场景数据源!$T:$T,营销场景数据源!$C:$C,$B$65,营销场景数据源!$A:$A,FN2)</f>
        <v>0</v>
      </c>
      <c r="FO69" s="95">
        <f>SUMIFS(营销场景数据源!$T:$T,营销场景数据源!$C:$C,$B$65,营销场景数据源!$A:$A,FO2)</f>
        <v>0</v>
      </c>
      <c r="FP69" s="95">
        <f>SUMIFS(营销场景数据源!$T:$T,营销场景数据源!$C:$C,$B$65,营销场景数据源!$A:$A,FP2)</f>
        <v>0</v>
      </c>
      <c r="FQ69" s="65">
        <f t="shared" si="342"/>
        <v>0</v>
      </c>
      <c r="FR69" s="95">
        <f>SUMIFS(营销场景数据源!$T:$T,营销场景数据源!$C:$C,$B$65,营销场景数据源!$A:$A,FR2)</f>
        <v>0</v>
      </c>
      <c r="FS69" s="95">
        <f>SUMIFS(营销场景数据源!$T:$T,营销场景数据源!$C:$C,$B$65,营销场景数据源!$A:$A,FS2)</f>
        <v>0</v>
      </c>
      <c r="FT69" s="95">
        <f>SUMIFS(营销场景数据源!$T:$T,营销场景数据源!$C:$C,$B$65,营销场景数据源!$A:$A,FT2)</f>
        <v>0</v>
      </c>
      <c r="FU69" s="95">
        <f>SUMIFS(营销场景数据源!$T:$T,营销场景数据源!$C:$C,$B$65,营销场景数据源!$A:$A,FU2)</f>
        <v>0</v>
      </c>
      <c r="FV69" s="95">
        <f>SUMIFS(营销场景数据源!$T:$T,营销场景数据源!$C:$C,$B$65,营销场景数据源!$A:$A,FV2)</f>
        <v>0</v>
      </c>
      <c r="FW69" s="95">
        <f>SUMIFS(营销场景数据源!$T:$T,营销场景数据源!$C:$C,$B$65,营销场景数据源!$A:$A,FW2)</f>
        <v>0</v>
      </c>
      <c r="FX69" s="95">
        <f>SUMIFS(营销场景数据源!$T:$T,营销场景数据源!$C:$C,$B$65,营销场景数据源!$A:$A,FX2)</f>
        <v>0</v>
      </c>
      <c r="FY69" s="95">
        <f>SUMIFS(营销场景数据源!$T:$T,营销场景数据源!$C:$C,$B$65,营销场景数据源!$A:$A,FY2)</f>
        <v>0</v>
      </c>
      <c r="FZ69" s="95">
        <f>SUMIFS(营销场景数据源!$T:$T,营销场景数据源!$C:$C,$B$65,营销场景数据源!$A:$A,FZ2)</f>
        <v>0</v>
      </c>
      <c r="GA69" s="95">
        <f>SUMIFS(营销场景数据源!$T:$T,营销场景数据源!$C:$C,$B$65,营销场景数据源!$A:$A,GA2)</f>
        <v>0</v>
      </c>
      <c r="GB69" s="95">
        <f>SUMIFS(营销场景数据源!$T:$T,营销场景数据源!$C:$C,$B$65,营销场景数据源!$A:$A,GB2)</f>
        <v>0</v>
      </c>
      <c r="GC69" s="95">
        <f>SUMIFS(营销场景数据源!$T:$T,营销场景数据源!$C:$C,$B$65,营销场景数据源!$A:$A,GC2)</f>
        <v>0</v>
      </c>
      <c r="GD69" s="95">
        <f>SUMIFS(营销场景数据源!$T:$T,营销场景数据源!$C:$C,$B$65,营销场景数据源!$A:$A,GD2)</f>
        <v>0</v>
      </c>
      <c r="GE69" s="95">
        <f>SUMIFS(营销场景数据源!$T:$T,营销场景数据源!$C:$C,$B$65,营销场景数据源!$A:$A,GE2)</f>
        <v>0</v>
      </c>
      <c r="GF69" s="95">
        <f>SUMIFS(营销场景数据源!$T:$T,营销场景数据源!$C:$C,$B$65,营销场景数据源!$A:$A,GF2)</f>
        <v>0</v>
      </c>
      <c r="GG69" s="95">
        <f>SUMIFS(营销场景数据源!$T:$T,营销场景数据源!$C:$C,$B$65,营销场景数据源!$A:$A,GG2)</f>
        <v>0</v>
      </c>
      <c r="GH69" s="95">
        <f>SUMIFS(营销场景数据源!$T:$T,营销场景数据源!$C:$C,$B$65,营销场景数据源!$A:$A,GH2)</f>
        <v>0</v>
      </c>
      <c r="GI69" s="95">
        <f>SUMIFS(营销场景数据源!$T:$T,营销场景数据源!$C:$C,$B$65,营销场景数据源!$A:$A,GI2)</f>
        <v>0</v>
      </c>
      <c r="GJ69" s="95">
        <f>SUMIFS(营销场景数据源!$T:$T,营销场景数据源!$C:$C,$B$65,营销场景数据源!$A:$A,GJ2)</f>
        <v>0</v>
      </c>
      <c r="GK69" s="95">
        <f>SUMIFS(营销场景数据源!$T:$T,营销场景数据源!$C:$C,$B$65,营销场景数据源!$A:$A,GK2)</f>
        <v>0</v>
      </c>
      <c r="GL69" s="95">
        <f>SUMIFS(营销场景数据源!$T:$T,营销场景数据源!$C:$C,$B$65,营销场景数据源!$A:$A,GL2)</f>
        <v>0</v>
      </c>
      <c r="GM69" s="95">
        <f>SUMIFS(营销场景数据源!$T:$T,营销场景数据源!$C:$C,$B$65,营销场景数据源!$A:$A,GM2)</f>
        <v>0</v>
      </c>
      <c r="GN69" s="95">
        <f>SUMIFS(营销场景数据源!$T:$T,营销场景数据源!$C:$C,$B$65,营销场景数据源!$A:$A,GN2)</f>
        <v>0</v>
      </c>
      <c r="GO69" s="95">
        <f>SUMIFS(营销场景数据源!$T:$T,营销场景数据源!$C:$C,$B$65,营销场景数据源!$A:$A,GO2)</f>
        <v>0</v>
      </c>
      <c r="GP69" s="95">
        <f>SUMIFS(营销场景数据源!$T:$T,营销场景数据源!$C:$C,$B$65,营销场景数据源!$A:$A,GP2)</f>
        <v>0</v>
      </c>
    </row>
    <row r="70" s="47" customFormat="1" ht="15" hidden="1" customHeight="1" spans="2:198">
      <c r="B70" s="103"/>
      <c r="C70" s="104" t="s">
        <v>22</v>
      </c>
      <c r="D70" s="97">
        <f>IFERROR(D65/D66,0)</f>
        <v>0</v>
      </c>
      <c r="E70" s="99">
        <f>IFERROR(E65/E66,0)</f>
        <v>0</v>
      </c>
      <c r="F70" s="99">
        <f t="shared" ref="F70:O70" si="343">IFERROR(F65/F66,0)</f>
        <v>0</v>
      </c>
      <c r="G70" s="99">
        <f t="shared" si="343"/>
        <v>0</v>
      </c>
      <c r="H70" s="99">
        <f t="shared" si="343"/>
        <v>0</v>
      </c>
      <c r="I70" s="99">
        <f t="shared" si="343"/>
        <v>0</v>
      </c>
      <c r="J70" s="99">
        <f t="shared" si="343"/>
        <v>0</v>
      </c>
      <c r="K70" s="99">
        <f t="shared" si="343"/>
        <v>0</v>
      </c>
      <c r="L70" s="99">
        <f t="shared" si="343"/>
        <v>0</v>
      </c>
      <c r="M70" s="99">
        <f t="shared" si="343"/>
        <v>0</v>
      </c>
      <c r="N70" s="99">
        <f t="shared" si="343"/>
        <v>0</v>
      </c>
      <c r="O70" s="99">
        <f t="shared" si="343"/>
        <v>0</v>
      </c>
      <c r="P70" s="99">
        <f t="shared" ref="P70:V70" si="344">IFERROR(P65/P66,0)</f>
        <v>0</v>
      </c>
      <c r="Q70" s="70">
        <f t="shared" si="344"/>
        <v>0</v>
      </c>
      <c r="R70" s="99">
        <f t="shared" si="344"/>
        <v>0</v>
      </c>
      <c r="S70" s="99">
        <f t="shared" ref="S70:AK70" si="345">IFERROR(S65/S66,0)</f>
        <v>0</v>
      </c>
      <c r="T70" s="99">
        <f t="shared" si="345"/>
        <v>0</v>
      </c>
      <c r="U70" s="99">
        <f t="shared" si="345"/>
        <v>0</v>
      </c>
      <c r="V70" s="99">
        <f t="shared" si="345"/>
        <v>0</v>
      </c>
      <c r="W70" s="99">
        <f t="shared" si="345"/>
        <v>0</v>
      </c>
      <c r="X70" s="99">
        <f t="shared" si="345"/>
        <v>0</v>
      </c>
      <c r="Y70" s="99">
        <f t="shared" si="345"/>
        <v>0</v>
      </c>
      <c r="Z70" s="99">
        <f t="shared" si="345"/>
        <v>0</v>
      </c>
      <c r="AA70" s="99">
        <f t="shared" si="345"/>
        <v>0</v>
      </c>
      <c r="AB70" s="99">
        <f t="shared" si="345"/>
        <v>0</v>
      </c>
      <c r="AC70" s="99">
        <f t="shared" si="345"/>
        <v>0</v>
      </c>
      <c r="AD70" s="99">
        <f t="shared" si="345"/>
        <v>0</v>
      </c>
      <c r="AE70" s="99">
        <f t="shared" si="345"/>
        <v>0</v>
      </c>
      <c r="AF70" s="99">
        <f t="shared" si="345"/>
        <v>0</v>
      </c>
      <c r="AG70" s="99">
        <f t="shared" si="345"/>
        <v>0</v>
      </c>
      <c r="AH70" s="99">
        <f t="shared" si="345"/>
        <v>0</v>
      </c>
      <c r="AI70" s="99">
        <f t="shared" si="345"/>
        <v>0</v>
      </c>
      <c r="AJ70" s="99">
        <f t="shared" si="345"/>
        <v>0</v>
      </c>
      <c r="AK70" s="99">
        <f t="shared" si="345"/>
        <v>0</v>
      </c>
      <c r="AL70" s="99">
        <f t="shared" ref="AL70:BH70" si="346">IFERROR(AL65/AL66,0)</f>
        <v>0</v>
      </c>
      <c r="AM70" s="99">
        <f t="shared" si="346"/>
        <v>0</v>
      </c>
      <c r="AN70" s="99">
        <f t="shared" si="346"/>
        <v>0</v>
      </c>
      <c r="AO70" s="99">
        <f t="shared" si="346"/>
        <v>0</v>
      </c>
      <c r="AP70" s="99">
        <f t="shared" si="346"/>
        <v>0</v>
      </c>
      <c r="AQ70" s="99">
        <f t="shared" si="346"/>
        <v>0</v>
      </c>
      <c r="AR70" s="99">
        <f t="shared" si="346"/>
        <v>0</v>
      </c>
      <c r="AS70" s="99">
        <f t="shared" si="346"/>
        <v>0</v>
      </c>
      <c r="AT70" s="99">
        <f t="shared" si="346"/>
        <v>0</v>
      </c>
      <c r="AU70" s="99">
        <f t="shared" si="346"/>
        <v>0</v>
      </c>
      <c r="AV70" s="99">
        <f t="shared" si="346"/>
        <v>0</v>
      </c>
      <c r="AW70" s="70">
        <f t="shared" si="346"/>
        <v>0</v>
      </c>
      <c r="AX70" s="99">
        <f t="shared" si="346"/>
        <v>0</v>
      </c>
      <c r="AY70" s="99">
        <f t="shared" si="346"/>
        <v>0</v>
      </c>
      <c r="AZ70" s="99">
        <f t="shared" si="346"/>
        <v>0</v>
      </c>
      <c r="BA70" s="99">
        <f t="shared" si="346"/>
        <v>0</v>
      </c>
      <c r="BB70" s="99">
        <f t="shared" si="346"/>
        <v>0</v>
      </c>
      <c r="BC70" s="99">
        <f t="shared" si="346"/>
        <v>0</v>
      </c>
      <c r="BD70" s="99">
        <f t="shared" si="346"/>
        <v>0</v>
      </c>
      <c r="BE70" s="99">
        <f t="shared" si="346"/>
        <v>0</v>
      </c>
      <c r="BF70" s="99">
        <f t="shared" si="346"/>
        <v>0</v>
      </c>
      <c r="BG70" s="99">
        <f t="shared" si="346"/>
        <v>0</v>
      </c>
      <c r="BH70" s="99">
        <f t="shared" si="346"/>
        <v>0</v>
      </c>
      <c r="BI70" s="99">
        <f t="shared" ref="BI70:BW70" si="347">IFERROR(BI65/BI66,0)</f>
        <v>0</v>
      </c>
      <c r="BJ70" s="99">
        <f t="shared" si="347"/>
        <v>0</v>
      </c>
      <c r="BK70" s="99">
        <f t="shared" si="347"/>
        <v>0</v>
      </c>
      <c r="BL70" s="99">
        <f t="shared" si="347"/>
        <v>0</v>
      </c>
      <c r="BM70" s="99">
        <f t="shared" si="347"/>
        <v>0</v>
      </c>
      <c r="BN70" s="99">
        <f t="shared" si="347"/>
        <v>0</v>
      </c>
      <c r="BO70" s="99">
        <f t="shared" si="347"/>
        <v>0</v>
      </c>
      <c r="BP70" s="99">
        <f t="shared" si="347"/>
        <v>0</v>
      </c>
      <c r="BQ70" s="99">
        <f t="shared" si="347"/>
        <v>0</v>
      </c>
      <c r="BR70" s="99">
        <f t="shared" si="347"/>
        <v>0</v>
      </c>
      <c r="BS70" s="99">
        <f t="shared" si="347"/>
        <v>0</v>
      </c>
      <c r="BT70" s="99">
        <f t="shared" si="347"/>
        <v>0</v>
      </c>
      <c r="BU70" s="99">
        <f t="shared" si="347"/>
        <v>0</v>
      </c>
      <c r="BV70" s="99">
        <f t="shared" si="347"/>
        <v>0</v>
      </c>
      <c r="BW70" s="99">
        <f t="shared" si="347"/>
        <v>0</v>
      </c>
      <c r="BX70" s="99">
        <f t="shared" ref="BX70:CH70" si="348">IFERROR(BX65/BX66,0)</f>
        <v>0</v>
      </c>
      <c r="BY70" s="99">
        <f t="shared" si="348"/>
        <v>0</v>
      </c>
      <c r="BZ70" s="70">
        <f t="shared" si="348"/>
        <v>0</v>
      </c>
      <c r="CA70" s="99">
        <f t="shared" si="348"/>
        <v>0</v>
      </c>
      <c r="CB70" s="99">
        <f t="shared" si="348"/>
        <v>0</v>
      </c>
      <c r="CC70" s="99">
        <f t="shared" si="348"/>
        <v>0</v>
      </c>
      <c r="CD70" s="99">
        <f t="shared" si="348"/>
        <v>0</v>
      </c>
      <c r="CE70" s="99">
        <f t="shared" si="348"/>
        <v>0</v>
      </c>
      <c r="CF70" s="99">
        <f t="shared" si="348"/>
        <v>0</v>
      </c>
      <c r="CG70" s="99">
        <f t="shared" si="348"/>
        <v>0</v>
      </c>
      <c r="CH70" s="99">
        <f t="shared" si="348"/>
        <v>0</v>
      </c>
      <c r="CI70" s="99">
        <f t="shared" ref="CI70:EH70" si="349">IFERROR(CI65/CI66,0)</f>
        <v>0</v>
      </c>
      <c r="CJ70" s="99">
        <f t="shared" si="349"/>
        <v>0</v>
      </c>
      <c r="CK70" s="99">
        <f t="shared" si="349"/>
        <v>0</v>
      </c>
      <c r="CL70" s="99">
        <f t="shared" si="349"/>
        <v>0</v>
      </c>
      <c r="CM70" s="99">
        <f t="shared" si="349"/>
        <v>0</v>
      </c>
      <c r="CN70" s="99">
        <f t="shared" si="349"/>
        <v>0</v>
      </c>
      <c r="CO70" s="99">
        <f t="shared" si="349"/>
        <v>0</v>
      </c>
      <c r="CP70" s="99">
        <f t="shared" si="349"/>
        <v>0</v>
      </c>
      <c r="CQ70" s="99">
        <f t="shared" si="349"/>
        <v>0</v>
      </c>
      <c r="CR70" s="99">
        <f t="shared" si="349"/>
        <v>0</v>
      </c>
      <c r="CS70" s="99">
        <f t="shared" si="349"/>
        <v>0</v>
      </c>
      <c r="CT70" s="99">
        <f t="shared" si="349"/>
        <v>0</v>
      </c>
      <c r="CU70" s="99">
        <f t="shared" si="349"/>
        <v>0</v>
      </c>
      <c r="CV70" s="99">
        <f t="shared" si="349"/>
        <v>0</v>
      </c>
      <c r="CW70" s="99">
        <f t="shared" si="349"/>
        <v>0</v>
      </c>
      <c r="CX70" s="99">
        <f t="shared" si="349"/>
        <v>0</v>
      </c>
      <c r="CY70" s="99">
        <f t="shared" si="349"/>
        <v>0</v>
      </c>
      <c r="CZ70" s="99">
        <f t="shared" si="349"/>
        <v>0</v>
      </c>
      <c r="DA70" s="99">
        <f t="shared" si="349"/>
        <v>0</v>
      </c>
      <c r="DB70" s="99">
        <f t="shared" si="349"/>
        <v>0</v>
      </c>
      <c r="DC70" s="99">
        <f t="shared" si="349"/>
        <v>0</v>
      </c>
      <c r="DD70" s="99">
        <f t="shared" si="349"/>
        <v>0</v>
      </c>
      <c r="DE70" s="99">
        <f t="shared" si="349"/>
        <v>0</v>
      </c>
      <c r="DF70" s="70">
        <f t="shared" si="349"/>
        <v>0</v>
      </c>
      <c r="DG70" s="99">
        <f t="shared" si="349"/>
        <v>0</v>
      </c>
      <c r="DH70" s="99">
        <f t="shared" si="349"/>
        <v>0</v>
      </c>
      <c r="DI70" s="99">
        <f t="shared" si="349"/>
        <v>0</v>
      </c>
      <c r="DJ70" s="99">
        <f t="shared" si="349"/>
        <v>0</v>
      </c>
      <c r="DK70" s="99">
        <f t="shared" si="349"/>
        <v>0</v>
      </c>
      <c r="DL70" s="99">
        <f t="shared" si="349"/>
        <v>0</v>
      </c>
      <c r="DM70" s="99">
        <f t="shared" si="349"/>
        <v>0</v>
      </c>
      <c r="DN70" s="99">
        <f t="shared" si="349"/>
        <v>0</v>
      </c>
      <c r="DO70" s="99">
        <f t="shared" si="349"/>
        <v>0</v>
      </c>
      <c r="DP70" s="99">
        <f t="shared" si="349"/>
        <v>0</v>
      </c>
      <c r="DQ70" s="99">
        <f t="shared" si="349"/>
        <v>0</v>
      </c>
      <c r="DR70" s="99">
        <f t="shared" si="349"/>
        <v>0</v>
      </c>
      <c r="DS70" s="99">
        <f t="shared" si="349"/>
        <v>0</v>
      </c>
      <c r="DT70" s="99">
        <f t="shared" si="349"/>
        <v>0</v>
      </c>
      <c r="DU70" s="99">
        <f t="shared" si="349"/>
        <v>0</v>
      </c>
      <c r="DV70" s="99">
        <f t="shared" si="349"/>
        <v>0</v>
      </c>
      <c r="DW70" s="99">
        <f t="shared" si="349"/>
        <v>0</v>
      </c>
      <c r="DX70" s="99">
        <f t="shared" si="349"/>
        <v>0</v>
      </c>
      <c r="DY70" s="99">
        <f t="shared" si="349"/>
        <v>0</v>
      </c>
      <c r="DZ70" s="99">
        <f t="shared" si="349"/>
        <v>0</v>
      </c>
      <c r="EA70" s="99">
        <f t="shared" si="349"/>
        <v>0</v>
      </c>
      <c r="EB70" s="99">
        <f t="shared" si="349"/>
        <v>0</v>
      </c>
      <c r="EC70" s="99">
        <f t="shared" si="349"/>
        <v>0</v>
      </c>
      <c r="ED70" s="99">
        <f t="shared" si="349"/>
        <v>0</v>
      </c>
      <c r="EE70" s="99">
        <f t="shared" si="349"/>
        <v>0</v>
      </c>
      <c r="EF70" s="99">
        <f t="shared" si="349"/>
        <v>0</v>
      </c>
      <c r="EG70" s="99">
        <f t="shared" si="349"/>
        <v>0</v>
      </c>
      <c r="EH70" s="99">
        <f t="shared" si="349"/>
        <v>0</v>
      </c>
      <c r="EI70" s="99">
        <f t="shared" ref="EI70:FM70" si="350">IFERROR(EI65/EI66,0)</f>
        <v>0</v>
      </c>
      <c r="EJ70" s="99">
        <f t="shared" si="350"/>
        <v>0</v>
      </c>
      <c r="EK70" s="70">
        <f t="shared" si="350"/>
        <v>0</v>
      </c>
      <c r="EL70" s="99">
        <f t="shared" si="350"/>
        <v>0</v>
      </c>
      <c r="EM70" s="99">
        <f t="shared" si="350"/>
        <v>0</v>
      </c>
      <c r="EN70" s="99">
        <f t="shared" si="350"/>
        <v>0</v>
      </c>
      <c r="EO70" s="99">
        <f t="shared" si="350"/>
        <v>0</v>
      </c>
      <c r="EP70" s="99">
        <f t="shared" si="350"/>
        <v>0</v>
      </c>
      <c r="EQ70" s="99">
        <f t="shared" si="350"/>
        <v>0</v>
      </c>
      <c r="ER70" s="99">
        <f t="shared" si="350"/>
        <v>0</v>
      </c>
      <c r="ES70" s="99">
        <f t="shared" si="350"/>
        <v>0</v>
      </c>
      <c r="ET70" s="99">
        <f t="shared" si="350"/>
        <v>0</v>
      </c>
      <c r="EU70" s="99">
        <f t="shared" si="350"/>
        <v>0</v>
      </c>
      <c r="EV70" s="99">
        <f t="shared" si="350"/>
        <v>0</v>
      </c>
      <c r="EW70" s="99">
        <f t="shared" si="350"/>
        <v>0</v>
      </c>
      <c r="EX70" s="99">
        <f t="shared" si="350"/>
        <v>0</v>
      </c>
      <c r="EY70" s="99">
        <f t="shared" si="350"/>
        <v>0</v>
      </c>
      <c r="EZ70" s="99">
        <f t="shared" si="350"/>
        <v>0</v>
      </c>
      <c r="FA70" s="99">
        <f t="shared" si="350"/>
        <v>0</v>
      </c>
      <c r="FB70" s="99">
        <f t="shared" si="350"/>
        <v>0</v>
      </c>
      <c r="FC70" s="99">
        <f t="shared" si="350"/>
        <v>0</v>
      </c>
      <c r="FD70" s="99">
        <f t="shared" si="350"/>
        <v>0</v>
      </c>
      <c r="FE70" s="99">
        <f t="shared" si="350"/>
        <v>0</v>
      </c>
      <c r="FF70" s="99">
        <f t="shared" si="350"/>
        <v>0</v>
      </c>
      <c r="FG70" s="99">
        <f t="shared" si="350"/>
        <v>0</v>
      </c>
      <c r="FH70" s="99">
        <f t="shared" si="350"/>
        <v>0</v>
      </c>
      <c r="FI70" s="99">
        <f t="shared" si="350"/>
        <v>0</v>
      </c>
      <c r="FJ70" s="99">
        <f t="shared" si="350"/>
        <v>0</v>
      </c>
      <c r="FK70" s="99">
        <f t="shared" si="350"/>
        <v>0</v>
      </c>
      <c r="FL70" s="99">
        <f t="shared" si="350"/>
        <v>0</v>
      </c>
      <c r="FM70" s="99">
        <f t="shared" si="350"/>
        <v>0</v>
      </c>
      <c r="FN70" s="99">
        <f t="shared" ref="FN70:GI70" si="351">IFERROR(FN65/FN66,0)</f>
        <v>0</v>
      </c>
      <c r="FO70" s="99">
        <f t="shared" si="351"/>
        <v>0</v>
      </c>
      <c r="FP70" s="99">
        <f t="shared" si="351"/>
        <v>0</v>
      </c>
      <c r="FQ70" s="70">
        <f t="shared" si="351"/>
        <v>0</v>
      </c>
      <c r="FR70" s="99">
        <f t="shared" si="351"/>
        <v>0</v>
      </c>
      <c r="FS70" s="99">
        <f t="shared" si="351"/>
        <v>0</v>
      </c>
      <c r="FT70" s="99">
        <f t="shared" si="351"/>
        <v>0</v>
      </c>
      <c r="FU70" s="99">
        <f t="shared" si="351"/>
        <v>0</v>
      </c>
      <c r="FV70" s="99">
        <f t="shared" si="351"/>
        <v>0</v>
      </c>
      <c r="FW70" s="99">
        <f t="shared" si="351"/>
        <v>0</v>
      </c>
      <c r="FX70" s="99">
        <f t="shared" si="351"/>
        <v>0</v>
      </c>
      <c r="FY70" s="99">
        <f t="shared" si="351"/>
        <v>0</v>
      </c>
      <c r="FZ70" s="99">
        <f t="shared" si="351"/>
        <v>0</v>
      </c>
      <c r="GA70" s="99">
        <f t="shared" si="351"/>
        <v>0</v>
      </c>
      <c r="GB70" s="99">
        <f t="shared" si="351"/>
        <v>0</v>
      </c>
      <c r="GC70" s="99">
        <f t="shared" si="351"/>
        <v>0</v>
      </c>
      <c r="GD70" s="99">
        <f t="shared" si="351"/>
        <v>0</v>
      </c>
      <c r="GE70" s="99">
        <f t="shared" si="351"/>
        <v>0</v>
      </c>
      <c r="GF70" s="99">
        <f t="shared" si="351"/>
        <v>0</v>
      </c>
      <c r="GG70" s="99">
        <f t="shared" si="351"/>
        <v>0</v>
      </c>
      <c r="GH70" s="99">
        <f t="shared" si="351"/>
        <v>0</v>
      </c>
      <c r="GI70" s="99">
        <f t="shared" si="351"/>
        <v>0</v>
      </c>
      <c r="GJ70" s="99">
        <f t="shared" ref="GJ70:GP70" si="352">IFERROR(GJ65/GJ66,0)</f>
        <v>0</v>
      </c>
      <c r="GK70" s="99">
        <f t="shared" si="352"/>
        <v>0</v>
      </c>
      <c r="GL70" s="99">
        <f t="shared" si="352"/>
        <v>0</v>
      </c>
      <c r="GM70" s="99">
        <f t="shared" si="352"/>
        <v>0</v>
      </c>
      <c r="GN70" s="99">
        <f t="shared" si="352"/>
        <v>0</v>
      </c>
      <c r="GO70" s="99">
        <f t="shared" si="352"/>
        <v>0</v>
      </c>
      <c r="GP70" s="99">
        <f t="shared" si="352"/>
        <v>0</v>
      </c>
    </row>
    <row r="71" s="47" customFormat="1" ht="15" hidden="1" customHeight="1" spans="2:198">
      <c r="B71" s="103"/>
      <c r="C71" s="104" t="s">
        <v>24</v>
      </c>
      <c r="D71" s="94">
        <f>IFERROR(D65/D67,0)</f>
        <v>0</v>
      </c>
      <c r="E71" s="99">
        <f>IFERROR(E65/E67,0)</f>
        <v>0</v>
      </c>
      <c r="F71" s="99">
        <f t="shared" ref="F71:O71" si="353">IFERROR(F65/F67,0)</f>
        <v>0</v>
      </c>
      <c r="G71" s="99">
        <f t="shared" si="353"/>
        <v>0</v>
      </c>
      <c r="H71" s="99">
        <f t="shared" si="353"/>
        <v>0</v>
      </c>
      <c r="I71" s="99">
        <f t="shared" si="353"/>
        <v>0</v>
      </c>
      <c r="J71" s="99">
        <f t="shared" si="353"/>
        <v>0</v>
      </c>
      <c r="K71" s="99">
        <f t="shared" si="353"/>
        <v>0</v>
      </c>
      <c r="L71" s="99">
        <f t="shared" si="353"/>
        <v>0</v>
      </c>
      <c r="M71" s="99">
        <f t="shared" si="353"/>
        <v>0</v>
      </c>
      <c r="N71" s="99">
        <f t="shared" si="353"/>
        <v>0</v>
      </c>
      <c r="O71" s="99">
        <f t="shared" si="353"/>
        <v>0</v>
      </c>
      <c r="P71" s="99">
        <f t="shared" ref="P71:V71" si="354">IFERROR(P65/P67,0)</f>
        <v>0</v>
      </c>
      <c r="Q71" s="65">
        <f t="shared" si="354"/>
        <v>0</v>
      </c>
      <c r="R71" s="99">
        <f t="shared" si="354"/>
        <v>0</v>
      </c>
      <c r="S71" s="99">
        <f t="shared" ref="S71:AK71" si="355">IFERROR(S65/S67,0)</f>
        <v>0</v>
      </c>
      <c r="T71" s="99">
        <f t="shared" si="355"/>
        <v>0</v>
      </c>
      <c r="U71" s="99">
        <f t="shared" si="355"/>
        <v>0</v>
      </c>
      <c r="V71" s="99">
        <f t="shared" si="355"/>
        <v>0</v>
      </c>
      <c r="W71" s="99">
        <f t="shared" si="355"/>
        <v>0</v>
      </c>
      <c r="X71" s="99">
        <f t="shared" si="355"/>
        <v>0</v>
      </c>
      <c r="Y71" s="99">
        <f t="shared" si="355"/>
        <v>0</v>
      </c>
      <c r="Z71" s="99">
        <f t="shared" si="355"/>
        <v>0</v>
      </c>
      <c r="AA71" s="99">
        <f t="shared" si="355"/>
        <v>0</v>
      </c>
      <c r="AB71" s="99">
        <f t="shared" si="355"/>
        <v>0</v>
      </c>
      <c r="AC71" s="99">
        <f t="shared" si="355"/>
        <v>0</v>
      </c>
      <c r="AD71" s="99">
        <f t="shared" si="355"/>
        <v>0</v>
      </c>
      <c r="AE71" s="99">
        <f t="shared" si="355"/>
        <v>0</v>
      </c>
      <c r="AF71" s="99">
        <f t="shared" si="355"/>
        <v>0</v>
      </c>
      <c r="AG71" s="99">
        <f t="shared" si="355"/>
        <v>0</v>
      </c>
      <c r="AH71" s="99">
        <f t="shared" si="355"/>
        <v>0</v>
      </c>
      <c r="AI71" s="99">
        <f t="shared" si="355"/>
        <v>0</v>
      </c>
      <c r="AJ71" s="99">
        <f t="shared" si="355"/>
        <v>0</v>
      </c>
      <c r="AK71" s="99">
        <f t="shared" si="355"/>
        <v>0</v>
      </c>
      <c r="AL71" s="99">
        <f t="shared" ref="AL71:BH71" si="356">IFERROR(AL65/AL67,0)</f>
        <v>0</v>
      </c>
      <c r="AM71" s="99">
        <f t="shared" si="356"/>
        <v>0</v>
      </c>
      <c r="AN71" s="99">
        <f t="shared" si="356"/>
        <v>0</v>
      </c>
      <c r="AO71" s="99">
        <f t="shared" si="356"/>
        <v>0</v>
      </c>
      <c r="AP71" s="99">
        <f t="shared" si="356"/>
        <v>0</v>
      </c>
      <c r="AQ71" s="99">
        <f t="shared" si="356"/>
        <v>0</v>
      </c>
      <c r="AR71" s="99">
        <f t="shared" si="356"/>
        <v>0</v>
      </c>
      <c r="AS71" s="99">
        <f t="shared" si="356"/>
        <v>0</v>
      </c>
      <c r="AT71" s="99">
        <f t="shared" si="356"/>
        <v>0</v>
      </c>
      <c r="AU71" s="99">
        <f t="shared" si="356"/>
        <v>0</v>
      </c>
      <c r="AV71" s="99">
        <f t="shared" si="356"/>
        <v>0</v>
      </c>
      <c r="AW71" s="65">
        <f t="shared" si="356"/>
        <v>0</v>
      </c>
      <c r="AX71" s="99">
        <f t="shared" si="356"/>
        <v>0</v>
      </c>
      <c r="AY71" s="99">
        <f t="shared" si="356"/>
        <v>0</v>
      </c>
      <c r="AZ71" s="99">
        <f t="shared" si="356"/>
        <v>0</v>
      </c>
      <c r="BA71" s="99">
        <f t="shared" si="356"/>
        <v>0</v>
      </c>
      <c r="BB71" s="99">
        <f t="shared" si="356"/>
        <v>0</v>
      </c>
      <c r="BC71" s="99">
        <f t="shared" si="356"/>
        <v>0</v>
      </c>
      <c r="BD71" s="99">
        <f t="shared" si="356"/>
        <v>0</v>
      </c>
      <c r="BE71" s="99">
        <f t="shared" si="356"/>
        <v>0</v>
      </c>
      <c r="BF71" s="99">
        <f t="shared" si="356"/>
        <v>0</v>
      </c>
      <c r="BG71" s="99">
        <f t="shared" si="356"/>
        <v>0</v>
      </c>
      <c r="BH71" s="99">
        <f t="shared" si="356"/>
        <v>0</v>
      </c>
      <c r="BI71" s="99">
        <f t="shared" ref="BI71:BW71" si="357">IFERROR(BI65/BI67,0)</f>
        <v>0</v>
      </c>
      <c r="BJ71" s="99">
        <f t="shared" si="357"/>
        <v>0</v>
      </c>
      <c r="BK71" s="99">
        <f t="shared" si="357"/>
        <v>0</v>
      </c>
      <c r="BL71" s="99">
        <f t="shared" si="357"/>
        <v>0</v>
      </c>
      <c r="BM71" s="99">
        <f t="shared" si="357"/>
        <v>0</v>
      </c>
      <c r="BN71" s="99">
        <f t="shared" si="357"/>
        <v>0</v>
      </c>
      <c r="BO71" s="99">
        <f t="shared" si="357"/>
        <v>0</v>
      </c>
      <c r="BP71" s="99">
        <f t="shared" si="357"/>
        <v>0</v>
      </c>
      <c r="BQ71" s="99">
        <f t="shared" si="357"/>
        <v>0</v>
      </c>
      <c r="BR71" s="99">
        <f t="shared" si="357"/>
        <v>0</v>
      </c>
      <c r="BS71" s="99">
        <f t="shared" si="357"/>
        <v>0</v>
      </c>
      <c r="BT71" s="99">
        <f t="shared" si="357"/>
        <v>0</v>
      </c>
      <c r="BU71" s="99">
        <f t="shared" si="357"/>
        <v>0</v>
      </c>
      <c r="BV71" s="99">
        <f t="shared" si="357"/>
        <v>0</v>
      </c>
      <c r="BW71" s="99">
        <f t="shared" si="357"/>
        <v>0</v>
      </c>
      <c r="BX71" s="99">
        <f t="shared" ref="BX71:CH71" si="358">IFERROR(BX65/BX67,0)</f>
        <v>0</v>
      </c>
      <c r="BY71" s="99">
        <f t="shared" si="358"/>
        <v>0</v>
      </c>
      <c r="BZ71" s="65">
        <f t="shared" si="358"/>
        <v>0</v>
      </c>
      <c r="CA71" s="99">
        <f t="shared" si="358"/>
        <v>0</v>
      </c>
      <c r="CB71" s="99">
        <f t="shared" si="358"/>
        <v>0</v>
      </c>
      <c r="CC71" s="99">
        <f t="shared" si="358"/>
        <v>0</v>
      </c>
      <c r="CD71" s="99">
        <f t="shared" si="358"/>
        <v>0</v>
      </c>
      <c r="CE71" s="99">
        <f t="shared" si="358"/>
        <v>0</v>
      </c>
      <c r="CF71" s="99">
        <f t="shared" si="358"/>
        <v>0</v>
      </c>
      <c r="CG71" s="99">
        <f t="shared" si="358"/>
        <v>0</v>
      </c>
      <c r="CH71" s="99">
        <f t="shared" si="358"/>
        <v>0</v>
      </c>
      <c r="CI71" s="99">
        <f t="shared" ref="CI71:EH71" si="359">IFERROR(CI65/CI67,0)</f>
        <v>0</v>
      </c>
      <c r="CJ71" s="99">
        <f t="shared" si="359"/>
        <v>0</v>
      </c>
      <c r="CK71" s="99">
        <f t="shared" si="359"/>
        <v>0</v>
      </c>
      <c r="CL71" s="99">
        <f t="shared" si="359"/>
        <v>0</v>
      </c>
      <c r="CM71" s="99">
        <f t="shared" si="359"/>
        <v>0</v>
      </c>
      <c r="CN71" s="99">
        <f t="shared" si="359"/>
        <v>0</v>
      </c>
      <c r="CO71" s="99">
        <f t="shared" si="359"/>
        <v>0</v>
      </c>
      <c r="CP71" s="99">
        <f t="shared" si="359"/>
        <v>0</v>
      </c>
      <c r="CQ71" s="99">
        <f t="shared" si="359"/>
        <v>0</v>
      </c>
      <c r="CR71" s="99">
        <f t="shared" si="359"/>
        <v>0</v>
      </c>
      <c r="CS71" s="99">
        <f t="shared" si="359"/>
        <v>0</v>
      </c>
      <c r="CT71" s="99">
        <f t="shared" si="359"/>
        <v>0</v>
      </c>
      <c r="CU71" s="99">
        <f t="shared" si="359"/>
        <v>0</v>
      </c>
      <c r="CV71" s="99">
        <f t="shared" si="359"/>
        <v>0</v>
      </c>
      <c r="CW71" s="99">
        <f t="shared" si="359"/>
        <v>0</v>
      </c>
      <c r="CX71" s="99">
        <f t="shared" si="359"/>
        <v>0</v>
      </c>
      <c r="CY71" s="99">
        <f t="shared" si="359"/>
        <v>0</v>
      </c>
      <c r="CZ71" s="99">
        <f t="shared" si="359"/>
        <v>0</v>
      </c>
      <c r="DA71" s="99">
        <f t="shared" si="359"/>
        <v>0</v>
      </c>
      <c r="DB71" s="99">
        <f t="shared" si="359"/>
        <v>0</v>
      </c>
      <c r="DC71" s="99">
        <f t="shared" si="359"/>
        <v>0</v>
      </c>
      <c r="DD71" s="99">
        <f t="shared" si="359"/>
        <v>0</v>
      </c>
      <c r="DE71" s="99">
        <f t="shared" si="359"/>
        <v>0</v>
      </c>
      <c r="DF71" s="65">
        <f t="shared" si="359"/>
        <v>0</v>
      </c>
      <c r="DG71" s="99">
        <f t="shared" si="359"/>
        <v>0</v>
      </c>
      <c r="DH71" s="99">
        <f t="shared" si="359"/>
        <v>0</v>
      </c>
      <c r="DI71" s="99">
        <f t="shared" si="359"/>
        <v>0</v>
      </c>
      <c r="DJ71" s="99">
        <f t="shared" si="359"/>
        <v>0</v>
      </c>
      <c r="DK71" s="99">
        <f t="shared" si="359"/>
        <v>0</v>
      </c>
      <c r="DL71" s="99">
        <f t="shared" si="359"/>
        <v>0</v>
      </c>
      <c r="DM71" s="99">
        <f t="shared" si="359"/>
        <v>0</v>
      </c>
      <c r="DN71" s="99">
        <f t="shared" si="359"/>
        <v>0</v>
      </c>
      <c r="DO71" s="99">
        <f t="shared" si="359"/>
        <v>0</v>
      </c>
      <c r="DP71" s="99">
        <f t="shared" si="359"/>
        <v>0</v>
      </c>
      <c r="DQ71" s="99">
        <f t="shared" si="359"/>
        <v>0</v>
      </c>
      <c r="DR71" s="99">
        <f t="shared" si="359"/>
        <v>0</v>
      </c>
      <c r="DS71" s="99">
        <f t="shared" si="359"/>
        <v>0</v>
      </c>
      <c r="DT71" s="99">
        <f t="shared" si="359"/>
        <v>0</v>
      </c>
      <c r="DU71" s="99">
        <f t="shared" si="359"/>
        <v>0</v>
      </c>
      <c r="DV71" s="99">
        <f t="shared" si="359"/>
        <v>0</v>
      </c>
      <c r="DW71" s="99">
        <f t="shared" si="359"/>
        <v>0</v>
      </c>
      <c r="DX71" s="99">
        <f t="shared" si="359"/>
        <v>0</v>
      </c>
      <c r="DY71" s="99">
        <f t="shared" si="359"/>
        <v>0</v>
      </c>
      <c r="DZ71" s="99">
        <f t="shared" si="359"/>
        <v>0</v>
      </c>
      <c r="EA71" s="99">
        <f t="shared" si="359"/>
        <v>0</v>
      </c>
      <c r="EB71" s="99">
        <f t="shared" si="359"/>
        <v>0</v>
      </c>
      <c r="EC71" s="99">
        <f t="shared" si="359"/>
        <v>0</v>
      </c>
      <c r="ED71" s="99">
        <f t="shared" si="359"/>
        <v>0</v>
      </c>
      <c r="EE71" s="99">
        <f t="shared" si="359"/>
        <v>0</v>
      </c>
      <c r="EF71" s="99">
        <f t="shared" si="359"/>
        <v>0</v>
      </c>
      <c r="EG71" s="99">
        <f t="shared" si="359"/>
        <v>0</v>
      </c>
      <c r="EH71" s="99">
        <f t="shared" si="359"/>
        <v>0</v>
      </c>
      <c r="EI71" s="99">
        <f t="shared" ref="EI71:FM71" si="360">IFERROR(EI65/EI67,0)</f>
        <v>0</v>
      </c>
      <c r="EJ71" s="99">
        <f t="shared" si="360"/>
        <v>0</v>
      </c>
      <c r="EK71" s="65">
        <f t="shared" si="360"/>
        <v>0</v>
      </c>
      <c r="EL71" s="99">
        <f t="shared" si="360"/>
        <v>0</v>
      </c>
      <c r="EM71" s="99">
        <f t="shared" si="360"/>
        <v>0</v>
      </c>
      <c r="EN71" s="99">
        <f t="shared" si="360"/>
        <v>0</v>
      </c>
      <c r="EO71" s="99">
        <f t="shared" si="360"/>
        <v>0</v>
      </c>
      <c r="EP71" s="99">
        <f t="shared" si="360"/>
        <v>0</v>
      </c>
      <c r="EQ71" s="99">
        <f t="shared" si="360"/>
        <v>0</v>
      </c>
      <c r="ER71" s="99">
        <f t="shared" si="360"/>
        <v>0</v>
      </c>
      <c r="ES71" s="99">
        <f t="shared" si="360"/>
        <v>0</v>
      </c>
      <c r="ET71" s="99">
        <f t="shared" si="360"/>
        <v>0</v>
      </c>
      <c r="EU71" s="99">
        <f t="shared" si="360"/>
        <v>0</v>
      </c>
      <c r="EV71" s="99">
        <f t="shared" si="360"/>
        <v>0</v>
      </c>
      <c r="EW71" s="99">
        <f t="shared" si="360"/>
        <v>0</v>
      </c>
      <c r="EX71" s="99">
        <f t="shared" si="360"/>
        <v>0</v>
      </c>
      <c r="EY71" s="99">
        <f t="shared" si="360"/>
        <v>0</v>
      </c>
      <c r="EZ71" s="99">
        <f t="shared" si="360"/>
        <v>0</v>
      </c>
      <c r="FA71" s="99">
        <f t="shared" si="360"/>
        <v>0</v>
      </c>
      <c r="FB71" s="99">
        <f t="shared" si="360"/>
        <v>0</v>
      </c>
      <c r="FC71" s="99">
        <f t="shared" si="360"/>
        <v>0</v>
      </c>
      <c r="FD71" s="99">
        <f t="shared" si="360"/>
        <v>0</v>
      </c>
      <c r="FE71" s="99">
        <f t="shared" si="360"/>
        <v>0</v>
      </c>
      <c r="FF71" s="99">
        <f t="shared" si="360"/>
        <v>0</v>
      </c>
      <c r="FG71" s="99">
        <f t="shared" si="360"/>
        <v>0</v>
      </c>
      <c r="FH71" s="99">
        <f t="shared" si="360"/>
        <v>0</v>
      </c>
      <c r="FI71" s="99">
        <f t="shared" si="360"/>
        <v>0</v>
      </c>
      <c r="FJ71" s="99">
        <f t="shared" si="360"/>
        <v>0</v>
      </c>
      <c r="FK71" s="99">
        <f t="shared" si="360"/>
        <v>0</v>
      </c>
      <c r="FL71" s="99">
        <f t="shared" si="360"/>
        <v>0</v>
      </c>
      <c r="FM71" s="99">
        <f t="shared" si="360"/>
        <v>0</v>
      </c>
      <c r="FN71" s="99">
        <f t="shared" ref="FN71:GI71" si="361">IFERROR(FN65/FN67,0)</f>
        <v>0</v>
      </c>
      <c r="FO71" s="99">
        <f t="shared" si="361"/>
        <v>0</v>
      </c>
      <c r="FP71" s="99">
        <f t="shared" si="361"/>
        <v>0</v>
      </c>
      <c r="FQ71" s="65">
        <f t="shared" si="361"/>
        <v>0</v>
      </c>
      <c r="FR71" s="99">
        <f t="shared" si="361"/>
        <v>0</v>
      </c>
      <c r="FS71" s="99">
        <f t="shared" si="361"/>
        <v>0</v>
      </c>
      <c r="FT71" s="99">
        <f t="shared" si="361"/>
        <v>0</v>
      </c>
      <c r="FU71" s="99">
        <f t="shared" si="361"/>
        <v>0</v>
      </c>
      <c r="FV71" s="99">
        <f t="shared" si="361"/>
        <v>0</v>
      </c>
      <c r="FW71" s="99">
        <f t="shared" si="361"/>
        <v>0</v>
      </c>
      <c r="FX71" s="99">
        <f t="shared" si="361"/>
        <v>0</v>
      </c>
      <c r="FY71" s="99">
        <f t="shared" si="361"/>
        <v>0</v>
      </c>
      <c r="FZ71" s="99">
        <f t="shared" si="361"/>
        <v>0</v>
      </c>
      <c r="GA71" s="99">
        <f t="shared" si="361"/>
        <v>0</v>
      </c>
      <c r="GB71" s="99">
        <f t="shared" si="361"/>
        <v>0</v>
      </c>
      <c r="GC71" s="99">
        <f t="shared" si="361"/>
        <v>0</v>
      </c>
      <c r="GD71" s="99">
        <f t="shared" si="361"/>
        <v>0</v>
      </c>
      <c r="GE71" s="99">
        <f t="shared" si="361"/>
        <v>0</v>
      </c>
      <c r="GF71" s="99">
        <f t="shared" si="361"/>
        <v>0</v>
      </c>
      <c r="GG71" s="99">
        <f t="shared" si="361"/>
        <v>0</v>
      </c>
      <c r="GH71" s="99">
        <f t="shared" si="361"/>
        <v>0</v>
      </c>
      <c r="GI71" s="99">
        <f t="shared" si="361"/>
        <v>0</v>
      </c>
      <c r="GJ71" s="99">
        <f t="shared" ref="GJ71:GP71" si="362">IFERROR(GJ65/GJ67,0)</f>
        <v>0</v>
      </c>
      <c r="GK71" s="99">
        <f t="shared" si="362"/>
        <v>0</v>
      </c>
      <c r="GL71" s="99">
        <f t="shared" si="362"/>
        <v>0</v>
      </c>
      <c r="GM71" s="99">
        <f t="shared" si="362"/>
        <v>0</v>
      </c>
      <c r="GN71" s="99">
        <f t="shared" si="362"/>
        <v>0</v>
      </c>
      <c r="GO71" s="99">
        <f t="shared" si="362"/>
        <v>0</v>
      </c>
      <c r="GP71" s="99">
        <f t="shared" si="362"/>
        <v>0</v>
      </c>
    </row>
    <row r="72" s="47" customFormat="1" ht="15" hidden="1" customHeight="1" spans="2:198">
      <c r="B72" s="103"/>
      <c r="C72" s="104" t="s">
        <v>14</v>
      </c>
      <c r="D72" s="97">
        <f>IFERROR(D69/D65,0)</f>
        <v>0</v>
      </c>
      <c r="E72" s="99">
        <f>IFERROR(E69/E65,0)</f>
        <v>0</v>
      </c>
      <c r="F72" s="99">
        <f t="shared" ref="F72:O72" si="363">IFERROR(F69/F65,0)</f>
        <v>0</v>
      </c>
      <c r="G72" s="99">
        <f t="shared" si="363"/>
        <v>0</v>
      </c>
      <c r="H72" s="99">
        <f t="shared" si="363"/>
        <v>0</v>
      </c>
      <c r="I72" s="99">
        <f t="shared" si="363"/>
        <v>0</v>
      </c>
      <c r="J72" s="99">
        <f t="shared" si="363"/>
        <v>0</v>
      </c>
      <c r="K72" s="99">
        <f t="shared" si="363"/>
        <v>0</v>
      </c>
      <c r="L72" s="99">
        <f t="shared" si="363"/>
        <v>0</v>
      </c>
      <c r="M72" s="99">
        <f t="shared" si="363"/>
        <v>0</v>
      </c>
      <c r="N72" s="99">
        <f t="shared" si="363"/>
        <v>0</v>
      </c>
      <c r="O72" s="99">
        <f t="shared" si="363"/>
        <v>0</v>
      </c>
      <c r="P72" s="99">
        <f t="shared" ref="P72:V72" si="364">IFERROR(P69/P65,0)</f>
        <v>0</v>
      </c>
      <c r="Q72" s="70">
        <f t="shared" si="364"/>
        <v>0</v>
      </c>
      <c r="R72" s="99">
        <f t="shared" si="364"/>
        <v>0</v>
      </c>
      <c r="S72" s="99">
        <f t="shared" ref="S72:AK72" si="365">IFERROR(S69/S65,0)</f>
        <v>0</v>
      </c>
      <c r="T72" s="99">
        <f t="shared" si="365"/>
        <v>0</v>
      </c>
      <c r="U72" s="99">
        <f t="shared" si="365"/>
        <v>0</v>
      </c>
      <c r="V72" s="99">
        <f t="shared" si="365"/>
        <v>0</v>
      </c>
      <c r="W72" s="99">
        <f t="shared" si="365"/>
        <v>0</v>
      </c>
      <c r="X72" s="99">
        <f t="shared" si="365"/>
        <v>0</v>
      </c>
      <c r="Y72" s="99">
        <f t="shared" si="365"/>
        <v>0</v>
      </c>
      <c r="Z72" s="99">
        <f t="shared" si="365"/>
        <v>0</v>
      </c>
      <c r="AA72" s="99">
        <f t="shared" si="365"/>
        <v>0</v>
      </c>
      <c r="AB72" s="99">
        <f t="shared" si="365"/>
        <v>0</v>
      </c>
      <c r="AC72" s="99">
        <f t="shared" si="365"/>
        <v>0</v>
      </c>
      <c r="AD72" s="99">
        <f t="shared" si="365"/>
        <v>0</v>
      </c>
      <c r="AE72" s="99">
        <f t="shared" si="365"/>
        <v>0</v>
      </c>
      <c r="AF72" s="99">
        <f t="shared" si="365"/>
        <v>0</v>
      </c>
      <c r="AG72" s="99">
        <f t="shared" si="365"/>
        <v>0</v>
      </c>
      <c r="AH72" s="99">
        <f t="shared" si="365"/>
        <v>0</v>
      </c>
      <c r="AI72" s="99">
        <f t="shared" si="365"/>
        <v>0</v>
      </c>
      <c r="AJ72" s="99">
        <f t="shared" si="365"/>
        <v>0</v>
      </c>
      <c r="AK72" s="99">
        <f t="shared" si="365"/>
        <v>0</v>
      </c>
      <c r="AL72" s="99">
        <f t="shared" ref="AL72:BH72" si="366">IFERROR(AL69/AL65,0)</f>
        <v>0</v>
      </c>
      <c r="AM72" s="99">
        <f t="shared" si="366"/>
        <v>0</v>
      </c>
      <c r="AN72" s="99">
        <f t="shared" si="366"/>
        <v>0</v>
      </c>
      <c r="AO72" s="99">
        <f t="shared" si="366"/>
        <v>0</v>
      </c>
      <c r="AP72" s="99">
        <f t="shared" si="366"/>
        <v>0</v>
      </c>
      <c r="AQ72" s="99">
        <f t="shared" si="366"/>
        <v>0</v>
      </c>
      <c r="AR72" s="99">
        <f t="shared" si="366"/>
        <v>0</v>
      </c>
      <c r="AS72" s="99">
        <f t="shared" si="366"/>
        <v>0</v>
      </c>
      <c r="AT72" s="99">
        <f t="shared" si="366"/>
        <v>0</v>
      </c>
      <c r="AU72" s="99">
        <f t="shared" si="366"/>
        <v>0</v>
      </c>
      <c r="AV72" s="99">
        <f t="shared" si="366"/>
        <v>0</v>
      </c>
      <c r="AW72" s="70">
        <f t="shared" si="366"/>
        <v>0</v>
      </c>
      <c r="AX72" s="99">
        <f t="shared" si="366"/>
        <v>0</v>
      </c>
      <c r="AY72" s="99">
        <f t="shared" si="366"/>
        <v>0</v>
      </c>
      <c r="AZ72" s="99">
        <f t="shared" si="366"/>
        <v>0</v>
      </c>
      <c r="BA72" s="99">
        <f t="shared" si="366"/>
        <v>0</v>
      </c>
      <c r="BB72" s="99">
        <f t="shared" si="366"/>
        <v>0</v>
      </c>
      <c r="BC72" s="99">
        <f t="shared" si="366"/>
        <v>0</v>
      </c>
      <c r="BD72" s="99">
        <f t="shared" si="366"/>
        <v>0</v>
      </c>
      <c r="BE72" s="99">
        <f t="shared" si="366"/>
        <v>0</v>
      </c>
      <c r="BF72" s="99">
        <f t="shared" si="366"/>
        <v>0</v>
      </c>
      <c r="BG72" s="99">
        <f t="shared" si="366"/>
        <v>0</v>
      </c>
      <c r="BH72" s="99">
        <f t="shared" si="366"/>
        <v>0</v>
      </c>
      <c r="BI72" s="99">
        <f t="shared" ref="BI72:BW72" si="367">IFERROR(BI69/BI65,0)</f>
        <v>0</v>
      </c>
      <c r="BJ72" s="99">
        <f t="shared" si="367"/>
        <v>0</v>
      </c>
      <c r="BK72" s="99">
        <f t="shared" si="367"/>
        <v>0</v>
      </c>
      <c r="BL72" s="99">
        <f t="shared" si="367"/>
        <v>0</v>
      </c>
      <c r="BM72" s="99">
        <f t="shared" si="367"/>
        <v>0</v>
      </c>
      <c r="BN72" s="99">
        <f t="shared" si="367"/>
        <v>0</v>
      </c>
      <c r="BO72" s="99">
        <f t="shared" si="367"/>
        <v>0</v>
      </c>
      <c r="BP72" s="99">
        <f t="shared" si="367"/>
        <v>0</v>
      </c>
      <c r="BQ72" s="99">
        <f t="shared" si="367"/>
        <v>0</v>
      </c>
      <c r="BR72" s="99">
        <f t="shared" si="367"/>
        <v>0</v>
      </c>
      <c r="BS72" s="99">
        <f t="shared" si="367"/>
        <v>0</v>
      </c>
      <c r="BT72" s="99">
        <f t="shared" si="367"/>
        <v>0</v>
      </c>
      <c r="BU72" s="99">
        <f t="shared" si="367"/>
        <v>0</v>
      </c>
      <c r="BV72" s="99">
        <f t="shared" si="367"/>
        <v>0</v>
      </c>
      <c r="BW72" s="99">
        <f t="shared" si="367"/>
        <v>0</v>
      </c>
      <c r="BX72" s="99">
        <f t="shared" ref="BX72:CH72" si="368">IFERROR(BX69/BX65,0)</f>
        <v>0</v>
      </c>
      <c r="BY72" s="99">
        <f t="shared" si="368"/>
        <v>0</v>
      </c>
      <c r="BZ72" s="70">
        <f t="shared" si="368"/>
        <v>0</v>
      </c>
      <c r="CA72" s="99">
        <f t="shared" si="368"/>
        <v>0</v>
      </c>
      <c r="CB72" s="99">
        <f t="shared" si="368"/>
        <v>0</v>
      </c>
      <c r="CC72" s="99">
        <f t="shared" si="368"/>
        <v>0</v>
      </c>
      <c r="CD72" s="99">
        <f t="shared" si="368"/>
        <v>0</v>
      </c>
      <c r="CE72" s="99">
        <f t="shared" si="368"/>
        <v>0</v>
      </c>
      <c r="CF72" s="99">
        <f t="shared" si="368"/>
        <v>0</v>
      </c>
      <c r="CG72" s="99">
        <f t="shared" si="368"/>
        <v>0</v>
      </c>
      <c r="CH72" s="99">
        <f t="shared" si="368"/>
        <v>0</v>
      </c>
      <c r="CI72" s="99">
        <f t="shared" ref="CI72:EH72" si="369">IFERROR(CI69/CI65,0)</f>
        <v>0</v>
      </c>
      <c r="CJ72" s="99">
        <f t="shared" si="369"/>
        <v>0</v>
      </c>
      <c r="CK72" s="99">
        <f t="shared" si="369"/>
        <v>0</v>
      </c>
      <c r="CL72" s="99">
        <f t="shared" si="369"/>
        <v>0</v>
      </c>
      <c r="CM72" s="99">
        <f t="shared" si="369"/>
        <v>0</v>
      </c>
      <c r="CN72" s="99">
        <f t="shared" si="369"/>
        <v>0</v>
      </c>
      <c r="CO72" s="99">
        <f t="shared" si="369"/>
        <v>0</v>
      </c>
      <c r="CP72" s="99">
        <f t="shared" si="369"/>
        <v>0</v>
      </c>
      <c r="CQ72" s="99">
        <f t="shared" si="369"/>
        <v>0</v>
      </c>
      <c r="CR72" s="99">
        <f t="shared" si="369"/>
        <v>0</v>
      </c>
      <c r="CS72" s="99">
        <f t="shared" si="369"/>
        <v>0</v>
      </c>
      <c r="CT72" s="99">
        <f t="shared" si="369"/>
        <v>0</v>
      </c>
      <c r="CU72" s="99">
        <f t="shared" si="369"/>
        <v>0</v>
      </c>
      <c r="CV72" s="99">
        <f t="shared" si="369"/>
        <v>0</v>
      </c>
      <c r="CW72" s="99">
        <f t="shared" si="369"/>
        <v>0</v>
      </c>
      <c r="CX72" s="99">
        <f t="shared" si="369"/>
        <v>0</v>
      </c>
      <c r="CY72" s="99">
        <f t="shared" si="369"/>
        <v>0</v>
      </c>
      <c r="CZ72" s="99">
        <f t="shared" si="369"/>
        <v>0</v>
      </c>
      <c r="DA72" s="99">
        <f t="shared" si="369"/>
        <v>0</v>
      </c>
      <c r="DB72" s="99">
        <f t="shared" si="369"/>
        <v>0</v>
      </c>
      <c r="DC72" s="99">
        <f t="shared" si="369"/>
        <v>0</v>
      </c>
      <c r="DD72" s="99">
        <f t="shared" si="369"/>
        <v>0</v>
      </c>
      <c r="DE72" s="99">
        <f t="shared" si="369"/>
        <v>0</v>
      </c>
      <c r="DF72" s="70">
        <f t="shared" si="369"/>
        <v>0</v>
      </c>
      <c r="DG72" s="99">
        <f t="shared" si="369"/>
        <v>0</v>
      </c>
      <c r="DH72" s="99">
        <f t="shared" si="369"/>
        <v>0</v>
      </c>
      <c r="DI72" s="99">
        <f t="shared" si="369"/>
        <v>0</v>
      </c>
      <c r="DJ72" s="99">
        <f t="shared" si="369"/>
        <v>0</v>
      </c>
      <c r="DK72" s="99">
        <f t="shared" si="369"/>
        <v>0</v>
      </c>
      <c r="DL72" s="99">
        <f t="shared" si="369"/>
        <v>0</v>
      </c>
      <c r="DM72" s="99">
        <f t="shared" si="369"/>
        <v>0</v>
      </c>
      <c r="DN72" s="99">
        <f t="shared" si="369"/>
        <v>0</v>
      </c>
      <c r="DO72" s="99">
        <f t="shared" si="369"/>
        <v>0</v>
      </c>
      <c r="DP72" s="99">
        <f t="shared" si="369"/>
        <v>0</v>
      </c>
      <c r="DQ72" s="99">
        <f t="shared" si="369"/>
        <v>0</v>
      </c>
      <c r="DR72" s="99">
        <f t="shared" si="369"/>
        <v>0</v>
      </c>
      <c r="DS72" s="99">
        <f t="shared" si="369"/>
        <v>0</v>
      </c>
      <c r="DT72" s="99">
        <f t="shared" si="369"/>
        <v>0</v>
      </c>
      <c r="DU72" s="99">
        <f t="shared" si="369"/>
        <v>0</v>
      </c>
      <c r="DV72" s="99">
        <f t="shared" si="369"/>
        <v>0</v>
      </c>
      <c r="DW72" s="99">
        <f t="shared" si="369"/>
        <v>0</v>
      </c>
      <c r="DX72" s="99">
        <f t="shared" si="369"/>
        <v>0</v>
      </c>
      <c r="DY72" s="99">
        <f t="shared" si="369"/>
        <v>0</v>
      </c>
      <c r="DZ72" s="99">
        <f t="shared" si="369"/>
        <v>0</v>
      </c>
      <c r="EA72" s="99">
        <f t="shared" si="369"/>
        <v>0</v>
      </c>
      <c r="EB72" s="99">
        <f t="shared" si="369"/>
        <v>0</v>
      </c>
      <c r="EC72" s="99">
        <f t="shared" si="369"/>
        <v>0</v>
      </c>
      <c r="ED72" s="99">
        <f t="shared" si="369"/>
        <v>0</v>
      </c>
      <c r="EE72" s="99">
        <f t="shared" si="369"/>
        <v>0</v>
      </c>
      <c r="EF72" s="99">
        <f t="shared" si="369"/>
        <v>0</v>
      </c>
      <c r="EG72" s="99">
        <f t="shared" si="369"/>
        <v>0</v>
      </c>
      <c r="EH72" s="99">
        <f t="shared" si="369"/>
        <v>0</v>
      </c>
      <c r="EI72" s="99">
        <f t="shared" ref="EI72:FM72" si="370">IFERROR(EI69/EI65,0)</f>
        <v>0</v>
      </c>
      <c r="EJ72" s="99">
        <f t="shared" si="370"/>
        <v>0</v>
      </c>
      <c r="EK72" s="70">
        <f t="shared" si="370"/>
        <v>0</v>
      </c>
      <c r="EL72" s="99">
        <f t="shared" si="370"/>
        <v>0</v>
      </c>
      <c r="EM72" s="99">
        <f t="shared" si="370"/>
        <v>0</v>
      </c>
      <c r="EN72" s="99">
        <f t="shared" si="370"/>
        <v>0</v>
      </c>
      <c r="EO72" s="99">
        <f t="shared" si="370"/>
        <v>0</v>
      </c>
      <c r="EP72" s="99">
        <f t="shared" si="370"/>
        <v>0</v>
      </c>
      <c r="EQ72" s="99">
        <f t="shared" si="370"/>
        <v>0</v>
      </c>
      <c r="ER72" s="99">
        <f t="shared" si="370"/>
        <v>0</v>
      </c>
      <c r="ES72" s="99">
        <f t="shared" si="370"/>
        <v>0</v>
      </c>
      <c r="ET72" s="99">
        <f t="shared" si="370"/>
        <v>0</v>
      </c>
      <c r="EU72" s="99">
        <f t="shared" si="370"/>
        <v>0</v>
      </c>
      <c r="EV72" s="99">
        <f t="shared" si="370"/>
        <v>0</v>
      </c>
      <c r="EW72" s="99">
        <f t="shared" si="370"/>
        <v>0</v>
      </c>
      <c r="EX72" s="99">
        <f t="shared" si="370"/>
        <v>0</v>
      </c>
      <c r="EY72" s="99">
        <f t="shared" si="370"/>
        <v>0</v>
      </c>
      <c r="EZ72" s="99">
        <f t="shared" si="370"/>
        <v>0</v>
      </c>
      <c r="FA72" s="99">
        <f t="shared" si="370"/>
        <v>0</v>
      </c>
      <c r="FB72" s="99">
        <f t="shared" si="370"/>
        <v>0</v>
      </c>
      <c r="FC72" s="99">
        <f t="shared" si="370"/>
        <v>0</v>
      </c>
      <c r="FD72" s="99">
        <f t="shared" si="370"/>
        <v>0</v>
      </c>
      <c r="FE72" s="99">
        <f t="shared" si="370"/>
        <v>0</v>
      </c>
      <c r="FF72" s="99">
        <f t="shared" si="370"/>
        <v>0</v>
      </c>
      <c r="FG72" s="99">
        <f t="shared" si="370"/>
        <v>0</v>
      </c>
      <c r="FH72" s="99">
        <f t="shared" si="370"/>
        <v>0</v>
      </c>
      <c r="FI72" s="99">
        <f t="shared" si="370"/>
        <v>0</v>
      </c>
      <c r="FJ72" s="99">
        <f t="shared" si="370"/>
        <v>0</v>
      </c>
      <c r="FK72" s="99">
        <f t="shared" si="370"/>
        <v>0</v>
      </c>
      <c r="FL72" s="99">
        <f t="shared" si="370"/>
        <v>0</v>
      </c>
      <c r="FM72" s="99">
        <f t="shared" si="370"/>
        <v>0</v>
      </c>
      <c r="FN72" s="99">
        <f t="shared" ref="FN72:GI72" si="371">IFERROR(FN69/FN65,0)</f>
        <v>0</v>
      </c>
      <c r="FO72" s="99">
        <f t="shared" si="371"/>
        <v>0</v>
      </c>
      <c r="FP72" s="99">
        <f t="shared" si="371"/>
        <v>0</v>
      </c>
      <c r="FQ72" s="70">
        <f t="shared" si="371"/>
        <v>0</v>
      </c>
      <c r="FR72" s="99">
        <f t="shared" si="371"/>
        <v>0</v>
      </c>
      <c r="FS72" s="99">
        <f t="shared" si="371"/>
        <v>0</v>
      </c>
      <c r="FT72" s="99">
        <f t="shared" si="371"/>
        <v>0</v>
      </c>
      <c r="FU72" s="99">
        <f t="shared" si="371"/>
        <v>0</v>
      </c>
      <c r="FV72" s="99">
        <f t="shared" si="371"/>
        <v>0</v>
      </c>
      <c r="FW72" s="99">
        <f t="shared" si="371"/>
        <v>0</v>
      </c>
      <c r="FX72" s="99">
        <f t="shared" si="371"/>
        <v>0</v>
      </c>
      <c r="FY72" s="99">
        <f t="shared" si="371"/>
        <v>0</v>
      </c>
      <c r="FZ72" s="99">
        <f t="shared" si="371"/>
        <v>0</v>
      </c>
      <c r="GA72" s="99">
        <f t="shared" si="371"/>
        <v>0</v>
      </c>
      <c r="GB72" s="99">
        <f t="shared" si="371"/>
        <v>0</v>
      </c>
      <c r="GC72" s="99">
        <f t="shared" si="371"/>
        <v>0</v>
      </c>
      <c r="GD72" s="99">
        <f t="shared" si="371"/>
        <v>0</v>
      </c>
      <c r="GE72" s="99">
        <f t="shared" si="371"/>
        <v>0</v>
      </c>
      <c r="GF72" s="99">
        <f t="shared" si="371"/>
        <v>0</v>
      </c>
      <c r="GG72" s="99">
        <f t="shared" si="371"/>
        <v>0</v>
      </c>
      <c r="GH72" s="99">
        <f t="shared" si="371"/>
        <v>0</v>
      </c>
      <c r="GI72" s="99">
        <f t="shared" si="371"/>
        <v>0</v>
      </c>
      <c r="GJ72" s="99">
        <f t="shared" ref="GJ72:GP72" si="372">IFERROR(GJ69/GJ65,0)</f>
        <v>0</v>
      </c>
      <c r="GK72" s="99">
        <f t="shared" si="372"/>
        <v>0</v>
      </c>
      <c r="GL72" s="99">
        <f t="shared" si="372"/>
        <v>0</v>
      </c>
      <c r="GM72" s="99">
        <f t="shared" si="372"/>
        <v>0</v>
      </c>
      <c r="GN72" s="99">
        <f t="shared" si="372"/>
        <v>0</v>
      </c>
      <c r="GO72" s="99">
        <f t="shared" si="372"/>
        <v>0</v>
      </c>
      <c r="GP72" s="99">
        <f t="shared" si="372"/>
        <v>0</v>
      </c>
    </row>
    <row r="73" s="47" customFormat="1" ht="15" hidden="1" customHeight="1" spans="2:198">
      <c r="B73" s="103"/>
      <c r="C73" s="104" t="s">
        <v>36</v>
      </c>
      <c r="D73" s="100" t="e">
        <f>D65/D$130</f>
        <v>#REF!</v>
      </c>
      <c r="E73" s="108" t="e">
        <f>E65/E$130</f>
        <v>#REF!</v>
      </c>
      <c r="F73" s="108" t="e">
        <f t="shared" ref="F73:O73" si="373">F65/F$130</f>
        <v>#REF!</v>
      </c>
      <c r="G73" s="108" t="e">
        <f t="shared" si="373"/>
        <v>#REF!</v>
      </c>
      <c r="H73" s="108" t="e">
        <f t="shared" si="373"/>
        <v>#REF!</v>
      </c>
      <c r="I73" s="108" t="e">
        <f t="shared" si="373"/>
        <v>#REF!</v>
      </c>
      <c r="J73" s="108" t="e">
        <f t="shared" si="373"/>
        <v>#REF!</v>
      </c>
      <c r="K73" s="108" t="e">
        <f t="shared" si="373"/>
        <v>#REF!</v>
      </c>
      <c r="L73" s="108" t="e">
        <f t="shared" si="373"/>
        <v>#REF!</v>
      </c>
      <c r="M73" s="108" t="e">
        <f t="shared" si="373"/>
        <v>#REF!</v>
      </c>
      <c r="N73" s="108" t="e">
        <f t="shared" si="373"/>
        <v>#REF!</v>
      </c>
      <c r="O73" s="108" t="e">
        <f t="shared" si="373"/>
        <v>#REF!</v>
      </c>
      <c r="P73" s="108" t="e">
        <f t="shared" ref="P73:V73" si="374">P65/P$130</f>
        <v>#REF!</v>
      </c>
      <c r="Q73" s="102">
        <f t="shared" si="374"/>
        <v>0</v>
      </c>
      <c r="R73" s="108">
        <f t="shared" si="374"/>
        <v>0</v>
      </c>
      <c r="S73" s="108">
        <f t="shared" ref="S73:AK73" si="375">S65/S$130</f>
        <v>0</v>
      </c>
      <c r="T73" s="108">
        <f t="shared" si="375"/>
        <v>0</v>
      </c>
      <c r="U73" s="108">
        <f t="shared" si="375"/>
        <v>0</v>
      </c>
      <c r="V73" s="108">
        <f t="shared" si="375"/>
        <v>0</v>
      </c>
      <c r="W73" s="108">
        <f t="shared" si="375"/>
        <v>0</v>
      </c>
      <c r="X73" s="108">
        <f t="shared" si="375"/>
        <v>0</v>
      </c>
      <c r="Y73" s="108">
        <f t="shared" si="375"/>
        <v>0</v>
      </c>
      <c r="Z73" s="108">
        <f t="shared" si="375"/>
        <v>0</v>
      </c>
      <c r="AA73" s="108">
        <f t="shared" si="375"/>
        <v>0</v>
      </c>
      <c r="AB73" s="108">
        <f t="shared" si="375"/>
        <v>0</v>
      </c>
      <c r="AC73" s="108">
        <f t="shared" si="375"/>
        <v>0</v>
      </c>
      <c r="AD73" s="108">
        <f t="shared" si="375"/>
        <v>0</v>
      </c>
      <c r="AE73" s="108">
        <f t="shared" si="375"/>
        <v>0</v>
      </c>
      <c r="AF73" s="108">
        <f t="shared" si="375"/>
        <v>0</v>
      </c>
      <c r="AG73" s="108">
        <f t="shared" si="375"/>
        <v>0</v>
      </c>
      <c r="AH73" s="108">
        <f t="shared" si="375"/>
        <v>0</v>
      </c>
      <c r="AI73" s="108">
        <f t="shared" si="375"/>
        <v>0</v>
      </c>
      <c r="AJ73" s="108">
        <f t="shared" si="375"/>
        <v>0</v>
      </c>
      <c r="AK73" s="108">
        <f t="shared" si="375"/>
        <v>0</v>
      </c>
      <c r="AL73" s="108">
        <f t="shared" ref="AL73:BH73" si="376">AL65/AL$130</f>
        <v>0</v>
      </c>
      <c r="AM73" s="108">
        <f t="shared" si="376"/>
        <v>0</v>
      </c>
      <c r="AN73" s="108">
        <f t="shared" si="376"/>
        <v>0</v>
      </c>
      <c r="AO73" s="108">
        <f t="shared" si="376"/>
        <v>0</v>
      </c>
      <c r="AP73" s="108">
        <f t="shared" si="376"/>
        <v>0</v>
      </c>
      <c r="AQ73" s="108">
        <f t="shared" si="376"/>
        <v>0</v>
      </c>
      <c r="AR73" s="108">
        <f t="shared" si="376"/>
        <v>0</v>
      </c>
      <c r="AS73" s="108">
        <f t="shared" si="376"/>
        <v>0</v>
      </c>
      <c r="AT73" s="108">
        <f t="shared" si="376"/>
        <v>0</v>
      </c>
      <c r="AU73" s="108">
        <f t="shared" si="376"/>
        <v>0</v>
      </c>
      <c r="AV73" s="108">
        <f t="shared" si="376"/>
        <v>0</v>
      </c>
      <c r="AW73" s="102">
        <f t="shared" si="376"/>
        <v>0</v>
      </c>
      <c r="AX73" s="108">
        <f t="shared" si="376"/>
        <v>0</v>
      </c>
      <c r="AY73" s="108">
        <f t="shared" si="376"/>
        <v>0</v>
      </c>
      <c r="AZ73" s="108">
        <f t="shared" si="376"/>
        <v>0</v>
      </c>
      <c r="BA73" s="108">
        <f t="shared" si="376"/>
        <v>0</v>
      </c>
      <c r="BB73" s="108">
        <f t="shared" si="376"/>
        <v>0</v>
      </c>
      <c r="BC73" s="108">
        <f t="shared" si="376"/>
        <v>0</v>
      </c>
      <c r="BD73" s="108">
        <f t="shared" si="376"/>
        <v>0</v>
      </c>
      <c r="BE73" s="108">
        <f t="shared" si="376"/>
        <v>0</v>
      </c>
      <c r="BF73" s="108">
        <f t="shared" si="376"/>
        <v>0</v>
      </c>
      <c r="BG73" s="108">
        <f t="shared" si="376"/>
        <v>0</v>
      </c>
      <c r="BH73" s="108">
        <f t="shared" si="376"/>
        <v>0</v>
      </c>
      <c r="BI73" s="108">
        <f t="shared" ref="BI73:BW73" si="377">BI65/BI$130</f>
        <v>0</v>
      </c>
      <c r="BJ73" s="108">
        <f t="shared" si="377"/>
        <v>0</v>
      </c>
      <c r="BK73" s="108">
        <f t="shared" si="377"/>
        <v>0</v>
      </c>
      <c r="BL73" s="108">
        <f t="shared" si="377"/>
        <v>0</v>
      </c>
      <c r="BM73" s="108">
        <f t="shared" si="377"/>
        <v>0</v>
      </c>
      <c r="BN73" s="108">
        <f t="shared" si="377"/>
        <v>0</v>
      </c>
      <c r="BO73" s="108">
        <f t="shared" si="377"/>
        <v>0</v>
      </c>
      <c r="BP73" s="108">
        <f t="shared" si="377"/>
        <v>0</v>
      </c>
      <c r="BQ73" s="108">
        <f t="shared" si="377"/>
        <v>0</v>
      </c>
      <c r="BR73" s="108">
        <f t="shared" si="377"/>
        <v>0</v>
      </c>
      <c r="BS73" s="108">
        <f t="shared" si="377"/>
        <v>0</v>
      </c>
      <c r="BT73" s="108">
        <f t="shared" si="377"/>
        <v>0</v>
      </c>
      <c r="BU73" s="108">
        <f t="shared" si="377"/>
        <v>0</v>
      </c>
      <c r="BV73" s="108">
        <f t="shared" si="377"/>
        <v>0</v>
      </c>
      <c r="BW73" s="108">
        <f t="shared" si="377"/>
        <v>0</v>
      </c>
      <c r="BX73" s="108">
        <f t="shared" ref="BX73:CH73" si="378">BX65/BX$130</f>
        <v>0</v>
      </c>
      <c r="BY73" s="108">
        <f t="shared" si="378"/>
        <v>0</v>
      </c>
      <c r="BZ73" s="102">
        <f t="shared" si="378"/>
        <v>0</v>
      </c>
      <c r="CA73" s="108">
        <f t="shared" si="378"/>
        <v>0</v>
      </c>
      <c r="CB73" s="108">
        <f t="shared" si="378"/>
        <v>0</v>
      </c>
      <c r="CC73" s="108">
        <f t="shared" si="378"/>
        <v>0</v>
      </c>
      <c r="CD73" s="108">
        <f t="shared" si="378"/>
        <v>0</v>
      </c>
      <c r="CE73" s="108">
        <f t="shared" si="378"/>
        <v>0</v>
      </c>
      <c r="CF73" s="108">
        <f t="shared" si="378"/>
        <v>0</v>
      </c>
      <c r="CG73" s="108">
        <f t="shared" si="378"/>
        <v>0</v>
      </c>
      <c r="CH73" s="108">
        <f t="shared" si="378"/>
        <v>0</v>
      </c>
      <c r="CI73" s="108">
        <f t="shared" ref="CI73:EH73" si="379">CI65/CI$130</f>
        <v>0</v>
      </c>
      <c r="CJ73" s="108">
        <f t="shared" si="379"/>
        <v>0</v>
      </c>
      <c r="CK73" s="108">
        <f t="shared" si="379"/>
        <v>0</v>
      </c>
      <c r="CL73" s="108">
        <f t="shared" si="379"/>
        <v>0</v>
      </c>
      <c r="CM73" s="108">
        <f t="shared" si="379"/>
        <v>0</v>
      </c>
      <c r="CN73" s="108">
        <f t="shared" si="379"/>
        <v>0</v>
      </c>
      <c r="CO73" s="108">
        <f t="shared" si="379"/>
        <v>0</v>
      </c>
      <c r="CP73" s="108">
        <f t="shared" si="379"/>
        <v>0</v>
      </c>
      <c r="CQ73" s="108">
        <f t="shared" si="379"/>
        <v>0</v>
      </c>
      <c r="CR73" s="108">
        <f t="shared" si="379"/>
        <v>0</v>
      </c>
      <c r="CS73" s="108">
        <f t="shared" si="379"/>
        <v>0</v>
      </c>
      <c r="CT73" s="108">
        <f t="shared" si="379"/>
        <v>0</v>
      </c>
      <c r="CU73" s="108">
        <f t="shared" si="379"/>
        <v>0</v>
      </c>
      <c r="CV73" s="108">
        <f t="shared" si="379"/>
        <v>0</v>
      </c>
      <c r="CW73" s="108">
        <f t="shared" si="379"/>
        <v>0</v>
      </c>
      <c r="CX73" s="108">
        <f t="shared" si="379"/>
        <v>0</v>
      </c>
      <c r="CY73" s="108">
        <f t="shared" si="379"/>
        <v>0</v>
      </c>
      <c r="CZ73" s="108">
        <f t="shared" si="379"/>
        <v>0</v>
      </c>
      <c r="DA73" s="108">
        <f t="shared" si="379"/>
        <v>0</v>
      </c>
      <c r="DB73" s="108">
        <f t="shared" si="379"/>
        <v>0</v>
      </c>
      <c r="DC73" s="108">
        <f t="shared" si="379"/>
        <v>0</v>
      </c>
      <c r="DD73" s="108">
        <f t="shared" si="379"/>
        <v>0</v>
      </c>
      <c r="DE73" s="108">
        <f t="shared" si="379"/>
        <v>0</v>
      </c>
      <c r="DF73" s="102">
        <f t="shared" si="379"/>
        <v>0</v>
      </c>
      <c r="DG73" s="108">
        <f t="shared" si="379"/>
        <v>0</v>
      </c>
      <c r="DH73" s="108">
        <f t="shared" si="379"/>
        <v>0</v>
      </c>
      <c r="DI73" s="108">
        <f t="shared" si="379"/>
        <v>0</v>
      </c>
      <c r="DJ73" s="108">
        <f t="shared" si="379"/>
        <v>0</v>
      </c>
      <c r="DK73" s="108">
        <f t="shared" si="379"/>
        <v>0</v>
      </c>
      <c r="DL73" s="108">
        <f t="shared" si="379"/>
        <v>0</v>
      </c>
      <c r="DM73" s="108">
        <f t="shared" si="379"/>
        <v>0</v>
      </c>
      <c r="DN73" s="108">
        <f t="shared" si="379"/>
        <v>0</v>
      </c>
      <c r="DO73" s="108">
        <f t="shared" si="379"/>
        <v>0</v>
      </c>
      <c r="DP73" s="108">
        <f t="shared" si="379"/>
        <v>0</v>
      </c>
      <c r="DQ73" s="108">
        <f t="shared" si="379"/>
        <v>0</v>
      </c>
      <c r="DR73" s="108">
        <f t="shared" si="379"/>
        <v>0</v>
      </c>
      <c r="DS73" s="108">
        <f t="shared" si="379"/>
        <v>0</v>
      </c>
      <c r="DT73" s="108">
        <f t="shared" si="379"/>
        <v>0</v>
      </c>
      <c r="DU73" s="108">
        <f t="shared" si="379"/>
        <v>0</v>
      </c>
      <c r="DV73" s="108">
        <f t="shared" si="379"/>
        <v>0</v>
      </c>
      <c r="DW73" s="108">
        <f t="shared" si="379"/>
        <v>0</v>
      </c>
      <c r="DX73" s="108">
        <f t="shared" si="379"/>
        <v>0</v>
      </c>
      <c r="DY73" s="108">
        <f t="shared" si="379"/>
        <v>0</v>
      </c>
      <c r="DZ73" s="108">
        <f t="shared" si="379"/>
        <v>0</v>
      </c>
      <c r="EA73" s="108">
        <f t="shared" si="379"/>
        <v>0</v>
      </c>
      <c r="EB73" s="108">
        <f t="shared" si="379"/>
        <v>0</v>
      </c>
      <c r="EC73" s="108">
        <f t="shared" si="379"/>
        <v>0</v>
      </c>
      <c r="ED73" s="108">
        <f t="shared" si="379"/>
        <v>0</v>
      </c>
      <c r="EE73" s="108">
        <f t="shared" si="379"/>
        <v>0</v>
      </c>
      <c r="EF73" s="108">
        <f t="shared" si="379"/>
        <v>0</v>
      </c>
      <c r="EG73" s="108">
        <f t="shared" si="379"/>
        <v>0</v>
      </c>
      <c r="EH73" s="108">
        <f t="shared" si="379"/>
        <v>0</v>
      </c>
      <c r="EI73" s="108">
        <f t="shared" ref="EI73:FM73" si="380">EI65/EI$130</f>
        <v>0</v>
      </c>
      <c r="EJ73" s="108">
        <f t="shared" si="380"/>
        <v>0</v>
      </c>
      <c r="EK73" s="102">
        <f t="shared" si="380"/>
        <v>0</v>
      </c>
      <c r="EL73" s="108">
        <f t="shared" si="380"/>
        <v>0</v>
      </c>
      <c r="EM73" s="108">
        <f t="shared" si="380"/>
        <v>0</v>
      </c>
      <c r="EN73" s="108">
        <f t="shared" si="380"/>
        <v>0</v>
      </c>
      <c r="EO73" s="108">
        <f t="shared" si="380"/>
        <v>0</v>
      </c>
      <c r="EP73" s="108">
        <f t="shared" si="380"/>
        <v>0</v>
      </c>
      <c r="EQ73" s="108">
        <f t="shared" si="380"/>
        <v>0</v>
      </c>
      <c r="ER73" s="108">
        <f t="shared" si="380"/>
        <v>0</v>
      </c>
      <c r="ES73" s="108">
        <f t="shared" si="380"/>
        <v>0</v>
      </c>
      <c r="ET73" s="108">
        <f t="shared" si="380"/>
        <v>0</v>
      </c>
      <c r="EU73" s="108">
        <f t="shared" si="380"/>
        <v>0</v>
      </c>
      <c r="EV73" s="108">
        <f t="shared" si="380"/>
        <v>0</v>
      </c>
      <c r="EW73" s="108">
        <f t="shared" si="380"/>
        <v>0</v>
      </c>
      <c r="EX73" s="108">
        <f t="shared" si="380"/>
        <v>0</v>
      </c>
      <c r="EY73" s="108">
        <f t="shared" si="380"/>
        <v>0</v>
      </c>
      <c r="EZ73" s="108">
        <f t="shared" si="380"/>
        <v>0</v>
      </c>
      <c r="FA73" s="108">
        <f t="shared" si="380"/>
        <v>0</v>
      </c>
      <c r="FB73" s="108">
        <f t="shared" si="380"/>
        <v>0</v>
      </c>
      <c r="FC73" s="108">
        <f t="shared" si="380"/>
        <v>0</v>
      </c>
      <c r="FD73" s="108">
        <f t="shared" si="380"/>
        <v>0</v>
      </c>
      <c r="FE73" s="108">
        <f t="shared" si="380"/>
        <v>0</v>
      </c>
      <c r="FF73" s="108">
        <f t="shared" si="380"/>
        <v>0</v>
      </c>
      <c r="FG73" s="108">
        <f t="shared" si="380"/>
        <v>0</v>
      </c>
      <c r="FH73" s="108">
        <f t="shared" si="380"/>
        <v>0</v>
      </c>
      <c r="FI73" s="108">
        <f t="shared" si="380"/>
        <v>0</v>
      </c>
      <c r="FJ73" s="108">
        <f t="shared" si="380"/>
        <v>0</v>
      </c>
      <c r="FK73" s="108">
        <f t="shared" si="380"/>
        <v>0</v>
      </c>
      <c r="FL73" s="108">
        <f t="shared" si="380"/>
        <v>0</v>
      </c>
      <c r="FM73" s="108">
        <f t="shared" si="380"/>
        <v>0</v>
      </c>
      <c r="FN73" s="108">
        <f t="shared" ref="FN73:GI73" si="381">FN65/FN$130</f>
        <v>0</v>
      </c>
      <c r="FO73" s="108">
        <f t="shared" si="381"/>
        <v>0</v>
      </c>
      <c r="FP73" s="108">
        <f t="shared" si="381"/>
        <v>0</v>
      </c>
      <c r="FQ73" s="102">
        <f t="shared" si="381"/>
        <v>0</v>
      </c>
      <c r="FR73" s="108">
        <f t="shared" si="381"/>
        <v>0</v>
      </c>
      <c r="FS73" s="108">
        <f t="shared" si="381"/>
        <v>0</v>
      </c>
      <c r="FT73" s="108">
        <f t="shared" si="381"/>
        <v>0</v>
      </c>
      <c r="FU73" s="108">
        <f t="shared" si="381"/>
        <v>0</v>
      </c>
      <c r="FV73" s="108">
        <f t="shared" si="381"/>
        <v>0</v>
      </c>
      <c r="FW73" s="108">
        <f t="shared" si="381"/>
        <v>0</v>
      </c>
      <c r="FX73" s="108">
        <f t="shared" si="381"/>
        <v>0</v>
      </c>
      <c r="FY73" s="108">
        <f t="shared" si="381"/>
        <v>0</v>
      </c>
      <c r="FZ73" s="108">
        <f t="shared" si="381"/>
        <v>0</v>
      </c>
      <c r="GA73" s="108">
        <f t="shared" si="381"/>
        <v>0</v>
      </c>
      <c r="GB73" s="108">
        <f t="shared" si="381"/>
        <v>0</v>
      </c>
      <c r="GC73" s="108">
        <f t="shared" si="381"/>
        <v>0</v>
      </c>
      <c r="GD73" s="108">
        <f t="shared" si="381"/>
        <v>0</v>
      </c>
      <c r="GE73" s="108">
        <f t="shared" si="381"/>
        <v>0</v>
      </c>
      <c r="GF73" s="108">
        <f t="shared" si="381"/>
        <v>0</v>
      </c>
      <c r="GG73" s="108">
        <f t="shared" si="381"/>
        <v>0</v>
      </c>
      <c r="GH73" s="108">
        <f t="shared" si="381"/>
        <v>0</v>
      </c>
      <c r="GI73" s="108">
        <f t="shared" si="381"/>
        <v>0</v>
      </c>
      <c r="GJ73" s="108">
        <f t="shared" ref="GJ73:GP73" si="382">GJ65/GJ$130</f>
        <v>0</v>
      </c>
      <c r="GK73" s="108">
        <f t="shared" si="382"/>
        <v>0</v>
      </c>
      <c r="GL73" s="108">
        <f t="shared" si="382"/>
        <v>0</v>
      </c>
      <c r="GM73" s="108" t="e">
        <f t="shared" si="382"/>
        <v>#DIV/0!</v>
      </c>
      <c r="GN73" s="108" t="e">
        <f t="shared" si="382"/>
        <v>#DIV/0!</v>
      </c>
      <c r="GO73" s="108" t="e">
        <f t="shared" si="382"/>
        <v>#DIV/0!</v>
      </c>
      <c r="GP73" s="108" t="e">
        <f t="shared" si="382"/>
        <v>#DIV/0!</v>
      </c>
    </row>
    <row r="74" s="47" customFormat="1" ht="15" hidden="1" customHeight="1" spans="2:198">
      <c r="B74" s="112" t="s">
        <v>42</v>
      </c>
      <c r="C74" s="113" t="s">
        <v>12</v>
      </c>
      <c r="D74" s="114" t="e">
        <f>SUM(E74:P74)</f>
        <v>#REF!</v>
      </c>
      <c r="E74" s="115" t="e">
        <f>#REF!</f>
        <v>#REF!</v>
      </c>
      <c r="F74" s="115" t="e">
        <f>#REF!</f>
        <v>#REF!</v>
      </c>
      <c r="G74" s="115" t="e">
        <f>#REF!</f>
        <v>#REF!</v>
      </c>
      <c r="H74" s="115" t="e">
        <f>#REF!</f>
        <v>#REF!</v>
      </c>
      <c r="I74" s="115" t="e">
        <f>#REF!</f>
        <v>#REF!</v>
      </c>
      <c r="J74" s="115" t="e">
        <f>#REF!</f>
        <v>#REF!</v>
      </c>
      <c r="K74" s="115" t="e">
        <f>#REF!</f>
        <v>#REF!</v>
      </c>
      <c r="L74" s="115" t="e">
        <f>#REF!</f>
        <v>#REF!</v>
      </c>
      <c r="M74" s="115" t="e">
        <f>#REF!</f>
        <v>#REF!</v>
      </c>
      <c r="N74" s="115" t="e">
        <f>#REF!</f>
        <v>#REF!</v>
      </c>
      <c r="O74" s="115" t="e">
        <f>#REF!</f>
        <v>#REF!</v>
      </c>
      <c r="P74" s="115" t="e">
        <f>#REF!</f>
        <v>#REF!</v>
      </c>
      <c r="Q74" s="65">
        <f>SUM(R74:AV74)</f>
        <v>495.9</v>
      </c>
      <c r="R74" s="115">
        <f>SUMIFS(商品数据源!$H:$H,商品数据源!$A:$A,$B$74,商品数据源!$B:$B,R2)</f>
        <v>40.29</v>
      </c>
      <c r="S74" s="115">
        <f>SUMIFS(商品数据源!$H:$H,商品数据源!$A:$A,$B$74,商品数据源!$B:$B,S2)</f>
        <v>45.63</v>
      </c>
      <c r="T74" s="115">
        <f>SUMIFS(商品数据源!$H:$H,商品数据源!$A:$A,$B$74,商品数据源!$B:$B,T2)</f>
        <v>43.16</v>
      </c>
      <c r="U74" s="115">
        <f>SUMIFS(商品数据源!$H:$H,商品数据源!$A:$A,$B$74,商品数据源!$B:$B,U2)</f>
        <v>34.04</v>
      </c>
      <c r="V74" s="115">
        <f>SUMIFS(商品数据源!$H:$H,商品数据源!$A:$A,$B$74,商品数据源!$B:$B,V2)</f>
        <v>33.74</v>
      </c>
      <c r="W74" s="115">
        <f>SUMIFS(商品数据源!$H:$H,商品数据源!$A:$A,$B$74,商品数据源!$B:$B,W2)</f>
        <v>14.44</v>
      </c>
      <c r="X74" s="115">
        <f>SUMIFS(商品数据源!$H:$H,商品数据源!$A:$A,$B$74,商品数据源!$B:$B,X2)</f>
        <v>19.26</v>
      </c>
      <c r="Y74" s="115">
        <f>SUMIFS(商品数据源!$H:$H,商品数据源!$A:$A,$B$74,商品数据源!$B:$B,Y2)</f>
        <v>19.2</v>
      </c>
      <c r="Z74" s="115">
        <f>SUMIFS(商品数据源!$H:$H,商品数据源!$A:$A,$B$74,商品数据源!$B:$B,Z2)</f>
        <v>12.26</v>
      </c>
      <c r="AA74" s="115">
        <f>SUMIFS(商品数据源!$H:$H,商品数据源!$A:$A,$B$74,商品数据源!$B:$B,AA2)</f>
        <v>20.42</v>
      </c>
      <c r="AB74" s="115">
        <f>SUMIFS(商品数据源!$H:$H,商品数据源!$A:$A,$B$74,商品数据源!$B:$B,AB2)</f>
        <v>18.08</v>
      </c>
      <c r="AC74" s="115">
        <f>SUMIFS(商品数据源!$H:$H,商品数据源!$A:$A,$B$74,商品数据源!$B:$B,AC2)</f>
        <v>18.52</v>
      </c>
      <c r="AD74" s="115">
        <f>SUMIFS(商品数据源!$H:$H,商品数据源!$A:$A,$B$74,商品数据源!$B:$B,AD2)</f>
        <v>21.79</v>
      </c>
      <c r="AE74" s="115">
        <f>SUMIFS(商品数据源!$H:$H,商品数据源!$A:$A,$B$74,商品数据源!$B:$B,AE2)</f>
        <v>31.8</v>
      </c>
      <c r="AF74" s="115">
        <f>SUMIFS(商品数据源!$H:$H,商品数据源!$A:$A,$B$74,商品数据源!$B:$B,AF2)</f>
        <v>15.7</v>
      </c>
      <c r="AG74" s="115">
        <f>SUMIFS(商品数据源!$H:$H,商品数据源!$A:$A,$B$74,商品数据源!$B:$B,AG2)</f>
        <v>37.81</v>
      </c>
      <c r="AH74" s="115">
        <f>SUMIFS(商品数据源!$H:$H,商品数据源!$A:$A,$B$74,商品数据源!$B:$B,AH2)</f>
        <v>8.67</v>
      </c>
      <c r="AI74" s="115">
        <f>SUMIFS(商品数据源!$H:$H,商品数据源!$A:$A,$B$74,商品数据源!$B:$B,AI2)</f>
        <v>51.63</v>
      </c>
      <c r="AJ74" s="115">
        <f>SUMIFS(商品数据源!$H:$H,商品数据源!$A:$A,$B$74,商品数据源!$B:$B,AJ2)</f>
        <v>9.46</v>
      </c>
      <c r="AK74" s="115">
        <f>SUMIFS(商品数据源!$H:$H,商品数据源!$A:$A,$B$74,商品数据源!$B:$B,AK2)</f>
        <v>0</v>
      </c>
      <c r="AL74" s="115">
        <f>SUMIFS(商品数据源!$H:$H,商品数据源!$A:$A,$B$74,商品数据源!$B:$B,AL2)</f>
        <v>0</v>
      </c>
      <c r="AM74" s="115">
        <f>SUMIFS(商品数据源!$H:$H,商品数据源!$A:$A,$B$74,商品数据源!$B:$B,AM2)</f>
        <v>0</v>
      </c>
      <c r="AN74" s="115">
        <f>SUMIFS(商品数据源!$H:$H,商品数据源!$A:$A,$B$74,商品数据源!$B:$B,AN2)</f>
        <v>0</v>
      </c>
      <c r="AO74" s="115">
        <f>SUMIFS(商品数据源!$H:$H,商品数据源!$A:$A,$B$74,商品数据源!$B:$B,AO2)</f>
        <v>0</v>
      </c>
      <c r="AP74" s="115">
        <f>SUMIFS(商品数据源!$H:$H,商品数据源!$A:$A,$B$74,商品数据源!$B:$B,AP2)</f>
        <v>0</v>
      </c>
      <c r="AQ74" s="115">
        <f>SUMIFS(商品数据源!$H:$H,商品数据源!$A:$A,$B$74,商品数据源!$B:$B,AQ2)</f>
        <v>0</v>
      </c>
      <c r="AR74" s="115">
        <f>SUMIFS(商品数据源!$H:$H,商品数据源!$A:$A,$B$74,商品数据源!$B:$B,AR2)</f>
        <v>0</v>
      </c>
      <c r="AS74" s="115">
        <f>SUMIFS(商品数据源!$H:$H,商品数据源!$A:$A,$B$74,商品数据源!$B:$B,AS2)</f>
        <v>0</v>
      </c>
      <c r="AT74" s="115">
        <f>SUMIFS(商品数据源!$H:$H,商品数据源!$A:$A,$B$74,商品数据源!$B:$B,AT2)</f>
        <v>0</v>
      </c>
      <c r="AU74" s="115">
        <f>SUMIFS(商品数据源!$H:$H,商品数据源!$A:$A,$B$74,商品数据源!$B:$B,AU2)</f>
        <v>0</v>
      </c>
      <c r="AV74" s="115">
        <f>SUMIFS(商品数据源!$H:$H,商品数据源!$A:$A,$B$74,商品数据源!$B:$B,AV2)</f>
        <v>0</v>
      </c>
      <c r="AW74" s="65">
        <f>SUM(AX74:BY74)</f>
        <v>0</v>
      </c>
      <c r="AX74" s="115">
        <f>SUMIFS(商品数据源!$H:$H,商品数据源!$A:$A,$B$74,商品数据源!$B:$B,AX2)</f>
        <v>0</v>
      </c>
      <c r="AY74" s="115">
        <f>SUMIFS(商品数据源!$H:$H,商品数据源!$A:$A,$B$74,商品数据源!$B:$B,AY2)</f>
        <v>0</v>
      </c>
      <c r="AZ74" s="115">
        <f>SUMIFS(商品数据源!$H:$H,商品数据源!$A:$A,$B$74,商品数据源!$B:$B,AZ2)</f>
        <v>0</v>
      </c>
      <c r="BA74" s="115">
        <f>SUMIFS(商品数据源!$H:$H,商品数据源!$A:$A,$B$74,商品数据源!$B:$B,BA2)</f>
        <v>0</v>
      </c>
      <c r="BB74" s="115">
        <f>SUMIFS(商品数据源!$H:$H,商品数据源!$A:$A,$B$74,商品数据源!$B:$B,BB2)</f>
        <v>0</v>
      </c>
      <c r="BC74" s="115">
        <f>SUMIFS(商品数据源!$H:$H,商品数据源!$A:$A,$B$74,商品数据源!$B:$B,BC2)</f>
        <v>0</v>
      </c>
      <c r="BD74" s="115">
        <f>SUMIFS(商品数据源!$H:$H,商品数据源!$A:$A,$B$74,商品数据源!$B:$B,BD2)</f>
        <v>0</v>
      </c>
      <c r="BE74" s="115">
        <f>SUMIFS(商品数据源!$H:$H,商品数据源!$A:$A,$B$74,商品数据源!$B:$B,BE2)</f>
        <v>0</v>
      </c>
      <c r="BF74" s="115">
        <f>SUMIFS(商品数据源!$H:$H,商品数据源!$A:$A,$B$74,商品数据源!$B:$B,BF2)</f>
        <v>0</v>
      </c>
      <c r="BG74" s="115">
        <f>SUMIFS(商品数据源!$H:$H,商品数据源!$A:$A,$B$74,商品数据源!$B:$B,BG2)</f>
        <v>0</v>
      </c>
      <c r="BH74" s="115">
        <f>SUMIFS(商品数据源!$H:$H,商品数据源!$A:$A,$B$74,商品数据源!$B:$B,BH2)</f>
        <v>0</v>
      </c>
      <c r="BI74" s="115">
        <f>SUMIFS(商品数据源!$H:$H,商品数据源!$A:$A,$B$74,商品数据源!$B:$B,BI2)</f>
        <v>0</v>
      </c>
      <c r="BJ74" s="115">
        <f>SUMIFS(商品数据源!$H:$H,商品数据源!$A:$A,$B$74,商品数据源!$B:$B,BJ2)</f>
        <v>0</v>
      </c>
      <c r="BK74" s="115">
        <f>SUMIFS(商品数据源!$H:$H,商品数据源!$A:$A,$B$74,商品数据源!$B:$B,BK2)</f>
        <v>0</v>
      </c>
      <c r="BL74" s="115">
        <f>SUMIFS(商品数据源!$H:$H,商品数据源!$A:$A,$B$74,商品数据源!$B:$B,BL2)</f>
        <v>0</v>
      </c>
      <c r="BM74" s="115"/>
      <c r="BN74" s="115"/>
      <c r="BO74" s="115"/>
      <c r="BP74" s="115">
        <f>SUMIFS(商品数据源!$H:$H,商品数据源!$A:$A,$B$74,商品数据源!$B:$B,BP2)</f>
        <v>0</v>
      </c>
      <c r="BQ74" s="115">
        <f>SUMIFS(商品数据源!$H:$H,商品数据源!$A:$A,$B$74,商品数据源!$B:$B,BQ2)</f>
        <v>0</v>
      </c>
      <c r="BR74" s="115">
        <f>SUMIFS(商品数据源!$H:$H,商品数据源!$A:$A,$B$74,商品数据源!$B:$B,BR2)</f>
        <v>0</v>
      </c>
      <c r="BS74" s="115">
        <f>SUMIFS(商品数据源!$H:$H,商品数据源!$A:$A,$B$74,商品数据源!$B:$B,BS2)</f>
        <v>0</v>
      </c>
      <c r="BT74" s="115">
        <f>SUMIFS(商品数据源!$H:$H,商品数据源!$A:$A,$B$74,商品数据源!$B:$B,BT2)</f>
        <v>0</v>
      </c>
      <c r="BU74" s="115">
        <f>SUMIFS(商品数据源!$H:$H,商品数据源!$A:$A,$B$74,商品数据源!$B:$B,BU2)</f>
        <v>0</v>
      </c>
      <c r="BV74" s="115">
        <f>SUMIFS(商品数据源!$H:$H,商品数据源!$A:$A,$B$74,商品数据源!$B:$B,BV2)</f>
        <v>0</v>
      </c>
      <c r="BW74" s="115">
        <f>SUMIFS(商品数据源!$H:$H,商品数据源!$A:$A,$B$74,商品数据源!$B:$B,BW2)</f>
        <v>0</v>
      </c>
      <c r="BX74" s="115">
        <f>SUMIFS(商品数据源!$H:$H,商品数据源!$A:$A,$B$74,商品数据源!$B:$B,BX2)</f>
        <v>0</v>
      </c>
      <c r="BY74" s="115">
        <f>SUMIFS(商品数据源!$H:$H,商品数据源!$A:$A,$B$74,商品数据源!$B:$B,BY2)</f>
        <v>0</v>
      </c>
      <c r="BZ74" s="65">
        <f>SUM(CA74:DE74)</f>
        <v>299.24</v>
      </c>
      <c r="CA74" s="115">
        <f>SUMIFS(商品数据源!$H:$H,商品数据源!$A:$A,$B$74,商品数据源!$B:$B,CA2)</f>
        <v>0</v>
      </c>
      <c r="CB74" s="115">
        <f>SUMIFS(商品数据源!$H:$H,商品数据源!$A:$A,$B$74,商品数据源!$B:$B,CB2)</f>
        <v>0</v>
      </c>
      <c r="CC74" s="115">
        <f>SUMIFS(商品数据源!$H:$H,商品数据源!$A:$A,$B$74,商品数据源!$B:$B,CC2)</f>
        <v>0</v>
      </c>
      <c r="CD74" s="115">
        <f>SUMIFS(商品数据源!$H:$H,商品数据源!$A:$A,$B$74,商品数据源!$B:$B,CD2)</f>
        <v>0</v>
      </c>
      <c r="CE74" s="115">
        <f>SUMIFS(商品数据源!$H:$H,商品数据源!$A:$A,$B$74,商品数据源!$B:$B,CE2)</f>
        <v>0</v>
      </c>
      <c r="CF74" s="115">
        <f>SUMIFS(商品数据源!$H:$H,商品数据源!$A:$A,$B$74,商品数据源!$B:$B,CF2)</f>
        <v>0</v>
      </c>
      <c r="CG74" s="115">
        <f>SUMIFS(商品数据源!$H:$H,商品数据源!$A:$A,$B$74,商品数据源!$B:$B,CG2)</f>
        <v>0</v>
      </c>
      <c r="CH74" s="115">
        <f>SUMIFS(商品数据源!$H:$H,商品数据源!$A:$A,$B$74,商品数据源!$B:$B,CH2)</f>
        <v>0</v>
      </c>
      <c r="CI74" s="115">
        <f>SUMIFS(商品数据源!$H:$H,商品数据源!$A:$A,$B$74,商品数据源!$B:$B,CI2)</f>
        <v>0</v>
      </c>
      <c r="CJ74" s="115">
        <f>SUMIFS(商品数据源!$H:$H,商品数据源!$A:$A,$B$74,商品数据源!$B:$B,CJ2)</f>
        <v>0</v>
      </c>
      <c r="CK74" s="115">
        <f>SUMIFS(商品数据源!$H:$H,商品数据源!$A:$A,$B$74,商品数据源!$B:$B,CK2)</f>
        <v>0</v>
      </c>
      <c r="CL74" s="115">
        <f>SUMIFS(商品数据源!$H:$H,商品数据源!$A:$A,$B$74,商品数据源!$B:$B,CL2)</f>
        <v>0</v>
      </c>
      <c r="CM74" s="115">
        <f>SUMIFS(商品数据源!$H:$H,商品数据源!$A:$A,$B$74,商品数据源!$B:$B,CM2)</f>
        <v>0</v>
      </c>
      <c r="CN74" s="115">
        <f>SUMIFS(商品数据源!$H:$H,商品数据源!$A:$A,$B$74,商品数据源!$B:$B,CN2)</f>
        <v>0</v>
      </c>
      <c r="CO74" s="115">
        <f>SUMIFS(商品数据源!$H:$H,商品数据源!$A:$A,$B$74,商品数据源!$B:$B,CO2)</f>
        <v>0</v>
      </c>
      <c r="CP74" s="115">
        <f>SUMIFS(商品数据源!$H:$H,商品数据源!$A:$A,$B$74,商品数据源!$B:$B,CP2)</f>
        <v>0</v>
      </c>
      <c r="CQ74" s="115">
        <f>SUMIFS(商品数据源!$H:$H,商品数据源!$A:$A,$B$74,商品数据源!$B:$B,CQ2)</f>
        <v>0</v>
      </c>
      <c r="CR74" s="115">
        <f>SUMIFS(商品数据源!$H:$H,商品数据源!$A:$A,$B$74,商品数据源!$B:$B,CR2)</f>
        <v>0</v>
      </c>
      <c r="CS74" s="115">
        <f>SUMIFS(商品数据源!$H:$H,商品数据源!$A:$A,$B$74,商品数据源!$B:$B,CS2)</f>
        <v>50</v>
      </c>
      <c r="CT74" s="115">
        <f>SUMIFS(商品数据源!$H:$H,商品数据源!$A:$A,$B$74,商品数据源!$B:$B,CT2)</f>
        <v>50</v>
      </c>
      <c r="CU74" s="115">
        <f>SUMIFS(商品数据源!$H:$H,商品数据源!$A:$A,$B$74,商品数据源!$B:$B,CU2)</f>
        <v>0</v>
      </c>
      <c r="CV74" s="115">
        <f>SUMIFS(商品数据源!$H:$H,商品数据源!$A:$A,$B$74,商品数据源!$B:$B,CV2)</f>
        <v>0</v>
      </c>
      <c r="CW74" s="115">
        <f>SUMIFS(商品数据源!$H:$H,商品数据源!$A:$A,$B$74,商品数据源!$B:$B,CW2)</f>
        <v>50</v>
      </c>
      <c r="CX74" s="115">
        <f>SUMIFS(商品数据源!$H:$H,商品数据源!$A:$A,$B$74,商品数据源!$B:$B,CX2)</f>
        <v>50</v>
      </c>
      <c r="CY74" s="115">
        <f>SUMIFS(商品数据源!$H:$H,商品数据源!$A:$A,$B$74,商品数据源!$B:$B,CY2)</f>
        <v>50</v>
      </c>
      <c r="CZ74" s="115">
        <f>SUMIFS(商品数据源!$H:$H,商品数据源!$A:$A,$B$74,商品数据源!$B:$B,CZ2)</f>
        <v>49.24</v>
      </c>
      <c r="DA74" s="115">
        <f>SUMIFS(商品数据源!$H:$H,商品数据源!$A:$A,$B$74,商品数据源!$B:$B,DA2)</f>
        <v>0</v>
      </c>
      <c r="DB74" s="115">
        <f>SUMIFS(商品数据源!$H:$H,商品数据源!$A:$A,$B$74,商品数据源!$B:$B,DB2)</f>
        <v>0</v>
      </c>
      <c r="DC74" s="115">
        <f>SUMIFS(商品数据源!$H:$H,商品数据源!$A:$A,$B$74,商品数据源!$B:$B,DC2)</f>
        <v>0</v>
      </c>
      <c r="DD74" s="115">
        <f>SUMIFS(商品数据源!$H:$H,商品数据源!$A:$A,$B$74,商品数据源!$B:$B,DD2)</f>
        <v>0</v>
      </c>
      <c r="DE74" s="115">
        <f>SUMIFS(商品数据源!$H:$H,商品数据源!$A:$A,$B$74,商品数据源!$B:$B,DE2)</f>
        <v>0</v>
      </c>
      <c r="DF74" s="65">
        <f>SUM(DG74:EJ74)</f>
        <v>272.22</v>
      </c>
      <c r="DG74" s="115">
        <f>SUMIFS(商品数据源!$H:$H,商品数据源!$A:$A,$B$74,商品数据源!$B:$B,DG2)</f>
        <v>0</v>
      </c>
      <c r="DH74" s="115">
        <f>SUMIFS(商品数据源!$H:$H,商品数据源!$A:$A,$B$74,商品数据源!$B:$B,DH2)</f>
        <v>0</v>
      </c>
      <c r="DI74" s="115">
        <f>SUMIFS(商品数据源!$H:$H,商品数据源!$A:$A,$B$74,商品数据源!$B:$B,DI2)</f>
        <v>0</v>
      </c>
      <c r="DJ74" s="115">
        <f>SUMIFS(商品数据源!$H:$H,商品数据源!$A:$A,$B$74,商品数据源!$B:$B,DJ2)</f>
        <v>0</v>
      </c>
      <c r="DK74" s="115">
        <f>SUMIFS(商品数据源!$H:$H,商品数据源!$A:$A,$B$74,商品数据源!$B:$B,DK2)</f>
        <v>0</v>
      </c>
      <c r="DL74" s="115">
        <f>SUMIFS(商品数据源!$H:$H,商品数据源!$A:$A,$B$74,商品数据源!$B:$B,DL2)</f>
        <v>0</v>
      </c>
      <c r="DM74" s="115">
        <f>SUMIFS(商品数据源!$H:$H,商品数据源!$A:$A,$B$74,商品数据源!$B:$B,DM2)</f>
        <v>0</v>
      </c>
      <c r="DN74" s="115">
        <f>SUMIFS(商品数据源!$H:$H,商品数据源!$A:$A,$B$74,商品数据源!$B:$B,DN2)</f>
        <v>0</v>
      </c>
      <c r="DO74" s="115">
        <f>SUMIFS(商品数据源!$H:$H,商品数据源!$A:$A,$B$74,商品数据源!$B:$B,DO2)</f>
        <v>0</v>
      </c>
      <c r="DP74" s="115">
        <f>SUMIFS(商品数据源!$H:$H,商品数据源!$A:$A,$B$74,商品数据源!$B:$B,DP2)</f>
        <v>0</v>
      </c>
      <c r="DQ74" s="115">
        <f>SUMIFS(商品数据源!$H:$H,商品数据源!$A:$A,$B$74,商品数据源!$B:$B,DQ2)</f>
        <v>0</v>
      </c>
      <c r="DR74" s="115">
        <f>SUMIFS(商品数据源!$H:$H,商品数据源!$A:$A,$B$74,商品数据源!$B:$B,DR2)</f>
        <v>0</v>
      </c>
      <c r="DS74" s="115">
        <f>SUMIFS(商品数据源!$H:$H,商品数据源!$A:$A,$B$74,商品数据源!$B:$B,DS2)</f>
        <v>0</v>
      </c>
      <c r="DT74" s="115">
        <f>SUMIFS(商品数据源!$H:$H,商品数据源!$A:$A,$B$74,商品数据源!$B:$B,DT2)</f>
        <v>0</v>
      </c>
      <c r="DU74" s="115">
        <f>SUMIFS(商品数据源!$H:$H,商品数据源!$A:$A,$B$74,商品数据源!$B:$B,DU2)</f>
        <v>0</v>
      </c>
      <c r="DV74" s="115">
        <f>SUMIFS(商品数据源!$H:$H,商品数据源!$A:$A,$B$74,商品数据源!$B:$B,DV2)</f>
        <v>0</v>
      </c>
      <c r="DW74" s="115">
        <f>SUMIFS(商品数据源!$H:$H,商品数据源!$A:$A,$B$74,商品数据源!$B:$B,DW2)</f>
        <v>0</v>
      </c>
      <c r="DX74" s="115">
        <f>SUMIFS(商品数据源!$H:$H,商品数据源!$A:$A,$B$74,商品数据源!$B:$B,DX2)</f>
        <v>0</v>
      </c>
      <c r="DY74" s="115">
        <f>SUMIFS(商品数据源!$H:$H,商品数据源!$A:$A,$B$74,商品数据源!$B:$B,DY2)</f>
        <v>0</v>
      </c>
      <c r="DZ74" s="115">
        <f>SUMIFS(商品数据源!$H:$H,商品数据源!$A:$A,$B$74,商品数据源!$B:$B,DZ2)</f>
        <v>0</v>
      </c>
      <c r="EA74" s="115">
        <f>SUMIFS(商品数据源!$H:$H,商品数据源!$A:$A,$B$74,商品数据源!$B:$B,EA2)</f>
        <v>0</v>
      </c>
      <c r="EB74" s="115">
        <f>SUMIFS(商品数据源!$H:$H,商品数据源!$A:$A,$B$74,商品数据源!$B:$B,EB2)</f>
        <v>0</v>
      </c>
      <c r="EC74" s="115">
        <f>SUMIFS(商品数据源!$H:$H,商品数据源!$A:$A,$B$74,商品数据源!$B:$B,EC2)</f>
        <v>0</v>
      </c>
      <c r="ED74" s="115">
        <f>SUMIFS(商品数据源!$H:$H,商品数据源!$A:$A,$B$74,商品数据源!$B:$B,ED2)</f>
        <v>0</v>
      </c>
      <c r="EE74" s="115">
        <f>SUMIFS(商品数据源!$H:$H,商品数据源!$A:$A,$B$74,商品数据源!$B:$B,EE2)</f>
        <v>0</v>
      </c>
      <c r="EF74" s="115">
        <f>SUMIFS(商品数据源!$H:$H,商品数据源!$A:$A,$B$74,商品数据源!$B:$B,EF2)</f>
        <v>0</v>
      </c>
      <c r="EG74" s="115">
        <f>SUMIFS(商品数据源!$H:$H,商品数据源!$A:$A,$B$74,商品数据源!$B:$B,EG2)</f>
        <v>0</v>
      </c>
      <c r="EH74" s="115">
        <f>SUMIFS(商品数据源!$H:$H,商品数据源!$A:$A,$B$74,商品数据源!$B:$B,EH2)</f>
        <v>114.41</v>
      </c>
      <c r="EI74" s="115">
        <f>SUMIFS(商品数据源!$H:$H,商品数据源!$A:$A,$B$74,商品数据源!$B:$B,EI2)</f>
        <v>85.42</v>
      </c>
      <c r="EJ74" s="115">
        <f>SUMIFS(商品数据源!$H:$H,商品数据源!$A:$A,$B$74,商品数据源!$B:$B,EJ2)</f>
        <v>72.39</v>
      </c>
      <c r="EK74" s="65">
        <f>SUM(EL74:FP74)</f>
        <v>3385.14</v>
      </c>
      <c r="EL74" s="115">
        <f>SUMIFS(商品数据源!$H:$H,商品数据源!$A:$A,$B$74,商品数据源!$B:$B,EL2)</f>
        <v>87.91</v>
      </c>
      <c r="EM74" s="115">
        <f>SUMIFS(商品数据源!$H:$H,商品数据源!$A:$A,$B$74,商品数据源!$B:$B,EM2)</f>
        <v>80.11</v>
      </c>
      <c r="EN74" s="115">
        <f>SUMIFS(商品数据源!$H:$H,商品数据源!$A:$A,$B$74,商品数据源!$B:$B,EN2)</f>
        <v>94.64</v>
      </c>
      <c r="EO74" s="115">
        <f>SUMIFS(商品数据源!$H:$H,商品数据源!$A:$A,$B$74,商品数据源!$B:$B,EO2)</f>
        <v>88.71</v>
      </c>
      <c r="EP74" s="115">
        <f>SUMIFS(商品数据源!$H:$H,商品数据源!$A:$A,$B$74,商品数据源!$B:$B,EP2)</f>
        <v>91.44</v>
      </c>
      <c r="EQ74" s="115">
        <f>SUMIFS(商品数据源!$H:$H,商品数据源!$A:$A,$B$74,商品数据源!$B:$B,EQ2)</f>
        <v>76.23</v>
      </c>
      <c r="ER74" s="115">
        <f>SUMIFS(商品数据源!$H:$H,商品数据源!$A:$A,$B$74,商品数据源!$B:$B,ER2)</f>
        <v>67.13</v>
      </c>
      <c r="ES74" s="115">
        <f>SUMIFS(商品数据源!$H:$H,商品数据源!$A:$A,$B$74,商品数据源!$B:$B,ES2)</f>
        <v>93.56</v>
      </c>
      <c r="ET74" s="115">
        <f>SUMIFS(商品数据源!$H:$H,商品数据源!$A:$A,$B$74,商品数据源!$B:$B,ET2)</f>
        <v>104.59</v>
      </c>
      <c r="EU74" s="115">
        <f>SUMIFS(商品数据源!$H:$H,商品数据源!$A:$A,$B$74,商品数据源!$B:$B,EU2)</f>
        <v>141.2</v>
      </c>
      <c r="EV74" s="115">
        <f>SUMIFS(商品数据源!$H:$H,商品数据源!$A:$A,$B$74,商品数据源!$B:$B,EV2)</f>
        <v>123.25</v>
      </c>
      <c r="EW74" s="115">
        <f>SUMIFS(商品数据源!$H:$H,商品数据源!$A:$A,$B$74,商品数据源!$B:$B,EW2)</f>
        <v>146.07</v>
      </c>
      <c r="EX74" s="115">
        <f>SUMIFS(商品数据源!$H:$H,商品数据源!$A:$A,$B$74,商品数据源!$B:$B,EX2)</f>
        <v>100.09</v>
      </c>
      <c r="EY74" s="115">
        <f>SUMIFS(商品数据源!$H:$H,商品数据源!$A:$A,$B$74,商品数据源!$B:$B,EY2)</f>
        <v>104.86</v>
      </c>
      <c r="EZ74" s="115">
        <f>SUMIFS(商品数据源!$H:$H,商品数据源!$A:$A,$B$74,商品数据源!$B:$B,EZ2)</f>
        <v>71.06</v>
      </c>
      <c r="FA74" s="115">
        <f>SUMIFS(商品数据源!$H:$H,商品数据源!$A:$A,$B$74,商品数据源!$B:$B,FA2)</f>
        <v>106.14</v>
      </c>
      <c r="FB74" s="115">
        <f>SUMIFS(商品数据源!$H:$H,商品数据源!$A:$A,$B$74,商品数据源!$B:$B,FB2)</f>
        <v>111.15</v>
      </c>
      <c r="FC74" s="115">
        <f>SUMIFS(商品数据源!$H:$H,商品数据源!$A:$A,$B$74,商品数据源!$B:$B,FC2)</f>
        <v>77.54</v>
      </c>
      <c r="FD74" s="115">
        <f>SUMIFS(商品数据源!$H:$H,商品数据源!$A:$A,$B$74,商品数据源!$B:$B,FD2)</f>
        <v>107.62</v>
      </c>
      <c r="FE74" s="115">
        <f>SUMIFS(商品数据源!$H:$H,商品数据源!$A:$A,$B$74,商品数据源!$B:$B,FE2)</f>
        <v>123.48</v>
      </c>
      <c r="FF74" s="115">
        <f>SUMIFS(商品数据源!$H:$H,商品数据源!$A:$A,$B$74,商品数据源!$B:$B,FF2)</f>
        <v>111.73</v>
      </c>
      <c r="FG74" s="115">
        <f>SUMIFS(商品数据源!$H:$H,商品数据源!$A:$A,$B$74,商品数据源!$B:$B,FG2)</f>
        <v>105.24</v>
      </c>
      <c r="FH74" s="115">
        <f>SUMIFS(商品数据源!$H:$H,商品数据源!$A:$A,$B$74,商品数据源!$B:$B,FH2)</f>
        <v>130.92</v>
      </c>
      <c r="FI74" s="115">
        <f>SUMIFS(商品数据源!$H:$H,商品数据源!$A:$A,$B$74,商品数据源!$B:$B,FI2)</f>
        <v>150.68</v>
      </c>
      <c r="FJ74" s="115">
        <f>SUMIFS(商品数据源!$H:$H,商品数据源!$A:$A,$B$74,商品数据源!$B:$B,FJ2)</f>
        <v>130.18</v>
      </c>
      <c r="FK74" s="115">
        <f>SUMIFS(商品数据源!$H:$H,商品数据源!$A:$A,$B$74,商品数据源!$B:$B,FK2)</f>
        <v>131.7</v>
      </c>
      <c r="FL74" s="115">
        <f>SUMIFS(商品数据源!$H:$H,商品数据源!$A:$A,$B$74,商品数据源!$B:$B,FL2)</f>
        <v>127.7</v>
      </c>
      <c r="FM74" s="115">
        <f>SUMIFS(商品数据源!$H:$H,商品数据源!$A:$A,$B$74,商品数据源!$B:$B,FM2)</f>
        <v>136.66</v>
      </c>
      <c r="FN74" s="115">
        <f>SUMIFS(商品数据源!$H:$H,商品数据源!$A:$A,$B$74,商品数据源!$B:$B,FN2)</f>
        <v>109.34</v>
      </c>
      <c r="FO74" s="115">
        <f>SUMIFS(商品数据源!$H:$H,商品数据源!$A:$A,$B$74,商品数据源!$B:$B,FO2)</f>
        <v>102.34</v>
      </c>
      <c r="FP74" s="115">
        <f>SUMIFS(商品数据源!$H:$H,商品数据源!$A:$A,$B$74,商品数据源!$B:$B,FP2)</f>
        <v>151.87</v>
      </c>
      <c r="FQ74" s="65">
        <f t="shared" ref="FQ74:FQ77" si="383">SUM(FR74:GX74)</f>
        <v>1847.05</v>
      </c>
      <c r="FR74" s="115">
        <f>SUMIFS(商品数据源!$H:$H,商品数据源!$A:$A,$B$74,商品数据源!$B:$B,FR2)</f>
        <v>74.2</v>
      </c>
      <c r="FS74" s="115">
        <f>SUMIFS(商品数据源!$H:$H,商品数据源!$A:$A,$B$74,商品数据源!$B:$B,FS2)</f>
        <v>79.09</v>
      </c>
      <c r="FT74" s="115">
        <f>SUMIFS(商品数据源!$H:$H,商品数据源!$A:$A,$B$74,商品数据源!$B:$B,FT2)</f>
        <v>57.54</v>
      </c>
      <c r="FU74" s="115">
        <f>SUMIFS(商品数据源!$H:$H,商品数据源!$A:$A,$B$74,商品数据源!$B:$B,FU2)</f>
        <v>95.8</v>
      </c>
      <c r="FV74" s="115">
        <f>SUMIFS(商品数据源!$H:$H,商品数据源!$A:$A,$B$74,商品数据源!$B:$B,FV2)</f>
        <v>74.3</v>
      </c>
      <c r="FW74" s="115">
        <f>SUMIFS(商品数据源!$H:$H,商品数据源!$A:$A,$B$74,商品数据源!$B:$B,FW2)</f>
        <v>116.93</v>
      </c>
      <c r="FX74" s="115">
        <f>SUMIFS(商品数据源!$H:$H,商品数据源!$A:$A,$B$74,商品数据源!$B:$B,FX2)</f>
        <v>113.6</v>
      </c>
      <c r="FY74" s="115">
        <f>SUMIFS(商品数据源!$H:$H,商品数据源!$A:$A,$B$74,商品数据源!$B:$B,FY2)</f>
        <v>108.87</v>
      </c>
      <c r="FZ74" s="115">
        <f>SUMIFS(商品数据源!$H:$H,商品数据源!$A:$A,$B$74,商品数据源!$B:$B,FZ2)</f>
        <v>96.49</v>
      </c>
      <c r="GA74" s="115">
        <f>SUMIFS(商品数据源!$H:$H,商品数据源!$A:$A,$B$74,商品数据源!$B:$B,GA2)</f>
        <v>84.06</v>
      </c>
      <c r="GB74" s="115">
        <f>SUMIFS(商品数据源!$H:$H,商品数据源!$A:$A,$B$74,商品数据源!$B:$B,GB2)</f>
        <v>87.97</v>
      </c>
      <c r="GC74" s="115">
        <f>SUMIFS(商品数据源!$H:$H,商品数据源!$A:$A,$B$74,商品数据源!$B:$B,GC2)</f>
        <v>43.21</v>
      </c>
      <c r="GD74" s="115">
        <f>SUMIFS(商品数据源!$H:$H,商品数据源!$A:$A,$B$74,商品数据源!$B:$B,GD2)</f>
        <v>95.27</v>
      </c>
      <c r="GE74" s="115">
        <f>SUMIFS(商品数据源!$H:$H,商品数据源!$A:$A,$B$74,商品数据源!$B:$B,GE2)</f>
        <v>95.11</v>
      </c>
      <c r="GF74" s="115">
        <f>SUMIFS(商品数据源!$H:$H,商品数据源!$A:$A,$B$74,商品数据源!$B:$B,GF2)</f>
        <v>83.36</v>
      </c>
      <c r="GG74" s="115">
        <f>SUMIFS(商品数据源!$H:$H,商品数据源!$A:$A,$B$74,商品数据源!$B:$B,GG2)</f>
        <v>83.29</v>
      </c>
      <c r="GH74" s="115">
        <f>SUMIFS(商品数据源!$H:$H,商品数据源!$A:$A,$B$74,商品数据源!$B:$B,GH2)</f>
        <v>77.62</v>
      </c>
      <c r="GI74" s="115">
        <f>SUMIFS(商品数据源!$H:$H,商品数据源!$A:$A,$B$74,商品数据源!$B:$B,GI2)</f>
        <v>67.65</v>
      </c>
      <c r="GJ74" s="115">
        <f>SUMIFS(商品数据源!$H:$H,商品数据源!$A:$A,$B$74,商品数据源!$B:$B,GJ2)</f>
        <v>98.28</v>
      </c>
      <c r="GK74" s="115">
        <f>SUMIFS(商品数据源!$H:$H,商品数据源!$A:$A,$B$74,商品数据源!$B:$B,GK2)</f>
        <v>102.52</v>
      </c>
      <c r="GL74" s="115">
        <f>SUMIFS(商品数据源!$H:$H,商品数据源!$A:$A,$B$74,商品数据源!$B:$B,GL2)</f>
        <v>111.89</v>
      </c>
      <c r="GM74" s="115">
        <f>SUMIFS(商品数据源!$H:$H,商品数据源!$A:$A,$B$74,商品数据源!$B:$B,GM2)</f>
        <v>0</v>
      </c>
      <c r="GN74" s="115">
        <f>SUMIFS(商品数据源!$H:$H,商品数据源!$A:$A,$B$74,商品数据源!$B:$B,GN2)</f>
        <v>0</v>
      </c>
      <c r="GO74" s="115">
        <f>SUMIFS(商品数据源!$H:$H,商品数据源!$A:$A,$B$74,商品数据源!$B:$B,GO2)</f>
        <v>0</v>
      </c>
      <c r="GP74" s="115">
        <f>SUMIFS(商品数据源!$H:$H,商品数据源!$A:$A,$B$74,商品数据源!$B:$B,GP2)</f>
        <v>0</v>
      </c>
    </row>
    <row r="75" s="47" customFormat="1" ht="15" hidden="1" customHeight="1" spans="2:198">
      <c r="B75" s="112"/>
      <c r="C75" s="113" t="s">
        <v>21</v>
      </c>
      <c r="D75" s="114" t="e">
        <f>SUM(E75:P75)</f>
        <v>#REF!</v>
      </c>
      <c r="E75" s="115" t="e">
        <f>#REF!</f>
        <v>#REF!</v>
      </c>
      <c r="F75" s="115" t="e">
        <f>#REF!</f>
        <v>#REF!</v>
      </c>
      <c r="G75" s="115" t="e">
        <f>#REF!</f>
        <v>#REF!</v>
      </c>
      <c r="H75" s="115" t="e">
        <f>#REF!</f>
        <v>#REF!</v>
      </c>
      <c r="I75" s="115" t="e">
        <f>#REF!</f>
        <v>#REF!</v>
      </c>
      <c r="J75" s="115" t="e">
        <f>#REF!</f>
        <v>#REF!</v>
      </c>
      <c r="K75" s="115" t="e">
        <f>#REF!</f>
        <v>#REF!</v>
      </c>
      <c r="L75" s="115" t="e">
        <f>#REF!</f>
        <v>#REF!</v>
      </c>
      <c r="M75" s="115" t="e">
        <f>#REF!</f>
        <v>#REF!</v>
      </c>
      <c r="N75" s="115" t="e">
        <f>#REF!</f>
        <v>#REF!</v>
      </c>
      <c r="O75" s="115" t="e">
        <f>#REF!</f>
        <v>#REF!</v>
      </c>
      <c r="P75" s="115" t="e">
        <f>#REF!</f>
        <v>#REF!</v>
      </c>
      <c r="Q75" s="65">
        <f>SUM(R75:AV75)</f>
        <v>410</v>
      </c>
      <c r="R75" s="115">
        <f>SUMIFS(商品数据源!$G:$G,商品数据源!$A:$A,$B$74,商品数据源!$B:$B,R2)</f>
        <v>30</v>
      </c>
      <c r="S75" s="115">
        <f>SUMIFS(商品数据源!$G:$G,商品数据源!$A:$A,$B$74,商品数据源!$B:$B,S2)</f>
        <v>63</v>
      </c>
      <c r="T75" s="115">
        <f>SUMIFS(商品数据源!$G:$G,商品数据源!$A:$A,$B$74,商品数据源!$B:$B,T2)</f>
        <v>46</v>
      </c>
      <c r="U75" s="115">
        <f>SUMIFS(商品数据源!$G:$G,商品数据源!$A:$A,$B$74,商品数据源!$B:$B,U2)</f>
        <v>32</v>
      </c>
      <c r="V75" s="115">
        <f>SUMIFS(商品数据源!$G:$G,商品数据源!$A:$A,$B$74,商品数据源!$B:$B,V2)</f>
        <v>33</v>
      </c>
      <c r="W75" s="115">
        <f>SUMIFS(商品数据源!$G:$G,商品数据源!$A:$A,$B$74,商品数据源!$B:$B,W2)</f>
        <v>13</v>
      </c>
      <c r="X75" s="115">
        <f>SUMIFS(商品数据源!$G:$G,商品数据源!$A:$A,$B$74,商品数据源!$B:$B,X2)</f>
        <v>16</v>
      </c>
      <c r="Y75" s="115">
        <f>SUMIFS(商品数据源!$G:$G,商品数据源!$A:$A,$B$74,商品数据源!$B:$B,Y2)</f>
        <v>11</v>
      </c>
      <c r="Z75" s="115">
        <f>SUMIFS(商品数据源!$G:$G,商品数据源!$A:$A,$B$74,商品数据源!$B:$B,Z2)</f>
        <v>13</v>
      </c>
      <c r="AA75" s="115">
        <f>SUMIFS(商品数据源!$G:$G,商品数据源!$A:$A,$B$74,商品数据源!$B:$B,AA2)</f>
        <v>23</v>
      </c>
      <c r="AB75" s="115">
        <f>SUMIFS(商品数据源!$G:$G,商品数据源!$A:$A,$B$74,商品数据源!$B:$B,AB2)</f>
        <v>18</v>
      </c>
      <c r="AC75" s="115">
        <f>SUMIFS(商品数据源!$G:$G,商品数据源!$A:$A,$B$74,商品数据源!$B:$B,AC2)</f>
        <v>10</v>
      </c>
      <c r="AD75" s="115">
        <f>SUMIFS(商品数据源!$G:$G,商品数据源!$A:$A,$B$74,商品数据源!$B:$B,AD2)</f>
        <v>8</v>
      </c>
      <c r="AE75" s="115">
        <f>SUMIFS(商品数据源!$G:$G,商品数据源!$A:$A,$B$74,商品数据源!$B:$B,AE2)</f>
        <v>13</v>
      </c>
      <c r="AF75" s="115">
        <f>SUMIFS(商品数据源!$G:$G,商品数据源!$A:$A,$B$74,商品数据源!$B:$B,AF2)</f>
        <v>13</v>
      </c>
      <c r="AG75" s="115">
        <f>SUMIFS(商品数据源!$G:$G,商品数据源!$A:$A,$B$74,商品数据源!$B:$B,AG2)</f>
        <v>25</v>
      </c>
      <c r="AH75" s="115">
        <f>SUMIFS(商品数据源!$G:$G,商品数据源!$A:$A,$B$74,商品数据源!$B:$B,AH2)</f>
        <v>11</v>
      </c>
      <c r="AI75" s="115">
        <f>SUMIFS(商品数据源!$G:$G,商品数据源!$A:$A,$B$74,商品数据源!$B:$B,AI2)</f>
        <v>30</v>
      </c>
      <c r="AJ75" s="115">
        <f>SUMIFS(商品数据源!$G:$G,商品数据源!$A:$A,$B$74,商品数据源!$B:$B,AJ2)</f>
        <v>2</v>
      </c>
      <c r="AK75" s="115">
        <f>SUMIFS(商品数据源!$G:$G,商品数据源!$A:$A,$B$74,商品数据源!$B:$B,AK2)</f>
        <v>0</v>
      </c>
      <c r="AL75" s="115">
        <f>SUMIFS(商品数据源!$G:$G,商品数据源!$A:$A,$B$74,商品数据源!$B:$B,AL2)</f>
        <v>0</v>
      </c>
      <c r="AM75" s="115">
        <f>SUMIFS(商品数据源!$G:$G,商品数据源!$A:$A,$B$74,商品数据源!$B:$B,AM2)</f>
        <v>0</v>
      </c>
      <c r="AN75" s="115">
        <f>SUMIFS(商品数据源!$G:$G,商品数据源!$A:$A,$B$74,商品数据源!$B:$B,AN2)</f>
        <v>0</v>
      </c>
      <c r="AO75" s="115">
        <f>SUMIFS(商品数据源!$G:$G,商品数据源!$A:$A,$B$74,商品数据源!$B:$B,AO2)</f>
        <v>0</v>
      </c>
      <c r="AP75" s="115">
        <f>SUMIFS(商品数据源!$G:$G,商品数据源!$A:$A,$B$74,商品数据源!$B:$B,AP2)</f>
        <v>0</v>
      </c>
      <c r="AQ75" s="115">
        <f>SUMIFS(商品数据源!$G:$G,商品数据源!$A:$A,$B$74,商品数据源!$B:$B,AQ2)</f>
        <v>0</v>
      </c>
      <c r="AR75" s="115">
        <f>SUMIFS(商品数据源!$G:$G,商品数据源!$A:$A,$B$74,商品数据源!$B:$B,AR2)</f>
        <v>0</v>
      </c>
      <c r="AS75" s="115">
        <f>SUMIFS(商品数据源!$G:$G,商品数据源!$A:$A,$B$74,商品数据源!$B:$B,AS2)</f>
        <v>0</v>
      </c>
      <c r="AT75" s="115">
        <f>SUMIFS(商品数据源!$G:$G,商品数据源!$A:$A,$B$74,商品数据源!$B:$B,AT2)</f>
        <v>0</v>
      </c>
      <c r="AU75" s="115">
        <f>SUMIFS(商品数据源!$G:$G,商品数据源!$A:$A,$B$74,商品数据源!$B:$B,AU2)</f>
        <v>0</v>
      </c>
      <c r="AV75" s="115">
        <f>SUMIFS(商品数据源!$G:$G,商品数据源!$A:$A,$B$74,商品数据源!$B:$B,AV2)</f>
        <v>0</v>
      </c>
      <c r="AW75" s="65">
        <f>SUM(AX75:BY75)</f>
        <v>0</v>
      </c>
      <c r="AX75" s="115">
        <f>SUMIFS(商品数据源!$G:$G,商品数据源!$A:$A,$B$74,商品数据源!$B:$B,AX2)</f>
        <v>0</v>
      </c>
      <c r="AY75" s="115">
        <f>SUMIFS(商品数据源!$G:$G,商品数据源!$A:$A,$B$74,商品数据源!$B:$B,AY2)</f>
        <v>0</v>
      </c>
      <c r="AZ75" s="115">
        <f>SUMIFS(商品数据源!$G:$G,商品数据源!$A:$A,$B$74,商品数据源!$B:$B,AZ2)</f>
        <v>0</v>
      </c>
      <c r="BA75" s="115">
        <f>SUMIFS(商品数据源!$G:$G,商品数据源!$A:$A,$B$74,商品数据源!$B:$B,BA2)</f>
        <v>0</v>
      </c>
      <c r="BB75" s="115">
        <f>SUMIFS(商品数据源!$G:$G,商品数据源!$A:$A,$B$74,商品数据源!$B:$B,BB2)</f>
        <v>0</v>
      </c>
      <c r="BC75" s="115">
        <f>SUMIFS(商品数据源!$G:$G,商品数据源!$A:$A,$B$74,商品数据源!$B:$B,BC2)</f>
        <v>0</v>
      </c>
      <c r="BD75" s="115">
        <f>SUMIFS(商品数据源!$G:$G,商品数据源!$A:$A,$B$74,商品数据源!$B:$B,BD2)</f>
        <v>0</v>
      </c>
      <c r="BE75" s="115">
        <f>SUMIFS(商品数据源!$G:$G,商品数据源!$A:$A,$B$74,商品数据源!$B:$B,BE2)</f>
        <v>0</v>
      </c>
      <c r="BF75" s="115">
        <f>SUMIFS(商品数据源!$G:$G,商品数据源!$A:$A,$B$74,商品数据源!$B:$B,BF2)</f>
        <v>0</v>
      </c>
      <c r="BG75" s="115">
        <f>SUMIFS(商品数据源!$G:$G,商品数据源!$A:$A,$B$74,商品数据源!$B:$B,BG2)</f>
        <v>0</v>
      </c>
      <c r="BH75" s="115">
        <f>SUMIFS(商品数据源!$G:$G,商品数据源!$A:$A,$B$74,商品数据源!$B:$B,BH2)</f>
        <v>0</v>
      </c>
      <c r="BI75" s="115">
        <f>SUMIFS(商品数据源!$G:$G,商品数据源!$A:$A,$B$74,商品数据源!$B:$B,BI2)</f>
        <v>0</v>
      </c>
      <c r="BJ75" s="115">
        <f>SUMIFS(商品数据源!$G:$G,商品数据源!$A:$A,$B$74,商品数据源!$B:$B,BJ2)</f>
        <v>0</v>
      </c>
      <c r="BK75" s="115">
        <f>SUMIFS(商品数据源!$G:$G,商品数据源!$A:$A,$B$74,商品数据源!$B:$B,BK2)</f>
        <v>0</v>
      </c>
      <c r="BL75" s="115"/>
      <c r="BM75" s="115"/>
      <c r="BN75" s="115"/>
      <c r="BO75" s="115"/>
      <c r="BP75" s="115">
        <f>SUMIFS(商品数据源!$G:$G,商品数据源!$A:$A,$B$74,商品数据源!$B:$B,BP2)</f>
        <v>0</v>
      </c>
      <c r="BQ75" s="115">
        <f>SUMIFS(商品数据源!$G:$G,商品数据源!$A:$A,$B$74,商品数据源!$B:$B,BQ2)</f>
        <v>0</v>
      </c>
      <c r="BR75" s="115">
        <f>SUMIFS(商品数据源!$G:$G,商品数据源!$A:$A,$B$74,商品数据源!$B:$B,BR2)</f>
        <v>0</v>
      </c>
      <c r="BS75" s="115">
        <f>SUMIFS(商品数据源!$G:$G,商品数据源!$A:$A,$B$74,商品数据源!$B:$B,BS2)</f>
        <v>0</v>
      </c>
      <c r="BT75" s="115">
        <f>SUMIFS(商品数据源!$G:$G,商品数据源!$A:$A,$B$74,商品数据源!$B:$B,BT2)</f>
        <v>0</v>
      </c>
      <c r="BU75" s="115">
        <f>SUMIFS(商品数据源!$G:$G,商品数据源!$A:$A,$B$74,商品数据源!$B:$B,BU2)</f>
        <v>0</v>
      </c>
      <c r="BV75" s="115">
        <f>SUMIFS(商品数据源!$G:$G,商品数据源!$A:$A,$B$74,商品数据源!$B:$B,BV2)</f>
        <v>0</v>
      </c>
      <c r="BW75" s="115">
        <f>SUMIFS(商品数据源!$G:$G,商品数据源!$A:$A,$B$74,商品数据源!$B:$B,BW2)</f>
        <v>0</v>
      </c>
      <c r="BX75" s="115">
        <f>SUMIFS(商品数据源!$G:$G,商品数据源!$A:$A,$B$74,商品数据源!$B:$B,BX2)</f>
        <v>0</v>
      </c>
      <c r="BY75" s="115">
        <f>SUMIFS(商品数据源!$G:$G,商品数据源!$A:$A,$B$74,商品数据源!$B:$B,BY2)</f>
        <v>0</v>
      </c>
      <c r="BZ75" s="65">
        <f>SUM(CA75:DE75)</f>
        <v>203</v>
      </c>
      <c r="CA75" s="115">
        <f>SUMIFS(商品数据源!$G:$G,商品数据源!$A:$A,$B$74,商品数据源!$B:$B,CA2)</f>
        <v>0</v>
      </c>
      <c r="CB75" s="115">
        <f>SUMIFS(商品数据源!$G:$G,商品数据源!$A:$A,$B$74,商品数据源!$B:$B,CB2)</f>
        <v>0</v>
      </c>
      <c r="CC75" s="115">
        <f>SUMIFS(商品数据源!$G:$G,商品数据源!$A:$A,$B$74,商品数据源!$B:$B,CC2)</f>
        <v>0</v>
      </c>
      <c r="CD75" s="115">
        <f>SUMIFS(商品数据源!$G:$G,商品数据源!$A:$A,$B$74,商品数据源!$B:$B,CD2)</f>
        <v>0</v>
      </c>
      <c r="CE75" s="115">
        <f>SUMIFS(商品数据源!$G:$G,商品数据源!$A:$A,$B$74,商品数据源!$B:$B,CE2)</f>
        <v>0</v>
      </c>
      <c r="CF75" s="115">
        <f>SUMIFS(商品数据源!$G:$G,商品数据源!$A:$A,$B$74,商品数据源!$B:$B,CF2)</f>
        <v>0</v>
      </c>
      <c r="CG75" s="115">
        <f>SUMIFS(商品数据源!$G:$G,商品数据源!$A:$A,$B$74,商品数据源!$B:$B,CG2)</f>
        <v>0</v>
      </c>
      <c r="CH75" s="115">
        <f>SUMIFS(商品数据源!$G:$G,商品数据源!$A:$A,$B$74,商品数据源!$B:$B,CH2)</f>
        <v>0</v>
      </c>
      <c r="CI75" s="115">
        <f>SUMIFS(商品数据源!$G:$G,商品数据源!$A:$A,$B$74,商品数据源!$B:$B,CI2)</f>
        <v>0</v>
      </c>
      <c r="CJ75" s="115">
        <f>SUMIFS(商品数据源!$G:$G,商品数据源!$A:$A,$B$74,商品数据源!$B:$B,CJ2)</f>
        <v>0</v>
      </c>
      <c r="CK75" s="115">
        <f>SUMIFS(商品数据源!$G:$G,商品数据源!$A:$A,$B$74,商品数据源!$B:$B,CK2)</f>
        <v>0</v>
      </c>
      <c r="CL75" s="115">
        <f>SUMIFS(商品数据源!$G:$G,商品数据源!$A:$A,$B$74,商品数据源!$B:$B,CL2)</f>
        <v>0</v>
      </c>
      <c r="CM75" s="115">
        <f>SUMIFS(商品数据源!$G:$G,商品数据源!$A:$A,$B$74,商品数据源!$B:$B,CM2)</f>
        <v>0</v>
      </c>
      <c r="CN75" s="115">
        <f>SUMIFS(商品数据源!$G:$G,商品数据源!$A:$A,$B$74,商品数据源!$B:$B,CN2)</f>
        <v>0</v>
      </c>
      <c r="CO75" s="115">
        <f>SUMIFS(商品数据源!$G:$G,商品数据源!$A:$A,$B$74,商品数据源!$B:$B,CO2)</f>
        <v>0</v>
      </c>
      <c r="CP75" s="115">
        <f>SUMIFS(商品数据源!$G:$G,商品数据源!$A:$A,$B$74,商品数据源!$B:$B,CP2)</f>
        <v>0</v>
      </c>
      <c r="CQ75" s="115">
        <f>SUMIFS(商品数据源!$G:$G,商品数据源!$A:$A,$B$74,商品数据源!$B:$B,CQ2)</f>
        <v>0</v>
      </c>
      <c r="CR75" s="115">
        <f>SUMIFS(商品数据源!$G:$G,商品数据源!$A:$A,$B$74,商品数据源!$B:$B,CR2)</f>
        <v>0</v>
      </c>
      <c r="CS75" s="115">
        <f>SUMIFS(商品数据源!$G:$G,商品数据源!$A:$A,$B$74,商品数据源!$B:$B,CS2)</f>
        <v>34</v>
      </c>
      <c r="CT75" s="115">
        <f>SUMIFS(商品数据源!$G:$G,商品数据源!$A:$A,$B$74,商品数据源!$B:$B,CT2)</f>
        <v>30</v>
      </c>
      <c r="CU75" s="115">
        <f>SUMIFS(商品数据源!$G:$G,商品数据源!$A:$A,$B$74,商品数据源!$B:$B,CU2)</f>
        <v>0</v>
      </c>
      <c r="CV75" s="115">
        <f>SUMIFS(商品数据源!$G:$G,商品数据源!$A:$A,$B$74,商品数据源!$B:$B,CV2)</f>
        <v>0</v>
      </c>
      <c r="CW75" s="115">
        <f>SUMIFS(商品数据源!$G:$G,商品数据源!$A:$A,$B$74,商品数据源!$B:$B,CW2)</f>
        <v>28</v>
      </c>
      <c r="CX75" s="115">
        <f>SUMIFS(商品数据源!$G:$G,商品数据源!$A:$A,$B$74,商品数据源!$B:$B,CX2)</f>
        <v>29</v>
      </c>
      <c r="CY75" s="115">
        <f>SUMIFS(商品数据源!$G:$G,商品数据源!$A:$A,$B$74,商品数据源!$B:$B,CY2)</f>
        <v>51</v>
      </c>
      <c r="CZ75" s="115">
        <f>SUMIFS(商品数据源!$G:$G,商品数据源!$A:$A,$B$74,商品数据源!$B:$B,CZ2)</f>
        <v>31</v>
      </c>
      <c r="DA75" s="115">
        <f>SUMIFS(商品数据源!$G:$G,商品数据源!$A:$A,$B$74,商品数据源!$B:$B,DA2)</f>
        <v>0</v>
      </c>
      <c r="DB75" s="115">
        <f>SUMIFS(商品数据源!$G:$G,商品数据源!$A:$A,$B$74,商品数据源!$B:$B,DB2)</f>
        <v>0</v>
      </c>
      <c r="DC75" s="115">
        <f>SUMIFS(商品数据源!$G:$G,商品数据源!$A:$A,$B$74,商品数据源!$B:$B,DC2)</f>
        <v>0</v>
      </c>
      <c r="DD75" s="115">
        <f>SUMIFS(商品数据源!$G:$G,商品数据源!$A:$A,$B$74,商品数据源!$B:$B,DD2)</f>
        <v>0</v>
      </c>
      <c r="DE75" s="115">
        <f>SUMIFS(商品数据源!$G:$G,商品数据源!$A:$A,$B$74,商品数据源!$B:$B,DE2)</f>
        <v>0</v>
      </c>
      <c r="DF75" s="65">
        <f>SUM(DG75:EJ75)</f>
        <v>836</v>
      </c>
      <c r="DG75" s="115">
        <f>SUMIFS(商品数据源!$G:$G,商品数据源!$A:$A,$B$74,商品数据源!$B:$B,DG2)</f>
        <v>0</v>
      </c>
      <c r="DH75" s="115">
        <f>SUMIFS(商品数据源!$G:$G,商品数据源!$A:$A,$B$74,商品数据源!$B:$B,DH2)</f>
        <v>0</v>
      </c>
      <c r="DI75" s="115">
        <f>SUMIFS(商品数据源!$G:$G,商品数据源!$A:$A,$B$74,商品数据源!$B:$B,DI2)</f>
        <v>0</v>
      </c>
      <c r="DJ75" s="115">
        <f>SUMIFS(商品数据源!$G:$G,商品数据源!$A:$A,$B$74,商品数据源!$B:$B,DJ2)</f>
        <v>0</v>
      </c>
      <c r="DK75" s="115">
        <f>SUMIFS(商品数据源!$G:$G,商品数据源!$A:$A,$B$74,商品数据源!$B:$B,DK2)</f>
        <v>0</v>
      </c>
      <c r="DL75" s="115">
        <f>SUMIFS(商品数据源!$G:$G,商品数据源!$A:$A,$B$74,商品数据源!$B:$B,DL2)</f>
        <v>0</v>
      </c>
      <c r="DM75" s="115">
        <f>SUMIFS(商品数据源!$G:$G,商品数据源!$A:$A,$B$74,商品数据源!$B:$B,DM2)</f>
        <v>0</v>
      </c>
      <c r="DN75" s="115">
        <f>SUMIFS(商品数据源!$G:$G,商品数据源!$A:$A,$B$74,商品数据源!$B:$B,DN2)</f>
        <v>0</v>
      </c>
      <c r="DO75" s="115">
        <f>SUMIFS(商品数据源!$G:$G,商品数据源!$A:$A,$B$74,商品数据源!$B:$B,DO2)</f>
        <v>0</v>
      </c>
      <c r="DP75" s="115">
        <f>SUMIFS(商品数据源!$G:$G,商品数据源!$A:$A,$B$74,商品数据源!$B:$B,DP2)</f>
        <v>0</v>
      </c>
      <c r="DQ75" s="115">
        <f>SUMIFS(商品数据源!$G:$G,商品数据源!$A:$A,$B$74,商品数据源!$B:$B,DQ2)</f>
        <v>0</v>
      </c>
      <c r="DR75" s="115">
        <f>SUMIFS(商品数据源!$G:$G,商品数据源!$A:$A,$B$74,商品数据源!$B:$B,DR2)</f>
        <v>0</v>
      </c>
      <c r="DS75" s="115">
        <f>SUMIFS(商品数据源!$G:$G,商品数据源!$A:$A,$B$74,商品数据源!$B:$B,DS2)</f>
        <v>0</v>
      </c>
      <c r="DT75" s="115">
        <f>SUMIFS(商品数据源!$G:$G,商品数据源!$A:$A,$B$74,商品数据源!$B:$B,DT2)</f>
        <v>0</v>
      </c>
      <c r="DU75" s="115">
        <f>SUMIFS(商品数据源!$G:$G,商品数据源!$A:$A,$B$74,商品数据源!$B:$B,DU2)</f>
        <v>0</v>
      </c>
      <c r="DV75" s="115">
        <f>SUMIFS(商品数据源!$G:$G,商品数据源!$A:$A,$B$74,商品数据源!$B:$B,DV2)</f>
        <v>0</v>
      </c>
      <c r="DW75" s="115">
        <f>SUMIFS(商品数据源!$G:$G,商品数据源!$A:$A,$B$74,商品数据源!$B:$B,DW2)</f>
        <v>0</v>
      </c>
      <c r="DX75" s="115">
        <f>SUMIFS(商品数据源!$G:$G,商品数据源!$A:$A,$B$74,商品数据源!$B:$B,DX2)</f>
        <v>0</v>
      </c>
      <c r="DY75" s="115">
        <f>SUMIFS(商品数据源!$G:$G,商品数据源!$A:$A,$B$74,商品数据源!$B:$B,DY2)</f>
        <v>0</v>
      </c>
      <c r="DZ75" s="115">
        <f>SUMIFS(商品数据源!$G:$G,商品数据源!$A:$A,$B$74,商品数据源!$B:$B,DZ2)</f>
        <v>0</v>
      </c>
      <c r="EA75" s="115">
        <f>SUMIFS(商品数据源!$G:$G,商品数据源!$A:$A,$B$74,商品数据源!$B:$B,EA2)</f>
        <v>0</v>
      </c>
      <c r="EB75" s="115">
        <f>SUMIFS(商品数据源!$G:$G,商品数据源!$A:$A,$B$74,商品数据源!$B:$B,EB2)</f>
        <v>0</v>
      </c>
      <c r="EC75" s="115">
        <f>SUMIFS(商品数据源!$G:$G,商品数据源!$A:$A,$B$74,商品数据源!$B:$B,EC2)</f>
        <v>0</v>
      </c>
      <c r="ED75" s="115">
        <f>SUMIFS(商品数据源!$G:$G,商品数据源!$A:$A,$B$74,商品数据源!$B:$B,ED2)</f>
        <v>0</v>
      </c>
      <c r="EE75" s="115">
        <f>SUMIFS(商品数据源!$G:$G,商品数据源!$A:$A,$B$74,商品数据源!$B:$B,EE2)</f>
        <v>0</v>
      </c>
      <c r="EF75" s="115">
        <f>SUMIFS(商品数据源!$G:$G,商品数据源!$A:$A,$B$74,商品数据源!$B:$B,EF2)</f>
        <v>0</v>
      </c>
      <c r="EG75" s="115">
        <f>SUMIFS(商品数据源!$G:$G,商品数据源!$A:$A,$B$74,商品数据源!$B:$B,EG2)</f>
        <v>0</v>
      </c>
      <c r="EH75" s="115">
        <f>SUMIFS(商品数据源!$G:$G,商品数据源!$A:$A,$B$74,商品数据源!$B:$B,EH2)</f>
        <v>332</v>
      </c>
      <c r="EI75" s="115">
        <f>SUMIFS(商品数据源!$G:$G,商品数据源!$A:$A,$B$74,商品数据源!$B:$B,EI2)</f>
        <v>262</v>
      </c>
      <c r="EJ75" s="115">
        <f>SUMIFS(商品数据源!$G:$G,商品数据源!$A:$A,$B$74,商品数据源!$B:$B,EJ2)</f>
        <v>242</v>
      </c>
      <c r="EK75" s="65">
        <f>SUM(EL75:FP75)</f>
        <v>8934</v>
      </c>
      <c r="EL75" s="115">
        <f>SUMIFS(商品数据源!$G:$G,商品数据源!$A:$A,$B$74,商品数据源!$B:$B,EL2)</f>
        <v>298</v>
      </c>
      <c r="EM75" s="115">
        <f>SUMIFS(商品数据源!$G:$G,商品数据源!$A:$A,$B$74,商品数据源!$B:$B,EM2)</f>
        <v>278</v>
      </c>
      <c r="EN75" s="115">
        <f>SUMIFS(商品数据源!$G:$G,商品数据源!$A:$A,$B$74,商品数据源!$B:$B,EN2)</f>
        <v>301</v>
      </c>
      <c r="EO75" s="115">
        <f>SUMIFS(商品数据源!$G:$G,商品数据源!$A:$A,$B$74,商品数据源!$B:$B,EO2)</f>
        <v>291</v>
      </c>
      <c r="EP75" s="115">
        <f>SUMIFS(商品数据源!$G:$G,商品数据源!$A:$A,$B$74,商品数据源!$B:$B,EP2)</f>
        <v>301</v>
      </c>
      <c r="EQ75" s="115">
        <f>SUMIFS(商品数据源!$G:$G,商品数据源!$A:$A,$B$74,商品数据源!$B:$B,EQ2)</f>
        <v>252</v>
      </c>
      <c r="ER75" s="115">
        <f>SUMIFS(商品数据源!$G:$G,商品数据源!$A:$A,$B$74,商品数据源!$B:$B,ER2)</f>
        <v>227</v>
      </c>
      <c r="ES75" s="115">
        <f>SUMIFS(商品数据源!$G:$G,商品数据源!$A:$A,$B$74,商品数据源!$B:$B,ES2)</f>
        <v>297</v>
      </c>
      <c r="ET75" s="115">
        <f>SUMIFS(商品数据源!$G:$G,商品数据源!$A:$A,$B$74,商品数据源!$B:$B,ET2)</f>
        <v>340</v>
      </c>
      <c r="EU75" s="115">
        <f>SUMIFS(商品数据源!$G:$G,商品数据源!$A:$A,$B$74,商品数据源!$B:$B,EU2)</f>
        <v>424</v>
      </c>
      <c r="EV75" s="115">
        <f>SUMIFS(商品数据源!$G:$G,商品数据源!$A:$A,$B$74,商品数据源!$B:$B,EV2)</f>
        <v>366</v>
      </c>
      <c r="EW75" s="115">
        <f>SUMIFS(商品数据源!$G:$G,商品数据源!$A:$A,$B$74,商品数据源!$B:$B,EW2)</f>
        <v>398</v>
      </c>
      <c r="EX75" s="115">
        <f>SUMIFS(商品数据源!$G:$G,商品数据源!$A:$A,$B$74,商品数据源!$B:$B,EX2)</f>
        <v>253</v>
      </c>
      <c r="EY75" s="115">
        <f>SUMIFS(商品数据源!$G:$G,商品数据源!$A:$A,$B$74,商品数据源!$B:$B,EY2)</f>
        <v>264</v>
      </c>
      <c r="EZ75" s="115">
        <f>SUMIFS(商品数据源!$G:$G,商品数据源!$A:$A,$B$74,商品数据源!$B:$B,EZ2)</f>
        <v>177</v>
      </c>
      <c r="FA75" s="115">
        <f>SUMIFS(商品数据源!$G:$G,商品数据源!$A:$A,$B$74,商品数据源!$B:$B,FA2)</f>
        <v>310</v>
      </c>
      <c r="FB75" s="115">
        <f>SUMIFS(商品数据源!$G:$G,商品数据源!$A:$A,$B$74,商品数据源!$B:$B,FB2)</f>
        <v>287</v>
      </c>
      <c r="FC75" s="115">
        <f>SUMIFS(商品数据源!$G:$G,商品数据源!$A:$A,$B$74,商品数据源!$B:$B,FC2)</f>
        <v>203</v>
      </c>
      <c r="FD75" s="115">
        <f>SUMIFS(商品数据源!$G:$G,商品数据源!$A:$A,$B$74,商品数据源!$B:$B,FD2)</f>
        <v>310</v>
      </c>
      <c r="FE75" s="115">
        <f>SUMIFS(商品数据源!$G:$G,商品数据源!$A:$A,$B$74,商品数据源!$B:$B,FE2)</f>
        <v>317</v>
      </c>
      <c r="FF75" s="115">
        <f>SUMIFS(商品数据源!$G:$G,商品数据源!$A:$A,$B$74,商品数据源!$B:$B,FF2)</f>
        <v>218</v>
      </c>
      <c r="FG75" s="115">
        <f>SUMIFS(商品数据源!$G:$G,商品数据源!$A:$A,$B$74,商品数据源!$B:$B,FG2)</f>
        <v>208</v>
      </c>
      <c r="FH75" s="115">
        <f>SUMIFS(商品数据源!$G:$G,商品数据源!$A:$A,$B$74,商品数据源!$B:$B,FH2)</f>
        <v>308</v>
      </c>
      <c r="FI75" s="115">
        <f>SUMIFS(商品数据源!$G:$G,商品数据源!$A:$A,$B$74,商品数据源!$B:$B,FI2)</f>
        <v>398</v>
      </c>
      <c r="FJ75" s="115">
        <f>SUMIFS(商品数据源!$G:$G,商品数据源!$A:$A,$B$74,商品数据源!$B:$B,FJ2)</f>
        <v>280</v>
      </c>
      <c r="FK75" s="115">
        <f>SUMIFS(商品数据源!$G:$G,商品数据源!$A:$A,$B$74,商品数据源!$B:$B,FK2)</f>
        <v>270</v>
      </c>
      <c r="FL75" s="115">
        <f>SUMIFS(商品数据源!$G:$G,商品数据源!$A:$A,$B$74,商品数据源!$B:$B,FL2)</f>
        <v>261</v>
      </c>
      <c r="FM75" s="115">
        <f>SUMIFS(商品数据源!$G:$G,商品数据源!$A:$A,$B$74,商品数据源!$B:$B,FM2)</f>
        <v>343</v>
      </c>
      <c r="FN75" s="115">
        <f>SUMIFS(商品数据源!$G:$G,商品数据源!$A:$A,$B$74,商品数据源!$B:$B,FN2)</f>
        <v>191</v>
      </c>
      <c r="FO75" s="115">
        <f>SUMIFS(商品数据源!$G:$G,商品数据源!$A:$A,$B$74,商品数据源!$B:$B,FO2)</f>
        <v>176</v>
      </c>
      <c r="FP75" s="115">
        <f>SUMIFS(商品数据源!$G:$G,商品数据源!$A:$A,$B$74,商品数据源!$B:$B,FP2)</f>
        <v>387</v>
      </c>
      <c r="FQ75" s="65">
        <f t="shared" si="383"/>
        <v>3764</v>
      </c>
      <c r="FR75" s="115">
        <f>SUMIFS(商品数据源!$G:$G,商品数据源!$A:$A,$B$74,商品数据源!$B:$B,FR2)</f>
        <v>162</v>
      </c>
      <c r="FS75" s="115">
        <f>SUMIFS(商品数据源!$G:$G,商品数据源!$A:$A,$B$74,商品数据源!$B:$B,FS2)</f>
        <v>134</v>
      </c>
      <c r="FT75" s="115">
        <f>SUMIFS(商品数据源!$G:$G,商品数据源!$A:$A,$B$74,商品数据源!$B:$B,FT2)</f>
        <v>114</v>
      </c>
      <c r="FU75" s="115">
        <f>SUMIFS(商品数据源!$G:$G,商品数据源!$A:$A,$B$74,商品数据源!$B:$B,FU2)</f>
        <v>183</v>
      </c>
      <c r="FV75" s="115">
        <f>SUMIFS(商品数据源!$G:$G,商品数据源!$A:$A,$B$74,商品数据源!$B:$B,FV2)</f>
        <v>126</v>
      </c>
      <c r="FW75" s="115">
        <f>SUMIFS(商品数据源!$G:$G,商品数据源!$A:$A,$B$74,商品数据源!$B:$B,FW2)</f>
        <v>230</v>
      </c>
      <c r="FX75" s="115">
        <f>SUMIFS(商品数据源!$G:$G,商品数据源!$A:$A,$B$74,商品数据源!$B:$B,FX2)</f>
        <v>269</v>
      </c>
      <c r="FY75" s="115">
        <f>SUMIFS(商品数据源!$G:$G,商品数据源!$A:$A,$B$74,商品数据源!$B:$B,FY2)</f>
        <v>203</v>
      </c>
      <c r="FZ75" s="115">
        <f>SUMIFS(商品数据源!$G:$G,商品数据源!$A:$A,$B$74,商品数据源!$B:$B,FZ2)</f>
        <v>187</v>
      </c>
      <c r="GA75" s="115">
        <f>SUMIFS(商品数据源!$G:$G,商品数据源!$A:$A,$B$74,商品数据源!$B:$B,GA2)</f>
        <v>172</v>
      </c>
      <c r="GB75" s="115">
        <f>SUMIFS(商品数据源!$G:$G,商品数据源!$A:$A,$B$74,商品数据源!$B:$B,GB2)</f>
        <v>158</v>
      </c>
      <c r="GC75" s="115">
        <f>SUMIFS(商品数据源!$G:$G,商品数据源!$A:$A,$B$74,商品数据源!$B:$B,GC2)</f>
        <v>61</v>
      </c>
      <c r="GD75" s="115">
        <f>SUMIFS(商品数据源!$G:$G,商品数据源!$A:$A,$B$74,商品数据源!$B:$B,GD2)</f>
        <v>229</v>
      </c>
      <c r="GE75" s="115">
        <f>SUMIFS(商品数据源!$G:$G,商品数据源!$A:$A,$B$74,商品数据源!$B:$B,GE2)</f>
        <v>214</v>
      </c>
      <c r="GF75" s="115">
        <f>SUMIFS(商品数据源!$G:$G,商品数据源!$A:$A,$B$74,商品数据源!$B:$B,GF2)</f>
        <v>133</v>
      </c>
      <c r="GG75" s="115">
        <f>SUMIFS(商品数据源!$G:$G,商品数据源!$A:$A,$B$74,商品数据源!$B:$B,GG2)</f>
        <v>134</v>
      </c>
      <c r="GH75" s="115">
        <f>SUMIFS(商品数据源!$G:$G,商品数据源!$A:$A,$B$74,商品数据源!$B:$B,GH2)</f>
        <v>143</v>
      </c>
      <c r="GI75" s="115">
        <f>SUMIFS(商品数据源!$G:$G,商品数据源!$A:$A,$B$74,商品数据源!$B:$B,GI2)</f>
        <v>117</v>
      </c>
      <c r="GJ75" s="115">
        <f>SUMIFS(商品数据源!$G:$G,商品数据源!$A:$A,$B$74,商品数据源!$B:$B,GJ2)</f>
        <v>247</v>
      </c>
      <c r="GK75" s="115">
        <f>SUMIFS(商品数据源!$G:$G,商品数据源!$A:$A,$B$74,商品数据源!$B:$B,GK2)</f>
        <v>252</v>
      </c>
      <c r="GL75" s="115">
        <f>SUMIFS(商品数据源!$G:$G,商品数据源!$A:$A,$B$74,商品数据源!$B:$B,GL2)</f>
        <v>296</v>
      </c>
      <c r="GM75" s="115">
        <f>SUMIFS(商品数据源!$G:$G,商品数据源!$A:$A,$B$74,商品数据源!$B:$B,GM2)</f>
        <v>0</v>
      </c>
      <c r="GN75" s="115">
        <f>SUMIFS(商品数据源!$G:$G,商品数据源!$A:$A,$B$74,商品数据源!$B:$B,GN2)</f>
        <v>0</v>
      </c>
      <c r="GO75" s="115">
        <f>SUMIFS(商品数据源!$G:$G,商品数据源!$A:$A,$B$74,商品数据源!$B:$B,GO2)</f>
        <v>0</v>
      </c>
      <c r="GP75" s="115">
        <f>SUMIFS(商品数据源!$G:$G,商品数据源!$A:$A,$B$74,商品数据源!$B:$B,GP2)</f>
        <v>0</v>
      </c>
    </row>
    <row r="76" s="47" customFormat="1" ht="15" hidden="1" customHeight="1" spans="2:198">
      <c r="B76" s="112"/>
      <c r="C76" s="113" t="s">
        <v>22</v>
      </c>
      <c r="D76" s="116" t="e">
        <f t="shared" ref="D76:X76" si="384">D74/D75</f>
        <v>#REF!</v>
      </c>
      <c r="E76" s="117" t="e">
        <f t="shared" si="384"/>
        <v>#REF!</v>
      </c>
      <c r="F76" s="117" t="e">
        <f t="shared" si="384"/>
        <v>#REF!</v>
      </c>
      <c r="G76" s="117" t="e">
        <f t="shared" si="384"/>
        <v>#REF!</v>
      </c>
      <c r="H76" s="117" t="e">
        <f t="shared" si="384"/>
        <v>#REF!</v>
      </c>
      <c r="I76" s="117" t="e">
        <f t="shared" si="384"/>
        <v>#REF!</v>
      </c>
      <c r="J76" s="117" t="e">
        <f t="shared" si="384"/>
        <v>#REF!</v>
      </c>
      <c r="K76" s="117" t="e">
        <f t="shared" si="384"/>
        <v>#REF!</v>
      </c>
      <c r="L76" s="117" t="e">
        <f t="shared" si="384"/>
        <v>#REF!</v>
      </c>
      <c r="M76" s="117" t="e">
        <f t="shared" si="384"/>
        <v>#REF!</v>
      </c>
      <c r="N76" s="117" t="e">
        <f t="shared" si="384"/>
        <v>#REF!</v>
      </c>
      <c r="O76" s="117" t="e">
        <f t="shared" si="384"/>
        <v>#REF!</v>
      </c>
      <c r="P76" s="117" t="e">
        <f t="shared" si="384"/>
        <v>#REF!</v>
      </c>
      <c r="Q76" s="118">
        <f t="shared" si="384"/>
        <v>1.20951219512195</v>
      </c>
      <c r="R76" s="116">
        <f t="shared" si="384"/>
        <v>1.343</v>
      </c>
      <c r="S76" s="116">
        <f t="shared" si="384"/>
        <v>0.724285714285714</v>
      </c>
      <c r="T76" s="116">
        <f t="shared" si="384"/>
        <v>0.938260869565217</v>
      </c>
      <c r="U76" s="116">
        <f t="shared" si="384"/>
        <v>1.06375</v>
      </c>
      <c r="V76" s="116">
        <f t="shared" si="384"/>
        <v>1.02242424242424</v>
      </c>
      <c r="W76" s="116">
        <f t="shared" si="384"/>
        <v>1.11076923076923</v>
      </c>
      <c r="X76" s="116">
        <f t="shared" si="384"/>
        <v>1.20375</v>
      </c>
      <c r="Y76" s="116">
        <f t="shared" ref="Y76:AL76" si="385">Y74/Y75</f>
        <v>1.74545454545455</v>
      </c>
      <c r="Z76" s="116">
        <f t="shared" si="385"/>
        <v>0.943076923076923</v>
      </c>
      <c r="AA76" s="116">
        <f t="shared" si="385"/>
        <v>0.887826086956522</v>
      </c>
      <c r="AB76" s="116">
        <f t="shared" si="385"/>
        <v>1.00444444444444</v>
      </c>
      <c r="AC76" s="116">
        <f t="shared" si="385"/>
        <v>1.852</v>
      </c>
      <c r="AD76" s="116">
        <f t="shared" si="385"/>
        <v>2.72375</v>
      </c>
      <c r="AE76" s="116">
        <f t="shared" si="385"/>
        <v>2.44615384615385</v>
      </c>
      <c r="AF76" s="116">
        <f t="shared" si="385"/>
        <v>1.20769230769231</v>
      </c>
      <c r="AG76" s="116">
        <f t="shared" si="385"/>
        <v>1.5124</v>
      </c>
      <c r="AH76" s="116">
        <f t="shared" si="385"/>
        <v>0.788181818181818</v>
      </c>
      <c r="AI76" s="116">
        <f t="shared" si="385"/>
        <v>1.721</v>
      </c>
      <c r="AJ76" s="116">
        <f t="shared" si="385"/>
        <v>4.73</v>
      </c>
      <c r="AK76" s="116" t="e">
        <f t="shared" si="385"/>
        <v>#DIV/0!</v>
      </c>
      <c r="AL76" s="116" t="e">
        <f t="shared" ref="AL76:BK76" si="386">AL74/AL75</f>
        <v>#DIV/0!</v>
      </c>
      <c r="AM76" s="116" t="e">
        <f t="shared" si="386"/>
        <v>#DIV/0!</v>
      </c>
      <c r="AN76" s="116" t="e">
        <f t="shared" si="386"/>
        <v>#DIV/0!</v>
      </c>
      <c r="AO76" s="116" t="e">
        <f t="shared" si="386"/>
        <v>#DIV/0!</v>
      </c>
      <c r="AP76" s="116" t="e">
        <f t="shared" si="386"/>
        <v>#DIV/0!</v>
      </c>
      <c r="AQ76" s="116" t="e">
        <f t="shared" si="386"/>
        <v>#DIV/0!</v>
      </c>
      <c r="AR76" s="116" t="e">
        <f t="shared" si="386"/>
        <v>#DIV/0!</v>
      </c>
      <c r="AS76" s="116" t="e">
        <f t="shared" si="386"/>
        <v>#DIV/0!</v>
      </c>
      <c r="AT76" s="116" t="e">
        <f t="shared" si="386"/>
        <v>#DIV/0!</v>
      </c>
      <c r="AU76" s="116" t="e">
        <f t="shared" si="386"/>
        <v>#DIV/0!</v>
      </c>
      <c r="AV76" s="116" t="e">
        <f t="shared" si="386"/>
        <v>#DIV/0!</v>
      </c>
      <c r="AW76" s="118" t="e">
        <f t="shared" si="386"/>
        <v>#DIV/0!</v>
      </c>
      <c r="AX76" s="116" t="e">
        <f t="shared" si="386"/>
        <v>#DIV/0!</v>
      </c>
      <c r="AY76" s="116" t="e">
        <f t="shared" si="386"/>
        <v>#DIV/0!</v>
      </c>
      <c r="AZ76" s="116" t="e">
        <f t="shared" si="386"/>
        <v>#DIV/0!</v>
      </c>
      <c r="BA76" s="116" t="e">
        <f t="shared" si="386"/>
        <v>#DIV/0!</v>
      </c>
      <c r="BB76" s="116" t="e">
        <f t="shared" si="386"/>
        <v>#DIV/0!</v>
      </c>
      <c r="BC76" s="116" t="e">
        <f t="shared" si="386"/>
        <v>#DIV/0!</v>
      </c>
      <c r="BD76" s="116" t="e">
        <f t="shared" si="386"/>
        <v>#DIV/0!</v>
      </c>
      <c r="BE76" s="116" t="e">
        <f t="shared" si="386"/>
        <v>#DIV/0!</v>
      </c>
      <c r="BF76" s="116" t="e">
        <f t="shared" si="386"/>
        <v>#DIV/0!</v>
      </c>
      <c r="BG76" s="116" t="e">
        <f t="shared" si="386"/>
        <v>#DIV/0!</v>
      </c>
      <c r="BH76" s="116" t="e">
        <f t="shared" si="386"/>
        <v>#DIV/0!</v>
      </c>
      <c r="BI76" s="116" t="e">
        <f t="shared" si="386"/>
        <v>#DIV/0!</v>
      </c>
      <c r="BJ76" s="116" t="e">
        <f t="shared" si="386"/>
        <v>#DIV/0!</v>
      </c>
      <c r="BK76" s="116" t="e">
        <f t="shared" si="386"/>
        <v>#DIV/0!</v>
      </c>
      <c r="BL76" s="116"/>
      <c r="BM76" s="116"/>
      <c r="BN76" s="116"/>
      <c r="BO76" s="116"/>
      <c r="BP76" s="116" t="e">
        <f t="shared" ref="BP76:BW76" si="387">BP74/BP75</f>
        <v>#DIV/0!</v>
      </c>
      <c r="BQ76" s="116" t="e">
        <f t="shared" si="387"/>
        <v>#DIV/0!</v>
      </c>
      <c r="BR76" s="116" t="e">
        <f t="shared" si="387"/>
        <v>#DIV/0!</v>
      </c>
      <c r="BS76" s="116" t="e">
        <f t="shared" si="387"/>
        <v>#DIV/0!</v>
      </c>
      <c r="BT76" s="116" t="e">
        <f t="shared" si="387"/>
        <v>#DIV/0!</v>
      </c>
      <c r="BU76" s="116" t="e">
        <f t="shared" si="387"/>
        <v>#DIV/0!</v>
      </c>
      <c r="BV76" s="116" t="e">
        <f t="shared" si="387"/>
        <v>#DIV/0!</v>
      </c>
      <c r="BW76" s="116" t="e">
        <f t="shared" si="387"/>
        <v>#DIV/0!</v>
      </c>
      <c r="BX76" s="116" t="e">
        <f t="shared" ref="BX76:CH76" si="388">BX74/BX75</f>
        <v>#DIV/0!</v>
      </c>
      <c r="BY76" s="116" t="e">
        <f t="shared" si="388"/>
        <v>#DIV/0!</v>
      </c>
      <c r="BZ76" s="118">
        <f t="shared" si="388"/>
        <v>1.47408866995074</v>
      </c>
      <c r="CA76" s="116" t="e">
        <f t="shared" si="388"/>
        <v>#DIV/0!</v>
      </c>
      <c r="CB76" s="116" t="e">
        <f t="shared" si="388"/>
        <v>#DIV/0!</v>
      </c>
      <c r="CC76" s="116" t="e">
        <f t="shared" si="388"/>
        <v>#DIV/0!</v>
      </c>
      <c r="CD76" s="116" t="e">
        <f t="shared" si="388"/>
        <v>#DIV/0!</v>
      </c>
      <c r="CE76" s="116" t="e">
        <f t="shared" si="388"/>
        <v>#DIV/0!</v>
      </c>
      <c r="CF76" s="116" t="e">
        <f t="shared" si="388"/>
        <v>#DIV/0!</v>
      </c>
      <c r="CG76" s="116" t="e">
        <f t="shared" si="388"/>
        <v>#DIV/0!</v>
      </c>
      <c r="CH76" s="116" t="e">
        <f t="shared" si="388"/>
        <v>#DIV/0!</v>
      </c>
      <c r="CI76" s="116" t="e">
        <f t="shared" ref="CI76:EH76" si="389">CI74/CI75</f>
        <v>#DIV/0!</v>
      </c>
      <c r="CJ76" s="116" t="e">
        <f t="shared" si="389"/>
        <v>#DIV/0!</v>
      </c>
      <c r="CK76" s="116" t="e">
        <f t="shared" si="389"/>
        <v>#DIV/0!</v>
      </c>
      <c r="CL76" s="116" t="e">
        <f t="shared" si="389"/>
        <v>#DIV/0!</v>
      </c>
      <c r="CM76" s="116" t="e">
        <f t="shared" si="389"/>
        <v>#DIV/0!</v>
      </c>
      <c r="CN76" s="116" t="e">
        <f t="shared" si="389"/>
        <v>#DIV/0!</v>
      </c>
      <c r="CO76" s="116" t="e">
        <f t="shared" si="389"/>
        <v>#DIV/0!</v>
      </c>
      <c r="CP76" s="116" t="e">
        <f t="shared" si="389"/>
        <v>#DIV/0!</v>
      </c>
      <c r="CQ76" s="116" t="e">
        <f t="shared" si="389"/>
        <v>#DIV/0!</v>
      </c>
      <c r="CR76" s="116" t="e">
        <f t="shared" si="389"/>
        <v>#DIV/0!</v>
      </c>
      <c r="CS76" s="116">
        <f t="shared" si="389"/>
        <v>1.47058823529412</v>
      </c>
      <c r="CT76" s="116">
        <f t="shared" si="389"/>
        <v>1.66666666666667</v>
      </c>
      <c r="CU76" s="116" t="e">
        <f t="shared" si="389"/>
        <v>#DIV/0!</v>
      </c>
      <c r="CV76" s="116" t="e">
        <f t="shared" si="389"/>
        <v>#DIV/0!</v>
      </c>
      <c r="CW76" s="116">
        <f t="shared" si="389"/>
        <v>1.78571428571429</v>
      </c>
      <c r="CX76" s="116">
        <f t="shared" si="389"/>
        <v>1.72413793103448</v>
      </c>
      <c r="CY76" s="116">
        <f t="shared" si="389"/>
        <v>0.980392156862745</v>
      </c>
      <c r="CZ76" s="116">
        <f t="shared" si="389"/>
        <v>1.58838709677419</v>
      </c>
      <c r="DA76" s="116" t="e">
        <f t="shared" si="389"/>
        <v>#DIV/0!</v>
      </c>
      <c r="DB76" s="116" t="e">
        <f t="shared" si="389"/>
        <v>#DIV/0!</v>
      </c>
      <c r="DC76" s="116" t="e">
        <f t="shared" si="389"/>
        <v>#DIV/0!</v>
      </c>
      <c r="DD76" s="116" t="e">
        <f t="shared" si="389"/>
        <v>#DIV/0!</v>
      </c>
      <c r="DE76" s="116" t="e">
        <f t="shared" si="389"/>
        <v>#DIV/0!</v>
      </c>
      <c r="DF76" s="118">
        <f t="shared" si="389"/>
        <v>0.325622009569378</v>
      </c>
      <c r="DG76" s="116" t="e">
        <f t="shared" si="389"/>
        <v>#DIV/0!</v>
      </c>
      <c r="DH76" s="116" t="e">
        <f t="shared" si="389"/>
        <v>#DIV/0!</v>
      </c>
      <c r="DI76" s="116" t="e">
        <f t="shared" si="389"/>
        <v>#DIV/0!</v>
      </c>
      <c r="DJ76" s="116" t="e">
        <f t="shared" si="389"/>
        <v>#DIV/0!</v>
      </c>
      <c r="DK76" s="116" t="e">
        <f t="shared" si="389"/>
        <v>#DIV/0!</v>
      </c>
      <c r="DL76" s="116" t="e">
        <f t="shared" si="389"/>
        <v>#DIV/0!</v>
      </c>
      <c r="DM76" s="116" t="e">
        <f t="shared" si="389"/>
        <v>#DIV/0!</v>
      </c>
      <c r="DN76" s="116" t="e">
        <f t="shared" si="389"/>
        <v>#DIV/0!</v>
      </c>
      <c r="DO76" s="116" t="e">
        <f t="shared" si="389"/>
        <v>#DIV/0!</v>
      </c>
      <c r="DP76" s="116" t="e">
        <f t="shared" si="389"/>
        <v>#DIV/0!</v>
      </c>
      <c r="DQ76" s="116" t="e">
        <f t="shared" si="389"/>
        <v>#DIV/0!</v>
      </c>
      <c r="DR76" s="116" t="e">
        <f t="shared" si="389"/>
        <v>#DIV/0!</v>
      </c>
      <c r="DS76" s="116" t="e">
        <f t="shared" si="389"/>
        <v>#DIV/0!</v>
      </c>
      <c r="DT76" s="116" t="e">
        <f t="shared" si="389"/>
        <v>#DIV/0!</v>
      </c>
      <c r="DU76" s="116" t="e">
        <f t="shared" si="389"/>
        <v>#DIV/0!</v>
      </c>
      <c r="DV76" s="116" t="e">
        <f t="shared" si="389"/>
        <v>#DIV/0!</v>
      </c>
      <c r="DW76" s="116" t="e">
        <f t="shared" si="389"/>
        <v>#DIV/0!</v>
      </c>
      <c r="DX76" s="116" t="e">
        <f t="shared" si="389"/>
        <v>#DIV/0!</v>
      </c>
      <c r="DY76" s="116" t="e">
        <f t="shared" si="389"/>
        <v>#DIV/0!</v>
      </c>
      <c r="DZ76" s="116" t="e">
        <f t="shared" si="389"/>
        <v>#DIV/0!</v>
      </c>
      <c r="EA76" s="116" t="e">
        <f t="shared" si="389"/>
        <v>#DIV/0!</v>
      </c>
      <c r="EB76" s="116" t="e">
        <f t="shared" si="389"/>
        <v>#DIV/0!</v>
      </c>
      <c r="EC76" s="116" t="e">
        <f t="shared" si="389"/>
        <v>#DIV/0!</v>
      </c>
      <c r="ED76" s="116" t="e">
        <f t="shared" si="389"/>
        <v>#DIV/0!</v>
      </c>
      <c r="EE76" s="116" t="e">
        <f t="shared" si="389"/>
        <v>#DIV/0!</v>
      </c>
      <c r="EF76" s="116" t="e">
        <f t="shared" si="389"/>
        <v>#DIV/0!</v>
      </c>
      <c r="EG76" s="116" t="e">
        <f t="shared" si="389"/>
        <v>#DIV/0!</v>
      </c>
      <c r="EH76" s="116">
        <f t="shared" si="389"/>
        <v>0.34460843373494</v>
      </c>
      <c r="EI76" s="116">
        <f t="shared" ref="EI76:FM76" si="390">EI74/EI75</f>
        <v>0.326030534351145</v>
      </c>
      <c r="EJ76" s="116">
        <f t="shared" si="390"/>
        <v>0.299132231404959</v>
      </c>
      <c r="EK76" s="118">
        <f t="shared" si="390"/>
        <v>0.378905305574211</v>
      </c>
      <c r="EL76" s="116">
        <f t="shared" si="390"/>
        <v>0.295</v>
      </c>
      <c r="EM76" s="116">
        <f t="shared" si="390"/>
        <v>0.288165467625899</v>
      </c>
      <c r="EN76" s="116">
        <f t="shared" si="390"/>
        <v>0.314418604651163</v>
      </c>
      <c r="EO76" s="116">
        <f t="shared" si="390"/>
        <v>0.304845360824742</v>
      </c>
      <c r="EP76" s="116">
        <f t="shared" si="390"/>
        <v>0.303787375415282</v>
      </c>
      <c r="EQ76" s="116">
        <f t="shared" si="390"/>
        <v>0.3025</v>
      </c>
      <c r="ER76" s="116">
        <f t="shared" si="390"/>
        <v>0.295726872246696</v>
      </c>
      <c r="ES76" s="116">
        <f t="shared" si="390"/>
        <v>0.315016835016835</v>
      </c>
      <c r="ET76" s="116">
        <f t="shared" si="390"/>
        <v>0.307617647058824</v>
      </c>
      <c r="EU76" s="116">
        <f t="shared" si="390"/>
        <v>0.333018867924528</v>
      </c>
      <c r="EV76" s="116">
        <f t="shared" si="390"/>
        <v>0.336748633879781</v>
      </c>
      <c r="EW76" s="116">
        <f t="shared" si="390"/>
        <v>0.367010050251256</v>
      </c>
      <c r="EX76" s="116">
        <f t="shared" si="390"/>
        <v>0.395612648221344</v>
      </c>
      <c r="EY76" s="116">
        <f t="shared" si="390"/>
        <v>0.39719696969697</v>
      </c>
      <c r="EZ76" s="116">
        <f t="shared" si="390"/>
        <v>0.401468926553672</v>
      </c>
      <c r="FA76" s="116">
        <f t="shared" si="390"/>
        <v>0.342387096774194</v>
      </c>
      <c r="FB76" s="116">
        <f t="shared" si="390"/>
        <v>0.387282229965157</v>
      </c>
      <c r="FC76" s="116">
        <f t="shared" si="390"/>
        <v>0.381970443349754</v>
      </c>
      <c r="FD76" s="116">
        <f t="shared" si="390"/>
        <v>0.347161290322581</v>
      </c>
      <c r="FE76" s="116">
        <f t="shared" si="390"/>
        <v>0.389526813880126</v>
      </c>
      <c r="FF76" s="116">
        <f t="shared" si="390"/>
        <v>0.512522935779817</v>
      </c>
      <c r="FG76" s="116">
        <f t="shared" si="390"/>
        <v>0.505961538461538</v>
      </c>
      <c r="FH76" s="116">
        <f t="shared" si="390"/>
        <v>0.425064935064935</v>
      </c>
      <c r="FI76" s="116">
        <f t="shared" si="390"/>
        <v>0.378592964824121</v>
      </c>
      <c r="FJ76" s="116">
        <f t="shared" si="390"/>
        <v>0.464928571428571</v>
      </c>
      <c r="FK76" s="116">
        <f t="shared" si="390"/>
        <v>0.487777777777778</v>
      </c>
      <c r="FL76" s="116">
        <f t="shared" si="390"/>
        <v>0.489272030651341</v>
      </c>
      <c r="FM76" s="116">
        <f t="shared" si="390"/>
        <v>0.398425655976676</v>
      </c>
      <c r="FN76" s="116">
        <f t="shared" ref="FN76:GI76" si="391">FN74/FN75</f>
        <v>0.572460732984293</v>
      </c>
      <c r="FO76" s="116">
        <f t="shared" si="391"/>
        <v>0.581477272727273</v>
      </c>
      <c r="FP76" s="116">
        <f t="shared" si="391"/>
        <v>0.392428940568475</v>
      </c>
      <c r="FQ76" s="118">
        <f t="shared" si="391"/>
        <v>0.490714665249734</v>
      </c>
      <c r="FR76" s="116">
        <f t="shared" si="391"/>
        <v>0.458024691358025</v>
      </c>
      <c r="FS76" s="116">
        <f t="shared" si="391"/>
        <v>0.590223880597015</v>
      </c>
      <c r="FT76" s="116">
        <f t="shared" si="391"/>
        <v>0.504736842105263</v>
      </c>
      <c r="FU76" s="116">
        <f t="shared" si="391"/>
        <v>0.523497267759563</v>
      </c>
      <c r="FV76" s="116">
        <f t="shared" si="391"/>
        <v>0.58968253968254</v>
      </c>
      <c r="FW76" s="116">
        <f t="shared" si="391"/>
        <v>0.508391304347826</v>
      </c>
      <c r="FX76" s="116">
        <f t="shared" si="391"/>
        <v>0.422304832713755</v>
      </c>
      <c r="FY76" s="116">
        <f t="shared" si="391"/>
        <v>0.536305418719212</v>
      </c>
      <c r="FZ76" s="116">
        <f t="shared" si="391"/>
        <v>0.515989304812834</v>
      </c>
      <c r="GA76" s="116">
        <f t="shared" si="391"/>
        <v>0.488720930232558</v>
      </c>
      <c r="GB76" s="116">
        <f t="shared" si="391"/>
        <v>0.556772151898734</v>
      </c>
      <c r="GC76" s="116">
        <f t="shared" si="391"/>
        <v>0.708360655737705</v>
      </c>
      <c r="GD76" s="116">
        <f t="shared" si="391"/>
        <v>0.416026200873362</v>
      </c>
      <c r="GE76" s="116">
        <f t="shared" si="391"/>
        <v>0.444439252336449</v>
      </c>
      <c r="GF76" s="116">
        <f t="shared" si="391"/>
        <v>0.626766917293233</v>
      </c>
      <c r="GG76" s="116">
        <f t="shared" si="391"/>
        <v>0.621567164179105</v>
      </c>
      <c r="GH76" s="116">
        <f t="shared" si="391"/>
        <v>0.542797202797203</v>
      </c>
      <c r="GI76" s="116">
        <f t="shared" si="391"/>
        <v>0.578205128205128</v>
      </c>
      <c r="GJ76" s="116">
        <f t="shared" ref="GJ76:GP76" si="392">GJ74/GJ75</f>
        <v>0.397894736842105</v>
      </c>
      <c r="GK76" s="116">
        <f t="shared" si="392"/>
        <v>0.406825396825397</v>
      </c>
      <c r="GL76" s="116">
        <f t="shared" si="392"/>
        <v>0.378006756756757</v>
      </c>
      <c r="GM76" s="116" t="e">
        <f t="shared" si="392"/>
        <v>#DIV/0!</v>
      </c>
      <c r="GN76" s="116" t="e">
        <f t="shared" si="392"/>
        <v>#DIV/0!</v>
      </c>
      <c r="GO76" s="116" t="e">
        <f t="shared" si="392"/>
        <v>#DIV/0!</v>
      </c>
      <c r="GP76" s="116" t="e">
        <f t="shared" si="392"/>
        <v>#DIV/0!</v>
      </c>
    </row>
    <row r="77" s="47" customFormat="1" ht="15" hidden="1" customHeight="1" spans="2:198">
      <c r="B77" s="112"/>
      <c r="C77" s="113" t="s">
        <v>23</v>
      </c>
      <c r="D77" s="114" t="e">
        <f>SUM(E77:P77)</f>
        <v>#REF!</v>
      </c>
      <c r="E77" s="115" t="e">
        <f>#REF!</f>
        <v>#REF!</v>
      </c>
      <c r="F77" s="115" t="e">
        <f>#REF!</f>
        <v>#REF!</v>
      </c>
      <c r="G77" s="115" t="e">
        <f>#REF!</f>
        <v>#REF!</v>
      </c>
      <c r="H77" s="115" t="e">
        <f>#REF!</f>
        <v>#REF!</v>
      </c>
      <c r="I77" s="115" t="e">
        <f>#REF!</f>
        <v>#REF!</v>
      </c>
      <c r="J77" s="115" t="e">
        <f>#REF!</f>
        <v>#REF!</v>
      </c>
      <c r="K77" s="115" t="e">
        <f>#REF!</f>
        <v>#REF!</v>
      </c>
      <c r="L77" s="115" t="e">
        <f>#REF!</f>
        <v>#REF!</v>
      </c>
      <c r="M77" s="115" t="e">
        <f>#REF!</f>
        <v>#REF!</v>
      </c>
      <c r="N77" s="115" t="e">
        <f>#REF!</f>
        <v>#REF!</v>
      </c>
      <c r="O77" s="115" t="e">
        <f>#REF!</f>
        <v>#REF!</v>
      </c>
      <c r="P77" s="115" t="e">
        <f>#REF!</f>
        <v>#REF!</v>
      </c>
      <c r="Q77" s="65">
        <f>SUM(R77:AV77)</f>
        <v>26</v>
      </c>
      <c r="R77" s="115">
        <f>SUMIFS(商品数据源!$AB:$AB,商品数据源!$A:$A,$B$74,商品数据源!$B:$B,R2)</f>
        <v>2</v>
      </c>
      <c r="S77" s="115">
        <f>SUMIFS(商品数据源!$AB:$AB,商品数据源!$A:$A,$B$74,商品数据源!$B:$B,S2)</f>
        <v>6</v>
      </c>
      <c r="T77" s="115">
        <f>SUMIFS(商品数据源!$AB:$AB,商品数据源!$A:$A,$B$74,商品数据源!$B:$B,T2)</f>
        <v>3</v>
      </c>
      <c r="U77" s="115">
        <f>SUMIFS(商品数据源!$AB:$AB,商品数据源!$A:$A,$B$74,商品数据源!$B:$B,U2)</f>
        <v>1</v>
      </c>
      <c r="V77" s="115">
        <f>SUMIFS(商品数据源!$AB:$AB,商品数据源!$A:$A,$B$74,商品数据源!$B:$B,V2)</f>
        <v>1</v>
      </c>
      <c r="W77" s="115">
        <f>SUMIFS(商品数据源!$AB:$AB,商品数据源!$A:$A,$B$74,商品数据源!$B:$B,W2)</f>
        <v>3</v>
      </c>
      <c r="X77" s="115">
        <f>SUMIFS(商品数据源!$AB:$AB,商品数据源!$A:$A,$B$74,商品数据源!$B:$B,X2)</f>
        <v>1</v>
      </c>
      <c r="Y77" s="115">
        <f>SUMIFS(商品数据源!$AB:$AB,商品数据源!$A:$A,$B$74,商品数据源!$B:$B,Y2)</f>
        <v>0</v>
      </c>
      <c r="Z77" s="115">
        <f>SUMIFS(商品数据源!$AB:$AB,商品数据源!$A:$A,$B$74,商品数据源!$B:$B,Z2)</f>
        <v>0</v>
      </c>
      <c r="AA77" s="115">
        <f>SUMIFS(商品数据源!$AB:$AB,商品数据源!$A:$A,$B$74,商品数据源!$B:$B,AA2)</f>
        <v>2</v>
      </c>
      <c r="AB77" s="115">
        <f>SUMIFS(商品数据源!$AB:$AB,商品数据源!$A:$A,$B$74,商品数据源!$B:$B,AB2)</f>
        <v>0</v>
      </c>
      <c r="AC77" s="115">
        <f>SUMIFS(商品数据源!$AB:$AB,商品数据源!$A:$A,$B$74,商品数据源!$B:$B,AC2)</f>
        <v>1</v>
      </c>
      <c r="AD77" s="115">
        <f>SUMIFS(商品数据源!$AB:$AB,商品数据源!$A:$A,$B$74,商品数据源!$B:$B,AD2)</f>
        <v>1</v>
      </c>
      <c r="AE77" s="115">
        <f>SUMIFS(商品数据源!$AB:$AB,商品数据源!$A:$A,$B$74,商品数据源!$B:$B,AE2)</f>
        <v>0</v>
      </c>
      <c r="AF77" s="115">
        <f>SUMIFS(商品数据源!$AB:$AB,商品数据源!$A:$A,$B$74,商品数据源!$B:$B,AF2)</f>
        <v>0</v>
      </c>
      <c r="AG77" s="115">
        <f>SUMIFS(商品数据源!$AB:$AB,商品数据源!$A:$A,$B$74,商品数据源!$B:$B,AG2)</f>
        <v>2</v>
      </c>
      <c r="AH77" s="115">
        <f>SUMIFS(商品数据源!$AB:$AB,商品数据源!$A:$A,$B$74,商品数据源!$B:$B,AH2)</f>
        <v>1</v>
      </c>
      <c r="AI77" s="115">
        <f>SUMIFS(商品数据源!$AB:$AB,商品数据源!$A:$A,$B$74,商品数据源!$B:$B,AI2)</f>
        <v>2</v>
      </c>
      <c r="AJ77" s="115">
        <f>SUMIFS(商品数据源!$AB:$AB,商品数据源!$A:$A,$B$74,商品数据源!$B:$B,AJ2)</f>
        <v>0</v>
      </c>
      <c r="AK77" s="115">
        <f>SUMIFS(商品数据源!$AB:$AB,商品数据源!$A:$A,$B$74,商品数据源!$B:$B,AK2)</f>
        <v>0</v>
      </c>
      <c r="AL77" s="115">
        <f>SUMIFS(商品数据源!$AB:$AB,商品数据源!$A:$A,$B$74,商品数据源!$B:$B,AL2)</f>
        <v>0</v>
      </c>
      <c r="AM77" s="115">
        <f>SUMIFS(商品数据源!$AB:$AB,商品数据源!$A:$A,$B$74,商品数据源!$B:$B,AM2)</f>
        <v>0</v>
      </c>
      <c r="AN77" s="115">
        <f>SUMIFS(商品数据源!$AB:$AB,商品数据源!$A:$A,$B$74,商品数据源!$B:$B,AN2)</f>
        <v>0</v>
      </c>
      <c r="AO77" s="115">
        <f>SUMIFS(商品数据源!$AB:$AB,商品数据源!$A:$A,$B$74,商品数据源!$B:$B,AO2)</f>
        <v>0</v>
      </c>
      <c r="AP77" s="115">
        <f>SUMIFS(商品数据源!$AB:$AB,商品数据源!$A:$A,$B$74,商品数据源!$B:$B,AP2)</f>
        <v>0</v>
      </c>
      <c r="AQ77" s="115">
        <f>SUMIFS(商品数据源!$AB:$AB,商品数据源!$A:$A,$B$74,商品数据源!$B:$B,AQ2)</f>
        <v>0</v>
      </c>
      <c r="AR77" s="115">
        <f>SUMIFS(商品数据源!$AB:$AB,商品数据源!$A:$A,$B$74,商品数据源!$B:$B,AR2)</f>
        <v>0</v>
      </c>
      <c r="AS77" s="115">
        <f>SUMIFS(商品数据源!$AB:$AB,商品数据源!$A:$A,$B$74,商品数据源!$B:$B,AS2)</f>
        <v>0</v>
      </c>
      <c r="AT77" s="115">
        <f>SUMIFS(商品数据源!$AB:$AB,商品数据源!$A:$A,$B$74,商品数据源!$B:$B,AT2)</f>
        <v>0</v>
      </c>
      <c r="AU77" s="115">
        <f>SUMIFS(商品数据源!$AB:$AB,商品数据源!$A:$A,$B$74,商品数据源!$B:$B,AU2)</f>
        <v>0</v>
      </c>
      <c r="AV77" s="115">
        <f>SUMIFS(商品数据源!$AB:$AB,商品数据源!$A:$A,$B$74,商品数据源!$B:$B,AV2)</f>
        <v>0</v>
      </c>
      <c r="AW77" s="65">
        <f>SUM(AX77:BY77)</f>
        <v>0</v>
      </c>
      <c r="AX77" s="115">
        <f>SUMIFS(商品数据源!$AB:$AB,商品数据源!$A:$A,$B$74,商品数据源!$B:$B,AX2)</f>
        <v>0</v>
      </c>
      <c r="AY77" s="115">
        <f>SUMIFS(商品数据源!$AB:$AB,商品数据源!$A:$A,$B$74,商品数据源!$B:$B,AY2)</f>
        <v>0</v>
      </c>
      <c r="AZ77" s="115">
        <f>SUMIFS(商品数据源!$AB:$AB,商品数据源!$A:$A,$B$74,商品数据源!$B:$B,AZ2)</f>
        <v>0</v>
      </c>
      <c r="BA77" s="115">
        <f>SUMIFS(商品数据源!$AB:$AB,商品数据源!$A:$A,$B$74,商品数据源!$B:$B,BA2)</f>
        <v>0</v>
      </c>
      <c r="BB77" s="115">
        <f>SUMIFS(商品数据源!$AB:$AB,商品数据源!$A:$A,$B$74,商品数据源!$B:$B,BB2)</f>
        <v>0</v>
      </c>
      <c r="BC77" s="115">
        <f>SUMIFS(商品数据源!$AB:$AB,商品数据源!$A:$A,$B$74,商品数据源!$B:$B,BC2)</f>
        <v>0</v>
      </c>
      <c r="BD77" s="115">
        <f>SUMIFS(商品数据源!$AB:$AB,商品数据源!$A:$A,$B$74,商品数据源!$B:$B,BD2)</f>
        <v>0</v>
      </c>
      <c r="BE77" s="115">
        <f>SUMIFS(商品数据源!$AB:$AB,商品数据源!$A:$A,$B$74,商品数据源!$B:$B,BE2)</f>
        <v>0</v>
      </c>
      <c r="BF77" s="115">
        <f>SUMIFS(商品数据源!$AB:$AB,商品数据源!$A:$A,$B$74,商品数据源!$B:$B,BF2)</f>
        <v>0</v>
      </c>
      <c r="BG77" s="115">
        <f>SUMIFS(商品数据源!$AB:$AB,商品数据源!$A:$A,$B$74,商品数据源!$B:$B,BG2)</f>
        <v>0</v>
      </c>
      <c r="BH77" s="115">
        <f>SUMIFS(商品数据源!$AB:$AB,商品数据源!$A:$A,$B$74,商品数据源!$B:$B,BH2)</f>
        <v>0</v>
      </c>
      <c r="BI77" s="115">
        <f>SUMIFS(商品数据源!$AB:$AB,商品数据源!$A:$A,$B$74,商品数据源!$B:$B,BI2)</f>
        <v>0</v>
      </c>
      <c r="BJ77" s="115">
        <f>SUMIFS(商品数据源!$AB:$AB,商品数据源!$A:$A,$B$74,商品数据源!$B:$B,BJ2)</f>
        <v>0</v>
      </c>
      <c r="BK77" s="115">
        <f>SUMIFS(商品数据源!$AB:$AB,商品数据源!$A:$A,$B$74,商品数据源!$B:$B,BK2)</f>
        <v>0</v>
      </c>
      <c r="BL77" s="115"/>
      <c r="BM77" s="115"/>
      <c r="BN77" s="115"/>
      <c r="BO77" s="115"/>
      <c r="BP77" s="115">
        <f>SUMIFS(商品数据源!$AB:$AB,商品数据源!$A:$A,$B$74,商品数据源!$B:$B,BP2)</f>
        <v>0</v>
      </c>
      <c r="BQ77" s="115">
        <f>SUMIFS(商品数据源!$AB:$AB,商品数据源!$A:$A,$B$74,商品数据源!$B:$B,BQ2)</f>
        <v>0</v>
      </c>
      <c r="BR77" s="115">
        <f>SUMIFS(商品数据源!$AB:$AB,商品数据源!$A:$A,$B$74,商品数据源!$B:$B,BR2)</f>
        <v>0</v>
      </c>
      <c r="BS77" s="115">
        <f>SUMIFS(商品数据源!$AB:$AB,商品数据源!$A:$A,$B$74,商品数据源!$B:$B,BS2)</f>
        <v>0</v>
      </c>
      <c r="BT77" s="115">
        <f>SUMIFS(商品数据源!$AB:$AB,商品数据源!$A:$A,$B$74,商品数据源!$B:$B,BT2)</f>
        <v>0</v>
      </c>
      <c r="BU77" s="115">
        <f>SUMIFS(商品数据源!$AB:$AB,商品数据源!$A:$A,$B$74,商品数据源!$B:$B,BU2)</f>
        <v>0</v>
      </c>
      <c r="BV77" s="115">
        <f>SUMIFS(商品数据源!$AB:$AB,商品数据源!$A:$A,$B$74,商品数据源!$B:$B,BV2)</f>
        <v>0</v>
      </c>
      <c r="BW77" s="115">
        <f>SUMIFS(商品数据源!$AB:$AB,商品数据源!$A:$A,$B$74,商品数据源!$B:$B,BW2)</f>
        <v>0</v>
      </c>
      <c r="BX77" s="115">
        <f>SUMIFS(商品数据源!$AB:$AB,商品数据源!$A:$A,$B$74,商品数据源!$B:$B,BX2)</f>
        <v>0</v>
      </c>
      <c r="BY77" s="115">
        <f>SUMIFS(商品数据源!$AB:$AB,商品数据源!$A:$A,$B$74,商品数据源!$B:$B,BY2)</f>
        <v>0</v>
      </c>
      <c r="BZ77" s="65">
        <f>SUM(CA77:DE77)</f>
        <v>32</v>
      </c>
      <c r="CA77" s="115">
        <f>SUMIFS(商品数据源!$AB:$AB,商品数据源!$A:$A,$B$74,商品数据源!$B:$B,CA2)</f>
        <v>0</v>
      </c>
      <c r="CB77" s="115">
        <f>SUMIFS(商品数据源!$AB:$AB,商品数据源!$A:$A,$B$74,商品数据源!$B:$B,CB2)</f>
        <v>0</v>
      </c>
      <c r="CC77" s="115">
        <f>SUMIFS(商品数据源!$AB:$AB,商品数据源!$A:$A,$B$74,商品数据源!$B:$B,CC2)</f>
        <v>0</v>
      </c>
      <c r="CD77" s="115">
        <f>SUMIFS(商品数据源!$AB:$AB,商品数据源!$A:$A,$B$74,商品数据源!$B:$B,CD2)</f>
        <v>0</v>
      </c>
      <c r="CE77" s="115">
        <f>SUMIFS(商品数据源!$AB:$AB,商品数据源!$A:$A,$B$74,商品数据源!$B:$B,CE2)</f>
        <v>0</v>
      </c>
      <c r="CF77" s="115">
        <f>SUMIFS(商品数据源!$AB:$AB,商品数据源!$A:$A,$B$74,商品数据源!$B:$B,CF2)</f>
        <v>0</v>
      </c>
      <c r="CG77" s="115">
        <f>SUMIFS(商品数据源!$AB:$AB,商品数据源!$A:$A,$B$74,商品数据源!$B:$B,CG2)</f>
        <v>0</v>
      </c>
      <c r="CH77" s="115">
        <f>SUMIFS(商品数据源!$AB:$AB,商品数据源!$A:$A,$B$74,商品数据源!$B:$B,CH2)</f>
        <v>0</v>
      </c>
      <c r="CI77" s="115">
        <f>SUMIFS(商品数据源!$AB:$AB,商品数据源!$A:$A,$B$74,商品数据源!$B:$B,CI2)</f>
        <v>0</v>
      </c>
      <c r="CJ77" s="115">
        <f>SUMIFS(商品数据源!$AB:$AB,商品数据源!$A:$A,$B$74,商品数据源!$B:$B,CJ2)</f>
        <v>0</v>
      </c>
      <c r="CK77" s="115">
        <f>SUMIFS(商品数据源!$AB:$AB,商品数据源!$A:$A,$B$74,商品数据源!$B:$B,CK2)</f>
        <v>0</v>
      </c>
      <c r="CL77" s="115">
        <f>SUMIFS(商品数据源!$AB:$AB,商品数据源!$A:$A,$B$74,商品数据源!$B:$B,CL2)</f>
        <v>0</v>
      </c>
      <c r="CM77" s="115">
        <f>SUMIFS(商品数据源!$AB:$AB,商品数据源!$A:$A,$B$74,商品数据源!$B:$B,CM2)</f>
        <v>0</v>
      </c>
      <c r="CN77" s="115">
        <f>SUMIFS(商品数据源!$AB:$AB,商品数据源!$A:$A,$B$74,商品数据源!$B:$B,CN2)</f>
        <v>0</v>
      </c>
      <c r="CO77" s="115">
        <f>SUMIFS(商品数据源!$AB:$AB,商品数据源!$A:$A,$B$74,商品数据源!$B:$B,CO2)</f>
        <v>0</v>
      </c>
      <c r="CP77" s="115">
        <f>SUMIFS(商品数据源!$AB:$AB,商品数据源!$A:$A,$B$74,商品数据源!$B:$B,CP2)</f>
        <v>0</v>
      </c>
      <c r="CQ77" s="115">
        <f>SUMIFS(商品数据源!$AB:$AB,商品数据源!$A:$A,$B$74,商品数据源!$B:$B,CQ2)</f>
        <v>0</v>
      </c>
      <c r="CR77" s="115">
        <f>SUMIFS(商品数据源!$AB:$AB,商品数据源!$A:$A,$B$74,商品数据源!$B:$B,CR2)</f>
        <v>0</v>
      </c>
      <c r="CS77" s="115">
        <f>SUMIFS(商品数据源!$AB:$AB,商品数据源!$A:$A,$B$74,商品数据源!$B:$B,CS2)</f>
        <v>3</v>
      </c>
      <c r="CT77" s="115">
        <f>SUMIFS(商品数据源!$AB:$AB,商品数据源!$A:$A,$B$74,商品数据源!$B:$B,CT2)</f>
        <v>5</v>
      </c>
      <c r="CU77" s="115">
        <f>SUMIFS(商品数据源!$AB:$AB,商品数据源!$A:$A,$B$74,商品数据源!$B:$B,CU2)</f>
        <v>0</v>
      </c>
      <c r="CV77" s="115">
        <f>SUMIFS(商品数据源!$AB:$AB,商品数据源!$A:$A,$B$74,商品数据源!$B:$B,CV2)</f>
        <v>0</v>
      </c>
      <c r="CW77" s="115">
        <f>SUMIFS(商品数据源!$AB:$AB,商品数据源!$A:$A,$B$74,商品数据源!$B:$B,CW2)</f>
        <v>3</v>
      </c>
      <c r="CX77" s="115">
        <f>SUMIFS(商品数据源!$AB:$AB,商品数据源!$A:$A,$B$74,商品数据源!$B:$B,CX2)</f>
        <v>12</v>
      </c>
      <c r="CY77" s="115">
        <f>SUMIFS(商品数据源!$AB:$AB,商品数据源!$A:$A,$B$74,商品数据源!$B:$B,CY2)</f>
        <v>4</v>
      </c>
      <c r="CZ77" s="115">
        <f>SUMIFS(商品数据源!$AB:$AB,商品数据源!$A:$A,$B$74,商品数据源!$B:$B,CZ2)</f>
        <v>5</v>
      </c>
      <c r="DA77" s="115">
        <f>SUMIFS(商品数据源!$AB:$AB,商品数据源!$A:$A,$B$74,商品数据源!$B:$B,DA2)</f>
        <v>0</v>
      </c>
      <c r="DB77" s="115">
        <f>SUMIFS(商品数据源!$AB:$AB,商品数据源!$A:$A,$B$74,商品数据源!$B:$B,DB2)</f>
        <v>0</v>
      </c>
      <c r="DC77" s="115">
        <f>SUMIFS(商品数据源!$AB:$AB,商品数据源!$A:$A,$B$74,商品数据源!$B:$B,DC2)</f>
        <v>0</v>
      </c>
      <c r="DD77" s="115">
        <f>SUMIFS(商品数据源!$AB:$AB,商品数据源!$A:$A,$B$74,商品数据源!$B:$B,DD2)</f>
        <v>0</v>
      </c>
      <c r="DE77" s="115">
        <f>SUMIFS(商品数据源!$AB:$AB,商品数据源!$A:$A,$B$74,商品数据源!$B:$B,DE2)</f>
        <v>0</v>
      </c>
      <c r="DF77" s="65">
        <f>SUM(DG77:EJ77)</f>
        <v>15</v>
      </c>
      <c r="DG77" s="115">
        <f>SUMIFS(商品数据源!$AB:$AB,商品数据源!$A:$A,$B$74,商品数据源!$B:$B,DG2)</f>
        <v>0</v>
      </c>
      <c r="DH77" s="115">
        <f>SUMIFS(商品数据源!$AB:$AB,商品数据源!$A:$A,$B$74,商品数据源!$B:$B,DH2)</f>
        <v>0</v>
      </c>
      <c r="DI77" s="115">
        <f>SUMIFS(商品数据源!$AB:$AB,商品数据源!$A:$A,$B$74,商品数据源!$B:$B,DI2)</f>
        <v>0</v>
      </c>
      <c r="DJ77" s="115">
        <f>SUMIFS(商品数据源!$AB:$AB,商品数据源!$A:$A,$B$74,商品数据源!$B:$B,DJ2)</f>
        <v>0</v>
      </c>
      <c r="DK77" s="115">
        <f>SUMIFS(商品数据源!$AB:$AB,商品数据源!$A:$A,$B$74,商品数据源!$B:$B,DK2)</f>
        <v>0</v>
      </c>
      <c r="DL77" s="115">
        <f>SUMIFS(商品数据源!$AB:$AB,商品数据源!$A:$A,$B$74,商品数据源!$B:$B,DL2)</f>
        <v>0</v>
      </c>
      <c r="DM77" s="115">
        <f>SUMIFS(商品数据源!$AB:$AB,商品数据源!$A:$A,$B$74,商品数据源!$B:$B,DM2)</f>
        <v>0</v>
      </c>
      <c r="DN77" s="115">
        <f>SUMIFS(商品数据源!$AB:$AB,商品数据源!$A:$A,$B$74,商品数据源!$B:$B,DN2)</f>
        <v>0</v>
      </c>
      <c r="DO77" s="115">
        <f>SUMIFS(商品数据源!$AB:$AB,商品数据源!$A:$A,$B$74,商品数据源!$B:$B,DO2)</f>
        <v>0</v>
      </c>
      <c r="DP77" s="115">
        <f>SUMIFS(商品数据源!$AB:$AB,商品数据源!$A:$A,$B$74,商品数据源!$B:$B,DP2)</f>
        <v>0</v>
      </c>
      <c r="DQ77" s="115">
        <f>SUMIFS(商品数据源!$AB:$AB,商品数据源!$A:$A,$B$74,商品数据源!$B:$B,DQ2)</f>
        <v>0</v>
      </c>
      <c r="DR77" s="115">
        <f>SUMIFS(商品数据源!$AB:$AB,商品数据源!$A:$A,$B$74,商品数据源!$B:$B,DR2)</f>
        <v>0</v>
      </c>
      <c r="DS77" s="115">
        <f>SUMIFS(商品数据源!$AB:$AB,商品数据源!$A:$A,$B$74,商品数据源!$B:$B,DS2)</f>
        <v>0</v>
      </c>
      <c r="DT77" s="115">
        <f>SUMIFS(商品数据源!$AB:$AB,商品数据源!$A:$A,$B$74,商品数据源!$B:$B,DT2)</f>
        <v>0</v>
      </c>
      <c r="DU77" s="115">
        <f>SUMIFS(商品数据源!$AB:$AB,商品数据源!$A:$A,$B$74,商品数据源!$B:$B,DU2)</f>
        <v>0</v>
      </c>
      <c r="DV77" s="115">
        <f>SUMIFS(商品数据源!$AB:$AB,商品数据源!$A:$A,$B$74,商品数据源!$B:$B,DV2)</f>
        <v>0</v>
      </c>
      <c r="DW77" s="115">
        <f>SUMIFS(商品数据源!$AB:$AB,商品数据源!$A:$A,$B$74,商品数据源!$B:$B,DW2)</f>
        <v>0</v>
      </c>
      <c r="DX77" s="115">
        <f>SUMIFS(商品数据源!$AB:$AB,商品数据源!$A:$A,$B$74,商品数据源!$B:$B,DX2)</f>
        <v>0</v>
      </c>
      <c r="DY77" s="115">
        <f>SUMIFS(商品数据源!$AB:$AB,商品数据源!$A:$A,$B$74,商品数据源!$B:$B,DY2)</f>
        <v>0</v>
      </c>
      <c r="DZ77" s="115">
        <f>SUMIFS(商品数据源!$AB:$AB,商品数据源!$A:$A,$B$74,商品数据源!$B:$B,DZ2)</f>
        <v>0</v>
      </c>
      <c r="EA77" s="115">
        <f>SUMIFS(商品数据源!$AB:$AB,商品数据源!$A:$A,$B$74,商品数据源!$B:$B,EA2)</f>
        <v>0</v>
      </c>
      <c r="EB77" s="115">
        <f>SUMIFS(商品数据源!$AB:$AB,商品数据源!$A:$A,$B$74,商品数据源!$B:$B,EB2)</f>
        <v>0</v>
      </c>
      <c r="EC77" s="115">
        <f>SUMIFS(商品数据源!$AB:$AB,商品数据源!$A:$A,$B$74,商品数据源!$B:$B,EC2)</f>
        <v>0</v>
      </c>
      <c r="ED77" s="115">
        <f>SUMIFS(商品数据源!$AB:$AB,商品数据源!$A:$A,$B$74,商品数据源!$B:$B,ED2)</f>
        <v>0</v>
      </c>
      <c r="EE77" s="115">
        <f>SUMIFS(商品数据源!$AB:$AB,商品数据源!$A:$A,$B$74,商品数据源!$B:$B,EE2)</f>
        <v>0</v>
      </c>
      <c r="EF77" s="115">
        <f>SUMIFS(商品数据源!$AB:$AB,商品数据源!$A:$A,$B$74,商品数据源!$B:$B,EF2)</f>
        <v>0</v>
      </c>
      <c r="EG77" s="115">
        <f>SUMIFS(商品数据源!$AB:$AB,商品数据源!$A:$A,$B$74,商品数据源!$B:$B,EG2)</f>
        <v>0</v>
      </c>
      <c r="EH77" s="115">
        <f>SUMIFS(商品数据源!$AB:$AB,商品数据源!$A:$A,$B$74,商品数据源!$B:$B,EH2)</f>
        <v>9</v>
      </c>
      <c r="EI77" s="115">
        <f>SUMIFS(商品数据源!$AB:$AB,商品数据源!$A:$A,$B$74,商品数据源!$B:$B,EI2)</f>
        <v>6</v>
      </c>
      <c r="EJ77" s="115">
        <f>SUMIFS(商品数据源!$AB:$AB,商品数据源!$A:$A,$B$74,商品数据源!$B:$B,EJ2)</f>
        <v>0</v>
      </c>
      <c r="EK77" s="65">
        <f>SUM(EL77:FP77)</f>
        <v>208</v>
      </c>
      <c r="EL77" s="115">
        <f>SUMIFS(商品数据源!$AB:$AB,商品数据源!$A:$A,$B$74,商品数据源!$B:$B,EL2)</f>
        <v>10</v>
      </c>
      <c r="EM77" s="115">
        <f>SUMIFS(商品数据源!$AB:$AB,商品数据源!$A:$A,$B$74,商品数据源!$B:$B,EM2)</f>
        <v>5</v>
      </c>
      <c r="EN77" s="115">
        <f>SUMIFS(商品数据源!$AB:$AB,商品数据源!$A:$A,$B$74,商品数据源!$B:$B,EN2)</f>
        <v>5</v>
      </c>
      <c r="EO77" s="115">
        <f>SUMIFS(商品数据源!$AB:$AB,商品数据源!$A:$A,$B$74,商品数据源!$B:$B,EO2)</f>
        <v>9</v>
      </c>
      <c r="EP77" s="115">
        <f>SUMIFS(商品数据源!$AB:$AB,商品数据源!$A:$A,$B$74,商品数据源!$B:$B,EP2)</f>
        <v>8</v>
      </c>
      <c r="EQ77" s="115">
        <f>SUMIFS(商品数据源!$AB:$AB,商品数据源!$A:$A,$B$74,商品数据源!$B:$B,EQ2)</f>
        <v>4</v>
      </c>
      <c r="ER77" s="115">
        <f>SUMIFS(商品数据源!$AB:$AB,商品数据源!$A:$A,$B$74,商品数据源!$B:$B,ER2)</f>
        <v>16</v>
      </c>
      <c r="ES77" s="115">
        <f>SUMIFS(商品数据源!$AB:$AB,商品数据源!$A:$A,$B$74,商品数据源!$B:$B,ES2)</f>
        <v>8</v>
      </c>
      <c r="ET77" s="115">
        <f>SUMIFS(商品数据源!$AB:$AB,商品数据源!$A:$A,$B$74,商品数据源!$B:$B,ET2)</f>
        <v>6</v>
      </c>
      <c r="EU77" s="115">
        <f>SUMIFS(商品数据源!$AB:$AB,商品数据源!$A:$A,$B$74,商品数据源!$B:$B,EU2)</f>
        <v>6</v>
      </c>
      <c r="EV77" s="115">
        <f>SUMIFS(商品数据源!$AB:$AB,商品数据源!$A:$A,$B$74,商品数据源!$B:$B,EV2)</f>
        <v>11</v>
      </c>
      <c r="EW77" s="115">
        <f>SUMIFS(商品数据源!$AB:$AB,商品数据源!$A:$A,$B$74,商品数据源!$B:$B,EW2)</f>
        <v>8</v>
      </c>
      <c r="EX77" s="115">
        <f>SUMIFS(商品数据源!$AB:$AB,商品数据源!$A:$A,$B$74,商品数据源!$B:$B,EX2)</f>
        <v>4</v>
      </c>
      <c r="EY77" s="115">
        <f>SUMIFS(商品数据源!$AB:$AB,商品数据源!$A:$A,$B$74,商品数据源!$B:$B,EY2)</f>
        <v>13</v>
      </c>
      <c r="EZ77" s="115">
        <f>SUMIFS(商品数据源!$AB:$AB,商品数据源!$A:$A,$B$74,商品数据源!$B:$B,EZ2)</f>
        <v>10</v>
      </c>
      <c r="FA77" s="115">
        <f>SUMIFS(商品数据源!$AB:$AB,商品数据源!$A:$A,$B$74,商品数据源!$B:$B,FA2)</f>
        <v>9</v>
      </c>
      <c r="FB77" s="115">
        <f>SUMIFS(商品数据源!$AB:$AB,商品数据源!$A:$A,$B$74,商品数据源!$B:$B,FB2)</f>
        <v>4</v>
      </c>
      <c r="FC77" s="115">
        <f>SUMIFS(商品数据源!$AB:$AB,商品数据源!$A:$A,$B$74,商品数据源!$B:$B,FC2)</f>
        <v>4</v>
      </c>
      <c r="FD77" s="115">
        <f>SUMIFS(商品数据源!$AB:$AB,商品数据源!$A:$A,$B$74,商品数据源!$B:$B,FD2)</f>
        <v>4</v>
      </c>
      <c r="FE77" s="115">
        <f>SUMIFS(商品数据源!$AB:$AB,商品数据源!$A:$A,$B$74,商品数据源!$B:$B,FE2)</f>
        <v>6</v>
      </c>
      <c r="FF77" s="115">
        <f>SUMIFS(商品数据源!$AB:$AB,商品数据源!$A:$A,$B$74,商品数据源!$B:$B,FF2)</f>
        <v>5</v>
      </c>
      <c r="FG77" s="115">
        <f>SUMIFS(商品数据源!$AB:$AB,商品数据源!$A:$A,$B$74,商品数据源!$B:$B,FG2)</f>
        <v>4</v>
      </c>
      <c r="FH77" s="115">
        <f>SUMIFS(商品数据源!$AB:$AB,商品数据源!$A:$A,$B$74,商品数据源!$B:$B,FH2)</f>
        <v>8</v>
      </c>
      <c r="FI77" s="115">
        <f>SUMIFS(商品数据源!$AB:$AB,商品数据源!$A:$A,$B$74,商品数据源!$B:$B,FI2)</f>
        <v>4</v>
      </c>
      <c r="FJ77" s="115">
        <f>SUMIFS(商品数据源!$AB:$AB,商品数据源!$A:$A,$B$74,商品数据源!$B:$B,FJ2)</f>
        <v>10</v>
      </c>
      <c r="FK77" s="115">
        <f>SUMIFS(商品数据源!$AB:$AB,商品数据源!$A:$A,$B$74,商品数据源!$B:$B,FK2)</f>
        <v>7</v>
      </c>
      <c r="FL77" s="115">
        <f>SUMIFS(商品数据源!$AB:$AB,商品数据源!$A:$A,$B$74,商品数据源!$B:$B,FL2)</f>
        <v>5</v>
      </c>
      <c r="FM77" s="115">
        <f>SUMIFS(商品数据源!$AB:$AB,商品数据源!$A:$A,$B$74,商品数据源!$B:$B,FM2)</f>
        <v>7</v>
      </c>
      <c r="FN77" s="115">
        <f>SUMIFS(商品数据源!$AB:$AB,商品数据源!$A:$A,$B$74,商品数据源!$B:$B,FN2)</f>
        <v>4</v>
      </c>
      <c r="FO77" s="115">
        <f>SUMIFS(商品数据源!$AB:$AB,商品数据源!$A:$A,$B$74,商品数据源!$B:$B,FO2)</f>
        <v>1</v>
      </c>
      <c r="FP77" s="115">
        <f>SUMIFS(商品数据源!$AB:$AB,商品数据源!$A:$A,$B$74,商品数据源!$B:$B,FP2)</f>
        <v>3</v>
      </c>
      <c r="FQ77" s="65">
        <f t="shared" si="383"/>
        <v>122</v>
      </c>
      <c r="FR77" s="115">
        <f>SUMIFS(商品数据源!$AB:$AB,商品数据源!$A:$A,$B$74,商品数据源!$B:$B,FR2)</f>
        <v>3</v>
      </c>
      <c r="FS77" s="115">
        <f>SUMIFS(商品数据源!$AB:$AB,商品数据源!$A:$A,$B$74,商品数据源!$B:$B,FS2)</f>
        <v>1</v>
      </c>
      <c r="FT77" s="115">
        <f>SUMIFS(商品数据源!$AB:$AB,商品数据源!$A:$A,$B$74,商品数据源!$B:$B,FT2)</f>
        <v>5</v>
      </c>
      <c r="FU77" s="115">
        <f>SUMIFS(商品数据源!$AB:$AB,商品数据源!$A:$A,$B$74,商品数据源!$B:$B,FU2)</f>
        <v>5</v>
      </c>
      <c r="FV77" s="115">
        <f>SUMIFS(商品数据源!$AB:$AB,商品数据源!$A:$A,$B$74,商品数据源!$B:$B,FV2)</f>
        <v>2</v>
      </c>
      <c r="FW77" s="115">
        <f>SUMIFS(商品数据源!$AB:$AB,商品数据源!$A:$A,$B$74,商品数据源!$B:$B,FW2)</f>
        <v>12</v>
      </c>
      <c r="FX77" s="115">
        <f>SUMIFS(商品数据源!$AB:$AB,商品数据源!$A:$A,$B$74,商品数据源!$B:$B,FX2)</f>
        <v>9</v>
      </c>
      <c r="FY77" s="115">
        <f>SUMIFS(商品数据源!$AB:$AB,商品数据源!$A:$A,$B$74,商品数据源!$B:$B,FY2)</f>
        <v>6</v>
      </c>
      <c r="FZ77" s="115">
        <f>SUMIFS(商品数据源!$AB:$AB,商品数据源!$A:$A,$B$74,商品数据源!$B:$B,FZ2)</f>
        <v>5</v>
      </c>
      <c r="GA77" s="115">
        <f>SUMIFS(商品数据源!$AB:$AB,商品数据源!$A:$A,$B$74,商品数据源!$B:$B,GA2)</f>
        <v>4</v>
      </c>
      <c r="GB77" s="115">
        <f>SUMIFS(商品数据源!$AB:$AB,商品数据源!$A:$A,$B$74,商品数据源!$B:$B,GB2)</f>
        <v>2</v>
      </c>
      <c r="GC77" s="115">
        <f>SUMIFS(商品数据源!$AB:$AB,商品数据源!$A:$A,$B$74,商品数据源!$B:$B,GC2)</f>
        <v>1</v>
      </c>
      <c r="GD77" s="115">
        <f>SUMIFS(商品数据源!$AB:$AB,商品数据源!$A:$A,$B$74,商品数据源!$B:$B,GD2)</f>
        <v>7</v>
      </c>
      <c r="GE77" s="115">
        <f>SUMIFS(商品数据源!$AB:$AB,商品数据源!$A:$A,$B$74,商品数据源!$B:$B,GE2)</f>
        <v>4</v>
      </c>
      <c r="GF77" s="115">
        <f>SUMIFS(商品数据源!$AB:$AB,商品数据源!$A:$A,$B$74,商品数据源!$B:$B,GF2)</f>
        <v>7</v>
      </c>
      <c r="GG77" s="115">
        <f>SUMIFS(商品数据源!$AB:$AB,商品数据源!$A:$A,$B$74,商品数据源!$B:$B,GG2)</f>
        <v>21</v>
      </c>
      <c r="GH77" s="115">
        <f>SUMIFS(商品数据源!$AB:$AB,商品数据源!$A:$A,$B$74,商品数据源!$B:$B,GH2)</f>
        <v>3</v>
      </c>
      <c r="GI77" s="115">
        <f>SUMIFS(商品数据源!$AB:$AB,商品数据源!$A:$A,$B$74,商品数据源!$B:$B,GI2)</f>
        <v>5</v>
      </c>
      <c r="GJ77" s="115">
        <f>SUMIFS(商品数据源!$AB:$AB,商品数据源!$A:$A,$B$74,商品数据源!$B:$B,GJ2)</f>
        <v>8</v>
      </c>
      <c r="GK77" s="115">
        <f>SUMIFS(商品数据源!$AB:$AB,商品数据源!$A:$A,$B$74,商品数据源!$B:$B,GK2)</f>
        <v>6</v>
      </c>
      <c r="GL77" s="115">
        <f>SUMIFS(商品数据源!$AB:$AB,商品数据源!$A:$A,$B$74,商品数据源!$B:$B,GL2)</f>
        <v>6</v>
      </c>
      <c r="GM77" s="115">
        <f>SUMIFS(商品数据源!$AB:$AB,商品数据源!$A:$A,$B$74,商品数据源!$B:$B,GM2)</f>
        <v>0</v>
      </c>
      <c r="GN77" s="115">
        <f>SUMIFS(商品数据源!$AB:$AB,商品数据源!$A:$A,$B$74,商品数据源!$B:$B,GN2)</f>
        <v>0</v>
      </c>
      <c r="GO77" s="115">
        <f>SUMIFS(商品数据源!$AB:$AB,商品数据源!$A:$A,$B$74,商品数据源!$B:$B,GO2)</f>
        <v>0</v>
      </c>
      <c r="GP77" s="115">
        <f>SUMIFS(商品数据源!$AB:$AB,商品数据源!$A:$A,$B$74,商品数据源!$B:$B,GP2)</f>
        <v>0</v>
      </c>
    </row>
    <row r="78" s="47" customFormat="1" ht="15" hidden="1" customHeight="1" spans="2:198">
      <c r="B78" s="112"/>
      <c r="C78" s="113" t="s">
        <v>24</v>
      </c>
      <c r="D78" s="114" t="e">
        <f t="shared" ref="D78:X78" si="393">D74/D77</f>
        <v>#REF!</v>
      </c>
      <c r="E78" s="115" t="e">
        <f t="shared" si="393"/>
        <v>#REF!</v>
      </c>
      <c r="F78" s="115" t="e">
        <f t="shared" si="393"/>
        <v>#REF!</v>
      </c>
      <c r="G78" s="115" t="e">
        <f t="shared" si="393"/>
        <v>#REF!</v>
      </c>
      <c r="H78" s="115" t="e">
        <f t="shared" si="393"/>
        <v>#REF!</v>
      </c>
      <c r="I78" s="115" t="e">
        <f t="shared" si="393"/>
        <v>#REF!</v>
      </c>
      <c r="J78" s="115" t="e">
        <f t="shared" si="393"/>
        <v>#REF!</v>
      </c>
      <c r="K78" s="115" t="e">
        <f t="shared" si="393"/>
        <v>#REF!</v>
      </c>
      <c r="L78" s="115" t="e">
        <f t="shared" si="393"/>
        <v>#REF!</v>
      </c>
      <c r="M78" s="115" t="e">
        <f t="shared" si="393"/>
        <v>#REF!</v>
      </c>
      <c r="N78" s="115" t="e">
        <f t="shared" si="393"/>
        <v>#REF!</v>
      </c>
      <c r="O78" s="115" t="e">
        <f t="shared" si="393"/>
        <v>#REF!</v>
      </c>
      <c r="P78" s="115" t="e">
        <f t="shared" si="393"/>
        <v>#REF!</v>
      </c>
      <c r="Q78" s="65">
        <f t="shared" si="393"/>
        <v>19.0730769230769</v>
      </c>
      <c r="R78" s="114">
        <f t="shared" si="393"/>
        <v>20.145</v>
      </c>
      <c r="S78" s="114">
        <f t="shared" si="393"/>
        <v>7.605</v>
      </c>
      <c r="T78" s="114">
        <f t="shared" si="393"/>
        <v>14.3866666666667</v>
      </c>
      <c r="U78" s="114">
        <f t="shared" si="393"/>
        <v>34.04</v>
      </c>
      <c r="V78" s="114">
        <f t="shared" si="393"/>
        <v>33.74</v>
      </c>
      <c r="W78" s="114">
        <f t="shared" si="393"/>
        <v>4.81333333333333</v>
      </c>
      <c r="X78" s="114">
        <f t="shared" si="393"/>
        <v>19.26</v>
      </c>
      <c r="Y78" s="114" t="e">
        <f t="shared" ref="Y78:AL78" si="394">Y74/Y77</f>
        <v>#DIV/0!</v>
      </c>
      <c r="Z78" s="114" t="e">
        <f t="shared" si="394"/>
        <v>#DIV/0!</v>
      </c>
      <c r="AA78" s="114">
        <f t="shared" si="394"/>
        <v>10.21</v>
      </c>
      <c r="AB78" s="114" t="e">
        <f t="shared" si="394"/>
        <v>#DIV/0!</v>
      </c>
      <c r="AC78" s="114">
        <f t="shared" si="394"/>
        <v>18.52</v>
      </c>
      <c r="AD78" s="114">
        <f t="shared" si="394"/>
        <v>21.79</v>
      </c>
      <c r="AE78" s="114" t="e">
        <f t="shared" si="394"/>
        <v>#DIV/0!</v>
      </c>
      <c r="AF78" s="114" t="e">
        <f t="shared" si="394"/>
        <v>#DIV/0!</v>
      </c>
      <c r="AG78" s="114">
        <f t="shared" si="394"/>
        <v>18.905</v>
      </c>
      <c r="AH78" s="114">
        <f t="shared" si="394"/>
        <v>8.67</v>
      </c>
      <c r="AI78" s="114">
        <f t="shared" si="394"/>
        <v>25.815</v>
      </c>
      <c r="AJ78" s="114" t="e">
        <f t="shared" si="394"/>
        <v>#DIV/0!</v>
      </c>
      <c r="AK78" s="114" t="e">
        <f t="shared" si="394"/>
        <v>#DIV/0!</v>
      </c>
      <c r="AL78" s="114" t="e">
        <f t="shared" ref="AL78:BK78" si="395">AL74/AL77</f>
        <v>#DIV/0!</v>
      </c>
      <c r="AM78" s="114" t="e">
        <f t="shared" si="395"/>
        <v>#DIV/0!</v>
      </c>
      <c r="AN78" s="114" t="e">
        <f t="shared" si="395"/>
        <v>#DIV/0!</v>
      </c>
      <c r="AO78" s="114" t="e">
        <f t="shared" si="395"/>
        <v>#DIV/0!</v>
      </c>
      <c r="AP78" s="114" t="e">
        <f t="shared" si="395"/>
        <v>#DIV/0!</v>
      </c>
      <c r="AQ78" s="114" t="e">
        <f t="shared" si="395"/>
        <v>#DIV/0!</v>
      </c>
      <c r="AR78" s="114" t="e">
        <f t="shared" si="395"/>
        <v>#DIV/0!</v>
      </c>
      <c r="AS78" s="114" t="e">
        <f t="shared" si="395"/>
        <v>#DIV/0!</v>
      </c>
      <c r="AT78" s="114" t="e">
        <f t="shared" si="395"/>
        <v>#DIV/0!</v>
      </c>
      <c r="AU78" s="114" t="e">
        <f t="shared" si="395"/>
        <v>#DIV/0!</v>
      </c>
      <c r="AV78" s="114" t="e">
        <f t="shared" si="395"/>
        <v>#DIV/0!</v>
      </c>
      <c r="AW78" s="65" t="e">
        <f t="shared" si="395"/>
        <v>#DIV/0!</v>
      </c>
      <c r="AX78" s="114" t="e">
        <f t="shared" si="395"/>
        <v>#DIV/0!</v>
      </c>
      <c r="AY78" s="114" t="e">
        <f t="shared" si="395"/>
        <v>#DIV/0!</v>
      </c>
      <c r="AZ78" s="114" t="e">
        <f t="shared" si="395"/>
        <v>#DIV/0!</v>
      </c>
      <c r="BA78" s="114" t="e">
        <f t="shared" si="395"/>
        <v>#DIV/0!</v>
      </c>
      <c r="BB78" s="114" t="e">
        <f t="shared" si="395"/>
        <v>#DIV/0!</v>
      </c>
      <c r="BC78" s="114" t="e">
        <f t="shared" si="395"/>
        <v>#DIV/0!</v>
      </c>
      <c r="BD78" s="114" t="e">
        <f t="shared" si="395"/>
        <v>#DIV/0!</v>
      </c>
      <c r="BE78" s="114" t="e">
        <f t="shared" si="395"/>
        <v>#DIV/0!</v>
      </c>
      <c r="BF78" s="114" t="e">
        <f t="shared" si="395"/>
        <v>#DIV/0!</v>
      </c>
      <c r="BG78" s="114" t="e">
        <f t="shared" si="395"/>
        <v>#DIV/0!</v>
      </c>
      <c r="BH78" s="114" t="e">
        <f t="shared" si="395"/>
        <v>#DIV/0!</v>
      </c>
      <c r="BI78" s="114" t="e">
        <f t="shared" si="395"/>
        <v>#DIV/0!</v>
      </c>
      <c r="BJ78" s="114" t="e">
        <f t="shared" si="395"/>
        <v>#DIV/0!</v>
      </c>
      <c r="BK78" s="114" t="e">
        <f t="shared" si="395"/>
        <v>#DIV/0!</v>
      </c>
      <c r="BL78" s="114"/>
      <c r="BM78" s="114"/>
      <c r="BN78" s="114"/>
      <c r="BO78" s="114"/>
      <c r="BP78" s="114" t="e">
        <f t="shared" ref="BP78:BW78" si="396">BP74/BP77</f>
        <v>#DIV/0!</v>
      </c>
      <c r="BQ78" s="114" t="e">
        <f t="shared" si="396"/>
        <v>#DIV/0!</v>
      </c>
      <c r="BR78" s="114" t="e">
        <f t="shared" si="396"/>
        <v>#DIV/0!</v>
      </c>
      <c r="BS78" s="114" t="e">
        <f t="shared" si="396"/>
        <v>#DIV/0!</v>
      </c>
      <c r="BT78" s="114" t="e">
        <f t="shared" si="396"/>
        <v>#DIV/0!</v>
      </c>
      <c r="BU78" s="114" t="e">
        <f t="shared" si="396"/>
        <v>#DIV/0!</v>
      </c>
      <c r="BV78" s="114" t="e">
        <f t="shared" si="396"/>
        <v>#DIV/0!</v>
      </c>
      <c r="BW78" s="114" t="e">
        <f t="shared" si="396"/>
        <v>#DIV/0!</v>
      </c>
      <c r="BX78" s="114" t="e">
        <f t="shared" ref="BX78:CH78" si="397">BX74/BX77</f>
        <v>#DIV/0!</v>
      </c>
      <c r="BY78" s="114" t="e">
        <f t="shared" si="397"/>
        <v>#DIV/0!</v>
      </c>
      <c r="BZ78" s="65">
        <f t="shared" si="397"/>
        <v>9.35125</v>
      </c>
      <c r="CA78" s="114" t="e">
        <f t="shared" si="397"/>
        <v>#DIV/0!</v>
      </c>
      <c r="CB78" s="114" t="e">
        <f t="shared" si="397"/>
        <v>#DIV/0!</v>
      </c>
      <c r="CC78" s="114" t="e">
        <f t="shared" si="397"/>
        <v>#DIV/0!</v>
      </c>
      <c r="CD78" s="114" t="e">
        <f t="shared" si="397"/>
        <v>#DIV/0!</v>
      </c>
      <c r="CE78" s="114" t="e">
        <f t="shared" si="397"/>
        <v>#DIV/0!</v>
      </c>
      <c r="CF78" s="114" t="e">
        <f t="shared" si="397"/>
        <v>#DIV/0!</v>
      </c>
      <c r="CG78" s="114" t="e">
        <f t="shared" si="397"/>
        <v>#DIV/0!</v>
      </c>
      <c r="CH78" s="114" t="e">
        <f t="shared" si="397"/>
        <v>#DIV/0!</v>
      </c>
      <c r="CI78" s="114" t="e">
        <f t="shared" ref="CI78:EH78" si="398">CI74/CI77</f>
        <v>#DIV/0!</v>
      </c>
      <c r="CJ78" s="114" t="e">
        <f t="shared" si="398"/>
        <v>#DIV/0!</v>
      </c>
      <c r="CK78" s="114" t="e">
        <f t="shared" si="398"/>
        <v>#DIV/0!</v>
      </c>
      <c r="CL78" s="114" t="e">
        <f t="shared" si="398"/>
        <v>#DIV/0!</v>
      </c>
      <c r="CM78" s="114" t="e">
        <f t="shared" si="398"/>
        <v>#DIV/0!</v>
      </c>
      <c r="CN78" s="114" t="e">
        <f t="shared" si="398"/>
        <v>#DIV/0!</v>
      </c>
      <c r="CO78" s="114" t="e">
        <f t="shared" si="398"/>
        <v>#DIV/0!</v>
      </c>
      <c r="CP78" s="114" t="e">
        <f t="shared" si="398"/>
        <v>#DIV/0!</v>
      </c>
      <c r="CQ78" s="114" t="e">
        <f t="shared" si="398"/>
        <v>#DIV/0!</v>
      </c>
      <c r="CR78" s="114" t="e">
        <f t="shared" si="398"/>
        <v>#DIV/0!</v>
      </c>
      <c r="CS78" s="114">
        <f t="shared" si="398"/>
        <v>16.6666666666667</v>
      </c>
      <c r="CT78" s="114">
        <f t="shared" si="398"/>
        <v>10</v>
      </c>
      <c r="CU78" s="114" t="e">
        <f t="shared" si="398"/>
        <v>#DIV/0!</v>
      </c>
      <c r="CV78" s="114" t="e">
        <f t="shared" si="398"/>
        <v>#DIV/0!</v>
      </c>
      <c r="CW78" s="114">
        <f t="shared" si="398"/>
        <v>16.6666666666667</v>
      </c>
      <c r="CX78" s="114">
        <f t="shared" si="398"/>
        <v>4.16666666666667</v>
      </c>
      <c r="CY78" s="114">
        <f t="shared" si="398"/>
        <v>12.5</v>
      </c>
      <c r="CZ78" s="114">
        <f t="shared" si="398"/>
        <v>9.848</v>
      </c>
      <c r="DA78" s="114" t="e">
        <f t="shared" si="398"/>
        <v>#DIV/0!</v>
      </c>
      <c r="DB78" s="114" t="e">
        <f t="shared" si="398"/>
        <v>#DIV/0!</v>
      </c>
      <c r="DC78" s="114" t="e">
        <f t="shared" si="398"/>
        <v>#DIV/0!</v>
      </c>
      <c r="DD78" s="114" t="e">
        <f t="shared" si="398"/>
        <v>#DIV/0!</v>
      </c>
      <c r="DE78" s="114" t="e">
        <f t="shared" si="398"/>
        <v>#DIV/0!</v>
      </c>
      <c r="DF78" s="65">
        <f t="shared" si="398"/>
        <v>18.148</v>
      </c>
      <c r="DG78" s="114" t="e">
        <f t="shared" si="398"/>
        <v>#DIV/0!</v>
      </c>
      <c r="DH78" s="114" t="e">
        <f t="shared" si="398"/>
        <v>#DIV/0!</v>
      </c>
      <c r="DI78" s="114" t="e">
        <f t="shared" si="398"/>
        <v>#DIV/0!</v>
      </c>
      <c r="DJ78" s="114" t="e">
        <f t="shared" si="398"/>
        <v>#DIV/0!</v>
      </c>
      <c r="DK78" s="114" t="e">
        <f t="shared" si="398"/>
        <v>#DIV/0!</v>
      </c>
      <c r="DL78" s="114" t="e">
        <f t="shared" si="398"/>
        <v>#DIV/0!</v>
      </c>
      <c r="DM78" s="114" t="e">
        <f t="shared" si="398"/>
        <v>#DIV/0!</v>
      </c>
      <c r="DN78" s="114" t="e">
        <f t="shared" si="398"/>
        <v>#DIV/0!</v>
      </c>
      <c r="DO78" s="114" t="e">
        <f t="shared" si="398"/>
        <v>#DIV/0!</v>
      </c>
      <c r="DP78" s="114" t="e">
        <f t="shared" si="398"/>
        <v>#DIV/0!</v>
      </c>
      <c r="DQ78" s="114" t="e">
        <f t="shared" si="398"/>
        <v>#DIV/0!</v>
      </c>
      <c r="DR78" s="114" t="e">
        <f t="shared" si="398"/>
        <v>#DIV/0!</v>
      </c>
      <c r="DS78" s="114" t="e">
        <f t="shared" si="398"/>
        <v>#DIV/0!</v>
      </c>
      <c r="DT78" s="114" t="e">
        <f t="shared" si="398"/>
        <v>#DIV/0!</v>
      </c>
      <c r="DU78" s="114" t="e">
        <f t="shared" si="398"/>
        <v>#DIV/0!</v>
      </c>
      <c r="DV78" s="114" t="e">
        <f t="shared" si="398"/>
        <v>#DIV/0!</v>
      </c>
      <c r="DW78" s="114" t="e">
        <f t="shared" si="398"/>
        <v>#DIV/0!</v>
      </c>
      <c r="DX78" s="114" t="e">
        <f t="shared" si="398"/>
        <v>#DIV/0!</v>
      </c>
      <c r="DY78" s="114" t="e">
        <f t="shared" si="398"/>
        <v>#DIV/0!</v>
      </c>
      <c r="DZ78" s="114" t="e">
        <f t="shared" si="398"/>
        <v>#DIV/0!</v>
      </c>
      <c r="EA78" s="114" t="e">
        <f t="shared" si="398"/>
        <v>#DIV/0!</v>
      </c>
      <c r="EB78" s="114" t="e">
        <f t="shared" si="398"/>
        <v>#DIV/0!</v>
      </c>
      <c r="EC78" s="114" t="e">
        <f t="shared" si="398"/>
        <v>#DIV/0!</v>
      </c>
      <c r="ED78" s="114" t="e">
        <f t="shared" si="398"/>
        <v>#DIV/0!</v>
      </c>
      <c r="EE78" s="114" t="e">
        <f t="shared" si="398"/>
        <v>#DIV/0!</v>
      </c>
      <c r="EF78" s="114" t="e">
        <f t="shared" si="398"/>
        <v>#DIV/0!</v>
      </c>
      <c r="EG78" s="114" t="e">
        <f t="shared" si="398"/>
        <v>#DIV/0!</v>
      </c>
      <c r="EH78" s="114">
        <f t="shared" si="398"/>
        <v>12.7122222222222</v>
      </c>
      <c r="EI78" s="114">
        <f t="shared" ref="EI78:FM78" si="399">EI74/EI77</f>
        <v>14.2366666666667</v>
      </c>
      <c r="EJ78" s="114" t="e">
        <f t="shared" si="399"/>
        <v>#DIV/0!</v>
      </c>
      <c r="EK78" s="65">
        <f t="shared" si="399"/>
        <v>16.2747115384615</v>
      </c>
      <c r="EL78" s="114">
        <f t="shared" si="399"/>
        <v>8.791</v>
      </c>
      <c r="EM78" s="114">
        <f t="shared" si="399"/>
        <v>16.022</v>
      </c>
      <c r="EN78" s="114">
        <f t="shared" si="399"/>
        <v>18.928</v>
      </c>
      <c r="EO78" s="114">
        <f t="shared" si="399"/>
        <v>9.85666666666667</v>
      </c>
      <c r="EP78" s="114">
        <f t="shared" si="399"/>
        <v>11.43</v>
      </c>
      <c r="EQ78" s="114">
        <f t="shared" si="399"/>
        <v>19.0575</v>
      </c>
      <c r="ER78" s="114">
        <f t="shared" si="399"/>
        <v>4.195625</v>
      </c>
      <c r="ES78" s="114">
        <f t="shared" si="399"/>
        <v>11.695</v>
      </c>
      <c r="ET78" s="114">
        <f t="shared" si="399"/>
        <v>17.4316666666667</v>
      </c>
      <c r="EU78" s="114">
        <f t="shared" si="399"/>
        <v>23.5333333333333</v>
      </c>
      <c r="EV78" s="114">
        <f t="shared" si="399"/>
        <v>11.2045454545455</v>
      </c>
      <c r="EW78" s="114">
        <f t="shared" si="399"/>
        <v>18.25875</v>
      </c>
      <c r="EX78" s="114">
        <f t="shared" si="399"/>
        <v>25.0225</v>
      </c>
      <c r="EY78" s="114">
        <f t="shared" si="399"/>
        <v>8.06615384615385</v>
      </c>
      <c r="EZ78" s="114">
        <f t="shared" si="399"/>
        <v>7.106</v>
      </c>
      <c r="FA78" s="114">
        <f t="shared" si="399"/>
        <v>11.7933333333333</v>
      </c>
      <c r="FB78" s="114">
        <f t="shared" si="399"/>
        <v>27.7875</v>
      </c>
      <c r="FC78" s="114">
        <f t="shared" si="399"/>
        <v>19.385</v>
      </c>
      <c r="FD78" s="114">
        <f t="shared" si="399"/>
        <v>26.905</v>
      </c>
      <c r="FE78" s="114">
        <f t="shared" si="399"/>
        <v>20.58</v>
      </c>
      <c r="FF78" s="114">
        <f t="shared" si="399"/>
        <v>22.346</v>
      </c>
      <c r="FG78" s="114">
        <f t="shared" si="399"/>
        <v>26.31</v>
      </c>
      <c r="FH78" s="114">
        <f t="shared" si="399"/>
        <v>16.365</v>
      </c>
      <c r="FI78" s="114">
        <f t="shared" si="399"/>
        <v>37.67</v>
      </c>
      <c r="FJ78" s="114">
        <f t="shared" si="399"/>
        <v>13.018</v>
      </c>
      <c r="FK78" s="114">
        <f t="shared" si="399"/>
        <v>18.8142857142857</v>
      </c>
      <c r="FL78" s="114">
        <f t="shared" si="399"/>
        <v>25.54</v>
      </c>
      <c r="FM78" s="114">
        <f t="shared" si="399"/>
        <v>19.5228571428571</v>
      </c>
      <c r="FN78" s="114">
        <f t="shared" ref="FN78:GI78" si="400">FN74/FN77</f>
        <v>27.335</v>
      </c>
      <c r="FO78" s="114">
        <f t="shared" si="400"/>
        <v>102.34</v>
      </c>
      <c r="FP78" s="114">
        <f t="shared" si="400"/>
        <v>50.6233333333333</v>
      </c>
      <c r="FQ78" s="65">
        <f t="shared" si="400"/>
        <v>15.1397540983607</v>
      </c>
      <c r="FR78" s="114">
        <f t="shared" si="400"/>
        <v>24.7333333333333</v>
      </c>
      <c r="FS78" s="114">
        <f t="shared" si="400"/>
        <v>79.09</v>
      </c>
      <c r="FT78" s="114">
        <f t="shared" si="400"/>
        <v>11.508</v>
      </c>
      <c r="FU78" s="114">
        <f t="shared" si="400"/>
        <v>19.16</v>
      </c>
      <c r="FV78" s="114">
        <f t="shared" si="400"/>
        <v>37.15</v>
      </c>
      <c r="FW78" s="114">
        <f t="shared" si="400"/>
        <v>9.74416666666667</v>
      </c>
      <c r="FX78" s="114">
        <f t="shared" si="400"/>
        <v>12.6222222222222</v>
      </c>
      <c r="FY78" s="114">
        <f t="shared" si="400"/>
        <v>18.145</v>
      </c>
      <c r="FZ78" s="114">
        <f t="shared" si="400"/>
        <v>19.298</v>
      </c>
      <c r="GA78" s="114">
        <f t="shared" si="400"/>
        <v>21.015</v>
      </c>
      <c r="GB78" s="114">
        <f t="shared" si="400"/>
        <v>43.985</v>
      </c>
      <c r="GC78" s="114">
        <f t="shared" si="400"/>
        <v>43.21</v>
      </c>
      <c r="GD78" s="114">
        <f t="shared" si="400"/>
        <v>13.61</v>
      </c>
      <c r="GE78" s="114">
        <f t="shared" si="400"/>
        <v>23.7775</v>
      </c>
      <c r="GF78" s="114">
        <f t="shared" si="400"/>
        <v>11.9085714285714</v>
      </c>
      <c r="GG78" s="114">
        <f t="shared" si="400"/>
        <v>3.96619047619048</v>
      </c>
      <c r="GH78" s="114">
        <f t="shared" si="400"/>
        <v>25.8733333333333</v>
      </c>
      <c r="GI78" s="114">
        <f t="shared" si="400"/>
        <v>13.53</v>
      </c>
      <c r="GJ78" s="114">
        <f t="shared" ref="GJ78:GP78" si="401">GJ74/GJ77</f>
        <v>12.285</v>
      </c>
      <c r="GK78" s="114">
        <f t="shared" si="401"/>
        <v>17.0866666666667</v>
      </c>
      <c r="GL78" s="114">
        <f t="shared" si="401"/>
        <v>18.6483333333333</v>
      </c>
      <c r="GM78" s="114" t="e">
        <f t="shared" si="401"/>
        <v>#DIV/0!</v>
      </c>
      <c r="GN78" s="114" t="e">
        <f t="shared" si="401"/>
        <v>#DIV/0!</v>
      </c>
      <c r="GO78" s="114" t="e">
        <f t="shared" si="401"/>
        <v>#DIV/0!</v>
      </c>
      <c r="GP78" s="114" t="e">
        <f t="shared" si="401"/>
        <v>#DIV/0!</v>
      </c>
    </row>
    <row r="79" s="47" customFormat="1" ht="15" hidden="1" customHeight="1" spans="2:198">
      <c r="B79" s="112"/>
      <c r="C79" s="113" t="s">
        <v>25</v>
      </c>
      <c r="D79" s="114" t="e">
        <f>SUM(E79:P79)</f>
        <v>#REF!</v>
      </c>
      <c r="E79" s="115" t="e">
        <f>#REF!</f>
        <v>#REF!</v>
      </c>
      <c r="F79" s="115" t="e">
        <f>#REF!</f>
        <v>#REF!</v>
      </c>
      <c r="G79" s="115" t="e">
        <f>#REF!</f>
        <v>#REF!</v>
      </c>
      <c r="H79" s="115" t="e">
        <f>#REF!</f>
        <v>#REF!</v>
      </c>
      <c r="I79" s="115" t="e">
        <f>#REF!</f>
        <v>#REF!</v>
      </c>
      <c r="J79" s="115" t="e">
        <f>#REF!</f>
        <v>#REF!</v>
      </c>
      <c r="K79" s="115" t="e">
        <f>#REF!</f>
        <v>#REF!</v>
      </c>
      <c r="L79" s="115" t="e">
        <f>#REF!</f>
        <v>#REF!</v>
      </c>
      <c r="M79" s="115" t="e">
        <f>#REF!</f>
        <v>#REF!</v>
      </c>
      <c r="N79" s="115" t="e">
        <f>#REF!</f>
        <v>#REF!</v>
      </c>
      <c r="O79" s="115" t="e">
        <f>#REF!</f>
        <v>#REF!</v>
      </c>
      <c r="P79" s="115" t="e">
        <f>#REF!</f>
        <v>#REF!</v>
      </c>
      <c r="Q79" s="65">
        <f>SUM(R79:AV79)</f>
        <v>3</v>
      </c>
      <c r="R79" s="115">
        <f>SUMIFS(商品数据源!$U:$U,商品数据源!$A:$A,$B$74,商品数据源!$B:$B,R2)</f>
        <v>0</v>
      </c>
      <c r="S79" s="115">
        <f>SUMIFS(商品数据源!$U:$U,商品数据源!$A:$A,$B$74,商品数据源!$B:$B,S2)</f>
        <v>1</v>
      </c>
      <c r="T79" s="115">
        <f>SUMIFS(商品数据源!$U:$U,商品数据源!$A:$A,$B$74,商品数据源!$B:$B,T2)</f>
        <v>1</v>
      </c>
      <c r="U79" s="115">
        <f>SUMIFS(商品数据源!$U:$U,商品数据源!$A:$A,$B$74,商品数据源!$B:$B,U2)</f>
        <v>0</v>
      </c>
      <c r="V79" s="115">
        <f>SUMIFS(商品数据源!$U:$U,商品数据源!$A:$A,$B$74,商品数据源!$B:$B,V2)</f>
        <v>0</v>
      </c>
      <c r="W79" s="115">
        <f>SUMIFS(商品数据源!$U:$U,商品数据源!$A:$A,$B$74,商品数据源!$B:$B,W2)</f>
        <v>0</v>
      </c>
      <c r="X79" s="115">
        <f>SUMIFS(商品数据源!$U:$U,商品数据源!$A:$A,$B$74,商品数据源!$B:$B,X2)</f>
        <v>0</v>
      </c>
      <c r="Y79" s="115">
        <f>SUMIFS(商品数据源!$U:$U,商品数据源!$A:$A,$B$74,商品数据源!$B:$B,Y2)</f>
        <v>0</v>
      </c>
      <c r="Z79" s="115">
        <f>SUMIFS(商品数据源!$U:$U,商品数据源!$A:$A,$B$74,商品数据源!$B:$B,Z2)</f>
        <v>0</v>
      </c>
      <c r="AA79" s="115">
        <f>SUMIFS(商品数据源!$U:$U,商品数据源!$A:$A,$B$74,商品数据源!$B:$B,AA2)</f>
        <v>0</v>
      </c>
      <c r="AB79" s="115">
        <f>SUMIFS(商品数据源!$U:$U,商品数据源!$A:$A,$B$74,商品数据源!$B:$B,AB2)</f>
        <v>0</v>
      </c>
      <c r="AC79" s="115">
        <f>SUMIFS(商品数据源!$U:$U,商品数据源!$A:$A,$B$74,商品数据源!$B:$B,AC2)</f>
        <v>0</v>
      </c>
      <c r="AD79" s="115">
        <f>SUMIFS(商品数据源!$U:$U,商品数据源!$A:$A,$B$74,商品数据源!$B:$B,AD2)</f>
        <v>1</v>
      </c>
      <c r="AE79" s="115">
        <f>SUMIFS(商品数据源!$U:$U,商品数据源!$A:$A,$B$74,商品数据源!$B:$B,AE2)</f>
        <v>0</v>
      </c>
      <c r="AF79" s="115">
        <f>SUMIFS(商品数据源!$U:$U,商品数据源!$A:$A,$B$74,商品数据源!$B:$B,AF2)</f>
        <v>0</v>
      </c>
      <c r="AG79" s="115">
        <f>SUMIFS(商品数据源!$U:$U,商品数据源!$A:$A,$B$74,商品数据源!$B:$B,AG2)</f>
        <v>0</v>
      </c>
      <c r="AH79" s="115">
        <f>SUMIFS(商品数据源!$U:$U,商品数据源!$A:$A,$B$74,商品数据源!$B:$B,AH2)</f>
        <v>0</v>
      </c>
      <c r="AI79" s="115">
        <f>SUMIFS(商品数据源!$U:$U,商品数据源!$A:$A,$B$74,商品数据源!$B:$B,AI2)</f>
        <v>0</v>
      </c>
      <c r="AJ79" s="115">
        <f>SUMIFS(商品数据源!$U:$U,商品数据源!$A:$A,$B$74,商品数据源!$B:$B,AJ2)</f>
        <v>0</v>
      </c>
      <c r="AK79" s="115">
        <f>SUMIFS(商品数据源!$U:$U,商品数据源!$A:$A,$B$74,商品数据源!$B:$B,AK2)</f>
        <v>0</v>
      </c>
      <c r="AL79" s="115">
        <f>SUMIFS(商品数据源!$U:$U,商品数据源!$A:$A,$B$74,商品数据源!$B:$B,AL2)</f>
        <v>0</v>
      </c>
      <c r="AM79" s="115">
        <f>SUMIFS(商品数据源!$U:$U,商品数据源!$A:$A,$B$74,商品数据源!$B:$B,AM2)</f>
        <v>0</v>
      </c>
      <c r="AN79" s="115">
        <f>SUMIFS(商品数据源!$U:$U,商品数据源!$A:$A,$B$74,商品数据源!$B:$B,AN2)</f>
        <v>0</v>
      </c>
      <c r="AO79" s="115">
        <f>SUMIFS(商品数据源!$U:$U,商品数据源!$A:$A,$B$74,商品数据源!$B:$B,AO2)</f>
        <v>0</v>
      </c>
      <c r="AP79" s="115">
        <f>SUMIFS(商品数据源!$U:$U,商品数据源!$A:$A,$B$74,商品数据源!$B:$B,AP2)</f>
        <v>0</v>
      </c>
      <c r="AQ79" s="115">
        <f>SUMIFS(商品数据源!$U:$U,商品数据源!$A:$A,$B$74,商品数据源!$B:$B,AQ2)</f>
        <v>0</v>
      </c>
      <c r="AR79" s="115">
        <f>SUMIFS(商品数据源!$U:$U,商品数据源!$A:$A,$B$74,商品数据源!$B:$B,AR2)</f>
        <v>0</v>
      </c>
      <c r="AS79" s="115">
        <f>SUMIFS(商品数据源!$U:$U,商品数据源!$A:$A,$B$74,商品数据源!$B:$B,AS2)</f>
        <v>0</v>
      </c>
      <c r="AT79" s="115">
        <f>SUMIFS(商品数据源!$U:$U,商品数据源!$A:$A,$B$74,商品数据源!$B:$B,AT2)</f>
        <v>0</v>
      </c>
      <c r="AU79" s="115">
        <f>SUMIFS(商品数据源!$U:$U,商品数据源!$A:$A,$B$74,商品数据源!$B:$B,AU2)</f>
        <v>0</v>
      </c>
      <c r="AV79" s="115">
        <f>SUMIFS(商品数据源!$U:$U,商品数据源!$A:$A,$B$74,商品数据源!$B:$B,AV2)</f>
        <v>0</v>
      </c>
      <c r="AW79" s="65">
        <f>SUM(AX79:BY79)</f>
        <v>0</v>
      </c>
      <c r="AX79" s="115">
        <f>SUMIFS(商品数据源!$U:$U,商品数据源!$A:$A,$B$74,商品数据源!$B:$B,AX2)</f>
        <v>0</v>
      </c>
      <c r="AY79" s="115">
        <f>SUMIFS(商品数据源!$U:$U,商品数据源!$A:$A,$B$74,商品数据源!$B:$B,AY2)</f>
        <v>0</v>
      </c>
      <c r="AZ79" s="115">
        <f>SUMIFS(商品数据源!$U:$U,商品数据源!$A:$A,$B$74,商品数据源!$B:$B,AZ2)</f>
        <v>0</v>
      </c>
      <c r="BA79" s="115">
        <f>SUMIFS(商品数据源!$U:$U,商品数据源!$A:$A,$B$74,商品数据源!$B:$B,BA2)</f>
        <v>0</v>
      </c>
      <c r="BB79" s="115">
        <f>SUMIFS(商品数据源!$U:$U,商品数据源!$A:$A,$B$74,商品数据源!$B:$B,BB2)</f>
        <v>0</v>
      </c>
      <c r="BC79" s="115">
        <f>SUMIFS(商品数据源!$U:$U,商品数据源!$A:$A,$B$74,商品数据源!$B:$B,BC2)</f>
        <v>0</v>
      </c>
      <c r="BD79" s="115">
        <f>SUMIFS(商品数据源!$U:$U,商品数据源!$A:$A,$B$74,商品数据源!$B:$B,BD2)</f>
        <v>0</v>
      </c>
      <c r="BE79" s="115">
        <f>SUMIFS(商品数据源!$U:$U,商品数据源!$A:$A,$B$74,商品数据源!$B:$B,BE2)</f>
        <v>0</v>
      </c>
      <c r="BF79" s="115">
        <f>SUMIFS(商品数据源!$U:$U,商品数据源!$A:$A,$B$74,商品数据源!$B:$B,BF2)</f>
        <v>0</v>
      </c>
      <c r="BG79" s="115">
        <f>SUMIFS(商品数据源!$U:$U,商品数据源!$A:$A,$B$74,商品数据源!$B:$B,BG2)</f>
        <v>0</v>
      </c>
      <c r="BH79" s="115">
        <f>SUMIFS(商品数据源!$U:$U,商品数据源!$A:$A,$B$74,商品数据源!$B:$B,BH2)</f>
        <v>0</v>
      </c>
      <c r="BI79" s="115">
        <f>SUMIFS(商品数据源!$U:$U,商品数据源!$A:$A,$B$74,商品数据源!$B:$B,BI2)</f>
        <v>0</v>
      </c>
      <c r="BJ79" s="115">
        <f>SUMIFS(商品数据源!$U:$U,商品数据源!$A:$A,$B$74,商品数据源!$B:$B,BJ2)</f>
        <v>0</v>
      </c>
      <c r="BK79" s="115">
        <f>SUMIFS(商品数据源!$U:$U,商品数据源!$A:$A,$B$74,商品数据源!$B:$B,BK2)</f>
        <v>0</v>
      </c>
      <c r="BL79" s="115"/>
      <c r="BM79" s="115"/>
      <c r="BN79" s="115"/>
      <c r="BO79" s="115"/>
      <c r="BP79" s="115">
        <f>SUMIFS(商品数据源!$U:$U,商品数据源!$A:$A,$B$74,商品数据源!$B:$B,BP2)</f>
        <v>0</v>
      </c>
      <c r="BQ79" s="115">
        <f>SUMIFS(商品数据源!$U:$U,商品数据源!$A:$A,$B$74,商品数据源!$B:$B,BQ2)</f>
        <v>0</v>
      </c>
      <c r="BR79" s="115">
        <f>SUMIFS(商品数据源!$U:$U,商品数据源!$A:$A,$B$74,商品数据源!$B:$B,BR2)</f>
        <v>0</v>
      </c>
      <c r="BS79" s="115">
        <f>SUMIFS(商品数据源!$U:$U,商品数据源!$A:$A,$B$74,商品数据源!$B:$B,BS2)</f>
        <v>0</v>
      </c>
      <c r="BT79" s="115">
        <f>SUMIFS(商品数据源!$U:$U,商品数据源!$A:$A,$B$74,商品数据源!$B:$B,BT2)</f>
        <v>0</v>
      </c>
      <c r="BU79" s="115">
        <f>SUMIFS(商品数据源!$U:$U,商品数据源!$A:$A,$B$74,商品数据源!$B:$B,BU2)</f>
        <v>0</v>
      </c>
      <c r="BV79" s="115">
        <f>SUMIFS(商品数据源!$U:$U,商品数据源!$A:$A,$B$74,商品数据源!$B:$B,BV2)</f>
        <v>0</v>
      </c>
      <c r="BW79" s="115">
        <f>SUMIFS(商品数据源!$U:$U,商品数据源!$A:$A,$B$74,商品数据源!$B:$B,BW2)</f>
        <v>0</v>
      </c>
      <c r="BX79" s="115">
        <f>SUMIFS(商品数据源!$U:$U,商品数据源!$A:$A,$B$74,商品数据源!$B:$B,BX2)</f>
        <v>0</v>
      </c>
      <c r="BY79" s="115">
        <f>SUMIFS(商品数据源!$U:$U,商品数据源!$A:$A,$B$74,商品数据源!$B:$B,BY2)</f>
        <v>0</v>
      </c>
      <c r="BZ79" s="65">
        <f>SUM(CA79:DE79)</f>
        <v>9</v>
      </c>
      <c r="CA79" s="115">
        <f>SUMIFS(商品数据源!$U:$U,商品数据源!$A:$A,$B$74,商品数据源!$B:$B,CA2)</f>
        <v>0</v>
      </c>
      <c r="CB79" s="115">
        <f>SUMIFS(商品数据源!$U:$U,商品数据源!$A:$A,$B$74,商品数据源!$B:$B,CB2)</f>
        <v>0</v>
      </c>
      <c r="CC79" s="115">
        <f>SUMIFS(商品数据源!$U:$U,商品数据源!$A:$A,$B$74,商品数据源!$B:$B,CC2)</f>
        <v>0</v>
      </c>
      <c r="CD79" s="115">
        <f>SUMIFS(商品数据源!$U:$U,商品数据源!$A:$A,$B$74,商品数据源!$B:$B,CD2)</f>
        <v>0</v>
      </c>
      <c r="CE79" s="115">
        <f>SUMIFS(商品数据源!$U:$U,商品数据源!$A:$A,$B$74,商品数据源!$B:$B,CE2)</f>
        <v>0</v>
      </c>
      <c r="CF79" s="115">
        <f>SUMIFS(商品数据源!$U:$U,商品数据源!$A:$A,$B$74,商品数据源!$B:$B,CF2)</f>
        <v>0</v>
      </c>
      <c r="CG79" s="115">
        <f>SUMIFS(商品数据源!$U:$U,商品数据源!$A:$A,$B$74,商品数据源!$B:$B,CG2)</f>
        <v>0</v>
      </c>
      <c r="CH79" s="115">
        <f>SUMIFS(商品数据源!$U:$U,商品数据源!$A:$A,$B$74,商品数据源!$B:$B,CH2)</f>
        <v>0</v>
      </c>
      <c r="CI79" s="115">
        <f>SUMIFS(商品数据源!$U:$U,商品数据源!$A:$A,$B$74,商品数据源!$B:$B,CI2)</f>
        <v>0</v>
      </c>
      <c r="CJ79" s="115">
        <f>SUMIFS(商品数据源!$U:$U,商品数据源!$A:$A,$B$74,商品数据源!$B:$B,CJ2)</f>
        <v>0</v>
      </c>
      <c r="CK79" s="115">
        <f>SUMIFS(商品数据源!$U:$U,商品数据源!$A:$A,$B$74,商品数据源!$B:$B,CK2)</f>
        <v>0</v>
      </c>
      <c r="CL79" s="115">
        <f>SUMIFS(商品数据源!$U:$U,商品数据源!$A:$A,$B$74,商品数据源!$B:$B,CL2)</f>
        <v>0</v>
      </c>
      <c r="CM79" s="115">
        <f>SUMIFS(商品数据源!$U:$U,商品数据源!$A:$A,$B$74,商品数据源!$B:$B,CM2)</f>
        <v>0</v>
      </c>
      <c r="CN79" s="115">
        <f>SUMIFS(商品数据源!$U:$U,商品数据源!$A:$A,$B$74,商品数据源!$B:$B,CN2)</f>
        <v>0</v>
      </c>
      <c r="CO79" s="115">
        <f>SUMIFS(商品数据源!$U:$U,商品数据源!$A:$A,$B$74,商品数据源!$B:$B,CO2)</f>
        <v>0</v>
      </c>
      <c r="CP79" s="115">
        <f>SUMIFS(商品数据源!$U:$U,商品数据源!$A:$A,$B$74,商品数据源!$B:$B,CP2)</f>
        <v>0</v>
      </c>
      <c r="CQ79" s="115">
        <f>SUMIFS(商品数据源!$U:$U,商品数据源!$A:$A,$B$74,商品数据源!$B:$B,CQ2)</f>
        <v>0</v>
      </c>
      <c r="CR79" s="115">
        <f>SUMIFS(商品数据源!$U:$U,商品数据源!$A:$A,$B$74,商品数据源!$B:$B,CR2)</f>
        <v>0</v>
      </c>
      <c r="CS79" s="115">
        <f>SUMIFS(商品数据源!$U:$U,商品数据源!$A:$A,$B$74,商品数据源!$B:$B,CS2)</f>
        <v>2</v>
      </c>
      <c r="CT79" s="115">
        <f>SUMIFS(商品数据源!$U:$U,商品数据源!$A:$A,$B$74,商品数据源!$B:$B,CT2)</f>
        <v>2</v>
      </c>
      <c r="CU79" s="115">
        <f>SUMIFS(商品数据源!$U:$U,商品数据源!$A:$A,$B$74,商品数据源!$B:$B,CU2)</f>
        <v>0</v>
      </c>
      <c r="CV79" s="115">
        <f>SUMIFS(商品数据源!$U:$U,商品数据源!$A:$A,$B$74,商品数据源!$B:$B,CV2)</f>
        <v>0</v>
      </c>
      <c r="CW79" s="115">
        <f>SUMIFS(商品数据源!$U:$U,商品数据源!$A:$A,$B$74,商品数据源!$B:$B,CW2)</f>
        <v>0</v>
      </c>
      <c r="CX79" s="115">
        <f>SUMIFS(商品数据源!$U:$U,商品数据源!$A:$A,$B$74,商品数据源!$B:$B,CX2)</f>
        <v>5</v>
      </c>
      <c r="CY79" s="115">
        <f>SUMIFS(商品数据源!$U:$U,商品数据源!$A:$A,$B$74,商品数据源!$B:$B,CY2)</f>
        <v>0</v>
      </c>
      <c r="CZ79" s="115">
        <f>SUMIFS(商品数据源!$U:$U,商品数据源!$A:$A,$B$74,商品数据源!$B:$B,CZ2)</f>
        <v>0</v>
      </c>
      <c r="DA79" s="115">
        <f>SUMIFS(商品数据源!$U:$U,商品数据源!$A:$A,$B$74,商品数据源!$B:$B,DA2)</f>
        <v>0</v>
      </c>
      <c r="DB79" s="115">
        <f>SUMIFS(商品数据源!$U:$U,商品数据源!$A:$A,$B$74,商品数据源!$B:$B,DB2)</f>
        <v>0</v>
      </c>
      <c r="DC79" s="115">
        <f>SUMIFS(商品数据源!$U:$U,商品数据源!$A:$A,$B$74,商品数据源!$B:$B,DC2)</f>
        <v>0</v>
      </c>
      <c r="DD79" s="115">
        <f>SUMIFS(商品数据源!$U:$U,商品数据源!$A:$A,$B$74,商品数据源!$B:$B,DD2)</f>
        <v>0</v>
      </c>
      <c r="DE79" s="115">
        <f>SUMIFS(商品数据源!$U:$U,商品数据源!$A:$A,$B$74,商品数据源!$B:$B,DE2)</f>
        <v>0</v>
      </c>
      <c r="DF79" s="65">
        <f>SUM(DG79:EJ79)</f>
        <v>3</v>
      </c>
      <c r="DG79" s="115">
        <f>SUMIFS(商品数据源!$U:$U,商品数据源!$A:$A,$B$74,商品数据源!$B:$B,DG2)</f>
        <v>0</v>
      </c>
      <c r="DH79" s="115">
        <f>SUMIFS(商品数据源!$U:$U,商品数据源!$A:$A,$B$74,商品数据源!$B:$B,DH2)</f>
        <v>0</v>
      </c>
      <c r="DI79" s="115">
        <f>SUMIFS(商品数据源!$U:$U,商品数据源!$A:$A,$B$74,商品数据源!$B:$B,DI2)</f>
        <v>0</v>
      </c>
      <c r="DJ79" s="115">
        <f>SUMIFS(商品数据源!$U:$U,商品数据源!$A:$A,$B$74,商品数据源!$B:$B,DJ2)</f>
        <v>0</v>
      </c>
      <c r="DK79" s="115">
        <f>SUMIFS(商品数据源!$U:$U,商品数据源!$A:$A,$B$74,商品数据源!$B:$B,DK2)</f>
        <v>0</v>
      </c>
      <c r="DL79" s="115">
        <f>SUMIFS(商品数据源!$U:$U,商品数据源!$A:$A,$B$74,商品数据源!$B:$B,DL2)</f>
        <v>0</v>
      </c>
      <c r="DM79" s="115">
        <f>SUMIFS(商品数据源!$U:$U,商品数据源!$A:$A,$B$74,商品数据源!$B:$B,DM2)</f>
        <v>0</v>
      </c>
      <c r="DN79" s="115">
        <f>SUMIFS(商品数据源!$U:$U,商品数据源!$A:$A,$B$74,商品数据源!$B:$B,DN2)</f>
        <v>0</v>
      </c>
      <c r="DO79" s="115">
        <f>SUMIFS(商品数据源!$U:$U,商品数据源!$A:$A,$B$74,商品数据源!$B:$B,DO2)</f>
        <v>0</v>
      </c>
      <c r="DP79" s="115">
        <f>SUMIFS(商品数据源!$U:$U,商品数据源!$A:$A,$B$74,商品数据源!$B:$B,DP2)</f>
        <v>0</v>
      </c>
      <c r="DQ79" s="115">
        <f>SUMIFS(商品数据源!$U:$U,商品数据源!$A:$A,$B$74,商品数据源!$B:$B,DQ2)</f>
        <v>0</v>
      </c>
      <c r="DR79" s="115">
        <f>SUMIFS(商品数据源!$U:$U,商品数据源!$A:$A,$B$74,商品数据源!$B:$B,DR2)</f>
        <v>0</v>
      </c>
      <c r="DS79" s="115">
        <f>SUMIFS(商品数据源!$U:$U,商品数据源!$A:$A,$B$74,商品数据源!$B:$B,DS2)</f>
        <v>0</v>
      </c>
      <c r="DT79" s="115">
        <f>SUMIFS(商品数据源!$U:$U,商品数据源!$A:$A,$B$74,商品数据源!$B:$B,DT2)</f>
        <v>0</v>
      </c>
      <c r="DU79" s="115">
        <f>SUMIFS(商品数据源!$U:$U,商品数据源!$A:$A,$B$74,商品数据源!$B:$B,DU2)</f>
        <v>0</v>
      </c>
      <c r="DV79" s="115">
        <f>SUMIFS(商品数据源!$U:$U,商品数据源!$A:$A,$B$74,商品数据源!$B:$B,DV2)</f>
        <v>0</v>
      </c>
      <c r="DW79" s="115">
        <f>SUMIFS(商品数据源!$U:$U,商品数据源!$A:$A,$B$74,商品数据源!$B:$B,DW2)</f>
        <v>0</v>
      </c>
      <c r="DX79" s="115">
        <f>SUMIFS(商品数据源!$U:$U,商品数据源!$A:$A,$B$74,商品数据源!$B:$B,DX2)</f>
        <v>0</v>
      </c>
      <c r="DY79" s="115">
        <f>SUMIFS(商品数据源!$U:$U,商品数据源!$A:$A,$B$74,商品数据源!$B:$B,DY2)</f>
        <v>0</v>
      </c>
      <c r="DZ79" s="115">
        <f>SUMIFS(商品数据源!$U:$U,商品数据源!$A:$A,$B$74,商品数据源!$B:$B,DZ2)</f>
        <v>0</v>
      </c>
      <c r="EA79" s="115">
        <f>SUMIFS(商品数据源!$U:$U,商品数据源!$A:$A,$B$74,商品数据源!$B:$B,EA2)</f>
        <v>0</v>
      </c>
      <c r="EB79" s="115">
        <f>SUMIFS(商品数据源!$U:$U,商品数据源!$A:$A,$B$74,商品数据源!$B:$B,EB2)</f>
        <v>0</v>
      </c>
      <c r="EC79" s="115">
        <f>SUMIFS(商品数据源!$U:$U,商品数据源!$A:$A,$B$74,商品数据源!$B:$B,EC2)</f>
        <v>0</v>
      </c>
      <c r="ED79" s="115">
        <f>SUMIFS(商品数据源!$U:$U,商品数据源!$A:$A,$B$74,商品数据源!$B:$B,ED2)</f>
        <v>0</v>
      </c>
      <c r="EE79" s="115">
        <f>SUMIFS(商品数据源!$U:$U,商品数据源!$A:$A,$B$74,商品数据源!$B:$B,EE2)</f>
        <v>0</v>
      </c>
      <c r="EF79" s="115">
        <f>SUMIFS(商品数据源!$U:$U,商品数据源!$A:$A,$B$74,商品数据源!$B:$B,EF2)</f>
        <v>0</v>
      </c>
      <c r="EG79" s="115">
        <f>SUMIFS(商品数据源!$U:$U,商品数据源!$A:$A,$B$74,商品数据源!$B:$B,EG2)</f>
        <v>0</v>
      </c>
      <c r="EH79" s="115">
        <f>SUMIFS(商品数据源!$U:$U,商品数据源!$A:$A,$B$74,商品数据源!$B:$B,EH2)</f>
        <v>2</v>
      </c>
      <c r="EI79" s="115">
        <f>SUMIFS(商品数据源!$U:$U,商品数据源!$A:$A,$B$74,商品数据源!$B:$B,EI2)</f>
        <v>1</v>
      </c>
      <c r="EJ79" s="115">
        <f>SUMIFS(商品数据源!$U:$U,商品数据源!$A:$A,$B$74,商品数据源!$B:$B,EJ2)</f>
        <v>0</v>
      </c>
      <c r="EK79" s="65">
        <f>SUM(EL79:FP79)</f>
        <v>19</v>
      </c>
      <c r="EL79" s="115">
        <f>SUMIFS(商品数据源!$U:$U,商品数据源!$A:$A,$B$74,商品数据源!$B:$B,EL2)</f>
        <v>0</v>
      </c>
      <c r="EM79" s="115">
        <f>SUMIFS(商品数据源!$U:$U,商品数据源!$A:$A,$B$74,商品数据源!$B:$B,EM2)</f>
        <v>1</v>
      </c>
      <c r="EN79" s="115">
        <f>SUMIFS(商品数据源!$U:$U,商品数据源!$A:$A,$B$74,商品数据源!$B:$B,EN2)</f>
        <v>0</v>
      </c>
      <c r="EO79" s="115">
        <f>SUMIFS(商品数据源!$U:$U,商品数据源!$A:$A,$B$74,商品数据源!$B:$B,EO2)</f>
        <v>0</v>
      </c>
      <c r="EP79" s="115">
        <f>SUMIFS(商品数据源!$U:$U,商品数据源!$A:$A,$B$74,商品数据源!$B:$B,EP2)</f>
        <v>0</v>
      </c>
      <c r="EQ79" s="115">
        <f>SUMIFS(商品数据源!$U:$U,商品数据源!$A:$A,$B$74,商品数据源!$B:$B,EQ2)</f>
        <v>1</v>
      </c>
      <c r="ER79" s="115">
        <f>SUMIFS(商品数据源!$U:$U,商品数据源!$A:$A,$B$74,商品数据源!$B:$B,ER2)</f>
        <v>0</v>
      </c>
      <c r="ES79" s="115">
        <f>SUMIFS(商品数据源!$U:$U,商品数据源!$A:$A,$B$74,商品数据源!$B:$B,ES2)</f>
        <v>0</v>
      </c>
      <c r="ET79" s="115">
        <f>SUMIFS(商品数据源!$U:$U,商品数据源!$A:$A,$B$74,商品数据源!$B:$B,ET2)</f>
        <v>0</v>
      </c>
      <c r="EU79" s="115">
        <f>SUMIFS(商品数据源!$U:$U,商品数据源!$A:$A,$B$74,商品数据源!$B:$B,EU2)</f>
        <v>0</v>
      </c>
      <c r="EV79" s="115">
        <f>SUMIFS(商品数据源!$U:$U,商品数据源!$A:$A,$B$74,商品数据源!$B:$B,EV2)</f>
        <v>1</v>
      </c>
      <c r="EW79" s="115">
        <f>SUMIFS(商品数据源!$U:$U,商品数据源!$A:$A,$B$74,商品数据源!$B:$B,EW2)</f>
        <v>0</v>
      </c>
      <c r="EX79" s="115">
        <f>SUMIFS(商品数据源!$U:$U,商品数据源!$A:$A,$B$74,商品数据源!$B:$B,EX2)</f>
        <v>0</v>
      </c>
      <c r="EY79" s="115">
        <f>SUMIFS(商品数据源!$U:$U,商品数据源!$A:$A,$B$74,商品数据源!$B:$B,EY2)</f>
        <v>1</v>
      </c>
      <c r="EZ79" s="115">
        <f>SUMIFS(商品数据源!$U:$U,商品数据源!$A:$A,$B$74,商品数据源!$B:$B,EZ2)</f>
        <v>0</v>
      </c>
      <c r="FA79" s="115">
        <f>SUMIFS(商品数据源!$U:$U,商品数据源!$A:$A,$B$74,商品数据源!$B:$B,FA2)</f>
        <v>0</v>
      </c>
      <c r="FB79" s="115">
        <f>SUMIFS(商品数据源!$U:$U,商品数据源!$A:$A,$B$74,商品数据源!$B:$B,FB2)</f>
        <v>0</v>
      </c>
      <c r="FC79" s="115">
        <f>SUMIFS(商品数据源!$U:$U,商品数据源!$A:$A,$B$74,商品数据源!$B:$B,FC2)</f>
        <v>0</v>
      </c>
      <c r="FD79" s="115">
        <f>SUMIFS(商品数据源!$U:$U,商品数据源!$A:$A,$B$74,商品数据源!$B:$B,FD2)</f>
        <v>3</v>
      </c>
      <c r="FE79" s="115">
        <f>SUMIFS(商品数据源!$U:$U,商品数据源!$A:$A,$B$74,商品数据源!$B:$B,FE2)</f>
        <v>3</v>
      </c>
      <c r="FF79" s="115">
        <f>SUMIFS(商品数据源!$U:$U,商品数据源!$A:$A,$B$74,商品数据源!$B:$B,FF2)</f>
        <v>2</v>
      </c>
      <c r="FG79" s="115">
        <f>SUMIFS(商品数据源!$U:$U,商品数据源!$A:$A,$B$74,商品数据源!$B:$B,FG2)</f>
        <v>1</v>
      </c>
      <c r="FH79" s="115">
        <f>SUMIFS(商品数据源!$U:$U,商品数据源!$A:$A,$B$74,商品数据源!$B:$B,FH2)</f>
        <v>2</v>
      </c>
      <c r="FI79" s="115">
        <f>SUMIFS(商品数据源!$U:$U,商品数据源!$A:$A,$B$74,商品数据源!$B:$B,FI2)</f>
        <v>0</v>
      </c>
      <c r="FJ79" s="115">
        <f>SUMIFS(商品数据源!$U:$U,商品数据源!$A:$A,$B$74,商品数据源!$B:$B,FJ2)</f>
        <v>3</v>
      </c>
      <c r="FK79" s="115">
        <f>SUMIFS(商品数据源!$U:$U,商品数据源!$A:$A,$B$74,商品数据源!$B:$B,FK2)</f>
        <v>0</v>
      </c>
      <c r="FL79" s="115">
        <f>SUMIFS(商品数据源!$U:$U,商品数据源!$A:$A,$B$74,商品数据源!$B:$B,FL2)</f>
        <v>1</v>
      </c>
      <c r="FM79" s="115">
        <f>SUMIFS(商品数据源!$U:$U,商品数据源!$A:$A,$B$74,商品数据源!$B:$B,FM2)</f>
        <v>0</v>
      </c>
      <c r="FN79" s="115">
        <f>SUMIFS(商品数据源!$U:$U,商品数据源!$A:$A,$B$74,商品数据源!$B:$B,FN2)</f>
        <v>0</v>
      </c>
      <c r="FO79" s="115">
        <f>SUMIFS(商品数据源!$U:$U,商品数据源!$A:$A,$B$74,商品数据源!$B:$B,FO2)</f>
        <v>0</v>
      </c>
      <c r="FP79" s="115">
        <f>SUMIFS(商品数据源!$U:$U,商品数据源!$A:$A,$B$74,商品数据源!$B:$B,FP2)</f>
        <v>0</v>
      </c>
      <c r="FQ79" s="65">
        <f t="shared" ref="FQ79:FQ84" si="402">SUM(FR79:GX79)</f>
        <v>14</v>
      </c>
      <c r="FR79" s="115">
        <f>SUMIFS(商品数据源!$U:$U,商品数据源!$A:$A,$B$74,商品数据源!$B:$B,FR2)</f>
        <v>0</v>
      </c>
      <c r="FS79" s="115">
        <f>SUMIFS(商品数据源!$U:$U,商品数据源!$A:$A,$B$74,商品数据源!$B:$B,FS2)</f>
        <v>1</v>
      </c>
      <c r="FT79" s="115">
        <f>SUMIFS(商品数据源!$U:$U,商品数据源!$A:$A,$B$74,商品数据源!$B:$B,FT2)</f>
        <v>1</v>
      </c>
      <c r="FU79" s="115">
        <f>SUMIFS(商品数据源!$U:$U,商品数据源!$A:$A,$B$74,商品数据源!$B:$B,FU2)</f>
        <v>1</v>
      </c>
      <c r="FV79" s="115">
        <f>SUMIFS(商品数据源!$U:$U,商品数据源!$A:$A,$B$74,商品数据源!$B:$B,FV2)</f>
        <v>0</v>
      </c>
      <c r="FW79" s="115">
        <f>SUMIFS(商品数据源!$U:$U,商品数据源!$A:$A,$B$74,商品数据源!$B:$B,FW2)</f>
        <v>2</v>
      </c>
      <c r="FX79" s="115">
        <f>SUMIFS(商品数据源!$U:$U,商品数据源!$A:$A,$B$74,商品数据源!$B:$B,FX2)</f>
        <v>0</v>
      </c>
      <c r="FY79" s="115">
        <f>SUMIFS(商品数据源!$U:$U,商品数据源!$A:$A,$B$74,商品数据源!$B:$B,FY2)</f>
        <v>2</v>
      </c>
      <c r="FZ79" s="115">
        <f>SUMIFS(商品数据源!$U:$U,商品数据源!$A:$A,$B$74,商品数据源!$B:$B,FZ2)</f>
        <v>1</v>
      </c>
      <c r="GA79" s="115">
        <f>SUMIFS(商品数据源!$U:$U,商品数据源!$A:$A,$B$74,商品数据源!$B:$B,GA2)</f>
        <v>0</v>
      </c>
      <c r="GB79" s="115">
        <f>SUMIFS(商品数据源!$U:$U,商品数据源!$A:$A,$B$74,商品数据源!$B:$B,GB2)</f>
        <v>0</v>
      </c>
      <c r="GC79" s="115">
        <f>SUMIFS(商品数据源!$U:$U,商品数据源!$A:$A,$B$74,商品数据源!$B:$B,GC2)</f>
        <v>0</v>
      </c>
      <c r="GD79" s="115">
        <f>SUMIFS(商品数据源!$U:$U,商品数据源!$A:$A,$B$74,商品数据源!$B:$B,GD2)</f>
        <v>0</v>
      </c>
      <c r="GE79" s="115">
        <f>SUMIFS(商品数据源!$U:$U,商品数据源!$A:$A,$B$74,商品数据源!$B:$B,GE2)</f>
        <v>0</v>
      </c>
      <c r="GF79" s="115">
        <f>SUMIFS(商品数据源!$U:$U,商品数据源!$A:$A,$B$74,商品数据源!$B:$B,GF2)</f>
        <v>1</v>
      </c>
      <c r="GG79" s="115">
        <f>SUMIFS(商品数据源!$U:$U,商品数据源!$A:$A,$B$74,商品数据源!$B:$B,GG2)</f>
        <v>5</v>
      </c>
      <c r="GH79" s="115">
        <f>SUMIFS(商品数据源!$U:$U,商品数据源!$A:$A,$B$74,商品数据源!$B:$B,GH2)</f>
        <v>0</v>
      </c>
      <c r="GI79" s="115">
        <f>SUMIFS(商品数据源!$U:$U,商品数据源!$A:$A,$B$74,商品数据源!$B:$B,GI2)</f>
        <v>0</v>
      </c>
      <c r="GJ79" s="115">
        <f>SUMIFS(商品数据源!$U:$U,商品数据源!$A:$A,$B$74,商品数据源!$B:$B,GJ2)</f>
        <v>0</v>
      </c>
      <c r="GK79" s="115">
        <f>SUMIFS(商品数据源!$U:$U,商品数据源!$A:$A,$B$74,商品数据源!$B:$B,GK2)</f>
        <v>0</v>
      </c>
      <c r="GL79" s="115">
        <f>SUMIFS(商品数据源!$U:$U,商品数据源!$A:$A,$B$74,商品数据源!$B:$B,GL2)</f>
        <v>0</v>
      </c>
      <c r="GM79" s="115">
        <f>SUMIFS(商品数据源!$U:$U,商品数据源!$A:$A,$B$74,商品数据源!$B:$B,GM2)</f>
        <v>0</v>
      </c>
      <c r="GN79" s="115">
        <f>SUMIFS(商品数据源!$U:$U,商品数据源!$A:$A,$B$74,商品数据源!$B:$B,GN2)</f>
        <v>0</v>
      </c>
      <c r="GO79" s="115">
        <f>SUMIFS(商品数据源!$U:$U,商品数据源!$A:$A,$B$74,商品数据源!$B:$B,GO2)</f>
        <v>0</v>
      </c>
      <c r="GP79" s="115">
        <f>SUMIFS(商品数据源!$U:$U,商品数据源!$A:$A,$B$74,商品数据源!$B:$B,GP2)</f>
        <v>0</v>
      </c>
    </row>
    <row r="80" s="47" customFormat="1" ht="15" hidden="1" customHeight="1" spans="2:198">
      <c r="B80" s="112"/>
      <c r="C80" s="113" t="s">
        <v>26</v>
      </c>
      <c r="D80" s="114" t="e">
        <f>SUM(E80:P80)</f>
        <v>#REF!</v>
      </c>
      <c r="E80" s="115" t="e">
        <f>#REF!</f>
        <v>#REF!</v>
      </c>
      <c r="F80" s="115" t="e">
        <f>#REF!</f>
        <v>#REF!</v>
      </c>
      <c r="G80" s="115" t="e">
        <f>#REF!</f>
        <v>#REF!</v>
      </c>
      <c r="H80" s="115" t="e">
        <f>#REF!</f>
        <v>#REF!</v>
      </c>
      <c r="I80" s="115" t="e">
        <f>#REF!</f>
        <v>#REF!</v>
      </c>
      <c r="J80" s="115" t="e">
        <f>#REF!</f>
        <v>#REF!</v>
      </c>
      <c r="K80" s="115" t="e">
        <f>#REF!</f>
        <v>#REF!</v>
      </c>
      <c r="L80" s="115" t="e">
        <f>#REF!</f>
        <v>#REF!</v>
      </c>
      <c r="M80" s="115" t="e">
        <f>#REF!</f>
        <v>#REF!</v>
      </c>
      <c r="N80" s="115" t="e">
        <f>#REF!</f>
        <v>#REF!</v>
      </c>
      <c r="O80" s="115" t="e">
        <f>#REF!</f>
        <v>#REF!</v>
      </c>
      <c r="P80" s="115" t="e">
        <f>#REF!</f>
        <v>#REF!</v>
      </c>
      <c r="Q80" s="65">
        <f>SUM(R80:AV80)</f>
        <v>166.68</v>
      </c>
      <c r="R80" s="115">
        <f>SUMIFS(商品数据源!$T:$T,商品数据源!$A:$A,$B$74,商品数据源!$B:$B,R2)</f>
        <v>0</v>
      </c>
      <c r="S80" s="115">
        <f>SUMIFS(商品数据源!$T:$T,商品数据源!$A:$A,$B$74,商品数据源!$B:$B,S2)</f>
        <v>82.17</v>
      </c>
      <c r="T80" s="115">
        <f>SUMIFS(商品数据源!$T:$T,商品数据源!$A:$A,$B$74,商品数据源!$B:$B,T2)</f>
        <v>24.65</v>
      </c>
      <c r="U80" s="115">
        <f>SUMIFS(商品数据源!$T:$T,商品数据源!$A:$A,$B$74,商品数据源!$B:$B,U2)</f>
        <v>0</v>
      </c>
      <c r="V80" s="115">
        <f>SUMIFS(商品数据源!$T:$T,商品数据源!$A:$A,$B$74,商品数据源!$B:$B,V2)</f>
        <v>0</v>
      </c>
      <c r="W80" s="115">
        <f>SUMIFS(商品数据源!$T:$T,商品数据源!$A:$A,$B$74,商品数据源!$B:$B,W2)</f>
        <v>0</v>
      </c>
      <c r="X80" s="115">
        <f>SUMIFS(商品数据源!$T:$T,商品数据源!$A:$A,$B$74,商品数据源!$B:$B,X2)</f>
        <v>0</v>
      </c>
      <c r="Y80" s="115">
        <f>SUMIFS(商品数据源!$T:$T,商品数据源!$A:$A,$B$74,商品数据源!$B:$B,Y2)</f>
        <v>0</v>
      </c>
      <c r="Z80" s="115">
        <f>SUMIFS(商品数据源!$T:$T,商品数据源!$A:$A,$B$74,商品数据源!$B:$B,Z2)</f>
        <v>0</v>
      </c>
      <c r="AA80" s="115">
        <f>SUMIFS(商品数据源!$T:$T,商品数据源!$A:$A,$B$74,商品数据源!$B:$B,AA2)</f>
        <v>0</v>
      </c>
      <c r="AB80" s="115">
        <f>SUMIFS(商品数据源!$T:$T,商品数据源!$A:$A,$B$74,商品数据源!$B:$B,AB2)</f>
        <v>0</v>
      </c>
      <c r="AC80" s="115">
        <f>SUMIFS(商品数据源!$T:$T,商品数据源!$A:$A,$B$74,商品数据源!$B:$B,AC2)</f>
        <v>0</v>
      </c>
      <c r="AD80" s="115">
        <f>SUMIFS(商品数据源!$T:$T,商品数据源!$A:$A,$B$74,商品数据源!$B:$B,AD2)</f>
        <v>59.86</v>
      </c>
      <c r="AE80" s="115">
        <f>SUMIFS(商品数据源!$T:$T,商品数据源!$A:$A,$B$74,商品数据源!$B:$B,AE2)</f>
        <v>0</v>
      </c>
      <c r="AF80" s="115">
        <f>SUMIFS(商品数据源!$T:$T,商品数据源!$A:$A,$B$74,商品数据源!$B:$B,AF2)</f>
        <v>0</v>
      </c>
      <c r="AG80" s="115">
        <f>SUMIFS(商品数据源!$T:$T,商品数据源!$A:$A,$B$74,商品数据源!$B:$B,AG2)</f>
        <v>0</v>
      </c>
      <c r="AH80" s="115">
        <f>SUMIFS(商品数据源!$T:$T,商品数据源!$A:$A,$B$74,商品数据源!$B:$B,AH2)</f>
        <v>0</v>
      </c>
      <c r="AI80" s="115">
        <f>SUMIFS(商品数据源!$T:$T,商品数据源!$A:$A,$B$74,商品数据源!$B:$B,AI2)</f>
        <v>0</v>
      </c>
      <c r="AJ80" s="115">
        <f>SUMIFS(商品数据源!$T:$T,商品数据源!$A:$A,$B$74,商品数据源!$B:$B,AJ2)</f>
        <v>0</v>
      </c>
      <c r="AK80" s="115">
        <f>SUMIFS(商品数据源!$T:$T,商品数据源!$A:$A,$B$74,商品数据源!$B:$B,AK2)</f>
        <v>0</v>
      </c>
      <c r="AL80" s="115">
        <f>SUMIFS(商品数据源!$T:$T,商品数据源!$A:$A,$B$74,商品数据源!$B:$B,AL2)</f>
        <v>0</v>
      </c>
      <c r="AM80" s="115">
        <f>SUMIFS(商品数据源!$T:$T,商品数据源!$A:$A,$B$74,商品数据源!$B:$B,AM2)</f>
        <v>0</v>
      </c>
      <c r="AN80" s="115">
        <f>SUMIFS(商品数据源!$T:$T,商品数据源!$A:$A,$B$74,商品数据源!$B:$B,AN2)</f>
        <v>0</v>
      </c>
      <c r="AO80" s="115">
        <f>SUMIFS(商品数据源!$T:$T,商品数据源!$A:$A,$B$74,商品数据源!$B:$B,AO2)</f>
        <v>0</v>
      </c>
      <c r="AP80" s="115">
        <f>SUMIFS(商品数据源!$T:$T,商品数据源!$A:$A,$B$74,商品数据源!$B:$B,AP2)</f>
        <v>0</v>
      </c>
      <c r="AQ80" s="115">
        <f>SUMIFS(商品数据源!$T:$T,商品数据源!$A:$A,$B$74,商品数据源!$B:$B,AQ2)</f>
        <v>0</v>
      </c>
      <c r="AR80" s="115">
        <f>SUMIFS(商品数据源!$T:$T,商品数据源!$A:$A,$B$74,商品数据源!$B:$B,AR2)</f>
        <v>0</v>
      </c>
      <c r="AS80" s="115">
        <f>SUMIFS(商品数据源!$T:$T,商品数据源!$A:$A,$B$74,商品数据源!$B:$B,AS2)</f>
        <v>0</v>
      </c>
      <c r="AT80" s="115">
        <f>SUMIFS(商品数据源!$T:$T,商品数据源!$A:$A,$B$74,商品数据源!$B:$B,AT2)</f>
        <v>0</v>
      </c>
      <c r="AU80" s="115">
        <f>SUMIFS(商品数据源!$T:$T,商品数据源!$A:$A,$B$74,商品数据源!$B:$B,AU2)</f>
        <v>0</v>
      </c>
      <c r="AV80" s="115">
        <f>SUMIFS(商品数据源!$T:$T,商品数据源!$A:$A,$B$74,商品数据源!$B:$B,AV2)</f>
        <v>0</v>
      </c>
      <c r="AW80" s="65">
        <f>SUM(AX80:BY80)</f>
        <v>0</v>
      </c>
      <c r="AX80" s="115">
        <f>SUMIFS(商品数据源!$T:$T,商品数据源!$A:$A,$B$74,商品数据源!$B:$B,AX2)</f>
        <v>0</v>
      </c>
      <c r="AY80" s="115">
        <f>SUMIFS(商品数据源!$T:$T,商品数据源!$A:$A,$B$74,商品数据源!$B:$B,AY2)</f>
        <v>0</v>
      </c>
      <c r="AZ80" s="115">
        <f>SUMIFS(商品数据源!$T:$T,商品数据源!$A:$A,$B$74,商品数据源!$B:$B,AZ2)</f>
        <v>0</v>
      </c>
      <c r="BA80" s="115">
        <f>SUMIFS(商品数据源!$T:$T,商品数据源!$A:$A,$B$74,商品数据源!$B:$B,BA2)</f>
        <v>0</v>
      </c>
      <c r="BB80" s="115">
        <f>SUMIFS(商品数据源!$T:$T,商品数据源!$A:$A,$B$74,商品数据源!$B:$B,BB2)</f>
        <v>0</v>
      </c>
      <c r="BC80" s="115">
        <f>SUMIFS(商品数据源!$T:$T,商品数据源!$A:$A,$B$74,商品数据源!$B:$B,BC2)</f>
        <v>0</v>
      </c>
      <c r="BD80" s="115">
        <f>SUMIFS(商品数据源!$T:$T,商品数据源!$A:$A,$B$74,商品数据源!$B:$B,BD2)</f>
        <v>0</v>
      </c>
      <c r="BE80" s="115">
        <f>SUMIFS(商品数据源!$T:$T,商品数据源!$A:$A,$B$74,商品数据源!$B:$B,BE2)</f>
        <v>0</v>
      </c>
      <c r="BF80" s="115">
        <f>SUMIFS(商品数据源!$T:$T,商品数据源!$A:$A,$B$74,商品数据源!$B:$B,BF2)</f>
        <v>0</v>
      </c>
      <c r="BG80" s="115">
        <f>SUMIFS(商品数据源!$T:$T,商品数据源!$A:$A,$B$74,商品数据源!$B:$B,BG2)</f>
        <v>0</v>
      </c>
      <c r="BH80" s="115">
        <f>SUMIFS(商品数据源!$T:$T,商品数据源!$A:$A,$B$74,商品数据源!$B:$B,BH2)</f>
        <v>0</v>
      </c>
      <c r="BI80" s="115">
        <f>SUMIFS(商品数据源!$T:$T,商品数据源!$A:$A,$B$74,商品数据源!$B:$B,BI2)</f>
        <v>0</v>
      </c>
      <c r="BJ80" s="115">
        <f>SUMIFS(商品数据源!$T:$T,商品数据源!$A:$A,$B$74,商品数据源!$B:$B,BJ2)</f>
        <v>0</v>
      </c>
      <c r="BK80" s="115">
        <f>SUMIFS(商品数据源!$T:$T,商品数据源!$A:$A,$B$74,商品数据源!$B:$B,BK2)</f>
        <v>0</v>
      </c>
      <c r="BL80" s="115"/>
      <c r="BM80" s="115"/>
      <c r="BN80" s="115"/>
      <c r="BO80" s="115"/>
      <c r="BP80" s="115">
        <f>SUMIFS(商品数据源!$T:$T,商品数据源!$A:$A,$B$74,商品数据源!$B:$B,BP2)</f>
        <v>0</v>
      </c>
      <c r="BQ80" s="115">
        <f>SUMIFS(商品数据源!$T:$T,商品数据源!$A:$A,$B$74,商品数据源!$B:$B,BQ2)</f>
        <v>0</v>
      </c>
      <c r="BR80" s="115">
        <f>SUMIFS(商品数据源!$T:$T,商品数据源!$A:$A,$B$74,商品数据源!$B:$B,BR2)</f>
        <v>0</v>
      </c>
      <c r="BS80" s="115">
        <f>SUMIFS(商品数据源!$T:$T,商品数据源!$A:$A,$B$74,商品数据源!$B:$B,BS2)</f>
        <v>0</v>
      </c>
      <c r="BT80" s="115">
        <f>SUMIFS(商品数据源!$T:$T,商品数据源!$A:$A,$B$74,商品数据源!$B:$B,BT2)</f>
        <v>0</v>
      </c>
      <c r="BU80" s="115">
        <f>SUMIFS(商品数据源!$T:$T,商品数据源!$A:$A,$B$74,商品数据源!$B:$B,BU2)</f>
        <v>0</v>
      </c>
      <c r="BV80" s="115">
        <f>SUMIFS(商品数据源!$T:$T,商品数据源!$A:$A,$B$74,商品数据源!$B:$B,BV2)</f>
        <v>0</v>
      </c>
      <c r="BW80" s="115">
        <f>SUMIFS(商品数据源!$T:$T,商品数据源!$A:$A,$B$74,商品数据源!$B:$B,BW2)</f>
        <v>0</v>
      </c>
      <c r="BX80" s="115">
        <f>SUMIFS(商品数据源!$T:$T,商品数据源!$A:$A,$B$74,商品数据源!$B:$B,BX2)</f>
        <v>0</v>
      </c>
      <c r="BY80" s="115">
        <f>SUMIFS(商品数据源!$T:$T,商品数据源!$A:$A,$B$74,商品数据源!$B:$B,BY2)</f>
        <v>0</v>
      </c>
      <c r="BZ80" s="65">
        <f>SUM(CA80:DE80)</f>
        <v>958.55</v>
      </c>
      <c r="CA80" s="115">
        <f>SUMIFS(商品数据源!$T:$T,商品数据源!$A:$A,$B$74,商品数据源!$B:$B,CA2)</f>
        <v>0</v>
      </c>
      <c r="CB80" s="115">
        <f>SUMIFS(商品数据源!$T:$T,商品数据源!$A:$A,$B$74,商品数据源!$B:$B,CB2)</f>
        <v>0</v>
      </c>
      <c r="CC80" s="115">
        <f>SUMIFS(商品数据源!$T:$T,商品数据源!$A:$A,$B$74,商品数据源!$B:$B,CC2)</f>
        <v>0</v>
      </c>
      <c r="CD80" s="115">
        <f>SUMIFS(商品数据源!$T:$T,商品数据源!$A:$A,$B$74,商品数据源!$B:$B,CD2)</f>
        <v>0</v>
      </c>
      <c r="CE80" s="115">
        <f>SUMIFS(商品数据源!$T:$T,商品数据源!$A:$A,$B$74,商品数据源!$B:$B,CE2)</f>
        <v>0</v>
      </c>
      <c r="CF80" s="115">
        <f>SUMIFS(商品数据源!$T:$T,商品数据源!$A:$A,$B$74,商品数据源!$B:$B,CF2)</f>
        <v>0</v>
      </c>
      <c r="CG80" s="115">
        <f>SUMIFS(商品数据源!$T:$T,商品数据源!$A:$A,$B$74,商品数据源!$B:$B,CG2)</f>
        <v>0</v>
      </c>
      <c r="CH80" s="115">
        <f>SUMIFS(商品数据源!$T:$T,商品数据源!$A:$A,$B$74,商品数据源!$B:$B,CH2)</f>
        <v>0</v>
      </c>
      <c r="CI80" s="115">
        <f>SUMIFS(商品数据源!$T:$T,商品数据源!$A:$A,$B$74,商品数据源!$B:$B,CI2)</f>
        <v>0</v>
      </c>
      <c r="CJ80" s="115">
        <f>SUMIFS(商品数据源!$T:$T,商品数据源!$A:$A,$B$74,商品数据源!$B:$B,CJ2)</f>
        <v>0</v>
      </c>
      <c r="CK80" s="115">
        <f>SUMIFS(商品数据源!$T:$T,商品数据源!$A:$A,$B$74,商品数据源!$B:$B,CK2)</f>
        <v>0</v>
      </c>
      <c r="CL80" s="115">
        <f>SUMIFS(商品数据源!$T:$T,商品数据源!$A:$A,$B$74,商品数据源!$B:$B,CL2)</f>
        <v>0</v>
      </c>
      <c r="CM80" s="115">
        <f>SUMIFS(商品数据源!$T:$T,商品数据源!$A:$A,$B$74,商品数据源!$B:$B,CM2)</f>
        <v>0</v>
      </c>
      <c r="CN80" s="115">
        <f>SUMIFS(商品数据源!$T:$T,商品数据源!$A:$A,$B$74,商品数据源!$B:$B,CN2)</f>
        <v>0</v>
      </c>
      <c r="CO80" s="115">
        <f>SUMIFS(商品数据源!$T:$T,商品数据源!$A:$A,$B$74,商品数据源!$B:$B,CO2)</f>
        <v>0</v>
      </c>
      <c r="CP80" s="115">
        <f>SUMIFS(商品数据源!$T:$T,商品数据源!$A:$A,$B$74,商品数据源!$B:$B,CP2)</f>
        <v>0</v>
      </c>
      <c r="CQ80" s="115">
        <f>SUMIFS(商品数据源!$T:$T,商品数据源!$A:$A,$B$74,商品数据源!$B:$B,CQ2)</f>
        <v>0</v>
      </c>
      <c r="CR80" s="115">
        <f>SUMIFS(商品数据源!$T:$T,商品数据源!$A:$A,$B$74,商品数据源!$B:$B,CR2)</f>
        <v>0</v>
      </c>
      <c r="CS80" s="115">
        <f>SUMIFS(商品数据源!$T:$T,商品数据源!$A:$A,$B$74,商品数据源!$B:$B,CS2)</f>
        <v>381.57</v>
      </c>
      <c r="CT80" s="115">
        <f>SUMIFS(商品数据源!$T:$T,商品数据源!$A:$A,$B$74,商品数据源!$B:$B,CT2)</f>
        <v>234.76</v>
      </c>
      <c r="CU80" s="115">
        <f>SUMIFS(商品数据源!$T:$T,商品数据源!$A:$A,$B$74,商品数据源!$B:$B,CU2)</f>
        <v>0</v>
      </c>
      <c r="CV80" s="115">
        <f>SUMIFS(商品数据源!$T:$T,商品数据源!$A:$A,$B$74,商品数据源!$B:$B,CV2)</f>
        <v>0</v>
      </c>
      <c r="CW80" s="115">
        <f>SUMIFS(商品数据源!$T:$T,商品数据源!$A:$A,$B$74,商品数据源!$B:$B,CW2)</f>
        <v>0</v>
      </c>
      <c r="CX80" s="115">
        <f>SUMIFS(商品数据源!$T:$T,商品数据源!$A:$A,$B$74,商品数据源!$B:$B,CX2)</f>
        <v>342.22</v>
      </c>
      <c r="CY80" s="115">
        <f>SUMIFS(商品数据源!$T:$T,商品数据源!$A:$A,$B$74,商品数据源!$B:$B,CY2)</f>
        <v>0</v>
      </c>
      <c r="CZ80" s="115">
        <f>SUMIFS(商品数据源!$T:$T,商品数据源!$A:$A,$B$74,商品数据源!$B:$B,CZ2)</f>
        <v>0</v>
      </c>
      <c r="DA80" s="115">
        <f>SUMIFS(商品数据源!$T:$T,商品数据源!$A:$A,$B$74,商品数据源!$B:$B,DA2)</f>
        <v>0</v>
      </c>
      <c r="DB80" s="115">
        <f>SUMIFS(商品数据源!$T:$T,商品数据源!$A:$A,$B$74,商品数据源!$B:$B,DB2)</f>
        <v>0</v>
      </c>
      <c r="DC80" s="115">
        <f>SUMIFS(商品数据源!$T:$T,商品数据源!$A:$A,$B$74,商品数据源!$B:$B,DC2)</f>
        <v>0</v>
      </c>
      <c r="DD80" s="115">
        <f>SUMIFS(商品数据源!$T:$T,商品数据源!$A:$A,$B$74,商品数据源!$B:$B,DD2)</f>
        <v>0</v>
      </c>
      <c r="DE80" s="115">
        <f>SUMIFS(商品数据源!$T:$T,商品数据源!$A:$A,$B$74,商品数据源!$B:$B,DE2)</f>
        <v>0</v>
      </c>
      <c r="DF80" s="65">
        <f>SUM(DG80:EJ80)</f>
        <v>452.54</v>
      </c>
      <c r="DG80" s="115">
        <f>SUMIFS(商品数据源!$T:$T,商品数据源!$A:$A,$B$74,商品数据源!$B:$B,DG2)</f>
        <v>0</v>
      </c>
      <c r="DH80" s="115">
        <f>SUMIFS(商品数据源!$T:$T,商品数据源!$A:$A,$B$74,商品数据源!$B:$B,DH2)</f>
        <v>0</v>
      </c>
      <c r="DI80" s="115">
        <f>SUMIFS(商品数据源!$T:$T,商品数据源!$A:$A,$B$74,商品数据源!$B:$B,DI2)</f>
        <v>0</v>
      </c>
      <c r="DJ80" s="115">
        <f>SUMIFS(商品数据源!$T:$T,商品数据源!$A:$A,$B$74,商品数据源!$B:$B,DJ2)</f>
        <v>0</v>
      </c>
      <c r="DK80" s="115">
        <f>SUMIFS(商品数据源!$T:$T,商品数据源!$A:$A,$B$74,商品数据源!$B:$B,DK2)</f>
        <v>0</v>
      </c>
      <c r="DL80" s="115">
        <f>SUMIFS(商品数据源!$T:$T,商品数据源!$A:$A,$B$74,商品数据源!$B:$B,DL2)</f>
        <v>0</v>
      </c>
      <c r="DM80" s="115">
        <f>SUMIFS(商品数据源!$T:$T,商品数据源!$A:$A,$B$74,商品数据源!$B:$B,DM2)</f>
        <v>0</v>
      </c>
      <c r="DN80" s="115">
        <f>SUMIFS(商品数据源!$T:$T,商品数据源!$A:$A,$B$74,商品数据源!$B:$B,DN2)</f>
        <v>0</v>
      </c>
      <c r="DO80" s="115">
        <f>SUMIFS(商品数据源!$T:$T,商品数据源!$A:$A,$B$74,商品数据源!$B:$B,DO2)</f>
        <v>0</v>
      </c>
      <c r="DP80" s="115">
        <f>SUMIFS(商品数据源!$T:$T,商品数据源!$A:$A,$B$74,商品数据源!$B:$B,DP2)</f>
        <v>0</v>
      </c>
      <c r="DQ80" s="115">
        <f>SUMIFS(商品数据源!$T:$T,商品数据源!$A:$A,$B$74,商品数据源!$B:$B,DQ2)</f>
        <v>0</v>
      </c>
      <c r="DR80" s="115">
        <f>SUMIFS(商品数据源!$T:$T,商品数据源!$A:$A,$B$74,商品数据源!$B:$B,DR2)</f>
        <v>0</v>
      </c>
      <c r="DS80" s="115">
        <f>SUMIFS(商品数据源!$T:$T,商品数据源!$A:$A,$B$74,商品数据源!$B:$B,DS2)</f>
        <v>0</v>
      </c>
      <c r="DT80" s="115">
        <f>SUMIFS(商品数据源!$T:$T,商品数据源!$A:$A,$B$74,商品数据源!$B:$B,DT2)</f>
        <v>0</v>
      </c>
      <c r="DU80" s="115">
        <f>SUMIFS(商品数据源!$T:$T,商品数据源!$A:$A,$B$74,商品数据源!$B:$B,DU2)</f>
        <v>0</v>
      </c>
      <c r="DV80" s="115">
        <f>SUMIFS(商品数据源!$T:$T,商品数据源!$A:$A,$B$74,商品数据源!$B:$B,DV2)</f>
        <v>0</v>
      </c>
      <c r="DW80" s="115">
        <f>SUMIFS(商品数据源!$T:$T,商品数据源!$A:$A,$B$74,商品数据源!$B:$B,DW2)</f>
        <v>0</v>
      </c>
      <c r="DX80" s="115">
        <f>SUMIFS(商品数据源!$T:$T,商品数据源!$A:$A,$B$74,商品数据源!$B:$B,DX2)</f>
        <v>0</v>
      </c>
      <c r="DY80" s="115">
        <f>SUMIFS(商品数据源!$T:$T,商品数据源!$A:$A,$B$74,商品数据源!$B:$B,DY2)</f>
        <v>0</v>
      </c>
      <c r="DZ80" s="115">
        <f>SUMIFS(商品数据源!$T:$T,商品数据源!$A:$A,$B$74,商品数据源!$B:$B,DZ2)</f>
        <v>0</v>
      </c>
      <c r="EA80" s="115">
        <f>SUMIFS(商品数据源!$T:$T,商品数据源!$A:$A,$B$74,商品数据源!$B:$B,EA2)</f>
        <v>0</v>
      </c>
      <c r="EB80" s="115">
        <f>SUMIFS(商品数据源!$T:$T,商品数据源!$A:$A,$B$74,商品数据源!$B:$B,EB2)</f>
        <v>0</v>
      </c>
      <c r="EC80" s="115">
        <f>SUMIFS(商品数据源!$T:$T,商品数据源!$A:$A,$B$74,商品数据源!$B:$B,EC2)</f>
        <v>0</v>
      </c>
      <c r="ED80" s="115">
        <f>SUMIFS(商品数据源!$T:$T,商品数据源!$A:$A,$B$74,商品数据源!$B:$B,ED2)</f>
        <v>0</v>
      </c>
      <c r="EE80" s="115">
        <f>SUMIFS(商品数据源!$T:$T,商品数据源!$A:$A,$B$74,商品数据源!$B:$B,EE2)</f>
        <v>0</v>
      </c>
      <c r="EF80" s="115">
        <f>SUMIFS(商品数据源!$T:$T,商品数据源!$A:$A,$B$74,商品数据源!$B:$B,EF2)</f>
        <v>0</v>
      </c>
      <c r="EG80" s="115">
        <f>SUMIFS(商品数据源!$T:$T,商品数据源!$A:$A,$B$74,商品数据源!$B:$B,EG2)</f>
        <v>0</v>
      </c>
      <c r="EH80" s="115">
        <f>SUMIFS(商品数据源!$T:$T,商品数据源!$A:$A,$B$74,商品数据源!$B:$B,EH2)</f>
        <v>306.36</v>
      </c>
      <c r="EI80" s="115">
        <f>SUMIFS(商品数据源!$T:$T,商品数据源!$A:$A,$B$74,商品数据源!$B:$B,EI2)</f>
        <v>146.18</v>
      </c>
      <c r="EJ80" s="115">
        <f>SUMIFS(商品数据源!$T:$T,商品数据源!$A:$A,$B$74,商品数据源!$B:$B,EJ2)</f>
        <v>0</v>
      </c>
      <c r="EK80" s="65">
        <f>SUM(EL80:FP80)</f>
        <v>1903.46</v>
      </c>
      <c r="EL80" s="115">
        <f>SUMIFS(商品数据源!$T:$T,商品数据源!$A:$A,$B$74,商品数据源!$B:$B,EL2)</f>
        <v>0</v>
      </c>
      <c r="EM80" s="115">
        <f>SUMIFS(商品数据源!$T:$T,商品数据源!$A:$A,$B$74,商品数据源!$B:$B,EM2)</f>
        <v>151</v>
      </c>
      <c r="EN80" s="115">
        <f>SUMIFS(商品数据源!$T:$T,商品数据源!$A:$A,$B$74,商品数据源!$B:$B,EN2)</f>
        <v>0</v>
      </c>
      <c r="EO80" s="115">
        <f>SUMIFS(商品数据源!$T:$T,商品数据源!$A:$A,$B$74,商品数据源!$B:$B,EO2)</f>
        <v>0</v>
      </c>
      <c r="EP80" s="115">
        <f>SUMIFS(商品数据源!$T:$T,商品数据源!$A:$A,$B$74,商品数据源!$B:$B,EP2)</f>
        <v>0</v>
      </c>
      <c r="EQ80" s="115">
        <f>SUMIFS(商品数据源!$T:$T,商品数据源!$A:$A,$B$74,商品数据源!$B:$B,EQ2)</f>
        <v>133.6</v>
      </c>
      <c r="ER80" s="115">
        <f>SUMIFS(商品数据源!$T:$T,商品数据源!$A:$A,$B$74,商品数据源!$B:$B,ER2)</f>
        <v>0</v>
      </c>
      <c r="ES80" s="115">
        <f>SUMIFS(商品数据源!$T:$T,商品数据源!$A:$A,$B$74,商品数据源!$B:$B,ES2)</f>
        <v>0</v>
      </c>
      <c r="ET80" s="115">
        <f>SUMIFS(商品数据源!$T:$T,商品数据源!$A:$A,$B$74,商品数据源!$B:$B,ET2)</f>
        <v>0</v>
      </c>
      <c r="EU80" s="115">
        <f>SUMIFS(商品数据源!$T:$T,商品数据源!$A:$A,$B$74,商品数据源!$B:$B,EU2)</f>
        <v>0</v>
      </c>
      <c r="EV80" s="115">
        <f>SUMIFS(商品数据源!$T:$T,商品数据源!$A:$A,$B$74,商品数据源!$B:$B,EV2)</f>
        <v>66.31</v>
      </c>
      <c r="EW80" s="115">
        <f>SUMIFS(商品数据源!$T:$T,商品数据源!$A:$A,$B$74,商品数据源!$B:$B,EW2)</f>
        <v>0</v>
      </c>
      <c r="EX80" s="115">
        <f>SUMIFS(商品数据源!$T:$T,商品数据源!$A:$A,$B$74,商品数据源!$B:$B,EX2)</f>
        <v>0</v>
      </c>
      <c r="EY80" s="115">
        <f>SUMIFS(商品数据源!$T:$T,商品数据源!$A:$A,$B$74,商品数据源!$B:$B,EY2)</f>
        <v>278</v>
      </c>
      <c r="EZ80" s="115">
        <f>SUMIFS(商品数据源!$T:$T,商品数据源!$A:$A,$B$74,商品数据源!$B:$B,EZ2)</f>
        <v>0</v>
      </c>
      <c r="FA80" s="115">
        <f>SUMIFS(商品数据源!$T:$T,商品数据源!$A:$A,$B$74,商品数据源!$B:$B,FA2)</f>
        <v>0</v>
      </c>
      <c r="FB80" s="115">
        <f>SUMIFS(商品数据源!$T:$T,商品数据源!$A:$A,$B$74,商品数据源!$B:$B,FB2)</f>
        <v>0</v>
      </c>
      <c r="FC80" s="115">
        <f>SUMIFS(商品数据源!$T:$T,商品数据源!$A:$A,$B$74,商品数据源!$B:$B,FC2)</f>
        <v>0</v>
      </c>
      <c r="FD80" s="115">
        <f>SUMIFS(商品数据源!$T:$T,商品数据源!$A:$A,$B$74,商品数据源!$B:$B,FD2)</f>
        <v>193.23</v>
      </c>
      <c r="FE80" s="115">
        <f>SUMIFS(商品数据源!$T:$T,商品数据源!$A:$A,$B$74,商品数据源!$B:$B,FE2)</f>
        <v>307</v>
      </c>
      <c r="FF80" s="115">
        <f>SUMIFS(商品数据源!$T:$T,商品数据源!$A:$A,$B$74,商品数据源!$B:$B,FF2)</f>
        <v>79.81</v>
      </c>
      <c r="FG80" s="115">
        <f>SUMIFS(商品数据源!$T:$T,商品数据源!$A:$A,$B$74,商品数据源!$B:$B,FG2)</f>
        <v>133.6</v>
      </c>
      <c r="FH80" s="115">
        <f>SUMIFS(商品数据源!$T:$T,商品数据源!$A:$A,$B$74,商品数据源!$B:$B,FH2)</f>
        <v>116.11</v>
      </c>
      <c r="FI80" s="115">
        <f>SUMIFS(商品数据源!$T:$T,商品数据源!$A:$A,$B$74,商品数据源!$B:$B,FI2)</f>
        <v>0</v>
      </c>
      <c r="FJ80" s="115">
        <f>SUMIFS(商品数据源!$T:$T,商品数据源!$A:$A,$B$74,商品数据源!$B:$B,FJ2)</f>
        <v>311.2</v>
      </c>
      <c r="FK80" s="115">
        <f>SUMIFS(商品数据源!$T:$T,商品数据源!$A:$A,$B$74,商品数据源!$B:$B,FK2)</f>
        <v>0</v>
      </c>
      <c r="FL80" s="115">
        <f>SUMIFS(商品数据源!$T:$T,商品数据源!$A:$A,$B$74,商品数据源!$B:$B,FL2)</f>
        <v>133.6</v>
      </c>
      <c r="FM80" s="115">
        <f>SUMIFS(商品数据源!$T:$T,商品数据源!$A:$A,$B$74,商品数据源!$B:$B,FM2)</f>
        <v>0</v>
      </c>
      <c r="FN80" s="115">
        <f>SUMIFS(商品数据源!$T:$T,商品数据源!$A:$A,$B$74,商品数据源!$B:$B,FN2)</f>
        <v>0</v>
      </c>
      <c r="FO80" s="115">
        <f>SUMIFS(商品数据源!$T:$T,商品数据源!$A:$A,$B$74,商品数据源!$B:$B,FO2)</f>
        <v>0</v>
      </c>
      <c r="FP80" s="115">
        <f>SUMIFS(商品数据源!$T:$T,商品数据源!$A:$A,$B$74,商品数据源!$B:$B,FP2)</f>
        <v>0</v>
      </c>
      <c r="FQ80" s="65">
        <f t="shared" si="402"/>
        <v>1350.81</v>
      </c>
      <c r="FR80" s="115">
        <f>SUMIFS(商品数据源!$T:$T,商品数据源!$A:$A,$B$74,商品数据源!$B:$B,FR2)</f>
        <v>0</v>
      </c>
      <c r="FS80" s="115">
        <f>SUMIFS(商品数据源!$T:$T,商品数据源!$A:$A,$B$74,商品数据源!$B:$B,FS2)</f>
        <v>90</v>
      </c>
      <c r="FT80" s="115">
        <f>SUMIFS(商品数据源!$T:$T,商品数据源!$A:$A,$B$74,商品数据源!$B:$B,FT2)</f>
        <v>90</v>
      </c>
      <c r="FU80" s="115">
        <f>SUMIFS(商品数据源!$T:$T,商品数据源!$A:$A,$B$74,商品数据源!$B:$B,FU2)</f>
        <v>138.64</v>
      </c>
      <c r="FV80" s="115">
        <f>SUMIFS(商品数据源!$T:$T,商品数据源!$A:$A,$B$74,商品数据源!$B:$B,FV2)</f>
        <v>0</v>
      </c>
      <c r="FW80" s="115">
        <f>SUMIFS(商品数据源!$T:$T,商品数据源!$A:$A,$B$74,商品数据源!$B:$B,FW2)</f>
        <v>125</v>
      </c>
      <c r="FX80" s="115">
        <f>SUMIFS(商品数据源!$T:$T,商品数据源!$A:$A,$B$74,商品数据源!$B:$B,FX2)</f>
        <v>0</v>
      </c>
      <c r="FY80" s="115">
        <f>SUMIFS(商品数据源!$T:$T,商品数据源!$A:$A,$B$74,商品数据源!$B:$B,FY2)</f>
        <v>277.28</v>
      </c>
      <c r="FZ80" s="115">
        <f>SUMIFS(商品数据源!$T:$T,商品数据源!$A:$A,$B$74,商品数据源!$B:$B,FZ2)</f>
        <v>87.88</v>
      </c>
      <c r="GA80" s="115">
        <f>SUMIFS(商品数据源!$T:$T,商品数据源!$A:$A,$B$74,商品数据源!$B:$B,GA2)</f>
        <v>0</v>
      </c>
      <c r="GB80" s="115">
        <f>SUMIFS(商品数据源!$T:$T,商品数据源!$A:$A,$B$74,商品数据源!$B:$B,GB2)</f>
        <v>0</v>
      </c>
      <c r="GC80" s="115">
        <f>SUMIFS(商品数据源!$T:$T,商品数据源!$A:$A,$B$74,商品数据源!$B:$B,GC2)</f>
        <v>0</v>
      </c>
      <c r="GD80" s="115">
        <f>SUMIFS(商品数据源!$T:$T,商品数据源!$A:$A,$B$74,商品数据源!$B:$B,GD2)</f>
        <v>0</v>
      </c>
      <c r="GE80" s="115">
        <f>SUMIFS(商品数据源!$T:$T,商品数据源!$A:$A,$B$74,商品数据源!$B:$B,GE2)</f>
        <v>0</v>
      </c>
      <c r="GF80" s="115">
        <f>SUMIFS(商品数据源!$T:$T,商品数据源!$A:$A,$B$74,商品数据源!$B:$B,GF2)</f>
        <v>142</v>
      </c>
      <c r="GG80" s="115">
        <f>SUMIFS(商品数据源!$T:$T,商品数据源!$A:$A,$B$74,商品数据源!$B:$B,GG2)</f>
        <v>400.01</v>
      </c>
      <c r="GH80" s="115">
        <f>SUMIFS(商品数据源!$T:$T,商品数据源!$A:$A,$B$74,商品数据源!$B:$B,GH2)</f>
        <v>0</v>
      </c>
      <c r="GI80" s="115">
        <f>SUMIFS(商品数据源!$T:$T,商品数据源!$A:$A,$B$74,商品数据源!$B:$B,GI2)</f>
        <v>0</v>
      </c>
      <c r="GJ80" s="115">
        <f>SUMIFS(商品数据源!$T:$T,商品数据源!$A:$A,$B$74,商品数据源!$B:$B,GJ2)</f>
        <v>0</v>
      </c>
      <c r="GK80" s="115">
        <f>SUMIFS(商品数据源!$T:$T,商品数据源!$A:$A,$B$74,商品数据源!$B:$B,GK2)</f>
        <v>0</v>
      </c>
      <c r="GL80" s="115">
        <f>SUMIFS(商品数据源!$T:$T,商品数据源!$A:$A,$B$74,商品数据源!$B:$B,GL2)</f>
        <v>0</v>
      </c>
      <c r="GM80" s="115">
        <f>SUMIFS(商品数据源!$T:$T,商品数据源!$A:$A,$B$74,商品数据源!$B:$B,GM2)</f>
        <v>0</v>
      </c>
      <c r="GN80" s="115">
        <f>SUMIFS(商品数据源!$T:$T,商品数据源!$A:$A,$B$74,商品数据源!$B:$B,GN2)</f>
        <v>0</v>
      </c>
      <c r="GO80" s="115">
        <f>SUMIFS(商品数据源!$T:$T,商品数据源!$A:$A,$B$74,商品数据源!$B:$B,GO2)</f>
        <v>0</v>
      </c>
      <c r="GP80" s="115">
        <f>SUMIFS(商品数据源!$T:$T,商品数据源!$A:$A,$B$74,商品数据源!$B:$B,GP2)</f>
        <v>0</v>
      </c>
    </row>
    <row r="81" s="47" customFormat="1" ht="15" hidden="1" customHeight="1" spans="2:198">
      <c r="B81" s="112"/>
      <c r="C81" s="113" t="s">
        <v>14</v>
      </c>
      <c r="D81" s="119" t="e">
        <f t="shared" ref="D81:O81" si="403">D80/D74</f>
        <v>#REF!</v>
      </c>
      <c r="E81" s="117" t="e">
        <f t="shared" si="403"/>
        <v>#REF!</v>
      </c>
      <c r="F81" s="117" t="e">
        <f t="shared" si="403"/>
        <v>#REF!</v>
      </c>
      <c r="G81" s="117" t="e">
        <f t="shared" si="403"/>
        <v>#REF!</v>
      </c>
      <c r="H81" s="117" t="e">
        <f t="shared" si="403"/>
        <v>#REF!</v>
      </c>
      <c r="I81" s="117" t="e">
        <f t="shared" si="403"/>
        <v>#REF!</v>
      </c>
      <c r="J81" s="117" t="e">
        <f t="shared" si="403"/>
        <v>#REF!</v>
      </c>
      <c r="K81" s="117" t="e">
        <f t="shared" si="403"/>
        <v>#REF!</v>
      </c>
      <c r="L81" s="117" t="e">
        <f t="shared" si="403"/>
        <v>#REF!</v>
      </c>
      <c r="M81" s="117" t="e">
        <f t="shared" si="403"/>
        <v>#REF!</v>
      </c>
      <c r="N81" s="117" t="e">
        <f t="shared" si="403"/>
        <v>#REF!</v>
      </c>
      <c r="O81" s="117" t="e">
        <f t="shared" si="403"/>
        <v>#REF!</v>
      </c>
      <c r="P81" s="117" t="e">
        <f t="shared" ref="P81:X81" si="404">P80/P74</f>
        <v>#REF!</v>
      </c>
      <c r="Q81" s="70">
        <f t="shared" si="404"/>
        <v>0.336116152450091</v>
      </c>
      <c r="R81" s="117">
        <f t="shared" si="404"/>
        <v>0</v>
      </c>
      <c r="S81" s="117">
        <f t="shared" si="404"/>
        <v>1.80078895463511</v>
      </c>
      <c r="T81" s="117">
        <f t="shared" si="404"/>
        <v>0.571130676552363</v>
      </c>
      <c r="U81" s="117">
        <f t="shared" si="404"/>
        <v>0</v>
      </c>
      <c r="V81" s="117">
        <f t="shared" si="404"/>
        <v>0</v>
      </c>
      <c r="W81" s="117">
        <f t="shared" si="404"/>
        <v>0</v>
      </c>
      <c r="X81" s="117">
        <f t="shared" si="404"/>
        <v>0</v>
      </c>
      <c r="Y81" s="117">
        <f t="shared" ref="Y81:AL81" si="405">Y80/Y74</f>
        <v>0</v>
      </c>
      <c r="Z81" s="117">
        <f t="shared" si="405"/>
        <v>0</v>
      </c>
      <c r="AA81" s="117">
        <f t="shared" si="405"/>
        <v>0</v>
      </c>
      <c r="AB81" s="117">
        <f t="shared" si="405"/>
        <v>0</v>
      </c>
      <c r="AC81" s="117">
        <f t="shared" si="405"/>
        <v>0</v>
      </c>
      <c r="AD81" s="117">
        <f t="shared" si="405"/>
        <v>2.7471317117944</v>
      </c>
      <c r="AE81" s="117">
        <f t="shared" si="405"/>
        <v>0</v>
      </c>
      <c r="AF81" s="117">
        <f t="shared" si="405"/>
        <v>0</v>
      </c>
      <c r="AG81" s="117">
        <f t="shared" si="405"/>
        <v>0</v>
      </c>
      <c r="AH81" s="117">
        <f t="shared" si="405"/>
        <v>0</v>
      </c>
      <c r="AI81" s="117">
        <f t="shared" si="405"/>
        <v>0</v>
      </c>
      <c r="AJ81" s="117">
        <f t="shared" si="405"/>
        <v>0</v>
      </c>
      <c r="AK81" s="117" t="e">
        <f t="shared" si="405"/>
        <v>#DIV/0!</v>
      </c>
      <c r="AL81" s="117" t="e">
        <f t="shared" ref="AL81:BK81" si="406">AL80/AL74</f>
        <v>#DIV/0!</v>
      </c>
      <c r="AM81" s="117" t="e">
        <f t="shared" si="406"/>
        <v>#DIV/0!</v>
      </c>
      <c r="AN81" s="117" t="e">
        <f t="shared" si="406"/>
        <v>#DIV/0!</v>
      </c>
      <c r="AO81" s="117" t="e">
        <f t="shared" si="406"/>
        <v>#DIV/0!</v>
      </c>
      <c r="AP81" s="117" t="e">
        <f t="shared" si="406"/>
        <v>#DIV/0!</v>
      </c>
      <c r="AQ81" s="117" t="e">
        <f t="shared" si="406"/>
        <v>#DIV/0!</v>
      </c>
      <c r="AR81" s="117" t="e">
        <f t="shared" si="406"/>
        <v>#DIV/0!</v>
      </c>
      <c r="AS81" s="117" t="e">
        <f t="shared" si="406"/>
        <v>#DIV/0!</v>
      </c>
      <c r="AT81" s="117" t="e">
        <f t="shared" si="406"/>
        <v>#DIV/0!</v>
      </c>
      <c r="AU81" s="117" t="e">
        <f t="shared" si="406"/>
        <v>#DIV/0!</v>
      </c>
      <c r="AV81" s="117" t="e">
        <f t="shared" si="406"/>
        <v>#DIV/0!</v>
      </c>
      <c r="AW81" s="70" t="e">
        <f t="shared" si="406"/>
        <v>#DIV/0!</v>
      </c>
      <c r="AX81" s="117" t="e">
        <f t="shared" si="406"/>
        <v>#DIV/0!</v>
      </c>
      <c r="AY81" s="117" t="e">
        <f t="shared" si="406"/>
        <v>#DIV/0!</v>
      </c>
      <c r="AZ81" s="117" t="e">
        <f t="shared" si="406"/>
        <v>#DIV/0!</v>
      </c>
      <c r="BA81" s="117" t="e">
        <f t="shared" si="406"/>
        <v>#DIV/0!</v>
      </c>
      <c r="BB81" s="117" t="e">
        <f t="shared" si="406"/>
        <v>#DIV/0!</v>
      </c>
      <c r="BC81" s="117" t="e">
        <f t="shared" si="406"/>
        <v>#DIV/0!</v>
      </c>
      <c r="BD81" s="117" t="e">
        <f t="shared" si="406"/>
        <v>#DIV/0!</v>
      </c>
      <c r="BE81" s="117" t="e">
        <f t="shared" si="406"/>
        <v>#DIV/0!</v>
      </c>
      <c r="BF81" s="117" t="e">
        <f t="shared" si="406"/>
        <v>#DIV/0!</v>
      </c>
      <c r="BG81" s="117" t="e">
        <f t="shared" si="406"/>
        <v>#DIV/0!</v>
      </c>
      <c r="BH81" s="117" t="e">
        <f t="shared" si="406"/>
        <v>#DIV/0!</v>
      </c>
      <c r="BI81" s="117" t="e">
        <f t="shared" si="406"/>
        <v>#DIV/0!</v>
      </c>
      <c r="BJ81" s="117" t="e">
        <f t="shared" si="406"/>
        <v>#DIV/0!</v>
      </c>
      <c r="BK81" s="117" t="e">
        <f t="shared" si="406"/>
        <v>#DIV/0!</v>
      </c>
      <c r="BL81" s="117"/>
      <c r="BM81" s="117"/>
      <c r="BN81" s="117"/>
      <c r="BO81" s="117"/>
      <c r="BP81" s="117" t="e">
        <f t="shared" ref="BP81:BW81" si="407">BP80/BP74</f>
        <v>#DIV/0!</v>
      </c>
      <c r="BQ81" s="117" t="e">
        <f t="shared" si="407"/>
        <v>#DIV/0!</v>
      </c>
      <c r="BR81" s="117" t="e">
        <f t="shared" si="407"/>
        <v>#DIV/0!</v>
      </c>
      <c r="BS81" s="117" t="e">
        <f t="shared" si="407"/>
        <v>#DIV/0!</v>
      </c>
      <c r="BT81" s="117" t="e">
        <f t="shared" si="407"/>
        <v>#DIV/0!</v>
      </c>
      <c r="BU81" s="117" t="e">
        <f t="shared" si="407"/>
        <v>#DIV/0!</v>
      </c>
      <c r="BV81" s="117" t="e">
        <f t="shared" si="407"/>
        <v>#DIV/0!</v>
      </c>
      <c r="BW81" s="117" t="e">
        <f t="shared" si="407"/>
        <v>#DIV/0!</v>
      </c>
      <c r="BX81" s="117" t="e">
        <f t="shared" ref="BX81:CH81" si="408">BX80/BX74</f>
        <v>#DIV/0!</v>
      </c>
      <c r="BY81" s="117" t="e">
        <f t="shared" si="408"/>
        <v>#DIV/0!</v>
      </c>
      <c r="BZ81" s="70">
        <f t="shared" si="408"/>
        <v>3.20328164683866</v>
      </c>
      <c r="CA81" s="117" t="e">
        <f t="shared" si="408"/>
        <v>#DIV/0!</v>
      </c>
      <c r="CB81" s="117" t="e">
        <f t="shared" si="408"/>
        <v>#DIV/0!</v>
      </c>
      <c r="CC81" s="117" t="e">
        <f t="shared" si="408"/>
        <v>#DIV/0!</v>
      </c>
      <c r="CD81" s="117" t="e">
        <f t="shared" si="408"/>
        <v>#DIV/0!</v>
      </c>
      <c r="CE81" s="117" t="e">
        <f t="shared" si="408"/>
        <v>#DIV/0!</v>
      </c>
      <c r="CF81" s="117" t="e">
        <f t="shared" si="408"/>
        <v>#DIV/0!</v>
      </c>
      <c r="CG81" s="117" t="e">
        <f t="shared" si="408"/>
        <v>#DIV/0!</v>
      </c>
      <c r="CH81" s="117" t="e">
        <f t="shared" si="408"/>
        <v>#DIV/0!</v>
      </c>
      <c r="CI81" s="117" t="e">
        <f t="shared" ref="CI81:EH81" si="409">CI80/CI74</f>
        <v>#DIV/0!</v>
      </c>
      <c r="CJ81" s="117" t="e">
        <f t="shared" si="409"/>
        <v>#DIV/0!</v>
      </c>
      <c r="CK81" s="117" t="e">
        <f t="shared" si="409"/>
        <v>#DIV/0!</v>
      </c>
      <c r="CL81" s="117" t="e">
        <f t="shared" si="409"/>
        <v>#DIV/0!</v>
      </c>
      <c r="CM81" s="117" t="e">
        <f t="shared" si="409"/>
        <v>#DIV/0!</v>
      </c>
      <c r="CN81" s="117" t="e">
        <f t="shared" si="409"/>
        <v>#DIV/0!</v>
      </c>
      <c r="CO81" s="117" t="e">
        <f t="shared" si="409"/>
        <v>#DIV/0!</v>
      </c>
      <c r="CP81" s="117" t="e">
        <f t="shared" si="409"/>
        <v>#DIV/0!</v>
      </c>
      <c r="CQ81" s="117" t="e">
        <f t="shared" si="409"/>
        <v>#DIV/0!</v>
      </c>
      <c r="CR81" s="117" t="e">
        <f t="shared" si="409"/>
        <v>#DIV/0!</v>
      </c>
      <c r="CS81" s="117">
        <f t="shared" si="409"/>
        <v>7.6314</v>
      </c>
      <c r="CT81" s="117">
        <f t="shared" si="409"/>
        <v>4.6952</v>
      </c>
      <c r="CU81" s="117" t="e">
        <f t="shared" si="409"/>
        <v>#DIV/0!</v>
      </c>
      <c r="CV81" s="117" t="e">
        <f t="shared" si="409"/>
        <v>#DIV/0!</v>
      </c>
      <c r="CW81" s="117">
        <f t="shared" si="409"/>
        <v>0</v>
      </c>
      <c r="CX81" s="117">
        <f t="shared" si="409"/>
        <v>6.8444</v>
      </c>
      <c r="CY81" s="117">
        <f t="shared" si="409"/>
        <v>0</v>
      </c>
      <c r="CZ81" s="117">
        <f t="shared" si="409"/>
        <v>0</v>
      </c>
      <c r="DA81" s="117" t="e">
        <f t="shared" si="409"/>
        <v>#DIV/0!</v>
      </c>
      <c r="DB81" s="117" t="e">
        <f t="shared" si="409"/>
        <v>#DIV/0!</v>
      </c>
      <c r="DC81" s="117" t="e">
        <f t="shared" si="409"/>
        <v>#DIV/0!</v>
      </c>
      <c r="DD81" s="117" t="e">
        <f t="shared" si="409"/>
        <v>#DIV/0!</v>
      </c>
      <c r="DE81" s="117" t="e">
        <f t="shared" si="409"/>
        <v>#DIV/0!</v>
      </c>
      <c r="DF81" s="70">
        <f t="shared" si="409"/>
        <v>1.66240540739108</v>
      </c>
      <c r="DG81" s="117" t="e">
        <f t="shared" si="409"/>
        <v>#DIV/0!</v>
      </c>
      <c r="DH81" s="117" t="e">
        <f t="shared" si="409"/>
        <v>#DIV/0!</v>
      </c>
      <c r="DI81" s="117" t="e">
        <f t="shared" si="409"/>
        <v>#DIV/0!</v>
      </c>
      <c r="DJ81" s="117" t="e">
        <f t="shared" si="409"/>
        <v>#DIV/0!</v>
      </c>
      <c r="DK81" s="117" t="e">
        <f t="shared" si="409"/>
        <v>#DIV/0!</v>
      </c>
      <c r="DL81" s="117" t="e">
        <f t="shared" si="409"/>
        <v>#DIV/0!</v>
      </c>
      <c r="DM81" s="117" t="e">
        <f t="shared" si="409"/>
        <v>#DIV/0!</v>
      </c>
      <c r="DN81" s="117" t="e">
        <f t="shared" si="409"/>
        <v>#DIV/0!</v>
      </c>
      <c r="DO81" s="117" t="e">
        <f t="shared" si="409"/>
        <v>#DIV/0!</v>
      </c>
      <c r="DP81" s="117" t="e">
        <f t="shared" si="409"/>
        <v>#DIV/0!</v>
      </c>
      <c r="DQ81" s="117" t="e">
        <f t="shared" si="409"/>
        <v>#DIV/0!</v>
      </c>
      <c r="DR81" s="117" t="e">
        <f t="shared" si="409"/>
        <v>#DIV/0!</v>
      </c>
      <c r="DS81" s="117" t="e">
        <f t="shared" si="409"/>
        <v>#DIV/0!</v>
      </c>
      <c r="DT81" s="117" t="e">
        <f t="shared" si="409"/>
        <v>#DIV/0!</v>
      </c>
      <c r="DU81" s="117" t="e">
        <f t="shared" si="409"/>
        <v>#DIV/0!</v>
      </c>
      <c r="DV81" s="117" t="e">
        <f t="shared" si="409"/>
        <v>#DIV/0!</v>
      </c>
      <c r="DW81" s="117" t="e">
        <f t="shared" si="409"/>
        <v>#DIV/0!</v>
      </c>
      <c r="DX81" s="117" t="e">
        <f t="shared" si="409"/>
        <v>#DIV/0!</v>
      </c>
      <c r="DY81" s="117" t="e">
        <f t="shared" si="409"/>
        <v>#DIV/0!</v>
      </c>
      <c r="DZ81" s="117" t="e">
        <f t="shared" si="409"/>
        <v>#DIV/0!</v>
      </c>
      <c r="EA81" s="117" t="e">
        <f t="shared" si="409"/>
        <v>#DIV/0!</v>
      </c>
      <c r="EB81" s="117" t="e">
        <f t="shared" si="409"/>
        <v>#DIV/0!</v>
      </c>
      <c r="EC81" s="117" t="e">
        <f t="shared" si="409"/>
        <v>#DIV/0!</v>
      </c>
      <c r="ED81" s="117" t="e">
        <f t="shared" si="409"/>
        <v>#DIV/0!</v>
      </c>
      <c r="EE81" s="117" t="e">
        <f t="shared" si="409"/>
        <v>#DIV/0!</v>
      </c>
      <c r="EF81" s="117" t="e">
        <f t="shared" si="409"/>
        <v>#DIV/0!</v>
      </c>
      <c r="EG81" s="117" t="e">
        <f t="shared" si="409"/>
        <v>#DIV/0!</v>
      </c>
      <c r="EH81" s="117">
        <f t="shared" si="409"/>
        <v>2.67773795996853</v>
      </c>
      <c r="EI81" s="117">
        <f t="shared" ref="EI81:FM81" si="410">EI80/EI74</f>
        <v>1.71130882697261</v>
      </c>
      <c r="EJ81" s="117">
        <f t="shared" si="410"/>
        <v>0</v>
      </c>
      <c r="EK81" s="70">
        <f t="shared" si="410"/>
        <v>0.562298752784228</v>
      </c>
      <c r="EL81" s="117">
        <f t="shared" si="410"/>
        <v>0</v>
      </c>
      <c r="EM81" s="117">
        <f t="shared" si="410"/>
        <v>1.88490825115466</v>
      </c>
      <c r="EN81" s="117">
        <f t="shared" si="410"/>
        <v>0</v>
      </c>
      <c r="EO81" s="117">
        <f t="shared" si="410"/>
        <v>0</v>
      </c>
      <c r="EP81" s="117">
        <f t="shared" si="410"/>
        <v>0</v>
      </c>
      <c r="EQ81" s="117">
        <f t="shared" si="410"/>
        <v>1.75259084349993</v>
      </c>
      <c r="ER81" s="117">
        <f t="shared" si="410"/>
        <v>0</v>
      </c>
      <c r="ES81" s="117">
        <f t="shared" si="410"/>
        <v>0</v>
      </c>
      <c r="ET81" s="117">
        <f t="shared" si="410"/>
        <v>0</v>
      </c>
      <c r="EU81" s="117">
        <f t="shared" si="410"/>
        <v>0</v>
      </c>
      <c r="EV81" s="117">
        <f t="shared" si="410"/>
        <v>0.538012170385396</v>
      </c>
      <c r="EW81" s="117">
        <f t="shared" si="410"/>
        <v>0</v>
      </c>
      <c r="EX81" s="117">
        <f t="shared" si="410"/>
        <v>0</v>
      </c>
      <c r="EY81" s="117">
        <f t="shared" si="410"/>
        <v>2.65115391951173</v>
      </c>
      <c r="EZ81" s="117">
        <f t="shared" si="410"/>
        <v>0</v>
      </c>
      <c r="FA81" s="117">
        <f t="shared" si="410"/>
        <v>0</v>
      </c>
      <c r="FB81" s="117">
        <f t="shared" si="410"/>
        <v>0</v>
      </c>
      <c r="FC81" s="117">
        <f t="shared" si="410"/>
        <v>0</v>
      </c>
      <c r="FD81" s="117">
        <f t="shared" si="410"/>
        <v>1.79548411076008</v>
      </c>
      <c r="FE81" s="117">
        <f t="shared" si="410"/>
        <v>2.4862325882734</v>
      </c>
      <c r="FF81" s="117">
        <f t="shared" si="410"/>
        <v>0.714311286136221</v>
      </c>
      <c r="FG81" s="117">
        <f t="shared" si="410"/>
        <v>1.2694792854428</v>
      </c>
      <c r="FH81" s="117">
        <f t="shared" si="410"/>
        <v>0.88687748243202</v>
      </c>
      <c r="FI81" s="117">
        <f t="shared" si="410"/>
        <v>0</v>
      </c>
      <c r="FJ81" s="117">
        <f t="shared" si="410"/>
        <v>2.39053618067291</v>
      </c>
      <c r="FK81" s="117">
        <f t="shared" si="410"/>
        <v>0</v>
      </c>
      <c r="FL81" s="117">
        <f t="shared" si="410"/>
        <v>1.04620203602193</v>
      </c>
      <c r="FM81" s="117">
        <f t="shared" si="410"/>
        <v>0</v>
      </c>
      <c r="FN81" s="117">
        <f t="shared" ref="FN81:GI81" si="411">FN80/FN74</f>
        <v>0</v>
      </c>
      <c r="FO81" s="117">
        <f t="shared" si="411"/>
        <v>0</v>
      </c>
      <c r="FP81" s="117">
        <f t="shared" si="411"/>
        <v>0</v>
      </c>
      <c r="FQ81" s="70">
        <f t="shared" si="411"/>
        <v>0.731333748409626</v>
      </c>
      <c r="FR81" s="117">
        <f t="shared" si="411"/>
        <v>0</v>
      </c>
      <c r="FS81" s="117">
        <f t="shared" si="411"/>
        <v>1.13794411430016</v>
      </c>
      <c r="FT81" s="117">
        <f t="shared" si="411"/>
        <v>1.56412930135558</v>
      </c>
      <c r="FU81" s="117">
        <f t="shared" si="411"/>
        <v>1.44718162839248</v>
      </c>
      <c r="FV81" s="117">
        <f t="shared" si="411"/>
        <v>0</v>
      </c>
      <c r="FW81" s="117">
        <f t="shared" si="411"/>
        <v>1.06901565038912</v>
      </c>
      <c r="FX81" s="117">
        <f t="shared" si="411"/>
        <v>0</v>
      </c>
      <c r="FY81" s="117">
        <f t="shared" si="411"/>
        <v>2.54689078717737</v>
      </c>
      <c r="FZ81" s="117">
        <f t="shared" si="411"/>
        <v>0.910767955228521</v>
      </c>
      <c r="GA81" s="117">
        <f t="shared" si="411"/>
        <v>0</v>
      </c>
      <c r="GB81" s="117">
        <f t="shared" si="411"/>
        <v>0</v>
      </c>
      <c r="GC81" s="117">
        <f t="shared" si="411"/>
        <v>0</v>
      </c>
      <c r="GD81" s="117">
        <f t="shared" si="411"/>
        <v>0</v>
      </c>
      <c r="GE81" s="117">
        <f t="shared" si="411"/>
        <v>0</v>
      </c>
      <c r="GF81" s="117">
        <f t="shared" si="411"/>
        <v>1.70345489443378</v>
      </c>
      <c r="GG81" s="117">
        <f t="shared" si="411"/>
        <v>4.80261736102773</v>
      </c>
      <c r="GH81" s="117">
        <f t="shared" si="411"/>
        <v>0</v>
      </c>
      <c r="GI81" s="117">
        <f t="shared" si="411"/>
        <v>0</v>
      </c>
      <c r="GJ81" s="117">
        <f t="shared" ref="GJ81:GP81" si="412">GJ80/GJ74</f>
        <v>0</v>
      </c>
      <c r="GK81" s="117">
        <f t="shared" si="412"/>
        <v>0</v>
      </c>
      <c r="GL81" s="117">
        <f t="shared" si="412"/>
        <v>0</v>
      </c>
      <c r="GM81" s="117" t="e">
        <f t="shared" si="412"/>
        <v>#DIV/0!</v>
      </c>
      <c r="GN81" s="117" t="e">
        <f t="shared" si="412"/>
        <v>#DIV/0!</v>
      </c>
      <c r="GO81" s="117" t="e">
        <f t="shared" si="412"/>
        <v>#DIV/0!</v>
      </c>
      <c r="GP81" s="117" t="e">
        <f t="shared" si="412"/>
        <v>#DIV/0!</v>
      </c>
    </row>
    <row r="82" s="47" customFormat="1" ht="15" hidden="1" customHeight="1" spans="2:198">
      <c r="B82" s="112"/>
      <c r="C82" s="113" t="s">
        <v>36</v>
      </c>
      <c r="D82" s="120" t="e">
        <f t="shared" ref="D82:O82" si="413">D74/D$128</f>
        <v>#REF!</v>
      </c>
      <c r="E82" s="121" t="e">
        <f t="shared" si="413"/>
        <v>#REF!</v>
      </c>
      <c r="F82" s="121" t="e">
        <f t="shared" si="413"/>
        <v>#REF!</v>
      </c>
      <c r="G82" s="121" t="e">
        <f t="shared" si="413"/>
        <v>#REF!</v>
      </c>
      <c r="H82" s="121" t="e">
        <f t="shared" si="413"/>
        <v>#REF!</v>
      </c>
      <c r="I82" s="121" t="e">
        <f t="shared" si="413"/>
        <v>#REF!</v>
      </c>
      <c r="J82" s="121" t="e">
        <f t="shared" si="413"/>
        <v>#REF!</v>
      </c>
      <c r="K82" s="121" t="e">
        <f t="shared" si="413"/>
        <v>#REF!</v>
      </c>
      <c r="L82" s="121" t="e">
        <f t="shared" si="413"/>
        <v>#REF!</v>
      </c>
      <c r="M82" s="121" t="e">
        <f t="shared" si="413"/>
        <v>#REF!</v>
      </c>
      <c r="N82" s="121" t="e">
        <f t="shared" si="413"/>
        <v>#REF!</v>
      </c>
      <c r="O82" s="121" t="e">
        <f t="shared" si="413"/>
        <v>#REF!</v>
      </c>
      <c r="P82" s="121" t="e">
        <f t="shared" ref="P82:X82" si="414">P74/P$128</f>
        <v>#REF!</v>
      </c>
      <c r="Q82" s="102">
        <f t="shared" si="414"/>
        <v>0.0851687230359155</v>
      </c>
      <c r="R82" s="121">
        <f t="shared" si="414"/>
        <v>0.233078792086081</v>
      </c>
      <c r="S82" s="121">
        <f t="shared" si="414"/>
        <v>0.304646815329149</v>
      </c>
      <c r="T82" s="121">
        <f t="shared" si="414"/>
        <v>0.205123330640179</v>
      </c>
      <c r="U82" s="121">
        <f t="shared" si="414"/>
        <v>0.130311614730878</v>
      </c>
      <c r="V82" s="121">
        <f t="shared" si="414"/>
        <v>0.173007896625987</v>
      </c>
      <c r="W82" s="121">
        <f t="shared" si="414"/>
        <v>0.067707600693956</v>
      </c>
      <c r="X82" s="121">
        <f t="shared" si="414"/>
        <v>0.12062378655978</v>
      </c>
      <c r="Y82" s="121">
        <f t="shared" ref="Y82:AL82" si="415">Y74/Y$128</f>
        <v>0.0827943078913325</v>
      </c>
      <c r="Z82" s="121">
        <f t="shared" si="415"/>
        <v>0.0491048183602355</v>
      </c>
      <c r="AA82" s="121">
        <f t="shared" si="415"/>
        <v>0.0915489800493163</v>
      </c>
      <c r="AB82" s="121">
        <f t="shared" si="415"/>
        <v>0.0795424549054113</v>
      </c>
      <c r="AC82" s="121">
        <f t="shared" si="415"/>
        <v>0.0873049545090275</v>
      </c>
      <c r="AD82" s="121">
        <f t="shared" si="415"/>
        <v>0.102570137450574</v>
      </c>
      <c r="AE82" s="121">
        <f t="shared" si="415"/>
        <v>0.129263038087883</v>
      </c>
      <c r="AF82" s="121">
        <f t="shared" si="415"/>
        <v>0.0739415061460933</v>
      </c>
      <c r="AG82" s="121">
        <f t="shared" si="415"/>
        <v>0.153974588695227</v>
      </c>
      <c r="AH82" s="121">
        <f t="shared" si="415"/>
        <v>0.0370861493712037</v>
      </c>
      <c r="AI82" s="121">
        <f t="shared" si="415"/>
        <v>0.178502281842069</v>
      </c>
      <c r="AJ82" s="121">
        <f t="shared" si="415"/>
        <v>0.0340055357848952</v>
      </c>
      <c r="AK82" s="121">
        <f t="shared" si="415"/>
        <v>0</v>
      </c>
      <c r="AL82" s="121">
        <f t="shared" ref="AL82:BK82" si="416">AL74/AL$128</f>
        <v>0</v>
      </c>
      <c r="AM82" s="121">
        <f t="shared" si="416"/>
        <v>0</v>
      </c>
      <c r="AN82" s="121">
        <f t="shared" si="416"/>
        <v>0</v>
      </c>
      <c r="AO82" s="121">
        <f t="shared" si="416"/>
        <v>0</v>
      </c>
      <c r="AP82" s="121">
        <f t="shared" si="416"/>
        <v>0</v>
      </c>
      <c r="AQ82" s="121">
        <f t="shared" si="416"/>
        <v>0</v>
      </c>
      <c r="AR82" s="121">
        <f t="shared" si="416"/>
        <v>0</v>
      </c>
      <c r="AS82" s="121">
        <f t="shared" si="416"/>
        <v>0</v>
      </c>
      <c r="AT82" s="121">
        <f t="shared" si="416"/>
        <v>0</v>
      </c>
      <c r="AU82" s="121">
        <f t="shared" si="416"/>
        <v>0</v>
      </c>
      <c r="AV82" s="121">
        <f t="shared" si="416"/>
        <v>0</v>
      </c>
      <c r="AW82" s="102">
        <f t="shared" si="416"/>
        <v>0</v>
      </c>
      <c r="AX82" s="121">
        <f t="shared" si="416"/>
        <v>0</v>
      </c>
      <c r="AY82" s="121">
        <f t="shared" si="416"/>
        <v>0</v>
      </c>
      <c r="AZ82" s="121">
        <f t="shared" si="416"/>
        <v>0</v>
      </c>
      <c r="BA82" s="121">
        <f t="shared" si="416"/>
        <v>0</v>
      </c>
      <c r="BB82" s="121">
        <f t="shared" si="416"/>
        <v>0</v>
      </c>
      <c r="BC82" s="121">
        <f t="shared" si="416"/>
        <v>0</v>
      </c>
      <c r="BD82" s="121">
        <f t="shared" si="416"/>
        <v>0</v>
      </c>
      <c r="BE82" s="121">
        <f t="shared" si="416"/>
        <v>0</v>
      </c>
      <c r="BF82" s="121">
        <f t="shared" si="416"/>
        <v>0</v>
      </c>
      <c r="BG82" s="121">
        <f t="shared" si="416"/>
        <v>0</v>
      </c>
      <c r="BH82" s="121">
        <f t="shared" si="416"/>
        <v>0</v>
      </c>
      <c r="BI82" s="121">
        <f t="shared" si="416"/>
        <v>0</v>
      </c>
      <c r="BJ82" s="121">
        <f t="shared" si="416"/>
        <v>0</v>
      </c>
      <c r="BK82" s="121">
        <f t="shared" si="416"/>
        <v>0</v>
      </c>
      <c r="BL82" s="121"/>
      <c r="BM82" s="121"/>
      <c r="BN82" s="121"/>
      <c r="BO82" s="121"/>
      <c r="BP82" s="121">
        <f t="shared" ref="BP82:BW82" si="417">BP74/BP$128</f>
        <v>0</v>
      </c>
      <c r="BQ82" s="121">
        <f t="shared" si="417"/>
        <v>0</v>
      </c>
      <c r="BR82" s="121">
        <f t="shared" si="417"/>
        <v>0</v>
      </c>
      <c r="BS82" s="121">
        <f t="shared" si="417"/>
        <v>0</v>
      </c>
      <c r="BT82" s="121">
        <f t="shared" si="417"/>
        <v>0</v>
      </c>
      <c r="BU82" s="121">
        <f t="shared" si="417"/>
        <v>0</v>
      </c>
      <c r="BV82" s="121">
        <f t="shared" si="417"/>
        <v>0</v>
      </c>
      <c r="BW82" s="121">
        <f t="shared" si="417"/>
        <v>0</v>
      </c>
      <c r="BX82" s="121">
        <f t="shared" ref="BX82:CH82" si="418">BX74/BX$128</f>
        <v>0</v>
      </c>
      <c r="BY82" s="121">
        <f t="shared" si="418"/>
        <v>0</v>
      </c>
      <c r="BZ82" s="102">
        <f t="shared" si="418"/>
        <v>0.12780606143438</v>
      </c>
      <c r="CA82" s="121">
        <f t="shared" si="418"/>
        <v>0</v>
      </c>
      <c r="CB82" s="121">
        <f t="shared" si="418"/>
        <v>0</v>
      </c>
      <c r="CC82" s="121">
        <f t="shared" si="418"/>
        <v>0</v>
      </c>
      <c r="CD82" s="121">
        <f t="shared" si="418"/>
        <v>0</v>
      </c>
      <c r="CE82" s="121">
        <f t="shared" si="418"/>
        <v>0</v>
      </c>
      <c r="CF82" s="121">
        <f t="shared" si="418"/>
        <v>0</v>
      </c>
      <c r="CG82" s="121">
        <f t="shared" si="418"/>
        <v>0</v>
      </c>
      <c r="CH82" s="121">
        <f t="shared" si="418"/>
        <v>0</v>
      </c>
      <c r="CI82" s="121">
        <f t="shared" ref="CI82:EH82" si="419">CI74/CI$128</f>
        <v>0</v>
      </c>
      <c r="CJ82" s="121">
        <f t="shared" si="419"/>
        <v>0</v>
      </c>
      <c r="CK82" s="121">
        <f t="shared" si="419"/>
        <v>0</v>
      </c>
      <c r="CL82" s="121">
        <f t="shared" si="419"/>
        <v>0</v>
      </c>
      <c r="CM82" s="121">
        <f t="shared" si="419"/>
        <v>0</v>
      </c>
      <c r="CN82" s="121">
        <f t="shared" si="419"/>
        <v>0</v>
      </c>
      <c r="CO82" s="121">
        <f t="shared" si="419"/>
        <v>0</v>
      </c>
      <c r="CP82" s="121">
        <f t="shared" si="419"/>
        <v>0</v>
      </c>
      <c r="CQ82" s="121">
        <f t="shared" si="419"/>
        <v>0</v>
      </c>
      <c r="CR82" s="121">
        <f t="shared" si="419"/>
        <v>0</v>
      </c>
      <c r="CS82" s="121">
        <f t="shared" si="419"/>
        <v>0.454545454545455</v>
      </c>
      <c r="CT82" s="121">
        <f t="shared" si="419"/>
        <v>0.454545454545455</v>
      </c>
      <c r="CU82" s="121">
        <f t="shared" si="419"/>
        <v>0</v>
      </c>
      <c r="CV82" s="121">
        <f t="shared" si="419"/>
        <v>0</v>
      </c>
      <c r="CW82" s="121">
        <f t="shared" si="419"/>
        <v>0.454545454545455</v>
      </c>
      <c r="CX82" s="121">
        <f t="shared" si="419"/>
        <v>0.454545454545455</v>
      </c>
      <c r="CY82" s="121">
        <f t="shared" si="419"/>
        <v>0.454545454545455</v>
      </c>
      <c r="CZ82" s="121">
        <f t="shared" si="419"/>
        <v>0.467794033821015</v>
      </c>
      <c r="DA82" s="121">
        <f t="shared" si="419"/>
        <v>0</v>
      </c>
      <c r="DB82" s="121">
        <f t="shared" si="419"/>
        <v>0</v>
      </c>
      <c r="DC82" s="121">
        <f t="shared" si="419"/>
        <v>0</v>
      </c>
      <c r="DD82" s="121">
        <f t="shared" si="419"/>
        <v>0</v>
      </c>
      <c r="DE82" s="121">
        <f t="shared" si="419"/>
        <v>0</v>
      </c>
      <c r="DF82" s="102">
        <f t="shared" si="419"/>
        <v>0.683694996986136</v>
      </c>
      <c r="DG82" s="121" t="e">
        <f t="shared" si="419"/>
        <v>#DIV/0!</v>
      </c>
      <c r="DH82" s="121" t="e">
        <f t="shared" si="419"/>
        <v>#DIV/0!</v>
      </c>
      <c r="DI82" s="121" t="e">
        <f t="shared" si="419"/>
        <v>#DIV/0!</v>
      </c>
      <c r="DJ82" s="121" t="e">
        <f t="shared" si="419"/>
        <v>#DIV/0!</v>
      </c>
      <c r="DK82" s="121" t="e">
        <f t="shared" si="419"/>
        <v>#DIV/0!</v>
      </c>
      <c r="DL82" s="121" t="e">
        <f t="shared" si="419"/>
        <v>#DIV/0!</v>
      </c>
      <c r="DM82" s="121" t="e">
        <f t="shared" si="419"/>
        <v>#DIV/0!</v>
      </c>
      <c r="DN82" s="121" t="e">
        <f t="shared" si="419"/>
        <v>#DIV/0!</v>
      </c>
      <c r="DO82" s="121" t="e">
        <f t="shared" si="419"/>
        <v>#DIV/0!</v>
      </c>
      <c r="DP82" s="121" t="e">
        <f t="shared" si="419"/>
        <v>#DIV/0!</v>
      </c>
      <c r="DQ82" s="121" t="e">
        <f t="shared" si="419"/>
        <v>#DIV/0!</v>
      </c>
      <c r="DR82" s="121" t="e">
        <f t="shared" si="419"/>
        <v>#DIV/0!</v>
      </c>
      <c r="DS82" s="121" t="e">
        <f t="shared" si="419"/>
        <v>#DIV/0!</v>
      </c>
      <c r="DT82" s="121" t="e">
        <f t="shared" si="419"/>
        <v>#DIV/0!</v>
      </c>
      <c r="DU82" s="121" t="e">
        <f t="shared" si="419"/>
        <v>#DIV/0!</v>
      </c>
      <c r="DV82" s="121" t="e">
        <f t="shared" si="419"/>
        <v>#DIV/0!</v>
      </c>
      <c r="DW82" s="121" t="e">
        <f t="shared" si="419"/>
        <v>#DIV/0!</v>
      </c>
      <c r="DX82" s="121" t="e">
        <f t="shared" si="419"/>
        <v>#DIV/0!</v>
      </c>
      <c r="DY82" s="121" t="e">
        <f t="shared" si="419"/>
        <v>#DIV/0!</v>
      </c>
      <c r="DZ82" s="121" t="e">
        <f t="shared" si="419"/>
        <v>#DIV/0!</v>
      </c>
      <c r="EA82" s="121" t="e">
        <f t="shared" si="419"/>
        <v>#DIV/0!</v>
      </c>
      <c r="EB82" s="121" t="e">
        <f t="shared" si="419"/>
        <v>#DIV/0!</v>
      </c>
      <c r="EC82" s="121" t="e">
        <f t="shared" si="419"/>
        <v>#DIV/0!</v>
      </c>
      <c r="ED82" s="121" t="e">
        <f t="shared" si="419"/>
        <v>#DIV/0!</v>
      </c>
      <c r="EE82" s="121" t="e">
        <f t="shared" si="419"/>
        <v>#DIV/0!</v>
      </c>
      <c r="EF82" s="121" t="e">
        <f t="shared" si="419"/>
        <v>#DIV/0!</v>
      </c>
      <c r="EG82" s="121" t="e">
        <f t="shared" si="419"/>
        <v>#DIV/0!</v>
      </c>
      <c r="EH82" s="121">
        <f t="shared" si="419"/>
        <v>0.695882245605498</v>
      </c>
      <c r="EI82" s="121">
        <f t="shared" ref="EI82:FM82" si="420">EI74/EI$128</f>
        <v>0.704959973590823</v>
      </c>
      <c r="EJ82" s="121">
        <f t="shared" si="420"/>
        <v>0.643009415526737</v>
      </c>
      <c r="EK82" s="102">
        <f t="shared" si="420"/>
        <v>0.682137207685565</v>
      </c>
      <c r="EL82" s="121">
        <f t="shared" si="420"/>
        <v>0.70758209916291</v>
      </c>
      <c r="EM82" s="121">
        <f t="shared" si="420"/>
        <v>0.710572999822601</v>
      </c>
      <c r="EN82" s="121">
        <f t="shared" si="420"/>
        <v>0.728784845217927</v>
      </c>
      <c r="EO82" s="121">
        <f t="shared" si="420"/>
        <v>0.720399545233068</v>
      </c>
      <c r="EP82" s="121">
        <f t="shared" si="420"/>
        <v>0.706100386100386</v>
      </c>
      <c r="EQ82" s="121">
        <f t="shared" si="420"/>
        <v>0.626324870594035</v>
      </c>
      <c r="ER82" s="121">
        <f t="shared" si="420"/>
        <v>0.599000624609619</v>
      </c>
      <c r="ES82" s="121">
        <f t="shared" si="420"/>
        <v>0.698208955223881</v>
      </c>
      <c r="ET82" s="121">
        <f t="shared" si="420"/>
        <v>0.619205494050086</v>
      </c>
      <c r="EU82" s="121">
        <f t="shared" si="420"/>
        <v>0.720114239086087</v>
      </c>
      <c r="EV82" s="121">
        <f t="shared" si="420"/>
        <v>0.534220449915478</v>
      </c>
      <c r="EW82" s="121">
        <f t="shared" si="420"/>
        <v>0.522275457665904</v>
      </c>
      <c r="EX82" s="121">
        <f t="shared" si="420"/>
        <v>0.467426329799654</v>
      </c>
      <c r="EY82" s="121">
        <f t="shared" si="420"/>
        <v>0.573852131560225</v>
      </c>
      <c r="EZ82" s="121">
        <f t="shared" si="420"/>
        <v>0.637137989778535</v>
      </c>
      <c r="FA82" s="121">
        <f t="shared" si="420"/>
        <v>0.743954580500455</v>
      </c>
      <c r="FB82" s="121">
        <f t="shared" si="420"/>
        <v>0.755197717081125</v>
      </c>
      <c r="FC82" s="121">
        <f t="shared" si="420"/>
        <v>0.677915719531387</v>
      </c>
      <c r="FD82" s="121">
        <f t="shared" si="420"/>
        <v>0.741848762666299</v>
      </c>
      <c r="FE82" s="121">
        <f t="shared" si="420"/>
        <v>0.711782338021674</v>
      </c>
      <c r="FF82" s="121">
        <f t="shared" si="420"/>
        <v>0.69432015908526</v>
      </c>
      <c r="FG82" s="121">
        <f t="shared" si="420"/>
        <v>0.711898802678753</v>
      </c>
      <c r="FH82" s="121">
        <f t="shared" si="420"/>
        <v>0.828188259109312</v>
      </c>
      <c r="FI82" s="121">
        <f t="shared" si="420"/>
        <v>0.771807611535112</v>
      </c>
      <c r="FJ82" s="121">
        <f t="shared" si="420"/>
        <v>0.762401171303075</v>
      </c>
      <c r="FK82" s="121">
        <f t="shared" si="420"/>
        <v>0.759778470058844</v>
      </c>
      <c r="FL82" s="121">
        <f t="shared" si="420"/>
        <v>0.715887431326382</v>
      </c>
      <c r="FM82" s="121">
        <f t="shared" si="420"/>
        <v>0.719604022958243</v>
      </c>
      <c r="FN82" s="121">
        <f t="shared" ref="FN82:GI82" si="421">FN74/FN$128</f>
        <v>0.72810814410335</v>
      </c>
      <c r="FO82" s="121">
        <f t="shared" si="421"/>
        <v>0.673200894619129</v>
      </c>
      <c r="FP82" s="121">
        <f t="shared" si="421"/>
        <v>0.790536671698506</v>
      </c>
      <c r="FQ82" s="102">
        <f t="shared" si="421"/>
        <v>0.521236937681842</v>
      </c>
      <c r="FR82" s="121">
        <f t="shared" si="421"/>
        <v>0.485856469355684</v>
      </c>
      <c r="FS82" s="121">
        <f t="shared" si="421"/>
        <v>0.528005874891515</v>
      </c>
      <c r="FT82" s="121">
        <f t="shared" si="421"/>
        <v>0.480380697946235</v>
      </c>
      <c r="FU82" s="121">
        <f t="shared" si="421"/>
        <v>0.571974446235596</v>
      </c>
      <c r="FV82" s="121">
        <f t="shared" si="421"/>
        <v>0.500775089303768</v>
      </c>
      <c r="FW82" s="121">
        <f t="shared" si="421"/>
        <v>0.612263064195204</v>
      </c>
      <c r="FX82" s="121">
        <f t="shared" si="421"/>
        <v>0.55566425357073</v>
      </c>
      <c r="FY82" s="121">
        <f t="shared" si="421"/>
        <v>0.566913143095188</v>
      </c>
      <c r="FZ82" s="121">
        <f t="shared" si="421"/>
        <v>0.533742670649408</v>
      </c>
      <c r="GA82" s="121">
        <f t="shared" si="421"/>
        <v>0.480233089579525</v>
      </c>
      <c r="GB82" s="121">
        <f t="shared" si="421"/>
        <v>0.476131197228837</v>
      </c>
      <c r="GC82" s="121">
        <f t="shared" si="421"/>
        <v>0.321550826015776</v>
      </c>
      <c r="GD82" s="121">
        <f t="shared" si="421"/>
        <v>0.559983541997296</v>
      </c>
      <c r="GE82" s="121">
        <f t="shared" si="421"/>
        <v>0.519131051798483</v>
      </c>
      <c r="GF82" s="121">
        <f t="shared" si="421"/>
        <v>0.484510316768381</v>
      </c>
      <c r="GG82" s="121">
        <f t="shared" si="421"/>
        <v>0.53315836640635</v>
      </c>
      <c r="GH82" s="121">
        <f t="shared" si="421"/>
        <v>0.490737813744705</v>
      </c>
      <c r="GI82" s="121">
        <f t="shared" si="421"/>
        <v>0.453205600589536</v>
      </c>
      <c r="GJ82" s="121">
        <f t="shared" ref="GJ82:GP82" si="422">GJ74/GJ$128</f>
        <v>0.53015427769986</v>
      </c>
      <c r="GK82" s="121">
        <f t="shared" si="422"/>
        <v>0.552698258666235</v>
      </c>
      <c r="GL82" s="121">
        <f t="shared" si="422"/>
        <v>0.611086837793555</v>
      </c>
      <c r="GM82" s="121" t="e">
        <f t="shared" si="422"/>
        <v>#DIV/0!</v>
      </c>
      <c r="GN82" s="121" t="e">
        <f t="shared" si="422"/>
        <v>#DIV/0!</v>
      </c>
      <c r="GO82" s="121" t="e">
        <f t="shared" si="422"/>
        <v>#DIV/0!</v>
      </c>
      <c r="GP82" s="121" t="e">
        <f t="shared" si="422"/>
        <v>#DIV/0!</v>
      </c>
    </row>
    <row r="83" s="47" customFormat="1" ht="15" hidden="1" customHeight="1" spans="2:198">
      <c r="B83" s="103" t="s">
        <v>43</v>
      </c>
      <c r="C83" s="109" t="s">
        <v>12</v>
      </c>
      <c r="D83" s="122" t="e">
        <f>SUM(E83:P83)</f>
        <v>#REF!</v>
      </c>
      <c r="E83" s="123" t="e">
        <f>#REF!</f>
        <v>#REF!</v>
      </c>
      <c r="F83" s="123" t="e">
        <f>#REF!</f>
        <v>#REF!</v>
      </c>
      <c r="G83" s="123" t="e">
        <f>#REF!</f>
        <v>#REF!</v>
      </c>
      <c r="H83" s="123" t="e">
        <f>#REF!</f>
        <v>#REF!</v>
      </c>
      <c r="I83" s="123" t="e">
        <f>#REF!</f>
        <v>#REF!</v>
      </c>
      <c r="J83" s="123" t="e">
        <f>#REF!</f>
        <v>#REF!</v>
      </c>
      <c r="K83" s="123" t="e">
        <f>#REF!</f>
        <v>#REF!</v>
      </c>
      <c r="L83" s="123" t="e">
        <f>#REF!</f>
        <v>#REF!</v>
      </c>
      <c r="M83" s="123" t="e">
        <f>#REF!</f>
        <v>#REF!</v>
      </c>
      <c r="N83" s="123" t="e">
        <f>#REF!</f>
        <v>#REF!</v>
      </c>
      <c r="O83" s="123" t="e">
        <f>#REF!</f>
        <v>#REF!</v>
      </c>
      <c r="P83" s="123" t="e">
        <f>#REF!</f>
        <v>#REF!</v>
      </c>
      <c r="Q83" s="65">
        <f>SUM(R83:AV83)</f>
        <v>1177.01</v>
      </c>
      <c r="R83" s="124">
        <f>SUMIFS(商品数据源!$H:$H,商品数据源!$A:$A,$B$83,商品数据源!$B:$B,R2)</f>
        <v>48.98</v>
      </c>
      <c r="S83" s="124">
        <f>SUMIFS(商品数据源!$H:$H,商品数据源!$A:$A,$B$83,商品数据源!$B:$B,S2)</f>
        <v>35.71</v>
      </c>
      <c r="T83" s="124">
        <f>SUMIFS(商品数据源!$H:$H,商品数据源!$A:$A,$B$83,商品数据源!$B:$B,T2)</f>
        <v>29.93</v>
      </c>
      <c r="U83" s="124">
        <f>SUMIFS(商品数据源!$H:$H,商品数据源!$A:$A,$B$83,商品数据源!$B:$B,U2)</f>
        <v>57.63</v>
      </c>
      <c r="V83" s="124">
        <f>SUMIFS(商品数据源!$H:$H,商品数据源!$A:$A,$B$83,商品数据源!$B:$B,V2)</f>
        <v>54.64</v>
      </c>
      <c r="W83" s="124">
        <f>SUMIFS(商品数据源!$H:$H,商品数据源!$A:$A,$B$83,商品数据源!$B:$B,W2)</f>
        <v>70.82</v>
      </c>
      <c r="X83" s="124">
        <f>SUMIFS(商品数据源!$H:$H,商品数据源!$A:$A,$B$83,商品数据源!$B:$B,X2)</f>
        <v>52.67</v>
      </c>
      <c r="Y83" s="124">
        <f>SUMIFS(商品数据源!$H:$H,商品数据源!$A:$A,$B$83,商品数据源!$B:$B,Y2)</f>
        <v>57.05</v>
      </c>
      <c r="Z83" s="124">
        <f>SUMIFS(商品数据源!$H:$H,商品数据源!$A:$A,$B$83,商品数据源!$B:$B,Z2)</f>
        <v>61.79</v>
      </c>
      <c r="AA83" s="124">
        <f>SUMIFS(商品数据源!$H:$H,商品数据源!$A:$A,$B$83,商品数据源!$B:$B,AA2)</f>
        <v>53.86</v>
      </c>
      <c r="AB83" s="124">
        <f>SUMIFS(商品数据源!$H:$H,商品数据源!$A:$A,$B$83,商品数据源!$B:$B,AB2)</f>
        <v>40.89</v>
      </c>
      <c r="AC83" s="124">
        <f>SUMIFS(商品数据源!$H:$H,商品数据源!$A:$A,$B$83,商品数据源!$B:$B,AC2)</f>
        <v>52.37</v>
      </c>
      <c r="AD83" s="124">
        <f>SUMIFS(商品数据源!$H:$H,商品数据源!$A:$A,$B$83,商品数据源!$B:$B,AD2)</f>
        <v>51</v>
      </c>
      <c r="AE83" s="124">
        <f>SUMIFS(商品数据源!$H:$H,商品数据源!$A:$A,$B$83,商品数据源!$B:$B,AE2)</f>
        <v>51.69</v>
      </c>
      <c r="AF83" s="124">
        <f>SUMIFS(商品数据源!$H:$H,商品数据源!$A:$A,$B$83,商品数据源!$B:$B,AF2)</f>
        <v>40.73</v>
      </c>
      <c r="AG83" s="124">
        <f>SUMIFS(商品数据源!$H:$H,商品数据源!$A:$A,$B$83,商品数据源!$B:$B,AG2)</f>
        <v>27.75</v>
      </c>
      <c r="AH83" s="124">
        <f>SUMIFS(商品数据源!$H:$H,商品数据源!$A:$A,$B$83,商品数据源!$B:$B,AH2)</f>
        <v>40.46</v>
      </c>
      <c r="AI83" s="124">
        <f>SUMIFS(商品数据源!$H:$H,商品数据源!$A:$A,$B$83,商品数据源!$B:$B,AI2)</f>
        <v>37.35</v>
      </c>
      <c r="AJ83" s="124">
        <f>SUMIFS(商品数据源!$H:$H,商品数据源!$A:$A,$B$83,商品数据源!$B:$B,AJ2)</f>
        <v>34.8</v>
      </c>
      <c r="AK83" s="124">
        <f>SUMIFS(商品数据源!$H:$H,商品数据源!$A:$A,$B$83,商品数据源!$B:$B,AK2)</f>
        <v>5.04</v>
      </c>
      <c r="AL83" s="124">
        <f>SUMIFS(商品数据源!$H:$H,商品数据源!$A:$A,$B$83,商品数据源!$B:$B,AL2)</f>
        <v>0</v>
      </c>
      <c r="AM83" s="124">
        <f>SUMIFS(商品数据源!$H:$H,商品数据源!$A:$A,$B$83,商品数据源!$B:$B,AM2)</f>
        <v>22.49</v>
      </c>
      <c r="AN83" s="124">
        <f>SUMIFS(商品数据源!$H:$H,商品数据源!$A:$A,$B$83,商品数据源!$B:$B,AN2)</f>
        <v>33.55</v>
      </c>
      <c r="AO83" s="124">
        <f>SUMIFS(商品数据源!$H:$H,商品数据源!$A:$A,$B$83,商品数据源!$B:$B,AO2)</f>
        <v>39.91</v>
      </c>
      <c r="AP83" s="124">
        <f>SUMIFS(商品数据源!$H:$H,商品数据源!$A:$A,$B$83,商品数据源!$B:$B,AP2)</f>
        <v>36.27</v>
      </c>
      <c r="AQ83" s="124">
        <f>SUMIFS(商品数据源!$H:$H,商品数据源!$A:$A,$B$83,商品数据源!$B:$B,AQ2)</f>
        <v>33.03</v>
      </c>
      <c r="AR83" s="124">
        <f>SUMIFS(商品数据源!$H:$H,商品数据源!$A:$A,$B$83,商品数据源!$B:$B,AR2)</f>
        <v>44.05</v>
      </c>
      <c r="AS83" s="124">
        <f>SUMIFS(商品数据源!$H:$H,商品数据源!$A:$A,$B$83,商品数据源!$B:$B,AS2)</f>
        <v>6.37</v>
      </c>
      <c r="AT83" s="124">
        <f>SUMIFS(商品数据源!$H:$H,商品数据源!$A:$A,$B$83,商品数据源!$B:$B,AT2)</f>
        <v>18.04</v>
      </c>
      <c r="AU83" s="124">
        <f>SUMIFS(商品数据源!$H:$H,商品数据源!$A:$A,$B$83,商品数据源!$B:$B,AU2)</f>
        <v>21.19</v>
      </c>
      <c r="AV83" s="124">
        <f>SUMIFS(商品数据源!$H:$H,商品数据源!$A:$A,$B$83,商品数据源!$B:$B,AV2)</f>
        <v>16.95</v>
      </c>
      <c r="AW83" s="65">
        <f>SUM(AX83:BY83)</f>
        <v>265.91</v>
      </c>
      <c r="AX83" s="124">
        <f>SUMIFS(商品数据源!$H:$H,商品数据源!$A:$A,$B$83,商品数据源!$B:$B,AX2)</f>
        <v>19.59</v>
      </c>
      <c r="AY83" s="124">
        <f>SUMIFS(商品数据源!$H:$H,商品数据源!$A:$A,$B$83,商品数据源!$B:$B,AY2)</f>
        <v>23.14</v>
      </c>
      <c r="AZ83" s="124">
        <f>SUMIFS(商品数据源!$H:$H,商品数据源!$A:$A,$B$83,商品数据源!$B:$B,AZ2)</f>
        <v>24.8</v>
      </c>
      <c r="BA83" s="124">
        <f>SUMIFS(商品数据源!$H:$H,商品数据源!$A:$A,$B$83,商品数据源!$B:$B,BA2)</f>
        <v>31.01</v>
      </c>
      <c r="BB83" s="124">
        <f>SUMIFS(商品数据源!$H:$H,商品数据源!$A:$A,$B$83,商品数据源!$B:$B,BB2)</f>
        <v>42.08</v>
      </c>
      <c r="BC83" s="124">
        <f>SUMIFS(商品数据源!$H:$H,商品数据源!$A:$A,$B$83,商品数据源!$B:$B,BC2)</f>
        <v>20.9</v>
      </c>
      <c r="BD83" s="124">
        <f>SUMIFS(商品数据源!$H:$H,商品数据源!$A:$A,$B$83,商品数据源!$B:$B,BD2)</f>
        <v>32.71</v>
      </c>
      <c r="BE83" s="124">
        <f>SUMIFS(商品数据源!$H:$H,商品数据源!$A:$A,$B$83,商品数据源!$B:$B,BE2)</f>
        <v>35</v>
      </c>
      <c r="BF83" s="124">
        <f>SUMIFS(商品数据源!$H:$H,商品数据源!$A:$A,$B$83,商品数据源!$B:$B,BF2)</f>
        <v>30.96</v>
      </c>
      <c r="BG83" s="124">
        <f>SUMIFS(商品数据源!$H:$H,商品数据源!$A:$A,$B$83,商品数据源!$B:$B,BG2)</f>
        <v>5.72</v>
      </c>
      <c r="BH83" s="124">
        <f>SUMIFS(商品数据源!$H:$H,商品数据源!$A:$A,$B$83,商品数据源!$B:$B,BH2)</f>
        <v>0</v>
      </c>
      <c r="BI83" s="124">
        <f>SUMIFS(商品数据源!$H:$H,商品数据源!$A:$A,$B$83,商品数据源!$B:$B,BI2)</f>
        <v>0</v>
      </c>
      <c r="BJ83" s="124">
        <f>SUMIFS(商品数据源!$H:$H,商品数据源!$A:$A,$B$83,商品数据源!$B:$B,BJ2)</f>
        <v>0</v>
      </c>
      <c r="BK83" s="124">
        <f>SUMIFS(商品数据源!$H:$H,商品数据源!$A:$A,$B$83,商品数据源!$B:$B,BK2)</f>
        <v>0</v>
      </c>
      <c r="BL83" s="124">
        <f>SUMIFS(商品数据源!$H:$H,商品数据源!$A:$A,$B$83,商品数据源!$B:$B,BL2)</f>
        <v>0</v>
      </c>
      <c r="BM83" s="124">
        <f>SUMIFS(商品数据源!$H:$H,商品数据源!$A:$A,$B$83,商品数据源!$B:$B,BM2)</f>
        <v>0</v>
      </c>
      <c r="BN83" s="124">
        <f>SUMIFS(商品数据源!$H:$H,商品数据源!$A:$A,$B$83,商品数据源!$B:$B,BN2)</f>
        <v>0</v>
      </c>
      <c r="BO83" s="124">
        <f>SUMIFS(商品数据源!$H:$H,商品数据源!$A:$A,$B$83,商品数据源!$B:$B,BO2)</f>
        <v>0</v>
      </c>
      <c r="BP83" s="124">
        <f>SUMIFS(商品数据源!$H:$H,商品数据源!$A:$A,$B$83,商品数据源!$B:$B,BP2)</f>
        <v>0</v>
      </c>
      <c r="BQ83" s="124">
        <f>SUMIFS(商品数据源!$H:$H,商品数据源!$A:$A,$B$83,商品数据源!$B:$B,BQ2)</f>
        <v>0</v>
      </c>
      <c r="BR83" s="124">
        <f>SUMIFS(商品数据源!$H:$H,商品数据源!$A:$A,$B$83,商品数据源!$B:$B,BR2)</f>
        <v>0</v>
      </c>
      <c r="BS83" s="124">
        <f>SUMIFS(商品数据源!$H:$H,商品数据源!$A:$A,$B$83,商品数据源!$B:$B,BS2)</f>
        <v>0</v>
      </c>
      <c r="BT83" s="124">
        <f>SUMIFS(商品数据源!$H:$H,商品数据源!$A:$A,$B$83,商品数据源!$B:$B,BT2)</f>
        <v>0</v>
      </c>
      <c r="BU83" s="124">
        <f>SUMIFS(商品数据源!$H:$H,商品数据源!$A:$A,$B$83,商品数据源!$B:$B,BU2)</f>
        <v>0</v>
      </c>
      <c r="BV83" s="124">
        <f>SUMIFS(商品数据源!$H:$H,商品数据源!$A:$A,$B$83,商品数据源!$B:$B,BV2)</f>
        <v>0</v>
      </c>
      <c r="BW83" s="124">
        <f>SUMIFS(商品数据源!$H:$H,商品数据源!$A:$A,$B$83,商品数据源!$B:$B,BW2)</f>
        <v>0</v>
      </c>
      <c r="BX83" s="124">
        <f>SUMIFS(商品数据源!$H:$H,商品数据源!$A:$A,$B$83,商品数据源!$B:$B,BX2)</f>
        <v>0</v>
      </c>
      <c r="BY83" s="124">
        <f>SUMIFS(商品数据源!$H:$H,商品数据源!$A:$A,$B$83,商品数据源!$B:$B,BY2)</f>
        <v>0</v>
      </c>
      <c r="BZ83" s="65">
        <f>SUM(CA83:DE83)</f>
        <v>0</v>
      </c>
      <c r="CA83" s="124">
        <f>SUMIFS(商品数据源!$H:$H,商品数据源!$A:$A,$B$83,商品数据源!$B:$B,CA2)</f>
        <v>0</v>
      </c>
      <c r="CB83" s="124">
        <f>SUMIFS(商品数据源!$H:$H,商品数据源!$A:$A,$B$83,商品数据源!$B:$B,CB2)</f>
        <v>0</v>
      </c>
      <c r="CC83" s="124">
        <f>SUMIFS(商品数据源!$H:$H,商品数据源!$A:$A,$B$83,商品数据源!$B:$B,CC2)</f>
        <v>0</v>
      </c>
      <c r="CD83" s="124">
        <f>SUMIFS(商品数据源!$H:$H,商品数据源!$A:$A,$B$83,商品数据源!$B:$B,CD2)</f>
        <v>0</v>
      </c>
      <c r="CE83" s="124">
        <f>SUMIFS(商品数据源!$H:$H,商品数据源!$A:$A,$B$83,商品数据源!$B:$B,CE2)</f>
        <v>0</v>
      </c>
      <c r="CF83" s="124">
        <f>SUMIFS(商品数据源!$H:$H,商品数据源!$A:$A,$B$83,商品数据源!$B:$B,CF2)</f>
        <v>0</v>
      </c>
      <c r="CG83" s="124">
        <f>SUMIFS(商品数据源!$H:$H,商品数据源!$A:$A,$B$83,商品数据源!$B:$B,CG2)</f>
        <v>0</v>
      </c>
      <c r="CH83" s="124">
        <f>SUMIFS(商品数据源!$H:$H,商品数据源!$A:$A,$B$83,商品数据源!$B:$B,CH2)</f>
        <v>0</v>
      </c>
      <c r="CI83" s="124">
        <f>SUMIFS(商品数据源!$H:$H,商品数据源!$A:$A,$B$83,商品数据源!$B:$B,CI2)</f>
        <v>0</v>
      </c>
      <c r="CJ83" s="124">
        <f>SUMIFS(商品数据源!$H:$H,商品数据源!$A:$A,$B$83,商品数据源!$B:$B,CJ2)</f>
        <v>0</v>
      </c>
      <c r="CK83" s="124">
        <f>SUMIFS(商品数据源!$H:$H,商品数据源!$A:$A,$B$83,商品数据源!$B:$B,CK2)</f>
        <v>0</v>
      </c>
      <c r="CL83" s="124">
        <f>SUMIFS(商品数据源!$H:$H,商品数据源!$A:$A,$B$83,商品数据源!$B:$B,CL2)</f>
        <v>0</v>
      </c>
      <c r="CM83" s="124">
        <f>SUMIFS(商品数据源!$H:$H,商品数据源!$A:$A,$B$83,商品数据源!$B:$B,CM2)</f>
        <v>0</v>
      </c>
      <c r="CN83" s="124">
        <f>SUMIFS(商品数据源!$H:$H,商品数据源!$A:$A,$B$83,商品数据源!$B:$B,CN2)</f>
        <v>0</v>
      </c>
      <c r="CO83" s="124">
        <f>SUMIFS(商品数据源!$H:$H,商品数据源!$A:$A,$B$83,商品数据源!$B:$B,CO2)</f>
        <v>0</v>
      </c>
      <c r="CP83" s="124">
        <f>SUMIFS(商品数据源!$H:$H,商品数据源!$A:$A,$B$83,商品数据源!$B:$B,CP2)</f>
        <v>0</v>
      </c>
      <c r="CQ83" s="124">
        <f>SUMIFS(商品数据源!$H:$H,商品数据源!$A:$A,$B$83,商品数据源!$B:$B,CQ2)</f>
        <v>0</v>
      </c>
      <c r="CR83" s="124">
        <f>SUMIFS(商品数据源!$H:$H,商品数据源!$A:$A,$B$83,商品数据源!$B:$B,CR2)</f>
        <v>0</v>
      </c>
      <c r="CS83" s="124">
        <f>SUMIFS(商品数据源!$H:$H,商品数据源!$A:$A,$B$83,商品数据源!$B:$B,CS2)</f>
        <v>0</v>
      </c>
      <c r="CT83" s="124">
        <f>SUMIFS(商品数据源!$H:$H,商品数据源!$A:$A,$B$83,商品数据源!$B:$B,CT2)</f>
        <v>0</v>
      </c>
      <c r="CU83" s="124">
        <f>SUMIFS(商品数据源!$H:$H,商品数据源!$A:$A,$B$83,商品数据源!$B:$B,CU2)</f>
        <v>0</v>
      </c>
      <c r="CV83" s="124">
        <f>SUMIFS(商品数据源!$H:$H,商品数据源!$A:$A,$B$83,商品数据源!$B:$B,CV2)</f>
        <v>0</v>
      </c>
      <c r="CW83" s="124">
        <f>SUMIFS(商品数据源!$H:$H,商品数据源!$A:$A,$B$83,商品数据源!$B:$B,CW2)</f>
        <v>0</v>
      </c>
      <c r="CX83" s="124">
        <f>SUMIFS(商品数据源!$H:$H,商品数据源!$A:$A,$B$83,商品数据源!$B:$B,CX2)</f>
        <v>0</v>
      </c>
      <c r="CY83" s="124">
        <f>SUMIFS(商品数据源!$H:$H,商品数据源!$A:$A,$B$83,商品数据源!$B:$B,CY2)</f>
        <v>0</v>
      </c>
      <c r="CZ83" s="124">
        <f>SUMIFS(商品数据源!$H:$H,商品数据源!$A:$A,$B$83,商品数据源!$B:$B,CZ2)</f>
        <v>0</v>
      </c>
      <c r="DA83" s="124">
        <f>SUMIFS(商品数据源!$H:$H,商品数据源!$A:$A,$B$83,商品数据源!$B:$B,DA2)</f>
        <v>0</v>
      </c>
      <c r="DB83" s="124">
        <f>SUMIFS(商品数据源!$H:$H,商品数据源!$A:$A,$B$83,商品数据源!$B:$B,DB2)</f>
        <v>0</v>
      </c>
      <c r="DC83" s="124">
        <f>SUMIFS(商品数据源!$H:$H,商品数据源!$A:$A,$B$83,商品数据源!$B:$B,DC2)</f>
        <v>0</v>
      </c>
      <c r="DD83" s="124">
        <f>SUMIFS(商品数据源!$H:$H,商品数据源!$A:$A,$B$83,商品数据源!$B:$B,DD2)</f>
        <v>0</v>
      </c>
      <c r="DE83" s="124">
        <f>SUMIFS(商品数据源!$H:$H,商品数据源!$A:$A,$B$83,商品数据源!$B:$B,DE2)</f>
        <v>0</v>
      </c>
      <c r="DF83" s="65">
        <f>SUM(DG83:EJ83)</f>
        <v>0</v>
      </c>
      <c r="DG83" s="124">
        <f>SUMIFS(商品数据源!$H:$H,商品数据源!$A:$A,$B$83,商品数据源!$B:$B,DG2)</f>
        <v>0</v>
      </c>
      <c r="DH83" s="124">
        <f>SUMIFS(商品数据源!$H:$H,商品数据源!$A:$A,$B$83,商品数据源!$B:$B,DH2)</f>
        <v>0</v>
      </c>
      <c r="DI83" s="124">
        <f>SUMIFS(商品数据源!$H:$H,商品数据源!$A:$A,$B$83,商品数据源!$B:$B,DI2)</f>
        <v>0</v>
      </c>
      <c r="DJ83" s="124">
        <f>SUMIFS(商品数据源!$H:$H,商品数据源!$A:$A,$B$83,商品数据源!$B:$B,DJ2)</f>
        <v>0</v>
      </c>
      <c r="DK83" s="124">
        <f>SUMIFS(商品数据源!$H:$H,商品数据源!$A:$A,$B$83,商品数据源!$B:$B,DK2)</f>
        <v>0</v>
      </c>
      <c r="DL83" s="124">
        <f>SUMIFS(商品数据源!$H:$H,商品数据源!$A:$A,$B$83,商品数据源!$B:$B,DL2)</f>
        <v>0</v>
      </c>
      <c r="DM83" s="124">
        <f>SUMIFS(商品数据源!$H:$H,商品数据源!$A:$A,$B$83,商品数据源!$B:$B,DM2)</f>
        <v>0</v>
      </c>
      <c r="DN83" s="124">
        <f>SUMIFS(商品数据源!$H:$H,商品数据源!$A:$A,$B$83,商品数据源!$B:$B,DN2)</f>
        <v>0</v>
      </c>
      <c r="DO83" s="124">
        <f>SUMIFS(商品数据源!$H:$H,商品数据源!$A:$A,$B$83,商品数据源!$B:$B,DO2)</f>
        <v>0</v>
      </c>
      <c r="DP83" s="124">
        <f>SUMIFS(商品数据源!$H:$H,商品数据源!$A:$A,$B$83,商品数据源!$B:$B,DP2)</f>
        <v>0</v>
      </c>
      <c r="DQ83" s="124">
        <f>SUMIFS(商品数据源!$H:$H,商品数据源!$A:$A,$B$83,商品数据源!$B:$B,DQ2)</f>
        <v>0</v>
      </c>
      <c r="DR83" s="124">
        <f>SUMIFS(商品数据源!$H:$H,商品数据源!$A:$A,$B$83,商品数据源!$B:$B,DR2)</f>
        <v>0</v>
      </c>
      <c r="DS83" s="124">
        <f>SUMIFS(商品数据源!$H:$H,商品数据源!$A:$A,$B$83,商品数据源!$B:$B,DS2)</f>
        <v>0</v>
      </c>
      <c r="DT83" s="124">
        <f>SUMIFS(商品数据源!$H:$H,商品数据源!$A:$A,$B$83,商品数据源!$B:$B,DT2)</f>
        <v>0</v>
      </c>
      <c r="DU83" s="124">
        <f>SUMIFS(商品数据源!$H:$H,商品数据源!$A:$A,$B$83,商品数据源!$B:$B,DU2)</f>
        <v>0</v>
      </c>
      <c r="DV83" s="124">
        <f>SUMIFS(商品数据源!$H:$H,商品数据源!$A:$A,$B$83,商品数据源!$B:$B,DV2)</f>
        <v>0</v>
      </c>
      <c r="DW83" s="124">
        <f>SUMIFS(商品数据源!$H:$H,商品数据源!$A:$A,$B$83,商品数据源!$B:$B,DW2)</f>
        <v>0</v>
      </c>
      <c r="DX83" s="124">
        <f>SUMIFS(商品数据源!$H:$H,商品数据源!$A:$A,$B$83,商品数据源!$B:$B,DX2)</f>
        <v>0</v>
      </c>
      <c r="DY83" s="124">
        <f>SUMIFS(商品数据源!$H:$H,商品数据源!$A:$A,$B$83,商品数据源!$B:$B,DY2)</f>
        <v>0</v>
      </c>
      <c r="DZ83" s="124">
        <f>SUMIFS(商品数据源!$H:$H,商品数据源!$A:$A,$B$83,商品数据源!$B:$B,DZ2)</f>
        <v>0</v>
      </c>
      <c r="EA83" s="124">
        <f>SUMIFS(商品数据源!$H:$H,商品数据源!$A:$A,$B$83,商品数据源!$B:$B,EA2)</f>
        <v>0</v>
      </c>
      <c r="EB83" s="124">
        <f>SUMIFS(商品数据源!$H:$H,商品数据源!$A:$A,$B$83,商品数据源!$B:$B,EB2)</f>
        <v>0</v>
      </c>
      <c r="EC83" s="124">
        <f>SUMIFS(商品数据源!$H:$H,商品数据源!$A:$A,$B$83,商品数据源!$B:$B,EC2)</f>
        <v>0</v>
      </c>
      <c r="ED83" s="124">
        <f>SUMIFS(商品数据源!$H:$H,商品数据源!$A:$A,$B$83,商品数据源!$B:$B,ED2)</f>
        <v>0</v>
      </c>
      <c r="EE83" s="124">
        <f>SUMIFS(商品数据源!$H:$H,商品数据源!$A:$A,$B$83,商品数据源!$B:$B,EE2)</f>
        <v>0</v>
      </c>
      <c r="EF83" s="124">
        <f>SUMIFS(商品数据源!$H:$H,商品数据源!$A:$A,$B$83,商品数据源!$B:$B,EF2)</f>
        <v>0</v>
      </c>
      <c r="EG83" s="124">
        <f>SUMIFS(商品数据源!$H:$H,商品数据源!$A:$A,$B$83,商品数据源!$B:$B,EG2)</f>
        <v>0</v>
      </c>
      <c r="EH83" s="124">
        <f>SUMIFS(商品数据源!$H:$H,商品数据源!$A:$A,$B$83,商品数据源!$B:$B,EH2)</f>
        <v>0</v>
      </c>
      <c r="EI83" s="124">
        <f>SUMIFS(商品数据源!$H:$H,商品数据源!$A:$A,$B$83,商品数据源!$B:$B,EI2)</f>
        <v>0</v>
      </c>
      <c r="EJ83" s="124">
        <f>SUMIFS(商品数据源!$H:$H,商品数据源!$A:$A,$B$83,商品数据源!$B:$B,EJ2)</f>
        <v>0</v>
      </c>
      <c r="EK83" s="65">
        <f>SUM(EL83:FP83)</f>
        <v>0</v>
      </c>
      <c r="EL83" s="124">
        <f>SUMIFS(商品数据源!$H:$H,商品数据源!$A:$A,$B$83,商品数据源!$B:$B,EL2)</f>
        <v>0</v>
      </c>
      <c r="EM83" s="124">
        <f>SUMIFS(商品数据源!$H:$H,商品数据源!$A:$A,$B$83,商品数据源!$B:$B,EM2)</f>
        <v>0</v>
      </c>
      <c r="EN83" s="124">
        <f>SUMIFS(商品数据源!$H:$H,商品数据源!$A:$A,$B$83,商品数据源!$B:$B,EN2)</f>
        <v>0</v>
      </c>
      <c r="EO83" s="124">
        <f>SUMIFS(商品数据源!$H:$H,商品数据源!$A:$A,$B$83,商品数据源!$B:$B,EO2)</f>
        <v>0</v>
      </c>
      <c r="EP83" s="124">
        <f>SUMIFS(商品数据源!$H:$H,商品数据源!$A:$A,$B$83,商品数据源!$B:$B,EP2)</f>
        <v>0</v>
      </c>
      <c r="EQ83" s="124">
        <f>SUMIFS(商品数据源!$H:$H,商品数据源!$A:$A,$B$83,商品数据源!$B:$B,EQ2)</f>
        <v>0</v>
      </c>
      <c r="ER83" s="124">
        <f>SUMIFS(商品数据源!$H:$H,商品数据源!$A:$A,$B$83,商品数据源!$B:$B,ER2)</f>
        <v>0</v>
      </c>
      <c r="ES83" s="124">
        <f>SUMIFS(商品数据源!$H:$H,商品数据源!$A:$A,$B$83,商品数据源!$B:$B,ES2)</f>
        <v>0</v>
      </c>
      <c r="ET83" s="124">
        <f>SUMIFS(商品数据源!$H:$H,商品数据源!$A:$A,$B$83,商品数据源!$B:$B,ET2)</f>
        <v>0</v>
      </c>
      <c r="EU83" s="124">
        <f>SUMIFS(商品数据源!$H:$H,商品数据源!$A:$A,$B$83,商品数据源!$B:$B,EU2)</f>
        <v>0</v>
      </c>
      <c r="EV83" s="124">
        <f>SUMIFS(商品数据源!$H:$H,商品数据源!$A:$A,$B$83,商品数据源!$B:$B,EV2)</f>
        <v>0</v>
      </c>
      <c r="EW83" s="124">
        <f>SUMIFS(商品数据源!$H:$H,商品数据源!$A:$A,$B$83,商品数据源!$B:$B,EW2)</f>
        <v>0</v>
      </c>
      <c r="EX83" s="124">
        <f>SUMIFS(商品数据源!$H:$H,商品数据源!$A:$A,$B$83,商品数据源!$B:$B,EX2)</f>
        <v>0</v>
      </c>
      <c r="EY83" s="124">
        <f>SUMIFS(商品数据源!$H:$H,商品数据源!$A:$A,$B$83,商品数据源!$B:$B,EY2)</f>
        <v>0</v>
      </c>
      <c r="EZ83" s="124">
        <f>SUMIFS(商品数据源!$H:$H,商品数据源!$A:$A,$B$83,商品数据源!$B:$B,EZ2)</f>
        <v>0</v>
      </c>
      <c r="FA83" s="124">
        <f>SUMIFS(商品数据源!$H:$H,商品数据源!$A:$A,$B$83,商品数据源!$B:$B,FA2)</f>
        <v>0</v>
      </c>
      <c r="FB83" s="124">
        <f>SUMIFS(商品数据源!$H:$H,商品数据源!$A:$A,$B$83,商品数据源!$B:$B,FB2)</f>
        <v>0</v>
      </c>
      <c r="FC83" s="124">
        <f>SUMIFS(商品数据源!$H:$H,商品数据源!$A:$A,$B$83,商品数据源!$B:$B,FC2)</f>
        <v>0</v>
      </c>
      <c r="FD83" s="124">
        <f>SUMIFS(商品数据源!$H:$H,商品数据源!$A:$A,$B$83,商品数据源!$B:$B,FD2)</f>
        <v>0</v>
      </c>
      <c r="FE83" s="124">
        <f>SUMIFS(商品数据源!$H:$H,商品数据源!$A:$A,$B$83,商品数据源!$B:$B,FE2)</f>
        <v>0</v>
      </c>
      <c r="FF83" s="124">
        <f>SUMIFS(商品数据源!$H:$H,商品数据源!$A:$A,$B$83,商品数据源!$B:$B,FF2)</f>
        <v>0</v>
      </c>
      <c r="FG83" s="124">
        <f>SUMIFS(商品数据源!$H:$H,商品数据源!$A:$A,$B$83,商品数据源!$B:$B,FG2)</f>
        <v>0</v>
      </c>
      <c r="FH83" s="124">
        <f>SUMIFS(商品数据源!$H:$H,商品数据源!$A:$A,$B$83,商品数据源!$B:$B,FH2)</f>
        <v>0</v>
      </c>
      <c r="FI83" s="124">
        <f>SUMIFS(商品数据源!$H:$H,商品数据源!$A:$A,$B$83,商品数据源!$B:$B,FI2)</f>
        <v>0</v>
      </c>
      <c r="FJ83" s="124">
        <f>SUMIFS(商品数据源!$H:$H,商品数据源!$A:$A,$B$83,商品数据源!$B:$B,FJ2)</f>
        <v>0</v>
      </c>
      <c r="FK83" s="124">
        <f>SUMIFS(商品数据源!$H:$H,商品数据源!$A:$A,$B$83,商品数据源!$B:$B,FK2)</f>
        <v>0</v>
      </c>
      <c r="FL83" s="124">
        <f>SUMIFS(商品数据源!$H:$H,商品数据源!$A:$A,$B$83,商品数据源!$B:$B,FL2)</f>
        <v>0</v>
      </c>
      <c r="FM83" s="124">
        <f>SUMIFS(商品数据源!$H:$H,商品数据源!$A:$A,$B$83,商品数据源!$B:$B,FM2)</f>
        <v>0</v>
      </c>
      <c r="FN83" s="124">
        <f>SUMIFS(商品数据源!$H:$H,商品数据源!$A:$A,$B$83,商品数据源!$B:$B,FN2)</f>
        <v>0</v>
      </c>
      <c r="FO83" s="124">
        <f>SUMIFS(商品数据源!$H:$H,商品数据源!$A:$A,$B$83,商品数据源!$B:$B,FO2)</f>
        <v>0</v>
      </c>
      <c r="FP83" s="124">
        <f>SUMIFS(商品数据源!$H:$H,商品数据源!$A:$A,$B$83,商品数据源!$B:$B,FP2)</f>
        <v>0</v>
      </c>
      <c r="FQ83" s="65">
        <f t="shared" si="402"/>
        <v>0</v>
      </c>
      <c r="FR83" s="124">
        <f>SUMIFS(商品数据源!$H:$H,商品数据源!$A:$A,$B$83,商品数据源!$B:$B,FR2)</f>
        <v>0</v>
      </c>
      <c r="FS83" s="124">
        <f>SUMIFS(商品数据源!$H:$H,商品数据源!$A:$A,$B$83,商品数据源!$B:$B,FS2)</f>
        <v>0</v>
      </c>
      <c r="FT83" s="124">
        <f>SUMIFS(商品数据源!$H:$H,商品数据源!$A:$A,$B$83,商品数据源!$B:$B,FT2)</f>
        <v>0</v>
      </c>
      <c r="FU83" s="124">
        <f>SUMIFS(商品数据源!$H:$H,商品数据源!$A:$A,$B$83,商品数据源!$B:$B,FU2)</f>
        <v>0</v>
      </c>
      <c r="FV83" s="124">
        <f>SUMIFS(商品数据源!$H:$H,商品数据源!$A:$A,$B$83,商品数据源!$B:$B,FV2)</f>
        <v>0</v>
      </c>
      <c r="FW83" s="124">
        <f>SUMIFS(商品数据源!$H:$H,商品数据源!$A:$A,$B$83,商品数据源!$B:$B,FW2)</f>
        <v>0</v>
      </c>
      <c r="FX83" s="124">
        <f>SUMIFS(商品数据源!$H:$H,商品数据源!$A:$A,$B$83,商品数据源!$B:$B,FX2)</f>
        <v>0</v>
      </c>
      <c r="FY83" s="124">
        <f>SUMIFS(商品数据源!$H:$H,商品数据源!$A:$A,$B$83,商品数据源!$B:$B,FY2)</f>
        <v>0</v>
      </c>
      <c r="FZ83" s="124">
        <f>SUMIFS(商品数据源!$H:$H,商品数据源!$A:$A,$B$83,商品数据源!$B:$B,FZ2)</f>
        <v>0</v>
      </c>
      <c r="GA83" s="124">
        <f>SUMIFS(商品数据源!$H:$H,商品数据源!$A:$A,$B$83,商品数据源!$B:$B,GA2)</f>
        <v>0</v>
      </c>
      <c r="GB83" s="124">
        <f>SUMIFS(商品数据源!$H:$H,商品数据源!$A:$A,$B$83,商品数据源!$B:$B,GB2)</f>
        <v>0</v>
      </c>
      <c r="GC83" s="124">
        <f>SUMIFS(商品数据源!$H:$H,商品数据源!$A:$A,$B$83,商品数据源!$B:$B,GC2)</f>
        <v>0</v>
      </c>
      <c r="GD83" s="124">
        <f>SUMIFS(商品数据源!$H:$H,商品数据源!$A:$A,$B$83,商品数据源!$B:$B,GD2)</f>
        <v>0</v>
      </c>
      <c r="GE83" s="124">
        <f>SUMIFS(商品数据源!$H:$H,商品数据源!$A:$A,$B$83,商品数据源!$B:$B,GE2)</f>
        <v>0</v>
      </c>
      <c r="GF83" s="124">
        <f>SUMIFS(商品数据源!$H:$H,商品数据源!$A:$A,$B$83,商品数据源!$B:$B,GF2)</f>
        <v>0</v>
      </c>
      <c r="GG83" s="124">
        <f>SUMIFS(商品数据源!$H:$H,商品数据源!$A:$A,$B$83,商品数据源!$B:$B,GG2)</f>
        <v>0</v>
      </c>
      <c r="GH83" s="124">
        <f>SUMIFS(商品数据源!$H:$H,商品数据源!$A:$A,$B$83,商品数据源!$B:$B,GH2)</f>
        <v>0</v>
      </c>
      <c r="GI83" s="124">
        <f>SUMIFS(商品数据源!$H:$H,商品数据源!$A:$A,$B$83,商品数据源!$B:$B,GI2)</f>
        <v>0</v>
      </c>
      <c r="GJ83" s="124">
        <f>SUMIFS(商品数据源!$H:$H,商品数据源!$A:$A,$B$83,商品数据源!$B:$B,GJ2)</f>
        <v>0</v>
      </c>
      <c r="GK83" s="124">
        <f>SUMIFS(商品数据源!$H:$H,商品数据源!$A:$A,$B$83,商品数据源!$B:$B,GK2)</f>
        <v>0</v>
      </c>
      <c r="GL83" s="124">
        <f>SUMIFS(商品数据源!$H:$H,商品数据源!$A:$A,$B$83,商品数据源!$B:$B,GL2)</f>
        <v>0</v>
      </c>
      <c r="GM83" s="124">
        <f>SUMIFS(商品数据源!$H:$H,商品数据源!$A:$A,$B$83,商品数据源!$B:$B,GM2)</f>
        <v>0</v>
      </c>
      <c r="GN83" s="124">
        <f>SUMIFS(商品数据源!$H:$H,商品数据源!$A:$A,$B$83,商品数据源!$B:$B,GN2)</f>
        <v>0</v>
      </c>
      <c r="GO83" s="124">
        <f>SUMIFS(商品数据源!$H:$H,商品数据源!$A:$A,$B$83,商品数据源!$B:$B,GO2)</f>
        <v>0</v>
      </c>
      <c r="GP83" s="124">
        <f>SUMIFS(商品数据源!$H:$H,商品数据源!$A:$A,$B$83,商品数据源!$B:$B,GP2)</f>
        <v>0</v>
      </c>
    </row>
    <row r="84" s="47" customFormat="1" ht="15" hidden="1" customHeight="1" spans="2:198">
      <c r="B84" s="103"/>
      <c r="C84" s="109" t="s">
        <v>21</v>
      </c>
      <c r="D84" s="122" t="e">
        <f>SUM(E84:P84)</f>
        <v>#REF!</v>
      </c>
      <c r="E84" s="123" t="e">
        <f>#REF!</f>
        <v>#REF!</v>
      </c>
      <c r="F84" s="123" t="e">
        <f>#REF!</f>
        <v>#REF!</v>
      </c>
      <c r="G84" s="123" t="e">
        <f>#REF!</f>
        <v>#REF!</v>
      </c>
      <c r="H84" s="123" t="e">
        <f>#REF!</f>
        <v>#REF!</v>
      </c>
      <c r="I84" s="123" t="e">
        <f>#REF!</f>
        <v>#REF!</v>
      </c>
      <c r="J84" s="123" t="e">
        <f>#REF!</f>
        <v>#REF!</v>
      </c>
      <c r="K84" s="123" t="e">
        <f>#REF!</f>
        <v>#REF!</v>
      </c>
      <c r="L84" s="123" t="e">
        <f>#REF!</f>
        <v>#REF!</v>
      </c>
      <c r="M84" s="123" t="e">
        <f>#REF!</f>
        <v>#REF!</v>
      </c>
      <c r="N84" s="123" t="e">
        <f>#REF!</f>
        <v>#REF!</v>
      </c>
      <c r="O84" s="123" t="e">
        <f>#REF!</f>
        <v>#REF!</v>
      </c>
      <c r="P84" s="123" t="e">
        <f>#REF!</f>
        <v>#REF!</v>
      </c>
      <c r="Q84" s="65">
        <f>SUM(R84:AV84)</f>
        <v>508</v>
      </c>
      <c r="R84" s="124">
        <f>SUMIFS(商品数据源!$G:$G,商品数据源!$A:$A,$B$83,商品数据源!$B:$B,R2)</f>
        <v>39</v>
      </c>
      <c r="S84" s="124">
        <f>SUMIFS(商品数据源!$G:$G,商品数据源!$A:$A,$B$83,商品数据源!$B:$B,S2)</f>
        <v>23</v>
      </c>
      <c r="T84" s="124">
        <f>SUMIFS(商品数据源!$G:$G,商品数据源!$A:$A,$B$83,商品数据源!$B:$B,T2)</f>
        <v>39</v>
      </c>
      <c r="U84" s="124">
        <f>SUMIFS(商品数据源!$G:$G,商品数据源!$A:$A,$B$83,商品数据源!$B:$B,U2)</f>
        <v>27</v>
      </c>
      <c r="V84" s="124">
        <f>SUMIFS(商品数据源!$G:$G,商品数据源!$A:$A,$B$83,商品数据源!$B:$B,V2)</f>
        <v>22</v>
      </c>
      <c r="W84" s="124">
        <f>SUMIFS(商品数据源!$G:$G,商品数据源!$A:$A,$B$83,商品数据源!$B:$B,W2)</f>
        <v>27</v>
      </c>
      <c r="X84" s="124">
        <f>SUMIFS(商品数据源!$G:$G,商品数据源!$A:$A,$B$83,商品数据源!$B:$B,X2)</f>
        <v>23</v>
      </c>
      <c r="Y84" s="124">
        <f>SUMIFS(商品数据源!$G:$G,商品数据源!$A:$A,$B$83,商品数据源!$B:$B,Y2)</f>
        <v>13</v>
      </c>
      <c r="Z84" s="124">
        <f>SUMIFS(商品数据源!$G:$G,商品数据源!$A:$A,$B$83,商品数据源!$B:$B,Z2)</f>
        <v>24</v>
      </c>
      <c r="AA84" s="124">
        <f>SUMIFS(商品数据源!$G:$G,商品数据源!$A:$A,$B$83,商品数据源!$B:$B,AA2)</f>
        <v>13</v>
      </c>
      <c r="AB84" s="124">
        <f>SUMIFS(商品数据源!$G:$G,商品数据源!$A:$A,$B$83,商品数据源!$B:$B,AB2)</f>
        <v>14</v>
      </c>
      <c r="AC84" s="124">
        <f>SUMIFS(商品数据源!$G:$G,商品数据源!$A:$A,$B$83,商品数据源!$B:$B,AC2)</f>
        <v>19</v>
      </c>
      <c r="AD84" s="124">
        <f>SUMIFS(商品数据源!$G:$G,商品数据源!$A:$A,$B$83,商品数据源!$B:$B,AD2)</f>
        <v>24</v>
      </c>
      <c r="AE84" s="124">
        <f>SUMIFS(商品数据源!$G:$G,商品数据源!$A:$A,$B$83,商品数据源!$B:$B,AE2)</f>
        <v>16</v>
      </c>
      <c r="AF84" s="124">
        <f>SUMIFS(商品数据源!$G:$G,商品数据源!$A:$A,$B$83,商品数据源!$B:$B,AF2)</f>
        <v>15</v>
      </c>
      <c r="AG84" s="124">
        <f>SUMIFS(商品数据源!$G:$G,商品数据源!$A:$A,$B$83,商品数据源!$B:$B,AG2)</f>
        <v>11</v>
      </c>
      <c r="AH84" s="124">
        <f>SUMIFS(商品数据源!$G:$G,商品数据源!$A:$A,$B$83,商品数据源!$B:$B,AH2)</f>
        <v>17</v>
      </c>
      <c r="AI84" s="124">
        <f>SUMIFS(商品数据源!$G:$G,商品数据源!$A:$A,$B$83,商品数据源!$B:$B,AI2)</f>
        <v>15</v>
      </c>
      <c r="AJ84" s="124">
        <f>SUMIFS(商品数据源!$G:$G,商品数据源!$A:$A,$B$83,商品数据源!$B:$B,AJ2)</f>
        <v>13</v>
      </c>
      <c r="AK84" s="124">
        <f>SUMIFS(商品数据源!$G:$G,商品数据源!$A:$A,$B$83,商品数据源!$B:$B,AK2)</f>
        <v>3</v>
      </c>
      <c r="AL84" s="124">
        <f>SUMIFS(商品数据源!$G:$G,商品数据源!$A:$A,$B$83,商品数据源!$B:$B,AL2)</f>
        <v>0</v>
      </c>
      <c r="AM84" s="124">
        <f>SUMIFS(商品数据源!$G:$G,商品数据源!$A:$A,$B$83,商品数据源!$B:$B,AM2)</f>
        <v>6</v>
      </c>
      <c r="AN84" s="124">
        <f>SUMIFS(商品数据源!$G:$G,商品数据源!$A:$A,$B$83,商品数据源!$B:$B,AN2)</f>
        <v>14</v>
      </c>
      <c r="AO84" s="124">
        <f>SUMIFS(商品数据源!$G:$G,商品数据源!$A:$A,$B$83,商品数据源!$B:$B,AO2)</f>
        <v>10</v>
      </c>
      <c r="AP84" s="124">
        <f>SUMIFS(商品数据源!$G:$G,商品数据源!$A:$A,$B$83,商品数据源!$B:$B,AP2)</f>
        <v>15</v>
      </c>
      <c r="AQ84" s="124">
        <f>SUMIFS(商品数据源!$G:$G,商品数据源!$A:$A,$B$83,商品数据源!$B:$B,AQ2)</f>
        <v>9</v>
      </c>
      <c r="AR84" s="124">
        <f>SUMIFS(商品数据源!$G:$G,商品数据源!$A:$A,$B$83,商品数据源!$B:$B,AR2)</f>
        <v>16</v>
      </c>
      <c r="AS84" s="124">
        <f>SUMIFS(商品数据源!$G:$G,商品数据源!$A:$A,$B$83,商品数据源!$B:$B,AS2)</f>
        <v>6</v>
      </c>
      <c r="AT84" s="124">
        <f>SUMIFS(商品数据源!$G:$G,商品数据源!$A:$A,$B$83,商品数据源!$B:$B,AT2)</f>
        <v>5</v>
      </c>
      <c r="AU84" s="124">
        <f>SUMIFS(商品数据源!$G:$G,商品数据源!$A:$A,$B$83,商品数据源!$B:$B,AU2)</f>
        <v>19</v>
      </c>
      <c r="AV84" s="124">
        <f>SUMIFS(商品数据源!$G:$G,商品数据源!$A:$A,$B$83,商品数据源!$B:$B,AV2)</f>
        <v>11</v>
      </c>
      <c r="AW84" s="65">
        <f>SUM(AX84:BY84)</f>
        <v>115</v>
      </c>
      <c r="AX84" s="124">
        <f>SUMIFS(商品数据源!$G:$G,商品数据源!$A:$A,$B$83,商品数据源!$B:$B,AX2)</f>
        <v>9</v>
      </c>
      <c r="AY84" s="124">
        <f>SUMIFS(商品数据源!$G:$G,商品数据源!$A:$A,$B$83,商品数据源!$B:$B,AY2)</f>
        <v>6</v>
      </c>
      <c r="AZ84" s="124">
        <f>SUMIFS(商品数据源!$G:$G,商品数据源!$A:$A,$B$83,商品数据源!$B:$B,AZ2)</f>
        <v>11</v>
      </c>
      <c r="BA84" s="124">
        <f>SUMIFS(商品数据源!$G:$G,商品数据源!$A:$A,$B$83,商品数据源!$B:$B,BA2)</f>
        <v>11</v>
      </c>
      <c r="BB84" s="124">
        <f>SUMIFS(商品数据源!$G:$G,商品数据源!$A:$A,$B$83,商品数据源!$B:$B,BB2)</f>
        <v>15</v>
      </c>
      <c r="BC84" s="124">
        <f>SUMIFS(商品数据源!$G:$G,商品数据源!$A:$A,$B$83,商品数据源!$B:$B,BC2)</f>
        <v>11</v>
      </c>
      <c r="BD84" s="124">
        <f>SUMIFS(商品数据源!$G:$G,商品数据源!$A:$A,$B$83,商品数据源!$B:$B,BD2)</f>
        <v>19</v>
      </c>
      <c r="BE84" s="124">
        <f>SUMIFS(商品数据源!$G:$G,商品数据源!$A:$A,$B$83,商品数据源!$B:$B,BE2)</f>
        <v>19</v>
      </c>
      <c r="BF84" s="124">
        <f>SUMIFS(商品数据源!$G:$G,商品数据源!$A:$A,$B$83,商品数据源!$B:$B,BF2)</f>
        <v>12</v>
      </c>
      <c r="BG84" s="124">
        <f>SUMIFS(商品数据源!$G:$G,商品数据源!$A:$A,$B$83,商品数据源!$B:$B,BG2)</f>
        <v>2</v>
      </c>
      <c r="BH84" s="124">
        <f>SUMIFS(商品数据源!$G:$G,商品数据源!$A:$A,$B$83,商品数据源!$B:$B,BH2)</f>
        <v>0</v>
      </c>
      <c r="BI84" s="124">
        <f>SUMIFS(商品数据源!$G:$G,商品数据源!$A:$A,$B$83,商品数据源!$B:$B,BI2)</f>
        <v>0</v>
      </c>
      <c r="BJ84" s="124">
        <f>SUMIFS(商品数据源!$G:$G,商品数据源!$A:$A,$B$83,商品数据源!$B:$B,BJ2)</f>
        <v>0</v>
      </c>
      <c r="BK84" s="124">
        <f>SUMIFS(商品数据源!$G:$G,商品数据源!$A:$A,$B$83,商品数据源!$B:$B,BK2)</f>
        <v>0</v>
      </c>
      <c r="BL84" s="124">
        <f>SUMIFS(商品数据源!$G:$G,商品数据源!$A:$A,$B$83,商品数据源!$B:$B,BL2)</f>
        <v>0</v>
      </c>
      <c r="BM84" s="124">
        <f>SUMIFS(商品数据源!$G:$G,商品数据源!$A:$A,$B$83,商品数据源!$B:$B,BM2)</f>
        <v>0</v>
      </c>
      <c r="BN84" s="124">
        <f>SUMIFS(商品数据源!$G:$G,商品数据源!$A:$A,$B$83,商品数据源!$B:$B,BN2)</f>
        <v>0</v>
      </c>
      <c r="BO84" s="124">
        <f>SUMIFS(商品数据源!$G:$G,商品数据源!$A:$A,$B$83,商品数据源!$B:$B,BO2)</f>
        <v>0</v>
      </c>
      <c r="BP84" s="124">
        <f>SUMIFS(商品数据源!$G:$G,商品数据源!$A:$A,$B$83,商品数据源!$B:$B,BP2)</f>
        <v>0</v>
      </c>
      <c r="BQ84" s="124">
        <f>SUMIFS(商品数据源!$G:$G,商品数据源!$A:$A,$B$83,商品数据源!$B:$B,BQ2)</f>
        <v>0</v>
      </c>
      <c r="BR84" s="124">
        <f>SUMIFS(商品数据源!$G:$G,商品数据源!$A:$A,$B$83,商品数据源!$B:$B,BR2)</f>
        <v>0</v>
      </c>
      <c r="BS84" s="124">
        <f>SUMIFS(商品数据源!$G:$G,商品数据源!$A:$A,$B$83,商品数据源!$B:$B,BS2)</f>
        <v>0</v>
      </c>
      <c r="BT84" s="124">
        <f>SUMIFS(商品数据源!$G:$G,商品数据源!$A:$A,$B$83,商品数据源!$B:$B,BT2)</f>
        <v>0</v>
      </c>
      <c r="BU84" s="124">
        <f>SUMIFS(商品数据源!$G:$G,商品数据源!$A:$A,$B$83,商品数据源!$B:$B,BU2)</f>
        <v>0</v>
      </c>
      <c r="BV84" s="124">
        <f>SUMIFS(商品数据源!$G:$G,商品数据源!$A:$A,$B$83,商品数据源!$B:$B,BV2)</f>
        <v>0</v>
      </c>
      <c r="BW84" s="124">
        <f>SUMIFS(商品数据源!$G:$G,商品数据源!$A:$A,$B$83,商品数据源!$B:$B,BW2)</f>
        <v>0</v>
      </c>
      <c r="BX84" s="124">
        <f>SUMIFS(商品数据源!$G:$G,商品数据源!$A:$A,$B$83,商品数据源!$B:$B,BX2)</f>
        <v>0</v>
      </c>
      <c r="BY84" s="124">
        <f>SUMIFS(商品数据源!$G:$G,商品数据源!$A:$A,$B$83,商品数据源!$B:$B,BY2)</f>
        <v>0</v>
      </c>
      <c r="BZ84" s="65">
        <f>SUM(CA84:DE84)</f>
        <v>0</v>
      </c>
      <c r="CA84" s="124">
        <f>SUMIFS(商品数据源!$G:$G,商品数据源!$A:$A,$B$83,商品数据源!$B:$B,CA2)</f>
        <v>0</v>
      </c>
      <c r="CB84" s="124">
        <f>SUMIFS(商品数据源!$G:$G,商品数据源!$A:$A,$B$83,商品数据源!$B:$B,CB2)</f>
        <v>0</v>
      </c>
      <c r="CC84" s="124">
        <f>SUMIFS(商品数据源!$G:$G,商品数据源!$A:$A,$B$83,商品数据源!$B:$B,CC2)</f>
        <v>0</v>
      </c>
      <c r="CD84" s="124">
        <f>SUMIFS(商品数据源!$G:$G,商品数据源!$A:$A,$B$83,商品数据源!$B:$B,CD2)</f>
        <v>0</v>
      </c>
      <c r="CE84" s="124"/>
      <c r="CF84" s="124"/>
      <c r="CG84" s="124"/>
      <c r="CH84" s="124"/>
      <c r="CI84" s="124"/>
      <c r="CJ84" s="124"/>
      <c r="CK84" s="124"/>
      <c r="CL84" s="124"/>
      <c r="CM84" s="124"/>
      <c r="CN84" s="124"/>
      <c r="CO84" s="124"/>
      <c r="CP84" s="124"/>
      <c r="CQ84" s="124"/>
      <c r="CR84" s="124"/>
      <c r="CS84" s="124"/>
      <c r="CT84" s="124"/>
      <c r="CU84" s="124"/>
      <c r="CV84" s="124"/>
      <c r="CW84" s="124"/>
      <c r="CX84" s="124"/>
      <c r="CY84" s="124"/>
      <c r="CZ84" s="124"/>
      <c r="DA84" s="124"/>
      <c r="DB84" s="124"/>
      <c r="DC84" s="124"/>
      <c r="DD84" s="124"/>
      <c r="DE84" s="124"/>
      <c r="DF84" s="65">
        <f>SUM(DG84:EJ84)</f>
        <v>0</v>
      </c>
      <c r="DG84" s="124"/>
      <c r="DH84" s="124"/>
      <c r="DI84" s="124"/>
      <c r="DJ84" s="124"/>
      <c r="DK84" s="124"/>
      <c r="DL84" s="124"/>
      <c r="DM84" s="124"/>
      <c r="DN84" s="124"/>
      <c r="DO84" s="124"/>
      <c r="DP84" s="124"/>
      <c r="DQ84" s="124"/>
      <c r="DR84" s="124"/>
      <c r="DS84" s="124"/>
      <c r="DT84" s="124"/>
      <c r="DU84" s="124"/>
      <c r="DV84" s="124"/>
      <c r="DW84" s="124"/>
      <c r="DX84" s="124"/>
      <c r="DY84" s="124"/>
      <c r="DZ84" s="124"/>
      <c r="EA84" s="124"/>
      <c r="EB84" s="124"/>
      <c r="EC84" s="124"/>
      <c r="ED84" s="124"/>
      <c r="EE84" s="124"/>
      <c r="EF84" s="124"/>
      <c r="EG84" s="124"/>
      <c r="EH84" s="124"/>
      <c r="EI84" s="124"/>
      <c r="EJ84" s="124"/>
      <c r="EK84" s="65">
        <f>SUM(EL84:FP84)</f>
        <v>0</v>
      </c>
      <c r="EL84" s="124"/>
      <c r="EM84" s="124"/>
      <c r="EN84" s="124"/>
      <c r="EO84" s="124"/>
      <c r="EP84" s="124"/>
      <c r="EQ84" s="124"/>
      <c r="ER84" s="124"/>
      <c r="ES84" s="124"/>
      <c r="ET84" s="124"/>
      <c r="EU84" s="124"/>
      <c r="EV84" s="124"/>
      <c r="EW84" s="124"/>
      <c r="EX84" s="124"/>
      <c r="EY84" s="124"/>
      <c r="EZ84" s="124"/>
      <c r="FA84" s="124"/>
      <c r="FB84" s="124"/>
      <c r="FC84" s="124"/>
      <c r="FD84" s="124"/>
      <c r="FE84" s="124"/>
      <c r="FF84" s="124"/>
      <c r="FG84" s="124"/>
      <c r="FH84" s="124"/>
      <c r="FI84" s="124"/>
      <c r="FJ84" s="124"/>
      <c r="FK84" s="124"/>
      <c r="FL84" s="124"/>
      <c r="FM84" s="124"/>
      <c r="FN84" s="124"/>
      <c r="FO84" s="124"/>
      <c r="FP84" s="124"/>
      <c r="FQ84" s="65">
        <f t="shared" si="402"/>
        <v>0</v>
      </c>
      <c r="FR84" s="124"/>
      <c r="FS84" s="124"/>
      <c r="FT84" s="124"/>
      <c r="FU84" s="124"/>
      <c r="FV84" s="124"/>
      <c r="FW84" s="124"/>
      <c r="FX84" s="124"/>
      <c r="FY84" s="124"/>
      <c r="FZ84" s="124"/>
      <c r="GA84" s="124"/>
      <c r="GB84" s="124"/>
      <c r="GC84" s="124"/>
      <c r="GD84" s="124"/>
      <c r="GE84" s="124"/>
      <c r="GF84" s="124"/>
      <c r="GG84" s="124"/>
      <c r="GH84" s="124"/>
      <c r="GI84" s="124"/>
      <c r="GJ84" s="124"/>
      <c r="GK84" s="124"/>
      <c r="GL84" s="124"/>
      <c r="GM84" s="124"/>
      <c r="GN84" s="124"/>
      <c r="GO84" s="124"/>
      <c r="GP84" s="124"/>
    </row>
    <row r="85" s="47" customFormat="1" ht="15" hidden="1" customHeight="1" spans="2:198">
      <c r="B85" s="103"/>
      <c r="C85" s="109" t="s">
        <v>22</v>
      </c>
      <c r="D85" s="125" t="e">
        <f>D83/D84</f>
        <v>#REF!</v>
      </c>
      <c r="E85" s="126" t="e">
        <f t="shared" ref="E85:O85" si="423">E83/E84</f>
        <v>#REF!</v>
      </c>
      <c r="F85" s="126" t="e">
        <f t="shared" si="423"/>
        <v>#REF!</v>
      </c>
      <c r="G85" s="126" t="e">
        <f t="shared" si="423"/>
        <v>#REF!</v>
      </c>
      <c r="H85" s="126" t="e">
        <f t="shared" si="423"/>
        <v>#REF!</v>
      </c>
      <c r="I85" s="126" t="e">
        <f t="shared" si="423"/>
        <v>#REF!</v>
      </c>
      <c r="J85" s="126" t="e">
        <f t="shared" si="423"/>
        <v>#REF!</v>
      </c>
      <c r="K85" s="126" t="e">
        <f t="shared" si="423"/>
        <v>#REF!</v>
      </c>
      <c r="L85" s="126" t="e">
        <f t="shared" si="423"/>
        <v>#REF!</v>
      </c>
      <c r="M85" s="126" t="e">
        <f t="shared" si="423"/>
        <v>#REF!</v>
      </c>
      <c r="N85" s="126" t="e">
        <f t="shared" si="423"/>
        <v>#REF!</v>
      </c>
      <c r="O85" s="126" t="e">
        <f t="shared" si="423"/>
        <v>#REF!</v>
      </c>
      <c r="P85" s="126" t="e">
        <f t="shared" ref="P85:X85" si="424">P83/P84</f>
        <v>#REF!</v>
      </c>
      <c r="Q85" s="118">
        <f t="shared" si="424"/>
        <v>2.31694881889764</v>
      </c>
      <c r="R85" s="127">
        <f t="shared" si="424"/>
        <v>1.25589743589744</v>
      </c>
      <c r="S85" s="127">
        <f t="shared" si="424"/>
        <v>1.55260869565217</v>
      </c>
      <c r="T85" s="127">
        <f t="shared" si="424"/>
        <v>0.767435897435897</v>
      </c>
      <c r="U85" s="127">
        <f t="shared" si="424"/>
        <v>2.13444444444444</v>
      </c>
      <c r="V85" s="127">
        <f t="shared" si="424"/>
        <v>2.48363636363636</v>
      </c>
      <c r="W85" s="127">
        <f t="shared" si="424"/>
        <v>2.62296296296296</v>
      </c>
      <c r="X85" s="127">
        <f t="shared" si="424"/>
        <v>2.29</v>
      </c>
      <c r="Y85" s="127">
        <f t="shared" ref="Y85:AL85" si="425">Y83/Y84</f>
        <v>4.38846153846154</v>
      </c>
      <c r="Z85" s="127">
        <f t="shared" si="425"/>
        <v>2.57458333333333</v>
      </c>
      <c r="AA85" s="127">
        <f t="shared" si="425"/>
        <v>4.14307692307692</v>
      </c>
      <c r="AB85" s="127">
        <f t="shared" si="425"/>
        <v>2.92071428571429</v>
      </c>
      <c r="AC85" s="127">
        <f t="shared" si="425"/>
        <v>2.75631578947368</v>
      </c>
      <c r="AD85" s="127">
        <f t="shared" si="425"/>
        <v>2.125</v>
      </c>
      <c r="AE85" s="127">
        <f t="shared" si="425"/>
        <v>3.230625</v>
      </c>
      <c r="AF85" s="127">
        <f t="shared" si="425"/>
        <v>2.71533333333333</v>
      </c>
      <c r="AG85" s="127">
        <f t="shared" si="425"/>
        <v>2.52272727272727</v>
      </c>
      <c r="AH85" s="127">
        <f t="shared" si="425"/>
        <v>2.38</v>
      </c>
      <c r="AI85" s="127">
        <f t="shared" si="425"/>
        <v>2.49</v>
      </c>
      <c r="AJ85" s="127">
        <f t="shared" si="425"/>
        <v>2.67692307692308</v>
      </c>
      <c r="AK85" s="127">
        <f t="shared" si="425"/>
        <v>1.68</v>
      </c>
      <c r="AL85" s="127" t="e">
        <f t="shared" ref="AL85:BH85" si="426">AL83/AL84</f>
        <v>#DIV/0!</v>
      </c>
      <c r="AM85" s="127">
        <f t="shared" si="426"/>
        <v>3.74833333333333</v>
      </c>
      <c r="AN85" s="127">
        <f t="shared" si="426"/>
        <v>2.39642857142857</v>
      </c>
      <c r="AO85" s="127">
        <f t="shared" si="426"/>
        <v>3.991</v>
      </c>
      <c r="AP85" s="127">
        <f t="shared" si="426"/>
        <v>2.418</v>
      </c>
      <c r="AQ85" s="127">
        <f t="shared" si="426"/>
        <v>3.67</v>
      </c>
      <c r="AR85" s="127">
        <f t="shared" si="426"/>
        <v>2.753125</v>
      </c>
      <c r="AS85" s="127">
        <f t="shared" si="426"/>
        <v>1.06166666666667</v>
      </c>
      <c r="AT85" s="127">
        <f t="shared" si="426"/>
        <v>3.608</v>
      </c>
      <c r="AU85" s="127">
        <f t="shared" si="426"/>
        <v>1.11526315789474</v>
      </c>
      <c r="AV85" s="127">
        <f t="shared" si="426"/>
        <v>1.54090909090909</v>
      </c>
      <c r="AW85" s="118">
        <f t="shared" si="426"/>
        <v>2.31226086956522</v>
      </c>
      <c r="AX85" s="127">
        <f t="shared" si="426"/>
        <v>2.17666666666667</v>
      </c>
      <c r="AY85" s="127">
        <f t="shared" si="426"/>
        <v>3.85666666666667</v>
      </c>
      <c r="AZ85" s="127">
        <f t="shared" si="426"/>
        <v>2.25454545454545</v>
      </c>
      <c r="BA85" s="127">
        <f t="shared" si="426"/>
        <v>2.81909090909091</v>
      </c>
      <c r="BB85" s="127">
        <f t="shared" si="426"/>
        <v>2.80533333333333</v>
      </c>
      <c r="BC85" s="127">
        <f t="shared" si="426"/>
        <v>1.9</v>
      </c>
      <c r="BD85" s="127">
        <f t="shared" si="426"/>
        <v>1.72157894736842</v>
      </c>
      <c r="BE85" s="127">
        <f t="shared" si="426"/>
        <v>1.84210526315789</v>
      </c>
      <c r="BF85" s="127">
        <f t="shared" si="426"/>
        <v>2.58</v>
      </c>
      <c r="BG85" s="127">
        <f t="shared" si="426"/>
        <v>2.86</v>
      </c>
      <c r="BH85" s="127" t="e">
        <f t="shared" si="426"/>
        <v>#DIV/0!</v>
      </c>
      <c r="BI85" s="127" t="e">
        <f t="shared" ref="BI85:BW85" si="427">BI83/BI84</f>
        <v>#DIV/0!</v>
      </c>
      <c r="BJ85" s="127" t="e">
        <f t="shared" si="427"/>
        <v>#DIV/0!</v>
      </c>
      <c r="BK85" s="127" t="e">
        <f t="shared" si="427"/>
        <v>#DIV/0!</v>
      </c>
      <c r="BL85" s="127" t="e">
        <f t="shared" si="427"/>
        <v>#DIV/0!</v>
      </c>
      <c r="BM85" s="127" t="e">
        <f t="shared" si="427"/>
        <v>#DIV/0!</v>
      </c>
      <c r="BN85" s="127" t="e">
        <f t="shared" si="427"/>
        <v>#DIV/0!</v>
      </c>
      <c r="BO85" s="127" t="e">
        <f t="shared" si="427"/>
        <v>#DIV/0!</v>
      </c>
      <c r="BP85" s="127" t="e">
        <f t="shared" si="427"/>
        <v>#DIV/0!</v>
      </c>
      <c r="BQ85" s="127" t="e">
        <f t="shared" si="427"/>
        <v>#DIV/0!</v>
      </c>
      <c r="BR85" s="127" t="e">
        <f t="shared" si="427"/>
        <v>#DIV/0!</v>
      </c>
      <c r="BS85" s="127" t="e">
        <f t="shared" si="427"/>
        <v>#DIV/0!</v>
      </c>
      <c r="BT85" s="127" t="e">
        <f t="shared" si="427"/>
        <v>#DIV/0!</v>
      </c>
      <c r="BU85" s="127" t="e">
        <f t="shared" si="427"/>
        <v>#DIV/0!</v>
      </c>
      <c r="BV85" s="127" t="e">
        <f t="shared" si="427"/>
        <v>#DIV/0!</v>
      </c>
      <c r="BW85" s="127" t="e">
        <f t="shared" si="427"/>
        <v>#DIV/0!</v>
      </c>
      <c r="BX85" s="127" t="e">
        <f t="shared" ref="BX85:CD85" si="428">BX83/BX84</f>
        <v>#DIV/0!</v>
      </c>
      <c r="BY85" s="127" t="e">
        <f t="shared" si="428"/>
        <v>#DIV/0!</v>
      </c>
      <c r="BZ85" s="118" t="e">
        <f t="shared" si="428"/>
        <v>#DIV/0!</v>
      </c>
      <c r="CA85" s="127" t="e">
        <f t="shared" si="428"/>
        <v>#DIV/0!</v>
      </c>
      <c r="CB85" s="127" t="e">
        <f t="shared" si="428"/>
        <v>#DIV/0!</v>
      </c>
      <c r="CC85" s="127" t="e">
        <f t="shared" si="428"/>
        <v>#DIV/0!</v>
      </c>
      <c r="CD85" s="127" t="e">
        <f t="shared" si="428"/>
        <v>#DIV/0!</v>
      </c>
      <c r="CE85" s="127"/>
      <c r="CF85" s="127"/>
      <c r="CG85" s="127"/>
      <c r="CH85" s="127"/>
      <c r="CI85" s="127"/>
      <c r="CJ85" s="127"/>
      <c r="CK85" s="127"/>
      <c r="CL85" s="127"/>
      <c r="CM85" s="127"/>
      <c r="CN85" s="127"/>
      <c r="CO85" s="127"/>
      <c r="CP85" s="127"/>
      <c r="CQ85" s="127"/>
      <c r="CR85" s="127"/>
      <c r="CS85" s="127"/>
      <c r="CT85" s="127"/>
      <c r="CU85" s="127"/>
      <c r="CV85" s="127"/>
      <c r="CW85" s="127"/>
      <c r="CX85" s="127"/>
      <c r="CY85" s="127"/>
      <c r="CZ85" s="127"/>
      <c r="DA85" s="127"/>
      <c r="DB85" s="127"/>
      <c r="DC85" s="127"/>
      <c r="DD85" s="127"/>
      <c r="DE85" s="127"/>
      <c r="DF85" s="118" t="e">
        <f>DF83/DF84</f>
        <v>#DIV/0!</v>
      </c>
      <c r="DG85" s="127"/>
      <c r="DH85" s="127"/>
      <c r="DI85" s="127"/>
      <c r="DJ85" s="127"/>
      <c r="DK85" s="127"/>
      <c r="DL85" s="127"/>
      <c r="DM85" s="127"/>
      <c r="DN85" s="127"/>
      <c r="DO85" s="127"/>
      <c r="DP85" s="127"/>
      <c r="DQ85" s="127"/>
      <c r="DR85" s="127"/>
      <c r="DS85" s="127"/>
      <c r="DT85" s="127"/>
      <c r="DU85" s="127"/>
      <c r="DV85" s="127"/>
      <c r="DW85" s="127"/>
      <c r="DX85" s="127"/>
      <c r="DY85" s="127"/>
      <c r="DZ85" s="127"/>
      <c r="EA85" s="127"/>
      <c r="EB85" s="127"/>
      <c r="EC85" s="127"/>
      <c r="ED85" s="127"/>
      <c r="EE85" s="127"/>
      <c r="EF85" s="127"/>
      <c r="EG85" s="127"/>
      <c r="EH85" s="127"/>
      <c r="EI85" s="127"/>
      <c r="EJ85" s="127"/>
      <c r="EK85" s="118" t="e">
        <f>EK83/EK84</f>
        <v>#DIV/0!</v>
      </c>
      <c r="EL85" s="127"/>
      <c r="EM85" s="127"/>
      <c r="EN85" s="127"/>
      <c r="EO85" s="127"/>
      <c r="EP85" s="127"/>
      <c r="EQ85" s="127"/>
      <c r="ER85" s="127"/>
      <c r="ES85" s="127"/>
      <c r="ET85" s="127"/>
      <c r="EU85" s="127"/>
      <c r="EV85" s="127"/>
      <c r="EW85" s="127"/>
      <c r="EX85" s="127"/>
      <c r="EY85" s="127"/>
      <c r="EZ85" s="127"/>
      <c r="FA85" s="127"/>
      <c r="FB85" s="127"/>
      <c r="FC85" s="127"/>
      <c r="FD85" s="127"/>
      <c r="FE85" s="127"/>
      <c r="FF85" s="127"/>
      <c r="FG85" s="127"/>
      <c r="FH85" s="127"/>
      <c r="FI85" s="127"/>
      <c r="FJ85" s="127"/>
      <c r="FK85" s="127"/>
      <c r="FL85" s="127"/>
      <c r="FM85" s="127"/>
      <c r="FN85" s="127"/>
      <c r="FO85" s="127"/>
      <c r="FP85" s="127"/>
      <c r="FQ85" s="118" t="e">
        <f>FQ83/FQ84</f>
        <v>#DIV/0!</v>
      </c>
      <c r="FR85" s="127"/>
      <c r="FS85" s="127"/>
      <c r="FT85" s="127"/>
      <c r="FU85" s="127"/>
      <c r="FV85" s="127"/>
      <c r="FW85" s="127"/>
      <c r="FX85" s="127"/>
      <c r="FY85" s="127"/>
      <c r="FZ85" s="127"/>
      <c r="GA85" s="127"/>
      <c r="GB85" s="127"/>
      <c r="GC85" s="127"/>
      <c r="GD85" s="127"/>
      <c r="GE85" s="127"/>
      <c r="GF85" s="127"/>
      <c r="GG85" s="127"/>
      <c r="GH85" s="127"/>
      <c r="GI85" s="127"/>
      <c r="GJ85" s="127"/>
      <c r="GK85" s="127"/>
      <c r="GL85" s="127"/>
      <c r="GM85" s="127"/>
      <c r="GN85" s="127"/>
      <c r="GO85" s="127"/>
      <c r="GP85" s="127"/>
    </row>
    <row r="86" s="47" customFormat="1" ht="15" hidden="1" customHeight="1" spans="2:198">
      <c r="B86" s="103"/>
      <c r="C86" s="109" t="s">
        <v>23</v>
      </c>
      <c r="D86" s="122" t="e">
        <f>SUM(E86:P86)</f>
        <v>#REF!</v>
      </c>
      <c r="E86" s="123" t="e">
        <f>#REF!</f>
        <v>#REF!</v>
      </c>
      <c r="F86" s="123" t="e">
        <f>#REF!</f>
        <v>#REF!</v>
      </c>
      <c r="G86" s="123" t="e">
        <f>#REF!</f>
        <v>#REF!</v>
      </c>
      <c r="H86" s="123" t="e">
        <f>#REF!</f>
        <v>#REF!</v>
      </c>
      <c r="I86" s="123" t="e">
        <f>#REF!</f>
        <v>#REF!</v>
      </c>
      <c r="J86" s="123" t="e">
        <f>#REF!</f>
        <v>#REF!</v>
      </c>
      <c r="K86" s="123" t="e">
        <f>#REF!</f>
        <v>#REF!</v>
      </c>
      <c r="L86" s="123" t="e">
        <f>#REF!</f>
        <v>#REF!</v>
      </c>
      <c r="M86" s="123" t="e">
        <f>#REF!</f>
        <v>#REF!</v>
      </c>
      <c r="N86" s="123" t="e">
        <f>#REF!</f>
        <v>#REF!</v>
      </c>
      <c r="O86" s="123" t="e">
        <f>#REF!</f>
        <v>#REF!</v>
      </c>
      <c r="P86" s="123" t="e">
        <f>#REF!</f>
        <v>#REF!</v>
      </c>
      <c r="Q86" s="65">
        <f>SUM(R86:AV86)</f>
        <v>40</v>
      </c>
      <c r="R86" s="124">
        <f>SUMIFS(商品数据源!$AB:$AB,商品数据源!$A:$A,$B$83,商品数据源!$B:$B,R2)</f>
        <v>3</v>
      </c>
      <c r="S86" s="124">
        <f>SUMIFS(商品数据源!$AB:$AB,商品数据源!$A:$A,$B$83,商品数据源!$B:$B,S2)</f>
        <v>3</v>
      </c>
      <c r="T86" s="124">
        <f>SUMIFS(商品数据源!$AB:$AB,商品数据源!$A:$A,$B$83,商品数据源!$B:$B,T2)</f>
        <v>0</v>
      </c>
      <c r="U86" s="124">
        <f>SUMIFS(商品数据源!$AB:$AB,商品数据源!$A:$A,$B$83,商品数据源!$B:$B,U2)</f>
        <v>0</v>
      </c>
      <c r="V86" s="124">
        <f>SUMIFS(商品数据源!$AB:$AB,商品数据源!$A:$A,$B$83,商品数据源!$B:$B,V2)</f>
        <v>1</v>
      </c>
      <c r="W86" s="124">
        <f>SUMIFS(商品数据源!$AB:$AB,商品数据源!$A:$A,$B$83,商品数据源!$B:$B,W2)</f>
        <v>0</v>
      </c>
      <c r="X86" s="124">
        <f>SUMIFS(商品数据源!$AB:$AB,商品数据源!$A:$A,$B$83,商品数据源!$B:$B,X2)</f>
        <v>2</v>
      </c>
      <c r="Y86" s="124">
        <f>SUMIFS(商品数据源!$AB:$AB,商品数据源!$A:$A,$B$83,商品数据源!$B:$B,Y2)</f>
        <v>4</v>
      </c>
      <c r="Z86" s="124">
        <f>SUMIFS(商品数据源!$AB:$AB,商品数据源!$A:$A,$B$83,商品数据源!$B:$B,Z2)</f>
        <v>1</v>
      </c>
      <c r="AA86" s="124">
        <f>SUMIFS(商品数据源!$AB:$AB,商品数据源!$A:$A,$B$83,商品数据源!$B:$B,AA2)</f>
        <v>0</v>
      </c>
      <c r="AB86" s="124">
        <f>SUMIFS(商品数据源!$AB:$AB,商品数据源!$A:$A,$B$83,商品数据源!$B:$B,AB2)</f>
        <v>4</v>
      </c>
      <c r="AC86" s="124">
        <f>SUMIFS(商品数据源!$AB:$AB,商品数据源!$A:$A,$B$83,商品数据源!$B:$B,AC2)</f>
        <v>4</v>
      </c>
      <c r="AD86" s="124">
        <f>SUMIFS(商品数据源!$AB:$AB,商品数据源!$A:$A,$B$83,商品数据源!$B:$B,AD2)</f>
        <v>2</v>
      </c>
      <c r="AE86" s="124">
        <f>SUMIFS(商品数据源!$AB:$AB,商品数据源!$A:$A,$B$83,商品数据源!$B:$B,AE2)</f>
        <v>0</v>
      </c>
      <c r="AF86" s="124">
        <f>SUMIFS(商品数据源!$AB:$AB,商品数据源!$A:$A,$B$83,商品数据源!$B:$B,AF2)</f>
        <v>1</v>
      </c>
      <c r="AG86" s="124">
        <f>SUMIFS(商品数据源!$AB:$AB,商品数据源!$A:$A,$B$83,商品数据源!$B:$B,AG2)</f>
        <v>0</v>
      </c>
      <c r="AH86" s="124">
        <f>SUMIFS(商品数据源!$AB:$AB,商品数据源!$A:$A,$B$83,商品数据源!$B:$B,AH2)</f>
        <v>1</v>
      </c>
      <c r="AI86" s="124">
        <f>SUMIFS(商品数据源!$AB:$AB,商品数据源!$A:$A,$B$83,商品数据源!$B:$B,AI2)</f>
        <v>1</v>
      </c>
      <c r="AJ86" s="124">
        <f>SUMIFS(商品数据源!$AB:$AB,商品数据源!$A:$A,$B$83,商品数据源!$B:$B,AJ2)</f>
        <v>1</v>
      </c>
      <c r="AK86" s="124">
        <f>SUMIFS(商品数据源!$AB:$AB,商品数据源!$A:$A,$B$83,商品数据源!$B:$B,AK2)</f>
        <v>0</v>
      </c>
      <c r="AL86" s="124">
        <f>SUMIFS(商品数据源!$AB:$AB,商品数据源!$A:$A,$B$83,商品数据源!$B:$B,AL2)</f>
        <v>0</v>
      </c>
      <c r="AM86" s="124">
        <f>SUMIFS(商品数据源!$AB:$AB,商品数据源!$A:$A,$B$83,商品数据源!$B:$B,AM2)</f>
        <v>1</v>
      </c>
      <c r="AN86" s="124">
        <f>SUMIFS(商品数据源!$AB:$AB,商品数据源!$A:$A,$B$83,商品数据源!$B:$B,AN2)</f>
        <v>0</v>
      </c>
      <c r="AO86" s="124">
        <f>SUMIFS(商品数据源!$AB:$AB,商品数据源!$A:$A,$B$83,商品数据源!$B:$B,AO2)</f>
        <v>5</v>
      </c>
      <c r="AP86" s="124">
        <f>SUMIFS(商品数据源!$AB:$AB,商品数据源!$A:$A,$B$83,商品数据源!$B:$B,AP2)</f>
        <v>2</v>
      </c>
      <c r="AQ86" s="124">
        <f>SUMIFS(商品数据源!$AB:$AB,商品数据源!$A:$A,$B$83,商品数据源!$B:$B,AQ2)</f>
        <v>0</v>
      </c>
      <c r="AR86" s="124">
        <f>SUMIFS(商品数据源!$AB:$AB,商品数据源!$A:$A,$B$83,商品数据源!$B:$B,AR2)</f>
        <v>2</v>
      </c>
      <c r="AS86" s="124">
        <f>SUMIFS(商品数据源!$AB:$AB,商品数据源!$A:$A,$B$83,商品数据源!$B:$B,AS2)</f>
        <v>0</v>
      </c>
      <c r="AT86" s="124">
        <f>SUMIFS(商品数据源!$AB:$AB,商品数据源!$A:$A,$B$83,商品数据源!$B:$B,AT2)</f>
        <v>0</v>
      </c>
      <c r="AU86" s="124">
        <f>SUMIFS(商品数据源!$AB:$AB,商品数据源!$A:$A,$B$83,商品数据源!$B:$B,AU2)</f>
        <v>1</v>
      </c>
      <c r="AV86" s="124">
        <f>SUMIFS(商品数据源!$AB:$AB,商品数据源!$A:$A,$B$83,商品数据源!$B:$B,AV2)</f>
        <v>1</v>
      </c>
      <c r="AW86" s="65">
        <f>SUM(AX86:BY86)</f>
        <v>26</v>
      </c>
      <c r="AX86" s="124">
        <f>SUMIFS(商品数据源!$AB:$AB,商品数据源!$A:$A,$B$83,商品数据源!$B:$B,AX2)</f>
        <v>0</v>
      </c>
      <c r="AY86" s="124">
        <f>SUMIFS(商品数据源!$AB:$AB,商品数据源!$A:$A,$B$83,商品数据源!$B:$B,AY2)</f>
        <v>1</v>
      </c>
      <c r="AZ86" s="124">
        <f>SUMIFS(商品数据源!$AB:$AB,商品数据源!$A:$A,$B$83,商品数据源!$B:$B,AZ2)</f>
        <v>8</v>
      </c>
      <c r="BA86" s="124">
        <f>SUMIFS(商品数据源!$AB:$AB,商品数据源!$A:$A,$B$83,商品数据源!$B:$B,BA2)</f>
        <v>3</v>
      </c>
      <c r="BB86" s="124">
        <f>SUMIFS(商品数据源!$AB:$AB,商品数据源!$A:$A,$B$83,商品数据源!$B:$B,BB2)</f>
        <v>0</v>
      </c>
      <c r="BC86" s="124">
        <f>SUMIFS(商品数据源!$AB:$AB,商品数据源!$A:$A,$B$83,商品数据源!$B:$B,BC2)</f>
        <v>1</v>
      </c>
      <c r="BD86" s="124">
        <f>SUMIFS(商品数据源!$AB:$AB,商品数据源!$A:$A,$B$83,商品数据源!$B:$B,BD2)</f>
        <v>7</v>
      </c>
      <c r="BE86" s="124">
        <f>SUMIFS(商品数据源!$AB:$AB,商品数据源!$A:$A,$B$83,商品数据源!$B:$B,BE2)</f>
        <v>6</v>
      </c>
      <c r="BF86" s="124">
        <f>SUMIFS(商品数据源!$AB:$AB,商品数据源!$A:$A,$B$83,商品数据源!$B:$B,BF2)</f>
        <v>0</v>
      </c>
      <c r="BG86" s="124">
        <f>SUMIFS(商品数据源!$AB:$AB,商品数据源!$A:$A,$B$83,商品数据源!$B:$B,BG2)</f>
        <v>0</v>
      </c>
      <c r="BH86" s="124">
        <f>SUMIFS(商品数据源!$AB:$AB,商品数据源!$A:$A,$B$83,商品数据源!$B:$B,BH2)</f>
        <v>0</v>
      </c>
      <c r="BI86" s="124">
        <f>SUMIFS(商品数据源!$AB:$AB,商品数据源!$A:$A,$B$83,商品数据源!$B:$B,BI2)</f>
        <v>0</v>
      </c>
      <c r="BJ86" s="124">
        <f>SUMIFS(商品数据源!$AB:$AB,商品数据源!$A:$A,$B$83,商品数据源!$B:$B,BJ2)</f>
        <v>0</v>
      </c>
      <c r="BK86" s="124">
        <f>SUMIFS(商品数据源!$AB:$AB,商品数据源!$A:$A,$B$83,商品数据源!$B:$B,BK2)</f>
        <v>0</v>
      </c>
      <c r="BL86" s="124">
        <f>SUMIFS(商品数据源!$AB:$AB,商品数据源!$A:$A,$B$83,商品数据源!$B:$B,BL2)</f>
        <v>0</v>
      </c>
      <c r="BM86" s="124">
        <f>SUMIFS(商品数据源!$AB:$AB,商品数据源!$A:$A,$B$83,商品数据源!$B:$B,BM2)</f>
        <v>0</v>
      </c>
      <c r="BN86" s="124">
        <f>SUMIFS(商品数据源!$AB:$AB,商品数据源!$A:$A,$B$83,商品数据源!$B:$B,BN2)</f>
        <v>0</v>
      </c>
      <c r="BO86" s="124">
        <f>SUMIFS(商品数据源!$AB:$AB,商品数据源!$A:$A,$B$83,商品数据源!$B:$B,BO2)</f>
        <v>0</v>
      </c>
      <c r="BP86" s="124">
        <f>SUMIFS(商品数据源!$AB:$AB,商品数据源!$A:$A,$B$83,商品数据源!$B:$B,BP2)</f>
        <v>0</v>
      </c>
      <c r="BQ86" s="124">
        <f>SUMIFS(商品数据源!$AB:$AB,商品数据源!$A:$A,$B$83,商品数据源!$B:$B,BQ2)</f>
        <v>0</v>
      </c>
      <c r="BR86" s="124">
        <f>SUMIFS(商品数据源!$AB:$AB,商品数据源!$A:$A,$B$83,商品数据源!$B:$B,BR2)</f>
        <v>0</v>
      </c>
      <c r="BS86" s="124">
        <f>SUMIFS(商品数据源!$AB:$AB,商品数据源!$A:$A,$B$83,商品数据源!$B:$B,BS2)</f>
        <v>0</v>
      </c>
      <c r="BT86" s="124">
        <f>SUMIFS(商品数据源!$AB:$AB,商品数据源!$A:$A,$B$83,商品数据源!$B:$B,BT2)</f>
        <v>0</v>
      </c>
      <c r="BU86" s="124">
        <f>SUMIFS(商品数据源!$AB:$AB,商品数据源!$A:$A,$B$83,商品数据源!$B:$B,BU2)</f>
        <v>0</v>
      </c>
      <c r="BV86" s="124">
        <f>SUMIFS(商品数据源!$AB:$AB,商品数据源!$A:$A,$B$83,商品数据源!$B:$B,BV2)</f>
        <v>0</v>
      </c>
      <c r="BW86" s="124">
        <f>SUMIFS(商品数据源!$AB:$AB,商品数据源!$A:$A,$B$83,商品数据源!$B:$B,BW2)</f>
        <v>0</v>
      </c>
      <c r="BX86" s="124">
        <f>SUMIFS(商品数据源!$AB:$AB,商品数据源!$A:$A,$B$83,商品数据源!$B:$B,BX2)</f>
        <v>0</v>
      </c>
      <c r="BY86" s="124">
        <f>SUMIFS(商品数据源!$AB:$AB,商品数据源!$A:$A,$B$83,商品数据源!$B:$B,BY2)</f>
        <v>0</v>
      </c>
      <c r="BZ86" s="65">
        <f>SUM(CA86:DE86)</f>
        <v>0</v>
      </c>
      <c r="CA86" s="124">
        <f>SUMIFS(商品数据源!$AB:$AB,商品数据源!$A:$A,$B$83,商品数据源!$B:$B,CA2)</f>
        <v>0</v>
      </c>
      <c r="CB86" s="124">
        <f>SUMIFS(商品数据源!$AB:$AB,商品数据源!$A:$A,$B$83,商品数据源!$B:$B,CB2)</f>
        <v>0</v>
      </c>
      <c r="CC86" s="124">
        <f>SUMIFS(商品数据源!$AB:$AB,商品数据源!$A:$A,$B$83,商品数据源!$B:$B,CC2)</f>
        <v>0</v>
      </c>
      <c r="CD86" s="124">
        <f>SUMIFS(商品数据源!$AB:$AB,商品数据源!$A:$A,$B$83,商品数据源!$B:$B,CD2)</f>
        <v>0</v>
      </c>
      <c r="CE86" s="124"/>
      <c r="CF86" s="124"/>
      <c r="CG86" s="124"/>
      <c r="CH86" s="124"/>
      <c r="CI86" s="124"/>
      <c r="CJ86" s="124"/>
      <c r="CK86" s="124"/>
      <c r="CL86" s="124"/>
      <c r="CM86" s="124"/>
      <c r="CN86" s="124"/>
      <c r="CO86" s="124"/>
      <c r="CP86" s="124"/>
      <c r="CQ86" s="124"/>
      <c r="CR86" s="124"/>
      <c r="CS86" s="124"/>
      <c r="CT86" s="124"/>
      <c r="CU86" s="124"/>
      <c r="CV86" s="124"/>
      <c r="CW86" s="124"/>
      <c r="CX86" s="124"/>
      <c r="CY86" s="124"/>
      <c r="CZ86" s="124"/>
      <c r="DA86" s="124"/>
      <c r="DB86" s="124"/>
      <c r="DC86" s="124"/>
      <c r="DD86" s="124"/>
      <c r="DE86" s="124"/>
      <c r="DF86" s="65">
        <f>SUM(DG86:EJ86)</f>
        <v>0</v>
      </c>
      <c r="DG86" s="124"/>
      <c r="DH86" s="124"/>
      <c r="DI86" s="124"/>
      <c r="DJ86" s="124"/>
      <c r="DK86" s="124"/>
      <c r="DL86" s="124"/>
      <c r="DM86" s="124"/>
      <c r="DN86" s="124"/>
      <c r="DO86" s="124"/>
      <c r="DP86" s="124"/>
      <c r="DQ86" s="124"/>
      <c r="DR86" s="124"/>
      <c r="DS86" s="124"/>
      <c r="DT86" s="124"/>
      <c r="DU86" s="124"/>
      <c r="DV86" s="124"/>
      <c r="DW86" s="124"/>
      <c r="DX86" s="124"/>
      <c r="DY86" s="124"/>
      <c r="DZ86" s="124"/>
      <c r="EA86" s="124"/>
      <c r="EB86" s="124"/>
      <c r="EC86" s="124"/>
      <c r="ED86" s="124"/>
      <c r="EE86" s="124"/>
      <c r="EF86" s="124"/>
      <c r="EG86" s="124"/>
      <c r="EH86" s="124"/>
      <c r="EI86" s="124"/>
      <c r="EJ86" s="124"/>
      <c r="EK86" s="65">
        <f>SUM(EL86:FP86)</f>
        <v>0</v>
      </c>
      <c r="EL86" s="124"/>
      <c r="EM86" s="124"/>
      <c r="EN86" s="124"/>
      <c r="EO86" s="124"/>
      <c r="EP86" s="124"/>
      <c r="EQ86" s="124"/>
      <c r="ER86" s="124"/>
      <c r="ES86" s="124"/>
      <c r="ET86" s="124"/>
      <c r="EU86" s="124"/>
      <c r="EV86" s="124"/>
      <c r="EW86" s="124"/>
      <c r="EX86" s="124"/>
      <c r="EY86" s="124"/>
      <c r="EZ86" s="124"/>
      <c r="FA86" s="124"/>
      <c r="FB86" s="124"/>
      <c r="FC86" s="124"/>
      <c r="FD86" s="124"/>
      <c r="FE86" s="124"/>
      <c r="FF86" s="124"/>
      <c r="FG86" s="124"/>
      <c r="FH86" s="124"/>
      <c r="FI86" s="124"/>
      <c r="FJ86" s="124"/>
      <c r="FK86" s="124"/>
      <c r="FL86" s="124"/>
      <c r="FM86" s="124"/>
      <c r="FN86" s="124"/>
      <c r="FO86" s="124"/>
      <c r="FP86" s="124"/>
      <c r="FQ86" s="65">
        <f t="shared" ref="FQ86:FQ89" si="429">SUM(FR86:GX86)</f>
        <v>0</v>
      </c>
      <c r="FR86" s="124"/>
      <c r="FS86" s="124"/>
      <c r="FT86" s="124"/>
      <c r="FU86" s="124"/>
      <c r="FV86" s="124"/>
      <c r="FW86" s="124"/>
      <c r="FX86" s="124"/>
      <c r="FY86" s="124"/>
      <c r="FZ86" s="124"/>
      <c r="GA86" s="124"/>
      <c r="GB86" s="124"/>
      <c r="GC86" s="124"/>
      <c r="GD86" s="124"/>
      <c r="GE86" s="124"/>
      <c r="GF86" s="124"/>
      <c r="GG86" s="124"/>
      <c r="GH86" s="124"/>
      <c r="GI86" s="124"/>
      <c r="GJ86" s="124"/>
      <c r="GK86" s="124"/>
      <c r="GL86" s="124"/>
      <c r="GM86" s="124"/>
      <c r="GN86" s="124"/>
      <c r="GO86" s="124"/>
      <c r="GP86" s="124"/>
    </row>
    <row r="87" s="47" customFormat="1" ht="15" hidden="1" customHeight="1" spans="2:198">
      <c r="B87" s="103"/>
      <c r="C87" s="109" t="s">
        <v>24</v>
      </c>
      <c r="D87" s="122" t="e">
        <f>D83/D86</f>
        <v>#REF!</v>
      </c>
      <c r="E87" s="123" t="e">
        <f t="shared" ref="E87:Q87" si="430">E83/E86</f>
        <v>#REF!</v>
      </c>
      <c r="F87" s="123" t="e">
        <f t="shared" si="430"/>
        <v>#REF!</v>
      </c>
      <c r="G87" s="123" t="e">
        <f t="shared" si="430"/>
        <v>#REF!</v>
      </c>
      <c r="H87" s="123" t="e">
        <f t="shared" si="430"/>
        <v>#REF!</v>
      </c>
      <c r="I87" s="123" t="e">
        <f t="shared" si="430"/>
        <v>#REF!</v>
      </c>
      <c r="J87" s="123" t="e">
        <f t="shared" si="430"/>
        <v>#REF!</v>
      </c>
      <c r="K87" s="123" t="e">
        <f t="shared" si="430"/>
        <v>#REF!</v>
      </c>
      <c r="L87" s="123" t="e">
        <f t="shared" si="430"/>
        <v>#REF!</v>
      </c>
      <c r="M87" s="123" t="e">
        <f t="shared" si="430"/>
        <v>#REF!</v>
      </c>
      <c r="N87" s="123" t="e">
        <f t="shared" si="430"/>
        <v>#REF!</v>
      </c>
      <c r="O87" s="123" t="e">
        <f t="shared" si="430"/>
        <v>#REF!</v>
      </c>
      <c r="P87" s="123" t="e">
        <f t="shared" si="430"/>
        <v>#REF!</v>
      </c>
      <c r="Q87" s="65">
        <f t="shared" si="430"/>
        <v>29.42525</v>
      </c>
      <c r="R87" s="114">
        <f t="shared" ref="R87:BH87" si="431">IFERROR(R83/R86,0)</f>
        <v>16.3266666666667</v>
      </c>
      <c r="S87" s="114">
        <f t="shared" si="431"/>
        <v>11.9033333333333</v>
      </c>
      <c r="T87" s="114">
        <f t="shared" si="431"/>
        <v>0</v>
      </c>
      <c r="U87" s="114">
        <f t="shared" si="431"/>
        <v>0</v>
      </c>
      <c r="V87" s="114">
        <f t="shared" si="431"/>
        <v>54.64</v>
      </c>
      <c r="W87" s="114">
        <f t="shared" si="431"/>
        <v>0</v>
      </c>
      <c r="X87" s="114">
        <f t="shared" si="431"/>
        <v>26.335</v>
      </c>
      <c r="Y87" s="114">
        <f t="shared" si="431"/>
        <v>14.2625</v>
      </c>
      <c r="Z87" s="114">
        <f t="shared" si="431"/>
        <v>61.79</v>
      </c>
      <c r="AA87" s="114">
        <f t="shared" si="431"/>
        <v>0</v>
      </c>
      <c r="AB87" s="114">
        <f t="shared" si="431"/>
        <v>10.2225</v>
      </c>
      <c r="AC87" s="114">
        <f t="shared" si="431"/>
        <v>13.0925</v>
      </c>
      <c r="AD87" s="114">
        <f t="shared" si="431"/>
        <v>25.5</v>
      </c>
      <c r="AE87" s="114">
        <f t="shared" si="431"/>
        <v>0</v>
      </c>
      <c r="AF87" s="114">
        <f t="shared" si="431"/>
        <v>40.73</v>
      </c>
      <c r="AG87" s="114">
        <f t="shared" si="431"/>
        <v>0</v>
      </c>
      <c r="AH87" s="114">
        <f t="shared" si="431"/>
        <v>40.46</v>
      </c>
      <c r="AI87" s="114">
        <f t="shared" si="431"/>
        <v>37.35</v>
      </c>
      <c r="AJ87" s="114">
        <f t="shared" si="431"/>
        <v>34.8</v>
      </c>
      <c r="AK87" s="114">
        <f t="shared" si="431"/>
        <v>0</v>
      </c>
      <c r="AL87" s="114">
        <f t="shared" si="431"/>
        <v>0</v>
      </c>
      <c r="AM87" s="114">
        <f t="shared" si="431"/>
        <v>22.49</v>
      </c>
      <c r="AN87" s="114">
        <f t="shared" si="431"/>
        <v>0</v>
      </c>
      <c r="AO87" s="114">
        <f t="shared" si="431"/>
        <v>7.982</v>
      </c>
      <c r="AP87" s="114">
        <f t="shared" si="431"/>
        <v>18.135</v>
      </c>
      <c r="AQ87" s="114">
        <f t="shared" si="431"/>
        <v>0</v>
      </c>
      <c r="AR87" s="114">
        <f t="shared" si="431"/>
        <v>22.025</v>
      </c>
      <c r="AS87" s="114">
        <f t="shared" si="431"/>
        <v>0</v>
      </c>
      <c r="AT87" s="114">
        <f t="shared" si="431"/>
        <v>0</v>
      </c>
      <c r="AU87" s="114">
        <f t="shared" si="431"/>
        <v>21.19</v>
      </c>
      <c r="AV87" s="114">
        <f t="shared" si="431"/>
        <v>16.95</v>
      </c>
      <c r="AW87" s="114">
        <f t="shared" si="431"/>
        <v>10.2273076923077</v>
      </c>
      <c r="AX87" s="114">
        <f t="shared" si="431"/>
        <v>0</v>
      </c>
      <c r="AY87" s="114">
        <f t="shared" si="431"/>
        <v>23.14</v>
      </c>
      <c r="AZ87" s="114">
        <f t="shared" si="431"/>
        <v>3.1</v>
      </c>
      <c r="BA87" s="114">
        <f t="shared" si="431"/>
        <v>10.3366666666667</v>
      </c>
      <c r="BB87" s="114">
        <f t="shared" si="431"/>
        <v>0</v>
      </c>
      <c r="BC87" s="114">
        <f t="shared" si="431"/>
        <v>20.9</v>
      </c>
      <c r="BD87" s="114">
        <f t="shared" si="431"/>
        <v>4.67285714285714</v>
      </c>
      <c r="BE87" s="114">
        <f t="shared" si="431"/>
        <v>5.83333333333333</v>
      </c>
      <c r="BF87" s="114">
        <f t="shared" si="431"/>
        <v>0</v>
      </c>
      <c r="BG87" s="114">
        <f t="shared" si="431"/>
        <v>0</v>
      </c>
      <c r="BH87" s="114">
        <f t="shared" si="431"/>
        <v>0</v>
      </c>
      <c r="BI87" s="114">
        <f t="shared" ref="BI87:BW87" si="432">IFERROR(BI83/BI86,0)</f>
        <v>0</v>
      </c>
      <c r="BJ87" s="114">
        <f t="shared" si="432"/>
        <v>0</v>
      </c>
      <c r="BK87" s="114">
        <f t="shared" si="432"/>
        <v>0</v>
      </c>
      <c r="BL87" s="114">
        <f t="shared" si="432"/>
        <v>0</v>
      </c>
      <c r="BM87" s="114">
        <f t="shared" si="432"/>
        <v>0</v>
      </c>
      <c r="BN87" s="114">
        <f t="shared" si="432"/>
        <v>0</v>
      </c>
      <c r="BO87" s="114">
        <f t="shared" si="432"/>
        <v>0</v>
      </c>
      <c r="BP87" s="114">
        <f t="shared" si="432"/>
        <v>0</v>
      </c>
      <c r="BQ87" s="114">
        <f t="shared" si="432"/>
        <v>0</v>
      </c>
      <c r="BR87" s="114">
        <f t="shared" si="432"/>
        <v>0</v>
      </c>
      <c r="BS87" s="114">
        <f t="shared" si="432"/>
        <v>0</v>
      </c>
      <c r="BT87" s="114">
        <f t="shared" si="432"/>
        <v>0</v>
      </c>
      <c r="BU87" s="114">
        <f t="shared" si="432"/>
        <v>0</v>
      </c>
      <c r="BV87" s="114">
        <f t="shared" si="432"/>
        <v>0</v>
      </c>
      <c r="BW87" s="114">
        <f t="shared" si="432"/>
        <v>0</v>
      </c>
      <c r="BX87" s="114">
        <f t="shared" ref="BX87:CD87" si="433">IFERROR(BX83/BX86,0)</f>
        <v>0</v>
      </c>
      <c r="BY87" s="114">
        <f t="shared" si="433"/>
        <v>0</v>
      </c>
      <c r="BZ87" s="114">
        <f t="shared" si="433"/>
        <v>0</v>
      </c>
      <c r="CA87" s="114">
        <f t="shared" si="433"/>
        <v>0</v>
      </c>
      <c r="CB87" s="114">
        <f t="shared" si="433"/>
        <v>0</v>
      </c>
      <c r="CC87" s="114">
        <f t="shared" si="433"/>
        <v>0</v>
      </c>
      <c r="CD87" s="114">
        <f t="shared" si="433"/>
        <v>0</v>
      </c>
      <c r="CE87" s="114"/>
      <c r="CF87" s="114"/>
      <c r="CG87" s="114"/>
      <c r="CH87" s="114"/>
      <c r="CI87" s="114"/>
      <c r="CJ87" s="114"/>
      <c r="CK87" s="114"/>
      <c r="CL87" s="114"/>
      <c r="CM87" s="114"/>
      <c r="CN87" s="114"/>
      <c r="CO87" s="114"/>
      <c r="CP87" s="114"/>
      <c r="CQ87" s="114"/>
      <c r="CR87" s="114"/>
      <c r="CS87" s="114"/>
      <c r="CT87" s="114"/>
      <c r="CU87" s="114"/>
      <c r="CV87" s="114"/>
      <c r="CW87" s="114"/>
      <c r="CX87" s="114"/>
      <c r="CY87" s="114"/>
      <c r="CZ87" s="114"/>
      <c r="DA87" s="114"/>
      <c r="DB87" s="114"/>
      <c r="DC87" s="114"/>
      <c r="DD87" s="114"/>
      <c r="DE87" s="114"/>
      <c r="DF87" s="114">
        <f>IFERROR(DF83/DF86,0)</f>
        <v>0</v>
      </c>
      <c r="DG87" s="114"/>
      <c r="DH87" s="114"/>
      <c r="DI87" s="114"/>
      <c r="DJ87" s="114"/>
      <c r="DK87" s="114"/>
      <c r="DL87" s="114"/>
      <c r="DM87" s="114"/>
      <c r="DN87" s="114"/>
      <c r="DO87" s="114"/>
      <c r="DP87" s="114"/>
      <c r="DQ87" s="114"/>
      <c r="DR87" s="114"/>
      <c r="DS87" s="114"/>
      <c r="DT87" s="114"/>
      <c r="DU87" s="114"/>
      <c r="DV87" s="114"/>
      <c r="DW87" s="114"/>
      <c r="DX87" s="114"/>
      <c r="DY87" s="114"/>
      <c r="DZ87" s="114"/>
      <c r="EA87" s="114"/>
      <c r="EB87" s="114"/>
      <c r="EC87" s="114"/>
      <c r="ED87" s="114"/>
      <c r="EE87" s="114"/>
      <c r="EF87" s="114"/>
      <c r="EG87" s="114"/>
      <c r="EH87" s="114"/>
      <c r="EI87" s="114"/>
      <c r="EJ87" s="114"/>
      <c r="EK87" s="114">
        <f>IFERROR(EK83/EK86,0)</f>
        <v>0</v>
      </c>
      <c r="EL87" s="114"/>
      <c r="EM87" s="114"/>
      <c r="EN87" s="114"/>
      <c r="EO87" s="114"/>
      <c r="EP87" s="114"/>
      <c r="EQ87" s="114"/>
      <c r="ER87" s="114"/>
      <c r="ES87" s="114"/>
      <c r="ET87" s="114"/>
      <c r="EU87" s="114"/>
      <c r="EV87" s="114"/>
      <c r="EW87" s="114"/>
      <c r="EX87" s="114"/>
      <c r="EY87" s="114"/>
      <c r="EZ87" s="114"/>
      <c r="FA87" s="114"/>
      <c r="FB87" s="114"/>
      <c r="FC87" s="114"/>
      <c r="FD87" s="114"/>
      <c r="FE87" s="114"/>
      <c r="FF87" s="114"/>
      <c r="FG87" s="114"/>
      <c r="FH87" s="114"/>
      <c r="FI87" s="114"/>
      <c r="FJ87" s="114"/>
      <c r="FK87" s="114"/>
      <c r="FL87" s="114"/>
      <c r="FM87" s="114"/>
      <c r="FN87" s="114"/>
      <c r="FO87" s="114"/>
      <c r="FP87" s="114"/>
      <c r="FQ87" s="114">
        <f>IFERROR(FQ83/FQ86,0)</f>
        <v>0</v>
      </c>
      <c r="FR87" s="114"/>
      <c r="FS87" s="114"/>
      <c r="FT87" s="114"/>
      <c r="FU87" s="114"/>
      <c r="FV87" s="114"/>
      <c r="FW87" s="114"/>
      <c r="FX87" s="114"/>
      <c r="FY87" s="114"/>
      <c r="FZ87" s="114"/>
      <c r="GA87" s="114"/>
      <c r="GB87" s="114"/>
      <c r="GC87" s="114"/>
      <c r="GD87" s="114"/>
      <c r="GE87" s="114"/>
      <c r="GF87" s="114"/>
      <c r="GG87" s="114"/>
      <c r="GH87" s="114"/>
      <c r="GI87" s="114"/>
      <c r="GJ87" s="114"/>
      <c r="GK87" s="114"/>
      <c r="GL87" s="114"/>
      <c r="GM87" s="114"/>
      <c r="GN87" s="114"/>
      <c r="GO87" s="114"/>
      <c r="GP87" s="114"/>
    </row>
    <row r="88" s="47" customFormat="1" ht="15" hidden="1" customHeight="1" spans="2:198">
      <c r="B88" s="103"/>
      <c r="C88" s="109" t="s">
        <v>25</v>
      </c>
      <c r="D88" s="122" t="e">
        <f>SUM(E88:P88)</f>
        <v>#REF!</v>
      </c>
      <c r="E88" s="123" t="e">
        <f>#REF!</f>
        <v>#REF!</v>
      </c>
      <c r="F88" s="123" t="e">
        <f>#REF!</f>
        <v>#REF!</v>
      </c>
      <c r="G88" s="123" t="e">
        <f>#REF!</f>
        <v>#REF!</v>
      </c>
      <c r="H88" s="123" t="e">
        <f>#REF!</f>
        <v>#REF!</v>
      </c>
      <c r="I88" s="123" t="e">
        <f>#REF!</f>
        <v>#REF!</v>
      </c>
      <c r="J88" s="123" t="e">
        <f>#REF!</f>
        <v>#REF!</v>
      </c>
      <c r="K88" s="123" t="e">
        <f>#REF!</f>
        <v>#REF!</v>
      </c>
      <c r="L88" s="123" t="e">
        <f>#REF!</f>
        <v>#REF!</v>
      </c>
      <c r="M88" s="123" t="e">
        <f>#REF!</f>
        <v>#REF!</v>
      </c>
      <c r="N88" s="123" t="e">
        <f>#REF!</f>
        <v>#REF!</v>
      </c>
      <c r="O88" s="123" t="e">
        <f>#REF!</f>
        <v>#REF!</v>
      </c>
      <c r="P88" s="123" t="e">
        <f>#REF!</f>
        <v>#REF!</v>
      </c>
      <c r="Q88" s="65">
        <f>SUM(R88:AV88)</f>
        <v>11</v>
      </c>
      <c r="R88" s="124">
        <f>SUMIFS(商品数据源!$U:$U,商品数据源!$A:$A,$B$83,商品数据源!$B:$B,R2)</f>
        <v>1</v>
      </c>
      <c r="S88" s="124">
        <f>SUMIFS(商品数据源!$U:$U,商品数据源!$A:$A,$B$83,商品数据源!$B:$B,S2)</f>
        <v>0</v>
      </c>
      <c r="T88" s="124">
        <f>SUMIFS(商品数据源!$U:$U,商品数据源!$A:$A,$B$83,商品数据源!$B:$B,T2)</f>
        <v>0</v>
      </c>
      <c r="U88" s="124">
        <f>SUMIFS(商品数据源!$U:$U,商品数据源!$A:$A,$B$83,商品数据源!$B:$B,U2)</f>
        <v>0</v>
      </c>
      <c r="V88" s="124">
        <f>SUMIFS(商品数据源!$U:$U,商品数据源!$A:$A,$B$83,商品数据源!$B:$B,V2)</f>
        <v>1</v>
      </c>
      <c r="W88" s="124">
        <f>SUMIFS(商品数据源!$U:$U,商品数据源!$A:$A,$B$83,商品数据源!$B:$B,W2)</f>
        <v>0</v>
      </c>
      <c r="X88" s="124">
        <f>SUMIFS(商品数据源!$U:$U,商品数据源!$A:$A,$B$83,商品数据源!$B:$B,X2)</f>
        <v>0</v>
      </c>
      <c r="Y88" s="124">
        <f>SUMIFS(商品数据源!$U:$U,商品数据源!$A:$A,$B$83,商品数据源!$B:$B,Y2)</f>
        <v>0</v>
      </c>
      <c r="Z88" s="124">
        <f>SUMIFS(商品数据源!$U:$U,商品数据源!$A:$A,$B$83,商品数据源!$B:$B,Z2)</f>
        <v>0</v>
      </c>
      <c r="AA88" s="124">
        <f>SUMIFS(商品数据源!$U:$U,商品数据源!$A:$A,$B$83,商品数据源!$B:$B,AA2)</f>
        <v>0</v>
      </c>
      <c r="AB88" s="124">
        <f>SUMIFS(商品数据源!$U:$U,商品数据源!$A:$A,$B$83,商品数据源!$B:$B,AB2)</f>
        <v>1</v>
      </c>
      <c r="AC88" s="124">
        <f>SUMIFS(商品数据源!$U:$U,商品数据源!$A:$A,$B$83,商品数据源!$B:$B,AC2)</f>
        <v>1</v>
      </c>
      <c r="AD88" s="124">
        <f>SUMIFS(商品数据源!$U:$U,商品数据源!$A:$A,$B$83,商品数据源!$B:$B,AD2)</f>
        <v>0</v>
      </c>
      <c r="AE88" s="124">
        <f>SUMIFS(商品数据源!$U:$U,商品数据源!$A:$A,$B$83,商品数据源!$B:$B,AE2)</f>
        <v>0</v>
      </c>
      <c r="AF88" s="124">
        <f>SUMIFS(商品数据源!$U:$U,商品数据源!$A:$A,$B$83,商品数据源!$B:$B,AF2)</f>
        <v>0</v>
      </c>
      <c r="AG88" s="124">
        <f>SUMIFS(商品数据源!$U:$U,商品数据源!$A:$A,$B$83,商品数据源!$B:$B,AG2)</f>
        <v>0</v>
      </c>
      <c r="AH88" s="124">
        <f>SUMIFS(商品数据源!$U:$U,商品数据源!$A:$A,$B$83,商品数据源!$B:$B,AH2)</f>
        <v>0</v>
      </c>
      <c r="AI88" s="124">
        <f>SUMIFS(商品数据源!$U:$U,商品数据源!$A:$A,$B$83,商品数据源!$B:$B,AI2)</f>
        <v>0</v>
      </c>
      <c r="AJ88" s="124">
        <f>SUMIFS(商品数据源!$U:$U,商品数据源!$A:$A,$B$83,商品数据源!$B:$B,AJ2)</f>
        <v>0</v>
      </c>
      <c r="AK88" s="124">
        <f>SUMIFS(商品数据源!$U:$U,商品数据源!$A:$A,$B$83,商品数据源!$B:$B,AK2)</f>
        <v>0</v>
      </c>
      <c r="AL88" s="124">
        <f>SUMIFS(商品数据源!$U:$U,商品数据源!$A:$A,$B$83,商品数据源!$B:$B,AL2)</f>
        <v>0</v>
      </c>
      <c r="AM88" s="124">
        <f>SUMIFS(商品数据源!$U:$U,商品数据源!$A:$A,$B$83,商品数据源!$B:$B,AM2)</f>
        <v>0</v>
      </c>
      <c r="AN88" s="124">
        <f>SUMIFS(商品数据源!$U:$U,商品数据源!$A:$A,$B$83,商品数据源!$B:$B,AN2)</f>
        <v>0</v>
      </c>
      <c r="AO88" s="124">
        <f>SUMIFS(商品数据源!$U:$U,商品数据源!$A:$A,$B$83,商品数据源!$B:$B,AO2)</f>
        <v>4</v>
      </c>
      <c r="AP88" s="124">
        <f>SUMIFS(商品数据源!$U:$U,商品数据源!$A:$A,$B$83,商品数据源!$B:$B,AP2)</f>
        <v>0</v>
      </c>
      <c r="AQ88" s="124">
        <f>SUMIFS(商品数据源!$U:$U,商品数据源!$A:$A,$B$83,商品数据源!$B:$B,AQ2)</f>
        <v>1</v>
      </c>
      <c r="AR88" s="124">
        <f>SUMIFS(商品数据源!$U:$U,商品数据源!$A:$A,$B$83,商品数据源!$B:$B,AR2)</f>
        <v>1</v>
      </c>
      <c r="AS88" s="124">
        <f>SUMIFS(商品数据源!$U:$U,商品数据源!$A:$A,$B$83,商品数据源!$B:$B,AS2)</f>
        <v>0</v>
      </c>
      <c r="AT88" s="124">
        <f>SUMIFS(商品数据源!$U:$U,商品数据源!$A:$A,$B$83,商品数据源!$B:$B,AT2)</f>
        <v>1</v>
      </c>
      <c r="AU88" s="124">
        <f>SUMIFS(商品数据源!$U:$U,商品数据源!$A:$A,$B$83,商品数据源!$B:$B,AU2)</f>
        <v>0</v>
      </c>
      <c r="AV88" s="124">
        <f>SUMIFS(商品数据源!$U:$U,商品数据源!$A:$A,$B$83,商品数据源!$B:$B,AV2)</f>
        <v>0</v>
      </c>
      <c r="AW88" s="65">
        <f>SUM(AX88:BY88)</f>
        <v>3</v>
      </c>
      <c r="AX88" s="124">
        <f>SUMIFS(商品数据源!$U:$U,商品数据源!$A:$A,$B$83,商品数据源!$B:$B,AX2)</f>
        <v>0</v>
      </c>
      <c r="AY88" s="124">
        <f>SUMIFS(商品数据源!$U:$U,商品数据源!$A:$A,$B$83,商品数据源!$B:$B,AY2)</f>
        <v>0</v>
      </c>
      <c r="AZ88" s="124">
        <f>SUMIFS(商品数据源!$U:$U,商品数据源!$A:$A,$B$83,商品数据源!$B:$B,AZ2)</f>
        <v>2</v>
      </c>
      <c r="BA88" s="124">
        <f>SUMIFS(商品数据源!$U:$U,商品数据源!$A:$A,$B$83,商品数据源!$B:$B,BA2)</f>
        <v>1</v>
      </c>
      <c r="BB88" s="124">
        <f>SUMIFS(商品数据源!$U:$U,商品数据源!$A:$A,$B$83,商品数据源!$B:$B,BB2)</f>
        <v>0</v>
      </c>
      <c r="BC88" s="124">
        <f>SUMIFS(商品数据源!$U:$U,商品数据源!$A:$A,$B$83,商品数据源!$B:$B,BC2)</f>
        <v>0</v>
      </c>
      <c r="BD88" s="124">
        <f>SUMIFS(商品数据源!$U:$U,商品数据源!$A:$A,$B$83,商品数据源!$B:$B,BD2)</f>
        <v>0</v>
      </c>
      <c r="BE88" s="124">
        <f>SUMIFS(商品数据源!$U:$U,商品数据源!$A:$A,$B$83,商品数据源!$B:$B,BE2)</f>
        <v>0</v>
      </c>
      <c r="BF88" s="124">
        <f>SUMIFS(商品数据源!$U:$U,商品数据源!$A:$A,$B$83,商品数据源!$B:$B,BF2)</f>
        <v>0</v>
      </c>
      <c r="BG88" s="124">
        <f>SUMIFS(商品数据源!$U:$U,商品数据源!$A:$A,$B$83,商品数据源!$B:$B,BG2)</f>
        <v>0</v>
      </c>
      <c r="BH88" s="124">
        <f>SUMIFS(商品数据源!$U:$U,商品数据源!$A:$A,$B$83,商品数据源!$B:$B,BH2)</f>
        <v>0</v>
      </c>
      <c r="BI88" s="124">
        <f>SUMIFS(商品数据源!$U:$U,商品数据源!$A:$A,$B$83,商品数据源!$B:$B,BI2)</f>
        <v>0</v>
      </c>
      <c r="BJ88" s="124">
        <f>SUMIFS(商品数据源!$U:$U,商品数据源!$A:$A,$B$83,商品数据源!$B:$B,BJ2)</f>
        <v>0</v>
      </c>
      <c r="BK88" s="124">
        <f>SUMIFS(商品数据源!$U:$U,商品数据源!$A:$A,$B$83,商品数据源!$B:$B,BK2)</f>
        <v>0</v>
      </c>
      <c r="BL88" s="124">
        <f>SUMIFS(商品数据源!$U:$U,商品数据源!$A:$A,$B$83,商品数据源!$B:$B,BL2)</f>
        <v>0</v>
      </c>
      <c r="BM88" s="124">
        <f>SUMIFS(商品数据源!$U:$U,商品数据源!$A:$A,$B$83,商品数据源!$B:$B,BM2)</f>
        <v>0</v>
      </c>
      <c r="BN88" s="124">
        <f>SUMIFS(商品数据源!$U:$U,商品数据源!$A:$A,$B$83,商品数据源!$B:$B,BN2)</f>
        <v>0</v>
      </c>
      <c r="BO88" s="124">
        <f>SUMIFS(商品数据源!$U:$U,商品数据源!$A:$A,$B$83,商品数据源!$B:$B,BO2)</f>
        <v>0</v>
      </c>
      <c r="BP88" s="124">
        <f>SUMIFS(商品数据源!$U:$U,商品数据源!$A:$A,$B$83,商品数据源!$B:$B,BP2)</f>
        <v>0</v>
      </c>
      <c r="BQ88" s="124">
        <f>SUMIFS(商品数据源!$U:$U,商品数据源!$A:$A,$B$83,商品数据源!$B:$B,BQ2)</f>
        <v>0</v>
      </c>
      <c r="BR88" s="124">
        <f>SUMIFS(商品数据源!$U:$U,商品数据源!$A:$A,$B$83,商品数据源!$B:$B,BR2)</f>
        <v>0</v>
      </c>
      <c r="BS88" s="124">
        <f>SUMIFS(商品数据源!$U:$U,商品数据源!$A:$A,$B$83,商品数据源!$B:$B,BS2)</f>
        <v>0</v>
      </c>
      <c r="BT88" s="124">
        <f>SUMIFS(商品数据源!$U:$U,商品数据源!$A:$A,$B$83,商品数据源!$B:$B,BT2)</f>
        <v>0</v>
      </c>
      <c r="BU88" s="124">
        <f>SUMIFS(商品数据源!$U:$U,商品数据源!$A:$A,$B$83,商品数据源!$B:$B,BU2)</f>
        <v>0</v>
      </c>
      <c r="BV88" s="124">
        <f>SUMIFS(商品数据源!$U:$U,商品数据源!$A:$A,$B$83,商品数据源!$B:$B,BV2)</f>
        <v>0</v>
      </c>
      <c r="BW88" s="124">
        <f>SUMIFS(商品数据源!$U:$U,商品数据源!$A:$A,$B$83,商品数据源!$B:$B,BW2)</f>
        <v>0</v>
      </c>
      <c r="BX88" s="124">
        <f>SUMIFS(商品数据源!$U:$U,商品数据源!$A:$A,$B$83,商品数据源!$B:$B,BX2)</f>
        <v>0</v>
      </c>
      <c r="BY88" s="124">
        <f>SUMIFS(商品数据源!$U:$U,商品数据源!$A:$A,$B$83,商品数据源!$B:$B,BY2)</f>
        <v>0</v>
      </c>
      <c r="BZ88" s="65">
        <f>SUM(CA88:DE88)</f>
        <v>0</v>
      </c>
      <c r="CA88" s="124">
        <f>SUMIFS(商品数据源!$U:$U,商品数据源!$A:$A,$B$83,商品数据源!$B:$B,CA2)</f>
        <v>0</v>
      </c>
      <c r="CB88" s="124">
        <f>SUMIFS(商品数据源!$U:$U,商品数据源!$A:$A,$B$83,商品数据源!$B:$B,CB2)</f>
        <v>0</v>
      </c>
      <c r="CC88" s="124">
        <f>SUMIFS(商品数据源!$U:$U,商品数据源!$A:$A,$B$83,商品数据源!$B:$B,CC2)</f>
        <v>0</v>
      </c>
      <c r="CD88" s="124">
        <f>SUMIFS(商品数据源!$U:$U,商品数据源!$A:$A,$B$83,商品数据源!$B:$B,CD2)</f>
        <v>0</v>
      </c>
      <c r="CE88" s="124"/>
      <c r="CF88" s="124"/>
      <c r="CG88" s="124"/>
      <c r="CH88" s="124"/>
      <c r="CI88" s="124"/>
      <c r="CJ88" s="124"/>
      <c r="CK88" s="124"/>
      <c r="CL88" s="124"/>
      <c r="CM88" s="124"/>
      <c r="CN88" s="124"/>
      <c r="CO88" s="124"/>
      <c r="CP88" s="124"/>
      <c r="CQ88" s="124"/>
      <c r="CR88" s="124"/>
      <c r="CS88" s="124"/>
      <c r="CT88" s="124"/>
      <c r="CU88" s="124"/>
      <c r="CV88" s="124"/>
      <c r="CW88" s="124"/>
      <c r="CX88" s="124"/>
      <c r="CY88" s="124"/>
      <c r="CZ88" s="124"/>
      <c r="DA88" s="124"/>
      <c r="DB88" s="124"/>
      <c r="DC88" s="124"/>
      <c r="DD88" s="124"/>
      <c r="DE88" s="124"/>
      <c r="DF88" s="65">
        <f>SUM(DG88:EJ88)</f>
        <v>0</v>
      </c>
      <c r="DG88" s="124"/>
      <c r="DH88" s="124"/>
      <c r="DI88" s="124"/>
      <c r="DJ88" s="124"/>
      <c r="DK88" s="124"/>
      <c r="DL88" s="124"/>
      <c r="DM88" s="124"/>
      <c r="DN88" s="124"/>
      <c r="DO88" s="124"/>
      <c r="DP88" s="124"/>
      <c r="DQ88" s="124"/>
      <c r="DR88" s="124"/>
      <c r="DS88" s="124"/>
      <c r="DT88" s="124"/>
      <c r="DU88" s="124"/>
      <c r="DV88" s="124"/>
      <c r="DW88" s="124"/>
      <c r="DX88" s="124"/>
      <c r="DY88" s="124"/>
      <c r="DZ88" s="124"/>
      <c r="EA88" s="124"/>
      <c r="EB88" s="124"/>
      <c r="EC88" s="124"/>
      <c r="ED88" s="124"/>
      <c r="EE88" s="124"/>
      <c r="EF88" s="124"/>
      <c r="EG88" s="124"/>
      <c r="EH88" s="124"/>
      <c r="EI88" s="124"/>
      <c r="EJ88" s="124"/>
      <c r="EK88" s="65">
        <f>SUM(EL88:FP88)</f>
        <v>0</v>
      </c>
      <c r="EL88" s="124"/>
      <c r="EM88" s="124"/>
      <c r="EN88" s="124"/>
      <c r="EO88" s="124"/>
      <c r="EP88" s="124"/>
      <c r="EQ88" s="124"/>
      <c r="ER88" s="124"/>
      <c r="ES88" s="124"/>
      <c r="ET88" s="124"/>
      <c r="EU88" s="124"/>
      <c r="EV88" s="124"/>
      <c r="EW88" s="124"/>
      <c r="EX88" s="124"/>
      <c r="EY88" s="124"/>
      <c r="EZ88" s="124"/>
      <c r="FA88" s="124"/>
      <c r="FB88" s="124"/>
      <c r="FC88" s="124"/>
      <c r="FD88" s="124"/>
      <c r="FE88" s="124"/>
      <c r="FF88" s="124"/>
      <c r="FG88" s="124"/>
      <c r="FH88" s="124"/>
      <c r="FI88" s="124"/>
      <c r="FJ88" s="124"/>
      <c r="FK88" s="124"/>
      <c r="FL88" s="124"/>
      <c r="FM88" s="124"/>
      <c r="FN88" s="124"/>
      <c r="FO88" s="124"/>
      <c r="FP88" s="124"/>
      <c r="FQ88" s="65">
        <f t="shared" si="429"/>
        <v>0</v>
      </c>
      <c r="FR88" s="124"/>
      <c r="FS88" s="124"/>
      <c r="FT88" s="124"/>
      <c r="FU88" s="124"/>
      <c r="FV88" s="124"/>
      <c r="FW88" s="124"/>
      <c r="FX88" s="124"/>
      <c r="FY88" s="124"/>
      <c r="FZ88" s="124"/>
      <c r="GA88" s="124"/>
      <c r="GB88" s="124"/>
      <c r="GC88" s="124"/>
      <c r="GD88" s="124"/>
      <c r="GE88" s="124"/>
      <c r="GF88" s="124"/>
      <c r="GG88" s="124"/>
      <c r="GH88" s="124"/>
      <c r="GI88" s="124"/>
      <c r="GJ88" s="124"/>
      <c r="GK88" s="124"/>
      <c r="GL88" s="124"/>
      <c r="GM88" s="124"/>
      <c r="GN88" s="124"/>
      <c r="GO88" s="124"/>
      <c r="GP88" s="124"/>
    </row>
    <row r="89" s="47" customFormat="1" ht="15" hidden="1" customHeight="1" spans="2:198">
      <c r="B89" s="103"/>
      <c r="C89" s="109" t="s">
        <v>26</v>
      </c>
      <c r="D89" s="122" t="e">
        <f>SUM(E89:P89)</f>
        <v>#REF!</v>
      </c>
      <c r="E89" s="123" t="e">
        <f>#REF!</f>
        <v>#REF!</v>
      </c>
      <c r="F89" s="123" t="e">
        <f>#REF!</f>
        <v>#REF!</v>
      </c>
      <c r="G89" s="123" t="e">
        <f>#REF!</f>
        <v>#REF!</v>
      </c>
      <c r="H89" s="123" t="e">
        <f>#REF!</f>
        <v>#REF!</v>
      </c>
      <c r="I89" s="123" t="e">
        <f>#REF!</f>
        <v>#REF!</v>
      </c>
      <c r="J89" s="123" t="e">
        <f>#REF!</f>
        <v>#REF!</v>
      </c>
      <c r="K89" s="123" t="e">
        <f>#REF!</f>
        <v>#REF!</v>
      </c>
      <c r="L89" s="123" t="e">
        <f>#REF!</f>
        <v>#REF!</v>
      </c>
      <c r="M89" s="123" t="e">
        <f>#REF!</f>
        <v>#REF!</v>
      </c>
      <c r="N89" s="123" t="e">
        <f>#REF!</f>
        <v>#REF!</v>
      </c>
      <c r="O89" s="123" t="e">
        <f>#REF!</f>
        <v>#REF!</v>
      </c>
      <c r="P89" s="123" t="e">
        <f>#REF!</f>
        <v>#REF!</v>
      </c>
      <c r="Q89" s="65">
        <f>SUM(R89:AV89)</f>
        <v>1743.87</v>
      </c>
      <c r="R89" s="124">
        <f>SUMIFS(商品数据源!$T:$T,商品数据源!$A:$A,$B$83,商品数据源!$B:$B,R2)</f>
        <v>338.3</v>
      </c>
      <c r="S89" s="124">
        <f>SUMIFS(商品数据源!$T:$T,商品数据源!$A:$A,$B$83,商品数据源!$B:$B,S2)</f>
        <v>0</v>
      </c>
      <c r="T89" s="124">
        <f>SUMIFS(商品数据源!$T:$T,商品数据源!$A:$A,$B$83,商品数据源!$B:$B,T2)</f>
        <v>0</v>
      </c>
      <c r="U89" s="124">
        <f>SUMIFS(商品数据源!$T:$T,商品数据源!$A:$A,$B$83,商品数据源!$B:$B,U2)</f>
        <v>0</v>
      </c>
      <c r="V89" s="124">
        <f>SUMIFS(商品数据源!$T:$T,商品数据源!$A:$A,$B$83,商品数据源!$B:$B,V2)</f>
        <v>278.8</v>
      </c>
      <c r="W89" s="124">
        <f>SUMIFS(商品数据源!$T:$T,商品数据源!$A:$A,$B$83,商品数据源!$B:$B,W2)</f>
        <v>0</v>
      </c>
      <c r="X89" s="124">
        <f>SUMIFS(商品数据源!$T:$T,商品数据源!$A:$A,$B$83,商品数据源!$B:$B,X2)</f>
        <v>0</v>
      </c>
      <c r="Y89" s="124">
        <f>SUMIFS(商品数据源!$T:$T,商品数据源!$A:$A,$B$83,商品数据源!$B:$B,Y2)</f>
        <v>0</v>
      </c>
      <c r="Z89" s="124">
        <f>SUMIFS(商品数据源!$T:$T,商品数据源!$A:$A,$B$83,商品数据源!$B:$B,Z2)</f>
        <v>0</v>
      </c>
      <c r="AA89" s="124">
        <f>SUMIFS(商品数据源!$T:$T,商品数据源!$A:$A,$B$83,商品数据源!$B:$B,AA2)</f>
        <v>0</v>
      </c>
      <c r="AB89" s="124">
        <f>SUMIFS(商品数据源!$T:$T,商品数据源!$A:$A,$B$83,商品数据源!$B:$B,AB2)</f>
        <v>278.8</v>
      </c>
      <c r="AC89" s="124">
        <f>SUMIFS(商品数据源!$T:$T,商品数据源!$A:$A,$B$83,商品数据源!$B:$B,AC2)</f>
        <v>26.46</v>
      </c>
      <c r="AD89" s="124">
        <f>SUMIFS(商品数据源!$T:$T,商品数据源!$A:$A,$B$83,商品数据源!$B:$B,AD2)</f>
        <v>0</v>
      </c>
      <c r="AE89" s="124">
        <f>SUMIFS(商品数据源!$T:$T,商品数据源!$A:$A,$B$83,商品数据源!$B:$B,AE2)</f>
        <v>0</v>
      </c>
      <c r="AF89" s="124">
        <f>SUMIFS(商品数据源!$T:$T,商品数据源!$A:$A,$B$83,商品数据源!$B:$B,AF2)</f>
        <v>0</v>
      </c>
      <c r="AG89" s="124">
        <f>SUMIFS(商品数据源!$T:$T,商品数据源!$A:$A,$B$83,商品数据源!$B:$B,AG2)</f>
        <v>0</v>
      </c>
      <c r="AH89" s="124">
        <f>SUMIFS(商品数据源!$T:$T,商品数据源!$A:$A,$B$83,商品数据源!$B:$B,AH2)</f>
        <v>0</v>
      </c>
      <c r="AI89" s="124">
        <f>SUMIFS(商品数据源!$T:$T,商品数据源!$A:$A,$B$83,商品数据源!$B:$B,AI2)</f>
        <v>0</v>
      </c>
      <c r="AJ89" s="124">
        <f>SUMIFS(商品数据源!$T:$T,商品数据源!$A:$A,$B$83,商品数据源!$B:$B,AJ2)</f>
        <v>0</v>
      </c>
      <c r="AK89" s="124">
        <f>SUMIFS(商品数据源!$T:$T,商品数据源!$A:$A,$B$83,商品数据源!$B:$B,AK2)</f>
        <v>0</v>
      </c>
      <c r="AL89" s="124">
        <f>SUMIFS(商品数据源!$T:$T,商品数据源!$A:$A,$B$83,商品数据源!$B:$B,AL2)</f>
        <v>0</v>
      </c>
      <c r="AM89" s="124">
        <f>SUMIFS(商品数据源!$T:$T,商品数据源!$A:$A,$B$83,商品数据源!$B:$B,AM2)</f>
        <v>0</v>
      </c>
      <c r="AN89" s="124">
        <f>SUMIFS(商品数据源!$T:$T,商品数据源!$A:$A,$B$83,商品数据源!$B:$B,AN2)</f>
        <v>0</v>
      </c>
      <c r="AO89" s="124">
        <f>SUMIFS(商品数据源!$T:$T,商品数据源!$A:$A,$B$83,商品数据源!$B:$B,AO2)</f>
        <v>117.74</v>
      </c>
      <c r="AP89" s="124">
        <f>SUMIFS(商品数据源!$T:$T,商品数据源!$A:$A,$B$83,商品数据源!$B:$B,AP2)</f>
        <v>0</v>
      </c>
      <c r="AQ89" s="124">
        <f>SUMIFS(商品数据源!$T:$T,商品数据源!$A:$A,$B$83,商品数据源!$B:$B,AQ2)</f>
        <v>71.13</v>
      </c>
      <c r="AR89" s="124">
        <f>SUMIFS(商品数据源!$T:$T,商品数据源!$A:$A,$B$83,商品数据源!$B:$B,AR2)</f>
        <v>73.6</v>
      </c>
      <c r="AS89" s="124">
        <f>SUMIFS(商品数据源!$T:$T,商品数据源!$A:$A,$B$83,商品数据源!$B:$B,AS2)</f>
        <v>0</v>
      </c>
      <c r="AT89" s="124">
        <f>SUMIFS(商品数据源!$T:$T,商品数据源!$A:$A,$B$83,商品数据源!$B:$B,AT2)</f>
        <v>559.04</v>
      </c>
      <c r="AU89" s="124">
        <f>SUMIFS(商品数据源!$T:$T,商品数据源!$A:$A,$B$83,商品数据源!$B:$B,AU2)</f>
        <v>0</v>
      </c>
      <c r="AV89" s="124">
        <f>SUMIFS(商品数据源!$T:$T,商品数据源!$A:$A,$B$83,商品数据源!$B:$B,AV2)</f>
        <v>0</v>
      </c>
      <c r="AW89" s="65">
        <f>SUM(AX89:BY89)</f>
        <v>78.85</v>
      </c>
      <c r="AX89" s="124">
        <f>SUMIFS(商品数据源!$T:$T,商品数据源!$A:$A,$B$83,商品数据源!$B:$B,AX2)</f>
        <v>0</v>
      </c>
      <c r="AY89" s="124">
        <f>SUMIFS(商品数据源!$T:$T,商品数据源!$A:$A,$B$83,商品数据源!$B:$B,AY2)</f>
        <v>0</v>
      </c>
      <c r="AZ89" s="124">
        <f>SUMIFS(商品数据源!$T:$T,商品数据源!$A:$A,$B$83,商品数据源!$B:$B,AZ2)</f>
        <v>51.4</v>
      </c>
      <c r="BA89" s="124">
        <f>SUMIFS(商品数据源!$T:$T,商品数据源!$A:$A,$B$83,商品数据源!$B:$B,BA2)</f>
        <v>27.45</v>
      </c>
      <c r="BB89" s="124">
        <f>SUMIFS(商品数据源!$T:$T,商品数据源!$A:$A,$B$83,商品数据源!$B:$B,BB2)</f>
        <v>0</v>
      </c>
      <c r="BC89" s="124">
        <f>SUMIFS(商品数据源!$T:$T,商品数据源!$A:$A,$B$83,商品数据源!$B:$B,BC2)</f>
        <v>0</v>
      </c>
      <c r="BD89" s="124">
        <f>SUMIFS(商品数据源!$T:$T,商品数据源!$A:$A,$B$83,商品数据源!$B:$B,BD2)</f>
        <v>0</v>
      </c>
      <c r="BE89" s="124">
        <f>SUMIFS(商品数据源!$T:$T,商品数据源!$A:$A,$B$83,商品数据源!$B:$B,BE2)</f>
        <v>0</v>
      </c>
      <c r="BF89" s="124">
        <f>SUMIFS(商品数据源!$T:$T,商品数据源!$A:$A,$B$83,商品数据源!$B:$B,BF2)</f>
        <v>0</v>
      </c>
      <c r="BG89" s="124">
        <f>SUMIFS(商品数据源!$T:$T,商品数据源!$A:$A,$B$83,商品数据源!$B:$B,BG2)</f>
        <v>0</v>
      </c>
      <c r="BH89" s="124">
        <f>SUMIFS(商品数据源!$T:$T,商品数据源!$A:$A,$B$83,商品数据源!$B:$B,BH2)</f>
        <v>0</v>
      </c>
      <c r="BI89" s="124">
        <f>SUMIFS(商品数据源!$T:$T,商品数据源!$A:$A,$B$83,商品数据源!$B:$B,BI2)</f>
        <v>0</v>
      </c>
      <c r="BJ89" s="124">
        <f>SUMIFS(商品数据源!$T:$T,商品数据源!$A:$A,$B$83,商品数据源!$B:$B,BJ2)</f>
        <v>0</v>
      </c>
      <c r="BK89" s="124">
        <f>SUMIFS(商品数据源!$T:$T,商品数据源!$A:$A,$B$83,商品数据源!$B:$B,BK2)</f>
        <v>0</v>
      </c>
      <c r="BL89" s="124">
        <f>SUMIFS(商品数据源!$T:$T,商品数据源!$A:$A,$B$83,商品数据源!$B:$B,BL2)</f>
        <v>0</v>
      </c>
      <c r="BM89" s="124">
        <f>SUMIFS(商品数据源!$T:$T,商品数据源!$A:$A,$B$83,商品数据源!$B:$B,BM2)</f>
        <v>0</v>
      </c>
      <c r="BN89" s="124">
        <f>SUMIFS(商品数据源!$T:$T,商品数据源!$A:$A,$B$83,商品数据源!$B:$B,BN2)</f>
        <v>0</v>
      </c>
      <c r="BO89" s="124">
        <f>SUMIFS(商品数据源!$T:$T,商品数据源!$A:$A,$B$83,商品数据源!$B:$B,BO2)</f>
        <v>0</v>
      </c>
      <c r="BP89" s="124">
        <f>SUMIFS(商品数据源!$T:$T,商品数据源!$A:$A,$B$83,商品数据源!$B:$B,BP2)</f>
        <v>0</v>
      </c>
      <c r="BQ89" s="124">
        <f>SUMIFS(商品数据源!$T:$T,商品数据源!$A:$A,$B$83,商品数据源!$B:$B,BQ2)</f>
        <v>0</v>
      </c>
      <c r="BR89" s="124">
        <f>SUMIFS(商品数据源!$T:$T,商品数据源!$A:$A,$B$83,商品数据源!$B:$B,BR2)</f>
        <v>0</v>
      </c>
      <c r="BS89" s="124">
        <f>SUMIFS(商品数据源!$T:$T,商品数据源!$A:$A,$B$83,商品数据源!$B:$B,BS2)</f>
        <v>0</v>
      </c>
      <c r="BT89" s="124">
        <f>SUMIFS(商品数据源!$T:$T,商品数据源!$A:$A,$B$83,商品数据源!$B:$B,BT2)</f>
        <v>0</v>
      </c>
      <c r="BU89" s="124">
        <f>SUMIFS(商品数据源!$T:$T,商品数据源!$A:$A,$B$83,商品数据源!$B:$B,BU2)</f>
        <v>0</v>
      </c>
      <c r="BV89" s="124">
        <f>SUMIFS(商品数据源!$T:$T,商品数据源!$A:$A,$B$83,商品数据源!$B:$B,BV2)</f>
        <v>0</v>
      </c>
      <c r="BW89" s="124">
        <f>SUMIFS(商品数据源!$T:$T,商品数据源!$A:$A,$B$83,商品数据源!$B:$B,BW2)</f>
        <v>0</v>
      </c>
      <c r="BX89" s="124">
        <f>SUMIFS(商品数据源!$T:$T,商品数据源!$A:$A,$B$83,商品数据源!$B:$B,BX2)</f>
        <v>0</v>
      </c>
      <c r="BY89" s="124">
        <f>SUMIFS(商品数据源!$T:$T,商品数据源!$A:$A,$B$83,商品数据源!$B:$B,BY2)</f>
        <v>0</v>
      </c>
      <c r="BZ89" s="65">
        <f>SUM(CA89:DE89)</f>
        <v>0</v>
      </c>
      <c r="CA89" s="124">
        <f>SUMIFS(商品数据源!$T:$T,商品数据源!$A:$A,$B$83,商品数据源!$B:$B,CA2)</f>
        <v>0</v>
      </c>
      <c r="CB89" s="124">
        <f>SUMIFS(商品数据源!$T:$T,商品数据源!$A:$A,$B$83,商品数据源!$B:$B,CB2)</f>
        <v>0</v>
      </c>
      <c r="CC89" s="124">
        <f>SUMIFS(商品数据源!$T:$T,商品数据源!$A:$A,$B$83,商品数据源!$B:$B,CC2)</f>
        <v>0</v>
      </c>
      <c r="CD89" s="124">
        <f>SUMIFS(商品数据源!$T:$T,商品数据源!$A:$A,$B$83,商品数据源!$B:$B,CD2)</f>
        <v>0</v>
      </c>
      <c r="CE89" s="124"/>
      <c r="CF89" s="124"/>
      <c r="CG89" s="124"/>
      <c r="CH89" s="124"/>
      <c r="CI89" s="124"/>
      <c r="CJ89" s="124"/>
      <c r="CK89" s="124"/>
      <c r="CL89" s="124"/>
      <c r="CM89" s="124"/>
      <c r="CN89" s="124"/>
      <c r="CO89" s="124"/>
      <c r="CP89" s="124"/>
      <c r="CQ89" s="124"/>
      <c r="CR89" s="124"/>
      <c r="CS89" s="124"/>
      <c r="CT89" s="124"/>
      <c r="CU89" s="124"/>
      <c r="CV89" s="124"/>
      <c r="CW89" s="124"/>
      <c r="CX89" s="124"/>
      <c r="CY89" s="124"/>
      <c r="CZ89" s="124"/>
      <c r="DA89" s="124"/>
      <c r="DB89" s="124"/>
      <c r="DC89" s="124"/>
      <c r="DD89" s="124"/>
      <c r="DE89" s="124"/>
      <c r="DF89" s="65">
        <f>SUM(DG89:EJ89)</f>
        <v>0</v>
      </c>
      <c r="DG89" s="124"/>
      <c r="DH89" s="124"/>
      <c r="DI89" s="124"/>
      <c r="DJ89" s="124"/>
      <c r="DK89" s="124"/>
      <c r="DL89" s="124"/>
      <c r="DM89" s="124"/>
      <c r="DN89" s="124"/>
      <c r="DO89" s="124"/>
      <c r="DP89" s="124"/>
      <c r="DQ89" s="124"/>
      <c r="DR89" s="124"/>
      <c r="DS89" s="124"/>
      <c r="DT89" s="124"/>
      <c r="DU89" s="124"/>
      <c r="DV89" s="124"/>
      <c r="DW89" s="124"/>
      <c r="DX89" s="124"/>
      <c r="DY89" s="124"/>
      <c r="DZ89" s="124"/>
      <c r="EA89" s="124"/>
      <c r="EB89" s="124"/>
      <c r="EC89" s="124"/>
      <c r="ED89" s="124"/>
      <c r="EE89" s="124"/>
      <c r="EF89" s="124"/>
      <c r="EG89" s="124"/>
      <c r="EH89" s="124"/>
      <c r="EI89" s="124"/>
      <c r="EJ89" s="124"/>
      <c r="EK89" s="65">
        <f>SUM(EL89:FP89)</f>
        <v>0</v>
      </c>
      <c r="EL89" s="124"/>
      <c r="EM89" s="124"/>
      <c r="EN89" s="124"/>
      <c r="EO89" s="124"/>
      <c r="EP89" s="124"/>
      <c r="EQ89" s="124"/>
      <c r="ER89" s="124"/>
      <c r="ES89" s="124"/>
      <c r="ET89" s="124"/>
      <c r="EU89" s="124"/>
      <c r="EV89" s="124"/>
      <c r="EW89" s="124"/>
      <c r="EX89" s="124"/>
      <c r="EY89" s="124"/>
      <c r="EZ89" s="124"/>
      <c r="FA89" s="124"/>
      <c r="FB89" s="124"/>
      <c r="FC89" s="124"/>
      <c r="FD89" s="124"/>
      <c r="FE89" s="124"/>
      <c r="FF89" s="124"/>
      <c r="FG89" s="124"/>
      <c r="FH89" s="124"/>
      <c r="FI89" s="124"/>
      <c r="FJ89" s="124"/>
      <c r="FK89" s="124"/>
      <c r="FL89" s="124"/>
      <c r="FM89" s="124"/>
      <c r="FN89" s="124"/>
      <c r="FO89" s="124"/>
      <c r="FP89" s="124"/>
      <c r="FQ89" s="65">
        <f t="shared" si="429"/>
        <v>0</v>
      </c>
      <c r="FR89" s="124"/>
      <c r="FS89" s="124"/>
      <c r="FT89" s="124"/>
      <c r="FU89" s="124"/>
      <c r="FV89" s="124"/>
      <c r="FW89" s="124"/>
      <c r="FX89" s="124"/>
      <c r="FY89" s="124"/>
      <c r="FZ89" s="124"/>
      <c r="GA89" s="124"/>
      <c r="GB89" s="124"/>
      <c r="GC89" s="124"/>
      <c r="GD89" s="124"/>
      <c r="GE89" s="124"/>
      <c r="GF89" s="124"/>
      <c r="GG89" s="124"/>
      <c r="GH89" s="124"/>
      <c r="GI89" s="124"/>
      <c r="GJ89" s="124"/>
      <c r="GK89" s="124"/>
      <c r="GL89" s="124"/>
      <c r="GM89" s="124"/>
      <c r="GN89" s="124"/>
      <c r="GO89" s="124"/>
      <c r="GP89" s="124"/>
    </row>
    <row r="90" s="47" customFormat="1" ht="15" hidden="1" customHeight="1" spans="2:198">
      <c r="B90" s="103"/>
      <c r="C90" s="109" t="s">
        <v>14</v>
      </c>
      <c r="D90" s="128" t="e">
        <f>D89/D83</f>
        <v>#REF!</v>
      </c>
      <c r="E90" s="126" t="e">
        <f t="shared" ref="E90:O90" si="434">E89/E83</f>
        <v>#REF!</v>
      </c>
      <c r="F90" s="126" t="e">
        <f t="shared" si="434"/>
        <v>#REF!</v>
      </c>
      <c r="G90" s="126" t="e">
        <f t="shared" si="434"/>
        <v>#REF!</v>
      </c>
      <c r="H90" s="126" t="e">
        <f t="shared" si="434"/>
        <v>#REF!</v>
      </c>
      <c r="I90" s="126" t="e">
        <f t="shared" si="434"/>
        <v>#REF!</v>
      </c>
      <c r="J90" s="126" t="e">
        <f t="shared" si="434"/>
        <v>#REF!</v>
      </c>
      <c r="K90" s="126" t="e">
        <f t="shared" si="434"/>
        <v>#REF!</v>
      </c>
      <c r="L90" s="126" t="e">
        <f t="shared" si="434"/>
        <v>#REF!</v>
      </c>
      <c r="M90" s="126" t="e">
        <f t="shared" si="434"/>
        <v>#REF!</v>
      </c>
      <c r="N90" s="126" t="e">
        <f t="shared" si="434"/>
        <v>#REF!</v>
      </c>
      <c r="O90" s="126" t="e">
        <f t="shared" si="434"/>
        <v>#REF!</v>
      </c>
      <c r="P90" s="126" t="e">
        <f t="shared" ref="P90:X90" si="435">P89/P83</f>
        <v>#REF!</v>
      </c>
      <c r="Q90" s="70">
        <f t="shared" si="435"/>
        <v>1.48161018173168</v>
      </c>
      <c r="R90" s="129">
        <f t="shared" si="435"/>
        <v>6.90690077582687</v>
      </c>
      <c r="S90" s="129">
        <f t="shared" si="435"/>
        <v>0</v>
      </c>
      <c r="T90" s="129">
        <f t="shared" si="435"/>
        <v>0</v>
      </c>
      <c r="U90" s="129">
        <f t="shared" si="435"/>
        <v>0</v>
      </c>
      <c r="V90" s="129">
        <f t="shared" si="435"/>
        <v>5.10248901903368</v>
      </c>
      <c r="W90" s="129">
        <f t="shared" si="435"/>
        <v>0</v>
      </c>
      <c r="X90" s="129">
        <f t="shared" si="435"/>
        <v>0</v>
      </c>
      <c r="Y90" s="129">
        <f t="shared" ref="Y90:AL90" si="436">Y89/Y83</f>
        <v>0</v>
      </c>
      <c r="Z90" s="129">
        <f t="shared" si="436"/>
        <v>0</v>
      </c>
      <c r="AA90" s="129">
        <f t="shared" si="436"/>
        <v>0</v>
      </c>
      <c r="AB90" s="129">
        <f t="shared" si="436"/>
        <v>6.81829298116899</v>
      </c>
      <c r="AC90" s="129">
        <f t="shared" si="436"/>
        <v>0.505251097956846</v>
      </c>
      <c r="AD90" s="129">
        <f t="shared" si="436"/>
        <v>0</v>
      </c>
      <c r="AE90" s="129">
        <f t="shared" si="436"/>
        <v>0</v>
      </c>
      <c r="AF90" s="129">
        <f t="shared" si="436"/>
        <v>0</v>
      </c>
      <c r="AG90" s="129">
        <f t="shared" si="436"/>
        <v>0</v>
      </c>
      <c r="AH90" s="129">
        <f t="shared" si="436"/>
        <v>0</v>
      </c>
      <c r="AI90" s="129">
        <f t="shared" si="436"/>
        <v>0</v>
      </c>
      <c r="AJ90" s="129">
        <f t="shared" si="436"/>
        <v>0</v>
      </c>
      <c r="AK90" s="129">
        <f t="shared" si="436"/>
        <v>0</v>
      </c>
      <c r="AL90" s="129" t="e">
        <f t="shared" ref="AL90:BH90" si="437">AL89/AL83</f>
        <v>#DIV/0!</v>
      </c>
      <c r="AM90" s="129">
        <f t="shared" si="437"/>
        <v>0</v>
      </c>
      <c r="AN90" s="129">
        <f t="shared" si="437"/>
        <v>0</v>
      </c>
      <c r="AO90" s="129">
        <f t="shared" si="437"/>
        <v>2.95013781007266</v>
      </c>
      <c r="AP90" s="129">
        <f t="shared" si="437"/>
        <v>0</v>
      </c>
      <c r="AQ90" s="129">
        <f t="shared" si="437"/>
        <v>2.15349682107175</v>
      </c>
      <c r="AR90" s="129">
        <f t="shared" si="437"/>
        <v>1.67082860385925</v>
      </c>
      <c r="AS90" s="129">
        <f t="shared" si="437"/>
        <v>0</v>
      </c>
      <c r="AT90" s="129">
        <f t="shared" si="437"/>
        <v>30.9889135254989</v>
      </c>
      <c r="AU90" s="129">
        <f t="shared" si="437"/>
        <v>0</v>
      </c>
      <c r="AV90" s="129">
        <f t="shared" si="437"/>
        <v>0</v>
      </c>
      <c r="AW90" s="70">
        <f t="shared" si="437"/>
        <v>0.296528900755895</v>
      </c>
      <c r="AX90" s="129">
        <f t="shared" si="437"/>
        <v>0</v>
      </c>
      <c r="AY90" s="129">
        <f t="shared" si="437"/>
        <v>0</v>
      </c>
      <c r="AZ90" s="129">
        <f t="shared" si="437"/>
        <v>2.07258064516129</v>
      </c>
      <c r="BA90" s="129">
        <f t="shared" si="437"/>
        <v>0.885198323121574</v>
      </c>
      <c r="BB90" s="129">
        <f t="shared" si="437"/>
        <v>0</v>
      </c>
      <c r="BC90" s="129">
        <f t="shared" si="437"/>
        <v>0</v>
      </c>
      <c r="BD90" s="129">
        <f t="shared" si="437"/>
        <v>0</v>
      </c>
      <c r="BE90" s="129">
        <f t="shared" si="437"/>
        <v>0</v>
      </c>
      <c r="BF90" s="129">
        <f t="shared" si="437"/>
        <v>0</v>
      </c>
      <c r="BG90" s="129">
        <f t="shared" si="437"/>
        <v>0</v>
      </c>
      <c r="BH90" s="129" t="e">
        <f t="shared" si="437"/>
        <v>#DIV/0!</v>
      </c>
      <c r="BI90" s="129" t="e">
        <f t="shared" ref="BI90:BW90" si="438">BI89/BI83</f>
        <v>#DIV/0!</v>
      </c>
      <c r="BJ90" s="129" t="e">
        <f t="shared" si="438"/>
        <v>#DIV/0!</v>
      </c>
      <c r="BK90" s="129" t="e">
        <f t="shared" si="438"/>
        <v>#DIV/0!</v>
      </c>
      <c r="BL90" s="129" t="e">
        <f t="shared" si="438"/>
        <v>#DIV/0!</v>
      </c>
      <c r="BM90" s="129" t="e">
        <f t="shared" si="438"/>
        <v>#DIV/0!</v>
      </c>
      <c r="BN90" s="129" t="e">
        <f t="shared" si="438"/>
        <v>#DIV/0!</v>
      </c>
      <c r="BO90" s="129" t="e">
        <f t="shared" si="438"/>
        <v>#DIV/0!</v>
      </c>
      <c r="BP90" s="129" t="e">
        <f t="shared" si="438"/>
        <v>#DIV/0!</v>
      </c>
      <c r="BQ90" s="129" t="e">
        <f t="shared" si="438"/>
        <v>#DIV/0!</v>
      </c>
      <c r="BR90" s="129" t="e">
        <f t="shared" si="438"/>
        <v>#DIV/0!</v>
      </c>
      <c r="BS90" s="129" t="e">
        <f t="shared" si="438"/>
        <v>#DIV/0!</v>
      </c>
      <c r="BT90" s="129" t="e">
        <f t="shared" si="438"/>
        <v>#DIV/0!</v>
      </c>
      <c r="BU90" s="129" t="e">
        <f t="shared" si="438"/>
        <v>#DIV/0!</v>
      </c>
      <c r="BV90" s="129" t="e">
        <f t="shared" si="438"/>
        <v>#DIV/0!</v>
      </c>
      <c r="BW90" s="129" t="e">
        <f t="shared" si="438"/>
        <v>#DIV/0!</v>
      </c>
      <c r="BX90" s="129" t="e">
        <f t="shared" ref="BX90:CD90" si="439">BX89/BX83</f>
        <v>#DIV/0!</v>
      </c>
      <c r="BY90" s="129" t="e">
        <f t="shared" si="439"/>
        <v>#DIV/0!</v>
      </c>
      <c r="BZ90" s="70" t="e">
        <f t="shared" si="439"/>
        <v>#DIV/0!</v>
      </c>
      <c r="CA90" s="129" t="e">
        <f t="shared" si="439"/>
        <v>#DIV/0!</v>
      </c>
      <c r="CB90" s="129" t="e">
        <f t="shared" si="439"/>
        <v>#DIV/0!</v>
      </c>
      <c r="CC90" s="129" t="e">
        <f t="shared" si="439"/>
        <v>#DIV/0!</v>
      </c>
      <c r="CD90" s="129" t="e">
        <f t="shared" si="439"/>
        <v>#DIV/0!</v>
      </c>
      <c r="CE90" s="129"/>
      <c r="CF90" s="129"/>
      <c r="CG90" s="129"/>
      <c r="CH90" s="129"/>
      <c r="CI90" s="129"/>
      <c r="CJ90" s="129"/>
      <c r="CK90" s="129"/>
      <c r="CL90" s="129"/>
      <c r="CM90" s="129"/>
      <c r="CN90" s="129"/>
      <c r="CO90" s="129"/>
      <c r="CP90" s="129"/>
      <c r="CQ90" s="129"/>
      <c r="CR90" s="129"/>
      <c r="CS90" s="129"/>
      <c r="CT90" s="129"/>
      <c r="CU90" s="129"/>
      <c r="CV90" s="129"/>
      <c r="CW90" s="129"/>
      <c r="CX90" s="129"/>
      <c r="CY90" s="129"/>
      <c r="CZ90" s="129"/>
      <c r="DA90" s="129"/>
      <c r="DB90" s="129"/>
      <c r="DC90" s="129"/>
      <c r="DD90" s="129"/>
      <c r="DE90" s="129"/>
      <c r="DF90" s="70" t="e">
        <f>DF89/DF83</f>
        <v>#DIV/0!</v>
      </c>
      <c r="DG90" s="129"/>
      <c r="DH90" s="129"/>
      <c r="DI90" s="129"/>
      <c r="DJ90" s="129"/>
      <c r="DK90" s="129"/>
      <c r="DL90" s="129"/>
      <c r="DM90" s="129"/>
      <c r="DN90" s="129"/>
      <c r="DO90" s="129"/>
      <c r="DP90" s="129"/>
      <c r="DQ90" s="129"/>
      <c r="DR90" s="129"/>
      <c r="DS90" s="129"/>
      <c r="DT90" s="129"/>
      <c r="DU90" s="129"/>
      <c r="DV90" s="129"/>
      <c r="DW90" s="129"/>
      <c r="DX90" s="129"/>
      <c r="DY90" s="129"/>
      <c r="DZ90" s="129"/>
      <c r="EA90" s="129"/>
      <c r="EB90" s="129"/>
      <c r="EC90" s="129"/>
      <c r="ED90" s="129"/>
      <c r="EE90" s="129"/>
      <c r="EF90" s="129"/>
      <c r="EG90" s="129"/>
      <c r="EH90" s="129"/>
      <c r="EI90" s="129"/>
      <c r="EJ90" s="129"/>
      <c r="EK90" s="70" t="e">
        <f>EK89/EK83</f>
        <v>#DIV/0!</v>
      </c>
      <c r="EL90" s="129"/>
      <c r="EM90" s="129"/>
      <c r="EN90" s="129"/>
      <c r="EO90" s="129"/>
      <c r="EP90" s="129"/>
      <c r="EQ90" s="129"/>
      <c r="ER90" s="129"/>
      <c r="ES90" s="129"/>
      <c r="ET90" s="129"/>
      <c r="EU90" s="129"/>
      <c r="EV90" s="129"/>
      <c r="EW90" s="129"/>
      <c r="EX90" s="129"/>
      <c r="EY90" s="129"/>
      <c r="EZ90" s="129"/>
      <c r="FA90" s="129"/>
      <c r="FB90" s="129"/>
      <c r="FC90" s="129"/>
      <c r="FD90" s="129"/>
      <c r="FE90" s="129"/>
      <c r="FF90" s="129"/>
      <c r="FG90" s="129"/>
      <c r="FH90" s="129"/>
      <c r="FI90" s="129"/>
      <c r="FJ90" s="129"/>
      <c r="FK90" s="129"/>
      <c r="FL90" s="129"/>
      <c r="FM90" s="129"/>
      <c r="FN90" s="129"/>
      <c r="FO90" s="129"/>
      <c r="FP90" s="129"/>
      <c r="FQ90" s="70" t="e">
        <f>FQ89/FQ83</f>
        <v>#DIV/0!</v>
      </c>
      <c r="FR90" s="129"/>
      <c r="FS90" s="129"/>
      <c r="FT90" s="129"/>
      <c r="FU90" s="129"/>
      <c r="FV90" s="129"/>
      <c r="FW90" s="129"/>
      <c r="FX90" s="129"/>
      <c r="FY90" s="129"/>
      <c r="FZ90" s="129"/>
      <c r="GA90" s="129"/>
      <c r="GB90" s="129"/>
      <c r="GC90" s="129"/>
      <c r="GD90" s="129"/>
      <c r="GE90" s="129"/>
      <c r="GF90" s="129"/>
      <c r="GG90" s="129"/>
      <c r="GH90" s="129"/>
      <c r="GI90" s="129"/>
      <c r="GJ90" s="129"/>
      <c r="GK90" s="129"/>
      <c r="GL90" s="129"/>
      <c r="GM90" s="129"/>
      <c r="GN90" s="129"/>
      <c r="GO90" s="129"/>
      <c r="GP90" s="129"/>
    </row>
    <row r="91" s="47" customFormat="1" ht="15" hidden="1" customHeight="1" spans="2:198">
      <c r="B91" s="103"/>
      <c r="C91" s="109" t="s">
        <v>36</v>
      </c>
      <c r="D91" s="130" t="e">
        <f>D83/D$128</f>
        <v>#REF!</v>
      </c>
      <c r="E91" s="131" t="e">
        <f t="shared" ref="D91:O91" si="440">E83/E$128</f>
        <v>#REF!</v>
      </c>
      <c r="F91" s="131" t="e">
        <f t="shared" si="440"/>
        <v>#REF!</v>
      </c>
      <c r="G91" s="131" t="e">
        <f t="shared" si="440"/>
        <v>#REF!</v>
      </c>
      <c r="H91" s="131" t="e">
        <f t="shared" si="440"/>
        <v>#REF!</v>
      </c>
      <c r="I91" s="131" t="e">
        <f t="shared" si="440"/>
        <v>#REF!</v>
      </c>
      <c r="J91" s="131" t="e">
        <f t="shared" si="440"/>
        <v>#REF!</v>
      </c>
      <c r="K91" s="131" t="e">
        <f t="shared" si="440"/>
        <v>#REF!</v>
      </c>
      <c r="L91" s="131" t="e">
        <f t="shared" si="440"/>
        <v>#REF!</v>
      </c>
      <c r="M91" s="131" t="e">
        <f t="shared" si="440"/>
        <v>#REF!</v>
      </c>
      <c r="N91" s="131" t="e">
        <f t="shared" si="440"/>
        <v>#REF!</v>
      </c>
      <c r="O91" s="131" t="e">
        <f t="shared" si="440"/>
        <v>#REF!</v>
      </c>
      <c r="P91" s="131" t="e">
        <f t="shared" ref="P91:X91" si="441">P83/P$128</f>
        <v>#REF!</v>
      </c>
      <c r="Q91" s="102">
        <f t="shared" si="441"/>
        <v>0.20214647852491</v>
      </c>
      <c r="R91" s="132">
        <f t="shared" si="441"/>
        <v>0.283350688418373</v>
      </c>
      <c r="S91" s="132">
        <f t="shared" si="441"/>
        <v>0.238416343971158</v>
      </c>
      <c r="T91" s="132">
        <f t="shared" si="441"/>
        <v>0.142246090965258</v>
      </c>
      <c r="U91" s="132">
        <f t="shared" si="441"/>
        <v>0.2206186356328</v>
      </c>
      <c r="V91" s="132">
        <f t="shared" si="441"/>
        <v>0.280176392164906</v>
      </c>
      <c r="W91" s="132">
        <f t="shared" si="441"/>
        <v>0.332067332489333</v>
      </c>
      <c r="X91" s="132">
        <f t="shared" si="441"/>
        <v>0.329867852445669</v>
      </c>
      <c r="Y91" s="132">
        <f t="shared" ref="Y91:AL91" si="442">Y83/Y$128</f>
        <v>0.246011211729194</v>
      </c>
      <c r="Z91" s="132">
        <f t="shared" si="442"/>
        <v>0.247486682420795</v>
      </c>
      <c r="AA91" s="132">
        <f t="shared" si="442"/>
        <v>0.241470522304416</v>
      </c>
      <c r="AB91" s="132">
        <f t="shared" si="442"/>
        <v>0.17989441267048</v>
      </c>
      <c r="AC91" s="132">
        <f t="shared" si="442"/>
        <v>0.246876915099232</v>
      </c>
      <c r="AD91" s="132">
        <f t="shared" si="442"/>
        <v>0.24006778384485</v>
      </c>
      <c r="AE91" s="132">
        <f t="shared" si="442"/>
        <v>0.210113410023983</v>
      </c>
      <c r="AF91" s="132">
        <f t="shared" si="442"/>
        <v>0.191824047473273</v>
      </c>
      <c r="AG91" s="132">
        <f t="shared" si="442"/>
        <v>0.11300700439811</v>
      </c>
      <c r="AH91" s="132">
        <f t="shared" si="442"/>
        <v>0.173068697065617</v>
      </c>
      <c r="AI91" s="132">
        <f t="shared" si="442"/>
        <v>0.129131517079242</v>
      </c>
      <c r="AJ91" s="132">
        <f t="shared" si="442"/>
        <v>0.125094359969805</v>
      </c>
      <c r="AK91" s="132">
        <f t="shared" si="442"/>
        <v>0.0420982292014701</v>
      </c>
      <c r="AL91" s="132">
        <f t="shared" ref="AL91:BH91" si="443">AL83/AL$128</f>
        <v>0</v>
      </c>
      <c r="AM91" s="132">
        <f t="shared" si="443"/>
        <v>0.159390503189227</v>
      </c>
      <c r="AN91" s="132">
        <f t="shared" si="443"/>
        <v>0.254648956356736</v>
      </c>
      <c r="AO91" s="132">
        <f t="shared" si="443"/>
        <v>0.266546450277166</v>
      </c>
      <c r="AP91" s="132">
        <f t="shared" si="443"/>
        <v>0.234</v>
      </c>
      <c r="AQ91" s="132">
        <f t="shared" si="443"/>
        <v>0.238621586475943</v>
      </c>
      <c r="AR91" s="132">
        <f t="shared" si="443"/>
        <v>0.272350686286633</v>
      </c>
      <c r="AS91" s="132">
        <f t="shared" si="443"/>
        <v>0.0576418423672066</v>
      </c>
      <c r="AT91" s="132">
        <f t="shared" si="443"/>
        <v>0.145179462417512</v>
      </c>
      <c r="AU91" s="132">
        <f t="shared" si="443"/>
        <v>0.15659178244162</v>
      </c>
      <c r="AV91" s="132">
        <f t="shared" si="443"/>
        <v>0.128926751350118</v>
      </c>
      <c r="AW91" s="102">
        <f t="shared" si="443"/>
        <v>0.109391969721902</v>
      </c>
      <c r="AX91" s="132">
        <f t="shared" si="443"/>
        <v>0.151064157927205</v>
      </c>
      <c r="AY91" s="132">
        <f t="shared" si="443"/>
        <v>0.165014618840476</v>
      </c>
      <c r="AZ91" s="132">
        <f t="shared" si="443"/>
        <v>0.226153565566296</v>
      </c>
      <c r="BA91" s="132">
        <f t="shared" si="443"/>
        <v>0.316848881168898</v>
      </c>
      <c r="BB91" s="132">
        <f t="shared" si="443"/>
        <v>0.344692005242464</v>
      </c>
      <c r="BC91" s="132">
        <f t="shared" si="443"/>
        <v>0.216804979253112</v>
      </c>
      <c r="BD91" s="132">
        <f t="shared" si="443"/>
        <v>0.290213823085795</v>
      </c>
      <c r="BE91" s="132">
        <f t="shared" si="443"/>
        <v>0.304347826086957</v>
      </c>
      <c r="BF91" s="132">
        <f t="shared" si="443"/>
        <v>0.279019466474405</v>
      </c>
      <c r="BG91" s="132">
        <f t="shared" si="443"/>
        <v>0.0667288847410173</v>
      </c>
      <c r="BH91" s="132">
        <f t="shared" si="443"/>
        <v>0</v>
      </c>
      <c r="BI91" s="132">
        <f t="shared" ref="BI91:BW91" si="444">BI83/BI$128</f>
        <v>0</v>
      </c>
      <c r="BJ91" s="132">
        <f t="shared" si="444"/>
        <v>0</v>
      </c>
      <c r="BK91" s="132">
        <f t="shared" si="444"/>
        <v>0</v>
      </c>
      <c r="BL91" s="132">
        <f t="shared" si="444"/>
        <v>0</v>
      </c>
      <c r="BM91" s="132">
        <f t="shared" si="444"/>
        <v>0</v>
      </c>
      <c r="BN91" s="132">
        <f t="shared" si="444"/>
        <v>0</v>
      </c>
      <c r="BO91" s="132">
        <f t="shared" si="444"/>
        <v>0</v>
      </c>
      <c r="BP91" s="132">
        <f t="shared" si="444"/>
        <v>0</v>
      </c>
      <c r="BQ91" s="132">
        <f t="shared" si="444"/>
        <v>0</v>
      </c>
      <c r="BR91" s="132">
        <f t="shared" si="444"/>
        <v>0</v>
      </c>
      <c r="BS91" s="132">
        <f t="shared" si="444"/>
        <v>0</v>
      </c>
      <c r="BT91" s="132">
        <f t="shared" si="444"/>
        <v>0</v>
      </c>
      <c r="BU91" s="132">
        <f t="shared" si="444"/>
        <v>0</v>
      </c>
      <c r="BV91" s="132">
        <f t="shared" si="444"/>
        <v>0</v>
      </c>
      <c r="BW91" s="132">
        <f t="shared" si="444"/>
        <v>0</v>
      </c>
      <c r="BX91" s="132">
        <f t="shared" ref="BX91:CD91" si="445">BX83/BX$128</f>
        <v>0</v>
      </c>
      <c r="BY91" s="132">
        <f t="shared" si="445"/>
        <v>0</v>
      </c>
      <c r="BZ91" s="102">
        <f t="shared" si="445"/>
        <v>0</v>
      </c>
      <c r="CA91" s="132">
        <f t="shared" si="445"/>
        <v>0</v>
      </c>
      <c r="CB91" s="132">
        <f t="shared" si="445"/>
        <v>0</v>
      </c>
      <c r="CC91" s="132">
        <f t="shared" si="445"/>
        <v>0</v>
      </c>
      <c r="CD91" s="132">
        <f t="shared" si="445"/>
        <v>0</v>
      </c>
      <c r="CE91" s="132"/>
      <c r="CF91" s="132"/>
      <c r="CG91" s="132"/>
      <c r="CH91" s="132"/>
      <c r="CI91" s="132"/>
      <c r="CJ91" s="132"/>
      <c r="CK91" s="132"/>
      <c r="CL91" s="132"/>
      <c r="CM91" s="132"/>
      <c r="CN91" s="132"/>
      <c r="CO91" s="132"/>
      <c r="CP91" s="132"/>
      <c r="CQ91" s="132"/>
      <c r="CR91" s="132"/>
      <c r="CS91" s="132"/>
      <c r="CT91" s="132"/>
      <c r="CU91" s="132"/>
      <c r="CV91" s="132"/>
      <c r="CW91" s="132"/>
      <c r="CX91" s="132"/>
      <c r="CY91" s="132"/>
      <c r="CZ91" s="132"/>
      <c r="DA91" s="132"/>
      <c r="DB91" s="132"/>
      <c r="DC91" s="132"/>
      <c r="DD91" s="132"/>
      <c r="DE91" s="132"/>
      <c r="DF91" s="102">
        <f>DF83/DF$128</f>
        <v>0</v>
      </c>
      <c r="DG91" s="132"/>
      <c r="DH91" s="132"/>
      <c r="DI91" s="132"/>
      <c r="DJ91" s="132"/>
      <c r="DK91" s="132"/>
      <c r="DL91" s="132"/>
      <c r="DM91" s="132"/>
      <c r="DN91" s="132"/>
      <c r="DO91" s="132"/>
      <c r="DP91" s="132"/>
      <c r="DQ91" s="132"/>
      <c r="DR91" s="132"/>
      <c r="DS91" s="132"/>
      <c r="DT91" s="132"/>
      <c r="DU91" s="132"/>
      <c r="DV91" s="132"/>
      <c r="DW91" s="132"/>
      <c r="DX91" s="132"/>
      <c r="DY91" s="132"/>
      <c r="DZ91" s="132"/>
      <c r="EA91" s="132"/>
      <c r="EB91" s="132"/>
      <c r="EC91" s="132"/>
      <c r="ED91" s="132"/>
      <c r="EE91" s="132"/>
      <c r="EF91" s="132"/>
      <c r="EG91" s="132"/>
      <c r="EH91" s="132"/>
      <c r="EI91" s="132"/>
      <c r="EJ91" s="132"/>
      <c r="EK91" s="102">
        <f>EK83/EK$128</f>
        <v>0</v>
      </c>
      <c r="EL91" s="132"/>
      <c r="EM91" s="132"/>
      <c r="EN91" s="132"/>
      <c r="EO91" s="132"/>
      <c r="EP91" s="132"/>
      <c r="EQ91" s="132"/>
      <c r="ER91" s="132"/>
      <c r="ES91" s="132"/>
      <c r="ET91" s="132"/>
      <c r="EU91" s="132"/>
      <c r="EV91" s="132"/>
      <c r="EW91" s="132"/>
      <c r="EX91" s="132"/>
      <c r="EY91" s="132"/>
      <c r="EZ91" s="132"/>
      <c r="FA91" s="132"/>
      <c r="FB91" s="132"/>
      <c r="FC91" s="132"/>
      <c r="FD91" s="132"/>
      <c r="FE91" s="132"/>
      <c r="FF91" s="132"/>
      <c r="FG91" s="132"/>
      <c r="FH91" s="132"/>
      <c r="FI91" s="132"/>
      <c r="FJ91" s="132"/>
      <c r="FK91" s="132"/>
      <c r="FL91" s="132"/>
      <c r="FM91" s="132"/>
      <c r="FN91" s="132"/>
      <c r="FO91" s="132"/>
      <c r="FP91" s="132"/>
      <c r="FQ91" s="102">
        <f>FQ83/FQ$128</f>
        <v>0</v>
      </c>
      <c r="FR91" s="132"/>
      <c r="FS91" s="132"/>
      <c r="FT91" s="132"/>
      <c r="FU91" s="132"/>
      <c r="FV91" s="132"/>
      <c r="FW91" s="132"/>
      <c r="FX91" s="132"/>
      <c r="FY91" s="132"/>
      <c r="FZ91" s="132"/>
      <c r="GA91" s="132"/>
      <c r="GB91" s="132"/>
      <c r="GC91" s="132"/>
      <c r="GD91" s="132"/>
      <c r="GE91" s="132"/>
      <c r="GF91" s="132"/>
      <c r="GG91" s="132"/>
      <c r="GH91" s="132"/>
      <c r="GI91" s="132"/>
      <c r="GJ91" s="132"/>
      <c r="GK91" s="132"/>
      <c r="GL91" s="132"/>
      <c r="GM91" s="132"/>
      <c r="GN91" s="132"/>
      <c r="GO91" s="132"/>
      <c r="GP91" s="132"/>
    </row>
    <row r="92" s="47" customFormat="1" ht="15" customHeight="1" spans="2:198">
      <c r="B92" s="112" t="s">
        <v>44</v>
      </c>
      <c r="C92" s="113" t="s">
        <v>12</v>
      </c>
      <c r="D92" s="114" t="e">
        <f>SUM(E92:P92)</f>
        <v>#REF!</v>
      </c>
      <c r="E92" s="115" t="e">
        <f>#REF!</f>
        <v>#REF!</v>
      </c>
      <c r="F92" s="115" t="e">
        <f>#REF!</f>
        <v>#REF!</v>
      </c>
      <c r="G92" s="115" t="e">
        <f>#REF!</f>
        <v>#REF!</v>
      </c>
      <c r="H92" s="115" t="e">
        <f>#REF!</f>
        <v>#REF!</v>
      </c>
      <c r="I92" s="115" t="e">
        <f>#REF!</f>
        <v>#REF!</v>
      </c>
      <c r="J92" s="115" t="e">
        <f>#REF!</f>
        <v>#REF!</v>
      </c>
      <c r="K92" s="115" t="e">
        <f>#REF!</f>
        <v>#REF!</v>
      </c>
      <c r="L92" s="115" t="e">
        <f>#REF!</f>
        <v>#REF!</v>
      </c>
      <c r="M92" s="115" t="e">
        <f>#REF!</f>
        <v>#REF!</v>
      </c>
      <c r="N92" s="115" t="e">
        <f>#REF!</f>
        <v>#REF!</v>
      </c>
      <c r="O92" s="115" t="e">
        <f>#REF!</f>
        <v>#REF!</v>
      </c>
      <c r="P92" s="115" t="e">
        <f>#REF!</f>
        <v>#REF!</v>
      </c>
      <c r="Q92" s="65">
        <f>SUM(R92:AV92)</f>
        <v>2517.81</v>
      </c>
      <c r="R92" s="115">
        <f>SUMIFS(商品数据源!$H:$H,商品数据源!$A:$A,$B$92,商品数据源!$B:$B,R2)</f>
        <v>73.1</v>
      </c>
      <c r="S92" s="115">
        <f>SUMIFS(商品数据源!$H:$H,商品数据源!$A:$A,$B$92,商品数据源!$B:$B,S2)</f>
        <v>62.11</v>
      </c>
      <c r="T92" s="115">
        <f>SUMIFS(商品数据源!$H:$H,商品数据源!$A:$A,$B$92,商品数据源!$B:$B,T2)</f>
        <v>72.28</v>
      </c>
      <c r="U92" s="115">
        <f>SUMIFS(商品数据源!$H:$H,商品数据源!$A:$A,$B$92,商品数据源!$B:$B,U2)</f>
        <v>73.88</v>
      </c>
      <c r="V92" s="115">
        <f>SUMIFS(商品数据源!$H:$H,商品数据源!$A:$A,$B$92,商品数据源!$B:$B,V2)</f>
        <v>62.47</v>
      </c>
      <c r="W92" s="115">
        <f>SUMIFS(商品数据源!$H:$H,商品数据源!$A:$A,$B$92,商品数据源!$B:$B,W2)</f>
        <v>62.24</v>
      </c>
      <c r="X92" s="115">
        <f>SUMIFS(商品数据源!$H:$H,商品数据源!$A:$A,$B$92,商品数据源!$B:$B,X2)</f>
        <v>19.95</v>
      </c>
      <c r="Y92" s="115">
        <f>SUMIFS(商品数据源!$H:$H,商品数据源!$A:$A,$B$92,商品数据源!$B:$B,Y2)</f>
        <v>100</v>
      </c>
      <c r="Z92" s="115">
        <f>SUMIFS(商品数据源!$H:$H,商品数据源!$A:$A,$B$92,商品数据源!$B:$B,Z2)</f>
        <v>83.19</v>
      </c>
      <c r="AA92" s="115">
        <f>SUMIFS(商品数据源!$H:$H,商品数据源!$A:$A,$B$92,商品数据源!$B:$B,AA2)</f>
        <v>64.3</v>
      </c>
      <c r="AB92" s="115">
        <f>SUMIFS(商品数据源!$H:$H,商品数据源!$A:$A,$B$92,商品数据源!$B:$B,AB2)</f>
        <v>68.33</v>
      </c>
      <c r="AC92" s="115">
        <f>SUMIFS(商品数据源!$H:$H,商品数据源!$A:$A,$B$92,商品数据源!$B:$B,AC2)</f>
        <v>73.09</v>
      </c>
      <c r="AD92" s="115">
        <f>SUMIFS(商品数据源!$H:$H,商品数据源!$A:$A,$B$92,商品数据源!$B:$B,AD2)</f>
        <v>68.22</v>
      </c>
      <c r="AE92" s="115">
        <f>SUMIFS(商品数据源!$H:$H,商品数据源!$A:$A,$B$92,商品数据源!$B:$B,AE2)</f>
        <v>66.95</v>
      </c>
      <c r="AF92" s="115">
        <f>SUMIFS(商品数据源!$H:$H,商品数据源!$A:$A,$B$92,商品数据源!$B:$B,AF2)</f>
        <v>71.52</v>
      </c>
      <c r="AG92" s="115">
        <f>SUMIFS(商品数据源!$H:$H,商品数据源!$A:$A,$B$92,商品数据源!$B:$B,AG2)</f>
        <v>144.39</v>
      </c>
      <c r="AH92" s="115">
        <f>SUMIFS(商品数据源!$H:$H,商品数据源!$A:$A,$B$92,商品数据源!$B:$B,AH2)</f>
        <v>143.81</v>
      </c>
      <c r="AI92" s="115">
        <f>SUMIFS(商品数据源!$H:$H,商品数据源!$A:$A,$B$92,商品数据源!$B:$B,AI2)</f>
        <v>109.81</v>
      </c>
      <c r="AJ92" s="115">
        <f>SUMIFS(商品数据源!$H:$H,商品数据源!$A:$A,$B$92,商品数据源!$B:$B,AJ2)</f>
        <v>199.77</v>
      </c>
      <c r="AK92" s="115">
        <f>SUMIFS(商品数据源!$H:$H,商品数据源!$A:$A,$B$92,商品数据源!$B:$B,AK2)</f>
        <v>73.09</v>
      </c>
      <c r="AL92" s="115">
        <f>SUMIFS(商品数据源!$H:$H,商品数据源!$A:$A,$B$92,商品数据源!$B:$B,AL2)</f>
        <v>73.87</v>
      </c>
      <c r="AM92" s="115">
        <f>SUMIFS(商品数据源!$H:$H,商品数据源!$A:$A,$B$92,商品数据源!$B:$B,AM2)</f>
        <v>80</v>
      </c>
      <c r="AN92" s="115">
        <f>SUMIFS(商品数据源!$H:$H,商品数据源!$A:$A,$B$92,商品数据源!$B:$B,AN2)</f>
        <v>66.02</v>
      </c>
      <c r="AO92" s="115">
        <f>SUMIFS(商品数据源!$H:$H,商品数据源!$A:$A,$B$92,商品数据源!$B:$B,AO2)</f>
        <v>80</v>
      </c>
      <c r="AP92" s="115">
        <f>SUMIFS(商品数据源!$H:$H,商品数据源!$A:$A,$B$92,商品数据源!$B:$B,AP2)</f>
        <v>80</v>
      </c>
      <c r="AQ92" s="115">
        <f>SUMIFS(商品数据源!$H:$H,商品数据源!$A:$A,$B$92,商品数据源!$B:$B,AQ2)</f>
        <v>59.97</v>
      </c>
      <c r="AR92" s="115">
        <f>SUMIFS(商品数据源!$H:$H,商品数据源!$A:$A,$B$92,商品数据源!$B:$B,AR2)</f>
        <v>80</v>
      </c>
      <c r="AS92" s="115">
        <f>SUMIFS(商品数据源!$H:$H,商品数据源!$A:$A,$B$92,商品数据源!$B:$B,AS2)</f>
        <v>73.55</v>
      </c>
      <c r="AT92" s="115">
        <f>SUMIFS(商品数据源!$H:$H,商品数据源!$A:$A,$B$92,商品数据源!$B:$B,AT2)</f>
        <v>80</v>
      </c>
      <c r="AU92" s="115">
        <f>SUMIFS(商品数据源!$H:$H,商品数据源!$A:$A,$B$92,商品数据源!$B:$B,AU2)</f>
        <v>71.9</v>
      </c>
      <c r="AV92" s="115">
        <f>SUMIFS(商品数据源!$H:$H,商品数据源!$A:$A,$B$92,商品数据源!$B:$B,AV2)</f>
        <v>80</v>
      </c>
      <c r="AW92" s="65">
        <f>SUM(AX92:BY92)</f>
        <v>2078.67</v>
      </c>
      <c r="AX92" s="115">
        <f>SUMIFS(商品数据源!$H:$H,商品数据源!$A:$A,$B$92,商品数据源!$B:$B,AX2)</f>
        <v>73.48</v>
      </c>
      <c r="AY92" s="115">
        <f>SUMIFS(商品数据源!$H:$H,商品数据源!$A:$A,$B$92,商品数据源!$B:$B,AY2)</f>
        <v>80</v>
      </c>
      <c r="AZ92" s="115">
        <f>SUMIFS(商品数据源!$H:$H,商品数据源!$A:$A,$B$92,商品数据源!$B:$B,AZ2)</f>
        <v>72.34</v>
      </c>
      <c r="BA92" s="115">
        <f>SUMIFS(商品数据源!$H:$H,商品数据源!$A:$A,$B$92,商品数据源!$B:$B,BA2)</f>
        <v>66.86</v>
      </c>
      <c r="BB92" s="115">
        <f>SUMIFS(商品数据源!$H:$H,商品数据源!$A:$A,$B$92,商品数据源!$B:$B,BB2)</f>
        <v>80</v>
      </c>
      <c r="BC92" s="115">
        <f>SUMIFS(商品数据源!$H:$H,商品数据源!$A:$A,$B$92,商品数据源!$B:$B,BC2)</f>
        <v>75.5</v>
      </c>
      <c r="BD92" s="115">
        <f>SUMIFS(商品数据源!$H:$H,商品数据源!$A:$A,$B$92,商品数据源!$B:$B,BD2)</f>
        <v>80</v>
      </c>
      <c r="BE92" s="115">
        <f>SUMIFS(商品数据源!$H:$H,商品数据源!$A:$A,$B$92,商品数据源!$B:$B,BE2)</f>
        <v>80</v>
      </c>
      <c r="BF92" s="115">
        <f>SUMIFS(商品数据源!$H:$H,商品数据源!$A:$A,$B$92,商品数据源!$B:$B,BF2)</f>
        <v>80</v>
      </c>
      <c r="BG92" s="115">
        <f>SUMIFS(商品数据源!$H:$H,商品数据源!$A:$A,$B$92,商品数据源!$B:$B,BG2)</f>
        <v>80</v>
      </c>
      <c r="BH92" s="115">
        <f>SUMIFS(商品数据源!$H:$H,商品数据源!$A:$A,$B$92,商品数据源!$B:$B,BH2)</f>
        <v>80</v>
      </c>
      <c r="BI92" s="115">
        <f>SUMIFS(商品数据源!$H:$H,商品数据源!$A:$A,$B$92,商品数据源!$B:$B,BI2)</f>
        <v>74.49</v>
      </c>
      <c r="BJ92" s="115">
        <f>SUMIFS(商品数据源!$H:$H,商品数据源!$A:$A,$B$92,商品数据源!$B:$B,BJ2)</f>
        <v>80</v>
      </c>
      <c r="BK92" s="115">
        <f>SUMIFS(商品数据源!$H:$H,商品数据源!$A:$A,$B$92,商品数据源!$B:$B,BK2)</f>
        <v>80</v>
      </c>
      <c r="BL92" s="115">
        <f>SUMIFS(商品数据源!$H:$H,商品数据源!$A:$A,$B$92,商品数据源!$B:$B,BL2)</f>
        <v>74.55</v>
      </c>
      <c r="BM92" s="115">
        <f>SUMIFS(商品数据源!$H:$H,商品数据源!$A:$A,$B$92,商品数据源!$B:$B,BM2)</f>
        <v>40.4</v>
      </c>
      <c r="BN92" s="115">
        <f>SUMIFS(商品数据源!$H:$H,商品数据源!$A:$A,$B$92,商品数据源!$B:$B,BN2)</f>
        <v>68.05</v>
      </c>
      <c r="BO92" s="115">
        <f>SUMIFS(商品数据源!$H:$H,商品数据源!$A:$A,$B$92,商品数据源!$B:$B,BO2)</f>
        <v>67.43</v>
      </c>
      <c r="BP92" s="115">
        <f>SUMIFS(商品数据源!$H:$H,商品数据源!$A:$A,$B$92,商品数据源!$B:$B,BP2)</f>
        <v>72.84</v>
      </c>
      <c r="BQ92" s="115">
        <f>SUMIFS(商品数据源!$H:$H,商品数据源!$A:$A,$B$92,商品数据源!$B:$B,BQ2)</f>
        <v>75.43</v>
      </c>
      <c r="BR92" s="115">
        <f>SUMIFS(商品数据源!$H:$H,商品数据源!$A:$A,$B$92,商品数据源!$B:$B,BR2)</f>
        <v>68.8</v>
      </c>
      <c r="BS92" s="115">
        <f>SUMIFS(商品数据源!$H:$H,商品数据源!$A:$A,$B$92,商品数据源!$B:$B,BS2)</f>
        <v>66.01</v>
      </c>
      <c r="BT92" s="115">
        <f>SUMIFS(商品数据源!$H:$H,商品数据源!$A:$A,$B$92,商品数据源!$B:$B,BT2)</f>
        <v>71.05</v>
      </c>
      <c r="BU92" s="115">
        <f>SUMIFS(商品数据源!$H:$H,商品数据源!$A:$A,$B$92,商品数据源!$B:$B,BU2)</f>
        <v>80</v>
      </c>
      <c r="BV92" s="115">
        <f>SUMIFS(商品数据源!$H:$H,商品数据源!$A:$A,$B$92,商品数据源!$B:$B,BV2)</f>
        <v>71.44</v>
      </c>
      <c r="BW92" s="115">
        <f>SUMIFS(商品数据源!$H:$H,商品数据源!$A:$A,$B$92,商品数据源!$B:$B,BW2)</f>
        <v>80</v>
      </c>
      <c r="BX92" s="115">
        <f>SUMIFS(商品数据源!$H:$H,商品数据源!$A:$A,$B$92,商品数据源!$B:$B,BX2)</f>
        <v>80</v>
      </c>
      <c r="BY92" s="115">
        <f>SUMIFS(商品数据源!$H:$H,商品数据源!$A:$A,$B$92,商品数据源!$B:$B,BY2)</f>
        <v>80</v>
      </c>
      <c r="BZ92" s="65">
        <f>SUM(CA92:DE92)</f>
        <v>2042.12</v>
      </c>
      <c r="CA92" s="115">
        <f>SUMIFS(商品数据源!$H:$H,商品数据源!$A:$A,$B$92,商品数据源!$B:$B,CA2)</f>
        <v>69.93</v>
      </c>
      <c r="CB92" s="115">
        <f>SUMIFS(商品数据源!$H:$H,商品数据源!$A:$A,$B$92,商品数据源!$B:$B,CB2)</f>
        <v>79.56</v>
      </c>
      <c r="CC92" s="115">
        <f>SUMIFS(商品数据源!$H:$H,商品数据源!$A:$A,$B$92,商品数据源!$B:$B,CC2)</f>
        <v>80</v>
      </c>
      <c r="CD92" s="115">
        <f>SUMIFS(商品数据源!$H:$H,商品数据源!$A:$A,$B$92,商品数据源!$B:$B,CD2)</f>
        <v>80</v>
      </c>
      <c r="CE92" s="115">
        <f>SUMIFS(商品数据源!$H:$H,商品数据源!$A:$A,$B$92,商品数据源!$B:$B,CE2)</f>
        <v>66.54</v>
      </c>
      <c r="CF92" s="115">
        <f>SUMIFS(商品数据源!$H:$H,商品数据源!$A:$A,$B$92,商品数据源!$B:$B,CF2)</f>
        <v>80</v>
      </c>
      <c r="CG92" s="115">
        <f>SUMIFS(商品数据源!$H:$H,商品数据源!$A:$A,$B$92,商品数据源!$B:$B,CG2)</f>
        <v>78.73</v>
      </c>
      <c r="CH92" s="115">
        <f>SUMIFS(商品数据源!$H:$H,商品数据源!$A:$A,$B$92,商品数据源!$B:$B,CH2)</f>
        <v>80</v>
      </c>
      <c r="CI92" s="115">
        <f>SUMIFS(商品数据源!$H:$H,商品数据源!$A:$A,$B$92,商品数据源!$B:$B,CI2)</f>
        <v>80</v>
      </c>
      <c r="CJ92" s="115">
        <f>SUMIFS(商品数据源!$H:$H,商品数据源!$A:$A,$B$92,商品数据源!$B:$B,CJ2)</f>
        <v>80</v>
      </c>
      <c r="CK92" s="115">
        <f>SUMIFS(商品数据源!$H:$H,商品数据源!$A:$A,$B$92,商品数据源!$B:$B,CK2)</f>
        <v>77.6</v>
      </c>
      <c r="CL92" s="115">
        <f>SUMIFS(商品数据源!$H:$H,商品数据源!$A:$A,$B$92,商品数据源!$B:$B,CL2)</f>
        <v>26.69</v>
      </c>
      <c r="CM92" s="115">
        <f>SUMIFS(商品数据源!$H:$H,商品数据源!$A:$A,$B$92,商品数据源!$B:$B,CM2)</f>
        <v>67.73</v>
      </c>
      <c r="CN92" s="115">
        <f>SUMIFS(商品数据源!$H:$H,商品数据源!$A:$A,$B$92,商品数据源!$B:$B,CN2)</f>
        <v>76.42</v>
      </c>
      <c r="CO92" s="115">
        <f>SUMIFS(商品数据源!$H:$H,商品数据源!$A:$A,$B$92,商品数据源!$B:$B,CO2)</f>
        <v>80</v>
      </c>
      <c r="CP92" s="115">
        <f>SUMIFS(商品数据源!$H:$H,商品数据源!$A:$A,$B$92,商品数据源!$B:$B,CP2)</f>
        <v>65.74</v>
      </c>
      <c r="CQ92" s="115">
        <f>SUMIFS(商品数据源!$H:$H,商品数据源!$A:$A,$B$92,商品数据源!$B:$B,CQ2)</f>
        <v>73.37</v>
      </c>
      <c r="CR92" s="115">
        <f>SUMIFS(商品数据源!$H:$H,商品数据源!$A:$A,$B$92,商品数据源!$B:$B,CR2)</f>
        <v>60</v>
      </c>
      <c r="CS92" s="115">
        <f>SUMIFS(商品数据源!$H:$H,商品数据源!$A:$A,$B$92,商品数据源!$B:$B,CS2)</f>
        <v>60</v>
      </c>
      <c r="CT92" s="115">
        <f>SUMIFS(商品数据源!$H:$H,商品数据源!$A:$A,$B$92,商品数据源!$B:$B,CT2)</f>
        <v>60</v>
      </c>
      <c r="CU92" s="115">
        <f>SUMIFS(商品数据源!$H:$H,商品数据源!$A:$A,$B$92,商品数据源!$B:$B,CU2)</f>
        <v>60</v>
      </c>
      <c r="CV92" s="115">
        <f>SUMIFS(商品数据源!$H:$H,商品数据源!$A:$A,$B$92,商品数据源!$B:$B,CV2)</f>
        <v>50.77</v>
      </c>
      <c r="CW92" s="115">
        <f>SUMIFS(商品数据源!$H:$H,商品数据源!$A:$A,$B$92,商品数据源!$B:$B,CW2)</f>
        <v>60</v>
      </c>
      <c r="CX92" s="115">
        <f>SUMIFS(商品数据源!$H:$H,商品数据源!$A:$A,$B$92,商品数据源!$B:$B,CX2)</f>
        <v>60</v>
      </c>
      <c r="CY92" s="115">
        <f>SUMIFS(商品数据源!$H:$H,商品数据源!$A:$A,$B$92,商品数据源!$B:$B,CY2)</f>
        <v>60</v>
      </c>
      <c r="CZ92" s="115">
        <f>SUMIFS(商品数据源!$H:$H,商品数据源!$A:$A,$B$92,商品数据源!$B:$B,CZ2)</f>
        <v>56.02</v>
      </c>
      <c r="DA92" s="115">
        <f>SUMIFS(商品数据源!$H:$H,商品数据源!$A:$A,$B$92,商品数据源!$B:$B,DA2)</f>
        <v>60</v>
      </c>
      <c r="DB92" s="115">
        <f>SUMIFS(商品数据源!$H:$H,商品数据源!$A:$A,$B$92,商品数据源!$B:$B,DB2)</f>
        <v>53.88</v>
      </c>
      <c r="DC92" s="115">
        <f>SUMIFS(商品数据源!$H:$H,商品数据源!$A:$A,$B$92,商品数据源!$B:$B,DC2)</f>
        <v>60</v>
      </c>
      <c r="DD92" s="115">
        <f>SUMIFS(商品数据源!$H:$H,商品数据源!$A:$A,$B$92,商品数据源!$B:$B,DD2)</f>
        <v>50.72</v>
      </c>
      <c r="DE92" s="115">
        <f>SUMIFS(商品数据源!$H:$H,商品数据源!$A:$A,$B$92,商品数据源!$B:$B,DE2)</f>
        <v>48.42</v>
      </c>
      <c r="DF92" s="65">
        <f>SUM(DG92:EJ92)</f>
        <v>125.94</v>
      </c>
      <c r="DG92" s="115">
        <f>SUMIFS(商品数据源!$H:$H,商品数据源!$A:$A,$B$92,商品数据源!$B:$B,DG2)</f>
        <v>0</v>
      </c>
      <c r="DH92" s="115">
        <f>SUMIFS(商品数据源!$H:$H,商品数据源!$A:$A,$B$92,商品数据源!$B:$B,DH2)</f>
        <v>0</v>
      </c>
      <c r="DI92" s="115">
        <f>SUMIFS(商品数据源!$H:$H,商品数据源!$A:$A,$B$92,商品数据源!$B:$B,DI2)</f>
        <v>0</v>
      </c>
      <c r="DJ92" s="115">
        <f>SUMIFS(商品数据源!$H:$H,商品数据源!$A:$A,$B$92,商品数据源!$B:$B,DJ2)</f>
        <v>0</v>
      </c>
      <c r="DK92" s="115">
        <f>SUMIFS(商品数据源!$H:$H,商品数据源!$A:$A,$B$92,商品数据源!$B:$B,DK2)</f>
        <v>0</v>
      </c>
      <c r="DL92" s="115">
        <f>SUMIFS(商品数据源!$H:$H,商品数据源!$A:$A,$B$92,商品数据源!$B:$B,DL2)</f>
        <v>0</v>
      </c>
      <c r="DM92" s="115">
        <f>SUMIFS(商品数据源!$H:$H,商品数据源!$A:$A,$B$92,商品数据源!$B:$B,DM2)</f>
        <v>0</v>
      </c>
      <c r="DN92" s="115">
        <f>SUMIFS(商品数据源!$H:$H,商品数据源!$A:$A,$B$92,商品数据源!$B:$B,DN2)</f>
        <v>0</v>
      </c>
      <c r="DO92" s="115">
        <f>SUMIFS(商品数据源!$H:$H,商品数据源!$A:$A,$B$92,商品数据源!$B:$B,DO2)</f>
        <v>0</v>
      </c>
      <c r="DP92" s="115">
        <f>SUMIFS(商品数据源!$H:$H,商品数据源!$A:$A,$B$92,商品数据源!$B:$B,DP2)</f>
        <v>0</v>
      </c>
      <c r="DQ92" s="115">
        <f>SUMIFS(商品数据源!$H:$H,商品数据源!$A:$A,$B$92,商品数据源!$B:$B,DQ2)</f>
        <v>0</v>
      </c>
      <c r="DR92" s="115">
        <f>SUMIFS(商品数据源!$H:$H,商品数据源!$A:$A,$B$92,商品数据源!$B:$B,DR2)</f>
        <v>0</v>
      </c>
      <c r="DS92" s="115">
        <f>SUMIFS(商品数据源!$H:$H,商品数据源!$A:$A,$B$92,商品数据源!$B:$B,DS2)</f>
        <v>0</v>
      </c>
      <c r="DT92" s="115">
        <f>SUMIFS(商品数据源!$H:$H,商品数据源!$A:$A,$B$92,商品数据源!$B:$B,DT2)</f>
        <v>0</v>
      </c>
      <c r="DU92" s="115">
        <f>SUMIFS(商品数据源!$H:$H,商品数据源!$A:$A,$B$92,商品数据源!$B:$B,DU2)</f>
        <v>0</v>
      </c>
      <c r="DV92" s="115">
        <f>SUMIFS(商品数据源!$H:$H,商品数据源!$A:$A,$B$92,商品数据源!$B:$B,DV2)</f>
        <v>0</v>
      </c>
      <c r="DW92" s="115">
        <f>SUMIFS(商品数据源!$H:$H,商品数据源!$A:$A,$B$92,商品数据源!$B:$B,DW2)</f>
        <v>0</v>
      </c>
      <c r="DX92" s="115">
        <f>SUMIFS(商品数据源!$H:$H,商品数据源!$A:$A,$B$92,商品数据源!$B:$B,DX2)</f>
        <v>0</v>
      </c>
      <c r="DY92" s="115">
        <f>SUMIFS(商品数据源!$H:$H,商品数据源!$A:$A,$B$92,商品数据源!$B:$B,DY2)</f>
        <v>0</v>
      </c>
      <c r="DZ92" s="115">
        <f>SUMIFS(商品数据源!$H:$H,商品数据源!$A:$A,$B$92,商品数据源!$B:$B,DZ2)</f>
        <v>0</v>
      </c>
      <c r="EA92" s="115">
        <f>SUMIFS(商品数据源!$H:$H,商品数据源!$A:$A,$B$92,商品数据源!$B:$B,EA2)</f>
        <v>0</v>
      </c>
      <c r="EB92" s="115">
        <f>SUMIFS(商品数据源!$H:$H,商品数据源!$A:$A,$B$92,商品数据源!$B:$B,EB2)</f>
        <v>0</v>
      </c>
      <c r="EC92" s="115">
        <f>SUMIFS(商品数据源!$H:$H,商品数据源!$A:$A,$B$92,商品数据源!$B:$B,EC2)</f>
        <v>0</v>
      </c>
      <c r="ED92" s="115">
        <f>SUMIFS(商品数据源!$H:$H,商品数据源!$A:$A,$B$92,商品数据源!$B:$B,ED2)</f>
        <v>0</v>
      </c>
      <c r="EE92" s="115">
        <f>SUMIFS(商品数据源!$H:$H,商品数据源!$A:$A,$B$92,商品数据源!$B:$B,EE2)</f>
        <v>0</v>
      </c>
      <c r="EF92" s="115">
        <f>SUMIFS(商品数据源!$H:$H,商品数据源!$A:$A,$B$92,商品数据源!$B:$B,EF2)</f>
        <v>0</v>
      </c>
      <c r="EG92" s="115">
        <f>SUMIFS(商品数据源!$H:$H,商品数据源!$A:$A,$B$92,商品数据源!$B:$B,EG2)</f>
        <v>0</v>
      </c>
      <c r="EH92" s="115">
        <f>SUMIFS(商品数据源!$H:$H,商品数据源!$A:$A,$B$92,商品数据源!$B:$B,EH2)</f>
        <v>50</v>
      </c>
      <c r="EI92" s="115">
        <f>SUMIFS(商品数据源!$H:$H,商品数据源!$A:$A,$B$92,商品数据源!$B:$B,EI2)</f>
        <v>35.75</v>
      </c>
      <c r="EJ92" s="115">
        <f>SUMIFS(商品数据源!$H:$H,商品数据源!$A:$A,$B$92,商品数据源!$B:$B,EJ2)</f>
        <v>40.19</v>
      </c>
      <c r="EK92" s="65">
        <f>SUM(EL92:FP92)</f>
        <v>1246.47</v>
      </c>
      <c r="EL92" s="115">
        <f>SUMIFS(商品数据源!$H:$H,商品数据源!$A:$A,$B$92,商品数据源!$B:$B,EL2)</f>
        <v>36.33</v>
      </c>
      <c r="EM92" s="115">
        <f>SUMIFS(商品数据源!$H:$H,商品数据源!$A:$A,$B$92,商品数据源!$B:$B,EM2)</f>
        <v>32.63</v>
      </c>
      <c r="EN92" s="115">
        <f>SUMIFS(商品数据源!$H:$H,商品数据源!$A:$A,$B$92,商品数据源!$B:$B,EN2)</f>
        <v>35.22</v>
      </c>
      <c r="EO92" s="115">
        <f>SUMIFS(商品数据源!$H:$H,商品数据源!$A:$A,$B$92,商品数据源!$B:$B,EO2)</f>
        <v>34.43</v>
      </c>
      <c r="EP92" s="115">
        <f>SUMIFS(商品数据源!$H:$H,商品数据源!$A:$A,$B$92,商品数据源!$B:$B,EP2)</f>
        <v>38.06</v>
      </c>
      <c r="EQ92" s="115">
        <f>SUMIFS(商品数据源!$H:$H,商品数据源!$A:$A,$B$92,商品数据源!$B:$B,EQ2)</f>
        <v>41</v>
      </c>
      <c r="ER92" s="115">
        <f>SUMIFS(商品数据源!$H:$H,商品数据源!$A:$A,$B$92,商品数据源!$B:$B,ER2)</f>
        <v>35.96</v>
      </c>
      <c r="ES92" s="115">
        <f>SUMIFS(商品数据源!$H:$H,商品数据源!$A:$A,$B$92,商品数据源!$B:$B,ES2)</f>
        <v>34.16</v>
      </c>
      <c r="ET92" s="115">
        <f>SUMIFS(商品数据源!$H:$H,商品数据源!$A:$A,$B$92,商品数据源!$B:$B,ET2)</f>
        <v>50</v>
      </c>
      <c r="EU92" s="115">
        <f>SUMIFS(商品数据源!$H:$H,商品数据源!$A:$A,$B$92,商品数据源!$B:$B,EU2)</f>
        <v>36.99</v>
      </c>
      <c r="EV92" s="115">
        <f>SUMIFS(商品数据源!$H:$H,商品数据源!$A:$A,$B$92,商品数据源!$B:$B,EV2)</f>
        <v>38.02</v>
      </c>
      <c r="EW92" s="115">
        <f>SUMIFS(商品数据源!$H:$H,商品数据源!$A:$A,$B$92,商品数据源!$B:$B,EW2)</f>
        <v>50</v>
      </c>
      <c r="EX92" s="115">
        <f>SUMIFS(商品数据源!$H:$H,商品数据源!$A:$A,$B$92,商品数据源!$B:$B,EX2)</f>
        <v>33.62</v>
      </c>
      <c r="EY92" s="115">
        <f>SUMIFS(商品数据源!$H:$H,商品数据源!$A:$A,$B$92,商品数据源!$B:$B,EY2)</f>
        <v>50</v>
      </c>
      <c r="EZ92" s="115">
        <f>SUMIFS(商品数据源!$H:$H,商品数据源!$A:$A,$B$92,商品数据源!$B:$B,EZ2)</f>
        <v>40.47</v>
      </c>
      <c r="FA92" s="115">
        <f>SUMIFS(商品数据源!$H:$H,商品数据源!$A:$A,$B$92,商品数据源!$B:$B,FA2)</f>
        <v>36.53</v>
      </c>
      <c r="FB92" s="115">
        <f>SUMIFS(商品数据源!$H:$H,商品数据源!$A:$A,$B$92,商品数据源!$B:$B,FB2)</f>
        <v>36.03</v>
      </c>
      <c r="FC92" s="115">
        <f>SUMIFS(商品数据源!$H:$H,商品数据源!$A:$A,$B$92,商品数据源!$B:$B,FC2)</f>
        <v>36.84</v>
      </c>
      <c r="FD92" s="115">
        <f>SUMIFS(商品数据源!$H:$H,商品数据源!$A:$A,$B$92,商品数据源!$B:$B,FD2)</f>
        <v>37.45</v>
      </c>
      <c r="FE92" s="115">
        <f>SUMIFS(商品数据源!$H:$H,商品数据源!$A:$A,$B$92,商品数据源!$B:$B,FE2)</f>
        <v>50</v>
      </c>
      <c r="FF92" s="115">
        <f>SUMIFS(商品数据源!$H:$H,商品数据源!$A:$A,$B$92,商品数据源!$B:$B,FF2)</f>
        <v>49.19</v>
      </c>
      <c r="FG92" s="115">
        <f>SUMIFS(商品数据源!$H:$H,商品数据源!$A:$A,$B$92,商品数据源!$B:$B,FG2)</f>
        <v>42.59</v>
      </c>
      <c r="FH92" s="115">
        <f>SUMIFS(商品数据源!$H:$H,商品数据源!$A:$A,$B$92,商品数据源!$B:$B,FH2)</f>
        <v>27.16</v>
      </c>
      <c r="FI92" s="115">
        <f>SUMIFS(商品数据源!$H:$H,商品数据源!$A:$A,$B$92,商品数据源!$B:$B,FI2)</f>
        <v>44.55</v>
      </c>
      <c r="FJ92" s="115">
        <f>SUMIFS(商品数据源!$H:$H,商品数据源!$A:$A,$B$92,商品数据源!$B:$B,FJ2)</f>
        <v>40.57</v>
      </c>
      <c r="FK92" s="115">
        <f>SUMIFS(商品数据源!$H:$H,商品数据源!$A:$A,$B$92,商品数据源!$B:$B,FK2)</f>
        <v>41.64</v>
      </c>
      <c r="FL92" s="115">
        <f>SUMIFS(商品数据源!$H:$H,商品数据源!$A:$A,$B$92,商品数据源!$B:$B,FL2)</f>
        <v>50</v>
      </c>
      <c r="FM92" s="115">
        <f>SUMIFS(商品数据源!$H:$H,商品数据源!$A:$A,$B$92,商品数据源!$B:$B,FM2)</f>
        <v>50</v>
      </c>
      <c r="FN92" s="115">
        <f>SUMIFS(商品数据源!$H:$H,商品数据源!$A:$A,$B$92,商品数据源!$B:$B,FN2)</f>
        <v>37.76</v>
      </c>
      <c r="FO92" s="115">
        <f>SUMIFS(商品数据源!$H:$H,商品数据源!$A:$A,$B$92,商品数据源!$B:$B,FO2)</f>
        <v>43.81</v>
      </c>
      <c r="FP92" s="115">
        <f>SUMIFS(商品数据源!$H:$H,商品数据源!$A:$A,$B$92,商品数据源!$B:$B,FP2)</f>
        <v>35.46</v>
      </c>
      <c r="FQ92" s="65">
        <f t="shared" ref="FQ92:FQ95" si="446">SUM(FR92:GX92)</f>
        <v>953.79</v>
      </c>
      <c r="FR92" s="115">
        <f>SUMIFS(商品数据源!$H:$H,商品数据源!$A:$A,$B$92,商品数据源!$B:$B,FR2)</f>
        <v>50</v>
      </c>
      <c r="FS92" s="115">
        <f>SUMIFS(商品数据源!$H:$H,商品数据源!$A:$A,$B$92,商品数据源!$B:$B,FS2)</f>
        <v>47.8</v>
      </c>
      <c r="FT92" s="115">
        <f>SUMIFS(商品数据源!$H:$H,商品数据源!$A:$A,$B$92,商品数据源!$B:$B,FT2)</f>
        <v>50</v>
      </c>
      <c r="FU92" s="115">
        <f>SUMIFS(商品数据源!$H:$H,商品数据源!$A:$A,$B$92,商品数据源!$B:$B,FU2)</f>
        <v>49.95</v>
      </c>
      <c r="FV92" s="115">
        <f>SUMIFS(商品数据源!$H:$H,商品数据源!$A:$A,$B$92,商品数据源!$B:$B,FV2)</f>
        <v>42.68</v>
      </c>
      <c r="FW92" s="115">
        <f>SUMIFS(商品数据源!$H:$H,商品数据源!$A:$A,$B$92,商品数据源!$B:$B,FW2)</f>
        <v>48.03</v>
      </c>
      <c r="FX92" s="115">
        <f>SUMIFS(商品数据源!$H:$H,商品数据源!$A:$A,$B$92,商品数据源!$B:$B,FX2)</f>
        <v>50</v>
      </c>
      <c r="FY92" s="115">
        <f>SUMIFS(商品数据源!$H:$H,商品数据源!$A:$A,$B$92,商品数据源!$B:$B,FY2)</f>
        <v>39.75</v>
      </c>
      <c r="FZ92" s="115">
        <f>SUMIFS(商品数据源!$H:$H,商品数据源!$A:$A,$B$92,商品数据源!$B:$B,FZ2)</f>
        <v>50</v>
      </c>
      <c r="GA92" s="115">
        <f>SUMIFS(商品数据源!$H:$H,商品数据源!$A:$A,$B$92,商品数据源!$B:$B,GA2)</f>
        <v>43.89</v>
      </c>
      <c r="GB92" s="115">
        <f>SUMIFS(商品数据源!$H:$H,商品数据源!$A:$A,$B$92,商品数据源!$B:$B,GB2)</f>
        <v>48.43</v>
      </c>
      <c r="GC92" s="115">
        <f>SUMIFS(商品数据源!$H:$H,商品数据源!$A:$A,$B$92,商品数据源!$B:$B,GC2)</f>
        <v>48.34</v>
      </c>
      <c r="GD92" s="115">
        <f>SUMIFS(商品数据源!$H:$H,商品数据源!$A:$A,$B$92,商品数据源!$B:$B,GD2)</f>
        <v>50</v>
      </c>
      <c r="GE92" s="115">
        <f>SUMIFS(商品数据源!$H:$H,商品数据源!$A:$A,$B$92,商品数据源!$B:$B,GE2)</f>
        <v>50</v>
      </c>
      <c r="GF92" s="115">
        <f>SUMIFS(商品数据源!$H:$H,商品数据源!$A:$A,$B$92,商品数据源!$B:$B,GF2)</f>
        <v>47.71</v>
      </c>
      <c r="GG92" s="115">
        <f>SUMIFS(商品数据源!$H:$H,商品数据源!$A:$A,$B$92,商品数据源!$B:$B,GG2)</f>
        <v>24.82</v>
      </c>
      <c r="GH92" s="115">
        <f>SUMIFS(商品数据源!$H:$H,商品数据源!$A:$A,$B$92,商品数据源!$B:$B,GH2)</f>
        <v>31.78</v>
      </c>
      <c r="GI92" s="115">
        <f>SUMIFS(商品数据源!$H:$H,商品数据源!$A:$A,$B$92,商品数据源!$B:$B,GI2)</f>
        <v>47.61</v>
      </c>
      <c r="GJ92" s="115">
        <f>SUMIFS(商品数据源!$H:$H,商品数据源!$A:$A,$B$92,商品数据源!$B:$B,GJ2)</f>
        <v>50</v>
      </c>
      <c r="GK92" s="115">
        <f>SUMIFS(商品数据源!$H:$H,商品数据源!$A:$A,$B$92,商品数据源!$B:$B,GK2)</f>
        <v>50</v>
      </c>
      <c r="GL92" s="115">
        <f>SUMIFS(商品数据源!$H:$H,商品数据源!$A:$A,$B$92,商品数据源!$B:$B,GL2)</f>
        <v>33</v>
      </c>
      <c r="GM92" s="115">
        <f>SUMIFS(商品数据源!$H:$H,商品数据源!$A:$A,$B$92,商品数据源!$B:$B,GM2)</f>
        <v>0</v>
      </c>
      <c r="GN92" s="115">
        <f>SUMIFS(商品数据源!$H:$H,商品数据源!$A:$A,$B$92,商品数据源!$B:$B,GN2)</f>
        <v>0</v>
      </c>
      <c r="GO92" s="115">
        <f>SUMIFS(商品数据源!$H:$H,商品数据源!$A:$A,$B$92,商品数据源!$B:$B,GO2)</f>
        <v>0</v>
      </c>
      <c r="GP92" s="115">
        <f>SUMIFS(商品数据源!$H:$H,商品数据源!$A:$A,$B$92,商品数据源!$B:$B,GP2)</f>
        <v>0</v>
      </c>
    </row>
    <row r="93" s="47" customFormat="1" ht="15" customHeight="1" spans="2:198">
      <c r="B93" s="112"/>
      <c r="C93" s="113" t="s">
        <v>21</v>
      </c>
      <c r="D93" s="114" t="e">
        <f>SUM(E93:P93)</f>
        <v>#REF!</v>
      </c>
      <c r="E93" s="115" t="e">
        <f>#REF!</f>
        <v>#REF!</v>
      </c>
      <c r="F93" s="115" t="e">
        <f>#REF!</f>
        <v>#REF!</v>
      </c>
      <c r="G93" s="115" t="e">
        <f>#REF!</f>
        <v>#REF!</v>
      </c>
      <c r="H93" s="115" t="e">
        <f>#REF!</f>
        <v>#REF!</v>
      </c>
      <c r="I93" s="115" t="e">
        <f>#REF!</f>
        <v>#REF!</v>
      </c>
      <c r="J93" s="115" t="e">
        <f>#REF!</f>
        <v>#REF!</v>
      </c>
      <c r="K93" s="115" t="e">
        <f>#REF!</f>
        <v>#REF!</v>
      </c>
      <c r="L93" s="115" t="e">
        <f>#REF!</f>
        <v>#REF!</v>
      </c>
      <c r="M93" s="115" t="e">
        <f>#REF!</f>
        <v>#REF!</v>
      </c>
      <c r="N93" s="115" t="e">
        <f>#REF!</f>
        <v>#REF!</v>
      </c>
      <c r="O93" s="115" t="e">
        <f>#REF!</f>
        <v>#REF!</v>
      </c>
      <c r="P93" s="115" t="e">
        <f>#REF!</f>
        <v>#REF!</v>
      </c>
      <c r="Q93" s="65">
        <f>SUM(R93:AV93)</f>
        <v>873</v>
      </c>
      <c r="R93" s="115">
        <f>SUMIFS(商品数据源!$G:$G,商品数据源!$A:$A,$B$92,商品数据源!$B:$B,R2)</f>
        <v>24</v>
      </c>
      <c r="S93" s="115">
        <f>SUMIFS(商品数据源!$G:$G,商品数据源!$A:$A,$B$92,商品数据源!$B:$B,S2)</f>
        <v>37</v>
      </c>
      <c r="T93" s="115">
        <f>SUMIFS(商品数据源!$G:$G,商品数据源!$A:$A,$B$92,商品数据源!$B:$B,T2)</f>
        <v>35</v>
      </c>
      <c r="U93" s="115">
        <f>SUMIFS(商品数据源!$G:$G,商品数据源!$A:$A,$B$92,商品数据源!$B:$B,U2)</f>
        <v>39</v>
      </c>
      <c r="V93" s="115">
        <f>SUMIFS(商品数据源!$G:$G,商品数据源!$A:$A,$B$92,商品数据源!$B:$B,V2)</f>
        <v>33</v>
      </c>
      <c r="W93" s="115">
        <f>SUMIFS(商品数据源!$G:$G,商品数据源!$A:$A,$B$92,商品数据源!$B:$B,W2)</f>
        <v>25</v>
      </c>
      <c r="X93" s="115">
        <f>SUMIFS(商品数据源!$G:$G,商品数据源!$A:$A,$B$92,商品数据源!$B:$B,X2)</f>
        <v>24</v>
      </c>
      <c r="Y93" s="115">
        <f>SUMIFS(商品数据源!$G:$G,商品数据源!$A:$A,$B$92,商品数据源!$B:$B,Y2)</f>
        <v>15</v>
      </c>
      <c r="Z93" s="115">
        <f>SUMIFS(商品数据源!$G:$G,商品数据源!$A:$A,$B$92,商品数据源!$B:$B,Z2)</f>
        <v>20</v>
      </c>
      <c r="AA93" s="115">
        <f>SUMIFS(商品数据源!$G:$G,商品数据源!$A:$A,$B$92,商品数据源!$B:$B,AA2)</f>
        <v>23</v>
      </c>
      <c r="AB93" s="115">
        <f>SUMIFS(商品数据源!$G:$G,商品数据源!$A:$A,$B$92,商品数据源!$B:$B,AB2)</f>
        <v>19</v>
      </c>
      <c r="AC93" s="115">
        <f>SUMIFS(商品数据源!$G:$G,商品数据源!$A:$A,$B$92,商品数据源!$B:$B,AC2)</f>
        <v>29</v>
      </c>
      <c r="AD93" s="115">
        <f>SUMIFS(商品数据源!$G:$G,商品数据源!$A:$A,$B$92,商品数据源!$B:$B,AD2)</f>
        <v>19</v>
      </c>
      <c r="AE93" s="115">
        <f>SUMIFS(商品数据源!$G:$G,商品数据源!$A:$A,$B$92,商品数据源!$B:$B,AE2)</f>
        <v>26</v>
      </c>
      <c r="AF93" s="115">
        <f>SUMIFS(商品数据源!$G:$G,商品数据源!$A:$A,$B$92,商品数据源!$B:$B,AF2)</f>
        <v>28</v>
      </c>
      <c r="AG93" s="115">
        <f>SUMIFS(商品数据源!$G:$G,商品数据源!$A:$A,$B$92,商品数据源!$B:$B,AG2)</f>
        <v>31</v>
      </c>
      <c r="AH93" s="115">
        <f>SUMIFS(商品数据源!$G:$G,商品数据源!$A:$A,$B$92,商品数据源!$B:$B,AH2)</f>
        <v>34</v>
      </c>
      <c r="AI93" s="115">
        <f>SUMIFS(商品数据源!$G:$G,商品数据源!$A:$A,$B$92,商品数据源!$B:$B,AI2)</f>
        <v>36</v>
      </c>
      <c r="AJ93" s="115">
        <f>SUMIFS(商品数据源!$G:$G,商品数据源!$A:$A,$B$92,商品数据源!$B:$B,AJ2)</f>
        <v>34</v>
      </c>
      <c r="AK93" s="115">
        <f>SUMIFS(商品数据源!$G:$G,商品数据源!$A:$A,$B$92,商品数据源!$B:$B,AK2)</f>
        <v>27</v>
      </c>
      <c r="AL93" s="115">
        <f>SUMIFS(商品数据源!$G:$G,商品数据源!$A:$A,$B$92,商品数据源!$B:$B,AL2)</f>
        <v>23</v>
      </c>
      <c r="AM93" s="115">
        <f>SUMIFS(商品数据源!$G:$G,商品数据源!$A:$A,$B$92,商品数据源!$B:$B,AM2)</f>
        <v>20</v>
      </c>
      <c r="AN93" s="115">
        <f>SUMIFS(商品数据源!$G:$G,商品数据源!$A:$A,$B$92,商品数据源!$B:$B,AN2)</f>
        <v>34</v>
      </c>
      <c r="AO93" s="115">
        <f>SUMIFS(商品数据源!$G:$G,商品数据源!$A:$A,$B$92,商品数据源!$B:$B,AO2)</f>
        <v>25</v>
      </c>
      <c r="AP93" s="115">
        <f>SUMIFS(商品数据源!$G:$G,商品数据源!$A:$A,$B$92,商品数据源!$B:$B,AP2)</f>
        <v>17</v>
      </c>
      <c r="AQ93" s="115">
        <f>SUMIFS(商品数据源!$G:$G,商品数据源!$A:$A,$B$92,商品数据源!$B:$B,AQ2)</f>
        <v>34</v>
      </c>
      <c r="AR93" s="115">
        <f>SUMIFS(商品数据源!$G:$G,商品数据源!$A:$A,$B$92,商品数据源!$B:$B,AR2)</f>
        <v>31</v>
      </c>
      <c r="AS93" s="115">
        <f>SUMIFS(商品数据源!$G:$G,商品数据源!$A:$A,$B$92,商品数据源!$B:$B,AS2)</f>
        <v>35</v>
      </c>
      <c r="AT93" s="115">
        <f>SUMIFS(商品数据源!$G:$G,商品数据源!$A:$A,$B$92,商品数据源!$B:$B,AT2)</f>
        <v>31</v>
      </c>
      <c r="AU93" s="115">
        <f>SUMIFS(商品数据源!$G:$G,商品数据源!$A:$A,$B$92,商品数据源!$B:$B,AU2)</f>
        <v>40</v>
      </c>
      <c r="AV93" s="115">
        <f>SUMIFS(商品数据源!$G:$G,商品数据源!$A:$A,$B$92,商品数据源!$B:$B,AV2)</f>
        <v>25</v>
      </c>
      <c r="AW93" s="65">
        <f>SUM(AX93:BY93)</f>
        <v>1050</v>
      </c>
      <c r="AX93" s="115">
        <f>SUMIFS(商品数据源!$G:$G,商品数据源!$A:$A,$B$92,商品数据源!$B:$B,AX2)</f>
        <v>39</v>
      </c>
      <c r="AY93" s="115">
        <f>SUMIFS(商品数据源!$G:$G,商品数据源!$A:$A,$B$92,商品数据源!$B:$B,AY2)</f>
        <v>50</v>
      </c>
      <c r="AZ93" s="115">
        <f>SUMIFS(商品数据源!$G:$G,商品数据源!$A:$A,$B$92,商品数据源!$B:$B,AZ2)</f>
        <v>37</v>
      </c>
      <c r="BA93" s="115">
        <f>SUMIFS(商品数据源!$G:$G,商品数据源!$A:$A,$B$92,商品数据源!$B:$B,BA2)</f>
        <v>48</v>
      </c>
      <c r="BB93" s="115">
        <f>SUMIFS(商品数据源!$G:$G,商品数据源!$A:$A,$B$92,商品数据源!$B:$B,BB2)</f>
        <v>49</v>
      </c>
      <c r="BC93" s="115">
        <f>SUMIFS(商品数据源!$G:$G,商品数据源!$A:$A,$B$92,商品数据源!$B:$B,BC2)</f>
        <v>38</v>
      </c>
      <c r="BD93" s="115">
        <f>SUMIFS(商品数据源!$G:$G,商品数据源!$A:$A,$B$92,商品数据源!$B:$B,BD2)</f>
        <v>14</v>
      </c>
      <c r="BE93" s="115">
        <f>SUMIFS(商品数据源!$G:$G,商品数据源!$A:$A,$B$92,商品数据源!$B:$B,BE2)</f>
        <v>15</v>
      </c>
      <c r="BF93" s="115">
        <f>SUMIFS(商品数据源!$G:$G,商品数据源!$A:$A,$B$92,商品数据源!$B:$B,BF2)</f>
        <v>31</v>
      </c>
      <c r="BG93" s="115">
        <f>SUMIFS(商品数据源!$G:$G,商品数据源!$A:$A,$B$92,商品数据源!$B:$B,BG2)</f>
        <v>40</v>
      </c>
      <c r="BH93" s="115">
        <f>SUMIFS(商品数据源!$G:$G,商品数据源!$A:$A,$B$92,商品数据源!$B:$B,BH2)</f>
        <v>36</v>
      </c>
      <c r="BI93" s="115">
        <f>SUMIFS(商品数据源!$G:$G,商品数据源!$A:$A,$B$92,商品数据源!$B:$B,BI2)</f>
        <v>45</v>
      </c>
      <c r="BJ93" s="115">
        <f>SUMIFS(商品数据源!$G:$G,商品数据源!$A:$A,$B$92,商品数据源!$B:$B,BJ2)</f>
        <v>40</v>
      </c>
      <c r="BK93" s="115">
        <f>SUMIFS(商品数据源!$G:$G,商品数据源!$A:$A,$B$92,商品数据源!$B:$B,BK2)</f>
        <v>45</v>
      </c>
      <c r="BL93" s="115">
        <f>SUMIFS(商品数据源!$G:$G,商品数据源!$A:$A,$B$92,商品数据源!$B:$B,BL2)</f>
        <v>35</v>
      </c>
      <c r="BM93" s="115">
        <f>SUMIFS(商品数据源!$G:$G,商品数据源!$A:$A,$B$92,商品数据源!$B:$B,BM2)</f>
        <v>55</v>
      </c>
      <c r="BN93" s="115">
        <f>SUMIFS(商品数据源!$G:$G,商品数据源!$A:$A,$B$92,商品数据源!$B:$B,BN2)</f>
        <v>44</v>
      </c>
      <c r="BO93" s="115">
        <f>SUMIFS(商品数据源!$G:$G,商品数据源!$A:$A,$B$92,商品数据源!$B:$B,BO2)</f>
        <v>40</v>
      </c>
      <c r="BP93" s="115">
        <f>SUMIFS(商品数据源!$G:$G,商品数据源!$A:$A,$B$92,商品数据源!$B:$B,BP2)</f>
        <v>49</v>
      </c>
      <c r="BQ93" s="115">
        <f>SUMIFS(商品数据源!$G:$G,商品数据源!$A:$A,$B$92,商品数据源!$B:$B,BQ2)</f>
        <v>67</v>
      </c>
      <c r="BR93" s="115">
        <f>SUMIFS(商品数据源!$G:$G,商品数据源!$A:$A,$B$92,商品数据源!$B:$B,BR2)</f>
        <v>38</v>
      </c>
      <c r="BS93" s="115">
        <f>SUMIFS(商品数据源!$G:$G,商品数据源!$A:$A,$B$92,商品数据源!$B:$B,BS2)</f>
        <v>28</v>
      </c>
      <c r="BT93" s="115">
        <f>SUMIFS(商品数据源!$G:$G,商品数据源!$A:$A,$B$92,商品数据源!$B:$B,BT2)</f>
        <v>41</v>
      </c>
      <c r="BU93" s="115">
        <f>SUMIFS(商品数据源!$G:$G,商品数据源!$A:$A,$B$92,商品数据源!$B:$B,BU2)</f>
        <v>25</v>
      </c>
      <c r="BV93" s="115">
        <f>SUMIFS(商品数据源!$G:$G,商品数据源!$A:$A,$B$92,商品数据源!$B:$B,BV2)</f>
        <v>41</v>
      </c>
      <c r="BW93" s="115">
        <f>SUMIFS(商品数据源!$G:$G,商品数据源!$A:$A,$B$92,商品数据源!$B:$B,BW2)</f>
        <v>20</v>
      </c>
      <c r="BX93" s="115">
        <f>SUMIFS(商品数据源!$G:$G,商品数据源!$A:$A,$B$92,商品数据源!$B:$B,BX2)</f>
        <v>30</v>
      </c>
      <c r="BY93" s="115">
        <f>SUMIFS(商品数据源!$G:$G,商品数据源!$A:$A,$B$92,商品数据源!$B:$B,BY2)</f>
        <v>10</v>
      </c>
      <c r="BZ93" s="65">
        <f>SUM(CA93:DE93)</f>
        <v>1080</v>
      </c>
      <c r="CA93" s="115">
        <f>SUMIFS(商品数据源!$G:$G,商品数据源!$A:$A,$B$92,商品数据源!$B:$B,CA2)</f>
        <v>34</v>
      </c>
      <c r="CB93" s="115">
        <f>SUMIFS(商品数据源!$G:$G,商品数据源!$A:$A,$B$92,商品数据源!$B:$B,CB2)</f>
        <v>28</v>
      </c>
      <c r="CC93" s="115">
        <f>SUMIFS(商品数据源!$G:$G,商品数据源!$A:$A,$B$92,商品数据源!$B:$B,CC2)</f>
        <v>41</v>
      </c>
      <c r="CD93" s="115">
        <f>SUMIFS(商品数据源!$G:$G,商品数据源!$A:$A,$B$92,商品数据源!$B:$B,CD2)</f>
        <v>15</v>
      </c>
      <c r="CE93" s="115">
        <f>SUMIFS(商品数据源!$G:$G,商品数据源!$A:$A,$B$92,商品数据源!$B:$B,CE2)</f>
        <v>36</v>
      </c>
      <c r="CF93" s="115">
        <f>SUMIFS(商品数据源!$G:$G,商品数据源!$A:$A,$B$92,商品数据源!$B:$B,CF2)</f>
        <v>35</v>
      </c>
      <c r="CG93" s="115">
        <f>SUMIFS(商品数据源!$G:$G,商品数据源!$A:$A,$B$92,商品数据源!$B:$B,CG2)</f>
        <v>47</v>
      </c>
      <c r="CH93" s="115">
        <f>SUMIFS(商品数据源!$G:$G,商品数据源!$A:$A,$B$92,商品数据源!$B:$B,CH2)</f>
        <v>28</v>
      </c>
      <c r="CI93" s="115">
        <f>SUMIFS(商品数据源!$G:$G,商品数据源!$A:$A,$B$92,商品数据源!$B:$B,CI2)</f>
        <v>28</v>
      </c>
      <c r="CJ93" s="115">
        <f>SUMIFS(商品数据源!$G:$G,商品数据源!$A:$A,$B$92,商品数据源!$B:$B,CJ2)</f>
        <v>36</v>
      </c>
      <c r="CK93" s="115">
        <f>SUMIFS(商品数据源!$G:$G,商品数据源!$A:$A,$B$92,商品数据源!$B:$B,CK2)</f>
        <v>47</v>
      </c>
      <c r="CL93" s="115">
        <f>SUMIFS(商品数据源!$G:$G,商品数据源!$A:$A,$B$92,商品数据源!$B:$B,CL2)</f>
        <v>58</v>
      </c>
      <c r="CM93" s="115">
        <f>SUMIFS(商品数据源!$G:$G,商品数据源!$A:$A,$B$92,商品数据源!$B:$B,CM2)</f>
        <v>53</v>
      </c>
      <c r="CN93" s="115">
        <f>SUMIFS(商品数据源!$G:$G,商品数据源!$A:$A,$B$92,商品数据源!$B:$B,CN2)</f>
        <v>42</v>
      </c>
      <c r="CO93" s="115">
        <f>SUMIFS(商品数据源!$G:$G,商品数据源!$A:$A,$B$92,商品数据源!$B:$B,CO2)</f>
        <v>57</v>
      </c>
      <c r="CP93" s="115">
        <f>SUMIFS(商品数据源!$G:$G,商品数据源!$A:$A,$B$92,商品数据源!$B:$B,CP2)</f>
        <v>38</v>
      </c>
      <c r="CQ93" s="115">
        <f>SUMIFS(商品数据源!$G:$G,商品数据源!$A:$A,$B$92,商品数据源!$B:$B,CQ2)</f>
        <v>39</v>
      </c>
      <c r="CR93" s="115">
        <f>SUMIFS(商品数据源!$G:$G,商品数据源!$A:$A,$B$92,商品数据源!$B:$B,CR2)</f>
        <v>18</v>
      </c>
      <c r="CS93" s="115">
        <f>SUMIFS(商品数据源!$G:$G,商品数据源!$A:$A,$B$92,商品数据源!$B:$B,CS2)</f>
        <v>33</v>
      </c>
      <c r="CT93" s="115">
        <f>SUMIFS(商品数据源!$G:$G,商品数据源!$A:$A,$B$92,商品数据源!$B:$B,CT2)</f>
        <v>31</v>
      </c>
      <c r="CU93" s="115">
        <f>SUMIFS(商品数据源!$G:$G,商品数据源!$A:$A,$B$92,商品数据源!$B:$B,CU2)</f>
        <v>24</v>
      </c>
      <c r="CV93" s="115">
        <f>SUMIFS(商品数据源!$G:$G,商品数据源!$A:$A,$B$92,商品数据源!$B:$B,CV2)</f>
        <v>28</v>
      </c>
      <c r="CW93" s="115">
        <f>SUMIFS(商品数据源!$G:$G,商品数据源!$A:$A,$B$92,商品数据源!$B:$B,CW2)</f>
        <v>49</v>
      </c>
      <c r="CX93" s="115">
        <f>SUMIFS(商品数据源!$G:$G,商品数据源!$A:$A,$B$92,商品数据源!$B:$B,CX2)</f>
        <v>32</v>
      </c>
      <c r="CY93" s="115">
        <f>SUMIFS(商品数据源!$G:$G,商品数据源!$A:$A,$B$92,商品数据源!$B:$B,CY2)</f>
        <v>26</v>
      </c>
      <c r="CZ93" s="115">
        <f>SUMIFS(商品数据源!$G:$G,商品数据源!$A:$A,$B$92,商品数据源!$B:$B,CZ2)</f>
        <v>41</v>
      </c>
      <c r="DA93" s="115">
        <f>SUMIFS(商品数据源!$G:$G,商品数据源!$A:$A,$B$92,商品数据源!$B:$B,DA2)</f>
        <v>23</v>
      </c>
      <c r="DB93" s="115">
        <f>SUMIFS(商品数据源!$G:$G,商品数据源!$A:$A,$B$92,商品数据源!$B:$B,DB2)</f>
        <v>30</v>
      </c>
      <c r="DC93" s="115">
        <f>SUMIFS(商品数据源!$G:$G,商品数据源!$A:$A,$B$92,商品数据源!$B:$B,DC2)</f>
        <v>23</v>
      </c>
      <c r="DD93" s="115">
        <f>SUMIFS(商品数据源!$G:$G,商品数据源!$A:$A,$B$92,商品数据源!$B:$B,DD2)</f>
        <v>27</v>
      </c>
      <c r="DE93" s="115">
        <f>SUMIFS(商品数据源!$G:$G,商品数据源!$A:$A,$B$92,商品数据源!$B:$B,DE2)</f>
        <v>33</v>
      </c>
      <c r="DF93" s="65">
        <f>SUM(DG93:EJ93)</f>
        <v>71</v>
      </c>
      <c r="DG93" s="115">
        <f>SUMIFS(商品数据源!$G:$G,商品数据源!$A:$A,$B$92,商品数据源!$B:$B,DG2)</f>
        <v>0</v>
      </c>
      <c r="DH93" s="115">
        <f>SUMIFS(商品数据源!$G:$G,商品数据源!$A:$A,$B$92,商品数据源!$B:$B,DH2)</f>
        <v>0</v>
      </c>
      <c r="DI93" s="115">
        <f>SUMIFS(商品数据源!$G:$G,商品数据源!$A:$A,$B$92,商品数据源!$B:$B,DI2)</f>
        <v>0</v>
      </c>
      <c r="DJ93" s="115">
        <f>SUMIFS(商品数据源!$G:$G,商品数据源!$A:$A,$B$92,商品数据源!$B:$B,DJ2)</f>
        <v>0</v>
      </c>
      <c r="DK93" s="115">
        <f>SUMIFS(商品数据源!$G:$G,商品数据源!$A:$A,$B$92,商品数据源!$B:$B,DK2)</f>
        <v>0</v>
      </c>
      <c r="DL93" s="115">
        <f>SUMIFS(商品数据源!$G:$G,商品数据源!$A:$A,$B$92,商品数据源!$B:$B,DL2)</f>
        <v>0</v>
      </c>
      <c r="DM93" s="115">
        <f>SUMIFS(商品数据源!$G:$G,商品数据源!$A:$A,$B$92,商品数据源!$B:$B,DM2)</f>
        <v>0</v>
      </c>
      <c r="DN93" s="115">
        <f>SUMIFS(商品数据源!$G:$G,商品数据源!$A:$A,$B$92,商品数据源!$B:$B,DN2)</f>
        <v>0</v>
      </c>
      <c r="DO93" s="115">
        <f>SUMIFS(商品数据源!$G:$G,商品数据源!$A:$A,$B$92,商品数据源!$B:$B,DO2)</f>
        <v>0</v>
      </c>
      <c r="DP93" s="115">
        <f>SUMIFS(商品数据源!$G:$G,商品数据源!$A:$A,$B$92,商品数据源!$B:$B,DP2)</f>
        <v>0</v>
      </c>
      <c r="DQ93" s="115">
        <f>SUMIFS(商品数据源!$G:$G,商品数据源!$A:$A,$B$92,商品数据源!$B:$B,DQ2)</f>
        <v>0</v>
      </c>
      <c r="DR93" s="115">
        <f>SUMIFS(商品数据源!$G:$G,商品数据源!$A:$A,$B$92,商品数据源!$B:$B,DR2)</f>
        <v>0</v>
      </c>
      <c r="DS93" s="115">
        <f>SUMIFS(商品数据源!$G:$G,商品数据源!$A:$A,$B$92,商品数据源!$B:$B,DS2)</f>
        <v>0</v>
      </c>
      <c r="DT93" s="115">
        <f>SUMIFS(商品数据源!$G:$G,商品数据源!$A:$A,$B$92,商品数据源!$B:$B,DT2)</f>
        <v>0</v>
      </c>
      <c r="DU93" s="115">
        <f>SUMIFS(商品数据源!$G:$G,商品数据源!$A:$A,$B$92,商品数据源!$B:$B,DU2)</f>
        <v>0</v>
      </c>
      <c r="DV93" s="115">
        <f>SUMIFS(商品数据源!$G:$G,商品数据源!$A:$A,$B$92,商品数据源!$B:$B,DV2)</f>
        <v>0</v>
      </c>
      <c r="DW93" s="115">
        <f>SUMIFS(商品数据源!$G:$G,商品数据源!$A:$A,$B$92,商品数据源!$B:$B,DW2)</f>
        <v>0</v>
      </c>
      <c r="DX93" s="115">
        <f>SUMIFS(商品数据源!$G:$G,商品数据源!$A:$A,$B$92,商品数据源!$B:$B,DX2)</f>
        <v>0</v>
      </c>
      <c r="DY93" s="115">
        <f>SUMIFS(商品数据源!$G:$G,商品数据源!$A:$A,$B$92,商品数据源!$B:$B,DY2)</f>
        <v>0</v>
      </c>
      <c r="DZ93" s="115">
        <f>SUMIFS(商品数据源!$G:$G,商品数据源!$A:$A,$B$92,商品数据源!$B:$B,DZ2)</f>
        <v>0</v>
      </c>
      <c r="EA93" s="115">
        <f>SUMIFS(商品数据源!$G:$G,商品数据源!$A:$A,$B$92,商品数据源!$B:$B,EA2)</f>
        <v>0</v>
      </c>
      <c r="EB93" s="115">
        <f>SUMIFS(商品数据源!$G:$G,商品数据源!$A:$A,$B$92,商品数据源!$B:$B,EB2)</f>
        <v>0</v>
      </c>
      <c r="EC93" s="115">
        <f>SUMIFS(商品数据源!$G:$G,商品数据源!$A:$A,$B$92,商品数据源!$B:$B,EC2)</f>
        <v>0</v>
      </c>
      <c r="ED93" s="115">
        <f>SUMIFS(商品数据源!$G:$G,商品数据源!$A:$A,$B$92,商品数据源!$B:$B,ED2)</f>
        <v>0</v>
      </c>
      <c r="EE93" s="115">
        <f>SUMIFS(商品数据源!$G:$G,商品数据源!$A:$A,$B$92,商品数据源!$B:$B,EE2)</f>
        <v>0</v>
      </c>
      <c r="EF93" s="115">
        <f>SUMIFS(商品数据源!$G:$G,商品数据源!$A:$A,$B$92,商品数据源!$B:$B,EF2)</f>
        <v>0</v>
      </c>
      <c r="EG93" s="115">
        <f>SUMIFS(商品数据源!$G:$G,商品数据源!$A:$A,$B$92,商品数据源!$B:$B,EG2)</f>
        <v>0</v>
      </c>
      <c r="EH93" s="115">
        <f>SUMIFS(商品数据源!$G:$G,商品数据源!$A:$A,$B$92,商品数据源!$B:$B,EH2)</f>
        <v>11</v>
      </c>
      <c r="EI93" s="115">
        <f>SUMIFS(商品数据源!$G:$G,商品数据源!$A:$A,$B$92,商品数据源!$B:$B,EI2)</f>
        <v>27</v>
      </c>
      <c r="EJ93" s="115">
        <f>SUMIFS(商品数据源!$G:$G,商品数据源!$A:$A,$B$92,商品数据源!$B:$B,EJ2)</f>
        <v>33</v>
      </c>
      <c r="EK93" s="65">
        <f>SUM(EL93:FP93)</f>
        <v>796</v>
      </c>
      <c r="EL93" s="115">
        <f>SUMIFS(商品数据源!$G:$G,商品数据源!$A:$A,$B$92,商品数据源!$B:$B,EL2)</f>
        <v>34</v>
      </c>
      <c r="EM93" s="115">
        <f>SUMIFS(商品数据源!$G:$G,商品数据源!$A:$A,$B$92,商品数据源!$B:$B,EM2)</f>
        <v>30</v>
      </c>
      <c r="EN93" s="115">
        <f>SUMIFS(商品数据源!$G:$G,商品数据源!$A:$A,$B$92,商品数据源!$B:$B,EN2)</f>
        <v>28</v>
      </c>
      <c r="EO93" s="115">
        <f>SUMIFS(商品数据源!$G:$G,商品数据源!$A:$A,$B$92,商品数据源!$B:$B,EO2)</f>
        <v>27</v>
      </c>
      <c r="EP93" s="115">
        <f>SUMIFS(商品数据源!$G:$G,商品数据源!$A:$A,$B$92,商品数据源!$B:$B,EP2)</f>
        <v>28</v>
      </c>
      <c r="EQ93" s="115">
        <f>SUMIFS(商品数据源!$G:$G,商品数据源!$A:$A,$B$92,商品数据源!$B:$B,EQ2)</f>
        <v>23</v>
      </c>
      <c r="ER93" s="115">
        <f>SUMIFS(商品数据源!$G:$G,商品数据源!$A:$A,$B$92,商品数据源!$B:$B,ER2)</f>
        <v>21</v>
      </c>
      <c r="ES93" s="115">
        <f>SUMIFS(商品数据源!$G:$G,商品数据源!$A:$A,$B$92,商品数据源!$B:$B,ES2)</f>
        <v>24</v>
      </c>
      <c r="ET93" s="115">
        <f>SUMIFS(商品数据源!$G:$G,商品数据源!$A:$A,$B$92,商品数据源!$B:$B,ET2)</f>
        <v>34</v>
      </c>
      <c r="EU93" s="115">
        <f>SUMIFS(商品数据源!$G:$G,商品数据源!$A:$A,$B$92,商品数据源!$B:$B,EU2)</f>
        <v>37</v>
      </c>
      <c r="EV93" s="115">
        <f>SUMIFS(商品数据源!$G:$G,商品数据源!$A:$A,$B$92,商品数据源!$B:$B,EV2)</f>
        <v>24</v>
      </c>
      <c r="EW93" s="115">
        <f>SUMIFS(商品数据源!$G:$G,商品数据源!$A:$A,$B$92,商品数据源!$B:$B,EW2)</f>
        <v>32</v>
      </c>
      <c r="EX93" s="115">
        <f>SUMIFS(商品数据源!$G:$G,商品数据源!$A:$A,$B$92,商品数据源!$B:$B,EX2)</f>
        <v>20</v>
      </c>
      <c r="EY93" s="115">
        <f>SUMIFS(商品数据源!$G:$G,商品数据源!$A:$A,$B$92,商品数据源!$B:$B,EY2)</f>
        <v>23</v>
      </c>
      <c r="EZ93" s="115">
        <f>SUMIFS(商品数据源!$G:$G,商品数据源!$A:$A,$B$92,商品数据源!$B:$B,EZ2)</f>
        <v>27</v>
      </c>
      <c r="FA93" s="115">
        <f>SUMIFS(商品数据源!$G:$G,商品数据源!$A:$A,$B$92,商品数据源!$B:$B,FA2)</f>
        <v>20</v>
      </c>
      <c r="FB93" s="115">
        <f>SUMIFS(商品数据源!$G:$G,商品数据源!$A:$A,$B$92,商品数据源!$B:$B,FB2)</f>
        <v>20</v>
      </c>
      <c r="FC93" s="115">
        <f>SUMIFS(商品数据源!$G:$G,商品数据源!$A:$A,$B$92,商品数据源!$B:$B,FC2)</f>
        <v>28</v>
      </c>
      <c r="FD93" s="115">
        <f>SUMIFS(商品数据源!$G:$G,商品数据源!$A:$A,$B$92,商品数据源!$B:$B,FD2)</f>
        <v>18</v>
      </c>
      <c r="FE93" s="115">
        <f>SUMIFS(商品数据源!$G:$G,商品数据源!$A:$A,$B$92,商品数据源!$B:$B,FE2)</f>
        <v>26</v>
      </c>
      <c r="FF93" s="115">
        <f>SUMIFS(商品数据源!$G:$G,商品数据源!$A:$A,$B$92,商品数据源!$B:$B,FF2)</f>
        <v>27</v>
      </c>
      <c r="FG93" s="115">
        <f>SUMIFS(商品数据源!$G:$G,商品数据源!$A:$A,$B$92,商品数据源!$B:$B,FG2)</f>
        <v>24</v>
      </c>
      <c r="FH93" s="115">
        <f>SUMIFS(商品数据源!$G:$G,商品数据源!$A:$A,$B$92,商品数据源!$B:$B,FH2)</f>
        <v>21</v>
      </c>
      <c r="FI93" s="115">
        <f>SUMIFS(商品数据源!$G:$G,商品数据源!$A:$A,$B$92,商品数据源!$B:$B,FI2)</f>
        <v>21</v>
      </c>
      <c r="FJ93" s="115">
        <f>SUMIFS(商品数据源!$G:$G,商品数据源!$A:$A,$B$92,商品数据源!$B:$B,FJ2)</f>
        <v>22</v>
      </c>
      <c r="FK93" s="115">
        <f>SUMIFS(商品数据源!$G:$G,商品数据源!$A:$A,$B$92,商品数据源!$B:$B,FK2)</f>
        <v>32</v>
      </c>
      <c r="FL93" s="115">
        <f>SUMIFS(商品数据源!$G:$G,商品数据源!$A:$A,$B$92,商品数据源!$B:$B,FL2)</f>
        <v>24</v>
      </c>
      <c r="FM93" s="115">
        <f>SUMIFS(商品数据源!$G:$G,商品数据源!$A:$A,$B$92,商品数据源!$B:$B,FM2)</f>
        <v>22</v>
      </c>
      <c r="FN93" s="115">
        <f>SUMIFS(商品数据源!$G:$G,商品数据源!$A:$A,$B$92,商品数据源!$B:$B,FN2)</f>
        <v>19</v>
      </c>
      <c r="FO93" s="115">
        <f>SUMIFS(商品数据源!$G:$G,商品数据源!$A:$A,$B$92,商品数据源!$B:$B,FO2)</f>
        <v>29</v>
      </c>
      <c r="FP93" s="115">
        <f>SUMIFS(商品数据源!$G:$G,商品数据源!$A:$A,$B$92,商品数据源!$B:$B,FP2)</f>
        <v>31</v>
      </c>
      <c r="FQ93" s="65">
        <f t="shared" si="446"/>
        <v>698</v>
      </c>
      <c r="FR93" s="115">
        <f>SUMIFS(商品数据源!$G:$G,商品数据源!$A:$A,$B$92,商品数据源!$B:$B,FR2)</f>
        <v>25</v>
      </c>
      <c r="FS93" s="115">
        <f>SUMIFS(商品数据源!$G:$G,商品数据源!$A:$A,$B$92,商品数据源!$B:$B,FS2)</f>
        <v>25</v>
      </c>
      <c r="FT93" s="115">
        <f>SUMIFS(商品数据源!$G:$G,商品数据源!$A:$A,$B$92,商品数据源!$B:$B,FT2)</f>
        <v>39</v>
      </c>
      <c r="FU93" s="115">
        <f>SUMIFS(商品数据源!$G:$G,商品数据源!$A:$A,$B$92,商品数据源!$B:$B,FU2)</f>
        <v>23</v>
      </c>
      <c r="FV93" s="115">
        <f>SUMIFS(商品数据源!$G:$G,商品数据源!$A:$A,$B$92,商品数据源!$B:$B,FV2)</f>
        <v>59</v>
      </c>
      <c r="FW93" s="115">
        <f>SUMIFS(商品数据源!$G:$G,商品数据源!$A:$A,$B$92,商品数据源!$B:$B,FW2)</f>
        <v>88</v>
      </c>
      <c r="FX93" s="115">
        <f>SUMIFS(商品数据源!$G:$G,商品数据源!$A:$A,$B$92,商品数据源!$B:$B,FX2)</f>
        <v>68</v>
      </c>
      <c r="FY93" s="115">
        <f>SUMIFS(商品数据源!$G:$G,商品数据源!$A:$A,$B$92,商品数据源!$B:$B,FY2)</f>
        <v>21</v>
      </c>
      <c r="FZ93" s="115">
        <f>SUMIFS(商品数据源!$G:$G,商品数据源!$A:$A,$B$92,商品数据源!$B:$B,FZ2)</f>
        <v>26</v>
      </c>
      <c r="GA93" s="115">
        <f>SUMIFS(商品数据源!$G:$G,商品数据源!$A:$A,$B$92,商品数据源!$B:$B,GA2)</f>
        <v>19</v>
      </c>
      <c r="GB93" s="115">
        <f>SUMIFS(商品数据源!$G:$G,商品数据源!$A:$A,$B$92,商品数据源!$B:$B,GB2)</f>
        <v>25</v>
      </c>
      <c r="GC93" s="115">
        <f>SUMIFS(商品数据源!$G:$G,商品数据源!$A:$A,$B$92,商品数据源!$B:$B,GC2)</f>
        <v>24</v>
      </c>
      <c r="GD93" s="115">
        <f>SUMIFS(商品数据源!$G:$G,商品数据源!$A:$A,$B$92,商品数据源!$B:$B,GD2)</f>
        <v>23</v>
      </c>
      <c r="GE93" s="115">
        <f>SUMIFS(商品数据源!$G:$G,商品数据源!$A:$A,$B$92,商品数据源!$B:$B,GE2)</f>
        <v>18</v>
      </c>
      <c r="GF93" s="115">
        <f>SUMIFS(商品数据源!$G:$G,商品数据源!$A:$A,$B$92,商品数据源!$B:$B,GF2)</f>
        <v>32</v>
      </c>
      <c r="GG93" s="115">
        <f>SUMIFS(商品数据源!$G:$G,商品数据源!$A:$A,$B$92,商品数据源!$B:$B,GG2)</f>
        <v>39</v>
      </c>
      <c r="GH93" s="115">
        <f>SUMIFS(商品数据源!$G:$G,商品数据源!$A:$A,$B$92,商品数据源!$B:$B,GH2)</f>
        <v>16</v>
      </c>
      <c r="GI93" s="115">
        <f>SUMIFS(商品数据源!$G:$G,商品数据源!$A:$A,$B$92,商品数据源!$B:$B,GI2)</f>
        <v>36</v>
      </c>
      <c r="GJ93" s="115">
        <f>SUMIFS(商品数据源!$G:$G,商品数据源!$A:$A,$B$92,商品数据源!$B:$B,GJ2)</f>
        <v>20</v>
      </c>
      <c r="GK93" s="115">
        <f>SUMIFS(商品数据源!$G:$G,商品数据源!$A:$A,$B$92,商品数据源!$B:$B,GK2)</f>
        <v>36</v>
      </c>
      <c r="GL93" s="115">
        <f>SUMIFS(商品数据源!$G:$G,商品数据源!$A:$A,$B$92,商品数据源!$B:$B,GL2)</f>
        <v>36</v>
      </c>
      <c r="GM93" s="115">
        <f>SUMIFS(商品数据源!$G:$G,商品数据源!$A:$A,$B$92,商品数据源!$B:$B,GM2)</f>
        <v>0</v>
      </c>
      <c r="GN93" s="115">
        <f>SUMIFS(商品数据源!$G:$G,商品数据源!$A:$A,$B$92,商品数据源!$B:$B,GN2)</f>
        <v>0</v>
      </c>
      <c r="GO93" s="115">
        <f>SUMIFS(商品数据源!$G:$G,商品数据源!$A:$A,$B$92,商品数据源!$B:$B,GO2)</f>
        <v>0</v>
      </c>
      <c r="GP93" s="115">
        <f>SUMIFS(商品数据源!$G:$G,商品数据源!$A:$A,$B$92,商品数据源!$B:$B,GP2)</f>
        <v>0</v>
      </c>
    </row>
    <row r="94" s="47" customFormat="1" ht="15" customHeight="1" spans="2:198">
      <c r="B94" s="112"/>
      <c r="C94" s="113" t="s">
        <v>22</v>
      </c>
      <c r="D94" s="116" t="e">
        <f>D92/D93</f>
        <v>#REF!</v>
      </c>
      <c r="E94" s="117" t="e">
        <f>E92/E93</f>
        <v>#REF!</v>
      </c>
      <c r="F94" s="117" t="e">
        <f t="shared" ref="F94:O94" si="447">F92/F93</f>
        <v>#REF!</v>
      </c>
      <c r="G94" s="117" t="e">
        <f t="shared" si="447"/>
        <v>#REF!</v>
      </c>
      <c r="H94" s="117" t="e">
        <f t="shared" si="447"/>
        <v>#REF!</v>
      </c>
      <c r="I94" s="117" t="e">
        <f t="shared" si="447"/>
        <v>#REF!</v>
      </c>
      <c r="J94" s="117" t="e">
        <f t="shared" si="447"/>
        <v>#REF!</v>
      </c>
      <c r="K94" s="117" t="e">
        <f t="shared" si="447"/>
        <v>#REF!</v>
      </c>
      <c r="L94" s="117" t="e">
        <f t="shared" si="447"/>
        <v>#REF!</v>
      </c>
      <c r="M94" s="117" t="e">
        <f t="shared" si="447"/>
        <v>#REF!</v>
      </c>
      <c r="N94" s="117" t="e">
        <f t="shared" si="447"/>
        <v>#REF!</v>
      </c>
      <c r="O94" s="117" t="e">
        <f t="shared" si="447"/>
        <v>#REF!</v>
      </c>
      <c r="P94" s="117" t="e">
        <f t="shared" ref="P94:X94" si="448">P92/P93</f>
        <v>#REF!</v>
      </c>
      <c r="Q94" s="118">
        <f t="shared" si="448"/>
        <v>2.88408934707904</v>
      </c>
      <c r="R94" s="116">
        <f t="shared" si="448"/>
        <v>3.04583333333333</v>
      </c>
      <c r="S94" s="116">
        <f t="shared" si="448"/>
        <v>1.67864864864865</v>
      </c>
      <c r="T94" s="116">
        <f t="shared" si="448"/>
        <v>2.06514285714286</v>
      </c>
      <c r="U94" s="116">
        <f t="shared" si="448"/>
        <v>1.89435897435897</v>
      </c>
      <c r="V94" s="116">
        <f t="shared" si="448"/>
        <v>1.8930303030303</v>
      </c>
      <c r="W94" s="116">
        <f t="shared" si="448"/>
        <v>2.4896</v>
      </c>
      <c r="X94" s="116">
        <f t="shared" si="448"/>
        <v>0.83125</v>
      </c>
      <c r="Y94" s="116">
        <f t="shared" ref="Y94:AL94" si="449">Y92/Y93</f>
        <v>6.66666666666667</v>
      </c>
      <c r="Z94" s="116">
        <f t="shared" si="449"/>
        <v>4.1595</v>
      </c>
      <c r="AA94" s="116">
        <f t="shared" si="449"/>
        <v>2.79565217391304</v>
      </c>
      <c r="AB94" s="116">
        <f t="shared" si="449"/>
        <v>3.59631578947368</v>
      </c>
      <c r="AC94" s="116">
        <f t="shared" si="449"/>
        <v>2.52034482758621</v>
      </c>
      <c r="AD94" s="116">
        <f t="shared" si="449"/>
        <v>3.59052631578947</v>
      </c>
      <c r="AE94" s="116">
        <f t="shared" si="449"/>
        <v>2.575</v>
      </c>
      <c r="AF94" s="116">
        <f t="shared" si="449"/>
        <v>2.55428571428571</v>
      </c>
      <c r="AG94" s="116">
        <f t="shared" si="449"/>
        <v>4.65774193548387</v>
      </c>
      <c r="AH94" s="116">
        <f t="shared" si="449"/>
        <v>4.22970588235294</v>
      </c>
      <c r="AI94" s="116">
        <f t="shared" si="449"/>
        <v>3.05027777777778</v>
      </c>
      <c r="AJ94" s="116">
        <f t="shared" si="449"/>
        <v>5.87558823529412</v>
      </c>
      <c r="AK94" s="116">
        <f t="shared" si="449"/>
        <v>2.70703703703704</v>
      </c>
      <c r="AL94" s="116">
        <f t="shared" ref="AL94:BH94" si="450">AL92/AL93</f>
        <v>3.21173913043478</v>
      </c>
      <c r="AM94" s="116">
        <f t="shared" si="450"/>
        <v>4</v>
      </c>
      <c r="AN94" s="116">
        <f t="shared" si="450"/>
        <v>1.94176470588235</v>
      </c>
      <c r="AO94" s="116">
        <f t="shared" si="450"/>
        <v>3.2</v>
      </c>
      <c r="AP94" s="116">
        <f t="shared" si="450"/>
        <v>4.70588235294118</v>
      </c>
      <c r="AQ94" s="116">
        <f t="shared" si="450"/>
        <v>1.76382352941176</v>
      </c>
      <c r="AR94" s="116">
        <f t="shared" si="450"/>
        <v>2.58064516129032</v>
      </c>
      <c r="AS94" s="116">
        <f t="shared" si="450"/>
        <v>2.10142857142857</v>
      </c>
      <c r="AT94" s="116">
        <f t="shared" si="450"/>
        <v>2.58064516129032</v>
      </c>
      <c r="AU94" s="116">
        <f t="shared" si="450"/>
        <v>1.7975</v>
      </c>
      <c r="AV94" s="116">
        <f t="shared" si="450"/>
        <v>3.2</v>
      </c>
      <c r="AW94" s="118">
        <f t="shared" si="450"/>
        <v>1.97968571428571</v>
      </c>
      <c r="AX94" s="116">
        <f t="shared" si="450"/>
        <v>1.88410256410256</v>
      </c>
      <c r="AY94" s="116">
        <f t="shared" si="450"/>
        <v>1.6</v>
      </c>
      <c r="AZ94" s="116">
        <f t="shared" si="450"/>
        <v>1.95513513513514</v>
      </c>
      <c r="BA94" s="116">
        <f t="shared" si="450"/>
        <v>1.39291666666667</v>
      </c>
      <c r="BB94" s="116">
        <f t="shared" si="450"/>
        <v>1.63265306122449</v>
      </c>
      <c r="BC94" s="116">
        <f t="shared" si="450"/>
        <v>1.98684210526316</v>
      </c>
      <c r="BD94" s="116">
        <f t="shared" si="450"/>
        <v>5.71428571428571</v>
      </c>
      <c r="BE94" s="116">
        <f t="shared" si="450"/>
        <v>5.33333333333333</v>
      </c>
      <c r="BF94" s="116">
        <f t="shared" si="450"/>
        <v>2.58064516129032</v>
      </c>
      <c r="BG94" s="116">
        <f t="shared" si="450"/>
        <v>2</v>
      </c>
      <c r="BH94" s="116">
        <f t="shared" si="450"/>
        <v>2.22222222222222</v>
      </c>
      <c r="BI94" s="116">
        <f t="shared" ref="BI94:BW94" si="451">BI92/BI93</f>
        <v>1.65533333333333</v>
      </c>
      <c r="BJ94" s="116">
        <f t="shared" si="451"/>
        <v>2</v>
      </c>
      <c r="BK94" s="116">
        <f t="shared" si="451"/>
        <v>1.77777777777778</v>
      </c>
      <c r="BL94" s="116">
        <f t="shared" si="451"/>
        <v>2.13</v>
      </c>
      <c r="BM94" s="116">
        <f t="shared" si="451"/>
        <v>0.734545454545455</v>
      </c>
      <c r="BN94" s="116">
        <f t="shared" si="451"/>
        <v>1.54659090909091</v>
      </c>
      <c r="BO94" s="116">
        <f t="shared" si="451"/>
        <v>1.68575</v>
      </c>
      <c r="BP94" s="116">
        <f t="shared" si="451"/>
        <v>1.4865306122449</v>
      </c>
      <c r="BQ94" s="116">
        <f t="shared" si="451"/>
        <v>1.12582089552239</v>
      </c>
      <c r="BR94" s="116">
        <f t="shared" si="451"/>
        <v>1.81052631578947</v>
      </c>
      <c r="BS94" s="116">
        <f t="shared" si="451"/>
        <v>2.3575</v>
      </c>
      <c r="BT94" s="116">
        <f t="shared" si="451"/>
        <v>1.73292682926829</v>
      </c>
      <c r="BU94" s="116">
        <f t="shared" si="451"/>
        <v>3.2</v>
      </c>
      <c r="BV94" s="116">
        <f t="shared" si="451"/>
        <v>1.74243902439024</v>
      </c>
      <c r="BW94" s="116">
        <f t="shared" si="451"/>
        <v>4</v>
      </c>
      <c r="BX94" s="116">
        <f t="shared" ref="BX94:CH94" si="452">BX92/BX93</f>
        <v>2.66666666666667</v>
      </c>
      <c r="BY94" s="116">
        <f t="shared" si="452"/>
        <v>8</v>
      </c>
      <c r="BZ94" s="118">
        <f t="shared" si="452"/>
        <v>1.89085185185185</v>
      </c>
      <c r="CA94" s="116">
        <f t="shared" si="452"/>
        <v>2.05676470588235</v>
      </c>
      <c r="CB94" s="116">
        <f t="shared" si="452"/>
        <v>2.84142857142857</v>
      </c>
      <c r="CC94" s="116">
        <f t="shared" si="452"/>
        <v>1.95121951219512</v>
      </c>
      <c r="CD94" s="116">
        <f t="shared" si="452"/>
        <v>5.33333333333333</v>
      </c>
      <c r="CE94" s="116">
        <f t="shared" si="452"/>
        <v>1.84833333333333</v>
      </c>
      <c r="CF94" s="116">
        <f t="shared" si="452"/>
        <v>2.28571428571429</v>
      </c>
      <c r="CG94" s="116">
        <f t="shared" si="452"/>
        <v>1.67510638297872</v>
      </c>
      <c r="CH94" s="116">
        <f t="shared" si="452"/>
        <v>2.85714285714286</v>
      </c>
      <c r="CI94" s="116">
        <f t="shared" ref="CI94:EH94" si="453">CI92/CI93</f>
        <v>2.85714285714286</v>
      </c>
      <c r="CJ94" s="116">
        <f t="shared" si="453"/>
        <v>2.22222222222222</v>
      </c>
      <c r="CK94" s="116">
        <f t="shared" si="453"/>
        <v>1.65106382978723</v>
      </c>
      <c r="CL94" s="116">
        <f t="shared" si="453"/>
        <v>0.460172413793103</v>
      </c>
      <c r="CM94" s="116">
        <f t="shared" si="453"/>
        <v>1.27792452830189</v>
      </c>
      <c r="CN94" s="116">
        <f t="shared" si="453"/>
        <v>1.81952380952381</v>
      </c>
      <c r="CO94" s="116">
        <f t="shared" si="453"/>
        <v>1.40350877192982</v>
      </c>
      <c r="CP94" s="116">
        <f t="shared" si="453"/>
        <v>1.73</v>
      </c>
      <c r="CQ94" s="116">
        <f t="shared" si="453"/>
        <v>1.88128205128205</v>
      </c>
      <c r="CR94" s="116">
        <f t="shared" si="453"/>
        <v>3.33333333333333</v>
      </c>
      <c r="CS94" s="116">
        <f t="shared" si="453"/>
        <v>1.81818181818182</v>
      </c>
      <c r="CT94" s="116">
        <f t="shared" si="453"/>
        <v>1.93548387096774</v>
      </c>
      <c r="CU94" s="116">
        <f t="shared" si="453"/>
        <v>2.5</v>
      </c>
      <c r="CV94" s="116">
        <f t="shared" si="453"/>
        <v>1.81321428571429</v>
      </c>
      <c r="CW94" s="116">
        <f t="shared" si="453"/>
        <v>1.22448979591837</v>
      </c>
      <c r="CX94" s="116">
        <f t="shared" si="453"/>
        <v>1.875</v>
      </c>
      <c r="CY94" s="116">
        <f t="shared" si="453"/>
        <v>2.30769230769231</v>
      </c>
      <c r="CZ94" s="116">
        <f t="shared" si="453"/>
        <v>1.36634146341463</v>
      </c>
      <c r="DA94" s="116">
        <f t="shared" si="453"/>
        <v>2.60869565217391</v>
      </c>
      <c r="DB94" s="116">
        <f t="shared" si="453"/>
        <v>1.796</v>
      </c>
      <c r="DC94" s="116">
        <f t="shared" si="453"/>
        <v>2.60869565217391</v>
      </c>
      <c r="DD94" s="116">
        <f t="shared" si="453"/>
        <v>1.87851851851852</v>
      </c>
      <c r="DE94" s="116">
        <f t="shared" si="453"/>
        <v>1.46727272727273</v>
      </c>
      <c r="DF94" s="118">
        <f t="shared" si="453"/>
        <v>1.77380281690141</v>
      </c>
      <c r="DG94" s="116" t="e">
        <f t="shared" si="453"/>
        <v>#DIV/0!</v>
      </c>
      <c r="DH94" s="116" t="e">
        <f t="shared" si="453"/>
        <v>#DIV/0!</v>
      </c>
      <c r="DI94" s="116" t="e">
        <f t="shared" si="453"/>
        <v>#DIV/0!</v>
      </c>
      <c r="DJ94" s="116" t="e">
        <f t="shared" si="453"/>
        <v>#DIV/0!</v>
      </c>
      <c r="DK94" s="116" t="e">
        <f t="shared" si="453"/>
        <v>#DIV/0!</v>
      </c>
      <c r="DL94" s="116" t="e">
        <f t="shared" si="453"/>
        <v>#DIV/0!</v>
      </c>
      <c r="DM94" s="116" t="e">
        <f t="shared" si="453"/>
        <v>#DIV/0!</v>
      </c>
      <c r="DN94" s="116" t="e">
        <f t="shared" si="453"/>
        <v>#DIV/0!</v>
      </c>
      <c r="DO94" s="116" t="e">
        <f t="shared" si="453"/>
        <v>#DIV/0!</v>
      </c>
      <c r="DP94" s="116" t="e">
        <f t="shared" si="453"/>
        <v>#DIV/0!</v>
      </c>
      <c r="DQ94" s="116" t="e">
        <f t="shared" si="453"/>
        <v>#DIV/0!</v>
      </c>
      <c r="DR94" s="116" t="e">
        <f t="shared" si="453"/>
        <v>#DIV/0!</v>
      </c>
      <c r="DS94" s="116" t="e">
        <f t="shared" si="453"/>
        <v>#DIV/0!</v>
      </c>
      <c r="DT94" s="116" t="e">
        <f t="shared" si="453"/>
        <v>#DIV/0!</v>
      </c>
      <c r="DU94" s="116" t="e">
        <f t="shared" si="453"/>
        <v>#DIV/0!</v>
      </c>
      <c r="DV94" s="116" t="e">
        <f t="shared" si="453"/>
        <v>#DIV/0!</v>
      </c>
      <c r="DW94" s="116" t="e">
        <f t="shared" si="453"/>
        <v>#DIV/0!</v>
      </c>
      <c r="DX94" s="116" t="e">
        <f t="shared" si="453"/>
        <v>#DIV/0!</v>
      </c>
      <c r="DY94" s="116" t="e">
        <f t="shared" si="453"/>
        <v>#DIV/0!</v>
      </c>
      <c r="DZ94" s="116" t="e">
        <f t="shared" si="453"/>
        <v>#DIV/0!</v>
      </c>
      <c r="EA94" s="116" t="e">
        <f t="shared" si="453"/>
        <v>#DIV/0!</v>
      </c>
      <c r="EB94" s="116" t="e">
        <f t="shared" si="453"/>
        <v>#DIV/0!</v>
      </c>
      <c r="EC94" s="116" t="e">
        <f t="shared" si="453"/>
        <v>#DIV/0!</v>
      </c>
      <c r="ED94" s="116" t="e">
        <f t="shared" si="453"/>
        <v>#DIV/0!</v>
      </c>
      <c r="EE94" s="116" t="e">
        <f t="shared" si="453"/>
        <v>#DIV/0!</v>
      </c>
      <c r="EF94" s="116" t="e">
        <f t="shared" si="453"/>
        <v>#DIV/0!</v>
      </c>
      <c r="EG94" s="116" t="e">
        <f t="shared" si="453"/>
        <v>#DIV/0!</v>
      </c>
      <c r="EH94" s="116">
        <f t="shared" si="453"/>
        <v>4.54545454545455</v>
      </c>
      <c r="EI94" s="116">
        <f t="shared" ref="EI94:FM94" si="454">EI92/EI93</f>
        <v>1.32407407407407</v>
      </c>
      <c r="EJ94" s="116">
        <f t="shared" si="454"/>
        <v>1.21787878787879</v>
      </c>
      <c r="EK94" s="118">
        <f t="shared" si="454"/>
        <v>1.56591708542714</v>
      </c>
      <c r="EL94" s="116">
        <f t="shared" si="454"/>
        <v>1.06852941176471</v>
      </c>
      <c r="EM94" s="116">
        <f t="shared" si="454"/>
        <v>1.08766666666667</v>
      </c>
      <c r="EN94" s="116">
        <f t="shared" si="454"/>
        <v>1.25785714285714</v>
      </c>
      <c r="EO94" s="116">
        <f t="shared" si="454"/>
        <v>1.27518518518519</v>
      </c>
      <c r="EP94" s="116">
        <f t="shared" si="454"/>
        <v>1.35928571428571</v>
      </c>
      <c r="EQ94" s="116">
        <f t="shared" si="454"/>
        <v>1.78260869565217</v>
      </c>
      <c r="ER94" s="116">
        <f t="shared" si="454"/>
        <v>1.71238095238095</v>
      </c>
      <c r="ES94" s="116">
        <f t="shared" si="454"/>
        <v>1.42333333333333</v>
      </c>
      <c r="ET94" s="116">
        <f t="shared" si="454"/>
        <v>1.47058823529412</v>
      </c>
      <c r="EU94" s="116">
        <f t="shared" si="454"/>
        <v>0.99972972972973</v>
      </c>
      <c r="EV94" s="116">
        <f t="shared" si="454"/>
        <v>1.58416666666667</v>
      </c>
      <c r="EW94" s="116">
        <f t="shared" si="454"/>
        <v>1.5625</v>
      </c>
      <c r="EX94" s="116">
        <f t="shared" si="454"/>
        <v>1.681</v>
      </c>
      <c r="EY94" s="116">
        <f t="shared" si="454"/>
        <v>2.17391304347826</v>
      </c>
      <c r="EZ94" s="116">
        <f t="shared" si="454"/>
        <v>1.49888888888889</v>
      </c>
      <c r="FA94" s="116">
        <f t="shared" si="454"/>
        <v>1.8265</v>
      </c>
      <c r="FB94" s="116">
        <f t="shared" si="454"/>
        <v>1.8015</v>
      </c>
      <c r="FC94" s="116">
        <f t="shared" si="454"/>
        <v>1.31571428571429</v>
      </c>
      <c r="FD94" s="116">
        <f t="shared" si="454"/>
        <v>2.08055555555556</v>
      </c>
      <c r="FE94" s="116">
        <f t="shared" si="454"/>
        <v>1.92307692307692</v>
      </c>
      <c r="FF94" s="116">
        <f t="shared" si="454"/>
        <v>1.82185185185185</v>
      </c>
      <c r="FG94" s="116">
        <f t="shared" si="454"/>
        <v>1.77458333333333</v>
      </c>
      <c r="FH94" s="116">
        <f t="shared" si="454"/>
        <v>1.29333333333333</v>
      </c>
      <c r="FI94" s="116">
        <f t="shared" si="454"/>
        <v>2.12142857142857</v>
      </c>
      <c r="FJ94" s="116">
        <f t="shared" si="454"/>
        <v>1.84409090909091</v>
      </c>
      <c r="FK94" s="116">
        <f t="shared" si="454"/>
        <v>1.30125</v>
      </c>
      <c r="FL94" s="116">
        <f t="shared" si="454"/>
        <v>2.08333333333333</v>
      </c>
      <c r="FM94" s="116">
        <f t="shared" si="454"/>
        <v>2.27272727272727</v>
      </c>
      <c r="FN94" s="116">
        <f t="shared" ref="FN94:GI94" si="455">FN92/FN93</f>
        <v>1.98736842105263</v>
      </c>
      <c r="FO94" s="116">
        <f t="shared" si="455"/>
        <v>1.51068965517241</v>
      </c>
      <c r="FP94" s="116">
        <f t="shared" si="455"/>
        <v>1.14387096774194</v>
      </c>
      <c r="FQ94" s="118">
        <f t="shared" si="455"/>
        <v>1.36646131805158</v>
      </c>
      <c r="FR94" s="116">
        <f t="shared" si="455"/>
        <v>2</v>
      </c>
      <c r="FS94" s="116">
        <f t="shared" si="455"/>
        <v>1.912</v>
      </c>
      <c r="FT94" s="116">
        <f t="shared" si="455"/>
        <v>1.28205128205128</v>
      </c>
      <c r="FU94" s="116">
        <f t="shared" si="455"/>
        <v>2.17173913043478</v>
      </c>
      <c r="FV94" s="116">
        <f t="shared" si="455"/>
        <v>0.723389830508475</v>
      </c>
      <c r="FW94" s="116">
        <f t="shared" si="455"/>
        <v>0.545795454545455</v>
      </c>
      <c r="FX94" s="116">
        <f t="shared" si="455"/>
        <v>0.735294117647059</v>
      </c>
      <c r="FY94" s="116">
        <f t="shared" si="455"/>
        <v>1.89285714285714</v>
      </c>
      <c r="FZ94" s="116">
        <f t="shared" si="455"/>
        <v>1.92307692307692</v>
      </c>
      <c r="GA94" s="116">
        <f t="shared" si="455"/>
        <v>2.31</v>
      </c>
      <c r="GB94" s="116">
        <f t="shared" si="455"/>
        <v>1.9372</v>
      </c>
      <c r="GC94" s="116">
        <f t="shared" si="455"/>
        <v>2.01416666666667</v>
      </c>
      <c r="GD94" s="116">
        <f t="shared" si="455"/>
        <v>2.17391304347826</v>
      </c>
      <c r="GE94" s="116">
        <f t="shared" si="455"/>
        <v>2.77777777777778</v>
      </c>
      <c r="GF94" s="116">
        <f t="shared" si="455"/>
        <v>1.4909375</v>
      </c>
      <c r="GG94" s="116">
        <f t="shared" si="455"/>
        <v>0.636410256410256</v>
      </c>
      <c r="GH94" s="116">
        <f t="shared" si="455"/>
        <v>1.98625</v>
      </c>
      <c r="GI94" s="116">
        <f t="shared" si="455"/>
        <v>1.3225</v>
      </c>
      <c r="GJ94" s="116">
        <f t="shared" ref="GJ94:GP94" si="456">GJ92/GJ93</f>
        <v>2.5</v>
      </c>
      <c r="GK94" s="116">
        <f t="shared" si="456"/>
        <v>1.38888888888889</v>
      </c>
      <c r="GL94" s="116">
        <f t="shared" si="456"/>
        <v>0.916666666666667</v>
      </c>
      <c r="GM94" s="116" t="e">
        <f t="shared" si="456"/>
        <v>#DIV/0!</v>
      </c>
      <c r="GN94" s="116" t="e">
        <f t="shared" si="456"/>
        <v>#DIV/0!</v>
      </c>
      <c r="GO94" s="116" t="e">
        <f t="shared" si="456"/>
        <v>#DIV/0!</v>
      </c>
      <c r="GP94" s="116" t="e">
        <f t="shared" si="456"/>
        <v>#DIV/0!</v>
      </c>
    </row>
    <row r="95" s="47" customFormat="1" ht="15" customHeight="1" spans="2:198">
      <c r="B95" s="112"/>
      <c r="C95" s="113" t="s">
        <v>23</v>
      </c>
      <c r="D95" s="114" t="e">
        <f>SUM(E95:P95)</f>
        <v>#REF!</v>
      </c>
      <c r="E95" s="115" t="e">
        <f>#REF!</f>
        <v>#REF!</v>
      </c>
      <c r="F95" s="115" t="e">
        <f>#REF!</f>
        <v>#REF!</v>
      </c>
      <c r="G95" s="115" t="e">
        <f>#REF!</f>
        <v>#REF!</v>
      </c>
      <c r="H95" s="115" t="e">
        <f>#REF!</f>
        <v>#REF!</v>
      </c>
      <c r="I95" s="115" t="e">
        <f>#REF!</f>
        <v>#REF!</v>
      </c>
      <c r="J95" s="115" t="e">
        <f>#REF!</f>
        <v>#REF!</v>
      </c>
      <c r="K95" s="115" t="e">
        <f>#REF!</f>
        <v>#REF!</v>
      </c>
      <c r="L95" s="115" t="e">
        <f>#REF!</f>
        <v>#REF!</v>
      </c>
      <c r="M95" s="115" t="e">
        <f>#REF!</f>
        <v>#REF!</v>
      </c>
      <c r="N95" s="115" t="e">
        <f>#REF!</f>
        <v>#REF!</v>
      </c>
      <c r="O95" s="115" t="e">
        <f>#REF!</f>
        <v>#REF!</v>
      </c>
      <c r="P95" s="115" t="e">
        <f>#REF!</f>
        <v>#REF!</v>
      </c>
      <c r="Q95" s="65">
        <f>SUM(R95:AV95)</f>
        <v>107</v>
      </c>
      <c r="R95" s="115">
        <f>SUMIFS(商品数据源!$AB:$AB,商品数据源!$A:$A,$B$92,商品数据源!$B:$B,R2)</f>
        <v>4</v>
      </c>
      <c r="S95" s="115">
        <f>SUMIFS(商品数据源!$AB:$AB,商品数据源!$A:$A,$B$92,商品数据源!$B:$B,S2)</f>
        <v>3</v>
      </c>
      <c r="T95" s="115">
        <f>SUMIFS(商品数据源!$AB:$AB,商品数据源!$A:$A,$B$92,商品数据源!$B:$B,T2)</f>
        <v>4</v>
      </c>
      <c r="U95" s="115">
        <f>SUMIFS(商品数据源!$AB:$AB,商品数据源!$A:$A,$B$92,商品数据源!$B:$B,U2)</f>
        <v>2</v>
      </c>
      <c r="V95" s="115">
        <f>SUMIFS(商品数据源!$AB:$AB,商品数据源!$A:$A,$B$92,商品数据源!$B:$B,V2)</f>
        <v>6</v>
      </c>
      <c r="W95" s="115">
        <f>SUMIFS(商品数据源!$AB:$AB,商品数据源!$A:$A,$B$92,商品数据源!$B:$B,W2)</f>
        <v>0</v>
      </c>
      <c r="X95" s="115">
        <f>SUMIFS(商品数据源!$AB:$AB,商品数据源!$A:$A,$B$92,商品数据源!$B:$B,X2)</f>
        <v>0</v>
      </c>
      <c r="Y95" s="115">
        <f>SUMIFS(商品数据源!$AB:$AB,商品数据源!$A:$A,$B$92,商品数据源!$B:$B,Y2)</f>
        <v>9</v>
      </c>
      <c r="Z95" s="115">
        <f>SUMIFS(商品数据源!$AB:$AB,商品数据源!$A:$A,$B$92,商品数据源!$B:$B,Z2)</f>
        <v>1</v>
      </c>
      <c r="AA95" s="115">
        <f>SUMIFS(商品数据源!$AB:$AB,商品数据源!$A:$A,$B$92,商品数据源!$B:$B,AA2)</f>
        <v>1</v>
      </c>
      <c r="AB95" s="115">
        <f>SUMIFS(商品数据源!$AB:$AB,商品数据源!$A:$A,$B$92,商品数据源!$B:$B,AB2)</f>
        <v>1</v>
      </c>
      <c r="AC95" s="115">
        <f>SUMIFS(商品数据源!$AB:$AB,商品数据源!$A:$A,$B$92,商品数据源!$B:$B,AC2)</f>
        <v>0</v>
      </c>
      <c r="AD95" s="115">
        <f>SUMIFS(商品数据源!$AB:$AB,商品数据源!$A:$A,$B$92,商品数据源!$B:$B,AD2)</f>
        <v>11</v>
      </c>
      <c r="AE95" s="115">
        <f>SUMIFS(商品数据源!$AB:$AB,商品数据源!$A:$A,$B$92,商品数据源!$B:$B,AE2)</f>
        <v>2</v>
      </c>
      <c r="AF95" s="115">
        <f>SUMIFS(商品数据源!$AB:$AB,商品数据源!$A:$A,$B$92,商品数据源!$B:$B,AF2)</f>
        <v>4</v>
      </c>
      <c r="AG95" s="115">
        <f>SUMIFS(商品数据源!$AB:$AB,商品数据源!$A:$A,$B$92,商品数据源!$B:$B,AG2)</f>
        <v>7</v>
      </c>
      <c r="AH95" s="115">
        <f>SUMIFS(商品数据源!$AB:$AB,商品数据源!$A:$A,$B$92,商品数据源!$B:$B,AH2)</f>
        <v>1</v>
      </c>
      <c r="AI95" s="115">
        <f>SUMIFS(商品数据源!$AB:$AB,商品数据源!$A:$A,$B$92,商品数据源!$B:$B,AI2)</f>
        <v>1</v>
      </c>
      <c r="AJ95" s="115">
        <f>SUMIFS(商品数据源!$AB:$AB,商品数据源!$A:$A,$B$92,商品数据源!$B:$B,AJ2)</f>
        <v>2</v>
      </c>
      <c r="AK95" s="115">
        <f>SUMIFS(商品数据源!$AB:$AB,商品数据源!$A:$A,$B$92,商品数据源!$B:$B,AK2)</f>
        <v>1</v>
      </c>
      <c r="AL95" s="115">
        <f>SUMIFS(商品数据源!$AB:$AB,商品数据源!$A:$A,$B$92,商品数据源!$B:$B,AL2)</f>
        <v>0</v>
      </c>
      <c r="AM95" s="115">
        <f>SUMIFS(商品数据源!$AB:$AB,商品数据源!$A:$A,$B$92,商品数据源!$B:$B,AM2)</f>
        <v>2</v>
      </c>
      <c r="AN95" s="115">
        <f>SUMIFS(商品数据源!$AB:$AB,商品数据源!$A:$A,$B$92,商品数据源!$B:$B,AN2)</f>
        <v>10</v>
      </c>
      <c r="AO95" s="115">
        <f>SUMIFS(商品数据源!$AB:$AB,商品数据源!$A:$A,$B$92,商品数据源!$B:$B,AO2)</f>
        <v>2</v>
      </c>
      <c r="AP95" s="115">
        <f>SUMIFS(商品数据源!$AB:$AB,商品数据源!$A:$A,$B$92,商品数据源!$B:$B,AP2)</f>
        <v>6</v>
      </c>
      <c r="AQ95" s="115">
        <f>SUMIFS(商品数据源!$AB:$AB,商品数据源!$A:$A,$B$92,商品数据源!$B:$B,AQ2)</f>
        <v>6</v>
      </c>
      <c r="AR95" s="115">
        <f>SUMIFS(商品数据源!$AB:$AB,商品数据源!$A:$A,$B$92,商品数据源!$B:$B,AR2)</f>
        <v>4</v>
      </c>
      <c r="AS95" s="115">
        <f>SUMIFS(商品数据源!$AB:$AB,商品数据源!$A:$A,$B$92,商品数据源!$B:$B,AS2)</f>
        <v>11</v>
      </c>
      <c r="AT95" s="115">
        <f>SUMIFS(商品数据源!$AB:$AB,商品数据源!$A:$A,$B$92,商品数据源!$B:$B,AT2)</f>
        <v>3</v>
      </c>
      <c r="AU95" s="115">
        <f>SUMIFS(商品数据源!$AB:$AB,商品数据源!$A:$A,$B$92,商品数据源!$B:$B,AU2)</f>
        <v>2</v>
      </c>
      <c r="AV95" s="115">
        <f>SUMIFS(商品数据源!$AB:$AB,商品数据源!$A:$A,$B$92,商品数据源!$B:$B,AV2)</f>
        <v>1</v>
      </c>
      <c r="AW95" s="65">
        <f>SUM(AX95:BY95)</f>
        <v>123</v>
      </c>
      <c r="AX95" s="115">
        <f>SUMIFS(商品数据源!$AB:$AB,商品数据源!$A:$A,$B$92,商品数据源!$B:$B,AX2)</f>
        <v>5</v>
      </c>
      <c r="AY95" s="115">
        <f>SUMIFS(商品数据源!$AB:$AB,商品数据源!$A:$A,$B$92,商品数据源!$B:$B,AY2)</f>
        <v>8</v>
      </c>
      <c r="AZ95" s="115">
        <f>SUMIFS(商品数据源!$AB:$AB,商品数据源!$A:$A,$B$92,商品数据源!$B:$B,AZ2)</f>
        <v>6</v>
      </c>
      <c r="BA95" s="115">
        <f>SUMIFS(商品数据源!$AB:$AB,商品数据源!$A:$A,$B$92,商品数据源!$B:$B,BA2)</f>
        <v>0</v>
      </c>
      <c r="BB95" s="115">
        <f>SUMIFS(商品数据源!$AB:$AB,商品数据源!$A:$A,$B$92,商品数据源!$B:$B,BB2)</f>
        <v>11</v>
      </c>
      <c r="BC95" s="115">
        <f>SUMIFS(商品数据源!$AB:$AB,商品数据源!$A:$A,$B$92,商品数据源!$B:$B,BC2)</f>
        <v>15</v>
      </c>
      <c r="BD95" s="115">
        <f>SUMIFS(商品数据源!$AB:$AB,商品数据源!$A:$A,$B$92,商品数据源!$B:$B,BD2)</f>
        <v>4</v>
      </c>
      <c r="BE95" s="115">
        <f>SUMIFS(商品数据源!$AB:$AB,商品数据源!$A:$A,$B$92,商品数据源!$B:$B,BE2)</f>
        <v>2</v>
      </c>
      <c r="BF95" s="115">
        <f>SUMIFS(商品数据源!$AB:$AB,商品数据源!$A:$A,$B$92,商品数据源!$B:$B,BF2)</f>
        <v>1</v>
      </c>
      <c r="BG95" s="115">
        <f>SUMIFS(商品数据源!$AB:$AB,商品数据源!$A:$A,$B$92,商品数据源!$B:$B,BG2)</f>
        <v>5</v>
      </c>
      <c r="BH95" s="115">
        <f>SUMIFS(商品数据源!$AB:$AB,商品数据源!$A:$A,$B$92,商品数据源!$B:$B,BH2)</f>
        <v>4</v>
      </c>
      <c r="BI95" s="115">
        <f>SUMIFS(商品数据源!$AB:$AB,商品数据源!$A:$A,$B$92,商品数据源!$B:$B,BI2)</f>
        <v>3</v>
      </c>
      <c r="BJ95" s="115">
        <f>SUMIFS(商品数据源!$AB:$AB,商品数据源!$A:$A,$B$92,商品数据源!$B:$B,BJ2)</f>
        <v>2</v>
      </c>
      <c r="BK95" s="115">
        <f>SUMIFS(商品数据源!$AB:$AB,商品数据源!$A:$A,$B$92,商品数据源!$B:$B,BK2)</f>
        <v>2</v>
      </c>
      <c r="BL95" s="115">
        <f>SUMIFS(商品数据源!$AB:$AB,商品数据源!$A:$A,$B$92,商品数据源!$B:$B,BL2)</f>
        <v>3</v>
      </c>
      <c r="BM95" s="115">
        <f>SUMIFS(商品数据源!$AB:$AB,商品数据源!$A:$A,$B$92,商品数据源!$B:$B,BM2)</f>
        <v>3</v>
      </c>
      <c r="BN95" s="115">
        <f>SUMIFS(商品数据源!$AB:$AB,商品数据源!$A:$A,$B$92,商品数据源!$B:$B,BN2)</f>
        <v>4</v>
      </c>
      <c r="BO95" s="115">
        <f>SUMIFS(商品数据源!$AB:$AB,商品数据源!$A:$A,$B$92,商品数据源!$B:$B,BO2)</f>
        <v>0</v>
      </c>
      <c r="BP95" s="115">
        <f>SUMIFS(商品数据源!$AB:$AB,商品数据源!$A:$A,$B$92,商品数据源!$B:$B,BP2)</f>
        <v>4</v>
      </c>
      <c r="BQ95" s="115">
        <f>SUMIFS(商品数据源!$AB:$AB,商品数据源!$A:$A,$B$92,商品数据源!$B:$B,BQ2)</f>
        <v>5</v>
      </c>
      <c r="BR95" s="115">
        <f>SUMIFS(商品数据源!$AB:$AB,商品数据源!$A:$A,$B$92,商品数据源!$B:$B,BR2)</f>
        <v>6</v>
      </c>
      <c r="BS95" s="115">
        <f>SUMIFS(商品数据源!$AB:$AB,商品数据源!$A:$A,$B$92,商品数据源!$B:$B,BS2)</f>
        <v>7</v>
      </c>
      <c r="BT95" s="115">
        <f>SUMIFS(商品数据源!$AB:$AB,商品数据源!$A:$A,$B$92,商品数据源!$B:$B,BT2)</f>
        <v>5</v>
      </c>
      <c r="BU95" s="115">
        <f>SUMIFS(商品数据源!$AB:$AB,商品数据源!$A:$A,$B$92,商品数据源!$B:$B,BU2)</f>
        <v>3</v>
      </c>
      <c r="BV95" s="115">
        <f>SUMIFS(商品数据源!$AB:$AB,商品数据源!$A:$A,$B$92,商品数据源!$B:$B,BV2)</f>
        <v>3</v>
      </c>
      <c r="BW95" s="115">
        <f>SUMIFS(商品数据源!$AB:$AB,商品数据源!$A:$A,$B$92,商品数据源!$B:$B,BW2)</f>
        <v>10</v>
      </c>
      <c r="BX95" s="115">
        <f>SUMIFS(商品数据源!$AB:$AB,商品数据源!$A:$A,$B$92,商品数据源!$B:$B,BX2)</f>
        <v>0</v>
      </c>
      <c r="BY95" s="115">
        <f>SUMIFS(商品数据源!$AB:$AB,商品数据源!$A:$A,$B$92,商品数据源!$B:$B,BY2)</f>
        <v>2</v>
      </c>
      <c r="BZ95" s="65">
        <f>SUM(CA95:DE95)</f>
        <v>189</v>
      </c>
      <c r="CA95" s="115">
        <f>SUMIFS(商品数据源!$AB:$AB,商品数据源!$A:$A,$B$92,商品数据源!$B:$B,CA2)</f>
        <v>1</v>
      </c>
      <c r="CB95" s="115">
        <f>SUMIFS(商品数据源!$AB:$AB,商品数据源!$A:$A,$B$92,商品数据源!$B:$B,CB2)</f>
        <v>3</v>
      </c>
      <c r="CC95" s="115">
        <f>SUMIFS(商品数据源!$AB:$AB,商品数据源!$A:$A,$B$92,商品数据源!$B:$B,CC2)</f>
        <v>4</v>
      </c>
      <c r="CD95" s="115">
        <f>SUMIFS(商品数据源!$AB:$AB,商品数据源!$A:$A,$B$92,商品数据源!$B:$B,CD2)</f>
        <v>5</v>
      </c>
      <c r="CE95" s="115">
        <f>SUMIFS(商品数据源!$AB:$AB,商品数据源!$A:$A,$B$92,商品数据源!$B:$B,CE2)</f>
        <v>5</v>
      </c>
      <c r="CF95" s="115">
        <f>SUMIFS(商品数据源!$AB:$AB,商品数据源!$A:$A,$B$92,商品数据源!$B:$B,CF2)</f>
        <v>3</v>
      </c>
      <c r="CG95" s="115">
        <f>SUMIFS(商品数据源!$AB:$AB,商品数据源!$A:$A,$B$92,商品数据源!$B:$B,CG2)</f>
        <v>7</v>
      </c>
      <c r="CH95" s="115">
        <f>SUMIFS(商品数据源!$AB:$AB,商品数据源!$A:$A,$B$92,商品数据源!$B:$B,CH2)</f>
        <v>17</v>
      </c>
      <c r="CI95" s="115">
        <f>SUMIFS(商品数据源!$AB:$AB,商品数据源!$A:$A,$B$92,商品数据源!$B:$B,CI2)</f>
        <v>10</v>
      </c>
      <c r="CJ95" s="115">
        <f>SUMIFS(商品数据源!$AB:$AB,商品数据源!$A:$A,$B$92,商品数据源!$B:$B,CJ2)</f>
        <v>11</v>
      </c>
      <c r="CK95" s="115">
        <f>SUMIFS(商品数据源!$AB:$AB,商品数据源!$A:$A,$B$92,商品数据源!$B:$B,CK2)</f>
        <v>10</v>
      </c>
      <c r="CL95" s="115">
        <f>SUMIFS(商品数据源!$AB:$AB,商品数据源!$A:$A,$B$92,商品数据源!$B:$B,CL2)</f>
        <v>15</v>
      </c>
      <c r="CM95" s="115">
        <f>SUMIFS(商品数据源!$AB:$AB,商品数据源!$A:$A,$B$92,商品数据源!$B:$B,CM2)</f>
        <v>4</v>
      </c>
      <c r="CN95" s="115">
        <f>SUMIFS(商品数据源!$AB:$AB,商品数据源!$A:$A,$B$92,商品数据源!$B:$B,CN2)</f>
        <v>4</v>
      </c>
      <c r="CO95" s="115">
        <f>SUMIFS(商品数据源!$AB:$AB,商品数据源!$A:$A,$B$92,商品数据源!$B:$B,CO2)</f>
        <v>5</v>
      </c>
      <c r="CP95" s="115">
        <f>SUMIFS(商品数据源!$AB:$AB,商品数据源!$A:$A,$B$92,商品数据源!$B:$B,CP2)</f>
        <v>6</v>
      </c>
      <c r="CQ95" s="115">
        <f>SUMIFS(商品数据源!$AB:$AB,商品数据源!$A:$A,$B$92,商品数据源!$B:$B,CQ2)</f>
        <v>16</v>
      </c>
      <c r="CR95" s="115">
        <f>SUMIFS(商品数据源!$AB:$AB,商品数据源!$A:$A,$B$92,商品数据源!$B:$B,CR2)</f>
        <v>5</v>
      </c>
      <c r="CS95" s="115">
        <f>SUMIFS(商品数据源!$AB:$AB,商品数据源!$A:$A,$B$92,商品数据源!$B:$B,CS2)</f>
        <v>21</v>
      </c>
      <c r="CT95" s="115">
        <f>SUMIFS(商品数据源!$AB:$AB,商品数据源!$A:$A,$B$92,商品数据源!$B:$B,CT2)</f>
        <v>7</v>
      </c>
      <c r="CU95" s="115">
        <f>SUMIFS(商品数据源!$AB:$AB,商品数据源!$A:$A,$B$92,商品数据源!$B:$B,CU2)</f>
        <v>0</v>
      </c>
      <c r="CV95" s="115">
        <f>SUMIFS(商品数据源!$AB:$AB,商品数据源!$A:$A,$B$92,商品数据源!$B:$B,CV2)</f>
        <v>6</v>
      </c>
      <c r="CW95" s="115">
        <f>SUMIFS(商品数据源!$AB:$AB,商品数据源!$A:$A,$B$92,商品数据源!$B:$B,CW2)</f>
        <v>1</v>
      </c>
      <c r="CX95" s="115">
        <f>SUMIFS(商品数据源!$AB:$AB,商品数据源!$A:$A,$B$92,商品数据源!$B:$B,CX2)</f>
        <v>11</v>
      </c>
      <c r="CY95" s="115">
        <f>SUMIFS(商品数据源!$AB:$AB,商品数据源!$A:$A,$B$92,商品数据源!$B:$B,CY2)</f>
        <v>1</v>
      </c>
      <c r="CZ95" s="115">
        <f>SUMIFS(商品数据源!$AB:$AB,商品数据源!$A:$A,$B$92,商品数据源!$B:$B,CZ2)</f>
        <v>2</v>
      </c>
      <c r="DA95" s="115">
        <f>SUMIFS(商品数据源!$AB:$AB,商品数据源!$A:$A,$B$92,商品数据源!$B:$B,DA2)</f>
        <v>2</v>
      </c>
      <c r="DB95" s="115">
        <f>SUMIFS(商品数据源!$AB:$AB,商品数据源!$A:$A,$B$92,商品数据源!$B:$B,DB2)</f>
        <v>3</v>
      </c>
      <c r="DC95" s="115">
        <f>SUMIFS(商品数据源!$AB:$AB,商品数据源!$A:$A,$B$92,商品数据源!$B:$B,DC2)</f>
        <v>0</v>
      </c>
      <c r="DD95" s="115">
        <f>SUMIFS(商品数据源!$AB:$AB,商品数据源!$A:$A,$B$92,商品数据源!$B:$B,DD2)</f>
        <v>4</v>
      </c>
      <c r="DE95" s="115">
        <f>SUMIFS(商品数据源!$AB:$AB,商品数据源!$A:$A,$B$92,商品数据源!$B:$B,DE2)</f>
        <v>0</v>
      </c>
      <c r="DF95" s="65">
        <f>SUM(DG95:EJ95)</f>
        <v>4</v>
      </c>
      <c r="DG95" s="115">
        <f>SUMIFS(商品数据源!$AB:$AB,商品数据源!$A:$A,$B$92,商品数据源!$B:$B,DG2)</f>
        <v>0</v>
      </c>
      <c r="DH95" s="115">
        <f>SUMIFS(商品数据源!$AB:$AB,商品数据源!$A:$A,$B$92,商品数据源!$B:$B,DH2)</f>
        <v>0</v>
      </c>
      <c r="DI95" s="115">
        <f>SUMIFS(商品数据源!$AB:$AB,商品数据源!$A:$A,$B$92,商品数据源!$B:$B,DI2)</f>
        <v>0</v>
      </c>
      <c r="DJ95" s="115">
        <f>SUMIFS(商品数据源!$AB:$AB,商品数据源!$A:$A,$B$92,商品数据源!$B:$B,DJ2)</f>
        <v>0</v>
      </c>
      <c r="DK95" s="115">
        <f>SUMIFS(商品数据源!$AB:$AB,商品数据源!$A:$A,$B$92,商品数据源!$B:$B,DK2)</f>
        <v>0</v>
      </c>
      <c r="DL95" s="115">
        <f>SUMIFS(商品数据源!$AB:$AB,商品数据源!$A:$A,$B$92,商品数据源!$B:$B,DL2)</f>
        <v>0</v>
      </c>
      <c r="DM95" s="115">
        <f>SUMIFS(商品数据源!$AB:$AB,商品数据源!$A:$A,$B$92,商品数据源!$B:$B,DM2)</f>
        <v>0</v>
      </c>
      <c r="DN95" s="115">
        <f>SUMIFS(商品数据源!$AB:$AB,商品数据源!$A:$A,$B$92,商品数据源!$B:$B,DN2)</f>
        <v>0</v>
      </c>
      <c r="DO95" s="115">
        <f>SUMIFS(商品数据源!$AB:$AB,商品数据源!$A:$A,$B$92,商品数据源!$B:$B,DO2)</f>
        <v>0</v>
      </c>
      <c r="DP95" s="115">
        <f>SUMIFS(商品数据源!$AB:$AB,商品数据源!$A:$A,$B$92,商品数据源!$B:$B,DP2)</f>
        <v>0</v>
      </c>
      <c r="DQ95" s="115">
        <f>SUMIFS(商品数据源!$AB:$AB,商品数据源!$A:$A,$B$92,商品数据源!$B:$B,DQ2)</f>
        <v>0</v>
      </c>
      <c r="DR95" s="115">
        <f>SUMIFS(商品数据源!$AB:$AB,商品数据源!$A:$A,$B$92,商品数据源!$B:$B,DR2)</f>
        <v>0</v>
      </c>
      <c r="DS95" s="115">
        <f>SUMIFS(商品数据源!$AB:$AB,商品数据源!$A:$A,$B$92,商品数据源!$B:$B,DS2)</f>
        <v>0</v>
      </c>
      <c r="DT95" s="115">
        <f>SUMIFS(商品数据源!$AB:$AB,商品数据源!$A:$A,$B$92,商品数据源!$B:$B,DT2)</f>
        <v>0</v>
      </c>
      <c r="DU95" s="115">
        <f>SUMIFS(商品数据源!$AB:$AB,商品数据源!$A:$A,$B$92,商品数据源!$B:$B,DU2)</f>
        <v>0</v>
      </c>
      <c r="DV95" s="115">
        <f>SUMIFS(商品数据源!$AB:$AB,商品数据源!$A:$A,$B$92,商品数据源!$B:$B,DV2)</f>
        <v>0</v>
      </c>
      <c r="DW95" s="115">
        <f>SUMIFS(商品数据源!$AB:$AB,商品数据源!$A:$A,$B$92,商品数据源!$B:$B,DW2)</f>
        <v>0</v>
      </c>
      <c r="DX95" s="115">
        <f>SUMIFS(商品数据源!$AB:$AB,商品数据源!$A:$A,$B$92,商品数据源!$B:$B,DX2)</f>
        <v>0</v>
      </c>
      <c r="DY95" s="115">
        <f>SUMIFS(商品数据源!$AB:$AB,商品数据源!$A:$A,$B$92,商品数据源!$B:$B,DY2)</f>
        <v>0</v>
      </c>
      <c r="DZ95" s="115">
        <f>SUMIFS(商品数据源!$AB:$AB,商品数据源!$A:$A,$B$92,商品数据源!$B:$B,DZ2)</f>
        <v>0</v>
      </c>
      <c r="EA95" s="115">
        <f>SUMIFS(商品数据源!$AB:$AB,商品数据源!$A:$A,$B$92,商品数据源!$B:$B,EA2)</f>
        <v>0</v>
      </c>
      <c r="EB95" s="115">
        <f>SUMIFS(商品数据源!$AB:$AB,商品数据源!$A:$A,$B$92,商品数据源!$B:$B,EB2)</f>
        <v>0</v>
      </c>
      <c r="EC95" s="115">
        <f>SUMIFS(商品数据源!$AB:$AB,商品数据源!$A:$A,$B$92,商品数据源!$B:$B,EC2)</f>
        <v>0</v>
      </c>
      <c r="ED95" s="115">
        <f>SUMIFS(商品数据源!$AB:$AB,商品数据源!$A:$A,$B$92,商品数据源!$B:$B,ED2)</f>
        <v>0</v>
      </c>
      <c r="EE95" s="115">
        <f>SUMIFS(商品数据源!$AB:$AB,商品数据源!$A:$A,$B$92,商品数据源!$B:$B,EE2)</f>
        <v>0</v>
      </c>
      <c r="EF95" s="115">
        <f>SUMIFS(商品数据源!$AB:$AB,商品数据源!$A:$A,$B$92,商品数据源!$B:$B,EF2)</f>
        <v>0</v>
      </c>
      <c r="EG95" s="115">
        <f>SUMIFS(商品数据源!$AB:$AB,商品数据源!$A:$A,$B$92,商品数据源!$B:$B,EG2)</f>
        <v>0</v>
      </c>
      <c r="EH95" s="115">
        <f>SUMIFS(商品数据源!$AB:$AB,商品数据源!$A:$A,$B$92,商品数据源!$B:$B,EH2)</f>
        <v>1</v>
      </c>
      <c r="EI95" s="115">
        <f>SUMIFS(商品数据源!$AB:$AB,商品数据源!$A:$A,$B$92,商品数据源!$B:$B,EI2)</f>
        <v>2</v>
      </c>
      <c r="EJ95" s="115">
        <f>SUMIFS(商品数据源!$AB:$AB,商品数据源!$A:$A,$B$92,商品数据源!$B:$B,EJ2)</f>
        <v>1</v>
      </c>
      <c r="EK95" s="65">
        <f>SUM(EL95:FP95)</f>
        <v>60</v>
      </c>
      <c r="EL95" s="115">
        <f>SUMIFS(商品数据源!$AB:$AB,商品数据源!$A:$A,$B$92,商品数据源!$B:$B,EL2)</f>
        <v>1</v>
      </c>
      <c r="EM95" s="115">
        <f>SUMIFS(商品数据源!$AB:$AB,商品数据源!$A:$A,$B$92,商品数据源!$B:$B,EM2)</f>
        <v>0</v>
      </c>
      <c r="EN95" s="115">
        <f>SUMIFS(商品数据源!$AB:$AB,商品数据源!$A:$A,$B$92,商品数据源!$B:$B,EN2)</f>
        <v>1</v>
      </c>
      <c r="EO95" s="115">
        <f>SUMIFS(商品数据源!$AB:$AB,商品数据源!$A:$A,$B$92,商品数据源!$B:$B,EO2)</f>
        <v>1</v>
      </c>
      <c r="EP95" s="115">
        <f>SUMIFS(商品数据源!$AB:$AB,商品数据源!$A:$A,$B$92,商品数据源!$B:$B,EP2)</f>
        <v>2</v>
      </c>
      <c r="EQ95" s="115">
        <f>SUMIFS(商品数据源!$AB:$AB,商品数据源!$A:$A,$B$92,商品数据源!$B:$B,EQ2)</f>
        <v>7</v>
      </c>
      <c r="ER95" s="115">
        <f>SUMIFS(商品数据源!$AB:$AB,商品数据源!$A:$A,$B$92,商品数据源!$B:$B,ER2)</f>
        <v>1</v>
      </c>
      <c r="ES95" s="115">
        <f>SUMIFS(商品数据源!$AB:$AB,商品数据源!$A:$A,$B$92,商品数据源!$B:$B,ES2)</f>
        <v>0</v>
      </c>
      <c r="ET95" s="115">
        <f>SUMIFS(商品数据源!$AB:$AB,商品数据源!$A:$A,$B$92,商品数据源!$B:$B,ET2)</f>
        <v>1</v>
      </c>
      <c r="EU95" s="115">
        <f>SUMIFS(商品数据源!$AB:$AB,商品数据源!$A:$A,$B$92,商品数据源!$B:$B,EU2)</f>
        <v>1</v>
      </c>
      <c r="EV95" s="115">
        <f>SUMIFS(商品数据源!$AB:$AB,商品数据源!$A:$A,$B$92,商品数据源!$B:$B,EV2)</f>
        <v>2</v>
      </c>
      <c r="EW95" s="115">
        <f>SUMIFS(商品数据源!$AB:$AB,商品数据源!$A:$A,$B$92,商品数据源!$B:$B,EW2)</f>
        <v>0</v>
      </c>
      <c r="EX95" s="115">
        <f>SUMIFS(商品数据源!$AB:$AB,商品数据源!$A:$A,$B$92,商品数据源!$B:$B,EX2)</f>
        <v>2</v>
      </c>
      <c r="EY95" s="115">
        <f>SUMIFS(商品数据源!$AB:$AB,商品数据源!$A:$A,$B$92,商品数据源!$B:$B,EY2)</f>
        <v>2</v>
      </c>
      <c r="EZ95" s="115">
        <f>SUMIFS(商品数据源!$AB:$AB,商品数据源!$A:$A,$B$92,商品数据源!$B:$B,EZ2)</f>
        <v>3</v>
      </c>
      <c r="FA95" s="115">
        <f>SUMIFS(商品数据源!$AB:$AB,商品数据源!$A:$A,$B$92,商品数据源!$B:$B,FA2)</f>
        <v>0</v>
      </c>
      <c r="FB95" s="115">
        <f>SUMIFS(商品数据源!$AB:$AB,商品数据源!$A:$A,$B$92,商品数据源!$B:$B,FB2)</f>
        <v>1</v>
      </c>
      <c r="FC95" s="115">
        <f>SUMIFS(商品数据源!$AB:$AB,商品数据源!$A:$A,$B$92,商品数据源!$B:$B,FC2)</f>
        <v>3</v>
      </c>
      <c r="FD95" s="115">
        <f>SUMIFS(商品数据源!$AB:$AB,商品数据源!$A:$A,$B$92,商品数据源!$B:$B,FD2)</f>
        <v>1</v>
      </c>
      <c r="FE95" s="115">
        <f>SUMIFS(商品数据源!$AB:$AB,商品数据源!$A:$A,$B$92,商品数据源!$B:$B,FE2)</f>
        <v>1</v>
      </c>
      <c r="FF95" s="115">
        <f>SUMIFS(商品数据源!$AB:$AB,商品数据源!$A:$A,$B$92,商品数据源!$B:$B,FF2)</f>
        <v>1</v>
      </c>
      <c r="FG95" s="115">
        <f>SUMIFS(商品数据源!$AB:$AB,商品数据源!$A:$A,$B$92,商品数据源!$B:$B,FG2)</f>
        <v>1</v>
      </c>
      <c r="FH95" s="115">
        <f>SUMIFS(商品数据源!$AB:$AB,商品数据源!$A:$A,$B$92,商品数据源!$B:$B,FH2)</f>
        <v>0</v>
      </c>
      <c r="FI95" s="115">
        <f>SUMIFS(商品数据源!$AB:$AB,商品数据源!$A:$A,$B$92,商品数据源!$B:$B,FI2)</f>
        <v>2</v>
      </c>
      <c r="FJ95" s="115">
        <f>SUMIFS(商品数据源!$AB:$AB,商品数据源!$A:$A,$B$92,商品数据源!$B:$B,FJ2)</f>
        <v>4</v>
      </c>
      <c r="FK95" s="115">
        <f>SUMIFS(商品数据源!$AB:$AB,商品数据源!$A:$A,$B$92,商品数据源!$B:$B,FK2)</f>
        <v>2</v>
      </c>
      <c r="FL95" s="115">
        <f>SUMIFS(商品数据源!$AB:$AB,商品数据源!$A:$A,$B$92,商品数据源!$B:$B,FL2)</f>
        <v>1</v>
      </c>
      <c r="FM95" s="115">
        <f>SUMIFS(商品数据源!$AB:$AB,商品数据源!$A:$A,$B$92,商品数据源!$B:$B,FM2)</f>
        <v>2</v>
      </c>
      <c r="FN95" s="115">
        <f>SUMIFS(商品数据源!$AB:$AB,商品数据源!$A:$A,$B$92,商品数据源!$B:$B,FN2)</f>
        <v>0</v>
      </c>
      <c r="FO95" s="115">
        <f>SUMIFS(商品数据源!$AB:$AB,商品数据源!$A:$A,$B$92,商品数据源!$B:$B,FO2)</f>
        <v>7</v>
      </c>
      <c r="FP95" s="115">
        <f>SUMIFS(商品数据源!$AB:$AB,商品数据源!$A:$A,$B$92,商品数据源!$B:$B,FP2)</f>
        <v>10</v>
      </c>
      <c r="FQ95" s="65">
        <f t="shared" si="446"/>
        <v>64</v>
      </c>
      <c r="FR95" s="115">
        <f>SUMIFS(商品数据源!$AB:$AB,商品数据源!$A:$A,$B$92,商品数据源!$B:$B,FR2)</f>
        <v>4</v>
      </c>
      <c r="FS95" s="115">
        <f>SUMIFS(商品数据源!$AB:$AB,商品数据源!$A:$A,$B$92,商品数据源!$B:$B,FS2)</f>
        <v>0</v>
      </c>
      <c r="FT95" s="115">
        <f>SUMIFS(商品数据源!$AB:$AB,商品数据源!$A:$A,$B$92,商品数据源!$B:$B,FT2)</f>
        <v>4</v>
      </c>
      <c r="FU95" s="115">
        <f>SUMIFS(商品数据源!$AB:$AB,商品数据源!$A:$A,$B$92,商品数据源!$B:$B,FU2)</f>
        <v>0</v>
      </c>
      <c r="FV95" s="115">
        <f>SUMIFS(商品数据源!$AB:$AB,商品数据源!$A:$A,$B$92,商品数据源!$B:$B,FV2)</f>
        <v>8</v>
      </c>
      <c r="FW95" s="115">
        <f>SUMIFS(商品数据源!$AB:$AB,商品数据源!$A:$A,$B$92,商品数据源!$B:$B,FW2)</f>
        <v>2</v>
      </c>
      <c r="FX95" s="115">
        <f>SUMIFS(商品数据源!$AB:$AB,商品数据源!$A:$A,$B$92,商品数据源!$B:$B,FX2)</f>
        <v>0</v>
      </c>
      <c r="FY95" s="115">
        <f>SUMIFS(商品数据源!$AB:$AB,商品数据源!$A:$A,$B$92,商品数据源!$B:$B,FY2)</f>
        <v>3</v>
      </c>
      <c r="FZ95" s="115">
        <f>SUMIFS(商品数据源!$AB:$AB,商品数据源!$A:$A,$B$92,商品数据源!$B:$B,FZ2)</f>
        <v>0</v>
      </c>
      <c r="GA95" s="115">
        <f>SUMIFS(商品数据源!$AB:$AB,商品数据源!$A:$A,$B$92,商品数据源!$B:$B,GA2)</f>
        <v>2</v>
      </c>
      <c r="GB95" s="115">
        <f>SUMIFS(商品数据源!$AB:$AB,商品数据源!$A:$A,$B$92,商品数据源!$B:$B,GB2)</f>
        <v>0</v>
      </c>
      <c r="GC95" s="115">
        <f>SUMIFS(商品数据源!$AB:$AB,商品数据源!$A:$A,$B$92,商品数据源!$B:$B,GC2)</f>
        <v>2</v>
      </c>
      <c r="GD95" s="115">
        <f>SUMIFS(商品数据源!$AB:$AB,商品数据源!$A:$A,$B$92,商品数据源!$B:$B,GD2)</f>
        <v>3</v>
      </c>
      <c r="GE95" s="115">
        <f>SUMIFS(商品数据源!$AB:$AB,商品数据源!$A:$A,$B$92,商品数据源!$B:$B,GE2)</f>
        <v>5</v>
      </c>
      <c r="GF95" s="115">
        <f>SUMIFS(商品数据源!$AB:$AB,商品数据源!$A:$A,$B$92,商品数据源!$B:$B,GF2)</f>
        <v>2</v>
      </c>
      <c r="GG95" s="115">
        <f>SUMIFS(商品数据源!$AB:$AB,商品数据源!$A:$A,$B$92,商品数据源!$B:$B,GG2)</f>
        <v>2</v>
      </c>
      <c r="GH95" s="115">
        <f>SUMIFS(商品数据源!$AB:$AB,商品数据源!$A:$A,$B$92,商品数据源!$B:$B,GH2)</f>
        <v>3</v>
      </c>
      <c r="GI95" s="115">
        <f>SUMIFS(商品数据源!$AB:$AB,商品数据源!$A:$A,$B$92,商品数据源!$B:$B,GI2)</f>
        <v>3</v>
      </c>
      <c r="GJ95" s="115">
        <f>SUMIFS(商品数据源!$AB:$AB,商品数据源!$A:$A,$B$92,商品数据源!$B:$B,GJ2)</f>
        <v>4</v>
      </c>
      <c r="GK95" s="115">
        <f>SUMIFS(商品数据源!$AB:$AB,商品数据源!$A:$A,$B$92,商品数据源!$B:$B,GK2)</f>
        <v>8</v>
      </c>
      <c r="GL95" s="115">
        <f>SUMIFS(商品数据源!$AB:$AB,商品数据源!$A:$A,$B$92,商品数据源!$B:$B,GL2)</f>
        <v>9</v>
      </c>
      <c r="GM95" s="115">
        <f>SUMIFS(商品数据源!$AB:$AB,商品数据源!$A:$A,$B$92,商品数据源!$B:$B,GM2)</f>
        <v>0</v>
      </c>
      <c r="GN95" s="115">
        <f>SUMIFS(商品数据源!$AB:$AB,商品数据源!$A:$A,$B$92,商品数据源!$B:$B,GN2)</f>
        <v>0</v>
      </c>
      <c r="GO95" s="115">
        <f>SUMIFS(商品数据源!$AB:$AB,商品数据源!$A:$A,$B$92,商品数据源!$B:$B,GO2)</f>
        <v>0</v>
      </c>
      <c r="GP95" s="115">
        <f>SUMIFS(商品数据源!$AB:$AB,商品数据源!$A:$A,$B$92,商品数据源!$B:$B,GP2)</f>
        <v>0</v>
      </c>
    </row>
    <row r="96" s="47" customFormat="1" ht="15" customHeight="1" spans="2:198">
      <c r="B96" s="112"/>
      <c r="C96" s="113" t="s">
        <v>24</v>
      </c>
      <c r="D96" s="114" t="e">
        <f>D92/D95</f>
        <v>#REF!</v>
      </c>
      <c r="E96" s="115" t="e">
        <f>E92/E95</f>
        <v>#REF!</v>
      </c>
      <c r="F96" s="115" t="e">
        <f t="shared" ref="F96:O96" si="457">F92/F95</f>
        <v>#REF!</v>
      </c>
      <c r="G96" s="115" t="e">
        <f t="shared" si="457"/>
        <v>#REF!</v>
      </c>
      <c r="H96" s="115" t="e">
        <f t="shared" si="457"/>
        <v>#REF!</v>
      </c>
      <c r="I96" s="115" t="e">
        <f t="shared" si="457"/>
        <v>#REF!</v>
      </c>
      <c r="J96" s="115" t="e">
        <f t="shared" si="457"/>
        <v>#REF!</v>
      </c>
      <c r="K96" s="115" t="e">
        <f t="shared" si="457"/>
        <v>#REF!</v>
      </c>
      <c r="L96" s="115" t="e">
        <f t="shared" si="457"/>
        <v>#REF!</v>
      </c>
      <c r="M96" s="115" t="e">
        <f t="shared" si="457"/>
        <v>#REF!</v>
      </c>
      <c r="N96" s="115" t="e">
        <f t="shared" si="457"/>
        <v>#REF!</v>
      </c>
      <c r="O96" s="115" t="e">
        <f t="shared" si="457"/>
        <v>#REF!</v>
      </c>
      <c r="P96" s="115" t="e">
        <f t="shared" ref="P96:X96" si="458">P92/P95</f>
        <v>#REF!</v>
      </c>
      <c r="Q96" s="65">
        <f t="shared" si="458"/>
        <v>23.5309345794393</v>
      </c>
      <c r="R96" s="114">
        <f t="shared" si="458"/>
        <v>18.275</v>
      </c>
      <c r="S96" s="114">
        <f t="shared" si="458"/>
        <v>20.7033333333333</v>
      </c>
      <c r="T96" s="114">
        <f t="shared" si="458"/>
        <v>18.07</v>
      </c>
      <c r="U96" s="114">
        <f t="shared" si="458"/>
        <v>36.94</v>
      </c>
      <c r="V96" s="114">
        <f t="shared" si="458"/>
        <v>10.4116666666667</v>
      </c>
      <c r="W96" s="114" t="e">
        <f t="shared" si="458"/>
        <v>#DIV/0!</v>
      </c>
      <c r="X96" s="114" t="e">
        <f t="shared" si="458"/>
        <v>#DIV/0!</v>
      </c>
      <c r="Y96" s="114">
        <f t="shared" ref="Y96:AL96" si="459">Y92/Y95</f>
        <v>11.1111111111111</v>
      </c>
      <c r="Z96" s="114">
        <f t="shared" si="459"/>
        <v>83.19</v>
      </c>
      <c r="AA96" s="114">
        <f t="shared" si="459"/>
        <v>64.3</v>
      </c>
      <c r="AB96" s="114">
        <f t="shared" si="459"/>
        <v>68.33</v>
      </c>
      <c r="AC96" s="114" t="e">
        <f t="shared" si="459"/>
        <v>#DIV/0!</v>
      </c>
      <c r="AD96" s="114">
        <f t="shared" si="459"/>
        <v>6.20181818181818</v>
      </c>
      <c r="AE96" s="114">
        <f t="shared" si="459"/>
        <v>33.475</v>
      </c>
      <c r="AF96" s="114">
        <f t="shared" si="459"/>
        <v>17.88</v>
      </c>
      <c r="AG96" s="114">
        <f>IFERROR(AG92/AG95,0)</f>
        <v>20.6271428571429</v>
      </c>
      <c r="AH96" s="114">
        <f t="shared" ref="AH96:AV96" si="460">IFERROR(AH92/AH95,0)</f>
        <v>143.81</v>
      </c>
      <c r="AI96" s="114">
        <f t="shared" si="460"/>
        <v>109.81</v>
      </c>
      <c r="AJ96" s="114">
        <f t="shared" si="460"/>
        <v>99.885</v>
      </c>
      <c r="AK96" s="114">
        <f t="shared" si="460"/>
        <v>73.09</v>
      </c>
      <c r="AL96" s="114">
        <f t="shared" si="460"/>
        <v>0</v>
      </c>
      <c r="AM96" s="114">
        <f t="shared" si="460"/>
        <v>40</v>
      </c>
      <c r="AN96" s="114">
        <f t="shared" si="460"/>
        <v>6.602</v>
      </c>
      <c r="AO96" s="114">
        <f t="shared" si="460"/>
        <v>40</v>
      </c>
      <c r="AP96" s="114">
        <f t="shared" si="460"/>
        <v>13.3333333333333</v>
      </c>
      <c r="AQ96" s="114">
        <f t="shared" si="460"/>
        <v>9.995</v>
      </c>
      <c r="AR96" s="114">
        <f t="shared" si="460"/>
        <v>20</v>
      </c>
      <c r="AS96" s="114">
        <f t="shared" si="460"/>
        <v>6.68636363636364</v>
      </c>
      <c r="AT96" s="114">
        <f t="shared" si="460"/>
        <v>26.6666666666667</v>
      </c>
      <c r="AU96" s="114">
        <f t="shared" si="460"/>
        <v>35.95</v>
      </c>
      <c r="AV96" s="114">
        <f t="shared" si="460"/>
        <v>80</v>
      </c>
      <c r="AW96" s="65">
        <f>AW92/AW95</f>
        <v>16.899756097561</v>
      </c>
      <c r="AX96" s="114">
        <f t="shared" ref="AX96:BH96" si="461">IFERROR(AX92/AX95,0)</f>
        <v>14.696</v>
      </c>
      <c r="AY96" s="114">
        <f t="shared" si="461"/>
        <v>10</v>
      </c>
      <c r="AZ96" s="114">
        <f t="shared" si="461"/>
        <v>12.0566666666667</v>
      </c>
      <c r="BA96" s="114">
        <f t="shared" si="461"/>
        <v>0</v>
      </c>
      <c r="BB96" s="114">
        <f t="shared" si="461"/>
        <v>7.27272727272727</v>
      </c>
      <c r="BC96" s="114">
        <f t="shared" si="461"/>
        <v>5.03333333333333</v>
      </c>
      <c r="BD96" s="114">
        <f t="shared" si="461"/>
        <v>20</v>
      </c>
      <c r="BE96" s="114">
        <f t="shared" si="461"/>
        <v>40</v>
      </c>
      <c r="BF96" s="114">
        <f t="shared" si="461"/>
        <v>80</v>
      </c>
      <c r="BG96" s="114">
        <f t="shared" si="461"/>
        <v>16</v>
      </c>
      <c r="BH96" s="114">
        <f t="shared" si="461"/>
        <v>20</v>
      </c>
      <c r="BI96" s="114">
        <f t="shared" ref="BI96:BW96" si="462">IFERROR(BI92/BI95,0)</f>
        <v>24.83</v>
      </c>
      <c r="BJ96" s="114">
        <f t="shared" si="462"/>
        <v>40</v>
      </c>
      <c r="BK96" s="114">
        <f t="shared" si="462"/>
        <v>40</v>
      </c>
      <c r="BL96" s="114">
        <f t="shared" si="462"/>
        <v>24.85</v>
      </c>
      <c r="BM96" s="114">
        <f t="shared" si="462"/>
        <v>13.4666666666667</v>
      </c>
      <c r="BN96" s="114">
        <f t="shared" si="462"/>
        <v>17.0125</v>
      </c>
      <c r="BO96" s="114">
        <f t="shared" si="462"/>
        <v>0</v>
      </c>
      <c r="BP96" s="114">
        <f t="shared" si="462"/>
        <v>18.21</v>
      </c>
      <c r="BQ96" s="114">
        <f t="shared" si="462"/>
        <v>15.086</v>
      </c>
      <c r="BR96" s="114">
        <f t="shared" si="462"/>
        <v>11.4666666666667</v>
      </c>
      <c r="BS96" s="114">
        <f t="shared" si="462"/>
        <v>9.43</v>
      </c>
      <c r="BT96" s="114">
        <f t="shared" si="462"/>
        <v>14.21</v>
      </c>
      <c r="BU96" s="114">
        <f t="shared" si="462"/>
        <v>26.6666666666667</v>
      </c>
      <c r="BV96" s="114">
        <f t="shared" si="462"/>
        <v>23.8133333333333</v>
      </c>
      <c r="BW96" s="114">
        <f t="shared" si="462"/>
        <v>8</v>
      </c>
      <c r="BX96" s="114">
        <f t="shared" ref="BX96:CH96" si="463">IFERROR(BX92/BX95,0)</f>
        <v>0</v>
      </c>
      <c r="BY96" s="114">
        <f t="shared" si="463"/>
        <v>40</v>
      </c>
      <c r="BZ96" s="65">
        <f>BZ92/BZ95</f>
        <v>10.8048677248677</v>
      </c>
      <c r="CA96" s="114">
        <f t="shared" si="463"/>
        <v>69.93</v>
      </c>
      <c r="CB96" s="114">
        <f t="shared" si="463"/>
        <v>26.52</v>
      </c>
      <c r="CC96" s="114">
        <f t="shared" si="463"/>
        <v>20</v>
      </c>
      <c r="CD96" s="114">
        <f t="shared" si="463"/>
        <v>16</v>
      </c>
      <c r="CE96" s="114">
        <f t="shared" si="463"/>
        <v>13.308</v>
      </c>
      <c r="CF96" s="114">
        <f t="shared" si="463"/>
        <v>26.6666666666667</v>
      </c>
      <c r="CG96" s="114">
        <f t="shared" si="463"/>
        <v>11.2471428571429</v>
      </c>
      <c r="CH96" s="114">
        <f t="shared" si="463"/>
        <v>4.70588235294118</v>
      </c>
      <c r="CI96" s="114">
        <f t="shared" ref="CI96:DE96" si="464">IFERROR(CI92/CI95,0)</f>
        <v>8</v>
      </c>
      <c r="CJ96" s="114">
        <f t="shared" si="464"/>
        <v>7.27272727272727</v>
      </c>
      <c r="CK96" s="114">
        <f t="shared" si="464"/>
        <v>7.76</v>
      </c>
      <c r="CL96" s="114">
        <f t="shared" si="464"/>
        <v>1.77933333333333</v>
      </c>
      <c r="CM96" s="114">
        <f t="shared" si="464"/>
        <v>16.9325</v>
      </c>
      <c r="CN96" s="114">
        <f t="shared" si="464"/>
        <v>19.105</v>
      </c>
      <c r="CO96" s="114">
        <f t="shared" si="464"/>
        <v>16</v>
      </c>
      <c r="CP96" s="114">
        <f t="shared" si="464"/>
        <v>10.9566666666667</v>
      </c>
      <c r="CQ96" s="114">
        <f t="shared" si="464"/>
        <v>4.585625</v>
      </c>
      <c r="CR96" s="114">
        <f t="shared" si="464"/>
        <v>12</v>
      </c>
      <c r="CS96" s="114">
        <f t="shared" si="464"/>
        <v>2.85714285714286</v>
      </c>
      <c r="CT96" s="114">
        <f t="shared" si="464"/>
        <v>8.57142857142857</v>
      </c>
      <c r="CU96" s="114">
        <f t="shared" si="464"/>
        <v>0</v>
      </c>
      <c r="CV96" s="114">
        <f t="shared" si="464"/>
        <v>8.46166666666667</v>
      </c>
      <c r="CW96" s="114">
        <f t="shared" si="464"/>
        <v>60</v>
      </c>
      <c r="CX96" s="114">
        <f t="shared" si="464"/>
        <v>5.45454545454545</v>
      </c>
      <c r="CY96" s="114">
        <f t="shared" si="464"/>
        <v>60</v>
      </c>
      <c r="CZ96" s="114">
        <f t="shared" si="464"/>
        <v>28.01</v>
      </c>
      <c r="DA96" s="114">
        <f t="shared" si="464"/>
        <v>30</v>
      </c>
      <c r="DB96" s="114">
        <f t="shared" si="464"/>
        <v>17.96</v>
      </c>
      <c r="DC96" s="114">
        <f t="shared" si="464"/>
        <v>0</v>
      </c>
      <c r="DD96" s="114">
        <f t="shared" si="464"/>
        <v>12.68</v>
      </c>
      <c r="DE96" s="114">
        <f t="shared" si="464"/>
        <v>0</v>
      </c>
      <c r="DF96" s="65">
        <f>DF92/DF95</f>
        <v>31.485</v>
      </c>
      <c r="DG96" s="114">
        <f t="shared" ref="DG96:EJ96" si="465">IFERROR(DG92/DG95,0)</f>
        <v>0</v>
      </c>
      <c r="DH96" s="114">
        <f t="shared" si="465"/>
        <v>0</v>
      </c>
      <c r="DI96" s="114">
        <f t="shared" si="465"/>
        <v>0</v>
      </c>
      <c r="DJ96" s="114">
        <f t="shared" si="465"/>
        <v>0</v>
      </c>
      <c r="DK96" s="114">
        <f t="shared" si="465"/>
        <v>0</v>
      </c>
      <c r="DL96" s="114">
        <f t="shared" si="465"/>
        <v>0</v>
      </c>
      <c r="DM96" s="114">
        <f t="shared" si="465"/>
        <v>0</v>
      </c>
      <c r="DN96" s="114">
        <f t="shared" si="465"/>
        <v>0</v>
      </c>
      <c r="DO96" s="114">
        <f t="shared" si="465"/>
        <v>0</v>
      </c>
      <c r="DP96" s="114">
        <f t="shared" si="465"/>
        <v>0</v>
      </c>
      <c r="DQ96" s="114">
        <f t="shared" si="465"/>
        <v>0</v>
      </c>
      <c r="DR96" s="114">
        <f t="shared" si="465"/>
        <v>0</v>
      </c>
      <c r="DS96" s="114">
        <f t="shared" si="465"/>
        <v>0</v>
      </c>
      <c r="DT96" s="114">
        <f t="shared" si="465"/>
        <v>0</v>
      </c>
      <c r="DU96" s="114">
        <f t="shared" si="465"/>
        <v>0</v>
      </c>
      <c r="DV96" s="114">
        <f t="shared" si="465"/>
        <v>0</v>
      </c>
      <c r="DW96" s="114">
        <f t="shared" si="465"/>
        <v>0</v>
      </c>
      <c r="DX96" s="114">
        <f t="shared" si="465"/>
        <v>0</v>
      </c>
      <c r="DY96" s="114">
        <f t="shared" si="465"/>
        <v>0</v>
      </c>
      <c r="DZ96" s="114">
        <f t="shared" si="465"/>
        <v>0</v>
      </c>
      <c r="EA96" s="114">
        <f t="shared" si="465"/>
        <v>0</v>
      </c>
      <c r="EB96" s="114">
        <f t="shared" si="465"/>
        <v>0</v>
      </c>
      <c r="EC96" s="114">
        <f t="shared" si="465"/>
        <v>0</v>
      </c>
      <c r="ED96" s="114">
        <f t="shared" si="465"/>
        <v>0</v>
      </c>
      <c r="EE96" s="114">
        <f t="shared" si="465"/>
        <v>0</v>
      </c>
      <c r="EF96" s="114">
        <f t="shared" si="465"/>
        <v>0</v>
      </c>
      <c r="EG96" s="114">
        <f t="shared" si="465"/>
        <v>0</v>
      </c>
      <c r="EH96" s="114">
        <f t="shared" si="465"/>
        <v>50</v>
      </c>
      <c r="EI96" s="114">
        <f t="shared" si="465"/>
        <v>17.875</v>
      </c>
      <c r="EJ96" s="114">
        <f t="shared" si="465"/>
        <v>40.19</v>
      </c>
      <c r="EK96" s="65">
        <f>EK92/EK95</f>
        <v>20.7745</v>
      </c>
      <c r="EL96" s="114">
        <f t="shared" ref="EL96:FP96" si="466">IFERROR(EL92/EL95,0)</f>
        <v>36.33</v>
      </c>
      <c r="EM96" s="114">
        <f t="shared" si="466"/>
        <v>0</v>
      </c>
      <c r="EN96" s="114">
        <f t="shared" si="466"/>
        <v>35.22</v>
      </c>
      <c r="EO96" s="114">
        <f t="shared" si="466"/>
        <v>34.43</v>
      </c>
      <c r="EP96" s="114">
        <f t="shared" si="466"/>
        <v>19.03</v>
      </c>
      <c r="EQ96" s="114">
        <f t="shared" si="466"/>
        <v>5.85714285714286</v>
      </c>
      <c r="ER96" s="114">
        <f t="shared" si="466"/>
        <v>35.96</v>
      </c>
      <c r="ES96" s="114">
        <f t="shared" si="466"/>
        <v>0</v>
      </c>
      <c r="ET96" s="114">
        <f t="shared" si="466"/>
        <v>50</v>
      </c>
      <c r="EU96" s="114">
        <f t="shared" si="466"/>
        <v>36.99</v>
      </c>
      <c r="EV96" s="114">
        <f t="shared" si="466"/>
        <v>19.01</v>
      </c>
      <c r="EW96" s="114">
        <f t="shared" si="466"/>
        <v>0</v>
      </c>
      <c r="EX96" s="114">
        <f t="shared" si="466"/>
        <v>16.81</v>
      </c>
      <c r="EY96" s="114">
        <f t="shared" si="466"/>
        <v>25</v>
      </c>
      <c r="EZ96" s="114">
        <f t="shared" si="466"/>
        <v>13.49</v>
      </c>
      <c r="FA96" s="114">
        <f t="shared" si="466"/>
        <v>0</v>
      </c>
      <c r="FB96" s="114">
        <f t="shared" si="466"/>
        <v>36.03</v>
      </c>
      <c r="FC96" s="114">
        <f t="shared" si="466"/>
        <v>12.28</v>
      </c>
      <c r="FD96" s="114">
        <f t="shared" si="466"/>
        <v>37.45</v>
      </c>
      <c r="FE96" s="114">
        <f t="shared" si="466"/>
        <v>50</v>
      </c>
      <c r="FF96" s="114">
        <f t="shared" si="466"/>
        <v>49.19</v>
      </c>
      <c r="FG96" s="114">
        <f t="shared" si="466"/>
        <v>42.59</v>
      </c>
      <c r="FH96" s="114">
        <f t="shared" si="466"/>
        <v>0</v>
      </c>
      <c r="FI96" s="114">
        <f t="shared" si="466"/>
        <v>22.275</v>
      </c>
      <c r="FJ96" s="114">
        <f t="shared" si="466"/>
        <v>10.1425</v>
      </c>
      <c r="FK96" s="114">
        <f t="shared" si="466"/>
        <v>20.82</v>
      </c>
      <c r="FL96" s="114">
        <f t="shared" si="466"/>
        <v>50</v>
      </c>
      <c r="FM96" s="114">
        <f t="shared" si="466"/>
        <v>25</v>
      </c>
      <c r="FN96" s="114">
        <f t="shared" si="466"/>
        <v>0</v>
      </c>
      <c r="FO96" s="114">
        <f t="shared" si="466"/>
        <v>6.25857142857143</v>
      </c>
      <c r="FP96" s="114">
        <f t="shared" si="466"/>
        <v>3.546</v>
      </c>
      <c r="FQ96" s="65">
        <f>FQ92/FQ95</f>
        <v>14.90296875</v>
      </c>
      <c r="FR96" s="114">
        <f t="shared" ref="FR96:GI96" si="467">IFERROR(FR92/FR95,0)</f>
        <v>12.5</v>
      </c>
      <c r="FS96" s="114">
        <f t="shared" si="467"/>
        <v>0</v>
      </c>
      <c r="FT96" s="114">
        <f t="shared" si="467"/>
        <v>12.5</v>
      </c>
      <c r="FU96" s="114">
        <f t="shared" si="467"/>
        <v>0</v>
      </c>
      <c r="FV96" s="114">
        <f t="shared" si="467"/>
        <v>5.335</v>
      </c>
      <c r="FW96" s="114">
        <f t="shared" si="467"/>
        <v>24.015</v>
      </c>
      <c r="FX96" s="114">
        <f t="shared" si="467"/>
        <v>0</v>
      </c>
      <c r="FY96" s="114">
        <f t="shared" si="467"/>
        <v>13.25</v>
      </c>
      <c r="FZ96" s="114">
        <f t="shared" si="467"/>
        <v>0</v>
      </c>
      <c r="GA96" s="114">
        <f t="shared" si="467"/>
        <v>21.945</v>
      </c>
      <c r="GB96" s="114">
        <f t="shared" si="467"/>
        <v>0</v>
      </c>
      <c r="GC96" s="114">
        <f t="shared" si="467"/>
        <v>24.17</v>
      </c>
      <c r="GD96" s="114">
        <f t="shared" si="467"/>
        <v>16.6666666666667</v>
      </c>
      <c r="GE96" s="114">
        <f t="shared" si="467"/>
        <v>10</v>
      </c>
      <c r="GF96" s="114">
        <f t="shared" si="467"/>
        <v>23.855</v>
      </c>
      <c r="GG96" s="114">
        <f t="shared" si="467"/>
        <v>12.41</v>
      </c>
      <c r="GH96" s="114">
        <f t="shared" si="467"/>
        <v>10.5933333333333</v>
      </c>
      <c r="GI96" s="114">
        <f t="shared" si="467"/>
        <v>15.87</v>
      </c>
      <c r="GJ96" s="114">
        <f t="shared" ref="GJ96:GP96" si="468">IFERROR(GJ92/GJ95,0)</f>
        <v>12.5</v>
      </c>
      <c r="GK96" s="114">
        <f t="shared" si="468"/>
        <v>6.25</v>
      </c>
      <c r="GL96" s="114">
        <f t="shared" si="468"/>
        <v>3.66666666666667</v>
      </c>
      <c r="GM96" s="114">
        <f t="shared" si="468"/>
        <v>0</v>
      </c>
      <c r="GN96" s="114">
        <f t="shared" si="468"/>
        <v>0</v>
      </c>
      <c r="GO96" s="114">
        <f t="shared" si="468"/>
        <v>0</v>
      </c>
      <c r="GP96" s="114">
        <f t="shared" si="468"/>
        <v>0</v>
      </c>
    </row>
    <row r="97" s="47" customFormat="1" ht="15" customHeight="1" spans="2:198">
      <c r="B97" s="112"/>
      <c r="C97" s="113" t="s">
        <v>25</v>
      </c>
      <c r="D97" s="114" t="e">
        <f>SUM(E97:P97)</f>
        <v>#REF!</v>
      </c>
      <c r="E97" s="115" t="e">
        <f>#REF!</f>
        <v>#REF!</v>
      </c>
      <c r="F97" s="115" t="e">
        <f>#REF!</f>
        <v>#REF!</v>
      </c>
      <c r="G97" s="115" t="e">
        <f>#REF!</f>
        <v>#REF!</v>
      </c>
      <c r="H97" s="115" t="e">
        <f>#REF!</f>
        <v>#REF!</v>
      </c>
      <c r="I97" s="115" t="e">
        <f>#REF!</f>
        <v>#REF!</v>
      </c>
      <c r="J97" s="115" t="e">
        <f>#REF!</f>
        <v>#REF!</v>
      </c>
      <c r="K97" s="115" t="e">
        <f>#REF!</f>
        <v>#REF!</v>
      </c>
      <c r="L97" s="115" t="e">
        <f>#REF!</f>
        <v>#REF!</v>
      </c>
      <c r="M97" s="115" t="e">
        <f>#REF!</f>
        <v>#REF!</v>
      </c>
      <c r="N97" s="115" t="e">
        <f>#REF!</f>
        <v>#REF!</v>
      </c>
      <c r="O97" s="115" t="e">
        <f>#REF!</f>
        <v>#REF!</v>
      </c>
      <c r="P97" s="115" t="e">
        <f>#REF!</f>
        <v>#REF!</v>
      </c>
      <c r="Q97" s="65">
        <f>SUM(R97:AV97)</f>
        <v>23</v>
      </c>
      <c r="R97" s="115">
        <f>SUMIFS(商品数据源!$U:$U,商品数据源!$A:$A,$B$92,商品数据源!$B:$B,R2)</f>
        <v>0</v>
      </c>
      <c r="S97" s="115">
        <f>SUMIFS(商品数据源!$U:$U,商品数据源!$A:$A,$B$92,商品数据源!$B:$B,S2)</f>
        <v>1</v>
      </c>
      <c r="T97" s="115">
        <f>SUMIFS(商品数据源!$U:$U,商品数据源!$A:$A,$B$92,商品数据源!$B:$B,T2)</f>
        <v>1</v>
      </c>
      <c r="U97" s="115">
        <f>SUMIFS(商品数据源!$U:$U,商品数据源!$A:$A,$B$92,商品数据源!$B:$B,U2)</f>
        <v>2</v>
      </c>
      <c r="V97" s="115">
        <f>SUMIFS(商品数据源!$U:$U,商品数据源!$A:$A,$B$92,商品数据源!$B:$B,V2)</f>
        <v>0</v>
      </c>
      <c r="W97" s="115">
        <f>SUMIFS(商品数据源!$U:$U,商品数据源!$A:$A,$B$92,商品数据源!$B:$B,W2)</f>
        <v>0</v>
      </c>
      <c r="X97" s="115">
        <f>SUMIFS(商品数据源!$U:$U,商品数据源!$A:$A,$B$92,商品数据源!$B:$B,X2)</f>
        <v>0</v>
      </c>
      <c r="Y97" s="115">
        <f>SUMIFS(商品数据源!$U:$U,商品数据源!$A:$A,$B$92,商品数据源!$B:$B,Y2)</f>
        <v>2</v>
      </c>
      <c r="Z97" s="115">
        <f>SUMIFS(商品数据源!$U:$U,商品数据源!$A:$A,$B$92,商品数据源!$B:$B,Z2)</f>
        <v>1</v>
      </c>
      <c r="AA97" s="115">
        <f>SUMIFS(商品数据源!$U:$U,商品数据源!$A:$A,$B$92,商品数据源!$B:$B,AA2)</f>
        <v>0</v>
      </c>
      <c r="AB97" s="115">
        <f>SUMIFS(商品数据源!$U:$U,商品数据源!$A:$A,$B$92,商品数据源!$B:$B,AB2)</f>
        <v>0</v>
      </c>
      <c r="AC97" s="115">
        <f>SUMIFS(商品数据源!$U:$U,商品数据源!$A:$A,$B$92,商品数据源!$B:$B,AC2)</f>
        <v>0</v>
      </c>
      <c r="AD97" s="115">
        <f>SUMIFS(商品数据源!$U:$U,商品数据源!$A:$A,$B$92,商品数据源!$B:$B,AD2)</f>
        <v>3</v>
      </c>
      <c r="AE97" s="115">
        <f>SUMIFS(商品数据源!$U:$U,商品数据源!$A:$A,$B$92,商品数据源!$B:$B,AE2)</f>
        <v>0</v>
      </c>
      <c r="AF97" s="115">
        <f>SUMIFS(商品数据源!$U:$U,商品数据源!$A:$A,$B$92,商品数据源!$B:$B,AF2)</f>
        <v>0</v>
      </c>
      <c r="AG97" s="115">
        <f>SUMIFS(商品数据源!$U:$U,商品数据源!$A:$A,$B$92,商品数据源!$B:$B,AG2)</f>
        <v>2</v>
      </c>
      <c r="AH97" s="115">
        <f>SUMIFS(商品数据源!$U:$U,商品数据源!$A:$A,$B$92,商品数据源!$B:$B,AH2)</f>
        <v>0</v>
      </c>
      <c r="AI97" s="115">
        <f>SUMIFS(商品数据源!$U:$U,商品数据源!$A:$A,$B$92,商品数据源!$B:$B,AI2)</f>
        <v>0</v>
      </c>
      <c r="AJ97" s="115">
        <f>SUMIFS(商品数据源!$U:$U,商品数据源!$A:$A,$B$92,商品数据源!$B:$B,AJ2)</f>
        <v>1</v>
      </c>
      <c r="AK97" s="115">
        <f>SUMIFS(商品数据源!$U:$U,商品数据源!$A:$A,$B$92,商品数据源!$B:$B,AK2)</f>
        <v>0</v>
      </c>
      <c r="AL97" s="115">
        <f>SUMIFS(商品数据源!$U:$U,商品数据源!$A:$A,$B$92,商品数据源!$B:$B,AL2)</f>
        <v>0</v>
      </c>
      <c r="AM97" s="115">
        <f>SUMIFS(商品数据源!$U:$U,商品数据源!$A:$A,$B$92,商品数据源!$B:$B,AM2)</f>
        <v>1</v>
      </c>
      <c r="AN97" s="115">
        <f>SUMIFS(商品数据源!$U:$U,商品数据源!$A:$A,$B$92,商品数据源!$B:$B,AN2)</f>
        <v>3</v>
      </c>
      <c r="AO97" s="115">
        <f>SUMIFS(商品数据源!$U:$U,商品数据源!$A:$A,$B$92,商品数据源!$B:$B,AO2)</f>
        <v>0</v>
      </c>
      <c r="AP97" s="115">
        <f>SUMIFS(商品数据源!$U:$U,商品数据源!$A:$A,$B$92,商品数据源!$B:$B,AP2)</f>
        <v>1</v>
      </c>
      <c r="AQ97" s="115">
        <f>SUMIFS(商品数据源!$U:$U,商品数据源!$A:$A,$B$92,商品数据源!$B:$B,AQ2)</f>
        <v>2</v>
      </c>
      <c r="AR97" s="115">
        <f>SUMIFS(商品数据源!$U:$U,商品数据源!$A:$A,$B$92,商品数据源!$B:$B,AR2)</f>
        <v>0</v>
      </c>
      <c r="AS97" s="115">
        <f>SUMIFS(商品数据源!$U:$U,商品数据源!$A:$A,$B$92,商品数据源!$B:$B,AS2)</f>
        <v>0</v>
      </c>
      <c r="AT97" s="115">
        <f>SUMIFS(商品数据源!$U:$U,商品数据源!$A:$A,$B$92,商品数据源!$B:$B,AT2)</f>
        <v>2</v>
      </c>
      <c r="AU97" s="115">
        <f>SUMIFS(商品数据源!$U:$U,商品数据源!$A:$A,$B$92,商品数据源!$B:$B,AU2)</f>
        <v>0</v>
      </c>
      <c r="AV97" s="115">
        <f>SUMIFS(商品数据源!$U:$U,商品数据源!$A:$A,$B$92,商品数据源!$B:$B,AV2)</f>
        <v>1</v>
      </c>
      <c r="AW97" s="65">
        <f>SUM(AX97:BY97)</f>
        <v>39</v>
      </c>
      <c r="AX97" s="115">
        <f>SUMIFS(商品数据源!$U:$U,商品数据源!$A:$A,$B$92,商品数据源!$B:$B,AX2)</f>
        <v>0</v>
      </c>
      <c r="AY97" s="115">
        <f>SUMIFS(商品数据源!$U:$U,商品数据源!$A:$A,$B$92,商品数据源!$B:$B,AY2)</f>
        <v>2</v>
      </c>
      <c r="AZ97" s="115">
        <f>SUMIFS(商品数据源!$U:$U,商品数据源!$A:$A,$B$92,商品数据源!$B:$B,AZ2)</f>
        <v>2</v>
      </c>
      <c r="BA97" s="115">
        <f>SUMIFS(商品数据源!$U:$U,商品数据源!$A:$A,$B$92,商品数据源!$B:$B,BA2)</f>
        <v>0</v>
      </c>
      <c r="BB97" s="115">
        <f>SUMIFS(商品数据源!$U:$U,商品数据源!$A:$A,$B$92,商品数据源!$B:$B,BB2)</f>
        <v>7</v>
      </c>
      <c r="BC97" s="115">
        <f>SUMIFS(商品数据源!$U:$U,商品数据源!$A:$A,$B$92,商品数据源!$B:$B,BC2)</f>
        <v>5</v>
      </c>
      <c r="BD97" s="115">
        <f>SUMIFS(商品数据源!$U:$U,商品数据源!$A:$A,$B$92,商品数据源!$B:$B,BD2)</f>
        <v>5</v>
      </c>
      <c r="BE97" s="115">
        <f>SUMIFS(商品数据源!$U:$U,商品数据源!$A:$A,$B$92,商品数据源!$B:$B,BE2)</f>
        <v>1</v>
      </c>
      <c r="BF97" s="115">
        <f>SUMIFS(商品数据源!$U:$U,商品数据源!$A:$A,$B$92,商品数据源!$B:$B,BF2)</f>
        <v>0</v>
      </c>
      <c r="BG97" s="115">
        <f>SUMIFS(商品数据源!$U:$U,商品数据源!$A:$A,$B$92,商品数据源!$B:$B,BG2)</f>
        <v>3</v>
      </c>
      <c r="BH97" s="115">
        <f>SUMIFS(商品数据源!$U:$U,商品数据源!$A:$A,$B$92,商品数据源!$B:$B,BH2)</f>
        <v>0</v>
      </c>
      <c r="BI97" s="115">
        <f>SUMIFS(商品数据源!$U:$U,商品数据源!$A:$A,$B$92,商品数据源!$B:$B,BI2)</f>
        <v>1</v>
      </c>
      <c r="BJ97" s="115">
        <f>SUMIFS(商品数据源!$U:$U,商品数据源!$A:$A,$B$92,商品数据源!$B:$B,BJ2)</f>
        <v>0</v>
      </c>
      <c r="BK97" s="115">
        <f>SUMIFS(商品数据源!$U:$U,商品数据源!$A:$A,$B$92,商品数据源!$B:$B,BK2)</f>
        <v>0</v>
      </c>
      <c r="BL97" s="115">
        <f>SUMIFS(商品数据源!$U:$U,商品数据源!$A:$A,$B$92,商品数据源!$B:$B,BL2)</f>
        <v>1</v>
      </c>
      <c r="BM97" s="115">
        <f>SUMIFS(商品数据源!$U:$U,商品数据源!$A:$A,$B$92,商品数据源!$B:$B,BM2)</f>
        <v>0</v>
      </c>
      <c r="BN97" s="115">
        <f>SUMIFS(商品数据源!$U:$U,商品数据源!$A:$A,$B$92,商品数据源!$B:$B,BN2)</f>
        <v>0</v>
      </c>
      <c r="BO97" s="115">
        <f>SUMIFS(商品数据源!$U:$U,商品数据源!$A:$A,$B$92,商品数据源!$B:$B,BO2)</f>
        <v>0</v>
      </c>
      <c r="BP97" s="115">
        <f>SUMIFS(商品数据源!$U:$U,商品数据源!$A:$A,$B$92,商品数据源!$B:$B,BP2)</f>
        <v>0</v>
      </c>
      <c r="BQ97" s="115">
        <f>SUMIFS(商品数据源!$U:$U,商品数据源!$A:$A,$B$92,商品数据源!$B:$B,BQ2)</f>
        <v>0</v>
      </c>
      <c r="BR97" s="115">
        <f>SUMIFS(商品数据源!$U:$U,商品数据源!$A:$A,$B$92,商品数据源!$B:$B,BR2)</f>
        <v>1</v>
      </c>
      <c r="BS97" s="115">
        <f>SUMIFS(商品数据源!$U:$U,商品数据源!$A:$A,$B$92,商品数据源!$B:$B,BS2)</f>
        <v>0</v>
      </c>
      <c r="BT97" s="115">
        <f>SUMIFS(商品数据源!$U:$U,商品数据源!$A:$A,$B$92,商品数据源!$B:$B,BT2)</f>
        <v>1</v>
      </c>
      <c r="BU97" s="115">
        <f>SUMIFS(商品数据源!$U:$U,商品数据源!$A:$A,$B$92,商品数据源!$B:$B,BU2)</f>
        <v>0</v>
      </c>
      <c r="BV97" s="115">
        <f>SUMIFS(商品数据源!$U:$U,商品数据源!$A:$A,$B$92,商品数据源!$B:$B,BV2)</f>
        <v>1</v>
      </c>
      <c r="BW97" s="115">
        <f>SUMIFS(商品数据源!$U:$U,商品数据源!$A:$A,$B$92,商品数据源!$B:$B,BW2)</f>
        <v>8</v>
      </c>
      <c r="BX97" s="115">
        <f>SUMIFS(商品数据源!$U:$U,商品数据源!$A:$A,$B$92,商品数据源!$B:$B,BX2)</f>
        <v>0</v>
      </c>
      <c r="BY97" s="115">
        <f>SUMIFS(商品数据源!$U:$U,商品数据源!$A:$A,$B$92,商品数据源!$B:$B,BY2)</f>
        <v>1</v>
      </c>
      <c r="BZ97" s="65">
        <f>SUM(CA97:DE97)</f>
        <v>41</v>
      </c>
      <c r="CA97" s="115">
        <f>SUMIFS(商品数据源!$U:$U,商品数据源!$A:$A,$B$92,商品数据源!$B:$B,CA2)</f>
        <v>1</v>
      </c>
      <c r="CB97" s="115">
        <f>SUMIFS(商品数据源!$U:$U,商品数据源!$A:$A,$B$92,商品数据源!$B:$B,CB2)</f>
        <v>0</v>
      </c>
      <c r="CC97" s="115">
        <f>SUMIFS(商品数据源!$U:$U,商品数据源!$A:$A,$B$92,商品数据源!$B:$B,CC2)</f>
        <v>2</v>
      </c>
      <c r="CD97" s="115">
        <f>SUMIFS(商品数据源!$U:$U,商品数据源!$A:$A,$B$92,商品数据源!$B:$B,CD2)</f>
        <v>2</v>
      </c>
      <c r="CE97" s="115">
        <f>SUMIFS(商品数据源!$U:$U,商品数据源!$A:$A,$B$92,商品数据源!$B:$B,CE2)</f>
        <v>1</v>
      </c>
      <c r="CF97" s="115">
        <f>SUMIFS(商品数据源!$U:$U,商品数据源!$A:$A,$B$92,商品数据源!$B:$B,CF2)</f>
        <v>1</v>
      </c>
      <c r="CG97" s="115">
        <f>SUMIFS(商品数据源!$U:$U,商品数据源!$A:$A,$B$92,商品数据源!$B:$B,CG2)</f>
        <v>1</v>
      </c>
      <c r="CH97" s="115">
        <f>SUMIFS(商品数据源!$U:$U,商品数据源!$A:$A,$B$92,商品数据源!$B:$B,CH2)</f>
        <v>2</v>
      </c>
      <c r="CI97" s="115">
        <f>SUMIFS(商品数据源!$U:$U,商品数据源!$A:$A,$B$92,商品数据源!$B:$B,CI2)</f>
        <v>0</v>
      </c>
      <c r="CJ97" s="115">
        <f>SUMIFS(商品数据源!$U:$U,商品数据源!$A:$A,$B$92,商品数据源!$B:$B,CJ2)</f>
        <v>1</v>
      </c>
      <c r="CK97" s="115">
        <f>SUMIFS(商品数据源!$U:$U,商品数据源!$A:$A,$B$92,商品数据源!$B:$B,CK2)</f>
        <v>0</v>
      </c>
      <c r="CL97" s="115">
        <f>SUMIFS(商品数据源!$U:$U,商品数据源!$A:$A,$B$92,商品数据源!$B:$B,CL2)</f>
        <v>1</v>
      </c>
      <c r="CM97" s="115">
        <f>SUMIFS(商品数据源!$U:$U,商品数据源!$A:$A,$B$92,商品数据源!$B:$B,CM2)</f>
        <v>1</v>
      </c>
      <c r="CN97" s="115">
        <f>SUMIFS(商品数据源!$U:$U,商品数据源!$A:$A,$B$92,商品数据源!$B:$B,CN2)</f>
        <v>1</v>
      </c>
      <c r="CO97" s="115">
        <f>SUMIFS(商品数据源!$U:$U,商品数据源!$A:$A,$B$92,商品数据源!$B:$B,CO2)</f>
        <v>4</v>
      </c>
      <c r="CP97" s="115">
        <f>SUMIFS(商品数据源!$U:$U,商品数据源!$A:$A,$B$92,商品数据源!$B:$B,CP2)</f>
        <v>0</v>
      </c>
      <c r="CQ97" s="115">
        <f>SUMIFS(商品数据源!$U:$U,商品数据源!$A:$A,$B$92,商品数据源!$B:$B,CQ2)</f>
        <v>4</v>
      </c>
      <c r="CR97" s="115">
        <f>SUMIFS(商品数据源!$U:$U,商品数据源!$A:$A,$B$92,商品数据源!$B:$B,CR2)</f>
        <v>5</v>
      </c>
      <c r="CS97" s="115">
        <f>SUMIFS(商品数据源!$U:$U,商品数据源!$A:$A,$B$92,商品数据源!$B:$B,CS2)</f>
        <v>6</v>
      </c>
      <c r="CT97" s="115">
        <f>SUMIFS(商品数据源!$U:$U,商品数据源!$A:$A,$B$92,商品数据源!$B:$B,CT2)</f>
        <v>4</v>
      </c>
      <c r="CU97" s="115">
        <f>SUMIFS(商品数据源!$U:$U,商品数据源!$A:$A,$B$92,商品数据源!$B:$B,CU2)</f>
        <v>0</v>
      </c>
      <c r="CV97" s="115">
        <f>SUMIFS(商品数据源!$U:$U,商品数据源!$A:$A,$B$92,商品数据源!$B:$B,CV2)</f>
        <v>0</v>
      </c>
      <c r="CW97" s="115">
        <f>SUMIFS(商品数据源!$U:$U,商品数据源!$A:$A,$B$92,商品数据源!$B:$B,CW2)</f>
        <v>0</v>
      </c>
      <c r="CX97" s="115">
        <f>SUMIFS(商品数据源!$U:$U,商品数据源!$A:$A,$B$92,商品数据源!$B:$B,CX2)</f>
        <v>0</v>
      </c>
      <c r="CY97" s="115">
        <f>SUMIFS(商品数据源!$U:$U,商品数据源!$A:$A,$B$92,商品数据源!$B:$B,CY2)</f>
        <v>1</v>
      </c>
      <c r="CZ97" s="115">
        <f>SUMIFS(商品数据源!$U:$U,商品数据源!$A:$A,$B$92,商品数据源!$B:$B,CZ2)</f>
        <v>0</v>
      </c>
      <c r="DA97" s="115">
        <f>SUMIFS(商品数据源!$U:$U,商品数据源!$A:$A,$B$92,商品数据源!$B:$B,DA2)</f>
        <v>0</v>
      </c>
      <c r="DB97" s="115">
        <f>SUMIFS(商品数据源!$U:$U,商品数据源!$A:$A,$B$92,商品数据源!$B:$B,DB2)</f>
        <v>2</v>
      </c>
      <c r="DC97" s="115">
        <f>SUMIFS(商品数据源!$U:$U,商品数据源!$A:$A,$B$92,商品数据源!$B:$B,DC2)</f>
        <v>0</v>
      </c>
      <c r="DD97" s="115">
        <f>SUMIFS(商品数据源!$U:$U,商品数据源!$A:$A,$B$92,商品数据源!$B:$B,DD2)</f>
        <v>0</v>
      </c>
      <c r="DE97" s="115">
        <f>SUMIFS(商品数据源!$U:$U,商品数据源!$A:$A,$B$92,商品数据源!$B:$B,DE2)</f>
        <v>1</v>
      </c>
      <c r="DF97" s="65">
        <f>SUM(DG97:EJ97)</f>
        <v>3</v>
      </c>
      <c r="DG97" s="115">
        <f>SUMIFS(商品数据源!$U:$U,商品数据源!$A:$A,$B$92,商品数据源!$B:$B,DG2)</f>
        <v>0</v>
      </c>
      <c r="DH97" s="115">
        <f>SUMIFS(商品数据源!$U:$U,商品数据源!$A:$A,$B$92,商品数据源!$B:$B,DH2)</f>
        <v>0</v>
      </c>
      <c r="DI97" s="115">
        <f>SUMIFS(商品数据源!$U:$U,商品数据源!$A:$A,$B$92,商品数据源!$B:$B,DI2)</f>
        <v>0</v>
      </c>
      <c r="DJ97" s="115">
        <f>SUMIFS(商品数据源!$U:$U,商品数据源!$A:$A,$B$92,商品数据源!$B:$B,DJ2)</f>
        <v>0</v>
      </c>
      <c r="DK97" s="115">
        <f>SUMIFS(商品数据源!$U:$U,商品数据源!$A:$A,$B$92,商品数据源!$B:$B,DK2)</f>
        <v>0</v>
      </c>
      <c r="DL97" s="115">
        <f>SUMIFS(商品数据源!$U:$U,商品数据源!$A:$A,$B$92,商品数据源!$B:$B,DL2)</f>
        <v>0</v>
      </c>
      <c r="DM97" s="115">
        <f>SUMIFS(商品数据源!$U:$U,商品数据源!$A:$A,$B$92,商品数据源!$B:$B,DM2)</f>
        <v>0</v>
      </c>
      <c r="DN97" s="115">
        <f>SUMIFS(商品数据源!$U:$U,商品数据源!$A:$A,$B$92,商品数据源!$B:$B,DN2)</f>
        <v>0</v>
      </c>
      <c r="DO97" s="115">
        <f>SUMIFS(商品数据源!$U:$U,商品数据源!$A:$A,$B$92,商品数据源!$B:$B,DO2)</f>
        <v>0</v>
      </c>
      <c r="DP97" s="115">
        <f>SUMIFS(商品数据源!$U:$U,商品数据源!$A:$A,$B$92,商品数据源!$B:$B,DP2)</f>
        <v>0</v>
      </c>
      <c r="DQ97" s="115">
        <f>SUMIFS(商品数据源!$U:$U,商品数据源!$A:$A,$B$92,商品数据源!$B:$B,DQ2)</f>
        <v>0</v>
      </c>
      <c r="DR97" s="115">
        <f>SUMIFS(商品数据源!$U:$U,商品数据源!$A:$A,$B$92,商品数据源!$B:$B,DR2)</f>
        <v>0</v>
      </c>
      <c r="DS97" s="115">
        <f>SUMIFS(商品数据源!$U:$U,商品数据源!$A:$A,$B$92,商品数据源!$B:$B,DS2)</f>
        <v>0</v>
      </c>
      <c r="DT97" s="115">
        <f>SUMIFS(商品数据源!$U:$U,商品数据源!$A:$A,$B$92,商品数据源!$B:$B,DT2)</f>
        <v>0</v>
      </c>
      <c r="DU97" s="115">
        <f>SUMIFS(商品数据源!$U:$U,商品数据源!$A:$A,$B$92,商品数据源!$B:$B,DU2)</f>
        <v>0</v>
      </c>
      <c r="DV97" s="115">
        <f>SUMIFS(商品数据源!$U:$U,商品数据源!$A:$A,$B$92,商品数据源!$B:$B,DV2)</f>
        <v>0</v>
      </c>
      <c r="DW97" s="115">
        <f>SUMIFS(商品数据源!$U:$U,商品数据源!$A:$A,$B$92,商品数据源!$B:$B,DW2)</f>
        <v>0</v>
      </c>
      <c r="DX97" s="115">
        <f>SUMIFS(商品数据源!$U:$U,商品数据源!$A:$A,$B$92,商品数据源!$B:$B,DX2)</f>
        <v>0</v>
      </c>
      <c r="DY97" s="115">
        <f>SUMIFS(商品数据源!$U:$U,商品数据源!$A:$A,$B$92,商品数据源!$B:$B,DY2)</f>
        <v>0</v>
      </c>
      <c r="DZ97" s="115">
        <f>SUMIFS(商品数据源!$U:$U,商品数据源!$A:$A,$B$92,商品数据源!$B:$B,DZ2)</f>
        <v>0</v>
      </c>
      <c r="EA97" s="115">
        <f>SUMIFS(商品数据源!$U:$U,商品数据源!$A:$A,$B$92,商品数据源!$B:$B,EA2)</f>
        <v>0</v>
      </c>
      <c r="EB97" s="115">
        <f>SUMIFS(商品数据源!$U:$U,商品数据源!$A:$A,$B$92,商品数据源!$B:$B,EB2)</f>
        <v>0</v>
      </c>
      <c r="EC97" s="115">
        <f>SUMIFS(商品数据源!$U:$U,商品数据源!$A:$A,$B$92,商品数据源!$B:$B,EC2)</f>
        <v>0</v>
      </c>
      <c r="ED97" s="115">
        <f>SUMIFS(商品数据源!$U:$U,商品数据源!$A:$A,$B$92,商品数据源!$B:$B,ED2)</f>
        <v>0</v>
      </c>
      <c r="EE97" s="115">
        <f>SUMIFS(商品数据源!$U:$U,商品数据源!$A:$A,$B$92,商品数据源!$B:$B,EE2)</f>
        <v>0</v>
      </c>
      <c r="EF97" s="115">
        <f>SUMIFS(商品数据源!$U:$U,商品数据源!$A:$A,$B$92,商品数据源!$B:$B,EF2)</f>
        <v>0</v>
      </c>
      <c r="EG97" s="115">
        <f>SUMIFS(商品数据源!$U:$U,商品数据源!$A:$A,$B$92,商品数据源!$B:$B,EG2)</f>
        <v>0</v>
      </c>
      <c r="EH97" s="115">
        <f>SUMIFS(商品数据源!$U:$U,商品数据源!$A:$A,$B$92,商品数据源!$B:$B,EH2)</f>
        <v>1</v>
      </c>
      <c r="EI97" s="115">
        <f>SUMIFS(商品数据源!$U:$U,商品数据源!$A:$A,$B$92,商品数据源!$B:$B,EI2)</f>
        <v>2</v>
      </c>
      <c r="EJ97" s="115">
        <f>SUMIFS(商品数据源!$U:$U,商品数据源!$A:$A,$B$92,商品数据源!$B:$B,EJ2)</f>
        <v>0</v>
      </c>
      <c r="EK97" s="65">
        <f>SUM(EL97:FP97)</f>
        <v>12</v>
      </c>
      <c r="EL97" s="115">
        <f>SUMIFS(商品数据源!$U:$U,商品数据源!$A:$A,$B$92,商品数据源!$B:$B,EL2)</f>
        <v>1</v>
      </c>
      <c r="EM97" s="115">
        <f>SUMIFS(商品数据源!$U:$U,商品数据源!$A:$A,$B$92,商品数据源!$B:$B,EM2)</f>
        <v>0</v>
      </c>
      <c r="EN97" s="115">
        <f>SUMIFS(商品数据源!$U:$U,商品数据源!$A:$A,$B$92,商品数据源!$B:$B,EN2)</f>
        <v>2</v>
      </c>
      <c r="EO97" s="115">
        <f>SUMIFS(商品数据源!$U:$U,商品数据源!$A:$A,$B$92,商品数据源!$B:$B,EO2)</f>
        <v>0</v>
      </c>
      <c r="EP97" s="115">
        <f>SUMIFS(商品数据源!$U:$U,商品数据源!$A:$A,$B$92,商品数据源!$B:$B,EP2)</f>
        <v>1</v>
      </c>
      <c r="EQ97" s="115">
        <f>SUMIFS(商品数据源!$U:$U,商品数据源!$A:$A,$B$92,商品数据源!$B:$B,EQ2)</f>
        <v>1</v>
      </c>
      <c r="ER97" s="115">
        <f>SUMIFS(商品数据源!$U:$U,商品数据源!$A:$A,$B$92,商品数据源!$B:$B,ER2)</f>
        <v>0</v>
      </c>
      <c r="ES97" s="115">
        <f>SUMIFS(商品数据源!$U:$U,商品数据源!$A:$A,$B$92,商品数据源!$B:$B,ES2)</f>
        <v>0</v>
      </c>
      <c r="ET97" s="115">
        <f>SUMIFS(商品数据源!$U:$U,商品数据源!$A:$A,$B$92,商品数据源!$B:$B,ET2)</f>
        <v>1</v>
      </c>
      <c r="EU97" s="115">
        <f>SUMIFS(商品数据源!$U:$U,商品数据源!$A:$A,$B$92,商品数据源!$B:$B,EU2)</f>
        <v>0</v>
      </c>
      <c r="EV97" s="115">
        <f>SUMIFS(商品数据源!$U:$U,商品数据源!$A:$A,$B$92,商品数据源!$B:$B,EV2)</f>
        <v>0</v>
      </c>
      <c r="EW97" s="115">
        <f>SUMIFS(商品数据源!$U:$U,商品数据源!$A:$A,$B$92,商品数据源!$B:$B,EW2)</f>
        <v>0</v>
      </c>
      <c r="EX97" s="115">
        <f>SUMIFS(商品数据源!$U:$U,商品数据源!$A:$A,$B$92,商品数据源!$B:$B,EX2)</f>
        <v>0</v>
      </c>
      <c r="EY97" s="115">
        <f>SUMIFS(商品数据源!$U:$U,商品数据源!$A:$A,$B$92,商品数据源!$B:$B,EY2)</f>
        <v>0</v>
      </c>
      <c r="EZ97" s="115">
        <f>SUMIFS(商品数据源!$U:$U,商品数据源!$A:$A,$B$92,商品数据源!$B:$B,EZ2)</f>
        <v>0</v>
      </c>
      <c r="FA97" s="115">
        <f>SUMIFS(商品数据源!$U:$U,商品数据源!$A:$A,$B$92,商品数据源!$B:$B,FA2)</f>
        <v>0</v>
      </c>
      <c r="FB97" s="115">
        <f>SUMIFS(商品数据源!$U:$U,商品数据源!$A:$A,$B$92,商品数据源!$B:$B,FB2)</f>
        <v>0</v>
      </c>
      <c r="FC97" s="115">
        <f>SUMIFS(商品数据源!$U:$U,商品数据源!$A:$A,$B$92,商品数据源!$B:$B,FC2)</f>
        <v>1</v>
      </c>
      <c r="FD97" s="115">
        <f>SUMIFS(商品数据源!$U:$U,商品数据源!$A:$A,$B$92,商品数据源!$B:$B,FD2)</f>
        <v>0</v>
      </c>
      <c r="FE97" s="115">
        <f>SUMIFS(商品数据源!$U:$U,商品数据源!$A:$A,$B$92,商品数据源!$B:$B,FE2)</f>
        <v>1</v>
      </c>
      <c r="FF97" s="115">
        <f>SUMIFS(商品数据源!$U:$U,商品数据源!$A:$A,$B$92,商品数据源!$B:$B,FF2)</f>
        <v>0</v>
      </c>
      <c r="FG97" s="115">
        <f>SUMIFS(商品数据源!$U:$U,商品数据源!$A:$A,$B$92,商品数据源!$B:$B,FG2)</f>
        <v>0</v>
      </c>
      <c r="FH97" s="115">
        <f>SUMIFS(商品数据源!$U:$U,商品数据源!$A:$A,$B$92,商品数据源!$B:$B,FH2)</f>
        <v>0</v>
      </c>
      <c r="FI97" s="115">
        <f>SUMIFS(商品数据源!$U:$U,商品数据源!$A:$A,$B$92,商品数据源!$B:$B,FI2)</f>
        <v>1</v>
      </c>
      <c r="FJ97" s="115">
        <f>SUMIFS(商品数据源!$U:$U,商品数据源!$A:$A,$B$92,商品数据源!$B:$B,FJ2)</f>
        <v>0</v>
      </c>
      <c r="FK97" s="115">
        <f>SUMIFS(商品数据源!$U:$U,商品数据源!$A:$A,$B$92,商品数据源!$B:$B,FK2)</f>
        <v>1</v>
      </c>
      <c r="FL97" s="115">
        <f>SUMIFS(商品数据源!$U:$U,商品数据源!$A:$A,$B$92,商品数据源!$B:$B,FL2)</f>
        <v>0</v>
      </c>
      <c r="FM97" s="115">
        <f>SUMIFS(商品数据源!$U:$U,商品数据源!$A:$A,$B$92,商品数据源!$B:$B,FM2)</f>
        <v>0</v>
      </c>
      <c r="FN97" s="115">
        <f>SUMIFS(商品数据源!$U:$U,商品数据源!$A:$A,$B$92,商品数据源!$B:$B,FN2)</f>
        <v>0</v>
      </c>
      <c r="FO97" s="115">
        <f>SUMIFS(商品数据源!$U:$U,商品数据源!$A:$A,$B$92,商品数据源!$B:$B,FO2)</f>
        <v>1</v>
      </c>
      <c r="FP97" s="115">
        <f>SUMIFS(商品数据源!$U:$U,商品数据源!$A:$A,$B$92,商品数据源!$B:$B,FP2)</f>
        <v>1</v>
      </c>
      <c r="FQ97" s="65">
        <f t="shared" ref="FQ97:FQ102" si="469">SUM(FR97:GX97)</f>
        <v>28</v>
      </c>
      <c r="FR97" s="115">
        <f>SUMIFS(商品数据源!$U:$U,商品数据源!$A:$A,$B$92,商品数据源!$B:$B,FR2)</f>
        <v>1</v>
      </c>
      <c r="FS97" s="115">
        <f>SUMIFS(商品数据源!$U:$U,商品数据源!$A:$A,$B$92,商品数据源!$B:$B,FS2)</f>
        <v>0</v>
      </c>
      <c r="FT97" s="115">
        <f>SUMIFS(商品数据源!$U:$U,商品数据源!$A:$A,$B$92,商品数据源!$B:$B,FT2)</f>
        <v>3</v>
      </c>
      <c r="FU97" s="115">
        <f>SUMIFS(商品数据源!$U:$U,商品数据源!$A:$A,$B$92,商品数据源!$B:$B,FU2)</f>
        <v>2</v>
      </c>
      <c r="FV97" s="115">
        <f>SUMIFS(商品数据源!$U:$U,商品数据源!$A:$A,$B$92,商品数据源!$B:$B,FV2)</f>
        <v>8</v>
      </c>
      <c r="FW97" s="115">
        <f>SUMIFS(商品数据源!$U:$U,商品数据源!$A:$A,$B$92,商品数据源!$B:$B,FW2)</f>
        <v>1</v>
      </c>
      <c r="FX97" s="115">
        <f>SUMIFS(商品数据源!$U:$U,商品数据源!$A:$A,$B$92,商品数据源!$B:$B,FX2)</f>
        <v>0</v>
      </c>
      <c r="FY97" s="115">
        <f>SUMIFS(商品数据源!$U:$U,商品数据源!$A:$A,$B$92,商品数据源!$B:$B,FY2)</f>
        <v>0</v>
      </c>
      <c r="FZ97" s="115">
        <f>SUMIFS(商品数据源!$U:$U,商品数据源!$A:$A,$B$92,商品数据源!$B:$B,FZ2)</f>
        <v>2</v>
      </c>
      <c r="GA97" s="115">
        <f>SUMIFS(商品数据源!$U:$U,商品数据源!$A:$A,$B$92,商品数据源!$B:$B,GA2)</f>
        <v>0</v>
      </c>
      <c r="GB97" s="115">
        <f>SUMIFS(商品数据源!$U:$U,商品数据源!$A:$A,$B$92,商品数据源!$B:$B,GB2)</f>
        <v>0</v>
      </c>
      <c r="GC97" s="115">
        <f>SUMIFS(商品数据源!$U:$U,商品数据源!$A:$A,$B$92,商品数据源!$B:$B,GC2)</f>
        <v>0</v>
      </c>
      <c r="GD97" s="115">
        <f>SUMIFS(商品数据源!$U:$U,商品数据源!$A:$A,$B$92,商品数据源!$B:$B,GD2)</f>
        <v>3</v>
      </c>
      <c r="GE97" s="115">
        <f>SUMIFS(商品数据源!$U:$U,商品数据源!$A:$A,$B$92,商品数据源!$B:$B,GE2)</f>
        <v>2</v>
      </c>
      <c r="GF97" s="115">
        <f>SUMIFS(商品数据源!$U:$U,商品数据源!$A:$A,$B$92,商品数据源!$B:$B,GF2)</f>
        <v>1</v>
      </c>
      <c r="GG97" s="115">
        <f>SUMIFS(商品数据源!$U:$U,商品数据源!$A:$A,$B$92,商品数据源!$B:$B,GG2)</f>
        <v>1</v>
      </c>
      <c r="GH97" s="115">
        <f>SUMIFS(商品数据源!$U:$U,商品数据源!$A:$A,$B$92,商品数据源!$B:$B,GH2)</f>
        <v>0</v>
      </c>
      <c r="GI97" s="115">
        <f>SUMIFS(商品数据源!$U:$U,商品数据源!$A:$A,$B$92,商品数据源!$B:$B,GI2)</f>
        <v>1</v>
      </c>
      <c r="GJ97" s="115">
        <f>SUMIFS(商品数据源!$U:$U,商品数据源!$A:$A,$B$92,商品数据源!$B:$B,GJ2)</f>
        <v>2</v>
      </c>
      <c r="GK97" s="115">
        <f>SUMIFS(商品数据源!$U:$U,商品数据源!$A:$A,$B$92,商品数据源!$B:$B,GK2)</f>
        <v>1</v>
      </c>
      <c r="GL97" s="115">
        <f>SUMIFS(商品数据源!$U:$U,商品数据源!$A:$A,$B$92,商品数据源!$B:$B,GL2)</f>
        <v>0</v>
      </c>
      <c r="GM97" s="115">
        <f>SUMIFS(商品数据源!$U:$U,商品数据源!$A:$A,$B$92,商品数据源!$B:$B,GM2)</f>
        <v>0</v>
      </c>
      <c r="GN97" s="115">
        <f>SUMIFS(商品数据源!$U:$U,商品数据源!$A:$A,$B$92,商品数据源!$B:$B,GN2)</f>
        <v>0</v>
      </c>
      <c r="GO97" s="115">
        <f>SUMIFS(商品数据源!$U:$U,商品数据源!$A:$A,$B$92,商品数据源!$B:$B,GO2)</f>
        <v>0</v>
      </c>
      <c r="GP97" s="115">
        <f>SUMIFS(商品数据源!$U:$U,商品数据源!$A:$A,$B$92,商品数据源!$B:$B,GP2)</f>
        <v>0</v>
      </c>
    </row>
    <row r="98" s="47" customFormat="1" ht="15" customHeight="1" spans="2:198">
      <c r="B98" s="112"/>
      <c r="C98" s="113" t="s">
        <v>26</v>
      </c>
      <c r="D98" s="114" t="e">
        <f>SUM(E98:P98)</f>
        <v>#REF!</v>
      </c>
      <c r="E98" s="115" t="e">
        <f>#REF!</f>
        <v>#REF!</v>
      </c>
      <c r="F98" s="115" t="e">
        <f>#REF!</f>
        <v>#REF!</v>
      </c>
      <c r="G98" s="115" t="e">
        <f>#REF!</f>
        <v>#REF!</v>
      </c>
      <c r="H98" s="115" t="e">
        <f>#REF!</f>
        <v>#REF!</v>
      </c>
      <c r="I98" s="115" t="e">
        <f>#REF!</f>
        <v>#REF!</v>
      </c>
      <c r="J98" s="115" t="e">
        <f>#REF!</f>
        <v>#REF!</v>
      </c>
      <c r="K98" s="115" t="e">
        <f>#REF!</f>
        <v>#REF!</v>
      </c>
      <c r="L98" s="115" t="e">
        <f>#REF!</f>
        <v>#REF!</v>
      </c>
      <c r="M98" s="115" t="e">
        <f>#REF!</f>
        <v>#REF!</v>
      </c>
      <c r="N98" s="115" t="e">
        <f>#REF!</f>
        <v>#REF!</v>
      </c>
      <c r="O98" s="115" t="e">
        <f>#REF!</f>
        <v>#REF!</v>
      </c>
      <c r="P98" s="115" t="e">
        <f>#REF!</f>
        <v>#REF!</v>
      </c>
      <c r="Q98" s="65">
        <f>SUM(R98:AV98)</f>
        <v>10494.85</v>
      </c>
      <c r="R98" s="115">
        <f>SUMIFS(商品数据源!$T:$T,商品数据源!$A:$A,$B$92,商品数据源!$B:$B,R2)</f>
        <v>0</v>
      </c>
      <c r="S98" s="115">
        <f>SUMIFS(商品数据源!$T:$T,商品数据源!$A:$A,$B$92,商品数据源!$B:$B,S2)</f>
        <v>64.74</v>
      </c>
      <c r="T98" s="115">
        <f>SUMIFS(商品数据源!$T:$T,商品数据源!$A:$A,$B$92,商品数据源!$B:$B,T2)</f>
        <v>72.25</v>
      </c>
      <c r="U98" s="115">
        <f>SUMIFS(商品数据源!$T:$T,商品数据源!$A:$A,$B$92,商品数据源!$B:$B,U2)</f>
        <v>641.04</v>
      </c>
      <c r="V98" s="115">
        <f>SUMIFS(商品数据源!$T:$T,商品数据源!$A:$A,$B$92,商品数据源!$B:$B,V2)</f>
        <v>0</v>
      </c>
      <c r="W98" s="115">
        <f>SUMIFS(商品数据源!$T:$T,商品数据源!$A:$A,$B$92,商品数据源!$B:$B,W2)</f>
        <v>0</v>
      </c>
      <c r="X98" s="115">
        <f>SUMIFS(商品数据源!$T:$T,商品数据源!$A:$A,$B$92,商品数据源!$B:$B,X2)</f>
        <v>0</v>
      </c>
      <c r="Y98" s="115">
        <f>SUMIFS(商品数据源!$T:$T,商品数据源!$A:$A,$B$92,商品数据源!$B:$B,Y2)</f>
        <v>2268</v>
      </c>
      <c r="Z98" s="115">
        <f>SUMIFS(商品数据源!$T:$T,商品数据源!$A:$A,$B$92,商品数据源!$B:$B,Z2)</f>
        <v>593.3</v>
      </c>
      <c r="AA98" s="115">
        <f>SUMIFS(商品数据源!$T:$T,商品数据源!$A:$A,$B$92,商品数据源!$B:$B,AA2)</f>
        <v>0</v>
      </c>
      <c r="AB98" s="115">
        <f>SUMIFS(商品数据源!$T:$T,商品数据源!$A:$A,$B$92,商品数据源!$B:$B,AB2)</f>
        <v>0</v>
      </c>
      <c r="AC98" s="115">
        <f>SUMIFS(商品数据源!$T:$T,商品数据源!$A:$A,$B$92,商品数据源!$B:$B,AC2)</f>
        <v>0</v>
      </c>
      <c r="AD98" s="115">
        <f>SUMIFS(商品数据源!$T:$T,商品数据源!$A:$A,$B$92,商品数据源!$B:$B,AD2)</f>
        <v>868.61</v>
      </c>
      <c r="AE98" s="115">
        <f>SUMIFS(商品数据源!$T:$T,商品数据源!$A:$A,$B$92,商品数据源!$B:$B,AE2)</f>
        <v>0</v>
      </c>
      <c r="AF98" s="115">
        <f>SUMIFS(商品数据源!$T:$T,商品数据源!$A:$A,$B$92,商品数据源!$B:$B,AF2)</f>
        <v>0</v>
      </c>
      <c r="AG98" s="115">
        <f>SUMIFS(商品数据源!$T:$T,商品数据源!$A:$A,$B$92,商品数据源!$B:$B,AG2)</f>
        <v>814.15</v>
      </c>
      <c r="AH98" s="115">
        <f>SUMIFS(商品数据源!$T:$T,商品数据源!$A:$A,$B$92,商品数据源!$B:$B,AH2)</f>
        <v>0</v>
      </c>
      <c r="AI98" s="115">
        <f>SUMIFS(商品数据源!$T:$T,商品数据源!$A:$A,$B$92,商品数据源!$B:$B,AI2)</f>
        <v>0</v>
      </c>
      <c r="AJ98" s="115">
        <f>SUMIFS(商品数据源!$T:$T,商品数据源!$A:$A,$B$92,商品数据源!$B:$B,AJ2)</f>
        <v>24.07</v>
      </c>
      <c r="AK98" s="115">
        <f>SUMIFS(商品数据源!$T:$T,商品数据源!$A:$A,$B$92,商品数据源!$B:$B,AK2)</f>
        <v>0</v>
      </c>
      <c r="AL98" s="115">
        <f>SUMIFS(商品数据源!$T:$T,商品数据源!$A:$A,$B$92,商品数据源!$B:$B,AL2)</f>
        <v>0</v>
      </c>
      <c r="AM98" s="115">
        <f>SUMIFS(商品数据源!$T:$T,商品数据源!$A:$A,$B$92,商品数据源!$B:$B,AM2)</f>
        <v>313.83</v>
      </c>
      <c r="AN98" s="115">
        <f>SUMIFS(商品数据源!$T:$T,商品数据源!$A:$A,$B$92,商品数据源!$B:$B,AN2)</f>
        <v>2005.72</v>
      </c>
      <c r="AO98" s="115">
        <f>SUMIFS(商品数据源!$T:$T,商品数据源!$A:$A,$B$92,商品数据源!$B:$B,AO2)</f>
        <v>0</v>
      </c>
      <c r="AP98" s="115">
        <f>SUMIFS(商品数据源!$T:$T,商品数据源!$A:$A,$B$92,商品数据源!$B:$B,AP2)</f>
        <v>248</v>
      </c>
      <c r="AQ98" s="115">
        <f>SUMIFS(商品数据源!$T:$T,商品数据源!$A:$A,$B$92,商品数据源!$B:$B,AQ2)</f>
        <v>732</v>
      </c>
      <c r="AR98" s="115">
        <f>SUMIFS(商品数据源!$T:$T,商品数据源!$A:$A,$B$92,商品数据源!$B:$B,AR2)</f>
        <v>0</v>
      </c>
      <c r="AS98" s="115">
        <f>SUMIFS(商品数据源!$T:$T,商品数据源!$A:$A,$B$92,商品数据源!$B:$B,AS2)</f>
        <v>0</v>
      </c>
      <c r="AT98" s="115">
        <f>SUMIFS(商品数据源!$T:$T,商品数据源!$A:$A,$B$92,商品数据源!$B:$B,AT2)</f>
        <v>1262.5</v>
      </c>
      <c r="AU98" s="115">
        <f>SUMIFS(商品数据源!$T:$T,商品数据源!$A:$A,$B$92,商品数据源!$B:$B,AU2)</f>
        <v>0</v>
      </c>
      <c r="AV98" s="115">
        <f>SUMIFS(商品数据源!$T:$T,商品数据源!$A:$A,$B$92,商品数据源!$B:$B,AV2)</f>
        <v>586.64</v>
      </c>
      <c r="AW98" s="65">
        <f>SUM(AX98:BY98)</f>
        <v>12889.05</v>
      </c>
      <c r="AX98" s="115">
        <f>SUMIFS(商品数据源!$T:$T,商品数据源!$A:$A,$B$92,商品数据源!$B:$B,AX2)</f>
        <v>0</v>
      </c>
      <c r="AY98" s="115">
        <f>SUMIFS(商品数据源!$T:$T,商品数据源!$A:$A,$B$92,商品数据源!$B:$B,AY2)</f>
        <v>432</v>
      </c>
      <c r="AZ98" s="115">
        <f>SUMIFS(商品数据源!$T:$T,商品数据源!$A:$A,$B$92,商品数据源!$B:$B,AZ2)</f>
        <v>375.76</v>
      </c>
      <c r="BA98" s="115">
        <f>SUMIFS(商品数据源!$T:$T,商品数据源!$A:$A,$B$92,商品数据源!$B:$B,BA2)</f>
        <v>0</v>
      </c>
      <c r="BB98" s="115">
        <f>SUMIFS(商品数据源!$T:$T,商品数据源!$A:$A,$B$92,商品数据源!$B:$B,BB2)</f>
        <v>2447.26</v>
      </c>
      <c r="BC98" s="115">
        <f>SUMIFS(商品数据源!$T:$T,商品数据源!$A:$A,$B$92,商品数据源!$B:$B,BC2)</f>
        <v>779.48</v>
      </c>
      <c r="BD98" s="115">
        <f>SUMIFS(商品数据源!$T:$T,商品数据源!$A:$A,$B$92,商品数据源!$B:$B,BD2)</f>
        <v>1021.63</v>
      </c>
      <c r="BE98" s="115">
        <f>SUMIFS(商品数据源!$T:$T,商品数据源!$A:$A,$B$92,商品数据源!$B:$B,BE2)</f>
        <v>162.68</v>
      </c>
      <c r="BF98" s="115">
        <f>SUMIFS(商品数据源!$T:$T,商品数据源!$A:$A,$B$92,商品数据源!$B:$B,BF2)</f>
        <v>0</v>
      </c>
      <c r="BG98" s="115">
        <f>SUMIFS(商品数据源!$T:$T,商品数据源!$A:$A,$B$92,商品数据源!$B:$B,BG2)</f>
        <v>243.32</v>
      </c>
      <c r="BH98" s="115">
        <f>SUMIFS(商品数据源!$T:$T,商品数据源!$A:$A,$B$92,商品数据源!$B:$B,BH2)</f>
        <v>0</v>
      </c>
      <c r="BI98" s="115">
        <f>SUMIFS(商品数据源!$T:$T,商品数据源!$A:$A,$B$92,商品数据源!$B:$B,BI2)</f>
        <v>165</v>
      </c>
      <c r="BJ98" s="115">
        <f>SUMIFS(商品数据源!$T:$T,商品数据源!$A:$A,$B$92,商品数据源!$B:$B,BJ2)</f>
        <v>0</v>
      </c>
      <c r="BK98" s="115">
        <f>SUMIFS(商品数据源!$T:$T,商品数据源!$A:$A,$B$92,商品数据源!$B:$B,BK2)</f>
        <v>0</v>
      </c>
      <c r="BL98" s="115">
        <f>SUMIFS(商品数据源!$T:$T,商品数据源!$A:$A,$B$92,商品数据源!$B:$B,BL2)</f>
        <v>85.14</v>
      </c>
      <c r="BM98" s="115">
        <f>SUMIFS(商品数据源!$T:$T,商品数据源!$A:$A,$B$92,商品数据源!$B:$B,BM2)</f>
        <v>0</v>
      </c>
      <c r="BN98" s="115">
        <f>SUMIFS(商品数据源!$T:$T,商品数据源!$A:$A,$B$92,商品数据源!$B:$B,BN2)</f>
        <v>0</v>
      </c>
      <c r="BO98" s="115">
        <f>SUMIFS(商品数据源!$T:$T,商品数据源!$A:$A,$B$92,商品数据源!$B:$B,BO2)</f>
        <v>0</v>
      </c>
      <c r="BP98" s="115">
        <f>SUMIFS(商品数据源!$T:$T,商品数据源!$A:$A,$B$92,商品数据源!$B:$B,BP2)</f>
        <v>0</v>
      </c>
      <c r="BQ98" s="115">
        <f>SUMIFS(商品数据源!$T:$T,商品数据源!$A:$A,$B$92,商品数据源!$B:$B,BQ2)</f>
        <v>0</v>
      </c>
      <c r="BR98" s="115">
        <f>SUMIFS(商品数据源!$T:$T,商品数据源!$A:$A,$B$92,商品数据源!$B:$B,BR2)</f>
        <v>162.68</v>
      </c>
      <c r="BS98" s="115">
        <f>SUMIFS(商品数据源!$T:$T,商品数据源!$A:$A,$B$92,商品数据源!$B:$B,BS2)</f>
        <v>0</v>
      </c>
      <c r="BT98" s="115">
        <f>SUMIFS(商品数据源!$T:$T,商品数据源!$A:$A,$B$92,商品数据源!$B:$B,BT2)</f>
        <v>236</v>
      </c>
      <c r="BU98" s="115">
        <f>SUMIFS(商品数据源!$T:$T,商品数据源!$A:$A,$B$92,商品数据源!$B:$B,BU2)</f>
        <v>0</v>
      </c>
      <c r="BV98" s="115">
        <f>SUMIFS(商品数据源!$T:$T,商品数据源!$A:$A,$B$92,商品数据源!$B:$B,BV2)</f>
        <v>168.08</v>
      </c>
      <c r="BW98" s="115">
        <f>SUMIFS(商品数据源!$T:$T,商品数据源!$A:$A,$B$92,商品数据源!$B:$B,BW2)</f>
        <v>6434.02</v>
      </c>
      <c r="BX98" s="115">
        <f>SUMIFS(商品数据源!$T:$T,商品数据源!$A:$A,$B$92,商品数据源!$B:$B,BX2)</f>
        <v>0</v>
      </c>
      <c r="BY98" s="115">
        <f>SUMIFS(商品数据源!$T:$T,商品数据源!$A:$A,$B$92,商品数据源!$B:$B,BY2)</f>
        <v>176</v>
      </c>
      <c r="BZ98" s="65">
        <f>SUM(CA98:DE98)</f>
        <v>8105.89</v>
      </c>
      <c r="CA98" s="115">
        <f>SUMIFS(商品数据源!$T:$T,商品数据源!$A:$A,$B$92,商品数据源!$B:$B,CA2)</f>
        <v>172</v>
      </c>
      <c r="CB98" s="115">
        <f>SUMIFS(商品数据源!$T:$T,商品数据源!$A:$A,$B$92,商品数据源!$B:$B,CB2)</f>
        <v>0</v>
      </c>
      <c r="CC98" s="115">
        <f>SUMIFS(商品数据源!$T:$T,商品数据源!$A:$A,$B$92,商品数据源!$B:$B,CC2)</f>
        <v>135.04</v>
      </c>
      <c r="CD98" s="115">
        <f>SUMIFS(商品数据源!$T:$T,商品数据源!$A:$A,$B$92,商品数据源!$B:$B,CD2)</f>
        <v>1480.69</v>
      </c>
      <c r="CE98" s="115">
        <f>SUMIFS(商品数据源!$T:$T,商品数据源!$A:$A,$B$92,商品数据源!$B:$B,CE2)</f>
        <v>196</v>
      </c>
      <c r="CF98" s="115">
        <f>SUMIFS(商品数据源!$T:$T,商品数据源!$A:$A,$B$92,商品数据源!$B:$B,CF2)</f>
        <v>68.6</v>
      </c>
      <c r="CG98" s="115">
        <f>SUMIFS(商品数据源!$T:$T,商品数据源!$A:$A,$B$92,商品数据源!$B:$B,CG2)</f>
        <v>172</v>
      </c>
      <c r="CH98" s="115">
        <f>SUMIFS(商品数据源!$T:$T,商品数据源!$A:$A,$B$92,商品数据源!$B:$B,CH2)</f>
        <v>457.04</v>
      </c>
      <c r="CI98" s="115">
        <f>SUMIFS(商品数据源!$T:$T,商品数据源!$A:$A,$B$92,商品数据源!$B:$B,CI2)</f>
        <v>0</v>
      </c>
      <c r="CJ98" s="115">
        <f>SUMIFS(商品数据源!$T:$T,商品数据源!$A:$A,$B$92,商品数据源!$B:$B,CJ2)</f>
        <v>99</v>
      </c>
      <c r="CK98" s="115">
        <f>SUMIFS(商品数据源!$T:$T,商品数据源!$A:$A,$B$92,商品数据源!$B:$B,CK2)</f>
        <v>0</v>
      </c>
      <c r="CL98" s="115">
        <f>SUMIFS(商品数据源!$T:$T,商品数据源!$A:$A,$B$92,商品数据源!$B:$B,CL2)</f>
        <v>49.9</v>
      </c>
      <c r="CM98" s="115">
        <f>SUMIFS(商品数据源!$T:$T,商品数据源!$A:$A,$B$92,商品数据源!$B:$B,CM2)</f>
        <v>49.9</v>
      </c>
      <c r="CN98" s="115">
        <f>SUMIFS(商品数据源!$T:$T,商品数据源!$A:$A,$B$92,商品数据源!$B:$B,CN2)</f>
        <v>48.91</v>
      </c>
      <c r="CO98" s="115">
        <f>SUMIFS(商品数据源!$T:$T,商品数据源!$A:$A,$B$92,商品数据源!$B:$B,CO2)</f>
        <v>196.53</v>
      </c>
      <c r="CP98" s="115">
        <f>SUMIFS(商品数据源!$T:$T,商品数据源!$A:$A,$B$92,商品数据源!$B:$B,CP2)</f>
        <v>0</v>
      </c>
      <c r="CQ98" s="115">
        <f>SUMIFS(商品数据源!$T:$T,商品数据源!$A:$A,$B$92,商品数据源!$B:$B,CQ2)</f>
        <v>2000.68</v>
      </c>
      <c r="CR98" s="115">
        <f>SUMIFS(商品数据源!$T:$T,商品数据源!$A:$A,$B$92,商品数据源!$B:$B,CR2)</f>
        <v>1207.53</v>
      </c>
      <c r="CS98" s="115">
        <f>SUMIFS(商品数据源!$T:$T,商品数据源!$A:$A,$B$92,商品数据源!$B:$B,CS2)</f>
        <v>392.76</v>
      </c>
      <c r="CT98" s="115">
        <f>SUMIFS(商品数据源!$T:$T,商品数据源!$A:$A,$B$92,商品数据源!$B:$B,CT2)</f>
        <v>714.86</v>
      </c>
      <c r="CU98" s="115">
        <f>SUMIFS(商品数据源!$T:$T,商品数据源!$A:$A,$B$92,商品数据源!$B:$B,CU2)</f>
        <v>0</v>
      </c>
      <c r="CV98" s="115">
        <f>SUMIFS(商品数据源!$T:$T,商品数据源!$A:$A,$B$92,商品数据源!$B:$B,CV2)</f>
        <v>0</v>
      </c>
      <c r="CW98" s="115">
        <f>SUMIFS(商品数据源!$T:$T,商品数据源!$A:$A,$B$92,商品数据源!$B:$B,CW2)</f>
        <v>0</v>
      </c>
      <c r="CX98" s="115">
        <f>SUMIFS(商品数据源!$T:$T,商品数据源!$A:$A,$B$92,商品数据源!$B:$B,CX2)</f>
        <v>0</v>
      </c>
      <c r="CY98" s="115">
        <f>SUMIFS(商品数据源!$T:$T,商品数据源!$A:$A,$B$92,商品数据源!$B:$B,CY2)</f>
        <v>147.64</v>
      </c>
      <c r="CZ98" s="115">
        <f>SUMIFS(商品数据源!$T:$T,商品数据源!$A:$A,$B$92,商品数据源!$B:$B,CZ2)</f>
        <v>0</v>
      </c>
      <c r="DA98" s="115">
        <f>SUMIFS(商品数据源!$T:$T,商品数据源!$A:$A,$B$92,商品数据源!$B:$B,DA2)</f>
        <v>0</v>
      </c>
      <c r="DB98" s="115">
        <f>SUMIFS(商品数据源!$T:$T,商品数据源!$A:$A,$B$92,商品数据源!$B:$B,DB2)</f>
        <v>472.9</v>
      </c>
      <c r="DC98" s="115">
        <f>SUMIFS(商品数据源!$T:$T,商品数据源!$A:$A,$B$92,商品数据源!$B:$B,DC2)</f>
        <v>0</v>
      </c>
      <c r="DD98" s="115">
        <f>SUMIFS(商品数据源!$T:$T,商品数据源!$A:$A,$B$92,商品数据源!$B:$B,DD2)</f>
        <v>0</v>
      </c>
      <c r="DE98" s="115">
        <f>SUMIFS(商品数据源!$T:$T,商品数据源!$A:$A,$B$92,商品数据源!$B:$B,DE2)</f>
        <v>43.91</v>
      </c>
      <c r="DF98" s="65">
        <f>SUM(DG98:EJ98)</f>
        <v>719.05</v>
      </c>
      <c r="DG98" s="115">
        <f>SUMIFS(商品数据源!$T:$T,商品数据源!$A:$A,$B$92,商品数据源!$B:$B,DG2)</f>
        <v>0</v>
      </c>
      <c r="DH98" s="115">
        <f>SUMIFS(商品数据源!$T:$T,商品数据源!$A:$A,$B$92,商品数据源!$B:$B,DH2)</f>
        <v>0</v>
      </c>
      <c r="DI98" s="115">
        <f>SUMIFS(商品数据源!$T:$T,商品数据源!$A:$A,$B$92,商品数据源!$B:$B,DI2)</f>
        <v>0</v>
      </c>
      <c r="DJ98" s="115">
        <f>SUMIFS(商品数据源!$T:$T,商品数据源!$A:$A,$B$92,商品数据源!$B:$B,DJ2)</f>
        <v>0</v>
      </c>
      <c r="DK98" s="115">
        <f>SUMIFS(商品数据源!$T:$T,商品数据源!$A:$A,$B$92,商品数据源!$B:$B,DK2)</f>
        <v>0</v>
      </c>
      <c r="DL98" s="115">
        <f>SUMIFS(商品数据源!$T:$T,商品数据源!$A:$A,$B$92,商品数据源!$B:$B,DL2)</f>
        <v>0</v>
      </c>
      <c r="DM98" s="115">
        <f>SUMIFS(商品数据源!$T:$T,商品数据源!$A:$A,$B$92,商品数据源!$B:$B,DM2)</f>
        <v>0</v>
      </c>
      <c r="DN98" s="115">
        <f>SUMIFS(商品数据源!$T:$T,商品数据源!$A:$A,$B$92,商品数据源!$B:$B,DN2)</f>
        <v>0</v>
      </c>
      <c r="DO98" s="115">
        <f>SUMIFS(商品数据源!$T:$T,商品数据源!$A:$A,$B$92,商品数据源!$B:$B,DO2)</f>
        <v>0</v>
      </c>
      <c r="DP98" s="115">
        <f>SUMIFS(商品数据源!$T:$T,商品数据源!$A:$A,$B$92,商品数据源!$B:$B,DP2)</f>
        <v>0</v>
      </c>
      <c r="DQ98" s="115">
        <f>SUMIFS(商品数据源!$T:$T,商品数据源!$A:$A,$B$92,商品数据源!$B:$B,DQ2)</f>
        <v>0</v>
      </c>
      <c r="DR98" s="115">
        <f>SUMIFS(商品数据源!$T:$T,商品数据源!$A:$A,$B$92,商品数据源!$B:$B,DR2)</f>
        <v>0</v>
      </c>
      <c r="DS98" s="115">
        <f>SUMIFS(商品数据源!$T:$T,商品数据源!$A:$A,$B$92,商品数据源!$B:$B,DS2)</f>
        <v>0</v>
      </c>
      <c r="DT98" s="115">
        <f>SUMIFS(商品数据源!$T:$T,商品数据源!$A:$A,$B$92,商品数据源!$B:$B,DT2)</f>
        <v>0</v>
      </c>
      <c r="DU98" s="115">
        <f>SUMIFS(商品数据源!$T:$T,商品数据源!$A:$A,$B$92,商品数据源!$B:$B,DU2)</f>
        <v>0</v>
      </c>
      <c r="DV98" s="115">
        <f>SUMIFS(商品数据源!$T:$T,商品数据源!$A:$A,$B$92,商品数据源!$B:$B,DV2)</f>
        <v>0</v>
      </c>
      <c r="DW98" s="115">
        <f>SUMIFS(商品数据源!$T:$T,商品数据源!$A:$A,$B$92,商品数据源!$B:$B,DW2)</f>
        <v>0</v>
      </c>
      <c r="DX98" s="115">
        <f>SUMIFS(商品数据源!$T:$T,商品数据源!$A:$A,$B$92,商品数据源!$B:$B,DX2)</f>
        <v>0</v>
      </c>
      <c r="DY98" s="115">
        <f>SUMIFS(商品数据源!$T:$T,商品数据源!$A:$A,$B$92,商品数据源!$B:$B,DY2)</f>
        <v>0</v>
      </c>
      <c r="DZ98" s="115">
        <f>SUMIFS(商品数据源!$T:$T,商品数据源!$A:$A,$B$92,商品数据源!$B:$B,DZ2)</f>
        <v>0</v>
      </c>
      <c r="EA98" s="115">
        <f>SUMIFS(商品数据源!$T:$T,商品数据源!$A:$A,$B$92,商品数据源!$B:$B,EA2)</f>
        <v>0</v>
      </c>
      <c r="EB98" s="115">
        <f>SUMIFS(商品数据源!$T:$T,商品数据源!$A:$A,$B$92,商品数据源!$B:$B,EB2)</f>
        <v>0</v>
      </c>
      <c r="EC98" s="115">
        <f>SUMIFS(商品数据源!$T:$T,商品数据源!$A:$A,$B$92,商品数据源!$B:$B,EC2)</f>
        <v>0</v>
      </c>
      <c r="ED98" s="115">
        <f>SUMIFS(商品数据源!$T:$T,商品数据源!$A:$A,$B$92,商品数据源!$B:$B,ED2)</f>
        <v>0</v>
      </c>
      <c r="EE98" s="115">
        <f>SUMIFS(商品数据源!$T:$T,商品数据源!$A:$A,$B$92,商品数据源!$B:$B,EE2)</f>
        <v>0</v>
      </c>
      <c r="EF98" s="115">
        <f>SUMIFS(商品数据源!$T:$T,商品数据源!$A:$A,$B$92,商品数据源!$B:$B,EF2)</f>
        <v>0</v>
      </c>
      <c r="EG98" s="115">
        <f>SUMIFS(商品数据源!$T:$T,商品数据源!$A:$A,$B$92,商品数据源!$B:$B,EG2)</f>
        <v>0</v>
      </c>
      <c r="EH98" s="115">
        <f>SUMIFS(商品数据源!$T:$T,商品数据源!$A:$A,$B$92,商品数据源!$B:$B,EH2)</f>
        <v>596</v>
      </c>
      <c r="EI98" s="115">
        <f>SUMIFS(商品数据源!$T:$T,商品数据源!$A:$A,$B$92,商品数据源!$B:$B,EI2)</f>
        <v>123.05</v>
      </c>
      <c r="EJ98" s="115">
        <f>SUMIFS(商品数据源!$T:$T,商品数据源!$A:$A,$B$92,商品数据源!$B:$B,EJ2)</f>
        <v>0</v>
      </c>
      <c r="EK98" s="65">
        <f>SUM(EL98:FP98)</f>
        <v>1747.02</v>
      </c>
      <c r="EL98" s="115">
        <f>SUMIFS(商品数据源!$T:$T,商品数据源!$A:$A,$B$92,商品数据源!$B:$B,EL2)</f>
        <v>70.2</v>
      </c>
      <c r="EM98" s="115">
        <f>SUMIFS(商品数据源!$T:$T,商品数据源!$A:$A,$B$92,商品数据源!$B:$B,EM2)</f>
        <v>0</v>
      </c>
      <c r="EN98" s="115">
        <f>SUMIFS(商品数据源!$T:$T,商品数据源!$A:$A,$B$92,商品数据源!$B:$B,EN2)</f>
        <v>125.1</v>
      </c>
      <c r="EO98" s="115">
        <f>SUMIFS(商品数据源!$T:$T,商品数据源!$A:$A,$B$92,商品数据源!$B:$B,EO2)</f>
        <v>0</v>
      </c>
      <c r="EP98" s="115">
        <f>SUMIFS(商品数据源!$T:$T,商品数据源!$A:$A,$B$92,商品数据源!$B:$B,EP2)</f>
        <v>138.64</v>
      </c>
      <c r="EQ98" s="115">
        <f>SUMIFS(商品数据源!$T:$T,商品数据源!$A:$A,$B$92,商品数据源!$B:$B,EQ2)</f>
        <v>732.28</v>
      </c>
      <c r="ER98" s="115">
        <f>SUMIFS(商品数据源!$T:$T,商品数据源!$A:$A,$B$92,商品数据源!$B:$B,ER2)</f>
        <v>0</v>
      </c>
      <c r="ES98" s="115">
        <f>SUMIFS(商品数据源!$T:$T,商品数据源!$A:$A,$B$92,商品数据源!$B:$B,ES2)</f>
        <v>0</v>
      </c>
      <c r="ET98" s="115">
        <f>SUMIFS(商品数据源!$T:$T,商品数据源!$A:$A,$B$92,商品数据源!$B:$B,ET2)</f>
        <v>33.9</v>
      </c>
      <c r="EU98" s="115">
        <f>SUMIFS(商品数据源!$T:$T,商品数据源!$A:$A,$B$92,商品数据源!$B:$B,EU2)</f>
        <v>0</v>
      </c>
      <c r="EV98" s="115">
        <f>SUMIFS(商品数据源!$T:$T,商品数据源!$A:$A,$B$92,商品数据源!$B:$B,EV2)</f>
        <v>0</v>
      </c>
      <c r="EW98" s="115">
        <f>SUMIFS(商品数据源!$T:$T,商品数据源!$A:$A,$B$92,商品数据源!$B:$B,EW2)</f>
        <v>0</v>
      </c>
      <c r="EX98" s="115">
        <f>SUMIFS(商品数据源!$T:$T,商品数据源!$A:$A,$B$92,商品数据源!$B:$B,EX2)</f>
        <v>0</v>
      </c>
      <c r="EY98" s="115">
        <f>SUMIFS(商品数据源!$T:$T,商品数据源!$A:$A,$B$92,商品数据源!$B:$B,EY2)</f>
        <v>0</v>
      </c>
      <c r="EZ98" s="115">
        <f>SUMIFS(商品数据源!$T:$T,商品数据源!$A:$A,$B$92,商品数据源!$B:$B,EZ2)</f>
        <v>0</v>
      </c>
      <c r="FA98" s="115">
        <f>SUMIFS(商品数据源!$T:$T,商品数据源!$A:$A,$B$92,商品数据源!$B:$B,FA2)</f>
        <v>0</v>
      </c>
      <c r="FB98" s="115">
        <f>SUMIFS(商品数据源!$T:$T,商品数据源!$A:$A,$B$92,商品数据源!$B:$B,FB2)</f>
        <v>0</v>
      </c>
      <c r="FC98" s="115">
        <f>SUMIFS(商品数据源!$T:$T,商品数据源!$A:$A,$B$92,商品数据源!$B:$B,FC2)</f>
        <v>142</v>
      </c>
      <c r="FD98" s="115">
        <f>SUMIFS(商品数据源!$T:$T,商品数据源!$A:$A,$B$92,商品数据源!$B:$B,FD2)</f>
        <v>0</v>
      </c>
      <c r="FE98" s="115">
        <f>SUMIFS(商品数据源!$T:$T,商品数据源!$A:$A,$B$92,商品数据源!$B:$B,FE2)</f>
        <v>245</v>
      </c>
      <c r="FF98" s="115">
        <f>SUMIFS(商品数据源!$T:$T,商品数据源!$A:$A,$B$92,商品数据源!$B:$B,FF2)</f>
        <v>0</v>
      </c>
      <c r="FG98" s="115">
        <f>SUMIFS(商品数据源!$T:$T,商品数据源!$A:$A,$B$92,商品数据源!$B:$B,FG2)</f>
        <v>0</v>
      </c>
      <c r="FH98" s="115">
        <f>SUMIFS(商品数据源!$T:$T,商品数据源!$A:$A,$B$92,商品数据源!$B:$B,FH2)</f>
        <v>0</v>
      </c>
      <c r="FI98" s="115">
        <f>SUMIFS(商品数据源!$T:$T,商品数据源!$A:$A,$B$92,商品数据源!$B:$B,FI2)</f>
        <v>39.9</v>
      </c>
      <c r="FJ98" s="115">
        <f>SUMIFS(商品数据源!$T:$T,商品数据源!$A:$A,$B$92,商品数据源!$B:$B,FJ2)</f>
        <v>0</v>
      </c>
      <c r="FK98" s="115">
        <f>SUMIFS(商品数据源!$T:$T,商品数据源!$A:$A,$B$92,商品数据源!$B:$B,FK2)</f>
        <v>138.64</v>
      </c>
      <c r="FL98" s="115">
        <f>SUMIFS(商品数据源!$T:$T,商品数据源!$A:$A,$B$92,商品数据源!$B:$B,FL2)</f>
        <v>0</v>
      </c>
      <c r="FM98" s="115">
        <f>SUMIFS(商品数据源!$T:$T,商品数据源!$A:$A,$B$92,商品数据源!$B:$B,FM2)</f>
        <v>0</v>
      </c>
      <c r="FN98" s="115">
        <f>SUMIFS(商品数据源!$T:$T,商品数据源!$A:$A,$B$92,商品数据源!$B:$B,FN2)</f>
        <v>0</v>
      </c>
      <c r="FO98" s="115">
        <f>SUMIFS(商品数据源!$T:$T,商品数据源!$A:$A,$B$92,商品数据源!$B:$B,FO2)</f>
        <v>38.96</v>
      </c>
      <c r="FP98" s="115">
        <f>SUMIFS(商品数据源!$T:$T,商品数据源!$A:$A,$B$92,商品数据源!$B:$B,FP2)</f>
        <v>42.4</v>
      </c>
      <c r="FQ98" s="65">
        <f t="shared" si="469"/>
        <v>20753.22</v>
      </c>
      <c r="FR98" s="115">
        <f>SUMIFS(商品数据源!$T:$T,商品数据源!$A:$A,$B$92,商品数据源!$B:$B,FR2)</f>
        <v>37.93</v>
      </c>
      <c r="FS98" s="115">
        <f>SUMIFS(商品数据源!$T:$T,商品数据源!$A:$A,$B$92,商品数据源!$B:$B,FS2)</f>
        <v>0</v>
      </c>
      <c r="FT98" s="115">
        <f>SUMIFS(商品数据源!$T:$T,商品数据源!$A:$A,$B$92,商品数据源!$B:$B,FT2)</f>
        <v>930.12</v>
      </c>
      <c r="FU98" s="115">
        <f>SUMIFS(商品数据源!$T:$T,商品数据源!$A:$A,$B$92,商品数据源!$B:$B,FU2)</f>
        <v>167.03</v>
      </c>
      <c r="FV98" s="115">
        <f>SUMIFS(商品数据源!$T:$T,商品数据源!$A:$A,$B$92,商品数据源!$B:$B,FV2)</f>
        <v>17623.09</v>
      </c>
      <c r="FW98" s="115">
        <f>SUMIFS(商品数据源!$T:$T,商品数据源!$A:$A,$B$92,商品数据源!$B:$B,FW2)</f>
        <v>40.41</v>
      </c>
      <c r="FX98" s="115">
        <f>SUMIFS(商品数据源!$T:$T,商品数据源!$A:$A,$B$92,商品数据源!$B:$B,FX2)</f>
        <v>0</v>
      </c>
      <c r="FY98" s="115">
        <f>SUMIFS(商品数据源!$T:$T,商品数据源!$A:$A,$B$92,商品数据源!$B:$B,FY2)</f>
        <v>0</v>
      </c>
      <c r="FZ98" s="115">
        <f>SUMIFS(商品数据源!$T:$T,商品数据源!$A:$A,$B$92,商品数据源!$B:$B,FZ2)</f>
        <v>79.86</v>
      </c>
      <c r="GA98" s="115">
        <f>SUMIFS(商品数据源!$T:$T,商品数据源!$A:$A,$B$92,商品数据源!$B:$B,GA2)</f>
        <v>0</v>
      </c>
      <c r="GB98" s="115">
        <f>SUMIFS(商品数据源!$T:$T,商品数据源!$A:$A,$B$92,商品数据源!$B:$B,GB2)</f>
        <v>0</v>
      </c>
      <c r="GC98" s="115">
        <f>SUMIFS(商品数据源!$T:$T,商品数据源!$A:$A,$B$92,商品数据源!$B:$B,GC2)</f>
        <v>0</v>
      </c>
      <c r="GD98" s="115">
        <f>SUMIFS(商品数据源!$T:$T,商品数据源!$A:$A,$B$92,商品数据源!$B:$B,GD2)</f>
        <v>835.3</v>
      </c>
      <c r="GE98" s="115">
        <f>SUMIFS(商品数据源!$T:$T,商品数据源!$A:$A,$B$92,商品数据源!$B:$B,GE2)</f>
        <v>181.8</v>
      </c>
      <c r="GF98" s="115">
        <f>SUMIFS(商品数据源!$T:$T,商品数据源!$A:$A,$B$92,商品数据源!$B:$B,GF2)</f>
        <v>16.1</v>
      </c>
      <c r="GG98" s="115">
        <f>SUMIFS(商品数据源!$T:$T,商品数据源!$A:$A,$B$92,商品数据源!$B:$B,GG2)</f>
        <v>166</v>
      </c>
      <c r="GH98" s="115">
        <f>SUMIFS(商品数据源!$T:$T,商品数据源!$A:$A,$B$92,商品数据源!$B:$B,GH2)</f>
        <v>0</v>
      </c>
      <c r="GI98" s="115">
        <f>SUMIFS(商品数据源!$T:$T,商品数据源!$A:$A,$B$92,商品数据源!$B:$B,GI2)</f>
        <v>138.64</v>
      </c>
      <c r="GJ98" s="115">
        <f>SUMIFS(商品数据源!$T:$T,商品数据源!$A:$A,$B$92,商品数据源!$B:$B,GJ2)</f>
        <v>470.64</v>
      </c>
      <c r="GK98" s="115">
        <f>SUMIFS(商品数据源!$T:$T,商品数据源!$A:$A,$B$92,商品数据源!$B:$B,GK2)</f>
        <v>66.3</v>
      </c>
      <c r="GL98" s="115">
        <f>SUMIFS(商品数据源!$T:$T,商品数据源!$A:$A,$B$92,商品数据源!$B:$B,GL2)</f>
        <v>0</v>
      </c>
      <c r="GM98" s="115">
        <f>SUMIFS(商品数据源!$T:$T,商品数据源!$A:$A,$B$92,商品数据源!$B:$B,GM2)</f>
        <v>0</v>
      </c>
      <c r="GN98" s="115">
        <f>SUMIFS(商品数据源!$T:$T,商品数据源!$A:$A,$B$92,商品数据源!$B:$B,GN2)</f>
        <v>0</v>
      </c>
      <c r="GO98" s="115">
        <f>SUMIFS(商品数据源!$T:$T,商品数据源!$A:$A,$B$92,商品数据源!$B:$B,GO2)</f>
        <v>0</v>
      </c>
      <c r="GP98" s="115">
        <f>SUMIFS(商品数据源!$T:$T,商品数据源!$A:$A,$B$92,商品数据源!$B:$B,GP2)</f>
        <v>0</v>
      </c>
    </row>
    <row r="99" s="47" customFormat="1" ht="15" customHeight="1" spans="2:198">
      <c r="B99" s="112"/>
      <c r="C99" s="113" t="s">
        <v>14</v>
      </c>
      <c r="D99" s="119" t="e">
        <f>D98/D92</f>
        <v>#REF!</v>
      </c>
      <c r="E99" s="117" t="e">
        <f t="shared" ref="D99:O99" si="470">E98/E92</f>
        <v>#REF!</v>
      </c>
      <c r="F99" s="117" t="e">
        <f t="shared" si="470"/>
        <v>#REF!</v>
      </c>
      <c r="G99" s="117" t="e">
        <f t="shared" si="470"/>
        <v>#REF!</v>
      </c>
      <c r="H99" s="117" t="e">
        <f t="shared" si="470"/>
        <v>#REF!</v>
      </c>
      <c r="I99" s="117" t="e">
        <f t="shared" si="470"/>
        <v>#REF!</v>
      </c>
      <c r="J99" s="117" t="e">
        <f t="shared" si="470"/>
        <v>#REF!</v>
      </c>
      <c r="K99" s="117" t="e">
        <f t="shared" si="470"/>
        <v>#REF!</v>
      </c>
      <c r="L99" s="117" t="e">
        <f t="shared" si="470"/>
        <v>#REF!</v>
      </c>
      <c r="M99" s="117" t="e">
        <f t="shared" si="470"/>
        <v>#REF!</v>
      </c>
      <c r="N99" s="117" t="e">
        <f t="shared" si="470"/>
        <v>#REF!</v>
      </c>
      <c r="O99" s="117" t="e">
        <f t="shared" si="470"/>
        <v>#REF!</v>
      </c>
      <c r="P99" s="117" t="e">
        <f t="shared" ref="P99:X99" si="471">P98/P92</f>
        <v>#REF!</v>
      </c>
      <c r="Q99" s="70">
        <f t="shared" si="471"/>
        <v>4.16824541963055</v>
      </c>
      <c r="R99" s="117">
        <f t="shared" si="471"/>
        <v>0</v>
      </c>
      <c r="S99" s="117">
        <f t="shared" si="471"/>
        <v>1.04234422798261</v>
      </c>
      <c r="T99" s="117">
        <f t="shared" si="471"/>
        <v>0.999584947426674</v>
      </c>
      <c r="U99" s="117">
        <f t="shared" si="471"/>
        <v>8.67677314564158</v>
      </c>
      <c r="V99" s="117">
        <f t="shared" si="471"/>
        <v>0</v>
      </c>
      <c r="W99" s="117">
        <f t="shared" si="471"/>
        <v>0</v>
      </c>
      <c r="X99" s="117">
        <f t="shared" si="471"/>
        <v>0</v>
      </c>
      <c r="Y99" s="117">
        <f t="shared" ref="Y99:AL99" si="472">Y98/Y92</f>
        <v>22.68</v>
      </c>
      <c r="Z99" s="117">
        <f t="shared" si="472"/>
        <v>7.13186681091477</v>
      </c>
      <c r="AA99" s="117">
        <f t="shared" si="472"/>
        <v>0</v>
      </c>
      <c r="AB99" s="117">
        <f t="shared" si="472"/>
        <v>0</v>
      </c>
      <c r="AC99" s="117">
        <f t="shared" si="472"/>
        <v>0</v>
      </c>
      <c r="AD99" s="117">
        <f t="shared" si="472"/>
        <v>12.7324831427734</v>
      </c>
      <c r="AE99" s="117">
        <f t="shared" si="472"/>
        <v>0</v>
      </c>
      <c r="AF99" s="117">
        <f t="shared" si="472"/>
        <v>0</v>
      </c>
      <c r="AG99" s="117">
        <f t="shared" si="472"/>
        <v>5.63854837592631</v>
      </c>
      <c r="AH99" s="117">
        <f t="shared" si="472"/>
        <v>0</v>
      </c>
      <c r="AI99" s="117">
        <f t="shared" si="472"/>
        <v>0</v>
      </c>
      <c r="AJ99" s="117">
        <f t="shared" si="472"/>
        <v>0.120488561846123</v>
      </c>
      <c r="AK99" s="117">
        <f t="shared" si="472"/>
        <v>0</v>
      </c>
      <c r="AL99" s="117">
        <f t="shared" ref="AL99:BH99" si="473">AL98/AL92</f>
        <v>0</v>
      </c>
      <c r="AM99" s="117">
        <f t="shared" si="473"/>
        <v>3.922875</v>
      </c>
      <c r="AN99" s="117">
        <f t="shared" si="473"/>
        <v>30.3804907603756</v>
      </c>
      <c r="AO99" s="117">
        <f t="shared" si="473"/>
        <v>0</v>
      </c>
      <c r="AP99" s="117">
        <f t="shared" si="473"/>
        <v>3.1</v>
      </c>
      <c r="AQ99" s="117">
        <f t="shared" si="473"/>
        <v>12.2061030515258</v>
      </c>
      <c r="AR99" s="117">
        <f t="shared" si="473"/>
        <v>0</v>
      </c>
      <c r="AS99" s="117">
        <f t="shared" si="473"/>
        <v>0</v>
      </c>
      <c r="AT99" s="117">
        <f t="shared" si="473"/>
        <v>15.78125</v>
      </c>
      <c r="AU99" s="117">
        <f t="shared" si="473"/>
        <v>0</v>
      </c>
      <c r="AV99" s="117">
        <f t="shared" si="473"/>
        <v>7.333</v>
      </c>
      <c r="AW99" s="70">
        <f t="shared" si="473"/>
        <v>6.20062347558776</v>
      </c>
      <c r="AX99" s="117">
        <f t="shared" si="473"/>
        <v>0</v>
      </c>
      <c r="AY99" s="117">
        <f t="shared" si="473"/>
        <v>5.4</v>
      </c>
      <c r="AZ99" s="117">
        <f t="shared" si="473"/>
        <v>5.19435996682333</v>
      </c>
      <c r="BA99" s="117">
        <f t="shared" si="473"/>
        <v>0</v>
      </c>
      <c r="BB99" s="117">
        <f t="shared" si="473"/>
        <v>30.59075</v>
      </c>
      <c r="BC99" s="117">
        <f t="shared" si="473"/>
        <v>10.324238410596</v>
      </c>
      <c r="BD99" s="117">
        <f t="shared" si="473"/>
        <v>12.770375</v>
      </c>
      <c r="BE99" s="117">
        <f t="shared" si="473"/>
        <v>2.0335</v>
      </c>
      <c r="BF99" s="117">
        <f t="shared" si="473"/>
        <v>0</v>
      </c>
      <c r="BG99" s="117">
        <f t="shared" si="473"/>
        <v>3.0415</v>
      </c>
      <c r="BH99" s="117">
        <f t="shared" si="473"/>
        <v>0</v>
      </c>
      <c r="BI99" s="117">
        <f t="shared" ref="BI99:BW99" si="474">BI98/BI92</f>
        <v>2.21506242448651</v>
      </c>
      <c r="BJ99" s="117">
        <f t="shared" si="474"/>
        <v>0</v>
      </c>
      <c r="BK99" s="117">
        <f t="shared" si="474"/>
        <v>0</v>
      </c>
      <c r="BL99" s="117">
        <f t="shared" si="474"/>
        <v>1.1420523138833</v>
      </c>
      <c r="BM99" s="117">
        <f t="shared" si="474"/>
        <v>0</v>
      </c>
      <c r="BN99" s="117">
        <f t="shared" si="474"/>
        <v>0</v>
      </c>
      <c r="BO99" s="117">
        <f t="shared" si="474"/>
        <v>0</v>
      </c>
      <c r="BP99" s="117">
        <f t="shared" si="474"/>
        <v>0</v>
      </c>
      <c r="BQ99" s="117">
        <f t="shared" si="474"/>
        <v>0</v>
      </c>
      <c r="BR99" s="117">
        <f t="shared" si="474"/>
        <v>2.36453488372093</v>
      </c>
      <c r="BS99" s="117">
        <f t="shared" si="474"/>
        <v>0</v>
      </c>
      <c r="BT99" s="117">
        <f t="shared" si="474"/>
        <v>3.32160450387051</v>
      </c>
      <c r="BU99" s="117">
        <f t="shared" si="474"/>
        <v>0</v>
      </c>
      <c r="BV99" s="117">
        <f t="shared" si="474"/>
        <v>2.35274356103024</v>
      </c>
      <c r="BW99" s="117">
        <f t="shared" si="474"/>
        <v>80.42525</v>
      </c>
      <c r="BX99" s="117">
        <f t="shared" ref="BX99:CH99" si="475">BX98/BX92</f>
        <v>0</v>
      </c>
      <c r="BY99" s="117">
        <f t="shared" si="475"/>
        <v>2.2</v>
      </c>
      <c r="BZ99" s="70">
        <f t="shared" si="475"/>
        <v>3.96935047891407</v>
      </c>
      <c r="CA99" s="117">
        <f t="shared" si="475"/>
        <v>2.45960245960246</v>
      </c>
      <c r="CB99" s="117">
        <f t="shared" si="475"/>
        <v>0</v>
      </c>
      <c r="CC99" s="117">
        <f t="shared" si="475"/>
        <v>1.688</v>
      </c>
      <c r="CD99" s="117">
        <f t="shared" si="475"/>
        <v>18.508625</v>
      </c>
      <c r="CE99" s="117">
        <f t="shared" si="475"/>
        <v>2.94559663360385</v>
      </c>
      <c r="CF99" s="117">
        <f t="shared" si="475"/>
        <v>0.8575</v>
      </c>
      <c r="CG99" s="117">
        <f t="shared" si="475"/>
        <v>2.18468182395529</v>
      </c>
      <c r="CH99" s="117">
        <f t="shared" si="475"/>
        <v>5.713</v>
      </c>
      <c r="CI99" s="117">
        <f t="shared" ref="CI99:EH99" si="476">CI98/CI92</f>
        <v>0</v>
      </c>
      <c r="CJ99" s="117">
        <f t="shared" si="476"/>
        <v>1.2375</v>
      </c>
      <c r="CK99" s="117">
        <f t="shared" si="476"/>
        <v>0</v>
      </c>
      <c r="CL99" s="117">
        <f t="shared" si="476"/>
        <v>1.86961408767329</v>
      </c>
      <c r="CM99" s="117">
        <f t="shared" si="476"/>
        <v>0.736748855750775</v>
      </c>
      <c r="CN99" s="117">
        <f t="shared" si="476"/>
        <v>0.640015702695629</v>
      </c>
      <c r="CO99" s="117">
        <f t="shared" si="476"/>
        <v>2.456625</v>
      </c>
      <c r="CP99" s="117">
        <f t="shared" si="476"/>
        <v>0</v>
      </c>
      <c r="CQ99" s="117">
        <f t="shared" si="476"/>
        <v>27.2683658170915</v>
      </c>
      <c r="CR99" s="117">
        <f t="shared" si="476"/>
        <v>20.1255</v>
      </c>
      <c r="CS99" s="117">
        <f t="shared" si="476"/>
        <v>6.546</v>
      </c>
      <c r="CT99" s="117">
        <f t="shared" si="476"/>
        <v>11.9143333333333</v>
      </c>
      <c r="CU99" s="117">
        <f t="shared" si="476"/>
        <v>0</v>
      </c>
      <c r="CV99" s="117">
        <f t="shared" si="476"/>
        <v>0</v>
      </c>
      <c r="CW99" s="117">
        <f t="shared" si="476"/>
        <v>0</v>
      </c>
      <c r="CX99" s="117">
        <f t="shared" si="476"/>
        <v>0</v>
      </c>
      <c r="CY99" s="117">
        <f t="shared" si="476"/>
        <v>2.46066666666667</v>
      </c>
      <c r="CZ99" s="117">
        <f t="shared" si="476"/>
        <v>0</v>
      </c>
      <c r="DA99" s="117">
        <f t="shared" si="476"/>
        <v>0</v>
      </c>
      <c r="DB99" s="117">
        <f t="shared" si="476"/>
        <v>8.77691165553081</v>
      </c>
      <c r="DC99" s="117">
        <f t="shared" si="476"/>
        <v>0</v>
      </c>
      <c r="DD99" s="117">
        <f t="shared" si="476"/>
        <v>0</v>
      </c>
      <c r="DE99" s="117">
        <f t="shared" si="476"/>
        <v>0.906856670797191</v>
      </c>
      <c r="DF99" s="70">
        <f t="shared" si="476"/>
        <v>5.70946482451961</v>
      </c>
      <c r="DG99" s="117" t="e">
        <f t="shared" si="476"/>
        <v>#DIV/0!</v>
      </c>
      <c r="DH99" s="117" t="e">
        <f t="shared" si="476"/>
        <v>#DIV/0!</v>
      </c>
      <c r="DI99" s="117" t="e">
        <f t="shared" si="476"/>
        <v>#DIV/0!</v>
      </c>
      <c r="DJ99" s="117" t="e">
        <f t="shared" si="476"/>
        <v>#DIV/0!</v>
      </c>
      <c r="DK99" s="117" t="e">
        <f t="shared" si="476"/>
        <v>#DIV/0!</v>
      </c>
      <c r="DL99" s="117" t="e">
        <f t="shared" si="476"/>
        <v>#DIV/0!</v>
      </c>
      <c r="DM99" s="117" t="e">
        <f t="shared" si="476"/>
        <v>#DIV/0!</v>
      </c>
      <c r="DN99" s="117" t="e">
        <f t="shared" si="476"/>
        <v>#DIV/0!</v>
      </c>
      <c r="DO99" s="117" t="e">
        <f t="shared" si="476"/>
        <v>#DIV/0!</v>
      </c>
      <c r="DP99" s="117" t="e">
        <f t="shared" si="476"/>
        <v>#DIV/0!</v>
      </c>
      <c r="DQ99" s="117" t="e">
        <f t="shared" si="476"/>
        <v>#DIV/0!</v>
      </c>
      <c r="DR99" s="117" t="e">
        <f t="shared" si="476"/>
        <v>#DIV/0!</v>
      </c>
      <c r="DS99" s="117" t="e">
        <f t="shared" si="476"/>
        <v>#DIV/0!</v>
      </c>
      <c r="DT99" s="117" t="e">
        <f t="shared" si="476"/>
        <v>#DIV/0!</v>
      </c>
      <c r="DU99" s="117" t="e">
        <f t="shared" si="476"/>
        <v>#DIV/0!</v>
      </c>
      <c r="DV99" s="117" t="e">
        <f t="shared" si="476"/>
        <v>#DIV/0!</v>
      </c>
      <c r="DW99" s="117" t="e">
        <f t="shared" si="476"/>
        <v>#DIV/0!</v>
      </c>
      <c r="DX99" s="117" t="e">
        <f t="shared" si="476"/>
        <v>#DIV/0!</v>
      </c>
      <c r="DY99" s="117" t="e">
        <f t="shared" si="476"/>
        <v>#DIV/0!</v>
      </c>
      <c r="DZ99" s="117" t="e">
        <f t="shared" si="476"/>
        <v>#DIV/0!</v>
      </c>
      <c r="EA99" s="117" t="e">
        <f t="shared" si="476"/>
        <v>#DIV/0!</v>
      </c>
      <c r="EB99" s="117" t="e">
        <f t="shared" si="476"/>
        <v>#DIV/0!</v>
      </c>
      <c r="EC99" s="117" t="e">
        <f t="shared" si="476"/>
        <v>#DIV/0!</v>
      </c>
      <c r="ED99" s="117" t="e">
        <f t="shared" si="476"/>
        <v>#DIV/0!</v>
      </c>
      <c r="EE99" s="117" t="e">
        <f t="shared" si="476"/>
        <v>#DIV/0!</v>
      </c>
      <c r="EF99" s="117" t="e">
        <f t="shared" si="476"/>
        <v>#DIV/0!</v>
      </c>
      <c r="EG99" s="117" t="e">
        <f t="shared" si="476"/>
        <v>#DIV/0!</v>
      </c>
      <c r="EH99" s="117">
        <f t="shared" si="476"/>
        <v>11.92</v>
      </c>
      <c r="EI99" s="117">
        <f t="shared" ref="EI99:FM99" si="477">EI98/EI92</f>
        <v>3.44195804195804</v>
      </c>
      <c r="EJ99" s="117">
        <f t="shared" si="477"/>
        <v>0</v>
      </c>
      <c r="EK99" s="70">
        <f t="shared" si="477"/>
        <v>1.40157404510337</v>
      </c>
      <c r="EL99" s="117">
        <f t="shared" si="477"/>
        <v>1.93228736581338</v>
      </c>
      <c r="EM99" s="117">
        <f t="shared" si="477"/>
        <v>0</v>
      </c>
      <c r="EN99" s="117">
        <f t="shared" si="477"/>
        <v>3.55195911413969</v>
      </c>
      <c r="EO99" s="117">
        <f t="shared" si="477"/>
        <v>0</v>
      </c>
      <c r="EP99" s="117">
        <f t="shared" si="477"/>
        <v>3.64266946925906</v>
      </c>
      <c r="EQ99" s="117">
        <f t="shared" si="477"/>
        <v>17.860487804878</v>
      </c>
      <c r="ER99" s="117">
        <f t="shared" si="477"/>
        <v>0</v>
      </c>
      <c r="ES99" s="117">
        <f t="shared" si="477"/>
        <v>0</v>
      </c>
      <c r="ET99" s="117">
        <f t="shared" si="477"/>
        <v>0.678</v>
      </c>
      <c r="EU99" s="117">
        <f t="shared" si="477"/>
        <v>0</v>
      </c>
      <c r="EV99" s="117">
        <f t="shared" si="477"/>
        <v>0</v>
      </c>
      <c r="EW99" s="117">
        <f t="shared" si="477"/>
        <v>0</v>
      </c>
      <c r="EX99" s="117">
        <f t="shared" si="477"/>
        <v>0</v>
      </c>
      <c r="EY99" s="117">
        <f t="shared" si="477"/>
        <v>0</v>
      </c>
      <c r="EZ99" s="117">
        <f t="shared" si="477"/>
        <v>0</v>
      </c>
      <c r="FA99" s="117">
        <f t="shared" si="477"/>
        <v>0</v>
      </c>
      <c r="FB99" s="117">
        <f t="shared" si="477"/>
        <v>0</v>
      </c>
      <c r="FC99" s="117">
        <f t="shared" si="477"/>
        <v>3.85450597176981</v>
      </c>
      <c r="FD99" s="117">
        <f t="shared" si="477"/>
        <v>0</v>
      </c>
      <c r="FE99" s="117">
        <f t="shared" si="477"/>
        <v>4.9</v>
      </c>
      <c r="FF99" s="117">
        <f t="shared" si="477"/>
        <v>0</v>
      </c>
      <c r="FG99" s="117">
        <f t="shared" si="477"/>
        <v>0</v>
      </c>
      <c r="FH99" s="117">
        <f t="shared" si="477"/>
        <v>0</v>
      </c>
      <c r="FI99" s="117">
        <f t="shared" si="477"/>
        <v>0.895622895622896</v>
      </c>
      <c r="FJ99" s="117">
        <f t="shared" si="477"/>
        <v>0</v>
      </c>
      <c r="FK99" s="117">
        <f t="shared" si="477"/>
        <v>3.32949087415946</v>
      </c>
      <c r="FL99" s="117">
        <f t="shared" si="477"/>
        <v>0</v>
      </c>
      <c r="FM99" s="117">
        <f t="shared" si="477"/>
        <v>0</v>
      </c>
      <c r="FN99" s="117">
        <f t="shared" ref="FN99:GI99" si="478">FN98/FN92</f>
        <v>0</v>
      </c>
      <c r="FO99" s="117">
        <f t="shared" si="478"/>
        <v>0.889294681579548</v>
      </c>
      <c r="FP99" s="117">
        <f t="shared" si="478"/>
        <v>1.19571347997744</v>
      </c>
      <c r="FQ99" s="70">
        <f t="shared" si="478"/>
        <v>21.7586890195955</v>
      </c>
      <c r="FR99" s="117">
        <f t="shared" si="478"/>
        <v>0.7586</v>
      </c>
      <c r="FS99" s="117">
        <f t="shared" si="478"/>
        <v>0</v>
      </c>
      <c r="FT99" s="117">
        <f t="shared" si="478"/>
        <v>18.6024</v>
      </c>
      <c r="FU99" s="117">
        <f t="shared" si="478"/>
        <v>3.34394394394394</v>
      </c>
      <c r="FV99" s="117">
        <f t="shared" si="478"/>
        <v>412.91213683224</v>
      </c>
      <c r="FW99" s="117">
        <f t="shared" si="478"/>
        <v>0.841349156777014</v>
      </c>
      <c r="FX99" s="117">
        <f t="shared" si="478"/>
        <v>0</v>
      </c>
      <c r="FY99" s="117">
        <f t="shared" si="478"/>
        <v>0</v>
      </c>
      <c r="FZ99" s="117">
        <f t="shared" si="478"/>
        <v>1.5972</v>
      </c>
      <c r="GA99" s="117">
        <f t="shared" si="478"/>
        <v>0</v>
      </c>
      <c r="GB99" s="117">
        <f t="shared" si="478"/>
        <v>0</v>
      </c>
      <c r="GC99" s="117">
        <f t="shared" si="478"/>
        <v>0</v>
      </c>
      <c r="GD99" s="117">
        <f t="shared" si="478"/>
        <v>16.706</v>
      </c>
      <c r="GE99" s="117">
        <f t="shared" si="478"/>
        <v>3.636</v>
      </c>
      <c r="GF99" s="117">
        <f t="shared" si="478"/>
        <v>0.337455460071264</v>
      </c>
      <c r="GG99" s="117">
        <f t="shared" si="478"/>
        <v>6.68815471394037</v>
      </c>
      <c r="GH99" s="117">
        <f t="shared" si="478"/>
        <v>0</v>
      </c>
      <c r="GI99" s="117">
        <f t="shared" si="478"/>
        <v>2.91199327872296</v>
      </c>
      <c r="GJ99" s="117">
        <f t="shared" ref="GJ99:GP99" si="479">GJ98/GJ92</f>
        <v>9.4128</v>
      </c>
      <c r="GK99" s="117">
        <f t="shared" si="479"/>
        <v>1.326</v>
      </c>
      <c r="GL99" s="117">
        <f t="shared" si="479"/>
        <v>0</v>
      </c>
      <c r="GM99" s="117" t="e">
        <f t="shared" si="479"/>
        <v>#DIV/0!</v>
      </c>
      <c r="GN99" s="117" t="e">
        <f t="shared" si="479"/>
        <v>#DIV/0!</v>
      </c>
      <c r="GO99" s="117" t="e">
        <f t="shared" si="479"/>
        <v>#DIV/0!</v>
      </c>
      <c r="GP99" s="117" t="e">
        <f t="shared" si="479"/>
        <v>#DIV/0!</v>
      </c>
    </row>
    <row r="100" s="47" customFormat="1" ht="15" customHeight="1" spans="2:198">
      <c r="B100" s="112"/>
      <c r="C100" s="113" t="s">
        <v>36</v>
      </c>
      <c r="D100" s="120" t="e">
        <f t="shared" ref="D100:O100" si="480">D92/D$128</f>
        <v>#REF!</v>
      </c>
      <c r="E100" s="121" t="e">
        <f t="shared" si="480"/>
        <v>#REF!</v>
      </c>
      <c r="F100" s="121" t="e">
        <f t="shared" si="480"/>
        <v>#REF!</v>
      </c>
      <c r="G100" s="121" t="e">
        <f t="shared" si="480"/>
        <v>#REF!</v>
      </c>
      <c r="H100" s="121" t="e">
        <f t="shared" si="480"/>
        <v>#REF!</v>
      </c>
      <c r="I100" s="121" t="e">
        <f t="shared" si="480"/>
        <v>#REF!</v>
      </c>
      <c r="J100" s="121" t="e">
        <f t="shared" si="480"/>
        <v>#REF!</v>
      </c>
      <c r="K100" s="121" t="e">
        <f t="shared" si="480"/>
        <v>#REF!</v>
      </c>
      <c r="L100" s="121" t="e">
        <f t="shared" si="480"/>
        <v>#REF!</v>
      </c>
      <c r="M100" s="121" t="e">
        <f t="shared" si="480"/>
        <v>#REF!</v>
      </c>
      <c r="N100" s="121" t="e">
        <f t="shared" si="480"/>
        <v>#REF!</v>
      </c>
      <c r="O100" s="121" t="e">
        <f t="shared" si="480"/>
        <v>#REF!</v>
      </c>
      <c r="P100" s="121" t="e">
        <f t="shared" ref="P100:X100" si="481">P92/P$128</f>
        <v>#REF!</v>
      </c>
      <c r="Q100" s="102">
        <f t="shared" si="481"/>
        <v>0.43242319529554</v>
      </c>
      <c r="R100" s="121">
        <f t="shared" si="481"/>
        <v>0.422885572139303</v>
      </c>
      <c r="S100" s="121">
        <f t="shared" si="481"/>
        <v>0.414674856456136</v>
      </c>
      <c r="T100" s="121">
        <f t="shared" si="481"/>
        <v>0.343519794686564</v>
      </c>
      <c r="U100" s="121">
        <f t="shared" si="481"/>
        <v>0.282826736084526</v>
      </c>
      <c r="V100" s="121">
        <f t="shared" si="481"/>
        <v>0.320326120397908</v>
      </c>
      <c r="W100" s="121">
        <f t="shared" si="481"/>
        <v>0.291836639002204</v>
      </c>
      <c r="X100" s="121">
        <f t="shared" si="481"/>
        <v>0.124945199473915</v>
      </c>
      <c r="Y100" s="121">
        <f t="shared" ref="Y100:AL100" si="482">Y92/Y$128</f>
        <v>0.43122035360069</v>
      </c>
      <c r="Z100" s="121">
        <f t="shared" si="482"/>
        <v>0.333199823767373</v>
      </c>
      <c r="AA100" s="121">
        <f t="shared" si="482"/>
        <v>0.288276171262049</v>
      </c>
      <c r="AB100" s="121">
        <f t="shared" si="482"/>
        <v>0.300615926088869</v>
      </c>
      <c r="AC100" s="121">
        <f t="shared" si="482"/>
        <v>0.344552868524018</v>
      </c>
      <c r="AD100" s="121">
        <f t="shared" si="482"/>
        <v>0.321125964978347</v>
      </c>
      <c r="AE100" s="121">
        <f t="shared" si="482"/>
        <v>0.27214340880452</v>
      </c>
      <c r="AF100" s="121">
        <f t="shared" si="482"/>
        <v>0.33683417322093</v>
      </c>
      <c r="AG100" s="121">
        <f t="shared" si="482"/>
        <v>0.588002932073628</v>
      </c>
      <c r="AH100" s="121">
        <f t="shared" si="482"/>
        <v>0.61515099666353</v>
      </c>
      <c r="AI100" s="121">
        <f t="shared" si="482"/>
        <v>0.37965011754944</v>
      </c>
      <c r="AJ100" s="121">
        <f t="shared" si="482"/>
        <v>0.718106330205974</v>
      </c>
      <c r="AK100" s="121">
        <f t="shared" si="482"/>
        <v>0.610507851653859</v>
      </c>
      <c r="AL100" s="121">
        <f t="shared" ref="AL100:BH100" si="483">AL92/AL$128</f>
        <v>0.740848460535553</v>
      </c>
      <c r="AM100" s="121">
        <f t="shared" si="483"/>
        <v>0.566973777462792</v>
      </c>
      <c r="AN100" s="121">
        <f t="shared" si="483"/>
        <v>0.501100569259962</v>
      </c>
      <c r="AO100" s="121">
        <f t="shared" si="483"/>
        <v>0.534295064449342</v>
      </c>
      <c r="AP100" s="121">
        <f t="shared" si="483"/>
        <v>0.516129032258065</v>
      </c>
      <c r="AQ100" s="121">
        <f t="shared" si="483"/>
        <v>0.433246640658864</v>
      </c>
      <c r="AR100" s="121">
        <f t="shared" si="483"/>
        <v>0.494620996661308</v>
      </c>
      <c r="AS100" s="121">
        <f t="shared" si="483"/>
        <v>0.665550628902362</v>
      </c>
      <c r="AT100" s="121">
        <f t="shared" si="483"/>
        <v>0.643811363270562</v>
      </c>
      <c r="AU100" s="121">
        <f t="shared" si="483"/>
        <v>0.531333136269583</v>
      </c>
      <c r="AV100" s="121">
        <f t="shared" si="483"/>
        <v>0.608503841180497</v>
      </c>
      <c r="AW100" s="102">
        <f t="shared" si="483"/>
        <v>0.855138226098404</v>
      </c>
      <c r="AX100" s="121">
        <f t="shared" si="483"/>
        <v>0.566625539790253</v>
      </c>
      <c r="AY100" s="121">
        <f t="shared" si="483"/>
        <v>0.570491335662839</v>
      </c>
      <c r="AZ100" s="121">
        <f t="shared" si="483"/>
        <v>0.659675360204268</v>
      </c>
      <c r="BA100" s="121">
        <f t="shared" si="483"/>
        <v>0.683151118831102</v>
      </c>
      <c r="BB100" s="121">
        <f t="shared" si="483"/>
        <v>0.655307994757536</v>
      </c>
      <c r="BC100" s="121">
        <f t="shared" si="483"/>
        <v>0.783195020746888</v>
      </c>
      <c r="BD100" s="121">
        <f t="shared" si="483"/>
        <v>0.709786176914205</v>
      </c>
      <c r="BE100" s="121">
        <f t="shared" si="483"/>
        <v>0.695652173913043</v>
      </c>
      <c r="BF100" s="121">
        <f t="shared" si="483"/>
        <v>0.720980533525595</v>
      </c>
      <c r="BG100" s="121">
        <f t="shared" si="483"/>
        <v>0.933271115258983</v>
      </c>
      <c r="BH100" s="121">
        <f t="shared" si="483"/>
        <v>1</v>
      </c>
      <c r="BI100" s="121">
        <f t="shared" ref="BI100:BW100" si="484">BI92/BI$128</f>
        <v>1</v>
      </c>
      <c r="BJ100" s="121">
        <f t="shared" si="484"/>
        <v>1</v>
      </c>
      <c r="BK100" s="121">
        <f t="shared" si="484"/>
        <v>1</v>
      </c>
      <c r="BL100" s="121">
        <f t="shared" si="484"/>
        <v>1</v>
      </c>
      <c r="BM100" s="121">
        <f t="shared" si="484"/>
        <v>1</v>
      </c>
      <c r="BN100" s="121">
        <f t="shared" si="484"/>
        <v>1</v>
      </c>
      <c r="BO100" s="121">
        <f t="shared" si="484"/>
        <v>1</v>
      </c>
      <c r="BP100" s="121">
        <f t="shared" si="484"/>
        <v>1</v>
      </c>
      <c r="BQ100" s="121">
        <f t="shared" si="484"/>
        <v>1</v>
      </c>
      <c r="BR100" s="121">
        <f t="shared" si="484"/>
        <v>1</v>
      </c>
      <c r="BS100" s="121">
        <f t="shared" si="484"/>
        <v>1</v>
      </c>
      <c r="BT100" s="121">
        <f t="shared" si="484"/>
        <v>1</v>
      </c>
      <c r="BU100" s="121">
        <f t="shared" si="484"/>
        <v>1</v>
      </c>
      <c r="BV100" s="121">
        <f t="shared" si="484"/>
        <v>1</v>
      </c>
      <c r="BW100" s="121">
        <f t="shared" si="484"/>
        <v>1</v>
      </c>
      <c r="BX100" s="121">
        <f t="shared" ref="BX100:CH100" si="485">BX92/BX$128</f>
        <v>1</v>
      </c>
      <c r="BY100" s="121">
        <f t="shared" si="485"/>
        <v>1</v>
      </c>
      <c r="BZ100" s="102">
        <f t="shared" si="485"/>
        <v>0.87219393856562</v>
      </c>
      <c r="CA100" s="121">
        <f t="shared" si="485"/>
        <v>1</v>
      </c>
      <c r="CB100" s="121">
        <f t="shared" si="485"/>
        <v>1</v>
      </c>
      <c r="CC100" s="121">
        <f t="shared" si="485"/>
        <v>1</v>
      </c>
      <c r="CD100" s="121">
        <f t="shared" si="485"/>
        <v>1</v>
      </c>
      <c r="CE100" s="121">
        <f t="shared" si="485"/>
        <v>1</v>
      </c>
      <c r="CF100" s="121">
        <f t="shared" si="485"/>
        <v>1</v>
      </c>
      <c r="CG100" s="121">
        <f t="shared" si="485"/>
        <v>1</v>
      </c>
      <c r="CH100" s="121">
        <f t="shared" si="485"/>
        <v>1</v>
      </c>
      <c r="CI100" s="121">
        <f t="shared" ref="CI100:EH100" si="486">CI92/CI$128</f>
        <v>1</v>
      </c>
      <c r="CJ100" s="121">
        <f t="shared" si="486"/>
        <v>1</v>
      </c>
      <c r="CK100" s="121">
        <f t="shared" si="486"/>
        <v>1</v>
      </c>
      <c r="CL100" s="121">
        <f t="shared" si="486"/>
        <v>1</v>
      </c>
      <c r="CM100" s="121">
        <f t="shared" si="486"/>
        <v>1</v>
      </c>
      <c r="CN100" s="121">
        <f t="shared" si="486"/>
        <v>1</v>
      </c>
      <c r="CO100" s="121">
        <f t="shared" si="486"/>
        <v>1</v>
      </c>
      <c r="CP100" s="121">
        <f t="shared" si="486"/>
        <v>1</v>
      </c>
      <c r="CQ100" s="121">
        <f t="shared" si="486"/>
        <v>1</v>
      </c>
      <c r="CR100" s="121">
        <f t="shared" si="486"/>
        <v>1</v>
      </c>
      <c r="CS100" s="121">
        <f t="shared" si="486"/>
        <v>0.545454545454545</v>
      </c>
      <c r="CT100" s="121">
        <f t="shared" si="486"/>
        <v>0.545454545454545</v>
      </c>
      <c r="CU100" s="121">
        <f t="shared" si="486"/>
        <v>1</v>
      </c>
      <c r="CV100" s="121">
        <f t="shared" si="486"/>
        <v>1</v>
      </c>
      <c r="CW100" s="121">
        <f t="shared" si="486"/>
        <v>0.545454545454545</v>
      </c>
      <c r="CX100" s="121">
        <f t="shared" si="486"/>
        <v>0.545454545454545</v>
      </c>
      <c r="CY100" s="121">
        <f t="shared" si="486"/>
        <v>0.545454545454545</v>
      </c>
      <c r="CZ100" s="121">
        <f t="shared" si="486"/>
        <v>0.532205966178985</v>
      </c>
      <c r="DA100" s="121">
        <f t="shared" si="486"/>
        <v>1</v>
      </c>
      <c r="DB100" s="121">
        <f t="shared" si="486"/>
        <v>1</v>
      </c>
      <c r="DC100" s="121">
        <f t="shared" si="486"/>
        <v>1</v>
      </c>
      <c r="DD100" s="121">
        <f t="shared" si="486"/>
        <v>1</v>
      </c>
      <c r="DE100" s="121">
        <f t="shared" si="486"/>
        <v>1</v>
      </c>
      <c r="DF100" s="102">
        <f t="shared" si="486"/>
        <v>0.316305003013864</v>
      </c>
      <c r="DG100" s="121" t="e">
        <f t="shared" si="486"/>
        <v>#DIV/0!</v>
      </c>
      <c r="DH100" s="121" t="e">
        <f t="shared" si="486"/>
        <v>#DIV/0!</v>
      </c>
      <c r="DI100" s="121" t="e">
        <f t="shared" si="486"/>
        <v>#DIV/0!</v>
      </c>
      <c r="DJ100" s="121" t="e">
        <f t="shared" si="486"/>
        <v>#DIV/0!</v>
      </c>
      <c r="DK100" s="121" t="e">
        <f t="shared" si="486"/>
        <v>#DIV/0!</v>
      </c>
      <c r="DL100" s="121" t="e">
        <f t="shared" si="486"/>
        <v>#DIV/0!</v>
      </c>
      <c r="DM100" s="121" t="e">
        <f t="shared" si="486"/>
        <v>#DIV/0!</v>
      </c>
      <c r="DN100" s="121" t="e">
        <f t="shared" si="486"/>
        <v>#DIV/0!</v>
      </c>
      <c r="DO100" s="121" t="e">
        <f t="shared" si="486"/>
        <v>#DIV/0!</v>
      </c>
      <c r="DP100" s="121" t="e">
        <f t="shared" si="486"/>
        <v>#DIV/0!</v>
      </c>
      <c r="DQ100" s="121" t="e">
        <f t="shared" si="486"/>
        <v>#DIV/0!</v>
      </c>
      <c r="DR100" s="121" t="e">
        <f t="shared" si="486"/>
        <v>#DIV/0!</v>
      </c>
      <c r="DS100" s="121" t="e">
        <f t="shared" si="486"/>
        <v>#DIV/0!</v>
      </c>
      <c r="DT100" s="121" t="e">
        <f t="shared" si="486"/>
        <v>#DIV/0!</v>
      </c>
      <c r="DU100" s="121" t="e">
        <f t="shared" si="486"/>
        <v>#DIV/0!</v>
      </c>
      <c r="DV100" s="121" t="e">
        <f t="shared" si="486"/>
        <v>#DIV/0!</v>
      </c>
      <c r="DW100" s="121" t="e">
        <f t="shared" si="486"/>
        <v>#DIV/0!</v>
      </c>
      <c r="DX100" s="121" t="e">
        <f t="shared" si="486"/>
        <v>#DIV/0!</v>
      </c>
      <c r="DY100" s="121" t="e">
        <f t="shared" si="486"/>
        <v>#DIV/0!</v>
      </c>
      <c r="DZ100" s="121" t="e">
        <f t="shared" si="486"/>
        <v>#DIV/0!</v>
      </c>
      <c r="EA100" s="121" t="e">
        <f t="shared" si="486"/>
        <v>#DIV/0!</v>
      </c>
      <c r="EB100" s="121" t="e">
        <f t="shared" si="486"/>
        <v>#DIV/0!</v>
      </c>
      <c r="EC100" s="121" t="e">
        <f t="shared" si="486"/>
        <v>#DIV/0!</v>
      </c>
      <c r="ED100" s="121" t="e">
        <f t="shared" si="486"/>
        <v>#DIV/0!</v>
      </c>
      <c r="EE100" s="121" t="e">
        <f t="shared" si="486"/>
        <v>#DIV/0!</v>
      </c>
      <c r="EF100" s="121" t="e">
        <f t="shared" si="486"/>
        <v>#DIV/0!</v>
      </c>
      <c r="EG100" s="121" t="e">
        <f t="shared" si="486"/>
        <v>#DIV/0!</v>
      </c>
      <c r="EH100" s="121">
        <f t="shared" si="486"/>
        <v>0.304117754394502</v>
      </c>
      <c r="EI100" s="121">
        <f t="shared" ref="EI100:FM100" si="487">EI92/EI$128</f>
        <v>0.295040026409177</v>
      </c>
      <c r="EJ100" s="121">
        <f t="shared" si="487"/>
        <v>0.356990584473263</v>
      </c>
      <c r="EK100" s="102">
        <f t="shared" si="487"/>
        <v>0.251175303019617</v>
      </c>
      <c r="EL100" s="121">
        <f t="shared" si="487"/>
        <v>0.29241790083709</v>
      </c>
      <c r="EM100" s="121">
        <f t="shared" si="487"/>
        <v>0.289427000177399</v>
      </c>
      <c r="EN100" s="121">
        <f t="shared" si="487"/>
        <v>0.271215154782073</v>
      </c>
      <c r="EO100" s="121">
        <f t="shared" si="487"/>
        <v>0.279600454766932</v>
      </c>
      <c r="EP100" s="121">
        <f t="shared" si="487"/>
        <v>0.293899613899614</v>
      </c>
      <c r="EQ100" s="121">
        <f t="shared" si="487"/>
        <v>0.336866321584093</v>
      </c>
      <c r="ER100" s="121">
        <f t="shared" si="487"/>
        <v>0.320870884268761</v>
      </c>
      <c r="ES100" s="121">
        <f t="shared" si="487"/>
        <v>0.254925373134328</v>
      </c>
      <c r="ET100" s="121">
        <f t="shared" si="487"/>
        <v>0.296015629625244</v>
      </c>
      <c r="EU100" s="121">
        <f t="shared" si="487"/>
        <v>0.188647490820073</v>
      </c>
      <c r="EV100" s="121">
        <f t="shared" si="487"/>
        <v>0.164795630878592</v>
      </c>
      <c r="EW100" s="121">
        <f t="shared" si="487"/>
        <v>0.178775743707094</v>
      </c>
      <c r="EX100" s="121">
        <f t="shared" si="487"/>
        <v>0.157007425395788</v>
      </c>
      <c r="EY100" s="121">
        <f t="shared" si="487"/>
        <v>0.27362775679965</v>
      </c>
      <c r="EZ100" s="121">
        <f t="shared" si="487"/>
        <v>0.362862010221465</v>
      </c>
      <c r="FA100" s="121">
        <f t="shared" si="487"/>
        <v>0.256045419499544</v>
      </c>
      <c r="FB100" s="121">
        <f t="shared" si="487"/>
        <v>0.244802282918875</v>
      </c>
      <c r="FC100" s="121">
        <f t="shared" si="487"/>
        <v>0.322084280468613</v>
      </c>
      <c r="FD100" s="121">
        <f t="shared" si="487"/>
        <v>0.258151237333701</v>
      </c>
      <c r="FE100" s="121">
        <f t="shared" si="487"/>
        <v>0.288217661978326</v>
      </c>
      <c r="FF100" s="121">
        <f t="shared" si="487"/>
        <v>0.30567984091474</v>
      </c>
      <c r="FG100" s="121">
        <f t="shared" si="487"/>
        <v>0.288101197321247</v>
      </c>
      <c r="FH100" s="121">
        <f t="shared" si="487"/>
        <v>0.171811740890688</v>
      </c>
      <c r="FI100" s="121">
        <f t="shared" si="487"/>
        <v>0.228192388464888</v>
      </c>
      <c r="FJ100" s="121">
        <f t="shared" si="487"/>
        <v>0.237598828696925</v>
      </c>
      <c r="FK100" s="121">
        <f t="shared" si="487"/>
        <v>0.240221529941156</v>
      </c>
      <c r="FL100" s="121">
        <f t="shared" si="487"/>
        <v>0.280300482116829</v>
      </c>
      <c r="FM100" s="121">
        <f t="shared" si="487"/>
        <v>0.263282607550945</v>
      </c>
      <c r="FN100" s="121">
        <f t="shared" ref="FN100:GI100" si="488">FN92/FN$128</f>
        <v>0.251448358527003</v>
      </c>
      <c r="FO100" s="121">
        <f t="shared" si="488"/>
        <v>0.288185765030917</v>
      </c>
      <c r="FP100" s="121">
        <f t="shared" si="488"/>
        <v>0.18458175003904</v>
      </c>
      <c r="FQ100" s="102">
        <f t="shared" si="488"/>
        <v>0.269159242463152</v>
      </c>
      <c r="FR100" s="121">
        <f t="shared" si="488"/>
        <v>0.327396542692509</v>
      </c>
      <c r="FS100" s="121">
        <f t="shared" si="488"/>
        <v>0.319113425462314</v>
      </c>
      <c r="FT100" s="121">
        <f t="shared" si="488"/>
        <v>0.41743195859075</v>
      </c>
      <c r="FU100" s="121">
        <f t="shared" si="488"/>
        <v>0.298226759806556</v>
      </c>
      <c r="FV100" s="121">
        <f t="shared" si="488"/>
        <v>0.287659230302622</v>
      </c>
      <c r="FW100" s="121">
        <f t="shared" si="488"/>
        <v>0.251492302858938</v>
      </c>
      <c r="FX100" s="121">
        <f t="shared" si="488"/>
        <v>0.244570534142047</v>
      </c>
      <c r="FY100" s="121">
        <f t="shared" si="488"/>
        <v>0.206988127473443</v>
      </c>
      <c r="FZ100" s="121">
        <f t="shared" si="488"/>
        <v>0.276579267618099</v>
      </c>
      <c r="GA100" s="121">
        <f t="shared" si="488"/>
        <v>0.25074268738574</v>
      </c>
      <c r="GB100" s="121">
        <f t="shared" si="488"/>
        <v>0.26212383632821</v>
      </c>
      <c r="GC100" s="121">
        <f t="shared" si="488"/>
        <v>0.359726149724661</v>
      </c>
      <c r="GD100" s="121">
        <f t="shared" si="488"/>
        <v>0.293892905425263</v>
      </c>
      <c r="GE100" s="121">
        <f t="shared" si="488"/>
        <v>0.272910867310736</v>
      </c>
      <c r="GF100" s="121">
        <f t="shared" si="488"/>
        <v>0.277303109561174</v>
      </c>
      <c r="GG100" s="121">
        <f t="shared" si="488"/>
        <v>0.158878504672897</v>
      </c>
      <c r="GH100" s="121">
        <f t="shared" si="488"/>
        <v>0.200923057469811</v>
      </c>
      <c r="GI100" s="121">
        <f t="shared" si="488"/>
        <v>0.318952234206471</v>
      </c>
      <c r="GJ100" s="121">
        <f t="shared" ref="GJ100:GP100" si="489">GJ92/GJ$128</f>
        <v>0.269716258496062</v>
      </c>
      <c r="GK100" s="121">
        <f t="shared" si="489"/>
        <v>0.269556310313224</v>
      </c>
      <c r="GL100" s="121">
        <f t="shared" si="489"/>
        <v>0.180229382850901</v>
      </c>
      <c r="GM100" s="121" t="e">
        <f t="shared" si="489"/>
        <v>#DIV/0!</v>
      </c>
      <c r="GN100" s="121" t="e">
        <f t="shared" si="489"/>
        <v>#DIV/0!</v>
      </c>
      <c r="GO100" s="121" t="e">
        <f t="shared" si="489"/>
        <v>#DIV/0!</v>
      </c>
      <c r="GP100" s="121" t="e">
        <f t="shared" si="489"/>
        <v>#DIV/0!</v>
      </c>
    </row>
    <row r="101" s="47" customFormat="1" ht="15" customHeight="1" spans="2:198">
      <c r="B101" s="103" t="s">
        <v>45</v>
      </c>
      <c r="C101" s="109" t="s">
        <v>12</v>
      </c>
      <c r="D101" s="122" t="e">
        <f>SUM(E101:P101)</f>
        <v>#REF!</v>
      </c>
      <c r="E101" s="123" t="e">
        <f>#REF!</f>
        <v>#REF!</v>
      </c>
      <c r="F101" s="123" t="e">
        <f>#REF!</f>
        <v>#REF!</v>
      </c>
      <c r="G101" s="123" t="e">
        <f>#REF!</f>
        <v>#REF!</v>
      </c>
      <c r="H101" s="123" t="e">
        <f>#REF!</f>
        <v>#REF!</v>
      </c>
      <c r="I101" s="123" t="e">
        <f>#REF!</f>
        <v>#REF!</v>
      </c>
      <c r="J101" s="123" t="e">
        <f>#REF!</f>
        <v>#REF!</v>
      </c>
      <c r="K101" s="123" t="e">
        <f>#REF!</f>
        <v>#REF!</v>
      </c>
      <c r="L101" s="123" t="e">
        <f>#REF!</f>
        <v>#REF!</v>
      </c>
      <c r="M101" s="123" t="e">
        <f>#REF!</f>
        <v>#REF!</v>
      </c>
      <c r="N101" s="123" t="e">
        <f>#REF!</f>
        <v>#REF!</v>
      </c>
      <c r="O101" s="123" t="e">
        <f>#REF!</f>
        <v>#REF!</v>
      </c>
      <c r="P101" s="123" t="e">
        <f>#REF!</f>
        <v>#REF!</v>
      </c>
      <c r="Q101" s="65">
        <f>SUM(R101:AV101)</f>
        <v>0</v>
      </c>
      <c r="R101" s="124">
        <f>SUMIFS(商品数据源!$H:$H,商品数据源!$A:$A,$B$101,商品数据源!$B:$B,R2)</f>
        <v>0</v>
      </c>
      <c r="S101" s="124">
        <f>SUMIFS(商品数据源!$H:$H,商品数据源!$A:$A,$B$101,商品数据源!$B:$B,S2)</f>
        <v>0</v>
      </c>
      <c r="T101" s="124">
        <f>SUMIFS(商品数据源!$H:$H,商品数据源!$A:$A,$B$101,商品数据源!$B:$B,T2)</f>
        <v>0</v>
      </c>
      <c r="U101" s="124">
        <f>SUMIFS(商品数据源!$H:$H,商品数据源!$A:$A,$B$101,商品数据源!$B:$B,U2)</f>
        <v>0</v>
      </c>
      <c r="V101" s="124">
        <f>SUMIFS(商品数据源!$H:$H,商品数据源!$A:$A,$B$101,商品数据源!$B:$B,V2)</f>
        <v>0</v>
      </c>
      <c r="W101" s="124">
        <f>SUMIFS(商品数据源!$H:$H,商品数据源!$A:$A,$B$101,商品数据源!$B:$B,W2)</f>
        <v>0</v>
      </c>
      <c r="X101" s="124">
        <f>SUMIFS(商品数据源!$H:$H,商品数据源!$A:$A,$B$101,商品数据源!$B:$B,X2)</f>
        <v>0</v>
      </c>
      <c r="Y101" s="124">
        <f>SUMIFS(商品数据源!$H:$H,商品数据源!$A:$A,$B$101,商品数据源!$B:$B,Y2)</f>
        <v>0</v>
      </c>
      <c r="Z101" s="124">
        <f>SUMIFS(商品数据源!$H:$H,商品数据源!$A:$A,$B$101,商品数据源!$B:$B,Z2)</f>
        <v>0</v>
      </c>
      <c r="AA101" s="124">
        <f>SUMIFS(商品数据源!$H:$H,商品数据源!$A:$A,$B$101,商品数据源!$B:$B,AA2)</f>
        <v>0</v>
      </c>
      <c r="AB101" s="124">
        <f>SUMIFS(商品数据源!$H:$H,商品数据源!$A:$A,$B$101,商品数据源!$B:$B,AB2)</f>
        <v>0</v>
      </c>
      <c r="AC101" s="124">
        <f>SUMIFS(商品数据源!$H:$H,商品数据源!$A:$A,$B$101,商品数据源!$B:$B,AC2)</f>
        <v>0</v>
      </c>
      <c r="AD101" s="124">
        <f>SUMIFS(商品数据源!$H:$H,商品数据源!$A:$A,$B$101,商品数据源!$B:$B,AD2)</f>
        <v>0</v>
      </c>
      <c r="AE101" s="124">
        <f>SUMIFS(商品数据源!$H:$H,商品数据源!$A:$A,$B$101,商品数据源!$B:$B,AE2)</f>
        <v>0</v>
      </c>
      <c r="AF101" s="124">
        <f>SUMIFS(商品数据源!$H:$H,商品数据源!$A:$A,$B$101,商品数据源!$B:$B,AF2)</f>
        <v>0</v>
      </c>
      <c r="AG101" s="124">
        <f>SUMIFS(商品数据源!$H:$H,商品数据源!$A:$A,$B$101,商品数据源!$B:$B,AG2)</f>
        <v>0</v>
      </c>
      <c r="AH101" s="124">
        <f>SUMIFS(商品数据源!$H:$H,商品数据源!$A:$A,$B$101,商品数据源!$B:$B,AH2)</f>
        <v>0</v>
      </c>
      <c r="AI101" s="124">
        <f>SUMIFS(商品数据源!$H:$H,商品数据源!$A:$A,$B$101,商品数据源!$B:$B,AI2)</f>
        <v>0</v>
      </c>
      <c r="AJ101" s="124">
        <f>SUMIFS(商品数据源!$H:$H,商品数据源!$A:$A,$B$101,商品数据源!$B:$B,AJ2)</f>
        <v>0</v>
      </c>
      <c r="AK101" s="124">
        <f>SUMIFS(商品数据源!$H:$H,商品数据源!$A:$A,$B$101,商品数据源!$B:$B,AK2)</f>
        <v>0</v>
      </c>
      <c r="AL101" s="124">
        <f>SUMIFS(商品数据源!$H:$H,商品数据源!$A:$A,$B$101,商品数据源!$B:$B,AL2)</f>
        <v>0</v>
      </c>
      <c r="AM101" s="124">
        <f>SUMIFS(商品数据源!$H:$H,商品数据源!$A:$A,$B$101,商品数据源!$B:$B,AM2)</f>
        <v>0</v>
      </c>
      <c r="AN101" s="124">
        <f>SUMIFS(商品数据源!$H:$H,商品数据源!$A:$A,$B$101,商品数据源!$B:$B,AN2)</f>
        <v>0</v>
      </c>
      <c r="AO101" s="124">
        <f>SUMIFS(商品数据源!$H:$H,商品数据源!$A:$A,$B$101,商品数据源!$B:$B,AO2)</f>
        <v>0</v>
      </c>
      <c r="AP101" s="124">
        <f>SUMIFS(商品数据源!$H:$H,商品数据源!$A:$A,$B$101,商品数据源!$B:$B,AP2)</f>
        <v>0</v>
      </c>
      <c r="AQ101" s="124">
        <f>SUMIFS(商品数据源!$H:$H,商品数据源!$A:$A,$B$101,商品数据源!$B:$B,AQ2)</f>
        <v>0</v>
      </c>
      <c r="AR101" s="124">
        <f>SUMIFS(商品数据源!$H:$H,商品数据源!$A:$A,$B$101,商品数据源!$B:$B,AR2)</f>
        <v>0</v>
      </c>
      <c r="AS101" s="124">
        <f>SUMIFS(商品数据源!$H:$H,商品数据源!$A:$A,$B$101,商品数据源!$B:$B,AS2)</f>
        <v>0</v>
      </c>
      <c r="AT101" s="124">
        <f>SUMIFS(商品数据源!$H:$H,商品数据源!$A:$A,$B$101,商品数据源!$B:$B,AT2)</f>
        <v>0</v>
      </c>
      <c r="AU101" s="124">
        <f>SUMIFS(商品数据源!$H:$H,商品数据源!$A:$A,$B$101,商品数据源!$B:$B,AU2)</f>
        <v>0</v>
      </c>
      <c r="AV101" s="124">
        <f>SUMIFS(商品数据源!$H:$H,商品数据源!$A:$A,$B$101,商品数据源!$B:$B,AV2)</f>
        <v>0</v>
      </c>
      <c r="AW101" s="65">
        <f>SUM(AX101:BY101)</f>
        <v>0</v>
      </c>
      <c r="AX101" s="124">
        <f>SUMIFS(商品数据源!$H:$H,商品数据源!$A:$A,$B$101,商品数据源!$B:$B,AX2)</f>
        <v>0</v>
      </c>
      <c r="AY101" s="124">
        <f>SUMIFS(商品数据源!$H:$H,商品数据源!$A:$A,$B$101,商品数据源!$B:$B,AY2)</f>
        <v>0</v>
      </c>
      <c r="AZ101" s="124">
        <f>SUMIFS(商品数据源!$H:$H,商品数据源!$A:$A,$B$101,商品数据源!$B:$B,AZ2)</f>
        <v>0</v>
      </c>
      <c r="BA101" s="124">
        <f>SUMIFS(商品数据源!$H:$H,商品数据源!$A:$A,$B$101,商品数据源!$B:$B,BA2)</f>
        <v>0</v>
      </c>
      <c r="BB101" s="124">
        <f>SUMIFS(商品数据源!$H:$H,商品数据源!$A:$A,$B$101,商品数据源!$B:$B,BB2)</f>
        <v>0</v>
      </c>
      <c r="BC101" s="124">
        <f>SUMIFS(商品数据源!$H:$H,商品数据源!$A:$A,$B$101,商品数据源!$B:$B,BC2)</f>
        <v>0</v>
      </c>
      <c r="BD101" s="124">
        <f>SUMIFS(商品数据源!$H:$H,商品数据源!$A:$A,$B$101,商品数据源!$B:$B,BD2)</f>
        <v>0</v>
      </c>
      <c r="BE101" s="124">
        <f>SUMIFS(商品数据源!$H:$H,商品数据源!$A:$A,$B$101,商品数据源!$B:$B,BE2)</f>
        <v>0</v>
      </c>
      <c r="BF101" s="124">
        <f>SUMIFS(商品数据源!$H:$H,商品数据源!$A:$A,$B$101,商品数据源!$B:$B,BF2)</f>
        <v>0</v>
      </c>
      <c r="BG101" s="124">
        <f>SUMIFS(商品数据源!$H:$H,商品数据源!$A:$A,$B$101,商品数据源!$B:$B,BG2)</f>
        <v>0</v>
      </c>
      <c r="BH101" s="124">
        <f>SUMIFS(商品数据源!$H:$H,商品数据源!$A:$A,$B$101,商品数据源!$B:$B,BH2)</f>
        <v>0</v>
      </c>
      <c r="BI101" s="124">
        <f>SUMIFS(商品数据源!$H:$H,商品数据源!$A:$A,$B$101,商品数据源!$B:$B,BI2)</f>
        <v>0</v>
      </c>
      <c r="BJ101" s="124">
        <f>SUMIFS(商品数据源!$H:$H,商品数据源!$A:$A,$B$101,商品数据源!$B:$B,BJ2)</f>
        <v>0</v>
      </c>
      <c r="BK101" s="124">
        <f>SUMIFS(商品数据源!$H:$H,商品数据源!$A:$A,$B$101,商品数据源!$B:$B,BK2)</f>
        <v>0</v>
      </c>
      <c r="BL101" s="124">
        <f>SUMIFS(商品数据源!$H:$H,商品数据源!$A:$A,$B$101,商品数据源!$B:$B,BL2)</f>
        <v>0</v>
      </c>
      <c r="BM101" s="124">
        <f>SUMIFS(商品数据源!$H:$H,商品数据源!$A:$A,$B$101,商品数据源!$B:$B,BM2)</f>
        <v>0</v>
      </c>
      <c r="BN101" s="124">
        <f>SUMIFS(商品数据源!$H:$H,商品数据源!$A:$A,$B$101,商品数据源!$B:$B,BN2)</f>
        <v>0</v>
      </c>
      <c r="BO101" s="124">
        <f>SUMIFS(商品数据源!$H:$H,商品数据源!$A:$A,$B$101,商品数据源!$B:$B,BO2)</f>
        <v>0</v>
      </c>
      <c r="BP101" s="124">
        <f>SUMIFS(商品数据源!$H:$H,商品数据源!$A:$A,$B$101,商品数据源!$B:$B,BP2)</f>
        <v>0</v>
      </c>
      <c r="BQ101" s="124">
        <f>SUMIFS(商品数据源!$H:$H,商品数据源!$A:$A,$B$101,商品数据源!$B:$B,BQ2)</f>
        <v>0</v>
      </c>
      <c r="BR101" s="124">
        <f>SUMIFS(商品数据源!$H:$H,商品数据源!$A:$A,$B$101,商品数据源!$B:$B,BR2)</f>
        <v>0</v>
      </c>
      <c r="BS101" s="124">
        <f>SUMIFS(商品数据源!$H:$H,商品数据源!$A:$A,$B$101,商品数据源!$B:$B,BS2)</f>
        <v>0</v>
      </c>
      <c r="BT101" s="124">
        <f>SUMIFS(商品数据源!$H:$H,商品数据源!$A:$A,$B$101,商品数据源!$B:$B,BT2)</f>
        <v>0</v>
      </c>
      <c r="BU101" s="124">
        <f>SUMIFS(商品数据源!$H:$H,商品数据源!$A:$A,$B$101,商品数据源!$B:$B,BU2)</f>
        <v>0</v>
      </c>
      <c r="BV101" s="124">
        <f>SUMIFS(商品数据源!$H:$H,商品数据源!$A:$A,$B$101,商品数据源!$B:$B,BV2)</f>
        <v>0</v>
      </c>
      <c r="BW101" s="124">
        <f>SUMIFS(商品数据源!$H:$H,商品数据源!$A:$A,$B$101,商品数据源!$B:$B,BW2)</f>
        <v>0</v>
      </c>
      <c r="BX101" s="124">
        <f>SUMIFS(商品数据源!$H:$H,商品数据源!$A:$A,$B$101,商品数据源!$B:$B,BX2)</f>
        <v>0</v>
      </c>
      <c r="BY101" s="124">
        <f>SUMIFS(商品数据源!$H:$H,商品数据源!$A:$A,$B$101,商品数据源!$B:$B,BY2)</f>
        <v>0</v>
      </c>
      <c r="BZ101" s="65">
        <f>SUM(CA101:DE101)</f>
        <v>0</v>
      </c>
      <c r="CA101" s="124">
        <f>SUMIFS(商品数据源!$H:$H,商品数据源!$A:$A,$B$101,商品数据源!$B:$B,CA2)</f>
        <v>0</v>
      </c>
      <c r="CB101" s="124">
        <f>SUMIFS(商品数据源!$H:$H,商品数据源!$A:$A,$B$101,商品数据源!$B:$B,CB2)</f>
        <v>0</v>
      </c>
      <c r="CC101" s="124">
        <f>SUMIFS(商品数据源!$H:$H,商品数据源!$A:$A,$B$101,商品数据源!$B:$B,CC2)</f>
        <v>0</v>
      </c>
      <c r="CD101" s="124">
        <f>SUMIFS(商品数据源!$H:$H,商品数据源!$A:$A,$B$101,商品数据源!$B:$B,CD2)</f>
        <v>0</v>
      </c>
      <c r="CE101" s="124">
        <f>SUMIFS(商品数据源!$H:$H,商品数据源!$A:$A,$B$101,商品数据源!$B:$B,CE2)</f>
        <v>0</v>
      </c>
      <c r="CF101" s="124">
        <f>SUMIFS(商品数据源!$H:$H,商品数据源!$A:$A,$B$101,商品数据源!$B:$B,CF2)</f>
        <v>0</v>
      </c>
      <c r="CG101" s="124">
        <f>SUMIFS(商品数据源!$H:$H,商品数据源!$A:$A,$B$101,商品数据源!$B:$B,CG2)</f>
        <v>0</v>
      </c>
      <c r="CH101" s="124">
        <f>SUMIFS(商品数据源!$H:$H,商品数据源!$A:$A,$B$101,商品数据源!$B:$B,CH2)</f>
        <v>0</v>
      </c>
      <c r="CI101" s="124">
        <f>SUMIFS(商品数据源!$H:$H,商品数据源!$A:$A,$B$101,商品数据源!$B:$B,CI2)</f>
        <v>0</v>
      </c>
      <c r="CJ101" s="124">
        <f>SUMIFS(商品数据源!$H:$H,商品数据源!$A:$A,$B$101,商品数据源!$B:$B,CJ2)</f>
        <v>0</v>
      </c>
      <c r="CK101" s="124">
        <f>SUMIFS(商品数据源!$H:$H,商品数据源!$A:$A,$B$101,商品数据源!$B:$B,CK2)</f>
        <v>0</v>
      </c>
      <c r="CL101" s="124">
        <f>SUMIFS(商品数据源!$H:$H,商品数据源!$A:$A,$B$101,商品数据源!$B:$B,CL2)</f>
        <v>0</v>
      </c>
      <c r="CM101" s="124">
        <f>SUMIFS(商品数据源!$H:$H,商品数据源!$A:$A,$B$101,商品数据源!$B:$B,CM2)</f>
        <v>0</v>
      </c>
      <c r="CN101" s="124">
        <f>SUMIFS(商品数据源!$H:$H,商品数据源!$A:$A,$B$101,商品数据源!$B:$B,CN2)</f>
        <v>0</v>
      </c>
      <c r="CO101" s="124">
        <f>SUMIFS(商品数据源!$H:$H,商品数据源!$A:$A,$B$101,商品数据源!$B:$B,CO2)</f>
        <v>0</v>
      </c>
      <c r="CP101" s="124">
        <f>SUMIFS(商品数据源!$H:$H,商品数据源!$A:$A,$B$101,商品数据源!$B:$B,CP2)</f>
        <v>0</v>
      </c>
      <c r="CQ101" s="124">
        <f>SUMIFS(商品数据源!$H:$H,商品数据源!$A:$A,$B$101,商品数据源!$B:$B,CQ2)</f>
        <v>0</v>
      </c>
      <c r="CR101" s="124">
        <f>SUMIFS(商品数据源!$H:$H,商品数据源!$A:$A,$B$101,商品数据源!$B:$B,CR2)</f>
        <v>0</v>
      </c>
      <c r="CS101" s="124">
        <f>SUMIFS(商品数据源!$H:$H,商品数据源!$A:$A,$B$101,商品数据源!$B:$B,CS2)</f>
        <v>0</v>
      </c>
      <c r="CT101" s="124">
        <f>SUMIFS(商品数据源!$H:$H,商品数据源!$A:$A,$B$101,商品数据源!$B:$B,CT2)</f>
        <v>0</v>
      </c>
      <c r="CU101" s="124">
        <f>SUMIFS(商品数据源!$H:$H,商品数据源!$A:$A,$B$101,商品数据源!$B:$B,CU2)</f>
        <v>0</v>
      </c>
      <c r="CV101" s="124">
        <f>SUMIFS(商品数据源!$H:$H,商品数据源!$A:$A,$B$101,商品数据源!$B:$B,CV2)</f>
        <v>0</v>
      </c>
      <c r="CW101" s="124">
        <f>SUMIFS(商品数据源!$H:$H,商品数据源!$A:$A,$B$101,商品数据源!$B:$B,CW2)</f>
        <v>0</v>
      </c>
      <c r="CX101" s="124">
        <f>SUMIFS(商品数据源!$H:$H,商品数据源!$A:$A,$B$101,商品数据源!$B:$B,CX2)</f>
        <v>0</v>
      </c>
      <c r="CY101" s="124">
        <f>SUMIFS(商品数据源!$H:$H,商品数据源!$A:$A,$B$101,商品数据源!$B:$B,CY2)</f>
        <v>0</v>
      </c>
      <c r="CZ101" s="124">
        <f>SUMIFS(商品数据源!$H:$H,商品数据源!$A:$A,$B$101,商品数据源!$B:$B,CZ2)</f>
        <v>0</v>
      </c>
      <c r="DA101" s="124">
        <f>SUMIFS(商品数据源!$H:$H,商品数据源!$A:$A,$B$101,商品数据源!$B:$B,DA2)</f>
        <v>0</v>
      </c>
      <c r="DB101" s="124">
        <f>SUMIFS(商品数据源!$H:$H,商品数据源!$A:$A,$B$101,商品数据源!$B:$B,DB2)</f>
        <v>0</v>
      </c>
      <c r="DC101" s="124">
        <f>SUMIFS(商品数据源!$H:$H,商品数据源!$A:$A,$B$101,商品数据源!$B:$B,DC2)</f>
        <v>0</v>
      </c>
      <c r="DD101" s="124">
        <f>SUMIFS(商品数据源!$H:$H,商品数据源!$A:$A,$B$101,商品数据源!$B:$B,DD2)</f>
        <v>0</v>
      </c>
      <c r="DE101" s="124">
        <f>SUMIFS(商品数据源!$H:$H,商品数据源!$A:$A,$B$101,商品数据源!$B:$B,DE2)</f>
        <v>0</v>
      </c>
      <c r="DF101" s="65">
        <f>SUM(DG101:EJ101)</f>
        <v>0</v>
      </c>
      <c r="DG101" s="124">
        <f>SUMIFS(商品数据源!$H:$H,商品数据源!$A:$A,$B$101,商品数据源!$B:$B,DG2)</f>
        <v>0</v>
      </c>
      <c r="DH101" s="124">
        <f>SUMIFS(商品数据源!$H:$H,商品数据源!$A:$A,$B$101,商品数据源!$B:$B,DH2)</f>
        <v>0</v>
      </c>
      <c r="DI101" s="124">
        <f>SUMIFS(商品数据源!$H:$H,商品数据源!$A:$A,$B$101,商品数据源!$B:$B,DI2)</f>
        <v>0</v>
      </c>
      <c r="DJ101" s="124">
        <f>SUMIFS(商品数据源!$H:$H,商品数据源!$A:$A,$B$101,商品数据源!$B:$B,DJ2)</f>
        <v>0</v>
      </c>
      <c r="DK101" s="124">
        <f>SUMIFS(商品数据源!$H:$H,商品数据源!$A:$A,$B$101,商品数据源!$B:$B,DK2)</f>
        <v>0</v>
      </c>
      <c r="DL101" s="124">
        <f>SUMIFS(商品数据源!$H:$H,商品数据源!$A:$A,$B$101,商品数据源!$B:$B,DL2)</f>
        <v>0</v>
      </c>
      <c r="DM101" s="124">
        <f>SUMIFS(商品数据源!$H:$H,商品数据源!$A:$A,$B$101,商品数据源!$B:$B,DM2)</f>
        <v>0</v>
      </c>
      <c r="DN101" s="124">
        <f>SUMIFS(商品数据源!$H:$H,商品数据源!$A:$A,$B$101,商品数据源!$B:$B,DN2)</f>
        <v>0</v>
      </c>
      <c r="DO101" s="124">
        <f>SUMIFS(商品数据源!$H:$H,商品数据源!$A:$A,$B$101,商品数据源!$B:$B,DO2)</f>
        <v>0</v>
      </c>
      <c r="DP101" s="124">
        <f>SUMIFS(商品数据源!$H:$H,商品数据源!$A:$A,$B$101,商品数据源!$B:$B,DP2)</f>
        <v>0</v>
      </c>
      <c r="DQ101" s="124">
        <f>SUMIFS(商品数据源!$H:$H,商品数据源!$A:$A,$B$101,商品数据源!$B:$B,DQ2)</f>
        <v>0</v>
      </c>
      <c r="DR101" s="124">
        <f>SUMIFS(商品数据源!$H:$H,商品数据源!$A:$A,$B$101,商品数据源!$B:$B,DR2)</f>
        <v>0</v>
      </c>
      <c r="DS101" s="124">
        <f>SUMIFS(商品数据源!$H:$H,商品数据源!$A:$A,$B$101,商品数据源!$B:$B,DS2)</f>
        <v>0</v>
      </c>
      <c r="DT101" s="124">
        <f>SUMIFS(商品数据源!$H:$H,商品数据源!$A:$A,$B$101,商品数据源!$B:$B,DT2)</f>
        <v>0</v>
      </c>
      <c r="DU101" s="124">
        <f>SUMIFS(商品数据源!$H:$H,商品数据源!$A:$A,$B$101,商品数据源!$B:$B,DU2)</f>
        <v>0</v>
      </c>
      <c r="DV101" s="124">
        <f>SUMIFS(商品数据源!$H:$H,商品数据源!$A:$A,$B$101,商品数据源!$B:$B,DV2)</f>
        <v>0</v>
      </c>
      <c r="DW101" s="124">
        <f>SUMIFS(商品数据源!$H:$H,商品数据源!$A:$A,$B$101,商品数据源!$B:$B,DW2)</f>
        <v>0</v>
      </c>
      <c r="DX101" s="124">
        <f>SUMIFS(商品数据源!$H:$H,商品数据源!$A:$A,$B$101,商品数据源!$B:$B,DX2)</f>
        <v>0</v>
      </c>
      <c r="DY101" s="124">
        <f>SUMIFS(商品数据源!$H:$H,商品数据源!$A:$A,$B$101,商品数据源!$B:$B,DY2)</f>
        <v>0</v>
      </c>
      <c r="DZ101" s="124">
        <f>SUMIFS(商品数据源!$H:$H,商品数据源!$A:$A,$B$101,商品数据源!$B:$B,DZ2)</f>
        <v>0</v>
      </c>
      <c r="EA101" s="124">
        <f>SUMIFS(商品数据源!$H:$H,商品数据源!$A:$A,$B$101,商品数据源!$B:$B,EA2)</f>
        <v>0</v>
      </c>
      <c r="EB101" s="124">
        <f>SUMIFS(商品数据源!$H:$H,商品数据源!$A:$A,$B$101,商品数据源!$B:$B,EB2)</f>
        <v>0</v>
      </c>
      <c r="EC101" s="124">
        <f>SUMIFS(商品数据源!$H:$H,商品数据源!$A:$A,$B$101,商品数据源!$B:$B,EC2)</f>
        <v>0</v>
      </c>
      <c r="ED101" s="124">
        <f>SUMIFS(商品数据源!$H:$H,商品数据源!$A:$A,$B$101,商品数据源!$B:$B,ED2)</f>
        <v>0</v>
      </c>
      <c r="EE101" s="124">
        <f>SUMIFS(商品数据源!$H:$H,商品数据源!$A:$A,$B$101,商品数据源!$B:$B,EE2)</f>
        <v>0</v>
      </c>
      <c r="EF101" s="124">
        <f>SUMIFS(商品数据源!$H:$H,商品数据源!$A:$A,$B$101,商品数据源!$B:$B,EF2)</f>
        <v>0</v>
      </c>
      <c r="EG101" s="124">
        <f>SUMIFS(商品数据源!$H:$H,商品数据源!$A:$A,$B$101,商品数据源!$B:$B,EG2)</f>
        <v>0</v>
      </c>
      <c r="EH101" s="124">
        <f>SUMIFS(商品数据源!$H:$H,商品数据源!$A:$A,$B$101,商品数据源!$B:$B,EH2)</f>
        <v>0</v>
      </c>
      <c r="EI101" s="124">
        <f>SUMIFS(商品数据源!$H:$H,商品数据源!$A:$A,$B$101,商品数据源!$B:$B,EI2)</f>
        <v>0</v>
      </c>
      <c r="EJ101" s="124">
        <f>SUMIFS(商品数据源!$H:$H,商品数据源!$A:$A,$B$101,商品数据源!$B:$B,EJ2)</f>
        <v>0</v>
      </c>
      <c r="EK101" s="65">
        <f>SUM(EL101:FP101)</f>
        <v>330.94</v>
      </c>
      <c r="EL101" s="124">
        <f>SUMIFS(商品数据源!$H:$H,商品数据源!$A:$A,$B$101,商品数据源!$B:$B,EL2)</f>
        <v>0</v>
      </c>
      <c r="EM101" s="124">
        <f>SUMIFS(商品数据源!$H:$H,商品数据源!$A:$A,$B$101,商品数据源!$B:$B,EM2)</f>
        <v>0</v>
      </c>
      <c r="EN101" s="124">
        <f>SUMIFS(商品数据源!$H:$H,商品数据源!$A:$A,$B$101,商品数据源!$B:$B,EN2)</f>
        <v>0</v>
      </c>
      <c r="EO101" s="124">
        <f>SUMIFS(商品数据源!$H:$H,商品数据源!$A:$A,$B$101,商品数据源!$B:$B,EO2)</f>
        <v>0</v>
      </c>
      <c r="EP101" s="124">
        <f>SUMIFS(商品数据源!$H:$H,商品数据源!$A:$A,$B$101,商品数据源!$B:$B,EP2)</f>
        <v>0</v>
      </c>
      <c r="EQ101" s="124">
        <f>SUMIFS(商品数据源!$H:$H,商品数据源!$A:$A,$B$101,商品数据源!$B:$B,EQ2)</f>
        <v>4.48</v>
      </c>
      <c r="ER101" s="124">
        <f>SUMIFS(商品数据源!$H:$H,商品数据源!$A:$A,$B$101,商品数据源!$B:$B,ER2)</f>
        <v>8.98</v>
      </c>
      <c r="ES101" s="124">
        <f>SUMIFS(商品数据源!$H:$H,商品数据源!$A:$A,$B$101,商品数据源!$B:$B,ES2)</f>
        <v>6.28</v>
      </c>
      <c r="ET101" s="124">
        <f>SUMIFS(商品数据源!$H:$H,商品数据源!$A:$A,$B$101,商品数据源!$B:$B,ET2)</f>
        <v>14.32</v>
      </c>
      <c r="EU101" s="124">
        <f>SUMIFS(商品数据源!$H:$H,商品数据源!$A:$A,$B$101,商品数据源!$B:$B,EU2)</f>
        <v>17.89</v>
      </c>
      <c r="EV101" s="124">
        <f>SUMIFS(商品数据源!$H:$H,商品数据源!$A:$A,$B$101,商品数据源!$B:$B,EV2)</f>
        <v>69.44</v>
      </c>
      <c r="EW101" s="124">
        <f>SUMIFS(商品数据源!$H:$H,商品数据源!$A:$A,$B$101,商品数据源!$B:$B,EW2)</f>
        <v>83.61</v>
      </c>
      <c r="EX101" s="124">
        <f>SUMIFS(商品数据源!$H:$H,商品数据源!$A:$A,$B$101,商品数据源!$B:$B,EX2)</f>
        <v>80.42</v>
      </c>
      <c r="EY101" s="124">
        <f>SUMIFS(商品数据源!$H:$H,商品数据源!$A:$A,$B$101,商品数据源!$B:$B,EY2)</f>
        <v>27.87</v>
      </c>
      <c r="EZ101" s="124">
        <f>SUMIFS(商品数据源!$H:$H,商品数据源!$A:$A,$B$101,商品数据源!$B:$B,EZ2)</f>
        <v>0</v>
      </c>
      <c r="FA101" s="124">
        <f>SUMIFS(商品数据源!$H:$H,商品数据源!$A:$A,$B$101,商品数据源!$B:$B,FA2)</f>
        <v>0</v>
      </c>
      <c r="FB101" s="124">
        <f>SUMIFS(商品数据源!$H:$H,商品数据源!$A:$A,$B$101,商品数据源!$B:$B,FB2)</f>
        <v>0</v>
      </c>
      <c r="FC101" s="124">
        <f>SUMIFS(商品数据源!$H:$H,商品数据源!$A:$A,$B$101,商品数据源!$B:$B,FC2)</f>
        <v>0</v>
      </c>
      <c r="FD101" s="124">
        <f>SUMIFS(商品数据源!$H:$H,商品数据源!$A:$A,$B$101,商品数据源!$B:$B,FD2)</f>
        <v>0</v>
      </c>
      <c r="FE101" s="124">
        <f>SUMIFS(商品数据源!$H:$H,商品数据源!$A:$A,$B$101,商品数据源!$B:$B,FE2)</f>
        <v>0</v>
      </c>
      <c r="FF101" s="124">
        <f>SUMIFS(商品数据源!$H:$H,商品数据源!$A:$A,$B$101,商品数据源!$B:$B,FF2)</f>
        <v>0</v>
      </c>
      <c r="FG101" s="124">
        <f>SUMIFS(商品数据源!$H:$H,商品数据源!$A:$A,$B$101,商品数据源!$B:$B,FG2)</f>
        <v>0</v>
      </c>
      <c r="FH101" s="124">
        <f>SUMIFS(商品数据源!$H:$H,商品数据源!$A:$A,$B$101,商品数据源!$B:$B,FH2)</f>
        <v>0</v>
      </c>
      <c r="FI101" s="124">
        <f>SUMIFS(商品数据源!$H:$H,商品数据源!$A:$A,$B$101,商品数据源!$B:$B,FI2)</f>
        <v>0</v>
      </c>
      <c r="FJ101" s="124">
        <f>SUMIFS(商品数据源!$H:$H,商品数据源!$A:$A,$B$101,商品数据源!$B:$B,FJ2)</f>
        <v>0</v>
      </c>
      <c r="FK101" s="124">
        <f>SUMIFS(商品数据源!$H:$H,商品数据源!$A:$A,$B$101,商品数据源!$B:$B,FK2)</f>
        <v>0</v>
      </c>
      <c r="FL101" s="124">
        <f>SUMIFS(商品数据源!$H:$H,商品数据源!$A:$A,$B$101,商品数据源!$B:$B,FL2)</f>
        <v>0.68</v>
      </c>
      <c r="FM101" s="124">
        <f>SUMIFS(商品数据源!$H:$H,商品数据源!$A:$A,$B$101,商品数据源!$B:$B,FM2)</f>
        <v>3.25</v>
      </c>
      <c r="FN101" s="124">
        <f>SUMIFS(商品数据源!$H:$H,商品数据源!$A:$A,$B$101,商品数据源!$B:$B,FN2)</f>
        <v>3.07</v>
      </c>
      <c r="FO101" s="124">
        <f>SUMIFS(商品数据源!$H:$H,商品数据源!$A:$A,$B$101,商品数据源!$B:$B,FO2)</f>
        <v>5.87</v>
      </c>
      <c r="FP101" s="124">
        <f>SUMIFS(商品数据源!$H:$H,商品数据源!$A:$A,$B$101,商品数据源!$B:$B,FP2)</f>
        <v>4.78</v>
      </c>
      <c r="FQ101" s="65">
        <f t="shared" si="469"/>
        <v>742.75</v>
      </c>
      <c r="FR101" s="124">
        <f>SUMIFS(商品数据源!$H:$H,商品数据源!$A:$A,$B$101,商品数据源!$B:$B,FR2)</f>
        <v>28.52</v>
      </c>
      <c r="FS101" s="124">
        <f>SUMIFS(商品数据源!$H:$H,商品数据源!$A:$A,$B$101,商品数据源!$B:$B,FS2)</f>
        <v>22.9</v>
      </c>
      <c r="FT101" s="124">
        <f>SUMIFS(商品数据源!$H:$H,商品数据源!$A:$A,$B$101,商品数据源!$B:$B,FT2)</f>
        <v>12.24</v>
      </c>
      <c r="FU101" s="124">
        <f>SUMIFS(商品数据源!$H:$H,商品数据源!$A:$A,$B$101,商品数据源!$B:$B,FU2)</f>
        <v>21.74</v>
      </c>
      <c r="FV101" s="124">
        <f>SUMIFS(商品数据源!$H:$H,商品数据源!$A:$A,$B$101,商品数据源!$B:$B,FV2)</f>
        <v>31.39</v>
      </c>
      <c r="FW101" s="124">
        <f>SUMIFS(商品数据源!$H:$H,商品数据源!$A:$A,$B$101,商品数据源!$B:$B,FW2)</f>
        <v>26.02</v>
      </c>
      <c r="FX101" s="124">
        <f>SUMIFS(商品数据源!$H:$H,商品数据源!$A:$A,$B$101,商品数据源!$B:$B,FX2)</f>
        <v>40.84</v>
      </c>
      <c r="FY101" s="124">
        <f>SUMIFS(商品数据源!$H:$H,商品数据源!$A:$A,$B$101,商品数据源!$B:$B,FY2)</f>
        <v>43.42</v>
      </c>
      <c r="FZ101" s="124">
        <f>SUMIFS(商品数据源!$H:$H,商品数据源!$A:$A,$B$101,商品数据源!$B:$B,FZ2)</f>
        <v>34.29</v>
      </c>
      <c r="GA101" s="124">
        <f>SUMIFS(商品数据源!$H:$H,商品数据源!$A:$A,$B$101,商品数据源!$B:$B,GA2)</f>
        <v>47.09</v>
      </c>
      <c r="GB101" s="124">
        <f>SUMIFS(商品数据源!$H:$H,商品数据源!$A:$A,$B$101,商品数据源!$B:$B,GB2)</f>
        <v>48.36</v>
      </c>
      <c r="GC101" s="124">
        <f>SUMIFS(商品数据源!$H:$H,商品数据源!$A:$A,$B$101,商品数据源!$B:$B,GC2)</f>
        <v>42.83</v>
      </c>
      <c r="GD101" s="124">
        <f>SUMIFS(商品数据源!$H:$H,商品数据源!$A:$A,$B$101,商品数据源!$B:$B,GD2)</f>
        <v>24.86</v>
      </c>
      <c r="GE101" s="124">
        <f>SUMIFS(商品数据源!$H:$H,商品数据源!$A:$A,$B$101,商品数据源!$B:$B,GE2)</f>
        <v>38.1</v>
      </c>
      <c r="GF101" s="124">
        <f>SUMIFS(商品数据源!$H:$H,商品数据源!$A:$A,$B$101,商品数据源!$B:$B,GF2)</f>
        <v>40.98</v>
      </c>
      <c r="GG101" s="124">
        <f>SUMIFS(商品数据源!$H:$H,商品数据源!$A:$A,$B$101,商品数据源!$B:$B,GG2)</f>
        <v>48.11</v>
      </c>
      <c r="GH101" s="124">
        <f>SUMIFS(商品数据源!$H:$H,商品数据源!$A:$A,$B$101,商品数据源!$B:$B,GH2)</f>
        <v>48.77</v>
      </c>
      <c r="GI101" s="124">
        <f>SUMIFS(商品数据源!$H:$H,商品数据源!$A:$A,$B$101,商品数据源!$B:$B,GI2)</f>
        <v>34.01</v>
      </c>
      <c r="GJ101" s="124">
        <f>SUMIFS(商品数据源!$H:$H,商品数据源!$A:$A,$B$101,商品数据源!$B:$B,GJ2)</f>
        <v>37.1</v>
      </c>
      <c r="GK101" s="124">
        <f>SUMIFS(商品数据源!$H:$H,商品数据源!$A:$A,$B$101,商品数据源!$B:$B,GK2)</f>
        <v>32.97</v>
      </c>
      <c r="GL101" s="124">
        <f>SUMIFS(商品数据源!$H:$H,商品数据源!$A:$A,$B$101,商品数据源!$B:$B,GL2)</f>
        <v>38.21</v>
      </c>
      <c r="GM101" s="124">
        <f>SUMIFS(商品数据源!$H:$H,商品数据源!$A:$A,$B$101,商品数据源!$B:$B,GM2)</f>
        <v>0</v>
      </c>
      <c r="GN101" s="124">
        <f>SUMIFS(商品数据源!$H:$H,商品数据源!$A:$A,$B$101,商品数据源!$B:$B,GN2)</f>
        <v>0</v>
      </c>
      <c r="GO101" s="124">
        <f>SUMIFS(商品数据源!$H:$H,商品数据源!$A:$A,$B$101,商品数据源!$B:$B,GO2)</f>
        <v>0</v>
      </c>
      <c r="GP101" s="124">
        <f>SUMIFS(商品数据源!$H:$H,商品数据源!$A:$A,$B$101,商品数据源!$B:$B,GP2)</f>
        <v>0</v>
      </c>
    </row>
    <row r="102" s="47" customFormat="1" ht="15" customHeight="1" spans="2:198">
      <c r="B102" s="103"/>
      <c r="C102" s="109" t="s">
        <v>21</v>
      </c>
      <c r="D102" s="133" t="e">
        <f>SUM(E102:P102)</f>
        <v>#REF!</v>
      </c>
      <c r="E102" s="123" t="e">
        <f>#REF!</f>
        <v>#REF!</v>
      </c>
      <c r="F102" s="123" t="e">
        <f>#REF!</f>
        <v>#REF!</v>
      </c>
      <c r="G102" s="123" t="e">
        <f>#REF!</f>
        <v>#REF!</v>
      </c>
      <c r="H102" s="123" t="e">
        <f>#REF!</f>
        <v>#REF!</v>
      </c>
      <c r="I102" s="123" t="e">
        <f>#REF!</f>
        <v>#REF!</v>
      </c>
      <c r="J102" s="123" t="e">
        <f>#REF!</f>
        <v>#REF!</v>
      </c>
      <c r="K102" s="123" t="e">
        <f>#REF!</f>
        <v>#REF!</v>
      </c>
      <c r="L102" s="123" t="e">
        <f>#REF!</f>
        <v>#REF!</v>
      </c>
      <c r="M102" s="123" t="e">
        <f>#REF!</f>
        <v>#REF!</v>
      </c>
      <c r="N102" s="123" t="e">
        <f>#REF!</f>
        <v>#REF!</v>
      </c>
      <c r="O102" s="123" t="e">
        <f>#REF!</f>
        <v>#REF!</v>
      </c>
      <c r="P102" s="123" t="e">
        <f>#REF!</f>
        <v>#REF!</v>
      </c>
      <c r="Q102" s="134">
        <f>SUM(R102:AV102)</f>
        <v>0</v>
      </c>
      <c r="R102" s="124">
        <f>SUMIFS(商品数据源!$G:$G,商品数据源!$A:$A,$B$101,商品数据源!$B:$B,R2)</f>
        <v>0</v>
      </c>
      <c r="S102" s="124">
        <f>SUMIFS(商品数据源!$G:$G,商品数据源!$A:$A,$B$101,商品数据源!$B:$B,S2)</f>
        <v>0</v>
      </c>
      <c r="T102" s="124">
        <f>SUMIFS(商品数据源!$G:$G,商品数据源!$A:$A,$B$101,商品数据源!$B:$B,T2)</f>
        <v>0</v>
      </c>
      <c r="U102" s="124">
        <f>SUMIFS(商品数据源!$G:$G,商品数据源!$A:$A,$B$101,商品数据源!$B:$B,U2)</f>
        <v>0</v>
      </c>
      <c r="V102" s="124">
        <f>SUMIFS(商品数据源!$G:$G,商品数据源!$A:$A,$B$101,商品数据源!$B:$B,V2)</f>
        <v>0</v>
      </c>
      <c r="W102" s="124">
        <f>SUMIFS(商品数据源!$G:$G,商品数据源!$A:$A,$B$101,商品数据源!$B:$B,W2)</f>
        <v>0</v>
      </c>
      <c r="X102" s="124">
        <f>SUMIFS(商品数据源!$G:$G,商品数据源!$A:$A,$B$101,商品数据源!$B:$B,X2)</f>
        <v>0</v>
      </c>
      <c r="Y102" s="124">
        <f>SUMIFS(商品数据源!$G:$G,商品数据源!$A:$A,$B$101,商品数据源!$B:$B,Y2)</f>
        <v>0</v>
      </c>
      <c r="Z102" s="124">
        <f>SUMIFS(商品数据源!$G:$G,商品数据源!$A:$A,$B$101,商品数据源!$B:$B,Z2)</f>
        <v>0</v>
      </c>
      <c r="AA102" s="124">
        <f>SUMIFS(商品数据源!$G:$G,商品数据源!$A:$A,$B$101,商品数据源!$B:$B,AA2)</f>
        <v>0</v>
      </c>
      <c r="AB102" s="124">
        <f>SUMIFS(商品数据源!$G:$G,商品数据源!$A:$A,$B$101,商品数据源!$B:$B,AB2)</f>
        <v>0</v>
      </c>
      <c r="AC102" s="124">
        <f>SUMIFS(商品数据源!$G:$G,商品数据源!$A:$A,$B$101,商品数据源!$B:$B,AC2)</f>
        <v>0</v>
      </c>
      <c r="AD102" s="124">
        <f>SUMIFS(商品数据源!$G:$G,商品数据源!$A:$A,$B$101,商品数据源!$B:$B,AD2)</f>
        <v>0</v>
      </c>
      <c r="AE102" s="124">
        <f>SUMIFS(商品数据源!$G:$G,商品数据源!$A:$A,$B$101,商品数据源!$B:$B,AE2)</f>
        <v>0</v>
      </c>
      <c r="AF102" s="124">
        <f>SUMIFS(商品数据源!$G:$G,商品数据源!$A:$A,$B$101,商品数据源!$B:$B,AF2)</f>
        <v>0</v>
      </c>
      <c r="AG102" s="124">
        <f>SUMIFS(商品数据源!$G:$G,商品数据源!$A:$A,$B$101,商品数据源!$B:$B,AG2)</f>
        <v>0</v>
      </c>
      <c r="AH102" s="124">
        <f>SUMIFS(商品数据源!$G:$G,商品数据源!$A:$A,$B$101,商品数据源!$B:$B,AH2)</f>
        <v>0</v>
      </c>
      <c r="AI102" s="124">
        <f>SUMIFS(商品数据源!$G:$G,商品数据源!$A:$A,$B$101,商品数据源!$B:$B,AI2)</f>
        <v>0</v>
      </c>
      <c r="AJ102" s="124">
        <f>SUMIFS(商品数据源!$G:$G,商品数据源!$A:$A,$B$101,商品数据源!$B:$B,AJ2)</f>
        <v>0</v>
      </c>
      <c r="AK102" s="124">
        <f>SUMIFS(商品数据源!$G:$G,商品数据源!$A:$A,$B$101,商品数据源!$B:$B,AK2)</f>
        <v>0</v>
      </c>
      <c r="AL102" s="124">
        <f>SUMIFS(商品数据源!$G:$G,商品数据源!$A:$A,$B$101,商品数据源!$B:$B,AL2)</f>
        <v>0</v>
      </c>
      <c r="AM102" s="124">
        <f>SUMIFS(商品数据源!$G:$G,商品数据源!$A:$A,$B$101,商品数据源!$B:$B,AM2)</f>
        <v>0</v>
      </c>
      <c r="AN102" s="124">
        <f>SUMIFS(商品数据源!$G:$G,商品数据源!$A:$A,$B$101,商品数据源!$B:$B,AN2)</f>
        <v>0</v>
      </c>
      <c r="AO102" s="124">
        <f>SUMIFS(商品数据源!$G:$G,商品数据源!$A:$A,$B$101,商品数据源!$B:$B,AO2)</f>
        <v>0</v>
      </c>
      <c r="AP102" s="124">
        <f>SUMIFS(商品数据源!$G:$G,商品数据源!$A:$A,$B$101,商品数据源!$B:$B,AP2)</f>
        <v>0</v>
      </c>
      <c r="AQ102" s="124">
        <f>SUMIFS(商品数据源!$G:$G,商品数据源!$A:$A,$B$101,商品数据源!$B:$B,AQ2)</f>
        <v>0</v>
      </c>
      <c r="AR102" s="124">
        <f>SUMIFS(商品数据源!$G:$G,商品数据源!$A:$A,$B$101,商品数据源!$B:$B,AR2)</f>
        <v>0</v>
      </c>
      <c r="AS102" s="124">
        <f>SUMIFS(商品数据源!$G:$G,商品数据源!$A:$A,$B$101,商品数据源!$B:$B,AS2)</f>
        <v>0</v>
      </c>
      <c r="AT102" s="124">
        <f>SUMIFS(商品数据源!$G:$G,商品数据源!$A:$A,$B$101,商品数据源!$B:$B,AT2)</f>
        <v>0</v>
      </c>
      <c r="AU102" s="124">
        <f>SUMIFS(商品数据源!$G:$G,商品数据源!$A:$A,$B$101,商品数据源!$B:$B,AU2)</f>
        <v>0</v>
      </c>
      <c r="AV102" s="124">
        <f>SUMIFS(商品数据源!$G:$G,商品数据源!$A:$A,$B$101,商品数据源!$B:$B,AV2)</f>
        <v>0</v>
      </c>
      <c r="AW102" s="134">
        <f>SUM(AX102:BY102)</f>
        <v>0</v>
      </c>
      <c r="AX102" s="124">
        <f>SUMIFS(商品数据源!$G:$G,商品数据源!$A:$A,$B$101,商品数据源!$B:$B,AX2)</f>
        <v>0</v>
      </c>
      <c r="AY102" s="124">
        <f>SUMIFS(商品数据源!$G:$G,商品数据源!$A:$A,$B$101,商品数据源!$B:$B,AY2)</f>
        <v>0</v>
      </c>
      <c r="AZ102" s="124">
        <f>SUMIFS(商品数据源!$G:$G,商品数据源!$A:$A,$B$101,商品数据源!$B:$B,AZ2)</f>
        <v>0</v>
      </c>
      <c r="BA102" s="124">
        <f>SUMIFS(商品数据源!$G:$G,商品数据源!$A:$A,$B$101,商品数据源!$B:$B,BA2)</f>
        <v>0</v>
      </c>
      <c r="BB102" s="124">
        <f>SUMIFS(商品数据源!$G:$G,商品数据源!$A:$A,$B$101,商品数据源!$B:$B,BB2)</f>
        <v>0</v>
      </c>
      <c r="BC102" s="124">
        <f>SUMIFS(商品数据源!$G:$G,商品数据源!$A:$A,$B$101,商品数据源!$B:$B,BC2)</f>
        <v>0</v>
      </c>
      <c r="BD102" s="124">
        <f>SUMIFS(商品数据源!$G:$G,商品数据源!$A:$A,$B$101,商品数据源!$B:$B,BD2)</f>
        <v>0</v>
      </c>
      <c r="BE102" s="124">
        <f>SUMIFS(商品数据源!$G:$G,商品数据源!$A:$A,$B$101,商品数据源!$B:$B,BE2)</f>
        <v>0</v>
      </c>
      <c r="BF102" s="124">
        <f>SUMIFS(商品数据源!$G:$G,商品数据源!$A:$A,$B$101,商品数据源!$B:$B,BF2)</f>
        <v>0</v>
      </c>
      <c r="BG102" s="124">
        <f>SUMIFS(商品数据源!$G:$G,商品数据源!$A:$A,$B$101,商品数据源!$B:$B,BG2)</f>
        <v>0</v>
      </c>
      <c r="BH102" s="124">
        <f>SUMIFS(商品数据源!$G:$G,商品数据源!$A:$A,$B$101,商品数据源!$B:$B,BH2)</f>
        <v>0</v>
      </c>
      <c r="BI102" s="124">
        <f>SUMIFS(商品数据源!$G:$G,商品数据源!$A:$A,$B$101,商品数据源!$B:$B,BI2)</f>
        <v>0</v>
      </c>
      <c r="BJ102" s="124">
        <f>SUMIFS(商品数据源!$G:$G,商品数据源!$A:$A,$B$101,商品数据源!$B:$B,BJ2)</f>
        <v>0</v>
      </c>
      <c r="BK102" s="124">
        <f>SUMIFS(商品数据源!$G:$G,商品数据源!$A:$A,$B$101,商品数据源!$B:$B,BK2)</f>
        <v>0</v>
      </c>
      <c r="BL102" s="124">
        <f>SUMIFS(商品数据源!$G:$G,商品数据源!$A:$A,$B$101,商品数据源!$B:$B,BL2)</f>
        <v>0</v>
      </c>
      <c r="BM102" s="124">
        <f>SUMIFS(商品数据源!$G:$G,商品数据源!$A:$A,$B$101,商品数据源!$B:$B,BM2)</f>
        <v>0</v>
      </c>
      <c r="BN102" s="124">
        <f>SUMIFS(商品数据源!$G:$G,商品数据源!$A:$A,$B$101,商品数据源!$B:$B,BN2)</f>
        <v>0</v>
      </c>
      <c r="BO102" s="124">
        <f>SUMIFS(商品数据源!$G:$G,商品数据源!$A:$A,$B$101,商品数据源!$B:$B,BO2)</f>
        <v>0</v>
      </c>
      <c r="BP102" s="124">
        <f>SUMIFS(商品数据源!$G:$G,商品数据源!$A:$A,$B$101,商品数据源!$B:$B,BP2)</f>
        <v>0</v>
      </c>
      <c r="BQ102" s="124">
        <f>SUMIFS(商品数据源!$G:$G,商品数据源!$A:$A,$B$101,商品数据源!$B:$B,BQ2)</f>
        <v>0</v>
      </c>
      <c r="BR102" s="124">
        <f>SUMIFS(商品数据源!$G:$G,商品数据源!$A:$A,$B$101,商品数据源!$B:$B,BR2)</f>
        <v>0</v>
      </c>
      <c r="BS102" s="124">
        <f>SUMIFS(商品数据源!$G:$G,商品数据源!$A:$A,$B$101,商品数据源!$B:$B,BS2)</f>
        <v>0</v>
      </c>
      <c r="BT102" s="124">
        <f>SUMIFS(商品数据源!$G:$G,商品数据源!$A:$A,$B$101,商品数据源!$B:$B,BT2)</f>
        <v>0</v>
      </c>
      <c r="BU102" s="124">
        <f>SUMIFS(商品数据源!$G:$G,商品数据源!$A:$A,$B$101,商品数据源!$B:$B,BU2)</f>
        <v>0</v>
      </c>
      <c r="BV102" s="124">
        <f>SUMIFS(商品数据源!$G:$G,商品数据源!$A:$A,$B$101,商品数据源!$B:$B,BV2)</f>
        <v>0</v>
      </c>
      <c r="BW102" s="124">
        <f>SUMIFS(商品数据源!$G:$G,商品数据源!$A:$A,$B$101,商品数据源!$B:$B,BW2)</f>
        <v>0</v>
      </c>
      <c r="BX102" s="124">
        <f>SUMIFS(商品数据源!$G:$G,商品数据源!$A:$A,$B$101,商品数据源!$B:$B,BX2)</f>
        <v>0</v>
      </c>
      <c r="BY102" s="124">
        <f>SUMIFS(商品数据源!$G:$G,商品数据源!$A:$A,$B$101,商品数据源!$B:$B,BY2)</f>
        <v>0</v>
      </c>
      <c r="BZ102" s="134">
        <f>SUM(CA102:DE102)</f>
        <v>0</v>
      </c>
      <c r="CA102" s="124">
        <f>SUMIFS(商品数据源!$G:$G,商品数据源!$A:$A,$B$101,商品数据源!$B:$B,CA2)</f>
        <v>0</v>
      </c>
      <c r="CB102" s="124">
        <f>SUMIFS(商品数据源!$G:$G,商品数据源!$A:$A,$B$101,商品数据源!$B:$B,CB2)</f>
        <v>0</v>
      </c>
      <c r="CC102" s="124">
        <f>SUMIFS(商品数据源!$G:$G,商品数据源!$A:$A,$B$101,商品数据源!$B:$B,CC2)</f>
        <v>0</v>
      </c>
      <c r="CD102" s="124">
        <f>SUMIFS(商品数据源!$G:$G,商品数据源!$A:$A,$B$101,商品数据源!$B:$B,CD2)</f>
        <v>0</v>
      </c>
      <c r="CE102" s="124">
        <f>SUMIFS(商品数据源!$G:$G,商品数据源!$A:$A,$B$101,商品数据源!$B:$B,CE2)</f>
        <v>0</v>
      </c>
      <c r="CF102" s="124">
        <f>SUMIFS(商品数据源!$G:$G,商品数据源!$A:$A,$B$101,商品数据源!$B:$B,CF2)</f>
        <v>0</v>
      </c>
      <c r="CG102" s="124">
        <f>SUMIFS(商品数据源!$G:$G,商品数据源!$A:$A,$B$101,商品数据源!$B:$B,CG2)</f>
        <v>0</v>
      </c>
      <c r="CH102" s="124">
        <f>SUMIFS(商品数据源!$G:$G,商品数据源!$A:$A,$B$101,商品数据源!$B:$B,CH2)</f>
        <v>0</v>
      </c>
      <c r="CI102" s="124">
        <f>SUMIFS(商品数据源!$G:$G,商品数据源!$A:$A,$B$101,商品数据源!$B:$B,CI2)</f>
        <v>0</v>
      </c>
      <c r="CJ102" s="124">
        <f>SUMIFS(商品数据源!$G:$G,商品数据源!$A:$A,$B$101,商品数据源!$B:$B,CJ2)</f>
        <v>0</v>
      </c>
      <c r="CK102" s="124">
        <f>SUMIFS(商品数据源!$G:$G,商品数据源!$A:$A,$B$101,商品数据源!$B:$B,CK2)</f>
        <v>0</v>
      </c>
      <c r="CL102" s="124">
        <f>SUMIFS(商品数据源!$G:$G,商品数据源!$A:$A,$B$101,商品数据源!$B:$B,CL2)</f>
        <v>0</v>
      </c>
      <c r="CM102" s="124">
        <f>SUMIFS(商品数据源!$G:$G,商品数据源!$A:$A,$B$101,商品数据源!$B:$B,CM2)</f>
        <v>0</v>
      </c>
      <c r="CN102" s="124">
        <f>SUMIFS(商品数据源!$G:$G,商品数据源!$A:$A,$B$101,商品数据源!$B:$B,CN2)</f>
        <v>0</v>
      </c>
      <c r="CO102" s="124">
        <f>SUMIFS(商品数据源!$G:$G,商品数据源!$A:$A,$B$101,商品数据源!$B:$B,CO2)</f>
        <v>0</v>
      </c>
      <c r="CP102" s="124">
        <f>SUMIFS(商品数据源!$G:$G,商品数据源!$A:$A,$B$101,商品数据源!$B:$B,CP2)</f>
        <v>0</v>
      </c>
      <c r="CQ102" s="124">
        <f>SUMIFS(商品数据源!$G:$G,商品数据源!$A:$A,$B$101,商品数据源!$B:$B,CQ2)</f>
        <v>0</v>
      </c>
      <c r="CR102" s="124">
        <f>SUMIFS(商品数据源!$G:$G,商品数据源!$A:$A,$B$101,商品数据源!$B:$B,CR2)</f>
        <v>0</v>
      </c>
      <c r="CS102" s="124">
        <f>SUMIFS(商品数据源!$G:$G,商品数据源!$A:$A,$B$101,商品数据源!$B:$B,CS2)</f>
        <v>0</v>
      </c>
      <c r="CT102" s="124">
        <f>SUMIFS(商品数据源!$G:$G,商品数据源!$A:$A,$B$101,商品数据源!$B:$B,CT2)</f>
        <v>0</v>
      </c>
      <c r="CU102" s="124">
        <f>SUMIFS(商品数据源!$G:$G,商品数据源!$A:$A,$B$101,商品数据源!$B:$B,CU2)</f>
        <v>0</v>
      </c>
      <c r="CV102" s="124">
        <f>SUMIFS(商品数据源!$G:$G,商品数据源!$A:$A,$B$101,商品数据源!$B:$B,CV2)</f>
        <v>0</v>
      </c>
      <c r="CW102" s="124">
        <f>SUMIFS(商品数据源!$G:$G,商品数据源!$A:$A,$B$101,商品数据源!$B:$B,CW2)</f>
        <v>0</v>
      </c>
      <c r="CX102" s="124">
        <f>SUMIFS(商品数据源!$G:$G,商品数据源!$A:$A,$B$101,商品数据源!$B:$B,CX2)</f>
        <v>0</v>
      </c>
      <c r="CY102" s="124">
        <f>SUMIFS(商品数据源!$G:$G,商品数据源!$A:$A,$B$101,商品数据源!$B:$B,CY2)</f>
        <v>0</v>
      </c>
      <c r="CZ102" s="124">
        <f>SUMIFS(商品数据源!$G:$G,商品数据源!$A:$A,$B$101,商品数据源!$B:$B,CZ2)</f>
        <v>0</v>
      </c>
      <c r="DA102" s="124">
        <f>SUMIFS(商品数据源!$G:$G,商品数据源!$A:$A,$B$101,商品数据源!$B:$B,DA2)</f>
        <v>0</v>
      </c>
      <c r="DB102" s="124">
        <f>SUMIFS(商品数据源!$G:$G,商品数据源!$A:$A,$B$101,商品数据源!$B:$B,DB2)</f>
        <v>0</v>
      </c>
      <c r="DC102" s="124">
        <f>SUMIFS(商品数据源!$G:$G,商品数据源!$A:$A,$B$101,商品数据源!$B:$B,DC2)</f>
        <v>0</v>
      </c>
      <c r="DD102" s="124">
        <f>SUMIFS(商品数据源!$G:$G,商品数据源!$A:$A,$B$101,商品数据源!$B:$B,DD2)</f>
        <v>0</v>
      </c>
      <c r="DE102" s="124">
        <f>SUMIFS(商品数据源!$G:$G,商品数据源!$A:$A,$B$101,商品数据源!$B:$B,DE2)</f>
        <v>0</v>
      </c>
      <c r="DF102" s="134">
        <f>SUM(DG102:EJ102)</f>
        <v>0</v>
      </c>
      <c r="DG102" s="124">
        <f>SUMIFS(商品数据源!$G:$G,商品数据源!$A:$A,$B$101,商品数据源!$B:$B,DG2)</f>
        <v>0</v>
      </c>
      <c r="DH102" s="124">
        <f>SUMIFS(商品数据源!$G:$G,商品数据源!$A:$A,$B$101,商品数据源!$B:$B,DH2)</f>
        <v>0</v>
      </c>
      <c r="DI102" s="124">
        <f>SUMIFS(商品数据源!$G:$G,商品数据源!$A:$A,$B$101,商品数据源!$B:$B,DI2)</f>
        <v>0</v>
      </c>
      <c r="DJ102" s="124">
        <f>SUMIFS(商品数据源!$G:$G,商品数据源!$A:$A,$B$101,商品数据源!$B:$B,DJ2)</f>
        <v>0</v>
      </c>
      <c r="DK102" s="124">
        <f>SUMIFS(商品数据源!$G:$G,商品数据源!$A:$A,$B$101,商品数据源!$B:$B,DK2)</f>
        <v>0</v>
      </c>
      <c r="DL102" s="124">
        <f>SUMIFS(商品数据源!$G:$G,商品数据源!$A:$A,$B$101,商品数据源!$B:$B,DL2)</f>
        <v>0</v>
      </c>
      <c r="DM102" s="124">
        <f>SUMIFS(商品数据源!$G:$G,商品数据源!$A:$A,$B$101,商品数据源!$B:$B,DM2)</f>
        <v>0</v>
      </c>
      <c r="DN102" s="124">
        <f>SUMIFS(商品数据源!$G:$G,商品数据源!$A:$A,$B$101,商品数据源!$B:$B,DN2)</f>
        <v>0</v>
      </c>
      <c r="DO102" s="124">
        <f>SUMIFS(商品数据源!$G:$G,商品数据源!$A:$A,$B$101,商品数据源!$B:$B,DO2)</f>
        <v>0</v>
      </c>
      <c r="DP102" s="124">
        <f>SUMIFS(商品数据源!$G:$G,商品数据源!$A:$A,$B$101,商品数据源!$B:$B,DP2)</f>
        <v>0</v>
      </c>
      <c r="DQ102" s="124">
        <f>SUMIFS(商品数据源!$G:$G,商品数据源!$A:$A,$B$101,商品数据源!$B:$B,DQ2)</f>
        <v>0</v>
      </c>
      <c r="DR102" s="124">
        <f>SUMIFS(商品数据源!$G:$G,商品数据源!$A:$A,$B$101,商品数据源!$B:$B,DR2)</f>
        <v>0</v>
      </c>
      <c r="DS102" s="124">
        <f>SUMIFS(商品数据源!$G:$G,商品数据源!$A:$A,$B$101,商品数据源!$B:$B,DS2)</f>
        <v>0</v>
      </c>
      <c r="DT102" s="124">
        <f>SUMIFS(商品数据源!$G:$G,商品数据源!$A:$A,$B$101,商品数据源!$B:$B,DT2)</f>
        <v>0</v>
      </c>
      <c r="DU102" s="124">
        <f>SUMIFS(商品数据源!$G:$G,商品数据源!$A:$A,$B$101,商品数据源!$B:$B,DU2)</f>
        <v>0</v>
      </c>
      <c r="DV102" s="124">
        <f>SUMIFS(商品数据源!$G:$G,商品数据源!$A:$A,$B$101,商品数据源!$B:$B,DV2)</f>
        <v>0</v>
      </c>
      <c r="DW102" s="124">
        <f>SUMIFS(商品数据源!$G:$G,商品数据源!$A:$A,$B$101,商品数据源!$B:$B,DW2)</f>
        <v>0</v>
      </c>
      <c r="DX102" s="124">
        <f>SUMIFS(商品数据源!$G:$G,商品数据源!$A:$A,$B$101,商品数据源!$B:$B,DX2)</f>
        <v>0</v>
      </c>
      <c r="DY102" s="124">
        <f>SUMIFS(商品数据源!$G:$G,商品数据源!$A:$A,$B$101,商品数据源!$B:$B,DY2)</f>
        <v>0</v>
      </c>
      <c r="DZ102" s="124">
        <f>SUMIFS(商品数据源!$G:$G,商品数据源!$A:$A,$B$101,商品数据源!$B:$B,DZ2)</f>
        <v>0</v>
      </c>
      <c r="EA102" s="124">
        <f>SUMIFS(商品数据源!$G:$G,商品数据源!$A:$A,$B$101,商品数据源!$B:$B,EA2)</f>
        <v>0</v>
      </c>
      <c r="EB102" s="124">
        <f>SUMIFS(商品数据源!$G:$G,商品数据源!$A:$A,$B$101,商品数据源!$B:$B,EB2)</f>
        <v>0</v>
      </c>
      <c r="EC102" s="124">
        <f>SUMIFS(商品数据源!$G:$G,商品数据源!$A:$A,$B$101,商品数据源!$B:$B,EC2)</f>
        <v>0</v>
      </c>
      <c r="ED102" s="124">
        <f>SUMIFS(商品数据源!$G:$G,商品数据源!$A:$A,$B$101,商品数据源!$B:$B,ED2)</f>
        <v>0</v>
      </c>
      <c r="EE102" s="124">
        <f>SUMIFS(商品数据源!$G:$G,商品数据源!$A:$A,$B$101,商品数据源!$B:$B,EE2)</f>
        <v>0</v>
      </c>
      <c r="EF102" s="124">
        <f>SUMIFS(商品数据源!$G:$G,商品数据源!$A:$A,$B$101,商品数据源!$B:$B,EF2)</f>
        <v>0</v>
      </c>
      <c r="EG102" s="124">
        <f>SUMIFS(商品数据源!$G:$G,商品数据源!$A:$A,$B$101,商品数据源!$B:$B,EG2)</f>
        <v>0</v>
      </c>
      <c r="EH102" s="124">
        <f>SUMIFS(商品数据源!$G:$G,商品数据源!$A:$A,$B$101,商品数据源!$B:$B,EH2)</f>
        <v>0</v>
      </c>
      <c r="EI102" s="124">
        <f>SUMIFS(商品数据源!$G:$G,商品数据源!$A:$A,$B$101,商品数据源!$B:$B,EI2)</f>
        <v>0</v>
      </c>
      <c r="EJ102" s="124">
        <f>SUMIFS(商品数据源!$G:$G,商品数据源!$A:$A,$B$101,商品数据源!$B:$B,EJ2)</f>
        <v>0</v>
      </c>
      <c r="EK102" s="134">
        <f>SUM(EL102:FP102)</f>
        <v>340</v>
      </c>
      <c r="EL102" s="124">
        <f>SUMIFS(商品数据源!$G:$G,商品数据源!$A:$A,$B$101,商品数据源!$B:$B,EL2)</f>
        <v>0</v>
      </c>
      <c r="EM102" s="124">
        <f>SUMIFS(商品数据源!$G:$G,商品数据源!$A:$A,$B$101,商品数据源!$B:$B,EM2)</f>
        <v>0</v>
      </c>
      <c r="EN102" s="124">
        <f>SUMIFS(商品数据源!$G:$G,商品数据源!$A:$A,$B$101,商品数据源!$B:$B,EN2)</f>
        <v>0</v>
      </c>
      <c r="EO102" s="124">
        <f>SUMIFS(商品数据源!$G:$G,商品数据源!$A:$A,$B$101,商品数据源!$B:$B,EO2)</f>
        <v>0</v>
      </c>
      <c r="EP102" s="124">
        <f>SUMIFS(商品数据源!$G:$G,商品数据源!$A:$A,$B$101,商品数据源!$B:$B,EP2)</f>
        <v>0</v>
      </c>
      <c r="EQ102" s="124">
        <f>SUMIFS(商品数据源!$G:$G,商品数据源!$A:$A,$B$101,商品数据源!$B:$B,EQ2)</f>
        <v>4</v>
      </c>
      <c r="ER102" s="124">
        <f>SUMIFS(商品数据源!$G:$G,商品数据源!$A:$A,$B$101,商品数据源!$B:$B,ER2)</f>
        <v>12</v>
      </c>
      <c r="ES102" s="124">
        <f>SUMIFS(商品数据源!$G:$G,商品数据源!$A:$A,$B$101,商品数据源!$B:$B,ES2)</f>
        <v>6</v>
      </c>
      <c r="ET102" s="124">
        <f>SUMIFS(商品数据源!$G:$G,商品数据源!$A:$A,$B$101,商品数据源!$B:$B,ET2)</f>
        <v>14</v>
      </c>
      <c r="EU102" s="124">
        <f>SUMIFS(商品数据源!$G:$G,商品数据源!$A:$A,$B$101,商品数据源!$B:$B,EU2)</f>
        <v>18</v>
      </c>
      <c r="EV102" s="124">
        <f>SUMIFS(商品数据源!$G:$G,商品数据源!$A:$A,$B$101,商品数据源!$B:$B,EV2)</f>
        <v>44</v>
      </c>
      <c r="EW102" s="124">
        <f>SUMIFS(商品数据源!$G:$G,商品数据源!$A:$A,$B$101,商品数据源!$B:$B,EW2)</f>
        <v>71</v>
      </c>
      <c r="EX102" s="124">
        <f>SUMIFS(商品数据源!$G:$G,商品数据源!$A:$A,$B$101,商品数据源!$B:$B,EX2)</f>
        <v>92</v>
      </c>
      <c r="EY102" s="124">
        <f>SUMIFS(商品数据源!$G:$G,商品数据源!$A:$A,$B$101,商品数据源!$B:$B,EY2)</f>
        <v>45</v>
      </c>
      <c r="EZ102" s="124">
        <f>SUMIFS(商品数据源!$G:$G,商品数据源!$A:$A,$B$101,商品数据源!$B:$B,EZ2)</f>
        <v>0</v>
      </c>
      <c r="FA102" s="124">
        <f>SUMIFS(商品数据源!$G:$G,商品数据源!$A:$A,$B$101,商品数据源!$B:$B,FA2)</f>
        <v>0</v>
      </c>
      <c r="FB102" s="124">
        <f>SUMIFS(商品数据源!$G:$G,商品数据源!$A:$A,$B$101,商品数据源!$B:$B,FB2)</f>
        <v>0</v>
      </c>
      <c r="FC102" s="124">
        <f>SUMIFS(商品数据源!$G:$G,商品数据源!$A:$A,$B$101,商品数据源!$B:$B,FC2)</f>
        <v>0</v>
      </c>
      <c r="FD102" s="124">
        <f>SUMIFS(商品数据源!$G:$G,商品数据源!$A:$A,$B$101,商品数据源!$B:$B,FD2)</f>
        <v>0</v>
      </c>
      <c r="FE102" s="124">
        <f>SUMIFS(商品数据源!$G:$G,商品数据源!$A:$A,$B$101,商品数据源!$B:$B,FE2)</f>
        <v>0</v>
      </c>
      <c r="FF102" s="124">
        <f>SUMIFS(商品数据源!$G:$G,商品数据源!$A:$A,$B$101,商品数据源!$B:$B,FF2)</f>
        <v>0</v>
      </c>
      <c r="FG102" s="124">
        <f>SUMIFS(商品数据源!$G:$G,商品数据源!$A:$A,$B$101,商品数据源!$B:$B,FG2)</f>
        <v>0</v>
      </c>
      <c r="FH102" s="124">
        <f>SUMIFS(商品数据源!$G:$G,商品数据源!$A:$A,$B$101,商品数据源!$B:$B,FH2)</f>
        <v>0</v>
      </c>
      <c r="FI102" s="124">
        <f>SUMIFS(商品数据源!$G:$G,商品数据源!$A:$A,$B$101,商品数据源!$B:$B,FI2)</f>
        <v>0</v>
      </c>
      <c r="FJ102" s="124">
        <f>SUMIFS(商品数据源!$G:$G,商品数据源!$A:$A,$B$101,商品数据源!$B:$B,FJ2)</f>
        <v>0</v>
      </c>
      <c r="FK102" s="124">
        <f>SUMIFS(商品数据源!$G:$G,商品数据源!$A:$A,$B$101,商品数据源!$B:$B,FK2)</f>
        <v>0</v>
      </c>
      <c r="FL102" s="124">
        <f>SUMIFS(商品数据源!$G:$G,商品数据源!$A:$A,$B$101,商品数据源!$B:$B,FL2)</f>
        <v>3</v>
      </c>
      <c r="FM102" s="124">
        <f>SUMIFS(商品数据源!$G:$G,商品数据源!$A:$A,$B$101,商品数据源!$B:$B,FM2)</f>
        <v>6</v>
      </c>
      <c r="FN102" s="124">
        <f>SUMIFS(商品数据源!$G:$G,商品数据源!$A:$A,$B$101,商品数据源!$B:$B,FN2)</f>
        <v>5</v>
      </c>
      <c r="FO102" s="124">
        <f>SUMIFS(商品数据源!$G:$G,商品数据源!$A:$A,$B$101,商品数据源!$B:$B,FO2)</f>
        <v>9</v>
      </c>
      <c r="FP102" s="124">
        <f>SUMIFS(商品数据源!$G:$G,商品数据源!$A:$A,$B$101,商品数据源!$B:$B,FP2)</f>
        <v>11</v>
      </c>
      <c r="FQ102" s="134">
        <f t="shared" si="469"/>
        <v>1192</v>
      </c>
      <c r="FR102" s="124">
        <f>SUMIFS(商品数据源!$G:$G,商品数据源!$A:$A,$B$101,商品数据源!$B:$B,FR2)</f>
        <v>57</v>
      </c>
      <c r="FS102" s="124">
        <f>SUMIFS(商品数据源!$G:$G,商品数据源!$A:$A,$B$101,商品数据源!$B:$B,FS2)</f>
        <v>45</v>
      </c>
      <c r="FT102" s="124">
        <f>SUMIFS(商品数据源!$G:$G,商品数据源!$A:$A,$B$101,商品数据源!$B:$B,FT2)</f>
        <v>24</v>
      </c>
      <c r="FU102" s="124">
        <f>SUMIFS(商品数据源!$G:$G,商品数据源!$A:$A,$B$101,商品数据源!$B:$B,FU2)</f>
        <v>45</v>
      </c>
      <c r="FV102" s="124">
        <f>SUMIFS(商品数据源!$G:$G,商品数据源!$A:$A,$B$101,商品数据源!$B:$B,FV2)</f>
        <v>58</v>
      </c>
      <c r="FW102" s="124">
        <f>SUMIFS(商品数据源!$G:$G,商品数据源!$A:$A,$B$101,商品数据源!$B:$B,FW2)</f>
        <v>43</v>
      </c>
      <c r="FX102" s="124">
        <f>SUMIFS(商品数据源!$G:$G,商品数据源!$A:$A,$B$101,商品数据源!$B:$B,FX2)</f>
        <v>66</v>
      </c>
      <c r="FY102" s="124">
        <f>SUMIFS(商品数据源!$G:$G,商品数据源!$A:$A,$B$101,商品数据源!$B:$B,FY2)</f>
        <v>70</v>
      </c>
      <c r="FZ102" s="124">
        <f>SUMIFS(商品数据源!$G:$G,商品数据源!$A:$A,$B$101,商品数据源!$B:$B,FZ2)</f>
        <v>61</v>
      </c>
      <c r="GA102" s="124">
        <f>SUMIFS(商品数据源!$G:$G,商品数据源!$A:$A,$B$101,商品数据源!$B:$B,GA2)</f>
        <v>69</v>
      </c>
      <c r="GB102" s="124">
        <f>SUMIFS(商品数据源!$G:$G,商品数据源!$A:$A,$B$101,商品数据源!$B:$B,GB2)</f>
        <v>75</v>
      </c>
      <c r="GC102" s="124">
        <f>SUMIFS(商品数据源!$G:$G,商品数据源!$A:$A,$B$101,商品数据源!$B:$B,GC2)</f>
        <v>63</v>
      </c>
      <c r="GD102" s="124">
        <f>SUMIFS(商品数据源!$G:$G,商品数据源!$A:$A,$B$101,商品数据源!$B:$B,GD2)</f>
        <v>46</v>
      </c>
      <c r="GE102" s="124">
        <f>SUMIFS(商品数据源!$G:$G,商品数据源!$A:$A,$B$101,商品数据源!$B:$B,GE2)</f>
        <v>57</v>
      </c>
      <c r="GF102" s="124">
        <f>SUMIFS(商品数据源!$G:$G,商品数据源!$A:$A,$B$101,商品数据源!$B:$B,GF2)</f>
        <v>58</v>
      </c>
      <c r="GG102" s="124">
        <f>SUMIFS(商品数据源!$G:$G,商品数据源!$A:$A,$B$101,商品数据源!$B:$B,GG2)</f>
        <v>68</v>
      </c>
      <c r="GH102" s="124">
        <f>SUMIFS(商品数据源!$G:$G,商品数据源!$A:$A,$B$101,商品数据源!$B:$B,GH2)</f>
        <v>71</v>
      </c>
      <c r="GI102" s="124">
        <f>SUMIFS(商品数据源!$G:$G,商品数据源!$A:$A,$B$101,商品数据源!$B:$B,GI2)</f>
        <v>49</v>
      </c>
      <c r="GJ102" s="124">
        <f>SUMIFS(商品数据源!$G:$G,商品数据源!$A:$A,$B$101,商品数据源!$B:$B,GJ2)</f>
        <v>56</v>
      </c>
      <c r="GK102" s="124">
        <f>SUMIFS(商品数据源!$G:$G,商品数据源!$A:$A,$B$101,商品数据源!$B:$B,GK2)</f>
        <v>52</v>
      </c>
      <c r="GL102" s="124">
        <f>SUMIFS(商品数据源!$G:$G,商品数据源!$A:$A,$B$101,商品数据源!$B:$B,GL2)</f>
        <v>59</v>
      </c>
      <c r="GM102" s="124">
        <f>SUMIFS(商品数据源!$G:$G,商品数据源!$A:$A,$B$101,商品数据源!$B:$B,GM2)</f>
        <v>0</v>
      </c>
      <c r="GN102" s="124">
        <f>SUMIFS(商品数据源!$G:$G,商品数据源!$A:$A,$B$101,商品数据源!$B:$B,GN2)</f>
        <v>0</v>
      </c>
      <c r="GO102" s="124">
        <f>SUMIFS(商品数据源!$G:$G,商品数据源!$A:$A,$B$101,商品数据源!$B:$B,GO2)</f>
        <v>0</v>
      </c>
      <c r="GP102" s="124">
        <f>SUMIFS(商品数据源!$G:$G,商品数据源!$A:$A,$B$101,商品数据源!$B:$B,GP2)</f>
        <v>0</v>
      </c>
    </row>
    <row r="103" s="47" customFormat="1" ht="15" customHeight="1" spans="2:198">
      <c r="B103" s="103"/>
      <c r="C103" s="109" t="s">
        <v>22</v>
      </c>
      <c r="D103" s="125" t="e">
        <f t="shared" ref="D103:O103" si="490">D101/D102</f>
        <v>#REF!</v>
      </c>
      <c r="E103" s="135" t="e">
        <f t="shared" si="490"/>
        <v>#REF!</v>
      </c>
      <c r="F103" s="135" t="e">
        <f t="shared" si="490"/>
        <v>#REF!</v>
      </c>
      <c r="G103" s="135" t="e">
        <f t="shared" si="490"/>
        <v>#REF!</v>
      </c>
      <c r="H103" s="135" t="e">
        <f t="shared" si="490"/>
        <v>#REF!</v>
      </c>
      <c r="I103" s="135" t="e">
        <f t="shared" si="490"/>
        <v>#REF!</v>
      </c>
      <c r="J103" s="135" t="e">
        <f t="shared" si="490"/>
        <v>#REF!</v>
      </c>
      <c r="K103" s="135" t="e">
        <f t="shared" si="490"/>
        <v>#REF!</v>
      </c>
      <c r="L103" s="135" t="e">
        <f t="shared" si="490"/>
        <v>#REF!</v>
      </c>
      <c r="M103" s="135" t="e">
        <f t="shared" si="490"/>
        <v>#REF!</v>
      </c>
      <c r="N103" s="135" t="e">
        <f t="shared" si="490"/>
        <v>#REF!</v>
      </c>
      <c r="O103" s="135" t="e">
        <f t="shared" si="490"/>
        <v>#REF!</v>
      </c>
      <c r="P103" s="135" t="e">
        <f t="shared" ref="P103:R103" si="491">P101/P102</f>
        <v>#REF!</v>
      </c>
      <c r="Q103" s="118" t="e">
        <f t="shared" si="491"/>
        <v>#DIV/0!</v>
      </c>
      <c r="R103" s="127" t="e">
        <f t="shared" si="491"/>
        <v>#DIV/0!</v>
      </c>
      <c r="S103" s="127" t="e">
        <f t="shared" ref="S103:X103" si="492">S101/S102</f>
        <v>#DIV/0!</v>
      </c>
      <c r="T103" s="127" t="e">
        <f t="shared" si="492"/>
        <v>#DIV/0!</v>
      </c>
      <c r="U103" s="127" t="e">
        <f t="shared" si="492"/>
        <v>#DIV/0!</v>
      </c>
      <c r="V103" s="127" t="e">
        <f t="shared" si="492"/>
        <v>#DIV/0!</v>
      </c>
      <c r="W103" s="127" t="e">
        <f t="shared" si="492"/>
        <v>#DIV/0!</v>
      </c>
      <c r="X103" s="127" t="e">
        <f t="shared" si="492"/>
        <v>#DIV/0!</v>
      </c>
      <c r="Y103" s="127" t="e">
        <f t="shared" ref="Y103:AL103" si="493">Y101/Y102</f>
        <v>#DIV/0!</v>
      </c>
      <c r="Z103" s="127" t="e">
        <f t="shared" si="493"/>
        <v>#DIV/0!</v>
      </c>
      <c r="AA103" s="127" t="e">
        <f t="shared" si="493"/>
        <v>#DIV/0!</v>
      </c>
      <c r="AB103" s="127" t="e">
        <f t="shared" si="493"/>
        <v>#DIV/0!</v>
      </c>
      <c r="AC103" s="127" t="e">
        <f t="shared" si="493"/>
        <v>#DIV/0!</v>
      </c>
      <c r="AD103" s="127" t="e">
        <f t="shared" si="493"/>
        <v>#DIV/0!</v>
      </c>
      <c r="AE103" s="127" t="e">
        <f t="shared" si="493"/>
        <v>#DIV/0!</v>
      </c>
      <c r="AF103" s="127" t="e">
        <f t="shared" si="493"/>
        <v>#DIV/0!</v>
      </c>
      <c r="AG103" s="127" t="e">
        <f t="shared" si="493"/>
        <v>#DIV/0!</v>
      </c>
      <c r="AH103" s="127" t="e">
        <f t="shared" si="493"/>
        <v>#DIV/0!</v>
      </c>
      <c r="AI103" s="127" t="e">
        <f t="shared" si="493"/>
        <v>#DIV/0!</v>
      </c>
      <c r="AJ103" s="127" t="e">
        <f t="shared" si="493"/>
        <v>#DIV/0!</v>
      </c>
      <c r="AK103" s="127" t="e">
        <f t="shared" si="493"/>
        <v>#DIV/0!</v>
      </c>
      <c r="AL103" s="127" t="e">
        <f t="shared" ref="AL103:BH103" si="494">AL101/AL102</f>
        <v>#DIV/0!</v>
      </c>
      <c r="AM103" s="127" t="e">
        <f t="shared" si="494"/>
        <v>#DIV/0!</v>
      </c>
      <c r="AN103" s="127" t="e">
        <f t="shared" si="494"/>
        <v>#DIV/0!</v>
      </c>
      <c r="AO103" s="127" t="e">
        <f t="shared" si="494"/>
        <v>#DIV/0!</v>
      </c>
      <c r="AP103" s="127" t="e">
        <f t="shared" si="494"/>
        <v>#DIV/0!</v>
      </c>
      <c r="AQ103" s="127" t="e">
        <f t="shared" si="494"/>
        <v>#DIV/0!</v>
      </c>
      <c r="AR103" s="127" t="e">
        <f t="shared" si="494"/>
        <v>#DIV/0!</v>
      </c>
      <c r="AS103" s="127" t="e">
        <f t="shared" si="494"/>
        <v>#DIV/0!</v>
      </c>
      <c r="AT103" s="127" t="e">
        <f t="shared" si="494"/>
        <v>#DIV/0!</v>
      </c>
      <c r="AU103" s="127" t="e">
        <f t="shared" si="494"/>
        <v>#DIV/0!</v>
      </c>
      <c r="AV103" s="127" t="e">
        <f t="shared" si="494"/>
        <v>#DIV/0!</v>
      </c>
      <c r="AW103" s="118" t="e">
        <f t="shared" si="494"/>
        <v>#DIV/0!</v>
      </c>
      <c r="AX103" s="127" t="e">
        <f t="shared" si="494"/>
        <v>#DIV/0!</v>
      </c>
      <c r="AY103" s="127" t="e">
        <f t="shared" si="494"/>
        <v>#DIV/0!</v>
      </c>
      <c r="AZ103" s="127" t="e">
        <f t="shared" si="494"/>
        <v>#DIV/0!</v>
      </c>
      <c r="BA103" s="127" t="e">
        <f t="shared" si="494"/>
        <v>#DIV/0!</v>
      </c>
      <c r="BB103" s="127" t="e">
        <f t="shared" si="494"/>
        <v>#DIV/0!</v>
      </c>
      <c r="BC103" s="127" t="e">
        <f t="shared" si="494"/>
        <v>#DIV/0!</v>
      </c>
      <c r="BD103" s="127" t="e">
        <f t="shared" si="494"/>
        <v>#DIV/0!</v>
      </c>
      <c r="BE103" s="127" t="e">
        <f t="shared" si="494"/>
        <v>#DIV/0!</v>
      </c>
      <c r="BF103" s="127" t="e">
        <f t="shared" si="494"/>
        <v>#DIV/0!</v>
      </c>
      <c r="BG103" s="127" t="e">
        <f t="shared" si="494"/>
        <v>#DIV/0!</v>
      </c>
      <c r="BH103" s="127" t="e">
        <f t="shared" si="494"/>
        <v>#DIV/0!</v>
      </c>
      <c r="BI103" s="127" t="e">
        <f t="shared" ref="BI103:BW103" si="495">BI101/BI102</f>
        <v>#DIV/0!</v>
      </c>
      <c r="BJ103" s="127" t="e">
        <f t="shared" si="495"/>
        <v>#DIV/0!</v>
      </c>
      <c r="BK103" s="127" t="e">
        <f t="shared" si="495"/>
        <v>#DIV/0!</v>
      </c>
      <c r="BL103" s="127" t="e">
        <f t="shared" si="495"/>
        <v>#DIV/0!</v>
      </c>
      <c r="BM103" s="127" t="e">
        <f t="shared" si="495"/>
        <v>#DIV/0!</v>
      </c>
      <c r="BN103" s="127" t="e">
        <f t="shared" si="495"/>
        <v>#DIV/0!</v>
      </c>
      <c r="BO103" s="127" t="e">
        <f t="shared" si="495"/>
        <v>#DIV/0!</v>
      </c>
      <c r="BP103" s="127" t="e">
        <f t="shared" si="495"/>
        <v>#DIV/0!</v>
      </c>
      <c r="BQ103" s="127" t="e">
        <f t="shared" si="495"/>
        <v>#DIV/0!</v>
      </c>
      <c r="BR103" s="127" t="e">
        <f t="shared" si="495"/>
        <v>#DIV/0!</v>
      </c>
      <c r="BS103" s="127" t="e">
        <f t="shared" si="495"/>
        <v>#DIV/0!</v>
      </c>
      <c r="BT103" s="127" t="e">
        <f t="shared" si="495"/>
        <v>#DIV/0!</v>
      </c>
      <c r="BU103" s="127" t="e">
        <f t="shared" si="495"/>
        <v>#DIV/0!</v>
      </c>
      <c r="BV103" s="127" t="e">
        <f t="shared" si="495"/>
        <v>#DIV/0!</v>
      </c>
      <c r="BW103" s="127" t="e">
        <f t="shared" si="495"/>
        <v>#DIV/0!</v>
      </c>
      <c r="BX103" s="127" t="e">
        <f t="shared" ref="BX103:CH103" si="496">BX101/BX102</f>
        <v>#DIV/0!</v>
      </c>
      <c r="BY103" s="127" t="e">
        <f t="shared" si="496"/>
        <v>#DIV/0!</v>
      </c>
      <c r="BZ103" s="118" t="e">
        <f t="shared" si="496"/>
        <v>#DIV/0!</v>
      </c>
      <c r="CA103" s="127" t="e">
        <f t="shared" si="496"/>
        <v>#DIV/0!</v>
      </c>
      <c r="CB103" s="127" t="e">
        <f t="shared" si="496"/>
        <v>#DIV/0!</v>
      </c>
      <c r="CC103" s="127" t="e">
        <f t="shared" si="496"/>
        <v>#DIV/0!</v>
      </c>
      <c r="CD103" s="127" t="e">
        <f t="shared" si="496"/>
        <v>#DIV/0!</v>
      </c>
      <c r="CE103" s="127" t="e">
        <f t="shared" si="496"/>
        <v>#DIV/0!</v>
      </c>
      <c r="CF103" s="127" t="e">
        <f t="shared" si="496"/>
        <v>#DIV/0!</v>
      </c>
      <c r="CG103" s="127" t="e">
        <f t="shared" si="496"/>
        <v>#DIV/0!</v>
      </c>
      <c r="CH103" s="127" t="e">
        <f t="shared" si="496"/>
        <v>#DIV/0!</v>
      </c>
      <c r="CI103" s="127" t="e">
        <f t="shared" ref="CI103:EH103" si="497">CI101/CI102</f>
        <v>#DIV/0!</v>
      </c>
      <c r="CJ103" s="127" t="e">
        <f t="shared" si="497"/>
        <v>#DIV/0!</v>
      </c>
      <c r="CK103" s="127" t="e">
        <f t="shared" si="497"/>
        <v>#DIV/0!</v>
      </c>
      <c r="CL103" s="127" t="e">
        <f t="shared" si="497"/>
        <v>#DIV/0!</v>
      </c>
      <c r="CM103" s="127" t="e">
        <f t="shared" si="497"/>
        <v>#DIV/0!</v>
      </c>
      <c r="CN103" s="127" t="e">
        <f t="shared" si="497"/>
        <v>#DIV/0!</v>
      </c>
      <c r="CO103" s="127" t="e">
        <f t="shared" si="497"/>
        <v>#DIV/0!</v>
      </c>
      <c r="CP103" s="127" t="e">
        <f t="shared" si="497"/>
        <v>#DIV/0!</v>
      </c>
      <c r="CQ103" s="127" t="e">
        <f t="shared" si="497"/>
        <v>#DIV/0!</v>
      </c>
      <c r="CR103" s="127" t="e">
        <f t="shared" si="497"/>
        <v>#DIV/0!</v>
      </c>
      <c r="CS103" s="127" t="e">
        <f t="shared" si="497"/>
        <v>#DIV/0!</v>
      </c>
      <c r="CT103" s="127" t="e">
        <f t="shared" si="497"/>
        <v>#DIV/0!</v>
      </c>
      <c r="CU103" s="127" t="e">
        <f t="shared" si="497"/>
        <v>#DIV/0!</v>
      </c>
      <c r="CV103" s="127" t="e">
        <f t="shared" si="497"/>
        <v>#DIV/0!</v>
      </c>
      <c r="CW103" s="127" t="e">
        <f t="shared" si="497"/>
        <v>#DIV/0!</v>
      </c>
      <c r="CX103" s="127" t="e">
        <f t="shared" si="497"/>
        <v>#DIV/0!</v>
      </c>
      <c r="CY103" s="127" t="e">
        <f t="shared" si="497"/>
        <v>#DIV/0!</v>
      </c>
      <c r="CZ103" s="127" t="e">
        <f t="shared" si="497"/>
        <v>#DIV/0!</v>
      </c>
      <c r="DA103" s="127" t="e">
        <f t="shared" si="497"/>
        <v>#DIV/0!</v>
      </c>
      <c r="DB103" s="127" t="e">
        <f t="shared" si="497"/>
        <v>#DIV/0!</v>
      </c>
      <c r="DC103" s="127" t="e">
        <f t="shared" si="497"/>
        <v>#DIV/0!</v>
      </c>
      <c r="DD103" s="127" t="e">
        <f t="shared" si="497"/>
        <v>#DIV/0!</v>
      </c>
      <c r="DE103" s="127" t="e">
        <f t="shared" si="497"/>
        <v>#DIV/0!</v>
      </c>
      <c r="DF103" s="118" t="e">
        <f t="shared" si="497"/>
        <v>#DIV/0!</v>
      </c>
      <c r="DG103" s="127" t="e">
        <f t="shared" si="497"/>
        <v>#DIV/0!</v>
      </c>
      <c r="DH103" s="127" t="e">
        <f t="shared" si="497"/>
        <v>#DIV/0!</v>
      </c>
      <c r="DI103" s="127" t="e">
        <f t="shared" si="497"/>
        <v>#DIV/0!</v>
      </c>
      <c r="DJ103" s="127" t="e">
        <f t="shared" si="497"/>
        <v>#DIV/0!</v>
      </c>
      <c r="DK103" s="127" t="e">
        <f t="shared" si="497"/>
        <v>#DIV/0!</v>
      </c>
      <c r="DL103" s="127" t="e">
        <f t="shared" si="497"/>
        <v>#DIV/0!</v>
      </c>
      <c r="DM103" s="127" t="e">
        <f t="shared" si="497"/>
        <v>#DIV/0!</v>
      </c>
      <c r="DN103" s="127" t="e">
        <f t="shared" si="497"/>
        <v>#DIV/0!</v>
      </c>
      <c r="DO103" s="127" t="e">
        <f t="shared" si="497"/>
        <v>#DIV/0!</v>
      </c>
      <c r="DP103" s="127" t="e">
        <f t="shared" si="497"/>
        <v>#DIV/0!</v>
      </c>
      <c r="DQ103" s="127" t="e">
        <f t="shared" si="497"/>
        <v>#DIV/0!</v>
      </c>
      <c r="DR103" s="127" t="e">
        <f t="shared" si="497"/>
        <v>#DIV/0!</v>
      </c>
      <c r="DS103" s="127" t="e">
        <f t="shared" si="497"/>
        <v>#DIV/0!</v>
      </c>
      <c r="DT103" s="127" t="e">
        <f t="shared" si="497"/>
        <v>#DIV/0!</v>
      </c>
      <c r="DU103" s="127" t="e">
        <f t="shared" si="497"/>
        <v>#DIV/0!</v>
      </c>
      <c r="DV103" s="127" t="e">
        <f t="shared" si="497"/>
        <v>#DIV/0!</v>
      </c>
      <c r="DW103" s="127" t="e">
        <f t="shared" si="497"/>
        <v>#DIV/0!</v>
      </c>
      <c r="DX103" s="127" t="e">
        <f t="shared" si="497"/>
        <v>#DIV/0!</v>
      </c>
      <c r="DY103" s="127" t="e">
        <f t="shared" si="497"/>
        <v>#DIV/0!</v>
      </c>
      <c r="DZ103" s="127" t="e">
        <f t="shared" si="497"/>
        <v>#DIV/0!</v>
      </c>
      <c r="EA103" s="127" t="e">
        <f t="shared" si="497"/>
        <v>#DIV/0!</v>
      </c>
      <c r="EB103" s="127" t="e">
        <f t="shared" si="497"/>
        <v>#DIV/0!</v>
      </c>
      <c r="EC103" s="127" t="e">
        <f t="shared" si="497"/>
        <v>#DIV/0!</v>
      </c>
      <c r="ED103" s="127" t="e">
        <f t="shared" si="497"/>
        <v>#DIV/0!</v>
      </c>
      <c r="EE103" s="127" t="e">
        <f t="shared" si="497"/>
        <v>#DIV/0!</v>
      </c>
      <c r="EF103" s="127" t="e">
        <f t="shared" si="497"/>
        <v>#DIV/0!</v>
      </c>
      <c r="EG103" s="127" t="e">
        <f t="shared" si="497"/>
        <v>#DIV/0!</v>
      </c>
      <c r="EH103" s="127" t="e">
        <f t="shared" si="497"/>
        <v>#DIV/0!</v>
      </c>
      <c r="EI103" s="127" t="e">
        <f t="shared" ref="EI103:FM103" si="498">EI101/EI102</f>
        <v>#DIV/0!</v>
      </c>
      <c r="EJ103" s="127" t="e">
        <f t="shared" si="498"/>
        <v>#DIV/0!</v>
      </c>
      <c r="EK103" s="118">
        <f t="shared" si="498"/>
        <v>0.973352941176471</v>
      </c>
      <c r="EL103" s="127" t="e">
        <f t="shared" si="498"/>
        <v>#DIV/0!</v>
      </c>
      <c r="EM103" s="127" t="e">
        <f t="shared" si="498"/>
        <v>#DIV/0!</v>
      </c>
      <c r="EN103" s="127" t="e">
        <f t="shared" si="498"/>
        <v>#DIV/0!</v>
      </c>
      <c r="EO103" s="127" t="e">
        <f t="shared" si="498"/>
        <v>#DIV/0!</v>
      </c>
      <c r="EP103" s="127" t="e">
        <f t="shared" si="498"/>
        <v>#DIV/0!</v>
      </c>
      <c r="EQ103" s="127">
        <f t="shared" si="498"/>
        <v>1.12</v>
      </c>
      <c r="ER103" s="127">
        <f t="shared" si="498"/>
        <v>0.748333333333333</v>
      </c>
      <c r="ES103" s="127">
        <f t="shared" si="498"/>
        <v>1.04666666666667</v>
      </c>
      <c r="ET103" s="127">
        <f t="shared" si="498"/>
        <v>1.02285714285714</v>
      </c>
      <c r="EU103" s="127">
        <f t="shared" si="498"/>
        <v>0.993888888888889</v>
      </c>
      <c r="EV103" s="127">
        <f t="shared" si="498"/>
        <v>1.57818181818182</v>
      </c>
      <c r="EW103" s="127">
        <f t="shared" si="498"/>
        <v>1.17760563380282</v>
      </c>
      <c r="EX103" s="127">
        <f t="shared" si="498"/>
        <v>0.874130434782609</v>
      </c>
      <c r="EY103" s="127">
        <f t="shared" si="498"/>
        <v>0.619333333333333</v>
      </c>
      <c r="EZ103" s="127" t="e">
        <f t="shared" si="498"/>
        <v>#DIV/0!</v>
      </c>
      <c r="FA103" s="127" t="e">
        <f t="shared" si="498"/>
        <v>#DIV/0!</v>
      </c>
      <c r="FB103" s="127" t="e">
        <f t="shared" si="498"/>
        <v>#DIV/0!</v>
      </c>
      <c r="FC103" s="127" t="e">
        <f t="shared" si="498"/>
        <v>#DIV/0!</v>
      </c>
      <c r="FD103" s="127" t="e">
        <f t="shared" si="498"/>
        <v>#DIV/0!</v>
      </c>
      <c r="FE103" s="127" t="e">
        <f t="shared" si="498"/>
        <v>#DIV/0!</v>
      </c>
      <c r="FF103" s="127" t="e">
        <f t="shared" si="498"/>
        <v>#DIV/0!</v>
      </c>
      <c r="FG103" s="127" t="e">
        <f t="shared" si="498"/>
        <v>#DIV/0!</v>
      </c>
      <c r="FH103" s="127" t="e">
        <f t="shared" si="498"/>
        <v>#DIV/0!</v>
      </c>
      <c r="FI103" s="127" t="e">
        <f t="shared" si="498"/>
        <v>#DIV/0!</v>
      </c>
      <c r="FJ103" s="127" t="e">
        <f t="shared" si="498"/>
        <v>#DIV/0!</v>
      </c>
      <c r="FK103" s="127" t="e">
        <f t="shared" si="498"/>
        <v>#DIV/0!</v>
      </c>
      <c r="FL103" s="127">
        <f t="shared" si="498"/>
        <v>0.226666666666667</v>
      </c>
      <c r="FM103" s="127">
        <f t="shared" si="498"/>
        <v>0.541666666666667</v>
      </c>
      <c r="FN103" s="127">
        <f t="shared" ref="FN103:GI103" si="499">FN101/FN102</f>
        <v>0.614</v>
      </c>
      <c r="FO103" s="127">
        <f t="shared" si="499"/>
        <v>0.652222222222222</v>
      </c>
      <c r="FP103" s="127">
        <f t="shared" si="499"/>
        <v>0.434545454545455</v>
      </c>
      <c r="FQ103" s="118">
        <f t="shared" si="499"/>
        <v>0.623112416107383</v>
      </c>
      <c r="FR103" s="127">
        <f t="shared" si="499"/>
        <v>0.500350877192982</v>
      </c>
      <c r="FS103" s="127">
        <f t="shared" si="499"/>
        <v>0.508888888888889</v>
      </c>
      <c r="FT103" s="127">
        <f t="shared" si="499"/>
        <v>0.51</v>
      </c>
      <c r="FU103" s="127">
        <f t="shared" si="499"/>
        <v>0.483111111111111</v>
      </c>
      <c r="FV103" s="127">
        <f t="shared" si="499"/>
        <v>0.541206896551724</v>
      </c>
      <c r="FW103" s="127">
        <f t="shared" si="499"/>
        <v>0.605116279069767</v>
      </c>
      <c r="FX103" s="127">
        <f t="shared" si="499"/>
        <v>0.618787878787879</v>
      </c>
      <c r="FY103" s="127">
        <f t="shared" si="499"/>
        <v>0.620285714285714</v>
      </c>
      <c r="FZ103" s="127">
        <f t="shared" si="499"/>
        <v>0.562131147540984</v>
      </c>
      <c r="GA103" s="127">
        <f t="shared" si="499"/>
        <v>0.682463768115942</v>
      </c>
      <c r="GB103" s="127">
        <f t="shared" si="499"/>
        <v>0.6448</v>
      </c>
      <c r="GC103" s="127">
        <f t="shared" si="499"/>
        <v>0.67984126984127</v>
      </c>
      <c r="GD103" s="127">
        <f t="shared" si="499"/>
        <v>0.540434782608696</v>
      </c>
      <c r="GE103" s="127">
        <f t="shared" si="499"/>
        <v>0.668421052631579</v>
      </c>
      <c r="GF103" s="127">
        <f t="shared" si="499"/>
        <v>0.706551724137931</v>
      </c>
      <c r="GG103" s="127">
        <f t="shared" si="499"/>
        <v>0.7075</v>
      </c>
      <c r="GH103" s="127">
        <f t="shared" si="499"/>
        <v>0.686901408450704</v>
      </c>
      <c r="GI103" s="127">
        <f t="shared" si="499"/>
        <v>0.694081632653061</v>
      </c>
      <c r="GJ103" s="127">
        <f t="shared" ref="GJ103:GP103" si="500">GJ101/GJ102</f>
        <v>0.6625</v>
      </c>
      <c r="GK103" s="127">
        <f t="shared" si="500"/>
        <v>0.634038461538462</v>
      </c>
      <c r="GL103" s="127">
        <f t="shared" si="500"/>
        <v>0.647627118644068</v>
      </c>
      <c r="GM103" s="127" t="e">
        <f t="shared" si="500"/>
        <v>#DIV/0!</v>
      </c>
      <c r="GN103" s="127" t="e">
        <f t="shared" si="500"/>
        <v>#DIV/0!</v>
      </c>
      <c r="GO103" s="127" t="e">
        <f t="shared" si="500"/>
        <v>#DIV/0!</v>
      </c>
      <c r="GP103" s="127" t="e">
        <f t="shared" si="500"/>
        <v>#DIV/0!</v>
      </c>
    </row>
    <row r="104" s="47" customFormat="1" ht="15" customHeight="1" spans="2:198">
      <c r="B104" s="103"/>
      <c r="C104" s="109" t="s">
        <v>23</v>
      </c>
      <c r="D104" s="133" t="e">
        <f>SUM(E104:P104)</f>
        <v>#REF!</v>
      </c>
      <c r="E104" s="123" t="e">
        <f>#REF!</f>
        <v>#REF!</v>
      </c>
      <c r="F104" s="123" t="e">
        <f>#REF!</f>
        <v>#REF!</v>
      </c>
      <c r="G104" s="123" t="e">
        <f>#REF!</f>
        <v>#REF!</v>
      </c>
      <c r="H104" s="123" t="e">
        <f>#REF!</f>
        <v>#REF!</v>
      </c>
      <c r="I104" s="123" t="e">
        <f>#REF!</f>
        <v>#REF!</v>
      </c>
      <c r="J104" s="123" t="e">
        <f>#REF!</f>
        <v>#REF!</v>
      </c>
      <c r="K104" s="123" t="e">
        <f>#REF!</f>
        <v>#REF!</v>
      </c>
      <c r="L104" s="123" t="e">
        <f>#REF!</f>
        <v>#REF!</v>
      </c>
      <c r="M104" s="123" t="e">
        <f>#REF!</f>
        <v>#REF!</v>
      </c>
      <c r="N104" s="123" t="e">
        <f>#REF!</f>
        <v>#REF!</v>
      </c>
      <c r="O104" s="123" t="e">
        <f>#REF!</f>
        <v>#REF!</v>
      </c>
      <c r="P104" s="123" t="e">
        <f>#REF!</f>
        <v>#REF!</v>
      </c>
      <c r="Q104" s="134">
        <f>SUM(R104:AV104)</f>
        <v>0</v>
      </c>
      <c r="R104" s="124">
        <f>SUMIFS(商品数据源!$AB:$AB,商品数据源!$A:$A,$B$101,商品数据源!$B:$B,R2)</f>
        <v>0</v>
      </c>
      <c r="S104" s="124">
        <f>SUMIFS(商品数据源!$AB:$AB,商品数据源!$A:$A,$B$101,商品数据源!$B:$B,S2)</f>
        <v>0</v>
      </c>
      <c r="T104" s="124">
        <f>SUMIFS(商品数据源!$AB:$AB,商品数据源!$A:$A,$B$101,商品数据源!$B:$B,T2)</f>
        <v>0</v>
      </c>
      <c r="U104" s="124">
        <f>SUMIFS(商品数据源!$AB:$AB,商品数据源!$A:$A,$B$101,商品数据源!$B:$B,U2)</f>
        <v>0</v>
      </c>
      <c r="V104" s="124">
        <f>SUMIFS(商品数据源!$AB:$AB,商品数据源!$A:$A,$B$101,商品数据源!$B:$B,V2)</f>
        <v>0</v>
      </c>
      <c r="W104" s="124">
        <f>SUMIFS(商品数据源!$AB:$AB,商品数据源!$A:$A,$B$101,商品数据源!$B:$B,W2)</f>
        <v>0</v>
      </c>
      <c r="X104" s="124">
        <f>SUMIFS(商品数据源!$AB:$AB,商品数据源!$A:$A,$B$101,商品数据源!$B:$B,X2)</f>
        <v>0</v>
      </c>
      <c r="Y104" s="124">
        <f>SUMIFS(商品数据源!$AB:$AB,商品数据源!$A:$A,$B$101,商品数据源!$B:$B,Y2)</f>
        <v>0</v>
      </c>
      <c r="Z104" s="124">
        <f>SUMIFS(商品数据源!$AB:$AB,商品数据源!$A:$A,$B$101,商品数据源!$B:$B,Z2)</f>
        <v>0</v>
      </c>
      <c r="AA104" s="124">
        <f>SUMIFS(商品数据源!$AB:$AB,商品数据源!$A:$A,$B$101,商品数据源!$B:$B,AA2)</f>
        <v>0</v>
      </c>
      <c r="AB104" s="124">
        <f>SUMIFS(商品数据源!$AB:$AB,商品数据源!$A:$A,$B$101,商品数据源!$B:$B,AB2)</f>
        <v>0</v>
      </c>
      <c r="AC104" s="124">
        <f>SUMIFS(商品数据源!$AB:$AB,商品数据源!$A:$A,$B$101,商品数据源!$B:$B,AC2)</f>
        <v>0</v>
      </c>
      <c r="AD104" s="124">
        <f>SUMIFS(商品数据源!$AB:$AB,商品数据源!$A:$A,$B$101,商品数据源!$B:$B,AD2)</f>
        <v>0</v>
      </c>
      <c r="AE104" s="124">
        <f>SUMIFS(商品数据源!$AB:$AB,商品数据源!$A:$A,$B$101,商品数据源!$B:$B,AE2)</f>
        <v>0</v>
      </c>
      <c r="AF104" s="124">
        <f>SUMIFS(商品数据源!$AB:$AB,商品数据源!$A:$A,$B$101,商品数据源!$B:$B,AF2)</f>
        <v>0</v>
      </c>
      <c r="AG104" s="124">
        <f>SUMIFS(商品数据源!$AB:$AB,商品数据源!$A:$A,$B$101,商品数据源!$B:$B,AG2)</f>
        <v>0</v>
      </c>
      <c r="AH104" s="124">
        <f>SUMIFS(商品数据源!$AB:$AB,商品数据源!$A:$A,$B$101,商品数据源!$B:$B,AH2)</f>
        <v>0</v>
      </c>
      <c r="AI104" s="124">
        <f>SUMIFS(商品数据源!$AB:$AB,商品数据源!$A:$A,$B$101,商品数据源!$B:$B,AI2)</f>
        <v>0</v>
      </c>
      <c r="AJ104" s="124">
        <f>SUMIFS(商品数据源!$AB:$AB,商品数据源!$A:$A,$B$101,商品数据源!$B:$B,AJ2)</f>
        <v>0</v>
      </c>
      <c r="AK104" s="124">
        <f>SUMIFS(商品数据源!$AB:$AB,商品数据源!$A:$A,$B$101,商品数据源!$B:$B,AK2)</f>
        <v>0</v>
      </c>
      <c r="AL104" s="124">
        <f>SUMIFS(商品数据源!$AB:$AB,商品数据源!$A:$A,$B$101,商品数据源!$B:$B,AL2)</f>
        <v>0</v>
      </c>
      <c r="AM104" s="124">
        <f>SUMIFS(商品数据源!$AB:$AB,商品数据源!$A:$A,$B$101,商品数据源!$B:$B,AM2)</f>
        <v>0</v>
      </c>
      <c r="AN104" s="124">
        <f>SUMIFS(商品数据源!$AB:$AB,商品数据源!$A:$A,$B$101,商品数据源!$B:$B,AN2)</f>
        <v>0</v>
      </c>
      <c r="AO104" s="124">
        <f>SUMIFS(商品数据源!$AB:$AB,商品数据源!$A:$A,$B$101,商品数据源!$B:$B,AO2)</f>
        <v>0</v>
      </c>
      <c r="AP104" s="124">
        <f>SUMIFS(商品数据源!$AB:$AB,商品数据源!$A:$A,$B$101,商品数据源!$B:$B,AP2)</f>
        <v>0</v>
      </c>
      <c r="AQ104" s="124">
        <f>SUMIFS(商品数据源!$AB:$AB,商品数据源!$A:$A,$B$101,商品数据源!$B:$B,AQ2)</f>
        <v>0</v>
      </c>
      <c r="AR104" s="124">
        <f>SUMIFS(商品数据源!$AB:$AB,商品数据源!$A:$A,$B$101,商品数据源!$B:$B,AR2)</f>
        <v>0</v>
      </c>
      <c r="AS104" s="124">
        <f>SUMIFS(商品数据源!$AB:$AB,商品数据源!$A:$A,$B$101,商品数据源!$B:$B,AS2)</f>
        <v>0</v>
      </c>
      <c r="AT104" s="124">
        <f>SUMIFS(商品数据源!$AB:$AB,商品数据源!$A:$A,$B$101,商品数据源!$B:$B,AT2)</f>
        <v>0</v>
      </c>
      <c r="AU104" s="124">
        <f>SUMIFS(商品数据源!$AB:$AB,商品数据源!$A:$A,$B$101,商品数据源!$B:$B,AU2)</f>
        <v>0</v>
      </c>
      <c r="AV104" s="124">
        <f>SUMIFS(商品数据源!$AB:$AB,商品数据源!$A:$A,$B$101,商品数据源!$B:$B,AV2)</f>
        <v>0</v>
      </c>
      <c r="AW104" s="134">
        <f>SUM(AX104:BY104)</f>
        <v>0</v>
      </c>
      <c r="AX104" s="124">
        <f>SUMIFS(商品数据源!$AB:$AB,商品数据源!$A:$A,$B$101,商品数据源!$B:$B,AX2)</f>
        <v>0</v>
      </c>
      <c r="AY104" s="124">
        <f>SUMIFS(商品数据源!$AB:$AB,商品数据源!$A:$A,$B$101,商品数据源!$B:$B,AY2)</f>
        <v>0</v>
      </c>
      <c r="AZ104" s="124">
        <f>SUMIFS(商品数据源!$AB:$AB,商品数据源!$A:$A,$B$101,商品数据源!$B:$B,AZ2)</f>
        <v>0</v>
      </c>
      <c r="BA104" s="124">
        <f>SUMIFS(商品数据源!$AB:$AB,商品数据源!$A:$A,$B$101,商品数据源!$B:$B,BA2)</f>
        <v>0</v>
      </c>
      <c r="BB104" s="124">
        <f>SUMIFS(商品数据源!$AB:$AB,商品数据源!$A:$A,$B$101,商品数据源!$B:$B,BB2)</f>
        <v>0</v>
      </c>
      <c r="BC104" s="124">
        <f>SUMIFS(商品数据源!$AB:$AB,商品数据源!$A:$A,$B$101,商品数据源!$B:$B,BC2)</f>
        <v>0</v>
      </c>
      <c r="BD104" s="124">
        <f>SUMIFS(商品数据源!$AB:$AB,商品数据源!$A:$A,$B$101,商品数据源!$B:$B,BD2)</f>
        <v>0</v>
      </c>
      <c r="BE104" s="124">
        <f>SUMIFS(商品数据源!$AB:$AB,商品数据源!$A:$A,$B$101,商品数据源!$B:$B,BE2)</f>
        <v>0</v>
      </c>
      <c r="BF104" s="124">
        <f>SUMIFS(商品数据源!$AB:$AB,商品数据源!$A:$A,$B$101,商品数据源!$B:$B,BF2)</f>
        <v>0</v>
      </c>
      <c r="BG104" s="124">
        <f>SUMIFS(商品数据源!$AB:$AB,商品数据源!$A:$A,$B$101,商品数据源!$B:$B,BG2)</f>
        <v>0</v>
      </c>
      <c r="BH104" s="124">
        <f>SUMIFS(商品数据源!$AB:$AB,商品数据源!$A:$A,$B$101,商品数据源!$B:$B,BH2)</f>
        <v>0</v>
      </c>
      <c r="BI104" s="124">
        <f>SUMIFS(商品数据源!$AB:$AB,商品数据源!$A:$A,$B$101,商品数据源!$B:$B,BI2)</f>
        <v>0</v>
      </c>
      <c r="BJ104" s="124">
        <f>SUMIFS(商品数据源!$AB:$AB,商品数据源!$A:$A,$B$101,商品数据源!$B:$B,BJ2)</f>
        <v>0</v>
      </c>
      <c r="BK104" s="124">
        <f>SUMIFS(商品数据源!$AB:$AB,商品数据源!$A:$A,$B$101,商品数据源!$B:$B,BK2)</f>
        <v>0</v>
      </c>
      <c r="BL104" s="124">
        <f>SUMIFS(商品数据源!$AB:$AB,商品数据源!$A:$A,$B$101,商品数据源!$B:$B,BL2)</f>
        <v>0</v>
      </c>
      <c r="BM104" s="124">
        <f>SUMIFS(商品数据源!$AB:$AB,商品数据源!$A:$A,$B$101,商品数据源!$B:$B,BM2)</f>
        <v>0</v>
      </c>
      <c r="BN104" s="124">
        <f>SUMIFS(商品数据源!$AB:$AB,商品数据源!$A:$A,$B$101,商品数据源!$B:$B,BN2)</f>
        <v>0</v>
      </c>
      <c r="BO104" s="124">
        <f>SUMIFS(商品数据源!$AB:$AB,商品数据源!$A:$A,$B$101,商品数据源!$B:$B,BO2)</f>
        <v>0</v>
      </c>
      <c r="BP104" s="124">
        <f>SUMIFS(商品数据源!$AB:$AB,商品数据源!$A:$A,$B$101,商品数据源!$B:$B,BP2)</f>
        <v>0</v>
      </c>
      <c r="BQ104" s="124">
        <f>SUMIFS(商品数据源!$AB:$AB,商品数据源!$A:$A,$B$101,商品数据源!$B:$B,BQ2)</f>
        <v>0</v>
      </c>
      <c r="BR104" s="124">
        <f>SUMIFS(商品数据源!$AB:$AB,商品数据源!$A:$A,$B$101,商品数据源!$B:$B,BR2)</f>
        <v>0</v>
      </c>
      <c r="BS104" s="124">
        <f>SUMIFS(商品数据源!$AB:$AB,商品数据源!$A:$A,$B$101,商品数据源!$B:$B,BS2)</f>
        <v>0</v>
      </c>
      <c r="BT104" s="124">
        <f>SUMIFS(商品数据源!$AB:$AB,商品数据源!$A:$A,$B$101,商品数据源!$B:$B,BT2)</f>
        <v>0</v>
      </c>
      <c r="BU104" s="124">
        <f>SUMIFS(商品数据源!$AB:$AB,商品数据源!$A:$A,$B$101,商品数据源!$B:$B,BU2)</f>
        <v>0</v>
      </c>
      <c r="BV104" s="124">
        <f>SUMIFS(商品数据源!$AB:$AB,商品数据源!$A:$A,$B$101,商品数据源!$B:$B,BV2)</f>
        <v>0</v>
      </c>
      <c r="BW104" s="124">
        <f>SUMIFS(商品数据源!$AB:$AB,商品数据源!$A:$A,$B$101,商品数据源!$B:$B,BW2)</f>
        <v>0</v>
      </c>
      <c r="BX104" s="124">
        <f>SUMIFS(商品数据源!$AB:$AB,商品数据源!$A:$A,$B$101,商品数据源!$B:$B,BX2)</f>
        <v>0</v>
      </c>
      <c r="BY104" s="124">
        <f>SUMIFS(商品数据源!$AB:$AB,商品数据源!$A:$A,$B$101,商品数据源!$B:$B,BY2)</f>
        <v>0</v>
      </c>
      <c r="BZ104" s="134">
        <f>SUM(CA104:DE104)</f>
        <v>0</v>
      </c>
      <c r="CA104" s="124">
        <f>SUMIFS(商品数据源!$AB:$AB,商品数据源!$A:$A,$B$101,商品数据源!$B:$B,CA2)</f>
        <v>0</v>
      </c>
      <c r="CB104" s="124">
        <f>SUMIFS(商品数据源!$AB:$AB,商品数据源!$A:$A,$B$101,商品数据源!$B:$B,CB2)</f>
        <v>0</v>
      </c>
      <c r="CC104" s="124">
        <f>SUMIFS(商品数据源!$AB:$AB,商品数据源!$A:$A,$B$101,商品数据源!$B:$B,CC2)</f>
        <v>0</v>
      </c>
      <c r="CD104" s="124">
        <f>SUMIFS(商品数据源!$AB:$AB,商品数据源!$A:$A,$B$101,商品数据源!$B:$B,CD2)</f>
        <v>0</v>
      </c>
      <c r="CE104" s="124">
        <f>SUMIFS(商品数据源!$AB:$AB,商品数据源!$A:$A,$B$101,商品数据源!$B:$B,CE2)</f>
        <v>0</v>
      </c>
      <c r="CF104" s="124">
        <f>SUMIFS(商品数据源!$AB:$AB,商品数据源!$A:$A,$B$101,商品数据源!$B:$B,CF2)</f>
        <v>0</v>
      </c>
      <c r="CG104" s="124">
        <f>SUMIFS(商品数据源!$AB:$AB,商品数据源!$A:$A,$B$101,商品数据源!$B:$B,CG2)</f>
        <v>0</v>
      </c>
      <c r="CH104" s="124">
        <f>SUMIFS(商品数据源!$AB:$AB,商品数据源!$A:$A,$B$101,商品数据源!$B:$B,CH2)</f>
        <v>0</v>
      </c>
      <c r="CI104" s="124">
        <f>SUMIFS(商品数据源!$AB:$AB,商品数据源!$A:$A,$B$101,商品数据源!$B:$B,CI2)</f>
        <v>0</v>
      </c>
      <c r="CJ104" s="124">
        <f>SUMIFS(商品数据源!$AB:$AB,商品数据源!$A:$A,$B$101,商品数据源!$B:$B,CJ2)</f>
        <v>0</v>
      </c>
      <c r="CK104" s="124">
        <f>SUMIFS(商品数据源!$AB:$AB,商品数据源!$A:$A,$B$101,商品数据源!$B:$B,CK2)</f>
        <v>0</v>
      </c>
      <c r="CL104" s="124">
        <f>SUMIFS(商品数据源!$AB:$AB,商品数据源!$A:$A,$B$101,商品数据源!$B:$B,CL2)</f>
        <v>0</v>
      </c>
      <c r="CM104" s="124">
        <f>SUMIFS(商品数据源!$AB:$AB,商品数据源!$A:$A,$B$101,商品数据源!$B:$B,CM2)</f>
        <v>0</v>
      </c>
      <c r="CN104" s="124">
        <f>SUMIFS(商品数据源!$AB:$AB,商品数据源!$A:$A,$B$101,商品数据源!$B:$B,CN2)</f>
        <v>0</v>
      </c>
      <c r="CO104" s="124">
        <f>SUMIFS(商品数据源!$AB:$AB,商品数据源!$A:$A,$B$101,商品数据源!$B:$B,CO2)</f>
        <v>0</v>
      </c>
      <c r="CP104" s="124">
        <f>SUMIFS(商品数据源!$AB:$AB,商品数据源!$A:$A,$B$101,商品数据源!$B:$B,CP2)</f>
        <v>0</v>
      </c>
      <c r="CQ104" s="124">
        <f>SUMIFS(商品数据源!$AB:$AB,商品数据源!$A:$A,$B$101,商品数据源!$B:$B,CQ2)</f>
        <v>0</v>
      </c>
      <c r="CR104" s="124">
        <f>SUMIFS(商品数据源!$AB:$AB,商品数据源!$A:$A,$B$101,商品数据源!$B:$B,CR2)</f>
        <v>0</v>
      </c>
      <c r="CS104" s="124">
        <f>SUMIFS(商品数据源!$AB:$AB,商品数据源!$A:$A,$B$101,商品数据源!$B:$B,CS2)</f>
        <v>0</v>
      </c>
      <c r="CT104" s="124">
        <f>SUMIFS(商品数据源!$AB:$AB,商品数据源!$A:$A,$B$101,商品数据源!$B:$B,CT2)</f>
        <v>0</v>
      </c>
      <c r="CU104" s="124">
        <f>SUMIFS(商品数据源!$AB:$AB,商品数据源!$A:$A,$B$101,商品数据源!$B:$B,CU2)</f>
        <v>0</v>
      </c>
      <c r="CV104" s="124">
        <f>SUMIFS(商品数据源!$AB:$AB,商品数据源!$A:$A,$B$101,商品数据源!$B:$B,CV2)</f>
        <v>0</v>
      </c>
      <c r="CW104" s="124">
        <f>SUMIFS(商品数据源!$AB:$AB,商品数据源!$A:$A,$B$101,商品数据源!$B:$B,CW2)</f>
        <v>0</v>
      </c>
      <c r="CX104" s="124">
        <f>SUMIFS(商品数据源!$AB:$AB,商品数据源!$A:$A,$B$101,商品数据源!$B:$B,CX2)</f>
        <v>0</v>
      </c>
      <c r="CY104" s="124">
        <f>SUMIFS(商品数据源!$AB:$AB,商品数据源!$A:$A,$B$101,商品数据源!$B:$B,CY2)</f>
        <v>0</v>
      </c>
      <c r="CZ104" s="124">
        <f>SUMIFS(商品数据源!$AB:$AB,商品数据源!$A:$A,$B$101,商品数据源!$B:$B,CZ2)</f>
        <v>0</v>
      </c>
      <c r="DA104" s="124">
        <f>SUMIFS(商品数据源!$AB:$AB,商品数据源!$A:$A,$B$101,商品数据源!$B:$B,DA2)</f>
        <v>0</v>
      </c>
      <c r="DB104" s="124">
        <f>SUMIFS(商品数据源!$AB:$AB,商品数据源!$A:$A,$B$101,商品数据源!$B:$B,DB2)</f>
        <v>0</v>
      </c>
      <c r="DC104" s="124">
        <f>SUMIFS(商品数据源!$AB:$AB,商品数据源!$A:$A,$B$101,商品数据源!$B:$B,DC2)</f>
        <v>0</v>
      </c>
      <c r="DD104" s="124">
        <f>SUMIFS(商品数据源!$AB:$AB,商品数据源!$A:$A,$B$101,商品数据源!$B:$B,DD2)</f>
        <v>0</v>
      </c>
      <c r="DE104" s="124">
        <f>SUMIFS(商品数据源!$AB:$AB,商品数据源!$A:$A,$B$101,商品数据源!$B:$B,DE2)</f>
        <v>0</v>
      </c>
      <c r="DF104" s="134">
        <f>SUM(DG104:EJ104)</f>
        <v>0</v>
      </c>
      <c r="DG104" s="124">
        <f>SUMIFS(商品数据源!$AB:$AB,商品数据源!$A:$A,$B$101,商品数据源!$B:$B,DG2)</f>
        <v>0</v>
      </c>
      <c r="DH104" s="124">
        <f>SUMIFS(商品数据源!$AB:$AB,商品数据源!$A:$A,$B$101,商品数据源!$B:$B,DH2)</f>
        <v>0</v>
      </c>
      <c r="DI104" s="124">
        <f>SUMIFS(商品数据源!$AB:$AB,商品数据源!$A:$A,$B$101,商品数据源!$B:$B,DI2)</f>
        <v>0</v>
      </c>
      <c r="DJ104" s="124">
        <f>SUMIFS(商品数据源!$AB:$AB,商品数据源!$A:$A,$B$101,商品数据源!$B:$B,DJ2)</f>
        <v>0</v>
      </c>
      <c r="DK104" s="124">
        <f>SUMIFS(商品数据源!$AB:$AB,商品数据源!$A:$A,$B$101,商品数据源!$B:$B,DK2)</f>
        <v>0</v>
      </c>
      <c r="DL104" s="124">
        <f>SUMIFS(商品数据源!$AB:$AB,商品数据源!$A:$A,$B$101,商品数据源!$B:$B,DL2)</f>
        <v>0</v>
      </c>
      <c r="DM104" s="124">
        <f>SUMIFS(商品数据源!$AB:$AB,商品数据源!$A:$A,$B$101,商品数据源!$B:$B,DM2)</f>
        <v>0</v>
      </c>
      <c r="DN104" s="124">
        <f>SUMIFS(商品数据源!$AB:$AB,商品数据源!$A:$A,$B$101,商品数据源!$B:$B,DN2)</f>
        <v>0</v>
      </c>
      <c r="DO104" s="124">
        <f>SUMIFS(商品数据源!$AB:$AB,商品数据源!$A:$A,$B$101,商品数据源!$B:$B,DO2)</f>
        <v>0</v>
      </c>
      <c r="DP104" s="124">
        <f>SUMIFS(商品数据源!$AB:$AB,商品数据源!$A:$A,$B$101,商品数据源!$B:$B,DP2)</f>
        <v>0</v>
      </c>
      <c r="DQ104" s="124">
        <f>SUMIFS(商品数据源!$AB:$AB,商品数据源!$A:$A,$B$101,商品数据源!$B:$B,DQ2)</f>
        <v>0</v>
      </c>
      <c r="DR104" s="124">
        <f>SUMIFS(商品数据源!$AB:$AB,商品数据源!$A:$A,$B$101,商品数据源!$B:$B,DR2)</f>
        <v>0</v>
      </c>
      <c r="DS104" s="124">
        <f>SUMIFS(商品数据源!$AB:$AB,商品数据源!$A:$A,$B$101,商品数据源!$B:$B,DS2)</f>
        <v>0</v>
      </c>
      <c r="DT104" s="124">
        <f>SUMIFS(商品数据源!$AB:$AB,商品数据源!$A:$A,$B$101,商品数据源!$B:$B,DT2)</f>
        <v>0</v>
      </c>
      <c r="DU104" s="124">
        <f>SUMIFS(商品数据源!$AB:$AB,商品数据源!$A:$A,$B$101,商品数据源!$B:$B,DU2)</f>
        <v>0</v>
      </c>
      <c r="DV104" s="124">
        <f>SUMIFS(商品数据源!$AB:$AB,商品数据源!$A:$A,$B$101,商品数据源!$B:$B,DV2)</f>
        <v>0</v>
      </c>
      <c r="DW104" s="124">
        <f>SUMIFS(商品数据源!$AB:$AB,商品数据源!$A:$A,$B$101,商品数据源!$B:$B,DW2)</f>
        <v>0</v>
      </c>
      <c r="DX104" s="124">
        <f>SUMIFS(商品数据源!$AB:$AB,商品数据源!$A:$A,$B$101,商品数据源!$B:$B,DX2)</f>
        <v>0</v>
      </c>
      <c r="DY104" s="124">
        <f>SUMIFS(商品数据源!$AB:$AB,商品数据源!$A:$A,$B$101,商品数据源!$B:$B,DY2)</f>
        <v>0</v>
      </c>
      <c r="DZ104" s="124">
        <f>SUMIFS(商品数据源!$AB:$AB,商品数据源!$A:$A,$B$101,商品数据源!$B:$B,DZ2)</f>
        <v>0</v>
      </c>
      <c r="EA104" s="124">
        <f>SUMIFS(商品数据源!$AB:$AB,商品数据源!$A:$A,$B$101,商品数据源!$B:$B,EA2)</f>
        <v>0</v>
      </c>
      <c r="EB104" s="124">
        <f>SUMIFS(商品数据源!$AB:$AB,商品数据源!$A:$A,$B$101,商品数据源!$B:$B,EB2)</f>
        <v>0</v>
      </c>
      <c r="EC104" s="124">
        <f>SUMIFS(商品数据源!$AB:$AB,商品数据源!$A:$A,$B$101,商品数据源!$B:$B,EC2)</f>
        <v>0</v>
      </c>
      <c r="ED104" s="124">
        <f>SUMIFS(商品数据源!$AB:$AB,商品数据源!$A:$A,$B$101,商品数据源!$B:$B,ED2)</f>
        <v>0</v>
      </c>
      <c r="EE104" s="124">
        <f>SUMIFS(商品数据源!$AB:$AB,商品数据源!$A:$A,$B$101,商品数据源!$B:$B,EE2)</f>
        <v>0</v>
      </c>
      <c r="EF104" s="124">
        <f>SUMIFS(商品数据源!$AB:$AB,商品数据源!$A:$A,$B$101,商品数据源!$B:$B,EF2)</f>
        <v>0</v>
      </c>
      <c r="EG104" s="124">
        <f>SUMIFS(商品数据源!$AB:$AB,商品数据源!$A:$A,$B$101,商品数据源!$B:$B,EG2)</f>
        <v>0</v>
      </c>
      <c r="EH104" s="124">
        <f>SUMIFS(商品数据源!$AB:$AB,商品数据源!$A:$A,$B$101,商品数据源!$B:$B,EH2)</f>
        <v>0</v>
      </c>
      <c r="EI104" s="124">
        <f>SUMIFS(商品数据源!$AB:$AB,商品数据源!$A:$A,$B$101,商品数据源!$B:$B,EI2)</f>
        <v>0</v>
      </c>
      <c r="EJ104" s="124">
        <f>SUMIFS(商品数据源!$AB:$AB,商品数据源!$A:$A,$B$101,商品数据源!$B:$B,EJ2)</f>
        <v>0</v>
      </c>
      <c r="EK104" s="134">
        <f>SUM(EL104:FP104)</f>
        <v>16</v>
      </c>
      <c r="EL104" s="124">
        <f>SUMIFS(商品数据源!$AB:$AB,商品数据源!$A:$A,$B$101,商品数据源!$B:$B,EL2)</f>
        <v>0</v>
      </c>
      <c r="EM104" s="124">
        <f>SUMIFS(商品数据源!$AB:$AB,商品数据源!$A:$A,$B$101,商品数据源!$B:$B,EM2)</f>
        <v>0</v>
      </c>
      <c r="EN104" s="124">
        <f>SUMIFS(商品数据源!$AB:$AB,商品数据源!$A:$A,$B$101,商品数据源!$B:$B,EN2)</f>
        <v>0</v>
      </c>
      <c r="EO104" s="124">
        <f>SUMIFS(商品数据源!$AB:$AB,商品数据源!$A:$A,$B$101,商品数据源!$B:$B,EO2)</f>
        <v>0</v>
      </c>
      <c r="EP104" s="124">
        <f>SUMIFS(商品数据源!$AB:$AB,商品数据源!$A:$A,$B$101,商品数据源!$B:$B,EP2)</f>
        <v>0</v>
      </c>
      <c r="EQ104" s="124">
        <f>SUMIFS(商品数据源!$AB:$AB,商品数据源!$A:$A,$B$101,商品数据源!$B:$B,EQ2)</f>
        <v>1</v>
      </c>
      <c r="ER104" s="124">
        <f>SUMIFS(商品数据源!$AB:$AB,商品数据源!$A:$A,$B$101,商品数据源!$B:$B,ER2)</f>
        <v>1</v>
      </c>
      <c r="ES104" s="124">
        <f>SUMIFS(商品数据源!$AB:$AB,商品数据源!$A:$A,$B$101,商品数据源!$B:$B,ES2)</f>
        <v>1</v>
      </c>
      <c r="ET104" s="124">
        <f>SUMIFS(商品数据源!$AB:$AB,商品数据源!$A:$A,$B$101,商品数据源!$B:$B,ET2)</f>
        <v>1</v>
      </c>
      <c r="EU104" s="124">
        <f>SUMIFS(商品数据源!$AB:$AB,商品数据源!$A:$A,$B$101,商品数据源!$B:$B,EU2)</f>
        <v>1</v>
      </c>
      <c r="EV104" s="124">
        <f>SUMIFS(商品数据源!$AB:$AB,商品数据源!$A:$A,$B$101,商品数据源!$B:$B,EV2)</f>
        <v>0</v>
      </c>
      <c r="EW104" s="124">
        <f>SUMIFS(商品数据源!$AB:$AB,商品数据源!$A:$A,$B$101,商品数据源!$B:$B,EW2)</f>
        <v>8</v>
      </c>
      <c r="EX104" s="124">
        <f>SUMIFS(商品数据源!$AB:$AB,商品数据源!$A:$A,$B$101,商品数据源!$B:$B,EX2)</f>
        <v>2</v>
      </c>
      <c r="EY104" s="124">
        <f>SUMIFS(商品数据源!$AB:$AB,商品数据源!$A:$A,$B$101,商品数据源!$B:$B,EY2)</f>
        <v>0</v>
      </c>
      <c r="EZ104" s="124">
        <f>SUMIFS(商品数据源!$AB:$AB,商品数据源!$A:$A,$B$101,商品数据源!$B:$B,EZ2)</f>
        <v>0</v>
      </c>
      <c r="FA104" s="124">
        <f>SUMIFS(商品数据源!$AB:$AB,商品数据源!$A:$A,$B$101,商品数据源!$B:$B,FA2)</f>
        <v>0</v>
      </c>
      <c r="FB104" s="124">
        <f>SUMIFS(商品数据源!$AB:$AB,商品数据源!$A:$A,$B$101,商品数据源!$B:$B,FB2)</f>
        <v>0</v>
      </c>
      <c r="FC104" s="124">
        <f>SUMIFS(商品数据源!$AB:$AB,商品数据源!$A:$A,$B$101,商品数据源!$B:$B,FC2)</f>
        <v>0</v>
      </c>
      <c r="FD104" s="124">
        <f>SUMIFS(商品数据源!$AB:$AB,商品数据源!$A:$A,$B$101,商品数据源!$B:$B,FD2)</f>
        <v>0</v>
      </c>
      <c r="FE104" s="124">
        <f>SUMIFS(商品数据源!$AB:$AB,商品数据源!$A:$A,$B$101,商品数据源!$B:$B,FE2)</f>
        <v>0</v>
      </c>
      <c r="FF104" s="124">
        <f>SUMIFS(商品数据源!$AB:$AB,商品数据源!$A:$A,$B$101,商品数据源!$B:$B,FF2)</f>
        <v>0</v>
      </c>
      <c r="FG104" s="124">
        <f>SUMIFS(商品数据源!$AB:$AB,商品数据源!$A:$A,$B$101,商品数据源!$B:$B,FG2)</f>
        <v>0</v>
      </c>
      <c r="FH104" s="124">
        <f>SUMIFS(商品数据源!$AB:$AB,商品数据源!$A:$A,$B$101,商品数据源!$B:$B,FH2)</f>
        <v>0</v>
      </c>
      <c r="FI104" s="124">
        <f>SUMIFS(商品数据源!$AB:$AB,商品数据源!$A:$A,$B$101,商品数据源!$B:$B,FI2)</f>
        <v>0</v>
      </c>
      <c r="FJ104" s="124">
        <f>SUMIFS(商品数据源!$AB:$AB,商品数据源!$A:$A,$B$101,商品数据源!$B:$B,FJ2)</f>
        <v>0</v>
      </c>
      <c r="FK104" s="124">
        <f>SUMIFS(商品数据源!$AB:$AB,商品数据源!$A:$A,$B$101,商品数据源!$B:$B,FK2)</f>
        <v>0</v>
      </c>
      <c r="FL104" s="124">
        <f>SUMIFS(商品数据源!$AB:$AB,商品数据源!$A:$A,$B$101,商品数据源!$B:$B,FL2)</f>
        <v>0</v>
      </c>
      <c r="FM104" s="124">
        <f>SUMIFS(商品数据源!$AB:$AB,商品数据源!$A:$A,$B$101,商品数据源!$B:$B,FM2)</f>
        <v>0</v>
      </c>
      <c r="FN104" s="124">
        <f>SUMIFS(商品数据源!$AB:$AB,商品数据源!$A:$A,$B$101,商品数据源!$B:$B,FN2)</f>
        <v>1</v>
      </c>
      <c r="FO104" s="124">
        <f>SUMIFS(商品数据源!$AB:$AB,商品数据源!$A:$A,$B$101,商品数据源!$B:$B,FO2)</f>
        <v>0</v>
      </c>
      <c r="FP104" s="124">
        <f>SUMIFS(商品数据源!$AB:$AB,商品数据源!$A:$A,$B$101,商品数据源!$B:$B,FP2)</f>
        <v>0</v>
      </c>
      <c r="FQ104" s="134">
        <f t="shared" ref="FQ104:FQ107" si="501">SUM(FR104:GX104)</f>
        <v>34</v>
      </c>
      <c r="FR104" s="124">
        <f>SUMIFS(商品数据源!$AB:$AB,商品数据源!$A:$A,$B$101,商品数据源!$B:$B,FR2)</f>
        <v>0</v>
      </c>
      <c r="FS104" s="124">
        <f>SUMIFS(商品数据源!$AB:$AB,商品数据源!$A:$A,$B$101,商品数据源!$B:$B,FS2)</f>
        <v>2</v>
      </c>
      <c r="FT104" s="124">
        <f>SUMIFS(商品数据源!$AB:$AB,商品数据源!$A:$A,$B$101,商品数据源!$B:$B,FT2)</f>
        <v>0</v>
      </c>
      <c r="FU104" s="124">
        <f>SUMIFS(商品数据源!$AB:$AB,商品数据源!$A:$A,$B$101,商品数据源!$B:$B,FU2)</f>
        <v>0</v>
      </c>
      <c r="FV104" s="124">
        <f>SUMIFS(商品数据源!$AB:$AB,商品数据源!$A:$A,$B$101,商品数据源!$B:$B,FV2)</f>
        <v>0</v>
      </c>
      <c r="FW104" s="124">
        <f>SUMIFS(商品数据源!$AB:$AB,商品数据源!$A:$A,$B$101,商品数据源!$B:$B,FW2)</f>
        <v>3</v>
      </c>
      <c r="FX104" s="124">
        <f>SUMIFS(商品数据源!$AB:$AB,商品数据源!$A:$A,$B$101,商品数据源!$B:$B,FX2)</f>
        <v>4</v>
      </c>
      <c r="FY104" s="124">
        <f>SUMIFS(商品数据源!$AB:$AB,商品数据源!$A:$A,$B$101,商品数据源!$B:$B,FY2)</f>
        <v>3</v>
      </c>
      <c r="FZ104" s="124">
        <f>SUMIFS(商品数据源!$AB:$AB,商品数据源!$A:$A,$B$101,商品数据源!$B:$B,FZ2)</f>
        <v>1</v>
      </c>
      <c r="GA104" s="124">
        <f>SUMIFS(商品数据源!$AB:$AB,商品数据源!$A:$A,$B$101,商品数据源!$B:$B,GA2)</f>
        <v>3</v>
      </c>
      <c r="GB104" s="124">
        <f>SUMIFS(商品数据源!$AB:$AB,商品数据源!$A:$A,$B$101,商品数据源!$B:$B,GB2)</f>
        <v>4</v>
      </c>
      <c r="GC104" s="124">
        <f>SUMIFS(商品数据源!$AB:$AB,商品数据源!$A:$A,$B$101,商品数据源!$B:$B,GC2)</f>
        <v>2</v>
      </c>
      <c r="GD104" s="124">
        <f>SUMIFS(商品数据源!$AB:$AB,商品数据源!$A:$A,$B$101,商品数据源!$B:$B,GD2)</f>
        <v>1</v>
      </c>
      <c r="GE104" s="124">
        <f>SUMIFS(商品数据源!$AB:$AB,商品数据源!$A:$A,$B$101,商品数据源!$B:$B,GE2)</f>
        <v>1</v>
      </c>
      <c r="GF104" s="124">
        <f>SUMIFS(商品数据源!$AB:$AB,商品数据源!$A:$A,$B$101,商品数据源!$B:$B,GF2)</f>
        <v>1</v>
      </c>
      <c r="GG104" s="124">
        <f>SUMIFS(商品数据源!$AB:$AB,商品数据源!$A:$A,$B$101,商品数据源!$B:$B,GG2)</f>
        <v>1</v>
      </c>
      <c r="GH104" s="124">
        <f>SUMIFS(商品数据源!$AB:$AB,商品数据源!$A:$A,$B$101,商品数据源!$B:$B,GH2)</f>
        <v>1</v>
      </c>
      <c r="GI104" s="124">
        <f>SUMIFS(商品数据源!$AB:$AB,商品数据源!$A:$A,$B$101,商品数据源!$B:$B,GI2)</f>
        <v>3</v>
      </c>
      <c r="GJ104" s="124">
        <f>SUMIFS(商品数据源!$AB:$AB,商品数据源!$A:$A,$B$101,商品数据源!$B:$B,GJ2)</f>
        <v>0</v>
      </c>
      <c r="GK104" s="124">
        <f>SUMIFS(商品数据源!$AB:$AB,商品数据源!$A:$A,$B$101,商品数据源!$B:$B,GK2)</f>
        <v>4</v>
      </c>
      <c r="GL104" s="124">
        <f>SUMIFS(商品数据源!$AB:$AB,商品数据源!$A:$A,$B$101,商品数据源!$B:$B,GL2)</f>
        <v>0</v>
      </c>
      <c r="GM104" s="124">
        <f>SUMIFS(商品数据源!$AB:$AB,商品数据源!$A:$A,$B$101,商品数据源!$B:$B,GM2)</f>
        <v>0</v>
      </c>
      <c r="GN104" s="124">
        <f>SUMIFS(商品数据源!$AB:$AB,商品数据源!$A:$A,$B$101,商品数据源!$B:$B,GN2)</f>
        <v>0</v>
      </c>
      <c r="GO104" s="124">
        <f>SUMIFS(商品数据源!$AB:$AB,商品数据源!$A:$A,$B$101,商品数据源!$B:$B,GO2)</f>
        <v>0</v>
      </c>
      <c r="GP104" s="124">
        <f>SUMIFS(商品数据源!$AB:$AB,商品数据源!$A:$A,$B$101,商品数据源!$B:$B,GP2)</f>
        <v>0</v>
      </c>
    </row>
    <row r="105" s="47" customFormat="1" ht="15" customHeight="1" spans="2:198">
      <c r="B105" s="103"/>
      <c r="C105" s="109" t="s">
        <v>24</v>
      </c>
      <c r="D105" s="122" t="e">
        <f t="shared" ref="D105:O105" si="502">D101/D104</f>
        <v>#REF!</v>
      </c>
      <c r="E105" s="110" t="e">
        <f t="shared" si="502"/>
        <v>#REF!</v>
      </c>
      <c r="F105" s="110" t="e">
        <f t="shared" si="502"/>
        <v>#REF!</v>
      </c>
      <c r="G105" s="110" t="e">
        <f t="shared" si="502"/>
        <v>#REF!</v>
      </c>
      <c r="H105" s="110" t="e">
        <f t="shared" si="502"/>
        <v>#REF!</v>
      </c>
      <c r="I105" s="110" t="e">
        <f t="shared" si="502"/>
        <v>#REF!</v>
      </c>
      <c r="J105" s="110" t="e">
        <f t="shared" si="502"/>
        <v>#REF!</v>
      </c>
      <c r="K105" s="110" t="e">
        <f t="shared" si="502"/>
        <v>#REF!</v>
      </c>
      <c r="L105" s="110" t="e">
        <f t="shared" si="502"/>
        <v>#REF!</v>
      </c>
      <c r="M105" s="110" t="e">
        <f t="shared" si="502"/>
        <v>#REF!</v>
      </c>
      <c r="N105" s="110" t="e">
        <f t="shared" si="502"/>
        <v>#REF!</v>
      </c>
      <c r="O105" s="110" t="e">
        <f t="shared" si="502"/>
        <v>#REF!</v>
      </c>
      <c r="P105" s="110" t="e">
        <f t="shared" ref="P105:R105" si="503">P101/P104</f>
        <v>#REF!</v>
      </c>
      <c r="Q105" s="65" t="e">
        <f t="shared" si="503"/>
        <v>#DIV/0!</v>
      </c>
      <c r="R105" s="136" t="e">
        <f t="shared" si="503"/>
        <v>#DIV/0!</v>
      </c>
      <c r="S105" s="136" t="e">
        <f t="shared" ref="S105:X105" si="504">S101/S104</f>
        <v>#DIV/0!</v>
      </c>
      <c r="T105" s="136" t="e">
        <f t="shared" si="504"/>
        <v>#DIV/0!</v>
      </c>
      <c r="U105" s="136" t="e">
        <f t="shared" si="504"/>
        <v>#DIV/0!</v>
      </c>
      <c r="V105" s="136" t="e">
        <f t="shared" si="504"/>
        <v>#DIV/0!</v>
      </c>
      <c r="W105" s="136" t="e">
        <f t="shared" si="504"/>
        <v>#DIV/0!</v>
      </c>
      <c r="X105" s="136" t="e">
        <f t="shared" si="504"/>
        <v>#DIV/0!</v>
      </c>
      <c r="Y105" s="136" t="e">
        <f t="shared" ref="Y105:AL105" si="505">Y101/Y104</f>
        <v>#DIV/0!</v>
      </c>
      <c r="Z105" s="136" t="e">
        <f t="shared" si="505"/>
        <v>#DIV/0!</v>
      </c>
      <c r="AA105" s="136" t="e">
        <f t="shared" si="505"/>
        <v>#DIV/0!</v>
      </c>
      <c r="AB105" s="136" t="e">
        <f t="shared" si="505"/>
        <v>#DIV/0!</v>
      </c>
      <c r="AC105" s="136" t="e">
        <f t="shared" si="505"/>
        <v>#DIV/0!</v>
      </c>
      <c r="AD105" s="136" t="e">
        <f t="shared" si="505"/>
        <v>#DIV/0!</v>
      </c>
      <c r="AE105" s="136" t="e">
        <f t="shared" si="505"/>
        <v>#DIV/0!</v>
      </c>
      <c r="AF105" s="136" t="e">
        <f t="shared" si="505"/>
        <v>#DIV/0!</v>
      </c>
      <c r="AG105" s="136" t="e">
        <f t="shared" si="505"/>
        <v>#DIV/0!</v>
      </c>
      <c r="AH105" s="136" t="e">
        <f t="shared" si="505"/>
        <v>#DIV/0!</v>
      </c>
      <c r="AI105" s="136" t="e">
        <f t="shared" si="505"/>
        <v>#DIV/0!</v>
      </c>
      <c r="AJ105" s="136" t="e">
        <f t="shared" si="505"/>
        <v>#DIV/0!</v>
      </c>
      <c r="AK105" s="136" t="e">
        <f t="shared" si="505"/>
        <v>#DIV/0!</v>
      </c>
      <c r="AL105" s="136" t="e">
        <f t="shared" ref="AL105:BH105" si="506">AL101/AL104</f>
        <v>#DIV/0!</v>
      </c>
      <c r="AM105" s="136" t="e">
        <f t="shared" si="506"/>
        <v>#DIV/0!</v>
      </c>
      <c r="AN105" s="136" t="e">
        <f t="shared" si="506"/>
        <v>#DIV/0!</v>
      </c>
      <c r="AO105" s="136" t="e">
        <f t="shared" si="506"/>
        <v>#DIV/0!</v>
      </c>
      <c r="AP105" s="136" t="e">
        <f t="shared" si="506"/>
        <v>#DIV/0!</v>
      </c>
      <c r="AQ105" s="136" t="e">
        <f t="shared" si="506"/>
        <v>#DIV/0!</v>
      </c>
      <c r="AR105" s="136" t="e">
        <f t="shared" si="506"/>
        <v>#DIV/0!</v>
      </c>
      <c r="AS105" s="136" t="e">
        <f t="shared" si="506"/>
        <v>#DIV/0!</v>
      </c>
      <c r="AT105" s="136" t="e">
        <f t="shared" si="506"/>
        <v>#DIV/0!</v>
      </c>
      <c r="AU105" s="136" t="e">
        <f t="shared" si="506"/>
        <v>#DIV/0!</v>
      </c>
      <c r="AV105" s="136" t="e">
        <f t="shared" si="506"/>
        <v>#DIV/0!</v>
      </c>
      <c r="AW105" s="65" t="e">
        <f t="shared" si="506"/>
        <v>#DIV/0!</v>
      </c>
      <c r="AX105" s="136" t="e">
        <f t="shared" si="506"/>
        <v>#DIV/0!</v>
      </c>
      <c r="AY105" s="136" t="e">
        <f t="shared" si="506"/>
        <v>#DIV/0!</v>
      </c>
      <c r="AZ105" s="136" t="e">
        <f t="shared" si="506"/>
        <v>#DIV/0!</v>
      </c>
      <c r="BA105" s="136" t="e">
        <f t="shared" si="506"/>
        <v>#DIV/0!</v>
      </c>
      <c r="BB105" s="136" t="e">
        <f t="shared" si="506"/>
        <v>#DIV/0!</v>
      </c>
      <c r="BC105" s="136" t="e">
        <f t="shared" si="506"/>
        <v>#DIV/0!</v>
      </c>
      <c r="BD105" s="136" t="e">
        <f t="shared" si="506"/>
        <v>#DIV/0!</v>
      </c>
      <c r="BE105" s="136" t="e">
        <f t="shared" si="506"/>
        <v>#DIV/0!</v>
      </c>
      <c r="BF105" s="136" t="e">
        <f t="shared" si="506"/>
        <v>#DIV/0!</v>
      </c>
      <c r="BG105" s="136" t="e">
        <f t="shared" si="506"/>
        <v>#DIV/0!</v>
      </c>
      <c r="BH105" s="136" t="e">
        <f t="shared" si="506"/>
        <v>#DIV/0!</v>
      </c>
      <c r="BI105" s="136" t="e">
        <f t="shared" ref="BI105:BW105" si="507">BI101/BI104</f>
        <v>#DIV/0!</v>
      </c>
      <c r="BJ105" s="136" t="e">
        <f t="shared" si="507"/>
        <v>#DIV/0!</v>
      </c>
      <c r="BK105" s="136" t="e">
        <f t="shared" si="507"/>
        <v>#DIV/0!</v>
      </c>
      <c r="BL105" s="136" t="e">
        <f t="shared" si="507"/>
        <v>#DIV/0!</v>
      </c>
      <c r="BM105" s="136" t="e">
        <f t="shared" si="507"/>
        <v>#DIV/0!</v>
      </c>
      <c r="BN105" s="136" t="e">
        <f t="shared" si="507"/>
        <v>#DIV/0!</v>
      </c>
      <c r="BO105" s="136" t="e">
        <f t="shared" si="507"/>
        <v>#DIV/0!</v>
      </c>
      <c r="BP105" s="136" t="e">
        <f t="shared" si="507"/>
        <v>#DIV/0!</v>
      </c>
      <c r="BQ105" s="136" t="e">
        <f t="shared" si="507"/>
        <v>#DIV/0!</v>
      </c>
      <c r="BR105" s="136" t="e">
        <f t="shared" si="507"/>
        <v>#DIV/0!</v>
      </c>
      <c r="BS105" s="136" t="e">
        <f t="shared" si="507"/>
        <v>#DIV/0!</v>
      </c>
      <c r="BT105" s="136" t="e">
        <f t="shared" si="507"/>
        <v>#DIV/0!</v>
      </c>
      <c r="BU105" s="136" t="e">
        <f t="shared" si="507"/>
        <v>#DIV/0!</v>
      </c>
      <c r="BV105" s="136" t="e">
        <f t="shared" si="507"/>
        <v>#DIV/0!</v>
      </c>
      <c r="BW105" s="136" t="e">
        <f t="shared" si="507"/>
        <v>#DIV/0!</v>
      </c>
      <c r="BX105" s="136" t="e">
        <f t="shared" ref="BX105:CH105" si="508">BX101/BX104</f>
        <v>#DIV/0!</v>
      </c>
      <c r="BY105" s="136" t="e">
        <f t="shared" si="508"/>
        <v>#DIV/0!</v>
      </c>
      <c r="BZ105" s="65" t="e">
        <f t="shared" si="508"/>
        <v>#DIV/0!</v>
      </c>
      <c r="CA105" s="136" t="e">
        <f t="shared" si="508"/>
        <v>#DIV/0!</v>
      </c>
      <c r="CB105" s="136" t="e">
        <f t="shared" si="508"/>
        <v>#DIV/0!</v>
      </c>
      <c r="CC105" s="136" t="e">
        <f t="shared" si="508"/>
        <v>#DIV/0!</v>
      </c>
      <c r="CD105" s="136" t="e">
        <f t="shared" si="508"/>
        <v>#DIV/0!</v>
      </c>
      <c r="CE105" s="136" t="e">
        <f t="shared" si="508"/>
        <v>#DIV/0!</v>
      </c>
      <c r="CF105" s="136" t="e">
        <f t="shared" si="508"/>
        <v>#DIV/0!</v>
      </c>
      <c r="CG105" s="136" t="e">
        <f t="shared" si="508"/>
        <v>#DIV/0!</v>
      </c>
      <c r="CH105" s="136" t="e">
        <f t="shared" si="508"/>
        <v>#DIV/0!</v>
      </c>
      <c r="CI105" s="136" t="e">
        <f t="shared" ref="CI105:EH105" si="509">CI101/CI104</f>
        <v>#DIV/0!</v>
      </c>
      <c r="CJ105" s="136" t="e">
        <f t="shared" si="509"/>
        <v>#DIV/0!</v>
      </c>
      <c r="CK105" s="136" t="e">
        <f t="shared" si="509"/>
        <v>#DIV/0!</v>
      </c>
      <c r="CL105" s="136" t="e">
        <f t="shared" si="509"/>
        <v>#DIV/0!</v>
      </c>
      <c r="CM105" s="136" t="e">
        <f t="shared" si="509"/>
        <v>#DIV/0!</v>
      </c>
      <c r="CN105" s="136" t="e">
        <f t="shared" si="509"/>
        <v>#DIV/0!</v>
      </c>
      <c r="CO105" s="136" t="e">
        <f t="shared" si="509"/>
        <v>#DIV/0!</v>
      </c>
      <c r="CP105" s="136" t="e">
        <f t="shared" si="509"/>
        <v>#DIV/0!</v>
      </c>
      <c r="CQ105" s="136" t="e">
        <f t="shared" si="509"/>
        <v>#DIV/0!</v>
      </c>
      <c r="CR105" s="136" t="e">
        <f t="shared" si="509"/>
        <v>#DIV/0!</v>
      </c>
      <c r="CS105" s="136" t="e">
        <f t="shared" si="509"/>
        <v>#DIV/0!</v>
      </c>
      <c r="CT105" s="136" t="e">
        <f t="shared" si="509"/>
        <v>#DIV/0!</v>
      </c>
      <c r="CU105" s="136" t="e">
        <f t="shared" si="509"/>
        <v>#DIV/0!</v>
      </c>
      <c r="CV105" s="136" t="e">
        <f t="shared" si="509"/>
        <v>#DIV/0!</v>
      </c>
      <c r="CW105" s="136" t="e">
        <f t="shared" si="509"/>
        <v>#DIV/0!</v>
      </c>
      <c r="CX105" s="136" t="e">
        <f t="shared" si="509"/>
        <v>#DIV/0!</v>
      </c>
      <c r="CY105" s="136" t="e">
        <f t="shared" si="509"/>
        <v>#DIV/0!</v>
      </c>
      <c r="CZ105" s="136" t="e">
        <f t="shared" si="509"/>
        <v>#DIV/0!</v>
      </c>
      <c r="DA105" s="136" t="e">
        <f t="shared" si="509"/>
        <v>#DIV/0!</v>
      </c>
      <c r="DB105" s="136" t="e">
        <f t="shared" si="509"/>
        <v>#DIV/0!</v>
      </c>
      <c r="DC105" s="136" t="e">
        <f t="shared" si="509"/>
        <v>#DIV/0!</v>
      </c>
      <c r="DD105" s="136" t="e">
        <f t="shared" si="509"/>
        <v>#DIV/0!</v>
      </c>
      <c r="DE105" s="136" t="e">
        <f t="shared" si="509"/>
        <v>#DIV/0!</v>
      </c>
      <c r="DF105" s="65" t="e">
        <f t="shared" si="509"/>
        <v>#DIV/0!</v>
      </c>
      <c r="DG105" s="136" t="e">
        <f t="shared" si="509"/>
        <v>#DIV/0!</v>
      </c>
      <c r="DH105" s="136" t="e">
        <f t="shared" si="509"/>
        <v>#DIV/0!</v>
      </c>
      <c r="DI105" s="136" t="e">
        <f t="shared" si="509"/>
        <v>#DIV/0!</v>
      </c>
      <c r="DJ105" s="136" t="e">
        <f t="shared" si="509"/>
        <v>#DIV/0!</v>
      </c>
      <c r="DK105" s="136" t="e">
        <f t="shared" si="509"/>
        <v>#DIV/0!</v>
      </c>
      <c r="DL105" s="136" t="e">
        <f t="shared" si="509"/>
        <v>#DIV/0!</v>
      </c>
      <c r="DM105" s="136" t="e">
        <f t="shared" si="509"/>
        <v>#DIV/0!</v>
      </c>
      <c r="DN105" s="136" t="e">
        <f t="shared" si="509"/>
        <v>#DIV/0!</v>
      </c>
      <c r="DO105" s="136" t="e">
        <f t="shared" si="509"/>
        <v>#DIV/0!</v>
      </c>
      <c r="DP105" s="136" t="e">
        <f t="shared" si="509"/>
        <v>#DIV/0!</v>
      </c>
      <c r="DQ105" s="136" t="e">
        <f t="shared" si="509"/>
        <v>#DIV/0!</v>
      </c>
      <c r="DR105" s="136" t="e">
        <f t="shared" si="509"/>
        <v>#DIV/0!</v>
      </c>
      <c r="DS105" s="136" t="e">
        <f t="shared" si="509"/>
        <v>#DIV/0!</v>
      </c>
      <c r="DT105" s="136" t="e">
        <f t="shared" si="509"/>
        <v>#DIV/0!</v>
      </c>
      <c r="DU105" s="136" t="e">
        <f t="shared" si="509"/>
        <v>#DIV/0!</v>
      </c>
      <c r="DV105" s="136" t="e">
        <f t="shared" si="509"/>
        <v>#DIV/0!</v>
      </c>
      <c r="DW105" s="136" t="e">
        <f t="shared" si="509"/>
        <v>#DIV/0!</v>
      </c>
      <c r="DX105" s="136" t="e">
        <f t="shared" si="509"/>
        <v>#DIV/0!</v>
      </c>
      <c r="DY105" s="136" t="e">
        <f t="shared" si="509"/>
        <v>#DIV/0!</v>
      </c>
      <c r="DZ105" s="136" t="e">
        <f t="shared" si="509"/>
        <v>#DIV/0!</v>
      </c>
      <c r="EA105" s="136" t="e">
        <f t="shared" si="509"/>
        <v>#DIV/0!</v>
      </c>
      <c r="EB105" s="136" t="e">
        <f t="shared" si="509"/>
        <v>#DIV/0!</v>
      </c>
      <c r="EC105" s="136" t="e">
        <f t="shared" si="509"/>
        <v>#DIV/0!</v>
      </c>
      <c r="ED105" s="136" t="e">
        <f t="shared" si="509"/>
        <v>#DIV/0!</v>
      </c>
      <c r="EE105" s="136" t="e">
        <f t="shared" si="509"/>
        <v>#DIV/0!</v>
      </c>
      <c r="EF105" s="136" t="e">
        <f t="shared" si="509"/>
        <v>#DIV/0!</v>
      </c>
      <c r="EG105" s="136" t="e">
        <f t="shared" si="509"/>
        <v>#DIV/0!</v>
      </c>
      <c r="EH105" s="136" t="e">
        <f t="shared" si="509"/>
        <v>#DIV/0!</v>
      </c>
      <c r="EI105" s="136" t="e">
        <f t="shared" ref="EI105:FM105" si="510">EI101/EI104</f>
        <v>#DIV/0!</v>
      </c>
      <c r="EJ105" s="136" t="e">
        <f t="shared" si="510"/>
        <v>#DIV/0!</v>
      </c>
      <c r="EK105" s="65">
        <f t="shared" si="510"/>
        <v>20.68375</v>
      </c>
      <c r="EL105" s="136" t="e">
        <f t="shared" si="510"/>
        <v>#DIV/0!</v>
      </c>
      <c r="EM105" s="136" t="e">
        <f t="shared" si="510"/>
        <v>#DIV/0!</v>
      </c>
      <c r="EN105" s="136" t="e">
        <f t="shared" si="510"/>
        <v>#DIV/0!</v>
      </c>
      <c r="EO105" s="136" t="e">
        <f t="shared" si="510"/>
        <v>#DIV/0!</v>
      </c>
      <c r="EP105" s="136" t="e">
        <f t="shared" si="510"/>
        <v>#DIV/0!</v>
      </c>
      <c r="EQ105" s="136">
        <f t="shared" si="510"/>
        <v>4.48</v>
      </c>
      <c r="ER105" s="136">
        <f t="shared" si="510"/>
        <v>8.98</v>
      </c>
      <c r="ES105" s="136">
        <f t="shared" si="510"/>
        <v>6.28</v>
      </c>
      <c r="ET105" s="136">
        <f t="shared" si="510"/>
        <v>14.32</v>
      </c>
      <c r="EU105" s="136">
        <f t="shared" si="510"/>
        <v>17.89</v>
      </c>
      <c r="EV105" s="136" t="e">
        <f t="shared" si="510"/>
        <v>#DIV/0!</v>
      </c>
      <c r="EW105" s="136">
        <f t="shared" si="510"/>
        <v>10.45125</v>
      </c>
      <c r="EX105" s="136">
        <f t="shared" si="510"/>
        <v>40.21</v>
      </c>
      <c r="EY105" s="136" t="e">
        <f t="shared" si="510"/>
        <v>#DIV/0!</v>
      </c>
      <c r="EZ105" s="136" t="e">
        <f t="shared" si="510"/>
        <v>#DIV/0!</v>
      </c>
      <c r="FA105" s="136" t="e">
        <f t="shared" si="510"/>
        <v>#DIV/0!</v>
      </c>
      <c r="FB105" s="136" t="e">
        <f t="shared" si="510"/>
        <v>#DIV/0!</v>
      </c>
      <c r="FC105" s="136" t="e">
        <f t="shared" si="510"/>
        <v>#DIV/0!</v>
      </c>
      <c r="FD105" s="136" t="e">
        <f t="shared" si="510"/>
        <v>#DIV/0!</v>
      </c>
      <c r="FE105" s="136" t="e">
        <f t="shared" si="510"/>
        <v>#DIV/0!</v>
      </c>
      <c r="FF105" s="136" t="e">
        <f t="shared" si="510"/>
        <v>#DIV/0!</v>
      </c>
      <c r="FG105" s="136" t="e">
        <f t="shared" si="510"/>
        <v>#DIV/0!</v>
      </c>
      <c r="FH105" s="136" t="e">
        <f t="shared" si="510"/>
        <v>#DIV/0!</v>
      </c>
      <c r="FI105" s="136" t="e">
        <f t="shared" si="510"/>
        <v>#DIV/0!</v>
      </c>
      <c r="FJ105" s="136" t="e">
        <f t="shared" si="510"/>
        <v>#DIV/0!</v>
      </c>
      <c r="FK105" s="136" t="e">
        <f t="shared" si="510"/>
        <v>#DIV/0!</v>
      </c>
      <c r="FL105" s="136" t="e">
        <f t="shared" si="510"/>
        <v>#DIV/0!</v>
      </c>
      <c r="FM105" s="136" t="e">
        <f t="shared" si="510"/>
        <v>#DIV/0!</v>
      </c>
      <c r="FN105" s="136">
        <f t="shared" ref="FN105:GI105" si="511">FN101/FN104</f>
        <v>3.07</v>
      </c>
      <c r="FO105" s="136" t="e">
        <f t="shared" si="511"/>
        <v>#DIV/0!</v>
      </c>
      <c r="FP105" s="136" t="e">
        <f t="shared" si="511"/>
        <v>#DIV/0!</v>
      </c>
      <c r="FQ105" s="65">
        <f t="shared" si="511"/>
        <v>21.8455882352941</v>
      </c>
      <c r="FR105" s="136" t="e">
        <f t="shared" si="511"/>
        <v>#DIV/0!</v>
      </c>
      <c r="FS105" s="136">
        <f t="shared" si="511"/>
        <v>11.45</v>
      </c>
      <c r="FT105" s="136" t="e">
        <f t="shared" si="511"/>
        <v>#DIV/0!</v>
      </c>
      <c r="FU105" s="136" t="e">
        <f t="shared" si="511"/>
        <v>#DIV/0!</v>
      </c>
      <c r="FV105" s="136" t="e">
        <f t="shared" si="511"/>
        <v>#DIV/0!</v>
      </c>
      <c r="FW105" s="136">
        <f t="shared" si="511"/>
        <v>8.67333333333333</v>
      </c>
      <c r="FX105" s="136">
        <f t="shared" si="511"/>
        <v>10.21</v>
      </c>
      <c r="FY105" s="136">
        <f t="shared" si="511"/>
        <v>14.4733333333333</v>
      </c>
      <c r="FZ105" s="136">
        <f t="shared" si="511"/>
        <v>34.29</v>
      </c>
      <c r="GA105" s="136">
        <f t="shared" si="511"/>
        <v>15.6966666666667</v>
      </c>
      <c r="GB105" s="136">
        <f t="shared" si="511"/>
        <v>12.09</v>
      </c>
      <c r="GC105" s="136">
        <f t="shared" si="511"/>
        <v>21.415</v>
      </c>
      <c r="GD105" s="136">
        <f t="shared" si="511"/>
        <v>24.86</v>
      </c>
      <c r="GE105" s="136">
        <f t="shared" si="511"/>
        <v>38.1</v>
      </c>
      <c r="GF105" s="136">
        <f t="shared" si="511"/>
        <v>40.98</v>
      </c>
      <c r="GG105" s="136">
        <f t="shared" si="511"/>
        <v>48.11</v>
      </c>
      <c r="GH105" s="136">
        <f t="shared" si="511"/>
        <v>48.77</v>
      </c>
      <c r="GI105" s="136">
        <f t="shared" si="511"/>
        <v>11.3366666666667</v>
      </c>
      <c r="GJ105" s="136" t="e">
        <f t="shared" ref="GJ105:GP105" si="512">GJ101/GJ104</f>
        <v>#DIV/0!</v>
      </c>
      <c r="GK105" s="136">
        <f t="shared" si="512"/>
        <v>8.2425</v>
      </c>
      <c r="GL105" s="136" t="e">
        <f t="shared" si="512"/>
        <v>#DIV/0!</v>
      </c>
      <c r="GM105" s="136" t="e">
        <f t="shared" si="512"/>
        <v>#DIV/0!</v>
      </c>
      <c r="GN105" s="136" t="e">
        <f t="shared" si="512"/>
        <v>#DIV/0!</v>
      </c>
      <c r="GO105" s="136" t="e">
        <f t="shared" si="512"/>
        <v>#DIV/0!</v>
      </c>
      <c r="GP105" s="136" t="e">
        <f t="shared" si="512"/>
        <v>#DIV/0!</v>
      </c>
    </row>
    <row r="106" s="47" customFormat="1" ht="15" customHeight="1" spans="2:198">
      <c r="B106" s="103"/>
      <c r="C106" s="109" t="s">
        <v>25</v>
      </c>
      <c r="D106" s="133" t="e">
        <f t="shared" ref="D106:D111" si="513">SUM(E106:P106)</f>
        <v>#REF!</v>
      </c>
      <c r="E106" s="123" t="e">
        <f>#REF!</f>
        <v>#REF!</v>
      </c>
      <c r="F106" s="123" t="e">
        <f>#REF!</f>
        <v>#REF!</v>
      </c>
      <c r="G106" s="123" t="e">
        <f>#REF!</f>
        <v>#REF!</v>
      </c>
      <c r="H106" s="123" t="e">
        <f>#REF!</f>
        <v>#REF!</v>
      </c>
      <c r="I106" s="123" t="e">
        <f>#REF!</f>
        <v>#REF!</v>
      </c>
      <c r="J106" s="123" t="e">
        <f>#REF!</f>
        <v>#REF!</v>
      </c>
      <c r="K106" s="123" t="e">
        <f>#REF!</f>
        <v>#REF!</v>
      </c>
      <c r="L106" s="123" t="e">
        <f>#REF!</f>
        <v>#REF!</v>
      </c>
      <c r="M106" s="123" t="e">
        <f>#REF!</f>
        <v>#REF!</v>
      </c>
      <c r="N106" s="123" t="e">
        <f>#REF!</f>
        <v>#REF!</v>
      </c>
      <c r="O106" s="123" t="e">
        <f>#REF!</f>
        <v>#REF!</v>
      </c>
      <c r="P106" s="123" t="e">
        <f>#REF!</f>
        <v>#REF!</v>
      </c>
      <c r="Q106" s="134">
        <f t="shared" ref="Q106:Q111" si="514">SUM(R106:AV106)</f>
        <v>0</v>
      </c>
      <c r="R106" s="124">
        <f>SUMIFS(商品数据源!$U:$U,商品数据源!$A:$A,$B$101,商品数据源!$B:$B,R2)</f>
        <v>0</v>
      </c>
      <c r="S106" s="124">
        <f>SUMIFS(商品数据源!$U:$U,商品数据源!$A:$A,$B$101,商品数据源!$B:$B,S2)</f>
        <v>0</v>
      </c>
      <c r="T106" s="124">
        <f>SUMIFS(商品数据源!$U:$U,商品数据源!$A:$A,$B$101,商品数据源!$B:$B,T2)</f>
        <v>0</v>
      </c>
      <c r="U106" s="124">
        <f>SUMIFS(商品数据源!$U:$U,商品数据源!$A:$A,$B$101,商品数据源!$B:$B,U2)</f>
        <v>0</v>
      </c>
      <c r="V106" s="124">
        <f>SUMIFS(商品数据源!$U:$U,商品数据源!$A:$A,$B$101,商品数据源!$B:$B,V2)</f>
        <v>0</v>
      </c>
      <c r="W106" s="124">
        <f>SUMIFS(商品数据源!$U:$U,商品数据源!$A:$A,$B$101,商品数据源!$B:$B,W2)</f>
        <v>0</v>
      </c>
      <c r="X106" s="124">
        <f>SUMIFS(商品数据源!$U:$U,商品数据源!$A:$A,$B$101,商品数据源!$B:$B,X2)</f>
        <v>0</v>
      </c>
      <c r="Y106" s="124">
        <f>SUMIFS(商品数据源!$U:$U,商品数据源!$A:$A,$B$101,商品数据源!$B:$B,Y2)</f>
        <v>0</v>
      </c>
      <c r="Z106" s="124">
        <f>SUMIFS(商品数据源!$U:$U,商品数据源!$A:$A,$B$101,商品数据源!$B:$B,Z2)</f>
        <v>0</v>
      </c>
      <c r="AA106" s="124">
        <f>SUMIFS(商品数据源!$U:$U,商品数据源!$A:$A,$B$101,商品数据源!$B:$B,AA2)</f>
        <v>0</v>
      </c>
      <c r="AB106" s="124">
        <f>SUMIFS(商品数据源!$U:$U,商品数据源!$A:$A,$B$101,商品数据源!$B:$B,AB2)</f>
        <v>0</v>
      </c>
      <c r="AC106" s="124">
        <f>SUMIFS(商品数据源!$U:$U,商品数据源!$A:$A,$B$101,商品数据源!$B:$B,AC2)</f>
        <v>0</v>
      </c>
      <c r="AD106" s="124">
        <f>SUMIFS(商品数据源!$U:$U,商品数据源!$A:$A,$B$101,商品数据源!$B:$B,AD2)</f>
        <v>0</v>
      </c>
      <c r="AE106" s="124">
        <f>SUMIFS(商品数据源!$U:$U,商品数据源!$A:$A,$B$101,商品数据源!$B:$B,AE2)</f>
        <v>0</v>
      </c>
      <c r="AF106" s="124">
        <f>SUMIFS(商品数据源!$U:$U,商品数据源!$A:$A,$B$101,商品数据源!$B:$B,AF2)</f>
        <v>0</v>
      </c>
      <c r="AG106" s="124">
        <f>SUMIFS(商品数据源!$U:$U,商品数据源!$A:$A,$B$101,商品数据源!$B:$B,AG2)</f>
        <v>0</v>
      </c>
      <c r="AH106" s="124">
        <f>SUMIFS(商品数据源!$U:$U,商品数据源!$A:$A,$B$101,商品数据源!$B:$B,AH2)</f>
        <v>0</v>
      </c>
      <c r="AI106" s="124">
        <f>SUMIFS(商品数据源!$U:$U,商品数据源!$A:$A,$B$101,商品数据源!$B:$B,AI2)</f>
        <v>0</v>
      </c>
      <c r="AJ106" s="124">
        <f>SUMIFS(商品数据源!$U:$U,商品数据源!$A:$A,$B$101,商品数据源!$B:$B,AJ2)</f>
        <v>0</v>
      </c>
      <c r="AK106" s="124">
        <f>SUMIFS(商品数据源!$U:$U,商品数据源!$A:$A,$B$101,商品数据源!$B:$B,AK2)</f>
        <v>0</v>
      </c>
      <c r="AL106" s="124">
        <f>SUMIFS(商品数据源!$U:$U,商品数据源!$A:$A,$B$101,商品数据源!$B:$B,AL2)</f>
        <v>0</v>
      </c>
      <c r="AM106" s="124">
        <f>SUMIFS(商品数据源!$U:$U,商品数据源!$A:$A,$B$101,商品数据源!$B:$B,AM2)</f>
        <v>0</v>
      </c>
      <c r="AN106" s="124">
        <f>SUMIFS(商品数据源!$U:$U,商品数据源!$A:$A,$B$101,商品数据源!$B:$B,AN2)</f>
        <v>0</v>
      </c>
      <c r="AO106" s="124">
        <f>SUMIFS(商品数据源!$U:$U,商品数据源!$A:$A,$B$101,商品数据源!$B:$B,AO2)</f>
        <v>0</v>
      </c>
      <c r="AP106" s="124">
        <f>SUMIFS(商品数据源!$U:$U,商品数据源!$A:$A,$B$101,商品数据源!$B:$B,AP2)</f>
        <v>0</v>
      </c>
      <c r="AQ106" s="124">
        <f>SUMIFS(商品数据源!$U:$U,商品数据源!$A:$A,$B$101,商品数据源!$B:$B,AQ2)</f>
        <v>0</v>
      </c>
      <c r="AR106" s="124">
        <f>SUMIFS(商品数据源!$U:$U,商品数据源!$A:$A,$B$101,商品数据源!$B:$B,AR2)</f>
        <v>0</v>
      </c>
      <c r="AS106" s="124">
        <f>SUMIFS(商品数据源!$U:$U,商品数据源!$A:$A,$B$101,商品数据源!$B:$B,AS2)</f>
        <v>0</v>
      </c>
      <c r="AT106" s="124">
        <f>SUMIFS(商品数据源!$U:$U,商品数据源!$A:$A,$B$101,商品数据源!$B:$B,AT2)</f>
        <v>0</v>
      </c>
      <c r="AU106" s="124">
        <f>SUMIFS(商品数据源!$U:$U,商品数据源!$A:$A,$B$101,商品数据源!$B:$B,AU2)</f>
        <v>0</v>
      </c>
      <c r="AV106" s="124">
        <f>SUMIFS(商品数据源!$U:$U,商品数据源!$A:$A,$B$101,商品数据源!$B:$B,AV2)</f>
        <v>0</v>
      </c>
      <c r="AW106" s="134">
        <f>SUM(AX106:BY106)</f>
        <v>0</v>
      </c>
      <c r="AX106" s="124">
        <f>SUMIFS(商品数据源!$U:$U,商品数据源!$A:$A,$B$101,商品数据源!$B:$B,AX2)</f>
        <v>0</v>
      </c>
      <c r="AY106" s="124">
        <f>SUMIFS(商品数据源!$U:$U,商品数据源!$A:$A,$B$101,商品数据源!$B:$B,AY2)</f>
        <v>0</v>
      </c>
      <c r="AZ106" s="124">
        <f>SUMIFS(商品数据源!$U:$U,商品数据源!$A:$A,$B$101,商品数据源!$B:$B,AZ2)</f>
        <v>0</v>
      </c>
      <c r="BA106" s="124">
        <f>SUMIFS(商品数据源!$U:$U,商品数据源!$A:$A,$B$101,商品数据源!$B:$B,BA2)</f>
        <v>0</v>
      </c>
      <c r="BB106" s="124">
        <f>SUMIFS(商品数据源!$U:$U,商品数据源!$A:$A,$B$101,商品数据源!$B:$B,BB2)</f>
        <v>0</v>
      </c>
      <c r="BC106" s="124">
        <f>SUMIFS(商品数据源!$U:$U,商品数据源!$A:$A,$B$101,商品数据源!$B:$B,BC2)</f>
        <v>0</v>
      </c>
      <c r="BD106" s="124">
        <f>SUMIFS(商品数据源!$U:$U,商品数据源!$A:$A,$B$101,商品数据源!$B:$B,BD2)</f>
        <v>0</v>
      </c>
      <c r="BE106" s="124">
        <f>SUMIFS(商品数据源!$U:$U,商品数据源!$A:$A,$B$101,商品数据源!$B:$B,BE2)</f>
        <v>0</v>
      </c>
      <c r="BF106" s="124">
        <f>SUMIFS(商品数据源!$U:$U,商品数据源!$A:$A,$B$101,商品数据源!$B:$B,BF2)</f>
        <v>0</v>
      </c>
      <c r="BG106" s="124">
        <f>SUMIFS(商品数据源!$U:$U,商品数据源!$A:$A,$B$101,商品数据源!$B:$B,BG2)</f>
        <v>0</v>
      </c>
      <c r="BH106" s="124">
        <f>SUMIFS(商品数据源!$U:$U,商品数据源!$A:$A,$B$101,商品数据源!$B:$B,BH2)</f>
        <v>0</v>
      </c>
      <c r="BI106" s="124">
        <f>SUMIFS(商品数据源!$U:$U,商品数据源!$A:$A,$B$101,商品数据源!$B:$B,BI2)</f>
        <v>0</v>
      </c>
      <c r="BJ106" s="124">
        <f>SUMIFS(商品数据源!$U:$U,商品数据源!$A:$A,$B$101,商品数据源!$B:$B,BJ2)</f>
        <v>0</v>
      </c>
      <c r="BK106" s="124">
        <f>SUMIFS(商品数据源!$U:$U,商品数据源!$A:$A,$B$101,商品数据源!$B:$B,BK2)</f>
        <v>0</v>
      </c>
      <c r="BL106" s="124">
        <f>SUMIFS(商品数据源!$U:$U,商品数据源!$A:$A,$B$101,商品数据源!$B:$B,BL2)</f>
        <v>0</v>
      </c>
      <c r="BM106" s="124">
        <f>SUMIFS(商品数据源!$U:$U,商品数据源!$A:$A,$B$101,商品数据源!$B:$B,BM2)</f>
        <v>0</v>
      </c>
      <c r="BN106" s="124">
        <f>SUMIFS(商品数据源!$U:$U,商品数据源!$A:$A,$B$101,商品数据源!$B:$B,BN2)</f>
        <v>0</v>
      </c>
      <c r="BO106" s="124">
        <f>SUMIFS(商品数据源!$U:$U,商品数据源!$A:$A,$B$101,商品数据源!$B:$B,BO2)</f>
        <v>0</v>
      </c>
      <c r="BP106" s="124">
        <f>SUMIFS(商品数据源!$U:$U,商品数据源!$A:$A,$B$101,商品数据源!$B:$B,BP2)</f>
        <v>0</v>
      </c>
      <c r="BQ106" s="124">
        <f>SUMIFS(商品数据源!$U:$U,商品数据源!$A:$A,$B$101,商品数据源!$B:$B,BQ2)</f>
        <v>0</v>
      </c>
      <c r="BR106" s="124">
        <f>SUMIFS(商品数据源!$U:$U,商品数据源!$A:$A,$B$101,商品数据源!$B:$B,BR2)</f>
        <v>0</v>
      </c>
      <c r="BS106" s="124">
        <f>SUMIFS(商品数据源!$U:$U,商品数据源!$A:$A,$B$101,商品数据源!$B:$B,BS2)</f>
        <v>0</v>
      </c>
      <c r="BT106" s="124">
        <f>SUMIFS(商品数据源!$U:$U,商品数据源!$A:$A,$B$101,商品数据源!$B:$B,BT2)</f>
        <v>0</v>
      </c>
      <c r="BU106" s="124">
        <f>SUMIFS(商品数据源!$U:$U,商品数据源!$A:$A,$B$101,商品数据源!$B:$B,BU2)</f>
        <v>0</v>
      </c>
      <c r="BV106" s="124">
        <f>SUMIFS(商品数据源!$U:$U,商品数据源!$A:$A,$B$101,商品数据源!$B:$B,BV2)</f>
        <v>0</v>
      </c>
      <c r="BW106" s="124">
        <f>SUMIFS(商品数据源!$U:$U,商品数据源!$A:$A,$B$101,商品数据源!$B:$B,BW2)</f>
        <v>0</v>
      </c>
      <c r="BX106" s="124">
        <f>SUMIFS(商品数据源!$U:$U,商品数据源!$A:$A,$B$101,商品数据源!$B:$B,BX2)</f>
        <v>0</v>
      </c>
      <c r="BY106" s="124">
        <f>SUMIFS(商品数据源!$U:$U,商品数据源!$A:$A,$B$101,商品数据源!$B:$B,BY2)</f>
        <v>0</v>
      </c>
      <c r="BZ106" s="134">
        <f>SUM(CA106:DE106)</f>
        <v>0</v>
      </c>
      <c r="CA106" s="124">
        <f>SUMIFS(商品数据源!$U:$U,商品数据源!$A:$A,$B$101,商品数据源!$B:$B,CA2)</f>
        <v>0</v>
      </c>
      <c r="CB106" s="124">
        <f>SUMIFS(商品数据源!$U:$U,商品数据源!$A:$A,$B$101,商品数据源!$B:$B,CB2)</f>
        <v>0</v>
      </c>
      <c r="CC106" s="124">
        <f>SUMIFS(商品数据源!$U:$U,商品数据源!$A:$A,$B$101,商品数据源!$B:$B,CC2)</f>
        <v>0</v>
      </c>
      <c r="CD106" s="124">
        <f>SUMIFS(商品数据源!$U:$U,商品数据源!$A:$A,$B$101,商品数据源!$B:$B,CD2)</f>
        <v>0</v>
      </c>
      <c r="CE106" s="124">
        <f>SUMIFS(商品数据源!$U:$U,商品数据源!$A:$A,$B$101,商品数据源!$B:$B,CE2)</f>
        <v>0</v>
      </c>
      <c r="CF106" s="124">
        <f>SUMIFS(商品数据源!$U:$U,商品数据源!$A:$A,$B$101,商品数据源!$B:$B,CF2)</f>
        <v>0</v>
      </c>
      <c r="CG106" s="124">
        <f>SUMIFS(商品数据源!$U:$U,商品数据源!$A:$A,$B$101,商品数据源!$B:$B,CG2)</f>
        <v>0</v>
      </c>
      <c r="CH106" s="124">
        <f>SUMIFS(商品数据源!$U:$U,商品数据源!$A:$A,$B$101,商品数据源!$B:$B,CH2)</f>
        <v>0</v>
      </c>
      <c r="CI106" s="124">
        <f>SUMIFS(商品数据源!$U:$U,商品数据源!$A:$A,$B$101,商品数据源!$B:$B,CI2)</f>
        <v>0</v>
      </c>
      <c r="CJ106" s="124">
        <f>SUMIFS(商品数据源!$U:$U,商品数据源!$A:$A,$B$101,商品数据源!$B:$B,CJ2)</f>
        <v>0</v>
      </c>
      <c r="CK106" s="124">
        <f>SUMIFS(商品数据源!$U:$U,商品数据源!$A:$A,$B$101,商品数据源!$B:$B,CK2)</f>
        <v>0</v>
      </c>
      <c r="CL106" s="124">
        <f>SUMIFS(商品数据源!$U:$U,商品数据源!$A:$A,$B$101,商品数据源!$B:$B,CL2)</f>
        <v>0</v>
      </c>
      <c r="CM106" s="124">
        <f>SUMIFS(商品数据源!$U:$U,商品数据源!$A:$A,$B$101,商品数据源!$B:$B,CM2)</f>
        <v>0</v>
      </c>
      <c r="CN106" s="124">
        <f>SUMIFS(商品数据源!$U:$U,商品数据源!$A:$A,$B$101,商品数据源!$B:$B,CN2)</f>
        <v>0</v>
      </c>
      <c r="CO106" s="124">
        <f>SUMIFS(商品数据源!$U:$U,商品数据源!$A:$A,$B$101,商品数据源!$B:$B,CO2)</f>
        <v>0</v>
      </c>
      <c r="CP106" s="124">
        <f>SUMIFS(商品数据源!$U:$U,商品数据源!$A:$A,$B$101,商品数据源!$B:$B,CP2)</f>
        <v>0</v>
      </c>
      <c r="CQ106" s="124">
        <f>SUMIFS(商品数据源!$U:$U,商品数据源!$A:$A,$B$101,商品数据源!$B:$B,CQ2)</f>
        <v>0</v>
      </c>
      <c r="CR106" s="124">
        <f>SUMIFS(商品数据源!$U:$U,商品数据源!$A:$A,$B$101,商品数据源!$B:$B,CR2)</f>
        <v>0</v>
      </c>
      <c r="CS106" s="124">
        <f>SUMIFS(商品数据源!$U:$U,商品数据源!$A:$A,$B$101,商品数据源!$B:$B,CS2)</f>
        <v>0</v>
      </c>
      <c r="CT106" s="124">
        <f>SUMIFS(商品数据源!$U:$U,商品数据源!$A:$A,$B$101,商品数据源!$B:$B,CT2)</f>
        <v>0</v>
      </c>
      <c r="CU106" s="124">
        <f>SUMIFS(商品数据源!$U:$U,商品数据源!$A:$A,$B$101,商品数据源!$B:$B,CU2)</f>
        <v>0</v>
      </c>
      <c r="CV106" s="124">
        <f>SUMIFS(商品数据源!$U:$U,商品数据源!$A:$A,$B$101,商品数据源!$B:$B,CV2)</f>
        <v>0</v>
      </c>
      <c r="CW106" s="124">
        <f>SUMIFS(商品数据源!$U:$U,商品数据源!$A:$A,$B$101,商品数据源!$B:$B,CW2)</f>
        <v>0</v>
      </c>
      <c r="CX106" s="124">
        <f>SUMIFS(商品数据源!$U:$U,商品数据源!$A:$A,$B$101,商品数据源!$B:$B,CX2)</f>
        <v>0</v>
      </c>
      <c r="CY106" s="124">
        <f>SUMIFS(商品数据源!$U:$U,商品数据源!$A:$A,$B$101,商品数据源!$B:$B,CY2)</f>
        <v>0</v>
      </c>
      <c r="CZ106" s="124">
        <f>SUMIFS(商品数据源!$U:$U,商品数据源!$A:$A,$B$101,商品数据源!$B:$B,CZ2)</f>
        <v>0</v>
      </c>
      <c r="DA106" s="124">
        <f>SUMIFS(商品数据源!$U:$U,商品数据源!$A:$A,$B$101,商品数据源!$B:$B,DA2)</f>
        <v>0</v>
      </c>
      <c r="DB106" s="124">
        <f>SUMIFS(商品数据源!$U:$U,商品数据源!$A:$A,$B$101,商品数据源!$B:$B,DB2)</f>
        <v>0</v>
      </c>
      <c r="DC106" s="124">
        <f>SUMIFS(商品数据源!$U:$U,商品数据源!$A:$A,$B$101,商品数据源!$B:$B,DC2)</f>
        <v>0</v>
      </c>
      <c r="DD106" s="124">
        <f>SUMIFS(商品数据源!$U:$U,商品数据源!$A:$A,$B$101,商品数据源!$B:$B,DD2)</f>
        <v>0</v>
      </c>
      <c r="DE106" s="124">
        <f>SUMIFS(商品数据源!$U:$U,商品数据源!$A:$A,$B$101,商品数据源!$B:$B,DE2)</f>
        <v>0</v>
      </c>
      <c r="DF106" s="134">
        <f>SUM(DG106:EJ106)</f>
        <v>0</v>
      </c>
      <c r="DG106" s="124">
        <f>SUMIFS(商品数据源!$U:$U,商品数据源!$A:$A,$B$101,商品数据源!$B:$B,DG2)</f>
        <v>0</v>
      </c>
      <c r="DH106" s="124">
        <f>SUMIFS(商品数据源!$U:$U,商品数据源!$A:$A,$B$101,商品数据源!$B:$B,DH2)</f>
        <v>0</v>
      </c>
      <c r="DI106" s="124">
        <f>SUMIFS(商品数据源!$U:$U,商品数据源!$A:$A,$B$101,商品数据源!$B:$B,DI2)</f>
        <v>0</v>
      </c>
      <c r="DJ106" s="124">
        <f>SUMIFS(商品数据源!$U:$U,商品数据源!$A:$A,$B$101,商品数据源!$B:$B,DJ2)</f>
        <v>0</v>
      </c>
      <c r="DK106" s="124">
        <f>SUMIFS(商品数据源!$U:$U,商品数据源!$A:$A,$B$101,商品数据源!$B:$B,DK2)</f>
        <v>0</v>
      </c>
      <c r="DL106" s="124">
        <f>SUMIFS(商品数据源!$U:$U,商品数据源!$A:$A,$B$101,商品数据源!$B:$B,DL2)</f>
        <v>0</v>
      </c>
      <c r="DM106" s="124">
        <f>SUMIFS(商品数据源!$U:$U,商品数据源!$A:$A,$B$101,商品数据源!$B:$B,DM2)</f>
        <v>0</v>
      </c>
      <c r="DN106" s="124">
        <f>SUMIFS(商品数据源!$U:$U,商品数据源!$A:$A,$B$101,商品数据源!$B:$B,DN2)</f>
        <v>0</v>
      </c>
      <c r="DO106" s="124">
        <f>SUMIFS(商品数据源!$U:$U,商品数据源!$A:$A,$B$101,商品数据源!$B:$B,DO2)</f>
        <v>0</v>
      </c>
      <c r="DP106" s="124">
        <f>SUMIFS(商品数据源!$U:$U,商品数据源!$A:$A,$B$101,商品数据源!$B:$B,DP2)</f>
        <v>0</v>
      </c>
      <c r="DQ106" s="124">
        <f>SUMIFS(商品数据源!$U:$U,商品数据源!$A:$A,$B$101,商品数据源!$B:$B,DQ2)</f>
        <v>0</v>
      </c>
      <c r="DR106" s="124">
        <f>SUMIFS(商品数据源!$U:$U,商品数据源!$A:$A,$B$101,商品数据源!$B:$B,DR2)</f>
        <v>0</v>
      </c>
      <c r="DS106" s="124">
        <f>SUMIFS(商品数据源!$U:$U,商品数据源!$A:$A,$B$101,商品数据源!$B:$B,DS2)</f>
        <v>0</v>
      </c>
      <c r="DT106" s="124">
        <f>SUMIFS(商品数据源!$U:$U,商品数据源!$A:$A,$B$101,商品数据源!$B:$B,DT2)</f>
        <v>0</v>
      </c>
      <c r="DU106" s="124">
        <f>SUMIFS(商品数据源!$U:$U,商品数据源!$A:$A,$B$101,商品数据源!$B:$B,DU2)</f>
        <v>0</v>
      </c>
      <c r="DV106" s="124">
        <f>SUMIFS(商品数据源!$U:$U,商品数据源!$A:$A,$B$101,商品数据源!$B:$B,DV2)</f>
        <v>0</v>
      </c>
      <c r="DW106" s="124">
        <f>SUMIFS(商品数据源!$U:$U,商品数据源!$A:$A,$B$101,商品数据源!$B:$B,DW2)</f>
        <v>0</v>
      </c>
      <c r="DX106" s="124">
        <f>SUMIFS(商品数据源!$U:$U,商品数据源!$A:$A,$B$101,商品数据源!$B:$B,DX2)</f>
        <v>0</v>
      </c>
      <c r="DY106" s="124">
        <f>SUMIFS(商品数据源!$U:$U,商品数据源!$A:$A,$B$101,商品数据源!$B:$B,DY2)</f>
        <v>0</v>
      </c>
      <c r="DZ106" s="124">
        <f>SUMIFS(商品数据源!$U:$U,商品数据源!$A:$A,$B$101,商品数据源!$B:$B,DZ2)</f>
        <v>0</v>
      </c>
      <c r="EA106" s="124">
        <f>SUMIFS(商品数据源!$U:$U,商品数据源!$A:$A,$B$101,商品数据源!$B:$B,EA2)</f>
        <v>0</v>
      </c>
      <c r="EB106" s="124">
        <f>SUMIFS(商品数据源!$U:$U,商品数据源!$A:$A,$B$101,商品数据源!$B:$B,EB2)</f>
        <v>0</v>
      </c>
      <c r="EC106" s="124">
        <f>SUMIFS(商品数据源!$U:$U,商品数据源!$A:$A,$B$101,商品数据源!$B:$B,EC2)</f>
        <v>0</v>
      </c>
      <c r="ED106" s="124">
        <f>SUMIFS(商品数据源!$U:$U,商品数据源!$A:$A,$B$101,商品数据源!$B:$B,ED2)</f>
        <v>0</v>
      </c>
      <c r="EE106" s="124">
        <f>SUMIFS(商品数据源!$U:$U,商品数据源!$A:$A,$B$101,商品数据源!$B:$B,EE2)</f>
        <v>0</v>
      </c>
      <c r="EF106" s="124">
        <f>SUMIFS(商品数据源!$U:$U,商品数据源!$A:$A,$B$101,商品数据源!$B:$B,EF2)</f>
        <v>0</v>
      </c>
      <c r="EG106" s="124">
        <f>SUMIFS(商品数据源!$U:$U,商品数据源!$A:$A,$B$101,商品数据源!$B:$B,EG2)</f>
        <v>0</v>
      </c>
      <c r="EH106" s="124">
        <f>SUMIFS(商品数据源!$U:$U,商品数据源!$A:$A,$B$101,商品数据源!$B:$B,EH2)</f>
        <v>0</v>
      </c>
      <c r="EI106" s="124">
        <f>SUMIFS(商品数据源!$U:$U,商品数据源!$A:$A,$B$101,商品数据源!$B:$B,EI2)</f>
        <v>0</v>
      </c>
      <c r="EJ106" s="124">
        <f>SUMIFS(商品数据源!$U:$U,商品数据源!$A:$A,$B$101,商品数据源!$B:$B,EJ2)</f>
        <v>0</v>
      </c>
      <c r="EK106" s="134">
        <f>SUM(EL106:FP106)</f>
        <v>5</v>
      </c>
      <c r="EL106" s="124">
        <f>SUMIFS(商品数据源!$U:$U,商品数据源!$A:$A,$B$101,商品数据源!$B:$B,EL2)</f>
        <v>0</v>
      </c>
      <c r="EM106" s="124">
        <f>SUMIFS(商品数据源!$U:$U,商品数据源!$A:$A,$B$101,商品数据源!$B:$B,EM2)</f>
        <v>0</v>
      </c>
      <c r="EN106" s="124">
        <f>SUMIFS(商品数据源!$U:$U,商品数据源!$A:$A,$B$101,商品数据源!$B:$B,EN2)</f>
        <v>0</v>
      </c>
      <c r="EO106" s="124">
        <f>SUMIFS(商品数据源!$U:$U,商品数据源!$A:$A,$B$101,商品数据源!$B:$B,EO2)</f>
        <v>0</v>
      </c>
      <c r="EP106" s="124">
        <f>SUMIFS(商品数据源!$U:$U,商品数据源!$A:$A,$B$101,商品数据源!$B:$B,EP2)</f>
        <v>0</v>
      </c>
      <c r="EQ106" s="124">
        <f>SUMIFS(商品数据源!$U:$U,商品数据源!$A:$A,$B$101,商品数据源!$B:$B,EQ2)</f>
        <v>1</v>
      </c>
      <c r="ER106" s="124">
        <f>SUMIFS(商品数据源!$U:$U,商品数据源!$A:$A,$B$101,商品数据源!$B:$B,ER2)</f>
        <v>1</v>
      </c>
      <c r="ES106" s="124">
        <f>SUMIFS(商品数据源!$U:$U,商品数据源!$A:$A,$B$101,商品数据源!$B:$B,ES2)</f>
        <v>0</v>
      </c>
      <c r="ET106" s="124">
        <f>SUMIFS(商品数据源!$U:$U,商品数据源!$A:$A,$B$101,商品数据源!$B:$B,ET2)</f>
        <v>0</v>
      </c>
      <c r="EU106" s="124">
        <f>SUMIFS(商品数据源!$U:$U,商品数据源!$A:$A,$B$101,商品数据源!$B:$B,EU2)</f>
        <v>1</v>
      </c>
      <c r="EV106" s="124">
        <f>SUMIFS(商品数据源!$U:$U,商品数据源!$A:$A,$B$101,商品数据源!$B:$B,EV2)</f>
        <v>0</v>
      </c>
      <c r="EW106" s="124">
        <f>SUMIFS(商品数据源!$U:$U,商品数据源!$A:$A,$B$101,商品数据源!$B:$B,EW2)</f>
        <v>1</v>
      </c>
      <c r="EX106" s="124">
        <f>SUMIFS(商品数据源!$U:$U,商品数据源!$A:$A,$B$101,商品数据源!$B:$B,EX2)</f>
        <v>1</v>
      </c>
      <c r="EY106" s="124">
        <f>SUMIFS(商品数据源!$U:$U,商品数据源!$A:$A,$B$101,商品数据源!$B:$B,EY2)</f>
        <v>0</v>
      </c>
      <c r="EZ106" s="124">
        <f>SUMIFS(商品数据源!$U:$U,商品数据源!$A:$A,$B$101,商品数据源!$B:$B,EZ2)</f>
        <v>0</v>
      </c>
      <c r="FA106" s="124">
        <f>SUMIFS(商品数据源!$U:$U,商品数据源!$A:$A,$B$101,商品数据源!$B:$B,FA2)</f>
        <v>0</v>
      </c>
      <c r="FB106" s="124">
        <f>SUMIFS(商品数据源!$U:$U,商品数据源!$A:$A,$B$101,商品数据源!$B:$B,FB2)</f>
        <v>0</v>
      </c>
      <c r="FC106" s="124">
        <f>SUMIFS(商品数据源!$U:$U,商品数据源!$A:$A,$B$101,商品数据源!$B:$B,FC2)</f>
        <v>0</v>
      </c>
      <c r="FD106" s="124">
        <f>SUMIFS(商品数据源!$U:$U,商品数据源!$A:$A,$B$101,商品数据源!$B:$B,FD2)</f>
        <v>0</v>
      </c>
      <c r="FE106" s="124">
        <f>SUMIFS(商品数据源!$U:$U,商品数据源!$A:$A,$B$101,商品数据源!$B:$B,FE2)</f>
        <v>0</v>
      </c>
      <c r="FF106" s="124">
        <f>SUMIFS(商品数据源!$U:$U,商品数据源!$A:$A,$B$101,商品数据源!$B:$B,FF2)</f>
        <v>0</v>
      </c>
      <c r="FG106" s="124">
        <f>SUMIFS(商品数据源!$U:$U,商品数据源!$A:$A,$B$101,商品数据源!$B:$B,FG2)</f>
        <v>0</v>
      </c>
      <c r="FH106" s="124">
        <f>SUMIFS(商品数据源!$U:$U,商品数据源!$A:$A,$B$101,商品数据源!$B:$B,FH2)</f>
        <v>0</v>
      </c>
      <c r="FI106" s="124">
        <f>SUMIFS(商品数据源!$U:$U,商品数据源!$A:$A,$B$101,商品数据源!$B:$B,FI2)</f>
        <v>0</v>
      </c>
      <c r="FJ106" s="124">
        <f>SUMIFS(商品数据源!$U:$U,商品数据源!$A:$A,$B$101,商品数据源!$B:$B,FJ2)</f>
        <v>0</v>
      </c>
      <c r="FK106" s="124">
        <f>SUMIFS(商品数据源!$U:$U,商品数据源!$A:$A,$B$101,商品数据源!$B:$B,FK2)</f>
        <v>0</v>
      </c>
      <c r="FL106" s="124">
        <f>SUMIFS(商品数据源!$U:$U,商品数据源!$A:$A,$B$101,商品数据源!$B:$B,FL2)</f>
        <v>0</v>
      </c>
      <c r="FM106" s="124">
        <f>SUMIFS(商品数据源!$U:$U,商品数据源!$A:$A,$B$101,商品数据源!$B:$B,FM2)</f>
        <v>0</v>
      </c>
      <c r="FN106" s="124">
        <f>SUMIFS(商品数据源!$U:$U,商品数据源!$A:$A,$B$101,商品数据源!$B:$B,FN2)</f>
        <v>0</v>
      </c>
      <c r="FO106" s="124">
        <f>SUMIFS(商品数据源!$U:$U,商品数据源!$A:$A,$B$101,商品数据源!$B:$B,FO2)</f>
        <v>0</v>
      </c>
      <c r="FP106" s="124">
        <f>SUMIFS(商品数据源!$U:$U,商品数据源!$A:$A,$B$101,商品数据源!$B:$B,FP2)</f>
        <v>0</v>
      </c>
      <c r="FQ106" s="134">
        <f t="shared" si="501"/>
        <v>18</v>
      </c>
      <c r="FR106" s="124">
        <f>SUMIFS(商品数据源!$U:$U,商品数据源!$A:$A,$B$101,商品数据源!$B:$B,FR2)</f>
        <v>1</v>
      </c>
      <c r="FS106" s="124">
        <f>SUMIFS(商品数据源!$U:$U,商品数据源!$A:$A,$B$101,商品数据源!$B:$B,FS2)</f>
        <v>2</v>
      </c>
      <c r="FT106" s="124">
        <f>SUMIFS(商品数据源!$U:$U,商品数据源!$A:$A,$B$101,商品数据源!$B:$B,FT2)</f>
        <v>3</v>
      </c>
      <c r="FU106" s="124">
        <f>SUMIFS(商品数据源!$U:$U,商品数据源!$A:$A,$B$101,商品数据源!$B:$B,FU2)</f>
        <v>0</v>
      </c>
      <c r="FV106" s="124">
        <f>SUMIFS(商品数据源!$U:$U,商品数据源!$A:$A,$B$101,商品数据源!$B:$B,FV2)</f>
        <v>0</v>
      </c>
      <c r="FW106" s="124">
        <f>SUMIFS(商品数据源!$U:$U,商品数据源!$A:$A,$B$101,商品数据源!$B:$B,FW2)</f>
        <v>2</v>
      </c>
      <c r="FX106" s="124">
        <f>SUMIFS(商品数据源!$U:$U,商品数据源!$A:$A,$B$101,商品数据源!$B:$B,FX2)</f>
        <v>1</v>
      </c>
      <c r="FY106" s="124">
        <f>SUMIFS(商品数据源!$U:$U,商品数据源!$A:$A,$B$101,商品数据源!$B:$B,FY2)</f>
        <v>2</v>
      </c>
      <c r="FZ106" s="124">
        <f>SUMIFS(商品数据源!$U:$U,商品数据源!$A:$A,$B$101,商品数据源!$B:$B,FZ2)</f>
        <v>2</v>
      </c>
      <c r="GA106" s="124">
        <f>SUMIFS(商品数据源!$U:$U,商品数据源!$A:$A,$B$101,商品数据源!$B:$B,GA2)</f>
        <v>1</v>
      </c>
      <c r="GB106" s="124">
        <f>SUMIFS(商品数据源!$U:$U,商品数据源!$A:$A,$B$101,商品数据源!$B:$B,GB2)</f>
        <v>0</v>
      </c>
      <c r="GC106" s="124">
        <f>SUMIFS(商品数据源!$U:$U,商品数据源!$A:$A,$B$101,商品数据源!$B:$B,GC2)</f>
        <v>0</v>
      </c>
      <c r="GD106" s="124">
        <f>SUMIFS(商品数据源!$U:$U,商品数据源!$A:$A,$B$101,商品数据源!$B:$B,GD2)</f>
        <v>0</v>
      </c>
      <c r="GE106" s="124">
        <f>SUMIFS(商品数据源!$U:$U,商品数据源!$A:$A,$B$101,商品数据源!$B:$B,GE2)</f>
        <v>0</v>
      </c>
      <c r="GF106" s="124">
        <f>SUMIFS(商品数据源!$U:$U,商品数据源!$A:$A,$B$101,商品数据源!$B:$B,GF2)</f>
        <v>0</v>
      </c>
      <c r="GG106" s="124">
        <f>SUMIFS(商品数据源!$U:$U,商品数据源!$A:$A,$B$101,商品数据源!$B:$B,GG2)</f>
        <v>1</v>
      </c>
      <c r="GH106" s="124">
        <f>SUMIFS(商品数据源!$U:$U,商品数据源!$A:$A,$B$101,商品数据源!$B:$B,GH2)</f>
        <v>0</v>
      </c>
      <c r="GI106" s="124">
        <f>SUMIFS(商品数据源!$U:$U,商品数据源!$A:$A,$B$101,商品数据源!$B:$B,GI2)</f>
        <v>2</v>
      </c>
      <c r="GJ106" s="124">
        <f>SUMIFS(商品数据源!$U:$U,商品数据源!$A:$A,$B$101,商品数据源!$B:$B,GJ2)</f>
        <v>0</v>
      </c>
      <c r="GK106" s="124">
        <f>SUMIFS(商品数据源!$U:$U,商品数据源!$A:$A,$B$101,商品数据源!$B:$B,GK2)</f>
        <v>1</v>
      </c>
      <c r="GL106" s="124">
        <f>SUMIFS(商品数据源!$U:$U,商品数据源!$A:$A,$B$101,商品数据源!$B:$B,GL2)</f>
        <v>0</v>
      </c>
      <c r="GM106" s="124">
        <f>SUMIFS(商品数据源!$U:$U,商品数据源!$A:$A,$B$101,商品数据源!$B:$B,GM2)</f>
        <v>0</v>
      </c>
      <c r="GN106" s="124">
        <f>SUMIFS(商品数据源!$U:$U,商品数据源!$A:$A,$B$101,商品数据源!$B:$B,GN2)</f>
        <v>0</v>
      </c>
      <c r="GO106" s="124">
        <f>SUMIFS(商品数据源!$U:$U,商品数据源!$A:$A,$B$101,商品数据源!$B:$B,GO2)</f>
        <v>0</v>
      </c>
      <c r="GP106" s="124">
        <f>SUMIFS(商品数据源!$U:$U,商品数据源!$A:$A,$B$101,商品数据源!$B:$B,GP2)</f>
        <v>0</v>
      </c>
    </row>
    <row r="107" s="47" customFormat="1" ht="15" customHeight="1" spans="2:198">
      <c r="B107" s="103"/>
      <c r="C107" s="109" t="s">
        <v>26</v>
      </c>
      <c r="D107" s="133" t="e">
        <f t="shared" si="513"/>
        <v>#REF!</v>
      </c>
      <c r="E107" s="123" t="e">
        <f>#REF!</f>
        <v>#REF!</v>
      </c>
      <c r="F107" s="123" t="e">
        <f>#REF!</f>
        <v>#REF!</v>
      </c>
      <c r="G107" s="123" t="e">
        <f>#REF!</f>
        <v>#REF!</v>
      </c>
      <c r="H107" s="123" t="e">
        <f>#REF!</f>
        <v>#REF!</v>
      </c>
      <c r="I107" s="123" t="e">
        <f>#REF!</f>
        <v>#REF!</v>
      </c>
      <c r="J107" s="123" t="e">
        <f>#REF!</f>
        <v>#REF!</v>
      </c>
      <c r="K107" s="123" t="e">
        <f>#REF!</f>
        <v>#REF!</v>
      </c>
      <c r="L107" s="123" t="e">
        <f>#REF!</f>
        <v>#REF!</v>
      </c>
      <c r="M107" s="123" t="e">
        <f>#REF!</f>
        <v>#REF!</v>
      </c>
      <c r="N107" s="123" t="e">
        <f>#REF!</f>
        <v>#REF!</v>
      </c>
      <c r="O107" s="123" t="e">
        <f>#REF!</f>
        <v>#REF!</v>
      </c>
      <c r="P107" s="123" t="e">
        <f>#REF!</f>
        <v>#REF!</v>
      </c>
      <c r="Q107" s="134">
        <f t="shared" si="514"/>
        <v>0</v>
      </c>
      <c r="R107" s="124">
        <f>SUMIFS(商品数据源!$T:$T,商品数据源!$A:$A,$B$101,商品数据源!$B:$B,R2)</f>
        <v>0</v>
      </c>
      <c r="S107" s="124">
        <f>SUMIFS(商品数据源!$T:$T,商品数据源!$A:$A,$B$101,商品数据源!$B:$B,S2)</f>
        <v>0</v>
      </c>
      <c r="T107" s="124">
        <f>SUMIFS(商品数据源!$T:$T,商品数据源!$A:$A,$B$101,商品数据源!$B:$B,T2)</f>
        <v>0</v>
      </c>
      <c r="U107" s="124">
        <f>SUMIFS(商品数据源!$T:$T,商品数据源!$A:$A,$B$101,商品数据源!$B:$B,U2)</f>
        <v>0</v>
      </c>
      <c r="V107" s="124">
        <f>SUMIFS(商品数据源!$T:$T,商品数据源!$A:$A,$B$101,商品数据源!$B:$B,V2)</f>
        <v>0</v>
      </c>
      <c r="W107" s="124">
        <f>SUMIFS(商品数据源!$T:$T,商品数据源!$A:$A,$B$101,商品数据源!$B:$B,W2)</f>
        <v>0</v>
      </c>
      <c r="X107" s="124">
        <f>SUMIFS(商品数据源!$T:$T,商品数据源!$A:$A,$B$101,商品数据源!$B:$B,X2)</f>
        <v>0</v>
      </c>
      <c r="Y107" s="124">
        <f>SUMIFS(商品数据源!$T:$T,商品数据源!$A:$A,$B$101,商品数据源!$B:$B,Y2)</f>
        <v>0</v>
      </c>
      <c r="Z107" s="124">
        <f>SUMIFS(商品数据源!$T:$T,商品数据源!$A:$A,$B$101,商品数据源!$B:$B,Z2)</f>
        <v>0</v>
      </c>
      <c r="AA107" s="124">
        <f>SUMIFS(商品数据源!$T:$T,商品数据源!$A:$A,$B$101,商品数据源!$B:$B,AA2)</f>
        <v>0</v>
      </c>
      <c r="AB107" s="124">
        <f>SUMIFS(商品数据源!$T:$T,商品数据源!$A:$A,$B$101,商品数据源!$B:$B,AB2)</f>
        <v>0</v>
      </c>
      <c r="AC107" s="124">
        <f>SUMIFS(商品数据源!$T:$T,商品数据源!$A:$A,$B$101,商品数据源!$B:$B,AC2)</f>
        <v>0</v>
      </c>
      <c r="AD107" s="124">
        <f>SUMIFS(商品数据源!$T:$T,商品数据源!$A:$A,$B$101,商品数据源!$B:$B,AD2)</f>
        <v>0</v>
      </c>
      <c r="AE107" s="124">
        <f>SUMIFS(商品数据源!$T:$T,商品数据源!$A:$A,$B$101,商品数据源!$B:$B,AE2)</f>
        <v>0</v>
      </c>
      <c r="AF107" s="124">
        <f>SUMIFS(商品数据源!$T:$T,商品数据源!$A:$A,$B$101,商品数据源!$B:$B,AF2)</f>
        <v>0</v>
      </c>
      <c r="AG107" s="124">
        <f>SUMIFS(商品数据源!$T:$T,商品数据源!$A:$A,$B$101,商品数据源!$B:$B,AG2)</f>
        <v>0</v>
      </c>
      <c r="AH107" s="124">
        <f>SUMIFS(商品数据源!$T:$T,商品数据源!$A:$A,$B$101,商品数据源!$B:$B,AH2)</f>
        <v>0</v>
      </c>
      <c r="AI107" s="124">
        <f>SUMIFS(商品数据源!$T:$T,商品数据源!$A:$A,$B$101,商品数据源!$B:$B,AI2)</f>
        <v>0</v>
      </c>
      <c r="AJ107" s="124">
        <f>SUMIFS(商品数据源!$T:$T,商品数据源!$A:$A,$B$101,商品数据源!$B:$B,AJ2)</f>
        <v>0</v>
      </c>
      <c r="AK107" s="124">
        <f>SUMIFS(商品数据源!$T:$T,商品数据源!$A:$A,$B$101,商品数据源!$B:$B,AK2)</f>
        <v>0</v>
      </c>
      <c r="AL107" s="124">
        <f>SUMIFS(商品数据源!$T:$T,商品数据源!$A:$A,$B$101,商品数据源!$B:$B,AL2)</f>
        <v>0</v>
      </c>
      <c r="AM107" s="124">
        <f>SUMIFS(商品数据源!$T:$T,商品数据源!$A:$A,$B$101,商品数据源!$B:$B,AM2)</f>
        <v>0</v>
      </c>
      <c r="AN107" s="124">
        <f>SUMIFS(商品数据源!$T:$T,商品数据源!$A:$A,$B$101,商品数据源!$B:$B,AN2)</f>
        <v>0</v>
      </c>
      <c r="AO107" s="124">
        <f>SUMIFS(商品数据源!$T:$T,商品数据源!$A:$A,$B$101,商品数据源!$B:$B,AO2)</f>
        <v>0</v>
      </c>
      <c r="AP107" s="124">
        <f>SUMIFS(商品数据源!$T:$T,商品数据源!$A:$A,$B$101,商品数据源!$B:$B,AP2)</f>
        <v>0</v>
      </c>
      <c r="AQ107" s="124">
        <f>SUMIFS(商品数据源!$T:$T,商品数据源!$A:$A,$B$101,商品数据源!$B:$B,AQ2)</f>
        <v>0</v>
      </c>
      <c r="AR107" s="124">
        <f>SUMIFS(商品数据源!$T:$T,商品数据源!$A:$A,$B$101,商品数据源!$B:$B,AR2)</f>
        <v>0</v>
      </c>
      <c r="AS107" s="124">
        <f>SUMIFS(商品数据源!$T:$T,商品数据源!$A:$A,$B$101,商品数据源!$B:$B,AS2)</f>
        <v>0</v>
      </c>
      <c r="AT107" s="124">
        <f>SUMIFS(商品数据源!$T:$T,商品数据源!$A:$A,$B$101,商品数据源!$B:$B,AT2)</f>
        <v>0</v>
      </c>
      <c r="AU107" s="124">
        <f>SUMIFS(商品数据源!$T:$T,商品数据源!$A:$A,$B$101,商品数据源!$B:$B,AU2)</f>
        <v>0</v>
      </c>
      <c r="AV107" s="124">
        <f>SUMIFS(商品数据源!$T:$T,商品数据源!$A:$A,$B$101,商品数据源!$B:$B,AV2)</f>
        <v>0</v>
      </c>
      <c r="AW107" s="134">
        <f>SUM(AX107:BY107)</f>
        <v>0</v>
      </c>
      <c r="AX107" s="124">
        <f>SUMIFS(商品数据源!$T:$T,商品数据源!$A:$A,$B$101,商品数据源!$B:$B,AX2)</f>
        <v>0</v>
      </c>
      <c r="AY107" s="124">
        <f>SUMIFS(商品数据源!$T:$T,商品数据源!$A:$A,$B$101,商品数据源!$B:$B,AY2)</f>
        <v>0</v>
      </c>
      <c r="AZ107" s="124">
        <f>SUMIFS(商品数据源!$T:$T,商品数据源!$A:$A,$B$101,商品数据源!$B:$B,AZ2)</f>
        <v>0</v>
      </c>
      <c r="BA107" s="124">
        <f>SUMIFS(商品数据源!$T:$T,商品数据源!$A:$A,$B$101,商品数据源!$B:$B,BA2)</f>
        <v>0</v>
      </c>
      <c r="BB107" s="124">
        <f>SUMIFS(商品数据源!$T:$T,商品数据源!$A:$A,$B$101,商品数据源!$B:$B,BB2)</f>
        <v>0</v>
      </c>
      <c r="BC107" s="124">
        <f>SUMIFS(商品数据源!$T:$T,商品数据源!$A:$A,$B$101,商品数据源!$B:$B,BC2)</f>
        <v>0</v>
      </c>
      <c r="BD107" s="124">
        <f>SUMIFS(商品数据源!$T:$T,商品数据源!$A:$A,$B$101,商品数据源!$B:$B,BD2)</f>
        <v>0</v>
      </c>
      <c r="BE107" s="124">
        <f>SUMIFS(商品数据源!$T:$T,商品数据源!$A:$A,$B$101,商品数据源!$B:$B,BE2)</f>
        <v>0</v>
      </c>
      <c r="BF107" s="124">
        <f>SUMIFS(商品数据源!$T:$T,商品数据源!$A:$A,$B$101,商品数据源!$B:$B,BF2)</f>
        <v>0</v>
      </c>
      <c r="BG107" s="124">
        <f>SUMIFS(商品数据源!$T:$T,商品数据源!$A:$A,$B$101,商品数据源!$B:$B,BG2)</f>
        <v>0</v>
      </c>
      <c r="BH107" s="124">
        <f>SUMIFS(商品数据源!$T:$T,商品数据源!$A:$A,$B$101,商品数据源!$B:$B,BH2)</f>
        <v>0</v>
      </c>
      <c r="BI107" s="124">
        <f>SUMIFS(商品数据源!$T:$T,商品数据源!$A:$A,$B$101,商品数据源!$B:$B,BI2)</f>
        <v>0</v>
      </c>
      <c r="BJ107" s="124">
        <f>SUMIFS(商品数据源!$T:$T,商品数据源!$A:$A,$B$101,商品数据源!$B:$B,BJ2)</f>
        <v>0</v>
      </c>
      <c r="BK107" s="124">
        <f>SUMIFS(商品数据源!$T:$T,商品数据源!$A:$A,$B$101,商品数据源!$B:$B,BK2)</f>
        <v>0</v>
      </c>
      <c r="BL107" s="124">
        <f>SUMIFS(商品数据源!$T:$T,商品数据源!$A:$A,$B$101,商品数据源!$B:$B,BL2)</f>
        <v>0</v>
      </c>
      <c r="BM107" s="124">
        <f>SUMIFS(商品数据源!$T:$T,商品数据源!$A:$A,$B$101,商品数据源!$B:$B,BM2)</f>
        <v>0</v>
      </c>
      <c r="BN107" s="124">
        <f>SUMIFS(商品数据源!$T:$T,商品数据源!$A:$A,$B$101,商品数据源!$B:$B,BN2)</f>
        <v>0</v>
      </c>
      <c r="BO107" s="124">
        <f>SUMIFS(商品数据源!$T:$T,商品数据源!$A:$A,$B$101,商品数据源!$B:$B,BO2)</f>
        <v>0</v>
      </c>
      <c r="BP107" s="124">
        <f>SUMIFS(商品数据源!$T:$T,商品数据源!$A:$A,$B$101,商品数据源!$B:$B,BP2)</f>
        <v>0</v>
      </c>
      <c r="BQ107" s="124">
        <f>SUMIFS(商品数据源!$T:$T,商品数据源!$A:$A,$B$101,商品数据源!$B:$B,BQ2)</f>
        <v>0</v>
      </c>
      <c r="BR107" s="124">
        <f>SUMIFS(商品数据源!$T:$T,商品数据源!$A:$A,$B$101,商品数据源!$B:$B,BR2)</f>
        <v>0</v>
      </c>
      <c r="BS107" s="124">
        <f>SUMIFS(商品数据源!$T:$T,商品数据源!$A:$A,$B$101,商品数据源!$B:$B,BS2)</f>
        <v>0</v>
      </c>
      <c r="BT107" s="124">
        <f>SUMIFS(商品数据源!$T:$T,商品数据源!$A:$A,$B$101,商品数据源!$B:$B,BT2)</f>
        <v>0</v>
      </c>
      <c r="BU107" s="124">
        <f>SUMIFS(商品数据源!$T:$T,商品数据源!$A:$A,$B$101,商品数据源!$B:$B,BU2)</f>
        <v>0</v>
      </c>
      <c r="BV107" s="124">
        <f>SUMIFS(商品数据源!$T:$T,商品数据源!$A:$A,$B$101,商品数据源!$B:$B,BV2)</f>
        <v>0</v>
      </c>
      <c r="BW107" s="124">
        <f>SUMIFS(商品数据源!$T:$T,商品数据源!$A:$A,$B$101,商品数据源!$B:$B,BW2)</f>
        <v>0</v>
      </c>
      <c r="BX107" s="124">
        <f>SUMIFS(商品数据源!$T:$T,商品数据源!$A:$A,$B$101,商品数据源!$B:$B,BX2)</f>
        <v>0</v>
      </c>
      <c r="BY107" s="124">
        <f>SUMIFS(商品数据源!$T:$T,商品数据源!$A:$A,$B$101,商品数据源!$B:$B,BY2)</f>
        <v>0</v>
      </c>
      <c r="BZ107" s="134">
        <f>SUM(CA107:DE107)</f>
        <v>0</v>
      </c>
      <c r="CA107" s="124">
        <f>SUMIFS(商品数据源!$T:$T,商品数据源!$A:$A,$B$101,商品数据源!$B:$B,CA2)</f>
        <v>0</v>
      </c>
      <c r="CB107" s="124">
        <f>SUMIFS(商品数据源!$T:$T,商品数据源!$A:$A,$B$101,商品数据源!$B:$B,CB2)</f>
        <v>0</v>
      </c>
      <c r="CC107" s="124">
        <f>SUMIFS(商品数据源!$T:$T,商品数据源!$A:$A,$B$101,商品数据源!$B:$B,CC2)</f>
        <v>0</v>
      </c>
      <c r="CD107" s="124">
        <f>SUMIFS(商品数据源!$T:$T,商品数据源!$A:$A,$B$101,商品数据源!$B:$B,CD2)</f>
        <v>0</v>
      </c>
      <c r="CE107" s="124">
        <f>SUMIFS(商品数据源!$T:$T,商品数据源!$A:$A,$B$101,商品数据源!$B:$B,CE2)</f>
        <v>0</v>
      </c>
      <c r="CF107" s="124">
        <f>SUMIFS(商品数据源!$T:$T,商品数据源!$A:$A,$B$101,商品数据源!$B:$B,CF2)</f>
        <v>0</v>
      </c>
      <c r="CG107" s="124">
        <f>SUMIFS(商品数据源!$T:$T,商品数据源!$A:$A,$B$101,商品数据源!$B:$B,CG2)</f>
        <v>0</v>
      </c>
      <c r="CH107" s="124">
        <f>SUMIFS(商品数据源!$T:$T,商品数据源!$A:$A,$B$101,商品数据源!$B:$B,CH2)</f>
        <v>0</v>
      </c>
      <c r="CI107" s="124">
        <f>SUMIFS(商品数据源!$T:$T,商品数据源!$A:$A,$B$101,商品数据源!$B:$B,CI2)</f>
        <v>0</v>
      </c>
      <c r="CJ107" s="124">
        <f>SUMIFS(商品数据源!$T:$T,商品数据源!$A:$A,$B$101,商品数据源!$B:$B,CJ2)</f>
        <v>0</v>
      </c>
      <c r="CK107" s="124">
        <f>SUMIFS(商品数据源!$T:$T,商品数据源!$A:$A,$B$101,商品数据源!$B:$B,CK2)</f>
        <v>0</v>
      </c>
      <c r="CL107" s="124">
        <f>SUMIFS(商品数据源!$T:$T,商品数据源!$A:$A,$B$101,商品数据源!$B:$B,CL2)</f>
        <v>0</v>
      </c>
      <c r="CM107" s="124">
        <f>SUMIFS(商品数据源!$T:$T,商品数据源!$A:$A,$B$101,商品数据源!$B:$B,CM2)</f>
        <v>0</v>
      </c>
      <c r="CN107" s="124">
        <f>SUMIFS(商品数据源!$T:$T,商品数据源!$A:$A,$B$101,商品数据源!$B:$B,CN2)</f>
        <v>0</v>
      </c>
      <c r="CO107" s="124">
        <f>SUMIFS(商品数据源!$T:$T,商品数据源!$A:$A,$B$101,商品数据源!$B:$B,CO2)</f>
        <v>0</v>
      </c>
      <c r="CP107" s="124">
        <f>SUMIFS(商品数据源!$T:$T,商品数据源!$A:$A,$B$101,商品数据源!$B:$B,CP2)</f>
        <v>0</v>
      </c>
      <c r="CQ107" s="124">
        <f>SUMIFS(商品数据源!$T:$T,商品数据源!$A:$A,$B$101,商品数据源!$B:$B,CQ2)</f>
        <v>0</v>
      </c>
      <c r="CR107" s="124">
        <f>SUMIFS(商品数据源!$T:$T,商品数据源!$A:$A,$B$101,商品数据源!$B:$B,CR2)</f>
        <v>0</v>
      </c>
      <c r="CS107" s="124">
        <f>SUMIFS(商品数据源!$T:$T,商品数据源!$A:$A,$B$101,商品数据源!$B:$B,CS2)</f>
        <v>0</v>
      </c>
      <c r="CT107" s="124">
        <f>SUMIFS(商品数据源!$T:$T,商品数据源!$A:$A,$B$101,商品数据源!$B:$B,CT2)</f>
        <v>0</v>
      </c>
      <c r="CU107" s="124">
        <f>SUMIFS(商品数据源!$T:$T,商品数据源!$A:$A,$B$101,商品数据源!$B:$B,CU2)</f>
        <v>0</v>
      </c>
      <c r="CV107" s="124">
        <f>SUMIFS(商品数据源!$T:$T,商品数据源!$A:$A,$B$101,商品数据源!$B:$B,CV2)</f>
        <v>0</v>
      </c>
      <c r="CW107" s="124">
        <f>SUMIFS(商品数据源!$T:$T,商品数据源!$A:$A,$B$101,商品数据源!$B:$B,CW2)</f>
        <v>0</v>
      </c>
      <c r="CX107" s="124">
        <f>SUMIFS(商品数据源!$T:$T,商品数据源!$A:$A,$B$101,商品数据源!$B:$B,CX2)</f>
        <v>0</v>
      </c>
      <c r="CY107" s="124">
        <f>SUMIFS(商品数据源!$T:$T,商品数据源!$A:$A,$B$101,商品数据源!$B:$B,CY2)</f>
        <v>0</v>
      </c>
      <c r="CZ107" s="124">
        <f>SUMIFS(商品数据源!$T:$T,商品数据源!$A:$A,$B$101,商品数据源!$B:$B,CZ2)</f>
        <v>0</v>
      </c>
      <c r="DA107" s="124">
        <f>SUMIFS(商品数据源!$T:$T,商品数据源!$A:$A,$B$101,商品数据源!$B:$B,DA2)</f>
        <v>0</v>
      </c>
      <c r="DB107" s="124">
        <f>SUMIFS(商品数据源!$T:$T,商品数据源!$A:$A,$B$101,商品数据源!$B:$B,DB2)</f>
        <v>0</v>
      </c>
      <c r="DC107" s="124">
        <f>SUMIFS(商品数据源!$T:$T,商品数据源!$A:$A,$B$101,商品数据源!$B:$B,DC2)</f>
        <v>0</v>
      </c>
      <c r="DD107" s="124">
        <f>SUMIFS(商品数据源!$T:$T,商品数据源!$A:$A,$B$101,商品数据源!$B:$B,DD2)</f>
        <v>0</v>
      </c>
      <c r="DE107" s="124">
        <f>SUMIFS(商品数据源!$T:$T,商品数据源!$A:$A,$B$101,商品数据源!$B:$B,DE2)</f>
        <v>0</v>
      </c>
      <c r="DF107" s="134">
        <f>SUM(DG107:EJ107)</f>
        <v>0</v>
      </c>
      <c r="DG107" s="124">
        <f>SUMIFS(商品数据源!$T:$T,商品数据源!$A:$A,$B$101,商品数据源!$B:$B,DG2)</f>
        <v>0</v>
      </c>
      <c r="DH107" s="124">
        <f>SUMIFS(商品数据源!$T:$T,商品数据源!$A:$A,$B$101,商品数据源!$B:$B,DH2)</f>
        <v>0</v>
      </c>
      <c r="DI107" s="124">
        <f>SUMIFS(商品数据源!$T:$T,商品数据源!$A:$A,$B$101,商品数据源!$B:$B,DI2)</f>
        <v>0</v>
      </c>
      <c r="DJ107" s="124">
        <f>SUMIFS(商品数据源!$T:$T,商品数据源!$A:$A,$B$101,商品数据源!$B:$B,DJ2)</f>
        <v>0</v>
      </c>
      <c r="DK107" s="124">
        <f>SUMIFS(商品数据源!$T:$T,商品数据源!$A:$A,$B$101,商品数据源!$B:$B,DK2)</f>
        <v>0</v>
      </c>
      <c r="DL107" s="124">
        <f>SUMIFS(商品数据源!$T:$T,商品数据源!$A:$A,$B$101,商品数据源!$B:$B,DL2)</f>
        <v>0</v>
      </c>
      <c r="DM107" s="124">
        <f>SUMIFS(商品数据源!$T:$T,商品数据源!$A:$A,$B$101,商品数据源!$B:$B,DM2)</f>
        <v>0</v>
      </c>
      <c r="DN107" s="124">
        <f>SUMIFS(商品数据源!$T:$T,商品数据源!$A:$A,$B$101,商品数据源!$B:$B,DN2)</f>
        <v>0</v>
      </c>
      <c r="DO107" s="124">
        <f>SUMIFS(商品数据源!$T:$T,商品数据源!$A:$A,$B$101,商品数据源!$B:$B,DO2)</f>
        <v>0</v>
      </c>
      <c r="DP107" s="124">
        <f>SUMIFS(商品数据源!$T:$T,商品数据源!$A:$A,$B$101,商品数据源!$B:$B,DP2)</f>
        <v>0</v>
      </c>
      <c r="DQ107" s="124">
        <f>SUMIFS(商品数据源!$T:$T,商品数据源!$A:$A,$B$101,商品数据源!$B:$B,DQ2)</f>
        <v>0</v>
      </c>
      <c r="DR107" s="124">
        <f>SUMIFS(商品数据源!$T:$T,商品数据源!$A:$A,$B$101,商品数据源!$B:$B,DR2)</f>
        <v>0</v>
      </c>
      <c r="DS107" s="124">
        <f>SUMIFS(商品数据源!$T:$T,商品数据源!$A:$A,$B$101,商品数据源!$B:$B,DS2)</f>
        <v>0</v>
      </c>
      <c r="DT107" s="124">
        <f>SUMIFS(商品数据源!$T:$T,商品数据源!$A:$A,$B$101,商品数据源!$B:$B,DT2)</f>
        <v>0</v>
      </c>
      <c r="DU107" s="124">
        <f>SUMIFS(商品数据源!$T:$T,商品数据源!$A:$A,$B$101,商品数据源!$B:$B,DU2)</f>
        <v>0</v>
      </c>
      <c r="DV107" s="124">
        <f>SUMIFS(商品数据源!$T:$T,商品数据源!$A:$A,$B$101,商品数据源!$B:$B,DV2)</f>
        <v>0</v>
      </c>
      <c r="DW107" s="124">
        <f>SUMIFS(商品数据源!$T:$T,商品数据源!$A:$A,$B$101,商品数据源!$B:$B,DW2)</f>
        <v>0</v>
      </c>
      <c r="DX107" s="124">
        <f>SUMIFS(商品数据源!$T:$T,商品数据源!$A:$A,$B$101,商品数据源!$B:$B,DX2)</f>
        <v>0</v>
      </c>
      <c r="DY107" s="124">
        <f>SUMIFS(商品数据源!$T:$T,商品数据源!$A:$A,$B$101,商品数据源!$B:$B,DY2)</f>
        <v>0</v>
      </c>
      <c r="DZ107" s="124">
        <f>SUMIFS(商品数据源!$T:$T,商品数据源!$A:$A,$B$101,商品数据源!$B:$B,DZ2)</f>
        <v>0</v>
      </c>
      <c r="EA107" s="124">
        <f>SUMIFS(商品数据源!$T:$T,商品数据源!$A:$A,$B$101,商品数据源!$B:$B,EA2)</f>
        <v>0</v>
      </c>
      <c r="EB107" s="124">
        <f>SUMIFS(商品数据源!$T:$T,商品数据源!$A:$A,$B$101,商品数据源!$B:$B,EB2)</f>
        <v>0</v>
      </c>
      <c r="EC107" s="124">
        <f>SUMIFS(商品数据源!$T:$T,商品数据源!$A:$A,$B$101,商品数据源!$B:$B,EC2)</f>
        <v>0</v>
      </c>
      <c r="ED107" s="124">
        <f>SUMIFS(商品数据源!$T:$T,商品数据源!$A:$A,$B$101,商品数据源!$B:$B,ED2)</f>
        <v>0</v>
      </c>
      <c r="EE107" s="124">
        <f>SUMIFS(商品数据源!$T:$T,商品数据源!$A:$A,$B$101,商品数据源!$B:$B,EE2)</f>
        <v>0</v>
      </c>
      <c r="EF107" s="124">
        <f>SUMIFS(商品数据源!$T:$T,商品数据源!$A:$A,$B$101,商品数据源!$B:$B,EF2)</f>
        <v>0</v>
      </c>
      <c r="EG107" s="124">
        <f>SUMIFS(商品数据源!$T:$T,商品数据源!$A:$A,$B$101,商品数据源!$B:$B,EG2)</f>
        <v>0</v>
      </c>
      <c r="EH107" s="124">
        <f>SUMIFS(商品数据源!$T:$T,商品数据源!$A:$A,$B$101,商品数据源!$B:$B,EH2)</f>
        <v>0</v>
      </c>
      <c r="EI107" s="124">
        <f>SUMIFS(商品数据源!$T:$T,商品数据源!$A:$A,$B$101,商品数据源!$B:$B,EI2)</f>
        <v>0</v>
      </c>
      <c r="EJ107" s="124">
        <f>SUMIFS(商品数据源!$T:$T,商品数据源!$A:$A,$B$101,商品数据源!$B:$B,EJ2)</f>
        <v>0</v>
      </c>
      <c r="EK107" s="134">
        <f>SUM(EL107:FP107)</f>
        <v>8241.26</v>
      </c>
      <c r="EL107" s="124">
        <f>SUMIFS(商品数据源!$T:$T,商品数据源!$A:$A,$B$101,商品数据源!$B:$B,EL2)</f>
        <v>0</v>
      </c>
      <c r="EM107" s="124">
        <f>SUMIFS(商品数据源!$T:$T,商品数据源!$A:$A,$B$101,商品数据源!$B:$B,EM2)</f>
        <v>0</v>
      </c>
      <c r="EN107" s="124">
        <f>SUMIFS(商品数据源!$T:$T,商品数据源!$A:$A,$B$101,商品数据源!$B:$B,EN2)</f>
        <v>0</v>
      </c>
      <c r="EO107" s="124">
        <f>SUMIFS(商品数据源!$T:$T,商品数据源!$A:$A,$B$101,商品数据源!$B:$B,EO2)</f>
        <v>0</v>
      </c>
      <c r="EP107" s="124">
        <f>SUMIFS(商品数据源!$T:$T,商品数据源!$A:$A,$B$101,商品数据源!$B:$B,EP2)</f>
        <v>0</v>
      </c>
      <c r="EQ107" s="124">
        <f>SUMIFS(商品数据源!$T:$T,商品数据源!$A:$A,$B$101,商品数据源!$B:$B,EQ2)</f>
        <v>33.9</v>
      </c>
      <c r="ER107" s="124">
        <f>SUMIFS(商品数据源!$T:$T,商品数据源!$A:$A,$B$101,商品数据源!$B:$B,ER2)</f>
        <v>8074</v>
      </c>
      <c r="ES107" s="124">
        <f>SUMIFS(商品数据源!$T:$T,商品数据源!$A:$A,$B$101,商品数据源!$B:$B,ES2)</f>
        <v>0</v>
      </c>
      <c r="ET107" s="124">
        <f>SUMIFS(商品数据源!$T:$T,商品数据源!$A:$A,$B$101,商品数据源!$B:$B,ET2)</f>
        <v>0</v>
      </c>
      <c r="EU107" s="124">
        <f>SUMIFS(商品数据源!$T:$T,商品数据源!$A:$A,$B$101,商品数据源!$B:$B,EU2)</f>
        <v>61.36</v>
      </c>
      <c r="EV107" s="124">
        <f>SUMIFS(商品数据源!$T:$T,商品数据源!$A:$A,$B$101,商品数据源!$B:$B,EV2)</f>
        <v>0</v>
      </c>
      <c r="EW107" s="124">
        <f>SUMIFS(商品数据源!$T:$T,商品数据源!$A:$A,$B$101,商品数据源!$B:$B,EW2)</f>
        <v>42.4</v>
      </c>
      <c r="EX107" s="124">
        <f>SUMIFS(商品数据源!$T:$T,商品数据源!$A:$A,$B$101,商品数据源!$B:$B,EX2)</f>
        <v>29.6</v>
      </c>
      <c r="EY107" s="124">
        <f>SUMIFS(商品数据源!$T:$T,商品数据源!$A:$A,$B$101,商品数据源!$B:$B,EY2)</f>
        <v>0</v>
      </c>
      <c r="EZ107" s="124">
        <f>SUMIFS(商品数据源!$T:$T,商品数据源!$A:$A,$B$101,商品数据源!$B:$B,EZ2)</f>
        <v>0</v>
      </c>
      <c r="FA107" s="124">
        <f>SUMIFS(商品数据源!$T:$T,商品数据源!$A:$A,$B$101,商品数据源!$B:$B,FA2)</f>
        <v>0</v>
      </c>
      <c r="FB107" s="124">
        <f>SUMIFS(商品数据源!$T:$T,商品数据源!$A:$A,$B$101,商品数据源!$B:$B,FB2)</f>
        <v>0</v>
      </c>
      <c r="FC107" s="124">
        <f>SUMIFS(商品数据源!$T:$T,商品数据源!$A:$A,$B$101,商品数据源!$B:$B,FC2)</f>
        <v>0</v>
      </c>
      <c r="FD107" s="124">
        <f>SUMIFS(商品数据源!$T:$T,商品数据源!$A:$A,$B$101,商品数据源!$B:$B,FD2)</f>
        <v>0</v>
      </c>
      <c r="FE107" s="124">
        <f>SUMIFS(商品数据源!$T:$T,商品数据源!$A:$A,$B$101,商品数据源!$B:$B,FE2)</f>
        <v>0</v>
      </c>
      <c r="FF107" s="124">
        <f>SUMIFS(商品数据源!$T:$T,商品数据源!$A:$A,$B$101,商品数据源!$B:$B,FF2)</f>
        <v>0</v>
      </c>
      <c r="FG107" s="124">
        <f>SUMIFS(商品数据源!$T:$T,商品数据源!$A:$A,$B$101,商品数据源!$B:$B,FG2)</f>
        <v>0</v>
      </c>
      <c r="FH107" s="124">
        <f>SUMIFS(商品数据源!$T:$T,商品数据源!$A:$A,$B$101,商品数据源!$B:$B,FH2)</f>
        <v>0</v>
      </c>
      <c r="FI107" s="124">
        <f>SUMIFS(商品数据源!$T:$T,商品数据源!$A:$A,$B$101,商品数据源!$B:$B,FI2)</f>
        <v>0</v>
      </c>
      <c r="FJ107" s="124">
        <f>SUMIFS(商品数据源!$T:$T,商品数据源!$A:$A,$B$101,商品数据源!$B:$B,FJ2)</f>
        <v>0</v>
      </c>
      <c r="FK107" s="124">
        <f>SUMIFS(商品数据源!$T:$T,商品数据源!$A:$A,$B$101,商品数据源!$B:$B,FK2)</f>
        <v>0</v>
      </c>
      <c r="FL107" s="124">
        <f>SUMIFS(商品数据源!$T:$T,商品数据源!$A:$A,$B$101,商品数据源!$B:$B,FL2)</f>
        <v>0</v>
      </c>
      <c r="FM107" s="124">
        <f>SUMIFS(商品数据源!$T:$T,商品数据源!$A:$A,$B$101,商品数据源!$B:$B,FM2)</f>
        <v>0</v>
      </c>
      <c r="FN107" s="124">
        <f>SUMIFS(商品数据源!$T:$T,商品数据源!$A:$A,$B$101,商品数据源!$B:$B,FN2)</f>
        <v>0</v>
      </c>
      <c r="FO107" s="124">
        <f>SUMIFS(商品数据源!$T:$T,商品数据源!$A:$A,$B$101,商品数据源!$B:$B,FO2)</f>
        <v>0</v>
      </c>
      <c r="FP107" s="124">
        <f>SUMIFS(商品数据源!$T:$T,商品数据源!$A:$A,$B$101,商品数据源!$B:$B,FP2)</f>
        <v>0</v>
      </c>
      <c r="FQ107" s="134">
        <f t="shared" si="501"/>
        <v>1225.26</v>
      </c>
      <c r="FR107" s="124">
        <f>SUMIFS(商品数据源!$T:$T,商品数据源!$A:$A,$B$101,商品数据源!$B:$B,FR2)</f>
        <v>79.8</v>
      </c>
      <c r="FS107" s="124">
        <f>SUMIFS(商品数据源!$T:$T,商品数据源!$A:$A,$B$101,商品数据源!$B:$B,FS2)</f>
        <v>75.39</v>
      </c>
      <c r="FT107" s="124">
        <f>SUMIFS(商品数据源!$T:$T,商品数据源!$A:$A,$B$101,商品数据源!$B:$B,FT2)</f>
        <v>313.61</v>
      </c>
      <c r="FU107" s="124">
        <f>SUMIFS(商品数据源!$T:$T,商品数据源!$A:$A,$B$101,商品数据源!$B:$B,FU2)</f>
        <v>0</v>
      </c>
      <c r="FV107" s="124">
        <f>SUMIFS(商品数据源!$T:$T,商品数据源!$A:$A,$B$101,商品数据源!$B:$B,FV2)</f>
        <v>0</v>
      </c>
      <c r="FW107" s="124">
        <f>SUMIFS(商品数据源!$T:$T,商品数据源!$A:$A,$B$101,商品数据源!$B:$B,FW2)</f>
        <v>113.98</v>
      </c>
      <c r="FX107" s="124">
        <f>SUMIFS(商品数据源!$T:$T,商品数据源!$A:$A,$B$101,商品数据源!$B:$B,FX2)</f>
        <v>75.11</v>
      </c>
      <c r="FY107" s="124">
        <f>SUMIFS(商品数据源!$T:$T,商品数据源!$A:$A,$B$101,商品数据源!$B:$B,FY2)</f>
        <v>77.26</v>
      </c>
      <c r="FZ107" s="124">
        <f>SUMIFS(商品数据源!$T:$T,商品数据源!$A:$A,$B$101,商品数据源!$B:$B,FZ2)</f>
        <v>302.81</v>
      </c>
      <c r="GA107" s="124">
        <f>SUMIFS(商品数据源!$T:$T,商品数据源!$A:$A,$B$101,商品数据源!$B:$B,GA2)</f>
        <v>37.46</v>
      </c>
      <c r="GB107" s="124">
        <f>SUMIFS(商品数据源!$T:$T,商品数据源!$A:$A,$B$101,商品数据源!$B:$B,GB2)</f>
        <v>0</v>
      </c>
      <c r="GC107" s="124">
        <f>SUMIFS(商品数据源!$T:$T,商品数据源!$A:$A,$B$101,商品数据源!$B:$B,GC2)</f>
        <v>0</v>
      </c>
      <c r="GD107" s="124">
        <f>SUMIFS(商品数据源!$T:$T,商品数据源!$A:$A,$B$101,商品数据源!$B:$B,GD2)</f>
        <v>0</v>
      </c>
      <c r="GE107" s="124">
        <f>SUMIFS(商品数据源!$T:$T,商品数据源!$A:$A,$B$101,商品数据源!$B:$B,GE2)</f>
        <v>0</v>
      </c>
      <c r="GF107" s="124">
        <f>SUMIFS(商品数据源!$T:$T,商品数据源!$A:$A,$B$101,商品数据源!$B:$B,GF2)</f>
        <v>0</v>
      </c>
      <c r="GG107" s="124">
        <f>SUMIFS(商品数据源!$T:$T,商品数据源!$A:$A,$B$101,商品数据源!$B:$B,GG2)</f>
        <v>37.46</v>
      </c>
      <c r="GH107" s="124">
        <f>SUMIFS(商品数据源!$T:$T,商品数据源!$A:$A,$B$101,商品数据源!$B:$B,GH2)</f>
        <v>0</v>
      </c>
      <c r="GI107" s="124">
        <f>SUMIFS(商品数据源!$T:$T,商品数据源!$A:$A,$B$101,商品数据源!$B:$B,GI2)</f>
        <v>74.92</v>
      </c>
      <c r="GJ107" s="124">
        <f>SUMIFS(商品数据源!$T:$T,商品数据源!$A:$A,$B$101,商品数据源!$B:$B,GJ2)</f>
        <v>0</v>
      </c>
      <c r="GK107" s="124">
        <f>SUMIFS(商品数据源!$T:$T,商品数据源!$A:$A,$B$101,商品数据源!$B:$B,GK2)</f>
        <v>37.46</v>
      </c>
      <c r="GL107" s="124">
        <f>SUMIFS(商品数据源!$T:$T,商品数据源!$A:$A,$B$101,商品数据源!$B:$B,GL2)</f>
        <v>0</v>
      </c>
      <c r="GM107" s="124">
        <f>SUMIFS(商品数据源!$T:$T,商品数据源!$A:$A,$B$101,商品数据源!$B:$B,GM2)</f>
        <v>0</v>
      </c>
      <c r="GN107" s="124">
        <f>SUMIFS(商品数据源!$T:$T,商品数据源!$A:$A,$B$101,商品数据源!$B:$B,GN2)</f>
        <v>0</v>
      </c>
      <c r="GO107" s="124">
        <f>SUMIFS(商品数据源!$T:$T,商品数据源!$A:$A,$B$101,商品数据源!$B:$B,GO2)</f>
        <v>0</v>
      </c>
      <c r="GP107" s="124">
        <f>SUMIFS(商品数据源!$T:$T,商品数据源!$A:$A,$B$101,商品数据源!$B:$B,GP2)</f>
        <v>0</v>
      </c>
    </row>
    <row r="108" s="47" customFormat="1" ht="15" customHeight="1" spans="2:198">
      <c r="B108" s="103"/>
      <c r="C108" s="109" t="s">
        <v>14</v>
      </c>
      <c r="D108" s="128" t="e">
        <f t="shared" ref="D108:O108" si="515">D107/D101</f>
        <v>#REF!</v>
      </c>
      <c r="E108" s="111" t="e">
        <f t="shared" si="515"/>
        <v>#REF!</v>
      </c>
      <c r="F108" s="111" t="e">
        <f t="shared" si="515"/>
        <v>#REF!</v>
      </c>
      <c r="G108" s="111" t="e">
        <f t="shared" si="515"/>
        <v>#REF!</v>
      </c>
      <c r="H108" s="111" t="e">
        <f t="shared" si="515"/>
        <v>#REF!</v>
      </c>
      <c r="I108" s="111" t="e">
        <f t="shared" si="515"/>
        <v>#REF!</v>
      </c>
      <c r="J108" s="111" t="e">
        <f t="shared" si="515"/>
        <v>#REF!</v>
      </c>
      <c r="K108" s="111" t="e">
        <f t="shared" si="515"/>
        <v>#REF!</v>
      </c>
      <c r="L108" s="111" t="e">
        <f t="shared" si="515"/>
        <v>#REF!</v>
      </c>
      <c r="M108" s="111" t="e">
        <f t="shared" si="515"/>
        <v>#REF!</v>
      </c>
      <c r="N108" s="111" t="e">
        <f t="shared" si="515"/>
        <v>#REF!</v>
      </c>
      <c r="O108" s="111" t="e">
        <f t="shared" si="515"/>
        <v>#REF!</v>
      </c>
      <c r="P108" s="111" t="e">
        <f t="shared" ref="P108:V108" si="516">P107/P101</f>
        <v>#REF!</v>
      </c>
      <c r="Q108" s="70" t="e">
        <f t="shared" si="516"/>
        <v>#DIV/0!</v>
      </c>
      <c r="R108" s="129" t="e">
        <f t="shared" si="516"/>
        <v>#DIV/0!</v>
      </c>
      <c r="S108" s="129" t="e">
        <f t="shared" ref="S108:X108" si="517">S107/S101</f>
        <v>#DIV/0!</v>
      </c>
      <c r="T108" s="129" t="e">
        <f t="shared" si="517"/>
        <v>#DIV/0!</v>
      </c>
      <c r="U108" s="129" t="e">
        <f t="shared" si="517"/>
        <v>#DIV/0!</v>
      </c>
      <c r="V108" s="129" t="e">
        <f t="shared" si="517"/>
        <v>#DIV/0!</v>
      </c>
      <c r="W108" s="129" t="e">
        <f t="shared" si="517"/>
        <v>#DIV/0!</v>
      </c>
      <c r="X108" s="129" t="e">
        <f t="shared" si="517"/>
        <v>#DIV/0!</v>
      </c>
      <c r="Y108" s="129" t="e">
        <f t="shared" ref="Y108:AL108" si="518">Y107/Y101</f>
        <v>#DIV/0!</v>
      </c>
      <c r="Z108" s="129" t="e">
        <f t="shared" si="518"/>
        <v>#DIV/0!</v>
      </c>
      <c r="AA108" s="129" t="e">
        <f t="shared" si="518"/>
        <v>#DIV/0!</v>
      </c>
      <c r="AB108" s="129" t="e">
        <f t="shared" si="518"/>
        <v>#DIV/0!</v>
      </c>
      <c r="AC108" s="129" t="e">
        <f t="shared" si="518"/>
        <v>#DIV/0!</v>
      </c>
      <c r="AD108" s="129" t="e">
        <f t="shared" si="518"/>
        <v>#DIV/0!</v>
      </c>
      <c r="AE108" s="129" t="e">
        <f t="shared" si="518"/>
        <v>#DIV/0!</v>
      </c>
      <c r="AF108" s="129" t="e">
        <f t="shared" si="518"/>
        <v>#DIV/0!</v>
      </c>
      <c r="AG108" s="129" t="e">
        <f t="shared" si="518"/>
        <v>#DIV/0!</v>
      </c>
      <c r="AH108" s="129" t="e">
        <f t="shared" si="518"/>
        <v>#DIV/0!</v>
      </c>
      <c r="AI108" s="129" t="e">
        <f t="shared" si="518"/>
        <v>#DIV/0!</v>
      </c>
      <c r="AJ108" s="129" t="e">
        <f t="shared" si="518"/>
        <v>#DIV/0!</v>
      </c>
      <c r="AK108" s="129" t="e">
        <f t="shared" si="518"/>
        <v>#DIV/0!</v>
      </c>
      <c r="AL108" s="129" t="e">
        <f t="shared" ref="AL108:BH108" si="519">AL107/AL101</f>
        <v>#DIV/0!</v>
      </c>
      <c r="AM108" s="129" t="e">
        <f t="shared" si="519"/>
        <v>#DIV/0!</v>
      </c>
      <c r="AN108" s="129" t="e">
        <f t="shared" si="519"/>
        <v>#DIV/0!</v>
      </c>
      <c r="AO108" s="129" t="e">
        <f t="shared" si="519"/>
        <v>#DIV/0!</v>
      </c>
      <c r="AP108" s="129" t="e">
        <f t="shared" si="519"/>
        <v>#DIV/0!</v>
      </c>
      <c r="AQ108" s="129" t="e">
        <f t="shared" si="519"/>
        <v>#DIV/0!</v>
      </c>
      <c r="AR108" s="129" t="e">
        <f t="shared" si="519"/>
        <v>#DIV/0!</v>
      </c>
      <c r="AS108" s="129" t="e">
        <f t="shared" si="519"/>
        <v>#DIV/0!</v>
      </c>
      <c r="AT108" s="129" t="e">
        <f t="shared" si="519"/>
        <v>#DIV/0!</v>
      </c>
      <c r="AU108" s="129" t="e">
        <f t="shared" si="519"/>
        <v>#DIV/0!</v>
      </c>
      <c r="AV108" s="129" t="e">
        <f t="shared" si="519"/>
        <v>#DIV/0!</v>
      </c>
      <c r="AW108" s="70" t="e">
        <f t="shared" si="519"/>
        <v>#DIV/0!</v>
      </c>
      <c r="AX108" s="129" t="e">
        <f t="shared" si="519"/>
        <v>#DIV/0!</v>
      </c>
      <c r="AY108" s="129" t="e">
        <f t="shared" si="519"/>
        <v>#DIV/0!</v>
      </c>
      <c r="AZ108" s="129" t="e">
        <f t="shared" si="519"/>
        <v>#DIV/0!</v>
      </c>
      <c r="BA108" s="129" t="e">
        <f t="shared" si="519"/>
        <v>#DIV/0!</v>
      </c>
      <c r="BB108" s="129" t="e">
        <f t="shared" si="519"/>
        <v>#DIV/0!</v>
      </c>
      <c r="BC108" s="129" t="e">
        <f t="shared" si="519"/>
        <v>#DIV/0!</v>
      </c>
      <c r="BD108" s="129" t="e">
        <f t="shared" si="519"/>
        <v>#DIV/0!</v>
      </c>
      <c r="BE108" s="129" t="e">
        <f t="shared" si="519"/>
        <v>#DIV/0!</v>
      </c>
      <c r="BF108" s="129" t="e">
        <f t="shared" si="519"/>
        <v>#DIV/0!</v>
      </c>
      <c r="BG108" s="129" t="e">
        <f t="shared" si="519"/>
        <v>#DIV/0!</v>
      </c>
      <c r="BH108" s="129" t="e">
        <f t="shared" si="519"/>
        <v>#DIV/0!</v>
      </c>
      <c r="BI108" s="129" t="e">
        <f t="shared" ref="BI108:BW108" si="520">BI107/BI101</f>
        <v>#DIV/0!</v>
      </c>
      <c r="BJ108" s="129" t="e">
        <f t="shared" si="520"/>
        <v>#DIV/0!</v>
      </c>
      <c r="BK108" s="129" t="e">
        <f t="shared" si="520"/>
        <v>#DIV/0!</v>
      </c>
      <c r="BL108" s="129" t="e">
        <f t="shared" si="520"/>
        <v>#DIV/0!</v>
      </c>
      <c r="BM108" s="129" t="e">
        <f t="shared" si="520"/>
        <v>#DIV/0!</v>
      </c>
      <c r="BN108" s="129" t="e">
        <f t="shared" si="520"/>
        <v>#DIV/0!</v>
      </c>
      <c r="BO108" s="129" t="e">
        <f t="shared" si="520"/>
        <v>#DIV/0!</v>
      </c>
      <c r="BP108" s="129" t="e">
        <f t="shared" si="520"/>
        <v>#DIV/0!</v>
      </c>
      <c r="BQ108" s="129" t="e">
        <f t="shared" si="520"/>
        <v>#DIV/0!</v>
      </c>
      <c r="BR108" s="129" t="e">
        <f t="shared" si="520"/>
        <v>#DIV/0!</v>
      </c>
      <c r="BS108" s="129" t="e">
        <f t="shared" si="520"/>
        <v>#DIV/0!</v>
      </c>
      <c r="BT108" s="129" t="e">
        <f t="shared" si="520"/>
        <v>#DIV/0!</v>
      </c>
      <c r="BU108" s="129" t="e">
        <f t="shared" si="520"/>
        <v>#DIV/0!</v>
      </c>
      <c r="BV108" s="129" t="e">
        <f t="shared" si="520"/>
        <v>#DIV/0!</v>
      </c>
      <c r="BW108" s="129" t="e">
        <f t="shared" si="520"/>
        <v>#DIV/0!</v>
      </c>
      <c r="BX108" s="129" t="e">
        <f t="shared" ref="BX108:CH108" si="521">BX107/BX101</f>
        <v>#DIV/0!</v>
      </c>
      <c r="BY108" s="129" t="e">
        <f t="shared" si="521"/>
        <v>#DIV/0!</v>
      </c>
      <c r="BZ108" s="70" t="e">
        <f t="shared" si="521"/>
        <v>#DIV/0!</v>
      </c>
      <c r="CA108" s="129" t="e">
        <f t="shared" si="521"/>
        <v>#DIV/0!</v>
      </c>
      <c r="CB108" s="129" t="e">
        <f t="shared" si="521"/>
        <v>#DIV/0!</v>
      </c>
      <c r="CC108" s="129" t="e">
        <f t="shared" si="521"/>
        <v>#DIV/0!</v>
      </c>
      <c r="CD108" s="129" t="e">
        <f t="shared" si="521"/>
        <v>#DIV/0!</v>
      </c>
      <c r="CE108" s="129" t="e">
        <f t="shared" si="521"/>
        <v>#DIV/0!</v>
      </c>
      <c r="CF108" s="129" t="e">
        <f t="shared" si="521"/>
        <v>#DIV/0!</v>
      </c>
      <c r="CG108" s="129" t="e">
        <f t="shared" si="521"/>
        <v>#DIV/0!</v>
      </c>
      <c r="CH108" s="129" t="e">
        <f t="shared" si="521"/>
        <v>#DIV/0!</v>
      </c>
      <c r="CI108" s="129" t="e">
        <f t="shared" ref="CI108:EH108" si="522">CI107/CI101</f>
        <v>#DIV/0!</v>
      </c>
      <c r="CJ108" s="129" t="e">
        <f t="shared" si="522"/>
        <v>#DIV/0!</v>
      </c>
      <c r="CK108" s="129" t="e">
        <f t="shared" si="522"/>
        <v>#DIV/0!</v>
      </c>
      <c r="CL108" s="129" t="e">
        <f t="shared" si="522"/>
        <v>#DIV/0!</v>
      </c>
      <c r="CM108" s="129" t="e">
        <f t="shared" si="522"/>
        <v>#DIV/0!</v>
      </c>
      <c r="CN108" s="129" t="e">
        <f t="shared" si="522"/>
        <v>#DIV/0!</v>
      </c>
      <c r="CO108" s="129" t="e">
        <f t="shared" si="522"/>
        <v>#DIV/0!</v>
      </c>
      <c r="CP108" s="129" t="e">
        <f t="shared" si="522"/>
        <v>#DIV/0!</v>
      </c>
      <c r="CQ108" s="129" t="e">
        <f t="shared" si="522"/>
        <v>#DIV/0!</v>
      </c>
      <c r="CR108" s="129" t="e">
        <f t="shared" si="522"/>
        <v>#DIV/0!</v>
      </c>
      <c r="CS108" s="129" t="e">
        <f t="shared" si="522"/>
        <v>#DIV/0!</v>
      </c>
      <c r="CT108" s="129" t="e">
        <f t="shared" si="522"/>
        <v>#DIV/0!</v>
      </c>
      <c r="CU108" s="129" t="e">
        <f t="shared" si="522"/>
        <v>#DIV/0!</v>
      </c>
      <c r="CV108" s="129" t="e">
        <f t="shared" si="522"/>
        <v>#DIV/0!</v>
      </c>
      <c r="CW108" s="129" t="e">
        <f t="shared" si="522"/>
        <v>#DIV/0!</v>
      </c>
      <c r="CX108" s="129" t="e">
        <f t="shared" si="522"/>
        <v>#DIV/0!</v>
      </c>
      <c r="CY108" s="129" t="e">
        <f t="shared" si="522"/>
        <v>#DIV/0!</v>
      </c>
      <c r="CZ108" s="129" t="e">
        <f t="shared" si="522"/>
        <v>#DIV/0!</v>
      </c>
      <c r="DA108" s="129" t="e">
        <f t="shared" si="522"/>
        <v>#DIV/0!</v>
      </c>
      <c r="DB108" s="129" t="e">
        <f t="shared" si="522"/>
        <v>#DIV/0!</v>
      </c>
      <c r="DC108" s="129" t="e">
        <f t="shared" si="522"/>
        <v>#DIV/0!</v>
      </c>
      <c r="DD108" s="129" t="e">
        <f t="shared" si="522"/>
        <v>#DIV/0!</v>
      </c>
      <c r="DE108" s="129" t="e">
        <f t="shared" si="522"/>
        <v>#DIV/0!</v>
      </c>
      <c r="DF108" s="70" t="e">
        <f t="shared" si="522"/>
        <v>#DIV/0!</v>
      </c>
      <c r="DG108" s="129" t="e">
        <f t="shared" si="522"/>
        <v>#DIV/0!</v>
      </c>
      <c r="DH108" s="129" t="e">
        <f t="shared" si="522"/>
        <v>#DIV/0!</v>
      </c>
      <c r="DI108" s="129" t="e">
        <f t="shared" si="522"/>
        <v>#DIV/0!</v>
      </c>
      <c r="DJ108" s="129" t="e">
        <f t="shared" si="522"/>
        <v>#DIV/0!</v>
      </c>
      <c r="DK108" s="129" t="e">
        <f t="shared" si="522"/>
        <v>#DIV/0!</v>
      </c>
      <c r="DL108" s="129" t="e">
        <f t="shared" si="522"/>
        <v>#DIV/0!</v>
      </c>
      <c r="DM108" s="129" t="e">
        <f t="shared" si="522"/>
        <v>#DIV/0!</v>
      </c>
      <c r="DN108" s="129" t="e">
        <f t="shared" si="522"/>
        <v>#DIV/0!</v>
      </c>
      <c r="DO108" s="129" t="e">
        <f t="shared" si="522"/>
        <v>#DIV/0!</v>
      </c>
      <c r="DP108" s="129" t="e">
        <f t="shared" si="522"/>
        <v>#DIV/0!</v>
      </c>
      <c r="DQ108" s="129" t="e">
        <f t="shared" si="522"/>
        <v>#DIV/0!</v>
      </c>
      <c r="DR108" s="129" t="e">
        <f t="shared" si="522"/>
        <v>#DIV/0!</v>
      </c>
      <c r="DS108" s="129" t="e">
        <f t="shared" si="522"/>
        <v>#DIV/0!</v>
      </c>
      <c r="DT108" s="129" t="e">
        <f t="shared" si="522"/>
        <v>#DIV/0!</v>
      </c>
      <c r="DU108" s="129" t="e">
        <f t="shared" si="522"/>
        <v>#DIV/0!</v>
      </c>
      <c r="DV108" s="129" t="e">
        <f t="shared" si="522"/>
        <v>#DIV/0!</v>
      </c>
      <c r="DW108" s="129" t="e">
        <f t="shared" si="522"/>
        <v>#DIV/0!</v>
      </c>
      <c r="DX108" s="129" t="e">
        <f t="shared" si="522"/>
        <v>#DIV/0!</v>
      </c>
      <c r="DY108" s="129" t="e">
        <f t="shared" si="522"/>
        <v>#DIV/0!</v>
      </c>
      <c r="DZ108" s="129" t="e">
        <f t="shared" si="522"/>
        <v>#DIV/0!</v>
      </c>
      <c r="EA108" s="129" t="e">
        <f t="shared" si="522"/>
        <v>#DIV/0!</v>
      </c>
      <c r="EB108" s="129" t="e">
        <f t="shared" si="522"/>
        <v>#DIV/0!</v>
      </c>
      <c r="EC108" s="129" t="e">
        <f t="shared" si="522"/>
        <v>#DIV/0!</v>
      </c>
      <c r="ED108" s="129" t="e">
        <f t="shared" si="522"/>
        <v>#DIV/0!</v>
      </c>
      <c r="EE108" s="129" t="e">
        <f t="shared" si="522"/>
        <v>#DIV/0!</v>
      </c>
      <c r="EF108" s="129" t="e">
        <f t="shared" si="522"/>
        <v>#DIV/0!</v>
      </c>
      <c r="EG108" s="129" t="e">
        <f t="shared" si="522"/>
        <v>#DIV/0!</v>
      </c>
      <c r="EH108" s="129" t="e">
        <f t="shared" si="522"/>
        <v>#DIV/0!</v>
      </c>
      <c r="EI108" s="129" t="e">
        <f t="shared" ref="EI108:FM108" si="523">EI107/EI101</f>
        <v>#DIV/0!</v>
      </c>
      <c r="EJ108" s="129" t="e">
        <f t="shared" si="523"/>
        <v>#DIV/0!</v>
      </c>
      <c r="EK108" s="70">
        <f t="shared" si="523"/>
        <v>24.9025805281924</v>
      </c>
      <c r="EL108" s="129" t="e">
        <f t="shared" si="523"/>
        <v>#DIV/0!</v>
      </c>
      <c r="EM108" s="129" t="e">
        <f t="shared" si="523"/>
        <v>#DIV/0!</v>
      </c>
      <c r="EN108" s="129" t="e">
        <f t="shared" si="523"/>
        <v>#DIV/0!</v>
      </c>
      <c r="EO108" s="129" t="e">
        <f t="shared" si="523"/>
        <v>#DIV/0!</v>
      </c>
      <c r="EP108" s="129" t="e">
        <f t="shared" si="523"/>
        <v>#DIV/0!</v>
      </c>
      <c r="EQ108" s="129">
        <f t="shared" si="523"/>
        <v>7.56696428571428</v>
      </c>
      <c r="ER108" s="129">
        <f t="shared" si="523"/>
        <v>899.109131403118</v>
      </c>
      <c r="ES108" s="129">
        <f t="shared" si="523"/>
        <v>0</v>
      </c>
      <c r="ET108" s="129">
        <f t="shared" si="523"/>
        <v>0</v>
      </c>
      <c r="EU108" s="129">
        <f t="shared" si="523"/>
        <v>3.42984907769704</v>
      </c>
      <c r="EV108" s="129">
        <f t="shared" si="523"/>
        <v>0</v>
      </c>
      <c r="EW108" s="129">
        <f t="shared" si="523"/>
        <v>0.507116373639517</v>
      </c>
      <c r="EX108" s="129">
        <f t="shared" si="523"/>
        <v>0.368067644864462</v>
      </c>
      <c r="EY108" s="129">
        <f t="shared" si="523"/>
        <v>0</v>
      </c>
      <c r="EZ108" s="129" t="e">
        <f t="shared" si="523"/>
        <v>#DIV/0!</v>
      </c>
      <c r="FA108" s="129" t="e">
        <f t="shared" si="523"/>
        <v>#DIV/0!</v>
      </c>
      <c r="FB108" s="129" t="e">
        <f t="shared" si="523"/>
        <v>#DIV/0!</v>
      </c>
      <c r="FC108" s="129" t="e">
        <f t="shared" si="523"/>
        <v>#DIV/0!</v>
      </c>
      <c r="FD108" s="129" t="e">
        <f t="shared" si="523"/>
        <v>#DIV/0!</v>
      </c>
      <c r="FE108" s="129" t="e">
        <f t="shared" si="523"/>
        <v>#DIV/0!</v>
      </c>
      <c r="FF108" s="129" t="e">
        <f t="shared" si="523"/>
        <v>#DIV/0!</v>
      </c>
      <c r="FG108" s="129" t="e">
        <f t="shared" si="523"/>
        <v>#DIV/0!</v>
      </c>
      <c r="FH108" s="129" t="e">
        <f t="shared" si="523"/>
        <v>#DIV/0!</v>
      </c>
      <c r="FI108" s="129" t="e">
        <f t="shared" si="523"/>
        <v>#DIV/0!</v>
      </c>
      <c r="FJ108" s="129" t="e">
        <f t="shared" si="523"/>
        <v>#DIV/0!</v>
      </c>
      <c r="FK108" s="129" t="e">
        <f t="shared" si="523"/>
        <v>#DIV/0!</v>
      </c>
      <c r="FL108" s="129">
        <f t="shared" si="523"/>
        <v>0</v>
      </c>
      <c r="FM108" s="129">
        <f t="shared" si="523"/>
        <v>0</v>
      </c>
      <c r="FN108" s="129">
        <f t="shared" ref="FN108:GI108" si="524">FN107/FN101</f>
        <v>0</v>
      </c>
      <c r="FO108" s="129">
        <f t="shared" si="524"/>
        <v>0</v>
      </c>
      <c r="FP108" s="129">
        <f t="shared" si="524"/>
        <v>0</v>
      </c>
      <c r="FQ108" s="70">
        <f t="shared" si="524"/>
        <v>1.64962638842141</v>
      </c>
      <c r="FR108" s="129">
        <f t="shared" si="524"/>
        <v>2.79803646563815</v>
      </c>
      <c r="FS108" s="129">
        <f t="shared" si="524"/>
        <v>3.29213973799127</v>
      </c>
      <c r="FT108" s="129">
        <f t="shared" si="524"/>
        <v>25.6217320261438</v>
      </c>
      <c r="FU108" s="129">
        <f t="shared" si="524"/>
        <v>0</v>
      </c>
      <c r="FV108" s="129">
        <f t="shared" si="524"/>
        <v>0</v>
      </c>
      <c r="FW108" s="129">
        <f t="shared" si="524"/>
        <v>4.380476556495</v>
      </c>
      <c r="FX108" s="129">
        <f t="shared" si="524"/>
        <v>1.83912830558276</v>
      </c>
      <c r="FY108" s="129">
        <f t="shared" si="524"/>
        <v>1.77936434822662</v>
      </c>
      <c r="FZ108" s="129">
        <f t="shared" si="524"/>
        <v>8.83085447652377</v>
      </c>
      <c r="GA108" s="129">
        <f t="shared" si="524"/>
        <v>0.795497982586536</v>
      </c>
      <c r="GB108" s="129">
        <f t="shared" si="524"/>
        <v>0</v>
      </c>
      <c r="GC108" s="129">
        <f t="shared" si="524"/>
        <v>0</v>
      </c>
      <c r="GD108" s="129">
        <f t="shared" si="524"/>
        <v>0</v>
      </c>
      <c r="GE108" s="129">
        <f t="shared" si="524"/>
        <v>0</v>
      </c>
      <c r="GF108" s="129">
        <f t="shared" si="524"/>
        <v>0</v>
      </c>
      <c r="GG108" s="129">
        <f t="shared" si="524"/>
        <v>0.778632300976928</v>
      </c>
      <c r="GH108" s="129">
        <f t="shared" si="524"/>
        <v>0</v>
      </c>
      <c r="GI108" s="129">
        <f t="shared" si="524"/>
        <v>2.20288150543958</v>
      </c>
      <c r="GJ108" s="129">
        <f t="shared" ref="GJ108:GP108" si="525">GJ107/GJ101</f>
        <v>0</v>
      </c>
      <c r="GK108" s="129">
        <f t="shared" si="525"/>
        <v>1.13618441006976</v>
      </c>
      <c r="GL108" s="129">
        <f t="shared" si="525"/>
        <v>0</v>
      </c>
      <c r="GM108" s="129" t="e">
        <f t="shared" si="525"/>
        <v>#DIV/0!</v>
      </c>
      <c r="GN108" s="129" t="e">
        <f t="shared" si="525"/>
        <v>#DIV/0!</v>
      </c>
      <c r="GO108" s="129" t="e">
        <f t="shared" si="525"/>
        <v>#DIV/0!</v>
      </c>
      <c r="GP108" s="129" t="e">
        <f t="shared" si="525"/>
        <v>#DIV/0!</v>
      </c>
    </row>
    <row r="109" s="47" customFormat="1" ht="15" customHeight="1" spans="2:198">
      <c r="B109" s="103"/>
      <c r="C109" s="109" t="s">
        <v>36</v>
      </c>
      <c r="D109" s="130" t="e">
        <f t="shared" ref="D109:O109" si="526">D101/D$128</f>
        <v>#REF!</v>
      </c>
      <c r="E109" s="131" t="e">
        <f t="shared" si="526"/>
        <v>#REF!</v>
      </c>
      <c r="F109" s="131" t="e">
        <f t="shared" si="526"/>
        <v>#REF!</v>
      </c>
      <c r="G109" s="131" t="e">
        <f t="shared" si="526"/>
        <v>#REF!</v>
      </c>
      <c r="H109" s="131" t="e">
        <f t="shared" si="526"/>
        <v>#REF!</v>
      </c>
      <c r="I109" s="131" t="e">
        <f t="shared" si="526"/>
        <v>#REF!</v>
      </c>
      <c r="J109" s="131" t="e">
        <f t="shared" si="526"/>
        <v>#REF!</v>
      </c>
      <c r="K109" s="131" t="e">
        <f t="shared" si="526"/>
        <v>#REF!</v>
      </c>
      <c r="L109" s="131" t="e">
        <f t="shared" si="526"/>
        <v>#REF!</v>
      </c>
      <c r="M109" s="131" t="e">
        <f t="shared" si="526"/>
        <v>#REF!</v>
      </c>
      <c r="N109" s="131" t="e">
        <f t="shared" si="526"/>
        <v>#REF!</v>
      </c>
      <c r="O109" s="131" t="e">
        <f t="shared" si="526"/>
        <v>#REF!</v>
      </c>
      <c r="P109" s="131" t="e">
        <f t="shared" ref="P109:V109" si="527">P101/P$128</f>
        <v>#REF!</v>
      </c>
      <c r="Q109" s="102">
        <f t="shared" si="527"/>
        <v>0</v>
      </c>
      <c r="R109" s="132">
        <f t="shared" si="527"/>
        <v>0</v>
      </c>
      <c r="S109" s="132">
        <f t="shared" ref="S109:X109" si="528">S101/S$128</f>
        <v>0</v>
      </c>
      <c r="T109" s="132">
        <f t="shared" si="528"/>
        <v>0</v>
      </c>
      <c r="U109" s="132">
        <f t="shared" si="528"/>
        <v>0</v>
      </c>
      <c r="V109" s="132">
        <f t="shared" si="528"/>
        <v>0</v>
      </c>
      <c r="W109" s="132">
        <f t="shared" si="528"/>
        <v>0</v>
      </c>
      <c r="X109" s="132">
        <f t="shared" si="528"/>
        <v>0</v>
      </c>
      <c r="Y109" s="132">
        <f t="shared" ref="Y109:AL109" si="529">Y101/Y$128</f>
        <v>0</v>
      </c>
      <c r="Z109" s="132">
        <f t="shared" si="529"/>
        <v>0</v>
      </c>
      <c r="AA109" s="132">
        <f t="shared" si="529"/>
        <v>0</v>
      </c>
      <c r="AB109" s="132">
        <f t="shared" si="529"/>
        <v>0</v>
      </c>
      <c r="AC109" s="132">
        <f t="shared" si="529"/>
        <v>0</v>
      </c>
      <c r="AD109" s="132">
        <f t="shared" si="529"/>
        <v>0</v>
      </c>
      <c r="AE109" s="132">
        <f t="shared" si="529"/>
        <v>0</v>
      </c>
      <c r="AF109" s="132">
        <f t="shared" si="529"/>
        <v>0</v>
      </c>
      <c r="AG109" s="132">
        <f t="shared" si="529"/>
        <v>0</v>
      </c>
      <c r="AH109" s="132">
        <f t="shared" si="529"/>
        <v>0</v>
      </c>
      <c r="AI109" s="132">
        <f t="shared" si="529"/>
        <v>0</v>
      </c>
      <c r="AJ109" s="132">
        <f t="shared" si="529"/>
        <v>0</v>
      </c>
      <c r="AK109" s="132">
        <f t="shared" si="529"/>
        <v>0</v>
      </c>
      <c r="AL109" s="132">
        <f t="shared" ref="AL109:BH109" si="530">AL101/AL$128</f>
        <v>0</v>
      </c>
      <c r="AM109" s="132">
        <f t="shared" si="530"/>
        <v>0</v>
      </c>
      <c r="AN109" s="132">
        <f t="shared" si="530"/>
        <v>0</v>
      </c>
      <c r="AO109" s="132">
        <f t="shared" si="530"/>
        <v>0</v>
      </c>
      <c r="AP109" s="132">
        <f t="shared" si="530"/>
        <v>0</v>
      </c>
      <c r="AQ109" s="132">
        <f t="shared" si="530"/>
        <v>0</v>
      </c>
      <c r="AR109" s="132">
        <f t="shared" si="530"/>
        <v>0</v>
      </c>
      <c r="AS109" s="132">
        <f t="shared" si="530"/>
        <v>0</v>
      </c>
      <c r="AT109" s="132">
        <f t="shared" si="530"/>
        <v>0</v>
      </c>
      <c r="AU109" s="132">
        <f t="shared" si="530"/>
        <v>0</v>
      </c>
      <c r="AV109" s="132">
        <f t="shared" si="530"/>
        <v>0</v>
      </c>
      <c r="AW109" s="102">
        <f t="shared" si="530"/>
        <v>0</v>
      </c>
      <c r="AX109" s="132">
        <f t="shared" si="530"/>
        <v>0</v>
      </c>
      <c r="AY109" s="132">
        <f t="shared" si="530"/>
        <v>0</v>
      </c>
      <c r="AZ109" s="132">
        <f t="shared" si="530"/>
        <v>0</v>
      </c>
      <c r="BA109" s="132">
        <f t="shared" si="530"/>
        <v>0</v>
      </c>
      <c r="BB109" s="132">
        <f t="shared" si="530"/>
        <v>0</v>
      </c>
      <c r="BC109" s="132">
        <f t="shared" si="530"/>
        <v>0</v>
      </c>
      <c r="BD109" s="132">
        <f t="shared" si="530"/>
        <v>0</v>
      </c>
      <c r="BE109" s="132">
        <f t="shared" si="530"/>
        <v>0</v>
      </c>
      <c r="BF109" s="132">
        <f t="shared" si="530"/>
        <v>0</v>
      </c>
      <c r="BG109" s="132">
        <f t="shared" si="530"/>
        <v>0</v>
      </c>
      <c r="BH109" s="132">
        <f t="shared" si="530"/>
        <v>0</v>
      </c>
      <c r="BI109" s="132">
        <f t="shared" ref="BI109:BW109" si="531">BI101/BI$128</f>
        <v>0</v>
      </c>
      <c r="BJ109" s="132">
        <f t="shared" si="531"/>
        <v>0</v>
      </c>
      <c r="BK109" s="132">
        <f t="shared" si="531"/>
        <v>0</v>
      </c>
      <c r="BL109" s="132">
        <f t="shared" si="531"/>
        <v>0</v>
      </c>
      <c r="BM109" s="132">
        <f t="shared" si="531"/>
        <v>0</v>
      </c>
      <c r="BN109" s="132">
        <f t="shared" si="531"/>
        <v>0</v>
      </c>
      <c r="BO109" s="132">
        <f t="shared" si="531"/>
        <v>0</v>
      </c>
      <c r="BP109" s="132">
        <f t="shared" si="531"/>
        <v>0</v>
      </c>
      <c r="BQ109" s="132">
        <f t="shared" si="531"/>
        <v>0</v>
      </c>
      <c r="BR109" s="132">
        <f t="shared" si="531"/>
        <v>0</v>
      </c>
      <c r="BS109" s="132">
        <f t="shared" si="531"/>
        <v>0</v>
      </c>
      <c r="BT109" s="132">
        <f t="shared" si="531"/>
        <v>0</v>
      </c>
      <c r="BU109" s="132">
        <f t="shared" si="531"/>
        <v>0</v>
      </c>
      <c r="BV109" s="132">
        <f t="shared" si="531"/>
        <v>0</v>
      </c>
      <c r="BW109" s="132">
        <f t="shared" si="531"/>
        <v>0</v>
      </c>
      <c r="BX109" s="132">
        <f t="shared" ref="BX109:CH109" si="532">BX101/BX$128</f>
        <v>0</v>
      </c>
      <c r="BY109" s="132">
        <f t="shared" si="532"/>
        <v>0</v>
      </c>
      <c r="BZ109" s="102">
        <f t="shared" si="532"/>
        <v>0</v>
      </c>
      <c r="CA109" s="132">
        <f t="shared" si="532"/>
        <v>0</v>
      </c>
      <c r="CB109" s="132">
        <f t="shared" si="532"/>
        <v>0</v>
      </c>
      <c r="CC109" s="132">
        <f t="shared" si="532"/>
        <v>0</v>
      </c>
      <c r="CD109" s="132">
        <f t="shared" si="532"/>
        <v>0</v>
      </c>
      <c r="CE109" s="132">
        <f t="shared" si="532"/>
        <v>0</v>
      </c>
      <c r="CF109" s="132">
        <f t="shared" si="532"/>
        <v>0</v>
      </c>
      <c r="CG109" s="132">
        <f t="shared" si="532"/>
        <v>0</v>
      </c>
      <c r="CH109" s="132">
        <f t="shared" si="532"/>
        <v>0</v>
      </c>
      <c r="CI109" s="132">
        <f t="shared" ref="CI109:EH109" si="533">CI101/CI$128</f>
        <v>0</v>
      </c>
      <c r="CJ109" s="132">
        <f t="shared" si="533"/>
        <v>0</v>
      </c>
      <c r="CK109" s="132">
        <f t="shared" si="533"/>
        <v>0</v>
      </c>
      <c r="CL109" s="132">
        <f t="shared" si="533"/>
        <v>0</v>
      </c>
      <c r="CM109" s="132">
        <f t="shared" si="533"/>
        <v>0</v>
      </c>
      <c r="CN109" s="132">
        <f t="shared" si="533"/>
        <v>0</v>
      </c>
      <c r="CO109" s="132">
        <f t="shared" si="533"/>
        <v>0</v>
      </c>
      <c r="CP109" s="132">
        <f t="shared" si="533"/>
        <v>0</v>
      </c>
      <c r="CQ109" s="132">
        <f t="shared" si="533"/>
        <v>0</v>
      </c>
      <c r="CR109" s="132">
        <f t="shared" si="533"/>
        <v>0</v>
      </c>
      <c r="CS109" s="132">
        <f t="shared" si="533"/>
        <v>0</v>
      </c>
      <c r="CT109" s="132">
        <f t="shared" si="533"/>
        <v>0</v>
      </c>
      <c r="CU109" s="132">
        <f t="shared" si="533"/>
        <v>0</v>
      </c>
      <c r="CV109" s="132">
        <f t="shared" si="533"/>
        <v>0</v>
      </c>
      <c r="CW109" s="132">
        <f t="shared" si="533"/>
        <v>0</v>
      </c>
      <c r="CX109" s="132">
        <f t="shared" si="533"/>
        <v>0</v>
      </c>
      <c r="CY109" s="132">
        <f t="shared" si="533"/>
        <v>0</v>
      </c>
      <c r="CZ109" s="132">
        <f t="shared" si="533"/>
        <v>0</v>
      </c>
      <c r="DA109" s="132">
        <f t="shared" si="533"/>
        <v>0</v>
      </c>
      <c r="DB109" s="132">
        <f t="shared" si="533"/>
        <v>0</v>
      </c>
      <c r="DC109" s="132">
        <f t="shared" si="533"/>
        <v>0</v>
      </c>
      <c r="DD109" s="132">
        <f t="shared" si="533"/>
        <v>0</v>
      </c>
      <c r="DE109" s="132">
        <f t="shared" si="533"/>
        <v>0</v>
      </c>
      <c r="DF109" s="102">
        <f t="shared" si="533"/>
        <v>0</v>
      </c>
      <c r="DG109" s="132" t="e">
        <f t="shared" si="533"/>
        <v>#DIV/0!</v>
      </c>
      <c r="DH109" s="132" t="e">
        <f t="shared" si="533"/>
        <v>#DIV/0!</v>
      </c>
      <c r="DI109" s="132" t="e">
        <f t="shared" si="533"/>
        <v>#DIV/0!</v>
      </c>
      <c r="DJ109" s="132" t="e">
        <f t="shared" si="533"/>
        <v>#DIV/0!</v>
      </c>
      <c r="DK109" s="132" t="e">
        <f t="shared" si="533"/>
        <v>#DIV/0!</v>
      </c>
      <c r="DL109" s="132" t="e">
        <f t="shared" si="533"/>
        <v>#DIV/0!</v>
      </c>
      <c r="DM109" s="132" t="e">
        <f t="shared" si="533"/>
        <v>#DIV/0!</v>
      </c>
      <c r="DN109" s="132" t="e">
        <f t="shared" si="533"/>
        <v>#DIV/0!</v>
      </c>
      <c r="DO109" s="132" t="e">
        <f t="shared" si="533"/>
        <v>#DIV/0!</v>
      </c>
      <c r="DP109" s="132" t="e">
        <f t="shared" si="533"/>
        <v>#DIV/0!</v>
      </c>
      <c r="DQ109" s="132" t="e">
        <f t="shared" si="533"/>
        <v>#DIV/0!</v>
      </c>
      <c r="DR109" s="132" t="e">
        <f t="shared" si="533"/>
        <v>#DIV/0!</v>
      </c>
      <c r="DS109" s="132" t="e">
        <f t="shared" si="533"/>
        <v>#DIV/0!</v>
      </c>
      <c r="DT109" s="132" t="e">
        <f t="shared" si="533"/>
        <v>#DIV/0!</v>
      </c>
      <c r="DU109" s="132" t="e">
        <f t="shared" si="533"/>
        <v>#DIV/0!</v>
      </c>
      <c r="DV109" s="132" t="e">
        <f t="shared" si="533"/>
        <v>#DIV/0!</v>
      </c>
      <c r="DW109" s="132" t="e">
        <f t="shared" si="533"/>
        <v>#DIV/0!</v>
      </c>
      <c r="DX109" s="132" t="e">
        <f t="shared" si="533"/>
        <v>#DIV/0!</v>
      </c>
      <c r="DY109" s="132" t="e">
        <f t="shared" si="533"/>
        <v>#DIV/0!</v>
      </c>
      <c r="DZ109" s="132" t="e">
        <f t="shared" si="533"/>
        <v>#DIV/0!</v>
      </c>
      <c r="EA109" s="132" t="e">
        <f t="shared" si="533"/>
        <v>#DIV/0!</v>
      </c>
      <c r="EB109" s="132" t="e">
        <f t="shared" si="533"/>
        <v>#DIV/0!</v>
      </c>
      <c r="EC109" s="132" t="e">
        <f t="shared" si="533"/>
        <v>#DIV/0!</v>
      </c>
      <c r="ED109" s="132" t="e">
        <f t="shared" si="533"/>
        <v>#DIV/0!</v>
      </c>
      <c r="EE109" s="132" t="e">
        <f t="shared" si="533"/>
        <v>#DIV/0!</v>
      </c>
      <c r="EF109" s="132" t="e">
        <f t="shared" si="533"/>
        <v>#DIV/0!</v>
      </c>
      <c r="EG109" s="132" t="e">
        <f t="shared" si="533"/>
        <v>#DIV/0!</v>
      </c>
      <c r="EH109" s="132">
        <f t="shared" si="533"/>
        <v>0</v>
      </c>
      <c r="EI109" s="132">
        <f t="shared" ref="EI109:FM109" si="534">EI101/EI$128</f>
        <v>0</v>
      </c>
      <c r="EJ109" s="132">
        <f t="shared" si="534"/>
        <v>0</v>
      </c>
      <c r="EK109" s="102">
        <f t="shared" si="534"/>
        <v>0.0666874892948182</v>
      </c>
      <c r="EL109" s="132">
        <f t="shared" si="534"/>
        <v>0</v>
      </c>
      <c r="EM109" s="132">
        <f t="shared" si="534"/>
        <v>0</v>
      </c>
      <c r="EN109" s="132">
        <f t="shared" si="534"/>
        <v>0</v>
      </c>
      <c r="EO109" s="132">
        <f t="shared" si="534"/>
        <v>0</v>
      </c>
      <c r="EP109" s="132">
        <f t="shared" si="534"/>
        <v>0</v>
      </c>
      <c r="EQ109" s="132">
        <f t="shared" si="534"/>
        <v>0.0368088078218717</v>
      </c>
      <c r="ER109" s="132">
        <f t="shared" si="534"/>
        <v>0.0801284911216204</v>
      </c>
      <c r="ES109" s="132">
        <f t="shared" si="534"/>
        <v>0.046865671641791</v>
      </c>
      <c r="ET109" s="132">
        <f t="shared" si="534"/>
        <v>0.0847788763246699</v>
      </c>
      <c r="EU109" s="132">
        <f t="shared" si="534"/>
        <v>0.0912382700938393</v>
      </c>
      <c r="EV109" s="132">
        <f t="shared" si="534"/>
        <v>0.300983919205929</v>
      </c>
      <c r="EW109" s="132">
        <f t="shared" si="534"/>
        <v>0.298948798627002</v>
      </c>
      <c r="EX109" s="132">
        <f t="shared" si="534"/>
        <v>0.375566244804558</v>
      </c>
      <c r="EY109" s="132">
        <f t="shared" si="534"/>
        <v>0.152520111640125</v>
      </c>
      <c r="EZ109" s="132">
        <f t="shared" si="534"/>
        <v>0</v>
      </c>
      <c r="FA109" s="132">
        <f t="shared" si="534"/>
        <v>0</v>
      </c>
      <c r="FB109" s="132">
        <f t="shared" si="534"/>
        <v>0</v>
      </c>
      <c r="FC109" s="132">
        <f t="shared" si="534"/>
        <v>0</v>
      </c>
      <c r="FD109" s="132">
        <f t="shared" si="534"/>
        <v>0</v>
      </c>
      <c r="FE109" s="132">
        <f t="shared" si="534"/>
        <v>0</v>
      </c>
      <c r="FF109" s="132">
        <f t="shared" si="534"/>
        <v>0</v>
      </c>
      <c r="FG109" s="132">
        <f t="shared" si="534"/>
        <v>0</v>
      </c>
      <c r="FH109" s="132">
        <f t="shared" si="534"/>
        <v>0</v>
      </c>
      <c r="FI109" s="132">
        <f t="shared" si="534"/>
        <v>0</v>
      </c>
      <c r="FJ109" s="132">
        <f t="shared" si="534"/>
        <v>0</v>
      </c>
      <c r="FK109" s="132">
        <f t="shared" si="534"/>
        <v>0</v>
      </c>
      <c r="FL109" s="132">
        <f t="shared" si="534"/>
        <v>0.00381208655678888</v>
      </c>
      <c r="FM109" s="132">
        <f t="shared" si="534"/>
        <v>0.0171133694908114</v>
      </c>
      <c r="FN109" s="132">
        <f t="shared" ref="FN109:GI109" si="535">FN101/FN$128</f>
        <v>0.0204434973696477</v>
      </c>
      <c r="FO109" s="132">
        <f t="shared" si="535"/>
        <v>0.038613340349954</v>
      </c>
      <c r="FP109" s="132">
        <f t="shared" si="535"/>
        <v>0.0248815782624538</v>
      </c>
      <c r="FQ109" s="102">
        <f t="shared" si="535"/>
        <v>0.209603819855006</v>
      </c>
      <c r="FR109" s="132">
        <f t="shared" si="535"/>
        <v>0.186746987951807</v>
      </c>
      <c r="FS109" s="132">
        <f t="shared" si="535"/>
        <v>0.152880699646171</v>
      </c>
      <c r="FT109" s="132">
        <f t="shared" si="535"/>
        <v>0.102187343463016</v>
      </c>
      <c r="FU109" s="132">
        <f t="shared" si="535"/>
        <v>0.129798793957848</v>
      </c>
      <c r="FV109" s="132">
        <f t="shared" si="535"/>
        <v>0.211565680393611</v>
      </c>
      <c r="FW109" s="132">
        <f t="shared" si="535"/>
        <v>0.136244632945858</v>
      </c>
      <c r="FX109" s="132">
        <f t="shared" si="535"/>
        <v>0.199765212287224</v>
      </c>
      <c r="FY109" s="132">
        <f t="shared" si="535"/>
        <v>0.226098729431368</v>
      </c>
      <c r="FZ109" s="132">
        <f t="shared" si="535"/>
        <v>0.189678061732493</v>
      </c>
      <c r="GA109" s="132">
        <f t="shared" si="535"/>
        <v>0.269024223034735</v>
      </c>
      <c r="GB109" s="132">
        <f t="shared" si="535"/>
        <v>0.261744966442953</v>
      </c>
      <c r="GC109" s="132">
        <f t="shared" si="535"/>
        <v>0.318723024259562</v>
      </c>
      <c r="GD109" s="132">
        <f t="shared" si="535"/>
        <v>0.146123552577441</v>
      </c>
      <c r="GE109" s="132">
        <f t="shared" si="535"/>
        <v>0.207958080890781</v>
      </c>
      <c r="GF109" s="132">
        <f t="shared" si="535"/>
        <v>0.238186573670445</v>
      </c>
      <c r="GG109" s="132">
        <f t="shared" si="535"/>
        <v>0.307963128920753</v>
      </c>
      <c r="GH109" s="132">
        <f t="shared" si="535"/>
        <v>0.308339128785484</v>
      </c>
      <c r="GI109" s="132">
        <f t="shared" si="535"/>
        <v>0.227842165203993</v>
      </c>
      <c r="GJ109" s="132">
        <f t="shared" ref="GJ109:GP109" si="536">GJ101/GJ$128</f>
        <v>0.200129463804078</v>
      </c>
      <c r="GK109" s="132">
        <f t="shared" si="536"/>
        <v>0.17774543102054</v>
      </c>
      <c r="GL109" s="132">
        <f t="shared" si="536"/>
        <v>0.208683779355543</v>
      </c>
      <c r="GM109" s="132" t="e">
        <f t="shared" si="536"/>
        <v>#DIV/0!</v>
      </c>
      <c r="GN109" s="132" t="e">
        <f t="shared" si="536"/>
        <v>#DIV/0!</v>
      </c>
      <c r="GO109" s="132" t="e">
        <f t="shared" si="536"/>
        <v>#DIV/0!</v>
      </c>
      <c r="GP109" s="132" t="e">
        <f t="shared" si="536"/>
        <v>#DIV/0!</v>
      </c>
    </row>
    <row r="110" s="47" customFormat="1" ht="15" hidden="1" customHeight="1" spans="2:198">
      <c r="B110" s="112" t="s">
        <v>46</v>
      </c>
      <c r="C110" s="113" t="s">
        <v>12</v>
      </c>
      <c r="D110" s="114" t="e">
        <f t="shared" si="513"/>
        <v>#REF!</v>
      </c>
      <c r="E110" s="115" t="e">
        <f>#REF!</f>
        <v>#REF!</v>
      </c>
      <c r="F110" s="115" t="e">
        <f>#REF!</f>
        <v>#REF!</v>
      </c>
      <c r="G110" s="115" t="e">
        <f>#REF!</f>
        <v>#REF!</v>
      </c>
      <c r="H110" s="115" t="e">
        <f>#REF!</f>
        <v>#REF!</v>
      </c>
      <c r="I110" s="115" t="e">
        <f>#REF!</f>
        <v>#REF!</v>
      </c>
      <c r="J110" s="115" t="e">
        <f>#REF!</f>
        <v>#REF!</v>
      </c>
      <c r="K110" s="115" t="e">
        <f>#REF!</f>
        <v>#REF!</v>
      </c>
      <c r="L110" s="115" t="e">
        <f>#REF!</f>
        <v>#REF!</v>
      </c>
      <c r="M110" s="115" t="e">
        <f>#REF!</f>
        <v>#REF!</v>
      </c>
      <c r="N110" s="115" t="e">
        <f>#REF!</f>
        <v>#REF!</v>
      </c>
      <c r="O110" s="115" t="e">
        <f>#REF!</f>
        <v>#REF!</v>
      </c>
      <c r="P110" s="115" t="e">
        <f>#REF!</f>
        <v>#REF!</v>
      </c>
      <c r="Q110" s="65">
        <f t="shared" si="514"/>
        <v>1631.84</v>
      </c>
      <c r="R110" s="115">
        <f>SUMIFS(商品数据源!$H:$H,商品数据源!$A:$A,$B$110,商品数据源!$B:$B,R2)</f>
        <v>10.49</v>
      </c>
      <c r="S110" s="115">
        <f>SUMIFS(商品数据源!$H:$H,商品数据源!$A:$A,$B$110,商品数据源!$B:$B,S2)</f>
        <v>6.33</v>
      </c>
      <c r="T110" s="115">
        <f>SUMIFS(商品数据源!$H:$H,商品数据源!$A:$A,$B$110,商品数据源!$B:$B,T2)</f>
        <v>65.04</v>
      </c>
      <c r="U110" s="115">
        <f>SUMIFS(商品数据源!$H:$H,商品数据源!$A:$A,$B$110,商品数据源!$B:$B,U2)</f>
        <v>95.67</v>
      </c>
      <c r="V110" s="115">
        <f>SUMIFS(商品数据源!$H:$H,商品数据源!$A:$A,$B$110,商品数据源!$B:$B,V2)</f>
        <v>44.17</v>
      </c>
      <c r="W110" s="115">
        <f>SUMIFS(商品数据源!$H:$H,商品数据源!$A:$A,$B$110,商品数据源!$B:$B,W2)</f>
        <v>65.77</v>
      </c>
      <c r="X110" s="115">
        <f>SUMIFS(商品数据源!$H:$H,商品数据源!$A:$A,$B$110,商品数据源!$B:$B,X2)</f>
        <v>67.79</v>
      </c>
      <c r="Y110" s="115">
        <f>SUMIFS(商品数据源!$H:$H,商品数据源!$A:$A,$B$110,商品数据源!$B:$B,Y2)</f>
        <v>55.65</v>
      </c>
      <c r="Z110" s="115">
        <f>SUMIFS(商品数据源!$H:$H,商品数据源!$A:$A,$B$110,商品数据源!$B:$B,Z2)</f>
        <v>92.43</v>
      </c>
      <c r="AA110" s="115">
        <f>SUMIFS(商品数据源!$H:$H,商品数据源!$A:$A,$B$110,商品数据源!$B:$B,AA2)</f>
        <v>84.47</v>
      </c>
      <c r="AB110" s="115">
        <f>SUMIFS(商品数据源!$H:$H,商品数据源!$A:$A,$B$110,商品数据源!$B:$B,AB2)</f>
        <v>100</v>
      </c>
      <c r="AC110" s="115">
        <f>SUMIFS(商品数据源!$H:$H,商品数据源!$A:$A,$B$110,商品数据源!$B:$B,AC2)</f>
        <v>68.15</v>
      </c>
      <c r="AD110" s="115">
        <f>SUMIFS(商品数据源!$H:$H,商品数据源!$A:$A,$B$110,商品数据源!$B:$B,AD2)</f>
        <v>71.43</v>
      </c>
      <c r="AE110" s="115">
        <f>SUMIFS(商品数据源!$H:$H,商品数据源!$A:$A,$B$110,商品数据源!$B:$B,AE2)</f>
        <v>95.57</v>
      </c>
      <c r="AF110" s="115">
        <f>SUMIFS(商品数据源!$H:$H,商品数据源!$A:$A,$B$110,商品数据源!$B:$B,AF2)</f>
        <v>84.38</v>
      </c>
      <c r="AG110" s="115">
        <f>SUMIFS(商品数据源!$H:$H,商品数据源!$A:$A,$B$110,商品数据源!$B:$B,AG2)</f>
        <v>35.61</v>
      </c>
      <c r="AH110" s="115">
        <f>SUMIFS(商品数据源!$H:$H,商品数据源!$A:$A,$B$110,商品数据源!$B:$B,AH2)</f>
        <v>40.84</v>
      </c>
      <c r="AI110" s="115">
        <f>SUMIFS(商品数据源!$H:$H,商品数据源!$A:$A,$B$110,商品数据源!$B:$B,AI2)</f>
        <v>90.45</v>
      </c>
      <c r="AJ110" s="115">
        <f>SUMIFS(商品数据源!$H:$H,商品数据源!$A:$A,$B$110,商品数据源!$B:$B,AJ2)</f>
        <v>34.16</v>
      </c>
      <c r="AK110" s="115">
        <f>SUMIFS(商品数据源!$H:$H,商品数据源!$A:$A,$B$110,商品数据源!$B:$B,AK2)</f>
        <v>41.59</v>
      </c>
      <c r="AL110" s="115">
        <f>SUMIFS(商品数据源!$H:$H,商品数据源!$A:$A,$B$110,商品数据源!$B:$B,AL2)</f>
        <v>25.84</v>
      </c>
      <c r="AM110" s="115">
        <f>SUMIFS(商品数据源!$H:$H,商品数据源!$A:$A,$B$110,商品数据源!$B:$B,AM2)</f>
        <v>38.61</v>
      </c>
      <c r="AN110" s="115">
        <f>SUMIFS(商品数据源!$H:$H,商品数据源!$A:$A,$B$110,商品数据源!$B:$B,AN2)</f>
        <v>32.18</v>
      </c>
      <c r="AO110" s="115">
        <f>SUMIFS(商品数据源!$H:$H,商品数据源!$A:$A,$B$110,商品数据源!$B:$B,AO2)</f>
        <v>29.82</v>
      </c>
      <c r="AP110" s="115">
        <f>SUMIFS(商品数据源!$H:$H,商品数据源!$A:$A,$B$110,商品数据源!$B:$B,AP2)</f>
        <v>38.73</v>
      </c>
      <c r="AQ110" s="115">
        <f>SUMIFS(商品数据源!$H:$H,商品数据源!$A:$A,$B$110,商品数据源!$B:$B,AQ2)</f>
        <v>45.42</v>
      </c>
      <c r="AR110" s="115">
        <f>SUMIFS(商品数据源!$H:$H,商品数据源!$A:$A,$B$110,商品数据源!$B:$B,AR2)</f>
        <v>37.69</v>
      </c>
      <c r="AS110" s="115">
        <f>SUMIFS(商品数据源!$H:$H,商品数据源!$A:$A,$B$110,商品数据源!$B:$B,AS2)</f>
        <v>30.59</v>
      </c>
      <c r="AT110" s="115">
        <f>SUMIFS(商品数据源!$H:$H,商品数据源!$A:$A,$B$110,商品数据源!$B:$B,AT2)</f>
        <v>26.22</v>
      </c>
      <c r="AU110" s="115">
        <f>SUMIFS(商品数据源!$H:$H,商品数据源!$A:$A,$B$110,商品数据源!$B:$B,AU2)</f>
        <v>42.23</v>
      </c>
      <c r="AV110" s="115">
        <f>SUMIFS(商品数据源!$H:$H,商品数据源!$A:$A,$B$110,商品数据源!$B:$B,AV2)</f>
        <v>34.52</v>
      </c>
      <c r="AW110" s="65">
        <f>SUM(AX110:BY110)</f>
        <v>86.22</v>
      </c>
      <c r="AX110" s="115">
        <f>SUMIFS(商品数据源!$H:$H,商品数据源!$A:$A,$B$110,商品数据源!$B:$B,AX2)</f>
        <v>36.61</v>
      </c>
      <c r="AY110" s="115">
        <f>SUMIFS(商品数据源!$H:$H,商品数据源!$A:$A,$B$110,商品数据源!$B:$B,AY2)</f>
        <v>37.09</v>
      </c>
      <c r="AZ110" s="115">
        <f>SUMIFS(商品数据源!$H:$H,商品数据源!$A:$A,$B$110,商品数据源!$B:$B,AZ2)</f>
        <v>12.52</v>
      </c>
      <c r="BA110" s="115">
        <f>SUMIFS(商品数据源!$H:$H,商品数据源!$A:$A,$B$110,商品数据源!$B:$B,BA2)</f>
        <v>0</v>
      </c>
      <c r="BB110" s="115">
        <f>SUMIFS(商品数据源!$H:$H,商品数据源!$A:$A,$B$110,商品数据源!$B:$B,BB2)</f>
        <v>0</v>
      </c>
      <c r="BC110" s="115">
        <f>SUMIFS(商品数据源!$H:$H,商品数据源!$A:$A,$B$110,商品数据源!$B:$B,BC2)</f>
        <v>0</v>
      </c>
      <c r="BD110" s="115">
        <f>SUMIFS(商品数据源!$H:$H,商品数据源!$A:$A,$B$110,商品数据源!$B:$B,BD2)</f>
        <v>0</v>
      </c>
      <c r="BE110" s="115">
        <f>SUMIFS(商品数据源!$H:$H,商品数据源!$A:$A,$B$110,商品数据源!$B:$B,BE2)</f>
        <v>0</v>
      </c>
      <c r="BF110" s="115">
        <f>SUMIFS(商品数据源!$H:$H,商品数据源!$A:$A,$B$110,商品数据源!$B:$B,BF2)</f>
        <v>0</v>
      </c>
      <c r="BG110" s="115">
        <f>SUMIFS(商品数据源!$H:$H,商品数据源!$A:$A,$B$110,商品数据源!$B:$B,BG2)</f>
        <v>0</v>
      </c>
      <c r="BH110" s="115">
        <f>SUMIFS(商品数据源!$H:$H,商品数据源!$A:$A,$B$110,商品数据源!$B:$B,BH2)</f>
        <v>0</v>
      </c>
      <c r="BI110" s="115">
        <f>SUMIFS(商品数据源!$H:$H,商品数据源!$A:$A,$B$110,商品数据源!$B:$B,BI2)</f>
        <v>0</v>
      </c>
      <c r="BJ110" s="115">
        <f>SUMIFS(商品数据源!$H:$H,商品数据源!$A:$A,$B$110,商品数据源!$B:$B,BJ2)</f>
        <v>0</v>
      </c>
      <c r="BK110" s="115">
        <f>SUMIFS(商品数据源!$H:$H,商品数据源!$A:$A,$B$110,商品数据源!$B:$B,BK2)</f>
        <v>0</v>
      </c>
      <c r="BL110" s="115">
        <f>SUMIFS(商品数据源!$H:$H,商品数据源!$A:$A,$B$110,商品数据源!$B:$B,BL2)</f>
        <v>0</v>
      </c>
      <c r="BM110" s="115">
        <f>SUMIFS(商品数据源!$H:$H,商品数据源!$A:$A,$B$110,商品数据源!$B:$B,BM2)</f>
        <v>0</v>
      </c>
      <c r="BN110" s="115">
        <f>SUMIFS(商品数据源!$H:$H,商品数据源!$A:$A,$B$110,商品数据源!$B:$B,BN2)</f>
        <v>0</v>
      </c>
      <c r="BO110" s="115">
        <f>SUMIFS(商品数据源!$H:$H,商品数据源!$A:$A,$B$110,商品数据源!$B:$B,BO2)</f>
        <v>0</v>
      </c>
      <c r="BP110" s="115">
        <f>SUMIFS(商品数据源!$H:$H,商品数据源!$A:$A,$B$110,商品数据源!$B:$B,BP2)</f>
        <v>0</v>
      </c>
      <c r="BQ110" s="115">
        <f>SUMIFS(商品数据源!$H:$H,商品数据源!$A:$A,$B$110,商品数据源!$B:$B,BQ2)</f>
        <v>0</v>
      </c>
      <c r="BR110" s="115">
        <f>SUMIFS(商品数据源!$H:$H,商品数据源!$A:$A,$B$110,商品数据源!$B:$B,BR2)</f>
        <v>0</v>
      </c>
      <c r="BS110" s="115">
        <f>SUMIFS(商品数据源!$H:$H,商品数据源!$A:$A,$B$110,商品数据源!$B:$B,BS2)</f>
        <v>0</v>
      </c>
      <c r="BT110" s="115">
        <f>SUMIFS(商品数据源!$H:$H,商品数据源!$A:$A,$B$110,商品数据源!$B:$B,BT2)</f>
        <v>0</v>
      </c>
      <c r="BU110" s="115">
        <f>SUMIFS(商品数据源!$H:$H,商品数据源!$A:$A,$B$110,商品数据源!$B:$B,BU2)</f>
        <v>0</v>
      </c>
      <c r="BV110" s="115">
        <f>SUMIFS(商品数据源!$H:$H,商品数据源!$A:$A,$B$110,商品数据源!$B:$B,BV2)</f>
        <v>0</v>
      </c>
      <c r="BW110" s="115">
        <f>SUMIFS(商品数据源!$H:$H,商品数据源!$A:$A,$B$110,商品数据源!$B:$B,BW2)</f>
        <v>0</v>
      </c>
      <c r="BX110" s="115">
        <f>SUMIFS(商品数据源!$H:$H,商品数据源!$A:$A,$B$110,商品数据源!$B:$B,BX2)</f>
        <v>0</v>
      </c>
      <c r="BY110" s="115">
        <f>SUMIFS(商品数据源!$H:$H,商品数据源!$A:$A,$B$110,商品数据源!$B:$B,BY2)</f>
        <v>0</v>
      </c>
      <c r="BZ110" s="65">
        <f>SUM(CA110:DE110)</f>
        <v>0</v>
      </c>
      <c r="CA110" s="115">
        <f>SUMIFS(商品数据源!$H:$H,商品数据源!$A:$A,$B$110,商品数据源!$B:$B,CA2)</f>
        <v>0</v>
      </c>
      <c r="CB110" s="115">
        <f>SUMIFS(商品数据源!$H:$H,商品数据源!$A:$A,$B$110,商品数据源!$B:$B,CB2)</f>
        <v>0</v>
      </c>
      <c r="CC110" s="115">
        <f>SUMIFS(商品数据源!$H:$H,商品数据源!$A:$A,$B$110,商品数据源!$B:$B,CC2)</f>
        <v>0</v>
      </c>
      <c r="CD110" s="115">
        <f>SUMIFS(商品数据源!$H:$H,商品数据源!$A:$A,$B$110,商品数据源!$B:$B,CD2)</f>
        <v>0</v>
      </c>
      <c r="CE110" s="115">
        <f>SUMIFS(商品数据源!$H:$H,商品数据源!$A:$A,$B$110,商品数据源!$B:$B,CE2)</f>
        <v>0</v>
      </c>
      <c r="CF110" s="115">
        <f>SUMIFS(商品数据源!$H:$H,商品数据源!$A:$A,$B$110,商品数据源!$B:$B,CF2)</f>
        <v>0</v>
      </c>
      <c r="CG110" s="115">
        <f>SUMIFS(商品数据源!$H:$H,商品数据源!$A:$A,$B$110,商品数据源!$B:$B,CG2)</f>
        <v>0</v>
      </c>
      <c r="CH110" s="115">
        <f>SUMIFS(商品数据源!$H:$H,商品数据源!$A:$A,$B$110,商品数据源!$B:$B,CH2)</f>
        <v>0</v>
      </c>
      <c r="CI110" s="115">
        <f>SUMIFS(商品数据源!$H:$H,商品数据源!$A:$A,$B$110,商品数据源!$B:$B,CI2)</f>
        <v>0</v>
      </c>
      <c r="CJ110" s="115">
        <f>SUMIFS(商品数据源!$H:$H,商品数据源!$A:$A,$B$110,商品数据源!$B:$B,CJ2)</f>
        <v>0</v>
      </c>
      <c r="CK110" s="115">
        <f>SUMIFS(商品数据源!$H:$H,商品数据源!$A:$A,$B$110,商品数据源!$B:$B,CK2)</f>
        <v>0</v>
      </c>
      <c r="CL110" s="115">
        <f>SUMIFS(商品数据源!$H:$H,商品数据源!$A:$A,$B$110,商品数据源!$B:$B,CL2)</f>
        <v>0</v>
      </c>
      <c r="CM110" s="115">
        <f>SUMIFS(商品数据源!$H:$H,商品数据源!$A:$A,$B$110,商品数据源!$B:$B,CM2)</f>
        <v>0</v>
      </c>
      <c r="CN110" s="115">
        <f>SUMIFS(商品数据源!$H:$H,商品数据源!$A:$A,$B$110,商品数据源!$B:$B,CN2)</f>
        <v>0</v>
      </c>
      <c r="CO110" s="115">
        <f>SUMIFS(商品数据源!$H:$H,商品数据源!$A:$A,$B$110,商品数据源!$B:$B,CO2)</f>
        <v>0</v>
      </c>
      <c r="CP110" s="115">
        <f>SUMIFS(商品数据源!$H:$H,商品数据源!$A:$A,$B$110,商品数据源!$B:$B,CP2)</f>
        <v>0</v>
      </c>
      <c r="CQ110" s="115">
        <f>SUMIFS(商品数据源!$H:$H,商品数据源!$A:$A,$B$110,商品数据源!$B:$B,CQ2)</f>
        <v>0</v>
      </c>
      <c r="CR110" s="115">
        <f>SUMIFS(商品数据源!$H:$H,商品数据源!$A:$A,$B$110,商品数据源!$B:$B,CR2)</f>
        <v>0</v>
      </c>
      <c r="CS110" s="115">
        <f>SUMIFS(商品数据源!$H:$H,商品数据源!$A:$A,$B$110,商品数据源!$B:$B,CS2)</f>
        <v>0</v>
      </c>
      <c r="CT110" s="115">
        <f>SUMIFS(商品数据源!$H:$H,商品数据源!$A:$A,$B$110,商品数据源!$B:$B,CT2)</f>
        <v>0</v>
      </c>
      <c r="CU110" s="115">
        <f>SUMIFS(商品数据源!$H:$H,商品数据源!$A:$A,$B$110,商品数据源!$B:$B,CU2)</f>
        <v>0</v>
      </c>
      <c r="CV110" s="115">
        <f>SUMIFS(商品数据源!$H:$H,商品数据源!$A:$A,$B$110,商品数据源!$B:$B,CV2)</f>
        <v>0</v>
      </c>
      <c r="CW110" s="115">
        <f>SUMIFS(商品数据源!$H:$H,商品数据源!$A:$A,$B$110,商品数据源!$B:$B,CW2)</f>
        <v>0</v>
      </c>
      <c r="CX110" s="115">
        <f>SUMIFS(商品数据源!$H:$H,商品数据源!$A:$A,$B$110,商品数据源!$B:$B,CX2)</f>
        <v>0</v>
      </c>
      <c r="CY110" s="115">
        <f>SUMIFS(商品数据源!$H:$H,商品数据源!$A:$A,$B$110,商品数据源!$B:$B,CY2)</f>
        <v>0</v>
      </c>
      <c r="CZ110" s="115">
        <f>SUMIFS(商品数据源!$H:$H,商品数据源!$A:$A,$B$110,商品数据源!$B:$B,CZ2)</f>
        <v>0</v>
      </c>
      <c r="DA110" s="115">
        <f>SUMIFS(商品数据源!$H:$H,商品数据源!$A:$A,$B$110,商品数据源!$B:$B,DA2)</f>
        <v>0</v>
      </c>
      <c r="DB110" s="115">
        <f>SUMIFS(商品数据源!$H:$H,商品数据源!$A:$A,$B$110,商品数据源!$B:$B,DB2)</f>
        <v>0</v>
      </c>
      <c r="DC110" s="115">
        <f>SUMIFS(商品数据源!$H:$H,商品数据源!$A:$A,$B$110,商品数据源!$B:$B,DC2)</f>
        <v>0</v>
      </c>
      <c r="DD110" s="115">
        <f>SUMIFS(商品数据源!$H:$H,商品数据源!$A:$A,$B$110,商品数据源!$B:$B,DD2)</f>
        <v>0</v>
      </c>
      <c r="DE110" s="115">
        <f>SUMIFS(商品数据源!$H:$H,商品数据源!$A:$A,$B$110,商品数据源!$B:$B,DE2)</f>
        <v>0</v>
      </c>
      <c r="DF110" s="65">
        <f>SUM(DG110:EJ110)</f>
        <v>0</v>
      </c>
      <c r="DG110" s="115">
        <f>SUMIFS(商品数据源!$H:$H,商品数据源!$A:$A,$B$110,商品数据源!$B:$B,DG2)</f>
        <v>0</v>
      </c>
      <c r="DH110" s="115">
        <f>SUMIFS(商品数据源!$H:$H,商品数据源!$A:$A,$B$110,商品数据源!$B:$B,DH2)</f>
        <v>0</v>
      </c>
      <c r="DI110" s="115">
        <f>SUMIFS(商品数据源!$H:$H,商品数据源!$A:$A,$B$110,商品数据源!$B:$B,DI2)</f>
        <v>0</v>
      </c>
      <c r="DJ110" s="115">
        <f>SUMIFS(商品数据源!$H:$H,商品数据源!$A:$A,$B$110,商品数据源!$B:$B,DJ2)</f>
        <v>0</v>
      </c>
      <c r="DK110" s="115">
        <f>SUMIFS(商品数据源!$H:$H,商品数据源!$A:$A,$B$110,商品数据源!$B:$B,DK2)</f>
        <v>0</v>
      </c>
      <c r="DL110" s="115">
        <f>SUMIFS(商品数据源!$H:$H,商品数据源!$A:$A,$B$110,商品数据源!$B:$B,DL2)</f>
        <v>0</v>
      </c>
      <c r="DM110" s="115">
        <f>SUMIFS(商品数据源!$H:$H,商品数据源!$A:$A,$B$110,商品数据源!$B:$B,DM2)</f>
        <v>0</v>
      </c>
      <c r="DN110" s="115">
        <f>SUMIFS(商品数据源!$H:$H,商品数据源!$A:$A,$B$110,商品数据源!$B:$B,DN2)</f>
        <v>0</v>
      </c>
      <c r="DO110" s="115">
        <f>SUMIFS(商品数据源!$H:$H,商品数据源!$A:$A,$B$110,商品数据源!$B:$B,DO2)</f>
        <v>0</v>
      </c>
      <c r="DP110" s="115">
        <f>SUMIFS(商品数据源!$H:$H,商品数据源!$A:$A,$B$110,商品数据源!$B:$B,DP2)</f>
        <v>0</v>
      </c>
      <c r="DQ110" s="115">
        <f>SUMIFS(商品数据源!$H:$H,商品数据源!$A:$A,$B$110,商品数据源!$B:$B,DQ2)</f>
        <v>0</v>
      </c>
      <c r="DR110" s="115">
        <f>SUMIFS(商品数据源!$H:$H,商品数据源!$A:$A,$B$110,商品数据源!$B:$B,DR2)</f>
        <v>0</v>
      </c>
      <c r="DS110" s="115">
        <f>SUMIFS(商品数据源!$H:$H,商品数据源!$A:$A,$B$110,商品数据源!$B:$B,DS2)</f>
        <v>0</v>
      </c>
      <c r="DT110" s="115">
        <f>SUMIFS(商品数据源!$H:$H,商品数据源!$A:$A,$B$110,商品数据源!$B:$B,DT2)</f>
        <v>0</v>
      </c>
      <c r="DU110" s="115">
        <f>SUMIFS(商品数据源!$H:$H,商品数据源!$A:$A,$B$110,商品数据源!$B:$B,DU2)</f>
        <v>0</v>
      </c>
      <c r="DV110" s="115">
        <f>SUMIFS(商品数据源!$H:$H,商品数据源!$A:$A,$B$110,商品数据源!$B:$B,DV2)</f>
        <v>0</v>
      </c>
      <c r="DW110" s="115">
        <f>SUMIFS(商品数据源!$H:$H,商品数据源!$A:$A,$B$110,商品数据源!$B:$B,DW2)</f>
        <v>0</v>
      </c>
      <c r="DX110" s="115">
        <f>SUMIFS(商品数据源!$H:$H,商品数据源!$A:$A,$B$110,商品数据源!$B:$B,DX2)</f>
        <v>0</v>
      </c>
      <c r="DY110" s="115">
        <f>SUMIFS(商品数据源!$H:$H,商品数据源!$A:$A,$B$110,商品数据源!$B:$B,DY2)</f>
        <v>0</v>
      </c>
      <c r="DZ110" s="115">
        <f>SUMIFS(商品数据源!$H:$H,商品数据源!$A:$A,$B$110,商品数据源!$B:$B,DZ2)</f>
        <v>0</v>
      </c>
      <c r="EA110" s="115">
        <f>SUMIFS(商品数据源!$H:$H,商品数据源!$A:$A,$B$110,商品数据源!$B:$B,EA2)</f>
        <v>0</v>
      </c>
      <c r="EB110" s="115">
        <f>SUMIFS(商品数据源!$H:$H,商品数据源!$A:$A,$B$110,商品数据源!$B:$B,EB2)</f>
        <v>0</v>
      </c>
      <c r="EC110" s="115">
        <f>SUMIFS(商品数据源!$H:$H,商品数据源!$A:$A,$B$110,商品数据源!$B:$B,EC2)</f>
        <v>0</v>
      </c>
      <c r="ED110" s="115">
        <f>SUMIFS(商品数据源!$H:$H,商品数据源!$A:$A,$B$110,商品数据源!$B:$B,ED2)</f>
        <v>0</v>
      </c>
      <c r="EE110" s="115">
        <f>SUMIFS(商品数据源!$H:$H,商品数据源!$A:$A,$B$110,商品数据源!$B:$B,EE2)</f>
        <v>0</v>
      </c>
      <c r="EF110" s="115">
        <f>SUMIFS(商品数据源!$H:$H,商品数据源!$A:$A,$B$110,商品数据源!$B:$B,EF2)</f>
        <v>0</v>
      </c>
      <c r="EG110" s="115">
        <f>SUMIFS(商品数据源!$H:$H,商品数据源!$A:$A,$B$110,商品数据源!$B:$B,EG2)</f>
        <v>0</v>
      </c>
      <c r="EH110" s="115">
        <f>SUMIFS(商品数据源!$H:$H,商品数据源!$A:$A,$B$110,商品数据源!$B:$B,EH2)</f>
        <v>0</v>
      </c>
      <c r="EI110" s="115">
        <f>SUMIFS(商品数据源!$H:$H,商品数据源!$A:$A,$B$110,商品数据源!$B:$B,EI2)</f>
        <v>0</v>
      </c>
      <c r="EJ110" s="115">
        <f>SUMIFS(商品数据源!$H:$H,商品数据源!$A:$A,$B$110,商品数据源!$B:$B,EJ2)</f>
        <v>0</v>
      </c>
      <c r="EK110" s="65">
        <f>SUM(EL110:FP110)</f>
        <v>0</v>
      </c>
      <c r="EL110" s="115">
        <f>SUMIFS(商品数据源!$H:$H,商品数据源!$A:$A,$B$110,商品数据源!$B:$B,EL2)</f>
        <v>0</v>
      </c>
      <c r="EM110" s="115">
        <f>SUMIFS(商品数据源!$H:$H,商品数据源!$A:$A,$B$110,商品数据源!$B:$B,EM2)</f>
        <v>0</v>
      </c>
      <c r="EN110" s="115">
        <f>SUMIFS(商品数据源!$H:$H,商品数据源!$A:$A,$B$110,商品数据源!$B:$B,EN2)</f>
        <v>0</v>
      </c>
      <c r="EO110" s="115">
        <f>SUMIFS(商品数据源!$H:$H,商品数据源!$A:$A,$B$110,商品数据源!$B:$B,EO2)</f>
        <v>0</v>
      </c>
      <c r="EP110" s="115">
        <f>SUMIFS(商品数据源!$H:$H,商品数据源!$A:$A,$B$110,商品数据源!$B:$B,EP2)</f>
        <v>0</v>
      </c>
      <c r="EQ110" s="115">
        <f>SUMIFS(商品数据源!$H:$H,商品数据源!$A:$A,$B$110,商品数据源!$B:$B,EQ2)</f>
        <v>0</v>
      </c>
      <c r="ER110" s="115">
        <f>SUMIFS(商品数据源!$H:$H,商品数据源!$A:$A,$B$110,商品数据源!$B:$B,ER2)</f>
        <v>0</v>
      </c>
      <c r="ES110" s="115">
        <f>SUMIFS(商品数据源!$H:$H,商品数据源!$A:$A,$B$110,商品数据源!$B:$B,ES2)</f>
        <v>0</v>
      </c>
      <c r="ET110" s="115">
        <f>SUMIFS(商品数据源!$H:$H,商品数据源!$A:$A,$B$110,商品数据源!$B:$B,ET2)</f>
        <v>0</v>
      </c>
      <c r="EU110" s="115">
        <f>SUMIFS(商品数据源!$H:$H,商品数据源!$A:$A,$B$110,商品数据源!$B:$B,EU2)</f>
        <v>0</v>
      </c>
      <c r="EV110" s="115">
        <f>SUMIFS(商品数据源!$H:$H,商品数据源!$A:$A,$B$110,商品数据源!$B:$B,EV2)</f>
        <v>0</v>
      </c>
      <c r="EW110" s="115">
        <f>SUMIFS(商品数据源!$H:$H,商品数据源!$A:$A,$B$110,商品数据源!$B:$B,EW2)</f>
        <v>0</v>
      </c>
      <c r="EX110" s="115">
        <f>SUMIFS(商品数据源!$H:$H,商品数据源!$A:$A,$B$110,商品数据源!$B:$B,EX2)</f>
        <v>0</v>
      </c>
      <c r="EY110" s="115">
        <f>SUMIFS(商品数据源!$H:$H,商品数据源!$A:$A,$B$110,商品数据源!$B:$B,EY2)</f>
        <v>0</v>
      </c>
      <c r="EZ110" s="115">
        <f>SUMIFS(商品数据源!$H:$H,商品数据源!$A:$A,$B$110,商品数据源!$B:$B,EZ2)</f>
        <v>0</v>
      </c>
      <c r="FA110" s="115">
        <f>SUMIFS(商品数据源!$H:$H,商品数据源!$A:$A,$B$110,商品数据源!$B:$B,FA2)</f>
        <v>0</v>
      </c>
      <c r="FB110" s="115">
        <f>SUMIFS(商品数据源!$H:$H,商品数据源!$A:$A,$B$110,商品数据源!$B:$B,FB2)</f>
        <v>0</v>
      </c>
      <c r="FC110" s="115">
        <f>SUMIFS(商品数据源!$H:$H,商品数据源!$A:$A,$B$110,商品数据源!$B:$B,FC2)</f>
        <v>0</v>
      </c>
      <c r="FD110" s="115">
        <f>SUMIFS(商品数据源!$H:$H,商品数据源!$A:$A,$B$110,商品数据源!$B:$B,FD2)</f>
        <v>0</v>
      </c>
      <c r="FE110" s="115">
        <f>SUMIFS(商品数据源!$H:$H,商品数据源!$A:$A,$B$110,商品数据源!$B:$B,FE2)</f>
        <v>0</v>
      </c>
      <c r="FF110" s="115">
        <f>SUMIFS(商品数据源!$H:$H,商品数据源!$A:$A,$B$110,商品数据源!$B:$B,FF2)</f>
        <v>0</v>
      </c>
      <c r="FG110" s="115">
        <f>SUMIFS(商品数据源!$H:$H,商品数据源!$A:$A,$B$110,商品数据源!$B:$B,FG2)</f>
        <v>0</v>
      </c>
      <c r="FH110" s="115">
        <f>SUMIFS(商品数据源!$H:$H,商品数据源!$A:$A,$B$110,商品数据源!$B:$B,FH2)</f>
        <v>0</v>
      </c>
      <c r="FI110" s="115">
        <f>SUMIFS(商品数据源!$H:$H,商品数据源!$A:$A,$B$110,商品数据源!$B:$B,FI2)</f>
        <v>0</v>
      </c>
      <c r="FJ110" s="115">
        <f>SUMIFS(商品数据源!$H:$H,商品数据源!$A:$A,$B$110,商品数据源!$B:$B,FJ2)</f>
        <v>0</v>
      </c>
      <c r="FK110" s="115">
        <f>SUMIFS(商品数据源!$H:$H,商品数据源!$A:$A,$B$110,商品数据源!$B:$B,FK2)</f>
        <v>0</v>
      </c>
      <c r="FL110" s="115">
        <f>SUMIFS(商品数据源!$H:$H,商品数据源!$A:$A,$B$110,商品数据源!$B:$B,FL2)</f>
        <v>0</v>
      </c>
      <c r="FM110" s="115">
        <f>SUMIFS(商品数据源!$H:$H,商品数据源!$A:$A,$B$110,商品数据源!$B:$B,FM2)</f>
        <v>0</v>
      </c>
      <c r="FN110" s="115">
        <f>SUMIFS(商品数据源!$H:$H,商品数据源!$A:$A,$B$110,商品数据源!$B:$B,FN2)</f>
        <v>0</v>
      </c>
      <c r="FO110" s="115">
        <f>SUMIFS(商品数据源!$H:$H,商品数据源!$A:$A,$B$110,商品数据源!$B:$B,FO2)</f>
        <v>0</v>
      </c>
      <c r="FP110" s="115">
        <f>SUMIFS(商品数据源!$H:$H,商品数据源!$A:$A,$B$110,商品数据源!$B:$B,FP2)</f>
        <v>0</v>
      </c>
      <c r="FQ110" s="65">
        <f t="shared" ref="FQ110:FQ113" si="537">SUM(FR110:GX110)</f>
        <v>0</v>
      </c>
      <c r="FR110" s="115">
        <f>SUMIFS(商品数据源!$H:$H,商品数据源!$A:$A,$B$110,商品数据源!$B:$B,FR2)</f>
        <v>0</v>
      </c>
      <c r="FS110" s="115">
        <f>SUMIFS(商品数据源!$H:$H,商品数据源!$A:$A,$B$110,商品数据源!$B:$B,FS2)</f>
        <v>0</v>
      </c>
      <c r="FT110" s="115">
        <f>SUMIFS(商品数据源!$H:$H,商品数据源!$A:$A,$B$110,商品数据源!$B:$B,FT2)</f>
        <v>0</v>
      </c>
      <c r="FU110" s="115">
        <f>SUMIFS(商品数据源!$H:$H,商品数据源!$A:$A,$B$110,商品数据源!$B:$B,FU2)</f>
        <v>0</v>
      </c>
      <c r="FV110" s="115">
        <f>SUMIFS(商品数据源!$H:$H,商品数据源!$A:$A,$B$110,商品数据源!$B:$B,FV2)</f>
        <v>0</v>
      </c>
      <c r="FW110" s="115">
        <f>SUMIFS(商品数据源!$H:$H,商品数据源!$A:$A,$B$110,商品数据源!$B:$B,FW2)</f>
        <v>0</v>
      </c>
      <c r="FX110" s="115">
        <f>SUMIFS(商品数据源!$H:$H,商品数据源!$A:$A,$B$110,商品数据源!$B:$B,FX2)</f>
        <v>0</v>
      </c>
      <c r="FY110" s="115">
        <f>SUMIFS(商品数据源!$H:$H,商品数据源!$A:$A,$B$110,商品数据源!$B:$B,FY2)</f>
        <v>0</v>
      </c>
      <c r="FZ110" s="115">
        <f>SUMIFS(商品数据源!$H:$H,商品数据源!$A:$A,$B$110,商品数据源!$B:$B,FZ2)</f>
        <v>0</v>
      </c>
      <c r="GA110" s="115">
        <f>SUMIFS(商品数据源!$H:$H,商品数据源!$A:$A,$B$110,商品数据源!$B:$B,GA2)</f>
        <v>0</v>
      </c>
      <c r="GB110" s="115">
        <f>SUMIFS(商品数据源!$H:$H,商品数据源!$A:$A,$B$110,商品数据源!$B:$B,GB2)</f>
        <v>0</v>
      </c>
      <c r="GC110" s="115">
        <f>SUMIFS(商品数据源!$H:$H,商品数据源!$A:$A,$B$110,商品数据源!$B:$B,GC2)</f>
        <v>0</v>
      </c>
      <c r="GD110" s="115">
        <f>SUMIFS(商品数据源!$H:$H,商品数据源!$A:$A,$B$110,商品数据源!$B:$B,GD2)</f>
        <v>0</v>
      </c>
      <c r="GE110" s="115">
        <f>SUMIFS(商品数据源!$H:$H,商品数据源!$A:$A,$B$110,商品数据源!$B:$B,GE2)</f>
        <v>0</v>
      </c>
      <c r="GF110" s="115">
        <f>SUMIFS(商品数据源!$H:$H,商品数据源!$A:$A,$B$110,商品数据源!$B:$B,GF2)</f>
        <v>0</v>
      </c>
      <c r="GG110" s="115">
        <f>SUMIFS(商品数据源!$H:$H,商品数据源!$A:$A,$B$110,商品数据源!$B:$B,GG2)</f>
        <v>0</v>
      </c>
      <c r="GH110" s="115">
        <f>SUMIFS(商品数据源!$H:$H,商品数据源!$A:$A,$B$110,商品数据源!$B:$B,GH2)</f>
        <v>0</v>
      </c>
      <c r="GI110" s="115">
        <f>SUMIFS(商品数据源!$H:$H,商品数据源!$A:$A,$B$110,商品数据源!$B:$B,GI2)</f>
        <v>0</v>
      </c>
      <c r="GJ110" s="115">
        <f>SUMIFS(商品数据源!$H:$H,商品数据源!$A:$A,$B$110,商品数据源!$B:$B,GJ2)</f>
        <v>0</v>
      </c>
      <c r="GK110" s="115">
        <f>SUMIFS(商品数据源!$H:$H,商品数据源!$A:$A,$B$110,商品数据源!$B:$B,GK2)</f>
        <v>0</v>
      </c>
      <c r="GL110" s="115">
        <f>SUMIFS(商品数据源!$H:$H,商品数据源!$A:$A,$B$110,商品数据源!$B:$B,GL2)</f>
        <v>0</v>
      </c>
      <c r="GM110" s="115">
        <f>SUMIFS(商品数据源!$H:$H,商品数据源!$A:$A,$B$110,商品数据源!$B:$B,GM2)</f>
        <v>0</v>
      </c>
      <c r="GN110" s="115">
        <f>SUMIFS(商品数据源!$H:$H,商品数据源!$A:$A,$B$110,商品数据源!$B:$B,GN2)</f>
        <v>0</v>
      </c>
      <c r="GO110" s="115">
        <f>SUMIFS(商品数据源!$H:$H,商品数据源!$A:$A,$B$110,商品数据源!$B:$B,GO2)</f>
        <v>0</v>
      </c>
      <c r="GP110" s="115">
        <f>SUMIFS(商品数据源!$H:$H,商品数据源!$A:$A,$B$110,商品数据源!$B:$B,GP2)</f>
        <v>0</v>
      </c>
    </row>
    <row r="111" s="47" customFormat="1" ht="15" hidden="1" customHeight="1" spans="2:198">
      <c r="B111" s="112"/>
      <c r="C111" s="113" t="s">
        <v>21</v>
      </c>
      <c r="D111" s="114" t="e">
        <f t="shared" si="513"/>
        <v>#REF!</v>
      </c>
      <c r="E111" s="115" t="e">
        <f>#REF!</f>
        <v>#REF!</v>
      </c>
      <c r="F111" s="115" t="e">
        <f>#REF!</f>
        <v>#REF!</v>
      </c>
      <c r="G111" s="115" t="e">
        <f>#REF!</f>
        <v>#REF!</v>
      </c>
      <c r="H111" s="115" t="e">
        <f>#REF!</f>
        <v>#REF!</v>
      </c>
      <c r="I111" s="115" t="e">
        <f>#REF!</f>
        <v>#REF!</v>
      </c>
      <c r="J111" s="115" t="e">
        <f>#REF!</f>
        <v>#REF!</v>
      </c>
      <c r="K111" s="115" t="e">
        <f>#REF!</f>
        <v>#REF!</v>
      </c>
      <c r="L111" s="115" t="e">
        <f>#REF!</f>
        <v>#REF!</v>
      </c>
      <c r="M111" s="115" t="e">
        <f>#REF!</f>
        <v>#REF!</v>
      </c>
      <c r="N111" s="115" t="e">
        <f>#REF!</f>
        <v>#REF!</v>
      </c>
      <c r="O111" s="115" t="e">
        <f>#REF!</f>
        <v>#REF!</v>
      </c>
      <c r="P111" s="115" t="e">
        <f>#REF!</f>
        <v>#REF!</v>
      </c>
      <c r="Q111" s="65">
        <f t="shared" si="514"/>
        <v>922</v>
      </c>
      <c r="R111" s="115">
        <f>SUMIFS(商品数据源!$G:$G,商品数据源!$A:$A,$B$110,商品数据源!$B:$B,R2)</f>
        <v>9</v>
      </c>
      <c r="S111" s="115">
        <f>SUMIFS(商品数据源!$G:$G,商品数据源!$A:$A,$B$110,商品数据源!$B:$B,S2)</f>
        <v>9</v>
      </c>
      <c r="T111" s="115">
        <f>SUMIFS(商品数据源!$G:$G,商品数据源!$A:$A,$B$110,商品数据源!$B:$B,T2)</f>
        <v>42</v>
      </c>
      <c r="U111" s="115">
        <f>SUMIFS(商品数据源!$G:$G,商品数据源!$A:$A,$B$110,商品数据源!$B:$B,U2)</f>
        <v>68</v>
      </c>
      <c r="V111" s="115">
        <f>SUMIFS(商品数据源!$G:$G,商品数据源!$A:$A,$B$110,商品数据源!$B:$B,V2)</f>
        <v>57</v>
      </c>
      <c r="W111" s="115">
        <f>SUMIFS(商品数据源!$G:$G,商品数据源!$A:$A,$B$110,商品数据源!$B:$B,W2)</f>
        <v>33</v>
      </c>
      <c r="X111" s="115">
        <f>SUMIFS(商品数据源!$G:$G,商品数据源!$A:$A,$B$110,商品数据源!$B:$B,X2)</f>
        <v>51</v>
      </c>
      <c r="Y111" s="115">
        <f>SUMIFS(商品数据源!$G:$G,商品数据源!$A:$A,$B$110,商品数据源!$B:$B,Y2)</f>
        <v>40</v>
      </c>
      <c r="Z111" s="115">
        <f>SUMIFS(商品数据源!$G:$G,商品数据源!$A:$A,$B$110,商品数据源!$B:$B,Z2)</f>
        <v>44</v>
      </c>
      <c r="AA111" s="115">
        <f>SUMIFS(商品数据源!$G:$G,商品数据源!$A:$A,$B$110,商品数据源!$B:$B,AA2)</f>
        <v>51</v>
      </c>
      <c r="AB111" s="115">
        <f>SUMIFS(商品数据源!$G:$G,商品数据源!$A:$A,$B$110,商品数据源!$B:$B,AB2)</f>
        <v>54</v>
      </c>
      <c r="AC111" s="115">
        <f>SUMIFS(商品数据源!$G:$G,商品数据源!$A:$A,$B$110,商品数据源!$B:$B,AC2)</f>
        <v>29</v>
      </c>
      <c r="AD111" s="115">
        <f>SUMIFS(商品数据源!$G:$G,商品数据源!$A:$A,$B$110,商品数据源!$B:$B,AD2)</f>
        <v>39</v>
      </c>
      <c r="AE111" s="115">
        <f>SUMIFS(商品数据源!$G:$G,商品数据源!$A:$A,$B$110,商品数据源!$B:$B,AE2)</f>
        <v>57</v>
      </c>
      <c r="AF111" s="115">
        <f>SUMIFS(商品数据源!$G:$G,商品数据源!$A:$A,$B$110,商品数据源!$B:$B,AF2)</f>
        <v>53</v>
      </c>
      <c r="AG111" s="115">
        <f>SUMIFS(商品数据源!$G:$G,商品数据源!$A:$A,$B$110,商品数据源!$B:$B,AG2)</f>
        <v>31</v>
      </c>
      <c r="AH111" s="115">
        <f>SUMIFS(商品数据源!$G:$G,商品数据源!$A:$A,$B$110,商品数据源!$B:$B,AH2)</f>
        <v>31</v>
      </c>
      <c r="AI111" s="115">
        <f>SUMIFS(商品数据源!$G:$G,商品数据源!$A:$A,$B$110,商品数据源!$B:$B,AI2)</f>
        <v>26</v>
      </c>
      <c r="AJ111" s="115">
        <f>SUMIFS(商品数据源!$G:$G,商品数据源!$A:$A,$B$110,商品数据源!$B:$B,AJ2)</f>
        <v>25</v>
      </c>
      <c r="AK111" s="115">
        <f>SUMIFS(商品数据源!$G:$G,商品数据源!$A:$A,$B$110,商品数据源!$B:$B,AK2)</f>
        <v>14</v>
      </c>
      <c r="AL111" s="115">
        <f>SUMIFS(商品数据源!$G:$G,商品数据源!$A:$A,$B$110,商品数据源!$B:$B,AL2)</f>
        <v>13</v>
      </c>
      <c r="AM111" s="115">
        <f>SUMIFS(商品数据源!$G:$G,商品数据源!$A:$A,$B$110,商品数据源!$B:$B,AM2)</f>
        <v>12</v>
      </c>
      <c r="AN111" s="115">
        <f>SUMIFS(商品数据源!$G:$G,商品数据源!$A:$A,$B$110,商品数据源!$B:$B,AN2)</f>
        <v>17</v>
      </c>
      <c r="AO111" s="115">
        <f>SUMIFS(商品数据源!$G:$G,商品数据源!$A:$A,$B$110,商品数据源!$B:$B,AO2)</f>
        <v>18</v>
      </c>
      <c r="AP111" s="115">
        <f>SUMIFS(商品数据源!$G:$G,商品数据源!$A:$A,$B$110,商品数据源!$B:$B,AP2)</f>
        <v>26</v>
      </c>
      <c r="AQ111" s="115">
        <f>SUMIFS(商品数据源!$G:$G,商品数据源!$A:$A,$B$110,商品数据源!$B:$B,AQ2)</f>
        <v>16</v>
      </c>
      <c r="AR111" s="115">
        <f>SUMIFS(商品数据源!$G:$G,商品数据源!$A:$A,$B$110,商品数据源!$B:$B,AR2)</f>
        <v>19</v>
      </c>
      <c r="AS111" s="115">
        <f>SUMIFS(商品数据源!$G:$G,商品数据源!$A:$A,$B$110,商品数据源!$B:$B,AS2)</f>
        <v>7</v>
      </c>
      <c r="AT111" s="115">
        <f>SUMIFS(商品数据源!$G:$G,商品数据源!$A:$A,$B$110,商品数据源!$B:$B,AT2)</f>
        <v>9</v>
      </c>
      <c r="AU111" s="115">
        <f>SUMIFS(商品数据源!$G:$G,商品数据源!$A:$A,$B$110,商品数据源!$B:$B,AU2)</f>
        <v>8</v>
      </c>
      <c r="AV111" s="115">
        <f>SUMIFS(商品数据源!$G:$G,商品数据源!$A:$A,$B$110,商品数据源!$B:$B,AV2)</f>
        <v>14</v>
      </c>
      <c r="AW111" s="65">
        <f>SUM(AX111:BY111)</f>
        <v>39</v>
      </c>
      <c r="AX111" s="115">
        <f>SUMIFS(商品数据源!$G:$G,商品数据源!$A:$A,$B$110,商品数据源!$B:$B,AX2)</f>
        <v>13</v>
      </c>
      <c r="AY111" s="115">
        <f>SUMIFS(商品数据源!$G:$G,商品数据源!$A:$A,$B$110,商品数据源!$B:$B,AY2)</f>
        <v>22</v>
      </c>
      <c r="AZ111" s="115">
        <f>SUMIFS(商品数据源!$G:$G,商品数据源!$A:$A,$B$110,商品数据源!$B:$B,AZ2)</f>
        <v>4</v>
      </c>
      <c r="BA111" s="115">
        <f>SUMIFS(商品数据源!$G:$G,商品数据源!$A:$A,$B$110,商品数据源!$B:$B,BA2)</f>
        <v>0</v>
      </c>
      <c r="BB111" s="115">
        <f>SUMIFS(商品数据源!$G:$G,商品数据源!$A:$A,$B$110,商品数据源!$B:$B,BB2)</f>
        <v>0</v>
      </c>
      <c r="BC111" s="115">
        <f>SUMIFS(商品数据源!$G:$G,商品数据源!$A:$A,$B$110,商品数据源!$B:$B,BC2)</f>
        <v>0</v>
      </c>
      <c r="BD111" s="115">
        <f>SUMIFS(商品数据源!$G:$G,商品数据源!$A:$A,$B$110,商品数据源!$B:$B,BD2)</f>
        <v>0</v>
      </c>
      <c r="BE111" s="115">
        <f>SUMIFS(商品数据源!$G:$G,商品数据源!$A:$A,$B$110,商品数据源!$B:$B,BE2)</f>
        <v>0</v>
      </c>
      <c r="BF111" s="115">
        <f>SUMIFS(商品数据源!$G:$G,商品数据源!$A:$A,$B$110,商品数据源!$B:$B,BF2)</f>
        <v>0</v>
      </c>
      <c r="BG111" s="115">
        <f>SUMIFS(商品数据源!$G:$G,商品数据源!$A:$A,$B$110,商品数据源!$B:$B,BG2)</f>
        <v>0</v>
      </c>
      <c r="BH111" s="115">
        <f>SUMIFS(商品数据源!$G:$G,商品数据源!$A:$A,$B$110,商品数据源!$B:$B,BH2)</f>
        <v>0</v>
      </c>
      <c r="BI111" s="115">
        <f>SUMIFS(商品数据源!$G:$G,商品数据源!$A:$A,$B$110,商品数据源!$B:$B,BI2)</f>
        <v>0</v>
      </c>
      <c r="BJ111" s="115">
        <f>SUMIFS(商品数据源!$G:$G,商品数据源!$A:$A,$B$110,商品数据源!$B:$B,BJ2)</f>
        <v>0</v>
      </c>
      <c r="BK111" s="115">
        <f>SUMIFS(商品数据源!$G:$G,商品数据源!$A:$A,$B$110,商品数据源!$B:$B,BK2)</f>
        <v>0</v>
      </c>
      <c r="BL111" s="115">
        <f>SUMIFS(商品数据源!$G:$G,商品数据源!$A:$A,$B$110,商品数据源!$B:$B,BL2)</f>
        <v>0</v>
      </c>
      <c r="BM111" s="115">
        <f>SUMIFS(商品数据源!$G:$G,商品数据源!$A:$A,$B$110,商品数据源!$B:$B,BM2)</f>
        <v>0</v>
      </c>
      <c r="BN111" s="115">
        <f>SUMIFS(商品数据源!$G:$G,商品数据源!$A:$A,$B$110,商品数据源!$B:$B,BN2)</f>
        <v>0</v>
      </c>
      <c r="BO111" s="115">
        <f>SUMIFS(商品数据源!$G:$G,商品数据源!$A:$A,$B$110,商品数据源!$B:$B,BO2)</f>
        <v>0</v>
      </c>
      <c r="BP111" s="115">
        <f>SUMIFS(商品数据源!$G:$G,商品数据源!$A:$A,$B$110,商品数据源!$B:$B,BP2)</f>
        <v>0</v>
      </c>
      <c r="BQ111" s="115">
        <f>SUMIFS(商品数据源!$G:$G,商品数据源!$A:$A,$B$110,商品数据源!$B:$B,BQ2)</f>
        <v>0</v>
      </c>
      <c r="BR111" s="115">
        <f>SUMIFS(商品数据源!$G:$G,商品数据源!$A:$A,$B$110,商品数据源!$B:$B,BR2)</f>
        <v>0</v>
      </c>
      <c r="BS111" s="115">
        <f>SUMIFS(商品数据源!$G:$G,商品数据源!$A:$A,$B$110,商品数据源!$B:$B,BS2)</f>
        <v>0</v>
      </c>
      <c r="BT111" s="115">
        <f>SUMIFS(商品数据源!$G:$G,商品数据源!$A:$A,$B$110,商品数据源!$B:$B,BT2)</f>
        <v>0</v>
      </c>
      <c r="BU111" s="115">
        <f>SUMIFS(商品数据源!$G:$G,商品数据源!$A:$A,$B$110,商品数据源!$B:$B,BU2)</f>
        <v>0</v>
      </c>
      <c r="BV111" s="115">
        <f>SUMIFS(商品数据源!$G:$G,商品数据源!$A:$A,$B$110,商品数据源!$B:$B,BV2)</f>
        <v>0</v>
      </c>
      <c r="BW111" s="115">
        <f>SUMIFS(商品数据源!$G:$G,商品数据源!$A:$A,$B$110,商品数据源!$B:$B,BW2)</f>
        <v>0</v>
      </c>
      <c r="BX111" s="115">
        <f>SUMIFS(商品数据源!$G:$G,商品数据源!$A:$A,$B$110,商品数据源!$B:$B,BX2)</f>
        <v>0</v>
      </c>
      <c r="BY111" s="115">
        <f>SUMIFS(商品数据源!$G:$G,商品数据源!$A:$A,$B$110,商品数据源!$B:$B,BY2)</f>
        <v>0</v>
      </c>
      <c r="BZ111" s="65">
        <f>SUM(CA111:DE111)</f>
        <v>0</v>
      </c>
      <c r="CA111" s="115">
        <f>SUMIFS(商品数据源!$G:$G,商品数据源!$A:$A,$B$110,商品数据源!$B:$B,CA2)</f>
        <v>0</v>
      </c>
      <c r="CB111" s="115">
        <f>SUMIFS(商品数据源!$G:$G,商品数据源!$A:$A,$B$110,商品数据源!$B:$B,CB2)</f>
        <v>0</v>
      </c>
      <c r="CC111" s="115">
        <f>SUMIFS(商品数据源!$G:$G,商品数据源!$A:$A,$B$110,商品数据源!$B:$B,CC2)</f>
        <v>0</v>
      </c>
      <c r="CD111" s="115">
        <f>SUMIFS(商品数据源!$G:$G,商品数据源!$A:$A,$B$110,商品数据源!$B:$B,CD2)</f>
        <v>0</v>
      </c>
      <c r="CE111" s="115">
        <f>SUMIFS(商品数据源!$G:$G,商品数据源!$A:$A,$B$110,商品数据源!$B:$B,CE2)</f>
        <v>0</v>
      </c>
      <c r="CF111" s="115">
        <f>SUMIFS(商品数据源!$G:$G,商品数据源!$A:$A,$B$110,商品数据源!$B:$B,CF2)</f>
        <v>0</v>
      </c>
      <c r="CG111" s="115">
        <f>SUMIFS(商品数据源!$G:$G,商品数据源!$A:$A,$B$110,商品数据源!$B:$B,CG2)</f>
        <v>0</v>
      </c>
      <c r="CH111" s="115">
        <f>SUMIFS(商品数据源!$G:$G,商品数据源!$A:$A,$B$110,商品数据源!$B:$B,CH2)</f>
        <v>0</v>
      </c>
      <c r="CI111" s="115">
        <f>SUMIFS(商品数据源!$G:$G,商品数据源!$A:$A,$B$110,商品数据源!$B:$B,CI2)</f>
        <v>0</v>
      </c>
      <c r="CJ111" s="115">
        <f>SUMIFS(商品数据源!$G:$G,商品数据源!$A:$A,$B$110,商品数据源!$B:$B,CJ2)</f>
        <v>0</v>
      </c>
      <c r="CK111" s="115">
        <f>SUMIFS(商品数据源!$G:$G,商品数据源!$A:$A,$B$110,商品数据源!$B:$B,CK2)</f>
        <v>0</v>
      </c>
      <c r="CL111" s="115">
        <f>SUMIFS(商品数据源!$G:$G,商品数据源!$A:$A,$B$110,商品数据源!$B:$B,CL2)</f>
        <v>0</v>
      </c>
      <c r="CM111" s="115">
        <f>SUMIFS(商品数据源!$G:$G,商品数据源!$A:$A,$B$110,商品数据源!$B:$B,CM2)</f>
        <v>0</v>
      </c>
      <c r="CN111" s="115">
        <f>SUMIFS(商品数据源!$G:$G,商品数据源!$A:$A,$B$110,商品数据源!$B:$B,CN2)</f>
        <v>0</v>
      </c>
      <c r="CO111" s="115">
        <f>SUMIFS(商品数据源!$G:$G,商品数据源!$A:$A,$B$110,商品数据源!$B:$B,CO2)</f>
        <v>0</v>
      </c>
      <c r="CP111" s="115">
        <f>SUMIFS(商品数据源!$G:$G,商品数据源!$A:$A,$B$110,商品数据源!$B:$B,CP2)</f>
        <v>0</v>
      </c>
      <c r="CQ111" s="115">
        <f>SUMIFS(商品数据源!$G:$G,商品数据源!$A:$A,$B$110,商品数据源!$B:$B,CQ2)</f>
        <v>0</v>
      </c>
      <c r="CR111" s="115">
        <f>SUMIFS(商品数据源!$G:$G,商品数据源!$A:$A,$B$110,商品数据源!$B:$B,CR2)</f>
        <v>0</v>
      </c>
      <c r="CS111" s="115">
        <f>SUMIFS(商品数据源!$G:$G,商品数据源!$A:$A,$B$110,商品数据源!$B:$B,CS2)</f>
        <v>0</v>
      </c>
      <c r="CT111" s="115">
        <f>SUMIFS(商品数据源!$G:$G,商品数据源!$A:$A,$B$110,商品数据源!$B:$B,CT2)</f>
        <v>0</v>
      </c>
      <c r="CU111" s="115">
        <f>SUMIFS(商品数据源!$G:$G,商品数据源!$A:$A,$B$110,商品数据源!$B:$B,CU2)</f>
        <v>0</v>
      </c>
      <c r="CV111" s="115">
        <f>SUMIFS(商品数据源!$G:$G,商品数据源!$A:$A,$B$110,商品数据源!$B:$B,CV2)</f>
        <v>0</v>
      </c>
      <c r="CW111" s="115">
        <f>SUMIFS(商品数据源!$G:$G,商品数据源!$A:$A,$B$110,商品数据源!$B:$B,CW2)</f>
        <v>0</v>
      </c>
      <c r="CX111" s="115">
        <f>SUMIFS(商品数据源!$G:$G,商品数据源!$A:$A,$B$110,商品数据源!$B:$B,CX2)</f>
        <v>0</v>
      </c>
      <c r="CY111" s="115">
        <f>SUMIFS(商品数据源!$G:$G,商品数据源!$A:$A,$B$110,商品数据源!$B:$B,CY2)</f>
        <v>0</v>
      </c>
      <c r="CZ111" s="115">
        <f>SUMIFS(商品数据源!$G:$G,商品数据源!$A:$A,$B$110,商品数据源!$B:$B,CZ2)</f>
        <v>0</v>
      </c>
      <c r="DA111" s="115">
        <f>SUMIFS(商品数据源!$G:$G,商品数据源!$A:$A,$B$110,商品数据源!$B:$B,DA2)</f>
        <v>0</v>
      </c>
      <c r="DB111" s="115">
        <f>SUMIFS(商品数据源!$G:$G,商品数据源!$A:$A,$B$110,商品数据源!$B:$B,DB2)</f>
        <v>0</v>
      </c>
      <c r="DC111" s="115">
        <f>SUMIFS(商品数据源!$G:$G,商品数据源!$A:$A,$B$110,商品数据源!$B:$B,DC2)</f>
        <v>0</v>
      </c>
      <c r="DD111" s="115">
        <f>SUMIFS(商品数据源!$G:$G,商品数据源!$A:$A,$B$110,商品数据源!$B:$B,DD2)</f>
        <v>0</v>
      </c>
      <c r="DE111" s="115">
        <f>SUMIFS(商品数据源!$G:$G,商品数据源!$A:$A,$B$110,商品数据源!$B:$B,DE2)</f>
        <v>0</v>
      </c>
      <c r="DF111" s="65">
        <f>SUM(DG111:EJ111)</f>
        <v>0</v>
      </c>
      <c r="DG111" s="115">
        <f>SUMIFS(商品数据源!$G:$G,商品数据源!$A:$A,$B$110,商品数据源!$B:$B,DG2)</f>
        <v>0</v>
      </c>
      <c r="DH111" s="115">
        <f>SUMIFS(商品数据源!$G:$G,商品数据源!$A:$A,$B$110,商品数据源!$B:$B,DH2)</f>
        <v>0</v>
      </c>
      <c r="DI111" s="115">
        <f>SUMIFS(商品数据源!$G:$G,商品数据源!$A:$A,$B$110,商品数据源!$B:$B,DI2)</f>
        <v>0</v>
      </c>
      <c r="DJ111" s="115">
        <f>SUMIFS(商品数据源!$G:$G,商品数据源!$A:$A,$B$110,商品数据源!$B:$B,DJ2)</f>
        <v>0</v>
      </c>
      <c r="DK111" s="115">
        <f>SUMIFS(商品数据源!$G:$G,商品数据源!$A:$A,$B$110,商品数据源!$B:$B,DK2)</f>
        <v>0</v>
      </c>
      <c r="DL111" s="115">
        <f>SUMIFS(商品数据源!$G:$G,商品数据源!$A:$A,$B$110,商品数据源!$B:$B,DL2)</f>
        <v>0</v>
      </c>
      <c r="DM111" s="115">
        <f>SUMIFS(商品数据源!$G:$G,商品数据源!$A:$A,$B$110,商品数据源!$B:$B,DM2)</f>
        <v>0</v>
      </c>
      <c r="DN111" s="115">
        <f>SUMIFS(商品数据源!$G:$G,商品数据源!$A:$A,$B$110,商品数据源!$B:$B,DN2)</f>
        <v>0</v>
      </c>
      <c r="DO111" s="115">
        <f>SUMIFS(商品数据源!$G:$G,商品数据源!$A:$A,$B$110,商品数据源!$B:$B,DO2)</f>
        <v>0</v>
      </c>
      <c r="DP111" s="115">
        <f>SUMIFS(商品数据源!$G:$G,商品数据源!$A:$A,$B$110,商品数据源!$B:$B,DP2)</f>
        <v>0</v>
      </c>
      <c r="DQ111" s="115">
        <f>SUMIFS(商品数据源!$G:$G,商品数据源!$A:$A,$B$110,商品数据源!$B:$B,DQ2)</f>
        <v>0</v>
      </c>
      <c r="DR111" s="115">
        <f>SUMIFS(商品数据源!$G:$G,商品数据源!$A:$A,$B$110,商品数据源!$B:$B,DR2)</f>
        <v>0</v>
      </c>
      <c r="DS111" s="115">
        <f>SUMIFS(商品数据源!$G:$G,商品数据源!$A:$A,$B$110,商品数据源!$B:$B,DS2)</f>
        <v>0</v>
      </c>
      <c r="DT111" s="115">
        <f>SUMIFS(商品数据源!$G:$G,商品数据源!$A:$A,$B$110,商品数据源!$B:$B,DT2)</f>
        <v>0</v>
      </c>
      <c r="DU111" s="115">
        <f>SUMIFS(商品数据源!$G:$G,商品数据源!$A:$A,$B$110,商品数据源!$B:$B,DU2)</f>
        <v>0</v>
      </c>
      <c r="DV111" s="115">
        <f>SUMIFS(商品数据源!$G:$G,商品数据源!$A:$A,$B$110,商品数据源!$B:$B,DV2)</f>
        <v>0</v>
      </c>
      <c r="DW111" s="115">
        <f>SUMIFS(商品数据源!$G:$G,商品数据源!$A:$A,$B$110,商品数据源!$B:$B,DW2)</f>
        <v>0</v>
      </c>
      <c r="DX111" s="115">
        <f>SUMIFS(商品数据源!$G:$G,商品数据源!$A:$A,$B$110,商品数据源!$B:$B,DX2)</f>
        <v>0</v>
      </c>
      <c r="DY111" s="115">
        <f>SUMIFS(商品数据源!$G:$G,商品数据源!$A:$A,$B$110,商品数据源!$B:$B,DY2)</f>
        <v>0</v>
      </c>
      <c r="DZ111" s="115">
        <f>SUMIFS(商品数据源!$G:$G,商品数据源!$A:$A,$B$110,商品数据源!$B:$B,DZ2)</f>
        <v>0</v>
      </c>
      <c r="EA111" s="115">
        <f>SUMIFS(商品数据源!$G:$G,商品数据源!$A:$A,$B$110,商品数据源!$B:$B,EA2)</f>
        <v>0</v>
      </c>
      <c r="EB111" s="115">
        <f>SUMIFS(商品数据源!$G:$G,商品数据源!$A:$A,$B$110,商品数据源!$B:$B,EB2)</f>
        <v>0</v>
      </c>
      <c r="EC111" s="115">
        <f>SUMIFS(商品数据源!$G:$G,商品数据源!$A:$A,$B$110,商品数据源!$B:$B,EC2)</f>
        <v>0</v>
      </c>
      <c r="ED111" s="115">
        <f>SUMIFS(商品数据源!$G:$G,商品数据源!$A:$A,$B$110,商品数据源!$B:$B,ED2)</f>
        <v>0</v>
      </c>
      <c r="EE111" s="115">
        <f>SUMIFS(商品数据源!$G:$G,商品数据源!$A:$A,$B$110,商品数据源!$B:$B,EE2)</f>
        <v>0</v>
      </c>
      <c r="EF111" s="115">
        <f>SUMIFS(商品数据源!$G:$G,商品数据源!$A:$A,$B$110,商品数据源!$B:$B,EF2)</f>
        <v>0</v>
      </c>
      <c r="EG111" s="115">
        <f>SUMIFS(商品数据源!$G:$G,商品数据源!$A:$A,$B$110,商品数据源!$B:$B,EG2)</f>
        <v>0</v>
      </c>
      <c r="EH111" s="115">
        <f>SUMIFS(商品数据源!$G:$G,商品数据源!$A:$A,$B$110,商品数据源!$B:$B,EH2)</f>
        <v>0</v>
      </c>
      <c r="EI111" s="115">
        <f>SUMIFS(商品数据源!$G:$G,商品数据源!$A:$A,$B$110,商品数据源!$B:$B,EI2)</f>
        <v>0</v>
      </c>
      <c r="EJ111" s="115">
        <f>SUMIFS(商品数据源!$G:$G,商品数据源!$A:$A,$B$110,商品数据源!$B:$B,EJ2)</f>
        <v>0</v>
      </c>
      <c r="EK111" s="65">
        <f>SUM(EL111:FP111)</f>
        <v>0</v>
      </c>
      <c r="EL111" s="115">
        <f>SUMIFS(商品数据源!$G:$G,商品数据源!$A:$A,$B$110,商品数据源!$B:$B,EL2)</f>
        <v>0</v>
      </c>
      <c r="EM111" s="115">
        <f>SUMIFS(商品数据源!$G:$G,商品数据源!$A:$A,$B$110,商品数据源!$B:$B,EM2)</f>
        <v>0</v>
      </c>
      <c r="EN111" s="115">
        <f>SUMIFS(商品数据源!$G:$G,商品数据源!$A:$A,$B$110,商品数据源!$B:$B,EN2)</f>
        <v>0</v>
      </c>
      <c r="EO111" s="115">
        <f>SUMIFS(商品数据源!$G:$G,商品数据源!$A:$A,$B$110,商品数据源!$B:$B,EO2)</f>
        <v>0</v>
      </c>
      <c r="EP111" s="115">
        <f>SUMIFS(商品数据源!$G:$G,商品数据源!$A:$A,$B$110,商品数据源!$B:$B,EP2)</f>
        <v>0</v>
      </c>
      <c r="EQ111" s="115">
        <f>SUMIFS(商品数据源!$G:$G,商品数据源!$A:$A,$B$110,商品数据源!$B:$B,EQ2)</f>
        <v>0</v>
      </c>
      <c r="ER111" s="115">
        <f>SUMIFS(商品数据源!$G:$G,商品数据源!$A:$A,$B$110,商品数据源!$B:$B,ER2)</f>
        <v>0</v>
      </c>
      <c r="ES111" s="115">
        <f>SUMIFS(商品数据源!$G:$G,商品数据源!$A:$A,$B$110,商品数据源!$B:$B,ES2)</f>
        <v>0</v>
      </c>
      <c r="ET111" s="115">
        <f>SUMIFS(商品数据源!$G:$G,商品数据源!$A:$A,$B$110,商品数据源!$B:$B,ET2)</f>
        <v>0</v>
      </c>
      <c r="EU111" s="115">
        <f>SUMIFS(商品数据源!$G:$G,商品数据源!$A:$A,$B$110,商品数据源!$B:$B,EU2)</f>
        <v>0</v>
      </c>
      <c r="EV111" s="115">
        <f>SUMIFS(商品数据源!$G:$G,商品数据源!$A:$A,$B$110,商品数据源!$B:$B,EV2)</f>
        <v>0</v>
      </c>
      <c r="EW111" s="115">
        <f>SUMIFS(商品数据源!$G:$G,商品数据源!$A:$A,$B$110,商品数据源!$B:$B,EW2)</f>
        <v>0</v>
      </c>
      <c r="EX111" s="115">
        <f>SUMIFS(商品数据源!$G:$G,商品数据源!$A:$A,$B$110,商品数据源!$B:$B,EX2)</f>
        <v>0</v>
      </c>
      <c r="EY111" s="115">
        <f>SUMIFS(商品数据源!$G:$G,商品数据源!$A:$A,$B$110,商品数据源!$B:$B,EY2)</f>
        <v>0</v>
      </c>
      <c r="EZ111" s="115">
        <f>SUMIFS(商品数据源!$G:$G,商品数据源!$A:$A,$B$110,商品数据源!$B:$B,EZ2)</f>
        <v>0</v>
      </c>
      <c r="FA111" s="115">
        <f>SUMIFS(商品数据源!$G:$G,商品数据源!$A:$A,$B$110,商品数据源!$B:$B,FA2)</f>
        <v>0</v>
      </c>
      <c r="FB111" s="115">
        <f>SUMIFS(商品数据源!$G:$G,商品数据源!$A:$A,$B$110,商品数据源!$B:$B,FB2)</f>
        <v>0</v>
      </c>
      <c r="FC111" s="115">
        <f>SUMIFS(商品数据源!$G:$G,商品数据源!$A:$A,$B$110,商品数据源!$B:$B,FC2)</f>
        <v>0</v>
      </c>
      <c r="FD111" s="115">
        <f>SUMIFS(商品数据源!$G:$G,商品数据源!$A:$A,$B$110,商品数据源!$B:$B,FD2)</f>
        <v>0</v>
      </c>
      <c r="FE111" s="115">
        <f>SUMIFS(商品数据源!$G:$G,商品数据源!$A:$A,$B$110,商品数据源!$B:$B,FE2)</f>
        <v>0</v>
      </c>
      <c r="FF111" s="115">
        <f>SUMIFS(商品数据源!$G:$G,商品数据源!$A:$A,$B$110,商品数据源!$B:$B,FF2)</f>
        <v>0</v>
      </c>
      <c r="FG111" s="115">
        <f>SUMIFS(商品数据源!$G:$G,商品数据源!$A:$A,$B$110,商品数据源!$B:$B,FG2)</f>
        <v>0</v>
      </c>
      <c r="FH111" s="115">
        <f>SUMIFS(商品数据源!$G:$G,商品数据源!$A:$A,$B$110,商品数据源!$B:$B,FH2)</f>
        <v>0</v>
      </c>
      <c r="FI111" s="115">
        <f>SUMIFS(商品数据源!$G:$G,商品数据源!$A:$A,$B$110,商品数据源!$B:$B,FI2)</f>
        <v>0</v>
      </c>
      <c r="FJ111" s="115">
        <f>SUMIFS(商品数据源!$G:$G,商品数据源!$A:$A,$B$110,商品数据源!$B:$B,FJ2)</f>
        <v>0</v>
      </c>
      <c r="FK111" s="115">
        <f>SUMIFS(商品数据源!$G:$G,商品数据源!$A:$A,$B$110,商品数据源!$B:$B,FK2)</f>
        <v>0</v>
      </c>
      <c r="FL111" s="115">
        <f>SUMIFS(商品数据源!$G:$G,商品数据源!$A:$A,$B$110,商品数据源!$B:$B,FL2)</f>
        <v>0</v>
      </c>
      <c r="FM111" s="115">
        <f>SUMIFS(商品数据源!$G:$G,商品数据源!$A:$A,$B$110,商品数据源!$B:$B,FM2)</f>
        <v>0</v>
      </c>
      <c r="FN111" s="115">
        <f>SUMIFS(商品数据源!$G:$G,商品数据源!$A:$A,$B$110,商品数据源!$B:$B,FN2)</f>
        <v>0</v>
      </c>
      <c r="FO111" s="115">
        <f>SUMIFS(商品数据源!$G:$G,商品数据源!$A:$A,$B$110,商品数据源!$B:$B,FO2)</f>
        <v>0</v>
      </c>
      <c r="FP111" s="115">
        <f>SUMIFS(商品数据源!$G:$G,商品数据源!$A:$A,$B$110,商品数据源!$B:$B,FP2)</f>
        <v>0</v>
      </c>
      <c r="FQ111" s="65">
        <f t="shared" si="537"/>
        <v>0</v>
      </c>
      <c r="FR111" s="115">
        <f>SUMIFS(商品数据源!$G:$G,商品数据源!$A:$A,$B$110,商品数据源!$B:$B,FR2)</f>
        <v>0</v>
      </c>
      <c r="FS111" s="115">
        <f>SUMIFS(商品数据源!$G:$G,商品数据源!$A:$A,$B$110,商品数据源!$B:$B,FS2)</f>
        <v>0</v>
      </c>
      <c r="FT111" s="115">
        <f>SUMIFS(商品数据源!$G:$G,商品数据源!$A:$A,$B$110,商品数据源!$B:$B,FT2)</f>
        <v>0</v>
      </c>
      <c r="FU111" s="115">
        <f>SUMIFS(商品数据源!$G:$G,商品数据源!$A:$A,$B$110,商品数据源!$B:$B,FU2)</f>
        <v>0</v>
      </c>
      <c r="FV111" s="115">
        <f>SUMIFS(商品数据源!$G:$G,商品数据源!$A:$A,$B$110,商品数据源!$B:$B,FV2)</f>
        <v>0</v>
      </c>
      <c r="FW111" s="115">
        <f>SUMIFS(商品数据源!$G:$G,商品数据源!$A:$A,$B$110,商品数据源!$B:$B,FW2)</f>
        <v>0</v>
      </c>
      <c r="FX111" s="115">
        <f>SUMIFS(商品数据源!$G:$G,商品数据源!$A:$A,$B$110,商品数据源!$B:$B,FX2)</f>
        <v>0</v>
      </c>
      <c r="FY111" s="115">
        <f>SUMIFS(商品数据源!$G:$G,商品数据源!$A:$A,$B$110,商品数据源!$B:$B,FY2)</f>
        <v>0</v>
      </c>
      <c r="FZ111" s="115">
        <f>SUMIFS(商品数据源!$G:$G,商品数据源!$A:$A,$B$110,商品数据源!$B:$B,FZ2)</f>
        <v>0</v>
      </c>
      <c r="GA111" s="115">
        <f>SUMIFS(商品数据源!$G:$G,商品数据源!$A:$A,$B$110,商品数据源!$B:$B,GA2)</f>
        <v>0</v>
      </c>
      <c r="GB111" s="115">
        <f>SUMIFS(商品数据源!$G:$G,商品数据源!$A:$A,$B$110,商品数据源!$B:$B,GB2)</f>
        <v>0</v>
      </c>
      <c r="GC111" s="115">
        <f>SUMIFS(商品数据源!$G:$G,商品数据源!$A:$A,$B$110,商品数据源!$B:$B,GC2)</f>
        <v>0</v>
      </c>
      <c r="GD111" s="115">
        <f>SUMIFS(商品数据源!$G:$G,商品数据源!$A:$A,$B$110,商品数据源!$B:$B,GD2)</f>
        <v>0</v>
      </c>
      <c r="GE111" s="115">
        <f>SUMIFS(商品数据源!$G:$G,商品数据源!$A:$A,$B$110,商品数据源!$B:$B,GE2)</f>
        <v>0</v>
      </c>
      <c r="GF111" s="115">
        <f>SUMIFS(商品数据源!$G:$G,商品数据源!$A:$A,$B$110,商品数据源!$B:$B,GF2)</f>
        <v>0</v>
      </c>
      <c r="GG111" s="115">
        <f>SUMIFS(商品数据源!$G:$G,商品数据源!$A:$A,$B$110,商品数据源!$B:$B,GG2)</f>
        <v>0</v>
      </c>
      <c r="GH111" s="115">
        <f>SUMIFS(商品数据源!$G:$G,商品数据源!$A:$A,$B$110,商品数据源!$B:$B,GH2)</f>
        <v>0</v>
      </c>
      <c r="GI111" s="115">
        <f>SUMIFS(商品数据源!$G:$G,商品数据源!$A:$A,$B$110,商品数据源!$B:$B,GI2)</f>
        <v>0</v>
      </c>
      <c r="GJ111" s="115">
        <f>SUMIFS(商品数据源!$G:$G,商品数据源!$A:$A,$B$110,商品数据源!$B:$B,GJ2)</f>
        <v>0</v>
      </c>
      <c r="GK111" s="115">
        <f>SUMIFS(商品数据源!$G:$G,商品数据源!$A:$A,$B$110,商品数据源!$B:$B,GK2)</f>
        <v>0</v>
      </c>
      <c r="GL111" s="115">
        <f>SUMIFS(商品数据源!$G:$G,商品数据源!$A:$A,$B$110,商品数据源!$B:$B,GL2)</f>
        <v>0</v>
      </c>
      <c r="GM111" s="115">
        <f>SUMIFS(商品数据源!$G:$G,商品数据源!$A:$A,$B$110,商品数据源!$B:$B,GM2)</f>
        <v>0</v>
      </c>
      <c r="GN111" s="115">
        <f>SUMIFS(商品数据源!$G:$G,商品数据源!$A:$A,$B$110,商品数据源!$B:$B,GN2)</f>
        <v>0</v>
      </c>
      <c r="GO111" s="115">
        <f>SUMIFS(商品数据源!$G:$G,商品数据源!$A:$A,$B$110,商品数据源!$B:$B,GO2)</f>
        <v>0</v>
      </c>
      <c r="GP111" s="115">
        <f>SUMIFS(商品数据源!$G:$G,商品数据源!$A:$A,$B$110,商品数据源!$B:$B,GP2)</f>
        <v>0</v>
      </c>
    </row>
    <row r="112" s="47" customFormat="1" ht="15" hidden="1" customHeight="1" spans="2:198">
      <c r="B112" s="112"/>
      <c r="C112" s="113" t="s">
        <v>22</v>
      </c>
      <c r="D112" s="116" t="e">
        <f>D110/D111</f>
        <v>#REF!</v>
      </c>
      <c r="E112" s="117" t="e">
        <f>E110/E111</f>
        <v>#REF!</v>
      </c>
      <c r="F112" s="117" t="e">
        <f>F110/F111</f>
        <v>#REF!</v>
      </c>
      <c r="G112" s="117" t="e">
        <f>G110/G111</f>
        <v>#REF!</v>
      </c>
      <c r="H112" s="117" t="e">
        <f t="shared" ref="H112:V112" si="538">H110/H111</f>
        <v>#REF!</v>
      </c>
      <c r="I112" s="117" t="e">
        <f t="shared" si="538"/>
        <v>#REF!</v>
      </c>
      <c r="J112" s="117" t="e">
        <f t="shared" si="538"/>
        <v>#REF!</v>
      </c>
      <c r="K112" s="117" t="e">
        <f t="shared" si="538"/>
        <v>#REF!</v>
      </c>
      <c r="L112" s="117" t="e">
        <f t="shared" si="538"/>
        <v>#REF!</v>
      </c>
      <c r="M112" s="117" t="e">
        <f t="shared" si="538"/>
        <v>#REF!</v>
      </c>
      <c r="N112" s="117" t="e">
        <f t="shared" si="538"/>
        <v>#REF!</v>
      </c>
      <c r="O112" s="117" t="e">
        <f t="shared" si="538"/>
        <v>#REF!</v>
      </c>
      <c r="P112" s="117" t="e">
        <f t="shared" si="538"/>
        <v>#REF!</v>
      </c>
      <c r="Q112" s="118">
        <f t="shared" si="538"/>
        <v>1.76989154013015</v>
      </c>
      <c r="R112" s="116">
        <f t="shared" si="538"/>
        <v>1.16555555555556</v>
      </c>
      <c r="S112" s="116">
        <f t="shared" ref="S112:AL112" si="539">S110/S111</f>
        <v>0.703333333333333</v>
      </c>
      <c r="T112" s="116">
        <f t="shared" si="539"/>
        <v>1.54857142857143</v>
      </c>
      <c r="U112" s="116">
        <f t="shared" si="539"/>
        <v>1.40691176470588</v>
      </c>
      <c r="V112" s="116">
        <f t="shared" si="539"/>
        <v>0.774912280701754</v>
      </c>
      <c r="W112" s="116">
        <f t="shared" si="539"/>
        <v>1.9930303030303</v>
      </c>
      <c r="X112" s="116">
        <f t="shared" si="539"/>
        <v>1.32921568627451</v>
      </c>
      <c r="Y112" s="116">
        <f t="shared" si="539"/>
        <v>1.39125</v>
      </c>
      <c r="Z112" s="116">
        <f t="shared" si="539"/>
        <v>2.10068181818182</v>
      </c>
      <c r="AA112" s="116">
        <f t="shared" si="539"/>
        <v>1.65627450980392</v>
      </c>
      <c r="AB112" s="116">
        <f t="shared" si="539"/>
        <v>1.85185185185185</v>
      </c>
      <c r="AC112" s="116">
        <f t="shared" si="539"/>
        <v>2.35</v>
      </c>
      <c r="AD112" s="116">
        <f t="shared" si="539"/>
        <v>1.83153846153846</v>
      </c>
      <c r="AE112" s="116">
        <f t="shared" si="539"/>
        <v>1.67666666666667</v>
      </c>
      <c r="AF112" s="116">
        <f t="shared" si="539"/>
        <v>1.59207547169811</v>
      </c>
      <c r="AG112" s="116">
        <f t="shared" si="539"/>
        <v>1.14870967741935</v>
      </c>
      <c r="AH112" s="116">
        <f t="shared" si="539"/>
        <v>1.31741935483871</v>
      </c>
      <c r="AI112" s="116">
        <f t="shared" si="539"/>
        <v>3.47884615384615</v>
      </c>
      <c r="AJ112" s="116">
        <f t="shared" si="539"/>
        <v>1.3664</v>
      </c>
      <c r="AK112" s="116">
        <f t="shared" si="539"/>
        <v>2.97071428571429</v>
      </c>
      <c r="AL112" s="116">
        <f t="shared" ref="AL112:BH112" si="540">AL110/AL111</f>
        <v>1.98769230769231</v>
      </c>
      <c r="AM112" s="116">
        <f t="shared" si="540"/>
        <v>3.2175</v>
      </c>
      <c r="AN112" s="116">
        <f t="shared" si="540"/>
        <v>1.89294117647059</v>
      </c>
      <c r="AO112" s="116">
        <f t="shared" si="540"/>
        <v>1.65666666666667</v>
      </c>
      <c r="AP112" s="116">
        <f t="shared" si="540"/>
        <v>1.48961538461538</v>
      </c>
      <c r="AQ112" s="116">
        <f t="shared" si="540"/>
        <v>2.83875</v>
      </c>
      <c r="AR112" s="116">
        <f t="shared" si="540"/>
        <v>1.98368421052632</v>
      </c>
      <c r="AS112" s="116">
        <f t="shared" si="540"/>
        <v>4.37</v>
      </c>
      <c r="AT112" s="116">
        <f t="shared" si="540"/>
        <v>2.91333333333333</v>
      </c>
      <c r="AU112" s="116">
        <f t="shared" si="540"/>
        <v>5.27875</v>
      </c>
      <c r="AV112" s="116">
        <f t="shared" si="540"/>
        <v>2.46571428571429</v>
      </c>
      <c r="AW112" s="118">
        <f t="shared" si="540"/>
        <v>2.21076923076923</v>
      </c>
      <c r="AX112" s="116">
        <f t="shared" si="540"/>
        <v>2.81615384615385</v>
      </c>
      <c r="AY112" s="116">
        <f t="shared" si="540"/>
        <v>1.68590909090909</v>
      </c>
      <c r="AZ112" s="116">
        <f t="shared" si="540"/>
        <v>3.13</v>
      </c>
      <c r="BA112" s="116" t="e">
        <f t="shared" si="540"/>
        <v>#DIV/0!</v>
      </c>
      <c r="BB112" s="116" t="e">
        <f t="shared" si="540"/>
        <v>#DIV/0!</v>
      </c>
      <c r="BC112" s="116" t="e">
        <f t="shared" si="540"/>
        <v>#DIV/0!</v>
      </c>
      <c r="BD112" s="116" t="e">
        <f t="shared" si="540"/>
        <v>#DIV/0!</v>
      </c>
      <c r="BE112" s="116" t="e">
        <f t="shared" si="540"/>
        <v>#DIV/0!</v>
      </c>
      <c r="BF112" s="116" t="e">
        <f t="shared" si="540"/>
        <v>#DIV/0!</v>
      </c>
      <c r="BG112" s="116" t="e">
        <f t="shared" si="540"/>
        <v>#DIV/0!</v>
      </c>
      <c r="BH112" s="116" t="e">
        <f t="shared" si="540"/>
        <v>#DIV/0!</v>
      </c>
      <c r="BI112" s="116" t="e">
        <f t="shared" ref="BI112:BW112" si="541">BI110/BI111</f>
        <v>#DIV/0!</v>
      </c>
      <c r="BJ112" s="116" t="e">
        <f t="shared" si="541"/>
        <v>#DIV/0!</v>
      </c>
      <c r="BK112" s="116" t="e">
        <f t="shared" si="541"/>
        <v>#DIV/0!</v>
      </c>
      <c r="BL112" s="116" t="e">
        <f t="shared" si="541"/>
        <v>#DIV/0!</v>
      </c>
      <c r="BM112" s="116" t="e">
        <f t="shared" si="541"/>
        <v>#DIV/0!</v>
      </c>
      <c r="BN112" s="116" t="e">
        <f t="shared" si="541"/>
        <v>#DIV/0!</v>
      </c>
      <c r="BO112" s="116" t="e">
        <f t="shared" si="541"/>
        <v>#DIV/0!</v>
      </c>
      <c r="BP112" s="116" t="e">
        <f t="shared" si="541"/>
        <v>#DIV/0!</v>
      </c>
      <c r="BQ112" s="116" t="e">
        <f t="shared" si="541"/>
        <v>#DIV/0!</v>
      </c>
      <c r="BR112" s="116" t="e">
        <f t="shared" si="541"/>
        <v>#DIV/0!</v>
      </c>
      <c r="BS112" s="116" t="e">
        <f t="shared" si="541"/>
        <v>#DIV/0!</v>
      </c>
      <c r="BT112" s="116" t="e">
        <f t="shared" si="541"/>
        <v>#DIV/0!</v>
      </c>
      <c r="BU112" s="116" t="e">
        <f t="shared" si="541"/>
        <v>#DIV/0!</v>
      </c>
      <c r="BV112" s="116" t="e">
        <f t="shared" si="541"/>
        <v>#DIV/0!</v>
      </c>
      <c r="BW112" s="116" t="e">
        <f t="shared" si="541"/>
        <v>#DIV/0!</v>
      </c>
      <c r="BX112" s="116" t="e">
        <f t="shared" ref="BX112:CH112" si="542">BX110/BX111</f>
        <v>#DIV/0!</v>
      </c>
      <c r="BY112" s="116" t="e">
        <f t="shared" si="542"/>
        <v>#DIV/0!</v>
      </c>
      <c r="BZ112" s="118" t="e">
        <f t="shared" si="542"/>
        <v>#DIV/0!</v>
      </c>
      <c r="CA112" s="116" t="e">
        <f t="shared" si="542"/>
        <v>#DIV/0!</v>
      </c>
      <c r="CB112" s="116" t="e">
        <f t="shared" si="542"/>
        <v>#DIV/0!</v>
      </c>
      <c r="CC112" s="116" t="e">
        <f t="shared" si="542"/>
        <v>#DIV/0!</v>
      </c>
      <c r="CD112" s="116" t="e">
        <f t="shared" si="542"/>
        <v>#DIV/0!</v>
      </c>
      <c r="CE112" s="116" t="e">
        <f t="shared" si="542"/>
        <v>#DIV/0!</v>
      </c>
      <c r="CF112" s="116" t="e">
        <f t="shared" si="542"/>
        <v>#DIV/0!</v>
      </c>
      <c r="CG112" s="116" t="e">
        <f t="shared" si="542"/>
        <v>#DIV/0!</v>
      </c>
      <c r="CH112" s="116" t="e">
        <f t="shared" si="542"/>
        <v>#DIV/0!</v>
      </c>
      <c r="CI112" s="116" t="e">
        <f t="shared" ref="CI112:EH112" si="543">CI110/CI111</f>
        <v>#DIV/0!</v>
      </c>
      <c r="CJ112" s="116" t="e">
        <f t="shared" si="543"/>
        <v>#DIV/0!</v>
      </c>
      <c r="CK112" s="116" t="e">
        <f t="shared" si="543"/>
        <v>#DIV/0!</v>
      </c>
      <c r="CL112" s="116" t="e">
        <f t="shared" si="543"/>
        <v>#DIV/0!</v>
      </c>
      <c r="CM112" s="116" t="e">
        <f t="shared" si="543"/>
        <v>#DIV/0!</v>
      </c>
      <c r="CN112" s="116" t="e">
        <f t="shared" si="543"/>
        <v>#DIV/0!</v>
      </c>
      <c r="CO112" s="116" t="e">
        <f t="shared" si="543"/>
        <v>#DIV/0!</v>
      </c>
      <c r="CP112" s="116" t="e">
        <f t="shared" si="543"/>
        <v>#DIV/0!</v>
      </c>
      <c r="CQ112" s="116" t="e">
        <f t="shared" si="543"/>
        <v>#DIV/0!</v>
      </c>
      <c r="CR112" s="116" t="e">
        <f t="shared" si="543"/>
        <v>#DIV/0!</v>
      </c>
      <c r="CS112" s="116" t="e">
        <f t="shared" si="543"/>
        <v>#DIV/0!</v>
      </c>
      <c r="CT112" s="116" t="e">
        <f t="shared" si="543"/>
        <v>#DIV/0!</v>
      </c>
      <c r="CU112" s="116" t="e">
        <f t="shared" si="543"/>
        <v>#DIV/0!</v>
      </c>
      <c r="CV112" s="116" t="e">
        <f t="shared" si="543"/>
        <v>#DIV/0!</v>
      </c>
      <c r="CW112" s="116" t="e">
        <f t="shared" si="543"/>
        <v>#DIV/0!</v>
      </c>
      <c r="CX112" s="116" t="e">
        <f t="shared" si="543"/>
        <v>#DIV/0!</v>
      </c>
      <c r="CY112" s="116" t="e">
        <f t="shared" si="543"/>
        <v>#DIV/0!</v>
      </c>
      <c r="CZ112" s="116" t="e">
        <f t="shared" si="543"/>
        <v>#DIV/0!</v>
      </c>
      <c r="DA112" s="116" t="e">
        <f t="shared" si="543"/>
        <v>#DIV/0!</v>
      </c>
      <c r="DB112" s="116" t="e">
        <f t="shared" si="543"/>
        <v>#DIV/0!</v>
      </c>
      <c r="DC112" s="116" t="e">
        <f t="shared" si="543"/>
        <v>#DIV/0!</v>
      </c>
      <c r="DD112" s="116" t="e">
        <f t="shared" si="543"/>
        <v>#DIV/0!</v>
      </c>
      <c r="DE112" s="116" t="e">
        <f t="shared" si="543"/>
        <v>#DIV/0!</v>
      </c>
      <c r="DF112" s="118" t="e">
        <f t="shared" si="543"/>
        <v>#DIV/0!</v>
      </c>
      <c r="DG112" s="116" t="e">
        <f t="shared" si="543"/>
        <v>#DIV/0!</v>
      </c>
      <c r="DH112" s="116" t="e">
        <f t="shared" si="543"/>
        <v>#DIV/0!</v>
      </c>
      <c r="DI112" s="116" t="e">
        <f t="shared" si="543"/>
        <v>#DIV/0!</v>
      </c>
      <c r="DJ112" s="116" t="e">
        <f t="shared" si="543"/>
        <v>#DIV/0!</v>
      </c>
      <c r="DK112" s="116" t="e">
        <f t="shared" si="543"/>
        <v>#DIV/0!</v>
      </c>
      <c r="DL112" s="116" t="e">
        <f t="shared" si="543"/>
        <v>#DIV/0!</v>
      </c>
      <c r="DM112" s="116" t="e">
        <f t="shared" si="543"/>
        <v>#DIV/0!</v>
      </c>
      <c r="DN112" s="116" t="e">
        <f t="shared" si="543"/>
        <v>#DIV/0!</v>
      </c>
      <c r="DO112" s="116" t="e">
        <f t="shared" si="543"/>
        <v>#DIV/0!</v>
      </c>
      <c r="DP112" s="116" t="e">
        <f t="shared" si="543"/>
        <v>#DIV/0!</v>
      </c>
      <c r="DQ112" s="116" t="e">
        <f t="shared" si="543"/>
        <v>#DIV/0!</v>
      </c>
      <c r="DR112" s="116" t="e">
        <f t="shared" si="543"/>
        <v>#DIV/0!</v>
      </c>
      <c r="DS112" s="116" t="e">
        <f t="shared" si="543"/>
        <v>#DIV/0!</v>
      </c>
      <c r="DT112" s="116" t="e">
        <f t="shared" si="543"/>
        <v>#DIV/0!</v>
      </c>
      <c r="DU112" s="116" t="e">
        <f t="shared" si="543"/>
        <v>#DIV/0!</v>
      </c>
      <c r="DV112" s="116" t="e">
        <f t="shared" si="543"/>
        <v>#DIV/0!</v>
      </c>
      <c r="DW112" s="116" t="e">
        <f t="shared" si="543"/>
        <v>#DIV/0!</v>
      </c>
      <c r="DX112" s="116" t="e">
        <f t="shared" si="543"/>
        <v>#DIV/0!</v>
      </c>
      <c r="DY112" s="116" t="e">
        <f t="shared" si="543"/>
        <v>#DIV/0!</v>
      </c>
      <c r="DZ112" s="116" t="e">
        <f t="shared" si="543"/>
        <v>#DIV/0!</v>
      </c>
      <c r="EA112" s="116" t="e">
        <f t="shared" si="543"/>
        <v>#DIV/0!</v>
      </c>
      <c r="EB112" s="116" t="e">
        <f t="shared" si="543"/>
        <v>#DIV/0!</v>
      </c>
      <c r="EC112" s="116" t="e">
        <f t="shared" si="543"/>
        <v>#DIV/0!</v>
      </c>
      <c r="ED112" s="116" t="e">
        <f t="shared" si="543"/>
        <v>#DIV/0!</v>
      </c>
      <c r="EE112" s="116" t="e">
        <f t="shared" si="543"/>
        <v>#DIV/0!</v>
      </c>
      <c r="EF112" s="116" t="e">
        <f t="shared" si="543"/>
        <v>#DIV/0!</v>
      </c>
      <c r="EG112" s="116" t="e">
        <f t="shared" si="543"/>
        <v>#DIV/0!</v>
      </c>
      <c r="EH112" s="116" t="e">
        <f t="shared" si="543"/>
        <v>#DIV/0!</v>
      </c>
      <c r="EI112" s="116" t="e">
        <f t="shared" ref="EI112:FM112" si="544">EI110/EI111</f>
        <v>#DIV/0!</v>
      </c>
      <c r="EJ112" s="116" t="e">
        <f t="shared" si="544"/>
        <v>#DIV/0!</v>
      </c>
      <c r="EK112" s="118" t="e">
        <f t="shared" si="544"/>
        <v>#DIV/0!</v>
      </c>
      <c r="EL112" s="116" t="e">
        <f t="shared" si="544"/>
        <v>#DIV/0!</v>
      </c>
      <c r="EM112" s="116" t="e">
        <f t="shared" si="544"/>
        <v>#DIV/0!</v>
      </c>
      <c r="EN112" s="116" t="e">
        <f t="shared" si="544"/>
        <v>#DIV/0!</v>
      </c>
      <c r="EO112" s="116" t="e">
        <f t="shared" si="544"/>
        <v>#DIV/0!</v>
      </c>
      <c r="EP112" s="116" t="e">
        <f t="shared" si="544"/>
        <v>#DIV/0!</v>
      </c>
      <c r="EQ112" s="116" t="e">
        <f t="shared" si="544"/>
        <v>#DIV/0!</v>
      </c>
      <c r="ER112" s="116" t="e">
        <f t="shared" si="544"/>
        <v>#DIV/0!</v>
      </c>
      <c r="ES112" s="116" t="e">
        <f t="shared" si="544"/>
        <v>#DIV/0!</v>
      </c>
      <c r="ET112" s="116" t="e">
        <f t="shared" si="544"/>
        <v>#DIV/0!</v>
      </c>
      <c r="EU112" s="116" t="e">
        <f t="shared" si="544"/>
        <v>#DIV/0!</v>
      </c>
      <c r="EV112" s="116" t="e">
        <f t="shared" si="544"/>
        <v>#DIV/0!</v>
      </c>
      <c r="EW112" s="116" t="e">
        <f t="shared" si="544"/>
        <v>#DIV/0!</v>
      </c>
      <c r="EX112" s="116" t="e">
        <f t="shared" si="544"/>
        <v>#DIV/0!</v>
      </c>
      <c r="EY112" s="116" t="e">
        <f t="shared" si="544"/>
        <v>#DIV/0!</v>
      </c>
      <c r="EZ112" s="116" t="e">
        <f t="shared" si="544"/>
        <v>#DIV/0!</v>
      </c>
      <c r="FA112" s="116" t="e">
        <f t="shared" si="544"/>
        <v>#DIV/0!</v>
      </c>
      <c r="FB112" s="116" t="e">
        <f t="shared" si="544"/>
        <v>#DIV/0!</v>
      </c>
      <c r="FC112" s="116" t="e">
        <f t="shared" si="544"/>
        <v>#DIV/0!</v>
      </c>
      <c r="FD112" s="116" t="e">
        <f t="shared" si="544"/>
        <v>#DIV/0!</v>
      </c>
      <c r="FE112" s="116" t="e">
        <f t="shared" si="544"/>
        <v>#DIV/0!</v>
      </c>
      <c r="FF112" s="116" t="e">
        <f t="shared" si="544"/>
        <v>#DIV/0!</v>
      </c>
      <c r="FG112" s="116" t="e">
        <f t="shared" si="544"/>
        <v>#DIV/0!</v>
      </c>
      <c r="FH112" s="116" t="e">
        <f t="shared" si="544"/>
        <v>#DIV/0!</v>
      </c>
      <c r="FI112" s="116" t="e">
        <f t="shared" si="544"/>
        <v>#DIV/0!</v>
      </c>
      <c r="FJ112" s="116" t="e">
        <f t="shared" si="544"/>
        <v>#DIV/0!</v>
      </c>
      <c r="FK112" s="116" t="e">
        <f t="shared" si="544"/>
        <v>#DIV/0!</v>
      </c>
      <c r="FL112" s="116" t="e">
        <f t="shared" si="544"/>
        <v>#DIV/0!</v>
      </c>
      <c r="FM112" s="116" t="e">
        <f t="shared" si="544"/>
        <v>#DIV/0!</v>
      </c>
      <c r="FN112" s="116" t="e">
        <f t="shared" ref="FN112:GI112" si="545">FN110/FN111</f>
        <v>#DIV/0!</v>
      </c>
      <c r="FO112" s="116" t="e">
        <f t="shared" si="545"/>
        <v>#DIV/0!</v>
      </c>
      <c r="FP112" s="116" t="e">
        <f t="shared" si="545"/>
        <v>#DIV/0!</v>
      </c>
      <c r="FQ112" s="118" t="e">
        <f t="shared" si="545"/>
        <v>#DIV/0!</v>
      </c>
      <c r="FR112" s="116" t="e">
        <f t="shared" si="545"/>
        <v>#DIV/0!</v>
      </c>
      <c r="FS112" s="116" t="e">
        <f t="shared" si="545"/>
        <v>#DIV/0!</v>
      </c>
      <c r="FT112" s="116" t="e">
        <f t="shared" si="545"/>
        <v>#DIV/0!</v>
      </c>
      <c r="FU112" s="116" t="e">
        <f t="shared" si="545"/>
        <v>#DIV/0!</v>
      </c>
      <c r="FV112" s="116" t="e">
        <f t="shared" si="545"/>
        <v>#DIV/0!</v>
      </c>
      <c r="FW112" s="116" t="e">
        <f t="shared" si="545"/>
        <v>#DIV/0!</v>
      </c>
      <c r="FX112" s="116" t="e">
        <f t="shared" si="545"/>
        <v>#DIV/0!</v>
      </c>
      <c r="FY112" s="116" t="e">
        <f t="shared" si="545"/>
        <v>#DIV/0!</v>
      </c>
      <c r="FZ112" s="116" t="e">
        <f t="shared" si="545"/>
        <v>#DIV/0!</v>
      </c>
      <c r="GA112" s="116" t="e">
        <f t="shared" si="545"/>
        <v>#DIV/0!</v>
      </c>
      <c r="GB112" s="116" t="e">
        <f t="shared" si="545"/>
        <v>#DIV/0!</v>
      </c>
      <c r="GC112" s="116" t="e">
        <f t="shared" si="545"/>
        <v>#DIV/0!</v>
      </c>
      <c r="GD112" s="116" t="e">
        <f t="shared" si="545"/>
        <v>#DIV/0!</v>
      </c>
      <c r="GE112" s="116" t="e">
        <f t="shared" si="545"/>
        <v>#DIV/0!</v>
      </c>
      <c r="GF112" s="116" t="e">
        <f t="shared" si="545"/>
        <v>#DIV/0!</v>
      </c>
      <c r="GG112" s="116" t="e">
        <f t="shared" si="545"/>
        <v>#DIV/0!</v>
      </c>
      <c r="GH112" s="116" t="e">
        <f t="shared" si="545"/>
        <v>#DIV/0!</v>
      </c>
      <c r="GI112" s="116" t="e">
        <f t="shared" si="545"/>
        <v>#DIV/0!</v>
      </c>
      <c r="GJ112" s="116" t="e">
        <f t="shared" ref="GJ112:GP112" si="546">GJ110/GJ111</f>
        <v>#DIV/0!</v>
      </c>
      <c r="GK112" s="116" t="e">
        <f t="shared" si="546"/>
        <v>#DIV/0!</v>
      </c>
      <c r="GL112" s="116" t="e">
        <f t="shared" si="546"/>
        <v>#DIV/0!</v>
      </c>
      <c r="GM112" s="116" t="e">
        <f t="shared" si="546"/>
        <v>#DIV/0!</v>
      </c>
      <c r="GN112" s="116" t="e">
        <f t="shared" si="546"/>
        <v>#DIV/0!</v>
      </c>
      <c r="GO112" s="116" t="e">
        <f t="shared" si="546"/>
        <v>#DIV/0!</v>
      </c>
      <c r="GP112" s="116" t="e">
        <f t="shared" si="546"/>
        <v>#DIV/0!</v>
      </c>
    </row>
    <row r="113" s="47" customFormat="1" ht="15" hidden="1" customHeight="1" spans="1:198">
      <c r="B113" s="112"/>
      <c r="C113" s="113" t="s">
        <v>23</v>
      </c>
      <c r="D113" s="114" t="e">
        <f t="shared" ref="D113:D116" si="547">SUM(E113:P113)</f>
        <v>#REF!</v>
      </c>
      <c r="E113" s="115" t="e">
        <f>#REF!</f>
        <v>#REF!</v>
      </c>
      <c r="F113" s="115" t="e">
        <f>#REF!</f>
        <v>#REF!</v>
      </c>
      <c r="G113" s="115" t="e">
        <f>#REF!</f>
        <v>#REF!</v>
      </c>
      <c r="H113" s="115" t="e">
        <f>#REF!</f>
        <v>#REF!</v>
      </c>
      <c r="I113" s="115" t="e">
        <f>#REF!</f>
        <v>#REF!</v>
      </c>
      <c r="J113" s="115" t="e">
        <f>#REF!</f>
        <v>#REF!</v>
      </c>
      <c r="K113" s="115" t="e">
        <f>#REF!</f>
        <v>#REF!</v>
      </c>
      <c r="L113" s="115" t="e">
        <f>#REF!</f>
        <v>#REF!</v>
      </c>
      <c r="M113" s="115" t="e">
        <f>#REF!</f>
        <v>#REF!</v>
      </c>
      <c r="N113" s="115" t="e">
        <f>#REF!</f>
        <v>#REF!</v>
      </c>
      <c r="O113" s="115" t="e">
        <f>#REF!</f>
        <v>#REF!</v>
      </c>
      <c r="P113" s="115" t="e">
        <f>#REF!</f>
        <v>#REF!</v>
      </c>
      <c r="Q113" s="65">
        <f t="shared" ref="Q113:Q116" si="548">SUM(R113:AV113)</f>
        <v>27</v>
      </c>
      <c r="R113" s="115">
        <f>SUMIFS(商品数据源!$AB:$AB,商品数据源!$A:$A,$B$110,商品数据源!$B:$B,R2)</f>
        <v>0</v>
      </c>
      <c r="S113" s="115">
        <f>SUMIFS(商品数据源!$AB:$AB,商品数据源!$A:$A,$B$110,商品数据源!$B:$B,S2)</f>
        <v>1</v>
      </c>
      <c r="T113" s="115">
        <f>SUMIFS(商品数据源!$AB:$AB,商品数据源!$A:$A,$B$110,商品数据源!$B:$B,T2)</f>
        <v>2</v>
      </c>
      <c r="U113" s="115">
        <f>SUMIFS(商品数据源!$AB:$AB,商品数据源!$A:$A,$B$110,商品数据源!$B:$B,U2)</f>
        <v>1</v>
      </c>
      <c r="V113" s="115">
        <f>SUMIFS(商品数据源!$AB:$AB,商品数据源!$A:$A,$B$110,商品数据源!$B:$B,V2)</f>
        <v>1</v>
      </c>
      <c r="W113" s="115">
        <f>SUMIFS(商品数据源!$AB:$AB,商品数据源!$A:$A,$B$110,商品数据源!$B:$B,W2)</f>
        <v>0</v>
      </c>
      <c r="X113" s="115">
        <f>SUMIFS(商品数据源!$AB:$AB,商品数据源!$A:$A,$B$110,商品数据源!$B:$B,X2)</f>
        <v>0</v>
      </c>
      <c r="Y113" s="115">
        <f>SUMIFS(商品数据源!$AB:$AB,商品数据源!$A:$A,$B$110,商品数据源!$B:$B,Y2)</f>
        <v>0</v>
      </c>
      <c r="Z113" s="115">
        <f>SUMIFS(商品数据源!$AB:$AB,商品数据源!$A:$A,$B$110,商品数据源!$B:$B,Z2)</f>
        <v>0</v>
      </c>
      <c r="AA113" s="115">
        <f>SUMIFS(商品数据源!$AB:$AB,商品数据源!$A:$A,$B$110,商品数据源!$B:$B,AA2)</f>
        <v>2</v>
      </c>
      <c r="AB113" s="115">
        <f>SUMIFS(商品数据源!$AB:$AB,商品数据源!$A:$A,$B$110,商品数据源!$B:$B,AB2)</f>
        <v>0</v>
      </c>
      <c r="AC113" s="115">
        <f>SUMIFS(商品数据源!$AB:$AB,商品数据源!$A:$A,$B$110,商品数据源!$B:$B,AC2)</f>
        <v>1</v>
      </c>
      <c r="AD113" s="115">
        <f>SUMIFS(商品数据源!$AB:$AB,商品数据源!$A:$A,$B$110,商品数据源!$B:$B,AD2)</f>
        <v>2</v>
      </c>
      <c r="AE113" s="115">
        <f>SUMIFS(商品数据源!$AB:$AB,商品数据源!$A:$A,$B$110,商品数据源!$B:$B,AE2)</f>
        <v>4</v>
      </c>
      <c r="AF113" s="115">
        <f>SUMIFS(商品数据源!$AB:$AB,商品数据源!$A:$A,$B$110,商品数据源!$B:$B,AF2)</f>
        <v>1</v>
      </c>
      <c r="AG113" s="115">
        <f>SUMIFS(商品数据源!$AB:$AB,商品数据源!$A:$A,$B$110,商品数据源!$B:$B,AG2)</f>
        <v>0</v>
      </c>
      <c r="AH113" s="115">
        <f>SUMIFS(商品数据源!$AB:$AB,商品数据源!$A:$A,$B$110,商品数据源!$B:$B,AH2)</f>
        <v>1</v>
      </c>
      <c r="AI113" s="115">
        <f>SUMIFS(商品数据源!$AB:$AB,商品数据源!$A:$A,$B$110,商品数据源!$B:$B,AI2)</f>
        <v>3</v>
      </c>
      <c r="AJ113" s="115">
        <f>SUMIFS(商品数据源!$AB:$AB,商品数据源!$A:$A,$B$110,商品数据源!$B:$B,AJ2)</f>
        <v>1</v>
      </c>
      <c r="AK113" s="115">
        <f>SUMIFS(商品数据源!$AB:$AB,商品数据源!$A:$A,$B$110,商品数据源!$B:$B,AK2)</f>
        <v>0</v>
      </c>
      <c r="AL113" s="115">
        <f>SUMIFS(商品数据源!$AB:$AB,商品数据源!$A:$A,$B$110,商品数据源!$B:$B,AL2)</f>
        <v>0</v>
      </c>
      <c r="AM113" s="115">
        <f>SUMIFS(商品数据源!$AB:$AB,商品数据源!$A:$A,$B$110,商品数据源!$B:$B,AM2)</f>
        <v>2</v>
      </c>
      <c r="AN113" s="115">
        <f>SUMIFS(商品数据源!$AB:$AB,商品数据源!$A:$A,$B$110,商品数据源!$B:$B,AN2)</f>
        <v>0</v>
      </c>
      <c r="AO113" s="115">
        <f>SUMIFS(商品数据源!$AB:$AB,商品数据源!$A:$A,$B$110,商品数据源!$B:$B,AO2)</f>
        <v>0</v>
      </c>
      <c r="AP113" s="115">
        <f>SUMIFS(商品数据源!$AB:$AB,商品数据源!$A:$A,$B$110,商品数据源!$B:$B,AP2)</f>
        <v>0</v>
      </c>
      <c r="AQ113" s="115">
        <f>SUMIFS(商品数据源!$AB:$AB,商品数据源!$A:$A,$B$110,商品数据源!$B:$B,AQ2)</f>
        <v>0</v>
      </c>
      <c r="AR113" s="115">
        <f>SUMIFS(商品数据源!$AB:$AB,商品数据源!$A:$A,$B$110,商品数据源!$B:$B,AR2)</f>
        <v>0</v>
      </c>
      <c r="AS113" s="115">
        <f>SUMIFS(商品数据源!$AB:$AB,商品数据源!$A:$A,$B$110,商品数据源!$B:$B,AS2)</f>
        <v>1</v>
      </c>
      <c r="AT113" s="115">
        <f>SUMIFS(商品数据源!$AB:$AB,商品数据源!$A:$A,$B$110,商品数据源!$B:$B,AT2)</f>
        <v>0</v>
      </c>
      <c r="AU113" s="115">
        <f>SUMIFS(商品数据源!$AB:$AB,商品数据源!$A:$A,$B$110,商品数据源!$B:$B,AU2)</f>
        <v>3</v>
      </c>
      <c r="AV113" s="115">
        <f>SUMIFS(商品数据源!$AB:$AB,商品数据源!$A:$A,$B$110,商品数据源!$B:$B,AV2)</f>
        <v>1</v>
      </c>
      <c r="AW113" s="65">
        <f>SUM(AX113:BY113)</f>
        <v>0</v>
      </c>
      <c r="AX113" s="115">
        <f>SUMIFS(商品数据源!$AB:$AB,商品数据源!$A:$A,$B$110,商品数据源!$B:$B,AX2)</f>
        <v>0</v>
      </c>
      <c r="AY113" s="115">
        <f>SUMIFS(商品数据源!$AB:$AB,商品数据源!$A:$A,$B$110,商品数据源!$B:$B,AY2)</f>
        <v>0</v>
      </c>
      <c r="AZ113" s="115">
        <f>SUMIFS(商品数据源!$AB:$AB,商品数据源!$A:$A,$B$110,商品数据源!$B:$B,AZ2)</f>
        <v>0</v>
      </c>
      <c r="BA113" s="115">
        <f>SUMIFS(商品数据源!$AB:$AB,商品数据源!$A:$A,$B$110,商品数据源!$B:$B,BA2)</f>
        <v>0</v>
      </c>
      <c r="BB113" s="115">
        <f>SUMIFS(商品数据源!$AB:$AB,商品数据源!$A:$A,$B$110,商品数据源!$B:$B,BB2)</f>
        <v>0</v>
      </c>
      <c r="BC113" s="115">
        <f>SUMIFS(商品数据源!$AB:$AB,商品数据源!$A:$A,$B$110,商品数据源!$B:$B,BC2)</f>
        <v>0</v>
      </c>
      <c r="BD113" s="115">
        <f>SUMIFS(商品数据源!$AB:$AB,商品数据源!$A:$A,$B$110,商品数据源!$B:$B,BD2)</f>
        <v>0</v>
      </c>
      <c r="BE113" s="115">
        <f>SUMIFS(商品数据源!$AB:$AB,商品数据源!$A:$A,$B$110,商品数据源!$B:$B,BE2)</f>
        <v>0</v>
      </c>
      <c r="BF113" s="115">
        <f>SUMIFS(商品数据源!$AB:$AB,商品数据源!$A:$A,$B$110,商品数据源!$B:$B,BF2)</f>
        <v>0</v>
      </c>
      <c r="BG113" s="115">
        <f>SUMIFS(商品数据源!$AB:$AB,商品数据源!$A:$A,$B$110,商品数据源!$B:$B,BG2)</f>
        <v>0</v>
      </c>
      <c r="BH113" s="115">
        <f>SUMIFS(商品数据源!$AB:$AB,商品数据源!$A:$A,$B$110,商品数据源!$B:$B,BH2)</f>
        <v>0</v>
      </c>
      <c r="BI113" s="115">
        <f>SUMIFS(商品数据源!$AB:$AB,商品数据源!$A:$A,$B$110,商品数据源!$B:$B,BI2)</f>
        <v>0</v>
      </c>
      <c r="BJ113" s="115">
        <f>SUMIFS(商品数据源!$AB:$AB,商品数据源!$A:$A,$B$110,商品数据源!$B:$B,BJ2)</f>
        <v>0</v>
      </c>
      <c r="BK113" s="115">
        <f>SUMIFS(商品数据源!$AB:$AB,商品数据源!$A:$A,$B$110,商品数据源!$B:$B,BK2)</f>
        <v>0</v>
      </c>
      <c r="BL113" s="115">
        <f>SUMIFS(商品数据源!$AB:$AB,商品数据源!$A:$A,$B$110,商品数据源!$B:$B,BL2)</f>
        <v>0</v>
      </c>
      <c r="BM113" s="115">
        <f>SUMIFS(商品数据源!$AB:$AB,商品数据源!$A:$A,$B$110,商品数据源!$B:$B,BM2)</f>
        <v>0</v>
      </c>
      <c r="BN113" s="115">
        <f>SUMIFS(商品数据源!$AB:$AB,商品数据源!$A:$A,$B$110,商品数据源!$B:$B,BN2)</f>
        <v>0</v>
      </c>
      <c r="BO113" s="115">
        <f>SUMIFS(商品数据源!$AB:$AB,商品数据源!$A:$A,$B$110,商品数据源!$B:$B,BO2)</f>
        <v>0</v>
      </c>
      <c r="BP113" s="115">
        <f>SUMIFS(商品数据源!$AB:$AB,商品数据源!$A:$A,$B$110,商品数据源!$B:$B,BP2)</f>
        <v>0</v>
      </c>
      <c r="BQ113" s="115">
        <f>SUMIFS(商品数据源!$AB:$AB,商品数据源!$A:$A,$B$110,商品数据源!$B:$B,BQ2)</f>
        <v>0</v>
      </c>
      <c r="BR113" s="115">
        <f>SUMIFS(商品数据源!$AB:$AB,商品数据源!$A:$A,$B$110,商品数据源!$B:$B,BR2)</f>
        <v>0</v>
      </c>
      <c r="BS113" s="115">
        <f>SUMIFS(商品数据源!$AB:$AB,商品数据源!$A:$A,$B$110,商品数据源!$B:$B,BS2)</f>
        <v>0</v>
      </c>
      <c r="BT113" s="115">
        <f>SUMIFS(商品数据源!$AB:$AB,商品数据源!$A:$A,$B$110,商品数据源!$B:$B,BT2)</f>
        <v>0</v>
      </c>
      <c r="BU113" s="115">
        <f>SUMIFS(商品数据源!$AB:$AB,商品数据源!$A:$A,$B$110,商品数据源!$B:$B,BU2)</f>
        <v>0</v>
      </c>
      <c r="BV113" s="115">
        <f>SUMIFS(商品数据源!$AB:$AB,商品数据源!$A:$A,$B$110,商品数据源!$B:$B,BV2)</f>
        <v>0</v>
      </c>
      <c r="BW113" s="115">
        <f>SUMIFS(商品数据源!$AB:$AB,商品数据源!$A:$A,$B$110,商品数据源!$B:$B,BW2)</f>
        <v>0</v>
      </c>
      <c r="BX113" s="115">
        <f>SUMIFS(商品数据源!$AB:$AB,商品数据源!$A:$A,$B$110,商品数据源!$B:$B,BX2)</f>
        <v>0</v>
      </c>
      <c r="BY113" s="115">
        <f>SUMIFS(商品数据源!$AB:$AB,商品数据源!$A:$A,$B$110,商品数据源!$B:$B,BY2)</f>
        <v>0</v>
      </c>
      <c r="BZ113" s="65">
        <f>SUM(CA113:DE113)</f>
        <v>0</v>
      </c>
      <c r="CA113" s="115">
        <f>SUMIFS(商品数据源!$AB:$AB,商品数据源!$A:$A,$B$110,商品数据源!$B:$B,CA2)</f>
        <v>0</v>
      </c>
      <c r="CB113" s="115">
        <f>SUMIFS(商品数据源!$AB:$AB,商品数据源!$A:$A,$B$110,商品数据源!$B:$B,CB2)</f>
        <v>0</v>
      </c>
      <c r="CC113" s="115">
        <f>SUMIFS(商品数据源!$AB:$AB,商品数据源!$A:$A,$B$110,商品数据源!$B:$B,CC2)</f>
        <v>0</v>
      </c>
      <c r="CD113" s="115">
        <f>SUMIFS(商品数据源!$AB:$AB,商品数据源!$A:$A,$B$110,商品数据源!$B:$B,CD2)</f>
        <v>0</v>
      </c>
      <c r="CE113" s="115">
        <f>SUMIFS(商品数据源!$AB:$AB,商品数据源!$A:$A,$B$110,商品数据源!$B:$B,CE2)</f>
        <v>0</v>
      </c>
      <c r="CF113" s="115">
        <f>SUMIFS(商品数据源!$AB:$AB,商品数据源!$A:$A,$B$110,商品数据源!$B:$B,CF2)</f>
        <v>0</v>
      </c>
      <c r="CG113" s="115">
        <f>SUMIFS(商品数据源!$AB:$AB,商品数据源!$A:$A,$B$110,商品数据源!$B:$B,CG2)</f>
        <v>0</v>
      </c>
      <c r="CH113" s="115">
        <f>SUMIFS(商品数据源!$AB:$AB,商品数据源!$A:$A,$B$110,商品数据源!$B:$B,CH2)</f>
        <v>0</v>
      </c>
      <c r="CI113" s="115">
        <f>SUMIFS(商品数据源!$AB:$AB,商品数据源!$A:$A,$B$110,商品数据源!$B:$B,CI2)</f>
        <v>0</v>
      </c>
      <c r="CJ113" s="115">
        <f>SUMIFS(商品数据源!$AB:$AB,商品数据源!$A:$A,$B$110,商品数据源!$B:$B,CJ2)</f>
        <v>0</v>
      </c>
      <c r="CK113" s="115">
        <f>SUMIFS(商品数据源!$AB:$AB,商品数据源!$A:$A,$B$110,商品数据源!$B:$B,CK2)</f>
        <v>0</v>
      </c>
      <c r="CL113" s="115">
        <f>SUMIFS(商品数据源!$AB:$AB,商品数据源!$A:$A,$B$110,商品数据源!$B:$B,CL2)</f>
        <v>0</v>
      </c>
      <c r="CM113" s="115">
        <f>SUMIFS(商品数据源!$AB:$AB,商品数据源!$A:$A,$B$110,商品数据源!$B:$B,CM2)</f>
        <v>0</v>
      </c>
      <c r="CN113" s="115">
        <f>SUMIFS(商品数据源!$AB:$AB,商品数据源!$A:$A,$B$110,商品数据源!$B:$B,CN2)</f>
        <v>0</v>
      </c>
      <c r="CO113" s="115">
        <f>SUMIFS(商品数据源!$AB:$AB,商品数据源!$A:$A,$B$110,商品数据源!$B:$B,CO2)</f>
        <v>0</v>
      </c>
      <c r="CP113" s="115">
        <f>SUMIFS(商品数据源!$AB:$AB,商品数据源!$A:$A,$B$110,商品数据源!$B:$B,CP2)</f>
        <v>0</v>
      </c>
      <c r="CQ113" s="115">
        <f>SUMIFS(商品数据源!$AB:$AB,商品数据源!$A:$A,$B$110,商品数据源!$B:$B,CQ2)</f>
        <v>0</v>
      </c>
      <c r="CR113" s="115">
        <f>SUMIFS(商品数据源!$AB:$AB,商品数据源!$A:$A,$B$110,商品数据源!$B:$B,CR2)</f>
        <v>0</v>
      </c>
      <c r="CS113" s="115">
        <f>SUMIFS(商品数据源!$AB:$AB,商品数据源!$A:$A,$B$110,商品数据源!$B:$B,CS2)</f>
        <v>0</v>
      </c>
      <c r="CT113" s="115">
        <f>SUMIFS(商品数据源!$AB:$AB,商品数据源!$A:$A,$B$110,商品数据源!$B:$B,CT2)</f>
        <v>0</v>
      </c>
      <c r="CU113" s="115">
        <f>SUMIFS(商品数据源!$AB:$AB,商品数据源!$A:$A,$B$110,商品数据源!$B:$B,CU2)</f>
        <v>0</v>
      </c>
      <c r="CV113" s="115">
        <f>SUMIFS(商品数据源!$AB:$AB,商品数据源!$A:$A,$B$110,商品数据源!$B:$B,CV2)</f>
        <v>0</v>
      </c>
      <c r="CW113" s="115">
        <f>SUMIFS(商品数据源!$AB:$AB,商品数据源!$A:$A,$B$110,商品数据源!$B:$B,CW2)</f>
        <v>0</v>
      </c>
      <c r="CX113" s="115">
        <f>SUMIFS(商品数据源!$AB:$AB,商品数据源!$A:$A,$B$110,商品数据源!$B:$B,CX2)</f>
        <v>0</v>
      </c>
      <c r="CY113" s="115">
        <f>SUMIFS(商品数据源!$AB:$AB,商品数据源!$A:$A,$B$110,商品数据源!$B:$B,CY2)</f>
        <v>0</v>
      </c>
      <c r="CZ113" s="115">
        <f>SUMIFS(商品数据源!$AB:$AB,商品数据源!$A:$A,$B$110,商品数据源!$B:$B,CZ2)</f>
        <v>0</v>
      </c>
      <c r="DA113" s="115">
        <f>SUMIFS(商品数据源!$AB:$AB,商品数据源!$A:$A,$B$110,商品数据源!$B:$B,DA2)</f>
        <v>0</v>
      </c>
      <c r="DB113" s="115">
        <f>SUMIFS(商品数据源!$AB:$AB,商品数据源!$A:$A,$B$110,商品数据源!$B:$B,DB2)</f>
        <v>0</v>
      </c>
      <c r="DC113" s="115">
        <f>SUMIFS(商品数据源!$AB:$AB,商品数据源!$A:$A,$B$110,商品数据源!$B:$B,DC2)</f>
        <v>0</v>
      </c>
      <c r="DD113" s="115">
        <f>SUMIFS(商品数据源!$AB:$AB,商品数据源!$A:$A,$B$110,商品数据源!$B:$B,DD2)</f>
        <v>0</v>
      </c>
      <c r="DE113" s="115">
        <f>SUMIFS(商品数据源!$AB:$AB,商品数据源!$A:$A,$B$110,商品数据源!$B:$B,DE2)</f>
        <v>0</v>
      </c>
      <c r="DF113" s="65">
        <f>SUM(DG113:EJ113)</f>
        <v>0</v>
      </c>
      <c r="DG113" s="115">
        <f>SUMIFS(商品数据源!$AB:$AB,商品数据源!$A:$A,$B$110,商品数据源!$B:$B,DG2)</f>
        <v>0</v>
      </c>
      <c r="DH113" s="115">
        <f>SUMIFS(商品数据源!$AB:$AB,商品数据源!$A:$A,$B$110,商品数据源!$B:$B,DH2)</f>
        <v>0</v>
      </c>
      <c r="DI113" s="115">
        <f>SUMIFS(商品数据源!$AB:$AB,商品数据源!$A:$A,$B$110,商品数据源!$B:$B,DI2)</f>
        <v>0</v>
      </c>
      <c r="DJ113" s="115">
        <f>SUMIFS(商品数据源!$AB:$AB,商品数据源!$A:$A,$B$110,商品数据源!$B:$B,DJ2)</f>
        <v>0</v>
      </c>
      <c r="DK113" s="115">
        <f>SUMIFS(商品数据源!$AB:$AB,商品数据源!$A:$A,$B$110,商品数据源!$B:$B,DK2)</f>
        <v>0</v>
      </c>
      <c r="DL113" s="115">
        <f>SUMIFS(商品数据源!$AB:$AB,商品数据源!$A:$A,$B$110,商品数据源!$B:$B,DL2)</f>
        <v>0</v>
      </c>
      <c r="DM113" s="115">
        <f>SUMIFS(商品数据源!$AB:$AB,商品数据源!$A:$A,$B$110,商品数据源!$B:$B,DM2)</f>
        <v>0</v>
      </c>
      <c r="DN113" s="115">
        <f>SUMIFS(商品数据源!$AB:$AB,商品数据源!$A:$A,$B$110,商品数据源!$B:$B,DN2)</f>
        <v>0</v>
      </c>
      <c r="DO113" s="115">
        <f>SUMIFS(商品数据源!$AB:$AB,商品数据源!$A:$A,$B$110,商品数据源!$B:$B,DO2)</f>
        <v>0</v>
      </c>
      <c r="DP113" s="115">
        <f>SUMIFS(商品数据源!$AB:$AB,商品数据源!$A:$A,$B$110,商品数据源!$B:$B,DP2)</f>
        <v>0</v>
      </c>
      <c r="DQ113" s="115">
        <f>SUMIFS(商品数据源!$AB:$AB,商品数据源!$A:$A,$B$110,商品数据源!$B:$B,DQ2)</f>
        <v>0</v>
      </c>
      <c r="DR113" s="115">
        <f>SUMIFS(商品数据源!$AB:$AB,商品数据源!$A:$A,$B$110,商品数据源!$B:$B,DR2)</f>
        <v>0</v>
      </c>
      <c r="DS113" s="115">
        <f>SUMIFS(商品数据源!$AB:$AB,商品数据源!$A:$A,$B$110,商品数据源!$B:$B,DS2)</f>
        <v>0</v>
      </c>
      <c r="DT113" s="115">
        <f>SUMIFS(商品数据源!$AB:$AB,商品数据源!$A:$A,$B$110,商品数据源!$B:$B,DT2)</f>
        <v>0</v>
      </c>
      <c r="DU113" s="115">
        <f>SUMIFS(商品数据源!$AB:$AB,商品数据源!$A:$A,$B$110,商品数据源!$B:$B,DU2)</f>
        <v>0</v>
      </c>
      <c r="DV113" s="115">
        <f>SUMIFS(商品数据源!$AB:$AB,商品数据源!$A:$A,$B$110,商品数据源!$B:$B,DV2)</f>
        <v>0</v>
      </c>
      <c r="DW113" s="115">
        <f>SUMIFS(商品数据源!$AB:$AB,商品数据源!$A:$A,$B$110,商品数据源!$B:$B,DW2)</f>
        <v>0</v>
      </c>
      <c r="DX113" s="115">
        <f>SUMIFS(商品数据源!$AB:$AB,商品数据源!$A:$A,$B$110,商品数据源!$B:$B,DX2)</f>
        <v>0</v>
      </c>
      <c r="DY113" s="115">
        <f>SUMIFS(商品数据源!$AB:$AB,商品数据源!$A:$A,$B$110,商品数据源!$B:$B,DY2)</f>
        <v>0</v>
      </c>
      <c r="DZ113" s="115">
        <f>SUMIFS(商品数据源!$AB:$AB,商品数据源!$A:$A,$B$110,商品数据源!$B:$B,DZ2)</f>
        <v>0</v>
      </c>
      <c r="EA113" s="115">
        <f>SUMIFS(商品数据源!$AB:$AB,商品数据源!$A:$A,$B$110,商品数据源!$B:$B,EA2)</f>
        <v>0</v>
      </c>
      <c r="EB113" s="115">
        <f>SUMIFS(商品数据源!$AB:$AB,商品数据源!$A:$A,$B$110,商品数据源!$B:$B,EB2)</f>
        <v>0</v>
      </c>
      <c r="EC113" s="115">
        <f>SUMIFS(商品数据源!$AB:$AB,商品数据源!$A:$A,$B$110,商品数据源!$B:$B,EC2)</f>
        <v>0</v>
      </c>
      <c r="ED113" s="115">
        <f>SUMIFS(商品数据源!$AB:$AB,商品数据源!$A:$A,$B$110,商品数据源!$B:$B,ED2)</f>
        <v>0</v>
      </c>
      <c r="EE113" s="115">
        <f>SUMIFS(商品数据源!$AB:$AB,商品数据源!$A:$A,$B$110,商品数据源!$B:$B,EE2)</f>
        <v>0</v>
      </c>
      <c r="EF113" s="115">
        <f>SUMIFS(商品数据源!$AB:$AB,商品数据源!$A:$A,$B$110,商品数据源!$B:$B,EF2)</f>
        <v>0</v>
      </c>
      <c r="EG113" s="115">
        <f>SUMIFS(商品数据源!$AB:$AB,商品数据源!$A:$A,$B$110,商品数据源!$B:$B,EG2)</f>
        <v>0</v>
      </c>
      <c r="EH113" s="115">
        <f>SUMIFS(商品数据源!$AB:$AB,商品数据源!$A:$A,$B$110,商品数据源!$B:$B,EH2)</f>
        <v>0</v>
      </c>
      <c r="EI113" s="115">
        <f>SUMIFS(商品数据源!$AB:$AB,商品数据源!$A:$A,$B$110,商品数据源!$B:$B,EI2)</f>
        <v>0</v>
      </c>
      <c r="EJ113" s="115">
        <f>SUMIFS(商品数据源!$AB:$AB,商品数据源!$A:$A,$B$110,商品数据源!$B:$B,EJ2)</f>
        <v>0</v>
      </c>
      <c r="EK113" s="65">
        <f>SUM(EL113:FP113)</f>
        <v>0</v>
      </c>
      <c r="EL113" s="115">
        <f>SUMIFS(商品数据源!$AB:$AB,商品数据源!$A:$A,$B$110,商品数据源!$B:$B,EL2)</f>
        <v>0</v>
      </c>
      <c r="EM113" s="115">
        <f>SUMIFS(商品数据源!$AB:$AB,商品数据源!$A:$A,$B$110,商品数据源!$B:$B,EM2)</f>
        <v>0</v>
      </c>
      <c r="EN113" s="115">
        <f>SUMIFS(商品数据源!$AB:$AB,商品数据源!$A:$A,$B$110,商品数据源!$B:$B,EN2)</f>
        <v>0</v>
      </c>
      <c r="EO113" s="115">
        <f>SUMIFS(商品数据源!$AB:$AB,商品数据源!$A:$A,$B$110,商品数据源!$B:$B,EO2)</f>
        <v>0</v>
      </c>
      <c r="EP113" s="115">
        <f>SUMIFS(商品数据源!$AB:$AB,商品数据源!$A:$A,$B$110,商品数据源!$B:$B,EP2)</f>
        <v>0</v>
      </c>
      <c r="EQ113" s="115">
        <f>SUMIFS(商品数据源!$AB:$AB,商品数据源!$A:$A,$B$110,商品数据源!$B:$B,EQ2)</f>
        <v>0</v>
      </c>
      <c r="ER113" s="115">
        <f>SUMIFS(商品数据源!$AB:$AB,商品数据源!$A:$A,$B$110,商品数据源!$B:$B,ER2)</f>
        <v>0</v>
      </c>
      <c r="ES113" s="115">
        <f>SUMIFS(商品数据源!$AB:$AB,商品数据源!$A:$A,$B$110,商品数据源!$B:$B,ES2)</f>
        <v>0</v>
      </c>
      <c r="ET113" s="115">
        <f>SUMIFS(商品数据源!$AB:$AB,商品数据源!$A:$A,$B$110,商品数据源!$B:$B,ET2)</f>
        <v>0</v>
      </c>
      <c r="EU113" s="115">
        <f>SUMIFS(商品数据源!$AB:$AB,商品数据源!$A:$A,$B$110,商品数据源!$B:$B,EU2)</f>
        <v>0</v>
      </c>
      <c r="EV113" s="115">
        <f>SUMIFS(商品数据源!$AB:$AB,商品数据源!$A:$A,$B$110,商品数据源!$B:$B,EV2)</f>
        <v>0</v>
      </c>
      <c r="EW113" s="115">
        <f>SUMIFS(商品数据源!$AB:$AB,商品数据源!$A:$A,$B$110,商品数据源!$B:$B,EW2)</f>
        <v>0</v>
      </c>
      <c r="EX113" s="115">
        <f>SUMIFS(商品数据源!$AB:$AB,商品数据源!$A:$A,$B$110,商品数据源!$B:$B,EX2)</f>
        <v>0</v>
      </c>
      <c r="EY113" s="115">
        <f>SUMIFS(商品数据源!$AB:$AB,商品数据源!$A:$A,$B$110,商品数据源!$B:$B,EY2)</f>
        <v>0</v>
      </c>
      <c r="EZ113" s="115">
        <f>SUMIFS(商品数据源!$AB:$AB,商品数据源!$A:$A,$B$110,商品数据源!$B:$B,EZ2)</f>
        <v>0</v>
      </c>
      <c r="FA113" s="115">
        <f>SUMIFS(商品数据源!$AB:$AB,商品数据源!$A:$A,$B$110,商品数据源!$B:$B,FA2)</f>
        <v>0</v>
      </c>
      <c r="FB113" s="115">
        <f>SUMIFS(商品数据源!$AB:$AB,商品数据源!$A:$A,$B$110,商品数据源!$B:$B,FB2)</f>
        <v>0</v>
      </c>
      <c r="FC113" s="115">
        <f>SUMIFS(商品数据源!$AB:$AB,商品数据源!$A:$A,$B$110,商品数据源!$B:$B,FC2)</f>
        <v>0</v>
      </c>
      <c r="FD113" s="115">
        <f>SUMIFS(商品数据源!$AB:$AB,商品数据源!$A:$A,$B$110,商品数据源!$B:$B,FD2)</f>
        <v>0</v>
      </c>
      <c r="FE113" s="115">
        <f>SUMIFS(商品数据源!$AB:$AB,商品数据源!$A:$A,$B$110,商品数据源!$B:$B,FE2)</f>
        <v>0</v>
      </c>
      <c r="FF113" s="115">
        <f>SUMIFS(商品数据源!$AB:$AB,商品数据源!$A:$A,$B$110,商品数据源!$B:$B,FF2)</f>
        <v>0</v>
      </c>
      <c r="FG113" s="115">
        <f>SUMIFS(商品数据源!$AB:$AB,商品数据源!$A:$A,$B$110,商品数据源!$B:$B,FG2)</f>
        <v>0</v>
      </c>
      <c r="FH113" s="115">
        <f>SUMIFS(商品数据源!$AB:$AB,商品数据源!$A:$A,$B$110,商品数据源!$B:$B,FH2)</f>
        <v>0</v>
      </c>
      <c r="FI113" s="115">
        <f>SUMIFS(商品数据源!$AB:$AB,商品数据源!$A:$A,$B$110,商品数据源!$B:$B,FI2)</f>
        <v>0</v>
      </c>
      <c r="FJ113" s="115">
        <f>SUMIFS(商品数据源!$AB:$AB,商品数据源!$A:$A,$B$110,商品数据源!$B:$B,FJ2)</f>
        <v>0</v>
      </c>
      <c r="FK113" s="115">
        <f>SUMIFS(商品数据源!$AB:$AB,商品数据源!$A:$A,$B$110,商品数据源!$B:$B,FK2)</f>
        <v>0</v>
      </c>
      <c r="FL113" s="115">
        <f>SUMIFS(商品数据源!$AB:$AB,商品数据源!$A:$A,$B$110,商品数据源!$B:$B,FL2)</f>
        <v>0</v>
      </c>
      <c r="FM113" s="115">
        <f>SUMIFS(商品数据源!$AB:$AB,商品数据源!$A:$A,$B$110,商品数据源!$B:$B,FM2)</f>
        <v>0</v>
      </c>
      <c r="FN113" s="115">
        <f>SUMIFS(商品数据源!$AB:$AB,商品数据源!$A:$A,$B$110,商品数据源!$B:$B,FN2)</f>
        <v>0</v>
      </c>
      <c r="FO113" s="115">
        <f>SUMIFS(商品数据源!$AB:$AB,商品数据源!$A:$A,$B$110,商品数据源!$B:$B,FO2)</f>
        <v>0</v>
      </c>
      <c r="FP113" s="115">
        <f>SUMIFS(商品数据源!$AB:$AB,商品数据源!$A:$A,$B$110,商品数据源!$B:$B,FP2)</f>
        <v>0</v>
      </c>
      <c r="FQ113" s="65">
        <f t="shared" si="537"/>
        <v>0</v>
      </c>
      <c r="FR113" s="115">
        <f>SUMIFS(商品数据源!$AB:$AB,商品数据源!$A:$A,$B$110,商品数据源!$B:$B,FR2)</f>
        <v>0</v>
      </c>
      <c r="FS113" s="115">
        <f>SUMIFS(商品数据源!$AB:$AB,商品数据源!$A:$A,$B$110,商品数据源!$B:$B,FS2)</f>
        <v>0</v>
      </c>
      <c r="FT113" s="115">
        <f>SUMIFS(商品数据源!$AB:$AB,商品数据源!$A:$A,$B$110,商品数据源!$B:$B,FT2)</f>
        <v>0</v>
      </c>
      <c r="FU113" s="115">
        <f>SUMIFS(商品数据源!$AB:$AB,商品数据源!$A:$A,$B$110,商品数据源!$B:$B,FU2)</f>
        <v>0</v>
      </c>
      <c r="FV113" s="115">
        <f>SUMIFS(商品数据源!$AB:$AB,商品数据源!$A:$A,$B$110,商品数据源!$B:$B,FV2)</f>
        <v>0</v>
      </c>
      <c r="FW113" s="115">
        <f>SUMIFS(商品数据源!$AB:$AB,商品数据源!$A:$A,$B$110,商品数据源!$B:$B,FW2)</f>
        <v>0</v>
      </c>
      <c r="FX113" s="115">
        <f>SUMIFS(商品数据源!$AB:$AB,商品数据源!$A:$A,$B$110,商品数据源!$B:$B,FX2)</f>
        <v>0</v>
      </c>
      <c r="FY113" s="115">
        <f>SUMIFS(商品数据源!$AB:$AB,商品数据源!$A:$A,$B$110,商品数据源!$B:$B,FY2)</f>
        <v>0</v>
      </c>
      <c r="FZ113" s="115">
        <f>SUMIFS(商品数据源!$AB:$AB,商品数据源!$A:$A,$B$110,商品数据源!$B:$B,FZ2)</f>
        <v>0</v>
      </c>
      <c r="GA113" s="115">
        <f>SUMIFS(商品数据源!$AB:$AB,商品数据源!$A:$A,$B$110,商品数据源!$B:$B,GA2)</f>
        <v>0</v>
      </c>
      <c r="GB113" s="115">
        <f>SUMIFS(商品数据源!$AB:$AB,商品数据源!$A:$A,$B$110,商品数据源!$B:$B,GB2)</f>
        <v>0</v>
      </c>
      <c r="GC113" s="115">
        <f>SUMIFS(商品数据源!$AB:$AB,商品数据源!$A:$A,$B$110,商品数据源!$B:$B,GC2)</f>
        <v>0</v>
      </c>
      <c r="GD113" s="115">
        <f>SUMIFS(商品数据源!$AB:$AB,商品数据源!$A:$A,$B$110,商品数据源!$B:$B,GD2)</f>
        <v>0</v>
      </c>
      <c r="GE113" s="115">
        <f>SUMIFS(商品数据源!$AB:$AB,商品数据源!$A:$A,$B$110,商品数据源!$B:$B,GE2)</f>
        <v>0</v>
      </c>
      <c r="GF113" s="115">
        <f>SUMIFS(商品数据源!$AB:$AB,商品数据源!$A:$A,$B$110,商品数据源!$B:$B,GF2)</f>
        <v>0</v>
      </c>
      <c r="GG113" s="115">
        <f>SUMIFS(商品数据源!$AB:$AB,商品数据源!$A:$A,$B$110,商品数据源!$B:$B,GG2)</f>
        <v>0</v>
      </c>
      <c r="GH113" s="115">
        <f>SUMIFS(商品数据源!$AB:$AB,商品数据源!$A:$A,$B$110,商品数据源!$B:$B,GH2)</f>
        <v>0</v>
      </c>
      <c r="GI113" s="115">
        <f>SUMIFS(商品数据源!$AB:$AB,商品数据源!$A:$A,$B$110,商品数据源!$B:$B,GI2)</f>
        <v>0</v>
      </c>
      <c r="GJ113" s="115">
        <f>SUMIFS(商品数据源!$AB:$AB,商品数据源!$A:$A,$B$110,商品数据源!$B:$B,GJ2)</f>
        <v>0</v>
      </c>
      <c r="GK113" s="115">
        <f>SUMIFS(商品数据源!$AB:$AB,商品数据源!$A:$A,$B$110,商品数据源!$B:$B,GK2)</f>
        <v>0</v>
      </c>
      <c r="GL113" s="115">
        <f>SUMIFS(商品数据源!$AB:$AB,商品数据源!$A:$A,$B$110,商品数据源!$B:$B,GL2)</f>
        <v>0</v>
      </c>
      <c r="GM113" s="115">
        <f>SUMIFS(商品数据源!$AB:$AB,商品数据源!$A:$A,$B$110,商品数据源!$B:$B,GM2)</f>
        <v>0</v>
      </c>
      <c r="GN113" s="115">
        <f>SUMIFS(商品数据源!$AB:$AB,商品数据源!$A:$A,$B$110,商品数据源!$B:$B,GN2)</f>
        <v>0</v>
      </c>
      <c r="GO113" s="115">
        <f>SUMIFS(商品数据源!$AB:$AB,商品数据源!$A:$A,$B$110,商品数据源!$B:$B,GO2)</f>
        <v>0</v>
      </c>
      <c r="GP113" s="115">
        <f>SUMIFS(商品数据源!$AB:$AB,商品数据源!$A:$A,$B$110,商品数据源!$B:$B,GP2)</f>
        <v>0</v>
      </c>
    </row>
    <row r="114" s="47" customFormat="1" ht="15" hidden="1" customHeight="1" spans="1:198">
      <c r="B114" s="112"/>
      <c r="C114" s="113" t="s">
        <v>24</v>
      </c>
      <c r="D114" s="114" t="e">
        <f>D110/D113</f>
        <v>#REF!</v>
      </c>
      <c r="E114" s="115" t="e">
        <f>E110/E113</f>
        <v>#REF!</v>
      </c>
      <c r="F114" s="115" t="e">
        <f>F110/F113</f>
        <v>#REF!</v>
      </c>
      <c r="G114" s="115" t="e">
        <f>G110/G113</f>
        <v>#REF!</v>
      </c>
      <c r="H114" s="115" t="e">
        <f t="shared" ref="H114:V114" si="549">H110/H113</f>
        <v>#REF!</v>
      </c>
      <c r="I114" s="115" t="e">
        <f t="shared" si="549"/>
        <v>#REF!</v>
      </c>
      <c r="J114" s="115" t="e">
        <f t="shared" si="549"/>
        <v>#REF!</v>
      </c>
      <c r="K114" s="115" t="e">
        <f t="shared" si="549"/>
        <v>#REF!</v>
      </c>
      <c r="L114" s="115" t="e">
        <f t="shared" si="549"/>
        <v>#REF!</v>
      </c>
      <c r="M114" s="115" t="e">
        <f t="shared" si="549"/>
        <v>#REF!</v>
      </c>
      <c r="N114" s="115" t="e">
        <f t="shared" si="549"/>
        <v>#REF!</v>
      </c>
      <c r="O114" s="115" t="e">
        <f t="shared" si="549"/>
        <v>#REF!</v>
      </c>
      <c r="P114" s="115" t="e">
        <f t="shared" si="549"/>
        <v>#REF!</v>
      </c>
      <c r="Q114" s="65">
        <f t="shared" si="549"/>
        <v>60.4385185185185</v>
      </c>
      <c r="R114" s="114">
        <f>IFERROR(R110/R113,0)</f>
        <v>0</v>
      </c>
      <c r="S114" s="114">
        <f t="shared" ref="S114:BH114" si="550">IFERROR(S110/S113,0)</f>
        <v>6.33</v>
      </c>
      <c r="T114" s="114">
        <f t="shared" si="550"/>
        <v>32.52</v>
      </c>
      <c r="U114" s="114">
        <f t="shared" si="550"/>
        <v>95.67</v>
      </c>
      <c r="V114" s="114">
        <f t="shared" si="550"/>
        <v>44.17</v>
      </c>
      <c r="W114" s="114">
        <f t="shared" si="550"/>
        <v>0</v>
      </c>
      <c r="X114" s="114">
        <f t="shared" si="550"/>
        <v>0</v>
      </c>
      <c r="Y114" s="114">
        <f t="shared" si="550"/>
        <v>0</v>
      </c>
      <c r="Z114" s="114">
        <f t="shared" si="550"/>
        <v>0</v>
      </c>
      <c r="AA114" s="114">
        <f t="shared" si="550"/>
        <v>42.235</v>
      </c>
      <c r="AB114" s="114">
        <f t="shared" si="550"/>
        <v>0</v>
      </c>
      <c r="AC114" s="114">
        <f t="shared" si="550"/>
        <v>68.15</v>
      </c>
      <c r="AD114" s="114">
        <f t="shared" si="550"/>
        <v>35.715</v>
      </c>
      <c r="AE114" s="114">
        <f t="shared" si="550"/>
        <v>23.8925</v>
      </c>
      <c r="AF114" s="114">
        <f t="shared" si="550"/>
        <v>84.38</v>
      </c>
      <c r="AG114" s="114">
        <f t="shared" si="550"/>
        <v>0</v>
      </c>
      <c r="AH114" s="114">
        <f t="shared" si="550"/>
        <v>40.84</v>
      </c>
      <c r="AI114" s="114">
        <f t="shared" si="550"/>
        <v>30.15</v>
      </c>
      <c r="AJ114" s="114">
        <f t="shared" si="550"/>
        <v>34.16</v>
      </c>
      <c r="AK114" s="114">
        <f t="shared" si="550"/>
        <v>0</v>
      </c>
      <c r="AL114" s="114">
        <f t="shared" si="550"/>
        <v>0</v>
      </c>
      <c r="AM114" s="114">
        <f t="shared" si="550"/>
        <v>19.305</v>
      </c>
      <c r="AN114" s="114">
        <f t="shared" si="550"/>
        <v>0</v>
      </c>
      <c r="AO114" s="114">
        <f t="shared" si="550"/>
        <v>0</v>
      </c>
      <c r="AP114" s="114">
        <f t="shared" si="550"/>
        <v>0</v>
      </c>
      <c r="AQ114" s="114">
        <f t="shared" si="550"/>
        <v>0</v>
      </c>
      <c r="AR114" s="114">
        <f t="shared" si="550"/>
        <v>0</v>
      </c>
      <c r="AS114" s="114">
        <f t="shared" si="550"/>
        <v>30.59</v>
      </c>
      <c r="AT114" s="114">
        <f t="shared" si="550"/>
        <v>0</v>
      </c>
      <c r="AU114" s="114">
        <f t="shared" si="550"/>
        <v>14.0766666666667</v>
      </c>
      <c r="AV114" s="114">
        <f t="shared" si="550"/>
        <v>34.52</v>
      </c>
      <c r="AW114" s="114">
        <f t="shared" si="550"/>
        <v>0</v>
      </c>
      <c r="AX114" s="114">
        <f t="shared" si="550"/>
        <v>0</v>
      </c>
      <c r="AY114" s="114">
        <f t="shared" si="550"/>
        <v>0</v>
      </c>
      <c r="AZ114" s="114">
        <f t="shared" si="550"/>
        <v>0</v>
      </c>
      <c r="BA114" s="114">
        <f t="shared" si="550"/>
        <v>0</v>
      </c>
      <c r="BB114" s="114">
        <f t="shared" si="550"/>
        <v>0</v>
      </c>
      <c r="BC114" s="114">
        <f t="shared" si="550"/>
        <v>0</v>
      </c>
      <c r="BD114" s="114">
        <f t="shared" si="550"/>
        <v>0</v>
      </c>
      <c r="BE114" s="114">
        <f t="shared" si="550"/>
        <v>0</v>
      </c>
      <c r="BF114" s="114">
        <f t="shared" si="550"/>
        <v>0</v>
      </c>
      <c r="BG114" s="114">
        <f t="shared" si="550"/>
        <v>0</v>
      </c>
      <c r="BH114" s="114">
        <f t="shared" si="550"/>
        <v>0</v>
      </c>
      <c r="BI114" s="114">
        <f t="shared" ref="BI114:BW114" si="551">IFERROR(BI110/BI113,0)</f>
        <v>0</v>
      </c>
      <c r="BJ114" s="114">
        <f t="shared" si="551"/>
        <v>0</v>
      </c>
      <c r="BK114" s="114">
        <f t="shared" si="551"/>
        <v>0</v>
      </c>
      <c r="BL114" s="114">
        <f t="shared" si="551"/>
        <v>0</v>
      </c>
      <c r="BM114" s="114">
        <f t="shared" si="551"/>
        <v>0</v>
      </c>
      <c r="BN114" s="114">
        <f t="shared" si="551"/>
        <v>0</v>
      </c>
      <c r="BO114" s="114">
        <f t="shared" si="551"/>
        <v>0</v>
      </c>
      <c r="BP114" s="114">
        <f t="shared" si="551"/>
        <v>0</v>
      </c>
      <c r="BQ114" s="114">
        <f t="shared" si="551"/>
        <v>0</v>
      </c>
      <c r="BR114" s="114">
        <f t="shared" si="551"/>
        <v>0</v>
      </c>
      <c r="BS114" s="114">
        <f t="shared" si="551"/>
        <v>0</v>
      </c>
      <c r="BT114" s="114">
        <f t="shared" si="551"/>
        <v>0</v>
      </c>
      <c r="BU114" s="114">
        <f t="shared" si="551"/>
        <v>0</v>
      </c>
      <c r="BV114" s="114">
        <f t="shared" si="551"/>
        <v>0</v>
      </c>
      <c r="BW114" s="114">
        <f t="shared" si="551"/>
        <v>0</v>
      </c>
      <c r="BX114" s="114">
        <f t="shared" ref="BX114:CH114" si="552">IFERROR(BX110/BX113,0)</f>
        <v>0</v>
      </c>
      <c r="BY114" s="114">
        <f t="shared" si="552"/>
        <v>0</v>
      </c>
      <c r="BZ114" s="114">
        <f t="shared" si="552"/>
        <v>0</v>
      </c>
      <c r="CA114" s="114">
        <f t="shared" si="552"/>
        <v>0</v>
      </c>
      <c r="CB114" s="114">
        <f t="shared" si="552"/>
        <v>0</v>
      </c>
      <c r="CC114" s="114">
        <f t="shared" si="552"/>
        <v>0</v>
      </c>
      <c r="CD114" s="114">
        <f t="shared" si="552"/>
        <v>0</v>
      </c>
      <c r="CE114" s="114">
        <f t="shared" si="552"/>
        <v>0</v>
      </c>
      <c r="CF114" s="114">
        <f t="shared" si="552"/>
        <v>0</v>
      </c>
      <c r="CG114" s="114">
        <f t="shared" si="552"/>
        <v>0</v>
      </c>
      <c r="CH114" s="114">
        <f t="shared" si="552"/>
        <v>0</v>
      </c>
      <c r="CI114" s="114">
        <f t="shared" ref="CI114:EH114" si="553">IFERROR(CI110/CI113,0)</f>
        <v>0</v>
      </c>
      <c r="CJ114" s="114">
        <f t="shared" si="553"/>
        <v>0</v>
      </c>
      <c r="CK114" s="114">
        <f t="shared" si="553"/>
        <v>0</v>
      </c>
      <c r="CL114" s="114">
        <f t="shared" si="553"/>
        <v>0</v>
      </c>
      <c r="CM114" s="114">
        <f t="shared" si="553"/>
        <v>0</v>
      </c>
      <c r="CN114" s="114">
        <f t="shared" si="553"/>
        <v>0</v>
      </c>
      <c r="CO114" s="114">
        <f t="shared" si="553"/>
        <v>0</v>
      </c>
      <c r="CP114" s="114">
        <f t="shared" si="553"/>
        <v>0</v>
      </c>
      <c r="CQ114" s="114">
        <f t="shared" si="553"/>
        <v>0</v>
      </c>
      <c r="CR114" s="114">
        <f t="shared" si="553"/>
        <v>0</v>
      </c>
      <c r="CS114" s="114">
        <f t="shared" si="553"/>
        <v>0</v>
      </c>
      <c r="CT114" s="114">
        <f t="shared" si="553"/>
        <v>0</v>
      </c>
      <c r="CU114" s="114">
        <f t="shared" si="553"/>
        <v>0</v>
      </c>
      <c r="CV114" s="114">
        <f t="shared" si="553"/>
        <v>0</v>
      </c>
      <c r="CW114" s="114">
        <f t="shared" si="553"/>
        <v>0</v>
      </c>
      <c r="CX114" s="114">
        <f t="shared" si="553"/>
        <v>0</v>
      </c>
      <c r="CY114" s="114">
        <f t="shared" si="553"/>
        <v>0</v>
      </c>
      <c r="CZ114" s="114">
        <f t="shared" si="553"/>
        <v>0</v>
      </c>
      <c r="DA114" s="114">
        <f t="shared" si="553"/>
        <v>0</v>
      </c>
      <c r="DB114" s="114">
        <f t="shared" si="553"/>
        <v>0</v>
      </c>
      <c r="DC114" s="114">
        <f t="shared" si="553"/>
        <v>0</v>
      </c>
      <c r="DD114" s="114">
        <f t="shared" si="553"/>
        <v>0</v>
      </c>
      <c r="DE114" s="114">
        <f t="shared" si="553"/>
        <v>0</v>
      </c>
      <c r="DF114" s="114">
        <f t="shared" si="553"/>
        <v>0</v>
      </c>
      <c r="DG114" s="114">
        <f t="shared" si="553"/>
        <v>0</v>
      </c>
      <c r="DH114" s="114">
        <f t="shared" si="553"/>
        <v>0</v>
      </c>
      <c r="DI114" s="114">
        <f t="shared" si="553"/>
        <v>0</v>
      </c>
      <c r="DJ114" s="114">
        <f t="shared" si="553"/>
        <v>0</v>
      </c>
      <c r="DK114" s="114">
        <f t="shared" si="553"/>
        <v>0</v>
      </c>
      <c r="DL114" s="114">
        <f t="shared" si="553"/>
        <v>0</v>
      </c>
      <c r="DM114" s="114">
        <f t="shared" si="553"/>
        <v>0</v>
      </c>
      <c r="DN114" s="114">
        <f t="shared" si="553"/>
        <v>0</v>
      </c>
      <c r="DO114" s="114">
        <f t="shared" si="553"/>
        <v>0</v>
      </c>
      <c r="DP114" s="114">
        <f t="shared" si="553"/>
        <v>0</v>
      </c>
      <c r="DQ114" s="114">
        <f t="shared" si="553"/>
        <v>0</v>
      </c>
      <c r="DR114" s="114">
        <f t="shared" si="553"/>
        <v>0</v>
      </c>
      <c r="DS114" s="114">
        <f t="shared" si="553"/>
        <v>0</v>
      </c>
      <c r="DT114" s="114">
        <f t="shared" si="553"/>
        <v>0</v>
      </c>
      <c r="DU114" s="114">
        <f t="shared" si="553"/>
        <v>0</v>
      </c>
      <c r="DV114" s="114">
        <f t="shared" si="553"/>
        <v>0</v>
      </c>
      <c r="DW114" s="114">
        <f t="shared" si="553"/>
        <v>0</v>
      </c>
      <c r="DX114" s="114">
        <f t="shared" si="553"/>
        <v>0</v>
      </c>
      <c r="DY114" s="114">
        <f t="shared" si="553"/>
        <v>0</v>
      </c>
      <c r="DZ114" s="114">
        <f t="shared" si="553"/>
        <v>0</v>
      </c>
      <c r="EA114" s="114">
        <f t="shared" si="553"/>
        <v>0</v>
      </c>
      <c r="EB114" s="114">
        <f t="shared" si="553"/>
        <v>0</v>
      </c>
      <c r="EC114" s="114">
        <f t="shared" si="553"/>
        <v>0</v>
      </c>
      <c r="ED114" s="114">
        <f t="shared" si="553"/>
        <v>0</v>
      </c>
      <c r="EE114" s="114">
        <f t="shared" si="553"/>
        <v>0</v>
      </c>
      <c r="EF114" s="114">
        <f t="shared" si="553"/>
        <v>0</v>
      </c>
      <c r="EG114" s="114">
        <f t="shared" si="553"/>
        <v>0</v>
      </c>
      <c r="EH114" s="114">
        <f t="shared" si="553"/>
        <v>0</v>
      </c>
      <c r="EI114" s="114">
        <f t="shared" ref="EI114:FM114" si="554">IFERROR(EI110/EI113,0)</f>
        <v>0</v>
      </c>
      <c r="EJ114" s="114">
        <f t="shared" si="554"/>
        <v>0</v>
      </c>
      <c r="EK114" s="114">
        <f t="shared" si="554"/>
        <v>0</v>
      </c>
      <c r="EL114" s="114">
        <f t="shared" si="554"/>
        <v>0</v>
      </c>
      <c r="EM114" s="114">
        <f t="shared" si="554"/>
        <v>0</v>
      </c>
      <c r="EN114" s="114">
        <f t="shared" si="554"/>
        <v>0</v>
      </c>
      <c r="EO114" s="114">
        <f t="shared" si="554"/>
        <v>0</v>
      </c>
      <c r="EP114" s="114">
        <f t="shared" si="554"/>
        <v>0</v>
      </c>
      <c r="EQ114" s="114">
        <f t="shared" si="554"/>
        <v>0</v>
      </c>
      <c r="ER114" s="114">
        <f t="shared" si="554"/>
        <v>0</v>
      </c>
      <c r="ES114" s="114">
        <f t="shared" si="554"/>
        <v>0</v>
      </c>
      <c r="ET114" s="114">
        <f t="shared" si="554"/>
        <v>0</v>
      </c>
      <c r="EU114" s="114">
        <f t="shared" si="554"/>
        <v>0</v>
      </c>
      <c r="EV114" s="114">
        <f t="shared" si="554"/>
        <v>0</v>
      </c>
      <c r="EW114" s="114">
        <f t="shared" si="554"/>
        <v>0</v>
      </c>
      <c r="EX114" s="114">
        <f t="shared" si="554"/>
        <v>0</v>
      </c>
      <c r="EY114" s="114">
        <f t="shared" si="554"/>
        <v>0</v>
      </c>
      <c r="EZ114" s="114">
        <f t="shared" si="554"/>
        <v>0</v>
      </c>
      <c r="FA114" s="114">
        <f t="shared" si="554"/>
        <v>0</v>
      </c>
      <c r="FB114" s="114">
        <f t="shared" si="554"/>
        <v>0</v>
      </c>
      <c r="FC114" s="114">
        <f t="shared" si="554"/>
        <v>0</v>
      </c>
      <c r="FD114" s="114">
        <f t="shared" si="554"/>
        <v>0</v>
      </c>
      <c r="FE114" s="114">
        <f t="shared" si="554"/>
        <v>0</v>
      </c>
      <c r="FF114" s="114">
        <f t="shared" si="554"/>
        <v>0</v>
      </c>
      <c r="FG114" s="114">
        <f t="shared" si="554"/>
        <v>0</v>
      </c>
      <c r="FH114" s="114">
        <f t="shared" si="554"/>
        <v>0</v>
      </c>
      <c r="FI114" s="114">
        <f t="shared" si="554"/>
        <v>0</v>
      </c>
      <c r="FJ114" s="114">
        <f t="shared" si="554"/>
        <v>0</v>
      </c>
      <c r="FK114" s="114">
        <f t="shared" si="554"/>
        <v>0</v>
      </c>
      <c r="FL114" s="114">
        <f t="shared" si="554"/>
        <v>0</v>
      </c>
      <c r="FM114" s="114">
        <f t="shared" si="554"/>
        <v>0</v>
      </c>
      <c r="FN114" s="114">
        <f t="shared" ref="FN114:GI114" si="555">IFERROR(FN110/FN113,0)</f>
        <v>0</v>
      </c>
      <c r="FO114" s="114">
        <f t="shared" si="555"/>
        <v>0</v>
      </c>
      <c r="FP114" s="114">
        <f t="shared" si="555"/>
        <v>0</v>
      </c>
      <c r="FQ114" s="114">
        <f t="shared" si="555"/>
        <v>0</v>
      </c>
      <c r="FR114" s="114">
        <f t="shared" si="555"/>
        <v>0</v>
      </c>
      <c r="FS114" s="114">
        <f t="shared" si="555"/>
        <v>0</v>
      </c>
      <c r="FT114" s="114">
        <f t="shared" si="555"/>
        <v>0</v>
      </c>
      <c r="FU114" s="114">
        <f t="shared" si="555"/>
        <v>0</v>
      </c>
      <c r="FV114" s="114">
        <f t="shared" si="555"/>
        <v>0</v>
      </c>
      <c r="FW114" s="114">
        <f t="shared" si="555"/>
        <v>0</v>
      </c>
      <c r="FX114" s="114">
        <f t="shared" si="555"/>
        <v>0</v>
      </c>
      <c r="FY114" s="114">
        <f t="shared" si="555"/>
        <v>0</v>
      </c>
      <c r="FZ114" s="114">
        <f t="shared" si="555"/>
        <v>0</v>
      </c>
      <c r="GA114" s="114">
        <f t="shared" si="555"/>
        <v>0</v>
      </c>
      <c r="GB114" s="114">
        <f t="shared" si="555"/>
        <v>0</v>
      </c>
      <c r="GC114" s="114">
        <f t="shared" si="555"/>
        <v>0</v>
      </c>
      <c r="GD114" s="114">
        <f t="shared" si="555"/>
        <v>0</v>
      </c>
      <c r="GE114" s="114">
        <f t="shared" si="555"/>
        <v>0</v>
      </c>
      <c r="GF114" s="114">
        <f t="shared" si="555"/>
        <v>0</v>
      </c>
      <c r="GG114" s="114">
        <f t="shared" si="555"/>
        <v>0</v>
      </c>
      <c r="GH114" s="114">
        <f t="shared" si="555"/>
        <v>0</v>
      </c>
      <c r="GI114" s="114">
        <f t="shared" si="555"/>
        <v>0</v>
      </c>
      <c r="GJ114" s="114">
        <f t="shared" ref="GJ114:GP114" si="556">IFERROR(GJ110/GJ113,0)</f>
        <v>0</v>
      </c>
      <c r="GK114" s="114">
        <f t="shared" si="556"/>
        <v>0</v>
      </c>
      <c r="GL114" s="114">
        <f t="shared" si="556"/>
        <v>0</v>
      </c>
      <c r="GM114" s="114">
        <f t="shared" si="556"/>
        <v>0</v>
      </c>
      <c r="GN114" s="114">
        <f t="shared" si="556"/>
        <v>0</v>
      </c>
      <c r="GO114" s="114">
        <f t="shared" si="556"/>
        <v>0</v>
      </c>
      <c r="GP114" s="114">
        <f t="shared" si="556"/>
        <v>0</v>
      </c>
    </row>
    <row r="115" s="47" customFormat="1" ht="15" hidden="1" customHeight="1" spans="1:198">
      <c r="B115" s="112"/>
      <c r="C115" s="113" t="s">
        <v>25</v>
      </c>
      <c r="D115" s="114" t="e">
        <f t="shared" si="547"/>
        <v>#REF!</v>
      </c>
      <c r="E115" s="115" t="e">
        <f>#REF!</f>
        <v>#REF!</v>
      </c>
      <c r="F115" s="115" t="e">
        <f>#REF!</f>
        <v>#REF!</v>
      </c>
      <c r="G115" s="115" t="e">
        <f>#REF!</f>
        <v>#REF!</v>
      </c>
      <c r="H115" s="115" t="e">
        <f>#REF!</f>
        <v>#REF!</v>
      </c>
      <c r="I115" s="115" t="e">
        <f>#REF!</f>
        <v>#REF!</v>
      </c>
      <c r="J115" s="115" t="e">
        <f>#REF!</f>
        <v>#REF!</v>
      </c>
      <c r="K115" s="115" t="e">
        <f>#REF!</f>
        <v>#REF!</v>
      </c>
      <c r="L115" s="115" t="e">
        <f>#REF!</f>
        <v>#REF!</v>
      </c>
      <c r="M115" s="115" t="e">
        <f>#REF!</f>
        <v>#REF!</v>
      </c>
      <c r="N115" s="115" t="e">
        <f>#REF!</f>
        <v>#REF!</v>
      </c>
      <c r="O115" s="115" t="e">
        <f>#REF!</f>
        <v>#REF!</v>
      </c>
      <c r="P115" s="115" t="e">
        <f>#REF!</f>
        <v>#REF!</v>
      </c>
      <c r="Q115" s="65">
        <f t="shared" si="548"/>
        <v>3</v>
      </c>
      <c r="R115" s="115">
        <f>SUMIFS(商品数据源!$U:$U,商品数据源!$A:$A,$B$110,商品数据源!$B:$B,R2)</f>
        <v>0</v>
      </c>
      <c r="S115" s="115">
        <f>SUMIFS(商品数据源!$U:$U,商品数据源!$A:$A,$B$110,商品数据源!$B:$B,S2)</f>
        <v>0</v>
      </c>
      <c r="T115" s="115">
        <f>SUMIFS(商品数据源!$U:$U,商品数据源!$A:$A,$B$110,商品数据源!$B:$B,T2)</f>
        <v>0</v>
      </c>
      <c r="U115" s="115">
        <f>SUMIFS(商品数据源!$U:$U,商品数据源!$A:$A,$B$110,商品数据源!$B:$B,U2)</f>
        <v>0</v>
      </c>
      <c r="V115" s="115">
        <f>SUMIFS(商品数据源!$U:$U,商品数据源!$A:$A,$B$110,商品数据源!$B:$B,V2)</f>
        <v>0</v>
      </c>
      <c r="W115" s="115">
        <f>SUMIFS(商品数据源!$U:$U,商品数据源!$A:$A,$B$110,商品数据源!$B:$B,W2)</f>
        <v>0</v>
      </c>
      <c r="X115" s="115">
        <f>SUMIFS(商品数据源!$U:$U,商品数据源!$A:$A,$B$110,商品数据源!$B:$B,X2)</f>
        <v>0</v>
      </c>
      <c r="Y115" s="115">
        <f>SUMIFS(商品数据源!$U:$U,商品数据源!$A:$A,$B$110,商品数据源!$B:$B,Y2)</f>
        <v>0</v>
      </c>
      <c r="Z115" s="115">
        <f>SUMIFS(商品数据源!$U:$U,商品数据源!$A:$A,$B$110,商品数据源!$B:$B,Z2)</f>
        <v>0</v>
      </c>
      <c r="AA115" s="115">
        <f>SUMIFS(商品数据源!$U:$U,商品数据源!$A:$A,$B$110,商品数据源!$B:$B,AA2)</f>
        <v>0</v>
      </c>
      <c r="AB115" s="115">
        <f>SUMIFS(商品数据源!$U:$U,商品数据源!$A:$A,$B$110,商品数据源!$B:$B,AB2)</f>
        <v>1</v>
      </c>
      <c r="AC115" s="115">
        <f>SUMIFS(商品数据源!$U:$U,商品数据源!$A:$A,$B$110,商品数据源!$B:$B,AC2)</f>
        <v>0</v>
      </c>
      <c r="AD115" s="115">
        <f>SUMIFS(商品数据源!$U:$U,商品数据源!$A:$A,$B$110,商品数据源!$B:$B,AD2)</f>
        <v>0</v>
      </c>
      <c r="AE115" s="115">
        <f>SUMIFS(商品数据源!$U:$U,商品数据源!$A:$A,$B$110,商品数据源!$B:$B,AE2)</f>
        <v>1</v>
      </c>
      <c r="AF115" s="115">
        <f>SUMIFS(商品数据源!$U:$U,商品数据源!$A:$A,$B$110,商品数据源!$B:$B,AF2)</f>
        <v>0</v>
      </c>
      <c r="AG115" s="115">
        <f>SUMIFS(商品数据源!$U:$U,商品数据源!$A:$A,$B$110,商品数据源!$B:$B,AG2)</f>
        <v>0</v>
      </c>
      <c r="AH115" s="115">
        <f>SUMIFS(商品数据源!$U:$U,商品数据源!$A:$A,$B$110,商品数据源!$B:$B,AH2)</f>
        <v>0</v>
      </c>
      <c r="AI115" s="115">
        <f>SUMIFS(商品数据源!$U:$U,商品数据源!$A:$A,$B$110,商品数据源!$B:$B,AI2)</f>
        <v>1</v>
      </c>
      <c r="AJ115" s="115">
        <f>SUMIFS(商品数据源!$U:$U,商品数据源!$A:$A,$B$110,商品数据源!$B:$B,AJ2)</f>
        <v>0</v>
      </c>
      <c r="AK115" s="115">
        <f>SUMIFS(商品数据源!$U:$U,商品数据源!$A:$A,$B$110,商品数据源!$B:$B,AK2)</f>
        <v>0</v>
      </c>
      <c r="AL115" s="115">
        <f>SUMIFS(商品数据源!$U:$U,商品数据源!$A:$A,$B$110,商品数据源!$B:$B,AL2)</f>
        <v>0</v>
      </c>
      <c r="AM115" s="115">
        <f>SUMIFS(商品数据源!$U:$U,商品数据源!$A:$A,$B$110,商品数据源!$B:$B,AM2)</f>
        <v>0</v>
      </c>
      <c r="AN115" s="115">
        <f>SUMIFS(商品数据源!$U:$U,商品数据源!$A:$A,$B$110,商品数据源!$B:$B,AN2)</f>
        <v>0</v>
      </c>
      <c r="AO115" s="115">
        <f>SUMIFS(商品数据源!$U:$U,商品数据源!$A:$A,$B$110,商品数据源!$B:$B,AO2)</f>
        <v>0</v>
      </c>
      <c r="AP115" s="115">
        <f>SUMIFS(商品数据源!$U:$U,商品数据源!$A:$A,$B$110,商品数据源!$B:$B,AP2)</f>
        <v>0</v>
      </c>
      <c r="AQ115" s="115">
        <f>SUMIFS(商品数据源!$U:$U,商品数据源!$A:$A,$B$110,商品数据源!$B:$B,AQ2)</f>
        <v>0</v>
      </c>
      <c r="AR115" s="115">
        <f>SUMIFS(商品数据源!$U:$U,商品数据源!$A:$A,$B$110,商品数据源!$B:$B,AR2)</f>
        <v>0</v>
      </c>
      <c r="AS115" s="115">
        <f>SUMIFS(商品数据源!$U:$U,商品数据源!$A:$A,$B$110,商品数据源!$B:$B,AS2)</f>
        <v>0</v>
      </c>
      <c r="AT115" s="115">
        <f>SUMIFS(商品数据源!$U:$U,商品数据源!$A:$A,$B$110,商品数据源!$B:$B,AT2)</f>
        <v>0</v>
      </c>
      <c r="AU115" s="115">
        <f>SUMIFS(商品数据源!$U:$U,商品数据源!$A:$A,$B$110,商品数据源!$B:$B,AU2)</f>
        <v>0</v>
      </c>
      <c r="AV115" s="115">
        <f>SUMIFS(商品数据源!$U:$U,商品数据源!$A:$A,$B$110,商品数据源!$B:$B,AV2)</f>
        <v>0</v>
      </c>
      <c r="AW115" s="65">
        <f>SUM(AX115:BY115)</f>
        <v>0</v>
      </c>
      <c r="AX115" s="115">
        <f>SUMIFS(商品数据源!$U:$U,商品数据源!$A:$A,$B$110,商品数据源!$B:$B,AX2)</f>
        <v>0</v>
      </c>
      <c r="AY115" s="115">
        <f>SUMIFS(商品数据源!$U:$U,商品数据源!$A:$A,$B$110,商品数据源!$B:$B,AY2)</f>
        <v>0</v>
      </c>
      <c r="AZ115" s="115">
        <f>SUMIFS(商品数据源!$U:$U,商品数据源!$A:$A,$B$110,商品数据源!$B:$B,AZ2)</f>
        <v>0</v>
      </c>
      <c r="BA115" s="115">
        <f>SUMIFS(商品数据源!$U:$U,商品数据源!$A:$A,$B$110,商品数据源!$B:$B,BA2)</f>
        <v>0</v>
      </c>
      <c r="BB115" s="115">
        <f>SUMIFS(商品数据源!$U:$U,商品数据源!$A:$A,$B$110,商品数据源!$B:$B,BB2)</f>
        <v>0</v>
      </c>
      <c r="BC115" s="115">
        <f>SUMIFS(商品数据源!$U:$U,商品数据源!$A:$A,$B$110,商品数据源!$B:$B,BC2)</f>
        <v>0</v>
      </c>
      <c r="BD115" s="115">
        <f>SUMIFS(商品数据源!$U:$U,商品数据源!$A:$A,$B$110,商品数据源!$B:$B,BD2)</f>
        <v>0</v>
      </c>
      <c r="BE115" s="115">
        <f>SUMIFS(商品数据源!$U:$U,商品数据源!$A:$A,$B$110,商品数据源!$B:$B,BE2)</f>
        <v>0</v>
      </c>
      <c r="BF115" s="115">
        <f>SUMIFS(商品数据源!$U:$U,商品数据源!$A:$A,$B$110,商品数据源!$B:$B,BF2)</f>
        <v>0</v>
      </c>
      <c r="BG115" s="115">
        <f>SUMIFS(商品数据源!$U:$U,商品数据源!$A:$A,$B$110,商品数据源!$B:$B,BG2)</f>
        <v>0</v>
      </c>
      <c r="BH115" s="115">
        <f>SUMIFS(商品数据源!$U:$U,商品数据源!$A:$A,$B$110,商品数据源!$B:$B,BH2)</f>
        <v>0</v>
      </c>
      <c r="BI115" s="115">
        <f>SUMIFS(商品数据源!$U:$U,商品数据源!$A:$A,$B$110,商品数据源!$B:$B,BI2)</f>
        <v>0</v>
      </c>
      <c r="BJ115" s="115">
        <f>SUMIFS(商品数据源!$U:$U,商品数据源!$A:$A,$B$110,商品数据源!$B:$B,BJ2)</f>
        <v>0</v>
      </c>
      <c r="BK115" s="115">
        <f>SUMIFS(商品数据源!$U:$U,商品数据源!$A:$A,$B$110,商品数据源!$B:$B,BK2)</f>
        <v>0</v>
      </c>
      <c r="BL115" s="115">
        <f>SUMIFS(商品数据源!$U:$U,商品数据源!$A:$A,$B$110,商品数据源!$B:$B,BL2)</f>
        <v>0</v>
      </c>
      <c r="BM115" s="115">
        <f>SUMIFS(商品数据源!$U:$U,商品数据源!$A:$A,$B$110,商品数据源!$B:$B,BM2)</f>
        <v>0</v>
      </c>
      <c r="BN115" s="115">
        <f>SUMIFS(商品数据源!$U:$U,商品数据源!$A:$A,$B$110,商品数据源!$B:$B,BN2)</f>
        <v>0</v>
      </c>
      <c r="BO115" s="115">
        <f>SUMIFS(商品数据源!$U:$U,商品数据源!$A:$A,$B$110,商品数据源!$B:$B,BO2)</f>
        <v>0</v>
      </c>
      <c r="BP115" s="115">
        <f>SUMIFS(商品数据源!$U:$U,商品数据源!$A:$A,$B$110,商品数据源!$B:$B,BP2)</f>
        <v>0</v>
      </c>
      <c r="BQ115" s="115">
        <f>SUMIFS(商品数据源!$U:$U,商品数据源!$A:$A,$B$110,商品数据源!$B:$B,BQ2)</f>
        <v>0</v>
      </c>
      <c r="BR115" s="115">
        <f>SUMIFS(商品数据源!$U:$U,商品数据源!$A:$A,$B$110,商品数据源!$B:$B,BR2)</f>
        <v>0</v>
      </c>
      <c r="BS115" s="115">
        <f>SUMIFS(商品数据源!$U:$U,商品数据源!$A:$A,$B$110,商品数据源!$B:$B,BS2)</f>
        <v>0</v>
      </c>
      <c r="BT115" s="115">
        <f>SUMIFS(商品数据源!$U:$U,商品数据源!$A:$A,$B$110,商品数据源!$B:$B,BT2)</f>
        <v>0</v>
      </c>
      <c r="BU115" s="115">
        <f>SUMIFS(商品数据源!$U:$U,商品数据源!$A:$A,$B$110,商品数据源!$B:$B,BU2)</f>
        <v>0</v>
      </c>
      <c r="BV115" s="115">
        <f>SUMIFS(商品数据源!$U:$U,商品数据源!$A:$A,$B$110,商品数据源!$B:$B,BV2)</f>
        <v>0</v>
      </c>
      <c r="BW115" s="115">
        <f>SUMIFS(商品数据源!$U:$U,商品数据源!$A:$A,$B$110,商品数据源!$B:$B,BW2)</f>
        <v>0</v>
      </c>
      <c r="BX115" s="115">
        <f>SUMIFS(商品数据源!$U:$U,商品数据源!$A:$A,$B$110,商品数据源!$B:$B,BX2)</f>
        <v>0</v>
      </c>
      <c r="BY115" s="115">
        <f>SUMIFS(商品数据源!$U:$U,商品数据源!$A:$A,$B$110,商品数据源!$B:$B,BY2)</f>
        <v>0</v>
      </c>
      <c r="BZ115" s="65">
        <f>SUM(CA115:DE115)</f>
        <v>0</v>
      </c>
      <c r="CA115" s="115">
        <f>SUMIFS(商品数据源!$U:$U,商品数据源!$A:$A,$B$110,商品数据源!$B:$B,CA2)</f>
        <v>0</v>
      </c>
      <c r="CB115" s="115">
        <f>SUMIFS(商品数据源!$U:$U,商品数据源!$A:$A,$B$110,商品数据源!$B:$B,CB2)</f>
        <v>0</v>
      </c>
      <c r="CC115" s="115">
        <f>SUMIFS(商品数据源!$U:$U,商品数据源!$A:$A,$B$110,商品数据源!$B:$B,CC2)</f>
        <v>0</v>
      </c>
      <c r="CD115" s="115">
        <f>SUMIFS(商品数据源!$U:$U,商品数据源!$A:$A,$B$110,商品数据源!$B:$B,CD2)</f>
        <v>0</v>
      </c>
      <c r="CE115" s="115">
        <f>SUMIFS(商品数据源!$U:$U,商品数据源!$A:$A,$B$110,商品数据源!$B:$B,CE2)</f>
        <v>0</v>
      </c>
      <c r="CF115" s="115">
        <f>SUMIFS(商品数据源!$U:$U,商品数据源!$A:$A,$B$110,商品数据源!$B:$B,CF2)</f>
        <v>0</v>
      </c>
      <c r="CG115" s="115">
        <f>SUMIFS(商品数据源!$U:$U,商品数据源!$A:$A,$B$110,商品数据源!$B:$B,CG2)</f>
        <v>0</v>
      </c>
      <c r="CH115" s="115">
        <f>SUMIFS(商品数据源!$U:$U,商品数据源!$A:$A,$B$110,商品数据源!$B:$B,CH2)</f>
        <v>0</v>
      </c>
      <c r="CI115" s="115">
        <f>SUMIFS(商品数据源!$U:$U,商品数据源!$A:$A,$B$110,商品数据源!$B:$B,CI2)</f>
        <v>0</v>
      </c>
      <c r="CJ115" s="115">
        <f>SUMIFS(商品数据源!$U:$U,商品数据源!$A:$A,$B$110,商品数据源!$B:$B,CJ2)</f>
        <v>0</v>
      </c>
      <c r="CK115" s="115">
        <f>SUMIFS(商品数据源!$U:$U,商品数据源!$A:$A,$B$110,商品数据源!$B:$B,CK2)</f>
        <v>0</v>
      </c>
      <c r="CL115" s="115">
        <f>SUMIFS(商品数据源!$U:$U,商品数据源!$A:$A,$B$110,商品数据源!$B:$B,CL2)</f>
        <v>0</v>
      </c>
      <c r="CM115" s="115">
        <f>SUMIFS(商品数据源!$U:$U,商品数据源!$A:$A,$B$110,商品数据源!$B:$B,CM2)</f>
        <v>0</v>
      </c>
      <c r="CN115" s="115">
        <f>SUMIFS(商品数据源!$U:$U,商品数据源!$A:$A,$B$110,商品数据源!$B:$B,CN2)</f>
        <v>0</v>
      </c>
      <c r="CO115" s="115">
        <f>SUMIFS(商品数据源!$U:$U,商品数据源!$A:$A,$B$110,商品数据源!$B:$B,CO2)</f>
        <v>0</v>
      </c>
      <c r="CP115" s="115">
        <f>SUMIFS(商品数据源!$U:$U,商品数据源!$A:$A,$B$110,商品数据源!$B:$B,CP2)</f>
        <v>0</v>
      </c>
      <c r="CQ115" s="115">
        <f>SUMIFS(商品数据源!$U:$U,商品数据源!$A:$A,$B$110,商品数据源!$B:$B,CQ2)</f>
        <v>0</v>
      </c>
      <c r="CR115" s="115">
        <f>SUMIFS(商品数据源!$U:$U,商品数据源!$A:$A,$B$110,商品数据源!$B:$B,CR2)</f>
        <v>0</v>
      </c>
      <c r="CS115" s="115">
        <f>SUMIFS(商品数据源!$U:$U,商品数据源!$A:$A,$B$110,商品数据源!$B:$B,CS2)</f>
        <v>0</v>
      </c>
      <c r="CT115" s="115">
        <f>SUMIFS(商品数据源!$U:$U,商品数据源!$A:$A,$B$110,商品数据源!$B:$B,CT2)</f>
        <v>0</v>
      </c>
      <c r="CU115" s="115">
        <f>SUMIFS(商品数据源!$U:$U,商品数据源!$A:$A,$B$110,商品数据源!$B:$B,CU2)</f>
        <v>0</v>
      </c>
      <c r="CV115" s="115">
        <f>SUMIFS(商品数据源!$U:$U,商品数据源!$A:$A,$B$110,商品数据源!$B:$B,CV2)</f>
        <v>0</v>
      </c>
      <c r="CW115" s="115">
        <f>SUMIFS(商品数据源!$U:$U,商品数据源!$A:$A,$B$110,商品数据源!$B:$B,CW2)</f>
        <v>0</v>
      </c>
      <c r="CX115" s="115">
        <f>SUMIFS(商品数据源!$U:$U,商品数据源!$A:$A,$B$110,商品数据源!$B:$B,CX2)</f>
        <v>0</v>
      </c>
      <c r="CY115" s="115">
        <f>SUMIFS(商品数据源!$U:$U,商品数据源!$A:$A,$B$110,商品数据源!$B:$B,CY2)</f>
        <v>0</v>
      </c>
      <c r="CZ115" s="115">
        <f>SUMIFS(商品数据源!$U:$U,商品数据源!$A:$A,$B$110,商品数据源!$B:$B,CZ2)</f>
        <v>0</v>
      </c>
      <c r="DA115" s="115">
        <f>SUMIFS(商品数据源!$U:$U,商品数据源!$A:$A,$B$110,商品数据源!$B:$B,DA2)</f>
        <v>0</v>
      </c>
      <c r="DB115" s="115">
        <f>SUMIFS(商品数据源!$U:$U,商品数据源!$A:$A,$B$110,商品数据源!$B:$B,DB2)</f>
        <v>0</v>
      </c>
      <c r="DC115" s="115">
        <f>SUMIFS(商品数据源!$U:$U,商品数据源!$A:$A,$B$110,商品数据源!$B:$B,DC2)</f>
        <v>0</v>
      </c>
      <c r="DD115" s="115">
        <f>SUMIFS(商品数据源!$U:$U,商品数据源!$A:$A,$B$110,商品数据源!$B:$B,DD2)</f>
        <v>0</v>
      </c>
      <c r="DE115" s="115">
        <f>SUMIFS(商品数据源!$U:$U,商品数据源!$A:$A,$B$110,商品数据源!$B:$B,DE2)</f>
        <v>0</v>
      </c>
      <c r="DF115" s="65">
        <f>SUM(DG115:EJ115)</f>
        <v>0</v>
      </c>
      <c r="DG115" s="115">
        <f>SUMIFS(商品数据源!$U:$U,商品数据源!$A:$A,$B$110,商品数据源!$B:$B,DG2)</f>
        <v>0</v>
      </c>
      <c r="DH115" s="115">
        <f>SUMIFS(商品数据源!$U:$U,商品数据源!$A:$A,$B$110,商品数据源!$B:$B,DH2)</f>
        <v>0</v>
      </c>
      <c r="DI115" s="115">
        <f>SUMIFS(商品数据源!$U:$U,商品数据源!$A:$A,$B$110,商品数据源!$B:$B,DI2)</f>
        <v>0</v>
      </c>
      <c r="DJ115" s="115">
        <f>SUMIFS(商品数据源!$U:$U,商品数据源!$A:$A,$B$110,商品数据源!$B:$B,DJ2)</f>
        <v>0</v>
      </c>
      <c r="DK115" s="115">
        <f>SUMIFS(商品数据源!$U:$U,商品数据源!$A:$A,$B$110,商品数据源!$B:$B,DK2)</f>
        <v>0</v>
      </c>
      <c r="DL115" s="115">
        <f>SUMIFS(商品数据源!$U:$U,商品数据源!$A:$A,$B$110,商品数据源!$B:$B,DL2)</f>
        <v>0</v>
      </c>
      <c r="DM115" s="115">
        <f>SUMIFS(商品数据源!$U:$U,商品数据源!$A:$A,$B$110,商品数据源!$B:$B,DM2)</f>
        <v>0</v>
      </c>
      <c r="DN115" s="115">
        <f>SUMIFS(商品数据源!$U:$U,商品数据源!$A:$A,$B$110,商品数据源!$B:$B,DN2)</f>
        <v>0</v>
      </c>
      <c r="DO115" s="115">
        <f>SUMIFS(商品数据源!$U:$U,商品数据源!$A:$A,$B$110,商品数据源!$B:$B,DO2)</f>
        <v>0</v>
      </c>
      <c r="DP115" s="115">
        <f>SUMIFS(商品数据源!$U:$U,商品数据源!$A:$A,$B$110,商品数据源!$B:$B,DP2)</f>
        <v>0</v>
      </c>
      <c r="DQ115" s="115">
        <f>SUMIFS(商品数据源!$U:$U,商品数据源!$A:$A,$B$110,商品数据源!$B:$B,DQ2)</f>
        <v>0</v>
      </c>
      <c r="DR115" s="115">
        <f>SUMIFS(商品数据源!$U:$U,商品数据源!$A:$A,$B$110,商品数据源!$B:$B,DR2)</f>
        <v>0</v>
      </c>
      <c r="DS115" s="115">
        <f>SUMIFS(商品数据源!$U:$U,商品数据源!$A:$A,$B$110,商品数据源!$B:$B,DS2)</f>
        <v>0</v>
      </c>
      <c r="DT115" s="115">
        <f>SUMIFS(商品数据源!$U:$U,商品数据源!$A:$A,$B$110,商品数据源!$B:$B,DT2)</f>
        <v>0</v>
      </c>
      <c r="DU115" s="115">
        <f>SUMIFS(商品数据源!$U:$U,商品数据源!$A:$A,$B$110,商品数据源!$B:$B,DU2)</f>
        <v>0</v>
      </c>
      <c r="DV115" s="115">
        <f>SUMIFS(商品数据源!$U:$U,商品数据源!$A:$A,$B$110,商品数据源!$B:$B,DV2)</f>
        <v>0</v>
      </c>
      <c r="DW115" s="115">
        <f>SUMIFS(商品数据源!$U:$U,商品数据源!$A:$A,$B$110,商品数据源!$B:$B,DW2)</f>
        <v>0</v>
      </c>
      <c r="DX115" s="115">
        <f>SUMIFS(商品数据源!$U:$U,商品数据源!$A:$A,$B$110,商品数据源!$B:$B,DX2)</f>
        <v>0</v>
      </c>
      <c r="DY115" s="115">
        <f>SUMIFS(商品数据源!$U:$U,商品数据源!$A:$A,$B$110,商品数据源!$B:$B,DY2)</f>
        <v>0</v>
      </c>
      <c r="DZ115" s="115">
        <f>SUMIFS(商品数据源!$U:$U,商品数据源!$A:$A,$B$110,商品数据源!$B:$B,DZ2)</f>
        <v>0</v>
      </c>
      <c r="EA115" s="115">
        <f>SUMIFS(商品数据源!$U:$U,商品数据源!$A:$A,$B$110,商品数据源!$B:$B,EA2)</f>
        <v>0</v>
      </c>
      <c r="EB115" s="115">
        <f>SUMIFS(商品数据源!$U:$U,商品数据源!$A:$A,$B$110,商品数据源!$B:$B,EB2)</f>
        <v>0</v>
      </c>
      <c r="EC115" s="115">
        <f>SUMIFS(商品数据源!$U:$U,商品数据源!$A:$A,$B$110,商品数据源!$B:$B,EC2)</f>
        <v>0</v>
      </c>
      <c r="ED115" s="115">
        <f>SUMIFS(商品数据源!$U:$U,商品数据源!$A:$A,$B$110,商品数据源!$B:$B,ED2)</f>
        <v>0</v>
      </c>
      <c r="EE115" s="115">
        <f>SUMIFS(商品数据源!$U:$U,商品数据源!$A:$A,$B$110,商品数据源!$B:$B,EE2)</f>
        <v>0</v>
      </c>
      <c r="EF115" s="115">
        <f>SUMIFS(商品数据源!$U:$U,商品数据源!$A:$A,$B$110,商品数据源!$B:$B,EF2)</f>
        <v>0</v>
      </c>
      <c r="EG115" s="115">
        <f>SUMIFS(商品数据源!$U:$U,商品数据源!$A:$A,$B$110,商品数据源!$B:$B,EG2)</f>
        <v>0</v>
      </c>
      <c r="EH115" s="115">
        <f>SUMIFS(商品数据源!$U:$U,商品数据源!$A:$A,$B$110,商品数据源!$B:$B,EH2)</f>
        <v>0</v>
      </c>
      <c r="EI115" s="115">
        <f>SUMIFS(商品数据源!$U:$U,商品数据源!$A:$A,$B$110,商品数据源!$B:$B,EI2)</f>
        <v>0</v>
      </c>
      <c r="EJ115" s="115">
        <f>SUMIFS(商品数据源!$U:$U,商品数据源!$A:$A,$B$110,商品数据源!$B:$B,EJ2)</f>
        <v>0</v>
      </c>
      <c r="EK115" s="65">
        <f>SUM(EL115:FP115)</f>
        <v>0</v>
      </c>
      <c r="EL115" s="115">
        <f>SUMIFS(商品数据源!$U:$U,商品数据源!$A:$A,$B$110,商品数据源!$B:$B,EL2)</f>
        <v>0</v>
      </c>
      <c r="EM115" s="115">
        <f>SUMIFS(商品数据源!$U:$U,商品数据源!$A:$A,$B$110,商品数据源!$B:$B,EM2)</f>
        <v>0</v>
      </c>
      <c r="EN115" s="115">
        <f>SUMIFS(商品数据源!$U:$U,商品数据源!$A:$A,$B$110,商品数据源!$B:$B,EN2)</f>
        <v>0</v>
      </c>
      <c r="EO115" s="115">
        <f>SUMIFS(商品数据源!$U:$U,商品数据源!$A:$A,$B$110,商品数据源!$B:$B,EO2)</f>
        <v>0</v>
      </c>
      <c r="EP115" s="115">
        <f>SUMIFS(商品数据源!$U:$U,商品数据源!$A:$A,$B$110,商品数据源!$B:$B,EP2)</f>
        <v>0</v>
      </c>
      <c r="EQ115" s="115">
        <f>SUMIFS(商品数据源!$U:$U,商品数据源!$A:$A,$B$110,商品数据源!$B:$B,EQ2)</f>
        <v>0</v>
      </c>
      <c r="ER115" s="115">
        <f>SUMIFS(商品数据源!$U:$U,商品数据源!$A:$A,$B$110,商品数据源!$B:$B,ER2)</f>
        <v>0</v>
      </c>
      <c r="ES115" s="115">
        <f>SUMIFS(商品数据源!$U:$U,商品数据源!$A:$A,$B$110,商品数据源!$B:$B,ES2)</f>
        <v>0</v>
      </c>
      <c r="ET115" s="115">
        <f>SUMIFS(商品数据源!$U:$U,商品数据源!$A:$A,$B$110,商品数据源!$B:$B,ET2)</f>
        <v>0</v>
      </c>
      <c r="EU115" s="115">
        <f>SUMIFS(商品数据源!$U:$U,商品数据源!$A:$A,$B$110,商品数据源!$B:$B,EU2)</f>
        <v>0</v>
      </c>
      <c r="EV115" s="115">
        <f>SUMIFS(商品数据源!$U:$U,商品数据源!$A:$A,$B$110,商品数据源!$B:$B,EV2)</f>
        <v>0</v>
      </c>
      <c r="EW115" s="115">
        <f>SUMIFS(商品数据源!$U:$U,商品数据源!$A:$A,$B$110,商品数据源!$B:$B,EW2)</f>
        <v>0</v>
      </c>
      <c r="EX115" s="115">
        <f>SUMIFS(商品数据源!$U:$U,商品数据源!$A:$A,$B$110,商品数据源!$B:$B,EX2)</f>
        <v>0</v>
      </c>
      <c r="EY115" s="115">
        <f>SUMIFS(商品数据源!$U:$U,商品数据源!$A:$A,$B$110,商品数据源!$B:$B,EY2)</f>
        <v>0</v>
      </c>
      <c r="EZ115" s="115">
        <f>SUMIFS(商品数据源!$U:$U,商品数据源!$A:$A,$B$110,商品数据源!$B:$B,EZ2)</f>
        <v>0</v>
      </c>
      <c r="FA115" s="115">
        <f>SUMIFS(商品数据源!$U:$U,商品数据源!$A:$A,$B$110,商品数据源!$B:$B,FA2)</f>
        <v>0</v>
      </c>
      <c r="FB115" s="115">
        <f>SUMIFS(商品数据源!$U:$U,商品数据源!$A:$A,$B$110,商品数据源!$B:$B,FB2)</f>
        <v>0</v>
      </c>
      <c r="FC115" s="115">
        <f>SUMIFS(商品数据源!$U:$U,商品数据源!$A:$A,$B$110,商品数据源!$B:$B,FC2)</f>
        <v>0</v>
      </c>
      <c r="FD115" s="115">
        <f>SUMIFS(商品数据源!$U:$U,商品数据源!$A:$A,$B$110,商品数据源!$B:$B,FD2)</f>
        <v>0</v>
      </c>
      <c r="FE115" s="115">
        <f>SUMIFS(商品数据源!$U:$U,商品数据源!$A:$A,$B$110,商品数据源!$B:$B,FE2)</f>
        <v>0</v>
      </c>
      <c r="FF115" s="115">
        <f>SUMIFS(商品数据源!$U:$U,商品数据源!$A:$A,$B$110,商品数据源!$B:$B,FF2)</f>
        <v>0</v>
      </c>
      <c r="FG115" s="115">
        <f>SUMIFS(商品数据源!$U:$U,商品数据源!$A:$A,$B$110,商品数据源!$B:$B,FG2)</f>
        <v>0</v>
      </c>
      <c r="FH115" s="115">
        <f>SUMIFS(商品数据源!$U:$U,商品数据源!$A:$A,$B$110,商品数据源!$B:$B,FH2)</f>
        <v>0</v>
      </c>
      <c r="FI115" s="115">
        <f>SUMIFS(商品数据源!$U:$U,商品数据源!$A:$A,$B$110,商品数据源!$B:$B,FI2)</f>
        <v>0</v>
      </c>
      <c r="FJ115" s="115">
        <f>SUMIFS(商品数据源!$U:$U,商品数据源!$A:$A,$B$110,商品数据源!$B:$B,FJ2)</f>
        <v>0</v>
      </c>
      <c r="FK115" s="115">
        <f>SUMIFS(商品数据源!$U:$U,商品数据源!$A:$A,$B$110,商品数据源!$B:$B,FK2)</f>
        <v>0</v>
      </c>
      <c r="FL115" s="115">
        <f>SUMIFS(商品数据源!$U:$U,商品数据源!$A:$A,$B$110,商品数据源!$B:$B,FL2)</f>
        <v>0</v>
      </c>
      <c r="FM115" s="115">
        <f>SUMIFS(商品数据源!$U:$U,商品数据源!$A:$A,$B$110,商品数据源!$B:$B,FM2)</f>
        <v>0</v>
      </c>
      <c r="FN115" s="115">
        <f>SUMIFS(商品数据源!$U:$U,商品数据源!$A:$A,$B$110,商品数据源!$B:$B,FN2)</f>
        <v>0</v>
      </c>
      <c r="FO115" s="115">
        <f>SUMIFS(商品数据源!$U:$U,商品数据源!$A:$A,$B$110,商品数据源!$B:$B,FO2)</f>
        <v>0</v>
      </c>
      <c r="FP115" s="115">
        <f>SUMIFS(商品数据源!$U:$U,商品数据源!$A:$A,$B$110,商品数据源!$B:$B,FP2)</f>
        <v>0</v>
      </c>
      <c r="FQ115" s="65">
        <f t="shared" ref="FQ115:FQ120" si="557">SUM(FR115:GX115)</f>
        <v>0</v>
      </c>
      <c r="FR115" s="115">
        <f>SUMIFS(商品数据源!$U:$U,商品数据源!$A:$A,$B$110,商品数据源!$B:$B,FR2)</f>
        <v>0</v>
      </c>
      <c r="FS115" s="115">
        <f>SUMIFS(商品数据源!$U:$U,商品数据源!$A:$A,$B$110,商品数据源!$B:$B,FS2)</f>
        <v>0</v>
      </c>
      <c r="FT115" s="115">
        <f>SUMIFS(商品数据源!$U:$U,商品数据源!$A:$A,$B$110,商品数据源!$B:$B,FT2)</f>
        <v>0</v>
      </c>
      <c r="FU115" s="115">
        <f>SUMIFS(商品数据源!$U:$U,商品数据源!$A:$A,$B$110,商品数据源!$B:$B,FU2)</f>
        <v>0</v>
      </c>
      <c r="FV115" s="115">
        <f>SUMIFS(商品数据源!$U:$U,商品数据源!$A:$A,$B$110,商品数据源!$B:$B,FV2)</f>
        <v>0</v>
      </c>
      <c r="FW115" s="115">
        <f>SUMIFS(商品数据源!$U:$U,商品数据源!$A:$A,$B$110,商品数据源!$B:$B,FW2)</f>
        <v>0</v>
      </c>
      <c r="FX115" s="115">
        <f>SUMIFS(商品数据源!$U:$U,商品数据源!$A:$A,$B$110,商品数据源!$B:$B,FX2)</f>
        <v>0</v>
      </c>
      <c r="FY115" s="115">
        <f>SUMIFS(商品数据源!$U:$U,商品数据源!$A:$A,$B$110,商品数据源!$B:$B,FY2)</f>
        <v>0</v>
      </c>
      <c r="FZ115" s="115">
        <f>SUMIFS(商品数据源!$U:$U,商品数据源!$A:$A,$B$110,商品数据源!$B:$B,FZ2)</f>
        <v>0</v>
      </c>
      <c r="GA115" s="115">
        <f>SUMIFS(商品数据源!$U:$U,商品数据源!$A:$A,$B$110,商品数据源!$B:$B,GA2)</f>
        <v>0</v>
      </c>
      <c r="GB115" s="115">
        <f>SUMIFS(商品数据源!$U:$U,商品数据源!$A:$A,$B$110,商品数据源!$B:$B,GB2)</f>
        <v>0</v>
      </c>
      <c r="GC115" s="115">
        <f>SUMIFS(商品数据源!$U:$U,商品数据源!$A:$A,$B$110,商品数据源!$B:$B,GC2)</f>
        <v>0</v>
      </c>
      <c r="GD115" s="115">
        <f>SUMIFS(商品数据源!$U:$U,商品数据源!$A:$A,$B$110,商品数据源!$B:$B,GD2)</f>
        <v>0</v>
      </c>
      <c r="GE115" s="115">
        <f>SUMIFS(商品数据源!$U:$U,商品数据源!$A:$A,$B$110,商品数据源!$B:$B,GE2)</f>
        <v>0</v>
      </c>
      <c r="GF115" s="115">
        <f>SUMIFS(商品数据源!$U:$U,商品数据源!$A:$A,$B$110,商品数据源!$B:$B,GF2)</f>
        <v>0</v>
      </c>
      <c r="GG115" s="115">
        <f>SUMIFS(商品数据源!$U:$U,商品数据源!$A:$A,$B$110,商品数据源!$B:$B,GG2)</f>
        <v>0</v>
      </c>
      <c r="GH115" s="115">
        <f>SUMIFS(商品数据源!$U:$U,商品数据源!$A:$A,$B$110,商品数据源!$B:$B,GH2)</f>
        <v>0</v>
      </c>
      <c r="GI115" s="115">
        <f>SUMIFS(商品数据源!$U:$U,商品数据源!$A:$A,$B$110,商品数据源!$B:$B,GI2)</f>
        <v>0</v>
      </c>
      <c r="GJ115" s="115">
        <f>SUMIFS(商品数据源!$U:$U,商品数据源!$A:$A,$B$110,商品数据源!$B:$B,GJ2)</f>
        <v>0</v>
      </c>
      <c r="GK115" s="115">
        <f>SUMIFS(商品数据源!$U:$U,商品数据源!$A:$A,$B$110,商品数据源!$B:$B,GK2)</f>
        <v>0</v>
      </c>
      <c r="GL115" s="115">
        <f>SUMIFS(商品数据源!$U:$U,商品数据源!$A:$A,$B$110,商品数据源!$B:$B,GL2)</f>
        <v>0</v>
      </c>
      <c r="GM115" s="115">
        <f>SUMIFS(商品数据源!$U:$U,商品数据源!$A:$A,$B$110,商品数据源!$B:$B,GM2)</f>
        <v>0</v>
      </c>
      <c r="GN115" s="115">
        <f>SUMIFS(商品数据源!$U:$U,商品数据源!$A:$A,$B$110,商品数据源!$B:$B,GN2)</f>
        <v>0</v>
      </c>
      <c r="GO115" s="115">
        <f>SUMIFS(商品数据源!$U:$U,商品数据源!$A:$A,$B$110,商品数据源!$B:$B,GO2)</f>
        <v>0</v>
      </c>
      <c r="GP115" s="115">
        <f>SUMIFS(商品数据源!$U:$U,商品数据源!$A:$A,$B$110,商品数据源!$B:$B,GP2)</f>
        <v>0</v>
      </c>
    </row>
    <row r="116" s="47" customFormat="1" ht="15" hidden="1" customHeight="1" spans="1:198">
      <c r="A116" s="48"/>
      <c r="B116" s="112"/>
      <c r="C116" s="113" t="s">
        <v>26</v>
      </c>
      <c r="D116" s="114" t="e">
        <f t="shared" si="547"/>
        <v>#REF!</v>
      </c>
      <c r="E116" s="115" t="e">
        <f>#REF!</f>
        <v>#REF!</v>
      </c>
      <c r="F116" s="115" t="e">
        <f>#REF!</f>
        <v>#REF!</v>
      </c>
      <c r="G116" s="115" t="e">
        <f>#REF!</f>
        <v>#REF!</v>
      </c>
      <c r="H116" s="115" t="e">
        <f>#REF!</f>
        <v>#REF!</v>
      </c>
      <c r="I116" s="115" t="e">
        <f>#REF!</f>
        <v>#REF!</v>
      </c>
      <c r="J116" s="115" t="e">
        <f>#REF!</f>
        <v>#REF!</v>
      </c>
      <c r="K116" s="115" t="e">
        <f>#REF!</f>
        <v>#REF!</v>
      </c>
      <c r="L116" s="115" t="e">
        <f>#REF!</f>
        <v>#REF!</v>
      </c>
      <c r="M116" s="115" t="e">
        <f>#REF!</f>
        <v>#REF!</v>
      </c>
      <c r="N116" s="115" t="e">
        <f>#REF!</f>
        <v>#REF!</v>
      </c>
      <c r="O116" s="115" t="e">
        <f>#REF!</f>
        <v>#REF!</v>
      </c>
      <c r="P116" s="115" t="e">
        <f>#REF!</f>
        <v>#REF!</v>
      </c>
      <c r="Q116" s="65">
        <f t="shared" si="548"/>
        <v>1424.3</v>
      </c>
      <c r="R116" s="115">
        <f>SUMIFS(商品数据源!$T:$T,商品数据源!$A:$A,$B$110,商品数据源!$B:$B,R2)</f>
        <v>0</v>
      </c>
      <c r="S116" s="115">
        <f>SUMIFS(商品数据源!$T:$T,商品数据源!$A:$A,$B$110,商品数据源!$B:$B,S2)</f>
        <v>0</v>
      </c>
      <c r="T116" s="115">
        <f>SUMIFS(商品数据源!$T:$T,商品数据源!$A:$A,$B$110,商品数据源!$B:$B,T2)</f>
        <v>0</v>
      </c>
      <c r="U116" s="115">
        <f>SUMIFS(商品数据源!$T:$T,商品数据源!$A:$A,$B$110,商品数据源!$B:$B,U2)</f>
        <v>0</v>
      </c>
      <c r="V116" s="115">
        <f>SUMIFS(商品数据源!$T:$T,商品数据源!$A:$A,$B$110,商品数据源!$B:$B,V2)</f>
        <v>0</v>
      </c>
      <c r="W116" s="115">
        <f>SUMIFS(商品数据源!$T:$T,商品数据源!$A:$A,$B$110,商品数据源!$B:$B,W2)</f>
        <v>0</v>
      </c>
      <c r="X116" s="115">
        <f>SUMIFS(商品数据源!$T:$T,商品数据源!$A:$A,$B$110,商品数据源!$B:$B,X2)</f>
        <v>0</v>
      </c>
      <c r="Y116" s="115">
        <f>SUMIFS(商品数据源!$T:$T,商品数据源!$A:$A,$B$110,商品数据源!$B:$B,Y2)</f>
        <v>0</v>
      </c>
      <c r="Z116" s="115">
        <f>SUMIFS(商品数据源!$T:$T,商品数据源!$A:$A,$B$110,商品数据源!$B:$B,Z2)</f>
        <v>0</v>
      </c>
      <c r="AA116" s="115">
        <f>SUMIFS(商品数据源!$T:$T,商品数据源!$A:$A,$B$110,商品数据源!$B:$B,AA2)</f>
        <v>0</v>
      </c>
      <c r="AB116" s="115">
        <f>SUMIFS(商品数据源!$T:$T,商品数据源!$A:$A,$B$110,商品数据源!$B:$B,AB2)</f>
        <v>508.3</v>
      </c>
      <c r="AC116" s="115">
        <f>SUMIFS(商品数据源!$T:$T,商品数据源!$A:$A,$B$110,商品数据源!$B:$B,AC2)</f>
        <v>0</v>
      </c>
      <c r="AD116" s="115">
        <f>SUMIFS(商品数据源!$T:$T,商品数据源!$A:$A,$B$110,商品数据源!$B:$B,AD2)</f>
        <v>0</v>
      </c>
      <c r="AE116" s="115">
        <f>SUMIFS(商品数据源!$T:$T,商品数据源!$A:$A,$B$110,商品数据源!$B:$B,AE2)</f>
        <v>339.15</v>
      </c>
      <c r="AF116" s="115">
        <f>SUMIFS(商品数据源!$T:$T,商品数据源!$A:$A,$B$110,商品数据源!$B:$B,AF2)</f>
        <v>0</v>
      </c>
      <c r="AG116" s="115">
        <f>SUMIFS(商品数据源!$T:$T,商品数据源!$A:$A,$B$110,商品数据源!$B:$B,AG2)</f>
        <v>0</v>
      </c>
      <c r="AH116" s="115">
        <f>SUMIFS(商品数据源!$T:$T,商品数据源!$A:$A,$B$110,商品数据源!$B:$B,AH2)</f>
        <v>0</v>
      </c>
      <c r="AI116" s="115">
        <f>SUMIFS(商品数据源!$T:$T,商品数据源!$A:$A,$B$110,商品数据源!$B:$B,AI2)</f>
        <v>576.85</v>
      </c>
      <c r="AJ116" s="115">
        <f>SUMIFS(商品数据源!$T:$T,商品数据源!$A:$A,$B$110,商品数据源!$B:$B,AJ2)</f>
        <v>0</v>
      </c>
      <c r="AK116" s="115">
        <f>SUMIFS(商品数据源!$T:$T,商品数据源!$A:$A,$B$110,商品数据源!$B:$B,AK2)</f>
        <v>0</v>
      </c>
      <c r="AL116" s="115">
        <f>SUMIFS(商品数据源!$T:$T,商品数据源!$A:$A,$B$110,商品数据源!$B:$B,AL2)</f>
        <v>0</v>
      </c>
      <c r="AM116" s="115">
        <f>SUMIFS(商品数据源!$T:$T,商品数据源!$A:$A,$B$110,商品数据源!$B:$B,AM2)</f>
        <v>0</v>
      </c>
      <c r="AN116" s="115">
        <f>SUMIFS(商品数据源!$T:$T,商品数据源!$A:$A,$B$110,商品数据源!$B:$B,AN2)</f>
        <v>0</v>
      </c>
      <c r="AO116" s="115">
        <f>SUMIFS(商品数据源!$T:$T,商品数据源!$A:$A,$B$110,商品数据源!$B:$B,AO2)</f>
        <v>0</v>
      </c>
      <c r="AP116" s="115">
        <f>SUMIFS(商品数据源!$T:$T,商品数据源!$A:$A,$B$110,商品数据源!$B:$B,AP2)</f>
        <v>0</v>
      </c>
      <c r="AQ116" s="115">
        <f>SUMIFS(商品数据源!$T:$T,商品数据源!$A:$A,$B$110,商品数据源!$B:$B,AQ2)</f>
        <v>0</v>
      </c>
      <c r="AR116" s="115">
        <f>SUMIFS(商品数据源!$T:$T,商品数据源!$A:$A,$B$110,商品数据源!$B:$B,AR2)</f>
        <v>0</v>
      </c>
      <c r="AS116" s="115">
        <f>SUMIFS(商品数据源!$T:$T,商品数据源!$A:$A,$B$110,商品数据源!$B:$B,AS2)</f>
        <v>0</v>
      </c>
      <c r="AT116" s="115">
        <f>SUMIFS(商品数据源!$T:$T,商品数据源!$A:$A,$B$110,商品数据源!$B:$B,AT2)</f>
        <v>0</v>
      </c>
      <c r="AU116" s="115">
        <f>SUMIFS(商品数据源!$T:$T,商品数据源!$A:$A,$B$110,商品数据源!$B:$B,AU2)</f>
        <v>0</v>
      </c>
      <c r="AV116" s="115">
        <f>SUMIFS(商品数据源!$T:$T,商品数据源!$A:$A,$B$110,商品数据源!$B:$B,AV2)</f>
        <v>0</v>
      </c>
      <c r="AW116" s="65">
        <f>SUM(AX116:BY116)</f>
        <v>0</v>
      </c>
      <c r="AX116" s="115">
        <f>SUMIFS(商品数据源!$T:$T,商品数据源!$A:$A,$B$110,商品数据源!$B:$B,AX2)</f>
        <v>0</v>
      </c>
      <c r="AY116" s="115">
        <f>SUMIFS(商品数据源!$T:$T,商品数据源!$A:$A,$B$110,商品数据源!$B:$B,AY2)</f>
        <v>0</v>
      </c>
      <c r="AZ116" s="115">
        <f>SUMIFS(商品数据源!$T:$T,商品数据源!$A:$A,$B$110,商品数据源!$B:$B,AZ2)</f>
        <v>0</v>
      </c>
      <c r="BA116" s="115">
        <f>SUMIFS(商品数据源!$T:$T,商品数据源!$A:$A,$B$110,商品数据源!$B:$B,BA2)</f>
        <v>0</v>
      </c>
      <c r="BB116" s="115">
        <f>SUMIFS(商品数据源!$T:$T,商品数据源!$A:$A,$B$110,商品数据源!$B:$B,BB2)</f>
        <v>0</v>
      </c>
      <c r="BC116" s="115">
        <f>SUMIFS(商品数据源!$T:$T,商品数据源!$A:$A,$B$110,商品数据源!$B:$B,BC2)</f>
        <v>0</v>
      </c>
      <c r="BD116" s="115">
        <f>SUMIFS(商品数据源!$T:$T,商品数据源!$A:$A,$B$110,商品数据源!$B:$B,BD2)</f>
        <v>0</v>
      </c>
      <c r="BE116" s="115">
        <f>SUMIFS(商品数据源!$T:$T,商品数据源!$A:$A,$B$110,商品数据源!$B:$B,BE2)</f>
        <v>0</v>
      </c>
      <c r="BF116" s="115">
        <f>SUMIFS(商品数据源!$T:$T,商品数据源!$A:$A,$B$110,商品数据源!$B:$B,BF2)</f>
        <v>0</v>
      </c>
      <c r="BG116" s="115">
        <f>SUMIFS(商品数据源!$T:$T,商品数据源!$A:$A,$B$110,商品数据源!$B:$B,BG2)</f>
        <v>0</v>
      </c>
      <c r="BH116" s="115">
        <f>SUMIFS(商品数据源!$T:$T,商品数据源!$A:$A,$B$110,商品数据源!$B:$B,BH2)</f>
        <v>0</v>
      </c>
      <c r="BI116" s="115">
        <f>SUMIFS(商品数据源!$T:$T,商品数据源!$A:$A,$B$110,商品数据源!$B:$B,BI2)</f>
        <v>0</v>
      </c>
      <c r="BJ116" s="115">
        <f>SUMIFS(商品数据源!$T:$T,商品数据源!$A:$A,$B$110,商品数据源!$B:$B,BJ2)</f>
        <v>0</v>
      </c>
      <c r="BK116" s="115">
        <f>SUMIFS(商品数据源!$T:$T,商品数据源!$A:$A,$B$110,商品数据源!$B:$B,BK2)</f>
        <v>0</v>
      </c>
      <c r="BL116" s="115">
        <f>SUMIFS(商品数据源!$T:$T,商品数据源!$A:$A,$B$110,商品数据源!$B:$B,BL2)</f>
        <v>0</v>
      </c>
      <c r="BM116" s="115">
        <f>SUMIFS(商品数据源!$T:$T,商品数据源!$A:$A,$B$110,商品数据源!$B:$B,BM2)</f>
        <v>0</v>
      </c>
      <c r="BN116" s="115">
        <f>SUMIFS(商品数据源!$T:$T,商品数据源!$A:$A,$B$110,商品数据源!$B:$B,BN2)</f>
        <v>0</v>
      </c>
      <c r="BO116" s="115">
        <f>SUMIFS(商品数据源!$T:$T,商品数据源!$A:$A,$B$110,商品数据源!$B:$B,BO2)</f>
        <v>0</v>
      </c>
      <c r="BP116" s="115">
        <f>SUMIFS(商品数据源!$T:$T,商品数据源!$A:$A,$B$110,商品数据源!$B:$B,BP2)</f>
        <v>0</v>
      </c>
      <c r="BQ116" s="115">
        <f>SUMIFS(商品数据源!$T:$T,商品数据源!$A:$A,$B$110,商品数据源!$B:$B,BQ2)</f>
        <v>0</v>
      </c>
      <c r="BR116" s="115">
        <f>SUMIFS(商品数据源!$T:$T,商品数据源!$A:$A,$B$110,商品数据源!$B:$B,BR2)</f>
        <v>0</v>
      </c>
      <c r="BS116" s="115">
        <f>SUMIFS(商品数据源!$T:$T,商品数据源!$A:$A,$B$110,商品数据源!$B:$B,BS2)</f>
        <v>0</v>
      </c>
      <c r="BT116" s="115">
        <f>SUMIFS(商品数据源!$T:$T,商品数据源!$A:$A,$B$110,商品数据源!$B:$B,BT2)</f>
        <v>0</v>
      </c>
      <c r="BU116" s="115">
        <f>SUMIFS(商品数据源!$T:$T,商品数据源!$A:$A,$B$110,商品数据源!$B:$B,BU2)</f>
        <v>0</v>
      </c>
      <c r="BV116" s="115">
        <f>SUMIFS(商品数据源!$T:$T,商品数据源!$A:$A,$B$110,商品数据源!$B:$B,BV2)</f>
        <v>0</v>
      </c>
      <c r="BW116" s="115">
        <f>SUMIFS(商品数据源!$T:$T,商品数据源!$A:$A,$B$110,商品数据源!$B:$B,BW2)</f>
        <v>0</v>
      </c>
      <c r="BX116" s="115">
        <f>SUMIFS(商品数据源!$T:$T,商品数据源!$A:$A,$B$110,商品数据源!$B:$B,BX2)</f>
        <v>0</v>
      </c>
      <c r="BY116" s="115">
        <f>SUMIFS(商品数据源!$T:$T,商品数据源!$A:$A,$B$110,商品数据源!$B:$B,BY2)</f>
        <v>0</v>
      </c>
      <c r="BZ116" s="65">
        <f>SUM(CA116:DE116)</f>
        <v>0</v>
      </c>
      <c r="CA116" s="115">
        <f>SUMIFS(商品数据源!$T:$T,商品数据源!$A:$A,$B$110,商品数据源!$B:$B,CA2)</f>
        <v>0</v>
      </c>
      <c r="CB116" s="115">
        <f>SUMIFS(商品数据源!$T:$T,商品数据源!$A:$A,$B$110,商品数据源!$B:$B,CB2)</f>
        <v>0</v>
      </c>
      <c r="CC116" s="115">
        <f>SUMIFS(商品数据源!$T:$T,商品数据源!$A:$A,$B$110,商品数据源!$B:$B,CC2)</f>
        <v>0</v>
      </c>
      <c r="CD116" s="115">
        <f>SUMIFS(商品数据源!$T:$T,商品数据源!$A:$A,$B$110,商品数据源!$B:$B,CD2)</f>
        <v>0</v>
      </c>
      <c r="CE116" s="115">
        <f>SUMIFS(商品数据源!$T:$T,商品数据源!$A:$A,$B$110,商品数据源!$B:$B,CE2)</f>
        <v>0</v>
      </c>
      <c r="CF116" s="115">
        <f>SUMIFS(商品数据源!$T:$T,商品数据源!$A:$A,$B$110,商品数据源!$B:$B,CF2)</f>
        <v>0</v>
      </c>
      <c r="CG116" s="115">
        <f>SUMIFS(商品数据源!$T:$T,商品数据源!$A:$A,$B$110,商品数据源!$B:$B,CG2)</f>
        <v>0</v>
      </c>
      <c r="CH116" s="115">
        <f>SUMIFS(商品数据源!$T:$T,商品数据源!$A:$A,$B$110,商品数据源!$B:$B,CH2)</f>
        <v>0</v>
      </c>
      <c r="CI116" s="115">
        <f>SUMIFS(商品数据源!$T:$T,商品数据源!$A:$A,$B$110,商品数据源!$B:$B,CI2)</f>
        <v>0</v>
      </c>
      <c r="CJ116" s="115">
        <f>SUMIFS(商品数据源!$T:$T,商品数据源!$A:$A,$B$110,商品数据源!$B:$B,CJ2)</f>
        <v>0</v>
      </c>
      <c r="CK116" s="115">
        <f>SUMIFS(商品数据源!$T:$T,商品数据源!$A:$A,$B$110,商品数据源!$B:$B,CK2)</f>
        <v>0</v>
      </c>
      <c r="CL116" s="115">
        <f>SUMIFS(商品数据源!$T:$T,商品数据源!$A:$A,$B$110,商品数据源!$B:$B,CL2)</f>
        <v>0</v>
      </c>
      <c r="CM116" s="115">
        <f>SUMIFS(商品数据源!$T:$T,商品数据源!$A:$A,$B$110,商品数据源!$B:$B,CM2)</f>
        <v>0</v>
      </c>
      <c r="CN116" s="115">
        <f>SUMIFS(商品数据源!$T:$T,商品数据源!$A:$A,$B$110,商品数据源!$B:$B,CN2)</f>
        <v>0</v>
      </c>
      <c r="CO116" s="115">
        <f>SUMIFS(商品数据源!$T:$T,商品数据源!$A:$A,$B$110,商品数据源!$B:$B,CO2)</f>
        <v>0</v>
      </c>
      <c r="CP116" s="115">
        <f>SUMIFS(商品数据源!$T:$T,商品数据源!$A:$A,$B$110,商品数据源!$B:$B,CP2)</f>
        <v>0</v>
      </c>
      <c r="CQ116" s="115">
        <f>SUMIFS(商品数据源!$T:$T,商品数据源!$A:$A,$B$110,商品数据源!$B:$B,CQ2)</f>
        <v>0</v>
      </c>
      <c r="CR116" s="115">
        <f>SUMIFS(商品数据源!$T:$T,商品数据源!$A:$A,$B$110,商品数据源!$B:$B,CR2)</f>
        <v>0</v>
      </c>
      <c r="CS116" s="115">
        <f>SUMIFS(商品数据源!$T:$T,商品数据源!$A:$A,$B$110,商品数据源!$B:$B,CS2)</f>
        <v>0</v>
      </c>
      <c r="CT116" s="115">
        <f>SUMIFS(商品数据源!$T:$T,商品数据源!$A:$A,$B$110,商品数据源!$B:$B,CT2)</f>
        <v>0</v>
      </c>
      <c r="CU116" s="115">
        <f>SUMIFS(商品数据源!$T:$T,商品数据源!$A:$A,$B$110,商品数据源!$B:$B,CU2)</f>
        <v>0</v>
      </c>
      <c r="CV116" s="115">
        <f>SUMIFS(商品数据源!$T:$T,商品数据源!$A:$A,$B$110,商品数据源!$B:$B,CV2)</f>
        <v>0</v>
      </c>
      <c r="CW116" s="115">
        <f>SUMIFS(商品数据源!$T:$T,商品数据源!$A:$A,$B$110,商品数据源!$B:$B,CW2)</f>
        <v>0</v>
      </c>
      <c r="CX116" s="115">
        <f>SUMIFS(商品数据源!$T:$T,商品数据源!$A:$A,$B$110,商品数据源!$B:$B,CX2)</f>
        <v>0</v>
      </c>
      <c r="CY116" s="115">
        <f>SUMIFS(商品数据源!$T:$T,商品数据源!$A:$A,$B$110,商品数据源!$B:$B,CY2)</f>
        <v>0</v>
      </c>
      <c r="CZ116" s="115">
        <f>SUMIFS(商品数据源!$T:$T,商品数据源!$A:$A,$B$110,商品数据源!$B:$B,CZ2)</f>
        <v>0</v>
      </c>
      <c r="DA116" s="115">
        <f>SUMIFS(商品数据源!$T:$T,商品数据源!$A:$A,$B$110,商品数据源!$B:$B,DA2)</f>
        <v>0</v>
      </c>
      <c r="DB116" s="115">
        <f>SUMIFS(商品数据源!$T:$T,商品数据源!$A:$A,$B$110,商品数据源!$B:$B,DB2)</f>
        <v>0</v>
      </c>
      <c r="DC116" s="115">
        <f>SUMIFS(商品数据源!$T:$T,商品数据源!$A:$A,$B$110,商品数据源!$B:$B,DC2)</f>
        <v>0</v>
      </c>
      <c r="DD116" s="115">
        <f>SUMIFS(商品数据源!$T:$T,商品数据源!$A:$A,$B$110,商品数据源!$B:$B,DD2)</f>
        <v>0</v>
      </c>
      <c r="DE116" s="115">
        <f>SUMIFS(商品数据源!$T:$T,商品数据源!$A:$A,$B$110,商品数据源!$B:$B,DE2)</f>
        <v>0</v>
      </c>
      <c r="DF116" s="65">
        <f>SUM(DG116:EJ116)</f>
        <v>0</v>
      </c>
      <c r="DG116" s="115">
        <f>SUMIFS(商品数据源!$T:$T,商品数据源!$A:$A,$B$110,商品数据源!$B:$B,DG2)</f>
        <v>0</v>
      </c>
      <c r="DH116" s="115">
        <f>SUMIFS(商品数据源!$T:$T,商品数据源!$A:$A,$B$110,商品数据源!$B:$B,DH2)</f>
        <v>0</v>
      </c>
      <c r="DI116" s="115">
        <f>SUMIFS(商品数据源!$T:$T,商品数据源!$A:$A,$B$110,商品数据源!$B:$B,DI2)</f>
        <v>0</v>
      </c>
      <c r="DJ116" s="115">
        <f>SUMIFS(商品数据源!$T:$T,商品数据源!$A:$A,$B$110,商品数据源!$B:$B,DJ2)</f>
        <v>0</v>
      </c>
      <c r="DK116" s="115">
        <f>SUMIFS(商品数据源!$T:$T,商品数据源!$A:$A,$B$110,商品数据源!$B:$B,DK2)</f>
        <v>0</v>
      </c>
      <c r="DL116" s="115">
        <f>SUMIFS(商品数据源!$T:$T,商品数据源!$A:$A,$B$110,商品数据源!$B:$B,DL2)</f>
        <v>0</v>
      </c>
      <c r="DM116" s="115">
        <f>SUMIFS(商品数据源!$T:$T,商品数据源!$A:$A,$B$110,商品数据源!$B:$B,DM2)</f>
        <v>0</v>
      </c>
      <c r="DN116" s="115">
        <f>SUMIFS(商品数据源!$T:$T,商品数据源!$A:$A,$B$110,商品数据源!$B:$B,DN2)</f>
        <v>0</v>
      </c>
      <c r="DO116" s="115">
        <f>SUMIFS(商品数据源!$T:$T,商品数据源!$A:$A,$B$110,商品数据源!$B:$B,DO2)</f>
        <v>0</v>
      </c>
      <c r="DP116" s="115">
        <f>SUMIFS(商品数据源!$T:$T,商品数据源!$A:$A,$B$110,商品数据源!$B:$B,DP2)</f>
        <v>0</v>
      </c>
      <c r="DQ116" s="115">
        <f>SUMIFS(商品数据源!$T:$T,商品数据源!$A:$A,$B$110,商品数据源!$B:$B,DQ2)</f>
        <v>0</v>
      </c>
      <c r="DR116" s="115">
        <f>SUMIFS(商品数据源!$T:$T,商品数据源!$A:$A,$B$110,商品数据源!$B:$B,DR2)</f>
        <v>0</v>
      </c>
      <c r="DS116" s="115">
        <f>SUMIFS(商品数据源!$T:$T,商品数据源!$A:$A,$B$110,商品数据源!$B:$B,DS2)</f>
        <v>0</v>
      </c>
      <c r="DT116" s="115">
        <f>SUMIFS(商品数据源!$T:$T,商品数据源!$A:$A,$B$110,商品数据源!$B:$B,DT2)</f>
        <v>0</v>
      </c>
      <c r="DU116" s="115">
        <f>SUMIFS(商品数据源!$T:$T,商品数据源!$A:$A,$B$110,商品数据源!$B:$B,DU2)</f>
        <v>0</v>
      </c>
      <c r="DV116" s="115">
        <f>SUMIFS(商品数据源!$T:$T,商品数据源!$A:$A,$B$110,商品数据源!$B:$B,DV2)</f>
        <v>0</v>
      </c>
      <c r="DW116" s="115">
        <f>SUMIFS(商品数据源!$T:$T,商品数据源!$A:$A,$B$110,商品数据源!$B:$B,DW2)</f>
        <v>0</v>
      </c>
      <c r="DX116" s="115">
        <f>SUMIFS(商品数据源!$T:$T,商品数据源!$A:$A,$B$110,商品数据源!$B:$B,DX2)</f>
        <v>0</v>
      </c>
      <c r="DY116" s="115">
        <f>SUMIFS(商品数据源!$T:$T,商品数据源!$A:$A,$B$110,商品数据源!$B:$B,DY2)</f>
        <v>0</v>
      </c>
      <c r="DZ116" s="115">
        <f>SUMIFS(商品数据源!$T:$T,商品数据源!$A:$A,$B$110,商品数据源!$B:$B,DZ2)</f>
        <v>0</v>
      </c>
      <c r="EA116" s="115">
        <f>SUMIFS(商品数据源!$T:$T,商品数据源!$A:$A,$B$110,商品数据源!$B:$B,EA2)</f>
        <v>0</v>
      </c>
      <c r="EB116" s="115">
        <f>SUMIFS(商品数据源!$T:$T,商品数据源!$A:$A,$B$110,商品数据源!$B:$B,EB2)</f>
        <v>0</v>
      </c>
      <c r="EC116" s="115">
        <f>SUMIFS(商品数据源!$T:$T,商品数据源!$A:$A,$B$110,商品数据源!$B:$B,EC2)</f>
        <v>0</v>
      </c>
      <c r="ED116" s="115">
        <f>SUMIFS(商品数据源!$T:$T,商品数据源!$A:$A,$B$110,商品数据源!$B:$B,ED2)</f>
        <v>0</v>
      </c>
      <c r="EE116" s="115">
        <f>SUMIFS(商品数据源!$T:$T,商品数据源!$A:$A,$B$110,商品数据源!$B:$B,EE2)</f>
        <v>0</v>
      </c>
      <c r="EF116" s="115">
        <f>SUMIFS(商品数据源!$T:$T,商品数据源!$A:$A,$B$110,商品数据源!$B:$B,EF2)</f>
        <v>0</v>
      </c>
      <c r="EG116" s="115">
        <f>SUMIFS(商品数据源!$T:$T,商品数据源!$A:$A,$B$110,商品数据源!$B:$B,EG2)</f>
        <v>0</v>
      </c>
      <c r="EH116" s="115">
        <f>SUMIFS(商品数据源!$T:$T,商品数据源!$A:$A,$B$110,商品数据源!$B:$B,EH2)</f>
        <v>0</v>
      </c>
      <c r="EI116" s="115">
        <f>SUMIFS(商品数据源!$T:$T,商品数据源!$A:$A,$B$110,商品数据源!$B:$B,EI2)</f>
        <v>0</v>
      </c>
      <c r="EJ116" s="115">
        <f>SUMIFS(商品数据源!$T:$T,商品数据源!$A:$A,$B$110,商品数据源!$B:$B,EJ2)</f>
        <v>0</v>
      </c>
      <c r="EK116" s="65">
        <f>SUM(EL116:FP116)</f>
        <v>0</v>
      </c>
      <c r="EL116" s="115">
        <f>SUMIFS(商品数据源!$T:$T,商品数据源!$A:$A,$B$110,商品数据源!$B:$B,EL2)</f>
        <v>0</v>
      </c>
      <c r="EM116" s="115">
        <f>SUMIFS(商品数据源!$T:$T,商品数据源!$A:$A,$B$110,商品数据源!$B:$B,EM2)</f>
        <v>0</v>
      </c>
      <c r="EN116" s="115">
        <f>SUMIFS(商品数据源!$T:$T,商品数据源!$A:$A,$B$110,商品数据源!$B:$B,EN2)</f>
        <v>0</v>
      </c>
      <c r="EO116" s="115">
        <f>SUMIFS(商品数据源!$T:$T,商品数据源!$A:$A,$B$110,商品数据源!$B:$B,EO2)</f>
        <v>0</v>
      </c>
      <c r="EP116" s="115">
        <f>SUMIFS(商品数据源!$T:$T,商品数据源!$A:$A,$B$110,商品数据源!$B:$B,EP2)</f>
        <v>0</v>
      </c>
      <c r="EQ116" s="115">
        <f>SUMIFS(商品数据源!$T:$T,商品数据源!$A:$A,$B$110,商品数据源!$B:$B,EQ2)</f>
        <v>0</v>
      </c>
      <c r="ER116" s="115">
        <f>SUMIFS(商品数据源!$T:$T,商品数据源!$A:$A,$B$110,商品数据源!$B:$B,ER2)</f>
        <v>0</v>
      </c>
      <c r="ES116" s="115">
        <f>SUMIFS(商品数据源!$T:$T,商品数据源!$A:$A,$B$110,商品数据源!$B:$B,ES2)</f>
        <v>0</v>
      </c>
      <c r="ET116" s="115">
        <f>SUMIFS(商品数据源!$T:$T,商品数据源!$A:$A,$B$110,商品数据源!$B:$B,ET2)</f>
        <v>0</v>
      </c>
      <c r="EU116" s="115">
        <f>SUMIFS(商品数据源!$T:$T,商品数据源!$A:$A,$B$110,商品数据源!$B:$B,EU2)</f>
        <v>0</v>
      </c>
      <c r="EV116" s="115">
        <f>SUMIFS(商品数据源!$T:$T,商品数据源!$A:$A,$B$110,商品数据源!$B:$B,EV2)</f>
        <v>0</v>
      </c>
      <c r="EW116" s="115">
        <f>SUMIFS(商品数据源!$T:$T,商品数据源!$A:$A,$B$110,商品数据源!$B:$B,EW2)</f>
        <v>0</v>
      </c>
      <c r="EX116" s="115">
        <f>SUMIFS(商品数据源!$T:$T,商品数据源!$A:$A,$B$110,商品数据源!$B:$B,EX2)</f>
        <v>0</v>
      </c>
      <c r="EY116" s="115">
        <f>SUMIFS(商品数据源!$T:$T,商品数据源!$A:$A,$B$110,商品数据源!$B:$B,EY2)</f>
        <v>0</v>
      </c>
      <c r="EZ116" s="115">
        <f>SUMIFS(商品数据源!$T:$T,商品数据源!$A:$A,$B$110,商品数据源!$B:$B,EZ2)</f>
        <v>0</v>
      </c>
      <c r="FA116" s="115">
        <f>SUMIFS(商品数据源!$T:$T,商品数据源!$A:$A,$B$110,商品数据源!$B:$B,FA2)</f>
        <v>0</v>
      </c>
      <c r="FB116" s="115">
        <f>SUMIFS(商品数据源!$T:$T,商品数据源!$A:$A,$B$110,商品数据源!$B:$B,FB2)</f>
        <v>0</v>
      </c>
      <c r="FC116" s="115">
        <f>SUMIFS(商品数据源!$T:$T,商品数据源!$A:$A,$B$110,商品数据源!$B:$B,FC2)</f>
        <v>0</v>
      </c>
      <c r="FD116" s="115">
        <f>SUMIFS(商品数据源!$T:$T,商品数据源!$A:$A,$B$110,商品数据源!$B:$B,FD2)</f>
        <v>0</v>
      </c>
      <c r="FE116" s="115">
        <f>SUMIFS(商品数据源!$T:$T,商品数据源!$A:$A,$B$110,商品数据源!$B:$B,FE2)</f>
        <v>0</v>
      </c>
      <c r="FF116" s="115">
        <f>SUMIFS(商品数据源!$T:$T,商品数据源!$A:$A,$B$110,商品数据源!$B:$B,FF2)</f>
        <v>0</v>
      </c>
      <c r="FG116" s="115">
        <f>SUMIFS(商品数据源!$T:$T,商品数据源!$A:$A,$B$110,商品数据源!$B:$B,FG2)</f>
        <v>0</v>
      </c>
      <c r="FH116" s="115">
        <f>SUMIFS(商品数据源!$T:$T,商品数据源!$A:$A,$B$110,商品数据源!$B:$B,FH2)</f>
        <v>0</v>
      </c>
      <c r="FI116" s="115">
        <f>SUMIFS(商品数据源!$T:$T,商品数据源!$A:$A,$B$110,商品数据源!$B:$B,FI2)</f>
        <v>0</v>
      </c>
      <c r="FJ116" s="115">
        <f>SUMIFS(商品数据源!$T:$T,商品数据源!$A:$A,$B$110,商品数据源!$B:$B,FJ2)</f>
        <v>0</v>
      </c>
      <c r="FK116" s="115">
        <f>SUMIFS(商品数据源!$T:$T,商品数据源!$A:$A,$B$110,商品数据源!$B:$B,FK2)</f>
        <v>0</v>
      </c>
      <c r="FL116" s="115">
        <f>SUMIFS(商品数据源!$T:$T,商品数据源!$A:$A,$B$110,商品数据源!$B:$B,FL2)</f>
        <v>0</v>
      </c>
      <c r="FM116" s="115">
        <f>SUMIFS(商品数据源!$T:$T,商品数据源!$A:$A,$B$110,商品数据源!$B:$B,FM2)</f>
        <v>0</v>
      </c>
      <c r="FN116" s="115">
        <f>SUMIFS(商品数据源!$T:$T,商品数据源!$A:$A,$B$110,商品数据源!$B:$B,FN2)</f>
        <v>0</v>
      </c>
      <c r="FO116" s="115">
        <f>SUMIFS(商品数据源!$T:$T,商品数据源!$A:$A,$B$110,商品数据源!$B:$B,FO2)</f>
        <v>0</v>
      </c>
      <c r="FP116" s="115">
        <f>SUMIFS(商品数据源!$T:$T,商品数据源!$A:$A,$B$110,商品数据源!$B:$B,FP2)</f>
        <v>0</v>
      </c>
      <c r="FQ116" s="65">
        <f t="shared" si="557"/>
        <v>0</v>
      </c>
      <c r="FR116" s="115">
        <f>SUMIFS(商品数据源!$T:$T,商品数据源!$A:$A,$B$110,商品数据源!$B:$B,FR2)</f>
        <v>0</v>
      </c>
      <c r="FS116" s="115">
        <f>SUMIFS(商品数据源!$T:$T,商品数据源!$A:$A,$B$110,商品数据源!$B:$B,FS2)</f>
        <v>0</v>
      </c>
      <c r="FT116" s="115">
        <f>SUMIFS(商品数据源!$T:$T,商品数据源!$A:$A,$B$110,商品数据源!$B:$B,FT2)</f>
        <v>0</v>
      </c>
      <c r="FU116" s="115">
        <f>SUMIFS(商品数据源!$T:$T,商品数据源!$A:$A,$B$110,商品数据源!$B:$B,FU2)</f>
        <v>0</v>
      </c>
      <c r="FV116" s="115">
        <f>SUMIFS(商品数据源!$T:$T,商品数据源!$A:$A,$B$110,商品数据源!$B:$B,FV2)</f>
        <v>0</v>
      </c>
      <c r="FW116" s="115">
        <f>SUMIFS(商品数据源!$T:$T,商品数据源!$A:$A,$B$110,商品数据源!$B:$B,FW2)</f>
        <v>0</v>
      </c>
      <c r="FX116" s="115">
        <f>SUMIFS(商品数据源!$T:$T,商品数据源!$A:$A,$B$110,商品数据源!$B:$B,FX2)</f>
        <v>0</v>
      </c>
      <c r="FY116" s="115">
        <f>SUMIFS(商品数据源!$T:$T,商品数据源!$A:$A,$B$110,商品数据源!$B:$B,FY2)</f>
        <v>0</v>
      </c>
      <c r="FZ116" s="115">
        <f>SUMIFS(商品数据源!$T:$T,商品数据源!$A:$A,$B$110,商品数据源!$B:$B,FZ2)</f>
        <v>0</v>
      </c>
      <c r="GA116" s="115">
        <f>SUMIFS(商品数据源!$T:$T,商品数据源!$A:$A,$B$110,商品数据源!$B:$B,GA2)</f>
        <v>0</v>
      </c>
      <c r="GB116" s="115">
        <f>SUMIFS(商品数据源!$T:$T,商品数据源!$A:$A,$B$110,商品数据源!$B:$B,GB2)</f>
        <v>0</v>
      </c>
      <c r="GC116" s="115">
        <f>SUMIFS(商品数据源!$T:$T,商品数据源!$A:$A,$B$110,商品数据源!$B:$B,GC2)</f>
        <v>0</v>
      </c>
      <c r="GD116" s="115">
        <f>SUMIFS(商品数据源!$T:$T,商品数据源!$A:$A,$B$110,商品数据源!$B:$B,GD2)</f>
        <v>0</v>
      </c>
      <c r="GE116" s="115">
        <f>SUMIFS(商品数据源!$T:$T,商品数据源!$A:$A,$B$110,商品数据源!$B:$B,GE2)</f>
        <v>0</v>
      </c>
      <c r="GF116" s="115">
        <f>SUMIFS(商品数据源!$T:$T,商品数据源!$A:$A,$B$110,商品数据源!$B:$B,GF2)</f>
        <v>0</v>
      </c>
      <c r="GG116" s="115">
        <f>SUMIFS(商品数据源!$T:$T,商品数据源!$A:$A,$B$110,商品数据源!$B:$B,GG2)</f>
        <v>0</v>
      </c>
      <c r="GH116" s="115">
        <f>SUMIFS(商品数据源!$T:$T,商品数据源!$A:$A,$B$110,商品数据源!$B:$B,GH2)</f>
        <v>0</v>
      </c>
      <c r="GI116" s="115">
        <f>SUMIFS(商品数据源!$T:$T,商品数据源!$A:$A,$B$110,商品数据源!$B:$B,GI2)</f>
        <v>0</v>
      </c>
      <c r="GJ116" s="115">
        <f>SUMIFS(商品数据源!$T:$T,商品数据源!$A:$A,$B$110,商品数据源!$B:$B,GJ2)</f>
        <v>0</v>
      </c>
      <c r="GK116" s="115">
        <f>SUMIFS(商品数据源!$T:$T,商品数据源!$A:$A,$B$110,商品数据源!$B:$B,GK2)</f>
        <v>0</v>
      </c>
      <c r="GL116" s="115">
        <f>SUMIFS(商品数据源!$T:$T,商品数据源!$A:$A,$B$110,商品数据源!$B:$B,GL2)</f>
        <v>0</v>
      </c>
      <c r="GM116" s="115">
        <f>SUMIFS(商品数据源!$T:$T,商品数据源!$A:$A,$B$110,商品数据源!$B:$B,GM2)</f>
        <v>0</v>
      </c>
      <c r="GN116" s="115">
        <f>SUMIFS(商品数据源!$T:$T,商品数据源!$A:$A,$B$110,商品数据源!$B:$B,GN2)</f>
        <v>0</v>
      </c>
      <c r="GO116" s="115">
        <f>SUMIFS(商品数据源!$T:$T,商品数据源!$A:$A,$B$110,商品数据源!$B:$B,GO2)</f>
        <v>0</v>
      </c>
      <c r="GP116" s="115">
        <f>SUMIFS(商品数据源!$T:$T,商品数据源!$A:$A,$B$110,商品数据源!$B:$B,GP2)</f>
        <v>0</v>
      </c>
    </row>
    <row r="117" s="47" customFormat="1" ht="15" hidden="1" customHeight="1" spans="1:198">
      <c r="A117" s="48"/>
      <c r="B117" s="112"/>
      <c r="C117" s="113" t="s">
        <v>14</v>
      </c>
      <c r="D117" s="119" t="e">
        <f>D116/D110</f>
        <v>#REF!</v>
      </c>
      <c r="E117" s="117" t="e">
        <f>E116/E110</f>
        <v>#REF!</v>
      </c>
      <c r="F117" s="117" t="e">
        <f>F116/F110</f>
        <v>#REF!</v>
      </c>
      <c r="G117" s="117" t="e">
        <f>G116/G110</f>
        <v>#REF!</v>
      </c>
      <c r="H117" s="117" t="e">
        <f t="shared" ref="H117:V117" si="558">H116/H110</f>
        <v>#REF!</v>
      </c>
      <c r="I117" s="117" t="e">
        <f t="shared" si="558"/>
        <v>#REF!</v>
      </c>
      <c r="J117" s="117" t="e">
        <f t="shared" si="558"/>
        <v>#REF!</v>
      </c>
      <c r="K117" s="117" t="e">
        <f t="shared" si="558"/>
        <v>#REF!</v>
      </c>
      <c r="L117" s="117" t="e">
        <f t="shared" si="558"/>
        <v>#REF!</v>
      </c>
      <c r="M117" s="117" t="e">
        <f t="shared" si="558"/>
        <v>#REF!</v>
      </c>
      <c r="N117" s="117" t="e">
        <f t="shared" si="558"/>
        <v>#REF!</v>
      </c>
      <c r="O117" s="117" t="e">
        <f t="shared" si="558"/>
        <v>#REF!</v>
      </c>
      <c r="P117" s="117" t="e">
        <f t="shared" si="558"/>
        <v>#REF!</v>
      </c>
      <c r="Q117" s="70">
        <f t="shared" si="558"/>
        <v>0.872818413569958</v>
      </c>
      <c r="R117" s="117">
        <f t="shared" si="558"/>
        <v>0</v>
      </c>
      <c r="S117" s="117">
        <f t="shared" ref="S117:AL117" si="559">S116/S110</f>
        <v>0</v>
      </c>
      <c r="T117" s="117">
        <f t="shared" si="559"/>
        <v>0</v>
      </c>
      <c r="U117" s="117">
        <f t="shared" si="559"/>
        <v>0</v>
      </c>
      <c r="V117" s="117">
        <f t="shared" si="559"/>
        <v>0</v>
      </c>
      <c r="W117" s="117">
        <f t="shared" si="559"/>
        <v>0</v>
      </c>
      <c r="X117" s="117">
        <f t="shared" si="559"/>
        <v>0</v>
      </c>
      <c r="Y117" s="117">
        <f t="shared" si="559"/>
        <v>0</v>
      </c>
      <c r="Z117" s="117">
        <f t="shared" si="559"/>
        <v>0</v>
      </c>
      <c r="AA117" s="117">
        <f t="shared" si="559"/>
        <v>0</v>
      </c>
      <c r="AB117" s="117">
        <f t="shared" si="559"/>
        <v>5.083</v>
      </c>
      <c r="AC117" s="117">
        <f t="shared" si="559"/>
        <v>0</v>
      </c>
      <c r="AD117" s="117">
        <f t="shared" si="559"/>
        <v>0</v>
      </c>
      <c r="AE117" s="117">
        <f t="shared" si="559"/>
        <v>3.54870775347912</v>
      </c>
      <c r="AF117" s="117">
        <f t="shared" si="559"/>
        <v>0</v>
      </c>
      <c r="AG117" s="117">
        <f t="shared" si="559"/>
        <v>0</v>
      </c>
      <c r="AH117" s="117">
        <f t="shared" si="559"/>
        <v>0</v>
      </c>
      <c r="AI117" s="117">
        <f t="shared" si="559"/>
        <v>6.37755666113875</v>
      </c>
      <c r="AJ117" s="117">
        <f t="shared" si="559"/>
        <v>0</v>
      </c>
      <c r="AK117" s="117">
        <f t="shared" si="559"/>
        <v>0</v>
      </c>
      <c r="AL117" s="117">
        <f t="shared" ref="AL117:BH117" si="560">AL116/AL110</f>
        <v>0</v>
      </c>
      <c r="AM117" s="117">
        <f t="shared" si="560"/>
        <v>0</v>
      </c>
      <c r="AN117" s="117">
        <f t="shared" si="560"/>
        <v>0</v>
      </c>
      <c r="AO117" s="117">
        <f t="shared" si="560"/>
        <v>0</v>
      </c>
      <c r="AP117" s="117">
        <f t="shared" si="560"/>
        <v>0</v>
      </c>
      <c r="AQ117" s="117">
        <f t="shared" si="560"/>
        <v>0</v>
      </c>
      <c r="AR117" s="117">
        <f t="shared" si="560"/>
        <v>0</v>
      </c>
      <c r="AS117" s="117">
        <f t="shared" si="560"/>
        <v>0</v>
      </c>
      <c r="AT117" s="117">
        <f t="shared" si="560"/>
        <v>0</v>
      </c>
      <c r="AU117" s="117">
        <f t="shared" si="560"/>
        <v>0</v>
      </c>
      <c r="AV117" s="117">
        <f t="shared" si="560"/>
        <v>0</v>
      </c>
      <c r="AW117" s="70">
        <f t="shared" si="560"/>
        <v>0</v>
      </c>
      <c r="AX117" s="117">
        <f t="shared" si="560"/>
        <v>0</v>
      </c>
      <c r="AY117" s="117">
        <f t="shared" si="560"/>
        <v>0</v>
      </c>
      <c r="AZ117" s="117">
        <f t="shared" si="560"/>
        <v>0</v>
      </c>
      <c r="BA117" s="117" t="e">
        <f t="shared" si="560"/>
        <v>#DIV/0!</v>
      </c>
      <c r="BB117" s="117" t="e">
        <f t="shared" si="560"/>
        <v>#DIV/0!</v>
      </c>
      <c r="BC117" s="117" t="e">
        <f t="shared" si="560"/>
        <v>#DIV/0!</v>
      </c>
      <c r="BD117" s="117" t="e">
        <f t="shared" si="560"/>
        <v>#DIV/0!</v>
      </c>
      <c r="BE117" s="117" t="e">
        <f t="shared" si="560"/>
        <v>#DIV/0!</v>
      </c>
      <c r="BF117" s="117" t="e">
        <f t="shared" si="560"/>
        <v>#DIV/0!</v>
      </c>
      <c r="BG117" s="117" t="e">
        <f t="shared" si="560"/>
        <v>#DIV/0!</v>
      </c>
      <c r="BH117" s="117" t="e">
        <f t="shared" si="560"/>
        <v>#DIV/0!</v>
      </c>
      <c r="BI117" s="117" t="e">
        <f t="shared" ref="BI117:BW117" si="561">BI116/BI110</f>
        <v>#DIV/0!</v>
      </c>
      <c r="BJ117" s="117" t="e">
        <f t="shared" si="561"/>
        <v>#DIV/0!</v>
      </c>
      <c r="BK117" s="117" t="e">
        <f t="shared" si="561"/>
        <v>#DIV/0!</v>
      </c>
      <c r="BL117" s="117" t="e">
        <f t="shared" si="561"/>
        <v>#DIV/0!</v>
      </c>
      <c r="BM117" s="117" t="e">
        <f t="shared" si="561"/>
        <v>#DIV/0!</v>
      </c>
      <c r="BN117" s="117" t="e">
        <f t="shared" si="561"/>
        <v>#DIV/0!</v>
      </c>
      <c r="BO117" s="117" t="e">
        <f t="shared" si="561"/>
        <v>#DIV/0!</v>
      </c>
      <c r="BP117" s="117" t="e">
        <f t="shared" si="561"/>
        <v>#DIV/0!</v>
      </c>
      <c r="BQ117" s="117" t="e">
        <f t="shared" si="561"/>
        <v>#DIV/0!</v>
      </c>
      <c r="BR117" s="117" t="e">
        <f t="shared" si="561"/>
        <v>#DIV/0!</v>
      </c>
      <c r="BS117" s="117" t="e">
        <f t="shared" si="561"/>
        <v>#DIV/0!</v>
      </c>
      <c r="BT117" s="117" t="e">
        <f t="shared" si="561"/>
        <v>#DIV/0!</v>
      </c>
      <c r="BU117" s="117" t="e">
        <f t="shared" si="561"/>
        <v>#DIV/0!</v>
      </c>
      <c r="BV117" s="117" t="e">
        <f t="shared" si="561"/>
        <v>#DIV/0!</v>
      </c>
      <c r="BW117" s="117" t="e">
        <f t="shared" si="561"/>
        <v>#DIV/0!</v>
      </c>
      <c r="BX117" s="117" t="e">
        <f t="shared" ref="BX117:CH117" si="562">BX116/BX110</f>
        <v>#DIV/0!</v>
      </c>
      <c r="BY117" s="117" t="e">
        <f t="shared" si="562"/>
        <v>#DIV/0!</v>
      </c>
      <c r="BZ117" s="70" t="e">
        <f t="shared" si="562"/>
        <v>#DIV/0!</v>
      </c>
      <c r="CA117" s="117" t="e">
        <f t="shared" si="562"/>
        <v>#DIV/0!</v>
      </c>
      <c r="CB117" s="117" t="e">
        <f t="shared" si="562"/>
        <v>#DIV/0!</v>
      </c>
      <c r="CC117" s="117" t="e">
        <f t="shared" si="562"/>
        <v>#DIV/0!</v>
      </c>
      <c r="CD117" s="117" t="e">
        <f t="shared" si="562"/>
        <v>#DIV/0!</v>
      </c>
      <c r="CE117" s="117" t="e">
        <f t="shared" si="562"/>
        <v>#DIV/0!</v>
      </c>
      <c r="CF117" s="117" t="e">
        <f t="shared" si="562"/>
        <v>#DIV/0!</v>
      </c>
      <c r="CG117" s="117" t="e">
        <f t="shared" si="562"/>
        <v>#DIV/0!</v>
      </c>
      <c r="CH117" s="117" t="e">
        <f t="shared" si="562"/>
        <v>#DIV/0!</v>
      </c>
      <c r="CI117" s="117" t="e">
        <f t="shared" ref="CI117:EH117" si="563">CI116/CI110</f>
        <v>#DIV/0!</v>
      </c>
      <c r="CJ117" s="117" t="e">
        <f t="shared" si="563"/>
        <v>#DIV/0!</v>
      </c>
      <c r="CK117" s="117" t="e">
        <f t="shared" si="563"/>
        <v>#DIV/0!</v>
      </c>
      <c r="CL117" s="117" t="e">
        <f t="shared" si="563"/>
        <v>#DIV/0!</v>
      </c>
      <c r="CM117" s="117" t="e">
        <f t="shared" si="563"/>
        <v>#DIV/0!</v>
      </c>
      <c r="CN117" s="117" t="e">
        <f t="shared" si="563"/>
        <v>#DIV/0!</v>
      </c>
      <c r="CO117" s="117" t="e">
        <f t="shared" si="563"/>
        <v>#DIV/0!</v>
      </c>
      <c r="CP117" s="117" t="e">
        <f t="shared" si="563"/>
        <v>#DIV/0!</v>
      </c>
      <c r="CQ117" s="117" t="e">
        <f t="shared" si="563"/>
        <v>#DIV/0!</v>
      </c>
      <c r="CR117" s="117" t="e">
        <f t="shared" si="563"/>
        <v>#DIV/0!</v>
      </c>
      <c r="CS117" s="117" t="e">
        <f t="shared" si="563"/>
        <v>#DIV/0!</v>
      </c>
      <c r="CT117" s="117" t="e">
        <f t="shared" si="563"/>
        <v>#DIV/0!</v>
      </c>
      <c r="CU117" s="117" t="e">
        <f t="shared" si="563"/>
        <v>#DIV/0!</v>
      </c>
      <c r="CV117" s="117" t="e">
        <f t="shared" si="563"/>
        <v>#DIV/0!</v>
      </c>
      <c r="CW117" s="117" t="e">
        <f t="shared" si="563"/>
        <v>#DIV/0!</v>
      </c>
      <c r="CX117" s="117" t="e">
        <f t="shared" si="563"/>
        <v>#DIV/0!</v>
      </c>
      <c r="CY117" s="117" t="e">
        <f t="shared" si="563"/>
        <v>#DIV/0!</v>
      </c>
      <c r="CZ117" s="117" t="e">
        <f t="shared" si="563"/>
        <v>#DIV/0!</v>
      </c>
      <c r="DA117" s="117" t="e">
        <f t="shared" si="563"/>
        <v>#DIV/0!</v>
      </c>
      <c r="DB117" s="117" t="e">
        <f t="shared" si="563"/>
        <v>#DIV/0!</v>
      </c>
      <c r="DC117" s="117" t="e">
        <f t="shared" si="563"/>
        <v>#DIV/0!</v>
      </c>
      <c r="DD117" s="117" t="e">
        <f t="shared" si="563"/>
        <v>#DIV/0!</v>
      </c>
      <c r="DE117" s="117" t="e">
        <f t="shared" si="563"/>
        <v>#DIV/0!</v>
      </c>
      <c r="DF117" s="70" t="e">
        <f t="shared" si="563"/>
        <v>#DIV/0!</v>
      </c>
      <c r="DG117" s="117" t="e">
        <f t="shared" si="563"/>
        <v>#DIV/0!</v>
      </c>
      <c r="DH117" s="117" t="e">
        <f t="shared" si="563"/>
        <v>#DIV/0!</v>
      </c>
      <c r="DI117" s="117" t="e">
        <f t="shared" si="563"/>
        <v>#DIV/0!</v>
      </c>
      <c r="DJ117" s="117" t="e">
        <f t="shared" si="563"/>
        <v>#DIV/0!</v>
      </c>
      <c r="DK117" s="117" t="e">
        <f t="shared" si="563"/>
        <v>#DIV/0!</v>
      </c>
      <c r="DL117" s="117" t="e">
        <f t="shared" si="563"/>
        <v>#DIV/0!</v>
      </c>
      <c r="DM117" s="117" t="e">
        <f t="shared" si="563"/>
        <v>#DIV/0!</v>
      </c>
      <c r="DN117" s="117" t="e">
        <f t="shared" si="563"/>
        <v>#DIV/0!</v>
      </c>
      <c r="DO117" s="117" t="e">
        <f t="shared" si="563"/>
        <v>#DIV/0!</v>
      </c>
      <c r="DP117" s="117" t="e">
        <f t="shared" si="563"/>
        <v>#DIV/0!</v>
      </c>
      <c r="DQ117" s="117" t="e">
        <f t="shared" si="563"/>
        <v>#DIV/0!</v>
      </c>
      <c r="DR117" s="117" t="e">
        <f t="shared" si="563"/>
        <v>#DIV/0!</v>
      </c>
      <c r="DS117" s="117" t="e">
        <f t="shared" si="563"/>
        <v>#DIV/0!</v>
      </c>
      <c r="DT117" s="117" t="e">
        <f t="shared" si="563"/>
        <v>#DIV/0!</v>
      </c>
      <c r="DU117" s="117" t="e">
        <f t="shared" si="563"/>
        <v>#DIV/0!</v>
      </c>
      <c r="DV117" s="117" t="e">
        <f t="shared" si="563"/>
        <v>#DIV/0!</v>
      </c>
      <c r="DW117" s="117" t="e">
        <f t="shared" si="563"/>
        <v>#DIV/0!</v>
      </c>
      <c r="DX117" s="117" t="e">
        <f t="shared" si="563"/>
        <v>#DIV/0!</v>
      </c>
      <c r="DY117" s="117" t="e">
        <f t="shared" si="563"/>
        <v>#DIV/0!</v>
      </c>
      <c r="DZ117" s="117" t="e">
        <f t="shared" si="563"/>
        <v>#DIV/0!</v>
      </c>
      <c r="EA117" s="117" t="e">
        <f t="shared" si="563"/>
        <v>#DIV/0!</v>
      </c>
      <c r="EB117" s="117" t="e">
        <f t="shared" si="563"/>
        <v>#DIV/0!</v>
      </c>
      <c r="EC117" s="117" t="e">
        <f t="shared" si="563"/>
        <v>#DIV/0!</v>
      </c>
      <c r="ED117" s="117" t="e">
        <f t="shared" si="563"/>
        <v>#DIV/0!</v>
      </c>
      <c r="EE117" s="117" t="e">
        <f t="shared" si="563"/>
        <v>#DIV/0!</v>
      </c>
      <c r="EF117" s="117" t="e">
        <f t="shared" si="563"/>
        <v>#DIV/0!</v>
      </c>
      <c r="EG117" s="117" t="e">
        <f t="shared" si="563"/>
        <v>#DIV/0!</v>
      </c>
      <c r="EH117" s="117" t="e">
        <f t="shared" si="563"/>
        <v>#DIV/0!</v>
      </c>
      <c r="EI117" s="117" t="e">
        <f t="shared" ref="EI117:FM117" si="564">EI116/EI110</f>
        <v>#DIV/0!</v>
      </c>
      <c r="EJ117" s="117" t="e">
        <f t="shared" si="564"/>
        <v>#DIV/0!</v>
      </c>
      <c r="EK117" s="70" t="e">
        <f t="shared" si="564"/>
        <v>#DIV/0!</v>
      </c>
      <c r="EL117" s="117" t="e">
        <f t="shared" si="564"/>
        <v>#DIV/0!</v>
      </c>
      <c r="EM117" s="117" t="e">
        <f t="shared" si="564"/>
        <v>#DIV/0!</v>
      </c>
      <c r="EN117" s="117" t="e">
        <f t="shared" si="564"/>
        <v>#DIV/0!</v>
      </c>
      <c r="EO117" s="117" t="e">
        <f t="shared" si="564"/>
        <v>#DIV/0!</v>
      </c>
      <c r="EP117" s="117" t="e">
        <f t="shared" si="564"/>
        <v>#DIV/0!</v>
      </c>
      <c r="EQ117" s="117" t="e">
        <f t="shared" si="564"/>
        <v>#DIV/0!</v>
      </c>
      <c r="ER117" s="117" t="e">
        <f t="shared" si="564"/>
        <v>#DIV/0!</v>
      </c>
      <c r="ES117" s="117" t="e">
        <f t="shared" si="564"/>
        <v>#DIV/0!</v>
      </c>
      <c r="ET117" s="117" t="e">
        <f t="shared" si="564"/>
        <v>#DIV/0!</v>
      </c>
      <c r="EU117" s="117" t="e">
        <f t="shared" si="564"/>
        <v>#DIV/0!</v>
      </c>
      <c r="EV117" s="117" t="e">
        <f t="shared" si="564"/>
        <v>#DIV/0!</v>
      </c>
      <c r="EW117" s="117" t="e">
        <f t="shared" si="564"/>
        <v>#DIV/0!</v>
      </c>
      <c r="EX117" s="117" t="e">
        <f t="shared" si="564"/>
        <v>#DIV/0!</v>
      </c>
      <c r="EY117" s="117" t="e">
        <f t="shared" si="564"/>
        <v>#DIV/0!</v>
      </c>
      <c r="EZ117" s="117" t="e">
        <f t="shared" si="564"/>
        <v>#DIV/0!</v>
      </c>
      <c r="FA117" s="117" t="e">
        <f t="shared" si="564"/>
        <v>#DIV/0!</v>
      </c>
      <c r="FB117" s="117" t="e">
        <f t="shared" si="564"/>
        <v>#DIV/0!</v>
      </c>
      <c r="FC117" s="117" t="e">
        <f t="shared" si="564"/>
        <v>#DIV/0!</v>
      </c>
      <c r="FD117" s="117" t="e">
        <f t="shared" si="564"/>
        <v>#DIV/0!</v>
      </c>
      <c r="FE117" s="117" t="e">
        <f t="shared" si="564"/>
        <v>#DIV/0!</v>
      </c>
      <c r="FF117" s="117" t="e">
        <f t="shared" si="564"/>
        <v>#DIV/0!</v>
      </c>
      <c r="FG117" s="117" t="e">
        <f t="shared" si="564"/>
        <v>#DIV/0!</v>
      </c>
      <c r="FH117" s="117" t="e">
        <f t="shared" si="564"/>
        <v>#DIV/0!</v>
      </c>
      <c r="FI117" s="117" t="e">
        <f t="shared" si="564"/>
        <v>#DIV/0!</v>
      </c>
      <c r="FJ117" s="117" t="e">
        <f t="shared" si="564"/>
        <v>#DIV/0!</v>
      </c>
      <c r="FK117" s="117" t="e">
        <f t="shared" si="564"/>
        <v>#DIV/0!</v>
      </c>
      <c r="FL117" s="117" t="e">
        <f t="shared" si="564"/>
        <v>#DIV/0!</v>
      </c>
      <c r="FM117" s="117" t="e">
        <f t="shared" si="564"/>
        <v>#DIV/0!</v>
      </c>
      <c r="FN117" s="117" t="e">
        <f t="shared" ref="FN117:GI117" si="565">FN116/FN110</f>
        <v>#DIV/0!</v>
      </c>
      <c r="FO117" s="117" t="e">
        <f t="shared" si="565"/>
        <v>#DIV/0!</v>
      </c>
      <c r="FP117" s="117" t="e">
        <f t="shared" si="565"/>
        <v>#DIV/0!</v>
      </c>
      <c r="FQ117" s="70" t="e">
        <f t="shared" si="565"/>
        <v>#DIV/0!</v>
      </c>
      <c r="FR117" s="117" t="e">
        <f t="shared" si="565"/>
        <v>#DIV/0!</v>
      </c>
      <c r="FS117" s="117" t="e">
        <f t="shared" si="565"/>
        <v>#DIV/0!</v>
      </c>
      <c r="FT117" s="117" t="e">
        <f t="shared" si="565"/>
        <v>#DIV/0!</v>
      </c>
      <c r="FU117" s="117" t="e">
        <f t="shared" si="565"/>
        <v>#DIV/0!</v>
      </c>
      <c r="FV117" s="117" t="e">
        <f t="shared" si="565"/>
        <v>#DIV/0!</v>
      </c>
      <c r="FW117" s="117" t="e">
        <f t="shared" si="565"/>
        <v>#DIV/0!</v>
      </c>
      <c r="FX117" s="117" t="e">
        <f t="shared" si="565"/>
        <v>#DIV/0!</v>
      </c>
      <c r="FY117" s="117" t="e">
        <f t="shared" si="565"/>
        <v>#DIV/0!</v>
      </c>
      <c r="FZ117" s="117" t="e">
        <f t="shared" si="565"/>
        <v>#DIV/0!</v>
      </c>
      <c r="GA117" s="117" t="e">
        <f t="shared" si="565"/>
        <v>#DIV/0!</v>
      </c>
      <c r="GB117" s="117" t="e">
        <f t="shared" si="565"/>
        <v>#DIV/0!</v>
      </c>
      <c r="GC117" s="117" t="e">
        <f t="shared" si="565"/>
        <v>#DIV/0!</v>
      </c>
      <c r="GD117" s="117" t="e">
        <f t="shared" si="565"/>
        <v>#DIV/0!</v>
      </c>
      <c r="GE117" s="117" t="e">
        <f t="shared" si="565"/>
        <v>#DIV/0!</v>
      </c>
      <c r="GF117" s="117" t="e">
        <f t="shared" si="565"/>
        <v>#DIV/0!</v>
      </c>
      <c r="GG117" s="117" t="e">
        <f t="shared" si="565"/>
        <v>#DIV/0!</v>
      </c>
      <c r="GH117" s="117" t="e">
        <f t="shared" si="565"/>
        <v>#DIV/0!</v>
      </c>
      <c r="GI117" s="117" t="e">
        <f t="shared" si="565"/>
        <v>#DIV/0!</v>
      </c>
      <c r="GJ117" s="117" t="e">
        <f t="shared" ref="GJ117:GP117" si="566">GJ116/GJ110</f>
        <v>#DIV/0!</v>
      </c>
      <c r="GK117" s="117" t="e">
        <f t="shared" si="566"/>
        <v>#DIV/0!</v>
      </c>
      <c r="GL117" s="117" t="e">
        <f t="shared" si="566"/>
        <v>#DIV/0!</v>
      </c>
      <c r="GM117" s="117" t="e">
        <f t="shared" si="566"/>
        <v>#DIV/0!</v>
      </c>
      <c r="GN117" s="117" t="e">
        <f t="shared" si="566"/>
        <v>#DIV/0!</v>
      </c>
      <c r="GO117" s="117" t="e">
        <f t="shared" si="566"/>
        <v>#DIV/0!</v>
      </c>
      <c r="GP117" s="117" t="e">
        <f t="shared" si="566"/>
        <v>#DIV/0!</v>
      </c>
    </row>
    <row r="118" s="47" customFormat="1" ht="15" hidden="1" customHeight="1" spans="1:198">
      <c r="A118" s="48"/>
      <c r="B118" s="112"/>
      <c r="C118" s="113" t="s">
        <v>36</v>
      </c>
      <c r="D118" s="120" t="e">
        <f>D110/D$128</f>
        <v>#REF!</v>
      </c>
      <c r="E118" s="121" t="e">
        <f>E110/E$128</f>
        <v>#REF!</v>
      </c>
      <c r="F118" s="121" t="e">
        <f>F110/F$128</f>
        <v>#REF!</v>
      </c>
      <c r="G118" s="121" t="e">
        <f>G110/G$128</f>
        <v>#REF!</v>
      </c>
      <c r="H118" s="121" t="e">
        <f t="shared" ref="H118:V118" si="567">H110/H$128</f>
        <v>#REF!</v>
      </c>
      <c r="I118" s="121" t="e">
        <f t="shared" si="567"/>
        <v>#REF!</v>
      </c>
      <c r="J118" s="121" t="e">
        <f t="shared" si="567"/>
        <v>#REF!</v>
      </c>
      <c r="K118" s="121" t="e">
        <f t="shared" si="567"/>
        <v>#REF!</v>
      </c>
      <c r="L118" s="121" t="e">
        <f t="shared" si="567"/>
        <v>#REF!</v>
      </c>
      <c r="M118" s="121" t="e">
        <f t="shared" si="567"/>
        <v>#REF!</v>
      </c>
      <c r="N118" s="121" t="e">
        <f t="shared" si="567"/>
        <v>#REF!</v>
      </c>
      <c r="O118" s="121" t="e">
        <f t="shared" si="567"/>
        <v>#REF!</v>
      </c>
      <c r="P118" s="121" t="e">
        <f t="shared" si="567"/>
        <v>#REF!</v>
      </c>
      <c r="Q118" s="102">
        <f t="shared" si="567"/>
        <v>0.280261603143634</v>
      </c>
      <c r="R118" s="121">
        <f t="shared" si="567"/>
        <v>0.060684947356242</v>
      </c>
      <c r="S118" s="121">
        <f t="shared" ref="S118:AL118" si="568">S110/S$128</f>
        <v>0.0422619842435572</v>
      </c>
      <c r="T118" s="121">
        <f t="shared" si="568"/>
        <v>0.309110783707999</v>
      </c>
      <c r="U118" s="121">
        <f t="shared" si="568"/>
        <v>0.366243013551795</v>
      </c>
      <c r="V118" s="121">
        <f t="shared" si="568"/>
        <v>0.226489590811199</v>
      </c>
      <c r="W118" s="121">
        <f t="shared" si="568"/>
        <v>0.308388427814507</v>
      </c>
      <c r="X118" s="121">
        <f t="shared" si="568"/>
        <v>0.424563161520636</v>
      </c>
      <c r="Y118" s="121">
        <f t="shared" si="568"/>
        <v>0.239974126778784</v>
      </c>
      <c r="Z118" s="121">
        <f t="shared" si="568"/>
        <v>0.370208675451596</v>
      </c>
      <c r="AA118" s="121">
        <f t="shared" si="568"/>
        <v>0.378704326384219</v>
      </c>
      <c r="AB118" s="121">
        <f t="shared" si="568"/>
        <v>0.43994720633524</v>
      </c>
      <c r="AC118" s="121">
        <f t="shared" si="568"/>
        <v>0.321265261867723</v>
      </c>
      <c r="AD118" s="121">
        <f t="shared" si="568"/>
        <v>0.336236113726229</v>
      </c>
      <c r="AE118" s="121">
        <f t="shared" si="568"/>
        <v>0.388480143083614</v>
      </c>
      <c r="AF118" s="121">
        <f t="shared" si="568"/>
        <v>0.397400273159704</v>
      </c>
      <c r="AG118" s="121">
        <f t="shared" si="568"/>
        <v>0.145015474833035</v>
      </c>
      <c r="AH118" s="121">
        <f t="shared" si="568"/>
        <v>0.174694156899649</v>
      </c>
      <c r="AI118" s="121">
        <f t="shared" si="568"/>
        <v>0.312716083529249</v>
      </c>
      <c r="AJ118" s="121">
        <f t="shared" si="568"/>
        <v>0.122793774039326</v>
      </c>
      <c r="AK118" s="121">
        <f t="shared" si="568"/>
        <v>0.347393919144671</v>
      </c>
      <c r="AL118" s="121">
        <f t="shared" ref="AL118:BH118" si="569">AL110/AL$128</f>
        <v>0.259151539464447</v>
      </c>
      <c r="AM118" s="121">
        <f t="shared" si="569"/>
        <v>0.27363571934798</v>
      </c>
      <c r="AN118" s="121">
        <f t="shared" si="569"/>
        <v>0.244250474383302</v>
      </c>
      <c r="AO118" s="121">
        <f t="shared" si="569"/>
        <v>0.199158485273492</v>
      </c>
      <c r="AP118" s="121">
        <f t="shared" si="569"/>
        <v>0.249870967741935</v>
      </c>
      <c r="AQ118" s="121">
        <f t="shared" si="569"/>
        <v>0.328131772865193</v>
      </c>
      <c r="AR118" s="121">
        <f t="shared" si="569"/>
        <v>0.233028317052059</v>
      </c>
      <c r="AS118" s="121">
        <f t="shared" si="569"/>
        <v>0.276807528730432</v>
      </c>
      <c r="AT118" s="121">
        <f t="shared" si="569"/>
        <v>0.211009174311927</v>
      </c>
      <c r="AU118" s="121">
        <f t="shared" si="569"/>
        <v>0.312075081288797</v>
      </c>
      <c r="AV118" s="121">
        <f t="shared" si="569"/>
        <v>0.262569407469385</v>
      </c>
      <c r="AW118" s="102">
        <f t="shared" si="569"/>
        <v>0.0354698041796939</v>
      </c>
      <c r="AX118" s="121">
        <f t="shared" si="569"/>
        <v>0.282310302282542</v>
      </c>
      <c r="AY118" s="121">
        <f t="shared" si="569"/>
        <v>0.264494045496684</v>
      </c>
      <c r="AZ118" s="121">
        <f t="shared" si="569"/>
        <v>0.114171074229436</v>
      </c>
      <c r="BA118" s="121">
        <f t="shared" si="569"/>
        <v>0</v>
      </c>
      <c r="BB118" s="121">
        <f t="shared" si="569"/>
        <v>0</v>
      </c>
      <c r="BC118" s="121">
        <f t="shared" si="569"/>
        <v>0</v>
      </c>
      <c r="BD118" s="121">
        <f t="shared" si="569"/>
        <v>0</v>
      </c>
      <c r="BE118" s="121">
        <f t="shared" si="569"/>
        <v>0</v>
      </c>
      <c r="BF118" s="121">
        <f t="shared" si="569"/>
        <v>0</v>
      </c>
      <c r="BG118" s="121">
        <f t="shared" si="569"/>
        <v>0</v>
      </c>
      <c r="BH118" s="121">
        <f t="shared" si="569"/>
        <v>0</v>
      </c>
      <c r="BI118" s="121">
        <f t="shared" ref="BI118:BW118" si="570">BI110/BI$128</f>
        <v>0</v>
      </c>
      <c r="BJ118" s="121">
        <f t="shared" si="570"/>
        <v>0</v>
      </c>
      <c r="BK118" s="121">
        <f t="shared" si="570"/>
        <v>0</v>
      </c>
      <c r="BL118" s="121">
        <f t="shared" si="570"/>
        <v>0</v>
      </c>
      <c r="BM118" s="121">
        <f t="shared" si="570"/>
        <v>0</v>
      </c>
      <c r="BN118" s="121">
        <f t="shared" si="570"/>
        <v>0</v>
      </c>
      <c r="BO118" s="121">
        <f t="shared" si="570"/>
        <v>0</v>
      </c>
      <c r="BP118" s="121">
        <f t="shared" si="570"/>
        <v>0</v>
      </c>
      <c r="BQ118" s="121">
        <f t="shared" si="570"/>
        <v>0</v>
      </c>
      <c r="BR118" s="121">
        <f t="shared" si="570"/>
        <v>0</v>
      </c>
      <c r="BS118" s="121">
        <f t="shared" si="570"/>
        <v>0</v>
      </c>
      <c r="BT118" s="121">
        <f t="shared" si="570"/>
        <v>0</v>
      </c>
      <c r="BU118" s="121">
        <f t="shared" si="570"/>
        <v>0</v>
      </c>
      <c r="BV118" s="121">
        <f t="shared" si="570"/>
        <v>0</v>
      </c>
      <c r="BW118" s="121">
        <f t="shared" si="570"/>
        <v>0</v>
      </c>
      <c r="BX118" s="121">
        <f t="shared" ref="BX118:CH118" si="571">BX110/BX$128</f>
        <v>0</v>
      </c>
      <c r="BY118" s="121">
        <f t="shared" si="571"/>
        <v>0</v>
      </c>
      <c r="BZ118" s="102">
        <f t="shared" si="571"/>
        <v>0</v>
      </c>
      <c r="CA118" s="121">
        <f t="shared" si="571"/>
        <v>0</v>
      </c>
      <c r="CB118" s="121">
        <f t="shared" si="571"/>
        <v>0</v>
      </c>
      <c r="CC118" s="121">
        <f t="shared" si="571"/>
        <v>0</v>
      </c>
      <c r="CD118" s="121">
        <f t="shared" si="571"/>
        <v>0</v>
      </c>
      <c r="CE118" s="121">
        <f t="shared" si="571"/>
        <v>0</v>
      </c>
      <c r="CF118" s="121">
        <f t="shared" si="571"/>
        <v>0</v>
      </c>
      <c r="CG118" s="121">
        <f t="shared" si="571"/>
        <v>0</v>
      </c>
      <c r="CH118" s="121">
        <f t="shared" si="571"/>
        <v>0</v>
      </c>
      <c r="CI118" s="121">
        <f t="shared" ref="CI118:EH118" si="572">CI110/CI$128</f>
        <v>0</v>
      </c>
      <c r="CJ118" s="121">
        <f t="shared" si="572"/>
        <v>0</v>
      </c>
      <c r="CK118" s="121">
        <f t="shared" si="572"/>
        <v>0</v>
      </c>
      <c r="CL118" s="121">
        <f t="shared" si="572"/>
        <v>0</v>
      </c>
      <c r="CM118" s="121">
        <f t="shared" si="572"/>
        <v>0</v>
      </c>
      <c r="CN118" s="121">
        <f t="shared" si="572"/>
        <v>0</v>
      </c>
      <c r="CO118" s="121">
        <f t="shared" si="572"/>
        <v>0</v>
      </c>
      <c r="CP118" s="121">
        <f t="shared" si="572"/>
        <v>0</v>
      </c>
      <c r="CQ118" s="121">
        <f t="shared" si="572"/>
        <v>0</v>
      </c>
      <c r="CR118" s="121">
        <f t="shared" si="572"/>
        <v>0</v>
      </c>
      <c r="CS118" s="121">
        <f t="shared" si="572"/>
        <v>0</v>
      </c>
      <c r="CT118" s="121">
        <f t="shared" si="572"/>
        <v>0</v>
      </c>
      <c r="CU118" s="121">
        <f t="shared" si="572"/>
        <v>0</v>
      </c>
      <c r="CV118" s="121">
        <f t="shared" si="572"/>
        <v>0</v>
      </c>
      <c r="CW118" s="121">
        <f t="shared" si="572"/>
        <v>0</v>
      </c>
      <c r="CX118" s="121">
        <f t="shared" si="572"/>
        <v>0</v>
      </c>
      <c r="CY118" s="121">
        <f t="shared" si="572"/>
        <v>0</v>
      </c>
      <c r="CZ118" s="121">
        <f t="shared" si="572"/>
        <v>0</v>
      </c>
      <c r="DA118" s="121">
        <f t="shared" si="572"/>
        <v>0</v>
      </c>
      <c r="DB118" s="121">
        <f t="shared" si="572"/>
        <v>0</v>
      </c>
      <c r="DC118" s="121">
        <f t="shared" si="572"/>
        <v>0</v>
      </c>
      <c r="DD118" s="121">
        <f t="shared" si="572"/>
        <v>0</v>
      </c>
      <c r="DE118" s="121">
        <f t="shared" si="572"/>
        <v>0</v>
      </c>
      <c r="DF118" s="102">
        <f t="shared" si="572"/>
        <v>0</v>
      </c>
      <c r="DG118" s="121" t="e">
        <f t="shared" si="572"/>
        <v>#DIV/0!</v>
      </c>
      <c r="DH118" s="121" t="e">
        <f t="shared" si="572"/>
        <v>#DIV/0!</v>
      </c>
      <c r="DI118" s="121" t="e">
        <f t="shared" si="572"/>
        <v>#DIV/0!</v>
      </c>
      <c r="DJ118" s="121" t="e">
        <f t="shared" si="572"/>
        <v>#DIV/0!</v>
      </c>
      <c r="DK118" s="121" t="e">
        <f t="shared" si="572"/>
        <v>#DIV/0!</v>
      </c>
      <c r="DL118" s="121" t="e">
        <f t="shared" si="572"/>
        <v>#DIV/0!</v>
      </c>
      <c r="DM118" s="121" t="e">
        <f t="shared" si="572"/>
        <v>#DIV/0!</v>
      </c>
      <c r="DN118" s="121" t="e">
        <f t="shared" si="572"/>
        <v>#DIV/0!</v>
      </c>
      <c r="DO118" s="121" t="e">
        <f t="shared" si="572"/>
        <v>#DIV/0!</v>
      </c>
      <c r="DP118" s="121" t="e">
        <f t="shared" si="572"/>
        <v>#DIV/0!</v>
      </c>
      <c r="DQ118" s="121" t="e">
        <f t="shared" si="572"/>
        <v>#DIV/0!</v>
      </c>
      <c r="DR118" s="121" t="e">
        <f t="shared" si="572"/>
        <v>#DIV/0!</v>
      </c>
      <c r="DS118" s="121" t="e">
        <f t="shared" si="572"/>
        <v>#DIV/0!</v>
      </c>
      <c r="DT118" s="121" t="e">
        <f t="shared" si="572"/>
        <v>#DIV/0!</v>
      </c>
      <c r="DU118" s="121" t="e">
        <f t="shared" si="572"/>
        <v>#DIV/0!</v>
      </c>
      <c r="DV118" s="121" t="e">
        <f t="shared" si="572"/>
        <v>#DIV/0!</v>
      </c>
      <c r="DW118" s="121" t="e">
        <f t="shared" si="572"/>
        <v>#DIV/0!</v>
      </c>
      <c r="DX118" s="121" t="e">
        <f t="shared" si="572"/>
        <v>#DIV/0!</v>
      </c>
      <c r="DY118" s="121" t="e">
        <f t="shared" si="572"/>
        <v>#DIV/0!</v>
      </c>
      <c r="DZ118" s="121" t="e">
        <f t="shared" si="572"/>
        <v>#DIV/0!</v>
      </c>
      <c r="EA118" s="121" t="e">
        <f t="shared" si="572"/>
        <v>#DIV/0!</v>
      </c>
      <c r="EB118" s="121" t="e">
        <f t="shared" si="572"/>
        <v>#DIV/0!</v>
      </c>
      <c r="EC118" s="121" t="e">
        <f t="shared" si="572"/>
        <v>#DIV/0!</v>
      </c>
      <c r="ED118" s="121" t="e">
        <f t="shared" si="572"/>
        <v>#DIV/0!</v>
      </c>
      <c r="EE118" s="121" t="e">
        <f t="shared" si="572"/>
        <v>#DIV/0!</v>
      </c>
      <c r="EF118" s="121" t="e">
        <f t="shared" si="572"/>
        <v>#DIV/0!</v>
      </c>
      <c r="EG118" s="121" t="e">
        <f t="shared" si="572"/>
        <v>#DIV/0!</v>
      </c>
      <c r="EH118" s="121">
        <f t="shared" si="572"/>
        <v>0</v>
      </c>
      <c r="EI118" s="121">
        <f t="shared" ref="EI118:FM118" si="573">EI110/EI$128</f>
        <v>0</v>
      </c>
      <c r="EJ118" s="121">
        <f t="shared" si="573"/>
        <v>0</v>
      </c>
      <c r="EK118" s="102">
        <f t="shared" si="573"/>
        <v>0</v>
      </c>
      <c r="EL118" s="121">
        <f t="shared" si="573"/>
        <v>0</v>
      </c>
      <c r="EM118" s="121">
        <f t="shared" si="573"/>
        <v>0</v>
      </c>
      <c r="EN118" s="121">
        <f t="shared" si="573"/>
        <v>0</v>
      </c>
      <c r="EO118" s="121">
        <f t="shared" si="573"/>
        <v>0</v>
      </c>
      <c r="EP118" s="121">
        <f t="shared" si="573"/>
        <v>0</v>
      </c>
      <c r="EQ118" s="121">
        <f t="shared" si="573"/>
        <v>0</v>
      </c>
      <c r="ER118" s="121">
        <f t="shared" si="573"/>
        <v>0</v>
      </c>
      <c r="ES118" s="121">
        <f t="shared" si="573"/>
        <v>0</v>
      </c>
      <c r="ET118" s="121">
        <f t="shared" si="573"/>
        <v>0</v>
      </c>
      <c r="EU118" s="121">
        <f t="shared" si="573"/>
        <v>0</v>
      </c>
      <c r="EV118" s="121">
        <f t="shared" si="573"/>
        <v>0</v>
      </c>
      <c r="EW118" s="121">
        <f t="shared" si="573"/>
        <v>0</v>
      </c>
      <c r="EX118" s="121">
        <f t="shared" si="573"/>
        <v>0</v>
      </c>
      <c r="EY118" s="121">
        <f t="shared" si="573"/>
        <v>0</v>
      </c>
      <c r="EZ118" s="121">
        <f t="shared" si="573"/>
        <v>0</v>
      </c>
      <c r="FA118" s="121">
        <f t="shared" si="573"/>
        <v>0</v>
      </c>
      <c r="FB118" s="121">
        <f t="shared" si="573"/>
        <v>0</v>
      </c>
      <c r="FC118" s="121">
        <f t="shared" si="573"/>
        <v>0</v>
      </c>
      <c r="FD118" s="121">
        <f t="shared" si="573"/>
        <v>0</v>
      </c>
      <c r="FE118" s="121">
        <f t="shared" si="573"/>
        <v>0</v>
      </c>
      <c r="FF118" s="121">
        <f t="shared" si="573"/>
        <v>0</v>
      </c>
      <c r="FG118" s="121">
        <f t="shared" si="573"/>
        <v>0</v>
      </c>
      <c r="FH118" s="121">
        <f t="shared" si="573"/>
        <v>0</v>
      </c>
      <c r="FI118" s="121">
        <f t="shared" si="573"/>
        <v>0</v>
      </c>
      <c r="FJ118" s="121">
        <f t="shared" si="573"/>
        <v>0</v>
      </c>
      <c r="FK118" s="121">
        <f t="shared" si="573"/>
        <v>0</v>
      </c>
      <c r="FL118" s="121">
        <f t="shared" si="573"/>
        <v>0</v>
      </c>
      <c r="FM118" s="121">
        <f t="shared" si="573"/>
        <v>0</v>
      </c>
      <c r="FN118" s="121">
        <f t="shared" ref="FN118:GI118" si="574">FN110/FN$128</f>
        <v>0</v>
      </c>
      <c r="FO118" s="121">
        <f t="shared" si="574"/>
        <v>0</v>
      </c>
      <c r="FP118" s="121">
        <f t="shared" si="574"/>
        <v>0</v>
      </c>
      <c r="FQ118" s="102">
        <f t="shared" si="574"/>
        <v>0</v>
      </c>
      <c r="FR118" s="121">
        <f t="shared" si="574"/>
        <v>0</v>
      </c>
      <c r="FS118" s="121">
        <f t="shared" si="574"/>
        <v>0</v>
      </c>
      <c r="FT118" s="121">
        <f t="shared" si="574"/>
        <v>0</v>
      </c>
      <c r="FU118" s="121">
        <f t="shared" si="574"/>
        <v>0</v>
      </c>
      <c r="FV118" s="121">
        <f t="shared" si="574"/>
        <v>0</v>
      </c>
      <c r="FW118" s="121">
        <f t="shared" si="574"/>
        <v>0</v>
      </c>
      <c r="FX118" s="121">
        <f t="shared" si="574"/>
        <v>0</v>
      </c>
      <c r="FY118" s="121">
        <f t="shared" si="574"/>
        <v>0</v>
      </c>
      <c r="FZ118" s="121">
        <f t="shared" si="574"/>
        <v>0</v>
      </c>
      <c r="GA118" s="121">
        <f t="shared" si="574"/>
        <v>0</v>
      </c>
      <c r="GB118" s="121">
        <f t="shared" si="574"/>
        <v>0</v>
      </c>
      <c r="GC118" s="121">
        <f t="shared" si="574"/>
        <v>0</v>
      </c>
      <c r="GD118" s="121">
        <f t="shared" si="574"/>
        <v>0</v>
      </c>
      <c r="GE118" s="121">
        <f t="shared" si="574"/>
        <v>0</v>
      </c>
      <c r="GF118" s="121">
        <f t="shared" si="574"/>
        <v>0</v>
      </c>
      <c r="GG118" s="121">
        <f t="shared" si="574"/>
        <v>0</v>
      </c>
      <c r="GH118" s="121">
        <f t="shared" si="574"/>
        <v>0</v>
      </c>
      <c r="GI118" s="121">
        <f t="shared" si="574"/>
        <v>0</v>
      </c>
      <c r="GJ118" s="121">
        <f t="shared" ref="GJ118:GP118" si="575">GJ110/GJ$128</f>
        <v>0</v>
      </c>
      <c r="GK118" s="121">
        <f t="shared" si="575"/>
        <v>0</v>
      </c>
      <c r="GL118" s="121">
        <f t="shared" si="575"/>
        <v>0</v>
      </c>
      <c r="GM118" s="121" t="e">
        <f t="shared" si="575"/>
        <v>#DIV/0!</v>
      </c>
      <c r="GN118" s="121" t="e">
        <f t="shared" si="575"/>
        <v>#DIV/0!</v>
      </c>
      <c r="GO118" s="121" t="e">
        <f t="shared" si="575"/>
        <v>#DIV/0!</v>
      </c>
      <c r="GP118" s="121" t="e">
        <f t="shared" si="575"/>
        <v>#DIV/0!</v>
      </c>
    </row>
    <row r="119" s="48" customFormat="1" ht="15" hidden="1" customHeight="1" spans="1:198">
      <c r="B119" s="103" t="s">
        <v>47</v>
      </c>
      <c r="C119" s="109" t="s">
        <v>12</v>
      </c>
      <c r="D119" s="122" t="e">
        <f>SUM(E119:P119)</f>
        <v>#REF!</v>
      </c>
      <c r="E119" s="123" t="e">
        <f>#REF!</f>
        <v>#REF!</v>
      </c>
      <c r="F119" s="123" t="e">
        <f>#REF!</f>
        <v>#REF!</v>
      </c>
      <c r="G119" s="123" t="e">
        <f>#REF!</f>
        <v>#REF!</v>
      </c>
      <c r="H119" s="123" t="e">
        <f>#REF!</f>
        <v>#REF!</v>
      </c>
      <c r="I119" s="123" t="e">
        <f>#REF!</f>
        <v>#REF!</v>
      </c>
      <c r="J119" s="123" t="e">
        <f>#REF!</f>
        <v>#REF!</v>
      </c>
      <c r="K119" s="123" t="e">
        <f>#REF!</f>
        <v>#REF!</v>
      </c>
      <c r="L119" s="123" t="e">
        <f>#REF!</f>
        <v>#REF!</v>
      </c>
      <c r="M119" s="123" t="e">
        <f>#REF!</f>
        <v>#REF!</v>
      </c>
      <c r="N119" s="123" t="e">
        <f>#REF!</f>
        <v>#REF!</v>
      </c>
      <c r="O119" s="123" t="e">
        <f>#REF!</f>
        <v>#REF!</v>
      </c>
      <c r="P119" s="123" t="e">
        <f>#REF!</f>
        <v>#REF!</v>
      </c>
      <c r="Q119" s="65">
        <f>SUM(R119:AV119)</f>
        <v>0</v>
      </c>
      <c r="R119" s="124">
        <f>SUMIFS(商品数据源!$H:$H,商品数据源!$A:$A,$B$119,商品数据源!$B:$B,R2)</f>
        <v>0</v>
      </c>
      <c r="S119" s="124">
        <f>SUMIFS(商品数据源!$H:$H,商品数据源!$A:$A,$B$119,商品数据源!$B:$B,S2)</f>
        <v>0</v>
      </c>
      <c r="T119" s="124">
        <f>SUMIFS(商品数据源!$H:$H,商品数据源!$A:$A,$B$119,商品数据源!$B:$B,T2)</f>
        <v>0</v>
      </c>
      <c r="U119" s="124">
        <f>SUMIFS(商品数据源!$H:$H,商品数据源!$A:$A,$B$119,商品数据源!$B:$B,U2)</f>
        <v>0</v>
      </c>
      <c r="V119" s="124">
        <f>SUMIFS(商品数据源!$H:$H,商品数据源!$A:$A,$B$119,商品数据源!$B:$B,V2)</f>
        <v>0</v>
      </c>
      <c r="W119" s="124">
        <f>SUMIFS(商品数据源!$H:$H,商品数据源!$A:$A,$B$119,商品数据源!$B:$B,W2)</f>
        <v>0</v>
      </c>
      <c r="X119" s="124">
        <f>SUMIFS(商品数据源!$H:$H,商品数据源!$A:$A,$B$119,商品数据源!$B:$B,X2)</f>
        <v>0</v>
      </c>
      <c r="Y119" s="124">
        <f>SUMIFS(商品数据源!$H:$H,商品数据源!$A:$A,$B$119,商品数据源!$B:$B,Y2)</f>
        <v>0</v>
      </c>
      <c r="Z119" s="124">
        <f>SUMIFS(商品数据源!$H:$H,商品数据源!$A:$A,$B$119,商品数据源!$B:$B,Z2)</f>
        <v>0</v>
      </c>
      <c r="AA119" s="124">
        <f>SUMIFS(商品数据源!$H:$H,商品数据源!$A:$A,$B$119,商品数据源!$B:$B,AA2)</f>
        <v>0</v>
      </c>
      <c r="AB119" s="124">
        <f>SUMIFS(商品数据源!$H:$H,商品数据源!$A:$A,$B$119,商品数据源!$B:$B,AB2)</f>
        <v>0</v>
      </c>
      <c r="AC119" s="124">
        <f>SUMIFS(商品数据源!$H:$H,商品数据源!$A:$A,$B$119,商品数据源!$B:$B,AC2)</f>
        <v>0</v>
      </c>
      <c r="AD119" s="124">
        <f>SUMIFS(商品数据源!$H:$H,商品数据源!$A:$A,$B$119,商品数据源!$B:$B,AD2)</f>
        <v>0</v>
      </c>
      <c r="AE119" s="124"/>
      <c r="AF119" s="124"/>
      <c r="AG119" s="124"/>
      <c r="AH119" s="124"/>
      <c r="AI119" s="124"/>
      <c r="AJ119" s="124"/>
      <c r="AK119" s="124"/>
      <c r="AL119" s="124"/>
      <c r="AM119" s="124"/>
      <c r="AN119" s="124"/>
      <c r="AO119" s="124"/>
      <c r="AP119" s="124"/>
      <c r="AQ119" s="124"/>
      <c r="AR119" s="124"/>
      <c r="AS119" s="124"/>
      <c r="AT119" s="124"/>
      <c r="AU119" s="124"/>
      <c r="AV119" s="124"/>
      <c r="AW119" s="65">
        <f>SUM(AX119:BY119)</f>
        <v>0</v>
      </c>
      <c r="AX119" s="124"/>
      <c r="AY119" s="124"/>
      <c r="AZ119" s="124"/>
      <c r="BA119" s="124"/>
      <c r="BB119" s="124"/>
      <c r="BC119" s="124"/>
      <c r="BD119" s="124"/>
      <c r="BE119" s="124"/>
      <c r="BF119" s="124"/>
      <c r="BG119" s="124"/>
      <c r="BH119" s="124"/>
      <c r="BI119" s="124"/>
      <c r="BJ119" s="124"/>
      <c r="BK119" s="124"/>
      <c r="BL119" s="124"/>
      <c r="BM119" s="124"/>
      <c r="BN119" s="124"/>
      <c r="BO119" s="124"/>
      <c r="BP119" s="124"/>
      <c r="BQ119" s="124"/>
      <c r="BR119" s="124"/>
      <c r="BS119" s="124"/>
      <c r="BT119" s="124"/>
      <c r="BU119" s="124"/>
      <c r="BV119" s="124"/>
      <c r="BW119" s="124"/>
      <c r="BX119" s="124"/>
      <c r="BY119" s="124"/>
      <c r="BZ119" s="65">
        <f>SUM(CA119:DE119)</f>
        <v>0</v>
      </c>
      <c r="CA119" s="124"/>
      <c r="CB119" s="124"/>
      <c r="CC119" s="124"/>
      <c r="CD119" s="124"/>
      <c r="CE119" s="124"/>
      <c r="CF119" s="124"/>
      <c r="CG119" s="124"/>
      <c r="CH119" s="124"/>
      <c r="CI119" s="124"/>
      <c r="CJ119" s="124"/>
      <c r="CK119" s="124"/>
      <c r="CL119" s="124"/>
      <c r="CM119" s="124"/>
      <c r="CN119" s="124"/>
      <c r="CO119" s="124"/>
      <c r="CP119" s="124"/>
      <c r="CQ119" s="124"/>
      <c r="CR119" s="124"/>
      <c r="CS119" s="124"/>
      <c r="CT119" s="124"/>
      <c r="CU119" s="124"/>
      <c r="CV119" s="124"/>
      <c r="CW119" s="124"/>
      <c r="CX119" s="124"/>
      <c r="CY119" s="124"/>
      <c r="CZ119" s="124"/>
      <c r="DA119" s="124"/>
      <c r="DB119" s="124"/>
      <c r="DC119" s="124"/>
      <c r="DD119" s="124"/>
      <c r="DE119" s="124"/>
      <c r="DF119" s="65">
        <f>SUM(DG119:EJ119)</f>
        <v>0</v>
      </c>
      <c r="DG119" s="124"/>
      <c r="DH119" s="124"/>
      <c r="DI119" s="124"/>
      <c r="DJ119" s="124"/>
      <c r="DK119" s="124"/>
      <c r="DL119" s="124"/>
      <c r="DM119" s="124"/>
      <c r="DN119" s="124"/>
      <c r="DO119" s="124"/>
      <c r="DP119" s="124"/>
      <c r="DQ119" s="124"/>
      <c r="DR119" s="124"/>
      <c r="DS119" s="124"/>
      <c r="DT119" s="124"/>
      <c r="DU119" s="124"/>
      <c r="DV119" s="124"/>
      <c r="DW119" s="124"/>
      <c r="DX119" s="124"/>
      <c r="DY119" s="124"/>
      <c r="DZ119" s="124"/>
      <c r="EA119" s="124"/>
      <c r="EB119" s="124"/>
      <c r="EC119" s="124"/>
      <c r="ED119" s="124"/>
      <c r="EE119" s="124"/>
      <c r="EF119" s="124"/>
      <c r="EG119" s="124"/>
      <c r="EH119" s="124"/>
      <c r="EI119" s="124"/>
      <c r="EJ119" s="124"/>
      <c r="EK119" s="65">
        <f>SUM(EL119:FP119)</f>
        <v>0</v>
      </c>
      <c r="EL119" s="124"/>
      <c r="EM119" s="124"/>
      <c r="EN119" s="124"/>
      <c r="EO119" s="124"/>
      <c r="EP119" s="124"/>
      <c r="EQ119" s="124"/>
      <c r="ER119" s="124"/>
      <c r="ES119" s="124"/>
      <c r="ET119" s="124"/>
      <c r="EU119" s="124"/>
      <c r="EV119" s="124"/>
      <c r="EW119" s="124"/>
      <c r="EX119" s="124"/>
      <c r="EY119" s="124"/>
      <c r="EZ119" s="124"/>
      <c r="FA119" s="124"/>
      <c r="FB119" s="124"/>
      <c r="FC119" s="124"/>
      <c r="FD119" s="124"/>
      <c r="FE119" s="124"/>
      <c r="FF119" s="124"/>
      <c r="FG119" s="124"/>
      <c r="FH119" s="124"/>
      <c r="FI119" s="124"/>
      <c r="FJ119" s="124"/>
      <c r="FK119" s="124"/>
      <c r="FL119" s="124"/>
      <c r="FM119" s="124"/>
      <c r="FN119" s="124"/>
      <c r="FO119" s="124"/>
      <c r="FP119" s="124"/>
      <c r="FQ119" s="65">
        <f t="shared" si="557"/>
        <v>0</v>
      </c>
      <c r="FR119" s="124"/>
      <c r="FS119" s="124"/>
      <c r="FT119" s="124"/>
      <c r="FU119" s="124"/>
      <c r="FV119" s="124"/>
      <c r="FW119" s="124"/>
      <c r="FX119" s="124"/>
      <c r="FY119" s="124"/>
      <c r="FZ119" s="124"/>
      <c r="GA119" s="124"/>
      <c r="GB119" s="124"/>
      <c r="GC119" s="124"/>
      <c r="GD119" s="124"/>
      <c r="GE119" s="124"/>
      <c r="GF119" s="124"/>
      <c r="GG119" s="124"/>
      <c r="GH119" s="124"/>
      <c r="GI119" s="124"/>
      <c r="GJ119" s="124"/>
      <c r="GK119" s="124"/>
      <c r="GL119" s="124"/>
      <c r="GM119" s="124"/>
      <c r="GN119" s="124"/>
      <c r="GO119" s="124"/>
      <c r="GP119" s="124"/>
    </row>
    <row r="120" s="48" customFormat="1" ht="15" hidden="1" customHeight="1" spans="1:198">
      <c r="A120" s="137"/>
      <c r="B120" s="103"/>
      <c r="C120" s="109" t="s">
        <v>21</v>
      </c>
      <c r="D120" s="133" t="e">
        <f>SUM(E120:P120)</f>
        <v>#REF!</v>
      </c>
      <c r="E120" s="123" t="e">
        <f>#REF!</f>
        <v>#REF!</v>
      </c>
      <c r="F120" s="123" t="e">
        <f>#REF!</f>
        <v>#REF!</v>
      </c>
      <c r="G120" s="123" t="e">
        <f>#REF!</f>
        <v>#REF!</v>
      </c>
      <c r="H120" s="123" t="e">
        <f>#REF!</f>
        <v>#REF!</v>
      </c>
      <c r="I120" s="123" t="e">
        <f>#REF!</f>
        <v>#REF!</v>
      </c>
      <c r="J120" s="123" t="e">
        <f>#REF!</f>
        <v>#REF!</v>
      </c>
      <c r="K120" s="123" t="e">
        <f>#REF!</f>
        <v>#REF!</v>
      </c>
      <c r="L120" s="123" t="e">
        <f>#REF!</f>
        <v>#REF!</v>
      </c>
      <c r="M120" s="123" t="e">
        <f>#REF!</f>
        <v>#REF!</v>
      </c>
      <c r="N120" s="123" t="e">
        <f>#REF!</f>
        <v>#REF!</v>
      </c>
      <c r="O120" s="123" t="e">
        <f>#REF!</f>
        <v>#REF!</v>
      </c>
      <c r="P120" s="123" t="e">
        <f>#REF!</f>
        <v>#REF!</v>
      </c>
      <c r="Q120" s="134">
        <f>SUM(R120:AV120)</f>
        <v>0</v>
      </c>
      <c r="R120" s="124">
        <f>SUMIFS(商品数据源!$G:$G,商品数据源!$A:$A,$B$119,商品数据源!$B:$B,R2)</f>
        <v>0</v>
      </c>
      <c r="S120" s="124">
        <f>SUMIFS(商品数据源!$G:$G,商品数据源!$A:$A,$B$119,商品数据源!$B:$B,S2)</f>
        <v>0</v>
      </c>
      <c r="T120" s="124">
        <f>SUMIFS(商品数据源!$G:$G,商品数据源!$A:$A,$B$119,商品数据源!$B:$B,T2)</f>
        <v>0</v>
      </c>
      <c r="U120" s="124">
        <f>SUMIFS(商品数据源!$G:$G,商品数据源!$A:$A,$B$119,商品数据源!$B:$B,U2)</f>
        <v>0</v>
      </c>
      <c r="V120" s="124">
        <f>SUMIFS(商品数据源!$G:$G,商品数据源!$A:$A,$B$119,商品数据源!$B:$B,V2)</f>
        <v>0</v>
      </c>
      <c r="W120" s="124">
        <f>SUMIFS(商品数据源!$G:$G,商品数据源!$A:$A,$B$119,商品数据源!$B:$B,W2)</f>
        <v>0</v>
      </c>
      <c r="X120" s="124">
        <f>SUMIFS(商品数据源!$G:$G,商品数据源!$A:$A,$B$119,商品数据源!$B:$B,X2)</f>
        <v>0</v>
      </c>
      <c r="Y120" s="124">
        <f>SUMIFS(商品数据源!$G:$G,商品数据源!$A:$A,$B$119,商品数据源!$B:$B,Y2)</f>
        <v>0</v>
      </c>
      <c r="Z120" s="124">
        <f>SUMIFS(商品数据源!$G:$G,商品数据源!$A:$A,$B$119,商品数据源!$B:$B,Z2)</f>
        <v>0</v>
      </c>
      <c r="AA120" s="124">
        <f>SUMIFS(商品数据源!$G:$G,商品数据源!$A:$A,$B$119,商品数据源!$B:$B,AA2)</f>
        <v>0</v>
      </c>
      <c r="AB120" s="124">
        <f>SUMIFS(商品数据源!$G:$G,商品数据源!$A:$A,$B$119,商品数据源!$B:$B,AB2)</f>
        <v>0</v>
      </c>
      <c r="AC120" s="124">
        <f>SUMIFS(商品数据源!$G:$G,商品数据源!$A:$A,$B$119,商品数据源!$B:$B,AC2)</f>
        <v>0</v>
      </c>
      <c r="AD120" s="124">
        <f>SUMIFS(商品数据源!$G:$G,商品数据源!$A:$A,$B$119,商品数据源!$B:$B,AD2)</f>
        <v>0</v>
      </c>
      <c r="AE120" s="124"/>
      <c r="AF120" s="124"/>
      <c r="AG120" s="124"/>
      <c r="AH120" s="124"/>
      <c r="AI120" s="124"/>
      <c r="AJ120" s="124"/>
      <c r="AK120" s="124"/>
      <c r="AL120" s="124"/>
      <c r="AM120" s="124"/>
      <c r="AN120" s="124"/>
      <c r="AO120" s="124"/>
      <c r="AP120" s="124"/>
      <c r="AQ120" s="124"/>
      <c r="AR120" s="124"/>
      <c r="AS120" s="124"/>
      <c r="AT120" s="124"/>
      <c r="AU120" s="124"/>
      <c r="AV120" s="124"/>
      <c r="AW120" s="134">
        <f>SUM(AX120:BY120)</f>
        <v>0</v>
      </c>
      <c r="AX120" s="124"/>
      <c r="AY120" s="124"/>
      <c r="AZ120" s="124"/>
      <c r="BA120" s="124"/>
      <c r="BB120" s="124"/>
      <c r="BC120" s="124"/>
      <c r="BD120" s="124"/>
      <c r="BE120" s="124"/>
      <c r="BF120" s="124"/>
      <c r="BG120" s="124"/>
      <c r="BH120" s="124"/>
      <c r="BI120" s="124"/>
      <c r="BJ120" s="124"/>
      <c r="BK120" s="124"/>
      <c r="BL120" s="124"/>
      <c r="BM120" s="124"/>
      <c r="BN120" s="124"/>
      <c r="BO120" s="124"/>
      <c r="BP120" s="124"/>
      <c r="BQ120" s="124"/>
      <c r="BR120" s="124"/>
      <c r="BS120" s="124"/>
      <c r="BT120" s="124"/>
      <c r="BU120" s="124"/>
      <c r="BV120" s="124"/>
      <c r="BW120" s="124"/>
      <c r="BX120" s="124"/>
      <c r="BY120" s="124"/>
      <c r="BZ120" s="134">
        <f>SUM(CA120:DE120)</f>
        <v>0</v>
      </c>
      <c r="CA120" s="124"/>
      <c r="CB120" s="124"/>
      <c r="CC120" s="124"/>
      <c r="CD120" s="124"/>
      <c r="CE120" s="124"/>
      <c r="CF120" s="124"/>
      <c r="CG120" s="124"/>
      <c r="CH120" s="124"/>
      <c r="CI120" s="124"/>
      <c r="CJ120" s="124"/>
      <c r="CK120" s="124"/>
      <c r="CL120" s="124"/>
      <c r="CM120" s="124"/>
      <c r="CN120" s="124"/>
      <c r="CO120" s="124"/>
      <c r="CP120" s="124"/>
      <c r="CQ120" s="124"/>
      <c r="CR120" s="124"/>
      <c r="CS120" s="124"/>
      <c r="CT120" s="124"/>
      <c r="CU120" s="124"/>
      <c r="CV120" s="124"/>
      <c r="CW120" s="124"/>
      <c r="CX120" s="124"/>
      <c r="CY120" s="124"/>
      <c r="CZ120" s="124"/>
      <c r="DA120" s="124"/>
      <c r="DB120" s="124"/>
      <c r="DC120" s="124"/>
      <c r="DD120" s="124"/>
      <c r="DE120" s="124"/>
      <c r="DF120" s="134">
        <f>SUM(DG120:EJ120)</f>
        <v>0</v>
      </c>
      <c r="DG120" s="124"/>
      <c r="DH120" s="124"/>
      <c r="DI120" s="124"/>
      <c r="DJ120" s="124"/>
      <c r="DK120" s="124"/>
      <c r="DL120" s="124"/>
      <c r="DM120" s="124"/>
      <c r="DN120" s="124"/>
      <c r="DO120" s="124"/>
      <c r="DP120" s="124"/>
      <c r="DQ120" s="124"/>
      <c r="DR120" s="124"/>
      <c r="DS120" s="124"/>
      <c r="DT120" s="124"/>
      <c r="DU120" s="124"/>
      <c r="DV120" s="124"/>
      <c r="DW120" s="124"/>
      <c r="DX120" s="124"/>
      <c r="DY120" s="124"/>
      <c r="DZ120" s="124"/>
      <c r="EA120" s="124"/>
      <c r="EB120" s="124"/>
      <c r="EC120" s="124"/>
      <c r="ED120" s="124"/>
      <c r="EE120" s="124"/>
      <c r="EF120" s="124"/>
      <c r="EG120" s="124"/>
      <c r="EH120" s="124"/>
      <c r="EI120" s="124"/>
      <c r="EJ120" s="124"/>
      <c r="EK120" s="134">
        <f>SUM(EL120:FP120)</f>
        <v>0</v>
      </c>
      <c r="EL120" s="124"/>
      <c r="EM120" s="124"/>
      <c r="EN120" s="124"/>
      <c r="EO120" s="124"/>
      <c r="EP120" s="124"/>
      <c r="EQ120" s="124"/>
      <c r="ER120" s="124"/>
      <c r="ES120" s="124"/>
      <c r="ET120" s="124"/>
      <c r="EU120" s="124"/>
      <c r="EV120" s="124"/>
      <c r="EW120" s="124"/>
      <c r="EX120" s="124"/>
      <c r="EY120" s="124"/>
      <c r="EZ120" s="124"/>
      <c r="FA120" s="124"/>
      <c r="FB120" s="124"/>
      <c r="FC120" s="124"/>
      <c r="FD120" s="124"/>
      <c r="FE120" s="124"/>
      <c r="FF120" s="124"/>
      <c r="FG120" s="124"/>
      <c r="FH120" s="124"/>
      <c r="FI120" s="124"/>
      <c r="FJ120" s="124"/>
      <c r="FK120" s="124"/>
      <c r="FL120" s="124"/>
      <c r="FM120" s="124"/>
      <c r="FN120" s="124"/>
      <c r="FO120" s="124"/>
      <c r="FP120" s="124"/>
      <c r="FQ120" s="134">
        <f t="shared" si="557"/>
        <v>0</v>
      </c>
      <c r="FR120" s="124"/>
      <c r="FS120" s="124"/>
      <c r="FT120" s="124"/>
      <c r="FU120" s="124"/>
      <c r="FV120" s="124"/>
      <c r="FW120" s="124"/>
      <c r="FX120" s="124"/>
      <c r="FY120" s="124"/>
      <c r="FZ120" s="124"/>
      <c r="GA120" s="124"/>
      <c r="GB120" s="124"/>
      <c r="GC120" s="124"/>
      <c r="GD120" s="124"/>
      <c r="GE120" s="124"/>
      <c r="GF120" s="124"/>
      <c r="GG120" s="124"/>
      <c r="GH120" s="124"/>
      <c r="GI120" s="124"/>
      <c r="GJ120" s="124"/>
      <c r="GK120" s="124"/>
      <c r="GL120" s="124"/>
      <c r="GM120" s="124"/>
      <c r="GN120" s="124"/>
      <c r="GO120" s="124"/>
      <c r="GP120" s="124"/>
    </row>
    <row r="121" s="48" customFormat="1" ht="15" hidden="1" customHeight="1" spans="1:198">
      <c r="B121" s="103"/>
      <c r="C121" s="109" t="s">
        <v>22</v>
      </c>
      <c r="D121" s="125" t="e">
        <f t="shared" ref="D121:O121" si="576">D119/D120</f>
        <v>#REF!</v>
      </c>
      <c r="E121" s="135" t="e">
        <f t="shared" si="576"/>
        <v>#REF!</v>
      </c>
      <c r="F121" s="135" t="e">
        <f t="shared" si="576"/>
        <v>#REF!</v>
      </c>
      <c r="G121" s="135" t="e">
        <f t="shared" si="576"/>
        <v>#REF!</v>
      </c>
      <c r="H121" s="135" t="e">
        <f t="shared" si="576"/>
        <v>#REF!</v>
      </c>
      <c r="I121" s="135" t="e">
        <f t="shared" si="576"/>
        <v>#REF!</v>
      </c>
      <c r="J121" s="135" t="e">
        <f t="shared" si="576"/>
        <v>#REF!</v>
      </c>
      <c r="K121" s="135" t="e">
        <f t="shared" si="576"/>
        <v>#REF!</v>
      </c>
      <c r="L121" s="135" t="e">
        <f t="shared" si="576"/>
        <v>#REF!</v>
      </c>
      <c r="M121" s="135" t="e">
        <f t="shared" si="576"/>
        <v>#REF!</v>
      </c>
      <c r="N121" s="135" t="e">
        <f t="shared" si="576"/>
        <v>#REF!</v>
      </c>
      <c r="O121" s="135" t="e">
        <f t="shared" si="576"/>
        <v>#REF!</v>
      </c>
      <c r="P121" s="135" t="e">
        <f t="shared" ref="P121:R121" si="577">P119/P120</f>
        <v>#REF!</v>
      </c>
      <c r="Q121" s="118" t="e">
        <f t="shared" si="577"/>
        <v>#DIV/0!</v>
      </c>
      <c r="R121" s="127">
        <f>R28/R29</f>
        <v>0</v>
      </c>
      <c r="S121" s="127">
        <f t="shared" ref="S121:AD121" si="578">S28/S29</f>
        <v>0</v>
      </c>
      <c r="T121" s="127">
        <f t="shared" si="578"/>
        <v>0</v>
      </c>
      <c r="U121" s="127">
        <f t="shared" si="578"/>
        <v>0</v>
      </c>
      <c r="V121" s="127">
        <f t="shared" si="578"/>
        <v>0</v>
      </c>
      <c r="W121" s="127">
        <f t="shared" si="578"/>
        <v>0</v>
      </c>
      <c r="X121" s="127">
        <f t="shared" si="578"/>
        <v>0</v>
      </c>
      <c r="Y121" s="127">
        <f t="shared" si="578"/>
        <v>0</v>
      </c>
      <c r="Z121" s="127">
        <f t="shared" si="578"/>
        <v>0</v>
      </c>
      <c r="AA121" s="127">
        <f t="shared" si="578"/>
        <v>0</v>
      </c>
      <c r="AB121" s="127">
        <f t="shared" si="578"/>
        <v>0</v>
      </c>
      <c r="AC121" s="127">
        <f t="shared" si="578"/>
        <v>0</v>
      </c>
      <c r="AD121" s="127">
        <f t="shared" si="578"/>
        <v>0</v>
      </c>
      <c r="AE121" s="124"/>
      <c r="AF121" s="124"/>
      <c r="AG121" s="124"/>
      <c r="AH121" s="124"/>
      <c r="AI121" s="124"/>
      <c r="AJ121" s="124"/>
      <c r="AK121" s="124"/>
      <c r="AL121" s="124"/>
      <c r="AM121" s="124"/>
      <c r="AN121" s="124"/>
      <c r="AO121" s="124"/>
      <c r="AP121" s="124"/>
      <c r="AQ121" s="124"/>
      <c r="AR121" s="124"/>
      <c r="AS121" s="124"/>
      <c r="AT121" s="124"/>
      <c r="AU121" s="124"/>
      <c r="AV121" s="124"/>
      <c r="AW121" s="118" t="e">
        <f>AW119/AW120</f>
        <v>#DIV/0!</v>
      </c>
      <c r="AX121" s="124"/>
      <c r="AY121" s="124"/>
      <c r="AZ121" s="124"/>
      <c r="BA121" s="124"/>
      <c r="BB121" s="124"/>
      <c r="BC121" s="124"/>
      <c r="BD121" s="124"/>
      <c r="BE121" s="124"/>
      <c r="BF121" s="124"/>
      <c r="BG121" s="124"/>
      <c r="BH121" s="124"/>
      <c r="BI121" s="124"/>
      <c r="BJ121" s="124"/>
      <c r="BK121" s="124"/>
      <c r="BL121" s="124"/>
      <c r="BM121" s="124"/>
      <c r="BN121" s="124"/>
      <c r="BO121" s="124"/>
      <c r="BP121" s="124"/>
      <c r="BQ121" s="124"/>
      <c r="BR121" s="124"/>
      <c r="BS121" s="124"/>
      <c r="BT121" s="124"/>
      <c r="BU121" s="124"/>
      <c r="BV121" s="124"/>
      <c r="BW121" s="124"/>
      <c r="BX121" s="124"/>
      <c r="BY121" s="124"/>
      <c r="BZ121" s="118" t="e">
        <f>BZ119/BZ120</f>
        <v>#DIV/0!</v>
      </c>
      <c r="CA121" s="124"/>
      <c r="CB121" s="124"/>
      <c r="CC121" s="124"/>
      <c r="CD121" s="124"/>
      <c r="CE121" s="124"/>
      <c r="CF121" s="124"/>
      <c r="CG121" s="124"/>
      <c r="CH121" s="124"/>
      <c r="CI121" s="124"/>
      <c r="CJ121" s="124"/>
      <c r="CK121" s="124"/>
      <c r="CL121" s="124"/>
      <c r="CM121" s="124"/>
      <c r="CN121" s="124"/>
      <c r="CO121" s="124"/>
      <c r="CP121" s="124"/>
      <c r="CQ121" s="124"/>
      <c r="CR121" s="124"/>
      <c r="CS121" s="124"/>
      <c r="CT121" s="124"/>
      <c r="CU121" s="124"/>
      <c r="CV121" s="124"/>
      <c r="CW121" s="124"/>
      <c r="CX121" s="124"/>
      <c r="CY121" s="124"/>
      <c r="CZ121" s="124"/>
      <c r="DA121" s="124"/>
      <c r="DB121" s="124"/>
      <c r="DC121" s="124"/>
      <c r="DD121" s="124"/>
      <c r="DE121" s="124"/>
      <c r="DF121" s="118" t="e">
        <f>DF119/DF120</f>
        <v>#DIV/0!</v>
      </c>
      <c r="DG121" s="124"/>
      <c r="DH121" s="124"/>
      <c r="DI121" s="124"/>
      <c r="DJ121" s="124"/>
      <c r="DK121" s="124"/>
      <c r="DL121" s="124"/>
      <c r="DM121" s="124"/>
      <c r="DN121" s="124"/>
      <c r="DO121" s="124"/>
      <c r="DP121" s="124"/>
      <c r="DQ121" s="124"/>
      <c r="DR121" s="124"/>
      <c r="DS121" s="124"/>
      <c r="DT121" s="124"/>
      <c r="DU121" s="124"/>
      <c r="DV121" s="124"/>
      <c r="DW121" s="124"/>
      <c r="DX121" s="124"/>
      <c r="DY121" s="124"/>
      <c r="DZ121" s="124"/>
      <c r="EA121" s="124"/>
      <c r="EB121" s="124"/>
      <c r="EC121" s="124"/>
      <c r="ED121" s="124"/>
      <c r="EE121" s="124"/>
      <c r="EF121" s="124"/>
      <c r="EG121" s="124"/>
      <c r="EH121" s="124"/>
      <c r="EI121" s="124"/>
      <c r="EJ121" s="124"/>
      <c r="EK121" s="118" t="e">
        <f>EK119/EK120</f>
        <v>#DIV/0!</v>
      </c>
      <c r="EL121" s="124"/>
      <c r="EM121" s="124"/>
      <c r="EN121" s="124"/>
      <c r="EO121" s="124"/>
      <c r="EP121" s="124"/>
      <c r="EQ121" s="124"/>
      <c r="ER121" s="124"/>
      <c r="ES121" s="124"/>
      <c r="ET121" s="124"/>
      <c r="EU121" s="124"/>
      <c r="EV121" s="124"/>
      <c r="EW121" s="124"/>
      <c r="EX121" s="124"/>
      <c r="EY121" s="124"/>
      <c r="EZ121" s="124"/>
      <c r="FA121" s="124"/>
      <c r="FB121" s="124"/>
      <c r="FC121" s="124"/>
      <c r="FD121" s="124"/>
      <c r="FE121" s="124"/>
      <c r="FF121" s="124"/>
      <c r="FG121" s="124"/>
      <c r="FH121" s="124"/>
      <c r="FI121" s="124"/>
      <c r="FJ121" s="124"/>
      <c r="FK121" s="124"/>
      <c r="FL121" s="124"/>
      <c r="FM121" s="124"/>
      <c r="FN121" s="124"/>
      <c r="FO121" s="124"/>
      <c r="FP121" s="124"/>
      <c r="FQ121" s="118" t="e">
        <f>FQ119/FQ120</f>
        <v>#DIV/0!</v>
      </c>
      <c r="FR121" s="124"/>
      <c r="FS121" s="124"/>
      <c r="FT121" s="124"/>
      <c r="FU121" s="124"/>
      <c r="FV121" s="124"/>
      <c r="FW121" s="124"/>
      <c r="FX121" s="124"/>
      <c r="FY121" s="124"/>
      <c r="FZ121" s="124"/>
      <c r="GA121" s="124"/>
      <c r="GB121" s="124"/>
      <c r="GC121" s="124"/>
      <c r="GD121" s="124"/>
      <c r="GE121" s="124"/>
      <c r="GF121" s="124"/>
      <c r="GG121" s="124"/>
      <c r="GH121" s="124"/>
      <c r="GI121" s="124"/>
      <c r="GJ121" s="124"/>
      <c r="GK121" s="124"/>
      <c r="GL121" s="124"/>
      <c r="GM121" s="124"/>
      <c r="GN121" s="124"/>
      <c r="GO121" s="124"/>
      <c r="GP121" s="124"/>
    </row>
    <row r="122" s="48" customFormat="1" ht="15" hidden="1" customHeight="1" spans="1:198">
      <c r="A122" s="138"/>
      <c r="B122" s="103"/>
      <c r="C122" s="109" t="s">
        <v>23</v>
      </c>
      <c r="D122" s="133" t="e">
        <f>SUM(E122:P122)</f>
        <v>#REF!</v>
      </c>
      <c r="E122" s="123" t="e">
        <f>#REF!</f>
        <v>#REF!</v>
      </c>
      <c r="F122" s="123" t="e">
        <f>#REF!</f>
        <v>#REF!</v>
      </c>
      <c r="G122" s="123" t="e">
        <f>#REF!</f>
        <v>#REF!</v>
      </c>
      <c r="H122" s="123" t="e">
        <f>#REF!</f>
        <v>#REF!</v>
      </c>
      <c r="I122" s="123" t="e">
        <f>#REF!</f>
        <v>#REF!</v>
      </c>
      <c r="J122" s="123" t="e">
        <f>#REF!</f>
        <v>#REF!</v>
      </c>
      <c r="K122" s="123" t="e">
        <f>#REF!</f>
        <v>#REF!</v>
      </c>
      <c r="L122" s="123" t="e">
        <f>#REF!</f>
        <v>#REF!</v>
      </c>
      <c r="M122" s="123" t="e">
        <f>#REF!</f>
        <v>#REF!</v>
      </c>
      <c r="N122" s="123" t="e">
        <f>#REF!</f>
        <v>#REF!</v>
      </c>
      <c r="O122" s="123" t="e">
        <f>#REF!</f>
        <v>#REF!</v>
      </c>
      <c r="P122" s="123" t="e">
        <f>#REF!</f>
        <v>#REF!</v>
      </c>
      <c r="Q122" s="134">
        <f>SUM(R122:AV122)</f>
        <v>0</v>
      </c>
      <c r="R122" s="124">
        <f>SUMIFS(商品数据源!$AB:$AB,商品数据源!$A:$A,$B$119,商品数据源!$B:$B,R2)</f>
        <v>0</v>
      </c>
      <c r="S122" s="124">
        <f>SUMIFS(商品数据源!$AB:$AB,商品数据源!$A:$A,$B$119,商品数据源!$B:$B,S2)</f>
        <v>0</v>
      </c>
      <c r="T122" s="124">
        <f>SUMIFS(商品数据源!$AB:$AB,商品数据源!$A:$A,$B$119,商品数据源!$B:$B,T2)</f>
        <v>0</v>
      </c>
      <c r="U122" s="124">
        <f>SUMIFS(商品数据源!$AB:$AB,商品数据源!$A:$A,$B$119,商品数据源!$B:$B,U2)</f>
        <v>0</v>
      </c>
      <c r="V122" s="124">
        <f>SUMIFS(商品数据源!$AB:$AB,商品数据源!$A:$A,$B$119,商品数据源!$B:$B,V2)</f>
        <v>0</v>
      </c>
      <c r="W122" s="124">
        <f>SUMIFS(商品数据源!$AB:$AB,商品数据源!$A:$A,$B$119,商品数据源!$B:$B,W2)</f>
        <v>0</v>
      </c>
      <c r="X122" s="124">
        <f>SUMIFS(商品数据源!$AB:$AB,商品数据源!$A:$A,$B$119,商品数据源!$B:$B,X2)</f>
        <v>0</v>
      </c>
      <c r="Y122" s="124">
        <f>SUMIFS(商品数据源!$AB:$AB,商品数据源!$A:$A,$B$119,商品数据源!$B:$B,Y2)</f>
        <v>0</v>
      </c>
      <c r="Z122" s="124">
        <f>SUMIFS(商品数据源!$AB:$AB,商品数据源!$A:$A,$B$119,商品数据源!$B:$B,Z2)</f>
        <v>0</v>
      </c>
      <c r="AA122" s="124">
        <f>SUMIFS(商品数据源!$AB:$AB,商品数据源!$A:$A,$B$119,商品数据源!$B:$B,AA2)</f>
        <v>0</v>
      </c>
      <c r="AB122" s="124">
        <f>SUMIFS(商品数据源!$AB:$AB,商品数据源!$A:$A,$B$119,商品数据源!$B:$B,AB2)</f>
        <v>0</v>
      </c>
      <c r="AC122" s="124">
        <f>SUMIFS(商品数据源!$AB:$AB,商品数据源!$A:$A,$B$119,商品数据源!$B:$B,AC2)</f>
        <v>0</v>
      </c>
      <c r="AD122" s="124">
        <f>SUMIFS(商品数据源!$AB:$AB,商品数据源!$A:$A,$B$119,商品数据源!$B:$B,AD2)</f>
        <v>0</v>
      </c>
      <c r="AE122" s="124"/>
      <c r="AF122" s="124"/>
      <c r="AG122" s="124"/>
      <c r="AH122" s="124"/>
      <c r="AI122" s="124"/>
      <c r="AJ122" s="124"/>
      <c r="AK122" s="124"/>
      <c r="AL122" s="124"/>
      <c r="AM122" s="124"/>
      <c r="AN122" s="124"/>
      <c r="AO122" s="124"/>
      <c r="AP122" s="124"/>
      <c r="AQ122" s="124"/>
      <c r="AR122" s="124"/>
      <c r="AS122" s="124"/>
      <c r="AT122" s="124"/>
      <c r="AU122" s="124"/>
      <c r="AV122" s="124"/>
      <c r="AW122" s="134">
        <f>SUM(AX122:BY122)</f>
        <v>0</v>
      </c>
      <c r="AX122" s="124"/>
      <c r="AY122" s="124"/>
      <c r="AZ122" s="124"/>
      <c r="BA122" s="124"/>
      <c r="BB122" s="124"/>
      <c r="BC122" s="124"/>
      <c r="BD122" s="124"/>
      <c r="BE122" s="124"/>
      <c r="BF122" s="124"/>
      <c r="BG122" s="124"/>
      <c r="BH122" s="124"/>
      <c r="BI122" s="124"/>
      <c r="BJ122" s="124"/>
      <c r="BK122" s="124"/>
      <c r="BL122" s="124"/>
      <c r="BM122" s="124"/>
      <c r="BN122" s="124"/>
      <c r="BO122" s="124"/>
      <c r="BP122" s="124"/>
      <c r="BQ122" s="124"/>
      <c r="BR122" s="124"/>
      <c r="BS122" s="124"/>
      <c r="BT122" s="124"/>
      <c r="BU122" s="124"/>
      <c r="BV122" s="124"/>
      <c r="BW122" s="124"/>
      <c r="BX122" s="124"/>
      <c r="BY122" s="124"/>
      <c r="BZ122" s="134">
        <f>SUM(CA122:DE122)</f>
        <v>0</v>
      </c>
      <c r="CA122" s="124"/>
      <c r="CB122" s="124"/>
      <c r="CC122" s="124"/>
      <c r="CD122" s="124"/>
      <c r="CE122" s="124"/>
      <c r="CF122" s="124"/>
      <c r="CG122" s="124"/>
      <c r="CH122" s="124"/>
      <c r="CI122" s="124"/>
      <c r="CJ122" s="124"/>
      <c r="CK122" s="124"/>
      <c r="CL122" s="124"/>
      <c r="CM122" s="124"/>
      <c r="CN122" s="124"/>
      <c r="CO122" s="124"/>
      <c r="CP122" s="124"/>
      <c r="CQ122" s="124"/>
      <c r="CR122" s="124"/>
      <c r="CS122" s="124"/>
      <c r="CT122" s="124"/>
      <c r="CU122" s="124"/>
      <c r="CV122" s="124"/>
      <c r="CW122" s="124"/>
      <c r="CX122" s="124"/>
      <c r="CY122" s="124"/>
      <c r="CZ122" s="124"/>
      <c r="DA122" s="124"/>
      <c r="DB122" s="124"/>
      <c r="DC122" s="124"/>
      <c r="DD122" s="124"/>
      <c r="DE122" s="124"/>
      <c r="DF122" s="134">
        <f>SUM(DG122:EJ122)</f>
        <v>0</v>
      </c>
      <c r="DG122" s="124"/>
      <c r="DH122" s="124"/>
      <c r="DI122" s="124"/>
      <c r="DJ122" s="124"/>
      <c r="DK122" s="124"/>
      <c r="DL122" s="124"/>
      <c r="DM122" s="124"/>
      <c r="DN122" s="124"/>
      <c r="DO122" s="124"/>
      <c r="DP122" s="124"/>
      <c r="DQ122" s="124"/>
      <c r="DR122" s="124"/>
      <c r="DS122" s="124"/>
      <c r="DT122" s="124"/>
      <c r="DU122" s="124"/>
      <c r="DV122" s="124"/>
      <c r="DW122" s="124"/>
      <c r="DX122" s="124"/>
      <c r="DY122" s="124"/>
      <c r="DZ122" s="124"/>
      <c r="EA122" s="124"/>
      <c r="EB122" s="124"/>
      <c r="EC122" s="124"/>
      <c r="ED122" s="124"/>
      <c r="EE122" s="124"/>
      <c r="EF122" s="124"/>
      <c r="EG122" s="124"/>
      <c r="EH122" s="124"/>
      <c r="EI122" s="124"/>
      <c r="EJ122" s="124"/>
      <c r="EK122" s="134">
        <f>SUM(EL122:FP122)</f>
        <v>0</v>
      </c>
      <c r="EL122" s="124"/>
      <c r="EM122" s="124"/>
      <c r="EN122" s="124"/>
      <c r="EO122" s="124"/>
      <c r="EP122" s="124"/>
      <c r="EQ122" s="124"/>
      <c r="ER122" s="124"/>
      <c r="ES122" s="124"/>
      <c r="ET122" s="124"/>
      <c r="EU122" s="124"/>
      <c r="EV122" s="124"/>
      <c r="EW122" s="124"/>
      <c r="EX122" s="124"/>
      <c r="EY122" s="124"/>
      <c r="EZ122" s="124"/>
      <c r="FA122" s="124"/>
      <c r="FB122" s="124"/>
      <c r="FC122" s="124"/>
      <c r="FD122" s="124"/>
      <c r="FE122" s="124"/>
      <c r="FF122" s="124"/>
      <c r="FG122" s="124"/>
      <c r="FH122" s="124"/>
      <c r="FI122" s="124"/>
      <c r="FJ122" s="124"/>
      <c r="FK122" s="124"/>
      <c r="FL122" s="124"/>
      <c r="FM122" s="124"/>
      <c r="FN122" s="124"/>
      <c r="FO122" s="124"/>
      <c r="FP122" s="124"/>
      <c r="FQ122" s="134">
        <f t="shared" ref="FQ122:FQ125" si="579">SUM(FR122:GX122)</f>
        <v>0</v>
      </c>
      <c r="FR122" s="124"/>
      <c r="FS122" s="124"/>
      <c r="FT122" s="124"/>
      <c r="FU122" s="124"/>
      <c r="FV122" s="124"/>
      <c r="FW122" s="124"/>
      <c r="FX122" s="124"/>
      <c r="FY122" s="124"/>
      <c r="FZ122" s="124"/>
      <c r="GA122" s="124"/>
      <c r="GB122" s="124"/>
      <c r="GC122" s="124"/>
      <c r="GD122" s="124"/>
      <c r="GE122" s="124"/>
      <c r="GF122" s="124"/>
      <c r="GG122" s="124"/>
      <c r="GH122" s="124"/>
      <c r="GI122" s="124"/>
      <c r="GJ122" s="124"/>
      <c r="GK122" s="124"/>
      <c r="GL122" s="124"/>
      <c r="GM122" s="124"/>
      <c r="GN122" s="124"/>
      <c r="GO122" s="124"/>
      <c r="GP122" s="124"/>
    </row>
    <row r="123" s="48" customFormat="1" ht="15" hidden="1" customHeight="1" spans="1:198">
      <c r="A123" s="49"/>
      <c r="B123" s="103"/>
      <c r="C123" s="109" t="s">
        <v>24</v>
      </c>
      <c r="D123" s="122" t="e">
        <f t="shared" ref="D123:O123" si="580">D119/D122</f>
        <v>#REF!</v>
      </c>
      <c r="E123" s="110" t="e">
        <f t="shared" si="580"/>
        <v>#REF!</v>
      </c>
      <c r="F123" s="110" t="e">
        <f t="shared" si="580"/>
        <v>#REF!</v>
      </c>
      <c r="G123" s="110" t="e">
        <f t="shared" si="580"/>
        <v>#REF!</v>
      </c>
      <c r="H123" s="110" t="e">
        <f t="shared" si="580"/>
        <v>#REF!</v>
      </c>
      <c r="I123" s="110" t="e">
        <f t="shared" si="580"/>
        <v>#REF!</v>
      </c>
      <c r="J123" s="110" t="e">
        <f t="shared" si="580"/>
        <v>#REF!</v>
      </c>
      <c r="K123" s="110" t="e">
        <f t="shared" si="580"/>
        <v>#REF!</v>
      </c>
      <c r="L123" s="110" t="e">
        <f t="shared" si="580"/>
        <v>#REF!</v>
      </c>
      <c r="M123" s="110" t="e">
        <f t="shared" si="580"/>
        <v>#REF!</v>
      </c>
      <c r="N123" s="110" t="e">
        <f t="shared" si="580"/>
        <v>#REF!</v>
      </c>
      <c r="O123" s="110" t="e">
        <f t="shared" si="580"/>
        <v>#REF!</v>
      </c>
      <c r="P123" s="110" t="e">
        <f t="shared" ref="P123:R123" si="581">P119/P122</f>
        <v>#REF!</v>
      </c>
      <c r="Q123" s="65" t="e">
        <f t="shared" si="581"/>
        <v>#DIV/0!</v>
      </c>
      <c r="R123" s="136" t="e">
        <f>R28/R122</f>
        <v>#DIV/0!</v>
      </c>
      <c r="S123" s="136" t="e">
        <f t="shared" ref="S123:AD123" si="582">S28/S122</f>
        <v>#DIV/0!</v>
      </c>
      <c r="T123" s="136" t="e">
        <f t="shared" si="582"/>
        <v>#DIV/0!</v>
      </c>
      <c r="U123" s="136" t="e">
        <f t="shared" si="582"/>
        <v>#DIV/0!</v>
      </c>
      <c r="V123" s="136" t="e">
        <f t="shared" si="582"/>
        <v>#DIV/0!</v>
      </c>
      <c r="W123" s="136" t="e">
        <f t="shared" si="582"/>
        <v>#DIV/0!</v>
      </c>
      <c r="X123" s="136" t="e">
        <f t="shared" si="582"/>
        <v>#DIV/0!</v>
      </c>
      <c r="Y123" s="136" t="e">
        <f t="shared" si="582"/>
        <v>#DIV/0!</v>
      </c>
      <c r="Z123" s="136" t="e">
        <f t="shared" si="582"/>
        <v>#DIV/0!</v>
      </c>
      <c r="AA123" s="136" t="e">
        <f t="shared" si="582"/>
        <v>#DIV/0!</v>
      </c>
      <c r="AB123" s="136" t="e">
        <f t="shared" si="582"/>
        <v>#DIV/0!</v>
      </c>
      <c r="AC123" s="136" t="e">
        <f t="shared" si="582"/>
        <v>#DIV/0!</v>
      </c>
      <c r="AD123" s="136" t="e">
        <f t="shared" si="582"/>
        <v>#DIV/0!</v>
      </c>
      <c r="AE123" s="124"/>
      <c r="AF123" s="124"/>
      <c r="AG123" s="124"/>
      <c r="AH123" s="124"/>
      <c r="AI123" s="124"/>
      <c r="AJ123" s="124"/>
      <c r="AK123" s="124"/>
      <c r="AL123" s="124"/>
      <c r="AM123" s="124"/>
      <c r="AN123" s="124"/>
      <c r="AO123" s="124"/>
      <c r="AP123" s="124"/>
      <c r="AQ123" s="124"/>
      <c r="AR123" s="124"/>
      <c r="AS123" s="124"/>
      <c r="AT123" s="124"/>
      <c r="AU123" s="124"/>
      <c r="AV123" s="124"/>
      <c r="AW123" s="65" t="e">
        <f>AW119/AW122</f>
        <v>#DIV/0!</v>
      </c>
      <c r="AX123" s="124"/>
      <c r="AY123" s="124"/>
      <c r="AZ123" s="124"/>
      <c r="BA123" s="124"/>
      <c r="BB123" s="124"/>
      <c r="BC123" s="124"/>
      <c r="BD123" s="124"/>
      <c r="BE123" s="124"/>
      <c r="BF123" s="124"/>
      <c r="BG123" s="124"/>
      <c r="BH123" s="124"/>
      <c r="BI123" s="124"/>
      <c r="BJ123" s="124"/>
      <c r="BK123" s="124"/>
      <c r="BL123" s="124"/>
      <c r="BM123" s="124"/>
      <c r="BN123" s="124"/>
      <c r="BO123" s="124"/>
      <c r="BP123" s="124"/>
      <c r="BQ123" s="124"/>
      <c r="BR123" s="124"/>
      <c r="BS123" s="124"/>
      <c r="BT123" s="124"/>
      <c r="BU123" s="124"/>
      <c r="BV123" s="124"/>
      <c r="BW123" s="124"/>
      <c r="BX123" s="124"/>
      <c r="BY123" s="124"/>
      <c r="BZ123" s="65" t="e">
        <f>BZ119/BZ122</f>
        <v>#DIV/0!</v>
      </c>
      <c r="CA123" s="124"/>
      <c r="CB123" s="124"/>
      <c r="CC123" s="124"/>
      <c r="CD123" s="124"/>
      <c r="CE123" s="124"/>
      <c r="CF123" s="124"/>
      <c r="CG123" s="124"/>
      <c r="CH123" s="124"/>
      <c r="CI123" s="124"/>
      <c r="CJ123" s="124"/>
      <c r="CK123" s="124"/>
      <c r="CL123" s="124"/>
      <c r="CM123" s="124"/>
      <c r="CN123" s="124"/>
      <c r="CO123" s="124"/>
      <c r="CP123" s="124"/>
      <c r="CQ123" s="124"/>
      <c r="CR123" s="124"/>
      <c r="CS123" s="124"/>
      <c r="CT123" s="124"/>
      <c r="CU123" s="124"/>
      <c r="CV123" s="124"/>
      <c r="CW123" s="124"/>
      <c r="CX123" s="124"/>
      <c r="CY123" s="124"/>
      <c r="CZ123" s="124"/>
      <c r="DA123" s="124"/>
      <c r="DB123" s="124"/>
      <c r="DC123" s="124"/>
      <c r="DD123" s="124"/>
      <c r="DE123" s="124"/>
      <c r="DF123" s="65" t="e">
        <f>DF119/DF122</f>
        <v>#DIV/0!</v>
      </c>
      <c r="DG123" s="124"/>
      <c r="DH123" s="124"/>
      <c r="DI123" s="124"/>
      <c r="DJ123" s="124"/>
      <c r="DK123" s="124"/>
      <c r="DL123" s="124"/>
      <c r="DM123" s="124"/>
      <c r="DN123" s="124"/>
      <c r="DO123" s="124"/>
      <c r="DP123" s="124"/>
      <c r="DQ123" s="124"/>
      <c r="DR123" s="124"/>
      <c r="DS123" s="124"/>
      <c r="DT123" s="124"/>
      <c r="DU123" s="124"/>
      <c r="DV123" s="124"/>
      <c r="DW123" s="124"/>
      <c r="DX123" s="124"/>
      <c r="DY123" s="124"/>
      <c r="DZ123" s="124"/>
      <c r="EA123" s="124"/>
      <c r="EB123" s="124"/>
      <c r="EC123" s="124"/>
      <c r="ED123" s="124"/>
      <c r="EE123" s="124"/>
      <c r="EF123" s="124"/>
      <c r="EG123" s="124"/>
      <c r="EH123" s="124"/>
      <c r="EI123" s="124"/>
      <c r="EJ123" s="124"/>
      <c r="EK123" s="65" t="e">
        <f>EK119/EK122</f>
        <v>#DIV/0!</v>
      </c>
      <c r="EL123" s="124"/>
      <c r="EM123" s="124"/>
      <c r="EN123" s="124"/>
      <c r="EO123" s="124"/>
      <c r="EP123" s="124"/>
      <c r="EQ123" s="124"/>
      <c r="ER123" s="124"/>
      <c r="ES123" s="124"/>
      <c r="ET123" s="124"/>
      <c r="EU123" s="124"/>
      <c r="EV123" s="124"/>
      <c r="EW123" s="124"/>
      <c r="EX123" s="124"/>
      <c r="EY123" s="124"/>
      <c r="EZ123" s="124"/>
      <c r="FA123" s="124"/>
      <c r="FB123" s="124"/>
      <c r="FC123" s="124"/>
      <c r="FD123" s="124"/>
      <c r="FE123" s="124"/>
      <c r="FF123" s="124"/>
      <c r="FG123" s="124"/>
      <c r="FH123" s="124"/>
      <c r="FI123" s="124"/>
      <c r="FJ123" s="124"/>
      <c r="FK123" s="124"/>
      <c r="FL123" s="124"/>
      <c r="FM123" s="124"/>
      <c r="FN123" s="124"/>
      <c r="FO123" s="124"/>
      <c r="FP123" s="124"/>
      <c r="FQ123" s="65" t="e">
        <f>FQ119/FQ122</f>
        <v>#DIV/0!</v>
      </c>
      <c r="FR123" s="124"/>
      <c r="FS123" s="124"/>
      <c r="FT123" s="124"/>
      <c r="FU123" s="124"/>
      <c r="FV123" s="124"/>
      <c r="FW123" s="124"/>
      <c r="FX123" s="124"/>
      <c r="FY123" s="124"/>
      <c r="FZ123" s="124"/>
      <c r="GA123" s="124"/>
      <c r="GB123" s="124"/>
      <c r="GC123" s="124"/>
      <c r="GD123" s="124"/>
      <c r="GE123" s="124"/>
      <c r="GF123" s="124"/>
      <c r="GG123" s="124"/>
      <c r="GH123" s="124"/>
      <c r="GI123" s="124"/>
      <c r="GJ123" s="124"/>
      <c r="GK123" s="124"/>
      <c r="GL123" s="124"/>
      <c r="GM123" s="124"/>
      <c r="GN123" s="124"/>
      <c r="GO123" s="124"/>
      <c r="GP123" s="124"/>
    </row>
    <row r="124" s="48" customFormat="1" ht="15" hidden="1" customHeight="1" spans="1:198">
      <c r="A124" s="49"/>
      <c r="B124" s="103"/>
      <c r="C124" s="109" t="s">
        <v>25</v>
      </c>
      <c r="D124" s="133" t="e">
        <f>SUM(E124:P124)</f>
        <v>#REF!</v>
      </c>
      <c r="E124" s="123" t="e">
        <f>#REF!</f>
        <v>#REF!</v>
      </c>
      <c r="F124" s="123" t="e">
        <f>#REF!</f>
        <v>#REF!</v>
      </c>
      <c r="G124" s="123" t="e">
        <f>#REF!</f>
        <v>#REF!</v>
      </c>
      <c r="H124" s="123" t="e">
        <f>#REF!</f>
        <v>#REF!</v>
      </c>
      <c r="I124" s="123" t="e">
        <f>#REF!</f>
        <v>#REF!</v>
      </c>
      <c r="J124" s="123" t="e">
        <f>#REF!</f>
        <v>#REF!</v>
      </c>
      <c r="K124" s="123" t="e">
        <f>#REF!</f>
        <v>#REF!</v>
      </c>
      <c r="L124" s="123" t="e">
        <f>#REF!</f>
        <v>#REF!</v>
      </c>
      <c r="M124" s="123" t="e">
        <f>#REF!</f>
        <v>#REF!</v>
      </c>
      <c r="N124" s="123" t="e">
        <f>#REF!</f>
        <v>#REF!</v>
      </c>
      <c r="O124" s="123" t="e">
        <f>#REF!</f>
        <v>#REF!</v>
      </c>
      <c r="P124" s="123" t="e">
        <f>#REF!</f>
        <v>#REF!</v>
      </c>
      <c r="Q124" s="134">
        <f>SUM(R124:AV124)</f>
        <v>0</v>
      </c>
      <c r="R124" s="124">
        <f>SUMIFS(商品数据源!$U:$U,商品数据源!$A:$A,$B$119,商品数据源!$B:$B,R2)</f>
        <v>0</v>
      </c>
      <c r="S124" s="124">
        <f>SUMIFS(商品数据源!$U:$U,商品数据源!$A:$A,$B$119,商品数据源!$B:$B,S2)</f>
        <v>0</v>
      </c>
      <c r="T124" s="124">
        <f>SUMIFS(商品数据源!$U:$U,商品数据源!$A:$A,$B$119,商品数据源!$B:$B,T2)</f>
        <v>0</v>
      </c>
      <c r="U124" s="124">
        <f>SUMIFS(商品数据源!$U:$U,商品数据源!$A:$A,$B$119,商品数据源!$B:$B,U2)</f>
        <v>0</v>
      </c>
      <c r="V124" s="124">
        <f>SUMIFS(商品数据源!$U:$U,商品数据源!$A:$A,$B$119,商品数据源!$B:$B,V2)</f>
        <v>0</v>
      </c>
      <c r="W124" s="124">
        <f>SUMIFS(商品数据源!$U:$U,商品数据源!$A:$A,$B$119,商品数据源!$B:$B,W2)</f>
        <v>0</v>
      </c>
      <c r="X124" s="124">
        <f>SUMIFS(商品数据源!$U:$U,商品数据源!$A:$A,$B$119,商品数据源!$B:$B,X2)</f>
        <v>0</v>
      </c>
      <c r="Y124" s="124">
        <f>SUMIFS(商品数据源!$U:$U,商品数据源!$A:$A,$B$119,商品数据源!$B:$B,Y2)</f>
        <v>0</v>
      </c>
      <c r="Z124" s="124">
        <f>SUMIFS(商品数据源!$U:$U,商品数据源!$A:$A,$B$119,商品数据源!$B:$B,Z2)</f>
        <v>0</v>
      </c>
      <c r="AA124" s="124">
        <f>SUMIFS(商品数据源!$U:$U,商品数据源!$A:$A,$B$119,商品数据源!$B:$B,AA2)</f>
        <v>0</v>
      </c>
      <c r="AB124" s="124">
        <f>SUMIFS(商品数据源!$U:$U,商品数据源!$A:$A,$B$119,商品数据源!$B:$B,AB2)</f>
        <v>0</v>
      </c>
      <c r="AC124" s="124">
        <f>SUMIFS(商品数据源!$U:$U,商品数据源!$A:$A,$B$119,商品数据源!$B:$B,AC2)</f>
        <v>0</v>
      </c>
      <c r="AD124" s="124">
        <f>SUMIFS(商品数据源!$U:$U,商品数据源!$A:$A,$B$119,商品数据源!$B:$B,AD2)</f>
        <v>0</v>
      </c>
      <c r="AE124" s="124"/>
      <c r="AF124" s="124"/>
      <c r="AG124" s="124"/>
      <c r="AH124" s="124"/>
      <c r="AI124" s="124"/>
      <c r="AJ124" s="124"/>
      <c r="AK124" s="124"/>
      <c r="AL124" s="124"/>
      <c r="AM124" s="124"/>
      <c r="AN124" s="124"/>
      <c r="AO124" s="124"/>
      <c r="AP124" s="124"/>
      <c r="AQ124" s="124"/>
      <c r="AR124" s="124"/>
      <c r="AS124" s="124"/>
      <c r="AT124" s="124"/>
      <c r="AU124" s="124"/>
      <c r="AV124" s="124"/>
      <c r="AW124" s="134">
        <f>SUM(AX124:BY124)</f>
        <v>0</v>
      </c>
      <c r="AX124" s="124"/>
      <c r="AY124" s="124"/>
      <c r="AZ124" s="124"/>
      <c r="BA124" s="124"/>
      <c r="BB124" s="124"/>
      <c r="BC124" s="124"/>
      <c r="BD124" s="124"/>
      <c r="BE124" s="124"/>
      <c r="BF124" s="124"/>
      <c r="BG124" s="124"/>
      <c r="BH124" s="124"/>
      <c r="BI124" s="124"/>
      <c r="BJ124" s="124"/>
      <c r="BK124" s="124"/>
      <c r="BL124" s="124"/>
      <c r="BM124" s="124"/>
      <c r="BN124" s="124"/>
      <c r="BO124" s="124"/>
      <c r="BP124" s="124"/>
      <c r="BQ124" s="124"/>
      <c r="BR124" s="124"/>
      <c r="BS124" s="124"/>
      <c r="BT124" s="124"/>
      <c r="BU124" s="124"/>
      <c r="BV124" s="124"/>
      <c r="BW124" s="124"/>
      <c r="BX124" s="124"/>
      <c r="BY124" s="124"/>
      <c r="BZ124" s="134">
        <f>SUM(CA124:DE124)</f>
        <v>0</v>
      </c>
      <c r="CA124" s="124"/>
      <c r="CB124" s="124"/>
      <c r="CC124" s="124"/>
      <c r="CD124" s="124"/>
      <c r="CE124" s="124"/>
      <c r="CF124" s="124"/>
      <c r="CG124" s="124"/>
      <c r="CH124" s="124"/>
      <c r="CI124" s="124"/>
      <c r="CJ124" s="124"/>
      <c r="CK124" s="124"/>
      <c r="CL124" s="124"/>
      <c r="CM124" s="124"/>
      <c r="CN124" s="124"/>
      <c r="CO124" s="124"/>
      <c r="CP124" s="124"/>
      <c r="CQ124" s="124"/>
      <c r="CR124" s="124"/>
      <c r="CS124" s="124"/>
      <c r="CT124" s="124"/>
      <c r="CU124" s="124"/>
      <c r="CV124" s="124"/>
      <c r="CW124" s="124"/>
      <c r="CX124" s="124"/>
      <c r="CY124" s="124"/>
      <c r="CZ124" s="124"/>
      <c r="DA124" s="124"/>
      <c r="DB124" s="124"/>
      <c r="DC124" s="124"/>
      <c r="DD124" s="124"/>
      <c r="DE124" s="124"/>
      <c r="DF124" s="134">
        <f>SUM(DG124:EJ124)</f>
        <v>0</v>
      </c>
      <c r="DG124" s="124"/>
      <c r="DH124" s="124"/>
      <c r="DI124" s="124"/>
      <c r="DJ124" s="124"/>
      <c r="DK124" s="124"/>
      <c r="DL124" s="124"/>
      <c r="DM124" s="124"/>
      <c r="DN124" s="124"/>
      <c r="DO124" s="124"/>
      <c r="DP124" s="124"/>
      <c r="DQ124" s="124"/>
      <c r="DR124" s="124"/>
      <c r="DS124" s="124"/>
      <c r="DT124" s="124"/>
      <c r="DU124" s="124"/>
      <c r="DV124" s="124"/>
      <c r="DW124" s="124"/>
      <c r="DX124" s="124"/>
      <c r="DY124" s="124"/>
      <c r="DZ124" s="124"/>
      <c r="EA124" s="124"/>
      <c r="EB124" s="124"/>
      <c r="EC124" s="124"/>
      <c r="ED124" s="124"/>
      <c r="EE124" s="124"/>
      <c r="EF124" s="124"/>
      <c r="EG124" s="124"/>
      <c r="EH124" s="124"/>
      <c r="EI124" s="124"/>
      <c r="EJ124" s="124"/>
      <c r="EK124" s="134">
        <f>SUM(EL124:FP124)</f>
        <v>0</v>
      </c>
      <c r="EL124" s="124"/>
      <c r="EM124" s="124"/>
      <c r="EN124" s="124"/>
      <c r="EO124" s="124"/>
      <c r="EP124" s="124"/>
      <c r="EQ124" s="124"/>
      <c r="ER124" s="124"/>
      <c r="ES124" s="124"/>
      <c r="ET124" s="124"/>
      <c r="EU124" s="124"/>
      <c r="EV124" s="124"/>
      <c r="EW124" s="124"/>
      <c r="EX124" s="124"/>
      <c r="EY124" s="124"/>
      <c r="EZ124" s="124"/>
      <c r="FA124" s="124"/>
      <c r="FB124" s="124"/>
      <c r="FC124" s="124"/>
      <c r="FD124" s="124"/>
      <c r="FE124" s="124"/>
      <c r="FF124" s="124"/>
      <c r="FG124" s="124"/>
      <c r="FH124" s="124"/>
      <c r="FI124" s="124"/>
      <c r="FJ124" s="124"/>
      <c r="FK124" s="124"/>
      <c r="FL124" s="124"/>
      <c r="FM124" s="124"/>
      <c r="FN124" s="124"/>
      <c r="FO124" s="124"/>
      <c r="FP124" s="124"/>
      <c r="FQ124" s="134">
        <f t="shared" si="579"/>
        <v>0</v>
      </c>
      <c r="FR124" s="124"/>
      <c r="FS124" s="124"/>
      <c r="FT124" s="124"/>
      <c r="FU124" s="124"/>
      <c r="FV124" s="124"/>
      <c r="FW124" s="124"/>
      <c r="FX124" s="124"/>
      <c r="FY124" s="124"/>
      <c r="FZ124" s="124"/>
      <c r="GA124" s="124"/>
      <c r="GB124" s="124"/>
      <c r="GC124" s="124"/>
      <c r="GD124" s="124"/>
      <c r="GE124" s="124"/>
      <c r="GF124" s="124"/>
      <c r="GG124" s="124"/>
      <c r="GH124" s="124"/>
      <c r="GI124" s="124"/>
      <c r="GJ124" s="124"/>
      <c r="GK124" s="124"/>
      <c r="GL124" s="124"/>
      <c r="GM124" s="124"/>
      <c r="GN124" s="124"/>
      <c r="GO124" s="124"/>
      <c r="GP124" s="124"/>
    </row>
    <row r="125" s="48" customFormat="1" ht="15" hidden="1" customHeight="1" spans="1:198">
      <c r="B125" s="103"/>
      <c r="C125" s="109" t="s">
        <v>26</v>
      </c>
      <c r="D125" s="133" t="e">
        <f>SUM(E125:P125)</f>
        <v>#REF!</v>
      </c>
      <c r="E125" s="123" t="e">
        <f>#REF!</f>
        <v>#REF!</v>
      </c>
      <c r="F125" s="123" t="e">
        <f>#REF!</f>
        <v>#REF!</v>
      </c>
      <c r="G125" s="123" t="e">
        <f>#REF!</f>
        <v>#REF!</v>
      </c>
      <c r="H125" s="123" t="e">
        <f>#REF!</f>
        <v>#REF!</v>
      </c>
      <c r="I125" s="123" t="e">
        <f>#REF!</f>
        <v>#REF!</v>
      </c>
      <c r="J125" s="123" t="e">
        <f>#REF!</f>
        <v>#REF!</v>
      </c>
      <c r="K125" s="123" t="e">
        <f>#REF!</f>
        <v>#REF!</v>
      </c>
      <c r="L125" s="123" t="e">
        <f>#REF!</f>
        <v>#REF!</v>
      </c>
      <c r="M125" s="123" t="e">
        <f>#REF!</f>
        <v>#REF!</v>
      </c>
      <c r="N125" s="123" t="e">
        <f>#REF!</f>
        <v>#REF!</v>
      </c>
      <c r="O125" s="123" t="e">
        <f>#REF!</f>
        <v>#REF!</v>
      </c>
      <c r="P125" s="123" t="e">
        <f>#REF!</f>
        <v>#REF!</v>
      </c>
      <c r="Q125" s="134">
        <f>SUM(R125:AV125)</f>
        <v>0</v>
      </c>
      <c r="R125" s="124">
        <f>SUMIFS(商品数据源!$T:$T,商品数据源!$A:$A,$B$119,商品数据源!$B:$B,R2)</f>
        <v>0</v>
      </c>
      <c r="S125" s="124">
        <f>SUMIFS(商品数据源!$T:$T,商品数据源!$A:$A,$B$119,商品数据源!$B:$B,S2)</f>
        <v>0</v>
      </c>
      <c r="T125" s="124">
        <f>SUMIFS(商品数据源!$T:$T,商品数据源!$A:$A,$B$119,商品数据源!$B:$B,T2)</f>
        <v>0</v>
      </c>
      <c r="U125" s="124">
        <f>SUMIFS(商品数据源!$T:$T,商品数据源!$A:$A,$B$119,商品数据源!$B:$B,U2)</f>
        <v>0</v>
      </c>
      <c r="V125" s="124">
        <f>SUMIFS(商品数据源!$T:$T,商品数据源!$A:$A,$B$119,商品数据源!$B:$B,V2)</f>
        <v>0</v>
      </c>
      <c r="W125" s="124">
        <f>SUMIFS(商品数据源!$T:$T,商品数据源!$A:$A,$B$119,商品数据源!$B:$B,W2)</f>
        <v>0</v>
      </c>
      <c r="X125" s="124">
        <f>SUMIFS(商品数据源!$T:$T,商品数据源!$A:$A,$B$119,商品数据源!$B:$B,X2)</f>
        <v>0</v>
      </c>
      <c r="Y125" s="124">
        <f>SUMIFS(商品数据源!$T:$T,商品数据源!$A:$A,$B$119,商品数据源!$B:$B,Y2)</f>
        <v>0</v>
      </c>
      <c r="Z125" s="124">
        <f>SUMIFS(商品数据源!$T:$T,商品数据源!$A:$A,$B$119,商品数据源!$B:$B,Z2)</f>
        <v>0</v>
      </c>
      <c r="AA125" s="124">
        <f>SUMIFS(商品数据源!$T:$T,商品数据源!$A:$A,$B$119,商品数据源!$B:$B,AA2)</f>
        <v>0</v>
      </c>
      <c r="AB125" s="124">
        <f>SUMIFS(商品数据源!$T:$T,商品数据源!$A:$A,$B$119,商品数据源!$B:$B,AB2)</f>
        <v>0</v>
      </c>
      <c r="AC125" s="124">
        <f>SUMIFS(商品数据源!$T:$T,商品数据源!$A:$A,$B$119,商品数据源!$B:$B,AC2)</f>
        <v>0</v>
      </c>
      <c r="AD125" s="124">
        <f>SUMIFS(商品数据源!$T:$T,商品数据源!$A:$A,$B$119,商品数据源!$B:$B,AD2)</f>
        <v>0</v>
      </c>
      <c r="AE125" s="124"/>
      <c r="AF125" s="124"/>
      <c r="AG125" s="124"/>
      <c r="AH125" s="124"/>
      <c r="AI125" s="124"/>
      <c r="AJ125" s="124"/>
      <c r="AK125" s="124"/>
      <c r="AL125" s="124"/>
      <c r="AM125" s="124"/>
      <c r="AN125" s="124"/>
      <c r="AO125" s="124"/>
      <c r="AP125" s="124"/>
      <c r="AQ125" s="124"/>
      <c r="AR125" s="124"/>
      <c r="AS125" s="124"/>
      <c r="AT125" s="124"/>
      <c r="AU125" s="124"/>
      <c r="AV125" s="124"/>
      <c r="AW125" s="134">
        <f>SUM(AX125:BY125)</f>
        <v>0</v>
      </c>
      <c r="AX125" s="124"/>
      <c r="AY125" s="124"/>
      <c r="AZ125" s="124"/>
      <c r="BA125" s="124"/>
      <c r="BB125" s="124"/>
      <c r="BC125" s="124"/>
      <c r="BD125" s="124"/>
      <c r="BE125" s="124"/>
      <c r="BF125" s="124"/>
      <c r="BG125" s="124"/>
      <c r="BH125" s="124"/>
      <c r="BI125" s="124"/>
      <c r="BJ125" s="124"/>
      <c r="BK125" s="124"/>
      <c r="BL125" s="124"/>
      <c r="BM125" s="124"/>
      <c r="BN125" s="124"/>
      <c r="BO125" s="124"/>
      <c r="BP125" s="124"/>
      <c r="BQ125" s="124"/>
      <c r="BR125" s="124"/>
      <c r="BS125" s="124"/>
      <c r="BT125" s="124"/>
      <c r="BU125" s="124"/>
      <c r="BV125" s="124"/>
      <c r="BW125" s="124"/>
      <c r="BX125" s="124"/>
      <c r="BY125" s="124"/>
      <c r="BZ125" s="134">
        <f>SUM(CA125:DE125)</f>
        <v>0</v>
      </c>
      <c r="CA125" s="124"/>
      <c r="CB125" s="124"/>
      <c r="CC125" s="124"/>
      <c r="CD125" s="124"/>
      <c r="CE125" s="124"/>
      <c r="CF125" s="124"/>
      <c r="CG125" s="124"/>
      <c r="CH125" s="124"/>
      <c r="CI125" s="124"/>
      <c r="CJ125" s="124"/>
      <c r="CK125" s="124"/>
      <c r="CL125" s="124"/>
      <c r="CM125" s="124"/>
      <c r="CN125" s="124"/>
      <c r="CO125" s="124"/>
      <c r="CP125" s="124"/>
      <c r="CQ125" s="124"/>
      <c r="CR125" s="124"/>
      <c r="CS125" s="124"/>
      <c r="CT125" s="124"/>
      <c r="CU125" s="124"/>
      <c r="CV125" s="124"/>
      <c r="CW125" s="124"/>
      <c r="CX125" s="124"/>
      <c r="CY125" s="124"/>
      <c r="CZ125" s="124"/>
      <c r="DA125" s="124"/>
      <c r="DB125" s="124"/>
      <c r="DC125" s="124"/>
      <c r="DD125" s="124"/>
      <c r="DE125" s="124"/>
      <c r="DF125" s="134">
        <f>SUM(DG125:EJ125)</f>
        <v>0</v>
      </c>
      <c r="DG125" s="124"/>
      <c r="DH125" s="124"/>
      <c r="DI125" s="124"/>
      <c r="DJ125" s="124"/>
      <c r="DK125" s="124"/>
      <c r="DL125" s="124"/>
      <c r="DM125" s="124"/>
      <c r="DN125" s="124"/>
      <c r="DO125" s="124"/>
      <c r="DP125" s="124"/>
      <c r="DQ125" s="124"/>
      <c r="DR125" s="124"/>
      <c r="DS125" s="124"/>
      <c r="DT125" s="124"/>
      <c r="DU125" s="124"/>
      <c r="DV125" s="124"/>
      <c r="DW125" s="124"/>
      <c r="DX125" s="124"/>
      <c r="DY125" s="124"/>
      <c r="DZ125" s="124"/>
      <c r="EA125" s="124"/>
      <c r="EB125" s="124"/>
      <c r="EC125" s="124"/>
      <c r="ED125" s="124"/>
      <c r="EE125" s="124"/>
      <c r="EF125" s="124"/>
      <c r="EG125" s="124"/>
      <c r="EH125" s="124"/>
      <c r="EI125" s="124"/>
      <c r="EJ125" s="124"/>
      <c r="EK125" s="134">
        <f>SUM(EL125:FP125)</f>
        <v>0</v>
      </c>
      <c r="EL125" s="124"/>
      <c r="EM125" s="124"/>
      <c r="EN125" s="124"/>
      <c r="EO125" s="124"/>
      <c r="EP125" s="124"/>
      <c r="EQ125" s="124"/>
      <c r="ER125" s="124"/>
      <c r="ES125" s="124"/>
      <c r="ET125" s="124"/>
      <c r="EU125" s="124"/>
      <c r="EV125" s="124"/>
      <c r="EW125" s="124"/>
      <c r="EX125" s="124"/>
      <c r="EY125" s="124"/>
      <c r="EZ125" s="124"/>
      <c r="FA125" s="124"/>
      <c r="FB125" s="124"/>
      <c r="FC125" s="124"/>
      <c r="FD125" s="124"/>
      <c r="FE125" s="124"/>
      <c r="FF125" s="124"/>
      <c r="FG125" s="124"/>
      <c r="FH125" s="124"/>
      <c r="FI125" s="124"/>
      <c r="FJ125" s="124"/>
      <c r="FK125" s="124"/>
      <c r="FL125" s="124"/>
      <c r="FM125" s="124"/>
      <c r="FN125" s="124"/>
      <c r="FO125" s="124"/>
      <c r="FP125" s="124"/>
      <c r="FQ125" s="134">
        <f t="shared" si="579"/>
        <v>0</v>
      </c>
      <c r="FR125" s="124"/>
      <c r="FS125" s="124"/>
      <c r="FT125" s="124"/>
      <c r="FU125" s="124"/>
      <c r="FV125" s="124"/>
      <c r="FW125" s="124"/>
      <c r="FX125" s="124"/>
      <c r="FY125" s="124"/>
      <c r="FZ125" s="124"/>
      <c r="GA125" s="124"/>
      <c r="GB125" s="124"/>
      <c r="GC125" s="124"/>
      <c r="GD125" s="124"/>
      <c r="GE125" s="124"/>
      <c r="GF125" s="124"/>
      <c r="GG125" s="124"/>
      <c r="GH125" s="124"/>
      <c r="GI125" s="124"/>
      <c r="GJ125" s="124"/>
      <c r="GK125" s="124"/>
      <c r="GL125" s="124"/>
      <c r="GM125" s="124"/>
      <c r="GN125" s="124"/>
      <c r="GO125" s="124"/>
      <c r="GP125" s="124"/>
    </row>
    <row r="126" s="48" customFormat="1" ht="15" hidden="1" customHeight="1" spans="1:198">
      <c r="B126" s="103"/>
      <c r="C126" s="109" t="s">
        <v>14</v>
      </c>
      <c r="D126" s="128" t="e">
        <f t="shared" ref="D126:Q126" si="583">D125/D119</f>
        <v>#REF!</v>
      </c>
      <c r="E126" s="111" t="e">
        <f t="shared" si="583"/>
        <v>#REF!</v>
      </c>
      <c r="F126" s="111" t="e">
        <f t="shared" si="583"/>
        <v>#REF!</v>
      </c>
      <c r="G126" s="111" t="e">
        <f t="shared" si="583"/>
        <v>#REF!</v>
      </c>
      <c r="H126" s="111" t="e">
        <f t="shared" si="583"/>
        <v>#REF!</v>
      </c>
      <c r="I126" s="111" t="e">
        <f t="shared" si="583"/>
        <v>#REF!</v>
      </c>
      <c r="J126" s="111" t="e">
        <f t="shared" si="583"/>
        <v>#REF!</v>
      </c>
      <c r="K126" s="111" t="e">
        <f t="shared" si="583"/>
        <v>#REF!</v>
      </c>
      <c r="L126" s="111" t="e">
        <f t="shared" si="583"/>
        <v>#REF!</v>
      </c>
      <c r="M126" s="111" t="e">
        <f t="shared" si="583"/>
        <v>#REF!</v>
      </c>
      <c r="N126" s="111" t="e">
        <f t="shared" si="583"/>
        <v>#REF!</v>
      </c>
      <c r="O126" s="111" t="e">
        <f t="shared" si="583"/>
        <v>#REF!</v>
      </c>
      <c r="P126" s="111" t="e">
        <f t="shared" si="583"/>
        <v>#REF!</v>
      </c>
      <c r="Q126" s="70" t="e">
        <f t="shared" si="583"/>
        <v>#DIV/0!</v>
      </c>
      <c r="R126" s="129" t="e">
        <f>R125/R28</f>
        <v>#DIV/0!</v>
      </c>
      <c r="S126" s="129" t="e">
        <f t="shared" ref="S126:AD126" si="584">S125/S28</f>
        <v>#DIV/0!</v>
      </c>
      <c r="T126" s="129" t="e">
        <f t="shared" si="584"/>
        <v>#DIV/0!</v>
      </c>
      <c r="U126" s="129" t="e">
        <f t="shared" si="584"/>
        <v>#DIV/0!</v>
      </c>
      <c r="V126" s="129" t="e">
        <f t="shared" si="584"/>
        <v>#DIV/0!</v>
      </c>
      <c r="W126" s="129" t="e">
        <f t="shared" si="584"/>
        <v>#DIV/0!</v>
      </c>
      <c r="X126" s="129" t="e">
        <f t="shared" si="584"/>
        <v>#DIV/0!</v>
      </c>
      <c r="Y126" s="129" t="e">
        <f t="shared" si="584"/>
        <v>#DIV/0!</v>
      </c>
      <c r="Z126" s="129" t="e">
        <f t="shared" si="584"/>
        <v>#DIV/0!</v>
      </c>
      <c r="AA126" s="129" t="e">
        <f t="shared" si="584"/>
        <v>#DIV/0!</v>
      </c>
      <c r="AB126" s="129" t="e">
        <f t="shared" si="584"/>
        <v>#DIV/0!</v>
      </c>
      <c r="AC126" s="129" t="e">
        <f t="shared" si="584"/>
        <v>#DIV/0!</v>
      </c>
      <c r="AD126" s="129" t="e">
        <f t="shared" si="584"/>
        <v>#DIV/0!</v>
      </c>
      <c r="AE126" s="124"/>
      <c r="AF126" s="124"/>
      <c r="AG126" s="124"/>
      <c r="AH126" s="124"/>
      <c r="AI126" s="124"/>
      <c r="AJ126" s="124"/>
      <c r="AK126" s="124"/>
      <c r="AL126" s="124"/>
      <c r="AM126" s="124"/>
      <c r="AN126" s="124"/>
      <c r="AO126" s="124"/>
      <c r="AP126" s="124"/>
      <c r="AQ126" s="124"/>
      <c r="AR126" s="124"/>
      <c r="AS126" s="124"/>
      <c r="AT126" s="124"/>
      <c r="AU126" s="124"/>
      <c r="AV126" s="124"/>
      <c r="AW126" s="70" t="e">
        <f>AW125/AW119</f>
        <v>#DIV/0!</v>
      </c>
      <c r="AX126" s="124"/>
      <c r="AY126" s="124"/>
      <c r="AZ126" s="124"/>
      <c r="BA126" s="124"/>
      <c r="BB126" s="124"/>
      <c r="BC126" s="124"/>
      <c r="BD126" s="124"/>
      <c r="BE126" s="124"/>
      <c r="BF126" s="124"/>
      <c r="BG126" s="124"/>
      <c r="BH126" s="124"/>
      <c r="BI126" s="124"/>
      <c r="BJ126" s="124"/>
      <c r="BK126" s="124"/>
      <c r="BL126" s="124"/>
      <c r="BM126" s="124"/>
      <c r="BN126" s="124"/>
      <c r="BO126" s="124"/>
      <c r="BP126" s="124"/>
      <c r="BQ126" s="124"/>
      <c r="BR126" s="124"/>
      <c r="BS126" s="124"/>
      <c r="BT126" s="124"/>
      <c r="BU126" s="124"/>
      <c r="BV126" s="124"/>
      <c r="BW126" s="124"/>
      <c r="BX126" s="124"/>
      <c r="BY126" s="124"/>
      <c r="BZ126" s="70" t="e">
        <f>BZ125/BZ119</f>
        <v>#DIV/0!</v>
      </c>
      <c r="CA126" s="124"/>
      <c r="CB126" s="124"/>
      <c r="CC126" s="124"/>
      <c r="CD126" s="124"/>
      <c r="CE126" s="124"/>
      <c r="CF126" s="124"/>
      <c r="CG126" s="124"/>
      <c r="CH126" s="124"/>
      <c r="CI126" s="124"/>
      <c r="CJ126" s="124"/>
      <c r="CK126" s="124"/>
      <c r="CL126" s="124"/>
      <c r="CM126" s="124"/>
      <c r="CN126" s="124"/>
      <c r="CO126" s="124"/>
      <c r="CP126" s="124"/>
      <c r="CQ126" s="124"/>
      <c r="CR126" s="124"/>
      <c r="CS126" s="124"/>
      <c r="CT126" s="124"/>
      <c r="CU126" s="124"/>
      <c r="CV126" s="124"/>
      <c r="CW126" s="124"/>
      <c r="CX126" s="124"/>
      <c r="CY126" s="124"/>
      <c r="CZ126" s="124"/>
      <c r="DA126" s="124"/>
      <c r="DB126" s="124"/>
      <c r="DC126" s="124"/>
      <c r="DD126" s="124"/>
      <c r="DE126" s="124"/>
      <c r="DF126" s="70" t="e">
        <f>DF125/DF119</f>
        <v>#DIV/0!</v>
      </c>
      <c r="DG126" s="124"/>
      <c r="DH126" s="124"/>
      <c r="DI126" s="124"/>
      <c r="DJ126" s="124"/>
      <c r="DK126" s="124"/>
      <c r="DL126" s="124"/>
      <c r="DM126" s="124"/>
      <c r="DN126" s="124"/>
      <c r="DO126" s="124"/>
      <c r="DP126" s="124"/>
      <c r="DQ126" s="124"/>
      <c r="DR126" s="124"/>
      <c r="DS126" s="124"/>
      <c r="DT126" s="124"/>
      <c r="DU126" s="124"/>
      <c r="DV126" s="124"/>
      <c r="DW126" s="124"/>
      <c r="DX126" s="124"/>
      <c r="DY126" s="124"/>
      <c r="DZ126" s="124"/>
      <c r="EA126" s="124"/>
      <c r="EB126" s="124"/>
      <c r="EC126" s="124"/>
      <c r="ED126" s="124"/>
      <c r="EE126" s="124"/>
      <c r="EF126" s="124"/>
      <c r="EG126" s="124"/>
      <c r="EH126" s="124"/>
      <c r="EI126" s="124"/>
      <c r="EJ126" s="124"/>
      <c r="EK126" s="70" t="e">
        <f>EK125/EK119</f>
        <v>#DIV/0!</v>
      </c>
      <c r="EL126" s="124"/>
      <c r="EM126" s="124"/>
      <c r="EN126" s="124"/>
      <c r="EO126" s="124"/>
      <c r="EP126" s="124"/>
      <c r="EQ126" s="124"/>
      <c r="ER126" s="124"/>
      <c r="ES126" s="124"/>
      <c r="ET126" s="124"/>
      <c r="EU126" s="124"/>
      <c r="EV126" s="124"/>
      <c r="EW126" s="124"/>
      <c r="EX126" s="124"/>
      <c r="EY126" s="124"/>
      <c r="EZ126" s="124"/>
      <c r="FA126" s="124"/>
      <c r="FB126" s="124"/>
      <c r="FC126" s="124"/>
      <c r="FD126" s="124"/>
      <c r="FE126" s="124"/>
      <c r="FF126" s="124"/>
      <c r="FG126" s="124"/>
      <c r="FH126" s="124"/>
      <c r="FI126" s="124"/>
      <c r="FJ126" s="124"/>
      <c r="FK126" s="124"/>
      <c r="FL126" s="124"/>
      <c r="FM126" s="124"/>
      <c r="FN126" s="124"/>
      <c r="FO126" s="124"/>
      <c r="FP126" s="124"/>
      <c r="FQ126" s="70" t="e">
        <f>FQ125/FQ119</f>
        <v>#DIV/0!</v>
      </c>
      <c r="FR126" s="124"/>
      <c r="FS126" s="124"/>
      <c r="FT126" s="124"/>
      <c r="FU126" s="124"/>
      <c r="FV126" s="124"/>
      <c r="FW126" s="124"/>
      <c r="FX126" s="124"/>
      <c r="FY126" s="124"/>
      <c r="FZ126" s="124"/>
      <c r="GA126" s="124"/>
      <c r="GB126" s="124"/>
      <c r="GC126" s="124"/>
      <c r="GD126" s="124"/>
      <c r="GE126" s="124"/>
      <c r="GF126" s="124"/>
      <c r="GG126" s="124"/>
      <c r="GH126" s="124"/>
      <c r="GI126" s="124"/>
      <c r="GJ126" s="124"/>
      <c r="GK126" s="124"/>
      <c r="GL126" s="124"/>
      <c r="GM126" s="124"/>
      <c r="GN126" s="124"/>
      <c r="GO126" s="124"/>
      <c r="GP126" s="124"/>
    </row>
    <row r="127" s="48" customFormat="1" ht="15" hidden="1" customHeight="1" spans="1:198">
      <c r="A127" s="138"/>
      <c r="B127" s="103"/>
      <c r="C127" s="109" t="s">
        <v>36</v>
      </c>
      <c r="D127" s="130" t="e">
        <f t="shared" ref="D127:Q127" si="585">D119/D$128</f>
        <v>#REF!</v>
      </c>
      <c r="E127" s="131" t="e">
        <f t="shared" si="585"/>
        <v>#REF!</v>
      </c>
      <c r="F127" s="131" t="e">
        <f t="shared" si="585"/>
        <v>#REF!</v>
      </c>
      <c r="G127" s="131" t="e">
        <f t="shared" si="585"/>
        <v>#REF!</v>
      </c>
      <c r="H127" s="131" t="e">
        <f t="shared" si="585"/>
        <v>#REF!</v>
      </c>
      <c r="I127" s="131" t="e">
        <f t="shared" si="585"/>
        <v>#REF!</v>
      </c>
      <c r="J127" s="131" t="e">
        <f t="shared" si="585"/>
        <v>#REF!</v>
      </c>
      <c r="K127" s="131" t="e">
        <f t="shared" si="585"/>
        <v>#REF!</v>
      </c>
      <c r="L127" s="131" t="e">
        <f t="shared" si="585"/>
        <v>#REF!</v>
      </c>
      <c r="M127" s="131" t="e">
        <f t="shared" si="585"/>
        <v>#REF!</v>
      </c>
      <c r="N127" s="131" t="e">
        <f t="shared" si="585"/>
        <v>#REF!</v>
      </c>
      <c r="O127" s="131" t="e">
        <f t="shared" si="585"/>
        <v>#REF!</v>
      </c>
      <c r="P127" s="131" t="e">
        <f t="shared" si="585"/>
        <v>#REF!</v>
      </c>
      <c r="Q127" s="102">
        <f t="shared" si="585"/>
        <v>0</v>
      </c>
      <c r="R127" s="132">
        <f>R28/R$128</f>
        <v>0</v>
      </c>
      <c r="S127" s="132">
        <f t="shared" ref="S127:AD127" si="586">S28/S$128</f>
        <v>0</v>
      </c>
      <c r="T127" s="132">
        <f t="shared" si="586"/>
        <v>0</v>
      </c>
      <c r="U127" s="132">
        <f t="shared" si="586"/>
        <v>0</v>
      </c>
      <c r="V127" s="132">
        <f t="shared" si="586"/>
        <v>0</v>
      </c>
      <c r="W127" s="132">
        <f t="shared" si="586"/>
        <v>0</v>
      </c>
      <c r="X127" s="132">
        <f t="shared" si="586"/>
        <v>0</v>
      </c>
      <c r="Y127" s="132">
        <f t="shared" si="586"/>
        <v>0</v>
      </c>
      <c r="Z127" s="132">
        <f t="shared" si="586"/>
        <v>0</v>
      </c>
      <c r="AA127" s="132">
        <f t="shared" si="586"/>
        <v>0</v>
      </c>
      <c r="AB127" s="132">
        <f t="shared" si="586"/>
        <v>0</v>
      </c>
      <c r="AC127" s="132">
        <f t="shared" si="586"/>
        <v>0</v>
      </c>
      <c r="AD127" s="132">
        <f t="shared" si="586"/>
        <v>0</v>
      </c>
      <c r="AE127" s="124"/>
      <c r="AF127" s="124"/>
      <c r="AG127" s="124"/>
      <c r="AH127" s="124"/>
      <c r="AI127" s="124"/>
      <c r="AJ127" s="124"/>
      <c r="AK127" s="124"/>
      <c r="AL127" s="124"/>
      <c r="AM127" s="124"/>
      <c r="AN127" s="124"/>
      <c r="AO127" s="124"/>
      <c r="AP127" s="124"/>
      <c r="AQ127" s="124"/>
      <c r="AR127" s="124"/>
      <c r="AS127" s="124"/>
      <c r="AT127" s="124"/>
      <c r="AU127" s="124"/>
      <c r="AV127" s="124"/>
      <c r="AW127" s="102">
        <f>AW119/AW$128</f>
        <v>0</v>
      </c>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4"/>
      <c r="BT127" s="124"/>
      <c r="BU127" s="124"/>
      <c r="BV127" s="124"/>
      <c r="BW127" s="124"/>
      <c r="BX127" s="124"/>
      <c r="BY127" s="124"/>
      <c r="BZ127" s="102">
        <f>BZ119/BZ$128</f>
        <v>0</v>
      </c>
      <c r="CA127" s="124"/>
      <c r="CB127" s="124"/>
      <c r="CC127" s="124"/>
      <c r="CD127" s="124"/>
      <c r="CE127" s="124"/>
      <c r="CF127" s="124"/>
      <c r="CG127" s="124"/>
      <c r="CH127" s="124"/>
      <c r="CI127" s="124"/>
      <c r="CJ127" s="124"/>
      <c r="CK127" s="124"/>
      <c r="CL127" s="124"/>
      <c r="CM127" s="124"/>
      <c r="CN127" s="124"/>
      <c r="CO127" s="124"/>
      <c r="CP127" s="124"/>
      <c r="CQ127" s="124"/>
      <c r="CR127" s="124"/>
      <c r="CS127" s="124"/>
      <c r="CT127" s="124"/>
      <c r="CU127" s="124"/>
      <c r="CV127" s="124"/>
      <c r="CW127" s="124"/>
      <c r="CX127" s="124"/>
      <c r="CY127" s="124"/>
      <c r="CZ127" s="124"/>
      <c r="DA127" s="124"/>
      <c r="DB127" s="124"/>
      <c r="DC127" s="124"/>
      <c r="DD127" s="124"/>
      <c r="DE127" s="124"/>
      <c r="DF127" s="102">
        <f>DF119/DF$128</f>
        <v>0</v>
      </c>
      <c r="DG127" s="124"/>
      <c r="DH127" s="124"/>
      <c r="DI127" s="124"/>
      <c r="DJ127" s="124"/>
      <c r="DK127" s="124"/>
      <c r="DL127" s="124"/>
      <c r="DM127" s="124"/>
      <c r="DN127" s="124"/>
      <c r="DO127" s="124"/>
      <c r="DP127" s="124"/>
      <c r="DQ127" s="124"/>
      <c r="DR127" s="124"/>
      <c r="DS127" s="124"/>
      <c r="DT127" s="124"/>
      <c r="DU127" s="124"/>
      <c r="DV127" s="124"/>
      <c r="DW127" s="124"/>
      <c r="DX127" s="124"/>
      <c r="DY127" s="124"/>
      <c r="DZ127" s="124"/>
      <c r="EA127" s="124"/>
      <c r="EB127" s="124"/>
      <c r="EC127" s="124"/>
      <c r="ED127" s="124"/>
      <c r="EE127" s="124"/>
      <c r="EF127" s="124"/>
      <c r="EG127" s="124"/>
      <c r="EH127" s="124"/>
      <c r="EI127" s="124"/>
      <c r="EJ127" s="124"/>
      <c r="EK127" s="102">
        <f>EK119/EK$128</f>
        <v>0</v>
      </c>
      <c r="EL127" s="124"/>
      <c r="EM127" s="124"/>
      <c r="EN127" s="124"/>
      <c r="EO127" s="124"/>
      <c r="EP127" s="124"/>
      <c r="EQ127" s="124"/>
      <c r="ER127" s="124"/>
      <c r="ES127" s="124"/>
      <c r="ET127" s="124"/>
      <c r="EU127" s="124"/>
      <c r="EV127" s="124"/>
      <c r="EW127" s="124"/>
      <c r="EX127" s="124"/>
      <c r="EY127" s="124"/>
      <c r="EZ127" s="124"/>
      <c r="FA127" s="124"/>
      <c r="FB127" s="124"/>
      <c r="FC127" s="124"/>
      <c r="FD127" s="124"/>
      <c r="FE127" s="124"/>
      <c r="FF127" s="124"/>
      <c r="FG127" s="124"/>
      <c r="FH127" s="124"/>
      <c r="FI127" s="124"/>
      <c r="FJ127" s="124"/>
      <c r="FK127" s="124"/>
      <c r="FL127" s="124"/>
      <c r="FM127" s="124"/>
      <c r="FN127" s="124"/>
      <c r="FO127" s="124"/>
      <c r="FP127" s="124"/>
      <c r="FQ127" s="102">
        <f>FQ119/FQ$128</f>
        <v>0</v>
      </c>
      <c r="FR127" s="124"/>
      <c r="FS127" s="124"/>
      <c r="FT127" s="124"/>
      <c r="FU127" s="124"/>
      <c r="FV127" s="124"/>
      <c r="FW127" s="124"/>
      <c r="FX127" s="124"/>
      <c r="FY127" s="124"/>
      <c r="FZ127" s="124"/>
      <c r="GA127" s="124"/>
      <c r="GB127" s="124"/>
      <c r="GC127" s="124"/>
      <c r="GD127" s="124"/>
      <c r="GE127" s="124"/>
      <c r="GF127" s="124"/>
      <c r="GG127" s="124"/>
      <c r="GH127" s="124"/>
      <c r="GI127" s="124"/>
      <c r="GJ127" s="124"/>
      <c r="GK127" s="124"/>
      <c r="GL127" s="124"/>
      <c r="GM127" s="124"/>
      <c r="GN127" s="124"/>
      <c r="GO127" s="124"/>
      <c r="GP127" s="124"/>
    </row>
    <row r="128" ht="15.6" spans="1:198">
      <c r="B128" s="139" t="s">
        <v>48</v>
      </c>
      <c r="C128" s="140" t="s">
        <v>49</v>
      </c>
      <c r="D128" s="141" t="e">
        <f>D74+D83+D92+D101+D119+D110</f>
        <v>#REF!</v>
      </c>
      <c r="E128" s="142" t="e">
        <f t="shared" ref="E128:V128" si="587">E74+E83+E92+E101+E119+E110</f>
        <v>#REF!</v>
      </c>
      <c r="F128" s="142" t="e">
        <f t="shared" si="587"/>
        <v>#REF!</v>
      </c>
      <c r="G128" s="142" t="e">
        <f t="shared" si="587"/>
        <v>#REF!</v>
      </c>
      <c r="H128" s="142" t="e">
        <f t="shared" si="587"/>
        <v>#REF!</v>
      </c>
      <c r="I128" s="142" t="e">
        <f t="shared" si="587"/>
        <v>#REF!</v>
      </c>
      <c r="J128" s="142" t="e">
        <f t="shared" si="587"/>
        <v>#REF!</v>
      </c>
      <c r="K128" s="142" t="e">
        <f t="shared" si="587"/>
        <v>#REF!</v>
      </c>
      <c r="L128" s="142" t="e">
        <f t="shared" si="587"/>
        <v>#REF!</v>
      </c>
      <c r="M128" s="142" t="e">
        <f t="shared" si="587"/>
        <v>#REF!</v>
      </c>
      <c r="N128" s="142" t="e">
        <f t="shared" si="587"/>
        <v>#REF!</v>
      </c>
      <c r="O128" s="142" t="e">
        <f t="shared" si="587"/>
        <v>#REF!</v>
      </c>
      <c r="P128" s="142" t="e">
        <f t="shared" si="587"/>
        <v>#REF!</v>
      </c>
      <c r="Q128" s="143">
        <f t="shared" si="587"/>
        <v>5822.56</v>
      </c>
      <c r="R128" s="142">
        <f t="shared" si="587"/>
        <v>172.86</v>
      </c>
      <c r="S128" s="142">
        <f t="shared" si="587"/>
        <v>149.78</v>
      </c>
      <c r="T128" s="142">
        <f t="shared" si="587"/>
        <v>210.41</v>
      </c>
      <c r="U128" s="142">
        <f t="shared" si="587"/>
        <v>261.22</v>
      </c>
      <c r="V128" s="142">
        <f t="shared" si="587"/>
        <v>195.02</v>
      </c>
      <c r="W128" s="142">
        <f t="shared" ref="W128:AV128" si="588">W74+W83+W92+W101+W119+W110</f>
        <v>213.27</v>
      </c>
      <c r="X128" s="142">
        <f t="shared" si="588"/>
        <v>159.67</v>
      </c>
      <c r="Y128" s="142">
        <f t="shared" si="588"/>
        <v>231.9</v>
      </c>
      <c r="Z128" s="142">
        <f t="shared" si="588"/>
        <v>249.67</v>
      </c>
      <c r="AA128" s="142">
        <f t="shared" si="588"/>
        <v>223.05</v>
      </c>
      <c r="AB128" s="142">
        <f t="shared" si="588"/>
        <v>227.3</v>
      </c>
      <c r="AC128" s="142">
        <f t="shared" si="588"/>
        <v>212.13</v>
      </c>
      <c r="AD128" s="142">
        <f t="shared" si="588"/>
        <v>212.44</v>
      </c>
      <c r="AE128" s="142">
        <f t="shared" si="588"/>
        <v>246.01</v>
      </c>
      <c r="AF128" s="142">
        <f t="shared" si="588"/>
        <v>212.33</v>
      </c>
      <c r="AG128" s="142">
        <f t="shared" si="588"/>
        <v>245.56</v>
      </c>
      <c r="AH128" s="142">
        <f t="shared" si="588"/>
        <v>233.78</v>
      </c>
      <c r="AI128" s="142">
        <f t="shared" si="588"/>
        <v>289.24</v>
      </c>
      <c r="AJ128" s="142">
        <f t="shared" si="588"/>
        <v>278.19</v>
      </c>
      <c r="AK128" s="142">
        <f t="shared" si="588"/>
        <v>119.72</v>
      </c>
      <c r="AL128" s="142">
        <f t="shared" ref="AL128:BH128" si="589">AL74+AL83+AL92+AL101+AL119+AL110</f>
        <v>99.71</v>
      </c>
      <c r="AM128" s="142">
        <f t="shared" si="589"/>
        <v>141.1</v>
      </c>
      <c r="AN128" s="142">
        <f t="shared" si="589"/>
        <v>131.75</v>
      </c>
      <c r="AO128" s="142">
        <f t="shared" si="589"/>
        <v>149.73</v>
      </c>
      <c r="AP128" s="142">
        <f t="shared" si="589"/>
        <v>155</v>
      </c>
      <c r="AQ128" s="142">
        <f t="shared" si="589"/>
        <v>138.42</v>
      </c>
      <c r="AR128" s="142">
        <f t="shared" si="589"/>
        <v>161.74</v>
      </c>
      <c r="AS128" s="142">
        <f t="shared" si="589"/>
        <v>110.51</v>
      </c>
      <c r="AT128" s="142">
        <f t="shared" si="589"/>
        <v>124.26</v>
      </c>
      <c r="AU128" s="142">
        <f t="shared" si="589"/>
        <v>135.32</v>
      </c>
      <c r="AV128" s="142">
        <f t="shared" si="589"/>
        <v>131.47</v>
      </c>
      <c r="AW128" s="143">
        <f t="shared" si="589"/>
        <v>2430.8</v>
      </c>
      <c r="AX128" s="142">
        <f t="shared" si="589"/>
        <v>129.68</v>
      </c>
      <c r="AY128" s="142">
        <f t="shared" si="589"/>
        <v>140.23</v>
      </c>
      <c r="AZ128" s="142">
        <f t="shared" si="589"/>
        <v>109.66</v>
      </c>
      <c r="BA128" s="142">
        <f t="shared" si="589"/>
        <v>97.87</v>
      </c>
      <c r="BB128" s="142">
        <f t="shared" si="589"/>
        <v>122.08</v>
      </c>
      <c r="BC128" s="142">
        <f t="shared" si="589"/>
        <v>96.4</v>
      </c>
      <c r="BD128" s="142">
        <f t="shared" si="589"/>
        <v>112.71</v>
      </c>
      <c r="BE128" s="142">
        <f t="shared" si="589"/>
        <v>115</v>
      </c>
      <c r="BF128" s="142">
        <f t="shared" si="589"/>
        <v>110.96</v>
      </c>
      <c r="BG128" s="142">
        <f t="shared" si="589"/>
        <v>85.72</v>
      </c>
      <c r="BH128" s="142">
        <f t="shared" si="589"/>
        <v>80</v>
      </c>
      <c r="BI128" s="142">
        <f t="shared" ref="BI128:BW128" si="590">BI74+BI83+BI92+BI101+BI119+BI110</f>
        <v>74.49</v>
      </c>
      <c r="BJ128" s="142">
        <f t="shared" si="590"/>
        <v>80</v>
      </c>
      <c r="BK128" s="142">
        <f t="shared" si="590"/>
        <v>80</v>
      </c>
      <c r="BL128" s="142">
        <f t="shared" si="590"/>
        <v>74.55</v>
      </c>
      <c r="BM128" s="142">
        <f t="shared" si="590"/>
        <v>40.4</v>
      </c>
      <c r="BN128" s="142">
        <f t="shared" si="590"/>
        <v>68.05</v>
      </c>
      <c r="BO128" s="142">
        <f t="shared" si="590"/>
        <v>67.43</v>
      </c>
      <c r="BP128" s="142">
        <f t="shared" si="590"/>
        <v>72.84</v>
      </c>
      <c r="BQ128" s="142">
        <f t="shared" si="590"/>
        <v>75.43</v>
      </c>
      <c r="BR128" s="142">
        <f t="shared" si="590"/>
        <v>68.8</v>
      </c>
      <c r="BS128" s="142">
        <f t="shared" si="590"/>
        <v>66.01</v>
      </c>
      <c r="BT128" s="142">
        <f t="shared" si="590"/>
        <v>71.05</v>
      </c>
      <c r="BU128" s="142">
        <f t="shared" si="590"/>
        <v>80</v>
      </c>
      <c r="BV128" s="142">
        <f t="shared" si="590"/>
        <v>71.44</v>
      </c>
      <c r="BW128" s="142">
        <f t="shared" si="590"/>
        <v>80</v>
      </c>
      <c r="BX128" s="142">
        <f t="shared" ref="BX128:CH128" si="591">BX74+BX83+BX92+BX101+BX119+BX110</f>
        <v>80</v>
      </c>
      <c r="BY128" s="142">
        <f t="shared" si="591"/>
        <v>80</v>
      </c>
      <c r="BZ128" s="143">
        <f t="shared" si="591"/>
        <v>2341.36</v>
      </c>
      <c r="CA128" s="142">
        <f t="shared" si="591"/>
        <v>69.93</v>
      </c>
      <c r="CB128" s="142">
        <f t="shared" si="591"/>
        <v>79.56</v>
      </c>
      <c r="CC128" s="142">
        <f t="shared" si="591"/>
        <v>80</v>
      </c>
      <c r="CD128" s="142">
        <f t="shared" si="591"/>
        <v>80</v>
      </c>
      <c r="CE128" s="142">
        <f t="shared" si="591"/>
        <v>66.54</v>
      </c>
      <c r="CF128" s="142">
        <f t="shared" si="591"/>
        <v>80</v>
      </c>
      <c r="CG128" s="142">
        <f t="shared" si="591"/>
        <v>78.73</v>
      </c>
      <c r="CH128" s="142">
        <f t="shared" si="591"/>
        <v>80</v>
      </c>
      <c r="CI128" s="142">
        <f t="shared" ref="CI128:EH128" si="592">CI74+CI83+CI92+CI101+CI119+CI110</f>
        <v>80</v>
      </c>
      <c r="CJ128" s="142">
        <f t="shared" si="592"/>
        <v>80</v>
      </c>
      <c r="CK128" s="142">
        <f t="shared" si="592"/>
        <v>77.6</v>
      </c>
      <c r="CL128" s="142">
        <f t="shared" si="592"/>
        <v>26.69</v>
      </c>
      <c r="CM128" s="142">
        <f t="shared" si="592"/>
        <v>67.73</v>
      </c>
      <c r="CN128" s="142">
        <f t="shared" si="592"/>
        <v>76.42</v>
      </c>
      <c r="CO128" s="142">
        <f t="shared" si="592"/>
        <v>80</v>
      </c>
      <c r="CP128" s="142">
        <f t="shared" si="592"/>
        <v>65.74</v>
      </c>
      <c r="CQ128" s="142">
        <f t="shared" si="592"/>
        <v>73.37</v>
      </c>
      <c r="CR128" s="142">
        <f t="shared" si="592"/>
        <v>60</v>
      </c>
      <c r="CS128" s="142">
        <f t="shared" si="592"/>
        <v>110</v>
      </c>
      <c r="CT128" s="142">
        <f t="shared" si="592"/>
        <v>110</v>
      </c>
      <c r="CU128" s="142">
        <f t="shared" si="592"/>
        <v>60</v>
      </c>
      <c r="CV128" s="142">
        <f t="shared" si="592"/>
        <v>50.77</v>
      </c>
      <c r="CW128" s="142">
        <f t="shared" si="592"/>
        <v>110</v>
      </c>
      <c r="CX128" s="142">
        <f t="shared" si="592"/>
        <v>110</v>
      </c>
      <c r="CY128" s="142">
        <f t="shared" si="592"/>
        <v>110</v>
      </c>
      <c r="CZ128" s="142">
        <f t="shared" si="592"/>
        <v>105.26</v>
      </c>
      <c r="DA128" s="142">
        <f t="shared" si="592"/>
        <v>60</v>
      </c>
      <c r="DB128" s="142">
        <f t="shared" si="592"/>
        <v>53.88</v>
      </c>
      <c r="DC128" s="142">
        <f t="shared" si="592"/>
        <v>60</v>
      </c>
      <c r="DD128" s="142">
        <f t="shared" si="592"/>
        <v>50.72</v>
      </c>
      <c r="DE128" s="142">
        <f t="shared" si="592"/>
        <v>48.42</v>
      </c>
      <c r="DF128" s="143">
        <f t="shared" si="592"/>
        <v>398.16</v>
      </c>
      <c r="DG128" s="142">
        <f t="shared" si="592"/>
        <v>0</v>
      </c>
      <c r="DH128" s="142">
        <f t="shared" si="592"/>
        <v>0</v>
      </c>
      <c r="DI128" s="142">
        <f t="shared" si="592"/>
        <v>0</v>
      </c>
      <c r="DJ128" s="142">
        <f t="shared" si="592"/>
        <v>0</v>
      </c>
      <c r="DK128" s="142">
        <f t="shared" si="592"/>
        <v>0</v>
      </c>
      <c r="DL128" s="142">
        <f t="shared" si="592"/>
        <v>0</v>
      </c>
      <c r="DM128" s="142">
        <f t="shared" si="592"/>
        <v>0</v>
      </c>
      <c r="DN128" s="142">
        <f t="shared" si="592"/>
        <v>0</v>
      </c>
      <c r="DO128" s="142">
        <f t="shared" si="592"/>
        <v>0</v>
      </c>
      <c r="DP128" s="142">
        <f t="shared" si="592"/>
        <v>0</v>
      </c>
      <c r="DQ128" s="142">
        <f t="shared" si="592"/>
        <v>0</v>
      </c>
      <c r="DR128" s="142">
        <f t="shared" si="592"/>
        <v>0</v>
      </c>
      <c r="DS128" s="142">
        <f t="shared" si="592"/>
        <v>0</v>
      </c>
      <c r="DT128" s="142">
        <f t="shared" si="592"/>
        <v>0</v>
      </c>
      <c r="DU128" s="142">
        <f t="shared" si="592"/>
        <v>0</v>
      </c>
      <c r="DV128" s="142">
        <f t="shared" si="592"/>
        <v>0</v>
      </c>
      <c r="DW128" s="142">
        <f t="shared" si="592"/>
        <v>0</v>
      </c>
      <c r="DX128" s="142">
        <f t="shared" si="592"/>
        <v>0</v>
      </c>
      <c r="DY128" s="142">
        <f t="shared" si="592"/>
        <v>0</v>
      </c>
      <c r="DZ128" s="142">
        <f t="shared" si="592"/>
        <v>0</v>
      </c>
      <c r="EA128" s="142">
        <f t="shared" si="592"/>
        <v>0</v>
      </c>
      <c r="EB128" s="142">
        <f t="shared" si="592"/>
        <v>0</v>
      </c>
      <c r="EC128" s="142">
        <f t="shared" si="592"/>
        <v>0</v>
      </c>
      <c r="ED128" s="142">
        <f t="shared" si="592"/>
        <v>0</v>
      </c>
      <c r="EE128" s="142">
        <f t="shared" si="592"/>
        <v>0</v>
      </c>
      <c r="EF128" s="142">
        <f t="shared" si="592"/>
        <v>0</v>
      </c>
      <c r="EG128" s="142">
        <f t="shared" si="592"/>
        <v>0</v>
      </c>
      <c r="EH128" s="142">
        <f t="shared" si="592"/>
        <v>164.41</v>
      </c>
      <c r="EI128" s="142">
        <f t="shared" ref="EI128:FM128" si="593">EI74+EI83+EI92+EI101+EI119+EI110</f>
        <v>121.17</v>
      </c>
      <c r="EJ128" s="142">
        <f t="shared" si="593"/>
        <v>112.58</v>
      </c>
      <c r="EK128" s="143">
        <f t="shared" si="593"/>
        <v>4962.55</v>
      </c>
      <c r="EL128" s="142">
        <f t="shared" si="593"/>
        <v>124.24</v>
      </c>
      <c r="EM128" s="142">
        <f t="shared" si="593"/>
        <v>112.74</v>
      </c>
      <c r="EN128" s="142">
        <f t="shared" si="593"/>
        <v>129.86</v>
      </c>
      <c r="EO128" s="142">
        <f t="shared" si="593"/>
        <v>123.14</v>
      </c>
      <c r="EP128" s="142">
        <f t="shared" si="593"/>
        <v>129.5</v>
      </c>
      <c r="EQ128" s="142">
        <f t="shared" si="593"/>
        <v>121.71</v>
      </c>
      <c r="ER128" s="142">
        <f t="shared" si="593"/>
        <v>112.07</v>
      </c>
      <c r="ES128" s="142">
        <f t="shared" si="593"/>
        <v>134</v>
      </c>
      <c r="ET128" s="142">
        <f t="shared" si="593"/>
        <v>168.91</v>
      </c>
      <c r="EU128" s="142">
        <f t="shared" si="593"/>
        <v>196.08</v>
      </c>
      <c r="EV128" s="142">
        <f t="shared" si="593"/>
        <v>230.71</v>
      </c>
      <c r="EW128" s="142">
        <f t="shared" si="593"/>
        <v>279.68</v>
      </c>
      <c r="EX128" s="142">
        <f t="shared" si="593"/>
        <v>214.13</v>
      </c>
      <c r="EY128" s="142">
        <f t="shared" si="593"/>
        <v>182.73</v>
      </c>
      <c r="EZ128" s="142">
        <f t="shared" si="593"/>
        <v>111.53</v>
      </c>
      <c r="FA128" s="142">
        <f t="shared" si="593"/>
        <v>142.67</v>
      </c>
      <c r="FB128" s="142">
        <f t="shared" si="593"/>
        <v>147.18</v>
      </c>
      <c r="FC128" s="142">
        <f t="shared" si="593"/>
        <v>114.38</v>
      </c>
      <c r="FD128" s="142">
        <f t="shared" si="593"/>
        <v>145.07</v>
      </c>
      <c r="FE128" s="142">
        <f t="shared" si="593"/>
        <v>173.48</v>
      </c>
      <c r="FF128" s="142">
        <f t="shared" si="593"/>
        <v>160.92</v>
      </c>
      <c r="FG128" s="142">
        <f t="shared" si="593"/>
        <v>147.83</v>
      </c>
      <c r="FH128" s="142">
        <f t="shared" si="593"/>
        <v>158.08</v>
      </c>
      <c r="FI128" s="142">
        <f t="shared" si="593"/>
        <v>195.23</v>
      </c>
      <c r="FJ128" s="142">
        <f t="shared" si="593"/>
        <v>170.75</v>
      </c>
      <c r="FK128" s="142">
        <f t="shared" si="593"/>
        <v>173.34</v>
      </c>
      <c r="FL128" s="142">
        <f t="shared" si="593"/>
        <v>178.38</v>
      </c>
      <c r="FM128" s="142">
        <f t="shared" si="593"/>
        <v>189.91</v>
      </c>
      <c r="FN128" s="142">
        <f t="shared" ref="FN128:GI128" si="594">FN74+FN83+FN92+FN101+FN119+FN110</f>
        <v>150.17</v>
      </c>
      <c r="FO128" s="142">
        <f t="shared" si="594"/>
        <v>152.02</v>
      </c>
      <c r="FP128" s="142">
        <f t="shared" si="594"/>
        <v>192.11</v>
      </c>
      <c r="FQ128" s="143">
        <f t="shared" si="594"/>
        <v>3543.59</v>
      </c>
      <c r="FR128" s="142">
        <f t="shared" si="594"/>
        <v>152.72</v>
      </c>
      <c r="FS128" s="142">
        <f t="shared" si="594"/>
        <v>149.79</v>
      </c>
      <c r="FT128" s="142">
        <f t="shared" si="594"/>
        <v>119.78</v>
      </c>
      <c r="FU128" s="142">
        <f t="shared" si="594"/>
        <v>167.49</v>
      </c>
      <c r="FV128" s="142">
        <f t="shared" si="594"/>
        <v>148.37</v>
      </c>
      <c r="FW128" s="142">
        <f t="shared" si="594"/>
        <v>190.98</v>
      </c>
      <c r="FX128" s="142">
        <f t="shared" si="594"/>
        <v>204.44</v>
      </c>
      <c r="FY128" s="142">
        <f t="shared" si="594"/>
        <v>192.04</v>
      </c>
      <c r="FZ128" s="142">
        <f t="shared" si="594"/>
        <v>180.78</v>
      </c>
      <c r="GA128" s="142">
        <f t="shared" si="594"/>
        <v>175.04</v>
      </c>
      <c r="GB128" s="142">
        <f t="shared" si="594"/>
        <v>184.76</v>
      </c>
      <c r="GC128" s="142">
        <f t="shared" si="594"/>
        <v>134.38</v>
      </c>
      <c r="GD128" s="142">
        <f t="shared" si="594"/>
        <v>170.13</v>
      </c>
      <c r="GE128" s="142">
        <f t="shared" si="594"/>
        <v>183.21</v>
      </c>
      <c r="GF128" s="142">
        <f t="shared" si="594"/>
        <v>172.05</v>
      </c>
      <c r="GG128" s="142">
        <f t="shared" si="594"/>
        <v>156.22</v>
      </c>
      <c r="GH128" s="142">
        <f t="shared" si="594"/>
        <v>158.17</v>
      </c>
      <c r="GI128" s="142">
        <f t="shared" si="594"/>
        <v>149.27</v>
      </c>
      <c r="GJ128" s="142">
        <f t="shared" ref="GJ128:GP128" si="595">GJ74+GJ83+GJ92+GJ101+GJ119+GJ110</f>
        <v>185.38</v>
      </c>
      <c r="GK128" s="142">
        <f t="shared" si="595"/>
        <v>185.49</v>
      </c>
      <c r="GL128" s="142">
        <f t="shared" si="595"/>
        <v>183.1</v>
      </c>
      <c r="GM128" s="142">
        <f t="shared" si="595"/>
        <v>0</v>
      </c>
      <c r="GN128" s="142">
        <f t="shared" si="595"/>
        <v>0</v>
      </c>
      <c r="GO128" s="142">
        <f t="shared" si="595"/>
        <v>0</v>
      </c>
      <c r="GP128" s="142">
        <f t="shared" si="595"/>
        <v>0</v>
      </c>
    </row>
    <row r="129" ht="15.6" spans="2:198">
      <c r="B129" s="144"/>
      <c r="C129" s="140"/>
      <c r="D129" s="145" t="e">
        <f>D82+D91+D100+D109+D127</f>
        <v>#REF!</v>
      </c>
      <c r="E129" s="146" t="e">
        <f>E82+E91+E100+E109+E127</f>
        <v>#REF!</v>
      </c>
      <c r="F129" s="146" t="e">
        <f t="shared" ref="F129:P129" si="596">F82+F91+F100+F109+F127</f>
        <v>#REF!</v>
      </c>
      <c r="G129" s="146" t="e">
        <f t="shared" si="596"/>
        <v>#REF!</v>
      </c>
      <c r="H129" s="146" t="e">
        <f t="shared" si="596"/>
        <v>#REF!</v>
      </c>
      <c r="I129" s="146" t="e">
        <f t="shared" si="596"/>
        <v>#REF!</v>
      </c>
      <c r="J129" s="146" t="e">
        <f t="shared" si="596"/>
        <v>#REF!</v>
      </c>
      <c r="K129" s="146" t="e">
        <f t="shared" si="596"/>
        <v>#REF!</v>
      </c>
      <c r="L129" s="146" t="e">
        <f t="shared" si="596"/>
        <v>#REF!</v>
      </c>
      <c r="M129" s="146" t="e">
        <f t="shared" si="596"/>
        <v>#REF!</v>
      </c>
      <c r="N129" s="146" t="e">
        <f t="shared" si="596"/>
        <v>#REF!</v>
      </c>
      <c r="O129" s="146" t="e">
        <f t="shared" si="596"/>
        <v>#REF!</v>
      </c>
      <c r="P129" s="146" t="e">
        <f t="shared" si="596"/>
        <v>#REF!</v>
      </c>
      <c r="Q129" s="147">
        <f t="shared" ref="Q129:V129" si="597">Q82+Q91+Q100+Q109+Q127+Q118</f>
        <v>1</v>
      </c>
      <c r="R129" s="148">
        <f t="shared" si="597"/>
        <v>1</v>
      </c>
      <c r="S129" s="148">
        <f t="shared" si="597"/>
        <v>1</v>
      </c>
      <c r="T129" s="148">
        <f t="shared" si="597"/>
        <v>1</v>
      </c>
      <c r="U129" s="148">
        <f t="shared" si="597"/>
        <v>1</v>
      </c>
      <c r="V129" s="148">
        <f t="shared" si="597"/>
        <v>1</v>
      </c>
      <c r="W129" s="148">
        <f t="shared" ref="W129:AV129" si="598">W82+W91+W100+W109+W127+W118</f>
        <v>1</v>
      </c>
      <c r="X129" s="148">
        <f t="shared" si="598"/>
        <v>1</v>
      </c>
      <c r="Y129" s="148">
        <f t="shared" si="598"/>
        <v>1</v>
      </c>
      <c r="Z129" s="148">
        <f t="shared" si="598"/>
        <v>1</v>
      </c>
      <c r="AA129" s="148">
        <f t="shared" si="598"/>
        <v>1</v>
      </c>
      <c r="AB129" s="148">
        <f t="shared" si="598"/>
        <v>1</v>
      </c>
      <c r="AC129" s="148">
        <f t="shared" si="598"/>
        <v>1</v>
      </c>
      <c r="AD129" s="148">
        <f t="shared" si="598"/>
        <v>1</v>
      </c>
      <c r="AE129" s="148">
        <f t="shared" si="598"/>
        <v>1</v>
      </c>
      <c r="AF129" s="148">
        <f t="shared" si="598"/>
        <v>1</v>
      </c>
      <c r="AG129" s="148">
        <f t="shared" si="598"/>
        <v>1</v>
      </c>
      <c r="AH129" s="148">
        <f t="shared" si="598"/>
        <v>1</v>
      </c>
      <c r="AI129" s="148">
        <f t="shared" si="598"/>
        <v>1</v>
      </c>
      <c r="AJ129" s="148">
        <f t="shared" si="598"/>
        <v>1</v>
      </c>
      <c r="AK129" s="148">
        <f t="shared" si="598"/>
        <v>1</v>
      </c>
      <c r="AL129" s="148">
        <f t="shared" ref="AL129:BH129" si="599">AL82+AL91+AL100+AL109+AL127+AL118</f>
        <v>1</v>
      </c>
      <c r="AM129" s="148">
        <f t="shared" si="599"/>
        <v>1</v>
      </c>
      <c r="AN129" s="148">
        <f t="shared" si="599"/>
        <v>1</v>
      </c>
      <c r="AO129" s="148">
        <f t="shared" si="599"/>
        <v>1</v>
      </c>
      <c r="AP129" s="148">
        <f t="shared" si="599"/>
        <v>1</v>
      </c>
      <c r="AQ129" s="148">
        <f t="shared" si="599"/>
        <v>1</v>
      </c>
      <c r="AR129" s="148">
        <f t="shared" si="599"/>
        <v>1</v>
      </c>
      <c r="AS129" s="148">
        <f t="shared" si="599"/>
        <v>1</v>
      </c>
      <c r="AT129" s="148">
        <f t="shared" si="599"/>
        <v>1</v>
      </c>
      <c r="AU129" s="148">
        <f t="shared" si="599"/>
        <v>1</v>
      </c>
      <c r="AV129" s="148">
        <f t="shared" si="599"/>
        <v>1</v>
      </c>
      <c r="AW129" s="147">
        <f t="shared" si="599"/>
        <v>1</v>
      </c>
      <c r="AX129" s="148">
        <f t="shared" si="599"/>
        <v>1</v>
      </c>
      <c r="AY129" s="148">
        <f t="shared" si="599"/>
        <v>1</v>
      </c>
      <c r="AZ129" s="148">
        <f t="shared" si="599"/>
        <v>1</v>
      </c>
      <c r="BA129" s="148">
        <f t="shared" si="599"/>
        <v>1</v>
      </c>
      <c r="BB129" s="148">
        <f t="shared" si="599"/>
        <v>1</v>
      </c>
      <c r="BC129" s="148">
        <f t="shared" si="599"/>
        <v>1</v>
      </c>
      <c r="BD129" s="148">
        <f t="shared" si="599"/>
        <v>1</v>
      </c>
      <c r="BE129" s="148">
        <f t="shared" si="599"/>
        <v>1</v>
      </c>
      <c r="BF129" s="148">
        <f t="shared" si="599"/>
        <v>1</v>
      </c>
      <c r="BG129" s="148">
        <f t="shared" si="599"/>
        <v>1</v>
      </c>
      <c r="BH129" s="148">
        <f t="shared" si="599"/>
        <v>1</v>
      </c>
      <c r="BI129" s="148">
        <f t="shared" ref="BI129:BW129" si="600">BI82+BI91+BI100+BI109+BI127+BI118</f>
        <v>1</v>
      </c>
      <c r="BJ129" s="148">
        <f t="shared" si="600"/>
        <v>1</v>
      </c>
      <c r="BK129" s="148">
        <f t="shared" si="600"/>
        <v>1</v>
      </c>
      <c r="BL129" s="148">
        <f t="shared" si="600"/>
        <v>1</v>
      </c>
      <c r="BM129" s="148">
        <f t="shared" si="600"/>
        <v>1</v>
      </c>
      <c r="BN129" s="148">
        <f t="shared" si="600"/>
        <v>1</v>
      </c>
      <c r="BO129" s="148">
        <f t="shared" si="600"/>
        <v>1</v>
      </c>
      <c r="BP129" s="148">
        <f t="shared" si="600"/>
        <v>1</v>
      </c>
      <c r="BQ129" s="148">
        <f t="shared" si="600"/>
        <v>1</v>
      </c>
      <c r="BR129" s="148">
        <f t="shared" si="600"/>
        <v>1</v>
      </c>
      <c r="BS129" s="148">
        <f t="shared" si="600"/>
        <v>1</v>
      </c>
      <c r="BT129" s="148">
        <f t="shared" si="600"/>
        <v>1</v>
      </c>
      <c r="BU129" s="148">
        <f t="shared" si="600"/>
        <v>1</v>
      </c>
      <c r="BV129" s="148">
        <f t="shared" si="600"/>
        <v>1</v>
      </c>
      <c r="BW129" s="148">
        <f t="shared" si="600"/>
        <v>1</v>
      </c>
      <c r="BX129" s="148">
        <f t="shared" ref="BX129:CH129" si="601">BX82+BX91+BX100+BX109+BX127+BX118</f>
        <v>1</v>
      </c>
      <c r="BY129" s="148">
        <f t="shared" si="601"/>
        <v>1</v>
      </c>
      <c r="BZ129" s="147">
        <f t="shared" si="601"/>
        <v>1</v>
      </c>
      <c r="CA129" s="148">
        <f t="shared" si="601"/>
        <v>1</v>
      </c>
      <c r="CB129" s="148">
        <f t="shared" si="601"/>
        <v>1</v>
      </c>
      <c r="CC129" s="148">
        <f t="shared" si="601"/>
        <v>1</v>
      </c>
      <c r="CD129" s="148">
        <f t="shared" si="601"/>
        <v>1</v>
      </c>
      <c r="CE129" s="148">
        <f t="shared" si="601"/>
        <v>1</v>
      </c>
      <c r="CF129" s="148">
        <f t="shared" si="601"/>
        <v>1</v>
      </c>
      <c r="CG129" s="148">
        <f t="shared" si="601"/>
        <v>1</v>
      </c>
      <c r="CH129" s="148">
        <f t="shared" si="601"/>
        <v>1</v>
      </c>
      <c r="CI129" s="148">
        <f t="shared" ref="CI129:EH129" si="602">CI82+CI91+CI100+CI109+CI127+CI118</f>
        <v>1</v>
      </c>
      <c r="CJ129" s="148">
        <f t="shared" si="602"/>
        <v>1</v>
      </c>
      <c r="CK129" s="148">
        <f t="shared" si="602"/>
        <v>1</v>
      </c>
      <c r="CL129" s="148">
        <f t="shared" si="602"/>
        <v>1</v>
      </c>
      <c r="CM129" s="148">
        <f t="shared" si="602"/>
        <v>1</v>
      </c>
      <c r="CN129" s="148">
        <f t="shared" si="602"/>
        <v>1</v>
      </c>
      <c r="CO129" s="148">
        <f t="shared" si="602"/>
        <v>1</v>
      </c>
      <c r="CP129" s="148">
        <f t="shared" si="602"/>
        <v>1</v>
      </c>
      <c r="CQ129" s="148">
        <f t="shared" si="602"/>
        <v>1</v>
      </c>
      <c r="CR129" s="148">
        <f t="shared" si="602"/>
        <v>1</v>
      </c>
      <c r="CS129" s="148">
        <f t="shared" si="602"/>
        <v>1</v>
      </c>
      <c r="CT129" s="148">
        <f t="shared" si="602"/>
        <v>1</v>
      </c>
      <c r="CU129" s="148">
        <f t="shared" si="602"/>
        <v>1</v>
      </c>
      <c r="CV129" s="148">
        <f t="shared" si="602"/>
        <v>1</v>
      </c>
      <c r="CW129" s="148">
        <f t="shared" si="602"/>
        <v>1</v>
      </c>
      <c r="CX129" s="148">
        <f t="shared" si="602"/>
        <v>1</v>
      </c>
      <c r="CY129" s="148">
        <f t="shared" si="602"/>
        <v>1</v>
      </c>
      <c r="CZ129" s="148">
        <f t="shared" si="602"/>
        <v>1</v>
      </c>
      <c r="DA129" s="148">
        <f t="shared" si="602"/>
        <v>1</v>
      </c>
      <c r="DB129" s="148">
        <f t="shared" si="602"/>
        <v>1</v>
      </c>
      <c r="DC129" s="148">
        <f t="shared" si="602"/>
        <v>1</v>
      </c>
      <c r="DD129" s="148">
        <f t="shared" si="602"/>
        <v>1</v>
      </c>
      <c r="DE129" s="148">
        <f t="shared" si="602"/>
        <v>1</v>
      </c>
      <c r="DF129" s="147">
        <f t="shared" si="602"/>
        <v>1</v>
      </c>
      <c r="DG129" s="148" t="e">
        <f t="shared" si="602"/>
        <v>#DIV/0!</v>
      </c>
      <c r="DH129" s="148" t="e">
        <f t="shared" si="602"/>
        <v>#DIV/0!</v>
      </c>
      <c r="DI129" s="148" t="e">
        <f t="shared" si="602"/>
        <v>#DIV/0!</v>
      </c>
      <c r="DJ129" s="148" t="e">
        <f t="shared" si="602"/>
        <v>#DIV/0!</v>
      </c>
      <c r="DK129" s="148" t="e">
        <f t="shared" si="602"/>
        <v>#DIV/0!</v>
      </c>
      <c r="DL129" s="148" t="e">
        <f t="shared" si="602"/>
        <v>#DIV/0!</v>
      </c>
      <c r="DM129" s="148" t="e">
        <f t="shared" si="602"/>
        <v>#DIV/0!</v>
      </c>
      <c r="DN129" s="148" t="e">
        <f t="shared" si="602"/>
        <v>#DIV/0!</v>
      </c>
      <c r="DO129" s="148" t="e">
        <f t="shared" si="602"/>
        <v>#DIV/0!</v>
      </c>
      <c r="DP129" s="148" t="e">
        <f t="shared" si="602"/>
        <v>#DIV/0!</v>
      </c>
      <c r="DQ129" s="148" t="e">
        <f t="shared" si="602"/>
        <v>#DIV/0!</v>
      </c>
      <c r="DR129" s="148" t="e">
        <f t="shared" si="602"/>
        <v>#DIV/0!</v>
      </c>
      <c r="DS129" s="148" t="e">
        <f t="shared" si="602"/>
        <v>#DIV/0!</v>
      </c>
      <c r="DT129" s="148" t="e">
        <f t="shared" si="602"/>
        <v>#DIV/0!</v>
      </c>
      <c r="DU129" s="148" t="e">
        <f t="shared" si="602"/>
        <v>#DIV/0!</v>
      </c>
      <c r="DV129" s="148" t="e">
        <f t="shared" si="602"/>
        <v>#DIV/0!</v>
      </c>
      <c r="DW129" s="148" t="e">
        <f t="shared" si="602"/>
        <v>#DIV/0!</v>
      </c>
      <c r="DX129" s="148" t="e">
        <f t="shared" si="602"/>
        <v>#DIV/0!</v>
      </c>
      <c r="DY129" s="148" t="e">
        <f t="shared" si="602"/>
        <v>#DIV/0!</v>
      </c>
      <c r="DZ129" s="148" t="e">
        <f t="shared" si="602"/>
        <v>#DIV/0!</v>
      </c>
      <c r="EA129" s="148" t="e">
        <f t="shared" si="602"/>
        <v>#DIV/0!</v>
      </c>
      <c r="EB129" s="148" t="e">
        <f t="shared" si="602"/>
        <v>#DIV/0!</v>
      </c>
      <c r="EC129" s="148" t="e">
        <f t="shared" si="602"/>
        <v>#DIV/0!</v>
      </c>
      <c r="ED129" s="148" t="e">
        <f t="shared" si="602"/>
        <v>#DIV/0!</v>
      </c>
      <c r="EE129" s="148" t="e">
        <f t="shared" si="602"/>
        <v>#DIV/0!</v>
      </c>
      <c r="EF129" s="148" t="e">
        <f t="shared" si="602"/>
        <v>#DIV/0!</v>
      </c>
      <c r="EG129" s="148" t="e">
        <f t="shared" si="602"/>
        <v>#DIV/0!</v>
      </c>
      <c r="EH129" s="148">
        <f t="shared" si="602"/>
        <v>1</v>
      </c>
      <c r="EI129" s="148">
        <f t="shared" ref="EI129:FM129" si="603">EI82+EI91+EI100+EI109+EI127+EI118</f>
        <v>1</v>
      </c>
      <c r="EJ129" s="148">
        <f t="shared" si="603"/>
        <v>1</v>
      </c>
      <c r="EK129" s="147">
        <f t="shared" si="603"/>
        <v>1</v>
      </c>
      <c r="EL129" s="148">
        <f t="shared" si="603"/>
        <v>1</v>
      </c>
      <c r="EM129" s="148">
        <f t="shared" si="603"/>
        <v>1</v>
      </c>
      <c r="EN129" s="148">
        <f t="shared" si="603"/>
        <v>1</v>
      </c>
      <c r="EO129" s="148">
        <f t="shared" si="603"/>
        <v>1</v>
      </c>
      <c r="EP129" s="148">
        <f t="shared" si="603"/>
        <v>1</v>
      </c>
      <c r="EQ129" s="148">
        <f t="shared" si="603"/>
        <v>1</v>
      </c>
      <c r="ER129" s="148">
        <f t="shared" si="603"/>
        <v>1</v>
      </c>
      <c r="ES129" s="148">
        <f t="shared" si="603"/>
        <v>1</v>
      </c>
      <c r="ET129" s="148">
        <f t="shared" si="603"/>
        <v>1</v>
      </c>
      <c r="EU129" s="148">
        <f t="shared" si="603"/>
        <v>1</v>
      </c>
      <c r="EV129" s="148">
        <f t="shared" si="603"/>
        <v>1</v>
      </c>
      <c r="EW129" s="148">
        <f t="shared" si="603"/>
        <v>1</v>
      </c>
      <c r="EX129" s="148">
        <f t="shared" si="603"/>
        <v>1</v>
      </c>
      <c r="EY129" s="148">
        <f t="shared" si="603"/>
        <v>1</v>
      </c>
      <c r="EZ129" s="148">
        <f t="shared" si="603"/>
        <v>1</v>
      </c>
      <c r="FA129" s="148">
        <f t="shared" si="603"/>
        <v>1</v>
      </c>
      <c r="FB129" s="148">
        <f t="shared" si="603"/>
        <v>1</v>
      </c>
      <c r="FC129" s="148">
        <f t="shared" si="603"/>
        <v>1</v>
      </c>
      <c r="FD129" s="148">
        <f t="shared" si="603"/>
        <v>1</v>
      </c>
      <c r="FE129" s="148">
        <f t="shared" si="603"/>
        <v>1</v>
      </c>
      <c r="FF129" s="148">
        <f t="shared" si="603"/>
        <v>1</v>
      </c>
      <c r="FG129" s="148">
        <f t="shared" si="603"/>
        <v>1</v>
      </c>
      <c r="FH129" s="148">
        <f t="shared" si="603"/>
        <v>1</v>
      </c>
      <c r="FI129" s="148">
        <f t="shared" si="603"/>
        <v>1</v>
      </c>
      <c r="FJ129" s="148">
        <f t="shared" si="603"/>
        <v>1</v>
      </c>
      <c r="FK129" s="148">
        <f t="shared" si="603"/>
        <v>1</v>
      </c>
      <c r="FL129" s="148">
        <f t="shared" si="603"/>
        <v>1</v>
      </c>
      <c r="FM129" s="148">
        <f t="shared" si="603"/>
        <v>1</v>
      </c>
      <c r="FN129" s="148">
        <f t="shared" ref="FN129:GI129" si="604">FN82+FN91+FN100+FN109+FN127+FN118</f>
        <v>1</v>
      </c>
      <c r="FO129" s="148">
        <f t="shared" si="604"/>
        <v>1</v>
      </c>
      <c r="FP129" s="148">
        <f t="shared" si="604"/>
        <v>1</v>
      </c>
      <c r="FQ129" s="147">
        <f t="shared" si="604"/>
        <v>1</v>
      </c>
      <c r="FR129" s="148">
        <f t="shared" si="604"/>
        <v>1</v>
      </c>
      <c r="FS129" s="148">
        <f t="shared" si="604"/>
        <v>1</v>
      </c>
      <c r="FT129" s="148">
        <f t="shared" si="604"/>
        <v>1</v>
      </c>
      <c r="FU129" s="148">
        <f t="shared" si="604"/>
        <v>1</v>
      </c>
      <c r="FV129" s="148">
        <f t="shared" si="604"/>
        <v>1</v>
      </c>
      <c r="FW129" s="148">
        <f t="shared" si="604"/>
        <v>1</v>
      </c>
      <c r="FX129" s="148">
        <f t="shared" si="604"/>
        <v>1</v>
      </c>
      <c r="FY129" s="148">
        <f t="shared" si="604"/>
        <v>1</v>
      </c>
      <c r="FZ129" s="148">
        <f t="shared" si="604"/>
        <v>1</v>
      </c>
      <c r="GA129" s="148">
        <f t="shared" si="604"/>
        <v>1</v>
      </c>
      <c r="GB129" s="148">
        <f t="shared" si="604"/>
        <v>1</v>
      </c>
      <c r="GC129" s="148">
        <f t="shared" si="604"/>
        <v>1</v>
      </c>
      <c r="GD129" s="148">
        <f t="shared" si="604"/>
        <v>1</v>
      </c>
      <c r="GE129" s="148">
        <f t="shared" si="604"/>
        <v>1</v>
      </c>
      <c r="GF129" s="148">
        <f t="shared" si="604"/>
        <v>1</v>
      </c>
      <c r="GG129" s="148">
        <f t="shared" si="604"/>
        <v>1</v>
      </c>
      <c r="GH129" s="148">
        <f t="shared" si="604"/>
        <v>1</v>
      </c>
      <c r="GI129" s="148">
        <f t="shared" si="604"/>
        <v>1</v>
      </c>
      <c r="GJ129" s="148">
        <f t="shared" ref="GJ129:GP129" si="605">GJ82+GJ91+GJ100+GJ109+GJ127+GJ118</f>
        <v>1</v>
      </c>
      <c r="GK129" s="148">
        <f t="shared" si="605"/>
        <v>1</v>
      </c>
      <c r="GL129" s="148">
        <f t="shared" si="605"/>
        <v>1</v>
      </c>
      <c r="GM129" s="148" t="e">
        <f t="shared" si="605"/>
        <v>#DIV/0!</v>
      </c>
      <c r="GN129" s="148" t="e">
        <f t="shared" si="605"/>
        <v>#DIV/0!</v>
      </c>
      <c r="GO129" s="148" t="e">
        <f t="shared" si="605"/>
        <v>#DIV/0!</v>
      </c>
      <c r="GP129" s="148" t="e">
        <f t="shared" si="605"/>
        <v>#DIV/0!</v>
      </c>
    </row>
    <row r="130" ht="19" customHeight="1" spans="2:198">
      <c r="B130" s="144"/>
      <c r="C130" s="140" t="s">
        <v>50</v>
      </c>
      <c r="D130" s="141" t="e">
        <f>D20+D29+D38+D47+D56+D65</f>
        <v>#REF!</v>
      </c>
      <c r="E130" s="142" t="e">
        <f>E20+E29+E38+E47+E56+E65</f>
        <v>#REF!</v>
      </c>
      <c r="F130" s="142" t="e">
        <f t="shared" ref="F130:V130" si="606">F20+F29+F38+F47+F56+F65</f>
        <v>#REF!</v>
      </c>
      <c r="G130" s="142" t="e">
        <f t="shared" si="606"/>
        <v>#REF!</v>
      </c>
      <c r="H130" s="142" t="e">
        <f t="shared" si="606"/>
        <v>#REF!</v>
      </c>
      <c r="I130" s="142" t="e">
        <f t="shared" si="606"/>
        <v>#REF!</v>
      </c>
      <c r="J130" s="142" t="e">
        <f t="shared" si="606"/>
        <v>#REF!</v>
      </c>
      <c r="K130" s="142" t="e">
        <f t="shared" si="606"/>
        <v>#REF!</v>
      </c>
      <c r="L130" s="142" t="e">
        <f t="shared" si="606"/>
        <v>#REF!</v>
      </c>
      <c r="M130" s="142" t="e">
        <f t="shared" si="606"/>
        <v>#REF!</v>
      </c>
      <c r="N130" s="142" t="e">
        <f t="shared" si="606"/>
        <v>#REF!</v>
      </c>
      <c r="O130" s="142" t="e">
        <f t="shared" si="606"/>
        <v>#REF!</v>
      </c>
      <c r="P130" s="142" t="e">
        <f t="shared" si="606"/>
        <v>#REF!</v>
      </c>
      <c r="Q130" s="143">
        <f t="shared" si="606"/>
        <v>10202.72</v>
      </c>
      <c r="R130" s="142">
        <f t="shared" si="606"/>
        <v>230.73</v>
      </c>
      <c r="S130" s="142">
        <f t="shared" si="606"/>
        <v>229.7</v>
      </c>
      <c r="T130" s="142">
        <f t="shared" si="606"/>
        <v>286.36</v>
      </c>
      <c r="U130" s="142">
        <f t="shared" si="606"/>
        <v>428.62</v>
      </c>
      <c r="V130" s="142">
        <f t="shared" si="606"/>
        <v>348.76</v>
      </c>
      <c r="W130" s="142">
        <f t="shared" ref="W130:AV130" si="607">W20+W29+W38+W47+W56+W65</f>
        <v>374.2</v>
      </c>
      <c r="X130" s="142">
        <f t="shared" si="607"/>
        <v>313.85</v>
      </c>
      <c r="Y130" s="142">
        <f t="shared" si="607"/>
        <v>377</v>
      </c>
      <c r="Z130" s="142">
        <f t="shared" si="607"/>
        <v>406.28</v>
      </c>
      <c r="AA130" s="142">
        <f t="shared" si="607"/>
        <v>366.03</v>
      </c>
      <c r="AB130" s="142">
        <f t="shared" si="607"/>
        <v>365.03</v>
      </c>
      <c r="AC130" s="142">
        <f t="shared" si="607"/>
        <v>356.36</v>
      </c>
      <c r="AD130" s="142">
        <f t="shared" si="607"/>
        <v>343.31</v>
      </c>
      <c r="AE130" s="142">
        <f t="shared" si="607"/>
        <v>385.21</v>
      </c>
      <c r="AF130" s="142">
        <f t="shared" si="607"/>
        <v>349.04</v>
      </c>
      <c r="AG130" s="142">
        <f t="shared" si="607"/>
        <v>394.66</v>
      </c>
      <c r="AH130" s="142">
        <f t="shared" si="607"/>
        <v>381.95</v>
      </c>
      <c r="AI130" s="142">
        <f t="shared" si="607"/>
        <v>431.29</v>
      </c>
      <c r="AJ130" s="142">
        <f t="shared" si="607"/>
        <v>434.2</v>
      </c>
      <c r="AK130" s="142">
        <f t="shared" si="607"/>
        <v>255.74</v>
      </c>
      <c r="AL130" s="142">
        <f t="shared" ref="AL130:BH130" si="608">AL20+AL29+AL38+AL47+AL56+AL65</f>
        <v>236.37</v>
      </c>
      <c r="AM130" s="142">
        <f t="shared" si="608"/>
        <v>297.44</v>
      </c>
      <c r="AN130" s="142">
        <f t="shared" si="608"/>
        <v>291.08</v>
      </c>
      <c r="AO130" s="142">
        <f t="shared" si="608"/>
        <v>301.31</v>
      </c>
      <c r="AP130" s="142">
        <f t="shared" si="608"/>
        <v>299.68</v>
      </c>
      <c r="AQ130" s="142">
        <f t="shared" si="608"/>
        <v>289.26</v>
      </c>
      <c r="AR130" s="142">
        <f t="shared" si="608"/>
        <v>324.39</v>
      </c>
      <c r="AS130" s="142">
        <f t="shared" si="608"/>
        <v>271.29</v>
      </c>
      <c r="AT130" s="142">
        <f t="shared" si="608"/>
        <v>274.98</v>
      </c>
      <c r="AU130" s="142">
        <f t="shared" si="608"/>
        <v>291.16</v>
      </c>
      <c r="AV130" s="142">
        <f t="shared" si="608"/>
        <v>267.44</v>
      </c>
      <c r="AW130" s="143">
        <f t="shared" si="608"/>
        <v>5679.7</v>
      </c>
      <c r="AX130" s="142">
        <f t="shared" si="608"/>
        <v>273.95</v>
      </c>
      <c r="AY130" s="142">
        <f t="shared" si="608"/>
        <v>285.71</v>
      </c>
      <c r="AZ130" s="142">
        <f t="shared" si="608"/>
        <v>260.76</v>
      </c>
      <c r="BA130" s="142">
        <f t="shared" si="608"/>
        <v>261.42</v>
      </c>
      <c r="BB130" s="142">
        <f t="shared" si="608"/>
        <v>272.63</v>
      </c>
      <c r="BC130" s="142">
        <f t="shared" si="608"/>
        <v>261.13</v>
      </c>
      <c r="BD130" s="142">
        <f t="shared" si="608"/>
        <v>256.67</v>
      </c>
      <c r="BE130" s="142">
        <f t="shared" si="608"/>
        <v>270.07</v>
      </c>
      <c r="BF130" s="142">
        <f t="shared" si="608"/>
        <v>262.92</v>
      </c>
      <c r="BG130" s="142">
        <f t="shared" si="608"/>
        <v>259.55</v>
      </c>
      <c r="BH130" s="142">
        <f t="shared" si="608"/>
        <v>231.69</v>
      </c>
      <c r="BI130" s="142">
        <f t="shared" ref="BI130:BW130" si="609">BI20+BI29+BI38+BI47+BI56+BI65</f>
        <v>231.01</v>
      </c>
      <c r="BJ130" s="142">
        <f t="shared" si="609"/>
        <v>236.4</v>
      </c>
      <c r="BK130" s="142">
        <f t="shared" si="609"/>
        <v>228.15</v>
      </c>
      <c r="BL130" s="142">
        <f t="shared" si="609"/>
        <v>127.86</v>
      </c>
      <c r="BM130" s="142">
        <f t="shared" si="609"/>
        <v>83.96</v>
      </c>
      <c r="BN130" s="142">
        <f t="shared" si="609"/>
        <v>112.33</v>
      </c>
      <c r="BO130" s="142">
        <f t="shared" si="609"/>
        <v>112.98</v>
      </c>
      <c r="BP130" s="142">
        <f t="shared" si="609"/>
        <v>120.27</v>
      </c>
      <c r="BQ130" s="142">
        <f t="shared" si="609"/>
        <v>120.44</v>
      </c>
      <c r="BR130" s="142">
        <f t="shared" si="609"/>
        <v>120.51</v>
      </c>
      <c r="BS130" s="142">
        <f t="shared" si="609"/>
        <v>122.47</v>
      </c>
      <c r="BT130" s="142">
        <f t="shared" si="609"/>
        <v>118.41</v>
      </c>
      <c r="BU130" s="142">
        <f t="shared" si="609"/>
        <v>130.08</v>
      </c>
      <c r="BV130" s="142">
        <f t="shared" si="609"/>
        <v>224.4</v>
      </c>
      <c r="BW130" s="142">
        <f t="shared" si="609"/>
        <v>228.44</v>
      </c>
      <c r="BX130" s="142">
        <f t="shared" ref="BX130:CH130" si="610">BX20+BX29+BX38+BX47+BX56+BX65</f>
        <v>230.45</v>
      </c>
      <c r="BY130" s="142">
        <f t="shared" si="610"/>
        <v>235.04</v>
      </c>
      <c r="BZ130" s="143">
        <f t="shared" si="610"/>
        <v>10435.87</v>
      </c>
      <c r="CA130" s="142">
        <f t="shared" si="610"/>
        <v>215.8</v>
      </c>
      <c r="CB130" s="142">
        <f t="shared" si="610"/>
        <v>225.78</v>
      </c>
      <c r="CC130" s="142">
        <f t="shared" si="610"/>
        <v>237.53</v>
      </c>
      <c r="CD130" s="142">
        <f t="shared" si="610"/>
        <v>306.96</v>
      </c>
      <c r="CE130" s="142">
        <f t="shared" si="610"/>
        <v>338.82</v>
      </c>
      <c r="CF130" s="142">
        <f t="shared" si="610"/>
        <v>306.52</v>
      </c>
      <c r="CG130" s="142">
        <f t="shared" si="610"/>
        <v>231.74</v>
      </c>
      <c r="CH130" s="142">
        <f t="shared" si="610"/>
        <v>273.86</v>
      </c>
      <c r="CI130" s="142">
        <f t="shared" ref="CI130:EH130" si="611">CI20+CI29+CI38+CI47+CI56+CI65</f>
        <v>266.65</v>
      </c>
      <c r="CJ130" s="142">
        <f t="shared" si="611"/>
        <v>342.78</v>
      </c>
      <c r="CK130" s="142">
        <f t="shared" si="611"/>
        <v>337.53</v>
      </c>
      <c r="CL130" s="142">
        <f t="shared" si="611"/>
        <v>296.79</v>
      </c>
      <c r="CM130" s="142">
        <f t="shared" si="611"/>
        <v>328.58</v>
      </c>
      <c r="CN130" s="142">
        <f t="shared" si="611"/>
        <v>459.81</v>
      </c>
      <c r="CO130" s="142">
        <f t="shared" si="611"/>
        <v>341.95</v>
      </c>
      <c r="CP130" s="142">
        <f t="shared" si="611"/>
        <v>427.65</v>
      </c>
      <c r="CQ130" s="142">
        <f t="shared" si="611"/>
        <v>325.09</v>
      </c>
      <c r="CR130" s="142">
        <f t="shared" si="611"/>
        <v>380.08</v>
      </c>
      <c r="CS130" s="142">
        <f t="shared" si="611"/>
        <v>372.03</v>
      </c>
      <c r="CT130" s="142">
        <f t="shared" si="611"/>
        <v>367.44</v>
      </c>
      <c r="CU130" s="142">
        <f t="shared" si="611"/>
        <v>341.59</v>
      </c>
      <c r="CV130" s="142">
        <f t="shared" si="611"/>
        <v>325.72</v>
      </c>
      <c r="CW130" s="142">
        <f t="shared" si="611"/>
        <v>367.14</v>
      </c>
      <c r="CX130" s="142">
        <f t="shared" si="611"/>
        <v>379.64</v>
      </c>
      <c r="CY130" s="142">
        <f t="shared" si="611"/>
        <v>490.14</v>
      </c>
      <c r="CZ130" s="142">
        <f t="shared" si="611"/>
        <v>399.36</v>
      </c>
      <c r="DA130" s="142">
        <f t="shared" si="611"/>
        <v>370.14</v>
      </c>
      <c r="DB130" s="142">
        <f t="shared" si="611"/>
        <v>361.54</v>
      </c>
      <c r="DC130" s="142">
        <f t="shared" si="611"/>
        <v>361.72</v>
      </c>
      <c r="DD130" s="142">
        <f t="shared" si="611"/>
        <v>334.47</v>
      </c>
      <c r="DE130" s="142">
        <f t="shared" si="611"/>
        <v>321.02</v>
      </c>
      <c r="DF130" s="143">
        <f t="shared" si="611"/>
        <v>10737.69</v>
      </c>
      <c r="DG130" s="142">
        <f t="shared" si="611"/>
        <v>269.05</v>
      </c>
      <c r="DH130" s="142">
        <f t="shared" si="611"/>
        <v>223.4</v>
      </c>
      <c r="DI130" s="142">
        <f t="shared" si="611"/>
        <v>280.21</v>
      </c>
      <c r="DJ130" s="142">
        <f t="shared" si="611"/>
        <v>266.99</v>
      </c>
      <c r="DK130" s="142">
        <f t="shared" si="611"/>
        <v>338.86</v>
      </c>
      <c r="DL130" s="142">
        <f t="shared" si="611"/>
        <v>265.57</v>
      </c>
      <c r="DM130" s="142">
        <f t="shared" si="611"/>
        <v>507.4</v>
      </c>
      <c r="DN130" s="142">
        <f t="shared" si="611"/>
        <v>685.11</v>
      </c>
      <c r="DO130" s="142">
        <f t="shared" si="611"/>
        <v>760.9</v>
      </c>
      <c r="DP130" s="142">
        <f t="shared" si="611"/>
        <v>443.58</v>
      </c>
      <c r="DQ130" s="142">
        <f t="shared" si="611"/>
        <v>317.28</v>
      </c>
      <c r="DR130" s="142">
        <f t="shared" si="611"/>
        <v>307.71</v>
      </c>
      <c r="DS130" s="142">
        <f t="shared" si="611"/>
        <v>297.37</v>
      </c>
      <c r="DT130" s="142">
        <f t="shared" si="611"/>
        <v>274.27</v>
      </c>
      <c r="DU130" s="142">
        <f t="shared" si="611"/>
        <v>304.04</v>
      </c>
      <c r="DV130" s="142">
        <f t="shared" si="611"/>
        <v>376.76</v>
      </c>
      <c r="DW130" s="142">
        <f t="shared" si="611"/>
        <v>305.76</v>
      </c>
      <c r="DX130" s="142">
        <f t="shared" si="611"/>
        <v>286.84</v>
      </c>
      <c r="DY130" s="142">
        <f t="shared" si="611"/>
        <v>320.44</v>
      </c>
      <c r="DZ130" s="142">
        <f t="shared" si="611"/>
        <v>247.85</v>
      </c>
      <c r="EA130" s="142">
        <f t="shared" si="611"/>
        <v>217.23</v>
      </c>
      <c r="EB130" s="142">
        <f t="shared" si="611"/>
        <v>383.3</v>
      </c>
      <c r="EC130" s="142">
        <f t="shared" si="611"/>
        <v>474.21</v>
      </c>
      <c r="ED130" s="142">
        <f t="shared" si="611"/>
        <v>461.58</v>
      </c>
      <c r="EE130" s="142">
        <f t="shared" si="611"/>
        <v>492.69</v>
      </c>
      <c r="EF130" s="142">
        <f t="shared" si="611"/>
        <v>353.31</v>
      </c>
      <c r="EG130" s="142">
        <f t="shared" si="611"/>
        <v>413.25</v>
      </c>
      <c r="EH130" s="142">
        <f t="shared" si="611"/>
        <v>349.3</v>
      </c>
      <c r="EI130" s="142">
        <f t="shared" ref="EI130:FM130" si="612">EI20+EI29+EI38+EI47+EI56+EI65</f>
        <v>267.43</v>
      </c>
      <c r="EJ130" s="142">
        <f t="shared" si="612"/>
        <v>246</v>
      </c>
      <c r="EK130" s="143">
        <f t="shared" si="612"/>
        <v>10292.28</v>
      </c>
      <c r="EL130" s="142">
        <f t="shared" si="612"/>
        <v>251.35</v>
      </c>
      <c r="EM130" s="142">
        <f t="shared" si="612"/>
        <v>237.78</v>
      </c>
      <c r="EN130" s="142">
        <f t="shared" si="612"/>
        <v>257.04</v>
      </c>
      <c r="EO130" s="142">
        <f t="shared" si="612"/>
        <v>246.18</v>
      </c>
      <c r="EP130" s="142">
        <f t="shared" si="612"/>
        <v>263.29</v>
      </c>
      <c r="EQ130" s="142">
        <f t="shared" si="612"/>
        <v>251.64</v>
      </c>
      <c r="ER130" s="142">
        <f t="shared" si="612"/>
        <v>243.45</v>
      </c>
      <c r="ES130" s="142">
        <f t="shared" si="612"/>
        <v>438.23</v>
      </c>
      <c r="ET130" s="142">
        <f t="shared" si="612"/>
        <v>423.7</v>
      </c>
      <c r="EU130" s="142">
        <f t="shared" si="612"/>
        <v>419.95</v>
      </c>
      <c r="EV130" s="142">
        <f t="shared" si="612"/>
        <v>451.8</v>
      </c>
      <c r="EW130" s="142">
        <f t="shared" si="612"/>
        <v>438.8</v>
      </c>
      <c r="EX130" s="142">
        <f t="shared" si="612"/>
        <v>340.91</v>
      </c>
      <c r="EY130" s="142">
        <f t="shared" si="612"/>
        <v>322.16</v>
      </c>
      <c r="EZ130" s="142">
        <f t="shared" si="612"/>
        <v>248.63</v>
      </c>
      <c r="FA130" s="142">
        <f t="shared" si="612"/>
        <v>279.74</v>
      </c>
      <c r="FB130" s="142">
        <f t="shared" si="612"/>
        <v>282.97</v>
      </c>
      <c r="FC130" s="142">
        <f t="shared" si="612"/>
        <v>255.27</v>
      </c>
      <c r="FD130" s="142">
        <f t="shared" si="612"/>
        <v>277.81</v>
      </c>
      <c r="FE130" s="142">
        <f t="shared" si="612"/>
        <v>374.42</v>
      </c>
      <c r="FF130" s="142">
        <f t="shared" si="612"/>
        <v>384.52</v>
      </c>
      <c r="FG130" s="142">
        <f t="shared" si="612"/>
        <v>376.4</v>
      </c>
      <c r="FH130" s="142">
        <f t="shared" si="612"/>
        <v>380.09</v>
      </c>
      <c r="FI130" s="142">
        <f t="shared" si="612"/>
        <v>416.54</v>
      </c>
      <c r="FJ130" s="142">
        <f t="shared" si="612"/>
        <v>389.64</v>
      </c>
      <c r="FK130" s="142">
        <f t="shared" si="612"/>
        <v>347.25</v>
      </c>
      <c r="FL130" s="142">
        <f t="shared" si="612"/>
        <v>354.05</v>
      </c>
      <c r="FM130" s="142">
        <f t="shared" si="612"/>
        <v>365.25</v>
      </c>
      <c r="FN130" s="142">
        <f t="shared" ref="FN130:GI130" si="613">FN20+FN29+FN38+FN47+FN56+FN65</f>
        <v>323.17</v>
      </c>
      <c r="FO130" s="142">
        <f t="shared" si="613"/>
        <v>312.71</v>
      </c>
      <c r="FP130" s="142">
        <f t="shared" si="613"/>
        <v>337.54</v>
      </c>
      <c r="FQ130" s="143">
        <f t="shared" si="613"/>
        <v>7384.34</v>
      </c>
      <c r="FR130" s="142">
        <f t="shared" si="613"/>
        <v>312.68</v>
      </c>
      <c r="FS130" s="142">
        <f t="shared" si="613"/>
        <v>300.42</v>
      </c>
      <c r="FT130" s="142">
        <f t="shared" si="613"/>
        <v>279.32</v>
      </c>
      <c r="FU130" s="142">
        <f t="shared" si="613"/>
        <v>332</v>
      </c>
      <c r="FV130" s="142">
        <f t="shared" si="613"/>
        <v>301.96</v>
      </c>
      <c r="FW130" s="142">
        <f t="shared" si="613"/>
        <v>336.92</v>
      </c>
      <c r="FX130" s="142">
        <f t="shared" si="613"/>
        <v>361.92</v>
      </c>
      <c r="FY130" s="142">
        <f t="shared" si="613"/>
        <v>357.64</v>
      </c>
      <c r="FZ130" s="142">
        <f t="shared" si="613"/>
        <v>350.04</v>
      </c>
      <c r="GA130" s="142">
        <f t="shared" si="613"/>
        <v>367.36</v>
      </c>
      <c r="GB130" s="142">
        <f t="shared" si="613"/>
        <v>349</v>
      </c>
      <c r="GC130" s="142">
        <f t="shared" si="613"/>
        <v>318.85</v>
      </c>
      <c r="GD130" s="142">
        <f t="shared" si="613"/>
        <v>362</v>
      </c>
      <c r="GE130" s="142">
        <f t="shared" si="613"/>
        <v>370.05</v>
      </c>
      <c r="GF130" s="142">
        <f t="shared" si="613"/>
        <v>354.06</v>
      </c>
      <c r="GG130" s="142">
        <f t="shared" si="613"/>
        <v>323.98</v>
      </c>
      <c r="GH130" s="142">
        <f t="shared" si="613"/>
        <v>420.86</v>
      </c>
      <c r="GI130" s="142">
        <f t="shared" si="613"/>
        <v>379.37</v>
      </c>
      <c r="GJ130" s="142">
        <f t="shared" ref="GJ130:GP130" si="614">GJ20+GJ29+GJ38+GJ47+GJ56+GJ65</f>
        <v>390.86</v>
      </c>
      <c r="GK130" s="142">
        <f t="shared" si="614"/>
        <v>397.7</v>
      </c>
      <c r="GL130" s="142">
        <f t="shared" si="614"/>
        <v>417.35</v>
      </c>
      <c r="GM130" s="142">
        <f t="shared" si="614"/>
        <v>0</v>
      </c>
      <c r="GN130" s="142">
        <f t="shared" si="614"/>
        <v>0</v>
      </c>
      <c r="GO130" s="142">
        <f t="shared" si="614"/>
        <v>0</v>
      </c>
      <c r="GP130" s="142">
        <f t="shared" si="614"/>
        <v>0</v>
      </c>
    </row>
    <row r="131" ht="15.6" spans="2:198">
      <c r="B131" s="149"/>
      <c r="C131" s="140"/>
      <c r="D131" s="145" t="e">
        <f>D28+D37+D64+D73+D46+D55</f>
        <v>#REF!</v>
      </c>
      <c r="E131" s="146" t="e">
        <f t="shared" ref="E131:V131" si="615">E28+E37+E64+E73+E46+E55</f>
        <v>#REF!</v>
      </c>
      <c r="F131" s="146" t="e">
        <f t="shared" si="615"/>
        <v>#REF!</v>
      </c>
      <c r="G131" s="146" t="e">
        <f t="shared" si="615"/>
        <v>#REF!</v>
      </c>
      <c r="H131" s="146" t="e">
        <f t="shared" si="615"/>
        <v>#REF!</v>
      </c>
      <c r="I131" s="146" t="e">
        <f t="shared" si="615"/>
        <v>#REF!</v>
      </c>
      <c r="J131" s="146" t="e">
        <f t="shared" si="615"/>
        <v>#REF!</v>
      </c>
      <c r="K131" s="146" t="e">
        <f t="shared" si="615"/>
        <v>#REF!</v>
      </c>
      <c r="L131" s="146" t="e">
        <f t="shared" si="615"/>
        <v>#REF!</v>
      </c>
      <c r="M131" s="146" t="e">
        <f t="shared" si="615"/>
        <v>#REF!</v>
      </c>
      <c r="N131" s="146" t="e">
        <f t="shared" si="615"/>
        <v>#REF!</v>
      </c>
      <c r="O131" s="146" t="e">
        <f t="shared" si="615"/>
        <v>#REF!</v>
      </c>
      <c r="P131" s="146" t="e">
        <f t="shared" si="615"/>
        <v>#REF!</v>
      </c>
      <c r="Q131" s="147">
        <f t="shared" si="615"/>
        <v>1</v>
      </c>
      <c r="R131" s="146">
        <f t="shared" si="615"/>
        <v>1</v>
      </c>
      <c r="S131" s="146">
        <f t="shared" si="615"/>
        <v>1</v>
      </c>
      <c r="T131" s="146">
        <f t="shared" si="615"/>
        <v>1</v>
      </c>
      <c r="U131" s="146">
        <f t="shared" si="615"/>
        <v>1</v>
      </c>
      <c r="V131" s="146">
        <f t="shared" si="615"/>
        <v>1</v>
      </c>
      <c r="W131" s="146">
        <f t="shared" ref="W131:AV131" si="616">W28+W37+W64+W73+W46+W55</f>
        <v>1</v>
      </c>
      <c r="X131" s="146">
        <f t="shared" si="616"/>
        <v>1</v>
      </c>
      <c r="Y131" s="146">
        <f t="shared" si="616"/>
        <v>1</v>
      </c>
      <c r="Z131" s="146">
        <f t="shared" si="616"/>
        <v>1</v>
      </c>
      <c r="AA131" s="146">
        <f t="shared" si="616"/>
        <v>1</v>
      </c>
      <c r="AB131" s="146">
        <f t="shared" si="616"/>
        <v>1</v>
      </c>
      <c r="AC131" s="146">
        <f t="shared" si="616"/>
        <v>1</v>
      </c>
      <c r="AD131" s="146">
        <f t="shared" si="616"/>
        <v>1</v>
      </c>
      <c r="AE131" s="146">
        <f t="shared" si="616"/>
        <v>1</v>
      </c>
      <c r="AF131" s="146">
        <f t="shared" si="616"/>
        <v>1</v>
      </c>
      <c r="AG131" s="146">
        <f t="shared" si="616"/>
        <v>1</v>
      </c>
      <c r="AH131" s="146">
        <f t="shared" si="616"/>
        <v>1</v>
      </c>
      <c r="AI131" s="146">
        <f t="shared" si="616"/>
        <v>1</v>
      </c>
      <c r="AJ131" s="146">
        <f t="shared" si="616"/>
        <v>1</v>
      </c>
      <c r="AK131" s="146">
        <f t="shared" si="616"/>
        <v>1</v>
      </c>
      <c r="AL131" s="146">
        <f t="shared" ref="AL131:BH131" si="617">AL28+AL37+AL64+AL73+AL46+AL55</f>
        <v>1</v>
      </c>
      <c r="AM131" s="146">
        <f t="shared" si="617"/>
        <v>1</v>
      </c>
      <c r="AN131" s="146">
        <f t="shared" si="617"/>
        <v>1</v>
      </c>
      <c r="AO131" s="146">
        <f t="shared" si="617"/>
        <v>1</v>
      </c>
      <c r="AP131" s="146">
        <f t="shared" si="617"/>
        <v>1</v>
      </c>
      <c r="AQ131" s="146">
        <f t="shared" si="617"/>
        <v>1</v>
      </c>
      <c r="AR131" s="146">
        <f t="shared" si="617"/>
        <v>1</v>
      </c>
      <c r="AS131" s="146">
        <f t="shared" si="617"/>
        <v>1</v>
      </c>
      <c r="AT131" s="146">
        <f t="shared" si="617"/>
        <v>1</v>
      </c>
      <c r="AU131" s="146">
        <f t="shared" si="617"/>
        <v>1</v>
      </c>
      <c r="AV131" s="146">
        <f t="shared" si="617"/>
        <v>1</v>
      </c>
      <c r="AW131" s="147">
        <f t="shared" si="617"/>
        <v>1</v>
      </c>
      <c r="AX131" s="146">
        <f t="shared" si="617"/>
        <v>1</v>
      </c>
      <c r="AY131" s="146">
        <f t="shared" si="617"/>
        <v>1</v>
      </c>
      <c r="AZ131" s="146">
        <f t="shared" si="617"/>
        <v>1</v>
      </c>
      <c r="BA131" s="146">
        <f t="shared" si="617"/>
        <v>1</v>
      </c>
      <c r="BB131" s="146">
        <f t="shared" si="617"/>
        <v>1</v>
      </c>
      <c r="BC131" s="146">
        <f t="shared" si="617"/>
        <v>1</v>
      </c>
      <c r="BD131" s="146">
        <f t="shared" si="617"/>
        <v>1</v>
      </c>
      <c r="BE131" s="146">
        <f t="shared" si="617"/>
        <v>1</v>
      </c>
      <c r="BF131" s="146">
        <f t="shared" si="617"/>
        <v>1</v>
      </c>
      <c r="BG131" s="146">
        <f t="shared" si="617"/>
        <v>1</v>
      </c>
      <c r="BH131" s="146">
        <f t="shared" si="617"/>
        <v>1</v>
      </c>
      <c r="BI131" s="146">
        <f t="shared" ref="BI131:BW131" si="618">BI28+BI37+BI64+BI73+BI46+BI55</f>
        <v>1</v>
      </c>
      <c r="BJ131" s="146">
        <f t="shared" si="618"/>
        <v>1</v>
      </c>
      <c r="BK131" s="146">
        <f t="shared" si="618"/>
        <v>1</v>
      </c>
      <c r="BL131" s="146">
        <f t="shared" si="618"/>
        <v>1</v>
      </c>
      <c r="BM131" s="146">
        <f t="shared" si="618"/>
        <v>1</v>
      </c>
      <c r="BN131" s="146">
        <f t="shared" si="618"/>
        <v>1</v>
      </c>
      <c r="BO131" s="146">
        <f t="shared" si="618"/>
        <v>1</v>
      </c>
      <c r="BP131" s="146">
        <f t="shared" si="618"/>
        <v>1</v>
      </c>
      <c r="BQ131" s="146">
        <f t="shared" si="618"/>
        <v>1</v>
      </c>
      <c r="BR131" s="146">
        <f t="shared" si="618"/>
        <v>1</v>
      </c>
      <c r="BS131" s="146">
        <f t="shared" si="618"/>
        <v>1</v>
      </c>
      <c r="BT131" s="146">
        <f t="shared" si="618"/>
        <v>1</v>
      </c>
      <c r="BU131" s="146">
        <f t="shared" si="618"/>
        <v>1</v>
      </c>
      <c r="BV131" s="146">
        <f t="shared" si="618"/>
        <v>1</v>
      </c>
      <c r="BW131" s="146">
        <f t="shared" si="618"/>
        <v>1</v>
      </c>
      <c r="BX131" s="146">
        <f t="shared" ref="BX131:CH131" si="619">BX28+BX37+BX64+BX73+BX46+BX55</f>
        <v>1</v>
      </c>
      <c r="BY131" s="146">
        <f t="shared" si="619"/>
        <v>1</v>
      </c>
      <c r="BZ131" s="147">
        <f t="shared" si="619"/>
        <v>1</v>
      </c>
      <c r="CA131" s="146">
        <f t="shared" si="619"/>
        <v>1</v>
      </c>
      <c r="CB131" s="146">
        <f t="shared" si="619"/>
        <v>1</v>
      </c>
      <c r="CC131" s="146">
        <f t="shared" si="619"/>
        <v>1</v>
      </c>
      <c r="CD131" s="146">
        <f t="shared" si="619"/>
        <v>1</v>
      </c>
      <c r="CE131" s="146">
        <f t="shared" si="619"/>
        <v>1</v>
      </c>
      <c r="CF131" s="146">
        <f t="shared" si="619"/>
        <v>1</v>
      </c>
      <c r="CG131" s="146">
        <f t="shared" si="619"/>
        <v>1</v>
      </c>
      <c r="CH131" s="146">
        <f t="shared" si="619"/>
        <v>1</v>
      </c>
      <c r="CI131" s="146">
        <f t="shared" ref="CI131:EH131" si="620">CI28+CI37+CI64+CI73+CI46+CI55</f>
        <v>1</v>
      </c>
      <c r="CJ131" s="146">
        <f t="shared" si="620"/>
        <v>1</v>
      </c>
      <c r="CK131" s="146">
        <f t="shared" si="620"/>
        <v>1</v>
      </c>
      <c r="CL131" s="146">
        <f t="shared" si="620"/>
        <v>1</v>
      </c>
      <c r="CM131" s="146">
        <f t="shared" si="620"/>
        <v>1</v>
      </c>
      <c r="CN131" s="146">
        <f t="shared" si="620"/>
        <v>1</v>
      </c>
      <c r="CO131" s="146">
        <f t="shared" si="620"/>
        <v>1</v>
      </c>
      <c r="CP131" s="146">
        <f t="shared" si="620"/>
        <v>1</v>
      </c>
      <c r="CQ131" s="146">
        <f t="shared" si="620"/>
        <v>1</v>
      </c>
      <c r="CR131" s="146">
        <f t="shared" si="620"/>
        <v>1</v>
      </c>
      <c r="CS131" s="146">
        <f t="shared" si="620"/>
        <v>1</v>
      </c>
      <c r="CT131" s="146">
        <f t="shared" si="620"/>
        <v>1</v>
      </c>
      <c r="CU131" s="146">
        <f t="shared" si="620"/>
        <v>1</v>
      </c>
      <c r="CV131" s="146">
        <f t="shared" si="620"/>
        <v>1</v>
      </c>
      <c r="CW131" s="146">
        <f t="shared" si="620"/>
        <v>1</v>
      </c>
      <c r="CX131" s="146">
        <f t="shared" si="620"/>
        <v>1</v>
      </c>
      <c r="CY131" s="146">
        <f t="shared" si="620"/>
        <v>1</v>
      </c>
      <c r="CZ131" s="146">
        <f t="shared" si="620"/>
        <v>1</v>
      </c>
      <c r="DA131" s="146">
        <f t="shared" si="620"/>
        <v>1</v>
      </c>
      <c r="DB131" s="146">
        <f t="shared" si="620"/>
        <v>1</v>
      </c>
      <c r="DC131" s="146">
        <f t="shared" si="620"/>
        <v>1</v>
      </c>
      <c r="DD131" s="146">
        <f t="shared" si="620"/>
        <v>1</v>
      </c>
      <c r="DE131" s="146">
        <f t="shared" si="620"/>
        <v>1</v>
      </c>
      <c r="DF131" s="147">
        <f t="shared" si="620"/>
        <v>1</v>
      </c>
      <c r="DG131" s="146">
        <f t="shared" si="620"/>
        <v>1</v>
      </c>
      <c r="DH131" s="146">
        <f t="shared" si="620"/>
        <v>1</v>
      </c>
      <c r="DI131" s="146">
        <f t="shared" si="620"/>
        <v>1</v>
      </c>
      <c r="DJ131" s="146">
        <f t="shared" si="620"/>
        <v>1</v>
      </c>
      <c r="DK131" s="146">
        <f t="shared" si="620"/>
        <v>1</v>
      </c>
      <c r="DL131" s="146">
        <f t="shared" si="620"/>
        <v>1</v>
      </c>
      <c r="DM131" s="146">
        <f t="shared" si="620"/>
        <v>1</v>
      </c>
      <c r="DN131" s="146">
        <f t="shared" si="620"/>
        <v>1</v>
      </c>
      <c r="DO131" s="146">
        <f t="shared" si="620"/>
        <v>1</v>
      </c>
      <c r="DP131" s="146">
        <f t="shared" si="620"/>
        <v>1</v>
      </c>
      <c r="DQ131" s="146">
        <f t="shared" si="620"/>
        <v>1</v>
      </c>
      <c r="DR131" s="146">
        <f t="shared" si="620"/>
        <v>1</v>
      </c>
      <c r="DS131" s="146">
        <f t="shared" si="620"/>
        <v>1</v>
      </c>
      <c r="DT131" s="146">
        <f t="shared" si="620"/>
        <v>1</v>
      </c>
      <c r="DU131" s="146">
        <f t="shared" si="620"/>
        <v>1</v>
      </c>
      <c r="DV131" s="146">
        <f t="shared" si="620"/>
        <v>1</v>
      </c>
      <c r="DW131" s="146">
        <f t="shared" si="620"/>
        <v>1</v>
      </c>
      <c r="DX131" s="146">
        <f t="shared" si="620"/>
        <v>1</v>
      </c>
      <c r="DY131" s="146">
        <f t="shared" si="620"/>
        <v>1</v>
      </c>
      <c r="DZ131" s="146">
        <f t="shared" si="620"/>
        <v>1</v>
      </c>
      <c r="EA131" s="146">
        <f t="shared" si="620"/>
        <v>1</v>
      </c>
      <c r="EB131" s="146">
        <f t="shared" si="620"/>
        <v>1</v>
      </c>
      <c r="EC131" s="146">
        <f t="shared" si="620"/>
        <v>1</v>
      </c>
      <c r="ED131" s="146">
        <f t="shared" si="620"/>
        <v>1</v>
      </c>
      <c r="EE131" s="146">
        <f t="shared" si="620"/>
        <v>1</v>
      </c>
      <c r="EF131" s="146">
        <f t="shared" si="620"/>
        <v>1</v>
      </c>
      <c r="EG131" s="146">
        <f t="shared" si="620"/>
        <v>1</v>
      </c>
      <c r="EH131" s="146">
        <f t="shared" si="620"/>
        <v>1</v>
      </c>
      <c r="EI131" s="146">
        <f t="shared" ref="EI131:FM131" si="621">EI28+EI37+EI64+EI73+EI46+EI55</f>
        <v>1</v>
      </c>
      <c r="EJ131" s="146">
        <f t="shared" si="621"/>
        <v>1</v>
      </c>
      <c r="EK131" s="147">
        <f t="shared" si="621"/>
        <v>1</v>
      </c>
      <c r="EL131" s="146">
        <f t="shared" si="621"/>
        <v>1</v>
      </c>
      <c r="EM131" s="146">
        <f t="shared" si="621"/>
        <v>1</v>
      </c>
      <c r="EN131" s="146">
        <f t="shared" si="621"/>
        <v>1</v>
      </c>
      <c r="EO131" s="146">
        <f t="shared" si="621"/>
        <v>1</v>
      </c>
      <c r="EP131" s="146">
        <f t="shared" si="621"/>
        <v>1</v>
      </c>
      <c r="EQ131" s="146">
        <f t="shared" si="621"/>
        <v>1</v>
      </c>
      <c r="ER131" s="146">
        <f t="shared" si="621"/>
        <v>1</v>
      </c>
      <c r="ES131" s="146">
        <f t="shared" si="621"/>
        <v>1</v>
      </c>
      <c r="ET131" s="146">
        <f t="shared" si="621"/>
        <v>1</v>
      </c>
      <c r="EU131" s="146">
        <f t="shared" si="621"/>
        <v>1</v>
      </c>
      <c r="EV131" s="146">
        <f t="shared" si="621"/>
        <v>1</v>
      </c>
      <c r="EW131" s="146">
        <f t="shared" si="621"/>
        <v>1</v>
      </c>
      <c r="EX131" s="146">
        <f t="shared" si="621"/>
        <v>1</v>
      </c>
      <c r="EY131" s="146">
        <f t="shared" si="621"/>
        <v>1</v>
      </c>
      <c r="EZ131" s="146">
        <f t="shared" si="621"/>
        <v>1</v>
      </c>
      <c r="FA131" s="146">
        <f t="shared" si="621"/>
        <v>1</v>
      </c>
      <c r="FB131" s="146">
        <f t="shared" si="621"/>
        <v>1</v>
      </c>
      <c r="FC131" s="146">
        <f t="shared" si="621"/>
        <v>1</v>
      </c>
      <c r="FD131" s="146">
        <f t="shared" si="621"/>
        <v>1</v>
      </c>
      <c r="FE131" s="146">
        <f t="shared" si="621"/>
        <v>1</v>
      </c>
      <c r="FF131" s="146">
        <f t="shared" si="621"/>
        <v>1</v>
      </c>
      <c r="FG131" s="146">
        <f t="shared" si="621"/>
        <v>1</v>
      </c>
      <c r="FH131" s="146">
        <f t="shared" si="621"/>
        <v>1</v>
      </c>
      <c r="FI131" s="146">
        <f t="shared" si="621"/>
        <v>1</v>
      </c>
      <c r="FJ131" s="146">
        <f t="shared" si="621"/>
        <v>1</v>
      </c>
      <c r="FK131" s="146">
        <f t="shared" si="621"/>
        <v>1</v>
      </c>
      <c r="FL131" s="146">
        <f t="shared" si="621"/>
        <v>1</v>
      </c>
      <c r="FM131" s="146">
        <f t="shared" si="621"/>
        <v>1</v>
      </c>
      <c r="FN131" s="146">
        <f t="shared" ref="FN131:GI131" si="622">FN28+FN37+FN64+FN73+FN46+FN55</f>
        <v>1</v>
      </c>
      <c r="FO131" s="146">
        <f t="shared" si="622"/>
        <v>1</v>
      </c>
      <c r="FP131" s="146">
        <f t="shared" si="622"/>
        <v>1</v>
      </c>
      <c r="FQ131" s="147">
        <f t="shared" si="622"/>
        <v>1</v>
      </c>
      <c r="FR131" s="146">
        <f t="shared" si="622"/>
        <v>1</v>
      </c>
      <c r="FS131" s="146">
        <f t="shared" si="622"/>
        <v>1</v>
      </c>
      <c r="FT131" s="146">
        <f t="shared" si="622"/>
        <v>1</v>
      </c>
      <c r="FU131" s="146">
        <f t="shared" si="622"/>
        <v>1</v>
      </c>
      <c r="FV131" s="146">
        <f t="shared" si="622"/>
        <v>1</v>
      </c>
      <c r="FW131" s="146">
        <f t="shared" si="622"/>
        <v>1</v>
      </c>
      <c r="FX131" s="146">
        <f t="shared" si="622"/>
        <v>1</v>
      </c>
      <c r="FY131" s="146">
        <f t="shared" si="622"/>
        <v>1</v>
      </c>
      <c r="FZ131" s="146">
        <f t="shared" si="622"/>
        <v>1</v>
      </c>
      <c r="GA131" s="146">
        <f t="shared" si="622"/>
        <v>1</v>
      </c>
      <c r="GB131" s="146">
        <f t="shared" si="622"/>
        <v>1</v>
      </c>
      <c r="GC131" s="146">
        <f t="shared" si="622"/>
        <v>1</v>
      </c>
      <c r="GD131" s="146">
        <f t="shared" si="622"/>
        <v>1</v>
      </c>
      <c r="GE131" s="146">
        <f t="shared" si="622"/>
        <v>1</v>
      </c>
      <c r="GF131" s="146">
        <f t="shared" si="622"/>
        <v>1</v>
      </c>
      <c r="GG131" s="146">
        <f t="shared" si="622"/>
        <v>1</v>
      </c>
      <c r="GH131" s="146">
        <f t="shared" si="622"/>
        <v>1</v>
      </c>
      <c r="GI131" s="146">
        <f t="shared" si="622"/>
        <v>1</v>
      </c>
      <c r="GJ131" s="146">
        <f t="shared" ref="GJ131:GP131" si="623">GJ28+GJ37+GJ64+GJ73+GJ46+GJ55</f>
        <v>1</v>
      </c>
      <c r="GK131" s="146">
        <f t="shared" si="623"/>
        <v>1</v>
      </c>
      <c r="GL131" s="146">
        <f t="shared" si="623"/>
        <v>1</v>
      </c>
      <c r="GM131" s="146" t="e">
        <f t="shared" si="623"/>
        <v>#DIV/0!</v>
      </c>
      <c r="GN131" s="146" t="e">
        <f t="shared" si="623"/>
        <v>#DIV/0!</v>
      </c>
      <c r="GO131" s="146" t="e">
        <f t="shared" si="623"/>
        <v>#DIV/0!</v>
      </c>
      <c r="GP131" s="146" t="e">
        <f t="shared" si="623"/>
        <v>#DIV/0!</v>
      </c>
    </row>
  </sheetData>
  <mergeCells count="15">
    <mergeCell ref="FS1:GP1"/>
    <mergeCell ref="B3:B19"/>
    <mergeCell ref="B20:B28"/>
    <mergeCell ref="B29:B37"/>
    <mergeCell ref="B38:B46"/>
    <mergeCell ref="B47:B55"/>
    <mergeCell ref="B56:B64"/>
    <mergeCell ref="B65:B73"/>
    <mergeCell ref="B74:B82"/>
    <mergeCell ref="B83:B91"/>
    <mergeCell ref="B92:B100"/>
    <mergeCell ref="B101:B109"/>
    <mergeCell ref="B110:B118"/>
    <mergeCell ref="B119:B127"/>
    <mergeCell ref="B128:B131"/>
  </mergeCells>
  <pageMargins left="0.75" right="0.75" top="1" bottom="1" header="0.5" footer="0.5"/>
  <pageSetup paperSize="9" orientation="portrait"/>
  <headerFooter/>
  <ignoredErrors>
    <ignoredError sqref="Q17 D6 D8:D9 D11 D13 D85 D87 D121:D123 Q3:Q15"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105"/>
  <sheetViews>
    <sheetView showGridLines="0" zoomScale="55" zoomScaleNormal="55" workbookViewId="0">
      <selection activeCell="A51" sqref="A51:M60"/>
    </sheetView>
  </sheetViews>
  <sheetFormatPr defaultColWidth="8.73148148148148" defaultRowHeight="15.6"/>
  <cols>
    <col min="1" max="1" width="14" style="7" customWidth="1"/>
    <col min="2" max="7" width="12.6388888888889" style="21" customWidth="1"/>
    <col min="8" max="9" width="12.6388888888889" style="22" customWidth="1"/>
    <col min="10" max="11" width="12.6388888888889" style="23" customWidth="1"/>
    <col min="12" max="12" width="12.6388888888889" style="21" customWidth="1"/>
    <col min="13" max="13" width="12.6388888888889" style="24" customWidth="1"/>
    <col min="14" max="16384" width="8.73148148148148" style="7"/>
  </cols>
  <sheetData>
    <row r="2" ht="16.2" spans="1:13">
      <c r="A2" s="25" t="s">
        <v>51</v>
      </c>
    </row>
    <row r="3" spans="1:13">
      <c r="A3" s="26" t="s">
        <v>52</v>
      </c>
      <c r="B3" s="27"/>
      <c r="C3" s="27"/>
      <c r="D3" s="27"/>
      <c r="E3" s="27"/>
      <c r="F3" s="27"/>
      <c r="G3" s="27"/>
      <c r="H3" s="27"/>
      <c r="I3" s="27"/>
      <c r="J3" s="27"/>
      <c r="K3" s="27"/>
      <c r="L3" s="27"/>
      <c r="M3" s="27"/>
    </row>
    <row r="4" spans="1:13">
      <c r="A4" s="27"/>
      <c r="B4" s="27"/>
      <c r="C4" s="27"/>
      <c r="D4" s="27"/>
      <c r="E4" s="27"/>
      <c r="F4" s="27"/>
      <c r="G4" s="27"/>
      <c r="H4" s="27"/>
      <c r="I4" s="27"/>
      <c r="J4" s="27"/>
      <c r="K4" s="27"/>
      <c r="L4" s="27"/>
      <c r="M4" s="27"/>
    </row>
    <row r="5" spans="1:13">
      <c r="A5" s="27"/>
      <c r="B5" s="27"/>
      <c r="C5" s="27"/>
      <c r="D5" s="27"/>
      <c r="E5" s="27"/>
      <c r="F5" s="27"/>
      <c r="G5" s="27"/>
      <c r="H5" s="27"/>
      <c r="I5" s="27"/>
      <c r="J5" s="27"/>
      <c r="K5" s="27"/>
      <c r="L5" s="27"/>
      <c r="M5" s="27"/>
    </row>
    <row r="6" spans="1:13">
      <c r="A6" s="27"/>
      <c r="B6" s="27"/>
      <c r="C6" s="27"/>
      <c r="D6" s="27"/>
      <c r="E6" s="27"/>
      <c r="F6" s="27"/>
      <c r="G6" s="27"/>
      <c r="H6" s="27"/>
      <c r="I6" s="27"/>
      <c r="J6" s="27"/>
      <c r="K6" s="27"/>
      <c r="L6" s="27"/>
      <c r="M6" s="27"/>
    </row>
    <row r="7" spans="1:13">
      <c r="A7" s="27"/>
      <c r="B7" s="27"/>
      <c r="C7" s="27"/>
      <c r="D7" s="27"/>
      <c r="E7" s="27"/>
      <c r="F7" s="27"/>
      <c r="G7" s="27"/>
      <c r="H7" s="27"/>
      <c r="I7" s="27"/>
      <c r="J7" s="27"/>
      <c r="K7" s="27"/>
      <c r="L7" s="27"/>
      <c r="M7" s="27"/>
    </row>
    <row r="8" spans="1:13">
      <c r="A8" s="27"/>
      <c r="B8" s="27"/>
      <c r="C8" s="27"/>
      <c r="D8" s="27"/>
      <c r="E8" s="27"/>
      <c r="F8" s="27"/>
      <c r="G8" s="27"/>
      <c r="H8" s="27"/>
      <c r="I8" s="27"/>
      <c r="J8" s="27"/>
      <c r="K8" s="27"/>
      <c r="L8" s="27"/>
      <c r="M8" s="27"/>
    </row>
    <row r="9" spans="1:13">
      <c r="A9" s="27"/>
      <c r="B9" s="27"/>
      <c r="C9" s="27"/>
      <c r="D9" s="27"/>
      <c r="E9" s="27"/>
      <c r="F9" s="27"/>
      <c r="G9" s="27"/>
      <c r="H9" s="27"/>
      <c r="I9" s="27"/>
      <c r="J9" s="27"/>
      <c r="K9" s="27"/>
      <c r="L9" s="27"/>
      <c r="M9" s="27"/>
    </row>
    <row r="10" spans="1:13">
      <c r="A10" s="27"/>
      <c r="B10" s="27"/>
      <c r="C10" s="27"/>
      <c r="D10" s="27"/>
      <c r="E10" s="27"/>
      <c r="F10" s="27"/>
      <c r="G10" s="27"/>
      <c r="H10" s="27"/>
      <c r="I10" s="27"/>
      <c r="J10" s="27"/>
      <c r="K10" s="27"/>
      <c r="L10" s="27"/>
      <c r="M10" s="27"/>
    </row>
    <row r="11" spans="1:13">
      <c r="A11" s="27"/>
      <c r="B11" s="27"/>
      <c r="C11" s="27"/>
      <c r="D11" s="27"/>
      <c r="E11" s="27"/>
      <c r="F11" s="27"/>
      <c r="G11" s="27"/>
      <c r="H11" s="27"/>
      <c r="I11" s="27"/>
      <c r="J11" s="27"/>
      <c r="K11" s="27"/>
      <c r="L11" s="27"/>
      <c r="M11" s="27"/>
    </row>
    <row r="12" spans="1:13">
      <c r="A12" s="27"/>
      <c r="B12" s="27"/>
      <c r="C12" s="27"/>
      <c r="D12" s="27"/>
      <c r="E12" s="27"/>
      <c r="F12" s="27"/>
      <c r="G12" s="27"/>
      <c r="H12" s="27"/>
      <c r="I12" s="27"/>
      <c r="J12" s="27"/>
      <c r="K12" s="27"/>
      <c r="L12" s="27"/>
      <c r="M12" s="27"/>
    </row>
    <row r="14" spans="1:13">
      <c r="A14" s="28" t="s">
        <v>53</v>
      </c>
      <c r="B14" s="29" t="s">
        <v>54</v>
      </c>
      <c r="C14" s="29" t="s">
        <v>12</v>
      </c>
      <c r="D14" s="29" t="s">
        <v>21</v>
      </c>
      <c r="E14" s="29" t="s">
        <v>26</v>
      </c>
      <c r="F14" s="29" t="s">
        <v>55</v>
      </c>
      <c r="G14" s="29" t="s">
        <v>23</v>
      </c>
      <c r="H14" s="30" t="s">
        <v>56</v>
      </c>
      <c r="I14" s="30" t="s">
        <v>57</v>
      </c>
      <c r="J14" s="31" t="s">
        <v>58</v>
      </c>
      <c r="K14" s="31" t="s">
        <v>59</v>
      </c>
      <c r="L14" s="29" t="s">
        <v>60</v>
      </c>
      <c r="M14" s="32" t="s">
        <v>24</v>
      </c>
    </row>
    <row r="15" spans="1:13">
      <c r="A15" s="33" t="s">
        <v>40</v>
      </c>
      <c r="B15" s="34">
        <v>152969</v>
      </c>
      <c r="C15" s="34">
        <v>8996.91</v>
      </c>
      <c r="D15" s="34">
        <v>4845</v>
      </c>
      <c r="E15" s="34">
        <v>30291.17</v>
      </c>
      <c r="F15" s="34">
        <v>92</v>
      </c>
      <c r="G15" s="34">
        <v>519</v>
      </c>
      <c r="H15" s="35">
        <f>D15/B15</f>
        <v>0.0316730840889331</v>
      </c>
      <c r="I15" s="35">
        <f>F15/D15</f>
        <v>0.0189886480908153</v>
      </c>
      <c r="J15" s="36">
        <f>C15/D15</f>
        <v>1.85694736842105</v>
      </c>
      <c r="K15" s="36">
        <f>E15/C15</f>
        <v>3.36684150447209</v>
      </c>
      <c r="L15" s="34">
        <f>E15/F15</f>
        <v>329.251847826087</v>
      </c>
      <c r="M15" s="37">
        <f>C15/G15</f>
        <v>17.3350867052023</v>
      </c>
    </row>
    <row r="16" spans="1:13">
      <c r="A16" s="33" t="s">
        <v>39</v>
      </c>
      <c r="B16" s="34">
        <v>5837</v>
      </c>
      <c r="C16" s="34">
        <v>1768.61</v>
      </c>
      <c r="D16" s="34">
        <v>2805</v>
      </c>
      <c r="E16" s="34">
        <v>188765.52</v>
      </c>
      <c r="F16" s="34">
        <v>119</v>
      </c>
      <c r="G16" s="34">
        <v>648</v>
      </c>
      <c r="H16" s="35">
        <f>D16/B16</f>
        <v>0.480555079664211</v>
      </c>
      <c r="I16" s="35">
        <f>F16/D16</f>
        <v>0.0424242424242424</v>
      </c>
      <c r="J16" s="36">
        <f>C16/D16</f>
        <v>0.630520499108734</v>
      </c>
      <c r="K16" s="36">
        <f>E16/C16</f>
        <v>106.731003443382</v>
      </c>
      <c r="L16" s="34">
        <f>E16/F16</f>
        <v>1586.26487394958</v>
      </c>
      <c r="M16" s="37">
        <f>C16/G16</f>
        <v>2.72933641975309</v>
      </c>
    </row>
    <row r="17" spans="1:13">
      <c r="A17" s="33" t="s">
        <v>32</v>
      </c>
      <c r="B17" s="34">
        <v>271232</v>
      </c>
      <c r="C17" s="34">
        <v>2009.19</v>
      </c>
      <c r="D17" s="34">
        <v>6268</v>
      </c>
      <c r="E17" s="34">
        <v>13732.1</v>
      </c>
      <c r="F17" s="34">
        <v>18</v>
      </c>
      <c r="G17" s="34">
        <v>179</v>
      </c>
      <c r="H17" s="35">
        <f>D17/B17</f>
        <v>0.0231093676262388</v>
      </c>
      <c r="I17" s="35">
        <f>F17/D17</f>
        <v>0.0028717294192725</v>
      </c>
      <c r="J17" s="36">
        <f>C17/D17</f>
        <v>0.320547223994895</v>
      </c>
      <c r="K17" s="36">
        <f>E17/C17</f>
        <v>6.83464480711132</v>
      </c>
      <c r="L17" s="34">
        <f>E17/F17</f>
        <v>762.894444444445</v>
      </c>
      <c r="M17" s="37">
        <f>C17/G17</f>
        <v>11.2245251396648</v>
      </c>
    </row>
    <row r="18" spans="1:13">
      <c r="A18" s="33" t="s">
        <v>38</v>
      </c>
      <c r="B18" s="34">
        <v>93937</v>
      </c>
      <c r="C18" s="34">
        <v>7248.31</v>
      </c>
      <c r="D18" s="34">
        <v>3368</v>
      </c>
      <c r="E18" s="34">
        <v>32671.34</v>
      </c>
      <c r="F18" s="34">
        <v>114</v>
      </c>
      <c r="G18" s="34">
        <v>459</v>
      </c>
      <c r="H18" s="35">
        <f>D18/B18</f>
        <v>0.0358538169198505</v>
      </c>
      <c r="I18" s="35">
        <f>F18/D18</f>
        <v>0.0338479809976247</v>
      </c>
      <c r="J18" s="36">
        <f>C18/D18</f>
        <v>2.15211104513064</v>
      </c>
      <c r="K18" s="36">
        <f>E18/C18</f>
        <v>4.50744242450999</v>
      </c>
      <c r="L18" s="34">
        <f>E18/F18</f>
        <v>286.590701754386</v>
      </c>
      <c r="M18" s="37">
        <f>C18/G18</f>
        <v>15.7915250544662</v>
      </c>
    </row>
    <row r="19" spans="1:13">
      <c r="A19" s="33" t="s">
        <v>61</v>
      </c>
      <c r="B19" s="34">
        <v>101145</v>
      </c>
      <c r="C19" s="34">
        <v>3656.88</v>
      </c>
      <c r="D19" s="34">
        <v>1994</v>
      </c>
      <c r="E19" s="34">
        <v>3413.7</v>
      </c>
      <c r="F19" s="34">
        <v>20</v>
      </c>
      <c r="G19" s="34">
        <v>119</v>
      </c>
      <c r="H19" s="35">
        <f t="shared" ref="H19:H29" si="0">D19/B19</f>
        <v>0.0197142715902912</v>
      </c>
      <c r="I19" s="35">
        <f t="shared" ref="I19:I29" si="1">F19/D19</f>
        <v>0.0100300902708124</v>
      </c>
      <c r="J19" s="36">
        <f t="shared" ref="J19:J29" si="2">C19/D19</f>
        <v>1.83394182547643</v>
      </c>
      <c r="K19" s="36">
        <f t="shared" ref="K19:K29" si="3">E19/C19</f>
        <v>0.93350068911203</v>
      </c>
      <c r="L19" s="34">
        <f t="shared" ref="L19:L29" si="4">E19/F19</f>
        <v>170.685</v>
      </c>
      <c r="M19" s="37">
        <f t="shared" ref="M19:M29" si="5">C19/G19</f>
        <v>30.7300840336134</v>
      </c>
    </row>
    <row r="20" spans="1:13">
      <c r="A20" s="38" t="s">
        <v>62</v>
      </c>
      <c r="B20" s="39">
        <v>625120</v>
      </c>
      <c r="C20" s="39">
        <v>23679.9</v>
      </c>
      <c r="D20" s="39">
        <v>19280</v>
      </c>
      <c r="E20" s="39">
        <v>268873.83</v>
      </c>
      <c r="F20" s="39">
        <v>363</v>
      </c>
      <c r="G20" s="39">
        <v>1924</v>
      </c>
      <c r="H20" s="40">
        <f t="shared" si="0"/>
        <v>0.0308420783209624</v>
      </c>
      <c r="I20" s="40">
        <f t="shared" si="1"/>
        <v>0.0188278008298755</v>
      </c>
      <c r="J20" s="41">
        <f t="shared" si="2"/>
        <v>1.22821058091286</v>
      </c>
      <c r="K20" s="41">
        <f t="shared" si="3"/>
        <v>11.3545171221162</v>
      </c>
      <c r="L20" s="42">
        <f t="shared" si="4"/>
        <v>740.699256198347</v>
      </c>
      <c r="M20" s="43">
        <f t="shared" si="5"/>
        <v>12.3076403326403</v>
      </c>
    </row>
    <row r="23" spans="1:13">
      <c r="A23" s="28" t="s">
        <v>63</v>
      </c>
      <c r="B23" s="29" t="s">
        <v>54</v>
      </c>
      <c r="C23" s="29" t="s">
        <v>12</v>
      </c>
      <c r="D23" s="29" t="s">
        <v>21</v>
      </c>
      <c r="E23" s="29" t="s">
        <v>26</v>
      </c>
      <c r="F23" s="29" t="s">
        <v>55</v>
      </c>
      <c r="G23" s="29" t="s">
        <v>23</v>
      </c>
      <c r="H23" s="30" t="s">
        <v>56</v>
      </c>
      <c r="I23" s="30" t="s">
        <v>57</v>
      </c>
      <c r="J23" s="31" t="s">
        <v>58</v>
      </c>
      <c r="K23" s="31" t="s">
        <v>59</v>
      </c>
      <c r="L23" s="29" t="s">
        <v>60</v>
      </c>
      <c r="M23" s="32" t="s">
        <v>24</v>
      </c>
    </row>
    <row r="24" spans="1:13">
      <c r="A24" s="33" t="s">
        <v>40</v>
      </c>
      <c r="B24" s="34">
        <v>57724</v>
      </c>
      <c r="C24" s="34">
        <v>2784.46</v>
      </c>
      <c r="D24" s="34">
        <v>1804</v>
      </c>
      <c r="E24" s="34">
        <v>12210.78</v>
      </c>
      <c r="F24" s="34">
        <v>38</v>
      </c>
      <c r="G24" s="34">
        <v>179</v>
      </c>
      <c r="H24" s="35">
        <f t="shared" si="0"/>
        <v>0.0312521654770979</v>
      </c>
      <c r="I24" s="35">
        <f t="shared" si="1"/>
        <v>0.0210643015521064</v>
      </c>
      <c r="J24" s="36">
        <f t="shared" si="2"/>
        <v>1.54349223946785</v>
      </c>
      <c r="K24" s="36">
        <f t="shared" si="3"/>
        <v>4.38533144667189</v>
      </c>
      <c r="L24" s="34">
        <f t="shared" si="4"/>
        <v>321.336315789474</v>
      </c>
      <c r="M24" s="37">
        <f t="shared" si="5"/>
        <v>15.5556424581006</v>
      </c>
    </row>
    <row r="25" spans="1:13">
      <c r="A25" s="33" t="s">
        <v>39</v>
      </c>
      <c r="B25" s="34">
        <v>1697</v>
      </c>
      <c r="C25" s="34">
        <v>531.97</v>
      </c>
      <c r="D25" s="34">
        <v>825</v>
      </c>
      <c r="E25" s="34">
        <v>173238.85</v>
      </c>
      <c r="F25" s="34">
        <v>38</v>
      </c>
      <c r="G25" s="34">
        <v>153</v>
      </c>
      <c r="H25" s="35">
        <f t="shared" si="0"/>
        <v>0.486152032999411</v>
      </c>
      <c r="I25" s="35">
        <f t="shared" si="1"/>
        <v>0.0460606060606061</v>
      </c>
      <c r="J25" s="36">
        <f t="shared" si="2"/>
        <v>0.644812121212121</v>
      </c>
      <c r="K25" s="36">
        <f t="shared" si="3"/>
        <v>325.655300110909</v>
      </c>
      <c r="L25" s="34">
        <f t="shared" si="4"/>
        <v>4558.91710526316</v>
      </c>
      <c r="M25" s="37">
        <f t="shared" si="5"/>
        <v>3.47692810457516</v>
      </c>
    </row>
    <row r="26" spans="1:13">
      <c r="A26" s="33" t="s">
        <v>32</v>
      </c>
      <c r="B26" s="34">
        <v>21231</v>
      </c>
      <c r="C26" s="34">
        <v>264.98</v>
      </c>
      <c r="D26" s="34">
        <v>377</v>
      </c>
      <c r="E26" s="34">
        <v>0</v>
      </c>
      <c r="F26" s="34">
        <v>0</v>
      </c>
      <c r="G26" s="34">
        <v>10</v>
      </c>
      <c r="H26" s="35">
        <f t="shared" si="0"/>
        <v>0.017757053365362</v>
      </c>
      <c r="I26" s="35">
        <f t="shared" si="1"/>
        <v>0</v>
      </c>
      <c r="J26" s="36">
        <f t="shared" si="2"/>
        <v>0.702864721485411</v>
      </c>
      <c r="K26" s="36">
        <f t="shared" si="3"/>
        <v>0</v>
      </c>
      <c r="L26" s="34">
        <v>0</v>
      </c>
      <c r="M26" s="37">
        <f t="shared" si="5"/>
        <v>26.498</v>
      </c>
    </row>
    <row r="27" spans="1:13">
      <c r="A27" s="33" t="s">
        <v>38</v>
      </c>
      <c r="B27" s="34">
        <v>42826</v>
      </c>
      <c r="C27" s="34">
        <v>3316.56</v>
      </c>
      <c r="D27" s="34">
        <v>1320</v>
      </c>
      <c r="E27" s="34">
        <v>11427.2</v>
      </c>
      <c r="F27" s="34">
        <v>30</v>
      </c>
      <c r="G27" s="34">
        <v>138</v>
      </c>
      <c r="H27" s="35">
        <f t="shared" si="0"/>
        <v>0.0308223976089292</v>
      </c>
      <c r="I27" s="35">
        <f t="shared" si="1"/>
        <v>0.0227272727272727</v>
      </c>
      <c r="J27" s="36">
        <f t="shared" si="2"/>
        <v>2.51254545454545</v>
      </c>
      <c r="K27" s="36">
        <f t="shared" si="3"/>
        <v>3.44549774465108</v>
      </c>
      <c r="L27" s="34">
        <f t="shared" si="4"/>
        <v>380.906666666667</v>
      </c>
      <c r="M27" s="37">
        <f t="shared" si="5"/>
        <v>24.0330434782609</v>
      </c>
    </row>
    <row r="28" spans="1:13">
      <c r="A28" s="33" t="s">
        <v>61</v>
      </c>
      <c r="B28" s="34">
        <v>97872</v>
      </c>
      <c r="C28" s="34">
        <v>3304.75</v>
      </c>
      <c r="D28" s="34">
        <v>1840</v>
      </c>
      <c r="E28" s="34">
        <v>3334.85</v>
      </c>
      <c r="F28" s="34">
        <v>17</v>
      </c>
      <c r="G28" s="34">
        <v>93</v>
      </c>
      <c r="H28" s="35">
        <f t="shared" si="0"/>
        <v>0.0188000653915318</v>
      </c>
      <c r="I28" s="35">
        <f t="shared" si="1"/>
        <v>0.00923913043478261</v>
      </c>
      <c r="J28" s="36">
        <f t="shared" si="2"/>
        <v>1.7960597826087</v>
      </c>
      <c r="K28" s="36">
        <f t="shared" si="3"/>
        <v>1.00910810197443</v>
      </c>
      <c r="L28" s="34">
        <f t="shared" si="4"/>
        <v>196.167647058824</v>
      </c>
      <c r="M28" s="37">
        <f t="shared" si="5"/>
        <v>35.5349462365591</v>
      </c>
    </row>
    <row r="29" spans="1:13">
      <c r="A29" s="38" t="s">
        <v>62</v>
      </c>
      <c r="B29" s="39">
        <v>221350</v>
      </c>
      <c r="C29" s="39">
        <v>10202.72</v>
      </c>
      <c r="D29" s="39">
        <v>6166</v>
      </c>
      <c r="E29" s="39">
        <v>200211.68</v>
      </c>
      <c r="F29" s="39">
        <v>123</v>
      </c>
      <c r="G29" s="39">
        <v>573</v>
      </c>
      <c r="H29" s="40">
        <f t="shared" si="0"/>
        <v>0.0278563361192681</v>
      </c>
      <c r="I29" s="40">
        <f t="shared" si="1"/>
        <v>0.0199481024975673</v>
      </c>
      <c r="J29" s="41">
        <f t="shared" si="2"/>
        <v>1.65467401881284</v>
      </c>
      <c r="K29" s="41">
        <f t="shared" si="3"/>
        <v>19.623363181583</v>
      </c>
      <c r="L29" s="42">
        <f t="shared" si="4"/>
        <v>1627.73723577236</v>
      </c>
      <c r="M29" s="43">
        <f t="shared" si="5"/>
        <v>17.8057940663176</v>
      </c>
    </row>
    <row r="32" spans="1:13">
      <c r="A32" s="28" t="s">
        <v>64</v>
      </c>
      <c r="B32" s="29" t="s">
        <v>54</v>
      </c>
      <c r="C32" s="29" t="s">
        <v>12</v>
      </c>
      <c r="D32" s="29" t="s">
        <v>21</v>
      </c>
      <c r="E32" s="29" t="s">
        <v>26</v>
      </c>
      <c r="F32" s="29" t="s">
        <v>55</v>
      </c>
      <c r="G32" s="29" t="s">
        <v>23</v>
      </c>
      <c r="H32" s="30" t="s">
        <v>56</v>
      </c>
      <c r="I32" s="30" t="s">
        <v>57</v>
      </c>
      <c r="J32" s="31" t="s">
        <v>58</v>
      </c>
      <c r="K32" s="31" t="s">
        <v>59</v>
      </c>
      <c r="L32" s="29" t="s">
        <v>60</v>
      </c>
      <c r="M32" s="32" t="s">
        <v>24</v>
      </c>
    </row>
    <row r="33" spans="1:13">
      <c r="A33" s="33" t="s">
        <v>40</v>
      </c>
      <c r="B33" s="34">
        <v>16217</v>
      </c>
      <c r="C33" s="34">
        <v>1796.64</v>
      </c>
      <c r="D33" s="34">
        <v>775</v>
      </c>
      <c r="E33" s="34">
        <v>7490.25</v>
      </c>
      <c r="F33" s="34">
        <v>18</v>
      </c>
      <c r="G33" s="34">
        <v>103</v>
      </c>
      <c r="H33" s="35">
        <f t="shared" ref="H33:H38" si="6">D33/B33</f>
        <v>0.0477893568477524</v>
      </c>
      <c r="I33" s="35">
        <f t="shared" ref="I33:I38" si="7">F33/D33</f>
        <v>0.0232258064516129</v>
      </c>
      <c r="J33" s="36">
        <f t="shared" ref="J33:J38" si="8">C33/D33</f>
        <v>2.31824516129032</v>
      </c>
      <c r="K33" s="36">
        <f t="shared" ref="K33:K38" si="9">E33/C33</f>
        <v>4.16903219342773</v>
      </c>
      <c r="L33" s="34">
        <f t="shared" ref="L33:L38" si="10">E33/F33</f>
        <v>416.125</v>
      </c>
      <c r="M33" s="37">
        <f t="shared" ref="M33:M38" si="11">C33/G33</f>
        <v>17.4431067961165</v>
      </c>
    </row>
    <row r="34" spans="1:13">
      <c r="A34" s="33" t="s">
        <v>39</v>
      </c>
      <c r="B34" s="34">
        <v>1843</v>
      </c>
      <c r="C34" s="34">
        <v>548.21</v>
      </c>
      <c r="D34" s="34">
        <v>812</v>
      </c>
      <c r="E34" s="34">
        <v>9294.48</v>
      </c>
      <c r="F34" s="34">
        <v>28</v>
      </c>
      <c r="G34" s="34">
        <v>185</v>
      </c>
      <c r="H34" s="35">
        <f t="shared" si="6"/>
        <v>0.440586001085187</v>
      </c>
      <c r="I34" s="35">
        <f t="shared" si="7"/>
        <v>0.0344827586206897</v>
      </c>
      <c r="J34" s="36">
        <f t="shared" si="8"/>
        <v>0.675135467980296</v>
      </c>
      <c r="K34" s="36">
        <f t="shared" si="9"/>
        <v>16.954232866967</v>
      </c>
      <c r="L34" s="34">
        <f t="shared" si="10"/>
        <v>331.945714285714</v>
      </c>
      <c r="M34" s="37">
        <f t="shared" si="11"/>
        <v>2.9632972972973</v>
      </c>
    </row>
    <row r="35" spans="1:13">
      <c r="A35" s="33" t="s">
        <v>32</v>
      </c>
      <c r="B35" s="34">
        <v>129388</v>
      </c>
      <c r="C35" s="34">
        <v>904.05</v>
      </c>
      <c r="D35" s="34">
        <v>3059</v>
      </c>
      <c r="E35" s="34">
        <v>9369.48</v>
      </c>
      <c r="F35" s="34">
        <v>10</v>
      </c>
      <c r="G35" s="34">
        <v>81</v>
      </c>
      <c r="H35" s="35">
        <f t="shared" si="6"/>
        <v>0.0236420688162735</v>
      </c>
      <c r="I35" s="35">
        <f t="shared" si="7"/>
        <v>0.003269042170644</v>
      </c>
      <c r="J35" s="36">
        <f t="shared" si="8"/>
        <v>0.295537757437071</v>
      </c>
      <c r="K35" s="36">
        <f t="shared" si="9"/>
        <v>10.3638958022233</v>
      </c>
      <c r="L35" s="34">
        <f t="shared" si="10"/>
        <v>936.948</v>
      </c>
      <c r="M35" s="37">
        <f t="shared" si="11"/>
        <v>11.1611111111111</v>
      </c>
    </row>
    <row r="36" spans="1:13">
      <c r="A36" s="33" t="s">
        <v>38</v>
      </c>
      <c r="B36" s="34">
        <v>29809</v>
      </c>
      <c r="C36" s="34">
        <v>2078.67</v>
      </c>
      <c r="D36" s="34">
        <v>1050</v>
      </c>
      <c r="E36" s="34">
        <v>12889.05</v>
      </c>
      <c r="F36" s="34">
        <v>39</v>
      </c>
      <c r="G36" s="34">
        <v>123</v>
      </c>
      <c r="H36" s="35">
        <f t="shared" si="6"/>
        <v>0.0352242611291892</v>
      </c>
      <c r="I36" s="35">
        <f t="shared" si="7"/>
        <v>0.0371428571428571</v>
      </c>
      <c r="J36" s="36">
        <f t="shared" si="8"/>
        <v>1.97968571428571</v>
      </c>
      <c r="K36" s="36">
        <f t="shared" si="9"/>
        <v>6.20062347558776</v>
      </c>
      <c r="L36" s="34">
        <f t="shared" si="10"/>
        <v>330.488461538462</v>
      </c>
      <c r="M36" s="37">
        <f t="shared" si="11"/>
        <v>16.899756097561</v>
      </c>
    </row>
    <row r="37" spans="1:13">
      <c r="A37" s="33" t="s">
        <v>61</v>
      </c>
      <c r="B37" s="34">
        <v>3273</v>
      </c>
      <c r="C37" s="34">
        <v>352.13</v>
      </c>
      <c r="D37" s="34">
        <v>154</v>
      </c>
      <c r="E37" s="34">
        <v>78.85</v>
      </c>
      <c r="F37" s="34">
        <v>3</v>
      </c>
      <c r="G37" s="34">
        <v>26</v>
      </c>
      <c r="H37" s="35">
        <f t="shared" si="6"/>
        <v>0.0470516345860067</v>
      </c>
      <c r="I37" s="35">
        <f t="shared" si="7"/>
        <v>0.0194805194805195</v>
      </c>
      <c r="J37" s="36">
        <f t="shared" si="8"/>
        <v>2.28655844155844</v>
      </c>
      <c r="K37" s="36">
        <f t="shared" si="9"/>
        <v>0.223922982989237</v>
      </c>
      <c r="L37" s="34">
        <f t="shared" si="10"/>
        <v>26.2833333333333</v>
      </c>
      <c r="M37" s="37">
        <f t="shared" si="11"/>
        <v>13.5434615384615</v>
      </c>
    </row>
    <row r="38" spans="1:13">
      <c r="A38" s="38" t="s">
        <v>62</v>
      </c>
      <c r="B38" s="39">
        <v>180530</v>
      </c>
      <c r="C38" s="39">
        <v>5679.7</v>
      </c>
      <c r="D38" s="39">
        <v>5850</v>
      </c>
      <c r="E38" s="39">
        <v>39122.11</v>
      </c>
      <c r="F38" s="39">
        <v>98</v>
      </c>
      <c r="G38" s="39">
        <v>518</v>
      </c>
      <c r="H38" s="40">
        <f t="shared" si="6"/>
        <v>0.0324045864953193</v>
      </c>
      <c r="I38" s="40">
        <f t="shared" si="7"/>
        <v>0.0167521367521368</v>
      </c>
      <c r="J38" s="41">
        <f t="shared" si="8"/>
        <v>0.970888888888889</v>
      </c>
      <c r="K38" s="41">
        <f t="shared" si="9"/>
        <v>6.88805922848038</v>
      </c>
      <c r="L38" s="42">
        <f t="shared" si="10"/>
        <v>399.205204081633</v>
      </c>
      <c r="M38" s="43">
        <f t="shared" si="11"/>
        <v>10.9646718146718</v>
      </c>
    </row>
    <row r="41" spans="1:13">
      <c r="A41" s="28" t="s">
        <v>65</v>
      </c>
      <c r="B41" s="29" t="s">
        <v>54</v>
      </c>
      <c r="C41" s="29" t="s">
        <v>12</v>
      </c>
      <c r="D41" s="29" t="s">
        <v>21</v>
      </c>
      <c r="E41" s="29" t="s">
        <v>26</v>
      </c>
      <c r="F41" s="29" t="s">
        <v>55</v>
      </c>
      <c r="G41" s="29" t="s">
        <v>23</v>
      </c>
      <c r="H41" s="30" t="s">
        <v>56</v>
      </c>
      <c r="I41" s="30" t="s">
        <v>57</v>
      </c>
      <c r="J41" s="31" t="s">
        <v>58</v>
      </c>
      <c r="K41" s="31" t="s">
        <v>59</v>
      </c>
      <c r="L41" s="29" t="s">
        <v>60</v>
      </c>
      <c r="M41" s="32" t="s">
        <v>24</v>
      </c>
    </row>
    <row r="42" spans="1:13">
      <c r="A42" s="33" t="s">
        <v>40</v>
      </c>
      <c r="B42" s="34">
        <v>79028</v>
      </c>
      <c r="C42" s="34">
        <v>4415.81</v>
      </c>
      <c r="D42" s="34">
        <v>2266</v>
      </c>
      <c r="E42" s="34">
        <v>10590.14</v>
      </c>
      <c r="F42" s="34">
        <v>36</v>
      </c>
      <c r="G42" s="34">
        <v>237</v>
      </c>
      <c r="H42" s="35">
        <f>D42/B42</f>
        <v>0.0286733815862732</v>
      </c>
      <c r="I42" s="35">
        <f>F42/D42</f>
        <v>0.0158870255957635</v>
      </c>
      <c r="J42" s="36">
        <f>C42/D42</f>
        <v>1.94872462488967</v>
      </c>
      <c r="K42" s="36">
        <f>E42/C42</f>
        <v>2.39823271381694</v>
      </c>
      <c r="L42" s="34">
        <f>E42/F42</f>
        <v>294.170555555556</v>
      </c>
      <c r="M42" s="37">
        <f>C42/G42</f>
        <v>18.6321097046414</v>
      </c>
    </row>
    <row r="43" spans="1:13">
      <c r="A43" s="33" t="s">
        <v>39</v>
      </c>
      <c r="B43" s="34">
        <v>2297</v>
      </c>
      <c r="C43" s="34">
        <v>688.43</v>
      </c>
      <c r="D43" s="34">
        <v>1168</v>
      </c>
      <c r="E43" s="34">
        <v>6232.19</v>
      </c>
      <c r="F43" s="34">
        <v>53</v>
      </c>
      <c r="G43" s="34">
        <v>310</v>
      </c>
      <c r="H43" s="35">
        <f>D43/B43</f>
        <v>0.508489333913801</v>
      </c>
      <c r="I43" s="35">
        <f>F43/D43</f>
        <v>0.0453767123287671</v>
      </c>
      <c r="J43" s="36">
        <f>C43/D43</f>
        <v>0.589409246575342</v>
      </c>
      <c r="K43" s="36">
        <f>E43/C43</f>
        <v>9.05275772409686</v>
      </c>
      <c r="L43" s="34">
        <f>E43/F43</f>
        <v>117.588490566038</v>
      </c>
      <c r="M43" s="37">
        <f>C43/G43</f>
        <v>2.22074193548387</v>
      </c>
    </row>
    <row r="44" spans="1:13">
      <c r="A44" s="33" t="s">
        <v>32</v>
      </c>
      <c r="B44" s="34">
        <v>120613</v>
      </c>
      <c r="C44" s="34">
        <v>840.16</v>
      </c>
      <c r="D44" s="34">
        <v>2832</v>
      </c>
      <c r="E44" s="34">
        <v>4362.62</v>
      </c>
      <c r="F44" s="34">
        <v>8</v>
      </c>
      <c r="G44" s="34">
        <v>88</v>
      </c>
      <c r="H44" s="35">
        <f>D44/B44</f>
        <v>0.0234800560470264</v>
      </c>
      <c r="I44" s="35">
        <f>F44/D44</f>
        <v>0.00282485875706215</v>
      </c>
      <c r="J44" s="36">
        <f>C44/D44</f>
        <v>0.296666666666667</v>
      </c>
      <c r="K44" s="36">
        <f>E44/C44</f>
        <v>5.19260617025328</v>
      </c>
      <c r="L44" s="34">
        <f>E44/F44</f>
        <v>545.3275</v>
      </c>
      <c r="M44" s="37">
        <f>C44/G44</f>
        <v>9.54727272727273</v>
      </c>
    </row>
    <row r="45" spans="1:13">
      <c r="A45" s="33" t="s">
        <v>38</v>
      </c>
      <c r="B45" s="34">
        <v>21302</v>
      </c>
      <c r="C45" s="34">
        <v>1853.08</v>
      </c>
      <c r="D45" s="34">
        <v>998</v>
      </c>
      <c r="E45" s="34">
        <v>8355.09</v>
      </c>
      <c r="F45" s="34">
        <v>45</v>
      </c>
      <c r="G45" s="34">
        <v>198</v>
      </c>
      <c r="H45" s="35">
        <f>D45/B45</f>
        <v>0.0468500610271336</v>
      </c>
      <c r="I45" s="35">
        <f>F45/D45</f>
        <v>0.0450901803607214</v>
      </c>
      <c r="J45" s="36">
        <f>C45/D45</f>
        <v>1.85679358717435</v>
      </c>
      <c r="K45" s="36">
        <f>E45/C45</f>
        <v>4.5087583914348</v>
      </c>
      <c r="L45" s="34">
        <f>E45/F45</f>
        <v>185.668666666667</v>
      </c>
      <c r="M45" s="37">
        <f>C45/G45</f>
        <v>9.3589898989899</v>
      </c>
    </row>
    <row r="46" spans="1:13">
      <c r="A46" s="38" t="s">
        <v>62</v>
      </c>
      <c r="B46" s="39">
        <v>223240</v>
      </c>
      <c r="C46" s="39">
        <v>7797.48</v>
      </c>
      <c r="D46" s="39">
        <v>7264</v>
      </c>
      <c r="E46" s="39">
        <v>29540.04</v>
      </c>
      <c r="F46" s="39">
        <v>142</v>
      </c>
      <c r="G46" s="39">
        <v>833</v>
      </c>
      <c r="H46" s="40">
        <f>D46/B46</f>
        <v>0.032538971510482</v>
      </c>
      <c r="I46" s="40">
        <f>F46/D46</f>
        <v>0.0195484581497797</v>
      </c>
      <c r="J46" s="41">
        <f>C46/D46</f>
        <v>1.07344162995595</v>
      </c>
      <c r="K46" s="41">
        <f>E46/C46</f>
        <v>3.78840856276643</v>
      </c>
      <c r="L46" s="42">
        <f>E46/F46</f>
        <v>208.028450704225</v>
      </c>
      <c r="M46" s="43">
        <f>C46/G46</f>
        <v>9.36072028811525</v>
      </c>
    </row>
    <row r="50" spans="1:13">
      <c r="A50" s="7" t="s">
        <v>66</v>
      </c>
    </row>
    <row r="51" spans="1:13">
      <c r="A51" s="26" t="s">
        <v>67</v>
      </c>
      <c r="B51" s="27"/>
      <c r="C51" s="27"/>
      <c r="D51" s="27"/>
      <c r="E51" s="27"/>
      <c r="F51" s="27"/>
      <c r="G51" s="27"/>
      <c r="H51" s="27"/>
      <c r="I51" s="27"/>
      <c r="J51" s="27"/>
      <c r="K51" s="27"/>
      <c r="L51" s="27"/>
      <c r="M51" s="27"/>
    </row>
    <row r="52" spans="1:13">
      <c r="A52" s="27"/>
      <c r="B52" s="27"/>
      <c r="C52" s="27"/>
      <c r="D52" s="27"/>
      <c r="E52" s="27"/>
      <c r="F52" s="27"/>
      <c r="G52" s="27"/>
      <c r="H52" s="27"/>
      <c r="I52" s="27"/>
      <c r="J52" s="27"/>
      <c r="K52" s="27"/>
      <c r="L52" s="27"/>
      <c r="M52" s="27"/>
    </row>
    <row r="53" spans="1:13">
      <c r="A53" s="27"/>
      <c r="B53" s="27"/>
      <c r="C53" s="27"/>
      <c r="D53" s="27"/>
      <c r="E53" s="27"/>
      <c r="F53" s="27"/>
      <c r="G53" s="27"/>
      <c r="H53" s="27"/>
      <c r="I53" s="27"/>
      <c r="J53" s="27"/>
      <c r="K53" s="27"/>
      <c r="L53" s="27"/>
      <c r="M53" s="27"/>
    </row>
    <row r="54" spans="1:13">
      <c r="A54" s="27"/>
      <c r="B54" s="27"/>
      <c r="C54" s="27"/>
      <c r="D54" s="27"/>
      <c r="E54" s="27"/>
      <c r="F54" s="27"/>
      <c r="G54" s="27"/>
      <c r="H54" s="27"/>
      <c r="I54" s="27"/>
      <c r="J54" s="27"/>
      <c r="K54" s="27"/>
      <c r="L54" s="27"/>
      <c r="M54" s="27"/>
    </row>
    <row r="55" spans="1:13">
      <c r="A55" s="27"/>
      <c r="B55" s="27"/>
      <c r="C55" s="27"/>
      <c r="D55" s="27"/>
      <c r="E55" s="27"/>
      <c r="F55" s="27"/>
      <c r="G55" s="27"/>
      <c r="H55" s="27"/>
      <c r="I55" s="27"/>
      <c r="J55" s="27"/>
      <c r="K55" s="27"/>
      <c r="L55" s="27"/>
      <c r="M55" s="27"/>
    </row>
    <row r="56" spans="1:13">
      <c r="A56" s="27"/>
      <c r="B56" s="27"/>
      <c r="C56" s="27"/>
      <c r="D56" s="27"/>
      <c r="E56" s="27"/>
      <c r="F56" s="27"/>
      <c r="G56" s="27"/>
      <c r="H56" s="27"/>
      <c r="I56" s="27"/>
      <c r="J56" s="27"/>
      <c r="K56" s="27"/>
      <c r="L56" s="27"/>
      <c r="M56" s="27"/>
    </row>
    <row r="57" spans="1:13">
      <c r="A57" s="27"/>
      <c r="B57" s="27"/>
      <c r="C57" s="27"/>
      <c r="D57" s="27"/>
      <c r="E57" s="27"/>
      <c r="F57" s="27"/>
      <c r="G57" s="27"/>
      <c r="H57" s="27"/>
      <c r="I57" s="27"/>
      <c r="J57" s="27"/>
      <c r="K57" s="27"/>
      <c r="L57" s="27"/>
      <c r="M57" s="27"/>
    </row>
    <row r="58" spans="1:13">
      <c r="A58" s="27"/>
      <c r="B58" s="27"/>
      <c r="C58" s="27"/>
      <c r="D58" s="27"/>
      <c r="E58" s="27"/>
      <c r="F58" s="27"/>
      <c r="G58" s="27"/>
      <c r="H58" s="27"/>
      <c r="I58" s="27"/>
      <c r="J58" s="27"/>
      <c r="K58" s="27"/>
      <c r="L58" s="27"/>
      <c r="M58" s="27"/>
    </row>
    <row r="59" spans="1:13">
      <c r="A59" s="27"/>
      <c r="B59" s="27"/>
      <c r="C59" s="27"/>
      <c r="D59" s="27"/>
      <c r="E59" s="27"/>
      <c r="F59" s="27"/>
      <c r="G59" s="27"/>
      <c r="H59" s="27"/>
      <c r="I59" s="27"/>
      <c r="J59" s="27"/>
      <c r="K59" s="27"/>
      <c r="L59" s="27"/>
      <c r="M59" s="27"/>
    </row>
    <row r="60" spans="1:13">
      <c r="A60" s="27"/>
      <c r="B60" s="27"/>
      <c r="C60" s="27"/>
      <c r="D60" s="27"/>
      <c r="E60" s="27"/>
      <c r="F60" s="27"/>
      <c r="G60" s="27"/>
      <c r="H60" s="27"/>
      <c r="I60" s="27"/>
      <c r="J60" s="27"/>
      <c r="K60" s="27"/>
      <c r="L60" s="27"/>
      <c r="M60" s="27"/>
    </row>
    <row r="61" spans="1:13">
      <c r="A61" s="7" t="s">
        <v>68</v>
      </c>
    </row>
    <row r="62" spans="1:13">
      <c r="A62" s="44" t="s">
        <v>69</v>
      </c>
      <c r="B62" s="44" t="s">
        <v>54</v>
      </c>
      <c r="C62" s="44" t="s">
        <v>12</v>
      </c>
      <c r="D62" s="44" t="s">
        <v>21</v>
      </c>
      <c r="E62" s="44" t="s">
        <v>26</v>
      </c>
      <c r="F62" s="44" t="s">
        <v>55</v>
      </c>
      <c r="G62" s="44" t="s">
        <v>23</v>
      </c>
      <c r="H62" s="30" t="s">
        <v>56</v>
      </c>
      <c r="I62" s="30" t="s">
        <v>57</v>
      </c>
      <c r="J62" s="31" t="s">
        <v>58</v>
      </c>
      <c r="K62" s="31" t="s">
        <v>59</v>
      </c>
      <c r="L62" s="29" t="s">
        <v>60</v>
      </c>
      <c r="M62" s="32" t="s">
        <v>24</v>
      </c>
    </row>
    <row r="63" spans="1:13">
      <c r="A63" s="33" t="s">
        <v>70</v>
      </c>
      <c r="B63" s="34">
        <v>25375</v>
      </c>
      <c r="C63" s="34">
        <v>242.57</v>
      </c>
      <c r="D63" s="34">
        <v>806</v>
      </c>
      <c r="E63" s="34">
        <v>4593.69</v>
      </c>
      <c r="F63" s="34">
        <v>5</v>
      </c>
      <c r="G63" s="34">
        <v>47</v>
      </c>
      <c r="H63" s="35">
        <f t="shared" ref="H63:H72" si="12">D63/B63</f>
        <v>0.0317635467980296</v>
      </c>
      <c r="I63" s="35">
        <f t="shared" ref="I63:I72" si="13">F63/D63</f>
        <v>0.00620347394540943</v>
      </c>
      <c r="J63" s="36">
        <f t="shared" ref="J63:J72" si="14">C63/D63</f>
        <v>0.300955334987593</v>
      </c>
      <c r="K63" s="36">
        <f t="shared" ref="K63:K72" si="15">E63/C63</f>
        <v>18.9375850270025</v>
      </c>
      <c r="L63" s="34">
        <f t="shared" ref="L63:L72" si="16">E63/F63</f>
        <v>918.738</v>
      </c>
      <c r="M63" s="37">
        <f t="shared" ref="M63:M72" si="17">C63/G63</f>
        <v>5.16106382978723</v>
      </c>
    </row>
    <row r="64" spans="1:13">
      <c r="A64" s="33" t="s">
        <v>71</v>
      </c>
      <c r="B64" s="34">
        <v>187027</v>
      </c>
      <c r="C64" s="34">
        <v>945.38</v>
      </c>
      <c r="D64" s="34">
        <v>3348</v>
      </c>
      <c r="E64" s="34">
        <v>5112.76</v>
      </c>
      <c r="F64" s="34">
        <v>8</v>
      </c>
      <c r="G64" s="34">
        <v>68</v>
      </c>
      <c r="H64" s="35">
        <f t="shared" si="12"/>
        <v>0.0179011586562368</v>
      </c>
      <c r="I64" s="35">
        <f t="shared" si="13"/>
        <v>0.002389486260454</v>
      </c>
      <c r="J64" s="36">
        <f t="shared" si="14"/>
        <v>0.282371565113501</v>
      </c>
      <c r="K64" s="36">
        <f t="shared" si="15"/>
        <v>5.40815333516681</v>
      </c>
      <c r="L64" s="34">
        <f t="shared" si="16"/>
        <v>639.095</v>
      </c>
      <c r="M64" s="37">
        <f t="shared" si="17"/>
        <v>13.9026470588235</v>
      </c>
    </row>
    <row r="65" spans="1:13">
      <c r="A65" s="33" t="s">
        <v>42</v>
      </c>
      <c r="B65" s="34">
        <v>29420</v>
      </c>
      <c r="C65" s="34">
        <v>695.9</v>
      </c>
      <c r="D65" s="34">
        <v>531</v>
      </c>
      <c r="E65" s="34">
        <v>1125.23</v>
      </c>
      <c r="F65" s="34">
        <v>12</v>
      </c>
      <c r="G65" s="34">
        <v>49</v>
      </c>
      <c r="H65" s="35">
        <f t="shared" si="12"/>
        <v>0.0180489462950374</v>
      </c>
      <c r="I65" s="35">
        <f t="shared" si="13"/>
        <v>0.0225988700564972</v>
      </c>
      <c r="J65" s="36">
        <f t="shared" si="14"/>
        <v>1.3105461393597</v>
      </c>
      <c r="K65" s="36">
        <f t="shared" si="15"/>
        <v>1.61694208938066</v>
      </c>
      <c r="L65" s="34">
        <f t="shared" si="16"/>
        <v>93.7691666666667</v>
      </c>
      <c r="M65" s="37">
        <f t="shared" si="17"/>
        <v>14.2020408163265</v>
      </c>
    </row>
    <row r="66" spans="1:13">
      <c r="A66" s="33" t="s">
        <v>72</v>
      </c>
      <c r="B66" s="34">
        <v>54729</v>
      </c>
      <c r="C66" s="34">
        <v>755.53</v>
      </c>
      <c r="D66" s="34">
        <v>2034</v>
      </c>
      <c r="E66" s="34">
        <v>2679.98</v>
      </c>
      <c r="F66" s="34">
        <v>3</v>
      </c>
      <c r="G66" s="34">
        <v>62</v>
      </c>
      <c r="H66" s="35">
        <f t="shared" si="12"/>
        <v>0.0371649399769775</v>
      </c>
      <c r="I66" s="35">
        <f t="shared" si="13"/>
        <v>0.00147492625368732</v>
      </c>
      <c r="J66" s="36">
        <f t="shared" si="14"/>
        <v>0.371450344149459</v>
      </c>
      <c r="K66" s="36">
        <f t="shared" si="15"/>
        <v>3.54715233015234</v>
      </c>
      <c r="L66" s="34">
        <f t="shared" si="16"/>
        <v>893.326666666667</v>
      </c>
      <c r="M66" s="37">
        <f t="shared" si="17"/>
        <v>12.1859677419355</v>
      </c>
    </row>
    <row r="67" spans="1:13">
      <c r="A67" s="33" t="s">
        <v>44</v>
      </c>
      <c r="B67" s="34">
        <v>71326</v>
      </c>
      <c r="C67" s="34">
        <v>6249.56</v>
      </c>
      <c r="D67" s="34">
        <v>2800</v>
      </c>
      <c r="E67" s="34">
        <v>30780.44</v>
      </c>
      <c r="F67" s="34">
        <v>98</v>
      </c>
      <c r="G67" s="34">
        <v>405</v>
      </c>
      <c r="H67" s="35">
        <f t="shared" si="12"/>
        <v>0.039256372150408</v>
      </c>
      <c r="I67" s="35">
        <f t="shared" si="13"/>
        <v>0.035</v>
      </c>
      <c r="J67" s="36">
        <f t="shared" si="14"/>
        <v>2.23198571428571</v>
      </c>
      <c r="K67" s="36">
        <f t="shared" si="15"/>
        <v>4.92521713528632</v>
      </c>
      <c r="L67" s="34">
        <f t="shared" si="16"/>
        <v>314.08612244898</v>
      </c>
      <c r="M67" s="37">
        <f t="shared" si="17"/>
        <v>15.431012345679</v>
      </c>
    </row>
    <row r="68" spans="1:13">
      <c r="A68" s="33" t="s">
        <v>73</v>
      </c>
      <c r="B68" s="34">
        <v>4101</v>
      </c>
      <c r="C68" s="34">
        <v>65.71</v>
      </c>
      <c r="D68" s="34">
        <v>80</v>
      </c>
      <c r="E68" s="34">
        <v>1345.67</v>
      </c>
      <c r="F68" s="34">
        <v>2</v>
      </c>
      <c r="G68" s="34">
        <v>2</v>
      </c>
      <c r="H68" s="35">
        <f t="shared" si="12"/>
        <v>0.0195074372104365</v>
      </c>
      <c r="I68" s="35">
        <f t="shared" si="13"/>
        <v>0.025</v>
      </c>
      <c r="J68" s="36">
        <f t="shared" si="14"/>
        <v>0.821375</v>
      </c>
      <c r="K68" s="36">
        <f t="shared" si="15"/>
        <v>20.4789225384264</v>
      </c>
      <c r="L68" s="34">
        <f t="shared" si="16"/>
        <v>672.835</v>
      </c>
      <c r="M68" s="37">
        <f t="shared" si="17"/>
        <v>32.855</v>
      </c>
    </row>
    <row r="69" spans="1:13">
      <c r="A69" s="33" t="s">
        <v>43</v>
      </c>
      <c r="B69" s="34">
        <v>25337</v>
      </c>
      <c r="C69" s="34">
        <v>1442.92</v>
      </c>
      <c r="D69" s="34">
        <v>623</v>
      </c>
      <c r="E69" s="34">
        <v>1822.72</v>
      </c>
      <c r="F69" s="34">
        <v>14</v>
      </c>
      <c r="G69" s="34">
        <v>66</v>
      </c>
      <c r="H69" s="35">
        <f t="shared" si="12"/>
        <v>0.0245885463946008</v>
      </c>
      <c r="I69" s="35">
        <f t="shared" si="13"/>
        <v>0.0224719101123595</v>
      </c>
      <c r="J69" s="36">
        <f t="shared" si="14"/>
        <v>2.3160834670947</v>
      </c>
      <c r="K69" s="36">
        <f t="shared" si="15"/>
        <v>1.26321625592548</v>
      </c>
      <c r="L69" s="34">
        <f t="shared" si="16"/>
        <v>130.194285714286</v>
      </c>
      <c r="M69" s="37">
        <f t="shared" si="17"/>
        <v>21.8624242424242</v>
      </c>
    </row>
    <row r="70" spans="1:13">
      <c r="A70" s="33" t="s">
        <v>46</v>
      </c>
      <c r="B70" s="34">
        <v>49973</v>
      </c>
      <c r="C70" s="34">
        <v>1718.06</v>
      </c>
      <c r="D70" s="34">
        <v>961</v>
      </c>
      <c r="E70" s="34">
        <v>1424.3</v>
      </c>
      <c r="F70" s="34">
        <v>3</v>
      </c>
      <c r="G70" s="34">
        <v>27</v>
      </c>
      <c r="H70" s="35">
        <f t="shared" si="12"/>
        <v>0.0192303844075801</v>
      </c>
      <c r="I70" s="35">
        <f t="shared" si="13"/>
        <v>0.00312174817898023</v>
      </c>
      <c r="J70" s="36">
        <f t="shared" si="14"/>
        <v>1.78778355879292</v>
      </c>
      <c r="K70" s="36">
        <f t="shared" si="15"/>
        <v>0.829016448785258</v>
      </c>
      <c r="L70" s="34">
        <f t="shared" si="16"/>
        <v>474.766666666667</v>
      </c>
      <c r="M70" s="37">
        <f t="shared" si="17"/>
        <v>63.6318518518518</v>
      </c>
    </row>
    <row r="71" spans="1:13">
      <c r="A71" s="33" t="s">
        <v>74</v>
      </c>
      <c r="B71" s="34">
        <v>19026</v>
      </c>
      <c r="C71" s="34">
        <v>798.75</v>
      </c>
      <c r="D71" s="34">
        <v>447</v>
      </c>
      <c r="E71" s="34">
        <v>932.35</v>
      </c>
      <c r="F71" s="34">
        <v>7</v>
      </c>
      <c r="G71" s="34">
        <v>31</v>
      </c>
      <c r="H71" s="35">
        <f t="shared" si="12"/>
        <v>0.0234941658782718</v>
      </c>
      <c r="I71" s="35">
        <f t="shared" si="13"/>
        <v>0.0156599552572707</v>
      </c>
      <c r="J71" s="36">
        <f t="shared" si="14"/>
        <v>1.78691275167785</v>
      </c>
      <c r="K71" s="36">
        <f t="shared" si="15"/>
        <v>1.1672613458529</v>
      </c>
      <c r="L71" s="34">
        <f t="shared" si="16"/>
        <v>133.192857142857</v>
      </c>
      <c r="M71" s="37">
        <f t="shared" si="17"/>
        <v>25.7661290322581</v>
      </c>
    </row>
    <row r="72" spans="1:13">
      <c r="A72" s="44" t="s">
        <v>62</v>
      </c>
      <c r="B72" s="34">
        <v>466314</v>
      </c>
      <c r="C72" s="34">
        <v>12914.38</v>
      </c>
      <c r="D72" s="34">
        <v>11630</v>
      </c>
      <c r="E72" s="34">
        <v>49817.14</v>
      </c>
      <c r="F72" s="34">
        <v>152</v>
      </c>
      <c r="G72" s="34">
        <v>757</v>
      </c>
      <c r="H72" s="35">
        <f t="shared" si="12"/>
        <v>0.024940276294514</v>
      </c>
      <c r="I72" s="35">
        <f t="shared" si="13"/>
        <v>0.0130696474634566</v>
      </c>
      <c r="J72" s="36">
        <f t="shared" si="14"/>
        <v>1.11043680137575</v>
      </c>
      <c r="K72" s="36">
        <f t="shared" si="15"/>
        <v>3.85749373953686</v>
      </c>
      <c r="L72" s="34">
        <f t="shared" si="16"/>
        <v>327.744342105263</v>
      </c>
      <c r="M72" s="37">
        <f t="shared" si="17"/>
        <v>17.0599471598415</v>
      </c>
    </row>
    <row r="73" spans="1:13">
      <c r="A73" s="4"/>
      <c r="B73" s="4"/>
      <c r="C73" s="4"/>
      <c r="D73" s="4"/>
      <c r="E73" s="4"/>
      <c r="F73" s="4"/>
      <c r="G73" s="4"/>
      <c r="H73" s="4"/>
      <c r="I73" s="4"/>
      <c r="J73" s="4"/>
      <c r="K73" s="4"/>
      <c r="L73" s="45"/>
      <c r="M73" s="4"/>
    </row>
    <row r="74" spans="1:13">
      <c r="A74" s="33" t="s">
        <v>75</v>
      </c>
      <c r="B74" s="4"/>
      <c r="C74" s="4"/>
      <c r="D74" s="4"/>
      <c r="E74" s="4"/>
      <c r="F74" s="4"/>
      <c r="G74" s="4"/>
      <c r="H74" s="4"/>
      <c r="I74" s="4"/>
      <c r="J74" s="4"/>
      <c r="K74" s="4"/>
      <c r="L74" s="45"/>
      <c r="M74" s="4"/>
    </row>
    <row r="75" spans="1:13">
      <c r="A75" s="44" t="s">
        <v>69</v>
      </c>
      <c r="B75" s="44" t="s">
        <v>54</v>
      </c>
      <c r="C75" s="44" t="s">
        <v>12</v>
      </c>
      <c r="D75" s="44" t="s">
        <v>21</v>
      </c>
      <c r="E75" s="44" t="s">
        <v>26</v>
      </c>
      <c r="F75" s="44" t="s">
        <v>55</v>
      </c>
      <c r="G75" s="44" t="s">
        <v>23</v>
      </c>
      <c r="H75" s="30" t="s">
        <v>56</v>
      </c>
      <c r="I75" s="30" t="s">
        <v>57</v>
      </c>
      <c r="J75" s="31" t="s">
        <v>58</v>
      </c>
      <c r="K75" s="31" t="s">
        <v>59</v>
      </c>
      <c r="L75" s="29" t="s">
        <v>60</v>
      </c>
      <c r="M75" s="32" t="s">
        <v>24</v>
      </c>
    </row>
    <row r="76" spans="1:13">
      <c r="A76" s="33" t="s">
        <v>70</v>
      </c>
      <c r="B76" s="34">
        <v>2314</v>
      </c>
      <c r="C76" s="34">
        <v>30.45</v>
      </c>
      <c r="D76" s="34">
        <v>50</v>
      </c>
      <c r="E76" s="34">
        <v>0</v>
      </c>
      <c r="F76" s="34">
        <v>0</v>
      </c>
      <c r="G76" s="34">
        <v>3</v>
      </c>
      <c r="H76" s="35">
        <f t="shared" ref="H76:H85" si="18">D76/B76</f>
        <v>0.0216076058772688</v>
      </c>
      <c r="I76" s="35">
        <f t="shared" ref="I76:I85" si="19">F76/D76</f>
        <v>0</v>
      </c>
      <c r="J76" s="36">
        <f t="shared" ref="J76:J85" si="20">C76/D76</f>
        <v>0.609</v>
      </c>
      <c r="K76" s="36">
        <f t="shared" ref="K76:K85" si="21">E76/C76</f>
        <v>0</v>
      </c>
      <c r="L76" s="34" t="e">
        <f t="shared" ref="L76:L85" si="22">E76/F76</f>
        <v>#DIV/0!</v>
      </c>
      <c r="M76" s="37">
        <f t="shared" ref="M76:M85" si="23">C76/G76</f>
        <v>10.15</v>
      </c>
    </row>
    <row r="77" spans="1:13">
      <c r="A77" s="33" t="s">
        <v>71</v>
      </c>
      <c r="B77" s="34">
        <v>8857</v>
      </c>
      <c r="C77" s="34">
        <v>31.11</v>
      </c>
      <c r="D77" s="34">
        <v>83</v>
      </c>
      <c r="E77" s="34">
        <v>0</v>
      </c>
      <c r="F77" s="34">
        <v>0</v>
      </c>
      <c r="G77" s="34">
        <v>0</v>
      </c>
      <c r="H77" s="35">
        <f t="shared" si="18"/>
        <v>0.00937111888901434</v>
      </c>
      <c r="I77" s="35">
        <f t="shared" si="19"/>
        <v>0</v>
      </c>
      <c r="J77" s="36">
        <f t="shared" si="20"/>
        <v>0.374819277108434</v>
      </c>
      <c r="K77" s="36">
        <f t="shared" si="21"/>
        <v>0</v>
      </c>
      <c r="L77" s="34" t="e">
        <f t="shared" si="22"/>
        <v>#DIV/0!</v>
      </c>
      <c r="M77" s="37" t="e">
        <f t="shared" si="23"/>
        <v>#DIV/0!</v>
      </c>
    </row>
    <row r="78" spans="1:13">
      <c r="A78" s="33" t="s">
        <v>42</v>
      </c>
      <c r="B78" s="34">
        <v>25835</v>
      </c>
      <c r="C78" s="34">
        <v>495.9</v>
      </c>
      <c r="D78" s="34">
        <v>410</v>
      </c>
      <c r="E78" s="34">
        <v>166.68</v>
      </c>
      <c r="F78" s="34">
        <v>3</v>
      </c>
      <c r="G78" s="34">
        <v>26</v>
      </c>
      <c r="H78" s="35">
        <f t="shared" si="18"/>
        <v>0.0158699438745887</v>
      </c>
      <c r="I78" s="35">
        <f t="shared" si="19"/>
        <v>0.00731707317073171</v>
      </c>
      <c r="J78" s="36">
        <f t="shared" si="20"/>
        <v>1.20951219512195</v>
      </c>
      <c r="K78" s="36">
        <f t="shared" si="21"/>
        <v>0.336116152450091</v>
      </c>
      <c r="L78" s="34">
        <f t="shared" si="22"/>
        <v>55.56</v>
      </c>
      <c r="M78" s="37">
        <f t="shared" si="23"/>
        <v>19.0730769230769</v>
      </c>
    </row>
    <row r="79" spans="1:13">
      <c r="A79" s="33" t="s">
        <v>72</v>
      </c>
      <c r="B79" s="34">
        <v>6583</v>
      </c>
      <c r="C79" s="34">
        <v>145.58</v>
      </c>
      <c r="D79" s="34">
        <v>186</v>
      </c>
      <c r="E79" s="34">
        <v>0</v>
      </c>
      <c r="F79" s="34">
        <v>0</v>
      </c>
      <c r="G79" s="34">
        <v>6</v>
      </c>
      <c r="H79" s="35">
        <f t="shared" si="18"/>
        <v>0.0282545951693757</v>
      </c>
      <c r="I79" s="35">
        <f t="shared" si="19"/>
        <v>0</v>
      </c>
      <c r="J79" s="36">
        <f t="shared" si="20"/>
        <v>0.782688172043011</v>
      </c>
      <c r="K79" s="36">
        <f t="shared" si="21"/>
        <v>0</v>
      </c>
      <c r="L79" s="34" t="e">
        <f t="shared" si="22"/>
        <v>#DIV/0!</v>
      </c>
      <c r="M79" s="37">
        <f t="shared" si="23"/>
        <v>24.2633333333333</v>
      </c>
    </row>
    <row r="80" spans="1:13">
      <c r="A80" s="33" t="s">
        <v>44</v>
      </c>
      <c r="B80" s="34">
        <v>23800</v>
      </c>
      <c r="C80" s="34">
        <v>2517.81</v>
      </c>
      <c r="D80" s="34">
        <v>873</v>
      </c>
      <c r="E80" s="34">
        <v>10494.85</v>
      </c>
      <c r="F80" s="34">
        <v>23</v>
      </c>
      <c r="G80" s="34">
        <v>107</v>
      </c>
      <c r="H80" s="35">
        <f t="shared" si="18"/>
        <v>0.0366806722689076</v>
      </c>
      <c r="I80" s="35">
        <f t="shared" si="19"/>
        <v>0.0263459335624284</v>
      </c>
      <c r="J80" s="36">
        <f t="shared" si="20"/>
        <v>2.88408934707904</v>
      </c>
      <c r="K80" s="36">
        <f t="shared" si="21"/>
        <v>4.16824541963055</v>
      </c>
      <c r="L80" s="34">
        <f t="shared" si="22"/>
        <v>456.297826086957</v>
      </c>
      <c r="M80" s="37">
        <f t="shared" si="23"/>
        <v>23.5309345794393</v>
      </c>
    </row>
    <row r="81" spans="1:13">
      <c r="A81" s="33" t="s">
        <v>73</v>
      </c>
      <c r="B81" s="34">
        <v>3477</v>
      </c>
      <c r="C81" s="34">
        <v>57.84</v>
      </c>
      <c r="D81" s="34">
        <v>58</v>
      </c>
      <c r="E81" s="34">
        <v>0</v>
      </c>
      <c r="F81" s="34">
        <v>0</v>
      </c>
      <c r="G81" s="34">
        <v>1</v>
      </c>
      <c r="H81" s="35">
        <f t="shared" si="18"/>
        <v>0.0166810468794938</v>
      </c>
      <c r="I81" s="35">
        <f t="shared" si="19"/>
        <v>0</v>
      </c>
      <c r="J81" s="36">
        <f t="shared" si="20"/>
        <v>0.997241379310345</v>
      </c>
      <c r="K81" s="36">
        <f t="shared" si="21"/>
        <v>0</v>
      </c>
      <c r="L81" s="34" t="e">
        <f t="shared" si="22"/>
        <v>#DIV/0!</v>
      </c>
      <c r="M81" s="37">
        <f t="shared" si="23"/>
        <v>57.84</v>
      </c>
    </row>
    <row r="82" spans="1:13">
      <c r="A82" s="33" t="s">
        <v>43</v>
      </c>
      <c r="B82" s="34">
        <v>23022</v>
      </c>
      <c r="C82" s="34">
        <v>1177.01</v>
      </c>
      <c r="D82" s="34">
        <v>508</v>
      </c>
      <c r="E82" s="34">
        <v>1743.87</v>
      </c>
      <c r="F82" s="34">
        <v>11</v>
      </c>
      <c r="G82" s="34">
        <v>40</v>
      </c>
      <c r="H82" s="35">
        <f t="shared" si="18"/>
        <v>0.0220658500564677</v>
      </c>
      <c r="I82" s="35">
        <f t="shared" si="19"/>
        <v>0.0216535433070866</v>
      </c>
      <c r="J82" s="36">
        <f t="shared" si="20"/>
        <v>2.31694881889764</v>
      </c>
      <c r="K82" s="36">
        <f t="shared" si="21"/>
        <v>1.48161018173168</v>
      </c>
      <c r="L82" s="34">
        <f t="shared" si="22"/>
        <v>158.533636363636</v>
      </c>
      <c r="M82" s="37">
        <f t="shared" si="23"/>
        <v>29.42525</v>
      </c>
    </row>
    <row r="83" spans="1:13">
      <c r="A83" s="33" t="s">
        <v>46</v>
      </c>
      <c r="B83" s="34">
        <v>49015</v>
      </c>
      <c r="C83" s="34">
        <v>1631.84</v>
      </c>
      <c r="D83" s="34">
        <v>922</v>
      </c>
      <c r="E83" s="34">
        <v>1424.3</v>
      </c>
      <c r="F83" s="34">
        <v>3</v>
      </c>
      <c r="G83" s="34">
        <v>27</v>
      </c>
      <c r="H83" s="35">
        <f t="shared" si="18"/>
        <v>0.0188105681934102</v>
      </c>
      <c r="I83" s="35">
        <f t="shared" si="19"/>
        <v>0.00325379609544469</v>
      </c>
      <c r="J83" s="36">
        <f t="shared" si="20"/>
        <v>1.76989154013015</v>
      </c>
      <c r="K83" s="36">
        <f t="shared" si="21"/>
        <v>0.872818413569958</v>
      </c>
      <c r="L83" s="34">
        <f t="shared" si="22"/>
        <v>474.766666666667</v>
      </c>
      <c r="M83" s="37">
        <f t="shared" si="23"/>
        <v>60.4385185185185</v>
      </c>
    </row>
    <row r="84" spans="1:13">
      <c r="A84" s="33" t="s">
        <v>74</v>
      </c>
      <c r="B84" s="34">
        <v>19026</v>
      </c>
      <c r="C84" s="34">
        <v>798.75</v>
      </c>
      <c r="D84" s="34">
        <v>447</v>
      </c>
      <c r="E84" s="34">
        <v>932.35</v>
      </c>
      <c r="F84" s="34">
        <v>7</v>
      </c>
      <c r="G84" s="34">
        <v>31</v>
      </c>
      <c r="H84" s="35">
        <f t="shared" si="18"/>
        <v>0.0234941658782718</v>
      </c>
      <c r="I84" s="35">
        <f t="shared" si="19"/>
        <v>0.0156599552572707</v>
      </c>
      <c r="J84" s="36">
        <f t="shared" si="20"/>
        <v>1.78691275167785</v>
      </c>
      <c r="K84" s="36">
        <f t="shared" si="21"/>
        <v>1.1672613458529</v>
      </c>
      <c r="L84" s="34">
        <f t="shared" si="22"/>
        <v>133.192857142857</v>
      </c>
      <c r="M84" s="37">
        <f t="shared" si="23"/>
        <v>25.7661290322581</v>
      </c>
    </row>
    <row r="85" spans="1:13">
      <c r="A85" s="44" t="s">
        <v>62</v>
      </c>
      <c r="B85" s="34">
        <v>161929</v>
      </c>
      <c r="C85" s="34">
        <v>6886.29</v>
      </c>
      <c r="D85" s="34">
        <v>3537</v>
      </c>
      <c r="E85" s="34">
        <v>14762.05</v>
      </c>
      <c r="F85" s="34">
        <v>47</v>
      </c>
      <c r="G85" s="34">
        <v>241</v>
      </c>
      <c r="H85" s="35">
        <f t="shared" si="18"/>
        <v>0.0218429064590036</v>
      </c>
      <c r="I85" s="35">
        <f t="shared" si="19"/>
        <v>0.0132880972575629</v>
      </c>
      <c r="J85" s="36">
        <f t="shared" si="20"/>
        <v>1.94692960135708</v>
      </c>
      <c r="K85" s="36">
        <f t="shared" si="21"/>
        <v>2.14368694899576</v>
      </c>
      <c r="L85" s="34">
        <f t="shared" si="22"/>
        <v>314.086170212766</v>
      </c>
      <c r="M85" s="37">
        <f t="shared" si="23"/>
        <v>28.5738174273859</v>
      </c>
    </row>
    <row r="86" s="4" customFormat="1" ht="14.4" spans="1:13">
      <c r="L86" s="45"/>
    </row>
    <row r="87" spans="1:13">
      <c r="A87" s="33" t="s">
        <v>76</v>
      </c>
      <c r="B87" s="4"/>
      <c r="C87" s="4"/>
      <c r="D87" s="4"/>
      <c r="E87" s="4"/>
      <c r="F87" s="4"/>
      <c r="G87" s="4"/>
      <c r="H87" s="4"/>
      <c r="I87" s="4"/>
      <c r="J87" s="4"/>
      <c r="K87" s="4"/>
      <c r="L87" s="45"/>
      <c r="M87" s="4"/>
    </row>
    <row r="88" spans="1:13">
      <c r="A88" s="44" t="s">
        <v>69</v>
      </c>
      <c r="B88" s="44" t="s">
        <v>54</v>
      </c>
      <c r="C88" s="44" t="s">
        <v>12</v>
      </c>
      <c r="D88" s="44" t="s">
        <v>21</v>
      </c>
      <c r="E88" s="44" t="s">
        <v>26</v>
      </c>
      <c r="F88" s="44" t="s">
        <v>55</v>
      </c>
      <c r="G88" s="44" t="s">
        <v>23</v>
      </c>
      <c r="H88" s="30" t="s">
        <v>56</v>
      </c>
      <c r="I88" s="30" t="s">
        <v>57</v>
      </c>
      <c r="J88" s="31" t="s">
        <v>58</v>
      </c>
      <c r="K88" s="31" t="s">
        <v>59</v>
      </c>
      <c r="L88" s="29" t="s">
        <v>60</v>
      </c>
      <c r="M88" s="32" t="s">
        <v>24</v>
      </c>
    </row>
    <row r="89" spans="1:13">
      <c r="A89" s="33" t="s">
        <v>70</v>
      </c>
      <c r="B89" s="34">
        <v>5665</v>
      </c>
      <c r="C89" s="34">
        <v>39.3</v>
      </c>
      <c r="D89" s="34">
        <v>157</v>
      </c>
      <c r="E89" s="34">
        <v>2358.18</v>
      </c>
      <c r="F89" s="34">
        <v>2</v>
      </c>
      <c r="G89" s="34">
        <v>7</v>
      </c>
      <c r="H89" s="35">
        <f t="shared" ref="H89:H96" si="24">D89/B89</f>
        <v>0.0277140335392763</v>
      </c>
      <c r="I89" s="35">
        <f t="shared" ref="I89:I96" si="25">F89/D89</f>
        <v>0.0127388535031847</v>
      </c>
      <c r="J89" s="36">
        <f t="shared" ref="J89:J96" si="26">C89/D89</f>
        <v>0.25031847133758</v>
      </c>
      <c r="K89" s="36">
        <f t="shared" ref="K89:K96" si="27">E89/C89</f>
        <v>60.0045801526718</v>
      </c>
      <c r="L89" s="34">
        <f t="shared" ref="L89:L96" si="28">E89/F89</f>
        <v>1179.09</v>
      </c>
      <c r="M89" s="37">
        <f t="shared" ref="M89:M96" si="29">C89/G89</f>
        <v>5.61428571428571</v>
      </c>
    </row>
    <row r="90" spans="1:13">
      <c r="A90" s="33" t="s">
        <v>71</v>
      </c>
      <c r="B90" s="34">
        <v>79815</v>
      </c>
      <c r="C90" s="34">
        <v>300.17</v>
      </c>
      <c r="D90" s="34">
        <v>1213</v>
      </c>
      <c r="E90" s="34">
        <v>4399.2</v>
      </c>
      <c r="F90" s="34">
        <v>4</v>
      </c>
      <c r="G90" s="34">
        <v>23</v>
      </c>
      <c r="H90" s="35">
        <f t="shared" si="24"/>
        <v>0.0151976445530289</v>
      </c>
      <c r="I90" s="35">
        <f t="shared" si="25"/>
        <v>0.00329760923330585</v>
      </c>
      <c r="J90" s="36">
        <f t="shared" si="26"/>
        <v>0.247460840890354</v>
      </c>
      <c r="K90" s="36">
        <f t="shared" si="27"/>
        <v>14.6556951061065</v>
      </c>
      <c r="L90" s="34">
        <f t="shared" si="28"/>
        <v>1099.8</v>
      </c>
      <c r="M90" s="37">
        <f t="shared" si="29"/>
        <v>13.0508695652174</v>
      </c>
    </row>
    <row r="91" spans="1:13">
      <c r="A91" s="33" t="s">
        <v>72</v>
      </c>
      <c r="B91" s="34">
        <v>43284</v>
      </c>
      <c r="C91" s="34">
        <v>556.71</v>
      </c>
      <c r="D91" s="34">
        <v>1667</v>
      </c>
      <c r="E91" s="34">
        <v>1266.43</v>
      </c>
      <c r="F91" s="34">
        <v>2</v>
      </c>
      <c r="G91" s="34">
        <v>50</v>
      </c>
      <c r="H91" s="35">
        <f t="shared" si="24"/>
        <v>0.038513076425469</v>
      </c>
      <c r="I91" s="35">
        <f t="shared" si="25"/>
        <v>0.0011997600479904</v>
      </c>
      <c r="J91" s="36">
        <f t="shared" si="26"/>
        <v>0.333959208158368</v>
      </c>
      <c r="K91" s="36">
        <f t="shared" si="27"/>
        <v>2.27484686820786</v>
      </c>
      <c r="L91" s="34">
        <f t="shared" si="28"/>
        <v>633.215</v>
      </c>
      <c r="M91" s="37">
        <f t="shared" si="29"/>
        <v>11.1342</v>
      </c>
    </row>
    <row r="92" spans="1:13">
      <c r="A92" s="33" t="s">
        <v>44</v>
      </c>
      <c r="B92" s="34">
        <v>29809</v>
      </c>
      <c r="C92" s="34">
        <v>2078.67</v>
      </c>
      <c r="D92" s="34">
        <v>1050</v>
      </c>
      <c r="E92" s="34">
        <v>12889.05</v>
      </c>
      <c r="F92" s="34">
        <v>39</v>
      </c>
      <c r="G92" s="34">
        <v>123</v>
      </c>
      <c r="H92" s="35">
        <f t="shared" si="24"/>
        <v>0.0352242611291892</v>
      </c>
      <c r="I92" s="35">
        <f t="shared" si="25"/>
        <v>0.0371428571428571</v>
      </c>
      <c r="J92" s="36">
        <f t="shared" si="26"/>
        <v>1.97968571428571</v>
      </c>
      <c r="K92" s="36">
        <f t="shared" si="27"/>
        <v>6.20062347558776</v>
      </c>
      <c r="L92" s="34">
        <f t="shared" si="28"/>
        <v>330.488461538462</v>
      </c>
      <c r="M92" s="37">
        <f t="shared" si="29"/>
        <v>16.899756097561</v>
      </c>
    </row>
    <row r="93" spans="1:13">
      <c r="A93" s="33" t="s">
        <v>73</v>
      </c>
      <c r="B93" s="34">
        <v>624</v>
      </c>
      <c r="C93" s="34">
        <v>7.87</v>
      </c>
      <c r="D93" s="34">
        <v>22</v>
      </c>
      <c r="E93" s="34">
        <v>1345.67</v>
      </c>
      <c r="F93" s="34">
        <v>2</v>
      </c>
      <c r="G93" s="34">
        <v>1</v>
      </c>
      <c r="H93" s="35">
        <f t="shared" si="24"/>
        <v>0.0352564102564103</v>
      </c>
      <c r="I93" s="35">
        <f t="shared" si="25"/>
        <v>0.0909090909090909</v>
      </c>
      <c r="J93" s="36">
        <f t="shared" si="26"/>
        <v>0.357727272727273</v>
      </c>
      <c r="K93" s="36">
        <f t="shared" si="27"/>
        <v>170.987293519695</v>
      </c>
      <c r="L93" s="34">
        <f t="shared" si="28"/>
        <v>672.835</v>
      </c>
      <c r="M93" s="37">
        <f t="shared" si="29"/>
        <v>7.87</v>
      </c>
    </row>
    <row r="94" spans="1:13">
      <c r="A94" s="33" t="s">
        <v>43</v>
      </c>
      <c r="B94" s="34">
        <v>2315</v>
      </c>
      <c r="C94" s="34">
        <v>265.91</v>
      </c>
      <c r="D94" s="34">
        <v>115</v>
      </c>
      <c r="E94" s="34">
        <v>78.85</v>
      </c>
      <c r="F94" s="34">
        <v>3</v>
      </c>
      <c r="G94" s="34">
        <v>26</v>
      </c>
      <c r="H94" s="35">
        <f t="shared" si="24"/>
        <v>0.0496760259179266</v>
      </c>
      <c r="I94" s="35">
        <f t="shared" si="25"/>
        <v>0.0260869565217391</v>
      </c>
      <c r="J94" s="36">
        <f t="shared" si="26"/>
        <v>2.31226086956522</v>
      </c>
      <c r="K94" s="36">
        <f t="shared" si="27"/>
        <v>0.296528900755895</v>
      </c>
      <c r="L94" s="34">
        <f t="shared" si="28"/>
        <v>26.2833333333333</v>
      </c>
      <c r="M94" s="37">
        <f t="shared" si="29"/>
        <v>10.2273076923077</v>
      </c>
    </row>
    <row r="95" spans="1:13">
      <c r="A95" s="33" t="s">
        <v>46</v>
      </c>
      <c r="B95" s="34">
        <v>958</v>
      </c>
      <c r="C95" s="34">
        <v>86.22</v>
      </c>
      <c r="D95" s="34">
        <v>39</v>
      </c>
      <c r="E95" s="34">
        <v>0</v>
      </c>
      <c r="F95" s="34">
        <v>0</v>
      </c>
      <c r="G95" s="34">
        <v>0</v>
      </c>
      <c r="H95" s="35">
        <f t="shared" si="24"/>
        <v>0.0407098121085595</v>
      </c>
      <c r="I95" s="35">
        <f t="shared" si="25"/>
        <v>0</v>
      </c>
      <c r="J95" s="36">
        <f t="shared" si="26"/>
        <v>2.21076923076923</v>
      </c>
      <c r="K95" s="36">
        <f t="shared" si="27"/>
        <v>0</v>
      </c>
      <c r="L95" s="34" t="e">
        <f t="shared" si="28"/>
        <v>#DIV/0!</v>
      </c>
      <c r="M95" s="37" t="e">
        <f t="shared" si="29"/>
        <v>#DIV/0!</v>
      </c>
    </row>
    <row r="96" spans="1:13">
      <c r="A96" s="44" t="s">
        <v>62</v>
      </c>
      <c r="B96" s="34">
        <v>162470</v>
      </c>
      <c r="C96" s="34">
        <v>3334.85</v>
      </c>
      <c r="D96" s="34">
        <v>4263</v>
      </c>
      <c r="E96" s="34">
        <v>22337.38</v>
      </c>
      <c r="F96" s="34">
        <v>52</v>
      </c>
      <c r="G96" s="34">
        <v>230</v>
      </c>
      <c r="H96" s="35">
        <f t="shared" si="24"/>
        <v>0.0262386902197329</v>
      </c>
      <c r="I96" s="35">
        <f t="shared" si="25"/>
        <v>0.0121979826413324</v>
      </c>
      <c r="J96" s="36">
        <f t="shared" si="26"/>
        <v>0.78227773868168</v>
      </c>
      <c r="K96" s="36">
        <f t="shared" si="27"/>
        <v>6.69816633431789</v>
      </c>
      <c r="L96" s="34">
        <f t="shared" si="28"/>
        <v>429.565</v>
      </c>
      <c r="M96" s="37">
        <f t="shared" si="29"/>
        <v>14.499347826087</v>
      </c>
    </row>
    <row r="98" spans="1:13">
      <c r="A98" s="7" t="s">
        <v>77</v>
      </c>
    </row>
    <row r="99" spans="1:13">
      <c r="A99" s="44" t="s">
        <v>69</v>
      </c>
      <c r="B99" s="44" t="s">
        <v>54</v>
      </c>
      <c r="C99" s="44" t="s">
        <v>12</v>
      </c>
      <c r="D99" s="44" t="s">
        <v>21</v>
      </c>
      <c r="E99" s="44" t="s">
        <v>26</v>
      </c>
      <c r="F99" s="44" t="s">
        <v>55</v>
      </c>
      <c r="G99" s="44" t="s">
        <v>23</v>
      </c>
      <c r="H99" s="30" t="s">
        <v>56</v>
      </c>
      <c r="I99" s="30" t="s">
        <v>57</v>
      </c>
      <c r="J99" s="31" t="s">
        <v>58</v>
      </c>
      <c r="K99" s="31" t="s">
        <v>59</v>
      </c>
      <c r="L99" s="29" t="s">
        <v>60</v>
      </c>
      <c r="M99" s="32" t="s">
        <v>24</v>
      </c>
    </row>
    <row r="100" spans="1:13">
      <c r="A100" s="33" t="s">
        <v>70</v>
      </c>
      <c r="B100" s="34">
        <v>17396</v>
      </c>
      <c r="C100" s="34">
        <v>172.82</v>
      </c>
      <c r="D100" s="34">
        <v>599</v>
      </c>
      <c r="E100" s="34">
        <v>2235.51</v>
      </c>
      <c r="F100" s="34">
        <v>3</v>
      </c>
      <c r="G100" s="34">
        <v>37</v>
      </c>
      <c r="H100" s="35">
        <f t="shared" ref="H100:H106" si="30">D100/B100</f>
        <v>0.0344332030351805</v>
      </c>
      <c r="I100" s="35">
        <f t="shared" ref="I100:I106" si="31">F100/D100</f>
        <v>0.00500834724540901</v>
      </c>
      <c r="J100" s="36">
        <f t="shared" ref="J100:J106" si="32">C100/D100</f>
        <v>0.288514190317195</v>
      </c>
      <c r="K100" s="36">
        <f t="shared" ref="K100:K106" si="33">E100/C100</f>
        <v>12.9354820043976</v>
      </c>
      <c r="L100" s="34">
        <f t="shared" ref="L100:L106" si="34">E100/F100</f>
        <v>745.17</v>
      </c>
      <c r="M100" s="37">
        <f t="shared" ref="M100:M106" si="35">C100/G100</f>
        <v>4.67081081081081</v>
      </c>
    </row>
    <row r="101" spans="1:13">
      <c r="A101" s="33" t="s">
        <v>71</v>
      </c>
      <c r="B101" s="34">
        <v>98355</v>
      </c>
      <c r="C101" s="34">
        <v>614.1</v>
      </c>
      <c r="D101" s="34">
        <v>2052</v>
      </c>
      <c r="E101" s="34">
        <v>713.56</v>
      </c>
      <c r="F101" s="34">
        <v>4</v>
      </c>
      <c r="G101" s="34">
        <v>45</v>
      </c>
      <c r="H101" s="35">
        <f t="shared" si="30"/>
        <v>0.020863199633979</v>
      </c>
      <c r="I101" s="35">
        <f t="shared" si="31"/>
        <v>0.00194931773879142</v>
      </c>
      <c r="J101" s="36">
        <f t="shared" si="32"/>
        <v>0.299269005847953</v>
      </c>
      <c r="K101" s="36">
        <f t="shared" si="33"/>
        <v>1.16196059273734</v>
      </c>
      <c r="L101" s="34">
        <f t="shared" si="34"/>
        <v>178.39</v>
      </c>
      <c r="M101" s="37">
        <f t="shared" si="35"/>
        <v>13.6466666666667</v>
      </c>
    </row>
    <row r="102" spans="1:13">
      <c r="A102" s="33" t="s">
        <v>42</v>
      </c>
      <c r="B102" s="34">
        <v>3585</v>
      </c>
      <c r="C102" s="34">
        <v>200</v>
      </c>
      <c r="D102" s="34">
        <v>121</v>
      </c>
      <c r="E102" s="34">
        <v>958.55</v>
      </c>
      <c r="F102" s="34">
        <v>9</v>
      </c>
      <c r="G102" s="34">
        <v>23</v>
      </c>
      <c r="H102" s="35">
        <f t="shared" si="30"/>
        <v>0.0337517433751743</v>
      </c>
      <c r="I102" s="35">
        <f t="shared" si="31"/>
        <v>0.0743801652892562</v>
      </c>
      <c r="J102" s="36">
        <f t="shared" si="32"/>
        <v>1.65289256198347</v>
      </c>
      <c r="K102" s="36">
        <f t="shared" si="33"/>
        <v>4.79275</v>
      </c>
      <c r="L102" s="34">
        <f t="shared" si="34"/>
        <v>106.505555555556</v>
      </c>
      <c r="M102" s="37">
        <f t="shared" si="35"/>
        <v>8.69565217391304</v>
      </c>
    </row>
    <row r="103" spans="1:13">
      <c r="A103" s="33" t="s">
        <v>72</v>
      </c>
      <c r="B103" s="34">
        <v>4862</v>
      </c>
      <c r="C103" s="34">
        <v>53.24</v>
      </c>
      <c r="D103" s="34">
        <v>181</v>
      </c>
      <c r="E103" s="34">
        <v>1413.55</v>
      </c>
      <c r="F103" s="34">
        <v>1</v>
      </c>
      <c r="G103" s="34">
        <v>6</v>
      </c>
      <c r="H103" s="35">
        <f t="shared" si="30"/>
        <v>0.037227478403949</v>
      </c>
      <c r="I103" s="35">
        <f t="shared" si="31"/>
        <v>0.00552486187845304</v>
      </c>
      <c r="J103" s="36">
        <f t="shared" si="32"/>
        <v>0.29414364640884</v>
      </c>
      <c r="K103" s="36">
        <f t="shared" si="33"/>
        <v>26.5505259203606</v>
      </c>
      <c r="L103" s="34">
        <f t="shared" si="34"/>
        <v>1413.55</v>
      </c>
      <c r="M103" s="37">
        <f t="shared" si="35"/>
        <v>8.87333333333333</v>
      </c>
    </row>
    <row r="104" spans="1:13">
      <c r="A104" s="33" t="s">
        <v>44</v>
      </c>
      <c r="B104" s="34">
        <v>17717</v>
      </c>
      <c r="C104" s="34">
        <v>1653.08</v>
      </c>
      <c r="D104" s="34">
        <v>877</v>
      </c>
      <c r="E104" s="34">
        <v>7396.54</v>
      </c>
      <c r="F104" s="34">
        <v>36</v>
      </c>
      <c r="G104" s="34">
        <v>175</v>
      </c>
      <c r="H104" s="35">
        <f t="shared" si="30"/>
        <v>0.0495004797651973</v>
      </c>
      <c r="I104" s="35">
        <f t="shared" si="31"/>
        <v>0.0410490307867731</v>
      </c>
      <c r="J104" s="36">
        <f t="shared" si="32"/>
        <v>1.88492588369441</v>
      </c>
      <c r="K104" s="36">
        <f t="shared" si="33"/>
        <v>4.47439930311903</v>
      </c>
      <c r="L104" s="34">
        <f t="shared" si="34"/>
        <v>205.459444444444</v>
      </c>
      <c r="M104" s="37">
        <f t="shared" si="35"/>
        <v>9.44617142857143</v>
      </c>
    </row>
    <row r="105" spans="1:13">
      <c r="A105" s="44" t="s">
        <v>62</v>
      </c>
      <c r="B105" s="34">
        <v>141915</v>
      </c>
      <c r="C105" s="34">
        <v>2693.24</v>
      </c>
      <c r="D105" s="34">
        <v>3830</v>
      </c>
      <c r="E105" s="34">
        <v>12717.71</v>
      </c>
      <c r="F105" s="34">
        <v>53</v>
      </c>
      <c r="G105" s="34">
        <v>286</v>
      </c>
      <c r="H105" s="35">
        <f t="shared" si="30"/>
        <v>0.0269879857661276</v>
      </c>
      <c r="I105" s="35">
        <f t="shared" si="31"/>
        <v>0.0138381201044386</v>
      </c>
      <c r="J105" s="36">
        <f t="shared" si="32"/>
        <v>0.703195822454308</v>
      </c>
      <c r="K105" s="36">
        <f t="shared" si="33"/>
        <v>4.72208566633497</v>
      </c>
      <c r="L105" s="34">
        <f t="shared" si="34"/>
        <v>239.95679245283</v>
      </c>
      <c r="M105" s="37">
        <f t="shared" si="35"/>
        <v>9.41692307692308</v>
      </c>
    </row>
  </sheetData>
  <mergeCells count="2">
    <mergeCell ref="A3:M12"/>
    <mergeCell ref="A51:M6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774"/>
  <sheetViews>
    <sheetView zoomScale="85" zoomScaleNormal="85" topLeftCell="A359" workbookViewId="0">
      <selection activeCell="A369" sqref="A369:BU774"/>
    </sheetView>
  </sheetViews>
  <sheetFormatPr defaultColWidth="8.73148148148148" defaultRowHeight="14.4"/>
  <cols>
    <col min="1" max="1" width="11.8148148148148" customWidth="1"/>
    <col min="3" max="3" width="11.8148148148148" customWidth="1"/>
    <col min="5" max="5" width="16.2685185185185" customWidth="1"/>
  </cols>
  <sheetData>
    <row r="1" spans="1:69">
      <c r="A1" s="15" t="s">
        <v>3</v>
      </c>
      <c r="B1" s="15" t="s">
        <v>78</v>
      </c>
      <c r="C1" s="15" t="s">
        <v>79</v>
      </c>
      <c r="D1" s="15" t="s">
        <v>80</v>
      </c>
      <c r="E1" s="15" t="s">
        <v>81</v>
      </c>
      <c r="F1" s="15" t="s">
        <v>54</v>
      </c>
      <c r="G1" s="15" t="s">
        <v>21</v>
      </c>
      <c r="H1" s="15" t="s">
        <v>12</v>
      </c>
      <c r="I1" s="15" t="s">
        <v>56</v>
      </c>
      <c r="J1" s="15" t="s">
        <v>82</v>
      </c>
      <c r="K1" s="15" t="s">
        <v>83</v>
      </c>
      <c r="L1" s="15" t="s">
        <v>84</v>
      </c>
      <c r="M1" s="15" t="s">
        <v>85</v>
      </c>
      <c r="N1" s="15" t="s">
        <v>86</v>
      </c>
      <c r="O1" s="15" t="s">
        <v>87</v>
      </c>
      <c r="P1" s="15" t="s">
        <v>88</v>
      </c>
      <c r="Q1" s="15" t="s">
        <v>89</v>
      </c>
      <c r="R1" s="15" t="s">
        <v>90</v>
      </c>
      <c r="S1" s="15" t="s">
        <v>91</v>
      </c>
      <c r="T1" s="15" t="s">
        <v>26</v>
      </c>
      <c r="U1" s="15" t="s">
        <v>55</v>
      </c>
      <c r="V1" s="15" t="s">
        <v>92</v>
      </c>
      <c r="W1" s="15" t="s">
        <v>93</v>
      </c>
      <c r="X1" s="15" t="s">
        <v>29</v>
      </c>
      <c r="Y1" s="15" t="s">
        <v>94</v>
      </c>
      <c r="Z1" s="15" t="s">
        <v>95</v>
      </c>
      <c r="AA1" s="15" t="s">
        <v>96</v>
      </c>
      <c r="AB1" s="15" t="s">
        <v>23</v>
      </c>
      <c r="AC1" s="15" t="s">
        <v>97</v>
      </c>
      <c r="AD1" s="15" t="s">
        <v>98</v>
      </c>
      <c r="AE1" s="15" t="s">
        <v>28</v>
      </c>
      <c r="AF1" s="15" t="s">
        <v>99</v>
      </c>
      <c r="AG1" s="15" t="s">
        <v>100</v>
      </c>
      <c r="AH1" s="15" t="s">
        <v>101</v>
      </c>
      <c r="AI1" s="15" t="s">
        <v>102</v>
      </c>
      <c r="AJ1" s="15" t="s">
        <v>103</v>
      </c>
      <c r="AK1" s="15" t="s">
        <v>104</v>
      </c>
      <c r="AL1" s="15" t="s">
        <v>105</v>
      </c>
      <c r="AM1" s="15" t="s">
        <v>106</v>
      </c>
      <c r="AN1" s="15" t="s">
        <v>107</v>
      </c>
      <c r="AO1" s="15" t="s">
        <v>108</v>
      </c>
      <c r="AP1" s="15" t="s">
        <v>24</v>
      </c>
      <c r="AQ1" s="15" t="s">
        <v>109</v>
      </c>
      <c r="AR1" s="15" t="s">
        <v>110</v>
      </c>
      <c r="AS1" s="15" t="s">
        <v>111</v>
      </c>
      <c r="AT1" s="15" t="s">
        <v>112</v>
      </c>
      <c r="AU1" s="15" t="s">
        <v>113</v>
      </c>
      <c r="AV1" s="15" t="s">
        <v>114</v>
      </c>
      <c r="AW1" s="15" t="s">
        <v>115</v>
      </c>
      <c r="AX1" s="15" t="s">
        <v>116</v>
      </c>
      <c r="AY1" s="15" t="s">
        <v>117</v>
      </c>
      <c r="AZ1" s="15" t="s">
        <v>118</v>
      </c>
      <c r="BA1" s="15" t="s">
        <v>119</v>
      </c>
      <c r="BB1" s="15" t="s">
        <v>120</v>
      </c>
      <c r="BC1" s="15" t="s">
        <v>121</v>
      </c>
      <c r="BD1" s="15" t="s">
        <v>122</v>
      </c>
      <c r="BE1" s="15" t="s">
        <v>123</v>
      </c>
      <c r="BF1" s="15" t="s">
        <v>124</v>
      </c>
      <c r="BG1" s="15" t="s">
        <v>125</v>
      </c>
      <c r="BH1" s="15" t="s">
        <v>126</v>
      </c>
      <c r="BI1" s="15" t="s">
        <v>127</v>
      </c>
      <c r="BJ1" s="15" t="s">
        <v>128</v>
      </c>
      <c r="BK1" s="15" t="s">
        <v>129</v>
      </c>
      <c r="BL1" s="15" t="s">
        <v>130</v>
      </c>
      <c r="BM1" s="15" t="s">
        <v>131</v>
      </c>
      <c r="BN1" s="15" t="s">
        <v>132</v>
      </c>
      <c r="BO1" s="15" t="s">
        <v>133</v>
      </c>
      <c r="BP1" s="15" t="s">
        <v>134</v>
      </c>
      <c r="BQ1" s="15" t="s">
        <v>135</v>
      </c>
    </row>
    <row r="2" spans="1:69">
      <c r="A2" s="16">
        <v>46112</v>
      </c>
      <c r="B2" s="15">
        <v>436</v>
      </c>
      <c r="C2" s="15" t="s">
        <v>38</v>
      </c>
      <c r="D2" s="15">
        <v>436</v>
      </c>
      <c r="E2" s="15" t="s">
        <v>38</v>
      </c>
      <c r="F2" s="15">
        <v>835</v>
      </c>
      <c r="G2" s="15">
        <v>33</v>
      </c>
      <c r="H2" s="15">
        <v>48.42</v>
      </c>
      <c r="I2" s="15">
        <v>0.03952</v>
      </c>
      <c r="J2" s="15">
        <v>1.47</v>
      </c>
      <c r="K2" s="15">
        <v>57.99</v>
      </c>
      <c r="L2" s="15">
        <v>0</v>
      </c>
      <c r="M2" s="15">
        <v>0</v>
      </c>
      <c r="N2" s="15">
        <v>0</v>
      </c>
      <c r="O2" s="15">
        <v>0</v>
      </c>
      <c r="P2" s="15">
        <v>0</v>
      </c>
      <c r="Q2" s="15">
        <v>0</v>
      </c>
      <c r="R2" s="15">
        <v>0</v>
      </c>
      <c r="S2" s="15">
        <v>43.91</v>
      </c>
      <c r="T2" s="15">
        <v>43.91</v>
      </c>
      <c r="U2" s="15">
        <v>1</v>
      </c>
      <c r="V2" s="15">
        <v>0</v>
      </c>
      <c r="W2" s="15">
        <v>1</v>
      </c>
      <c r="X2" s="15">
        <v>0.0303</v>
      </c>
      <c r="Y2" s="15">
        <v>0.91</v>
      </c>
      <c r="Z2" s="15">
        <v>0.91</v>
      </c>
      <c r="AA2" s="15">
        <v>48.42</v>
      </c>
      <c r="AB2" s="15">
        <v>0</v>
      </c>
      <c r="AC2" s="15">
        <v>0</v>
      </c>
      <c r="AD2" s="15">
        <v>0</v>
      </c>
      <c r="AE2" s="15">
        <v>0</v>
      </c>
      <c r="AF2" s="15">
        <v>3</v>
      </c>
      <c r="AG2" s="15">
        <v>0</v>
      </c>
      <c r="AH2" s="15"/>
      <c r="AI2" s="15">
        <v>3</v>
      </c>
      <c r="AJ2" s="15">
        <v>16.14</v>
      </c>
      <c r="AK2" s="15">
        <v>3</v>
      </c>
      <c r="AL2" s="15">
        <v>16.14</v>
      </c>
      <c r="AM2" s="15">
        <v>3</v>
      </c>
      <c r="AN2" s="15">
        <v>16.14</v>
      </c>
      <c r="AO2" s="15">
        <v>0.09091</v>
      </c>
      <c r="AP2" s="15"/>
      <c r="AQ2" s="15">
        <v>1</v>
      </c>
      <c r="AR2" s="15">
        <v>49.9</v>
      </c>
      <c r="AS2" s="15">
        <v>1</v>
      </c>
      <c r="AT2" s="15">
        <v>2</v>
      </c>
      <c r="AU2" s="15">
        <v>0</v>
      </c>
      <c r="AV2" s="15">
        <v>0</v>
      </c>
      <c r="AW2" s="15">
        <v>0</v>
      </c>
      <c r="AX2" s="15">
        <v>0</v>
      </c>
      <c r="AY2" s="15">
        <v>89</v>
      </c>
      <c r="AZ2" s="15">
        <v>25</v>
      </c>
      <c r="BA2" s="15">
        <v>16</v>
      </c>
      <c r="BB2" s="15">
        <v>0.64</v>
      </c>
      <c r="BC2" s="15">
        <v>0</v>
      </c>
      <c r="BD2" s="15">
        <v>0</v>
      </c>
      <c r="BE2" s="15">
        <v>0.10659</v>
      </c>
      <c r="BF2" s="15">
        <v>58</v>
      </c>
      <c r="BG2" s="15">
        <v>4</v>
      </c>
      <c r="BH2" s="15">
        <v>1</v>
      </c>
      <c r="BI2" s="15">
        <v>1</v>
      </c>
      <c r="BJ2" s="15">
        <v>0</v>
      </c>
      <c r="BK2" s="15">
        <v>0</v>
      </c>
      <c r="BL2" s="15">
        <v>0</v>
      </c>
      <c r="BM2" s="15">
        <v>1</v>
      </c>
      <c r="BN2" s="15">
        <v>1</v>
      </c>
      <c r="BO2" s="15">
        <v>43.91</v>
      </c>
      <c r="BP2" s="15">
        <v>0</v>
      </c>
      <c r="BQ2" s="15">
        <v>0</v>
      </c>
    </row>
    <row r="3" spans="1:69">
      <c r="A3" s="16">
        <v>46112</v>
      </c>
      <c r="B3" s="15">
        <v>183</v>
      </c>
      <c r="C3" s="15" t="s">
        <v>40</v>
      </c>
      <c r="D3" s="15">
        <v>183</v>
      </c>
      <c r="E3" s="15" t="s">
        <v>40</v>
      </c>
      <c r="F3" s="15">
        <v>5073</v>
      </c>
      <c r="G3" s="15">
        <v>111</v>
      </c>
      <c r="H3" s="15">
        <v>200</v>
      </c>
      <c r="I3" s="15">
        <v>0.02188</v>
      </c>
      <c r="J3" s="15">
        <v>1.8</v>
      </c>
      <c r="K3" s="15">
        <v>39.42</v>
      </c>
      <c r="L3" s="15">
        <v>0</v>
      </c>
      <c r="M3" s="15">
        <v>0</v>
      </c>
      <c r="N3" s="15">
        <v>0</v>
      </c>
      <c r="O3" s="15">
        <v>0</v>
      </c>
      <c r="P3" s="15">
        <v>0</v>
      </c>
      <c r="Q3" s="15">
        <v>0</v>
      </c>
      <c r="R3" s="15">
        <v>0</v>
      </c>
      <c r="S3" s="15">
        <v>0</v>
      </c>
      <c r="T3" s="15">
        <v>0</v>
      </c>
      <c r="U3" s="15">
        <v>0</v>
      </c>
      <c r="V3" s="15">
        <v>0</v>
      </c>
      <c r="W3" s="15">
        <v>0</v>
      </c>
      <c r="X3" s="15">
        <v>0</v>
      </c>
      <c r="Y3" s="15">
        <v>0</v>
      </c>
      <c r="Z3" s="15">
        <v>0</v>
      </c>
      <c r="AA3" s="15"/>
      <c r="AB3" s="15">
        <v>7</v>
      </c>
      <c r="AC3" s="15">
        <v>6</v>
      </c>
      <c r="AD3" s="15">
        <v>1</v>
      </c>
      <c r="AE3" s="15">
        <v>0.06306</v>
      </c>
      <c r="AF3" s="15">
        <v>0</v>
      </c>
      <c r="AG3" s="15">
        <v>3</v>
      </c>
      <c r="AH3" s="15">
        <v>66.67</v>
      </c>
      <c r="AI3" s="15">
        <v>10</v>
      </c>
      <c r="AJ3" s="15">
        <v>20</v>
      </c>
      <c r="AK3" s="15">
        <v>7</v>
      </c>
      <c r="AL3" s="15">
        <v>28.57</v>
      </c>
      <c r="AM3" s="15">
        <v>3</v>
      </c>
      <c r="AN3" s="15"/>
      <c r="AO3" s="15">
        <v>0</v>
      </c>
      <c r="AP3" s="15">
        <v>28.57</v>
      </c>
      <c r="AQ3" s="15">
        <v>0</v>
      </c>
      <c r="AR3" s="15">
        <v>0</v>
      </c>
      <c r="AS3" s="15">
        <v>0</v>
      </c>
      <c r="AT3" s="15">
        <v>0</v>
      </c>
      <c r="AU3" s="15">
        <v>0</v>
      </c>
      <c r="AV3" s="15">
        <v>0</v>
      </c>
      <c r="AW3" s="15">
        <v>0</v>
      </c>
      <c r="AX3" s="15">
        <v>0</v>
      </c>
      <c r="AY3" s="15">
        <v>505</v>
      </c>
      <c r="AZ3" s="15">
        <v>153</v>
      </c>
      <c r="BA3" s="15">
        <v>99</v>
      </c>
      <c r="BB3" s="15">
        <v>0.64706</v>
      </c>
      <c r="BC3" s="15">
        <v>0</v>
      </c>
      <c r="BD3" s="15">
        <v>0</v>
      </c>
      <c r="BE3" s="15">
        <v>0.09955</v>
      </c>
      <c r="BF3" s="15">
        <v>241</v>
      </c>
      <c r="BG3" s="15">
        <v>3</v>
      </c>
      <c r="BH3" s="15">
        <v>0</v>
      </c>
      <c r="BI3" s="15"/>
      <c r="BJ3" s="15">
        <v>0</v>
      </c>
      <c r="BK3" s="15">
        <v>0</v>
      </c>
      <c r="BL3" s="15">
        <v>0</v>
      </c>
      <c r="BM3" s="15">
        <v>0</v>
      </c>
      <c r="BN3" s="15"/>
      <c r="BO3" s="15"/>
      <c r="BP3" s="15">
        <v>0</v>
      </c>
      <c r="BQ3" s="15">
        <v>0</v>
      </c>
    </row>
    <row r="4" spans="1:69">
      <c r="A4" s="16">
        <v>46112</v>
      </c>
      <c r="B4" s="15">
        <v>479</v>
      </c>
      <c r="C4" s="15" t="s">
        <v>39</v>
      </c>
      <c r="D4" s="15">
        <v>479</v>
      </c>
      <c r="E4" s="15" t="s">
        <v>39</v>
      </c>
      <c r="F4" s="15">
        <v>51</v>
      </c>
      <c r="G4" s="15">
        <v>17</v>
      </c>
      <c r="H4" s="15">
        <v>14.06</v>
      </c>
      <c r="I4" s="15">
        <v>0.33333</v>
      </c>
      <c r="J4" s="15">
        <v>0.83</v>
      </c>
      <c r="K4" s="15">
        <v>275.61</v>
      </c>
      <c r="L4" s="15">
        <v>0</v>
      </c>
      <c r="M4" s="15">
        <v>0</v>
      </c>
      <c r="N4" s="15">
        <v>0</v>
      </c>
      <c r="O4" s="15">
        <v>0</v>
      </c>
      <c r="P4" s="15">
        <v>0</v>
      </c>
      <c r="Q4" s="15">
        <v>0</v>
      </c>
      <c r="R4" s="15">
        <v>0</v>
      </c>
      <c r="S4" s="15">
        <v>249.2</v>
      </c>
      <c r="T4" s="15">
        <v>249.2</v>
      </c>
      <c r="U4" s="15">
        <v>4</v>
      </c>
      <c r="V4" s="15">
        <v>0</v>
      </c>
      <c r="W4" s="15">
        <v>4</v>
      </c>
      <c r="X4" s="15">
        <v>0.23529</v>
      </c>
      <c r="Y4" s="15">
        <v>17.73</v>
      </c>
      <c r="Z4" s="15">
        <v>17.73</v>
      </c>
      <c r="AA4" s="15">
        <v>3.51</v>
      </c>
      <c r="AB4" s="15">
        <v>6</v>
      </c>
      <c r="AC4" s="15">
        <v>0</v>
      </c>
      <c r="AD4" s="15">
        <v>6</v>
      </c>
      <c r="AE4" s="15">
        <v>0.35294</v>
      </c>
      <c r="AF4" s="15">
        <v>0</v>
      </c>
      <c r="AG4" s="15">
        <v>0</v>
      </c>
      <c r="AH4" s="15"/>
      <c r="AI4" s="15">
        <v>6</v>
      </c>
      <c r="AJ4" s="15">
        <v>2.34</v>
      </c>
      <c r="AK4" s="15">
        <v>6</v>
      </c>
      <c r="AL4" s="15">
        <v>2.34</v>
      </c>
      <c r="AM4" s="15">
        <v>0</v>
      </c>
      <c r="AN4" s="15"/>
      <c r="AO4" s="15">
        <v>0</v>
      </c>
      <c r="AP4" s="15">
        <v>2.34</v>
      </c>
      <c r="AQ4" s="15">
        <v>6</v>
      </c>
      <c r="AR4" s="15">
        <v>314.9</v>
      </c>
      <c r="AS4" s="15">
        <v>0</v>
      </c>
      <c r="AT4" s="15">
        <v>0</v>
      </c>
      <c r="AU4" s="15">
        <v>0</v>
      </c>
      <c r="AV4" s="15">
        <v>0</v>
      </c>
      <c r="AW4" s="15">
        <v>0</v>
      </c>
      <c r="AX4" s="15">
        <v>0</v>
      </c>
      <c r="AY4" s="15">
        <v>192</v>
      </c>
      <c r="AZ4" s="15">
        <v>16</v>
      </c>
      <c r="BA4" s="15">
        <v>12</v>
      </c>
      <c r="BB4" s="15">
        <v>0.75</v>
      </c>
      <c r="BC4" s="15">
        <v>0</v>
      </c>
      <c r="BD4" s="15">
        <v>0</v>
      </c>
      <c r="BE4" s="15">
        <v>3.76471</v>
      </c>
      <c r="BF4" s="15">
        <v>173</v>
      </c>
      <c r="BG4" s="15">
        <v>12</v>
      </c>
      <c r="BH4" s="15">
        <v>2</v>
      </c>
      <c r="BI4" s="15">
        <v>1</v>
      </c>
      <c r="BJ4" s="15">
        <v>0</v>
      </c>
      <c r="BK4" s="15">
        <v>0</v>
      </c>
      <c r="BL4" s="15">
        <v>0</v>
      </c>
      <c r="BM4" s="15">
        <v>2</v>
      </c>
      <c r="BN4" s="15">
        <v>2</v>
      </c>
      <c r="BO4" s="15">
        <v>124.6</v>
      </c>
      <c r="BP4" s="15">
        <v>0</v>
      </c>
      <c r="BQ4" s="15">
        <v>0</v>
      </c>
    </row>
    <row r="5" spans="1:69">
      <c r="A5" s="16">
        <v>46112</v>
      </c>
      <c r="B5" s="15">
        <v>371</v>
      </c>
      <c r="C5" s="15" t="s">
        <v>32</v>
      </c>
      <c r="D5" s="15">
        <v>371</v>
      </c>
      <c r="E5" s="15" t="s">
        <v>32</v>
      </c>
      <c r="F5" s="15">
        <v>5391</v>
      </c>
      <c r="G5" s="15">
        <v>199</v>
      </c>
      <c r="H5" s="15">
        <v>58.54</v>
      </c>
      <c r="I5" s="15">
        <v>0.03691</v>
      </c>
      <c r="J5" s="15">
        <v>0.29</v>
      </c>
      <c r="K5" s="15">
        <v>10.86</v>
      </c>
      <c r="L5" s="15">
        <v>0</v>
      </c>
      <c r="M5" s="15">
        <v>0</v>
      </c>
      <c r="N5" s="15">
        <v>0</v>
      </c>
      <c r="O5" s="15">
        <v>0</v>
      </c>
      <c r="P5" s="15">
        <v>0</v>
      </c>
      <c r="Q5" s="15">
        <v>0</v>
      </c>
      <c r="R5" s="15">
        <v>0</v>
      </c>
      <c r="S5" s="15">
        <v>0</v>
      </c>
      <c r="T5" s="15">
        <v>0</v>
      </c>
      <c r="U5" s="15">
        <v>0</v>
      </c>
      <c r="V5" s="15">
        <v>0</v>
      </c>
      <c r="W5" s="15">
        <v>0</v>
      </c>
      <c r="X5" s="15">
        <v>0</v>
      </c>
      <c r="Y5" s="15">
        <v>0</v>
      </c>
      <c r="Z5" s="15">
        <v>0</v>
      </c>
      <c r="AA5" s="15"/>
      <c r="AB5" s="15">
        <v>1</v>
      </c>
      <c r="AC5" s="15">
        <v>1</v>
      </c>
      <c r="AD5" s="15">
        <v>0</v>
      </c>
      <c r="AE5" s="15">
        <v>0.00503</v>
      </c>
      <c r="AF5" s="15">
        <v>0</v>
      </c>
      <c r="AG5" s="15">
        <v>0</v>
      </c>
      <c r="AH5" s="15"/>
      <c r="AI5" s="15">
        <v>1</v>
      </c>
      <c r="AJ5" s="15">
        <v>58.54</v>
      </c>
      <c r="AK5" s="15">
        <v>1</v>
      </c>
      <c r="AL5" s="15">
        <v>58.54</v>
      </c>
      <c r="AM5" s="15">
        <v>0</v>
      </c>
      <c r="AN5" s="15"/>
      <c r="AO5" s="15">
        <v>0</v>
      </c>
      <c r="AP5" s="15">
        <v>58.54</v>
      </c>
      <c r="AQ5" s="15">
        <v>0</v>
      </c>
      <c r="AR5" s="15">
        <v>0</v>
      </c>
      <c r="AS5" s="15">
        <v>0</v>
      </c>
      <c r="AT5" s="15">
        <v>0</v>
      </c>
      <c r="AU5" s="15">
        <v>0</v>
      </c>
      <c r="AV5" s="15">
        <v>0</v>
      </c>
      <c r="AW5" s="15">
        <v>0</v>
      </c>
      <c r="AX5" s="15">
        <v>0</v>
      </c>
      <c r="AY5" s="15">
        <v>335</v>
      </c>
      <c r="AZ5" s="15">
        <v>189</v>
      </c>
      <c r="BA5" s="15">
        <v>174</v>
      </c>
      <c r="BB5" s="15">
        <v>0.92063</v>
      </c>
      <c r="BC5" s="15">
        <v>0</v>
      </c>
      <c r="BD5" s="15">
        <v>0</v>
      </c>
      <c r="BE5" s="15">
        <v>0.06214</v>
      </c>
      <c r="BF5" s="15">
        <v>93</v>
      </c>
      <c r="BG5" s="15">
        <v>2</v>
      </c>
      <c r="BH5" s="15">
        <v>0</v>
      </c>
      <c r="BI5" s="15"/>
      <c r="BJ5" s="15">
        <v>0</v>
      </c>
      <c r="BK5" s="15">
        <v>0</v>
      </c>
      <c r="BL5" s="15">
        <v>0</v>
      </c>
      <c r="BM5" s="15">
        <v>0</v>
      </c>
      <c r="BN5" s="15"/>
      <c r="BO5" s="15"/>
      <c r="BP5" s="15">
        <v>0</v>
      </c>
      <c r="BQ5" s="15">
        <v>0</v>
      </c>
    </row>
    <row r="6" spans="1:69">
      <c r="A6" s="16">
        <v>46111</v>
      </c>
      <c r="B6" s="15">
        <v>436</v>
      </c>
      <c r="C6" s="15" t="s">
        <v>38</v>
      </c>
      <c r="D6" s="15">
        <v>436</v>
      </c>
      <c r="E6" s="15" t="s">
        <v>38</v>
      </c>
      <c r="F6" s="15">
        <v>1032</v>
      </c>
      <c r="G6" s="15">
        <v>33</v>
      </c>
      <c r="H6" s="15">
        <v>65.26</v>
      </c>
      <c r="I6" s="15">
        <v>0.03198</v>
      </c>
      <c r="J6" s="15">
        <v>1.98</v>
      </c>
      <c r="K6" s="15">
        <v>63.24</v>
      </c>
      <c r="L6" s="15">
        <v>0</v>
      </c>
      <c r="M6" s="15">
        <v>0</v>
      </c>
      <c r="N6" s="15">
        <v>0</v>
      </c>
      <c r="O6" s="15">
        <v>0</v>
      </c>
      <c r="P6" s="15">
        <v>0</v>
      </c>
      <c r="Q6" s="15">
        <v>0</v>
      </c>
      <c r="R6" s="15">
        <v>0</v>
      </c>
      <c r="S6" s="15">
        <v>0</v>
      </c>
      <c r="T6" s="15">
        <v>0</v>
      </c>
      <c r="U6" s="15">
        <v>0</v>
      </c>
      <c r="V6" s="15">
        <v>0</v>
      </c>
      <c r="W6" s="15">
        <v>0</v>
      </c>
      <c r="X6" s="15">
        <v>0</v>
      </c>
      <c r="Y6" s="15">
        <v>0</v>
      </c>
      <c r="Z6" s="15">
        <v>0</v>
      </c>
      <c r="AA6" s="15"/>
      <c r="AB6" s="15">
        <v>4</v>
      </c>
      <c r="AC6" s="15">
        <v>0</v>
      </c>
      <c r="AD6" s="15">
        <v>4</v>
      </c>
      <c r="AE6" s="15">
        <v>0.12121</v>
      </c>
      <c r="AF6" s="15">
        <v>0</v>
      </c>
      <c r="AG6" s="15">
        <v>1</v>
      </c>
      <c r="AH6" s="15">
        <v>65.26</v>
      </c>
      <c r="AI6" s="15">
        <v>5</v>
      </c>
      <c r="AJ6" s="15">
        <v>13.05</v>
      </c>
      <c r="AK6" s="15">
        <v>4</v>
      </c>
      <c r="AL6" s="15">
        <v>16.32</v>
      </c>
      <c r="AM6" s="15">
        <v>1</v>
      </c>
      <c r="AN6" s="15"/>
      <c r="AO6" s="15">
        <v>0</v>
      </c>
      <c r="AP6" s="15">
        <v>16.32</v>
      </c>
      <c r="AQ6" s="15">
        <v>0</v>
      </c>
      <c r="AR6" s="15">
        <v>0</v>
      </c>
      <c r="AS6" s="15">
        <v>0</v>
      </c>
      <c r="AT6" s="15">
        <v>0</v>
      </c>
      <c r="AU6" s="15">
        <v>0</v>
      </c>
      <c r="AV6" s="15">
        <v>0</v>
      </c>
      <c r="AW6" s="15">
        <v>0</v>
      </c>
      <c r="AX6" s="15">
        <v>1</v>
      </c>
      <c r="AY6" s="15">
        <v>199</v>
      </c>
      <c r="AZ6" s="15">
        <v>25</v>
      </c>
      <c r="BA6" s="15">
        <v>17</v>
      </c>
      <c r="BB6" s="15">
        <v>0.68</v>
      </c>
      <c r="BC6" s="15">
        <v>0</v>
      </c>
      <c r="BD6" s="15">
        <v>0</v>
      </c>
      <c r="BE6" s="15">
        <v>0.19283</v>
      </c>
      <c r="BF6" s="15">
        <v>161</v>
      </c>
      <c r="BG6" s="15">
        <v>8</v>
      </c>
      <c r="BH6" s="15">
        <v>0</v>
      </c>
      <c r="BI6" s="15"/>
      <c r="BJ6" s="15">
        <v>0</v>
      </c>
      <c r="BK6" s="15">
        <v>0</v>
      </c>
      <c r="BL6" s="15">
        <v>0</v>
      </c>
      <c r="BM6" s="15">
        <v>0</v>
      </c>
      <c r="BN6" s="15"/>
      <c r="BO6" s="15"/>
      <c r="BP6" s="15">
        <v>0</v>
      </c>
      <c r="BQ6" s="15">
        <v>96</v>
      </c>
    </row>
    <row r="7" spans="1:69">
      <c r="A7" s="16">
        <v>46111</v>
      </c>
      <c r="B7" s="15">
        <v>371</v>
      </c>
      <c r="C7" s="15" t="s">
        <v>32</v>
      </c>
      <c r="D7" s="15">
        <v>371</v>
      </c>
      <c r="E7" s="15" t="s">
        <v>32</v>
      </c>
      <c r="F7" s="15">
        <v>4238</v>
      </c>
      <c r="G7" s="15">
        <v>192</v>
      </c>
      <c r="H7" s="15">
        <v>57.82</v>
      </c>
      <c r="I7" s="15">
        <v>0.0453</v>
      </c>
      <c r="J7" s="15">
        <v>0.3</v>
      </c>
      <c r="K7" s="15">
        <v>13.64</v>
      </c>
      <c r="L7" s="15">
        <v>0</v>
      </c>
      <c r="M7" s="15">
        <v>0</v>
      </c>
      <c r="N7" s="15">
        <v>0</v>
      </c>
      <c r="O7" s="15">
        <v>0</v>
      </c>
      <c r="P7" s="15">
        <v>0</v>
      </c>
      <c r="Q7" s="15">
        <v>0</v>
      </c>
      <c r="R7" s="15">
        <v>0</v>
      </c>
      <c r="S7" s="15">
        <v>0</v>
      </c>
      <c r="T7" s="15">
        <v>0</v>
      </c>
      <c r="U7" s="15">
        <v>0</v>
      </c>
      <c r="V7" s="15">
        <v>0</v>
      </c>
      <c r="W7" s="15">
        <v>0</v>
      </c>
      <c r="X7" s="15">
        <v>0</v>
      </c>
      <c r="Y7" s="15">
        <v>0</v>
      </c>
      <c r="Z7" s="15">
        <v>0</v>
      </c>
      <c r="AA7" s="15"/>
      <c r="AB7" s="15">
        <v>2</v>
      </c>
      <c r="AC7" s="15">
        <v>1</v>
      </c>
      <c r="AD7" s="15">
        <v>1</v>
      </c>
      <c r="AE7" s="15">
        <v>0.01042</v>
      </c>
      <c r="AF7" s="15">
        <v>1</v>
      </c>
      <c r="AG7" s="15">
        <v>0</v>
      </c>
      <c r="AH7" s="15"/>
      <c r="AI7" s="15">
        <v>3</v>
      </c>
      <c r="AJ7" s="15">
        <v>19.27</v>
      </c>
      <c r="AK7" s="15">
        <v>3</v>
      </c>
      <c r="AL7" s="15">
        <v>19.27</v>
      </c>
      <c r="AM7" s="15">
        <v>1</v>
      </c>
      <c r="AN7" s="15">
        <v>57.82</v>
      </c>
      <c r="AO7" s="15">
        <v>0.00521</v>
      </c>
      <c r="AP7" s="15">
        <v>28.91</v>
      </c>
      <c r="AQ7" s="15">
        <v>0</v>
      </c>
      <c r="AR7" s="15">
        <v>0</v>
      </c>
      <c r="AS7" s="15">
        <v>0</v>
      </c>
      <c r="AT7" s="15">
        <v>1</v>
      </c>
      <c r="AU7" s="15">
        <v>0</v>
      </c>
      <c r="AV7" s="15">
        <v>0</v>
      </c>
      <c r="AW7" s="15">
        <v>0</v>
      </c>
      <c r="AX7" s="15">
        <v>1</v>
      </c>
      <c r="AY7" s="15">
        <v>386</v>
      </c>
      <c r="AZ7" s="15">
        <v>214</v>
      </c>
      <c r="BA7" s="15">
        <v>198</v>
      </c>
      <c r="BB7" s="15">
        <v>0.92523</v>
      </c>
      <c r="BC7" s="15">
        <v>0</v>
      </c>
      <c r="BD7" s="15">
        <v>0</v>
      </c>
      <c r="BE7" s="15">
        <v>0.09108</v>
      </c>
      <c r="BF7" s="15">
        <v>142</v>
      </c>
      <c r="BG7" s="15">
        <v>2</v>
      </c>
      <c r="BH7" s="15">
        <v>0</v>
      </c>
      <c r="BI7" s="15"/>
      <c r="BJ7" s="15">
        <v>0</v>
      </c>
      <c r="BK7" s="15">
        <v>0</v>
      </c>
      <c r="BL7" s="15">
        <v>0</v>
      </c>
      <c r="BM7" s="15">
        <v>0</v>
      </c>
      <c r="BN7" s="15"/>
      <c r="BO7" s="15"/>
      <c r="BP7" s="15">
        <v>0</v>
      </c>
      <c r="BQ7" s="15">
        <v>1087</v>
      </c>
    </row>
    <row r="8" spans="1:69">
      <c r="A8" s="16">
        <v>46111</v>
      </c>
      <c r="B8" s="15">
        <v>183</v>
      </c>
      <c r="C8" s="15" t="s">
        <v>40</v>
      </c>
      <c r="D8" s="15">
        <v>183</v>
      </c>
      <c r="E8" s="15" t="s">
        <v>40</v>
      </c>
      <c r="F8" s="15">
        <v>4855</v>
      </c>
      <c r="G8" s="15">
        <v>118</v>
      </c>
      <c r="H8" s="15">
        <v>200</v>
      </c>
      <c r="I8" s="15">
        <v>0.0243</v>
      </c>
      <c r="J8" s="15">
        <v>1.69</v>
      </c>
      <c r="K8" s="15">
        <v>41.19</v>
      </c>
      <c r="L8" s="15">
        <v>0</v>
      </c>
      <c r="M8" s="15">
        <v>0</v>
      </c>
      <c r="N8" s="15">
        <v>0</v>
      </c>
      <c r="O8" s="15">
        <v>0</v>
      </c>
      <c r="P8" s="15">
        <v>0</v>
      </c>
      <c r="Q8" s="15">
        <v>0</v>
      </c>
      <c r="R8" s="15">
        <v>89.1</v>
      </c>
      <c r="S8" s="15">
        <v>0</v>
      </c>
      <c r="T8" s="15">
        <v>89.1</v>
      </c>
      <c r="U8" s="15">
        <v>1</v>
      </c>
      <c r="V8" s="15">
        <v>1</v>
      </c>
      <c r="W8" s="15">
        <v>0</v>
      </c>
      <c r="X8" s="15">
        <v>0.00847</v>
      </c>
      <c r="Y8" s="15">
        <v>0.45</v>
      </c>
      <c r="Z8" s="15">
        <v>0.45</v>
      </c>
      <c r="AA8" s="15">
        <v>200</v>
      </c>
      <c r="AB8" s="15">
        <v>4</v>
      </c>
      <c r="AC8" s="15">
        <v>2</v>
      </c>
      <c r="AD8" s="15">
        <v>2</v>
      </c>
      <c r="AE8" s="15">
        <v>0.0339</v>
      </c>
      <c r="AF8" s="15">
        <v>0</v>
      </c>
      <c r="AG8" s="15">
        <v>0</v>
      </c>
      <c r="AH8" s="15"/>
      <c r="AI8" s="15">
        <v>4</v>
      </c>
      <c r="AJ8" s="15">
        <v>50</v>
      </c>
      <c r="AK8" s="15">
        <v>4</v>
      </c>
      <c r="AL8" s="15">
        <v>50</v>
      </c>
      <c r="AM8" s="15">
        <v>0</v>
      </c>
      <c r="AN8" s="15"/>
      <c r="AO8" s="15">
        <v>0</v>
      </c>
      <c r="AP8" s="15">
        <v>50</v>
      </c>
      <c r="AQ8" s="15">
        <v>2</v>
      </c>
      <c r="AR8" s="15">
        <v>118</v>
      </c>
      <c r="AS8" s="15">
        <v>0</v>
      </c>
      <c r="AT8" s="15">
        <v>0</v>
      </c>
      <c r="AU8" s="15">
        <v>0</v>
      </c>
      <c r="AV8" s="15">
        <v>0</v>
      </c>
      <c r="AW8" s="15">
        <v>0</v>
      </c>
      <c r="AX8" s="15">
        <v>1</v>
      </c>
      <c r="AY8" s="15">
        <v>500</v>
      </c>
      <c r="AZ8" s="15">
        <v>169</v>
      </c>
      <c r="BA8" s="15">
        <v>106</v>
      </c>
      <c r="BB8" s="15">
        <v>0.62722</v>
      </c>
      <c r="BC8" s="15">
        <v>0</v>
      </c>
      <c r="BD8" s="15">
        <v>0</v>
      </c>
      <c r="BE8" s="15">
        <v>0.10299</v>
      </c>
      <c r="BF8" s="15">
        <v>220</v>
      </c>
      <c r="BG8" s="15">
        <v>3</v>
      </c>
      <c r="BH8" s="15">
        <v>1</v>
      </c>
      <c r="BI8" s="15">
        <v>1</v>
      </c>
      <c r="BJ8" s="15">
        <v>0</v>
      </c>
      <c r="BK8" s="15">
        <v>0</v>
      </c>
      <c r="BL8" s="15">
        <v>0</v>
      </c>
      <c r="BM8" s="15">
        <v>1</v>
      </c>
      <c r="BN8" s="15">
        <v>1</v>
      </c>
      <c r="BO8" s="15">
        <v>89.1</v>
      </c>
      <c r="BP8" s="15">
        <v>0</v>
      </c>
      <c r="BQ8" s="15">
        <v>172</v>
      </c>
    </row>
    <row r="9" spans="1:69">
      <c r="A9" s="16">
        <v>46111</v>
      </c>
      <c r="B9" s="15">
        <v>479</v>
      </c>
      <c r="C9" s="15" t="s">
        <v>39</v>
      </c>
      <c r="D9" s="15">
        <v>479</v>
      </c>
      <c r="E9" s="15" t="s">
        <v>39</v>
      </c>
      <c r="F9" s="15">
        <v>35</v>
      </c>
      <c r="G9" s="15">
        <v>21</v>
      </c>
      <c r="H9" s="15">
        <v>11.39</v>
      </c>
      <c r="I9" s="15">
        <v>0.6</v>
      </c>
      <c r="J9" s="15">
        <v>0.54</v>
      </c>
      <c r="K9" s="15">
        <v>325.37</v>
      </c>
      <c r="L9" s="15">
        <v>0</v>
      </c>
      <c r="M9" s="15">
        <v>0</v>
      </c>
      <c r="N9" s="15">
        <v>0</v>
      </c>
      <c r="O9" s="15">
        <v>0</v>
      </c>
      <c r="P9" s="15">
        <v>0</v>
      </c>
      <c r="Q9" s="15">
        <v>0</v>
      </c>
      <c r="R9" s="15">
        <v>0</v>
      </c>
      <c r="S9" s="15">
        <v>295</v>
      </c>
      <c r="T9" s="15">
        <v>295</v>
      </c>
      <c r="U9" s="15">
        <v>1</v>
      </c>
      <c r="V9" s="15">
        <v>0</v>
      </c>
      <c r="W9" s="15">
        <v>1</v>
      </c>
      <c r="X9" s="15">
        <v>0.04762</v>
      </c>
      <c r="Y9" s="15">
        <v>25.9</v>
      </c>
      <c r="Z9" s="15">
        <v>25.9</v>
      </c>
      <c r="AA9" s="15">
        <v>11.39</v>
      </c>
      <c r="AB9" s="15">
        <v>1</v>
      </c>
      <c r="AC9" s="15">
        <v>0</v>
      </c>
      <c r="AD9" s="15">
        <v>1</v>
      </c>
      <c r="AE9" s="15">
        <v>0.04762</v>
      </c>
      <c r="AF9" s="15">
        <v>0</v>
      </c>
      <c r="AG9" s="15">
        <v>0</v>
      </c>
      <c r="AH9" s="15"/>
      <c r="AI9" s="15">
        <v>1</v>
      </c>
      <c r="AJ9" s="15">
        <v>11.39</v>
      </c>
      <c r="AK9" s="15">
        <v>1</v>
      </c>
      <c r="AL9" s="15">
        <v>11.39</v>
      </c>
      <c r="AM9" s="15">
        <v>0</v>
      </c>
      <c r="AN9" s="15"/>
      <c r="AO9" s="15">
        <v>0</v>
      </c>
      <c r="AP9" s="15">
        <v>11.39</v>
      </c>
      <c r="AQ9" s="15">
        <v>2</v>
      </c>
      <c r="AR9" s="15">
        <v>377.9</v>
      </c>
      <c r="AS9" s="15">
        <v>0</v>
      </c>
      <c r="AT9" s="15">
        <v>0</v>
      </c>
      <c r="AU9" s="15">
        <v>0</v>
      </c>
      <c r="AV9" s="15">
        <v>0</v>
      </c>
      <c r="AW9" s="15">
        <v>0</v>
      </c>
      <c r="AX9" s="15">
        <v>1</v>
      </c>
      <c r="AY9" s="15">
        <v>170</v>
      </c>
      <c r="AZ9" s="15">
        <v>18</v>
      </c>
      <c r="BA9" s="15">
        <v>13</v>
      </c>
      <c r="BB9" s="15">
        <v>0.72222</v>
      </c>
      <c r="BC9" s="15">
        <v>0</v>
      </c>
      <c r="BD9" s="15">
        <v>0</v>
      </c>
      <c r="BE9" s="15">
        <v>4.85714</v>
      </c>
      <c r="BF9" s="15">
        <v>146</v>
      </c>
      <c r="BG9" s="15">
        <v>9</v>
      </c>
      <c r="BH9" s="15">
        <v>1</v>
      </c>
      <c r="BI9" s="15">
        <v>1</v>
      </c>
      <c r="BJ9" s="15">
        <v>0</v>
      </c>
      <c r="BK9" s="15">
        <v>0</v>
      </c>
      <c r="BL9" s="15">
        <v>0</v>
      </c>
      <c r="BM9" s="15">
        <v>1</v>
      </c>
      <c r="BN9" s="15">
        <v>1</v>
      </c>
      <c r="BO9" s="15">
        <v>295</v>
      </c>
      <c r="BP9" s="15">
        <v>0</v>
      </c>
      <c r="BQ9" s="15">
        <v>22</v>
      </c>
    </row>
    <row r="10" spans="1:69">
      <c r="A10" s="16">
        <v>46110</v>
      </c>
      <c r="B10" s="15">
        <v>183</v>
      </c>
      <c r="C10" s="15" t="s">
        <v>40</v>
      </c>
      <c r="D10" s="15">
        <v>183</v>
      </c>
      <c r="E10" s="15" t="s">
        <v>40</v>
      </c>
      <c r="F10" s="15">
        <v>4868</v>
      </c>
      <c r="G10" s="15">
        <v>124</v>
      </c>
      <c r="H10" s="15">
        <v>200</v>
      </c>
      <c r="I10" s="15">
        <v>0.02547</v>
      </c>
      <c r="J10" s="15">
        <v>1.61</v>
      </c>
      <c r="K10" s="15">
        <v>41.08</v>
      </c>
      <c r="L10" s="15">
        <v>0</v>
      </c>
      <c r="M10" s="15">
        <v>0</v>
      </c>
      <c r="N10" s="15">
        <v>0</v>
      </c>
      <c r="O10" s="15">
        <v>0</v>
      </c>
      <c r="P10" s="15">
        <v>0</v>
      </c>
      <c r="Q10" s="15">
        <v>0</v>
      </c>
      <c r="R10" s="15">
        <v>0</v>
      </c>
      <c r="S10" s="15">
        <v>0</v>
      </c>
      <c r="T10" s="15">
        <v>0</v>
      </c>
      <c r="U10" s="15">
        <v>0</v>
      </c>
      <c r="V10" s="15">
        <v>0</v>
      </c>
      <c r="W10" s="15">
        <v>0</v>
      </c>
      <c r="X10" s="15">
        <v>0</v>
      </c>
      <c r="Y10" s="15">
        <v>0</v>
      </c>
      <c r="Z10" s="15">
        <v>0</v>
      </c>
      <c r="AA10" s="15"/>
      <c r="AB10" s="15">
        <v>7</v>
      </c>
      <c r="AC10" s="15">
        <v>2</v>
      </c>
      <c r="AD10" s="15">
        <v>5</v>
      </c>
      <c r="AE10" s="15">
        <v>0.05645</v>
      </c>
      <c r="AF10" s="15">
        <v>0</v>
      </c>
      <c r="AG10" s="15">
        <v>1</v>
      </c>
      <c r="AH10" s="15">
        <v>200</v>
      </c>
      <c r="AI10" s="15">
        <v>8</v>
      </c>
      <c r="AJ10" s="15">
        <v>25</v>
      </c>
      <c r="AK10" s="15">
        <v>7</v>
      </c>
      <c r="AL10" s="15">
        <v>28.57</v>
      </c>
      <c r="AM10" s="15">
        <v>1</v>
      </c>
      <c r="AN10" s="15"/>
      <c r="AO10" s="15">
        <v>0</v>
      </c>
      <c r="AP10" s="15">
        <v>28.57</v>
      </c>
      <c r="AQ10" s="15">
        <v>0</v>
      </c>
      <c r="AR10" s="15">
        <v>0</v>
      </c>
      <c r="AS10" s="15">
        <v>0</v>
      </c>
      <c r="AT10" s="15">
        <v>0</v>
      </c>
      <c r="AU10" s="15">
        <v>0</v>
      </c>
      <c r="AV10" s="15">
        <v>0</v>
      </c>
      <c r="AW10" s="15">
        <v>0</v>
      </c>
      <c r="AX10" s="15">
        <v>0</v>
      </c>
      <c r="AY10" s="15">
        <v>555</v>
      </c>
      <c r="AZ10" s="15">
        <v>217</v>
      </c>
      <c r="BA10" s="15">
        <v>164</v>
      </c>
      <c r="BB10" s="15">
        <v>0.75576</v>
      </c>
      <c r="BC10" s="15">
        <v>0</v>
      </c>
      <c r="BD10" s="15">
        <v>0</v>
      </c>
      <c r="BE10" s="15">
        <v>0.11401</v>
      </c>
      <c r="BF10" s="15">
        <v>214</v>
      </c>
      <c r="BG10" s="15">
        <v>3</v>
      </c>
      <c r="BH10" s="15">
        <v>0</v>
      </c>
      <c r="BI10" s="15"/>
      <c r="BJ10" s="15">
        <v>0</v>
      </c>
      <c r="BK10" s="15">
        <v>0</v>
      </c>
      <c r="BL10" s="15">
        <v>0</v>
      </c>
      <c r="BM10" s="15">
        <v>0</v>
      </c>
      <c r="BN10" s="15"/>
      <c r="BO10" s="15"/>
      <c r="BP10" s="15">
        <v>0</v>
      </c>
      <c r="BQ10" s="15">
        <v>141</v>
      </c>
    </row>
    <row r="11" spans="1:69">
      <c r="A11" s="16">
        <v>46110</v>
      </c>
      <c r="B11" s="15">
        <v>371</v>
      </c>
      <c r="C11" s="15" t="s">
        <v>32</v>
      </c>
      <c r="D11" s="15">
        <v>371</v>
      </c>
      <c r="E11" s="15" t="s">
        <v>32</v>
      </c>
      <c r="F11" s="15">
        <v>4653</v>
      </c>
      <c r="G11" s="15">
        <v>170</v>
      </c>
      <c r="H11" s="15">
        <v>55.55</v>
      </c>
      <c r="I11" s="15">
        <v>0.03654</v>
      </c>
      <c r="J11" s="15">
        <v>0.33</v>
      </c>
      <c r="K11" s="15">
        <v>11.94</v>
      </c>
      <c r="L11" s="15">
        <v>0</v>
      </c>
      <c r="M11" s="15">
        <v>0</v>
      </c>
      <c r="N11" s="15">
        <v>0</v>
      </c>
      <c r="O11" s="15">
        <v>0</v>
      </c>
      <c r="P11" s="15">
        <v>0</v>
      </c>
      <c r="Q11" s="15">
        <v>0</v>
      </c>
      <c r="R11" s="15">
        <v>0</v>
      </c>
      <c r="S11" s="15">
        <v>0</v>
      </c>
      <c r="T11" s="15">
        <v>0</v>
      </c>
      <c r="U11" s="15">
        <v>0</v>
      </c>
      <c r="V11" s="15">
        <v>0</v>
      </c>
      <c r="W11" s="15">
        <v>0</v>
      </c>
      <c r="X11" s="15">
        <v>0</v>
      </c>
      <c r="Y11" s="15">
        <v>0</v>
      </c>
      <c r="Z11" s="15">
        <v>0</v>
      </c>
      <c r="AA11" s="15"/>
      <c r="AB11" s="15">
        <v>0</v>
      </c>
      <c r="AC11" s="15">
        <v>0</v>
      </c>
      <c r="AD11" s="15">
        <v>0</v>
      </c>
      <c r="AE11" s="15">
        <v>0</v>
      </c>
      <c r="AF11" s="15">
        <v>0</v>
      </c>
      <c r="AG11" s="15">
        <v>0</v>
      </c>
      <c r="AH11" s="15"/>
      <c r="AI11" s="15">
        <v>0</v>
      </c>
      <c r="AJ11" s="15"/>
      <c r="AK11" s="15">
        <v>0</v>
      </c>
      <c r="AL11" s="15"/>
      <c r="AM11" s="15">
        <v>0</v>
      </c>
      <c r="AN11" s="15"/>
      <c r="AO11" s="15">
        <v>0</v>
      </c>
      <c r="AP11" s="15"/>
      <c r="AQ11" s="15">
        <v>0</v>
      </c>
      <c r="AR11" s="15">
        <v>0</v>
      </c>
      <c r="AS11" s="15">
        <v>0</v>
      </c>
      <c r="AT11" s="15">
        <v>0</v>
      </c>
      <c r="AU11" s="15">
        <v>0</v>
      </c>
      <c r="AV11" s="15">
        <v>0</v>
      </c>
      <c r="AW11" s="15">
        <v>0</v>
      </c>
      <c r="AX11" s="15">
        <v>0</v>
      </c>
      <c r="AY11" s="15">
        <v>319</v>
      </c>
      <c r="AZ11" s="15">
        <v>182</v>
      </c>
      <c r="BA11" s="15">
        <v>166</v>
      </c>
      <c r="BB11" s="15">
        <v>0.91209</v>
      </c>
      <c r="BC11" s="15">
        <v>0</v>
      </c>
      <c r="BD11" s="15">
        <v>0</v>
      </c>
      <c r="BE11" s="15">
        <v>0.06856</v>
      </c>
      <c r="BF11" s="15">
        <v>104</v>
      </c>
      <c r="BG11" s="15">
        <v>2</v>
      </c>
      <c r="BH11" s="15">
        <v>0</v>
      </c>
      <c r="BI11" s="15"/>
      <c r="BJ11" s="15">
        <v>0</v>
      </c>
      <c r="BK11" s="15">
        <v>0</v>
      </c>
      <c r="BL11" s="15">
        <v>0</v>
      </c>
      <c r="BM11" s="15">
        <v>0</v>
      </c>
      <c r="BN11" s="15"/>
      <c r="BO11" s="15"/>
      <c r="BP11" s="15">
        <v>0</v>
      </c>
      <c r="BQ11" s="15">
        <v>8</v>
      </c>
    </row>
    <row r="12" spans="1:69">
      <c r="A12" s="16">
        <v>46110</v>
      </c>
      <c r="B12" s="15">
        <v>479</v>
      </c>
      <c r="C12" s="15" t="s">
        <v>39</v>
      </c>
      <c r="D12" s="15">
        <v>479</v>
      </c>
      <c r="E12" s="15" t="s">
        <v>39</v>
      </c>
      <c r="F12" s="15">
        <v>44</v>
      </c>
      <c r="G12" s="15">
        <v>16</v>
      </c>
      <c r="H12" s="15">
        <v>12.31</v>
      </c>
      <c r="I12" s="15">
        <v>0.36364</v>
      </c>
      <c r="J12" s="15">
        <v>0.77</v>
      </c>
      <c r="K12" s="15">
        <v>279.67</v>
      </c>
      <c r="L12" s="15">
        <v>0</v>
      </c>
      <c r="M12" s="15">
        <v>0</v>
      </c>
      <c r="N12" s="15">
        <v>0</v>
      </c>
      <c r="O12" s="15">
        <v>0</v>
      </c>
      <c r="P12" s="15">
        <v>0</v>
      </c>
      <c r="Q12" s="15">
        <v>0</v>
      </c>
      <c r="R12" s="15">
        <v>0</v>
      </c>
      <c r="S12" s="15">
        <v>0</v>
      </c>
      <c r="T12" s="15">
        <v>0</v>
      </c>
      <c r="U12" s="15">
        <v>0</v>
      </c>
      <c r="V12" s="15">
        <v>0</v>
      </c>
      <c r="W12" s="15">
        <v>0</v>
      </c>
      <c r="X12" s="15">
        <v>0</v>
      </c>
      <c r="Y12" s="15">
        <v>0</v>
      </c>
      <c r="Z12" s="15">
        <v>0</v>
      </c>
      <c r="AA12" s="15"/>
      <c r="AB12" s="15">
        <v>1</v>
      </c>
      <c r="AC12" s="15">
        <v>0</v>
      </c>
      <c r="AD12" s="15">
        <v>1</v>
      </c>
      <c r="AE12" s="15">
        <v>0.0625</v>
      </c>
      <c r="AF12" s="15">
        <v>0</v>
      </c>
      <c r="AG12" s="15">
        <v>0</v>
      </c>
      <c r="AH12" s="15"/>
      <c r="AI12" s="15">
        <v>1</v>
      </c>
      <c r="AJ12" s="15">
        <v>12.31</v>
      </c>
      <c r="AK12" s="15">
        <v>1</v>
      </c>
      <c r="AL12" s="15">
        <v>12.31</v>
      </c>
      <c r="AM12" s="15">
        <v>0</v>
      </c>
      <c r="AN12" s="15"/>
      <c r="AO12" s="15">
        <v>0</v>
      </c>
      <c r="AP12" s="15">
        <v>12.31</v>
      </c>
      <c r="AQ12" s="15">
        <v>0</v>
      </c>
      <c r="AR12" s="15">
        <v>0</v>
      </c>
      <c r="AS12" s="15">
        <v>0</v>
      </c>
      <c r="AT12" s="15">
        <v>0</v>
      </c>
      <c r="AU12" s="15">
        <v>0</v>
      </c>
      <c r="AV12" s="15">
        <v>0</v>
      </c>
      <c r="AW12" s="15">
        <v>0</v>
      </c>
      <c r="AX12" s="15">
        <v>1</v>
      </c>
      <c r="AY12" s="15">
        <v>97</v>
      </c>
      <c r="AZ12" s="15">
        <v>13</v>
      </c>
      <c r="BA12" s="15">
        <v>8</v>
      </c>
      <c r="BB12" s="15">
        <v>0.61538</v>
      </c>
      <c r="BC12" s="15">
        <v>0</v>
      </c>
      <c r="BD12" s="15">
        <v>0</v>
      </c>
      <c r="BE12" s="15">
        <v>2.20455</v>
      </c>
      <c r="BF12" s="15">
        <v>80</v>
      </c>
      <c r="BG12" s="15">
        <v>7</v>
      </c>
      <c r="BH12" s="15">
        <v>0</v>
      </c>
      <c r="BI12" s="15"/>
      <c r="BJ12" s="15">
        <v>0</v>
      </c>
      <c r="BK12" s="15">
        <v>0</v>
      </c>
      <c r="BL12" s="15">
        <v>0</v>
      </c>
      <c r="BM12" s="15">
        <v>0</v>
      </c>
      <c r="BN12" s="15"/>
      <c r="BO12" s="15"/>
      <c r="BP12" s="15">
        <v>0</v>
      </c>
      <c r="BQ12" s="15">
        <v>6</v>
      </c>
    </row>
    <row r="13" spans="1:69">
      <c r="A13" s="16">
        <v>46110</v>
      </c>
      <c r="B13" s="15">
        <v>436</v>
      </c>
      <c r="C13" s="15" t="s">
        <v>38</v>
      </c>
      <c r="D13" s="15">
        <v>436</v>
      </c>
      <c r="E13" s="15" t="s">
        <v>38</v>
      </c>
      <c r="F13" s="15">
        <v>1410</v>
      </c>
      <c r="G13" s="15">
        <v>53</v>
      </c>
      <c r="H13" s="15">
        <v>93.86</v>
      </c>
      <c r="I13" s="15">
        <v>0.03759</v>
      </c>
      <c r="J13" s="15">
        <v>1.77</v>
      </c>
      <c r="K13" s="15">
        <v>66.57</v>
      </c>
      <c r="L13" s="15">
        <v>0</v>
      </c>
      <c r="M13" s="15">
        <v>0</v>
      </c>
      <c r="N13" s="15">
        <v>0</v>
      </c>
      <c r="O13" s="15">
        <v>0</v>
      </c>
      <c r="P13" s="15">
        <v>0</v>
      </c>
      <c r="Q13" s="15">
        <v>0</v>
      </c>
      <c r="R13" s="15">
        <v>0</v>
      </c>
      <c r="S13" s="15">
        <v>0</v>
      </c>
      <c r="T13" s="15">
        <v>0</v>
      </c>
      <c r="U13" s="15">
        <v>0</v>
      </c>
      <c r="V13" s="15">
        <v>0</v>
      </c>
      <c r="W13" s="15">
        <v>0</v>
      </c>
      <c r="X13" s="15">
        <v>0</v>
      </c>
      <c r="Y13" s="15">
        <v>0</v>
      </c>
      <c r="Z13" s="15">
        <v>0</v>
      </c>
      <c r="AA13" s="15"/>
      <c r="AB13" s="15">
        <v>2</v>
      </c>
      <c r="AC13" s="15">
        <v>1</v>
      </c>
      <c r="AD13" s="15">
        <v>1</v>
      </c>
      <c r="AE13" s="15">
        <v>0.03774</v>
      </c>
      <c r="AF13" s="15">
        <v>1</v>
      </c>
      <c r="AG13" s="15">
        <v>0</v>
      </c>
      <c r="AH13" s="15"/>
      <c r="AI13" s="15">
        <v>3</v>
      </c>
      <c r="AJ13" s="15">
        <v>31.29</v>
      </c>
      <c r="AK13" s="15">
        <v>3</v>
      </c>
      <c r="AL13" s="15">
        <v>31.29</v>
      </c>
      <c r="AM13" s="15">
        <v>1</v>
      </c>
      <c r="AN13" s="15">
        <v>93.86</v>
      </c>
      <c r="AO13" s="15">
        <v>0.01887</v>
      </c>
      <c r="AP13" s="15">
        <v>46.93</v>
      </c>
      <c r="AQ13" s="15">
        <v>0</v>
      </c>
      <c r="AR13" s="15">
        <v>0</v>
      </c>
      <c r="AS13" s="15">
        <v>1</v>
      </c>
      <c r="AT13" s="15">
        <v>0</v>
      </c>
      <c r="AU13" s="15">
        <v>0</v>
      </c>
      <c r="AV13" s="15">
        <v>0</v>
      </c>
      <c r="AW13" s="15">
        <v>0</v>
      </c>
      <c r="AX13" s="15">
        <v>1</v>
      </c>
      <c r="AY13" s="15">
        <v>131</v>
      </c>
      <c r="AZ13" s="15">
        <v>47</v>
      </c>
      <c r="BA13" s="15">
        <v>40</v>
      </c>
      <c r="BB13" s="15">
        <v>0.85106</v>
      </c>
      <c r="BC13" s="15">
        <v>0</v>
      </c>
      <c r="BD13" s="15">
        <v>0</v>
      </c>
      <c r="BE13" s="15">
        <v>0.09291</v>
      </c>
      <c r="BF13" s="15">
        <v>76</v>
      </c>
      <c r="BG13" s="15">
        <v>3</v>
      </c>
      <c r="BH13" s="15">
        <v>0</v>
      </c>
      <c r="BI13" s="15"/>
      <c r="BJ13" s="15">
        <v>0</v>
      </c>
      <c r="BK13" s="15">
        <v>0</v>
      </c>
      <c r="BL13" s="15">
        <v>0</v>
      </c>
      <c r="BM13" s="15">
        <v>0</v>
      </c>
      <c r="BN13" s="15"/>
      <c r="BO13" s="15"/>
      <c r="BP13" s="15">
        <v>0</v>
      </c>
      <c r="BQ13" s="15">
        <v>136</v>
      </c>
    </row>
    <row r="14" spans="1:69">
      <c r="A14" s="16">
        <v>46109</v>
      </c>
      <c r="B14" s="15">
        <v>479</v>
      </c>
      <c r="C14" s="15" t="s">
        <v>39</v>
      </c>
      <c r="D14" s="15">
        <v>479</v>
      </c>
      <c r="E14" s="15" t="s">
        <v>39</v>
      </c>
      <c r="F14" s="15">
        <v>54</v>
      </c>
      <c r="G14" s="15">
        <v>17</v>
      </c>
      <c r="H14" s="15">
        <v>14.47</v>
      </c>
      <c r="I14" s="15">
        <v>0.31481</v>
      </c>
      <c r="J14" s="15">
        <v>0.85</v>
      </c>
      <c r="K14" s="15">
        <v>268</v>
      </c>
      <c r="L14" s="15">
        <v>0</v>
      </c>
      <c r="M14" s="15">
        <v>0</v>
      </c>
      <c r="N14" s="15">
        <v>0</v>
      </c>
      <c r="O14" s="15">
        <v>0</v>
      </c>
      <c r="P14" s="15">
        <v>0</v>
      </c>
      <c r="Q14" s="15">
        <v>0</v>
      </c>
      <c r="R14" s="15">
        <v>0</v>
      </c>
      <c r="S14" s="15">
        <v>0</v>
      </c>
      <c r="T14" s="15">
        <v>0</v>
      </c>
      <c r="U14" s="15">
        <v>0</v>
      </c>
      <c r="V14" s="15">
        <v>0</v>
      </c>
      <c r="W14" s="15">
        <v>0</v>
      </c>
      <c r="X14" s="15">
        <v>0</v>
      </c>
      <c r="Y14" s="15">
        <v>0</v>
      </c>
      <c r="Z14" s="15">
        <v>0</v>
      </c>
      <c r="AA14" s="15"/>
      <c r="AB14" s="15">
        <v>2</v>
      </c>
      <c r="AC14" s="15">
        <v>0</v>
      </c>
      <c r="AD14" s="15">
        <v>2</v>
      </c>
      <c r="AE14" s="15">
        <v>0.11765</v>
      </c>
      <c r="AF14" s="15">
        <v>0</v>
      </c>
      <c r="AG14" s="15">
        <v>1</v>
      </c>
      <c r="AH14" s="15">
        <v>14.47</v>
      </c>
      <c r="AI14" s="15">
        <v>3</v>
      </c>
      <c r="AJ14" s="15">
        <v>4.82</v>
      </c>
      <c r="AK14" s="15">
        <v>2</v>
      </c>
      <c r="AL14" s="15">
        <v>7.24</v>
      </c>
      <c r="AM14" s="15">
        <v>1</v>
      </c>
      <c r="AN14" s="15"/>
      <c r="AO14" s="15">
        <v>0</v>
      </c>
      <c r="AP14" s="15">
        <v>7.24</v>
      </c>
      <c r="AQ14" s="15">
        <v>0</v>
      </c>
      <c r="AR14" s="15">
        <v>0</v>
      </c>
      <c r="AS14" s="15">
        <v>0</v>
      </c>
      <c r="AT14" s="15">
        <v>0</v>
      </c>
      <c r="AU14" s="15">
        <v>0</v>
      </c>
      <c r="AV14" s="15">
        <v>0</v>
      </c>
      <c r="AW14" s="15">
        <v>0</v>
      </c>
      <c r="AX14" s="15">
        <v>1</v>
      </c>
      <c r="AY14" s="15">
        <v>124</v>
      </c>
      <c r="AZ14" s="15">
        <v>16</v>
      </c>
      <c r="BA14" s="15">
        <v>13</v>
      </c>
      <c r="BB14" s="15">
        <v>0.8125</v>
      </c>
      <c r="BC14" s="15">
        <v>0</v>
      </c>
      <c r="BD14" s="15">
        <v>0</v>
      </c>
      <c r="BE14" s="15">
        <v>2.2963</v>
      </c>
      <c r="BF14" s="15">
        <v>99</v>
      </c>
      <c r="BG14" s="15">
        <v>8</v>
      </c>
      <c r="BH14" s="15">
        <v>0</v>
      </c>
      <c r="BI14" s="15"/>
      <c r="BJ14" s="15">
        <v>0</v>
      </c>
      <c r="BK14" s="15">
        <v>0</v>
      </c>
      <c r="BL14" s="15">
        <v>0</v>
      </c>
      <c r="BM14" s="15">
        <v>0</v>
      </c>
      <c r="BN14" s="15"/>
      <c r="BO14" s="15"/>
      <c r="BP14" s="15">
        <v>0</v>
      </c>
      <c r="BQ14" s="15">
        <v>39</v>
      </c>
    </row>
    <row r="15" spans="1:69">
      <c r="A15" s="16">
        <v>46109</v>
      </c>
      <c r="B15" s="15">
        <v>436</v>
      </c>
      <c r="C15" s="15" t="s">
        <v>38</v>
      </c>
      <c r="D15" s="15">
        <v>436</v>
      </c>
      <c r="E15" s="15" t="s">
        <v>38</v>
      </c>
      <c r="F15" s="15">
        <v>1328</v>
      </c>
      <c r="G15" s="15">
        <v>51</v>
      </c>
      <c r="H15" s="15">
        <v>88.25</v>
      </c>
      <c r="I15" s="15">
        <v>0.0384</v>
      </c>
      <c r="J15" s="15">
        <v>1.73</v>
      </c>
      <c r="K15" s="15">
        <v>66.45</v>
      </c>
      <c r="L15" s="15">
        <v>0</v>
      </c>
      <c r="M15" s="15">
        <v>0</v>
      </c>
      <c r="N15" s="15">
        <v>0</v>
      </c>
      <c r="O15" s="15">
        <v>0</v>
      </c>
      <c r="P15" s="15">
        <v>0</v>
      </c>
      <c r="Q15" s="15">
        <v>0</v>
      </c>
      <c r="R15" s="15">
        <v>0</v>
      </c>
      <c r="S15" s="15">
        <v>472.9</v>
      </c>
      <c r="T15" s="15">
        <v>472.9</v>
      </c>
      <c r="U15" s="15">
        <v>2</v>
      </c>
      <c r="V15" s="15">
        <v>0</v>
      </c>
      <c r="W15" s="15">
        <v>2</v>
      </c>
      <c r="X15" s="15">
        <v>0.03922</v>
      </c>
      <c r="Y15" s="15">
        <v>5.36</v>
      </c>
      <c r="Z15" s="15">
        <v>5.36</v>
      </c>
      <c r="AA15" s="15">
        <v>44.13</v>
      </c>
      <c r="AB15" s="15">
        <v>3</v>
      </c>
      <c r="AC15" s="15">
        <v>1</v>
      </c>
      <c r="AD15" s="15">
        <v>2</v>
      </c>
      <c r="AE15" s="15">
        <v>0.05882</v>
      </c>
      <c r="AF15" s="15">
        <v>0</v>
      </c>
      <c r="AG15" s="15">
        <v>1</v>
      </c>
      <c r="AH15" s="15">
        <v>88.25</v>
      </c>
      <c r="AI15" s="15">
        <v>4</v>
      </c>
      <c r="AJ15" s="15">
        <v>22.06</v>
      </c>
      <c r="AK15" s="15">
        <v>3</v>
      </c>
      <c r="AL15" s="15">
        <v>29.42</v>
      </c>
      <c r="AM15" s="15">
        <v>1</v>
      </c>
      <c r="AN15" s="15"/>
      <c r="AO15" s="15">
        <v>0</v>
      </c>
      <c r="AP15" s="15">
        <v>29.42</v>
      </c>
      <c r="AQ15" s="15">
        <v>3</v>
      </c>
      <c r="AR15" s="15">
        <v>527.8</v>
      </c>
      <c r="AS15" s="15">
        <v>0</v>
      </c>
      <c r="AT15" s="15">
        <v>0</v>
      </c>
      <c r="AU15" s="15">
        <v>0</v>
      </c>
      <c r="AV15" s="15">
        <v>0</v>
      </c>
      <c r="AW15" s="15">
        <v>0</v>
      </c>
      <c r="AX15" s="15">
        <v>3</v>
      </c>
      <c r="AY15" s="15">
        <v>144</v>
      </c>
      <c r="AZ15" s="15">
        <v>42</v>
      </c>
      <c r="BA15" s="15">
        <v>28</v>
      </c>
      <c r="BB15" s="15">
        <v>0.66667</v>
      </c>
      <c r="BC15" s="15">
        <v>0</v>
      </c>
      <c r="BD15" s="15">
        <v>0</v>
      </c>
      <c r="BE15" s="15">
        <v>0.10843</v>
      </c>
      <c r="BF15" s="15">
        <v>92</v>
      </c>
      <c r="BG15" s="15">
        <v>3</v>
      </c>
      <c r="BH15" s="15">
        <v>1</v>
      </c>
      <c r="BI15" s="15">
        <v>1</v>
      </c>
      <c r="BJ15" s="15">
        <v>0</v>
      </c>
      <c r="BK15" s="15">
        <v>0</v>
      </c>
      <c r="BL15" s="15">
        <v>0</v>
      </c>
      <c r="BM15" s="15">
        <v>1</v>
      </c>
      <c r="BN15" s="15">
        <v>2</v>
      </c>
      <c r="BO15" s="15">
        <v>472.9</v>
      </c>
      <c r="BP15" s="15">
        <v>3.26</v>
      </c>
      <c r="BQ15" s="15">
        <v>122</v>
      </c>
    </row>
    <row r="16" spans="1:69">
      <c r="A16" s="16">
        <v>46109</v>
      </c>
      <c r="B16" s="15">
        <v>371</v>
      </c>
      <c r="C16" s="15" t="s">
        <v>32</v>
      </c>
      <c r="D16" s="15">
        <v>371</v>
      </c>
      <c r="E16" s="15" t="s">
        <v>32</v>
      </c>
      <c r="F16" s="15">
        <v>4502</v>
      </c>
      <c r="G16" s="15">
        <v>170</v>
      </c>
      <c r="H16" s="15">
        <v>58.82</v>
      </c>
      <c r="I16" s="15">
        <v>0.03776</v>
      </c>
      <c r="J16" s="15">
        <v>0.35</v>
      </c>
      <c r="K16" s="15">
        <v>13.07</v>
      </c>
      <c r="L16" s="15">
        <v>0</v>
      </c>
      <c r="M16" s="15">
        <v>0</v>
      </c>
      <c r="N16" s="15">
        <v>0</v>
      </c>
      <c r="O16" s="15">
        <v>0</v>
      </c>
      <c r="P16" s="15">
        <v>0</v>
      </c>
      <c r="Q16" s="15">
        <v>0</v>
      </c>
      <c r="R16" s="15">
        <v>0</v>
      </c>
      <c r="S16" s="15">
        <v>0</v>
      </c>
      <c r="T16" s="15">
        <v>0</v>
      </c>
      <c r="U16" s="15">
        <v>0</v>
      </c>
      <c r="V16" s="15">
        <v>0</v>
      </c>
      <c r="W16" s="15">
        <v>0</v>
      </c>
      <c r="X16" s="15">
        <v>0</v>
      </c>
      <c r="Y16" s="15">
        <v>0</v>
      </c>
      <c r="Z16" s="15">
        <v>0</v>
      </c>
      <c r="AA16" s="15"/>
      <c r="AB16" s="15">
        <v>3</v>
      </c>
      <c r="AC16" s="15">
        <v>1</v>
      </c>
      <c r="AD16" s="15">
        <v>2</v>
      </c>
      <c r="AE16" s="15">
        <v>0.01765</v>
      </c>
      <c r="AF16" s="15">
        <v>1</v>
      </c>
      <c r="AG16" s="15">
        <v>0</v>
      </c>
      <c r="AH16" s="15"/>
      <c r="AI16" s="15">
        <v>4</v>
      </c>
      <c r="AJ16" s="15">
        <v>14.71</v>
      </c>
      <c r="AK16" s="15">
        <v>4</v>
      </c>
      <c r="AL16" s="15">
        <v>14.71</v>
      </c>
      <c r="AM16" s="15">
        <v>1</v>
      </c>
      <c r="AN16" s="15">
        <v>58.82</v>
      </c>
      <c r="AO16" s="15">
        <v>0.00588</v>
      </c>
      <c r="AP16" s="15">
        <v>19.61</v>
      </c>
      <c r="AQ16" s="15">
        <v>0</v>
      </c>
      <c r="AR16" s="15">
        <v>0</v>
      </c>
      <c r="AS16" s="15">
        <v>1</v>
      </c>
      <c r="AT16" s="15">
        <v>0</v>
      </c>
      <c r="AU16" s="15">
        <v>0</v>
      </c>
      <c r="AV16" s="15">
        <v>0</v>
      </c>
      <c r="AW16" s="15">
        <v>0</v>
      </c>
      <c r="AX16" s="15">
        <v>0</v>
      </c>
      <c r="AY16" s="15">
        <v>381</v>
      </c>
      <c r="AZ16" s="15">
        <v>171</v>
      </c>
      <c r="BA16" s="15">
        <v>158</v>
      </c>
      <c r="BB16" s="15">
        <v>0.92398</v>
      </c>
      <c r="BC16" s="15">
        <v>0</v>
      </c>
      <c r="BD16" s="15">
        <v>0</v>
      </c>
      <c r="BE16" s="15">
        <v>0.08463</v>
      </c>
      <c r="BF16" s="15">
        <v>168</v>
      </c>
      <c r="BG16" s="15">
        <v>2</v>
      </c>
      <c r="BH16" s="15">
        <v>0</v>
      </c>
      <c r="BI16" s="15"/>
      <c r="BJ16" s="15">
        <v>0</v>
      </c>
      <c r="BK16" s="15">
        <v>0</v>
      </c>
      <c r="BL16" s="15">
        <v>0</v>
      </c>
      <c r="BM16" s="15">
        <v>0</v>
      </c>
      <c r="BN16" s="15"/>
      <c r="BO16" s="15"/>
      <c r="BP16" s="15">
        <v>0</v>
      </c>
      <c r="BQ16" s="15">
        <v>1930</v>
      </c>
    </row>
    <row r="17" spans="1:69">
      <c r="A17" s="16">
        <v>46109</v>
      </c>
      <c r="B17" s="15">
        <v>183</v>
      </c>
      <c r="C17" s="15" t="s">
        <v>40</v>
      </c>
      <c r="D17" s="15">
        <v>183</v>
      </c>
      <c r="E17" s="15" t="s">
        <v>40</v>
      </c>
      <c r="F17" s="15">
        <v>4504</v>
      </c>
      <c r="G17" s="15">
        <v>123</v>
      </c>
      <c r="H17" s="15">
        <v>200</v>
      </c>
      <c r="I17" s="15">
        <v>0.02731</v>
      </c>
      <c r="J17" s="15">
        <v>1.63</v>
      </c>
      <c r="K17" s="15">
        <v>44.4</v>
      </c>
      <c r="L17" s="15">
        <v>0</v>
      </c>
      <c r="M17" s="15">
        <v>0</v>
      </c>
      <c r="N17" s="15">
        <v>0</v>
      </c>
      <c r="O17" s="15">
        <v>0</v>
      </c>
      <c r="P17" s="15">
        <v>0</v>
      </c>
      <c r="Q17" s="15">
        <v>0</v>
      </c>
      <c r="R17" s="15">
        <v>0</v>
      </c>
      <c r="S17" s="15">
        <v>0</v>
      </c>
      <c r="T17" s="15">
        <v>0</v>
      </c>
      <c r="U17" s="15">
        <v>0</v>
      </c>
      <c r="V17" s="15">
        <v>0</v>
      </c>
      <c r="W17" s="15">
        <v>0</v>
      </c>
      <c r="X17" s="15">
        <v>0</v>
      </c>
      <c r="Y17" s="15">
        <v>0</v>
      </c>
      <c r="Z17" s="15">
        <v>0</v>
      </c>
      <c r="AA17" s="15"/>
      <c r="AB17" s="15">
        <v>9</v>
      </c>
      <c r="AC17" s="15">
        <v>2</v>
      </c>
      <c r="AD17" s="15">
        <v>7</v>
      </c>
      <c r="AE17" s="15">
        <v>0.07317</v>
      </c>
      <c r="AF17" s="15">
        <v>0</v>
      </c>
      <c r="AG17" s="15">
        <v>2</v>
      </c>
      <c r="AH17" s="15">
        <v>100</v>
      </c>
      <c r="AI17" s="15">
        <v>11</v>
      </c>
      <c r="AJ17" s="15">
        <v>18.18</v>
      </c>
      <c r="AK17" s="15">
        <v>9</v>
      </c>
      <c r="AL17" s="15">
        <v>22.22</v>
      </c>
      <c r="AM17" s="15">
        <v>2</v>
      </c>
      <c r="AN17" s="15"/>
      <c r="AO17" s="15">
        <v>0</v>
      </c>
      <c r="AP17" s="15">
        <v>22.22</v>
      </c>
      <c r="AQ17" s="15">
        <v>1</v>
      </c>
      <c r="AR17" s="15">
        <v>49.9</v>
      </c>
      <c r="AS17" s="15">
        <v>0</v>
      </c>
      <c r="AT17" s="15">
        <v>0</v>
      </c>
      <c r="AU17" s="15">
        <v>0</v>
      </c>
      <c r="AV17" s="15">
        <v>0</v>
      </c>
      <c r="AW17" s="15">
        <v>0</v>
      </c>
      <c r="AX17" s="15">
        <v>0</v>
      </c>
      <c r="AY17" s="15">
        <v>560</v>
      </c>
      <c r="AZ17" s="15">
        <v>154</v>
      </c>
      <c r="BA17" s="15">
        <v>112</v>
      </c>
      <c r="BB17" s="15">
        <v>0.72727</v>
      </c>
      <c r="BC17" s="15">
        <v>0</v>
      </c>
      <c r="BD17" s="15">
        <v>0</v>
      </c>
      <c r="BE17" s="15">
        <v>0.12433</v>
      </c>
      <c r="BF17" s="15">
        <v>285</v>
      </c>
      <c r="BG17" s="15">
        <v>4</v>
      </c>
      <c r="BH17" s="15">
        <v>0</v>
      </c>
      <c r="BI17" s="15"/>
      <c r="BJ17" s="15">
        <v>0</v>
      </c>
      <c r="BK17" s="15">
        <v>0</v>
      </c>
      <c r="BL17" s="15">
        <v>0</v>
      </c>
      <c r="BM17" s="15">
        <v>0</v>
      </c>
      <c r="BN17" s="15"/>
      <c r="BO17" s="15"/>
      <c r="BP17" s="15">
        <v>3.26</v>
      </c>
      <c r="BQ17" s="15">
        <v>112</v>
      </c>
    </row>
    <row r="18" spans="1:69">
      <c r="A18" s="16">
        <v>46108</v>
      </c>
      <c r="B18" s="15">
        <v>479</v>
      </c>
      <c r="C18" s="15" t="s">
        <v>39</v>
      </c>
      <c r="D18" s="15">
        <v>479</v>
      </c>
      <c r="E18" s="15" t="s">
        <v>39</v>
      </c>
      <c r="F18" s="15">
        <v>61</v>
      </c>
      <c r="G18" s="15">
        <v>21</v>
      </c>
      <c r="H18" s="15">
        <v>18.37</v>
      </c>
      <c r="I18" s="15">
        <v>0.34426</v>
      </c>
      <c r="J18" s="15">
        <v>0.87</v>
      </c>
      <c r="K18" s="15">
        <v>301.12</v>
      </c>
      <c r="L18" s="15">
        <v>0</v>
      </c>
      <c r="M18" s="15">
        <v>0</v>
      </c>
      <c r="N18" s="15">
        <v>0</v>
      </c>
      <c r="O18" s="15">
        <v>0</v>
      </c>
      <c r="P18" s="15">
        <v>0</v>
      </c>
      <c r="Q18" s="15">
        <v>0</v>
      </c>
      <c r="R18" s="15">
        <v>0</v>
      </c>
      <c r="S18" s="15">
        <v>500</v>
      </c>
      <c r="T18" s="15">
        <v>500</v>
      </c>
      <c r="U18" s="15">
        <v>5</v>
      </c>
      <c r="V18" s="15">
        <v>0</v>
      </c>
      <c r="W18" s="15">
        <v>5</v>
      </c>
      <c r="X18" s="15">
        <v>0.2381</v>
      </c>
      <c r="Y18" s="15">
        <v>27.22</v>
      </c>
      <c r="Z18" s="15">
        <v>27.22</v>
      </c>
      <c r="AA18" s="15">
        <v>3.67</v>
      </c>
      <c r="AB18" s="15">
        <v>7</v>
      </c>
      <c r="AC18" s="15">
        <v>0</v>
      </c>
      <c r="AD18" s="15">
        <v>7</v>
      </c>
      <c r="AE18" s="15">
        <v>0.33333</v>
      </c>
      <c r="AF18" s="15">
        <v>0</v>
      </c>
      <c r="AG18" s="15">
        <v>0</v>
      </c>
      <c r="AH18" s="15"/>
      <c r="AI18" s="15">
        <v>7</v>
      </c>
      <c r="AJ18" s="15">
        <v>2.62</v>
      </c>
      <c r="AK18" s="15">
        <v>7</v>
      </c>
      <c r="AL18" s="15">
        <v>2.62</v>
      </c>
      <c r="AM18" s="15">
        <v>0</v>
      </c>
      <c r="AN18" s="15"/>
      <c r="AO18" s="15">
        <v>0</v>
      </c>
      <c r="AP18" s="15">
        <v>2.62</v>
      </c>
      <c r="AQ18" s="15">
        <v>6</v>
      </c>
      <c r="AR18" s="15">
        <v>605.7</v>
      </c>
      <c r="AS18" s="15">
        <v>0</v>
      </c>
      <c r="AT18" s="15">
        <v>0</v>
      </c>
      <c r="AU18" s="15">
        <v>0</v>
      </c>
      <c r="AV18" s="15">
        <v>0</v>
      </c>
      <c r="AW18" s="15">
        <v>0</v>
      </c>
      <c r="AX18" s="15">
        <v>0</v>
      </c>
      <c r="AY18" s="15">
        <v>203</v>
      </c>
      <c r="AZ18" s="15">
        <v>20</v>
      </c>
      <c r="BA18" s="15">
        <v>14</v>
      </c>
      <c r="BB18" s="15">
        <v>0.7</v>
      </c>
      <c r="BC18" s="15">
        <v>0</v>
      </c>
      <c r="BD18" s="15">
        <v>0</v>
      </c>
      <c r="BE18" s="15">
        <v>3.32787</v>
      </c>
      <c r="BF18" s="15">
        <v>177</v>
      </c>
      <c r="BG18" s="15">
        <v>10</v>
      </c>
      <c r="BH18" s="15">
        <v>2</v>
      </c>
      <c r="BI18" s="15">
        <v>1</v>
      </c>
      <c r="BJ18" s="15">
        <v>0</v>
      </c>
      <c r="BK18" s="15">
        <v>0</v>
      </c>
      <c r="BL18" s="15">
        <v>0</v>
      </c>
      <c r="BM18" s="15">
        <v>2</v>
      </c>
      <c r="BN18" s="15">
        <v>3</v>
      </c>
      <c r="BO18" s="15">
        <v>250</v>
      </c>
      <c r="BP18" s="15">
        <v>12.84</v>
      </c>
      <c r="BQ18" s="15">
        <v>260</v>
      </c>
    </row>
    <row r="19" spans="1:69">
      <c r="A19" s="16">
        <v>46108</v>
      </c>
      <c r="B19" s="15">
        <v>371</v>
      </c>
      <c r="C19" s="15" t="s">
        <v>32</v>
      </c>
      <c r="D19" s="15">
        <v>371</v>
      </c>
      <c r="E19" s="15" t="s">
        <v>32</v>
      </c>
      <c r="F19" s="15">
        <v>3864</v>
      </c>
      <c r="G19" s="15">
        <v>163</v>
      </c>
      <c r="H19" s="15">
        <v>54.96</v>
      </c>
      <c r="I19" s="15">
        <v>0.04218</v>
      </c>
      <c r="J19" s="15">
        <v>0.34</v>
      </c>
      <c r="K19" s="15">
        <v>14.22</v>
      </c>
      <c r="L19" s="15">
        <v>0</v>
      </c>
      <c r="M19" s="15">
        <v>0</v>
      </c>
      <c r="N19" s="15">
        <v>0</v>
      </c>
      <c r="O19" s="15">
        <v>0</v>
      </c>
      <c r="P19" s="15">
        <v>0</v>
      </c>
      <c r="Q19" s="15">
        <v>0</v>
      </c>
      <c r="R19" s="15">
        <v>0</v>
      </c>
      <c r="S19" s="15">
        <v>0</v>
      </c>
      <c r="T19" s="15">
        <v>0</v>
      </c>
      <c r="U19" s="15">
        <v>0</v>
      </c>
      <c r="V19" s="15">
        <v>0</v>
      </c>
      <c r="W19" s="15">
        <v>0</v>
      </c>
      <c r="X19" s="15">
        <v>0</v>
      </c>
      <c r="Y19" s="15">
        <v>0</v>
      </c>
      <c r="Z19" s="15">
        <v>0</v>
      </c>
      <c r="AA19" s="15"/>
      <c r="AB19" s="15">
        <v>1</v>
      </c>
      <c r="AC19" s="15">
        <v>1</v>
      </c>
      <c r="AD19" s="15">
        <v>0</v>
      </c>
      <c r="AE19" s="15">
        <v>0.00613</v>
      </c>
      <c r="AF19" s="15">
        <v>0</v>
      </c>
      <c r="AG19" s="15">
        <v>0</v>
      </c>
      <c r="AH19" s="15"/>
      <c r="AI19" s="15">
        <v>1</v>
      </c>
      <c r="AJ19" s="15">
        <v>54.96</v>
      </c>
      <c r="AK19" s="15">
        <v>1</v>
      </c>
      <c r="AL19" s="15">
        <v>54.96</v>
      </c>
      <c r="AM19" s="15">
        <v>0</v>
      </c>
      <c r="AN19" s="15"/>
      <c r="AO19" s="15">
        <v>0</v>
      </c>
      <c r="AP19" s="15">
        <v>54.96</v>
      </c>
      <c r="AQ19" s="15">
        <v>0</v>
      </c>
      <c r="AR19" s="15">
        <v>0</v>
      </c>
      <c r="AS19" s="15">
        <v>0</v>
      </c>
      <c r="AT19" s="15">
        <v>0</v>
      </c>
      <c r="AU19" s="15">
        <v>0</v>
      </c>
      <c r="AV19" s="15">
        <v>0</v>
      </c>
      <c r="AW19" s="15">
        <v>0</v>
      </c>
      <c r="AX19" s="15">
        <v>0</v>
      </c>
      <c r="AY19" s="15">
        <v>316</v>
      </c>
      <c r="AZ19" s="15">
        <v>186</v>
      </c>
      <c r="BA19" s="15">
        <v>173</v>
      </c>
      <c r="BB19" s="15">
        <v>0.93011</v>
      </c>
      <c r="BC19" s="15">
        <v>0</v>
      </c>
      <c r="BD19" s="15">
        <v>0</v>
      </c>
      <c r="BE19" s="15">
        <v>0.08178</v>
      </c>
      <c r="BF19" s="15">
        <v>86</v>
      </c>
      <c r="BG19" s="15">
        <v>2</v>
      </c>
      <c r="BH19" s="15">
        <v>0</v>
      </c>
      <c r="BI19" s="15"/>
      <c r="BJ19" s="15">
        <v>0</v>
      </c>
      <c r="BK19" s="15">
        <v>0</v>
      </c>
      <c r="BL19" s="15">
        <v>0</v>
      </c>
      <c r="BM19" s="15">
        <v>0</v>
      </c>
      <c r="BN19" s="15"/>
      <c r="BO19" s="15"/>
      <c r="BP19" s="15">
        <v>0</v>
      </c>
      <c r="BQ19" s="15">
        <v>1123</v>
      </c>
    </row>
    <row r="20" spans="1:69">
      <c r="A20" s="16">
        <v>46108</v>
      </c>
      <c r="B20" s="15">
        <v>183</v>
      </c>
      <c r="C20" s="15" t="s">
        <v>40</v>
      </c>
      <c r="D20" s="15">
        <v>183</v>
      </c>
      <c r="E20" s="15" t="s">
        <v>40</v>
      </c>
      <c r="F20" s="15">
        <v>3255</v>
      </c>
      <c r="G20" s="15">
        <v>90</v>
      </c>
      <c r="H20" s="15">
        <v>200</v>
      </c>
      <c r="I20" s="15">
        <v>0.02765</v>
      </c>
      <c r="J20" s="15">
        <v>2.22</v>
      </c>
      <c r="K20" s="15">
        <v>61.44</v>
      </c>
      <c r="L20" s="15">
        <v>0</v>
      </c>
      <c r="M20" s="15">
        <v>0</v>
      </c>
      <c r="N20" s="15">
        <v>0</v>
      </c>
      <c r="O20" s="15">
        <v>0</v>
      </c>
      <c r="P20" s="15">
        <v>0</v>
      </c>
      <c r="Q20" s="15">
        <v>0</v>
      </c>
      <c r="R20" s="15">
        <v>0</v>
      </c>
      <c r="S20" s="15">
        <v>0</v>
      </c>
      <c r="T20" s="15">
        <v>0</v>
      </c>
      <c r="U20" s="15">
        <v>0</v>
      </c>
      <c r="V20" s="15">
        <v>0</v>
      </c>
      <c r="W20" s="15">
        <v>0</v>
      </c>
      <c r="X20" s="15">
        <v>0</v>
      </c>
      <c r="Y20" s="15">
        <v>0</v>
      </c>
      <c r="Z20" s="15">
        <v>0</v>
      </c>
      <c r="AA20" s="15"/>
      <c r="AB20" s="15">
        <v>4</v>
      </c>
      <c r="AC20" s="15">
        <v>4</v>
      </c>
      <c r="AD20" s="15">
        <v>0</v>
      </c>
      <c r="AE20" s="15">
        <v>0.04444</v>
      </c>
      <c r="AF20" s="15">
        <v>0</v>
      </c>
      <c r="AG20" s="15">
        <v>0</v>
      </c>
      <c r="AH20" s="15"/>
      <c r="AI20" s="15">
        <v>4</v>
      </c>
      <c r="AJ20" s="15">
        <v>50</v>
      </c>
      <c r="AK20" s="15">
        <v>4</v>
      </c>
      <c r="AL20" s="15">
        <v>50</v>
      </c>
      <c r="AM20" s="15">
        <v>0</v>
      </c>
      <c r="AN20" s="15"/>
      <c r="AO20" s="15">
        <v>0</v>
      </c>
      <c r="AP20" s="15">
        <v>50</v>
      </c>
      <c r="AQ20" s="15">
        <v>0</v>
      </c>
      <c r="AR20" s="15">
        <v>0</v>
      </c>
      <c r="AS20" s="15">
        <v>0</v>
      </c>
      <c r="AT20" s="15">
        <v>0</v>
      </c>
      <c r="AU20" s="15">
        <v>0</v>
      </c>
      <c r="AV20" s="15">
        <v>0</v>
      </c>
      <c r="AW20" s="15">
        <v>0</v>
      </c>
      <c r="AX20" s="15">
        <v>1</v>
      </c>
      <c r="AY20" s="15">
        <v>405</v>
      </c>
      <c r="AZ20" s="15">
        <v>132</v>
      </c>
      <c r="BA20" s="15">
        <v>87</v>
      </c>
      <c r="BB20" s="15">
        <v>0.65909</v>
      </c>
      <c r="BC20" s="15">
        <v>0</v>
      </c>
      <c r="BD20" s="15">
        <v>0</v>
      </c>
      <c r="BE20" s="15">
        <v>0.12442</v>
      </c>
      <c r="BF20" s="15">
        <v>191</v>
      </c>
      <c r="BG20" s="15">
        <v>3</v>
      </c>
      <c r="BH20" s="15">
        <v>0</v>
      </c>
      <c r="BI20" s="15"/>
      <c r="BJ20" s="15">
        <v>0</v>
      </c>
      <c r="BK20" s="15">
        <v>0</v>
      </c>
      <c r="BL20" s="15">
        <v>0</v>
      </c>
      <c r="BM20" s="15">
        <v>0</v>
      </c>
      <c r="BN20" s="15"/>
      <c r="BO20" s="15"/>
      <c r="BP20" s="15">
        <v>0</v>
      </c>
      <c r="BQ20" s="15">
        <v>339</v>
      </c>
    </row>
    <row r="21" spans="1:69">
      <c r="A21" s="16">
        <v>46108</v>
      </c>
      <c r="B21" s="15">
        <v>436</v>
      </c>
      <c r="C21" s="15" t="s">
        <v>38</v>
      </c>
      <c r="D21" s="15">
        <v>436</v>
      </c>
      <c r="E21" s="15" t="s">
        <v>38</v>
      </c>
      <c r="F21" s="15">
        <v>1061</v>
      </c>
      <c r="G21" s="15">
        <v>45</v>
      </c>
      <c r="H21" s="15">
        <v>96.81</v>
      </c>
      <c r="I21" s="15">
        <v>0.04241</v>
      </c>
      <c r="J21" s="15">
        <v>2.15</v>
      </c>
      <c r="K21" s="15">
        <v>91.24</v>
      </c>
      <c r="L21" s="15">
        <v>0</v>
      </c>
      <c r="M21" s="15">
        <v>0</v>
      </c>
      <c r="N21" s="15">
        <v>0</v>
      </c>
      <c r="O21" s="15">
        <v>0</v>
      </c>
      <c r="P21" s="15">
        <v>0</v>
      </c>
      <c r="Q21" s="15">
        <v>0</v>
      </c>
      <c r="R21" s="15">
        <v>0</v>
      </c>
      <c r="S21" s="15">
        <v>0</v>
      </c>
      <c r="T21" s="15">
        <v>0</v>
      </c>
      <c r="U21" s="15">
        <v>0</v>
      </c>
      <c r="V21" s="15">
        <v>0</v>
      </c>
      <c r="W21" s="15">
        <v>0</v>
      </c>
      <c r="X21" s="15">
        <v>0</v>
      </c>
      <c r="Y21" s="15">
        <v>0</v>
      </c>
      <c r="Z21" s="15">
        <v>0</v>
      </c>
      <c r="AA21" s="15"/>
      <c r="AB21" s="15">
        <v>5</v>
      </c>
      <c r="AC21" s="15">
        <v>3</v>
      </c>
      <c r="AD21" s="15">
        <v>2</v>
      </c>
      <c r="AE21" s="15">
        <v>0.11111</v>
      </c>
      <c r="AF21" s="15">
        <v>0</v>
      </c>
      <c r="AG21" s="15">
        <v>1</v>
      </c>
      <c r="AH21" s="15">
        <v>96.81</v>
      </c>
      <c r="AI21" s="15">
        <v>6</v>
      </c>
      <c r="AJ21" s="15">
        <v>16.14</v>
      </c>
      <c r="AK21" s="15">
        <v>5</v>
      </c>
      <c r="AL21" s="15">
        <v>19.36</v>
      </c>
      <c r="AM21" s="15">
        <v>1</v>
      </c>
      <c r="AN21" s="15"/>
      <c r="AO21" s="15">
        <v>0</v>
      </c>
      <c r="AP21" s="15">
        <v>19.36</v>
      </c>
      <c r="AQ21" s="15">
        <v>0</v>
      </c>
      <c r="AR21" s="15">
        <v>0</v>
      </c>
      <c r="AS21" s="15">
        <v>0</v>
      </c>
      <c r="AT21" s="15">
        <v>0</v>
      </c>
      <c r="AU21" s="15">
        <v>0</v>
      </c>
      <c r="AV21" s="15">
        <v>0</v>
      </c>
      <c r="AW21" s="15">
        <v>0</v>
      </c>
      <c r="AX21" s="15">
        <v>0</v>
      </c>
      <c r="AY21" s="15">
        <v>187</v>
      </c>
      <c r="AZ21" s="15">
        <v>34</v>
      </c>
      <c r="BA21" s="15">
        <v>23</v>
      </c>
      <c r="BB21" s="15">
        <v>0.67647</v>
      </c>
      <c r="BC21" s="15">
        <v>0</v>
      </c>
      <c r="BD21" s="15">
        <v>0</v>
      </c>
      <c r="BE21" s="15">
        <v>0.17625</v>
      </c>
      <c r="BF21" s="15">
        <v>141</v>
      </c>
      <c r="BG21" s="15">
        <v>6</v>
      </c>
      <c r="BH21" s="15">
        <v>0</v>
      </c>
      <c r="BI21" s="15"/>
      <c r="BJ21" s="15">
        <v>0</v>
      </c>
      <c r="BK21" s="15">
        <v>0</v>
      </c>
      <c r="BL21" s="15">
        <v>0</v>
      </c>
      <c r="BM21" s="15">
        <v>0</v>
      </c>
      <c r="BN21" s="15"/>
      <c r="BO21" s="15"/>
      <c r="BP21" s="15">
        <v>0</v>
      </c>
      <c r="BQ21" s="15">
        <v>85</v>
      </c>
    </row>
    <row r="22" spans="1:69">
      <c r="A22" s="16">
        <v>46107</v>
      </c>
      <c r="B22" s="15">
        <v>436</v>
      </c>
      <c r="C22" s="15" t="s">
        <v>38</v>
      </c>
      <c r="D22" s="15">
        <v>436</v>
      </c>
      <c r="E22" s="15" t="s">
        <v>38</v>
      </c>
      <c r="F22" s="15">
        <v>1713</v>
      </c>
      <c r="G22" s="15">
        <v>86</v>
      </c>
      <c r="H22" s="15">
        <v>124.48</v>
      </c>
      <c r="I22" s="15">
        <v>0.0502</v>
      </c>
      <c r="J22" s="15">
        <v>1.45</v>
      </c>
      <c r="K22" s="15">
        <v>72.67</v>
      </c>
      <c r="L22" s="15">
        <v>0</v>
      </c>
      <c r="M22" s="15">
        <v>0</v>
      </c>
      <c r="N22" s="15">
        <v>0</v>
      </c>
      <c r="O22" s="15">
        <v>0</v>
      </c>
      <c r="P22" s="15">
        <v>0</v>
      </c>
      <c r="Q22" s="15">
        <v>0</v>
      </c>
      <c r="R22" s="15">
        <v>0</v>
      </c>
      <c r="S22" s="15">
        <v>0</v>
      </c>
      <c r="T22" s="15">
        <v>0</v>
      </c>
      <c r="U22" s="15">
        <v>0</v>
      </c>
      <c r="V22" s="15">
        <v>0</v>
      </c>
      <c r="W22" s="15">
        <v>0</v>
      </c>
      <c r="X22" s="15">
        <v>0</v>
      </c>
      <c r="Y22" s="15">
        <v>0</v>
      </c>
      <c r="Z22" s="15">
        <v>0</v>
      </c>
      <c r="AA22" s="15"/>
      <c r="AB22" s="15">
        <v>9</v>
      </c>
      <c r="AC22" s="15">
        <v>5</v>
      </c>
      <c r="AD22" s="15">
        <v>4</v>
      </c>
      <c r="AE22" s="15">
        <v>0.10465</v>
      </c>
      <c r="AF22" s="15">
        <v>4</v>
      </c>
      <c r="AG22" s="15">
        <v>2</v>
      </c>
      <c r="AH22" s="15">
        <v>62.24</v>
      </c>
      <c r="AI22" s="15">
        <v>15</v>
      </c>
      <c r="AJ22" s="15">
        <v>8.3</v>
      </c>
      <c r="AK22" s="15">
        <v>13</v>
      </c>
      <c r="AL22" s="15">
        <v>9.58</v>
      </c>
      <c r="AM22" s="15">
        <v>6</v>
      </c>
      <c r="AN22" s="15">
        <v>31.12</v>
      </c>
      <c r="AO22" s="15">
        <v>0.04651</v>
      </c>
      <c r="AP22" s="15">
        <v>13.83</v>
      </c>
      <c r="AQ22" s="15">
        <v>0</v>
      </c>
      <c r="AR22" s="15">
        <v>0</v>
      </c>
      <c r="AS22" s="15">
        <v>4</v>
      </c>
      <c r="AT22" s="15">
        <v>0</v>
      </c>
      <c r="AU22" s="15">
        <v>0</v>
      </c>
      <c r="AV22" s="15">
        <v>0</v>
      </c>
      <c r="AW22" s="15">
        <v>0</v>
      </c>
      <c r="AX22" s="15">
        <v>1</v>
      </c>
      <c r="AY22" s="15">
        <v>316</v>
      </c>
      <c r="AZ22" s="15">
        <v>71</v>
      </c>
      <c r="BA22" s="15">
        <v>50</v>
      </c>
      <c r="BB22" s="15">
        <v>0.70423</v>
      </c>
      <c r="BC22" s="15">
        <v>0</v>
      </c>
      <c r="BD22" s="15">
        <v>0</v>
      </c>
      <c r="BE22" s="15">
        <v>0.18447</v>
      </c>
      <c r="BF22" s="15">
        <v>223</v>
      </c>
      <c r="BG22" s="15">
        <v>4</v>
      </c>
      <c r="BH22" s="15">
        <v>0</v>
      </c>
      <c r="BI22" s="15"/>
      <c r="BJ22" s="15">
        <v>0</v>
      </c>
      <c r="BK22" s="15">
        <v>0</v>
      </c>
      <c r="BL22" s="15">
        <v>0</v>
      </c>
      <c r="BM22" s="15">
        <v>0</v>
      </c>
      <c r="BN22" s="15"/>
      <c r="BO22" s="15"/>
      <c r="BP22" s="15">
        <v>0</v>
      </c>
      <c r="BQ22" s="15">
        <v>304</v>
      </c>
    </row>
    <row r="23" spans="1:69">
      <c r="A23" s="16">
        <v>46107</v>
      </c>
      <c r="B23" s="15">
        <v>371</v>
      </c>
      <c r="C23" s="15" t="s">
        <v>32</v>
      </c>
      <c r="D23" s="15">
        <v>371</v>
      </c>
      <c r="E23" s="15" t="s">
        <v>32</v>
      </c>
      <c r="F23" s="15">
        <v>4886</v>
      </c>
      <c r="G23" s="15">
        <v>185</v>
      </c>
      <c r="H23" s="15">
        <v>58.5</v>
      </c>
      <c r="I23" s="15">
        <v>0.03786</v>
      </c>
      <c r="J23" s="15">
        <v>0.32</v>
      </c>
      <c r="K23" s="15">
        <v>11.97</v>
      </c>
      <c r="L23" s="15">
        <v>0</v>
      </c>
      <c r="M23" s="15">
        <v>0</v>
      </c>
      <c r="N23" s="15">
        <v>0</v>
      </c>
      <c r="O23" s="15">
        <v>0</v>
      </c>
      <c r="P23" s="15">
        <v>0</v>
      </c>
      <c r="Q23" s="15">
        <v>0</v>
      </c>
      <c r="R23" s="15">
        <v>0</v>
      </c>
      <c r="S23" s="15">
        <v>0</v>
      </c>
      <c r="T23" s="15">
        <v>0</v>
      </c>
      <c r="U23" s="15">
        <v>0</v>
      </c>
      <c r="V23" s="15">
        <v>0</v>
      </c>
      <c r="W23" s="15">
        <v>0</v>
      </c>
      <c r="X23" s="15">
        <v>0</v>
      </c>
      <c r="Y23" s="15">
        <v>0</v>
      </c>
      <c r="Z23" s="15">
        <v>0</v>
      </c>
      <c r="AA23" s="15"/>
      <c r="AB23" s="15">
        <v>0</v>
      </c>
      <c r="AC23" s="15">
        <v>0</v>
      </c>
      <c r="AD23" s="15">
        <v>0</v>
      </c>
      <c r="AE23" s="15">
        <v>0</v>
      </c>
      <c r="AF23" s="15">
        <v>0</v>
      </c>
      <c r="AG23" s="15">
        <v>0</v>
      </c>
      <c r="AH23" s="15"/>
      <c r="AI23" s="15">
        <v>0</v>
      </c>
      <c r="AJ23" s="15"/>
      <c r="AK23" s="15">
        <v>0</v>
      </c>
      <c r="AL23" s="15"/>
      <c r="AM23" s="15">
        <v>0</v>
      </c>
      <c r="AN23" s="15"/>
      <c r="AO23" s="15">
        <v>0</v>
      </c>
      <c r="AP23" s="15"/>
      <c r="AQ23" s="15">
        <v>0</v>
      </c>
      <c r="AR23" s="15">
        <v>0</v>
      </c>
      <c r="AS23" s="15">
        <v>0</v>
      </c>
      <c r="AT23" s="15">
        <v>0</v>
      </c>
      <c r="AU23" s="15">
        <v>0</v>
      </c>
      <c r="AV23" s="15">
        <v>0</v>
      </c>
      <c r="AW23" s="15">
        <v>0</v>
      </c>
      <c r="AX23" s="15">
        <v>0</v>
      </c>
      <c r="AY23" s="15">
        <v>328</v>
      </c>
      <c r="AZ23" s="15">
        <v>171</v>
      </c>
      <c r="BA23" s="15">
        <v>158</v>
      </c>
      <c r="BB23" s="15">
        <v>0.92398</v>
      </c>
      <c r="BC23" s="15">
        <v>0</v>
      </c>
      <c r="BD23" s="15">
        <v>0</v>
      </c>
      <c r="BE23" s="15">
        <v>0.06713</v>
      </c>
      <c r="BF23" s="15">
        <v>92</v>
      </c>
      <c r="BG23" s="15">
        <v>2</v>
      </c>
      <c r="BH23" s="15">
        <v>0</v>
      </c>
      <c r="BI23" s="15"/>
      <c r="BJ23" s="15">
        <v>0</v>
      </c>
      <c r="BK23" s="15">
        <v>0</v>
      </c>
      <c r="BL23" s="15">
        <v>0</v>
      </c>
      <c r="BM23" s="15">
        <v>0</v>
      </c>
      <c r="BN23" s="15"/>
      <c r="BO23" s="15"/>
      <c r="BP23" s="15">
        <v>0</v>
      </c>
      <c r="BQ23" s="15">
        <v>57</v>
      </c>
    </row>
    <row r="24" spans="1:69">
      <c r="A24" s="16">
        <v>46107</v>
      </c>
      <c r="B24" s="15">
        <v>479</v>
      </c>
      <c r="C24" s="15" t="s">
        <v>39</v>
      </c>
      <c r="D24" s="15">
        <v>479</v>
      </c>
      <c r="E24" s="15" t="s">
        <v>39</v>
      </c>
      <c r="F24" s="15">
        <v>52</v>
      </c>
      <c r="G24" s="15">
        <v>25</v>
      </c>
      <c r="H24" s="15">
        <v>16.38</v>
      </c>
      <c r="I24" s="15">
        <v>0.48077</v>
      </c>
      <c r="J24" s="15">
        <v>0.66</v>
      </c>
      <c r="K24" s="15">
        <v>314.99</v>
      </c>
      <c r="L24" s="15">
        <v>0</v>
      </c>
      <c r="M24" s="15">
        <v>0</v>
      </c>
      <c r="N24" s="15">
        <v>0</v>
      </c>
      <c r="O24" s="15">
        <v>0</v>
      </c>
      <c r="P24" s="15">
        <v>0</v>
      </c>
      <c r="Q24" s="15">
        <v>0</v>
      </c>
      <c r="R24" s="15">
        <v>0</v>
      </c>
      <c r="S24" s="15">
        <v>87.12</v>
      </c>
      <c r="T24" s="15">
        <v>87.12</v>
      </c>
      <c r="U24" s="15">
        <v>1</v>
      </c>
      <c r="V24" s="15">
        <v>0</v>
      </c>
      <c r="W24" s="15">
        <v>1</v>
      </c>
      <c r="X24" s="15">
        <v>0.04</v>
      </c>
      <c r="Y24" s="15">
        <v>5.32</v>
      </c>
      <c r="Z24" s="15">
        <v>5.32</v>
      </c>
      <c r="AA24" s="15">
        <v>16.38</v>
      </c>
      <c r="AB24" s="15">
        <v>2</v>
      </c>
      <c r="AC24" s="15">
        <v>0</v>
      </c>
      <c r="AD24" s="15">
        <v>2</v>
      </c>
      <c r="AE24" s="15">
        <v>0.08</v>
      </c>
      <c r="AF24" s="15">
        <v>1</v>
      </c>
      <c r="AG24" s="15">
        <v>1</v>
      </c>
      <c r="AH24" s="15">
        <v>16.38</v>
      </c>
      <c r="AI24" s="15">
        <v>4</v>
      </c>
      <c r="AJ24" s="15">
        <v>4.09</v>
      </c>
      <c r="AK24" s="15">
        <v>3</v>
      </c>
      <c r="AL24" s="15">
        <v>5.46</v>
      </c>
      <c r="AM24" s="15">
        <v>2</v>
      </c>
      <c r="AN24" s="15">
        <v>16.38</v>
      </c>
      <c r="AO24" s="15">
        <v>0.04</v>
      </c>
      <c r="AP24" s="15">
        <v>8.19</v>
      </c>
      <c r="AQ24" s="15">
        <v>2</v>
      </c>
      <c r="AR24" s="15">
        <v>118</v>
      </c>
      <c r="AS24" s="15">
        <v>0</v>
      </c>
      <c r="AT24" s="15">
        <v>1</v>
      </c>
      <c r="AU24" s="15">
        <v>0</v>
      </c>
      <c r="AV24" s="15">
        <v>0</v>
      </c>
      <c r="AW24" s="15">
        <v>0</v>
      </c>
      <c r="AX24" s="15">
        <v>1</v>
      </c>
      <c r="AY24" s="15">
        <v>265</v>
      </c>
      <c r="AZ24" s="15">
        <v>20</v>
      </c>
      <c r="BA24" s="15">
        <v>12</v>
      </c>
      <c r="BB24" s="15">
        <v>0.6</v>
      </c>
      <c r="BC24" s="15">
        <v>0</v>
      </c>
      <c r="BD24" s="15">
        <v>0</v>
      </c>
      <c r="BE24" s="15">
        <v>5.09615</v>
      </c>
      <c r="BF24" s="15">
        <v>239</v>
      </c>
      <c r="BG24" s="15">
        <v>13</v>
      </c>
      <c r="BH24" s="15">
        <v>1</v>
      </c>
      <c r="BI24" s="15">
        <v>1</v>
      </c>
      <c r="BJ24" s="15">
        <v>0</v>
      </c>
      <c r="BK24" s="15">
        <v>0</v>
      </c>
      <c r="BL24" s="15">
        <v>0</v>
      </c>
      <c r="BM24" s="15">
        <v>1</v>
      </c>
      <c r="BN24" s="15">
        <v>1</v>
      </c>
      <c r="BO24" s="15">
        <v>87.12</v>
      </c>
      <c r="BP24" s="15">
        <v>0</v>
      </c>
      <c r="BQ24" s="15">
        <v>350</v>
      </c>
    </row>
    <row r="25" spans="1:69">
      <c r="A25" s="16">
        <v>46107</v>
      </c>
      <c r="B25" s="15">
        <v>183</v>
      </c>
      <c r="C25" s="15" t="s">
        <v>40</v>
      </c>
      <c r="D25" s="15">
        <v>183</v>
      </c>
      <c r="E25" s="15" t="s">
        <v>40</v>
      </c>
      <c r="F25" s="15">
        <v>4623</v>
      </c>
      <c r="G25" s="15">
        <v>114</v>
      </c>
      <c r="H25" s="15">
        <v>200</v>
      </c>
      <c r="I25" s="15">
        <v>0.02466</v>
      </c>
      <c r="J25" s="15">
        <v>1.75</v>
      </c>
      <c r="K25" s="15">
        <v>43.26</v>
      </c>
      <c r="L25" s="15">
        <v>0</v>
      </c>
      <c r="M25" s="15">
        <v>0</v>
      </c>
      <c r="N25" s="15">
        <v>0</v>
      </c>
      <c r="O25" s="15">
        <v>0</v>
      </c>
      <c r="P25" s="15">
        <v>0</v>
      </c>
      <c r="Q25" s="15">
        <v>0</v>
      </c>
      <c r="R25" s="15">
        <v>269</v>
      </c>
      <c r="S25" s="15">
        <v>0</v>
      </c>
      <c r="T25" s="15">
        <v>269</v>
      </c>
      <c r="U25" s="15">
        <v>1</v>
      </c>
      <c r="V25" s="15">
        <v>1</v>
      </c>
      <c r="W25" s="15">
        <v>0</v>
      </c>
      <c r="X25" s="15">
        <v>0.00877</v>
      </c>
      <c r="Y25" s="15">
        <v>1.35</v>
      </c>
      <c r="Z25" s="15">
        <v>1.35</v>
      </c>
      <c r="AA25" s="15">
        <v>200</v>
      </c>
      <c r="AB25" s="15">
        <v>4</v>
      </c>
      <c r="AC25" s="15">
        <v>2</v>
      </c>
      <c r="AD25" s="15">
        <v>2</v>
      </c>
      <c r="AE25" s="15">
        <v>0.03509</v>
      </c>
      <c r="AF25" s="15">
        <v>0</v>
      </c>
      <c r="AG25" s="15">
        <v>1</v>
      </c>
      <c r="AH25" s="15">
        <v>200</v>
      </c>
      <c r="AI25" s="15">
        <v>5</v>
      </c>
      <c r="AJ25" s="15">
        <v>40</v>
      </c>
      <c r="AK25" s="15">
        <v>4</v>
      </c>
      <c r="AL25" s="15">
        <v>50</v>
      </c>
      <c r="AM25" s="15">
        <v>1</v>
      </c>
      <c r="AN25" s="15"/>
      <c r="AO25" s="15">
        <v>0</v>
      </c>
      <c r="AP25" s="15">
        <v>50</v>
      </c>
      <c r="AQ25" s="15">
        <v>2</v>
      </c>
      <c r="AR25" s="15">
        <v>348.9</v>
      </c>
      <c r="AS25" s="15">
        <v>0</v>
      </c>
      <c r="AT25" s="15">
        <v>0</v>
      </c>
      <c r="AU25" s="15">
        <v>0</v>
      </c>
      <c r="AV25" s="15">
        <v>0</v>
      </c>
      <c r="AW25" s="15">
        <v>0</v>
      </c>
      <c r="AX25" s="15">
        <v>0</v>
      </c>
      <c r="AY25" s="15">
        <v>423</v>
      </c>
      <c r="AZ25" s="15">
        <v>169</v>
      </c>
      <c r="BA25" s="15">
        <v>109</v>
      </c>
      <c r="BB25" s="15">
        <v>0.64497</v>
      </c>
      <c r="BC25" s="15">
        <v>0</v>
      </c>
      <c r="BD25" s="15">
        <v>0</v>
      </c>
      <c r="BE25" s="15">
        <v>0.0915</v>
      </c>
      <c r="BF25" s="15">
        <v>148</v>
      </c>
      <c r="BG25" s="15">
        <v>3</v>
      </c>
      <c r="BH25" s="15">
        <v>1</v>
      </c>
      <c r="BI25" s="15">
        <v>1</v>
      </c>
      <c r="BJ25" s="15">
        <v>0</v>
      </c>
      <c r="BK25" s="15">
        <v>0</v>
      </c>
      <c r="BL25" s="15">
        <v>0</v>
      </c>
      <c r="BM25" s="15">
        <v>1</v>
      </c>
      <c r="BN25" s="15">
        <v>1</v>
      </c>
      <c r="BO25" s="15">
        <v>269</v>
      </c>
      <c r="BP25" s="15">
        <v>0.06</v>
      </c>
      <c r="BQ25" s="15">
        <v>185</v>
      </c>
    </row>
    <row r="26" spans="1:69">
      <c r="A26" s="16">
        <v>46106</v>
      </c>
      <c r="B26" s="15">
        <v>371</v>
      </c>
      <c r="C26" s="15" t="s">
        <v>32</v>
      </c>
      <c r="D26" s="15">
        <v>371</v>
      </c>
      <c r="E26" s="15" t="s">
        <v>32</v>
      </c>
      <c r="F26" s="15">
        <v>5117</v>
      </c>
      <c r="G26" s="15">
        <v>158</v>
      </c>
      <c r="H26" s="15">
        <v>52.4</v>
      </c>
      <c r="I26" s="15">
        <v>0.03088</v>
      </c>
      <c r="J26" s="15">
        <v>0.33</v>
      </c>
      <c r="K26" s="15">
        <v>10.24</v>
      </c>
      <c r="L26" s="15">
        <v>0</v>
      </c>
      <c r="M26" s="15">
        <v>0</v>
      </c>
      <c r="N26" s="15">
        <v>0</v>
      </c>
      <c r="O26" s="15">
        <v>0</v>
      </c>
      <c r="P26" s="15">
        <v>0</v>
      </c>
      <c r="Q26" s="15">
        <v>0</v>
      </c>
      <c r="R26" s="15">
        <v>0</v>
      </c>
      <c r="S26" s="15">
        <v>0</v>
      </c>
      <c r="T26" s="15">
        <v>0</v>
      </c>
      <c r="U26" s="15">
        <v>0</v>
      </c>
      <c r="V26" s="15">
        <v>0</v>
      </c>
      <c r="W26" s="15">
        <v>0</v>
      </c>
      <c r="X26" s="15">
        <v>0</v>
      </c>
      <c r="Y26" s="15">
        <v>0</v>
      </c>
      <c r="Z26" s="15">
        <v>0</v>
      </c>
      <c r="AA26" s="15"/>
      <c r="AB26" s="15">
        <v>0</v>
      </c>
      <c r="AC26" s="15">
        <v>0</v>
      </c>
      <c r="AD26" s="15">
        <v>0</v>
      </c>
      <c r="AE26" s="15">
        <v>0</v>
      </c>
      <c r="AF26" s="15">
        <v>0</v>
      </c>
      <c r="AG26" s="15">
        <v>1</v>
      </c>
      <c r="AH26" s="15">
        <v>52.4</v>
      </c>
      <c r="AI26" s="15">
        <v>1</v>
      </c>
      <c r="AJ26" s="15">
        <v>52.4</v>
      </c>
      <c r="AK26" s="15">
        <v>0</v>
      </c>
      <c r="AL26" s="15"/>
      <c r="AM26" s="15">
        <v>1</v>
      </c>
      <c r="AN26" s="15"/>
      <c r="AO26" s="15">
        <v>0</v>
      </c>
      <c r="AP26" s="15"/>
      <c r="AQ26" s="15">
        <v>0</v>
      </c>
      <c r="AR26" s="15">
        <v>0</v>
      </c>
      <c r="AS26" s="15">
        <v>0</v>
      </c>
      <c r="AT26" s="15">
        <v>0</v>
      </c>
      <c r="AU26" s="15">
        <v>0</v>
      </c>
      <c r="AV26" s="15">
        <v>0</v>
      </c>
      <c r="AW26" s="15">
        <v>0</v>
      </c>
      <c r="AX26" s="15">
        <v>0</v>
      </c>
      <c r="AY26" s="15">
        <v>253</v>
      </c>
      <c r="AZ26" s="15">
        <v>158</v>
      </c>
      <c r="BA26" s="15">
        <v>145</v>
      </c>
      <c r="BB26" s="15">
        <v>0.91772</v>
      </c>
      <c r="BC26" s="15">
        <v>0</v>
      </c>
      <c r="BD26" s="15">
        <v>0</v>
      </c>
      <c r="BE26" s="15">
        <v>0.04944</v>
      </c>
      <c r="BF26" s="15">
        <v>70</v>
      </c>
      <c r="BG26" s="15">
        <v>2</v>
      </c>
      <c r="BH26" s="15">
        <v>0</v>
      </c>
      <c r="BI26" s="15"/>
      <c r="BJ26" s="15">
        <v>0</v>
      </c>
      <c r="BK26" s="15">
        <v>0</v>
      </c>
      <c r="BL26" s="15">
        <v>0</v>
      </c>
      <c r="BM26" s="15">
        <v>0</v>
      </c>
      <c r="BN26" s="15"/>
      <c r="BO26" s="15"/>
      <c r="BP26" s="15">
        <v>0</v>
      </c>
      <c r="BQ26" s="15">
        <v>12</v>
      </c>
    </row>
    <row r="27" spans="1:69">
      <c r="A27" s="16">
        <v>46106</v>
      </c>
      <c r="B27" s="15">
        <v>479</v>
      </c>
      <c r="C27" s="15" t="s">
        <v>39</v>
      </c>
      <c r="D27" s="15">
        <v>479</v>
      </c>
      <c r="E27" s="15" t="s">
        <v>39</v>
      </c>
      <c r="F27" s="15">
        <v>53</v>
      </c>
      <c r="G27" s="15">
        <v>27</v>
      </c>
      <c r="H27" s="15">
        <v>15.79</v>
      </c>
      <c r="I27" s="15">
        <v>0.50943</v>
      </c>
      <c r="J27" s="15">
        <v>0.58</v>
      </c>
      <c r="K27" s="15">
        <v>297.86</v>
      </c>
      <c r="L27" s="15">
        <v>0</v>
      </c>
      <c r="M27" s="15">
        <v>0</v>
      </c>
      <c r="N27" s="15">
        <v>0</v>
      </c>
      <c r="O27" s="15">
        <v>0</v>
      </c>
      <c r="P27" s="15">
        <v>0</v>
      </c>
      <c r="Q27" s="15">
        <v>0</v>
      </c>
      <c r="R27" s="15">
        <v>0</v>
      </c>
      <c r="S27" s="15">
        <v>0</v>
      </c>
      <c r="T27" s="15">
        <v>0</v>
      </c>
      <c r="U27" s="15">
        <v>0</v>
      </c>
      <c r="V27" s="15">
        <v>0</v>
      </c>
      <c r="W27" s="15">
        <v>0</v>
      </c>
      <c r="X27" s="15">
        <v>0</v>
      </c>
      <c r="Y27" s="15">
        <v>0</v>
      </c>
      <c r="Z27" s="15">
        <v>0</v>
      </c>
      <c r="AA27" s="15"/>
      <c r="AB27" s="15">
        <v>0</v>
      </c>
      <c r="AC27" s="15">
        <v>0</v>
      </c>
      <c r="AD27" s="15">
        <v>0</v>
      </c>
      <c r="AE27" s="15">
        <v>0</v>
      </c>
      <c r="AF27" s="15">
        <v>0</v>
      </c>
      <c r="AG27" s="15">
        <v>0</v>
      </c>
      <c r="AH27" s="15"/>
      <c r="AI27" s="15">
        <v>0</v>
      </c>
      <c r="AJ27" s="15"/>
      <c r="AK27" s="15">
        <v>0</v>
      </c>
      <c r="AL27" s="15"/>
      <c r="AM27" s="15">
        <v>0</v>
      </c>
      <c r="AN27" s="15"/>
      <c r="AO27" s="15">
        <v>0</v>
      </c>
      <c r="AP27" s="15"/>
      <c r="AQ27" s="15">
        <v>0</v>
      </c>
      <c r="AR27" s="15">
        <v>0</v>
      </c>
      <c r="AS27" s="15">
        <v>0</v>
      </c>
      <c r="AT27" s="15">
        <v>0</v>
      </c>
      <c r="AU27" s="15">
        <v>0</v>
      </c>
      <c r="AV27" s="15">
        <v>0</v>
      </c>
      <c r="AW27" s="15">
        <v>0</v>
      </c>
      <c r="AX27" s="15">
        <v>1</v>
      </c>
      <c r="AY27" s="15">
        <v>241</v>
      </c>
      <c r="AZ27" s="15">
        <v>22</v>
      </c>
      <c r="BA27" s="15">
        <v>15</v>
      </c>
      <c r="BB27" s="15">
        <v>0.68182</v>
      </c>
      <c r="BC27" s="15">
        <v>0</v>
      </c>
      <c r="BD27" s="15">
        <v>0</v>
      </c>
      <c r="BE27" s="15">
        <v>4.54717</v>
      </c>
      <c r="BF27" s="15">
        <v>213</v>
      </c>
      <c r="BG27" s="15">
        <v>11</v>
      </c>
      <c r="BH27" s="15">
        <v>0</v>
      </c>
      <c r="BI27" s="15"/>
      <c r="BJ27" s="15">
        <v>0</v>
      </c>
      <c r="BK27" s="15">
        <v>0</v>
      </c>
      <c r="BL27" s="15">
        <v>0</v>
      </c>
      <c r="BM27" s="15">
        <v>0</v>
      </c>
      <c r="BN27" s="15"/>
      <c r="BO27" s="15"/>
      <c r="BP27" s="15">
        <v>0</v>
      </c>
      <c r="BQ27" s="15">
        <v>22</v>
      </c>
    </row>
    <row r="28" spans="1:69">
      <c r="A28" s="16">
        <v>46106</v>
      </c>
      <c r="B28" s="15">
        <v>436</v>
      </c>
      <c r="C28" s="15" t="s">
        <v>38</v>
      </c>
      <c r="D28" s="15">
        <v>436</v>
      </c>
      <c r="E28" s="15" t="s">
        <v>38</v>
      </c>
      <c r="F28" s="15">
        <v>1908</v>
      </c>
      <c r="G28" s="15">
        <v>77</v>
      </c>
      <c r="H28" s="15">
        <v>110</v>
      </c>
      <c r="I28" s="15">
        <v>0.04036</v>
      </c>
      <c r="J28" s="15">
        <v>1.43</v>
      </c>
      <c r="K28" s="15">
        <v>57.65</v>
      </c>
      <c r="L28" s="15">
        <v>0</v>
      </c>
      <c r="M28" s="15">
        <v>0</v>
      </c>
      <c r="N28" s="15">
        <v>0</v>
      </c>
      <c r="O28" s="15">
        <v>0</v>
      </c>
      <c r="P28" s="15">
        <v>0</v>
      </c>
      <c r="Q28" s="15">
        <v>0</v>
      </c>
      <c r="R28" s="15">
        <v>147.64</v>
      </c>
      <c r="S28" s="15">
        <v>0</v>
      </c>
      <c r="T28" s="15">
        <v>147.64</v>
      </c>
      <c r="U28" s="15">
        <v>1</v>
      </c>
      <c r="V28" s="15">
        <v>1</v>
      </c>
      <c r="W28" s="15">
        <v>0</v>
      </c>
      <c r="X28" s="15">
        <v>0.01299</v>
      </c>
      <c r="Y28" s="15">
        <v>1.34</v>
      </c>
      <c r="Z28" s="15">
        <v>1.34</v>
      </c>
      <c r="AA28" s="15">
        <v>110</v>
      </c>
      <c r="AB28" s="15">
        <v>5</v>
      </c>
      <c r="AC28" s="15">
        <v>4</v>
      </c>
      <c r="AD28" s="15">
        <v>1</v>
      </c>
      <c r="AE28" s="15">
        <v>0.06494</v>
      </c>
      <c r="AF28" s="15">
        <v>1</v>
      </c>
      <c r="AG28" s="15">
        <v>2</v>
      </c>
      <c r="AH28" s="15">
        <v>55</v>
      </c>
      <c r="AI28" s="15">
        <v>8</v>
      </c>
      <c r="AJ28" s="15">
        <v>13.75</v>
      </c>
      <c r="AK28" s="15">
        <v>6</v>
      </c>
      <c r="AL28" s="15">
        <v>18.33</v>
      </c>
      <c r="AM28" s="15">
        <v>3</v>
      </c>
      <c r="AN28" s="15">
        <v>110</v>
      </c>
      <c r="AO28" s="15">
        <v>0.01299</v>
      </c>
      <c r="AP28" s="15">
        <v>22</v>
      </c>
      <c r="AQ28" s="15">
        <v>2</v>
      </c>
      <c r="AR28" s="15">
        <v>187</v>
      </c>
      <c r="AS28" s="15">
        <v>1</v>
      </c>
      <c r="AT28" s="15">
        <v>0</v>
      </c>
      <c r="AU28" s="15">
        <v>0</v>
      </c>
      <c r="AV28" s="15">
        <v>0</v>
      </c>
      <c r="AW28" s="15">
        <v>0</v>
      </c>
      <c r="AX28" s="15">
        <v>1</v>
      </c>
      <c r="AY28" s="15">
        <v>163</v>
      </c>
      <c r="AZ28" s="15">
        <v>67</v>
      </c>
      <c r="BA28" s="15">
        <v>47</v>
      </c>
      <c r="BB28" s="15">
        <v>0.70149</v>
      </c>
      <c r="BC28" s="15">
        <v>0</v>
      </c>
      <c r="BD28" s="15">
        <v>0</v>
      </c>
      <c r="BE28" s="15">
        <v>0.08543</v>
      </c>
      <c r="BF28" s="15">
        <v>82</v>
      </c>
      <c r="BG28" s="15">
        <v>2</v>
      </c>
      <c r="BH28" s="15">
        <v>1</v>
      </c>
      <c r="BI28" s="15">
        <v>1</v>
      </c>
      <c r="BJ28" s="15">
        <v>0</v>
      </c>
      <c r="BK28" s="15">
        <v>0</v>
      </c>
      <c r="BL28" s="15">
        <v>0</v>
      </c>
      <c r="BM28" s="15">
        <v>1</v>
      </c>
      <c r="BN28" s="15">
        <v>1</v>
      </c>
      <c r="BO28" s="15">
        <v>147.64</v>
      </c>
      <c r="BP28" s="15">
        <v>0</v>
      </c>
      <c r="BQ28" s="15">
        <v>779</v>
      </c>
    </row>
    <row r="29" spans="1:69">
      <c r="A29" s="16">
        <v>46106</v>
      </c>
      <c r="B29" s="15">
        <v>183</v>
      </c>
      <c r="C29" s="15" t="s">
        <v>40</v>
      </c>
      <c r="D29" s="15">
        <v>183</v>
      </c>
      <c r="E29" s="15" t="s">
        <v>40</v>
      </c>
      <c r="F29" s="15">
        <v>8005</v>
      </c>
      <c r="G29" s="15">
        <v>173</v>
      </c>
      <c r="H29" s="15">
        <v>311.95</v>
      </c>
      <c r="I29" s="15">
        <v>0.02161</v>
      </c>
      <c r="J29" s="15">
        <v>1.8</v>
      </c>
      <c r="K29" s="15">
        <v>38.97</v>
      </c>
      <c r="L29" s="15">
        <v>0</v>
      </c>
      <c r="M29" s="15">
        <v>0</v>
      </c>
      <c r="N29" s="15">
        <v>0</v>
      </c>
      <c r="O29" s="15">
        <v>0</v>
      </c>
      <c r="P29" s="15">
        <v>0</v>
      </c>
      <c r="Q29" s="15">
        <v>0</v>
      </c>
      <c r="R29" s="15">
        <v>0</v>
      </c>
      <c r="S29" s="15">
        <v>520.06</v>
      </c>
      <c r="T29" s="15">
        <v>520.06</v>
      </c>
      <c r="U29" s="15">
        <v>2</v>
      </c>
      <c r="V29" s="15">
        <v>0</v>
      </c>
      <c r="W29" s="15">
        <v>2</v>
      </c>
      <c r="X29" s="15">
        <v>0.01156</v>
      </c>
      <c r="Y29" s="15">
        <v>1.67</v>
      </c>
      <c r="Z29" s="15">
        <v>1.67</v>
      </c>
      <c r="AA29" s="15">
        <v>155.98</v>
      </c>
      <c r="AB29" s="15">
        <v>5</v>
      </c>
      <c r="AC29" s="15">
        <v>4</v>
      </c>
      <c r="AD29" s="15">
        <v>1</v>
      </c>
      <c r="AE29" s="15">
        <v>0.0289</v>
      </c>
      <c r="AF29" s="15">
        <v>1</v>
      </c>
      <c r="AG29" s="15">
        <v>1</v>
      </c>
      <c r="AH29" s="15">
        <v>311.95</v>
      </c>
      <c r="AI29" s="15">
        <v>7</v>
      </c>
      <c r="AJ29" s="15">
        <v>44.56</v>
      </c>
      <c r="AK29" s="15">
        <v>6</v>
      </c>
      <c r="AL29" s="15">
        <v>51.99</v>
      </c>
      <c r="AM29" s="15">
        <v>2</v>
      </c>
      <c r="AN29" s="15">
        <v>311.95</v>
      </c>
      <c r="AO29" s="15">
        <v>0.00578</v>
      </c>
      <c r="AP29" s="15">
        <v>62.39</v>
      </c>
      <c r="AQ29" s="15">
        <v>4</v>
      </c>
      <c r="AR29" s="15">
        <v>697.8</v>
      </c>
      <c r="AS29" s="15">
        <v>1</v>
      </c>
      <c r="AT29" s="15">
        <v>0</v>
      </c>
      <c r="AU29" s="15">
        <v>0</v>
      </c>
      <c r="AV29" s="15">
        <v>0</v>
      </c>
      <c r="AW29" s="15">
        <v>0</v>
      </c>
      <c r="AX29" s="15">
        <v>1</v>
      </c>
      <c r="AY29" s="15">
        <v>805</v>
      </c>
      <c r="AZ29" s="15">
        <v>291</v>
      </c>
      <c r="BA29" s="15">
        <v>220</v>
      </c>
      <c r="BB29" s="15">
        <v>0.75601</v>
      </c>
      <c r="BC29" s="15">
        <v>0</v>
      </c>
      <c r="BD29" s="15">
        <v>0</v>
      </c>
      <c r="BE29" s="15">
        <v>0.10056</v>
      </c>
      <c r="BF29" s="15">
        <v>292</v>
      </c>
      <c r="BG29" s="15">
        <v>3</v>
      </c>
      <c r="BH29" s="15">
        <v>1</v>
      </c>
      <c r="BI29" s="15">
        <v>1</v>
      </c>
      <c r="BJ29" s="15">
        <v>0</v>
      </c>
      <c r="BK29" s="15">
        <v>0</v>
      </c>
      <c r="BL29" s="15">
        <v>0</v>
      </c>
      <c r="BM29" s="15">
        <v>1</v>
      </c>
      <c r="BN29" s="15">
        <v>2</v>
      </c>
      <c r="BO29" s="15">
        <v>520.06</v>
      </c>
      <c r="BP29" s="15">
        <v>1.49</v>
      </c>
      <c r="BQ29" s="15">
        <v>528</v>
      </c>
    </row>
    <row r="30" spans="1:69">
      <c r="A30" s="16">
        <v>46105</v>
      </c>
      <c r="B30" s="15">
        <v>371</v>
      </c>
      <c r="C30" s="15" t="s">
        <v>32</v>
      </c>
      <c r="D30" s="15">
        <v>371</v>
      </c>
      <c r="E30" s="15" t="s">
        <v>32</v>
      </c>
      <c r="F30" s="15">
        <v>5178</v>
      </c>
      <c r="G30" s="15">
        <v>176</v>
      </c>
      <c r="H30" s="15">
        <v>54.52</v>
      </c>
      <c r="I30" s="15">
        <v>0.03399</v>
      </c>
      <c r="J30" s="15">
        <v>0.31</v>
      </c>
      <c r="K30" s="15">
        <v>10.53</v>
      </c>
      <c r="L30" s="15">
        <v>0</v>
      </c>
      <c r="M30" s="15">
        <v>0</v>
      </c>
      <c r="N30" s="15">
        <v>0</v>
      </c>
      <c r="O30" s="15">
        <v>0</v>
      </c>
      <c r="P30" s="15">
        <v>0</v>
      </c>
      <c r="Q30" s="15">
        <v>0</v>
      </c>
      <c r="R30" s="15">
        <v>0</v>
      </c>
      <c r="S30" s="15">
        <v>0</v>
      </c>
      <c r="T30" s="15">
        <v>0</v>
      </c>
      <c r="U30" s="15">
        <v>0</v>
      </c>
      <c r="V30" s="15">
        <v>0</v>
      </c>
      <c r="W30" s="15">
        <v>0</v>
      </c>
      <c r="X30" s="15">
        <v>0</v>
      </c>
      <c r="Y30" s="15">
        <v>0</v>
      </c>
      <c r="Z30" s="15">
        <v>0</v>
      </c>
      <c r="AA30" s="15"/>
      <c r="AB30" s="15">
        <v>6</v>
      </c>
      <c r="AC30" s="15">
        <v>0</v>
      </c>
      <c r="AD30" s="15">
        <v>6</v>
      </c>
      <c r="AE30" s="15">
        <v>0.03409</v>
      </c>
      <c r="AF30" s="15">
        <v>0</v>
      </c>
      <c r="AG30" s="15">
        <v>0</v>
      </c>
      <c r="AH30" s="15"/>
      <c r="AI30" s="15">
        <v>6</v>
      </c>
      <c r="AJ30" s="15">
        <v>9.09</v>
      </c>
      <c r="AK30" s="15">
        <v>6</v>
      </c>
      <c r="AL30" s="15">
        <v>9.09</v>
      </c>
      <c r="AM30" s="15">
        <v>0</v>
      </c>
      <c r="AN30" s="15"/>
      <c r="AO30" s="15">
        <v>0</v>
      </c>
      <c r="AP30" s="15">
        <v>9.09</v>
      </c>
      <c r="AQ30" s="15">
        <v>0</v>
      </c>
      <c r="AR30" s="15">
        <v>0</v>
      </c>
      <c r="AS30" s="15">
        <v>0</v>
      </c>
      <c r="AT30" s="15">
        <v>0</v>
      </c>
      <c r="AU30" s="15">
        <v>0</v>
      </c>
      <c r="AV30" s="15">
        <v>0</v>
      </c>
      <c r="AW30" s="15">
        <v>0</v>
      </c>
      <c r="AX30" s="15">
        <v>0</v>
      </c>
      <c r="AY30" s="15">
        <v>530</v>
      </c>
      <c r="AZ30" s="15">
        <v>165</v>
      </c>
      <c r="BA30" s="15">
        <v>148</v>
      </c>
      <c r="BB30" s="15">
        <v>0.89697</v>
      </c>
      <c r="BC30" s="15">
        <v>0</v>
      </c>
      <c r="BD30" s="15">
        <v>0</v>
      </c>
      <c r="BE30" s="15">
        <v>0.10236</v>
      </c>
      <c r="BF30" s="15">
        <v>308</v>
      </c>
      <c r="BG30" s="15">
        <v>3</v>
      </c>
      <c r="BH30" s="15">
        <v>0</v>
      </c>
      <c r="BI30" s="15"/>
      <c r="BJ30" s="15">
        <v>0</v>
      </c>
      <c r="BK30" s="15">
        <v>0</v>
      </c>
      <c r="BL30" s="15">
        <v>0</v>
      </c>
      <c r="BM30" s="15">
        <v>0</v>
      </c>
      <c r="BN30" s="15"/>
      <c r="BO30" s="15"/>
      <c r="BP30" s="15">
        <v>0</v>
      </c>
      <c r="BQ30" s="15">
        <v>184</v>
      </c>
    </row>
    <row r="31" spans="1:69">
      <c r="A31" s="16">
        <v>46105</v>
      </c>
      <c r="B31" s="15">
        <v>183</v>
      </c>
      <c r="C31" s="15" t="s">
        <v>40</v>
      </c>
      <c r="D31" s="15">
        <v>183</v>
      </c>
      <c r="E31" s="15" t="s">
        <v>40</v>
      </c>
      <c r="F31" s="15">
        <v>7151</v>
      </c>
      <c r="G31" s="15">
        <v>152</v>
      </c>
      <c r="H31" s="15">
        <v>200</v>
      </c>
      <c r="I31" s="15">
        <v>0.02126</v>
      </c>
      <c r="J31" s="15">
        <v>1.32</v>
      </c>
      <c r="K31" s="15">
        <v>27.97</v>
      </c>
      <c r="L31" s="15">
        <v>0</v>
      </c>
      <c r="M31" s="15">
        <v>0</v>
      </c>
      <c r="N31" s="15">
        <v>0</v>
      </c>
      <c r="O31" s="15">
        <v>0</v>
      </c>
      <c r="P31" s="15">
        <v>0</v>
      </c>
      <c r="Q31" s="15">
        <v>0</v>
      </c>
      <c r="R31" s="15">
        <v>0</v>
      </c>
      <c r="S31" s="15">
        <v>0</v>
      </c>
      <c r="T31" s="15">
        <v>0</v>
      </c>
      <c r="U31" s="15">
        <v>0</v>
      </c>
      <c r="V31" s="15">
        <v>0</v>
      </c>
      <c r="W31" s="15">
        <v>0</v>
      </c>
      <c r="X31" s="15">
        <v>0</v>
      </c>
      <c r="Y31" s="15">
        <v>0</v>
      </c>
      <c r="Z31" s="15">
        <v>0</v>
      </c>
      <c r="AA31" s="15"/>
      <c r="AB31" s="15">
        <v>2</v>
      </c>
      <c r="AC31" s="15">
        <v>2</v>
      </c>
      <c r="AD31" s="15">
        <v>0</v>
      </c>
      <c r="AE31" s="15">
        <v>0.01316</v>
      </c>
      <c r="AF31" s="15">
        <v>3</v>
      </c>
      <c r="AG31" s="15">
        <v>0</v>
      </c>
      <c r="AH31" s="15"/>
      <c r="AI31" s="15">
        <v>5</v>
      </c>
      <c r="AJ31" s="15">
        <v>40</v>
      </c>
      <c r="AK31" s="15">
        <v>5</v>
      </c>
      <c r="AL31" s="15">
        <v>40</v>
      </c>
      <c r="AM31" s="15">
        <v>3</v>
      </c>
      <c r="AN31" s="15">
        <v>66.67</v>
      </c>
      <c r="AO31" s="15">
        <v>0.01974</v>
      </c>
      <c r="AP31" s="15">
        <v>100</v>
      </c>
      <c r="AQ31" s="15">
        <v>0</v>
      </c>
      <c r="AR31" s="15">
        <v>0</v>
      </c>
      <c r="AS31" s="15">
        <v>3</v>
      </c>
      <c r="AT31" s="15">
        <v>0</v>
      </c>
      <c r="AU31" s="15">
        <v>0</v>
      </c>
      <c r="AV31" s="15">
        <v>0</v>
      </c>
      <c r="AW31" s="15">
        <v>0</v>
      </c>
      <c r="AX31" s="15">
        <v>1</v>
      </c>
      <c r="AY31" s="15">
        <v>412</v>
      </c>
      <c r="AZ31" s="15">
        <v>143</v>
      </c>
      <c r="BA31" s="15">
        <v>92</v>
      </c>
      <c r="BB31" s="15">
        <v>0.64336</v>
      </c>
      <c r="BC31" s="15">
        <v>0</v>
      </c>
      <c r="BD31" s="15">
        <v>0</v>
      </c>
      <c r="BE31" s="15">
        <v>0.05761</v>
      </c>
      <c r="BF31" s="15">
        <v>147</v>
      </c>
      <c r="BG31" s="15">
        <v>3</v>
      </c>
      <c r="BH31" s="15">
        <v>0</v>
      </c>
      <c r="BI31" s="15"/>
      <c r="BJ31" s="15">
        <v>0</v>
      </c>
      <c r="BK31" s="15">
        <v>0</v>
      </c>
      <c r="BL31" s="15">
        <v>0</v>
      </c>
      <c r="BM31" s="15">
        <v>0</v>
      </c>
      <c r="BN31" s="15"/>
      <c r="BO31" s="15"/>
      <c r="BP31" s="15">
        <v>0</v>
      </c>
      <c r="BQ31" s="15">
        <v>265</v>
      </c>
    </row>
    <row r="32" spans="1:69">
      <c r="A32" s="16">
        <v>46105</v>
      </c>
      <c r="B32" s="15">
        <v>479</v>
      </c>
      <c r="C32" s="15" t="s">
        <v>39</v>
      </c>
      <c r="D32" s="15">
        <v>479</v>
      </c>
      <c r="E32" s="15" t="s">
        <v>39</v>
      </c>
      <c r="F32" s="15">
        <v>50</v>
      </c>
      <c r="G32" s="15">
        <v>19</v>
      </c>
      <c r="H32" s="15">
        <v>15.12</v>
      </c>
      <c r="I32" s="15">
        <v>0.38</v>
      </c>
      <c r="J32" s="15">
        <v>0.8</v>
      </c>
      <c r="K32" s="15">
        <v>302.42</v>
      </c>
      <c r="L32" s="15">
        <v>0</v>
      </c>
      <c r="M32" s="15">
        <v>0</v>
      </c>
      <c r="N32" s="15">
        <v>0</v>
      </c>
      <c r="O32" s="15">
        <v>0</v>
      </c>
      <c r="P32" s="15">
        <v>0</v>
      </c>
      <c r="Q32" s="15">
        <v>0</v>
      </c>
      <c r="R32" s="15">
        <v>0</v>
      </c>
      <c r="S32" s="15">
        <v>69.3</v>
      </c>
      <c r="T32" s="15">
        <v>69.3</v>
      </c>
      <c r="U32" s="15">
        <v>3</v>
      </c>
      <c r="V32" s="15">
        <v>0</v>
      </c>
      <c r="W32" s="15">
        <v>3</v>
      </c>
      <c r="X32" s="15">
        <v>0.15789</v>
      </c>
      <c r="Y32" s="15">
        <v>4.58</v>
      </c>
      <c r="Z32" s="15">
        <v>4.58</v>
      </c>
      <c r="AA32" s="15">
        <v>5.04</v>
      </c>
      <c r="AB32" s="15">
        <v>11</v>
      </c>
      <c r="AC32" s="15">
        <v>0</v>
      </c>
      <c r="AD32" s="15">
        <v>11</v>
      </c>
      <c r="AE32" s="15">
        <v>0.57895</v>
      </c>
      <c r="AF32" s="15">
        <v>0</v>
      </c>
      <c r="AG32" s="15">
        <v>1</v>
      </c>
      <c r="AH32" s="15">
        <v>15.12</v>
      </c>
      <c r="AI32" s="15">
        <v>12</v>
      </c>
      <c r="AJ32" s="15">
        <v>1.26</v>
      </c>
      <c r="AK32" s="15">
        <v>11</v>
      </c>
      <c r="AL32" s="15">
        <v>1.37</v>
      </c>
      <c r="AM32" s="15">
        <v>1</v>
      </c>
      <c r="AN32" s="15"/>
      <c r="AO32" s="15">
        <v>0</v>
      </c>
      <c r="AP32" s="15">
        <v>1.37</v>
      </c>
      <c r="AQ32" s="15">
        <v>3</v>
      </c>
      <c r="AR32" s="15">
        <v>77</v>
      </c>
      <c r="AS32" s="15">
        <v>0</v>
      </c>
      <c r="AT32" s="15">
        <v>0</v>
      </c>
      <c r="AU32" s="15">
        <v>0</v>
      </c>
      <c r="AV32" s="15">
        <v>0</v>
      </c>
      <c r="AW32" s="15">
        <v>0</v>
      </c>
      <c r="AX32" s="15">
        <v>2</v>
      </c>
      <c r="AY32" s="15">
        <v>258</v>
      </c>
      <c r="AZ32" s="15">
        <v>18</v>
      </c>
      <c r="BA32" s="15">
        <v>9</v>
      </c>
      <c r="BB32" s="15">
        <v>0.5</v>
      </c>
      <c r="BC32" s="15">
        <v>0</v>
      </c>
      <c r="BD32" s="15">
        <v>0</v>
      </c>
      <c r="BE32" s="15">
        <v>5.16</v>
      </c>
      <c r="BF32" s="15">
        <v>236</v>
      </c>
      <c r="BG32" s="15">
        <v>14</v>
      </c>
      <c r="BH32" s="15">
        <v>2</v>
      </c>
      <c r="BI32" s="15">
        <v>1</v>
      </c>
      <c r="BJ32" s="15">
        <v>0</v>
      </c>
      <c r="BK32" s="15">
        <v>0</v>
      </c>
      <c r="BL32" s="15">
        <v>0</v>
      </c>
      <c r="BM32" s="15">
        <v>2</v>
      </c>
      <c r="BN32" s="15">
        <v>2</v>
      </c>
      <c r="BO32" s="15">
        <v>34.65</v>
      </c>
      <c r="BP32" s="15">
        <v>1.4</v>
      </c>
      <c r="BQ32" s="15">
        <v>298</v>
      </c>
    </row>
    <row r="33" spans="1:69">
      <c r="A33" s="16">
        <v>46105</v>
      </c>
      <c r="B33" s="15">
        <v>436</v>
      </c>
      <c r="C33" s="15" t="s">
        <v>38</v>
      </c>
      <c r="D33" s="15">
        <v>436</v>
      </c>
      <c r="E33" s="15" t="s">
        <v>38</v>
      </c>
      <c r="F33" s="15">
        <v>1221</v>
      </c>
      <c r="G33" s="15">
        <v>61</v>
      </c>
      <c r="H33" s="15">
        <v>110</v>
      </c>
      <c r="I33" s="15">
        <v>0.04996</v>
      </c>
      <c r="J33" s="15">
        <v>1.8</v>
      </c>
      <c r="K33" s="15">
        <v>90.09</v>
      </c>
      <c r="L33" s="15">
        <v>0</v>
      </c>
      <c r="M33" s="15">
        <v>0</v>
      </c>
      <c r="N33" s="15">
        <v>0</v>
      </c>
      <c r="O33" s="15">
        <v>0</v>
      </c>
      <c r="P33" s="15">
        <v>0</v>
      </c>
      <c r="Q33" s="15">
        <v>0</v>
      </c>
      <c r="R33" s="15">
        <v>84.15</v>
      </c>
      <c r="S33" s="15">
        <v>258.07</v>
      </c>
      <c r="T33" s="15">
        <v>342.22</v>
      </c>
      <c r="U33" s="15">
        <v>5</v>
      </c>
      <c r="V33" s="15">
        <v>1</v>
      </c>
      <c r="W33" s="15">
        <v>4</v>
      </c>
      <c r="X33" s="15">
        <v>0.08197</v>
      </c>
      <c r="Y33" s="15">
        <v>3.11</v>
      </c>
      <c r="Z33" s="15">
        <v>3.11</v>
      </c>
      <c r="AA33" s="15">
        <v>22</v>
      </c>
      <c r="AB33" s="15">
        <v>23</v>
      </c>
      <c r="AC33" s="15">
        <v>5</v>
      </c>
      <c r="AD33" s="15">
        <v>18</v>
      </c>
      <c r="AE33" s="15">
        <v>0.37705</v>
      </c>
      <c r="AF33" s="15">
        <v>1</v>
      </c>
      <c r="AG33" s="15">
        <v>3</v>
      </c>
      <c r="AH33" s="15">
        <v>36.67</v>
      </c>
      <c r="AI33" s="15">
        <v>27</v>
      </c>
      <c r="AJ33" s="15">
        <v>4.07</v>
      </c>
      <c r="AK33" s="15">
        <v>24</v>
      </c>
      <c r="AL33" s="15">
        <v>4.58</v>
      </c>
      <c r="AM33" s="15">
        <v>4</v>
      </c>
      <c r="AN33" s="15">
        <v>110</v>
      </c>
      <c r="AO33" s="15">
        <v>0.01639</v>
      </c>
      <c r="AP33" s="15">
        <v>4.78</v>
      </c>
      <c r="AQ33" s="15">
        <v>7</v>
      </c>
      <c r="AR33" s="15">
        <v>465.7</v>
      </c>
      <c r="AS33" s="15">
        <v>1</v>
      </c>
      <c r="AT33" s="15">
        <v>0</v>
      </c>
      <c r="AU33" s="15">
        <v>0</v>
      </c>
      <c r="AV33" s="15">
        <v>0</v>
      </c>
      <c r="AW33" s="15">
        <v>0</v>
      </c>
      <c r="AX33" s="15">
        <v>3</v>
      </c>
      <c r="AY33" s="15">
        <v>231</v>
      </c>
      <c r="AZ33" s="15">
        <v>50</v>
      </c>
      <c r="BA33" s="15">
        <v>27</v>
      </c>
      <c r="BB33" s="15">
        <v>0.54</v>
      </c>
      <c r="BC33" s="15">
        <v>0</v>
      </c>
      <c r="BD33" s="15">
        <v>0</v>
      </c>
      <c r="BE33" s="15">
        <v>0.18919</v>
      </c>
      <c r="BF33" s="15">
        <v>166</v>
      </c>
      <c r="BG33" s="15">
        <v>5</v>
      </c>
      <c r="BH33" s="15">
        <v>2</v>
      </c>
      <c r="BI33" s="15">
        <v>1</v>
      </c>
      <c r="BJ33" s="15">
        <v>0</v>
      </c>
      <c r="BK33" s="15">
        <v>0</v>
      </c>
      <c r="BL33" s="15">
        <v>0</v>
      </c>
      <c r="BM33" s="15">
        <v>2</v>
      </c>
      <c r="BN33" s="15">
        <v>3</v>
      </c>
      <c r="BO33" s="15">
        <v>171.11</v>
      </c>
      <c r="BP33" s="15">
        <v>83.72</v>
      </c>
      <c r="BQ33" s="15">
        <v>1004</v>
      </c>
    </row>
    <row r="34" spans="1:69">
      <c r="A34" s="16">
        <v>46104</v>
      </c>
      <c r="B34" s="15">
        <v>479</v>
      </c>
      <c r="C34" s="15" t="s">
        <v>39</v>
      </c>
      <c r="D34" s="15">
        <v>479</v>
      </c>
      <c r="E34" s="15" t="s">
        <v>39</v>
      </c>
      <c r="F34" s="15">
        <v>49</v>
      </c>
      <c r="G34" s="15">
        <v>23</v>
      </c>
      <c r="H34" s="15">
        <v>14.37</v>
      </c>
      <c r="I34" s="15">
        <v>0.46939</v>
      </c>
      <c r="J34" s="15">
        <v>0.62</v>
      </c>
      <c r="K34" s="15">
        <v>293.36</v>
      </c>
      <c r="L34" s="15">
        <v>0</v>
      </c>
      <c r="M34" s="15">
        <v>0</v>
      </c>
      <c r="N34" s="15">
        <v>0</v>
      </c>
      <c r="O34" s="15">
        <v>0</v>
      </c>
      <c r="P34" s="15">
        <v>0</v>
      </c>
      <c r="Q34" s="15">
        <v>0</v>
      </c>
      <c r="R34" s="15">
        <v>0</v>
      </c>
      <c r="S34" s="15">
        <v>0</v>
      </c>
      <c r="T34" s="15">
        <v>0</v>
      </c>
      <c r="U34" s="15">
        <v>0</v>
      </c>
      <c r="V34" s="15">
        <v>0</v>
      </c>
      <c r="W34" s="15">
        <v>0</v>
      </c>
      <c r="X34" s="15">
        <v>0</v>
      </c>
      <c r="Y34" s="15">
        <v>0</v>
      </c>
      <c r="Z34" s="15">
        <v>0</v>
      </c>
      <c r="AA34" s="15"/>
      <c r="AB34" s="15">
        <v>4</v>
      </c>
      <c r="AC34" s="15">
        <v>0</v>
      </c>
      <c r="AD34" s="15">
        <v>4</v>
      </c>
      <c r="AE34" s="15">
        <v>0.17391</v>
      </c>
      <c r="AF34" s="15">
        <v>2</v>
      </c>
      <c r="AG34" s="15">
        <v>3</v>
      </c>
      <c r="AH34" s="15">
        <v>4.79</v>
      </c>
      <c r="AI34" s="15">
        <v>9</v>
      </c>
      <c r="AJ34" s="15">
        <v>1.6</v>
      </c>
      <c r="AK34" s="15">
        <v>6</v>
      </c>
      <c r="AL34" s="15">
        <v>2.4</v>
      </c>
      <c r="AM34" s="15">
        <v>5</v>
      </c>
      <c r="AN34" s="15">
        <v>7.19</v>
      </c>
      <c r="AO34" s="15">
        <v>0.08696</v>
      </c>
      <c r="AP34" s="15">
        <v>3.59</v>
      </c>
      <c r="AQ34" s="15">
        <v>0</v>
      </c>
      <c r="AR34" s="15">
        <v>0</v>
      </c>
      <c r="AS34" s="15">
        <v>1</v>
      </c>
      <c r="AT34" s="15">
        <v>1</v>
      </c>
      <c r="AU34" s="15">
        <v>0</v>
      </c>
      <c r="AV34" s="15">
        <v>0</v>
      </c>
      <c r="AW34" s="15">
        <v>0</v>
      </c>
      <c r="AX34" s="15">
        <v>1</v>
      </c>
      <c r="AY34" s="15">
        <v>169</v>
      </c>
      <c r="AZ34" s="15">
        <v>21</v>
      </c>
      <c r="BA34" s="15">
        <v>14</v>
      </c>
      <c r="BB34" s="15">
        <v>0.66667</v>
      </c>
      <c r="BC34" s="15">
        <v>0</v>
      </c>
      <c r="BD34" s="15">
        <v>0</v>
      </c>
      <c r="BE34" s="15">
        <v>3.44898</v>
      </c>
      <c r="BF34" s="15">
        <v>144</v>
      </c>
      <c r="BG34" s="15">
        <v>8</v>
      </c>
      <c r="BH34" s="15">
        <v>0</v>
      </c>
      <c r="BI34" s="15"/>
      <c r="BJ34" s="15">
        <v>0</v>
      </c>
      <c r="BK34" s="15">
        <v>0</v>
      </c>
      <c r="BL34" s="15">
        <v>0</v>
      </c>
      <c r="BM34" s="15">
        <v>0</v>
      </c>
      <c r="BN34" s="15"/>
      <c r="BO34" s="15"/>
      <c r="BP34" s="15">
        <v>2.53</v>
      </c>
      <c r="BQ34" s="15">
        <v>189</v>
      </c>
    </row>
    <row r="35" spans="1:69">
      <c r="A35" s="16">
        <v>46104</v>
      </c>
      <c r="B35" s="15">
        <v>436</v>
      </c>
      <c r="C35" s="15" t="s">
        <v>38</v>
      </c>
      <c r="D35" s="15">
        <v>436</v>
      </c>
      <c r="E35" s="15" t="s">
        <v>38</v>
      </c>
      <c r="F35" s="15">
        <v>2231</v>
      </c>
      <c r="G35" s="15">
        <v>77</v>
      </c>
      <c r="H35" s="15">
        <v>110</v>
      </c>
      <c r="I35" s="15">
        <v>0.03451</v>
      </c>
      <c r="J35" s="15">
        <v>1.43</v>
      </c>
      <c r="K35" s="15">
        <v>49.31</v>
      </c>
      <c r="L35" s="15">
        <v>0</v>
      </c>
      <c r="M35" s="15">
        <v>0</v>
      </c>
      <c r="N35" s="15">
        <v>0</v>
      </c>
      <c r="O35" s="15">
        <v>0</v>
      </c>
      <c r="P35" s="15">
        <v>0</v>
      </c>
      <c r="Q35" s="15">
        <v>0</v>
      </c>
      <c r="R35" s="15">
        <v>0</v>
      </c>
      <c r="S35" s="15">
        <v>0</v>
      </c>
      <c r="T35" s="15">
        <v>0</v>
      </c>
      <c r="U35" s="15">
        <v>0</v>
      </c>
      <c r="V35" s="15">
        <v>0</v>
      </c>
      <c r="W35" s="15">
        <v>0</v>
      </c>
      <c r="X35" s="15">
        <v>0</v>
      </c>
      <c r="Y35" s="15">
        <v>0</v>
      </c>
      <c r="Z35" s="15">
        <v>0</v>
      </c>
      <c r="AA35" s="15"/>
      <c r="AB35" s="15">
        <v>4</v>
      </c>
      <c r="AC35" s="15">
        <v>3</v>
      </c>
      <c r="AD35" s="15">
        <v>1</v>
      </c>
      <c r="AE35" s="15">
        <v>0.05195</v>
      </c>
      <c r="AF35" s="15">
        <v>3</v>
      </c>
      <c r="AG35" s="15">
        <v>0</v>
      </c>
      <c r="AH35" s="15"/>
      <c r="AI35" s="15">
        <v>7</v>
      </c>
      <c r="AJ35" s="15">
        <v>15.71</v>
      </c>
      <c r="AK35" s="15">
        <v>7</v>
      </c>
      <c r="AL35" s="15">
        <v>15.71</v>
      </c>
      <c r="AM35" s="15">
        <v>3</v>
      </c>
      <c r="AN35" s="15">
        <v>36.67</v>
      </c>
      <c r="AO35" s="15">
        <v>0.03896</v>
      </c>
      <c r="AP35" s="15">
        <v>27.5</v>
      </c>
      <c r="AQ35" s="15">
        <v>0</v>
      </c>
      <c r="AR35" s="15">
        <v>0</v>
      </c>
      <c r="AS35" s="15">
        <v>2</v>
      </c>
      <c r="AT35" s="15">
        <v>1</v>
      </c>
      <c r="AU35" s="15">
        <v>0</v>
      </c>
      <c r="AV35" s="15">
        <v>0</v>
      </c>
      <c r="AW35" s="15">
        <v>0</v>
      </c>
      <c r="AX35" s="15">
        <v>2</v>
      </c>
      <c r="AY35" s="15">
        <v>184</v>
      </c>
      <c r="AZ35" s="15">
        <v>57</v>
      </c>
      <c r="BA35" s="15">
        <v>41</v>
      </c>
      <c r="BB35" s="15">
        <v>0.7193</v>
      </c>
      <c r="BC35" s="15">
        <v>0</v>
      </c>
      <c r="BD35" s="15">
        <v>0</v>
      </c>
      <c r="BE35" s="15">
        <v>0.08247</v>
      </c>
      <c r="BF35" s="15">
        <v>102</v>
      </c>
      <c r="BG35" s="15">
        <v>3</v>
      </c>
      <c r="BH35" s="15">
        <v>0</v>
      </c>
      <c r="BI35" s="15"/>
      <c r="BJ35" s="15">
        <v>0</v>
      </c>
      <c r="BK35" s="15">
        <v>0</v>
      </c>
      <c r="BL35" s="15">
        <v>0</v>
      </c>
      <c r="BM35" s="15">
        <v>0</v>
      </c>
      <c r="BN35" s="15"/>
      <c r="BO35" s="15"/>
      <c r="BP35" s="15">
        <v>10.36</v>
      </c>
      <c r="BQ35" s="15">
        <v>182</v>
      </c>
    </row>
    <row r="36" spans="1:69">
      <c r="A36" s="16">
        <v>46104</v>
      </c>
      <c r="B36" s="15">
        <v>183</v>
      </c>
      <c r="C36" s="15" t="s">
        <v>40</v>
      </c>
      <c r="D36" s="15">
        <v>183</v>
      </c>
      <c r="E36" s="15" t="s">
        <v>40</v>
      </c>
      <c r="F36" s="15">
        <v>6267</v>
      </c>
      <c r="G36" s="15">
        <v>136</v>
      </c>
      <c r="H36" s="15">
        <v>200</v>
      </c>
      <c r="I36" s="15">
        <v>0.0217</v>
      </c>
      <c r="J36" s="15">
        <v>1.47</v>
      </c>
      <c r="K36" s="15">
        <v>31.91</v>
      </c>
      <c r="L36" s="15">
        <v>0</v>
      </c>
      <c r="M36" s="15">
        <v>0</v>
      </c>
      <c r="N36" s="15">
        <v>0</v>
      </c>
      <c r="O36" s="15">
        <v>0</v>
      </c>
      <c r="P36" s="15">
        <v>0</v>
      </c>
      <c r="Q36" s="15">
        <v>0</v>
      </c>
      <c r="R36" s="15">
        <v>0</v>
      </c>
      <c r="S36" s="15">
        <v>0</v>
      </c>
      <c r="T36" s="15">
        <v>0</v>
      </c>
      <c r="U36" s="15">
        <v>0</v>
      </c>
      <c r="V36" s="15">
        <v>0</v>
      </c>
      <c r="W36" s="15">
        <v>0</v>
      </c>
      <c r="X36" s="15">
        <v>0</v>
      </c>
      <c r="Y36" s="15">
        <v>0</v>
      </c>
      <c r="Z36" s="15">
        <v>0</v>
      </c>
      <c r="AA36" s="15"/>
      <c r="AB36" s="15">
        <v>6</v>
      </c>
      <c r="AC36" s="15">
        <v>4</v>
      </c>
      <c r="AD36" s="15">
        <v>2</v>
      </c>
      <c r="AE36" s="15">
        <v>0.04412</v>
      </c>
      <c r="AF36" s="15">
        <v>10</v>
      </c>
      <c r="AG36" s="15">
        <v>1</v>
      </c>
      <c r="AH36" s="15">
        <v>200</v>
      </c>
      <c r="AI36" s="15">
        <v>17</v>
      </c>
      <c r="AJ36" s="15">
        <v>11.76</v>
      </c>
      <c r="AK36" s="15">
        <v>16</v>
      </c>
      <c r="AL36" s="15">
        <v>12.5</v>
      </c>
      <c r="AM36" s="15">
        <v>11</v>
      </c>
      <c r="AN36" s="15">
        <v>20</v>
      </c>
      <c r="AO36" s="15">
        <v>0.07353</v>
      </c>
      <c r="AP36" s="15">
        <v>33.33</v>
      </c>
      <c r="AQ36" s="15">
        <v>0</v>
      </c>
      <c r="AR36" s="15">
        <v>0</v>
      </c>
      <c r="AS36" s="15">
        <v>4</v>
      </c>
      <c r="AT36" s="15">
        <v>6</v>
      </c>
      <c r="AU36" s="15">
        <v>0</v>
      </c>
      <c r="AV36" s="15">
        <v>0</v>
      </c>
      <c r="AW36" s="15">
        <v>0</v>
      </c>
      <c r="AX36" s="15">
        <v>1</v>
      </c>
      <c r="AY36" s="15">
        <v>361</v>
      </c>
      <c r="AZ36" s="15">
        <v>119</v>
      </c>
      <c r="BA36" s="15">
        <v>84</v>
      </c>
      <c r="BB36" s="15">
        <v>0.70588</v>
      </c>
      <c r="BC36" s="15">
        <v>0</v>
      </c>
      <c r="BD36" s="15">
        <v>0</v>
      </c>
      <c r="BE36" s="15">
        <v>0.0576</v>
      </c>
      <c r="BF36" s="15">
        <v>133</v>
      </c>
      <c r="BG36" s="15">
        <v>3</v>
      </c>
      <c r="BH36" s="15">
        <v>0</v>
      </c>
      <c r="BI36" s="15"/>
      <c r="BJ36" s="15">
        <v>0</v>
      </c>
      <c r="BK36" s="15">
        <v>0</v>
      </c>
      <c r="BL36" s="15">
        <v>0</v>
      </c>
      <c r="BM36" s="15">
        <v>0</v>
      </c>
      <c r="BN36" s="15"/>
      <c r="BO36" s="15"/>
      <c r="BP36" s="15">
        <v>18.52</v>
      </c>
      <c r="BQ36" s="15">
        <v>442</v>
      </c>
    </row>
    <row r="37" spans="1:69">
      <c r="A37" s="16">
        <v>46104</v>
      </c>
      <c r="B37" s="15">
        <v>371</v>
      </c>
      <c r="C37" s="15" t="s">
        <v>32</v>
      </c>
      <c r="D37" s="15">
        <v>371</v>
      </c>
      <c r="E37" s="15" t="s">
        <v>32</v>
      </c>
      <c r="F37" s="15">
        <v>4791</v>
      </c>
      <c r="G37" s="15">
        <v>130</v>
      </c>
      <c r="H37" s="15">
        <v>42.77</v>
      </c>
      <c r="I37" s="15">
        <v>0.02713</v>
      </c>
      <c r="J37" s="15">
        <v>0.33</v>
      </c>
      <c r="K37" s="15">
        <v>8.93</v>
      </c>
      <c r="L37" s="15">
        <v>0</v>
      </c>
      <c r="M37" s="15">
        <v>0</v>
      </c>
      <c r="N37" s="15">
        <v>0</v>
      </c>
      <c r="O37" s="15">
        <v>0</v>
      </c>
      <c r="P37" s="15">
        <v>0</v>
      </c>
      <c r="Q37" s="15">
        <v>0</v>
      </c>
      <c r="R37" s="15">
        <v>0</v>
      </c>
      <c r="S37" s="15">
        <v>0</v>
      </c>
      <c r="T37" s="15">
        <v>0</v>
      </c>
      <c r="U37" s="15">
        <v>0</v>
      </c>
      <c r="V37" s="15">
        <v>0</v>
      </c>
      <c r="W37" s="15">
        <v>0</v>
      </c>
      <c r="X37" s="15">
        <v>0</v>
      </c>
      <c r="Y37" s="15">
        <v>0</v>
      </c>
      <c r="Z37" s="15">
        <v>0</v>
      </c>
      <c r="AA37" s="15"/>
      <c r="AB37" s="15">
        <v>1</v>
      </c>
      <c r="AC37" s="15">
        <v>1</v>
      </c>
      <c r="AD37" s="15">
        <v>0</v>
      </c>
      <c r="AE37" s="15">
        <v>0.00769</v>
      </c>
      <c r="AF37" s="15">
        <v>0</v>
      </c>
      <c r="AG37" s="15">
        <v>0</v>
      </c>
      <c r="AH37" s="15"/>
      <c r="AI37" s="15">
        <v>1</v>
      </c>
      <c r="AJ37" s="15">
        <v>42.77</v>
      </c>
      <c r="AK37" s="15">
        <v>1</v>
      </c>
      <c r="AL37" s="15">
        <v>42.77</v>
      </c>
      <c r="AM37" s="15">
        <v>0</v>
      </c>
      <c r="AN37" s="15"/>
      <c r="AO37" s="15">
        <v>0</v>
      </c>
      <c r="AP37" s="15">
        <v>42.77</v>
      </c>
      <c r="AQ37" s="15">
        <v>0</v>
      </c>
      <c r="AR37" s="15">
        <v>0</v>
      </c>
      <c r="AS37" s="15">
        <v>0</v>
      </c>
      <c r="AT37" s="15">
        <v>0</v>
      </c>
      <c r="AU37" s="15">
        <v>0</v>
      </c>
      <c r="AV37" s="15">
        <v>0</v>
      </c>
      <c r="AW37" s="15">
        <v>0</v>
      </c>
      <c r="AX37" s="15">
        <v>0</v>
      </c>
      <c r="AY37" s="15">
        <v>245</v>
      </c>
      <c r="AZ37" s="15">
        <v>137</v>
      </c>
      <c r="BA37" s="15">
        <v>125</v>
      </c>
      <c r="BB37" s="15">
        <v>0.91241</v>
      </c>
      <c r="BC37" s="15">
        <v>0</v>
      </c>
      <c r="BD37" s="15">
        <v>0</v>
      </c>
      <c r="BE37" s="15">
        <v>0.05114</v>
      </c>
      <c r="BF37" s="15">
        <v>87</v>
      </c>
      <c r="BG37" s="15">
        <v>2</v>
      </c>
      <c r="BH37" s="15">
        <v>0</v>
      </c>
      <c r="BI37" s="15"/>
      <c r="BJ37" s="15">
        <v>0</v>
      </c>
      <c r="BK37" s="15">
        <v>0</v>
      </c>
      <c r="BL37" s="15">
        <v>0</v>
      </c>
      <c r="BM37" s="15">
        <v>0</v>
      </c>
      <c r="BN37" s="15"/>
      <c r="BO37" s="15"/>
      <c r="BP37" s="15">
        <v>0</v>
      </c>
      <c r="BQ37" s="15">
        <v>1606</v>
      </c>
    </row>
    <row r="38" spans="1:69">
      <c r="A38" s="16">
        <v>46103</v>
      </c>
      <c r="B38" s="15">
        <v>479</v>
      </c>
      <c r="C38" s="15" t="s">
        <v>39</v>
      </c>
      <c r="D38" s="15">
        <v>479</v>
      </c>
      <c r="E38" s="15" t="s">
        <v>39</v>
      </c>
      <c r="F38" s="15">
        <v>104</v>
      </c>
      <c r="G38" s="15">
        <v>66</v>
      </c>
      <c r="H38" s="15">
        <v>31.4</v>
      </c>
      <c r="I38" s="15">
        <v>0.63462</v>
      </c>
      <c r="J38" s="15">
        <v>0.48</v>
      </c>
      <c r="K38" s="15">
        <v>301.9</v>
      </c>
      <c r="L38" s="15">
        <v>0</v>
      </c>
      <c r="M38" s="15">
        <v>0</v>
      </c>
      <c r="N38" s="15">
        <v>0</v>
      </c>
      <c r="O38" s="15">
        <v>0</v>
      </c>
      <c r="P38" s="15">
        <v>0</v>
      </c>
      <c r="Q38" s="15">
        <v>0</v>
      </c>
      <c r="R38" s="15">
        <v>0</v>
      </c>
      <c r="S38" s="15">
        <v>0</v>
      </c>
      <c r="T38" s="15">
        <v>0</v>
      </c>
      <c r="U38" s="15">
        <v>0</v>
      </c>
      <c r="V38" s="15">
        <v>0</v>
      </c>
      <c r="W38" s="15">
        <v>0</v>
      </c>
      <c r="X38" s="15">
        <v>0</v>
      </c>
      <c r="Y38" s="15">
        <v>0</v>
      </c>
      <c r="Z38" s="15">
        <v>0</v>
      </c>
      <c r="AA38" s="15"/>
      <c r="AB38" s="15">
        <v>13</v>
      </c>
      <c r="AC38" s="15">
        <v>0</v>
      </c>
      <c r="AD38" s="15">
        <v>13</v>
      </c>
      <c r="AE38" s="15">
        <v>0.19697</v>
      </c>
      <c r="AF38" s="15">
        <v>3</v>
      </c>
      <c r="AG38" s="15">
        <v>4</v>
      </c>
      <c r="AH38" s="15">
        <v>7.85</v>
      </c>
      <c r="AI38" s="15">
        <v>20</v>
      </c>
      <c r="AJ38" s="15">
        <v>1.57</v>
      </c>
      <c r="AK38" s="15">
        <v>16</v>
      </c>
      <c r="AL38" s="15">
        <v>1.96</v>
      </c>
      <c r="AM38" s="15">
        <v>7</v>
      </c>
      <c r="AN38" s="15">
        <v>10.47</v>
      </c>
      <c r="AO38" s="15">
        <v>0.04545</v>
      </c>
      <c r="AP38" s="15">
        <v>2.42</v>
      </c>
      <c r="AQ38" s="15">
        <v>1</v>
      </c>
      <c r="AR38" s="15">
        <v>49.9</v>
      </c>
      <c r="AS38" s="15">
        <v>0</v>
      </c>
      <c r="AT38" s="15">
        <v>3</v>
      </c>
      <c r="AU38" s="15">
        <v>0</v>
      </c>
      <c r="AV38" s="15">
        <v>0</v>
      </c>
      <c r="AW38" s="15">
        <v>0</v>
      </c>
      <c r="AX38" s="15">
        <v>2</v>
      </c>
      <c r="AY38" s="15">
        <v>749</v>
      </c>
      <c r="AZ38" s="15">
        <v>50</v>
      </c>
      <c r="BA38" s="15">
        <v>36</v>
      </c>
      <c r="BB38" s="15">
        <v>0.72</v>
      </c>
      <c r="BC38" s="15">
        <v>0</v>
      </c>
      <c r="BD38" s="15">
        <v>0</v>
      </c>
      <c r="BE38" s="15">
        <v>7.20192</v>
      </c>
      <c r="BF38" s="15">
        <v>676</v>
      </c>
      <c r="BG38" s="15">
        <v>15</v>
      </c>
      <c r="BH38" s="15">
        <v>0</v>
      </c>
      <c r="BI38" s="15"/>
      <c r="BJ38" s="15">
        <v>0</v>
      </c>
      <c r="BK38" s="15">
        <v>0</v>
      </c>
      <c r="BL38" s="15">
        <v>0</v>
      </c>
      <c r="BM38" s="15">
        <v>0</v>
      </c>
      <c r="BN38" s="15"/>
      <c r="BO38" s="15"/>
      <c r="BP38" s="15">
        <v>3.21</v>
      </c>
      <c r="BQ38" s="15">
        <v>2066</v>
      </c>
    </row>
    <row r="39" spans="1:69">
      <c r="A39" s="16">
        <v>46103</v>
      </c>
      <c r="B39" s="15">
        <v>371</v>
      </c>
      <c r="C39" s="15" t="s">
        <v>32</v>
      </c>
      <c r="D39" s="15">
        <v>371</v>
      </c>
      <c r="E39" s="15" t="s">
        <v>32</v>
      </c>
      <c r="F39" s="15">
        <v>5472</v>
      </c>
      <c r="G39" s="15">
        <v>138</v>
      </c>
      <c r="H39" s="15">
        <v>43.55</v>
      </c>
      <c r="I39" s="15">
        <v>0.02522</v>
      </c>
      <c r="J39" s="15">
        <v>0.32</v>
      </c>
      <c r="K39" s="15">
        <v>7.96</v>
      </c>
      <c r="L39" s="15">
        <v>0</v>
      </c>
      <c r="M39" s="15">
        <v>0</v>
      </c>
      <c r="N39" s="15">
        <v>0</v>
      </c>
      <c r="O39" s="15">
        <v>0</v>
      </c>
      <c r="P39" s="15">
        <v>0</v>
      </c>
      <c r="Q39" s="15">
        <v>0</v>
      </c>
      <c r="R39" s="15">
        <v>0</v>
      </c>
      <c r="S39" s="15">
        <v>0</v>
      </c>
      <c r="T39" s="15">
        <v>0</v>
      </c>
      <c r="U39" s="15">
        <v>0</v>
      </c>
      <c r="V39" s="15">
        <v>0</v>
      </c>
      <c r="W39" s="15">
        <v>0</v>
      </c>
      <c r="X39" s="15">
        <v>0</v>
      </c>
      <c r="Y39" s="15">
        <v>0</v>
      </c>
      <c r="Z39" s="15">
        <v>0</v>
      </c>
      <c r="AA39" s="15"/>
      <c r="AB39" s="15">
        <v>2</v>
      </c>
      <c r="AC39" s="15">
        <v>2</v>
      </c>
      <c r="AD39" s="15">
        <v>0</v>
      </c>
      <c r="AE39" s="15">
        <v>0.01449</v>
      </c>
      <c r="AF39" s="15">
        <v>2</v>
      </c>
      <c r="AG39" s="15">
        <v>1</v>
      </c>
      <c r="AH39" s="15">
        <v>43.55</v>
      </c>
      <c r="AI39" s="15">
        <v>5</v>
      </c>
      <c r="AJ39" s="15">
        <v>8.71</v>
      </c>
      <c r="AK39" s="15">
        <v>4</v>
      </c>
      <c r="AL39" s="15">
        <v>10.89</v>
      </c>
      <c r="AM39" s="15">
        <v>3</v>
      </c>
      <c r="AN39" s="15">
        <v>21.78</v>
      </c>
      <c r="AO39" s="15">
        <v>0.01449</v>
      </c>
      <c r="AP39" s="15">
        <v>21.78</v>
      </c>
      <c r="AQ39" s="15">
        <v>0</v>
      </c>
      <c r="AR39" s="15">
        <v>0</v>
      </c>
      <c r="AS39" s="15">
        <v>1</v>
      </c>
      <c r="AT39" s="15">
        <v>1</v>
      </c>
      <c r="AU39" s="15">
        <v>0</v>
      </c>
      <c r="AV39" s="15">
        <v>0</v>
      </c>
      <c r="AW39" s="15">
        <v>0</v>
      </c>
      <c r="AX39" s="15">
        <v>0</v>
      </c>
      <c r="AY39" s="15">
        <v>336</v>
      </c>
      <c r="AZ39" s="15">
        <v>144</v>
      </c>
      <c r="BA39" s="15">
        <v>128</v>
      </c>
      <c r="BB39" s="15">
        <v>0.88889</v>
      </c>
      <c r="BC39" s="15">
        <v>0</v>
      </c>
      <c r="BD39" s="15">
        <v>0</v>
      </c>
      <c r="BE39" s="15">
        <v>0.0614</v>
      </c>
      <c r="BF39" s="15">
        <v>161</v>
      </c>
      <c r="BG39" s="15">
        <v>2</v>
      </c>
      <c r="BH39" s="15">
        <v>0</v>
      </c>
      <c r="BI39" s="15"/>
      <c r="BJ39" s="15">
        <v>0</v>
      </c>
      <c r="BK39" s="15">
        <v>0</v>
      </c>
      <c r="BL39" s="15">
        <v>0</v>
      </c>
      <c r="BM39" s="15">
        <v>0</v>
      </c>
      <c r="BN39" s="15"/>
      <c r="BO39" s="15"/>
      <c r="BP39" s="15">
        <v>0</v>
      </c>
      <c r="BQ39" s="15">
        <v>3391</v>
      </c>
    </row>
    <row r="40" spans="1:69">
      <c r="A40" s="16">
        <v>46103</v>
      </c>
      <c r="B40" s="15">
        <v>183</v>
      </c>
      <c r="C40" s="15" t="s">
        <v>40</v>
      </c>
      <c r="D40" s="15">
        <v>183</v>
      </c>
      <c r="E40" s="15" t="s">
        <v>40</v>
      </c>
      <c r="F40" s="15">
        <v>3255</v>
      </c>
      <c r="G40" s="15">
        <v>101</v>
      </c>
      <c r="H40" s="15">
        <v>200</v>
      </c>
      <c r="I40" s="15">
        <v>0.03103</v>
      </c>
      <c r="J40" s="15">
        <v>1.98</v>
      </c>
      <c r="K40" s="15">
        <v>61.44</v>
      </c>
      <c r="L40" s="15">
        <v>0</v>
      </c>
      <c r="M40" s="15">
        <v>0</v>
      </c>
      <c r="N40" s="15">
        <v>0</v>
      </c>
      <c r="O40" s="15">
        <v>0</v>
      </c>
      <c r="P40" s="15">
        <v>0</v>
      </c>
      <c r="Q40" s="15">
        <v>0</v>
      </c>
      <c r="R40" s="15">
        <v>147.84</v>
      </c>
      <c r="S40" s="15">
        <v>84.15</v>
      </c>
      <c r="T40" s="15">
        <v>231.99</v>
      </c>
      <c r="U40" s="15">
        <v>3</v>
      </c>
      <c r="V40" s="15">
        <v>2</v>
      </c>
      <c r="W40" s="15">
        <v>1</v>
      </c>
      <c r="X40" s="15">
        <v>0.0297</v>
      </c>
      <c r="Y40" s="15">
        <v>1.16</v>
      </c>
      <c r="Z40" s="15">
        <v>1.16</v>
      </c>
      <c r="AA40" s="15">
        <v>66.67</v>
      </c>
      <c r="AB40" s="15">
        <v>13</v>
      </c>
      <c r="AC40" s="15">
        <v>5</v>
      </c>
      <c r="AD40" s="15">
        <v>8</v>
      </c>
      <c r="AE40" s="15">
        <v>0.12871</v>
      </c>
      <c r="AF40" s="15">
        <v>1</v>
      </c>
      <c r="AG40" s="15">
        <v>1</v>
      </c>
      <c r="AH40" s="15">
        <v>200</v>
      </c>
      <c r="AI40" s="15">
        <v>15</v>
      </c>
      <c r="AJ40" s="15">
        <v>13.33</v>
      </c>
      <c r="AK40" s="15">
        <v>14</v>
      </c>
      <c r="AL40" s="15">
        <v>14.29</v>
      </c>
      <c r="AM40" s="15">
        <v>2</v>
      </c>
      <c r="AN40" s="15">
        <v>200</v>
      </c>
      <c r="AO40" s="15">
        <v>0.0099</v>
      </c>
      <c r="AP40" s="15">
        <v>15.38</v>
      </c>
      <c r="AQ40" s="15">
        <v>5</v>
      </c>
      <c r="AR40" s="15">
        <v>305</v>
      </c>
      <c r="AS40" s="15">
        <v>1</v>
      </c>
      <c r="AT40" s="15">
        <v>0</v>
      </c>
      <c r="AU40" s="15">
        <v>0</v>
      </c>
      <c r="AV40" s="15">
        <v>0</v>
      </c>
      <c r="AW40" s="15">
        <v>0</v>
      </c>
      <c r="AX40" s="15">
        <v>3</v>
      </c>
      <c r="AY40" s="15">
        <v>669</v>
      </c>
      <c r="AZ40" s="15">
        <v>108</v>
      </c>
      <c r="BA40" s="15">
        <v>65</v>
      </c>
      <c r="BB40" s="15">
        <v>0.60185</v>
      </c>
      <c r="BC40" s="15">
        <v>0</v>
      </c>
      <c r="BD40" s="15">
        <v>0</v>
      </c>
      <c r="BE40" s="15">
        <v>0.20553</v>
      </c>
      <c r="BF40" s="15">
        <v>453</v>
      </c>
      <c r="BG40" s="15">
        <v>6</v>
      </c>
      <c r="BH40" s="15">
        <v>2</v>
      </c>
      <c r="BI40" s="15">
        <v>1</v>
      </c>
      <c r="BJ40" s="15">
        <v>0</v>
      </c>
      <c r="BK40" s="15">
        <v>0</v>
      </c>
      <c r="BL40" s="15">
        <v>0</v>
      </c>
      <c r="BM40" s="15">
        <v>2</v>
      </c>
      <c r="BN40" s="15">
        <v>2</v>
      </c>
      <c r="BO40" s="15">
        <v>116</v>
      </c>
      <c r="BP40" s="15">
        <v>3.13</v>
      </c>
      <c r="BQ40" s="15">
        <v>678</v>
      </c>
    </row>
    <row r="41" spans="1:69">
      <c r="A41" s="16">
        <v>46103</v>
      </c>
      <c r="B41" s="15">
        <v>436</v>
      </c>
      <c r="C41" s="15" t="s">
        <v>38</v>
      </c>
      <c r="D41" s="15">
        <v>436</v>
      </c>
      <c r="E41" s="15" t="s">
        <v>38</v>
      </c>
      <c r="F41" s="15">
        <v>671</v>
      </c>
      <c r="G41" s="15">
        <v>28</v>
      </c>
      <c r="H41" s="15">
        <v>50.77</v>
      </c>
      <c r="I41" s="15">
        <v>0.04173</v>
      </c>
      <c r="J41" s="15">
        <v>1.81</v>
      </c>
      <c r="K41" s="15">
        <v>75.66</v>
      </c>
      <c r="L41" s="15">
        <v>0</v>
      </c>
      <c r="M41" s="15">
        <v>0</v>
      </c>
      <c r="N41" s="15">
        <v>0</v>
      </c>
      <c r="O41" s="15">
        <v>0</v>
      </c>
      <c r="P41" s="15">
        <v>0</v>
      </c>
      <c r="Q41" s="15">
        <v>0</v>
      </c>
      <c r="R41" s="15">
        <v>0</v>
      </c>
      <c r="S41" s="15">
        <v>0</v>
      </c>
      <c r="T41" s="15">
        <v>0</v>
      </c>
      <c r="U41" s="15">
        <v>0</v>
      </c>
      <c r="V41" s="15">
        <v>0</v>
      </c>
      <c r="W41" s="15">
        <v>0</v>
      </c>
      <c r="X41" s="15">
        <v>0</v>
      </c>
      <c r="Y41" s="15">
        <v>0</v>
      </c>
      <c r="Z41" s="15">
        <v>0</v>
      </c>
      <c r="AA41" s="15"/>
      <c r="AB41" s="15">
        <v>6</v>
      </c>
      <c r="AC41" s="15">
        <v>2</v>
      </c>
      <c r="AD41" s="15">
        <v>4</v>
      </c>
      <c r="AE41" s="15">
        <v>0.21429</v>
      </c>
      <c r="AF41" s="15">
        <v>0</v>
      </c>
      <c r="AG41" s="15">
        <v>0</v>
      </c>
      <c r="AH41" s="15"/>
      <c r="AI41" s="15">
        <v>6</v>
      </c>
      <c r="AJ41" s="15">
        <v>8.46</v>
      </c>
      <c r="AK41" s="15">
        <v>6</v>
      </c>
      <c r="AL41" s="15">
        <v>8.46</v>
      </c>
      <c r="AM41" s="15">
        <v>0</v>
      </c>
      <c r="AN41" s="15"/>
      <c r="AO41" s="15">
        <v>0</v>
      </c>
      <c r="AP41" s="15">
        <v>8.46</v>
      </c>
      <c r="AQ41" s="15">
        <v>0</v>
      </c>
      <c r="AR41" s="15">
        <v>0</v>
      </c>
      <c r="AS41" s="15">
        <v>0</v>
      </c>
      <c r="AT41" s="15">
        <v>0</v>
      </c>
      <c r="AU41" s="15">
        <v>0</v>
      </c>
      <c r="AV41" s="15">
        <v>0</v>
      </c>
      <c r="AW41" s="15">
        <v>0</v>
      </c>
      <c r="AX41" s="15">
        <v>1</v>
      </c>
      <c r="AY41" s="15">
        <v>118</v>
      </c>
      <c r="AZ41" s="15">
        <v>29</v>
      </c>
      <c r="BA41" s="15">
        <v>14</v>
      </c>
      <c r="BB41" s="15">
        <v>0.48276</v>
      </c>
      <c r="BC41" s="15">
        <v>0</v>
      </c>
      <c r="BD41" s="15">
        <v>0</v>
      </c>
      <c r="BE41" s="15">
        <v>0.17586</v>
      </c>
      <c r="BF41" s="15">
        <v>88</v>
      </c>
      <c r="BG41" s="15">
        <v>4</v>
      </c>
      <c r="BH41" s="15">
        <v>0</v>
      </c>
      <c r="BI41" s="15"/>
      <c r="BJ41" s="15">
        <v>0</v>
      </c>
      <c r="BK41" s="15">
        <v>0</v>
      </c>
      <c r="BL41" s="15">
        <v>0</v>
      </c>
      <c r="BM41" s="15">
        <v>0</v>
      </c>
      <c r="BN41" s="15"/>
      <c r="BO41" s="15"/>
      <c r="BP41" s="15">
        <v>0.41</v>
      </c>
      <c r="BQ41" s="15">
        <v>105</v>
      </c>
    </row>
    <row r="42" spans="1:69">
      <c r="A42" s="16">
        <v>46102</v>
      </c>
      <c r="B42" s="15">
        <v>183</v>
      </c>
      <c r="C42" s="15" t="s">
        <v>40</v>
      </c>
      <c r="D42" s="15">
        <v>183</v>
      </c>
      <c r="E42" s="15" t="s">
        <v>40</v>
      </c>
      <c r="F42" s="15">
        <v>6391</v>
      </c>
      <c r="G42" s="15">
        <v>124</v>
      </c>
      <c r="H42" s="15">
        <v>200</v>
      </c>
      <c r="I42" s="15">
        <v>0.0194</v>
      </c>
      <c r="J42" s="15">
        <v>1.61</v>
      </c>
      <c r="K42" s="15">
        <v>31.29</v>
      </c>
      <c r="L42" s="15">
        <v>0</v>
      </c>
      <c r="M42" s="15">
        <v>0</v>
      </c>
      <c r="N42" s="15">
        <v>0</v>
      </c>
      <c r="O42" s="15">
        <v>0</v>
      </c>
      <c r="P42" s="15">
        <v>0</v>
      </c>
      <c r="Q42" s="15">
        <v>0</v>
      </c>
      <c r="R42" s="15">
        <v>0</v>
      </c>
      <c r="S42" s="15">
        <v>27.55</v>
      </c>
      <c r="T42" s="15">
        <v>27.55</v>
      </c>
      <c r="U42" s="15">
        <v>1</v>
      </c>
      <c r="V42" s="15">
        <v>0</v>
      </c>
      <c r="W42" s="15">
        <v>1</v>
      </c>
      <c r="X42" s="15">
        <v>0.00806</v>
      </c>
      <c r="Y42" s="15">
        <v>0.14</v>
      </c>
      <c r="Z42" s="15">
        <v>0.14</v>
      </c>
      <c r="AA42" s="15">
        <v>200</v>
      </c>
      <c r="AB42" s="15">
        <v>6</v>
      </c>
      <c r="AC42" s="15">
        <v>2</v>
      </c>
      <c r="AD42" s="15">
        <v>4</v>
      </c>
      <c r="AE42" s="15">
        <v>0.04839</v>
      </c>
      <c r="AF42" s="15">
        <v>3</v>
      </c>
      <c r="AG42" s="15">
        <v>4</v>
      </c>
      <c r="AH42" s="15">
        <v>50</v>
      </c>
      <c r="AI42" s="15">
        <v>13</v>
      </c>
      <c r="AJ42" s="15">
        <v>15.38</v>
      </c>
      <c r="AK42" s="15">
        <v>9</v>
      </c>
      <c r="AL42" s="15">
        <v>22.22</v>
      </c>
      <c r="AM42" s="15">
        <v>7</v>
      </c>
      <c r="AN42" s="15">
        <v>66.67</v>
      </c>
      <c r="AO42" s="15">
        <v>0.02419</v>
      </c>
      <c r="AP42" s="15">
        <v>33.33</v>
      </c>
      <c r="AQ42" s="15">
        <v>1</v>
      </c>
      <c r="AR42" s="15">
        <v>29</v>
      </c>
      <c r="AS42" s="15">
        <v>2</v>
      </c>
      <c r="AT42" s="15">
        <v>1</v>
      </c>
      <c r="AU42" s="15">
        <v>0</v>
      </c>
      <c r="AV42" s="15">
        <v>0</v>
      </c>
      <c r="AW42" s="15">
        <v>0</v>
      </c>
      <c r="AX42" s="15">
        <v>1</v>
      </c>
      <c r="AY42" s="15">
        <v>522</v>
      </c>
      <c r="AZ42" s="15">
        <v>149</v>
      </c>
      <c r="BA42" s="15">
        <v>91</v>
      </c>
      <c r="BB42" s="15">
        <v>0.61074</v>
      </c>
      <c r="BC42" s="15">
        <v>0</v>
      </c>
      <c r="BD42" s="15">
        <v>0</v>
      </c>
      <c r="BE42" s="15">
        <v>0.08168</v>
      </c>
      <c r="BF42" s="15">
        <v>264</v>
      </c>
      <c r="BG42" s="15">
        <v>4</v>
      </c>
      <c r="BH42" s="15">
        <v>1</v>
      </c>
      <c r="BI42" s="15">
        <v>1</v>
      </c>
      <c r="BJ42" s="15">
        <v>0</v>
      </c>
      <c r="BK42" s="15">
        <v>0</v>
      </c>
      <c r="BL42" s="15">
        <v>0</v>
      </c>
      <c r="BM42" s="15">
        <v>1</v>
      </c>
      <c r="BN42" s="15">
        <v>1</v>
      </c>
      <c r="BO42" s="15">
        <v>27.55</v>
      </c>
      <c r="BP42" s="15">
        <v>151.18</v>
      </c>
      <c r="BQ42" s="15">
        <v>343</v>
      </c>
    </row>
    <row r="43" spans="1:69">
      <c r="A43" s="16">
        <v>46102</v>
      </c>
      <c r="B43" s="15">
        <v>436</v>
      </c>
      <c r="C43" s="15" t="s">
        <v>38</v>
      </c>
      <c r="D43" s="15">
        <v>436</v>
      </c>
      <c r="E43" s="15" t="s">
        <v>38</v>
      </c>
      <c r="F43" s="15">
        <v>710</v>
      </c>
      <c r="G43" s="15">
        <v>24</v>
      </c>
      <c r="H43" s="15">
        <v>60</v>
      </c>
      <c r="I43" s="15">
        <v>0.0338</v>
      </c>
      <c r="J43" s="15">
        <v>2.5</v>
      </c>
      <c r="K43" s="15">
        <v>84.51</v>
      </c>
      <c r="L43" s="15">
        <v>0</v>
      </c>
      <c r="M43" s="15">
        <v>0</v>
      </c>
      <c r="N43" s="15">
        <v>0</v>
      </c>
      <c r="O43" s="15">
        <v>0</v>
      </c>
      <c r="P43" s="15">
        <v>0</v>
      </c>
      <c r="Q43" s="15">
        <v>0</v>
      </c>
      <c r="R43" s="15">
        <v>0</v>
      </c>
      <c r="S43" s="15">
        <v>0</v>
      </c>
      <c r="T43" s="15">
        <v>0</v>
      </c>
      <c r="U43" s="15">
        <v>0</v>
      </c>
      <c r="V43" s="15">
        <v>0</v>
      </c>
      <c r="W43" s="15">
        <v>0</v>
      </c>
      <c r="X43" s="15">
        <v>0</v>
      </c>
      <c r="Y43" s="15">
        <v>0</v>
      </c>
      <c r="Z43" s="15">
        <v>0</v>
      </c>
      <c r="AA43" s="15"/>
      <c r="AB43" s="15">
        <v>0</v>
      </c>
      <c r="AC43" s="15">
        <v>0</v>
      </c>
      <c r="AD43" s="15">
        <v>0</v>
      </c>
      <c r="AE43" s="15">
        <v>0</v>
      </c>
      <c r="AF43" s="15">
        <v>0</v>
      </c>
      <c r="AG43" s="15">
        <v>1</v>
      </c>
      <c r="AH43" s="15">
        <v>60</v>
      </c>
      <c r="AI43" s="15">
        <v>1</v>
      </c>
      <c r="AJ43" s="15">
        <v>60</v>
      </c>
      <c r="AK43" s="15">
        <v>0</v>
      </c>
      <c r="AL43" s="15"/>
      <c r="AM43" s="15">
        <v>1</v>
      </c>
      <c r="AN43" s="15"/>
      <c r="AO43" s="15">
        <v>0</v>
      </c>
      <c r="AP43" s="15"/>
      <c r="AQ43" s="15">
        <v>0</v>
      </c>
      <c r="AR43" s="15">
        <v>0</v>
      </c>
      <c r="AS43" s="15">
        <v>0</v>
      </c>
      <c r="AT43" s="15">
        <v>0</v>
      </c>
      <c r="AU43" s="15">
        <v>0</v>
      </c>
      <c r="AV43" s="15">
        <v>0</v>
      </c>
      <c r="AW43" s="15">
        <v>0</v>
      </c>
      <c r="AX43" s="15">
        <v>1</v>
      </c>
      <c r="AY43" s="15">
        <v>81</v>
      </c>
      <c r="AZ43" s="15">
        <v>23</v>
      </c>
      <c r="BA43" s="15">
        <v>13</v>
      </c>
      <c r="BB43" s="15">
        <v>0.56522</v>
      </c>
      <c r="BC43" s="15">
        <v>0</v>
      </c>
      <c r="BD43" s="15">
        <v>0</v>
      </c>
      <c r="BE43" s="15">
        <v>0.11408</v>
      </c>
      <c r="BF43" s="15">
        <v>54</v>
      </c>
      <c r="BG43" s="15">
        <v>4</v>
      </c>
      <c r="BH43" s="15">
        <v>0</v>
      </c>
      <c r="BI43" s="15"/>
      <c r="BJ43" s="15">
        <v>0</v>
      </c>
      <c r="BK43" s="15">
        <v>0</v>
      </c>
      <c r="BL43" s="15">
        <v>0</v>
      </c>
      <c r="BM43" s="15">
        <v>0</v>
      </c>
      <c r="BN43" s="15"/>
      <c r="BO43" s="15"/>
      <c r="BP43" s="15">
        <v>0</v>
      </c>
      <c r="BQ43" s="15">
        <v>38</v>
      </c>
    </row>
    <row r="44" spans="1:69">
      <c r="A44" s="16">
        <v>46102</v>
      </c>
      <c r="B44" s="15">
        <v>371</v>
      </c>
      <c r="C44" s="15" t="s">
        <v>32</v>
      </c>
      <c r="D44" s="15">
        <v>371</v>
      </c>
      <c r="E44" s="15" t="s">
        <v>32</v>
      </c>
      <c r="F44" s="15">
        <v>4295</v>
      </c>
      <c r="G44" s="15">
        <v>136</v>
      </c>
      <c r="H44" s="15">
        <v>43.15</v>
      </c>
      <c r="I44" s="15">
        <v>0.03166</v>
      </c>
      <c r="J44" s="15">
        <v>0.32</v>
      </c>
      <c r="K44" s="15">
        <v>10.05</v>
      </c>
      <c r="L44" s="15">
        <v>0</v>
      </c>
      <c r="M44" s="15">
        <v>0</v>
      </c>
      <c r="N44" s="15">
        <v>0</v>
      </c>
      <c r="O44" s="15">
        <v>0</v>
      </c>
      <c r="P44" s="15">
        <v>0</v>
      </c>
      <c r="Q44" s="15">
        <v>0</v>
      </c>
      <c r="R44" s="15">
        <v>0</v>
      </c>
      <c r="S44" s="15">
        <v>0</v>
      </c>
      <c r="T44" s="15">
        <v>0</v>
      </c>
      <c r="U44" s="15">
        <v>0</v>
      </c>
      <c r="V44" s="15">
        <v>0</v>
      </c>
      <c r="W44" s="15">
        <v>0</v>
      </c>
      <c r="X44" s="15">
        <v>0</v>
      </c>
      <c r="Y44" s="15">
        <v>0</v>
      </c>
      <c r="Z44" s="15">
        <v>0</v>
      </c>
      <c r="AA44" s="15"/>
      <c r="AB44" s="15">
        <v>1</v>
      </c>
      <c r="AC44" s="15">
        <v>0</v>
      </c>
      <c r="AD44" s="15">
        <v>1</v>
      </c>
      <c r="AE44" s="15">
        <v>0.00735</v>
      </c>
      <c r="AF44" s="15">
        <v>1</v>
      </c>
      <c r="AG44" s="15">
        <v>1</v>
      </c>
      <c r="AH44" s="15">
        <v>43.15</v>
      </c>
      <c r="AI44" s="15">
        <v>3</v>
      </c>
      <c r="AJ44" s="15">
        <v>14.38</v>
      </c>
      <c r="AK44" s="15">
        <v>2</v>
      </c>
      <c r="AL44" s="15">
        <v>21.58</v>
      </c>
      <c r="AM44" s="15">
        <v>2</v>
      </c>
      <c r="AN44" s="15">
        <v>43.15</v>
      </c>
      <c r="AO44" s="15">
        <v>0.00735</v>
      </c>
      <c r="AP44" s="15">
        <v>43.15</v>
      </c>
      <c r="AQ44" s="15">
        <v>0</v>
      </c>
      <c r="AR44" s="15">
        <v>0</v>
      </c>
      <c r="AS44" s="15">
        <v>1</v>
      </c>
      <c r="AT44" s="15">
        <v>0</v>
      </c>
      <c r="AU44" s="15">
        <v>0</v>
      </c>
      <c r="AV44" s="15">
        <v>0</v>
      </c>
      <c r="AW44" s="15">
        <v>0</v>
      </c>
      <c r="AX44" s="15">
        <v>0</v>
      </c>
      <c r="AY44" s="15">
        <v>283</v>
      </c>
      <c r="AZ44" s="15">
        <v>146</v>
      </c>
      <c r="BA44" s="15">
        <v>125</v>
      </c>
      <c r="BB44" s="15">
        <v>0.85616</v>
      </c>
      <c r="BC44" s="15">
        <v>0</v>
      </c>
      <c r="BD44" s="15">
        <v>0</v>
      </c>
      <c r="BE44" s="15">
        <v>0.06589</v>
      </c>
      <c r="BF44" s="15">
        <v>128</v>
      </c>
      <c r="BG44" s="15">
        <v>2</v>
      </c>
      <c r="BH44" s="15">
        <v>0</v>
      </c>
      <c r="BI44" s="15"/>
      <c r="BJ44" s="15">
        <v>0</v>
      </c>
      <c r="BK44" s="15">
        <v>0</v>
      </c>
      <c r="BL44" s="15">
        <v>0</v>
      </c>
      <c r="BM44" s="15">
        <v>0</v>
      </c>
      <c r="BN44" s="15"/>
      <c r="BO44" s="15"/>
      <c r="BP44" s="15">
        <v>0</v>
      </c>
      <c r="BQ44" s="15">
        <v>352</v>
      </c>
    </row>
    <row r="45" spans="1:69">
      <c r="A45" s="16">
        <v>46102</v>
      </c>
      <c r="B45" s="15">
        <v>479</v>
      </c>
      <c r="C45" s="15" t="s">
        <v>39</v>
      </c>
      <c r="D45" s="15">
        <v>479</v>
      </c>
      <c r="E45" s="15" t="s">
        <v>39</v>
      </c>
      <c r="F45" s="15">
        <v>129</v>
      </c>
      <c r="G45" s="15">
        <v>79</v>
      </c>
      <c r="H45" s="15">
        <v>38.44</v>
      </c>
      <c r="I45" s="15">
        <v>0.6124</v>
      </c>
      <c r="J45" s="15">
        <v>0.49</v>
      </c>
      <c r="K45" s="15">
        <v>297.97</v>
      </c>
      <c r="L45" s="15">
        <v>0</v>
      </c>
      <c r="M45" s="15">
        <v>0</v>
      </c>
      <c r="N45" s="15">
        <v>0</v>
      </c>
      <c r="O45" s="15">
        <v>0</v>
      </c>
      <c r="P45" s="15">
        <v>0</v>
      </c>
      <c r="Q45" s="15">
        <v>0</v>
      </c>
      <c r="R45" s="15">
        <v>228.55</v>
      </c>
      <c r="S45" s="15">
        <v>0</v>
      </c>
      <c r="T45" s="15">
        <v>228.55</v>
      </c>
      <c r="U45" s="15">
        <v>1</v>
      </c>
      <c r="V45" s="15">
        <v>1</v>
      </c>
      <c r="W45" s="15">
        <v>0</v>
      </c>
      <c r="X45" s="15">
        <v>0.01266</v>
      </c>
      <c r="Y45" s="15">
        <v>5.95</v>
      </c>
      <c r="Z45" s="15">
        <v>5.95</v>
      </c>
      <c r="AA45" s="15">
        <v>38.44</v>
      </c>
      <c r="AB45" s="15">
        <v>25</v>
      </c>
      <c r="AC45" s="15">
        <v>0</v>
      </c>
      <c r="AD45" s="15">
        <v>25</v>
      </c>
      <c r="AE45" s="15">
        <v>0.31646</v>
      </c>
      <c r="AF45" s="15">
        <v>5</v>
      </c>
      <c r="AG45" s="15">
        <v>13</v>
      </c>
      <c r="AH45" s="15">
        <v>2.96</v>
      </c>
      <c r="AI45" s="15">
        <v>43</v>
      </c>
      <c r="AJ45" s="15">
        <v>0.89</v>
      </c>
      <c r="AK45" s="15">
        <v>30</v>
      </c>
      <c r="AL45" s="15">
        <v>1.28</v>
      </c>
      <c r="AM45" s="15">
        <v>18</v>
      </c>
      <c r="AN45" s="15">
        <v>7.69</v>
      </c>
      <c r="AO45" s="15">
        <v>0.06329</v>
      </c>
      <c r="AP45" s="15">
        <v>1.54</v>
      </c>
      <c r="AQ45" s="15">
        <v>1</v>
      </c>
      <c r="AR45" s="15">
        <v>269</v>
      </c>
      <c r="AS45" s="15">
        <v>0</v>
      </c>
      <c r="AT45" s="15">
        <v>5</v>
      </c>
      <c r="AU45" s="15">
        <v>0</v>
      </c>
      <c r="AV45" s="15">
        <v>0</v>
      </c>
      <c r="AW45" s="15">
        <v>0</v>
      </c>
      <c r="AX45" s="15">
        <v>2</v>
      </c>
      <c r="AY45" s="15">
        <v>964</v>
      </c>
      <c r="AZ45" s="15">
        <v>57</v>
      </c>
      <c r="BA45" s="15">
        <v>51</v>
      </c>
      <c r="BB45" s="15">
        <v>0.89474</v>
      </c>
      <c r="BC45" s="15">
        <v>0</v>
      </c>
      <c r="BD45" s="15">
        <v>0</v>
      </c>
      <c r="BE45" s="15">
        <v>7.47287</v>
      </c>
      <c r="BF45" s="15">
        <v>883</v>
      </c>
      <c r="BG45" s="15">
        <v>17</v>
      </c>
      <c r="BH45" s="15">
        <v>1</v>
      </c>
      <c r="BI45" s="15">
        <v>1</v>
      </c>
      <c r="BJ45" s="15">
        <v>0</v>
      </c>
      <c r="BK45" s="15">
        <v>0</v>
      </c>
      <c r="BL45" s="15">
        <v>0</v>
      </c>
      <c r="BM45" s="15">
        <v>1</v>
      </c>
      <c r="BN45" s="15">
        <v>1</v>
      </c>
      <c r="BO45" s="15">
        <v>228.55</v>
      </c>
      <c r="BP45" s="15">
        <v>99.82</v>
      </c>
      <c r="BQ45" s="15">
        <v>1772</v>
      </c>
    </row>
    <row r="46" spans="1:69">
      <c r="A46" s="16">
        <v>46101</v>
      </c>
      <c r="B46" s="15">
        <v>479</v>
      </c>
      <c r="C46" s="15" t="s">
        <v>39</v>
      </c>
      <c r="D46" s="15">
        <v>479</v>
      </c>
      <c r="E46" s="15" t="s">
        <v>39</v>
      </c>
      <c r="F46" s="15">
        <v>58</v>
      </c>
      <c r="G46" s="15">
        <v>43</v>
      </c>
      <c r="H46" s="15">
        <v>18.35</v>
      </c>
      <c r="I46" s="15">
        <v>0.74138</v>
      </c>
      <c r="J46" s="15">
        <v>0.43</v>
      </c>
      <c r="K46" s="15">
        <v>316.33</v>
      </c>
      <c r="L46" s="15">
        <v>0</v>
      </c>
      <c r="M46" s="15">
        <v>0</v>
      </c>
      <c r="N46" s="15">
        <v>0</v>
      </c>
      <c r="O46" s="15">
        <v>0</v>
      </c>
      <c r="P46" s="15">
        <v>0</v>
      </c>
      <c r="Q46" s="15">
        <v>0</v>
      </c>
      <c r="R46" s="15">
        <v>0</v>
      </c>
      <c r="S46" s="15">
        <v>29</v>
      </c>
      <c r="T46" s="15">
        <v>29</v>
      </c>
      <c r="U46" s="15">
        <v>1</v>
      </c>
      <c r="V46" s="15">
        <v>0</v>
      </c>
      <c r="W46" s="15">
        <v>1</v>
      </c>
      <c r="X46" s="15">
        <v>0.02326</v>
      </c>
      <c r="Y46" s="15">
        <v>1.58</v>
      </c>
      <c r="Z46" s="15">
        <v>1.58</v>
      </c>
      <c r="AA46" s="15">
        <v>18.35</v>
      </c>
      <c r="AB46" s="15">
        <v>18</v>
      </c>
      <c r="AC46" s="15">
        <v>0</v>
      </c>
      <c r="AD46" s="15">
        <v>18</v>
      </c>
      <c r="AE46" s="15">
        <v>0.4186</v>
      </c>
      <c r="AF46" s="15">
        <v>2</v>
      </c>
      <c r="AG46" s="15">
        <v>5</v>
      </c>
      <c r="AH46" s="15">
        <v>3.67</v>
      </c>
      <c r="AI46" s="15">
        <v>25</v>
      </c>
      <c r="AJ46" s="15">
        <v>0.73</v>
      </c>
      <c r="AK46" s="15">
        <v>20</v>
      </c>
      <c r="AL46" s="15">
        <v>0.92</v>
      </c>
      <c r="AM46" s="15">
        <v>7</v>
      </c>
      <c r="AN46" s="15">
        <v>9.17</v>
      </c>
      <c r="AO46" s="15">
        <v>0.04651</v>
      </c>
      <c r="AP46" s="15">
        <v>1.02</v>
      </c>
      <c r="AQ46" s="15">
        <v>1</v>
      </c>
      <c r="AR46" s="15">
        <v>29</v>
      </c>
      <c r="AS46" s="15">
        <v>0</v>
      </c>
      <c r="AT46" s="15">
        <v>2</v>
      </c>
      <c r="AU46" s="15">
        <v>0</v>
      </c>
      <c r="AV46" s="15">
        <v>0</v>
      </c>
      <c r="AW46" s="15">
        <v>0</v>
      </c>
      <c r="AX46" s="15">
        <v>0</v>
      </c>
      <c r="AY46" s="15">
        <v>443</v>
      </c>
      <c r="AZ46" s="15">
        <v>38</v>
      </c>
      <c r="BA46" s="15">
        <v>29</v>
      </c>
      <c r="BB46" s="15">
        <v>0.76316</v>
      </c>
      <c r="BC46" s="15">
        <v>0</v>
      </c>
      <c r="BD46" s="15">
        <v>0</v>
      </c>
      <c r="BE46" s="15">
        <v>7.63793</v>
      </c>
      <c r="BF46" s="15">
        <v>398</v>
      </c>
      <c r="BG46" s="15">
        <v>12</v>
      </c>
      <c r="BH46" s="15">
        <v>1</v>
      </c>
      <c r="BI46" s="15">
        <v>1</v>
      </c>
      <c r="BJ46" s="15">
        <v>0</v>
      </c>
      <c r="BK46" s="15">
        <v>0</v>
      </c>
      <c r="BL46" s="15">
        <v>0</v>
      </c>
      <c r="BM46" s="15">
        <v>1</v>
      </c>
      <c r="BN46" s="15">
        <v>1</v>
      </c>
      <c r="BO46" s="15">
        <v>29</v>
      </c>
      <c r="BP46" s="15">
        <v>2.05</v>
      </c>
      <c r="BQ46" s="15">
        <v>179</v>
      </c>
    </row>
    <row r="47" spans="1:69">
      <c r="A47" s="16">
        <v>46101</v>
      </c>
      <c r="B47" s="15">
        <v>436</v>
      </c>
      <c r="C47" s="15" t="s">
        <v>38</v>
      </c>
      <c r="D47" s="15">
        <v>436</v>
      </c>
      <c r="E47" s="15" t="s">
        <v>38</v>
      </c>
      <c r="F47" s="15">
        <v>1521</v>
      </c>
      <c r="G47" s="15">
        <v>61</v>
      </c>
      <c r="H47" s="15">
        <v>110</v>
      </c>
      <c r="I47" s="15">
        <v>0.04011</v>
      </c>
      <c r="J47" s="15">
        <v>1.8</v>
      </c>
      <c r="K47" s="15">
        <v>72.32</v>
      </c>
      <c r="L47" s="15">
        <v>0</v>
      </c>
      <c r="M47" s="15">
        <v>0</v>
      </c>
      <c r="N47" s="15">
        <v>0</v>
      </c>
      <c r="O47" s="15">
        <v>0</v>
      </c>
      <c r="P47" s="15">
        <v>0</v>
      </c>
      <c r="Q47" s="15">
        <v>0</v>
      </c>
      <c r="R47" s="15">
        <v>744.08</v>
      </c>
      <c r="S47" s="15">
        <v>205.54</v>
      </c>
      <c r="T47" s="15">
        <v>949.62</v>
      </c>
      <c r="U47" s="15">
        <v>6</v>
      </c>
      <c r="V47" s="15">
        <v>2</v>
      </c>
      <c r="W47" s="15">
        <v>4</v>
      </c>
      <c r="X47" s="15">
        <v>0.09836</v>
      </c>
      <c r="Y47" s="15">
        <v>8.63</v>
      </c>
      <c r="Z47" s="15">
        <v>8.63</v>
      </c>
      <c r="AA47" s="15">
        <v>18.33</v>
      </c>
      <c r="AB47" s="15">
        <v>12</v>
      </c>
      <c r="AC47" s="15">
        <v>4</v>
      </c>
      <c r="AD47" s="15">
        <v>8</v>
      </c>
      <c r="AE47" s="15">
        <v>0.19672</v>
      </c>
      <c r="AF47" s="15">
        <v>1</v>
      </c>
      <c r="AG47" s="15">
        <v>2</v>
      </c>
      <c r="AH47" s="15">
        <v>55</v>
      </c>
      <c r="AI47" s="15">
        <v>15</v>
      </c>
      <c r="AJ47" s="15">
        <v>7.33</v>
      </c>
      <c r="AK47" s="15">
        <v>13</v>
      </c>
      <c r="AL47" s="15">
        <v>8.46</v>
      </c>
      <c r="AM47" s="15">
        <v>3</v>
      </c>
      <c r="AN47" s="15">
        <v>110</v>
      </c>
      <c r="AO47" s="15">
        <v>0.01639</v>
      </c>
      <c r="AP47" s="15">
        <v>9.17</v>
      </c>
      <c r="AQ47" s="15">
        <v>8</v>
      </c>
      <c r="AR47" s="15">
        <v>1309.7</v>
      </c>
      <c r="AS47" s="15">
        <v>1</v>
      </c>
      <c r="AT47" s="15">
        <v>0</v>
      </c>
      <c r="AU47" s="15">
        <v>0</v>
      </c>
      <c r="AV47" s="15">
        <v>0</v>
      </c>
      <c r="AW47" s="15">
        <v>0</v>
      </c>
      <c r="AX47" s="15">
        <v>1</v>
      </c>
      <c r="AY47" s="15">
        <v>181</v>
      </c>
      <c r="AZ47" s="15">
        <v>53</v>
      </c>
      <c r="BA47" s="15">
        <v>40</v>
      </c>
      <c r="BB47" s="15">
        <v>0.75472</v>
      </c>
      <c r="BC47" s="15">
        <v>0</v>
      </c>
      <c r="BD47" s="15">
        <v>0</v>
      </c>
      <c r="BE47" s="15">
        <v>0.119</v>
      </c>
      <c r="BF47" s="15">
        <v>117</v>
      </c>
      <c r="BG47" s="15">
        <v>3</v>
      </c>
      <c r="BH47" s="15">
        <v>4</v>
      </c>
      <c r="BI47" s="15">
        <v>1</v>
      </c>
      <c r="BJ47" s="15">
        <v>0</v>
      </c>
      <c r="BK47" s="15">
        <v>0</v>
      </c>
      <c r="BL47" s="15">
        <v>0</v>
      </c>
      <c r="BM47" s="15">
        <v>4</v>
      </c>
      <c r="BN47" s="15">
        <v>2</v>
      </c>
      <c r="BO47" s="15">
        <v>237.41</v>
      </c>
      <c r="BP47" s="15">
        <v>13.03</v>
      </c>
      <c r="BQ47" s="15">
        <v>1111</v>
      </c>
    </row>
    <row r="48" spans="1:69">
      <c r="A48" s="16">
        <v>46101</v>
      </c>
      <c r="B48" s="15">
        <v>371</v>
      </c>
      <c r="C48" s="15" t="s">
        <v>32</v>
      </c>
      <c r="D48" s="15">
        <v>371</v>
      </c>
      <c r="E48" s="15" t="s">
        <v>32</v>
      </c>
      <c r="F48" s="15">
        <v>4007</v>
      </c>
      <c r="G48" s="15">
        <v>119</v>
      </c>
      <c r="H48" s="15">
        <v>39.09</v>
      </c>
      <c r="I48" s="15">
        <v>0.0297</v>
      </c>
      <c r="J48" s="15">
        <v>0.33</v>
      </c>
      <c r="K48" s="15">
        <v>9.76</v>
      </c>
      <c r="L48" s="15">
        <v>0</v>
      </c>
      <c r="M48" s="15">
        <v>0</v>
      </c>
      <c r="N48" s="15">
        <v>0</v>
      </c>
      <c r="O48" s="15">
        <v>0</v>
      </c>
      <c r="P48" s="15">
        <v>0</v>
      </c>
      <c r="Q48" s="15">
        <v>0</v>
      </c>
      <c r="R48" s="15">
        <v>0</v>
      </c>
      <c r="S48" s="15">
        <v>0</v>
      </c>
      <c r="T48" s="15">
        <v>0</v>
      </c>
      <c r="U48" s="15">
        <v>0</v>
      </c>
      <c r="V48" s="15">
        <v>0</v>
      </c>
      <c r="W48" s="15">
        <v>0</v>
      </c>
      <c r="X48" s="15">
        <v>0</v>
      </c>
      <c r="Y48" s="15">
        <v>0</v>
      </c>
      <c r="Z48" s="15">
        <v>0</v>
      </c>
      <c r="AA48" s="15"/>
      <c r="AB48" s="15">
        <v>0</v>
      </c>
      <c r="AC48" s="15">
        <v>0</v>
      </c>
      <c r="AD48" s="15">
        <v>0</v>
      </c>
      <c r="AE48" s="15">
        <v>0</v>
      </c>
      <c r="AF48" s="15">
        <v>0</v>
      </c>
      <c r="AG48" s="15">
        <v>0</v>
      </c>
      <c r="AH48" s="15"/>
      <c r="AI48" s="15">
        <v>0</v>
      </c>
      <c r="AJ48" s="15"/>
      <c r="AK48" s="15">
        <v>0</v>
      </c>
      <c r="AL48" s="15"/>
      <c r="AM48" s="15">
        <v>0</v>
      </c>
      <c r="AN48" s="15"/>
      <c r="AO48" s="15">
        <v>0</v>
      </c>
      <c r="AP48" s="15"/>
      <c r="AQ48" s="15">
        <v>0</v>
      </c>
      <c r="AR48" s="15">
        <v>0</v>
      </c>
      <c r="AS48" s="15">
        <v>0</v>
      </c>
      <c r="AT48" s="15">
        <v>0</v>
      </c>
      <c r="AU48" s="15">
        <v>0</v>
      </c>
      <c r="AV48" s="15">
        <v>0</v>
      </c>
      <c r="AW48" s="15">
        <v>0</v>
      </c>
      <c r="AX48" s="15">
        <v>1</v>
      </c>
      <c r="AY48" s="15">
        <v>236</v>
      </c>
      <c r="AZ48" s="15">
        <v>137</v>
      </c>
      <c r="BA48" s="15">
        <v>127</v>
      </c>
      <c r="BB48" s="15">
        <v>0.92701</v>
      </c>
      <c r="BC48" s="15">
        <v>0</v>
      </c>
      <c r="BD48" s="15">
        <v>0</v>
      </c>
      <c r="BE48" s="15">
        <v>0.0589</v>
      </c>
      <c r="BF48" s="15">
        <v>75</v>
      </c>
      <c r="BG48" s="15">
        <v>2</v>
      </c>
      <c r="BH48" s="15">
        <v>0</v>
      </c>
      <c r="BI48" s="15"/>
      <c r="BJ48" s="15">
        <v>0</v>
      </c>
      <c r="BK48" s="15">
        <v>0</v>
      </c>
      <c r="BL48" s="15">
        <v>0</v>
      </c>
      <c r="BM48" s="15">
        <v>0</v>
      </c>
      <c r="BN48" s="15"/>
      <c r="BO48" s="15"/>
      <c r="BP48" s="15">
        <v>0</v>
      </c>
      <c r="BQ48" s="15">
        <v>16</v>
      </c>
    </row>
    <row r="49" spans="1:69">
      <c r="A49" s="16">
        <v>46101</v>
      </c>
      <c r="B49" s="15">
        <v>183</v>
      </c>
      <c r="C49" s="15" t="s">
        <v>40</v>
      </c>
      <c r="D49" s="15">
        <v>183</v>
      </c>
      <c r="E49" s="15" t="s">
        <v>40</v>
      </c>
      <c r="F49" s="15">
        <v>5965</v>
      </c>
      <c r="G49" s="15">
        <v>114</v>
      </c>
      <c r="H49" s="15">
        <v>200</v>
      </c>
      <c r="I49" s="15">
        <v>0.01911</v>
      </c>
      <c r="J49" s="15">
        <v>1.75</v>
      </c>
      <c r="K49" s="15">
        <v>33.53</v>
      </c>
      <c r="L49" s="15">
        <v>0</v>
      </c>
      <c r="M49" s="15">
        <v>0</v>
      </c>
      <c r="N49" s="15">
        <v>0</v>
      </c>
      <c r="O49" s="15">
        <v>0</v>
      </c>
      <c r="P49" s="15">
        <v>0</v>
      </c>
      <c r="Q49" s="15">
        <v>0</v>
      </c>
      <c r="R49" s="15">
        <v>0</v>
      </c>
      <c r="S49" s="15">
        <v>49.9</v>
      </c>
      <c r="T49" s="15">
        <v>49.9</v>
      </c>
      <c r="U49" s="15">
        <v>1</v>
      </c>
      <c r="V49" s="15">
        <v>0</v>
      </c>
      <c r="W49" s="15">
        <v>1</v>
      </c>
      <c r="X49" s="15">
        <v>0.00877</v>
      </c>
      <c r="Y49" s="15">
        <v>0.25</v>
      </c>
      <c r="Z49" s="15">
        <v>0.25</v>
      </c>
      <c r="AA49" s="15">
        <v>200</v>
      </c>
      <c r="AB49" s="15">
        <v>6</v>
      </c>
      <c r="AC49" s="15">
        <v>4</v>
      </c>
      <c r="AD49" s="15">
        <v>2</v>
      </c>
      <c r="AE49" s="15">
        <v>0.05263</v>
      </c>
      <c r="AF49" s="15">
        <v>2</v>
      </c>
      <c r="AG49" s="15">
        <v>2</v>
      </c>
      <c r="AH49" s="15">
        <v>100</v>
      </c>
      <c r="AI49" s="15">
        <v>10</v>
      </c>
      <c r="AJ49" s="15">
        <v>20</v>
      </c>
      <c r="AK49" s="15">
        <v>8</v>
      </c>
      <c r="AL49" s="15">
        <v>25</v>
      </c>
      <c r="AM49" s="15">
        <v>4</v>
      </c>
      <c r="AN49" s="15">
        <v>100</v>
      </c>
      <c r="AO49" s="15">
        <v>0.01754</v>
      </c>
      <c r="AP49" s="15">
        <v>33.33</v>
      </c>
      <c r="AQ49" s="15">
        <v>1</v>
      </c>
      <c r="AR49" s="15">
        <v>49.9</v>
      </c>
      <c r="AS49" s="15">
        <v>2</v>
      </c>
      <c r="AT49" s="15">
        <v>0</v>
      </c>
      <c r="AU49" s="15">
        <v>0</v>
      </c>
      <c r="AV49" s="15">
        <v>0</v>
      </c>
      <c r="AW49" s="15">
        <v>0</v>
      </c>
      <c r="AX49" s="15">
        <v>0</v>
      </c>
      <c r="AY49" s="15">
        <v>389</v>
      </c>
      <c r="AZ49" s="15">
        <v>148</v>
      </c>
      <c r="BA49" s="15">
        <v>102</v>
      </c>
      <c r="BB49" s="15">
        <v>0.68919</v>
      </c>
      <c r="BC49" s="15">
        <v>0</v>
      </c>
      <c r="BD49" s="15">
        <v>0</v>
      </c>
      <c r="BE49" s="15">
        <v>0.06521</v>
      </c>
      <c r="BF49" s="15">
        <v>143</v>
      </c>
      <c r="BG49" s="15">
        <v>3</v>
      </c>
      <c r="BH49" s="15">
        <v>1</v>
      </c>
      <c r="BI49" s="15">
        <v>1</v>
      </c>
      <c r="BJ49" s="15">
        <v>0</v>
      </c>
      <c r="BK49" s="15">
        <v>0</v>
      </c>
      <c r="BL49" s="15">
        <v>0</v>
      </c>
      <c r="BM49" s="15">
        <v>1</v>
      </c>
      <c r="BN49" s="15">
        <v>1</v>
      </c>
      <c r="BO49" s="15">
        <v>49.9</v>
      </c>
      <c r="BP49" s="15">
        <v>105.32</v>
      </c>
      <c r="BQ49" s="15">
        <v>616</v>
      </c>
    </row>
    <row r="50" spans="1:69">
      <c r="A50" s="16">
        <v>46100</v>
      </c>
      <c r="B50" s="15">
        <v>183</v>
      </c>
      <c r="C50" s="15" t="s">
        <v>40</v>
      </c>
      <c r="D50" s="15">
        <v>183</v>
      </c>
      <c r="E50" s="15" t="s">
        <v>40</v>
      </c>
      <c r="F50" s="15">
        <v>4246</v>
      </c>
      <c r="G50" s="15">
        <v>99</v>
      </c>
      <c r="H50" s="15">
        <v>200</v>
      </c>
      <c r="I50" s="15">
        <v>0.02332</v>
      </c>
      <c r="J50" s="15">
        <v>2.02</v>
      </c>
      <c r="K50" s="15">
        <v>47.1</v>
      </c>
      <c r="L50" s="15">
        <v>0</v>
      </c>
      <c r="M50" s="15">
        <v>0</v>
      </c>
      <c r="N50" s="15">
        <v>0</v>
      </c>
      <c r="O50" s="15">
        <v>0</v>
      </c>
      <c r="P50" s="15">
        <v>0</v>
      </c>
      <c r="Q50" s="15">
        <v>0</v>
      </c>
      <c r="R50" s="15">
        <v>78.82</v>
      </c>
      <c r="S50" s="15">
        <v>2667.5</v>
      </c>
      <c r="T50" s="15">
        <v>2746.32</v>
      </c>
      <c r="U50" s="15">
        <v>2</v>
      </c>
      <c r="V50" s="15">
        <v>1</v>
      </c>
      <c r="W50" s="15">
        <v>1</v>
      </c>
      <c r="X50" s="15">
        <v>0.0202</v>
      </c>
      <c r="Y50" s="15">
        <v>13.73</v>
      </c>
      <c r="Z50" s="15">
        <v>13.73</v>
      </c>
      <c r="AA50" s="15">
        <v>100</v>
      </c>
      <c r="AB50" s="15">
        <v>12</v>
      </c>
      <c r="AC50" s="15">
        <v>4</v>
      </c>
      <c r="AD50" s="15">
        <v>8</v>
      </c>
      <c r="AE50" s="15">
        <v>0.12121</v>
      </c>
      <c r="AF50" s="15">
        <v>1</v>
      </c>
      <c r="AG50" s="15">
        <v>3</v>
      </c>
      <c r="AH50" s="15">
        <v>66.67</v>
      </c>
      <c r="AI50" s="15">
        <v>16</v>
      </c>
      <c r="AJ50" s="15">
        <v>12.5</v>
      </c>
      <c r="AK50" s="15">
        <v>13</v>
      </c>
      <c r="AL50" s="15">
        <v>15.38</v>
      </c>
      <c r="AM50" s="15">
        <v>4</v>
      </c>
      <c r="AN50" s="15">
        <v>200</v>
      </c>
      <c r="AO50" s="15">
        <v>0.0101</v>
      </c>
      <c r="AP50" s="15">
        <v>16.67</v>
      </c>
      <c r="AQ50" s="15">
        <v>6</v>
      </c>
      <c r="AR50" s="15">
        <v>3255</v>
      </c>
      <c r="AS50" s="15">
        <v>0</v>
      </c>
      <c r="AT50" s="15">
        <v>1</v>
      </c>
      <c r="AU50" s="15">
        <v>0</v>
      </c>
      <c r="AV50" s="15">
        <v>0</v>
      </c>
      <c r="AW50" s="15">
        <v>0</v>
      </c>
      <c r="AX50" s="15">
        <v>5</v>
      </c>
      <c r="AY50" s="15">
        <v>459</v>
      </c>
      <c r="AZ50" s="15">
        <v>131</v>
      </c>
      <c r="BA50" s="15">
        <v>83</v>
      </c>
      <c r="BB50" s="15">
        <v>0.63359</v>
      </c>
      <c r="BC50" s="15">
        <v>0</v>
      </c>
      <c r="BD50" s="15">
        <v>0</v>
      </c>
      <c r="BE50" s="15">
        <v>0.1081</v>
      </c>
      <c r="BF50" s="15">
        <v>193</v>
      </c>
      <c r="BG50" s="15">
        <v>4</v>
      </c>
      <c r="BH50" s="15">
        <v>2</v>
      </c>
      <c r="BI50" s="15">
        <v>1</v>
      </c>
      <c r="BJ50" s="15">
        <v>0</v>
      </c>
      <c r="BK50" s="15">
        <v>0</v>
      </c>
      <c r="BL50" s="15">
        <v>0</v>
      </c>
      <c r="BM50" s="15">
        <v>2</v>
      </c>
      <c r="BN50" s="15">
        <v>1</v>
      </c>
      <c r="BO50" s="15">
        <v>1373.16</v>
      </c>
      <c r="BP50" s="15">
        <v>35.97</v>
      </c>
      <c r="BQ50" s="15">
        <v>342</v>
      </c>
    </row>
    <row r="51" spans="1:69">
      <c r="A51" s="16">
        <v>46100</v>
      </c>
      <c r="B51" s="15">
        <v>371</v>
      </c>
      <c r="C51" s="15" t="s">
        <v>32</v>
      </c>
      <c r="D51" s="15">
        <v>371</v>
      </c>
      <c r="E51" s="15" t="s">
        <v>32</v>
      </c>
      <c r="F51" s="15">
        <v>5385</v>
      </c>
      <c r="G51" s="15">
        <v>131</v>
      </c>
      <c r="H51" s="15">
        <v>40.56</v>
      </c>
      <c r="I51" s="15">
        <v>0.02433</v>
      </c>
      <c r="J51" s="15">
        <v>0.31</v>
      </c>
      <c r="K51" s="15">
        <v>7.53</v>
      </c>
      <c r="L51" s="15">
        <v>0</v>
      </c>
      <c r="M51" s="15">
        <v>0</v>
      </c>
      <c r="N51" s="15">
        <v>0</v>
      </c>
      <c r="O51" s="15">
        <v>0</v>
      </c>
      <c r="P51" s="15">
        <v>0</v>
      </c>
      <c r="Q51" s="15">
        <v>0</v>
      </c>
      <c r="R51" s="15">
        <v>0</v>
      </c>
      <c r="S51" s="15">
        <v>0</v>
      </c>
      <c r="T51" s="15">
        <v>0</v>
      </c>
      <c r="U51" s="15">
        <v>0</v>
      </c>
      <c r="V51" s="15">
        <v>0</v>
      </c>
      <c r="W51" s="15">
        <v>0</v>
      </c>
      <c r="X51" s="15">
        <v>0</v>
      </c>
      <c r="Y51" s="15">
        <v>0</v>
      </c>
      <c r="Z51" s="15">
        <v>0</v>
      </c>
      <c r="AA51" s="15"/>
      <c r="AB51" s="15">
        <v>2</v>
      </c>
      <c r="AC51" s="15">
        <v>2</v>
      </c>
      <c r="AD51" s="15">
        <v>0</v>
      </c>
      <c r="AE51" s="15">
        <v>0.01527</v>
      </c>
      <c r="AF51" s="15">
        <v>0</v>
      </c>
      <c r="AG51" s="15">
        <v>0</v>
      </c>
      <c r="AH51" s="15"/>
      <c r="AI51" s="15">
        <v>2</v>
      </c>
      <c r="AJ51" s="15">
        <v>20.28</v>
      </c>
      <c r="AK51" s="15">
        <v>2</v>
      </c>
      <c r="AL51" s="15">
        <v>20.28</v>
      </c>
      <c r="AM51" s="15">
        <v>0</v>
      </c>
      <c r="AN51" s="15"/>
      <c r="AO51" s="15">
        <v>0</v>
      </c>
      <c r="AP51" s="15">
        <v>20.28</v>
      </c>
      <c r="AQ51" s="15">
        <v>0</v>
      </c>
      <c r="AR51" s="15">
        <v>0</v>
      </c>
      <c r="AS51" s="15">
        <v>0</v>
      </c>
      <c r="AT51" s="15">
        <v>0</v>
      </c>
      <c r="AU51" s="15">
        <v>0</v>
      </c>
      <c r="AV51" s="15">
        <v>0</v>
      </c>
      <c r="AW51" s="15">
        <v>0</v>
      </c>
      <c r="AX51" s="15">
        <v>0</v>
      </c>
      <c r="AY51" s="15">
        <v>333</v>
      </c>
      <c r="AZ51" s="15">
        <v>135</v>
      </c>
      <c r="BA51" s="15">
        <v>124</v>
      </c>
      <c r="BB51" s="15">
        <v>0.91852</v>
      </c>
      <c r="BC51" s="15">
        <v>0</v>
      </c>
      <c r="BD51" s="15">
        <v>0</v>
      </c>
      <c r="BE51" s="15">
        <v>0.06184</v>
      </c>
      <c r="BF51" s="15">
        <v>168</v>
      </c>
      <c r="BG51" s="15">
        <v>2</v>
      </c>
      <c r="BH51" s="15">
        <v>0</v>
      </c>
      <c r="BI51" s="15"/>
      <c r="BJ51" s="15">
        <v>0</v>
      </c>
      <c r="BK51" s="15">
        <v>0</v>
      </c>
      <c r="BL51" s="15">
        <v>0</v>
      </c>
      <c r="BM51" s="15">
        <v>0</v>
      </c>
      <c r="BN51" s="15"/>
      <c r="BO51" s="15"/>
      <c r="BP51" s="15">
        <v>0</v>
      </c>
      <c r="BQ51" s="15">
        <v>1891</v>
      </c>
    </row>
    <row r="52" spans="1:69">
      <c r="A52" s="16">
        <v>46100</v>
      </c>
      <c r="B52" s="15">
        <v>436</v>
      </c>
      <c r="C52" s="15" t="s">
        <v>38</v>
      </c>
      <c r="D52" s="15">
        <v>436</v>
      </c>
      <c r="E52" s="15" t="s">
        <v>38</v>
      </c>
      <c r="F52" s="15">
        <v>1850</v>
      </c>
      <c r="G52" s="15">
        <v>67</v>
      </c>
      <c r="H52" s="15">
        <v>110</v>
      </c>
      <c r="I52" s="15">
        <v>0.03622</v>
      </c>
      <c r="J52" s="15">
        <v>1.64</v>
      </c>
      <c r="K52" s="15">
        <v>59.46</v>
      </c>
      <c r="L52" s="15">
        <v>0</v>
      </c>
      <c r="M52" s="15">
        <v>0</v>
      </c>
      <c r="N52" s="15">
        <v>0</v>
      </c>
      <c r="O52" s="15">
        <v>0</v>
      </c>
      <c r="P52" s="15">
        <v>0</v>
      </c>
      <c r="Q52" s="15">
        <v>0</v>
      </c>
      <c r="R52" s="15">
        <v>147.64</v>
      </c>
      <c r="S52" s="15">
        <v>626.69</v>
      </c>
      <c r="T52" s="15">
        <v>774.33</v>
      </c>
      <c r="U52" s="15">
        <v>8</v>
      </c>
      <c r="V52" s="15">
        <v>1</v>
      </c>
      <c r="W52" s="15">
        <v>7</v>
      </c>
      <c r="X52" s="15">
        <v>0.1194</v>
      </c>
      <c r="Y52" s="15">
        <v>7.04</v>
      </c>
      <c r="Z52" s="15">
        <v>7.04</v>
      </c>
      <c r="AA52" s="15">
        <v>13.75</v>
      </c>
      <c r="AB52" s="15">
        <v>24</v>
      </c>
      <c r="AC52" s="15">
        <v>1</v>
      </c>
      <c r="AD52" s="15">
        <v>23</v>
      </c>
      <c r="AE52" s="15">
        <v>0.35821</v>
      </c>
      <c r="AF52" s="15">
        <v>0</v>
      </c>
      <c r="AG52" s="15">
        <v>2</v>
      </c>
      <c r="AH52" s="15">
        <v>55</v>
      </c>
      <c r="AI52" s="15">
        <v>26</v>
      </c>
      <c r="AJ52" s="15">
        <v>4.23</v>
      </c>
      <c r="AK52" s="15">
        <v>24</v>
      </c>
      <c r="AL52" s="15">
        <v>4.58</v>
      </c>
      <c r="AM52" s="15">
        <v>2</v>
      </c>
      <c r="AN52" s="15"/>
      <c r="AO52" s="15">
        <v>0</v>
      </c>
      <c r="AP52" s="15">
        <v>4.58</v>
      </c>
      <c r="AQ52" s="15">
        <v>17</v>
      </c>
      <c r="AR52" s="15">
        <v>1313.6</v>
      </c>
      <c r="AS52" s="15">
        <v>0</v>
      </c>
      <c r="AT52" s="15">
        <v>0</v>
      </c>
      <c r="AU52" s="15">
        <v>0</v>
      </c>
      <c r="AV52" s="15">
        <v>0</v>
      </c>
      <c r="AW52" s="15">
        <v>0</v>
      </c>
      <c r="AX52" s="15">
        <v>5</v>
      </c>
      <c r="AY52" s="15">
        <v>264</v>
      </c>
      <c r="AZ52" s="15">
        <v>61</v>
      </c>
      <c r="BA52" s="15">
        <v>43</v>
      </c>
      <c r="BB52" s="15">
        <v>0.70492</v>
      </c>
      <c r="BC52" s="15">
        <v>0</v>
      </c>
      <c r="BD52" s="15">
        <v>0</v>
      </c>
      <c r="BE52" s="15">
        <v>0.1427</v>
      </c>
      <c r="BF52" s="15">
        <v>191</v>
      </c>
      <c r="BG52" s="15">
        <v>4</v>
      </c>
      <c r="BH52" s="15">
        <v>4</v>
      </c>
      <c r="BI52" s="15">
        <v>1</v>
      </c>
      <c r="BJ52" s="15">
        <v>0</v>
      </c>
      <c r="BK52" s="15">
        <v>0</v>
      </c>
      <c r="BL52" s="15">
        <v>0</v>
      </c>
      <c r="BM52" s="15">
        <v>4</v>
      </c>
      <c r="BN52" s="15">
        <v>2</v>
      </c>
      <c r="BO52" s="15">
        <v>193.58</v>
      </c>
      <c r="BP52" s="15">
        <v>159.97</v>
      </c>
      <c r="BQ52" s="15">
        <v>879</v>
      </c>
    </row>
    <row r="53" spans="1:69">
      <c r="A53" s="16">
        <v>46100</v>
      </c>
      <c r="B53" s="15">
        <v>479</v>
      </c>
      <c r="C53" s="15" t="s">
        <v>39</v>
      </c>
      <c r="D53" s="15">
        <v>479</v>
      </c>
      <c r="E53" s="15" t="s">
        <v>39</v>
      </c>
      <c r="F53" s="15">
        <v>74</v>
      </c>
      <c r="G53" s="15">
        <v>43</v>
      </c>
      <c r="H53" s="15">
        <v>21.47</v>
      </c>
      <c r="I53" s="15">
        <v>0.58108</v>
      </c>
      <c r="J53" s="15">
        <v>0.5</v>
      </c>
      <c r="K53" s="15">
        <v>290.17</v>
      </c>
      <c r="L53" s="15">
        <v>0</v>
      </c>
      <c r="M53" s="15">
        <v>0</v>
      </c>
      <c r="N53" s="15">
        <v>0</v>
      </c>
      <c r="O53" s="15">
        <v>0</v>
      </c>
      <c r="P53" s="15">
        <v>0</v>
      </c>
      <c r="Q53" s="15">
        <v>0</v>
      </c>
      <c r="R53" s="15">
        <v>0</v>
      </c>
      <c r="S53" s="15">
        <v>378.43</v>
      </c>
      <c r="T53" s="15">
        <v>378.43</v>
      </c>
      <c r="U53" s="15">
        <v>7</v>
      </c>
      <c r="V53" s="15">
        <v>0</v>
      </c>
      <c r="W53" s="15">
        <v>7</v>
      </c>
      <c r="X53" s="15">
        <v>0.16279</v>
      </c>
      <c r="Y53" s="15">
        <v>17.62</v>
      </c>
      <c r="Z53" s="15">
        <v>17.62</v>
      </c>
      <c r="AA53" s="15">
        <v>3.07</v>
      </c>
      <c r="AB53" s="15">
        <v>20</v>
      </c>
      <c r="AC53" s="15">
        <v>0</v>
      </c>
      <c r="AD53" s="15">
        <v>20</v>
      </c>
      <c r="AE53" s="15">
        <v>0.46512</v>
      </c>
      <c r="AF53" s="15">
        <v>1</v>
      </c>
      <c r="AG53" s="15">
        <v>0</v>
      </c>
      <c r="AH53" s="15"/>
      <c r="AI53" s="15">
        <v>21</v>
      </c>
      <c r="AJ53" s="15">
        <v>1.02</v>
      </c>
      <c r="AK53" s="15">
        <v>21</v>
      </c>
      <c r="AL53" s="15">
        <v>1.02</v>
      </c>
      <c r="AM53" s="15">
        <v>1</v>
      </c>
      <c r="AN53" s="15">
        <v>21.47</v>
      </c>
      <c r="AO53" s="15">
        <v>0.02326</v>
      </c>
      <c r="AP53" s="15">
        <v>1.07</v>
      </c>
      <c r="AQ53" s="15">
        <v>10</v>
      </c>
      <c r="AR53" s="15">
        <v>579.5</v>
      </c>
      <c r="AS53" s="15">
        <v>0</v>
      </c>
      <c r="AT53" s="15">
        <v>1</v>
      </c>
      <c r="AU53" s="15">
        <v>0</v>
      </c>
      <c r="AV53" s="15">
        <v>0</v>
      </c>
      <c r="AW53" s="15">
        <v>0</v>
      </c>
      <c r="AX53" s="15">
        <v>1</v>
      </c>
      <c r="AY53" s="15">
        <v>500</v>
      </c>
      <c r="AZ53" s="15">
        <v>34</v>
      </c>
      <c r="BA53" s="15">
        <v>26</v>
      </c>
      <c r="BB53" s="15">
        <v>0.76471</v>
      </c>
      <c r="BC53" s="15">
        <v>0</v>
      </c>
      <c r="BD53" s="15">
        <v>0</v>
      </c>
      <c r="BE53" s="15">
        <v>6.75676</v>
      </c>
      <c r="BF53" s="15">
        <v>453</v>
      </c>
      <c r="BG53" s="15">
        <v>15</v>
      </c>
      <c r="BH53" s="15">
        <v>3</v>
      </c>
      <c r="BI53" s="15">
        <v>1</v>
      </c>
      <c r="BJ53" s="15">
        <v>0</v>
      </c>
      <c r="BK53" s="15">
        <v>0</v>
      </c>
      <c r="BL53" s="15">
        <v>0</v>
      </c>
      <c r="BM53" s="15">
        <v>3</v>
      </c>
      <c r="BN53" s="15">
        <v>2</v>
      </c>
      <c r="BO53" s="15">
        <v>126.14</v>
      </c>
      <c r="BP53" s="15">
        <v>63.73</v>
      </c>
      <c r="BQ53" s="15">
        <v>510</v>
      </c>
    </row>
    <row r="54" spans="1:69">
      <c r="A54" s="16">
        <v>46099</v>
      </c>
      <c r="B54" s="15">
        <v>371</v>
      </c>
      <c r="C54" s="15" t="s">
        <v>32</v>
      </c>
      <c r="D54" s="15">
        <v>371</v>
      </c>
      <c r="E54" s="15" t="s">
        <v>32</v>
      </c>
      <c r="F54" s="15">
        <v>4966</v>
      </c>
      <c r="G54" s="15">
        <v>136</v>
      </c>
      <c r="H54" s="15">
        <v>40.24</v>
      </c>
      <c r="I54" s="15">
        <v>0.02739</v>
      </c>
      <c r="J54" s="15">
        <v>0.3</v>
      </c>
      <c r="K54" s="15">
        <v>8.1</v>
      </c>
      <c r="L54" s="15">
        <v>0</v>
      </c>
      <c r="M54" s="15">
        <v>0</v>
      </c>
      <c r="N54" s="15">
        <v>0</v>
      </c>
      <c r="O54" s="15">
        <v>0</v>
      </c>
      <c r="P54" s="15">
        <v>0</v>
      </c>
      <c r="Q54" s="15">
        <v>0</v>
      </c>
      <c r="R54" s="15">
        <v>0</v>
      </c>
      <c r="S54" s="15">
        <v>0</v>
      </c>
      <c r="T54" s="15">
        <v>0</v>
      </c>
      <c r="U54" s="15">
        <v>0</v>
      </c>
      <c r="V54" s="15">
        <v>0</v>
      </c>
      <c r="W54" s="15">
        <v>0</v>
      </c>
      <c r="X54" s="15">
        <v>0</v>
      </c>
      <c r="Y54" s="15">
        <v>0</v>
      </c>
      <c r="Z54" s="15">
        <v>0</v>
      </c>
      <c r="AA54" s="15"/>
      <c r="AB54" s="15">
        <v>4</v>
      </c>
      <c r="AC54" s="15">
        <v>1</v>
      </c>
      <c r="AD54" s="15">
        <v>3</v>
      </c>
      <c r="AE54" s="15">
        <v>0.02941</v>
      </c>
      <c r="AF54" s="15">
        <v>1</v>
      </c>
      <c r="AG54" s="15">
        <v>0</v>
      </c>
      <c r="AH54" s="15"/>
      <c r="AI54" s="15">
        <v>5</v>
      </c>
      <c r="AJ54" s="15">
        <v>8.05</v>
      </c>
      <c r="AK54" s="15">
        <v>5</v>
      </c>
      <c r="AL54" s="15">
        <v>8.05</v>
      </c>
      <c r="AM54" s="15">
        <v>1</v>
      </c>
      <c r="AN54" s="15">
        <v>40.24</v>
      </c>
      <c r="AO54" s="15">
        <v>0.00735</v>
      </c>
      <c r="AP54" s="15">
        <v>10.06</v>
      </c>
      <c r="AQ54" s="15">
        <v>0</v>
      </c>
      <c r="AR54" s="15">
        <v>0</v>
      </c>
      <c r="AS54" s="15">
        <v>1</v>
      </c>
      <c r="AT54" s="15">
        <v>0</v>
      </c>
      <c r="AU54" s="15">
        <v>0</v>
      </c>
      <c r="AV54" s="15">
        <v>0</v>
      </c>
      <c r="AW54" s="15">
        <v>0</v>
      </c>
      <c r="AX54" s="15">
        <v>0</v>
      </c>
      <c r="AY54" s="15">
        <v>428</v>
      </c>
      <c r="AZ54" s="15">
        <v>118</v>
      </c>
      <c r="BA54" s="15">
        <v>102</v>
      </c>
      <c r="BB54" s="15">
        <v>0.86441</v>
      </c>
      <c r="BC54" s="15">
        <v>0</v>
      </c>
      <c r="BD54" s="15">
        <v>0</v>
      </c>
      <c r="BE54" s="15">
        <v>0.08619</v>
      </c>
      <c r="BF54" s="15">
        <v>274</v>
      </c>
      <c r="BG54" s="15">
        <v>4</v>
      </c>
      <c r="BH54" s="15">
        <v>0</v>
      </c>
      <c r="BI54" s="15"/>
      <c r="BJ54" s="15">
        <v>0</v>
      </c>
      <c r="BK54" s="15">
        <v>0</v>
      </c>
      <c r="BL54" s="15">
        <v>0</v>
      </c>
      <c r="BM54" s="15">
        <v>0</v>
      </c>
      <c r="BN54" s="15"/>
      <c r="BO54" s="15"/>
      <c r="BP54" s="15">
        <v>0.11</v>
      </c>
      <c r="BQ54" s="15">
        <v>2434</v>
      </c>
    </row>
    <row r="55" spans="1:69">
      <c r="A55" s="16">
        <v>46099</v>
      </c>
      <c r="B55" s="15">
        <v>183</v>
      </c>
      <c r="C55" s="15" t="s">
        <v>40</v>
      </c>
      <c r="D55" s="15">
        <v>183</v>
      </c>
      <c r="E55" s="15" t="s">
        <v>40</v>
      </c>
      <c r="F55" s="15">
        <v>3772</v>
      </c>
      <c r="G55" s="15">
        <v>95</v>
      </c>
      <c r="H55" s="15">
        <v>245.06</v>
      </c>
      <c r="I55" s="15">
        <v>0.02519</v>
      </c>
      <c r="J55" s="15">
        <v>2.58</v>
      </c>
      <c r="K55" s="15">
        <v>64.97</v>
      </c>
      <c r="L55" s="15">
        <v>0</v>
      </c>
      <c r="M55" s="15">
        <v>0</v>
      </c>
      <c r="N55" s="15">
        <v>0</v>
      </c>
      <c r="O55" s="15">
        <v>0</v>
      </c>
      <c r="P55" s="15">
        <v>0</v>
      </c>
      <c r="Q55" s="15">
        <v>0</v>
      </c>
      <c r="R55" s="15">
        <v>147.64</v>
      </c>
      <c r="S55" s="15">
        <v>206.49</v>
      </c>
      <c r="T55" s="15">
        <v>354.13</v>
      </c>
      <c r="U55" s="15">
        <v>4</v>
      </c>
      <c r="V55" s="15">
        <v>1</v>
      </c>
      <c r="W55" s="15">
        <v>3</v>
      </c>
      <c r="X55" s="15">
        <v>0.04211</v>
      </c>
      <c r="Y55" s="15">
        <v>1.45</v>
      </c>
      <c r="Z55" s="15">
        <v>1.45</v>
      </c>
      <c r="AA55" s="15">
        <v>61.27</v>
      </c>
      <c r="AB55" s="15">
        <v>7</v>
      </c>
      <c r="AC55" s="15">
        <v>5</v>
      </c>
      <c r="AD55" s="15">
        <v>2</v>
      </c>
      <c r="AE55" s="15">
        <v>0.07368</v>
      </c>
      <c r="AF55" s="15">
        <v>1</v>
      </c>
      <c r="AG55" s="15">
        <v>1</v>
      </c>
      <c r="AH55" s="15">
        <v>245.06</v>
      </c>
      <c r="AI55" s="15">
        <v>9</v>
      </c>
      <c r="AJ55" s="15">
        <v>27.23</v>
      </c>
      <c r="AK55" s="15">
        <v>8</v>
      </c>
      <c r="AL55" s="15">
        <v>30.63</v>
      </c>
      <c r="AM55" s="15">
        <v>2</v>
      </c>
      <c r="AN55" s="15">
        <v>245.06</v>
      </c>
      <c r="AO55" s="15">
        <v>0.01053</v>
      </c>
      <c r="AP55" s="15">
        <v>35.01</v>
      </c>
      <c r="AQ55" s="15">
        <v>6</v>
      </c>
      <c r="AR55" s="15">
        <v>452.9</v>
      </c>
      <c r="AS55" s="15">
        <v>1</v>
      </c>
      <c r="AT55" s="15">
        <v>0</v>
      </c>
      <c r="AU55" s="15">
        <v>0</v>
      </c>
      <c r="AV55" s="15">
        <v>0</v>
      </c>
      <c r="AW55" s="15">
        <v>0</v>
      </c>
      <c r="AX55" s="15">
        <v>2</v>
      </c>
      <c r="AY55" s="15">
        <v>477</v>
      </c>
      <c r="AZ55" s="15">
        <v>169</v>
      </c>
      <c r="BA55" s="15">
        <v>103</v>
      </c>
      <c r="BB55" s="15">
        <v>0.60947</v>
      </c>
      <c r="BC55" s="15">
        <v>0</v>
      </c>
      <c r="BD55" s="15">
        <v>0</v>
      </c>
      <c r="BE55" s="15">
        <v>0.12646</v>
      </c>
      <c r="BF55" s="15">
        <v>207</v>
      </c>
      <c r="BG55" s="15">
        <v>3</v>
      </c>
      <c r="BH55" s="15">
        <v>3</v>
      </c>
      <c r="BI55" s="15">
        <v>1</v>
      </c>
      <c r="BJ55" s="15">
        <v>0</v>
      </c>
      <c r="BK55" s="15">
        <v>0</v>
      </c>
      <c r="BL55" s="15">
        <v>0</v>
      </c>
      <c r="BM55" s="15">
        <v>3</v>
      </c>
      <c r="BN55" s="15">
        <v>1</v>
      </c>
      <c r="BO55" s="15">
        <v>118.04</v>
      </c>
      <c r="BP55" s="15">
        <v>173.71</v>
      </c>
      <c r="BQ55" s="15">
        <v>456</v>
      </c>
    </row>
    <row r="56" spans="1:69">
      <c r="A56" s="16">
        <v>46099</v>
      </c>
      <c r="B56" s="15">
        <v>479</v>
      </c>
      <c r="C56" s="15" t="s">
        <v>39</v>
      </c>
      <c r="D56" s="15">
        <v>479</v>
      </c>
      <c r="E56" s="15" t="s">
        <v>39</v>
      </c>
      <c r="F56" s="15">
        <v>119</v>
      </c>
      <c r="G56" s="15">
        <v>64</v>
      </c>
      <c r="H56" s="15">
        <v>34.78</v>
      </c>
      <c r="I56" s="15">
        <v>0.53782</v>
      </c>
      <c r="J56" s="15">
        <v>0.54</v>
      </c>
      <c r="K56" s="15">
        <v>292.29</v>
      </c>
      <c r="L56" s="15">
        <v>0</v>
      </c>
      <c r="M56" s="15">
        <v>0</v>
      </c>
      <c r="N56" s="15">
        <v>0</v>
      </c>
      <c r="O56" s="15">
        <v>0</v>
      </c>
      <c r="P56" s="15">
        <v>0</v>
      </c>
      <c r="Q56" s="15">
        <v>0</v>
      </c>
      <c r="R56" s="15">
        <v>233.93</v>
      </c>
      <c r="S56" s="15">
        <v>111.1</v>
      </c>
      <c r="T56" s="15">
        <v>345.03</v>
      </c>
      <c r="U56" s="15">
        <v>3</v>
      </c>
      <c r="V56" s="15">
        <v>1</v>
      </c>
      <c r="W56" s="15">
        <v>2</v>
      </c>
      <c r="X56" s="15">
        <v>0.04688</v>
      </c>
      <c r="Y56" s="15">
        <v>9.92</v>
      </c>
      <c r="Z56" s="15">
        <v>9.92</v>
      </c>
      <c r="AA56" s="15">
        <v>11.59</v>
      </c>
      <c r="AB56" s="15">
        <v>15</v>
      </c>
      <c r="AC56" s="15">
        <v>0</v>
      </c>
      <c r="AD56" s="15">
        <v>15</v>
      </c>
      <c r="AE56" s="15">
        <v>0.23438</v>
      </c>
      <c r="AF56" s="15">
        <v>0</v>
      </c>
      <c r="AG56" s="15">
        <v>2</v>
      </c>
      <c r="AH56" s="15">
        <v>17.39</v>
      </c>
      <c r="AI56" s="15">
        <v>17</v>
      </c>
      <c r="AJ56" s="15">
        <v>2.05</v>
      </c>
      <c r="AK56" s="15">
        <v>15</v>
      </c>
      <c r="AL56" s="15">
        <v>2.32</v>
      </c>
      <c r="AM56" s="15">
        <v>2</v>
      </c>
      <c r="AN56" s="15"/>
      <c r="AO56" s="15">
        <v>0</v>
      </c>
      <c r="AP56" s="15">
        <v>2.32</v>
      </c>
      <c r="AQ56" s="15">
        <v>6</v>
      </c>
      <c r="AR56" s="15">
        <v>554.9</v>
      </c>
      <c r="AS56" s="15">
        <v>0</v>
      </c>
      <c r="AT56" s="15">
        <v>0</v>
      </c>
      <c r="AU56" s="15">
        <v>0</v>
      </c>
      <c r="AV56" s="15">
        <v>0</v>
      </c>
      <c r="AW56" s="15">
        <v>0</v>
      </c>
      <c r="AX56" s="15">
        <v>2</v>
      </c>
      <c r="AY56" s="15">
        <v>548</v>
      </c>
      <c r="AZ56" s="15">
        <v>55</v>
      </c>
      <c r="BA56" s="15">
        <v>43</v>
      </c>
      <c r="BB56" s="15">
        <v>0.78182</v>
      </c>
      <c r="BC56" s="15">
        <v>0</v>
      </c>
      <c r="BD56" s="15">
        <v>0</v>
      </c>
      <c r="BE56" s="15">
        <v>4.60504</v>
      </c>
      <c r="BF56" s="15">
        <v>479</v>
      </c>
      <c r="BG56" s="15">
        <v>10</v>
      </c>
      <c r="BH56" s="15">
        <v>3</v>
      </c>
      <c r="BI56" s="15">
        <v>1</v>
      </c>
      <c r="BJ56" s="15">
        <v>0</v>
      </c>
      <c r="BK56" s="15">
        <v>0</v>
      </c>
      <c r="BL56" s="15">
        <v>0</v>
      </c>
      <c r="BM56" s="15">
        <v>3</v>
      </c>
      <c r="BN56" s="15">
        <v>1</v>
      </c>
      <c r="BO56" s="15">
        <v>115.01</v>
      </c>
      <c r="BP56" s="15">
        <v>41.71</v>
      </c>
      <c r="BQ56" s="15">
        <v>375</v>
      </c>
    </row>
    <row r="57" spans="1:69">
      <c r="A57" s="16">
        <v>46099</v>
      </c>
      <c r="B57" s="15">
        <v>436</v>
      </c>
      <c r="C57" s="15" t="s">
        <v>38</v>
      </c>
      <c r="D57" s="15">
        <v>436</v>
      </c>
      <c r="E57" s="15" t="s">
        <v>38</v>
      </c>
      <c r="F57" s="15">
        <v>440</v>
      </c>
      <c r="G57" s="15">
        <v>18</v>
      </c>
      <c r="H57" s="15">
        <v>60</v>
      </c>
      <c r="I57" s="15">
        <v>0.04091</v>
      </c>
      <c r="J57" s="15">
        <v>3.33</v>
      </c>
      <c r="K57" s="15">
        <v>136.36</v>
      </c>
      <c r="L57" s="15">
        <v>0</v>
      </c>
      <c r="M57" s="15">
        <v>0</v>
      </c>
      <c r="N57" s="15">
        <v>0</v>
      </c>
      <c r="O57" s="15">
        <v>0</v>
      </c>
      <c r="P57" s="15">
        <v>0</v>
      </c>
      <c r="Q57" s="15">
        <v>0</v>
      </c>
      <c r="R57" s="15">
        <v>151</v>
      </c>
      <c r="S57" s="15">
        <v>1056.53</v>
      </c>
      <c r="T57" s="15">
        <v>1207.53</v>
      </c>
      <c r="U57" s="15">
        <v>5</v>
      </c>
      <c r="V57" s="15">
        <v>1</v>
      </c>
      <c r="W57" s="15">
        <v>4</v>
      </c>
      <c r="X57" s="15">
        <v>0.27778</v>
      </c>
      <c r="Y57" s="15">
        <v>20.13</v>
      </c>
      <c r="Z57" s="15">
        <v>20.13</v>
      </c>
      <c r="AA57" s="15">
        <v>12</v>
      </c>
      <c r="AB57" s="15">
        <v>5</v>
      </c>
      <c r="AC57" s="15">
        <v>0</v>
      </c>
      <c r="AD57" s="15">
        <v>5</v>
      </c>
      <c r="AE57" s="15">
        <v>0.27778</v>
      </c>
      <c r="AF57" s="15">
        <v>1</v>
      </c>
      <c r="AG57" s="15">
        <v>2</v>
      </c>
      <c r="AH57" s="15">
        <v>30</v>
      </c>
      <c r="AI57" s="15">
        <v>8</v>
      </c>
      <c r="AJ57" s="15">
        <v>7.5</v>
      </c>
      <c r="AK57" s="15">
        <v>6</v>
      </c>
      <c r="AL57" s="15">
        <v>10</v>
      </c>
      <c r="AM57" s="15">
        <v>3</v>
      </c>
      <c r="AN57" s="15">
        <v>60</v>
      </c>
      <c r="AO57" s="15">
        <v>0.05556</v>
      </c>
      <c r="AP57" s="15">
        <v>12</v>
      </c>
      <c r="AQ57" s="15">
        <v>7</v>
      </c>
      <c r="AR57" s="15">
        <v>1531</v>
      </c>
      <c r="AS57" s="15">
        <v>0</v>
      </c>
      <c r="AT57" s="15">
        <v>1</v>
      </c>
      <c r="AU57" s="15">
        <v>0</v>
      </c>
      <c r="AV57" s="15">
        <v>0</v>
      </c>
      <c r="AW57" s="15">
        <v>0</v>
      </c>
      <c r="AX57" s="15">
        <v>1</v>
      </c>
      <c r="AY57" s="15">
        <v>120</v>
      </c>
      <c r="AZ57" s="15">
        <v>18</v>
      </c>
      <c r="BA57" s="15">
        <v>11</v>
      </c>
      <c r="BB57" s="15">
        <v>0.61111</v>
      </c>
      <c r="BC57" s="15">
        <v>0</v>
      </c>
      <c r="BD57" s="15">
        <v>0</v>
      </c>
      <c r="BE57" s="15">
        <v>0.27273</v>
      </c>
      <c r="BF57" s="15">
        <v>99</v>
      </c>
      <c r="BG57" s="15">
        <v>7</v>
      </c>
      <c r="BH57" s="15">
        <v>4</v>
      </c>
      <c r="BI57" s="15">
        <v>0.8</v>
      </c>
      <c r="BJ57" s="15">
        <v>0</v>
      </c>
      <c r="BK57" s="15">
        <v>0</v>
      </c>
      <c r="BL57" s="15">
        <v>0</v>
      </c>
      <c r="BM57" s="15">
        <v>5</v>
      </c>
      <c r="BN57" s="15">
        <v>1</v>
      </c>
      <c r="BO57" s="15">
        <v>241.51</v>
      </c>
      <c r="BP57" s="15">
        <v>86.82</v>
      </c>
      <c r="BQ57" s="15">
        <v>496</v>
      </c>
    </row>
    <row r="58" spans="1:69">
      <c r="A58" s="16">
        <v>46098</v>
      </c>
      <c r="B58" s="15">
        <v>479</v>
      </c>
      <c r="C58" s="15" t="s">
        <v>39</v>
      </c>
      <c r="D58" s="15">
        <v>479</v>
      </c>
      <c r="E58" s="15" t="s">
        <v>39</v>
      </c>
      <c r="F58" s="15">
        <v>81</v>
      </c>
      <c r="G58" s="15">
        <v>38</v>
      </c>
      <c r="H58" s="15">
        <v>26.2</v>
      </c>
      <c r="I58" s="15">
        <v>0.46914</v>
      </c>
      <c r="J58" s="15">
        <v>0.69</v>
      </c>
      <c r="K58" s="15">
        <v>323.42</v>
      </c>
      <c r="L58" s="15">
        <v>0</v>
      </c>
      <c r="M58" s="15">
        <v>0</v>
      </c>
      <c r="N58" s="15">
        <v>0</v>
      </c>
      <c r="O58" s="15">
        <v>0</v>
      </c>
      <c r="P58" s="15">
        <v>0</v>
      </c>
      <c r="Q58" s="15">
        <v>0</v>
      </c>
      <c r="R58" s="15">
        <v>0</v>
      </c>
      <c r="S58" s="15">
        <v>147.64</v>
      </c>
      <c r="T58" s="15">
        <v>147.64</v>
      </c>
      <c r="U58" s="15">
        <v>1</v>
      </c>
      <c r="V58" s="15">
        <v>0</v>
      </c>
      <c r="W58" s="15">
        <v>1</v>
      </c>
      <c r="X58" s="15">
        <v>0.02632</v>
      </c>
      <c r="Y58" s="15">
        <v>5.64</v>
      </c>
      <c r="Z58" s="15">
        <v>5.64</v>
      </c>
      <c r="AA58" s="15">
        <v>26.2</v>
      </c>
      <c r="AB58" s="15">
        <v>10</v>
      </c>
      <c r="AC58" s="15">
        <v>2</v>
      </c>
      <c r="AD58" s="15">
        <v>8</v>
      </c>
      <c r="AE58" s="15">
        <v>0.26316</v>
      </c>
      <c r="AF58" s="15">
        <v>1</v>
      </c>
      <c r="AG58" s="15">
        <v>5</v>
      </c>
      <c r="AH58" s="15">
        <v>5.24</v>
      </c>
      <c r="AI58" s="15">
        <v>16</v>
      </c>
      <c r="AJ58" s="15">
        <v>1.64</v>
      </c>
      <c r="AK58" s="15">
        <v>11</v>
      </c>
      <c r="AL58" s="15">
        <v>2.38</v>
      </c>
      <c r="AM58" s="15">
        <v>6</v>
      </c>
      <c r="AN58" s="15">
        <v>26.2</v>
      </c>
      <c r="AO58" s="15">
        <v>0.02632</v>
      </c>
      <c r="AP58" s="15">
        <v>2.62</v>
      </c>
      <c r="AQ58" s="15">
        <v>2</v>
      </c>
      <c r="AR58" s="15">
        <v>187</v>
      </c>
      <c r="AS58" s="15">
        <v>0</v>
      </c>
      <c r="AT58" s="15">
        <v>1</v>
      </c>
      <c r="AU58" s="15">
        <v>0</v>
      </c>
      <c r="AV58" s="15">
        <v>0</v>
      </c>
      <c r="AW58" s="15">
        <v>0</v>
      </c>
      <c r="AX58" s="15">
        <v>2</v>
      </c>
      <c r="AY58" s="15">
        <v>250</v>
      </c>
      <c r="AZ58" s="15">
        <v>27</v>
      </c>
      <c r="BA58" s="15">
        <v>22</v>
      </c>
      <c r="BB58" s="15">
        <v>0.81481</v>
      </c>
      <c r="BC58" s="15">
        <v>0</v>
      </c>
      <c r="BD58" s="15">
        <v>0</v>
      </c>
      <c r="BE58" s="15">
        <v>3.08642</v>
      </c>
      <c r="BF58" s="15">
        <v>211</v>
      </c>
      <c r="BG58" s="15">
        <v>9</v>
      </c>
      <c r="BH58" s="15">
        <v>1</v>
      </c>
      <c r="BI58" s="15">
        <v>1</v>
      </c>
      <c r="BJ58" s="15">
        <v>0</v>
      </c>
      <c r="BK58" s="15">
        <v>0</v>
      </c>
      <c r="BL58" s="15">
        <v>0</v>
      </c>
      <c r="BM58" s="15">
        <v>1</v>
      </c>
      <c r="BN58" s="15">
        <v>1</v>
      </c>
      <c r="BO58" s="15">
        <v>147.64</v>
      </c>
      <c r="BP58" s="15">
        <v>30.92</v>
      </c>
      <c r="BQ58" s="15">
        <v>234</v>
      </c>
    </row>
    <row r="59" spans="1:69">
      <c r="A59" s="16">
        <v>46098</v>
      </c>
      <c r="B59" s="15">
        <v>436</v>
      </c>
      <c r="C59" s="15" t="s">
        <v>38</v>
      </c>
      <c r="D59" s="15">
        <v>436</v>
      </c>
      <c r="E59" s="15" t="s">
        <v>38</v>
      </c>
      <c r="F59" s="15">
        <v>615</v>
      </c>
      <c r="G59" s="15">
        <v>39</v>
      </c>
      <c r="H59" s="15">
        <v>73.37</v>
      </c>
      <c r="I59" s="15">
        <v>0.06341</v>
      </c>
      <c r="J59" s="15">
        <v>1.88</v>
      </c>
      <c r="K59" s="15">
        <v>119.3</v>
      </c>
      <c r="L59" s="15">
        <v>0</v>
      </c>
      <c r="M59" s="15">
        <v>0</v>
      </c>
      <c r="N59" s="15">
        <v>0</v>
      </c>
      <c r="O59" s="15">
        <v>0</v>
      </c>
      <c r="P59" s="15">
        <v>0</v>
      </c>
      <c r="Q59" s="15">
        <v>0</v>
      </c>
      <c r="R59" s="15">
        <v>0</v>
      </c>
      <c r="S59" s="15">
        <v>2000.68</v>
      </c>
      <c r="T59" s="15">
        <v>2000.68</v>
      </c>
      <c r="U59" s="15">
        <v>4</v>
      </c>
      <c r="V59" s="15">
        <v>0</v>
      </c>
      <c r="W59" s="15">
        <v>4</v>
      </c>
      <c r="X59" s="15">
        <v>0.10256</v>
      </c>
      <c r="Y59" s="15">
        <v>27.27</v>
      </c>
      <c r="Z59" s="15">
        <v>27.27</v>
      </c>
      <c r="AA59" s="15">
        <v>18.34</v>
      </c>
      <c r="AB59" s="15">
        <v>16</v>
      </c>
      <c r="AC59" s="15">
        <v>0</v>
      </c>
      <c r="AD59" s="15">
        <v>16</v>
      </c>
      <c r="AE59" s="15">
        <v>0.41026</v>
      </c>
      <c r="AF59" s="15">
        <v>0</v>
      </c>
      <c r="AG59" s="15">
        <v>0</v>
      </c>
      <c r="AH59" s="15"/>
      <c r="AI59" s="15">
        <v>16</v>
      </c>
      <c r="AJ59" s="15">
        <v>4.59</v>
      </c>
      <c r="AK59" s="15">
        <v>16</v>
      </c>
      <c r="AL59" s="15">
        <v>4.59</v>
      </c>
      <c r="AM59" s="15">
        <v>0</v>
      </c>
      <c r="AN59" s="15"/>
      <c r="AO59" s="15">
        <v>0</v>
      </c>
      <c r="AP59" s="15">
        <v>4.59</v>
      </c>
      <c r="AQ59" s="15">
        <v>4</v>
      </c>
      <c r="AR59" s="15">
        <v>2365.9</v>
      </c>
      <c r="AS59" s="15">
        <v>0</v>
      </c>
      <c r="AT59" s="15">
        <v>0</v>
      </c>
      <c r="AU59" s="15">
        <v>0</v>
      </c>
      <c r="AV59" s="15">
        <v>0</v>
      </c>
      <c r="AW59" s="15">
        <v>0</v>
      </c>
      <c r="AX59" s="15">
        <v>5</v>
      </c>
      <c r="AY59" s="15">
        <v>203</v>
      </c>
      <c r="AZ59" s="15">
        <v>34</v>
      </c>
      <c r="BA59" s="15">
        <v>26</v>
      </c>
      <c r="BB59" s="15">
        <v>0.76471</v>
      </c>
      <c r="BC59" s="15">
        <v>0</v>
      </c>
      <c r="BD59" s="15">
        <v>0</v>
      </c>
      <c r="BE59" s="15">
        <v>0.33008</v>
      </c>
      <c r="BF59" s="15">
        <v>163</v>
      </c>
      <c r="BG59" s="15">
        <v>6</v>
      </c>
      <c r="BH59" s="15">
        <v>2</v>
      </c>
      <c r="BI59" s="15">
        <v>1</v>
      </c>
      <c r="BJ59" s="15">
        <v>0</v>
      </c>
      <c r="BK59" s="15">
        <v>0</v>
      </c>
      <c r="BL59" s="15">
        <v>0</v>
      </c>
      <c r="BM59" s="15">
        <v>2</v>
      </c>
      <c r="BN59" s="15">
        <v>2</v>
      </c>
      <c r="BO59" s="15">
        <v>1000.34</v>
      </c>
      <c r="BP59" s="15">
        <v>9.78</v>
      </c>
      <c r="BQ59" s="15">
        <v>706</v>
      </c>
    </row>
    <row r="60" spans="1:69">
      <c r="A60" s="16">
        <v>46098</v>
      </c>
      <c r="B60" s="15">
        <v>183</v>
      </c>
      <c r="C60" s="15" t="s">
        <v>40</v>
      </c>
      <c r="D60" s="15">
        <v>183</v>
      </c>
      <c r="E60" s="15" t="s">
        <v>40</v>
      </c>
      <c r="F60" s="15">
        <v>4237</v>
      </c>
      <c r="G60" s="15">
        <v>104</v>
      </c>
      <c r="H60" s="15">
        <v>200</v>
      </c>
      <c r="I60" s="15">
        <v>0.02455</v>
      </c>
      <c r="J60" s="15">
        <v>1.92</v>
      </c>
      <c r="K60" s="15">
        <v>47.2</v>
      </c>
      <c r="L60" s="15">
        <v>0</v>
      </c>
      <c r="M60" s="15">
        <v>0</v>
      </c>
      <c r="N60" s="15">
        <v>0</v>
      </c>
      <c r="O60" s="15">
        <v>0</v>
      </c>
      <c r="P60" s="15">
        <v>0</v>
      </c>
      <c r="Q60" s="15">
        <v>0</v>
      </c>
      <c r="R60" s="15">
        <v>74.2</v>
      </c>
      <c r="S60" s="15">
        <v>0</v>
      </c>
      <c r="T60" s="15">
        <v>74.2</v>
      </c>
      <c r="U60" s="15">
        <v>1</v>
      </c>
      <c r="V60" s="15">
        <v>1</v>
      </c>
      <c r="W60" s="15">
        <v>0</v>
      </c>
      <c r="X60" s="15">
        <v>0.00962</v>
      </c>
      <c r="Y60" s="15">
        <v>0.37</v>
      </c>
      <c r="Z60" s="15">
        <v>0.37</v>
      </c>
      <c r="AA60" s="15">
        <v>200</v>
      </c>
      <c r="AB60" s="15">
        <v>8</v>
      </c>
      <c r="AC60" s="15">
        <v>4</v>
      </c>
      <c r="AD60" s="15">
        <v>4</v>
      </c>
      <c r="AE60" s="15">
        <v>0.07692</v>
      </c>
      <c r="AF60" s="15">
        <v>1</v>
      </c>
      <c r="AG60" s="15">
        <v>0</v>
      </c>
      <c r="AH60" s="15"/>
      <c r="AI60" s="15">
        <v>9</v>
      </c>
      <c r="AJ60" s="15">
        <v>22.22</v>
      </c>
      <c r="AK60" s="15">
        <v>9</v>
      </c>
      <c r="AL60" s="15">
        <v>22.22</v>
      </c>
      <c r="AM60" s="15">
        <v>1</v>
      </c>
      <c r="AN60" s="15">
        <v>200</v>
      </c>
      <c r="AO60" s="15">
        <v>0.00962</v>
      </c>
      <c r="AP60" s="15">
        <v>25</v>
      </c>
      <c r="AQ60" s="15">
        <v>2</v>
      </c>
      <c r="AR60" s="15">
        <v>118</v>
      </c>
      <c r="AS60" s="15">
        <v>1</v>
      </c>
      <c r="AT60" s="15">
        <v>0</v>
      </c>
      <c r="AU60" s="15">
        <v>0</v>
      </c>
      <c r="AV60" s="15">
        <v>0</v>
      </c>
      <c r="AW60" s="15">
        <v>0</v>
      </c>
      <c r="AX60" s="15">
        <v>1</v>
      </c>
      <c r="AY60" s="15">
        <v>386</v>
      </c>
      <c r="AZ60" s="15">
        <v>140</v>
      </c>
      <c r="BA60" s="15">
        <v>95</v>
      </c>
      <c r="BB60" s="15">
        <v>0.67857</v>
      </c>
      <c r="BC60" s="15">
        <v>0</v>
      </c>
      <c r="BD60" s="15">
        <v>0</v>
      </c>
      <c r="BE60" s="15">
        <v>0.0911</v>
      </c>
      <c r="BF60" s="15">
        <v>126</v>
      </c>
      <c r="BG60" s="15">
        <v>3</v>
      </c>
      <c r="BH60" s="15">
        <v>1</v>
      </c>
      <c r="BI60" s="15">
        <v>1</v>
      </c>
      <c r="BJ60" s="15">
        <v>0</v>
      </c>
      <c r="BK60" s="15">
        <v>0</v>
      </c>
      <c r="BL60" s="15">
        <v>0</v>
      </c>
      <c r="BM60" s="15">
        <v>1</v>
      </c>
      <c r="BN60" s="15">
        <v>1</v>
      </c>
      <c r="BO60" s="15">
        <v>74.2</v>
      </c>
      <c r="BP60" s="15">
        <v>47.33</v>
      </c>
      <c r="BQ60" s="15">
        <v>523</v>
      </c>
    </row>
    <row r="61" spans="1:69">
      <c r="A61" s="16">
        <v>46098</v>
      </c>
      <c r="B61" s="15">
        <v>371</v>
      </c>
      <c r="C61" s="15" t="s">
        <v>32</v>
      </c>
      <c r="D61" s="15">
        <v>371</v>
      </c>
      <c r="E61" s="15" t="s">
        <v>32</v>
      </c>
      <c r="F61" s="15">
        <v>5242</v>
      </c>
      <c r="G61" s="15">
        <v>86</v>
      </c>
      <c r="H61" s="15">
        <v>25.52</v>
      </c>
      <c r="I61" s="15">
        <v>0.01641</v>
      </c>
      <c r="J61" s="15">
        <v>0.3</v>
      </c>
      <c r="K61" s="15">
        <v>4.87</v>
      </c>
      <c r="L61" s="15">
        <v>0</v>
      </c>
      <c r="M61" s="15">
        <v>0</v>
      </c>
      <c r="N61" s="15">
        <v>0</v>
      </c>
      <c r="O61" s="15">
        <v>0</v>
      </c>
      <c r="P61" s="15">
        <v>0</v>
      </c>
      <c r="Q61" s="15">
        <v>0</v>
      </c>
      <c r="R61" s="15">
        <v>0</v>
      </c>
      <c r="S61" s="15">
        <v>149.46</v>
      </c>
      <c r="T61" s="15">
        <v>149.46</v>
      </c>
      <c r="U61" s="15">
        <v>1</v>
      </c>
      <c r="V61" s="15">
        <v>0</v>
      </c>
      <c r="W61" s="15">
        <v>1</v>
      </c>
      <c r="X61" s="15">
        <v>0.01163</v>
      </c>
      <c r="Y61" s="15">
        <v>5.86</v>
      </c>
      <c r="Z61" s="15">
        <v>5.86</v>
      </c>
      <c r="AA61" s="15">
        <v>25.52</v>
      </c>
      <c r="AB61" s="15">
        <v>5</v>
      </c>
      <c r="AC61" s="15">
        <v>1</v>
      </c>
      <c r="AD61" s="15">
        <v>4</v>
      </c>
      <c r="AE61" s="15">
        <v>0.05814</v>
      </c>
      <c r="AF61" s="15">
        <v>0</v>
      </c>
      <c r="AG61" s="15">
        <v>0</v>
      </c>
      <c r="AH61" s="15"/>
      <c r="AI61" s="15">
        <v>5</v>
      </c>
      <c r="AJ61" s="15">
        <v>5.1</v>
      </c>
      <c r="AK61" s="15">
        <v>5</v>
      </c>
      <c r="AL61" s="15">
        <v>5.1</v>
      </c>
      <c r="AM61" s="15">
        <v>0</v>
      </c>
      <c r="AN61" s="15"/>
      <c r="AO61" s="15">
        <v>0</v>
      </c>
      <c r="AP61" s="15">
        <v>5.1</v>
      </c>
      <c r="AQ61" s="15">
        <v>2</v>
      </c>
      <c r="AR61" s="15">
        <v>187</v>
      </c>
      <c r="AS61" s="15">
        <v>0</v>
      </c>
      <c r="AT61" s="15">
        <v>0</v>
      </c>
      <c r="AU61" s="15">
        <v>0</v>
      </c>
      <c r="AV61" s="15">
        <v>0</v>
      </c>
      <c r="AW61" s="15">
        <v>0</v>
      </c>
      <c r="AX61" s="15">
        <v>0</v>
      </c>
      <c r="AY61" s="15">
        <v>192</v>
      </c>
      <c r="AZ61" s="15">
        <v>92</v>
      </c>
      <c r="BA61" s="15">
        <v>86</v>
      </c>
      <c r="BB61" s="15">
        <v>0.93478</v>
      </c>
      <c r="BC61" s="15">
        <v>0</v>
      </c>
      <c r="BD61" s="15">
        <v>0</v>
      </c>
      <c r="BE61" s="15">
        <v>0.03663</v>
      </c>
      <c r="BF61" s="15">
        <v>79</v>
      </c>
      <c r="BG61" s="15">
        <v>2</v>
      </c>
      <c r="BH61" s="15">
        <v>1</v>
      </c>
      <c r="BI61" s="15">
        <v>1</v>
      </c>
      <c r="BJ61" s="15">
        <v>0</v>
      </c>
      <c r="BK61" s="15">
        <v>0</v>
      </c>
      <c r="BL61" s="15">
        <v>0</v>
      </c>
      <c r="BM61" s="15">
        <v>1</v>
      </c>
      <c r="BN61" s="15">
        <v>1</v>
      </c>
      <c r="BO61" s="15">
        <v>149.46</v>
      </c>
      <c r="BP61" s="15">
        <v>99.64</v>
      </c>
      <c r="BQ61" s="15">
        <v>1516</v>
      </c>
    </row>
    <row r="62" spans="1:69">
      <c r="A62" s="16">
        <v>46097</v>
      </c>
      <c r="B62" s="15">
        <v>371</v>
      </c>
      <c r="C62" s="15" t="s">
        <v>32</v>
      </c>
      <c r="D62" s="15">
        <v>371</v>
      </c>
      <c r="E62" s="15" t="s">
        <v>32</v>
      </c>
      <c r="F62" s="15">
        <v>5348</v>
      </c>
      <c r="G62" s="15">
        <v>108</v>
      </c>
      <c r="H62" s="15">
        <v>30.59</v>
      </c>
      <c r="I62" s="15">
        <v>0.02019</v>
      </c>
      <c r="J62" s="15">
        <v>0.28</v>
      </c>
      <c r="K62" s="15">
        <v>5.72</v>
      </c>
      <c r="L62" s="15">
        <v>0</v>
      </c>
      <c r="M62" s="15">
        <v>0</v>
      </c>
      <c r="N62" s="15">
        <v>0</v>
      </c>
      <c r="O62" s="15">
        <v>0</v>
      </c>
      <c r="P62" s="15">
        <v>0</v>
      </c>
      <c r="Q62" s="15">
        <v>0</v>
      </c>
      <c r="R62" s="15">
        <v>0</v>
      </c>
      <c r="S62" s="15">
        <v>0</v>
      </c>
      <c r="T62" s="15">
        <v>0</v>
      </c>
      <c r="U62" s="15">
        <v>0</v>
      </c>
      <c r="V62" s="15">
        <v>0</v>
      </c>
      <c r="W62" s="15">
        <v>0</v>
      </c>
      <c r="X62" s="15">
        <v>0</v>
      </c>
      <c r="Y62" s="15">
        <v>0</v>
      </c>
      <c r="Z62" s="15">
        <v>0</v>
      </c>
      <c r="AA62" s="15"/>
      <c r="AB62" s="15">
        <v>2</v>
      </c>
      <c r="AC62" s="15">
        <v>0</v>
      </c>
      <c r="AD62" s="15">
        <v>2</v>
      </c>
      <c r="AE62" s="15">
        <v>0.01852</v>
      </c>
      <c r="AF62" s="15">
        <v>0</v>
      </c>
      <c r="AG62" s="15">
        <v>0</v>
      </c>
      <c r="AH62" s="15"/>
      <c r="AI62" s="15">
        <v>2</v>
      </c>
      <c r="AJ62" s="15">
        <v>15.3</v>
      </c>
      <c r="AK62" s="15">
        <v>2</v>
      </c>
      <c r="AL62" s="15">
        <v>15.3</v>
      </c>
      <c r="AM62" s="15">
        <v>0</v>
      </c>
      <c r="AN62" s="15"/>
      <c r="AO62" s="15">
        <v>0</v>
      </c>
      <c r="AP62" s="15">
        <v>15.3</v>
      </c>
      <c r="AQ62" s="15">
        <v>0</v>
      </c>
      <c r="AR62" s="15">
        <v>0</v>
      </c>
      <c r="AS62" s="15">
        <v>0</v>
      </c>
      <c r="AT62" s="15">
        <v>0</v>
      </c>
      <c r="AU62" s="15">
        <v>0</v>
      </c>
      <c r="AV62" s="15">
        <v>0</v>
      </c>
      <c r="AW62" s="15">
        <v>0</v>
      </c>
      <c r="AX62" s="15">
        <v>0</v>
      </c>
      <c r="AY62" s="15">
        <v>221</v>
      </c>
      <c r="AZ62" s="15">
        <v>109</v>
      </c>
      <c r="BA62" s="15">
        <v>95</v>
      </c>
      <c r="BB62" s="15">
        <v>0.87156</v>
      </c>
      <c r="BC62" s="15">
        <v>0</v>
      </c>
      <c r="BD62" s="15">
        <v>0</v>
      </c>
      <c r="BE62" s="15">
        <v>0.04132</v>
      </c>
      <c r="BF62" s="15">
        <v>96</v>
      </c>
      <c r="BG62" s="15">
        <v>2</v>
      </c>
      <c r="BH62" s="15">
        <v>0</v>
      </c>
      <c r="BI62" s="15"/>
      <c r="BJ62" s="15">
        <v>0</v>
      </c>
      <c r="BK62" s="15">
        <v>0</v>
      </c>
      <c r="BL62" s="15">
        <v>0</v>
      </c>
      <c r="BM62" s="15">
        <v>0</v>
      </c>
      <c r="BN62" s="15"/>
      <c r="BO62" s="15"/>
      <c r="BP62" s="15">
        <v>5.2</v>
      </c>
      <c r="BQ62" s="15">
        <v>78</v>
      </c>
    </row>
    <row r="63" spans="1:69">
      <c r="A63" s="16">
        <v>46097</v>
      </c>
      <c r="B63" s="15">
        <v>183</v>
      </c>
      <c r="C63" s="15" t="s">
        <v>40</v>
      </c>
      <c r="D63" s="15">
        <v>183</v>
      </c>
      <c r="E63" s="15" t="s">
        <v>40</v>
      </c>
      <c r="F63" s="15">
        <v>4802</v>
      </c>
      <c r="G63" s="15">
        <v>124</v>
      </c>
      <c r="H63" s="15">
        <v>315</v>
      </c>
      <c r="I63" s="15">
        <v>0.02582</v>
      </c>
      <c r="J63" s="15">
        <v>2.54</v>
      </c>
      <c r="K63" s="15">
        <v>65.6</v>
      </c>
      <c r="L63" s="15">
        <v>0</v>
      </c>
      <c r="M63" s="15">
        <v>0</v>
      </c>
      <c r="N63" s="15">
        <v>0</v>
      </c>
      <c r="O63" s="15">
        <v>0</v>
      </c>
      <c r="P63" s="15">
        <v>0</v>
      </c>
      <c r="Q63" s="15">
        <v>0</v>
      </c>
      <c r="R63" s="15">
        <v>2424</v>
      </c>
      <c r="S63" s="15">
        <v>49.9</v>
      </c>
      <c r="T63" s="15">
        <v>2473.9</v>
      </c>
      <c r="U63" s="15">
        <v>4</v>
      </c>
      <c r="V63" s="15">
        <v>3</v>
      </c>
      <c r="W63" s="15">
        <v>1</v>
      </c>
      <c r="X63" s="15">
        <v>0.03226</v>
      </c>
      <c r="Y63" s="15">
        <v>7.85</v>
      </c>
      <c r="Z63" s="15">
        <v>7.85</v>
      </c>
      <c r="AA63" s="15">
        <v>78.75</v>
      </c>
      <c r="AB63" s="15">
        <v>15</v>
      </c>
      <c r="AC63" s="15">
        <v>10</v>
      </c>
      <c r="AD63" s="15">
        <v>5</v>
      </c>
      <c r="AE63" s="15">
        <v>0.12097</v>
      </c>
      <c r="AF63" s="15">
        <v>3</v>
      </c>
      <c r="AG63" s="15">
        <v>3</v>
      </c>
      <c r="AH63" s="15">
        <v>105</v>
      </c>
      <c r="AI63" s="15">
        <v>21</v>
      </c>
      <c r="AJ63" s="15">
        <v>15</v>
      </c>
      <c r="AK63" s="15">
        <v>18</v>
      </c>
      <c r="AL63" s="15">
        <v>17.5</v>
      </c>
      <c r="AM63" s="15">
        <v>6</v>
      </c>
      <c r="AN63" s="15">
        <v>105</v>
      </c>
      <c r="AO63" s="15">
        <v>0.02419</v>
      </c>
      <c r="AP63" s="15">
        <v>21</v>
      </c>
      <c r="AQ63" s="15">
        <v>6</v>
      </c>
      <c r="AR63" s="15">
        <v>3307.9</v>
      </c>
      <c r="AS63" s="15">
        <v>2</v>
      </c>
      <c r="AT63" s="15">
        <v>1</v>
      </c>
      <c r="AU63" s="15">
        <v>0</v>
      </c>
      <c r="AV63" s="15">
        <v>0</v>
      </c>
      <c r="AW63" s="15">
        <v>0</v>
      </c>
      <c r="AX63" s="15">
        <v>2</v>
      </c>
      <c r="AY63" s="15">
        <v>649</v>
      </c>
      <c r="AZ63" s="15">
        <v>184</v>
      </c>
      <c r="BA63" s="15">
        <v>126</v>
      </c>
      <c r="BB63" s="15">
        <v>0.68478</v>
      </c>
      <c r="BC63" s="15">
        <v>0</v>
      </c>
      <c r="BD63" s="15">
        <v>0</v>
      </c>
      <c r="BE63" s="15">
        <v>0.13515</v>
      </c>
      <c r="BF63" s="15">
        <v>285</v>
      </c>
      <c r="BG63" s="15">
        <v>4</v>
      </c>
      <c r="BH63" s="15">
        <v>3</v>
      </c>
      <c r="BI63" s="15">
        <v>1</v>
      </c>
      <c r="BJ63" s="15">
        <v>0</v>
      </c>
      <c r="BK63" s="15">
        <v>0</v>
      </c>
      <c r="BL63" s="15">
        <v>0</v>
      </c>
      <c r="BM63" s="15">
        <v>3</v>
      </c>
      <c r="BN63" s="15">
        <v>1</v>
      </c>
      <c r="BO63" s="15">
        <v>824.63</v>
      </c>
      <c r="BP63" s="15">
        <v>57.57</v>
      </c>
      <c r="BQ63" s="15">
        <v>849</v>
      </c>
    </row>
    <row r="64" spans="1:69">
      <c r="A64" s="16">
        <v>46097</v>
      </c>
      <c r="B64" s="15">
        <v>479</v>
      </c>
      <c r="C64" s="15" t="s">
        <v>39</v>
      </c>
      <c r="D64" s="15">
        <v>479</v>
      </c>
      <c r="E64" s="15" t="s">
        <v>39</v>
      </c>
      <c r="F64" s="15">
        <v>52</v>
      </c>
      <c r="G64" s="15">
        <v>21</v>
      </c>
      <c r="H64" s="15">
        <v>16.32</v>
      </c>
      <c r="I64" s="15">
        <v>0.40385</v>
      </c>
      <c r="J64" s="15">
        <v>0.78</v>
      </c>
      <c r="K64" s="15">
        <v>313.86</v>
      </c>
      <c r="L64" s="15">
        <v>0</v>
      </c>
      <c r="M64" s="15">
        <v>0</v>
      </c>
      <c r="N64" s="15">
        <v>0</v>
      </c>
      <c r="O64" s="15">
        <v>0</v>
      </c>
      <c r="P64" s="15">
        <v>0</v>
      </c>
      <c r="Q64" s="15">
        <v>0</v>
      </c>
      <c r="R64" s="15">
        <v>0</v>
      </c>
      <c r="S64" s="15">
        <v>549.06</v>
      </c>
      <c r="T64" s="15">
        <v>549.06</v>
      </c>
      <c r="U64" s="15">
        <v>4</v>
      </c>
      <c r="V64" s="15">
        <v>0</v>
      </c>
      <c r="W64" s="15">
        <v>4</v>
      </c>
      <c r="X64" s="15">
        <v>0.19048</v>
      </c>
      <c r="Y64" s="15">
        <v>33.64</v>
      </c>
      <c r="Z64" s="15">
        <v>33.64</v>
      </c>
      <c r="AA64" s="15">
        <v>4.08</v>
      </c>
      <c r="AB64" s="15">
        <v>9</v>
      </c>
      <c r="AC64" s="15">
        <v>0</v>
      </c>
      <c r="AD64" s="15">
        <v>9</v>
      </c>
      <c r="AE64" s="15">
        <v>0.42857</v>
      </c>
      <c r="AF64" s="15">
        <v>0</v>
      </c>
      <c r="AG64" s="15">
        <v>3</v>
      </c>
      <c r="AH64" s="15">
        <v>5.44</v>
      </c>
      <c r="AI64" s="15">
        <v>12</v>
      </c>
      <c r="AJ64" s="15">
        <v>1.36</v>
      </c>
      <c r="AK64" s="15">
        <v>9</v>
      </c>
      <c r="AL64" s="15">
        <v>1.81</v>
      </c>
      <c r="AM64" s="15">
        <v>3</v>
      </c>
      <c r="AN64" s="15"/>
      <c r="AO64" s="15">
        <v>0</v>
      </c>
      <c r="AP64" s="15">
        <v>1.81</v>
      </c>
      <c r="AQ64" s="15">
        <v>5</v>
      </c>
      <c r="AR64" s="15">
        <v>764.9</v>
      </c>
      <c r="AS64" s="15">
        <v>0</v>
      </c>
      <c r="AT64" s="15">
        <v>0</v>
      </c>
      <c r="AU64" s="15">
        <v>0</v>
      </c>
      <c r="AV64" s="15">
        <v>0</v>
      </c>
      <c r="AW64" s="15">
        <v>0</v>
      </c>
      <c r="AX64" s="15">
        <v>2</v>
      </c>
      <c r="AY64" s="15">
        <v>201</v>
      </c>
      <c r="AZ64" s="15">
        <v>20</v>
      </c>
      <c r="BA64" s="15">
        <v>12</v>
      </c>
      <c r="BB64" s="15">
        <v>0.6</v>
      </c>
      <c r="BC64" s="15">
        <v>0</v>
      </c>
      <c r="BD64" s="15">
        <v>0</v>
      </c>
      <c r="BE64" s="15">
        <v>3.86538</v>
      </c>
      <c r="BF64" s="15">
        <v>176</v>
      </c>
      <c r="BG64" s="15">
        <v>10</v>
      </c>
      <c r="BH64" s="15">
        <v>1</v>
      </c>
      <c r="BI64" s="15">
        <v>1</v>
      </c>
      <c r="BJ64" s="15">
        <v>0</v>
      </c>
      <c r="BK64" s="15">
        <v>0</v>
      </c>
      <c r="BL64" s="15">
        <v>0</v>
      </c>
      <c r="BM64" s="15">
        <v>1</v>
      </c>
      <c r="BN64" s="15">
        <v>4</v>
      </c>
      <c r="BO64" s="15">
        <v>549.06</v>
      </c>
      <c r="BP64" s="15">
        <v>27.29</v>
      </c>
      <c r="BQ64" s="15">
        <v>330</v>
      </c>
    </row>
    <row r="65" spans="1:69">
      <c r="A65" s="16">
        <v>46097</v>
      </c>
      <c r="B65" s="15">
        <v>436</v>
      </c>
      <c r="C65" s="15" t="s">
        <v>38</v>
      </c>
      <c r="D65" s="15">
        <v>436</v>
      </c>
      <c r="E65" s="15" t="s">
        <v>38</v>
      </c>
      <c r="F65" s="15">
        <v>602</v>
      </c>
      <c r="G65" s="15">
        <v>38</v>
      </c>
      <c r="H65" s="15">
        <v>65.74</v>
      </c>
      <c r="I65" s="15">
        <v>0.06312</v>
      </c>
      <c r="J65" s="15">
        <v>1.73</v>
      </c>
      <c r="K65" s="15">
        <v>109.2</v>
      </c>
      <c r="L65" s="15">
        <v>0</v>
      </c>
      <c r="M65" s="15">
        <v>0</v>
      </c>
      <c r="N65" s="15">
        <v>0</v>
      </c>
      <c r="O65" s="15">
        <v>0</v>
      </c>
      <c r="P65" s="15">
        <v>0</v>
      </c>
      <c r="Q65" s="15">
        <v>0</v>
      </c>
      <c r="R65" s="15">
        <v>0</v>
      </c>
      <c r="S65" s="15">
        <v>0</v>
      </c>
      <c r="T65" s="15">
        <v>0</v>
      </c>
      <c r="U65" s="15">
        <v>0</v>
      </c>
      <c r="V65" s="15">
        <v>0</v>
      </c>
      <c r="W65" s="15">
        <v>0</v>
      </c>
      <c r="X65" s="15">
        <v>0</v>
      </c>
      <c r="Y65" s="15">
        <v>0</v>
      </c>
      <c r="Z65" s="15">
        <v>0</v>
      </c>
      <c r="AA65" s="15"/>
      <c r="AB65" s="15">
        <v>6</v>
      </c>
      <c r="AC65" s="15">
        <v>3</v>
      </c>
      <c r="AD65" s="15">
        <v>3</v>
      </c>
      <c r="AE65" s="15">
        <v>0.15789</v>
      </c>
      <c r="AF65" s="15">
        <v>0</v>
      </c>
      <c r="AG65" s="15">
        <v>0</v>
      </c>
      <c r="AH65" s="15"/>
      <c r="AI65" s="15">
        <v>6</v>
      </c>
      <c r="AJ65" s="15">
        <v>10.96</v>
      </c>
      <c r="AK65" s="15">
        <v>6</v>
      </c>
      <c r="AL65" s="15">
        <v>10.96</v>
      </c>
      <c r="AM65" s="15">
        <v>0</v>
      </c>
      <c r="AN65" s="15"/>
      <c r="AO65" s="15">
        <v>0</v>
      </c>
      <c r="AP65" s="15">
        <v>10.96</v>
      </c>
      <c r="AQ65" s="15">
        <v>0</v>
      </c>
      <c r="AR65" s="15">
        <v>0</v>
      </c>
      <c r="AS65" s="15">
        <v>0</v>
      </c>
      <c r="AT65" s="15">
        <v>0</v>
      </c>
      <c r="AU65" s="15">
        <v>0</v>
      </c>
      <c r="AV65" s="15">
        <v>0</v>
      </c>
      <c r="AW65" s="15">
        <v>0</v>
      </c>
      <c r="AX65" s="15">
        <v>2</v>
      </c>
      <c r="AY65" s="15">
        <v>140</v>
      </c>
      <c r="AZ65" s="15">
        <v>33</v>
      </c>
      <c r="BA65" s="15">
        <v>18</v>
      </c>
      <c r="BB65" s="15">
        <v>0.54545</v>
      </c>
      <c r="BC65" s="15">
        <v>0</v>
      </c>
      <c r="BD65" s="15">
        <v>0</v>
      </c>
      <c r="BE65" s="15">
        <v>0.23256</v>
      </c>
      <c r="BF65" s="15">
        <v>100</v>
      </c>
      <c r="BG65" s="15">
        <v>4</v>
      </c>
      <c r="BH65" s="15">
        <v>0</v>
      </c>
      <c r="BI65" s="15"/>
      <c r="BJ65" s="15">
        <v>0</v>
      </c>
      <c r="BK65" s="15">
        <v>0</v>
      </c>
      <c r="BL65" s="15">
        <v>0</v>
      </c>
      <c r="BM65" s="15">
        <v>0</v>
      </c>
      <c r="BN65" s="15"/>
      <c r="BO65" s="15"/>
      <c r="BP65" s="15">
        <v>0.22</v>
      </c>
      <c r="BQ65" s="15">
        <v>131</v>
      </c>
    </row>
    <row r="66" spans="1:69">
      <c r="A66" s="16">
        <v>46096</v>
      </c>
      <c r="B66" s="15">
        <v>371</v>
      </c>
      <c r="C66" s="15" t="s">
        <v>32</v>
      </c>
      <c r="D66" s="15">
        <v>371</v>
      </c>
      <c r="E66" s="15" t="s">
        <v>32</v>
      </c>
      <c r="F66" s="15">
        <v>7318</v>
      </c>
      <c r="G66" s="15">
        <v>105</v>
      </c>
      <c r="H66" s="15">
        <v>32.9</v>
      </c>
      <c r="I66" s="15">
        <v>0.01435</v>
      </c>
      <c r="J66" s="15">
        <v>0.31</v>
      </c>
      <c r="K66" s="15">
        <v>4.5</v>
      </c>
      <c r="L66" s="15">
        <v>0</v>
      </c>
      <c r="M66" s="15">
        <v>0</v>
      </c>
      <c r="N66" s="15">
        <v>0</v>
      </c>
      <c r="O66" s="15">
        <v>0</v>
      </c>
      <c r="P66" s="15">
        <v>0</v>
      </c>
      <c r="Q66" s="15">
        <v>0</v>
      </c>
      <c r="R66" s="15">
        <v>0</v>
      </c>
      <c r="S66" s="15">
        <v>166.2</v>
      </c>
      <c r="T66" s="15">
        <v>166.2</v>
      </c>
      <c r="U66" s="15">
        <v>1</v>
      </c>
      <c r="V66" s="15">
        <v>0</v>
      </c>
      <c r="W66" s="15">
        <v>1</v>
      </c>
      <c r="X66" s="15">
        <v>0.00952</v>
      </c>
      <c r="Y66" s="15">
        <v>5.05</v>
      </c>
      <c r="Z66" s="15">
        <v>5.05</v>
      </c>
      <c r="AA66" s="15">
        <v>32.9</v>
      </c>
      <c r="AB66" s="15">
        <v>1</v>
      </c>
      <c r="AC66" s="15">
        <v>1</v>
      </c>
      <c r="AD66" s="15">
        <v>0</v>
      </c>
      <c r="AE66" s="15">
        <v>0.00952</v>
      </c>
      <c r="AF66" s="15">
        <v>0</v>
      </c>
      <c r="AG66" s="15">
        <v>0</v>
      </c>
      <c r="AH66" s="15"/>
      <c r="AI66" s="15">
        <v>1</v>
      </c>
      <c r="AJ66" s="15">
        <v>32.9</v>
      </c>
      <c r="AK66" s="15">
        <v>1</v>
      </c>
      <c r="AL66" s="15">
        <v>32.9</v>
      </c>
      <c r="AM66" s="15">
        <v>0</v>
      </c>
      <c r="AN66" s="15"/>
      <c r="AO66" s="15">
        <v>0</v>
      </c>
      <c r="AP66" s="15">
        <v>32.9</v>
      </c>
      <c r="AQ66" s="15">
        <v>2</v>
      </c>
      <c r="AR66" s="15">
        <v>245.9</v>
      </c>
      <c r="AS66" s="15">
        <v>0</v>
      </c>
      <c r="AT66" s="15">
        <v>0</v>
      </c>
      <c r="AU66" s="15">
        <v>0</v>
      </c>
      <c r="AV66" s="15">
        <v>0</v>
      </c>
      <c r="AW66" s="15">
        <v>0</v>
      </c>
      <c r="AX66" s="15">
        <v>0</v>
      </c>
      <c r="AY66" s="15">
        <v>221</v>
      </c>
      <c r="AZ66" s="15">
        <v>116</v>
      </c>
      <c r="BA66" s="15">
        <v>103</v>
      </c>
      <c r="BB66" s="15">
        <v>0.88793</v>
      </c>
      <c r="BC66" s="15">
        <v>0</v>
      </c>
      <c r="BD66" s="15">
        <v>0</v>
      </c>
      <c r="BE66" s="15">
        <v>0.0302</v>
      </c>
      <c r="BF66" s="15">
        <v>85</v>
      </c>
      <c r="BG66" s="15">
        <v>2</v>
      </c>
      <c r="BH66" s="15">
        <v>0</v>
      </c>
      <c r="BI66" s="15">
        <v>0</v>
      </c>
      <c r="BJ66" s="15">
        <v>0</v>
      </c>
      <c r="BK66" s="15">
        <v>0</v>
      </c>
      <c r="BL66" s="15">
        <v>0</v>
      </c>
      <c r="BM66" s="15">
        <v>1</v>
      </c>
      <c r="BN66" s="15">
        <v>1</v>
      </c>
      <c r="BO66" s="15">
        <v>166.2</v>
      </c>
      <c r="BP66" s="15">
        <v>1.55</v>
      </c>
      <c r="BQ66" s="15">
        <v>1646</v>
      </c>
    </row>
    <row r="67" spans="1:69">
      <c r="A67" s="16">
        <v>46096</v>
      </c>
      <c r="B67" s="15">
        <v>183</v>
      </c>
      <c r="C67" s="15" t="s">
        <v>40</v>
      </c>
      <c r="D67" s="15">
        <v>183</v>
      </c>
      <c r="E67" s="15" t="s">
        <v>40</v>
      </c>
      <c r="F67" s="15">
        <v>2359</v>
      </c>
      <c r="G67" s="15">
        <v>80</v>
      </c>
      <c r="H67" s="15">
        <v>200</v>
      </c>
      <c r="I67" s="15">
        <v>0.03391</v>
      </c>
      <c r="J67" s="15">
        <v>2.5</v>
      </c>
      <c r="K67" s="15">
        <v>84.78</v>
      </c>
      <c r="L67" s="15">
        <v>0</v>
      </c>
      <c r="M67" s="15">
        <v>0</v>
      </c>
      <c r="N67" s="15">
        <v>0</v>
      </c>
      <c r="O67" s="15">
        <v>0</v>
      </c>
      <c r="P67" s="15">
        <v>0</v>
      </c>
      <c r="Q67" s="15">
        <v>0</v>
      </c>
      <c r="R67" s="15">
        <v>0</v>
      </c>
      <c r="S67" s="15">
        <v>0</v>
      </c>
      <c r="T67" s="15">
        <v>0</v>
      </c>
      <c r="U67" s="15">
        <v>0</v>
      </c>
      <c r="V67" s="15">
        <v>0</v>
      </c>
      <c r="W67" s="15">
        <v>0</v>
      </c>
      <c r="X67" s="15">
        <v>0</v>
      </c>
      <c r="Y67" s="15">
        <v>0</v>
      </c>
      <c r="Z67" s="15">
        <v>0</v>
      </c>
      <c r="AA67" s="15"/>
      <c r="AB67" s="15">
        <v>7</v>
      </c>
      <c r="AC67" s="15">
        <v>4</v>
      </c>
      <c r="AD67" s="15">
        <v>3</v>
      </c>
      <c r="AE67" s="15">
        <v>0.0875</v>
      </c>
      <c r="AF67" s="15">
        <v>9</v>
      </c>
      <c r="AG67" s="15">
        <v>1</v>
      </c>
      <c r="AH67" s="15">
        <v>200</v>
      </c>
      <c r="AI67" s="15">
        <v>17</v>
      </c>
      <c r="AJ67" s="15">
        <v>11.76</v>
      </c>
      <c r="AK67" s="15">
        <v>16</v>
      </c>
      <c r="AL67" s="15">
        <v>12.5</v>
      </c>
      <c r="AM67" s="15">
        <v>10</v>
      </c>
      <c r="AN67" s="15">
        <v>22.22</v>
      </c>
      <c r="AO67" s="15">
        <v>0.1125</v>
      </c>
      <c r="AP67" s="15">
        <v>28.57</v>
      </c>
      <c r="AQ67" s="15">
        <v>0</v>
      </c>
      <c r="AR67" s="15">
        <v>0</v>
      </c>
      <c r="AS67" s="15">
        <v>8</v>
      </c>
      <c r="AT67" s="15">
        <v>1</v>
      </c>
      <c r="AU67" s="15">
        <v>0</v>
      </c>
      <c r="AV67" s="15">
        <v>0</v>
      </c>
      <c r="AW67" s="15">
        <v>0</v>
      </c>
      <c r="AX67" s="15">
        <v>0</v>
      </c>
      <c r="AY67" s="15">
        <v>360</v>
      </c>
      <c r="AZ67" s="15">
        <v>95</v>
      </c>
      <c r="BA67" s="15">
        <v>51</v>
      </c>
      <c r="BB67" s="15">
        <v>0.53684</v>
      </c>
      <c r="BC67" s="15">
        <v>0</v>
      </c>
      <c r="BD67" s="15">
        <v>0</v>
      </c>
      <c r="BE67" s="15">
        <v>0.15261</v>
      </c>
      <c r="BF67" s="15">
        <v>160</v>
      </c>
      <c r="BG67" s="15">
        <v>4</v>
      </c>
      <c r="BH67" s="15">
        <v>0</v>
      </c>
      <c r="BI67" s="15"/>
      <c r="BJ67" s="15">
        <v>0</v>
      </c>
      <c r="BK67" s="15">
        <v>0</v>
      </c>
      <c r="BL67" s="15">
        <v>0</v>
      </c>
      <c r="BM67" s="15">
        <v>0</v>
      </c>
      <c r="BN67" s="15"/>
      <c r="BO67" s="15"/>
      <c r="BP67" s="15">
        <v>11.85</v>
      </c>
      <c r="BQ67" s="15">
        <v>410</v>
      </c>
    </row>
    <row r="68" spans="1:69">
      <c r="A68" s="16">
        <v>46096</v>
      </c>
      <c r="B68" s="15">
        <v>479</v>
      </c>
      <c r="C68" s="15" t="s">
        <v>39</v>
      </c>
      <c r="D68" s="15">
        <v>479</v>
      </c>
      <c r="E68" s="15" t="s">
        <v>39</v>
      </c>
      <c r="F68" s="15">
        <v>93</v>
      </c>
      <c r="G68" s="15">
        <v>50</v>
      </c>
      <c r="H68" s="15">
        <v>29.05</v>
      </c>
      <c r="I68" s="15">
        <v>0.53763</v>
      </c>
      <c r="J68" s="15">
        <v>0.58</v>
      </c>
      <c r="K68" s="15">
        <v>312.37</v>
      </c>
      <c r="L68" s="15">
        <v>0</v>
      </c>
      <c r="M68" s="15">
        <v>0</v>
      </c>
      <c r="N68" s="15">
        <v>0</v>
      </c>
      <c r="O68" s="15">
        <v>0</v>
      </c>
      <c r="P68" s="15">
        <v>0</v>
      </c>
      <c r="Q68" s="15">
        <v>0</v>
      </c>
      <c r="R68" s="15">
        <v>0</v>
      </c>
      <c r="S68" s="15">
        <v>242.1</v>
      </c>
      <c r="T68" s="15">
        <v>242.1</v>
      </c>
      <c r="U68" s="15">
        <v>3</v>
      </c>
      <c r="V68" s="15">
        <v>0</v>
      </c>
      <c r="W68" s="15">
        <v>3</v>
      </c>
      <c r="X68" s="15">
        <v>0.06</v>
      </c>
      <c r="Y68" s="15">
        <v>8.33</v>
      </c>
      <c r="Z68" s="15">
        <v>8.33</v>
      </c>
      <c r="AA68" s="15">
        <v>9.68</v>
      </c>
      <c r="AB68" s="15">
        <v>14</v>
      </c>
      <c r="AC68" s="15">
        <v>0</v>
      </c>
      <c r="AD68" s="15">
        <v>14</v>
      </c>
      <c r="AE68" s="15">
        <v>0.28</v>
      </c>
      <c r="AF68" s="15">
        <v>2</v>
      </c>
      <c r="AG68" s="15">
        <v>3</v>
      </c>
      <c r="AH68" s="15">
        <v>9.68</v>
      </c>
      <c r="AI68" s="15">
        <v>19</v>
      </c>
      <c r="AJ68" s="15">
        <v>1.53</v>
      </c>
      <c r="AK68" s="15">
        <v>16</v>
      </c>
      <c r="AL68" s="15">
        <v>1.82</v>
      </c>
      <c r="AM68" s="15">
        <v>5</v>
      </c>
      <c r="AN68" s="15">
        <v>14.53</v>
      </c>
      <c r="AO68" s="15">
        <v>0.04</v>
      </c>
      <c r="AP68" s="15">
        <v>2.08</v>
      </c>
      <c r="AQ68" s="15">
        <v>4</v>
      </c>
      <c r="AR68" s="15">
        <v>285</v>
      </c>
      <c r="AS68" s="15">
        <v>0</v>
      </c>
      <c r="AT68" s="15">
        <v>2</v>
      </c>
      <c r="AU68" s="15">
        <v>0</v>
      </c>
      <c r="AV68" s="15">
        <v>0</v>
      </c>
      <c r="AW68" s="15">
        <v>0</v>
      </c>
      <c r="AX68" s="15">
        <v>2</v>
      </c>
      <c r="AY68" s="15">
        <v>409</v>
      </c>
      <c r="AZ68" s="15">
        <v>43</v>
      </c>
      <c r="BA68" s="15">
        <v>33</v>
      </c>
      <c r="BB68" s="15">
        <v>0.76744</v>
      </c>
      <c r="BC68" s="15">
        <v>0</v>
      </c>
      <c r="BD68" s="15">
        <v>0</v>
      </c>
      <c r="BE68" s="15">
        <v>4.39785</v>
      </c>
      <c r="BF68" s="15">
        <v>359</v>
      </c>
      <c r="BG68" s="15">
        <v>10</v>
      </c>
      <c r="BH68" s="15">
        <v>3</v>
      </c>
      <c r="BI68" s="15">
        <v>1</v>
      </c>
      <c r="BJ68" s="15">
        <v>0</v>
      </c>
      <c r="BK68" s="15">
        <v>0</v>
      </c>
      <c r="BL68" s="15">
        <v>0</v>
      </c>
      <c r="BM68" s="15">
        <v>3</v>
      </c>
      <c r="BN68" s="15">
        <v>1</v>
      </c>
      <c r="BO68" s="15">
        <v>80.7</v>
      </c>
      <c r="BP68" s="15">
        <v>120.27</v>
      </c>
      <c r="BQ68" s="15">
        <v>466</v>
      </c>
    </row>
    <row r="69" spans="1:69">
      <c r="A69" s="16">
        <v>46096</v>
      </c>
      <c r="B69" s="15">
        <v>436</v>
      </c>
      <c r="C69" s="15" t="s">
        <v>38</v>
      </c>
      <c r="D69" s="15">
        <v>436</v>
      </c>
      <c r="E69" s="15" t="s">
        <v>38</v>
      </c>
      <c r="F69" s="15">
        <v>718</v>
      </c>
      <c r="G69" s="15">
        <v>57</v>
      </c>
      <c r="H69" s="15">
        <v>80</v>
      </c>
      <c r="I69" s="15">
        <v>0.07939</v>
      </c>
      <c r="J69" s="15">
        <v>1.4</v>
      </c>
      <c r="K69" s="15">
        <v>111.42</v>
      </c>
      <c r="L69" s="15">
        <v>0</v>
      </c>
      <c r="M69" s="15">
        <v>0</v>
      </c>
      <c r="N69" s="15">
        <v>0</v>
      </c>
      <c r="O69" s="15">
        <v>0</v>
      </c>
      <c r="P69" s="15">
        <v>0</v>
      </c>
      <c r="Q69" s="15">
        <v>0</v>
      </c>
      <c r="R69" s="15">
        <v>0</v>
      </c>
      <c r="S69" s="15">
        <v>196.53</v>
      </c>
      <c r="T69" s="15">
        <v>196.53</v>
      </c>
      <c r="U69" s="15">
        <v>4</v>
      </c>
      <c r="V69" s="15">
        <v>0</v>
      </c>
      <c r="W69" s="15">
        <v>4</v>
      </c>
      <c r="X69" s="15">
        <v>0.07018</v>
      </c>
      <c r="Y69" s="15">
        <v>2.46</v>
      </c>
      <c r="Z69" s="15">
        <v>2.46</v>
      </c>
      <c r="AA69" s="15">
        <v>20</v>
      </c>
      <c r="AB69" s="15">
        <v>5</v>
      </c>
      <c r="AC69" s="15">
        <v>0</v>
      </c>
      <c r="AD69" s="15">
        <v>5</v>
      </c>
      <c r="AE69" s="15">
        <v>0.08772</v>
      </c>
      <c r="AF69" s="15">
        <v>3</v>
      </c>
      <c r="AG69" s="15">
        <v>0</v>
      </c>
      <c r="AH69" s="15"/>
      <c r="AI69" s="15">
        <v>8</v>
      </c>
      <c r="AJ69" s="15">
        <v>10</v>
      </c>
      <c r="AK69" s="15">
        <v>8</v>
      </c>
      <c r="AL69" s="15">
        <v>10</v>
      </c>
      <c r="AM69" s="15">
        <v>3</v>
      </c>
      <c r="AN69" s="15">
        <v>26.67</v>
      </c>
      <c r="AO69" s="15">
        <v>0.05263</v>
      </c>
      <c r="AP69" s="15">
        <v>16</v>
      </c>
      <c r="AQ69" s="15">
        <v>5</v>
      </c>
      <c r="AR69" s="15">
        <v>246.8</v>
      </c>
      <c r="AS69" s="15">
        <v>0</v>
      </c>
      <c r="AT69" s="15">
        <v>3</v>
      </c>
      <c r="AU69" s="15">
        <v>0</v>
      </c>
      <c r="AV69" s="15">
        <v>0</v>
      </c>
      <c r="AW69" s="15">
        <v>0</v>
      </c>
      <c r="AX69" s="15">
        <v>2</v>
      </c>
      <c r="AY69" s="15">
        <v>215</v>
      </c>
      <c r="AZ69" s="15">
        <v>49</v>
      </c>
      <c r="BA69" s="15">
        <v>33</v>
      </c>
      <c r="BB69" s="15">
        <v>0.67347</v>
      </c>
      <c r="BC69" s="15">
        <v>0</v>
      </c>
      <c r="BD69" s="15">
        <v>0</v>
      </c>
      <c r="BE69" s="15">
        <v>0.29944</v>
      </c>
      <c r="BF69" s="15">
        <v>153</v>
      </c>
      <c r="BG69" s="15">
        <v>4</v>
      </c>
      <c r="BH69" s="15">
        <v>4</v>
      </c>
      <c r="BI69" s="15">
        <v>1</v>
      </c>
      <c r="BJ69" s="15">
        <v>0</v>
      </c>
      <c r="BK69" s="15">
        <v>0</v>
      </c>
      <c r="BL69" s="15">
        <v>0</v>
      </c>
      <c r="BM69" s="15">
        <v>4</v>
      </c>
      <c r="BN69" s="15">
        <v>1</v>
      </c>
      <c r="BO69" s="15">
        <v>49.13</v>
      </c>
      <c r="BP69" s="15">
        <v>41.85</v>
      </c>
      <c r="BQ69" s="15">
        <v>352</v>
      </c>
    </row>
    <row r="70" spans="1:69">
      <c r="A70" s="16">
        <v>46095</v>
      </c>
      <c r="B70" s="15">
        <v>479</v>
      </c>
      <c r="C70" s="15" t="s">
        <v>39</v>
      </c>
      <c r="D70" s="15">
        <v>479</v>
      </c>
      <c r="E70" s="15" t="s">
        <v>39</v>
      </c>
      <c r="F70" s="15">
        <v>164</v>
      </c>
      <c r="G70" s="15">
        <v>95</v>
      </c>
      <c r="H70" s="15">
        <v>51.23</v>
      </c>
      <c r="I70" s="15">
        <v>0.57927</v>
      </c>
      <c r="J70" s="15">
        <v>0.54</v>
      </c>
      <c r="K70" s="15">
        <v>312.41</v>
      </c>
      <c r="L70" s="15">
        <v>0</v>
      </c>
      <c r="M70" s="15">
        <v>0</v>
      </c>
      <c r="N70" s="15">
        <v>0</v>
      </c>
      <c r="O70" s="15">
        <v>0</v>
      </c>
      <c r="P70" s="15">
        <v>0</v>
      </c>
      <c r="Q70" s="15">
        <v>0</v>
      </c>
      <c r="R70" s="15">
        <v>0</v>
      </c>
      <c r="S70" s="15">
        <v>1039.7</v>
      </c>
      <c r="T70" s="15">
        <v>1039.7</v>
      </c>
      <c r="U70" s="15">
        <v>9</v>
      </c>
      <c r="V70" s="15">
        <v>0</v>
      </c>
      <c r="W70" s="15">
        <v>9</v>
      </c>
      <c r="X70" s="15">
        <v>0.09474</v>
      </c>
      <c r="Y70" s="15">
        <v>20.29</v>
      </c>
      <c r="Z70" s="15">
        <v>20.29</v>
      </c>
      <c r="AA70" s="15">
        <v>5.69</v>
      </c>
      <c r="AB70" s="15">
        <v>35</v>
      </c>
      <c r="AC70" s="15">
        <v>0</v>
      </c>
      <c r="AD70" s="15">
        <v>35</v>
      </c>
      <c r="AE70" s="15">
        <v>0.36842</v>
      </c>
      <c r="AF70" s="15">
        <v>5</v>
      </c>
      <c r="AG70" s="15">
        <v>12</v>
      </c>
      <c r="AH70" s="15">
        <v>4.27</v>
      </c>
      <c r="AI70" s="15">
        <v>52</v>
      </c>
      <c r="AJ70" s="15">
        <v>0.99</v>
      </c>
      <c r="AK70" s="15">
        <v>40</v>
      </c>
      <c r="AL70" s="15">
        <v>1.28</v>
      </c>
      <c r="AM70" s="15">
        <v>17</v>
      </c>
      <c r="AN70" s="15">
        <v>10.25</v>
      </c>
      <c r="AO70" s="15">
        <v>0.05263</v>
      </c>
      <c r="AP70" s="15">
        <v>1.46</v>
      </c>
      <c r="AQ70" s="15">
        <v>13</v>
      </c>
      <c r="AR70" s="15">
        <v>1348.4</v>
      </c>
      <c r="AS70" s="15">
        <v>1</v>
      </c>
      <c r="AT70" s="15">
        <v>4</v>
      </c>
      <c r="AU70" s="15">
        <v>0</v>
      </c>
      <c r="AV70" s="15">
        <v>0</v>
      </c>
      <c r="AW70" s="15">
        <v>0</v>
      </c>
      <c r="AX70" s="15">
        <v>3</v>
      </c>
      <c r="AY70" s="15">
        <v>888</v>
      </c>
      <c r="AZ70" s="15">
        <v>79</v>
      </c>
      <c r="BA70" s="15">
        <v>71</v>
      </c>
      <c r="BB70" s="15">
        <v>0.89873</v>
      </c>
      <c r="BC70" s="15">
        <v>0</v>
      </c>
      <c r="BD70" s="15">
        <v>0</v>
      </c>
      <c r="BE70" s="15">
        <v>5.41463</v>
      </c>
      <c r="BF70" s="15">
        <v>774</v>
      </c>
      <c r="BG70" s="15">
        <v>11</v>
      </c>
      <c r="BH70" s="15">
        <v>6</v>
      </c>
      <c r="BI70" s="15">
        <v>1</v>
      </c>
      <c r="BJ70" s="15">
        <v>0</v>
      </c>
      <c r="BK70" s="15">
        <v>0</v>
      </c>
      <c r="BL70" s="15">
        <v>0</v>
      </c>
      <c r="BM70" s="15">
        <v>6</v>
      </c>
      <c r="BN70" s="15">
        <v>2</v>
      </c>
      <c r="BO70" s="15">
        <v>173.28</v>
      </c>
      <c r="BP70" s="15">
        <v>431.03</v>
      </c>
      <c r="BQ70" s="15">
        <v>1147</v>
      </c>
    </row>
    <row r="71" spans="1:69">
      <c r="A71" s="16">
        <v>46095</v>
      </c>
      <c r="B71" s="15">
        <v>183</v>
      </c>
      <c r="C71" s="15" t="s">
        <v>40</v>
      </c>
      <c r="D71" s="15">
        <v>183</v>
      </c>
      <c r="E71" s="15" t="s">
        <v>40</v>
      </c>
      <c r="F71" s="15">
        <v>3259</v>
      </c>
      <c r="G71" s="15">
        <v>130</v>
      </c>
      <c r="H71" s="15">
        <v>301.23</v>
      </c>
      <c r="I71" s="15">
        <v>0.03989</v>
      </c>
      <c r="J71" s="15">
        <v>2.32</v>
      </c>
      <c r="K71" s="15">
        <v>92.43</v>
      </c>
      <c r="L71" s="15">
        <v>0</v>
      </c>
      <c r="M71" s="15">
        <v>0</v>
      </c>
      <c r="N71" s="15">
        <v>0</v>
      </c>
      <c r="O71" s="15">
        <v>0</v>
      </c>
      <c r="P71" s="15">
        <v>0</v>
      </c>
      <c r="Q71" s="15">
        <v>0</v>
      </c>
      <c r="R71" s="15">
        <v>151</v>
      </c>
      <c r="S71" s="15">
        <v>1444.68</v>
      </c>
      <c r="T71" s="15">
        <v>1595.68</v>
      </c>
      <c r="U71" s="15">
        <v>5</v>
      </c>
      <c r="V71" s="15">
        <v>1</v>
      </c>
      <c r="W71" s="15">
        <v>4</v>
      </c>
      <c r="X71" s="15">
        <v>0.03846</v>
      </c>
      <c r="Y71" s="15">
        <v>5.3</v>
      </c>
      <c r="Z71" s="15">
        <v>5.3</v>
      </c>
      <c r="AA71" s="15">
        <v>60.25</v>
      </c>
      <c r="AB71" s="15">
        <v>24</v>
      </c>
      <c r="AC71" s="15">
        <v>9</v>
      </c>
      <c r="AD71" s="15">
        <v>15</v>
      </c>
      <c r="AE71" s="15">
        <v>0.18462</v>
      </c>
      <c r="AF71" s="15">
        <v>8</v>
      </c>
      <c r="AG71" s="15">
        <v>4</v>
      </c>
      <c r="AH71" s="15">
        <v>75.31</v>
      </c>
      <c r="AI71" s="15">
        <v>36</v>
      </c>
      <c r="AJ71" s="15">
        <v>8.37</v>
      </c>
      <c r="AK71" s="15">
        <v>32</v>
      </c>
      <c r="AL71" s="15">
        <v>9.41</v>
      </c>
      <c r="AM71" s="15">
        <v>12</v>
      </c>
      <c r="AN71" s="15">
        <v>37.65</v>
      </c>
      <c r="AO71" s="15">
        <v>0.06154</v>
      </c>
      <c r="AP71" s="15">
        <v>12.55</v>
      </c>
      <c r="AQ71" s="15">
        <v>9</v>
      </c>
      <c r="AR71" s="15">
        <v>1935.8</v>
      </c>
      <c r="AS71" s="15">
        <v>4</v>
      </c>
      <c r="AT71" s="15">
        <v>4</v>
      </c>
      <c r="AU71" s="15">
        <v>0</v>
      </c>
      <c r="AV71" s="15">
        <v>0</v>
      </c>
      <c r="AW71" s="15">
        <v>0</v>
      </c>
      <c r="AX71" s="15">
        <v>3</v>
      </c>
      <c r="AY71" s="15">
        <v>793</v>
      </c>
      <c r="AZ71" s="15">
        <v>145</v>
      </c>
      <c r="BA71" s="15">
        <v>97</v>
      </c>
      <c r="BB71" s="15">
        <v>0.66897</v>
      </c>
      <c r="BC71" s="15">
        <v>0</v>
      </c>
      <c r="BD71" s="15">
        <v>0</v>
      </c>
      <c r="BE71" s="15">
        <v>0.24333</v>
      </c>
      <c r="BF71" s="15">
        <v>429</v>
      </c>
      <c r="BG71" s="15">
        <v>5</v>
      </c>
      <c r="BH71" s="15">
        <v>4</v>
      </c>
      <c r="BI71" s="15">
        <v>1</v>
      </c>
      <c r="BJ71" s="15">
        <v>0</v>
      </c>
      <c r="BK71" s="15">
        <v>0</v>
      </c>
      <c r="BL71" s="15">
        <v>0</v>
      </c>
      <c r="BM71" s="15">
        <v>4</v>
      </c>
      <c r="BN71" s="15">
        <v>1</v>
      </c>
      <c r="BO71" s="15">
        <v>398.92</v>
      </c>
      <c r="BP71" s="15">
        <v>219.25</v>
      </c>
      <c r="BQ71" s="15">
        <v>2332</v>
      </c>
    </row>
    <row r="72" spans="1:69">
      <c r="A72" s="16">
        <v>46095</v>
      </c>
      <c r="B72" s="15">
        <v>436</v>
      </c>
      <c r="C72" s="15" t="s">
        <v>38</v>
      </c>
      <c r="D72" s="15">
        <v>436</v>
      </c>
      <c r="E72" s="15" t="s">
        <v>38</v>
      </c>
      <c r="F72" s="15">
        <v>729</v>
      </c>
      <c r="G72" s="15">
        <v>42</v>
      </c>
      <c r="H72" s="15">
        <v>76.42</v>
      </c>
      <c r="I72" s="15">
        <v>0.05761</v>
      </c>
      <c r="J72" s="15">
        <v>1.82</v>
      </c>
      <c r="K72" s="15">
        <v>104.83</v>
      </c>
      <c r="L72" s="15">
        <v>0</v>
      </c>
      <c r="M72" s="15">
        <v>0</v>
      </c>
      <c r="N72" s="15">
        <v>0</v>
      </c>
      <c r="O72" s="15">
        <v>0</v>
      </c>
      <c r="P72" s="15">
        <v>0</v>
      </c>
      <c r="Q72" s="15">
        <v>0</v>
      </c>
      <c r="R72" s="15">
        <v>0</v>
      </c>
      <c r="S72" s="15">
        <v>48.91</v>
      </c>
      <c r="T72" s="15">
        <v>48.91</v>
      </c>
      <c r="U72" s="15">
        <v>1</v>
      </c>
      <c r="V72" s="15">
        <v>0</v>
      </c>
      <c r="W72" s="15">
        <v>1</v>
      </c>
      <c r="X72" s="15">
        <v>0.02381</v>
      </c>
      <c r="Y72" s="15">
        <v>0.64</v>
      </c>
      <c r="Z72" s="15">
        <v>0.64</v>
      </c>
      <c r="AA72" s="15">
        <v>76.42</v>
      </c>
      <c r="AB72" s="15">
        <v>4</v>
      </c>
      <c r="AC72" s="15">
        <v>0</v>
      </c>
      <c r="AD72" s="15">
        <v>4</v>
      </c>
      <c r="AE72" s="15">
        <v>0.09524</v>
      </c>
      <c r="AF72" s="15">
        <v>0</v>
      </c>
      <c r="AG72" s="15">
        <v>3</v>
      </c>
      <c r="AH72" s="15">
        <v>25.47</v>
      </c>
      <c r="AI72" s="15">
        <v>7</v>
      </c>
      <c r="AJ72" s="15">
        <v>10.92</v>
      </c>
      <c r="AK72" s="15">
        <v>4</v>
      </c>
      <c r="AL72" s="15">
        <v>19.11</v>
      </c>
      <c r="AM72" s="15">
        <v>3</v>
      </c>
      <c r="AN72" s="15"/>
      <c r="AO72" s="15">
        <v>0</v>
      </c>
      <c r="AP72" s="15">
        <v>19.11</v>
      </c>
      <c r="AQ72" s="15">
        <v>1</v>
      </c>
      <c r="AR72" s="15">
        <v>49.9</v>
      </c>
      <c r="AS72" s="15">
        <v>0</v>
      </c>
      <c r="AT72" s="15">
        <v>0</v>
      </c>
      <c r="AU72" s="15">
        <v>0</v>
      </c>
      <c r="AV72" s="15">
        <v>0</v>
      </c>
      <c r="AW72" s="15">
        <v>0</v>
      </c>
      <c r="AX72" s="15">
        <v>1</v>
      </c>
      <c r="AY72" s="15">
        <v>197</v>
      </c>
      <c r="AZ72" s="15">
        <v>37</v>
      </c>
      <c r="BA72" s="15">
        <v>32</v>
      </c>
      <c r="BB72" s="15">
        <v>0.86486</v>
      </c>
      <c r="BC72" s="15">
        <v>0</v>
      </c>
      <c r="BD72" s="15">
        <v>0</v>
      </c>
      <c r="BE72" s="15">
        <v>0.27023</v>
      </c>
      <c r="BF72" s="15">
        <v>152</v>
      </c>
      <c r="BG72" s="15">
        <v>5</v>
      </c>
      <c r="BH72" s="15">
        <v>1</v>
      </c>
      <c r="BI72" s="15">
        <v>1</v>
      </c>
      <c r="BJ72" s="15">
        <v>0</v>
      </c>
      <c r="BK72" s="15">
        <v>0</v>
      </c>
      <c r="BL72" s="15">
        <v>0</v>
      </c>
      <c r="BM72" s="15">
        <v>1</v>
      </c>
      <c r="BN72" s="15">
        <v>1</v>
      </c>
      <c r="BO72" s="15">
        <v>48.91</v>
      </c>
      <c r="BP72" s="15">
        <v>1.9</v>
      </c>
      <c r="BQ72" s="15">
        <v>79</v>
      </c>
    </row>
    <row r="73" spans="1:69">
      <c r="A73" s="16">
        <v>46095</v>
      </c>
      <c r="B73" s="15">
        <v>371</v>
      </c>
      <c r="C73" s="15" t="s">
        <v>32</v>
      </c>
      <c r="D73" s="15">
        <v>371</v>
      </c>
      <c r="E73" s="15" t="s">
        <v>32</v>
      </c>
      <c r="F73" s="15">
        <v>5002</v>
      </c>
      <c r="G73" s="15">
        <v>105</v>
      </c>
      <c r="H73" s="15">
        <v>30.93</v>
      </c>
      <c r="I73" s="15">
        <v>0.02099</v>
      </c>
      <c r="J73" s="15">
        <v>0.29</v>
      </c>
      <c r="K73" s="15">
        <v>6.18</v>
      </c>
      <c r="L73" s="15">
        <v>0</v>
      </c>
      <c r="M73" s="15">
        <v>0</v>
      </c>
      <c r="N73" s="15">
        <v>0</v>
      </c>
      <c r="O73" s="15">
        <v>0</v>
      </c>
      <c r="P73" s="15">
        <v>0</v>
      </c>
      <c r="Q73" s="15">
        <v>0</v>
      </c>
      <c r="R73" s="15">
        <v>0</v>
      </c>
      <c r="S73" s="15">
        <v>0</v>
      </c>
      <c r="T73" s="15">
        <v>0</v>
      </c>
      <c r="U73" s="15">
        <v>0</v>
      </c>
      <c r="V73" s="15">
        <v>0</v>
      </c>
      <c r="W73" s="15">
        <v>0</v>
      </c>
      <c r="X73" s="15">
        <v>0</v>
      </c>
      <c r="Y73" s="15">
        <v>0</v>
      </c>
      <c r="Z73" s="15">
        <v>0</v>
      </c>
      <c r="AA73" s="15"/>
      <c r="AB73" s="15">
        <v>1</v>
      </c>
      <c r="AC73" s="15">
        <v>1</v>
      </c>
      <c r="AD73" s="15">
        <v>0</v>
      </c>
      <c r="AE73" s="15">
        <v>0.00952</v>
      </c>
      <c r="AF73" s="15">
        <v>0</v>
      </c>
      <c r="AG73" s="15">
        <v>1</v>
      </c>
      <c r="AH73" s="15">
        <v>30.93</v>
      </c>
      <c r="AI73" s="15">
        <v>2</v>
      </c>
      <c r="AJ73" s="15">
        <v>15.47</v>
      </c>
      <c r="AK73" s="15">
        <v>1</v>
      </c>
      <c r="AL73" s="15">
        <v>30.93</v>
      </c>
      <c r="AM73" s="15">
        <v>1</v>
      </c>
      <c r="AN73" s="15"/>
      <c r="AO73" s="15">
        <v>0</v>
      </c>
      <c r="AP73" s="15">
        <v>30.93</v>
      </c>
      <c r="AQ73" s="15">
        <v>0</v>
      </c>
      <c r="AR73" s="15">
        <v>0</v>
      </c>
      <c r="AS73" s="15">
        <v>0</v>
      </c>
      <c r="AT73" s="15">
        <v>0</v>
      </c>
      <c r="AU73" s="15">
        <v>0</v>
      </c>
      <c r="AV73" s="15">
        <v>0</v>
      </c>
      <c r="AW73" s="15">
        <v>0</v>
      </c>
      <c r="AX73" s="15">
        <v>0</v>
      </c>
      <c r="AY73" s="15">
        <v>264</v>
      </c>
      <c r="AZ73" s="15">
        <v>113</v>
      </c>
      <c r="BA73" s="15">
        <v>105</v>
      </c>
      <c r="BB73" s="15">
        <v>0.9292</v>
      </c>
      <c r="BC73" s="15">
        <v>0</v>
      </c>
      <c r="BD73" s="15">
        <v>0</v>
      </c>
      <c r="BE73" s="15">
        <v>0.05278</v>
      </c>
      <c r="BF73" s="15">
        <v>135</v>
      </c>
      <c r="BG73" s="15">
        <v>2</v>
      </c>
      <c r="BH73" s="15">
        <v>0</v>
      </c>
      <c r="BI73" s="15"/>
      <c r="BJ73" s="15">
        <v>0</v>
      </c>
      <c r="BK73" s="15">
        <v>0</v>
      </c>
      <c r="BL73" s="15">
        <v>0</v>
      </c>
      <c r="BM73" s="15">
        <v>0</v>
      </c>
      <c r="BN73" s="15"/>
      <c r="BO73" s="15"/>
      <c r="BP73" s="15">
        <v>0</v>
      </c>
      <c r="BQ73" s="15">
        <v>973</v>
      </c>
    </row>
    <row r="74" spans="1:69">
      <c r="A74" s="16">
        <v>46094</v>
      </c>
      <c r="B74" s="15">
        <v>183</v>
      </c>
      <c r="C74" s="15" t="s">
        <v>40</v>
      </c>
      <c r="D74" s="15">
        <v>183</v>
      </c>
      <c r="E74" s="15" t="s">
        <v>40</v>
      </c>
      <c r="F74" s="15">
        <v>3148</v>
      </c>
      <c r="G74" s="15">
        <v>101</v>
      </c>
      <c r="H74" s="15">
        <v>198.22</v>
      </c>
      <c r="I74" s="15">
        <v>0.03208</v>
      </c>
      <c r="J74" s="15">
        <v>1.96</v>
      </c>
      <c r="K74" s="15">
        <v>62.97</v>
      </c>
      <c r="L74" s="15">
        <v>0</v>
      </c>
      <c r="M74" s="15">
        <v>0</v>
      </c>
      <c r="N74" s="15">
        <v>0</v>
      </c>
      <c r="O74" s="15">
        <v>0</v>
      </c>
      <c r="P74" s="15">
        <v>0</v>
      </c>
      <c r="Q74" s="15">
        <v>0</v>
      </c>
      <c r="R74" s="15">
        <v>0</v>
      </c>
      <c r="S74" s="15">
        <v>89.1</v>
      </c>
      <c r="T74" s="15">
        <v>89.1</v>
      </c>
      <c r="U74" s="15">
        <v>1</v>
      </c>
      <c r="V74" s="15">
        <v>0</v>
      </c>
      <c r="W74" s="15">
        <v>1</v>
      </c>
      <c r="X74" s="15">
        <v>0.0099</v>
      </c>
      <c r="Y74" s="15">
        <v>0.45</v>
      </c>
      <c r="Z74" s="15">
        <v>0.45</v>
      </c>
      <c r="AA74" s="15">
        <v>198.22</v>
      </c>
      <c r="AB74" s="15">
        <v>21</v>
      </c>
      <c r="AC74" s="15">
        <v>8</v>
      </c>
      <c r="AD74" s="15">
        <v>13</v>
      </c>
      <c r="AE74" s="15">
        <v>0.20792</v>
      </c>
      <c r="AF74" s="15">
        <v>3</v>
      </c>
      <c r="AG74" s="15">
        <v>3</v>
      </c>
      <c r="AH74" s="15">
        <v>66.07</v>
      </c>
      <c r="AI74" s="15">
        <v>27</v>
      </c>
      <c r="AJ74" s="15">
        <v>7.34</v>
      </c>
      <c r="AK74" s="15">
        <v>24</v>
      </c>
      <c r="AL74" s="15">
        <v>8.26</v>
      </c>
      <c r="AM74" s="15">
        <v>6</v>
      </c>
      <c r="AN74" s="15">
        <v>66.07</v>
      </c>
      <c r="AO74" s="15">
        <v>0.0297</v>
      </c>
      <c r="AP74" s="15">
        <v>9.44</v>
      </c>
      <c r="AQ74" s="15">
        <v>2</v>
      </c>
      <c r="AR74" s="15">
        <v>118</v>
      </c>
      <c r="AS74" s="15">
        <v>2</v>
      </c>
      <c r="AT74" s="15">
        <v>1</v>
      </c>
      <c r="AU74" s="15">
        <v>0</v>
      </c>
      <c r="AV74" s="15">
        <v>0</v>
      </c>
      <c r="AW74" s="15">
        <v>0</v>
      </c>
      <c r="AX74" s="15">
        <v>0</v>
      </c>
      <c r="AY74" s="15">
        <v>548</v>
      </c>
      <c r="AZ74" s="15">
        <v>143</v>
      </c>
      <c r="BA74" s="15">
        <v>91</v>
      </c>
      <c r="BB74" s="15">
        <v>0.63636</v>
      </c>
      <c r="BC74" s="15">
        <v>0</v>
      </c>
      <c r="BD74" s="15">
        <v>0</v>
      </c>
      <c r="BE74" s="15">
        <v>0.17408</v>
      </c>
      <c r="BF74" s="15">
        <v>305</v>
      </c>
      <c r="BG74" s="15">
        <v>4</v>
      </c>
      <c r="BH74" s="15">
        <v>1</v>
      </c>
      <c r="BI74" s="15">
        <v>1</v>
      </c>
      <c r="BJ74" s="15">
        <v>0</v>
      </c>
      <c r="BK74" s="15">
        <v>0</v>
      </c>
      <c r="BL74" s="15">
        <v>0</v>
      </c>
      <c r="BM74" s="15">
        <v>1</v>
      </c>
      <c r="BN74" s="15">
        <v>1</v>
      </c>
      <c r="BO74" s="15">
        <v>89.1</v>
      </c>
      <c r="BP74" s="15">
        <v>6.21</v>
      </c>
      <c r="BQ74" s="15">
        <v>1183</v>
      </c>
    </row>
    <row r="75" spans="1:69">
      <c r="A75" s="16">
        <v>46094</v>
      </c>
      <c r="B75" s="15">
        <v>371</v>
      </c>
      <c r="C75" s="15" t="s">
        <v>32</v>
      </c>
      <c r="D75" s="15">
        <v>371</v>
      </c>
      <c r="E75" s="15" t="s">
        <v>32</v>
      </c>
      <c r="F75" s="15">
        <v>4681</v>
      </c>
      <c r="G75" s="15">
        <v>101</v>
      </c>
      <c r="H75" s="15">
        <v>31.15</v>
      </c>
      <c r="I75" s="15">
        <v>0.02158</v>
      </c>
      <c r="J75" s="15">
        <v>0.31</v>
      </c>
      <c r="K75" s="15">
        <v>6.65</v>
      </c>
      <c r="L75" s="15">
        <v>0</v>
      </c>
      <c r="M75" s="15">
        <v>0</v>
      </c>
      <c r="N75" s="15">
        <v>0</v>
      </c>
      <c r="O75" s="15">
        <v>0</v>
      </c>
      <c r="P75" s="15">
        <v>0</v>
      </c>
      <c r="Q75" s="15">
        <v>0</v>
      </c>
      <c r="R75" s="15">
        <v>0</v>
      </c>
      <c r="S75" s="15">
        <v>934.05</v>
      </c>
      <c r="T75" s="15">
        <v>934.05</v>
      </c>
      <c r="U75" s="15">
        <v>1</v>
      </c>
      <c r="V75" s="15">
        <v>0</v>
      </c>
      <c r="W75" s="15">
        <v>1</v>
      </c>
      <c r="X75" s="15">
        <v>0.0099</v>
      </c>
      <c r="Y75" s="15">
        <v>29.99</v>
      </c>
      <c r="Z75" s="15">
        <v>29.99</v>
      </c>
      <c r="AA75" s="15">
        <v>31.15</v>
      </c>
      <c r="AB75" s="15">
        <v>7</v>
      </c>
      <c r="AC75" s="15">
        <v>0</v>
      </c>
      <c r="AD75" s="15">
        <v>7</v>
      </c>
      <c r="AE75" s="15">
        <v>0.06931</v>
      </c>
      <c r="AF75" s="15">
        <v>0</v>
      </c>
      <c r="AG75" s="15">
        <v>1</v>
      </c>
      <c r="AH75" s="15">
        <v>31.15</v>
      </c>
      <c r="AI75" s="15">
        <v>8</v>
      </c>
      <c r="AJ75" s="15">
        <v>3.89</v>
      </c>
      <c r="AK75" s="15">
        <v>7</v>
      </c>
      <c r="AL75" s="15">
        <v>4.45</v>
      </c>
      <c r="AM75" s="15">
        <v>1</v>
      </c>
      <c r="AN75" s="15"/>
      <c r="AO75" s="15">
        <v>0</v>
      </c>
      <c r="AP75" s="15">
        <v>4.45</v>
      </c>
      <c r="AQ75" s="15">
        <v>2</v>
      </c>
      <c r="AR75" s="15">
        <v>1295</v>
      </c>
      <c r="AS75" s="15">
        <v>0</v>
      </c>
      <c r="AT75" s="15">
        <v>0</v>
      </c>
      <c r="AU75" s="15">
        <v>0</v>
      </c>
      <c r="AV75" s="15">
        <v>0</v>
      </c>
      <c r="AW75" s="15">
        <v>0</v>
      </c>
      <c r="AX75" s="15">
        <v>0</v>
      </c>
      <c r="AY75" s="15">
        <v>208</v>
      </c>
      <c r="AZ75" s="15">
        <v>97</v>
      </c>
      <c r="BA75" s="15">
        <v>87</v>
      </c>
      <c r="BB75" s="15">
        <v>0.89691</v>
      </c>
      <c r="BC75" s="15">
        <v>0</v>
      </c>
      <c r="BD75" s="15">
        <v>0</v>
      </c>
      <c r="BE75" s="15">
        <v>0.04443</v>
      </c>
      <c r="BF75" s="15">
        <v>99</v>
      </c>
      <c r="BG75" s="15">
        <v>2</v>
      </c>
      <c r="BH75" s="15">
        <v>1</v>
      </c>
      <c r="BI75" s="15">
        <v>1</v>
      </c>
      <c r="BJ75" s="15">
        <v>0</v>
      </c>
      <c r="BK75" s="15">
        <v>0</v>
      </c>
      <c r="BL75" s="15">
        <v>0</v>
      </c>
      <c r="BM75" s="15">
        <v>1</v>
      </c>
      <c r="BN75" s="15">
        <v>1</v>
      </c>
      <c r="BO75" s="15">
        <v>934.05</v>
      </c>
      <c r="BP75" s="15">
        <v>8.54</v>
      </c>
      <c r="BQ75" s="15">
        <v>74</v>
      </c>
    </row>
    <row r="76" spans="1:69">
      <c r="A76" s="16">
        <v>46094</v>
      </c>
      <c r="B76" s="15">
        <v>436</v>
      </c>
      <c r="C76" s="15" t="s">
        <v>38</v>
      </c>
      <c r="D76" s="15">
        <v>436</v>
      </c>
      <c r="E76" s="15" t="s">
        <v>38</v>
      </c>
      <c r="F76" s="15">
        <v>977</v>
      </c>
      <c r="G76" s="15">
        <v>53</v>
      </c>
      <c r="H76" s="15">
        <v>67.73</v>
      </c>
      <c r="I76" s="15">
        <v>0.05425</v>
      </c>
      <c r="J76" s="15">
        <v>1.28</v>
      </c>
      <c r="K76" s="15">
        <v>69.32</v>
      </c>
      <c r="L76" s="15">
        <v>0</v>
      </c>
      <c r="M76" s="15">
        <v>0</v>
      </c>
      <c r="N76" s="15">
        <v>0</v>
      </c>
      <c r="O76" s="15">
        <v>0</v>
      </c>
      <c r="P76" s="15">
        <v>0</v>
      </c>
      <c r="Q76" s="15">
        <v>0</v>
      </c>
      <c r="R76" s="15">
        <v>0</v>
      </c>
      <c r="S76" s="15">
        <v>49.9</v>
      </c>
      <c r="T76" s="15">
        <v>49.9</v>
      </c>
      <c r="U76" s="15">
        <v>1</v>
      </c>
      <c r="V76" s="15">
        <v>0</v>
      </c>
      <c r="W76" s="15">
        <v>1</v>
      </c>
      <c r="X76" s="15">
        <v>0.01887</v>
      </c>
      <c r="Y76" s="15">
        <v>0.74</v>
      </c>
      <c r="Z76" s="15">
        <v>0.74</v>
      </c>
      <c r="AA76" s="15">
        <v>67.73</v>
      </c>
      <c r="AB76" s="15">
        <v>4</v>
      </c>
      <c r="AC76" s="15">
        <v>0</v>
      </c>
      <c r="AD76" s="15">
        <v>4</v>
      </c>
      <c r="AE76" s="15">
        <v>0.07547</v>
      </c>
      <c r="AF76" s="15">
        <v>1</v>
      </c>
      <c r="AG76" s="15">
        <v>0</v>
      </c>
      <c r="AH76" s="15"/>
      <c r="AI76" s="15">
        <v>5</v>
      </c>
      <c r="AJ76" s="15">
        <v>13.55</v>
      </c>
      <c r="AK76" s="15">
        <v>5</v>
      </c>
      <c r="AL76" s="15">
        <v>13.55</v>
      </c>
      <c r="AM76" s="15">
        <v>1</v>
      </c>
      <c r="AN76" s="15">
        <v>67.73</v>
      </c>
      <c r="AO76" s="15">
        <v>0.01887</v>
      </c>
      <c r="AP76" s="15">
        <v>16.93</v>
      </c>
      <c r="AQ76" s="15">
        <v>1</v>
      </c>
      <c r="AR76" s="15">
        <v>49.9</v>
      </c>
      <c r="AS76" s="15">
        <v>0</v>
      </c>
      <c r="AT76" s="15">
        <v>1</v>
      </c>
      <c r="AU76" s="15">
        <v>0</v>
      </c>
      <c r="AV76" s="15">
        <v>0</v>
      </c>
      <c r="AW76" s="15">
        <v>0</v>
      </c>
      <c r="AX76" s="15">
        <v>1</v>
      </c>
      <c r="AY76" s="15">
        <v>160</v>
      </c>
      <c r="AZ76" s="15">
        <v>48</v>
      </c>
      <c r="BA76" s="15">
        <v>30</v>
      </c>
      <c r="BB76" s="15">
        <v>0.625</v>
      </c>
      <c r="BC76" s="15">
        <v>0</v>
      </c>
      <c r="BD76" s="15">
        <v>0</v>
      </c>
      <c r="BE76" s="15">
        <v>0.16377</v>
      </c>
      <c r="BF76" s="15">
        <v>105</v>
      </c>
      <c r="BG76" s="15">
        <v>3</v>
      </c>
      <c r="BH76" s="15">
        <v>1</v>
      </c>
      <c r="BI76" s="15">
        <v>1</v>
      </c>
      <c r="BJ76" s="15">
        <v>0</v>
      </c>
      <c r="BK76" s="15">
        <v>0</v>
      </c>
      <c r="BL76" s="15">
        <v>0</v>
      </c>
      <c r="BM76" s="15">
        <v>1</v>
      </c>
      <c r="BN76" s="15">
        <v>1</v>
      </c>
      <c r="BO76" s="15">
        <v>49.9</v>
      </c>
      <c r="BP76" s="15">
        <v>35.87</v>
      </c>
      <c r="BQ76" s="15">
        <v>131</v>
      </c>
    </row>
    <row r="77" spans="1:69">
      <c r="A77" s="16">
        <v>46094</v>
      </c>
      <c r="B77" s="15">
        <v>479</v>
      </c>
      <c r="C77" s="15" t="s">
        <v>39</v>
      </c>
      <c r="D77" s="15">
        <v>479</v>
      </c>
      <c r="E77" s="15" t="s">
        <v>39</v>
      </c>
      <c r="F77" s="15">
        <v>113</v>
      </c>
      <c r="G77" s="15">
        <v>42</v>
      </c>
      <c r="H77" s="15">
        <v>31.48</v>
      </c>
      <c r="I77" s="15">
        <v>0.37168</v>
      </c>
      <c r="J77" s="15">
        <v>0.75</v>
      </c>
      <c r="K77" s="15">
        <v>278.55</v>
      </c>
      <c r="L77" s="15">
        <v>0</v>
      </c>
      <c r="M77" s="15">
        <v>0</v>
      </c>
      <c r="N77" s="15">
        <v>0</v>
      </c>
      <c r="O77" s="15">
        <v>0</v>
      </c>
      <c r="P77" s="15">
        <v>0</v>
      </c>
      <c r="Q77" s="15">
        <v>0</v>
      </c>
      <c r="R77" s="15">
        <v>0</v>
      </c>
      <c r="S77" s="15">
        <v>287.51</v>
      </c>
      <c r="T77" s="15">
        <v>287.51</v>
      </c>
      <c r="U77" s="15">
        <v>3</v>
      </c>
      <c r="V77" s="15">
        <v>0</v>
      </c>
      <c r="W77" s="15">
        <v>3</v>
      </c>
      <c r="X77" s="15">
        <v>0.07143</v>
      </c>
      <c r="Y77" s="15">
        <v>9.13</v>
      </c>
      <c r="Z77" s="15">
        <v>9.13</v>
      </c>
      <c r="AA77" s="15">
        <v>10.49</v>
      </c>
      <c r="AB77" s="15">
        <v>11</v>
      </c>
      <c r="AC77" s="15">
        <v>0</v>
      </c>
      <c r="AD77" s="15">
        <v>11</v>
      </c>
      <c r="AE77" s="15">
        <v>0.2619</v>
      </c>
      <c r="AF77" s="15">
        <v>1</v>
      </c>
      <c r="AG77" s="15">
        <v>4</v>
      </c>
      <c r="AH77" s="15">
        <v>7.87</v>
      </c>
      <c r="AI77" s="15">
        <v>16</v>
      </c>
      <c r="AJ77" s="15">
        <v>1.97</v>
      </c>
      <c r="AK77" s="15">
        <v>12</v>
      </c>
      <c r="AL77" s="15">
        <v>2.62</v>
      </c>
      <c r="AM77" s="15">
        <v>5</v>
      </c>
      <c r="AN77" s="15">
        <v>31.48</v>
      </c>
      <c r="AO77" s="15">
        <v>0.02381</v>
      </c>
      <c r="AP77" s="15">
        <v>2.86</v>
      </c>
      <c r="AQ77" s="15">
        <v>4</v>
      </c>
      <c r="AR77" s="15">
        <v>366.8</v>
      </c>
      <c r="AS77" s="15">
        <v>0</v>
      </c>
      <c r="AT77" s="15">
        <v>1</v>
      </c>
      <c r="AU77" s="15">
        <v>0</v>
      </c>
      <c r="AV77" s="15">
        <v>0</v>
      </c>
      <c r="AW77" s="15">
        <v>0</v>
      </c>
      <c r="AX77" s="15">
        <v>3</v>
      </c>
      <c r="AY77" s="15">
        <v>376</v>
      </c>
      <c r="AZ77" s="15">
        <v>36</v>
      </c>
      <c r="BA77" s="15">
        <v>31</v>
      </c>
      <c r="BB77" s="15">
        <v>0.86111</v>
      </c>
      <c r="BC77" s="15">
        <v>0</v>
      </c>
      <c r="BD77" s="15">
        <v>0</v>
      </c>
      <c r="BE77" s="15">
        <v>3.32743</v>
      </c>
      <c r="BF77" s="15">
        <v>331</v>
      </c>
      <c r="BG77" s="15">
        <v>10</v>
      </c>
      <c r="BH77" s="15">
        <v>2</v>
      </c>
      <c r="BI77" s="15">
        <v>1</v>
      </c>
      <c r="BJ77" s="15">
        <v>0</v>
      </c>
      <c r="BK77" s="15">
        <v>0</v>
      </c>
      <c r="BL77" s="15">
        <v>0</v>
      </c>
      <c r="BM77" s="15">
        <v>2</v>
      </c>
      <c r="BN77" s="15">
        <v>2</v>
      </c>
      <c r="BO77" s="15">
        <v>143.76</v>
      </c>
      <c r="BP77" s="15">
        <v>46.96</v>
      </c>
      <c r="BQ77" s="15">
        <v>349</v>
      </c>
    </row>
    <row r="78" spans="1:69">
      <c r="A78" s="16">
        <v>46093</v>
      </c>
      <c r="B78" s="15">
        <v>436</v>
      </c>
      <c r="C78" s="15" t="s">
        <v>38</v>
      </c>
      <c r="D78" s="15">
        <v>436</v>
      </c>
      <c r="E78" s="15" t="s">
        <v>38</v>
      </c>
      <c r="F78" s="15">
        <v>1152</v>
      </c>
      <c r="G78" s="15">
        <v>58</v>
      </c>
      <c r="H78" s="15">
        <v>26.69</v>
      </c>
      <c r="I78" s="15">
        <v>0.05035</v>
      </c>
      <c r="J78" s="15">
        <v>0.46</v>
      </c>
      <c r="K78" s="15">
        <v>23.17</v>
      </c>
      <c r="L78" s="15">
        <v>0</v>
      </c>
      <c r="M78" s="15">
        <v>0</v>
      </c>
      <c r="N78" s="15">
        <v>0</v>
      </c>
      <c r="O78" s="15">
        <v>0</v>
      </c>
      <c r="P78" s="15">
        <v>0</v>
      </c>
      <c r="Q78" s="15">
        <v>0</v>
      </c>
      <c r="R78" s="15">
        <v>0</v>
      </c>
      <c r="S78" s="15">
        <v>49.9</v>
      </c>
      <c r="T78" s="15">
        <v>49.9</v>
      </c>
      <c r="U78" s="15">
        <v>1</v>
      </c>
      <c r="V78" s="15">
        <v>0</v>
      </c>
      <c r="W78" s="15">
        <v>1</v>
      </c>
      <c r="X78" s="15">
        <v>0.01724</v>
      </c>
      <c r="Y78" s="15">
        <v>1.87</v>
      </c>
      <c r="Z78" s="15">
        <v>1.87</v>
      </c>
      <c r="AA78" s="15">
        <v>26.69</v>
      </c>
      <c r="AB78" s="15">
        <v>15</v>
      </c>
      <c r="AC78" s="15">
        <v>1</v>
      </c>
      <c r="AD78" s="15">
        <v>14</v>
      </c>
      <c r="AE78" s="15">
        <v>0.25862</v>
      </c>
      <c r="AF78" s="15">
        <v>2</v>
      </c>
      <c r="AG78" s="15">
        <v>4</v>
      </c>
      <c r="AH78" s="15">
        <v>6.67</v>
      </c>
      <c r="AI78" s="15">
        <v>21</v>
      </c>
      <c r="AJ78" s="15">
        <v>1.27</v>
      </c>
      <c r="AK78" s="15">
        <v>17</v>
      </c>
      <c r="AL78" s="15">
        <v>1.57</v>
      </c>
      <c r="AM78" s="15">
        <v>6</v>
      </c>
      <c r="AN78" s="15">
        <v>13.35</v>
      </c>
      <c r="AO78" s="15">
        <v>0.03448</v>
      </c>
      <c r="AP78" s="15">
        <v>1.78</v>
      </c>
      <c r="AQ78" s="15">
        <v>3</v>
      </c>
      <c r="AR78" s="15">
        <v>348.8</v>
      </c>
      <c r="AS78" s="15">
        <v>0</v>
      </c>
      <c r="AT78" s="15">
        <v>2</v>
      </c>
      <c r="AU78" s="15">
        <v>0</v>
      </c>
      <c r="AV78" s="15">
        <v>0</v>
      </c>
      <c r="AW78" s="15">
        <v>0</v>
      </c>
      <c r="AX78" s="15">
        <v>2</v>
      </c>
      <c r="AY78" s="15">
        <v>293</v>
      </c>
      <c r="AZ78" s="15">
        <v>55</v>
      </c>
      <c r="BA78" s="15">
        <v>42</v>
      </c>
      <c r="BB78" s="15">
        <v>0.76364</v>
      </c>
      <c r="BC78" s="15">
        <v>0</v>
      </c>
      <c r="BD78" s="15">
        <v>0</v>
      </c>
      <c r="BE78" s="15">
        <v>0.25434</v>
      </c>
      <c r="BF78" s="15">
        <v>235</v>
      </c>
      <c r="BG78" s="15">
        <v>5</v>
      </c>
      <c r="BH78" s="15">
        <v>1</v>
      </c>
      <c r="BI78" s="15">
        <v>1</v>
      </c>
      <c r="BJ78" s="15">
        <v>0</v>
      </c>
      <c r="BK78" s="15">
        <v>0</v>
      </c>
      <c r="BL78" s="15">
        <v>0</v>
      </c>
      <c r="BM78" s="15">
        <v>1</v>
      </c>
      <c r="BN78" s="15">
        <v>1</v>
      </c>
      <c r="BO78" s="15">
        <v>49.9</v>
      </c>
      <c r="BP78" s="15">
        <v>2.21</v>
      </c>
      <c r="BQ78" s="15">
        <v>534</v>
      </c>
    </row>
    <row r="79" spans="1:69">
      <c r="A79" s="16">
        <v>46093</v>
      </c>
      <c r="B79" s="15">
        <v>371</v>
      </c>
      <c r="C79" s="15" t="s">
        <v>32</v>
      </c>
      <c r="D79" s="15">
        <v>371</v>
      </c>
      <c r="E79" s="15" t="s">
        <v>32</v>
      </c>
      <c r="F79" s="15">
        <v>4691</v>
      </c>
      <c r="G79" s="15">
        <v>111</v>
      </c>
      <c r="H79" s="15">
        <v>32.81</v>
      </c>
      <c r="I79" s="15">
        <v>0.02366</v>
      </c>
      <c r="J79" s="15">
        <v>0.3</v>
      </c>
      <c r="K79" s="15">
        <v>6.99</v>
      </c>
      <c r="L79" s="15">
        <v>0</v>
      </c>
      <c r="M79" s="15">
        <v>0</v>
      </c>
      <c r="N79" s="15">
        <v>0</v>
      </c>
      <c r="O79" s="15">
        <v>0</v>
      </c>
      <c r="P79" s="15">
        <v>0</v>
      </c>
      <c r="Q79" s="15">
        <v>0</v>
      </c>
      <c r="R79" s="15">
        <v>0</v>
      </c>
      <c r="S79" s="15">
        <v>0</v>
      </c>
      <c r="T79" s="15">
        <v>0</v>
      </c>
      <c r="U79" s="15">
        <v>0</v>
      </c>
      <c r="V79" s="15">
        <v>0</v>
      </c>
      <c r="W79" s="15">
        <v>0</v>
      </c>
      <c r="X79" s="15">
        <v>0</v>
      </c>
      <c r="Y79" s="15">
        <v>0</v>
      </c>
      <c r="Z79" s="15">
        <v>0</v>
      </c>
      <c r="AA79" s="15"/>
      <c r="AB79" s="15">
        <v>1</v>
      </c>
      <c r="AC79" s="15">
        <v>0</v>
      </c>
      <c r="AD79" s="15">
        <v>1</v>
      </c>
      <c r="AE79" s="15">
        <v>0.00901</v>
      </c>
      <c r="AF79" s="15">
        <v>1</v>
      </c>
      <c r="AG79" s="15">
        <v>1</v>
      </c>
      <c r="AH79" s="15">
        <v>32.81</v>
      </c>
      <c r="AI79" s="15">
        <v>3</v>
      </c>
      <c r="AJ79" s="15">
        <v>10.94</v>
      </c>
      <c r="AK79" s="15">
        <v>2</v>
      </c>
      <c r="AL79" s="15">
        <v>16.41</v>
      </c>
      <c r="AM79" s="15">
        <v>2</v>
      </c>
      <c r="AN79" s="15">
        <v>32.81</v>
      </c>
      <c r="AO79" s="15">
        <v>0.00901</v>
      </c>
      <c r="AP79" s="15">
        <v>32.81</v>
      </c>
      <c r="AQ79" s="15">
        <v>0</v>
      </c>
      <c r="AR79" s="15">
        <v>0</v>
      </c>
      <c r="AS79" s="15">
        <v>1</v>
      </c>
      <c r="AT79" s="15">
        <v>0</v>
      </c>
      <c r="AU79" s="15">
        <v>0</v>
      </c>
      <c r="AV79" s="15">
        <v>0</v>
      </c>
      <c r="AW79" s="15">
        <v>0</v>
      </c>
      <c r="AX79" s="15">
        <v>0</v>
      </c>
      <c r="AY79" s="15">
        <v>263</v>
      </c>
      <c r="AZ79" s="15">
        <v>100</v>
      </c>
      <c r="BA79" s="15">
        <v>91</v>
      </c>
      <c r="BB79" s="15">
        <v>0.91</v>
      </c>
      <c r="BC79" s="15">
        <v>0</v>
      </c>
      <c r="BD79" s="15">
        <v>0</v>
      </c>
      <c r="BE79" s="15">
        <v>0.05606</v>
      </c>
      <c r="BF79" s="15">
        <v>147</v>
      </c>
      <c r="BG79" s="15">
        <v>3</v>
      </c>
      <c r="BH79" s="15">
        <v>0</v>
      </c>
      <c r="BI79" s="15"/>
      <c r="BJ79" s="15">
        <v>0</v>
      </c>
      <c r="BK79" s="15">
        <v>0</v>
      </c>
      <c r="BL79" s="15">
        <v>0</v>
      </c>
      <c r="BM79" s="15">
        <v>0</v>
      </c>
      <c r="BN79" s="15"/>
      <c r="BO79" s="15"/>
      <c r="BP79" s="15">
        <v>0</v>
      </c>
      <c r="BQ79" s="15">
        <v>405</v>
      </c>
    </row>
    <row r="80" spans="1:69">
      <c r="A80" s="16">
        <v>46093</v>
      </c>
      <c r="B80" s="15">
        <v>479</v>
      </c>
      <c r="C80" s="15" t="s">
        <v>39</v>
      </c>
      <c r="D80" s="15">
        <v>479</v>
      </c>
      <c r="E80" s="15" t="s">
        <v>39</v>
      </c>
      <c r="F80" s="15">
        <v>117</v>
      </c>
      <c r="G80" s="15">
        <v>45</v>
      </c>
      <c r="H80" s="15">
        <v>37.29</v>
      </c>
      <c r="I80" s="15">
        <v>0.38462</v>
      </c>
      <c r="J80" s="15">
        <v>0.83</v>
      </c>
      <c r="K80" s="15">
        <v>318.71</v>
      </c>
      <c r="L80" s="15">
        <v>0</v>
      </c>
      <c r="M80" s="15">
        <v>0</v>
      </c>
      <c r="N80" s="15">
        <v>0</v>
      </c>
      <c r="O80" s="15">
        <v>0</v>
      </c>
      <c r="P80" s="15">
        <v>0</v>
      </c>
      <c r="Q80" s="15">
        <v>0</v>
      </c>
      <c r="R80" s="15">
        <v>0</v>
      </c>
      <c r="S80" s="15">
        <v>151</v>
      </c>
      <c r="T80" s="15">
        <v>151</v>
      </c>
      <c r="U80" s="15">
        <v>1</v>
      </c>
      <c r="V80" s="15">
        <v>0</v>
      </c>
      <c r="W80" s="15">
        <v>1</v>
      </c>
      <c r="X80" s="15">
        <v>0.02222</v>
      </c>
      <c r="Y80" s="15">
        <v>4.05</v>
      </c>
      <c r="Z80" s="15">
        <v>4.05</v>
      </c>
      <c r="AA80" s="15">
        <v>37.29</v>
      </c>
      <c r="AB80" s="15">
        <v>9</v>
      </c>
      <c r="AC80" s="15">
        <v>1</v>
      </c>
      <c r="AD80" s="15">
        <v>8</v>
      </c>
      <c r="AE80" s="15">
        <v>0.2</v>
      </c>
      <c r="AF80" s="15">
        <v>3</v>
      </c>
      <c r="AG80" s="15">
        <v>4</v>
      </c>
      <c r="AH80" s="15">
        <v>9.32</v>
      </c>
      <c r="AI80" s="15">
        <v>16</v>
      </c>
      <c r="AJ80" s="15">
        <v>2.33</v>
      </c>
      <c r="AK80" s="15">
        <v>12</v>
      </c>
      <c r="AL80" s="15">
        <v>3.11</v>
      </c>
      <c r="AM80" s="15">
        <v>7</v>
      </c>
      <c r="AN80" s="15">
        <v>12.43</v>
      </c>
      <c r="AO80" s="15">
        <v>0.06667</v>
      </c>
      <c r="AP80" s="15">
        <v>4.14</v>
      </c>
      <c r="AQ80" s="15">
        <v>2</v>
      </c>
      <c r="AR80" s="15">
        <v>187</v>
      </c>
      <c r="AS80" s="15">
        <v>1</v>
      </c>
      <c r="AT80" s="15">
        <v>2</v>
      </c>
      <c r="AU80" s="15">
        <v>0</v>
      </c>
      <c r="AV80" s="15">
        <v>0</v>
      </c>
      <c r="AW80" s="15">
        <v>0</v>
      </c>
      <c r="AX80" s="15">
        <v>0</v>
      </c>
      <c r="AY80" s="15">
        <v>448</v>
      </c>
      <c r="AZ80" s="15">
        <v>49</v>
      </c>
      <c r="BA80" s="15">
        <v>43</v>
      </c>
      <c r="BB80" s="15">
        <v>0.87755</v>
      </c>
      <c r="BC80" s="15">
        <v>0</v>
      </c>
      <c r="BD80" s="15">
        <v>0</v>
      </c>
      <c r="BE80" s="15">
        <v>3.82906</v>
      </c>
      <c r="BF80" s="15">
        <v>383</v>
      </c>
      <c r="BG80" s="15">
        <v>9</v>
      </c>
      <c r="BH80" s="15">
        <v>1</v>
      </c>
      <c r="BI80" s="15">
        <v>1</v>
      </c>
      <c r="BJ80" s="15">
        <v>0</v>
      </c>
      <c r="BK80" s="15">
        <v>0</v>
      </c>
      <c r="BL80" s="15">
        <v>0</v>
      </c>
      <c r="BM80" s="15">
        <v>1</v>
      </c>
      <c r="BN80" s="15">
        <v>1</v>
      </c>
      <c r="BO80" s="15">
        <v>151</v>
      </c>
      <c r="BP80" s="15">
        <v>27.63</v>
      </c>
      <c r="BQ80" s="15">
        <v>221</v>
      </c>
    </row>
    <row r="81" spans="1:69">
      <c r="A81" s="16">
        <v>46093</v>
      </c>
      <c r="B81" s="15">
        <v>183</v>
      </c>
      <c r="C81" s="15" t="s">
        <v>40</v>
      </c>
      <c r="D81" s="15">
        <v>183</v>
      </c>
      <c r="E81" s="15" t="s">
        <v>40</v>
      </c>
      <c r="F81" s="15">
        <v>2577</v>
      </c>
      <c r="G81" s="15">
        <v>99</v>
      </c>
      <c r="H81" s="15">
        <v>200</v>
      </c>
      <c r="I81" s="15">
        <v>0.03842</v>
      </c>
      <c r="J81" s="15">
        <v>2.02</v>
      </c>
      <c r="K81" s="15">
        <v>77.61</v>
      </c>
      <c r="L81" s="15">
        <v>0</v>
      </c>
      <c r="M81" s="15">
        <v>0</v>
      </c>
      <c r="N81" s="15">
        <v>0</v>
      </c>
      <c r="O81" s="15">
        <v>0</v>
      </c>
      <c r="P81" s="15">
        <v>0</v>
      </c>
      <c r="Q81" s="15">
        <v>0</v>
      </c>
      <c r="R81" s="15">
        <v>242</v>
      </c>
      <c r="S81" s="15">
        <v>147.64</v>
      </c>
      <c r="T81" s="15">
        <v>389.64</v>
      </c>
      <c r="U81" s="15">
        <v>2</v>
      </c>
      <c r="V81" s="15">
        <v>1</v>
      </c>
      <c r="W81" s="15">
        <v>1</v>
      </c>
      <c r="X81" s="15">
        <v>0.0202</v>
      </c>
      <c r="Y81" s="15">
        <v>1.95</v>
      </c>
      <c r="Z81" s="15">
        <v>1.95</v>
      </c>
      <c r="AA81" s="15">
        <v>100</v>
      </c>
      <c r="AB81" s="15">
        <v>17</v>
      </c>
      <c r="AC81" s="15">
        <v>7</v>
      </c>
      <c r="AD81" s="15">
        <v>10</v>
      </c>
      <c r="AE81" s="15">
        <v>0.17172</v>
      </c>
      <c r="AF81" s="15">
        <v>4</v>
      </c>
      <c r="AG81" s="15">
        <v>1</v>
      </c>
      <c r="AH81" s="15">
        <v>200</v>
      </c>
      <c r="AI81" s="15">
        <v>22</v>
      </c>
      <c r="AJ81" s="15">
        <v>9.09</v>
      </c>
      <c r="AK81" s="15">
        <v>21</v>
      </c>
      <c r="AL81" s="15">
        <v>9.52</v>
      </c>
      <c r="AM81" s="15">
        <v>5</v>
      </c>
      <c r="AN81" s="15">
        <v>50</v>
      </c>
      <c r="AO81" s="15">
        <v>0.0404</v>
      </c>
      <c r="AP81" s="15">
        <v>11.76</v>
      </c>
      <c r="AQ81" s="15">
        <v>3</v>
      </c>
      <c r="AR81" s="15">
        <v>456</v>
      </c>
      <c r="AS81" s="15">
        <v>3</v>
      </c>
      <c r="AT81" s="15">
        <v>1</v>
      </c>
      <c r="AU81" s="15">
        <v>0</v>
      </c>
      <c r="AV81" s="15">
        <v>0</v>
      </c>
      <c r="AW81" s="15">
        <v>0</v>
      </c>
      <c r="AX81" s="15">
        <v>4</v>
      </c>
      <c r="AY81" s="15">
        <v>618</v>
      </c>
      <c r="AZ81" s="15">
        <v>123</v>
      </c>
      <c r="BA81" s="15">
        <v>74</v>
      </c>
      <c r="BB81" s="15">
        <v>0.60163</v>
      </c>
      <c r="BC81" s="15">
        <v>0</v>
      </c>
      <c r="BD81" s="15">
        <v>0</v>
      </c>
      <c r="BE81" s="15">
        <v>0.23981</v>
      </c>
      <c r="BF81" s="15">
        <v>363</v>
      </c>
      <c r="BG81" s="15">
        <v>5</v>
      </c>
      <c r="BH81" s="15">
        <v>2</v>
      </c>
      <c r="BI81" s="15">
        <v>1</v>
      </c>
      <c r="BJ81" s="15">
        <v>0</v>
      </c>
      <c r="BK81" s="15">
        <v>0</v>
      </c>
      <c r="BL81" s="15">
        <v>0</v>
      </c>
      <c r="BM81" s="15">
        <v>2</v>
      </c>
      <c r="BN81" s="15">
        <v>1</v>
      </c>
      <c r="BO81" s="15">
        <v>194.82</v>
      </c>
      <c r="BP81" s="15">
        <v>27.28</v>
      </c>
      <c r="BQ81" s="15">
        <v>543</v>
      </c>
    </row>
    <row r="82" spans="1:69">
      <c r="A82" s="16">
        <v>46092</v>
      </c>
      <c r="B82" s="15">
        <v>183</v>
      </c>
      <c r="C82" s="15" t="s">
        <v>40</v>
      </c>
      <c r="D82" s="15">
        <v>183</v>
      </c>
      <c r="E82" s="15" t="s">
        <v>40</v>
      </c>
      <c r="F82" s="15">
        <v>2871</v>
      </c>
      <c r="G82" s="15">
        <v>91</v>
      </c>
      <c r="H82" s="15">
        <v>196.48</v>
      </c>
      <c r="I82" s="15">
        <v>0.0317</v>
      </c>
      <c r="J82" s="15">
        <v>2.16</v>
      </c>
      <c r="K82" s="15">
        <v>68.44</v>
      </c>
      <c r="L82" s="15">
        <v>0</v>
      </c>
      <c r="M82" s="15">
        <v>0</v>
      </c>
      <c r="N82" s="15">
        <v>0</v>
      </c>
      <c r="O82" s="15">
        <v>0</v>
      </c>
      <c r="P82" s="15">
        <v>0</v>
      </c>
      <c r="Q82" s="15">
        <v>0</v>
      </c>
      <c r="R82" s="15">
        <v>151</v>
      </c>
      <c r="S82" s="15">
        <v>298.1</v>
      </c>
      <c r="T82" s="15">
        <v>449.1</v>
      </c>
      <c r="U82" s="15">
        <v>2</v>
      </c>
      <c r="V82" s="15">
        <v>1</v>
      </c>
      <c r="W82" s="15">
        <v>1</v>
      </c>
      <c r="X82" s="15">
        <v>0.02198</v>
      </c>
      <c r="Y82" s="15">
        <v>2.29</v>
      </c>
      <c r="Z82" s="15">
        <v>2.29</v>
      </c>
      <c r="AA82" s="15">
        <v>98.24</v>
      </c>
      <c r="AB82" s="15">
        <v>8</v>
      </c>
      <c r="AC82" s="15">
        <v>1</v>
      </c>
      <c r="AD82" s="15">
        <v>7</v>
      </c>
      <c r="AE82" s="15">
        <v>0.08791</v>
      </c>
      <c r="AF82" s="15">
        <v>1</v>
      </c>
      <c r="AG82" s="15">
        <v>0</v>
      </c>
      <c r="AH82" s="15"/>
      <c r="AI82" s="15">
        <v>9</v>
      </c>
      <c r="AJ82" s="15">
        <v>21.83</v>
      </c>
      <c r="AK82" s="15">
        <v>9</v>
      </c>
      <c r="AL82" s="15">
        <v>21.83</v>
      </c>
      <c r="AM82" s="15">
        <v>1</v>
      </c>
      <c r="AN82" s="15">
        <v>196.48</v>
      </c>
      <c r="AO82" s="15">
        <v>0.01099</v>
      </c>
      <c r="AP82" s="15">
        <v>24.56</v>
      </c>
      <c r="AQ82" s="15">
        <v>4</v>
      </c>
      <c r="AR82" s="15">
        <v>634.9</v>
      </c>
      <c r="AS82" s="15">
        <v>1</v>
      </c>
      <c r="AT82" s="15">
        <v>0</v>
      </c>
      <c r="AU82" s="15">
        <v>0</v>
      </c>
      <c r="AV82" s="15">
        <v>0</v>
      </c>
      <c r="AW82" s="15">
        <v>0</v>
      </c>
      <c r="AX82" s="15">
        <v>0</v>
      </c>
      <c r="AY82" s="15">
        <v>397</v>
      </c>
      <c r="AZ82" s="15">
        <v>132</v>
      </c>
      <c r="BA82" s="15">
        <v>100</v>
      </c>
      <c r="BB82" s="15">
        <v>0.75758</v>
      </c>
      <c r="BC82" s="15">
        <v>0</v>
      </c>
      <c r="BD82" s="15">
        <v>0</v>
      </c>
      <c r="BE82" s="15">
        <v>0.13828</v>
      </c>
      <c r="BF82" s="15">
        <v>185</v>
      </c>
      <c r="BG82" s="15">
        <v>3</v>
      </c>
      <c r="BH82" s="15">
        <v>2</v>
      </c>
      <c r="BI82" s="15">
        <v>1</v>
      </c>
      <c r="BJ82" s="15">
        <v>0</v>
      </c>
      <c r="BK82" s="15">
        <v>0</v>
      </c>
      <c r="BL82" s="15">
        <v>0</v>
      </c>
      <c r="BM82" s="15">
        <v>2</v>
      </c>
      <c r="BN82" s="15">
        <v>1</v>
      </c>
      <c r="BO82" s="15">
        <v>224.55</v>
      </c>
      <c r="BP82" s="15">
        <v>128.97</v>
      </c>
      <c r="BQ82" s="15">
        <v>791</v>
      </c>
    </row>
    <row r="83" spans="1:69">
      <c r="A83" s="16">
        <v>46092</v>
      </c>
      <c r="B83" s="15">
        <v>371</v>
      </c>
      <c r="C83" s="15" t="s">
        <v>32</v>
      </c>
      <c r="D83" s="15">
        <v>371</v>
      </c>
      <c r="E83" s="15" t="s">
        <v>32</v>
      </c>
      <c r="F83" s="15">
        <v>5031</v>
      </c>
      <c r="G83" s="15">
        <v>113</v>
      </c>
      <c r="H83" s="15">
        <v>33.23</v>
      </c>
      <c r="I83" s="15">
        <v>0.02246</v>
      </c>
      <c r="J83" s="15">
        <v>0.29</v>
      </c>
      <c r="K83" s="15">
        <v>6.61</v>
      </c>
      <c r="L83" s="15">
        <v>0</v>
      </c>
      <c r="M83" s="15">
        <v>0</v>
      </c>
      <c r="N83" s="15">
        <v>0</v>
      </c>
      <c r="O83" s="15">
        <v>0</v>
      </c>
      <c r="P83" s="15">
        <v>0</v>
      </c>
      <c r="Q83" s="15">
        <v>0</v>
      </c>
      <c r="R83" s="15">
        <v>0</v>
      </c>
      <c r="S83" s="15">
        <v>397.9</v>
      </c>
      <c r="T83" s="15">
        <v>397.9</v>
      </c>
      <c r="U83" s="15">
        <v>2</v>
      </c>
      <c r="V83" s="15">
        <v>0</v>
      </c>
      <c r="W83" s="15">
        <v>2</v>
      </c>
      <c r="X83" s="15">
        <v>0.0177</v>
      </c>
      <c r="Y83" s="15">
        <v>11.97</v>
      </c>
      <c r="Z83" s="15">
        <v>11.97</v>
      </c>
      <c r="AA83" s="15">
        <v>16.62</v>
      </c>
      <c r="AB83" s="15">
        <v>7</v>
      </c>
      <c r="AC83" s="15">
        <v>2</v>
      </c>
      <c r="AD83" s="15">
        <v>5</v>
      </c>
      <c r="AE83" s="15">
        <v>0.06195</v>
      </c>
      <c r="AF83" s="15">
        <v>2</v>
      </c>
      <c r="AG83" s="15">
        <v>3</v>
      </c>
      <c r="AH83" s="15">
        <v>11.08</v>
      </c>
      <c r="AI83" s="15">
        <v>12</v>
      </c>
      <c r="AJ83" s="15">
        <v>2.77</v>
      </c>
      <c r="AK83" s="15">
        <v>9</v>
      </c>
      <c r="AL83" s="15">
        <v>3.69</v>
      </c>
      <c r="AM83" s="15">
        <v>5</v>
      </c>
      <c r="AN83" s="15">
        <v>16.62</v>
      </c>
      <c r="AO83" s="15">
        <v>0.0177</v>
      </c>
      <c r="AP83" s="15">
        <v>4.75</v>
      </c>
      <c r="AQ83" s="15">
        <v>4</v>
      </c>
      <c r="AR83" s="15">
        <v>559.8</v>
      </c>
      <c r="AS83" s="15">
        <v>0</v>
      </c>
      <c r="AT83" s="15">
        <v>2</v>
      </c>
      <c r="AU83" s="15">
        <v>0</v>
      </c>
      <c r="AV83" s="15">
        <v>0</v>
      </c>
      <c r="AW83" s="15">
        <v>0</v>
      </c>
      <c r="AX83" s="15">
        <v>2</v>
      </c>
      <c r="AY83" s="15">
        <v>356</v>
      </c>
      <c r="AZ83" s="15">
        <v>105</v>
      </c>
      <c r="BA83" s="15">
        <v>95</v>
      </c>
      <c r="BB83" s="15">
        <v>0.90476</v>
      </c>
      <c r="BC83" s="15">
        <v>0</v>
      </c>
      <c r="BD83" s="15">
        <v>0</v>
      </c>
      <c r="BE83" s="15">
        <v>0.07076</v>
      </c>
      <c r="BF83" s="15">
        <v>230</v>
      </c>
      <c r="BG83" s="15">
        <v>3</v>
      </c>
      <c r="BH83" s="15">
        <v>0</v>
      </c>
      <c r="BI83" s="15">
        <v>0</v>
      </c>
      <c r="BJ83" s="15">
        <v>0</v>
      </c>
      <c r="BK83" s="15">
        <v>0</v>
      </c>
      <c r="BL83" s="15">
        <v>0</v>
      </c>
      <c r="BM83" s="15">
        <v>1</v>
      </c>
      <c r="BN83" s="15">
        <v>2</v>
      </c>
      <c r="BO83" s="15">
        <v>397.9</v>
      </c>
      <c r="BP83" s="15">
        <v>2.52</v>
      </c>
      <c r="BQ83" s="15">
        <v>1076</v>
      </c>
    </row>
    <row r="84" spans="1:69">
      <c r="A84" s="16">
        <v>46092</v>
      </c>
      <c r="B84" s="15">
        <v>479</v>
      </c>
      <c r="C84" s="15" t="s">
        <v>39</v>
      </c>
      <c r="D84" s="15">
        <v>479</v>
      </c>
      <c r="E84" s="15" t="s">
        <v>39</v>
      </c>
      <c r="F84" s="15">
        <v>101</v>
      </c>
      <c r="G84" s="15">
        <v>67</v>
      </c>
      <c r="H84" s="15">
        <v>30.22</v>
      </c>
      <c r="I84" s="15">
        <v>0.66337</v>
      </c>
      <c r="J84" s="15">
        <v>0.45</v>
      </c>
      <c r="K84" s="15">
        <v>299.2</v>
      </c>
      <c r="L84" s="15">
        <v>0</v>
      </c>
      <c r="M84" s="15">
        <v>0</v>
      </c>
      <c r="N84" s="15">
        <v>0</v>
      </c>
      <c r="O84" s="15">
        <v>0</v>
      </c>
      <c r="P84" s="15">
        <v>0</v>
      </c>
      <c r="Q84" s="15">
        <v>0</v>
      </c>
      <c r="R84" s="15">
        <v>0</v>
      </c>
      <c r="S84" s="15">
        <v>567.4</v>
      </c>
      <c r="T84" s="15">
        <v>567.4</v>
      </c>
      <c r="U84" s="15">
        <v>4</v>
      </c>
      <c r="V84" s="15">
        <v>0</v>
      </c>
      <c r="W84" s="15">
        <v>4</v>
      </c>
      <c r="X84" s="15">
        <v>0.0597</v>
      </c>
      <c r="Y84" s="15">
        <v>18.78</v>
      </c>
      <c r="Z84" s="15">
        <v>18.78</v>
      </c>
      <c r="AA84" s="15">
        <v>7.55</v>
      </c>
      <c r="AB84" s="15">
        <v>19</v>
      </c>
      <c r="AC84" s="15">
        <v>0</v>
      </c>
      <c r="AD84" s="15">
        <v>19</v>
      </c>
      <c r="AE84" s="15">
        <v>0.28358</v>
      </c>
      <c r="AF84" s="15">
        <v>1</v>
      </c>
      <c r="AG84" s="15">
        <v>5</v>
      </c>
      <c r="AH84" s="15">
        <v>6.04</v>
      </c>
      <c r="AI84" s="15">
        <v>25</v>
      </c>
      <c r="AJ84" s="15">
        <v>1.21</v>
      </c>
      <c r="AK84" s="15">
        <v>20</v>
      </c>
      <c r="AL84" s="15">
        <v>1.51</v>
      </c>
      <c r="AM84" s="15">
        <v>6</v>
      </c>
      <c r="AN84" s="15">
        <v>30.22</v>
      </c>
      <c r="AO84" s="15">
        <v>0.01493</v>
      </c>
      <c r="AP84" s="15">
        <v>1.59</v>
      </c>
      <c r="AQ84" s="15">
        <v>7</v>
      </c>
      <c r="AR84" s="15">
        <v>690.9</v>
      </c>
      <c r="AS84" s="15">
        <v>0</v>
      </c>
      <c r="AT84" s="15">
        <v>1</v>
      </c>
      <c r="AU84" s="15">
        <v>0</v>
      </c>
      <c r="AV84" s="15">
        <v>0</v>
      </c>
      <c r="AW84" s="15">
        <v>0</v>
      </c>
      <c r="AX84" s="15">
        <v>2</v>
      </c>
      <c r="AY84" s="15">
        <v>744</v>
      </c>
      <c r="AZ84" s="15">
        <v>57</v>
      </c>
      <c r="BA84" s="15">
        <v>48</v>
      </c>
      <c r="BB84" s="15">
        <v>0.84211</v>
      </c>
      <c r="BC84" s="15">
        <v>0</v>
      </c>
      <c r="BD84" s="15">
        <v>0</v>
      </c>
      <c r="BE84" s="15">
        <v>7.36634</v>
      </c>
      <c r="BF84" s="15">
        <v>673</v>
      </c>
      <c r="BG84" s="15">
        <v>13</v>
      </c>
      <c r="BH84" s="15">
        <v>3</v>
      </c>
      <c r="BI84" s="15">
        <v>1</v>
      </c>
      <c r="BJ84" s="15">
        <v>0</v>
      </c>
      <c r="BK84" s="15">
        <v>0</v>
      </c>
      <c r="BL84" s="15">
        <v>0</v>
      </c>
      <c r="BM84" s="15">
        <v>3</v>
      </c>
      <c r="BN84" s="15">
        <v>1</v>
      </c>
      <c r="BO84" s="15">
        <v>189.13</v>
      </c>
      <c r="BP84" s="15">
        <v>198.66</v>
      </c>
      <c r="BQ84" s="15">
        <v>428</v>
      </c>
    </row>
    <row r="85" spans="1:69">
      <c r="A85" s="16">
        <v>46092</v>
      </c>
      <c r="B85" s="15">
        <v>436</v>
      </c>
      <c r="C85" s="15" t="s">
        <v>38</v>
      </c>
      <c r="D85" s="15">
        <v>436</v>
      </c>
      <c r="E85" s="15" t="s">
        <v>38</v>
      </c>
      <c r="F85" s="15">
        <v>817</v>
      </c>
      <c r="G85" s="15">
        <v>47</v>
      </c>
      <c r="H85" s="15">
        <v>77.6</v>
      </c>
      <c r="I85" s="15">
        <v>0.05753</v>
      </c>
      <c r="J85" s="15">
        <v>1.65</v>
      </c>
      <c r="K85" s="15">
        <v>94.98</v>
      </c>
      <c r="L85" s="15">
        <v>0</v>
      </c>
      <c r="M85" s="15">
        <v>0</v>
      </c>
      <c r="N85" s="15">
        <v>0</v>
      </c>
      <c r="O85" s="15">
        <v>0</v>
      </c>
      <c r="P85" s="15">
        <v>0</v>
      </c>
      <c r="Q85" s="15">
        <v>0</v>
      </c>
      <c r="R85" s="15">
        <v>0</v>
      </c>
      <c r="S85" s="15">
        <v>0</v>
      </c>
      <c r="T85" s="15">
        <v>0</v>
      </c>
      <c r="U85" s="15">
        <v>0</v>
      </c>
      <c r="V85" s="15">
        <v>0</v>
      </c>
      <c r="W85" s="15">
        <v>0</v>
      </c>
      <c r="X85" s="15">
        <v>0</v>
      </c>
      <c r="Y85" s="15">
        <v>0</v>
      </c>
      <c r="Z85" s="15">
        <v>0</v>
      </c>
      <c r="AA85" s="15"/>
      <c r="AB85" s="15">
        <v>10</v>
      </c>
      <c r="AC85" s="15">
        <v>2</v>
      </c>
      <c r="AD85" s="15">
        <v>8</v>
      </c>
      <c r="AE85" s="15">
        <v>0.21277</v>
      </c>
      <c r="AF85" s="15">
        <v>0</v>
      </c>
      <c r="AG85" s="15">
        <v>4</v>
      </c>
      <c r="AH85" s="15">
        <v>19.4</v>
      </c>
      <c r="AI85" s="15">
        <v>14</v>
      </c>
      <c r="AJ85" s="15">
        <v>5.54</v>
      </c>
      <c r="AK85" s="15">
        <v>10</v>
      </c>
      <c r="AL85" s="15">
        <v>7.76</v>
      </c>
      <c r="AM85" s="15">
        <v>4</v>
      </c>
      <c r="AN85" s="15"/>
      <c r="AO85" s="15">
        <v>0</v>
      </c>
      <c r="AP85" s="15">
        <v>7.76</v>
      </c>
      <c r="AQ85" s="15">
        <v>0</v>
      </c>
      <c r="AR85" s="15">
        <v>0</v>
      </c>
      <c r="AS85" s="15">
        <v>0</v>
      </c>
      <c r="AT85" s="15">
        <v>0</v>
      </c>
      <c r="AU85" s="15">
        <v>0</v>
      </c>
      <c r="AV85" s="15">
        <v>0</v>
      </c>
      <c r="AW85" s="15">
        <v>0</v>
      </c>
      <c r="AX85" s="15">
        <v>0</v>
      </c>
      <c r="AY85" s="15">
        <v>218</v>
      </c>
      <c r="AZ85" s="15">
        <v>44</v>
      </c>
      <c r="BA85" s="15">
        <v>34</v>
      </c>
      <c r="BB85" s="15">
        <v>0.77273</v>
      </c>
      <c r="BC85" s="15">
        <v>0</v>
      </c>
      <c r="BD85" s="15">
        <v>0</v>
      </c>
      <c r="BE85" s="15">
        <v>0.26683</v>
      </c>
      <c r="BF85" s="15">
        <v>170</v>
      </c>
      <c r="BG85" s="15">
        <v>5</v>
      </c>
      <c r="BH85" s="15">
        <v>0</v>
      </c>
      <c r="BI85" s="15"/>
      <c r="BJ85" s="15">
        <v>0</v>
      </c>
      <c r="BK85" s="15">
        <v>0</v>
      </c>
      <c r="BL85" s="15">
        <v>0</v>
      </c>
      <c r="BM85" s="15">
        <v>0</v>
      </c>
      <c r="BN85" s="15"/>
      <c r="BO85" s="15"/>
      <c r="BP85" s="15">
        <v>3.56</v>
      </c>
      <c r="BQ85" s="15">
        <v>95</v>
      </c>
    </row>
    <row r="86" spans="1:69">
      <c r="A86" s="16">
        <v>46091</v>
      </c>
      <c r="B86" s="15">
        <v>479</v>
      </c>
      <c r="C86" s="15" t="s">
        <v>39</v>
      </c>
      <c r="D86" s="15">
        <v>479</v>
      </c>
      <c r="E86" s="15" t="s">
        <v>39</v>
      </c>
      <c r="F86" s="15">
        <v>111</v>
      </c>
      <c r="G86" s="15">
        <v>53</v>
      </c>
      <c r="H86" s="15">
        <v>33.69</v>
      </c>
      <c r="I86" s="15">
        <v>0.47748</v>
      </c>
      <c r="J86" s="15">
        <v>0.64</v>
      </c>
      <c r="K86" s="15">
        <v>303.5</v>
      </c>
      <c r="L86" s="15">
        <v>0</v>
      </c>
      <c r="M86" s="15">
        <v>0</v>
      </c>
      <c r="N86" s="15">
        <v>0</v>
      </c>
      <c r="O86" s="15">
        <v>0</v>
      </c>
      <c r="P86" s="15">
        <v>0</v>
      </c>
      <c r="Q86" s="15">
        <v>0</v>
      </c>
      <c r="R86" s="15">
        <v>0</v>
      </c>
      <c r="S86" s="15">
        <v>269</v>
      </c>
      <c r="T86" s="15">
        <v>269</v>
      </c>
      <c r="U86" s="15">
        <v>1</v>
      </c>
      <c r="V86" s="15">
        <v>0</v>
      </c>
      <c r="W86" s="15">
        <v>1</v>
      </c>
      <c r="X86" s="15">
        <v>0.01887</v>
      </c>
      <c r="Y86" s="15">
        <v>7.98</v>
      </c>
      <c r="Z86" s="15">
        <v>7.98</v>
      </c>
      <c r="AA86" s="15">
        <v>33.69</v>
      </c>
      <c r="AB86" s="15">
        <v>12</v>
      </c>
      <c r="AC86" s="15">
        <v>0</v>
      </c>
      <c r="AD86" s="15">
        <v>12</v>
      </c>
      <c r="AE86" s="15">
        <v>0.22642</v>
      </c>
      <c r="AF86" s="15">
        <v>2</v>
      </c>
      <c r="AG86" s="15">
        <v>4</v>
      </c>
      <c r="AH86" s="15">
        <v>8.42</v>
      </c>
      <c r="AI86" s="15">
        <v>18</v>
      </c>
      <c r="AJ86" s="15">
        <v>1.87</v>
      </c>
      <c r="AK86" s="15">
        <v>14</v>
      </c>
      <c r="AL86" s="15">
        <v>2.41</v>
      </c>
      <c r="AM86" s="15">
        <v>6</v>
      </c>
      <c r="AN86" s="15">
        <v>16.84</v>
      </c>
      <c r="AO86" s="15">
        <v>0.03774</v>
      </c>
      <c r="AP86" s="15">
        <v>2.81</v>
      </c>
      <c r="AQ86" s="15">
        <v>3</v>
      </c>
      <c r="AR86" s="15">
        <v>368.8</v>
      </c>
      <c r="AS86" s="15">
        <v>0</v>
      </c>
      <c r="AT86" s="15">
        <v>2</v>
      </c>
      <c r="AU86" s="15">
        <v>0</v>
      </c>
      <c r="AV86" s="15">
        <v>0</v>
      </c>
      <c r="AW86" s="15">
        <v>0</v>
      </c>
      <c r="AX86" s="15">
        <v>2</v>
      </c>
      <c r="AY86" s="15">
        <v>487</v>
      </c>
      <c r="AZ86" s="15">
        <v>45</v>
      </c>
      <c r="BA86" s="15">
        <v>39</v>
      </c>
      <c r="BB86" s="15">
        <v>0.86667</v>
      </c>
      <c r="BC86" s="15">
        <v>0</v>
      </c>
      <c r="BD86" s="15">
        <v>0</v>
      </c>
      <c r="BE86" s="15">
        <v>4.38739</v>
      </c>
      <c r="BF86" s="15">
        <v>430</v>
      </c>
      <c r="BG86" s="15">
        <v>11</v>
      </c>
      <c r="BH86" s="15">
        <v>1</v>
      </c>
      <c r="BI86" s="15">
        <v>1</v>
      </c>
      <c r="BJ86" s="15">
        <v>0</v>
      </c>
      <c r="BK86" s="15">
        <v>0</v>
      </c>
      <c r="BL86" s="15">
        <v>0</v>
      </c>
      <c r="BM86" s="15">
        <v>1</v>
      </c>
      <c r="BN86" s="15">
        <v>1</v>
      </c>
      <c r="BO86" s="15">
        <v>269</v>
      </c>
      <c r="BP86" s="15">
        <v>29.92</v>
      </c>
      <c r="BQ86" s="15">
        <v>441</v>
      </c>
    </row>
    <row r="87" spans="1:69">
      <c r="A87" s="16">
        <v>46091</v>
      </c>
      <c r="B87" s="15">
        <v>436</v>
      </c>
      <c r="C87" s="15" t="s">
        <v>38</v>
      </c>
      <c r="D87" s="15">
        <v>436</v>
      </c>
      <c r="E87" s="15" t="s">
        <v>38</v>
      </c>
      <c r="F87" s="15">
        <v>754</v>
      </c>
      <c r="G87" s="15">
        <v>36</v>
      </c>
      <c r="H87" s="15">
        <v>80</v>
      </c>
      <c r="I87" s="15">
        <v>0.04775</v>
      </c>
      <c r="J87" s="15">
        <v>2.22</v>
      </c>
      <c r="K87" s="15">
        <v>106.1</v>
      </c>
      <c r="L87" s="15">
        <v>0</v>
      </c>
      <c r="M87" s="15">
        <v>0</v>
      </c>
      <c r="N87" s="15">
        <v>0</v>
      </c>
      <c r="O87" s="15">
        <v>0</v>
      </c>
      <c r="P87" s="15">
        <v>0</v>
      </c>
      <c r="Q87" s="15">
        <v>0</v>
      </c>
      <c r="R87" s="15">
        <v>0</v>
      </c>
      <c r="S87" s="15">
        <v>99</v>
      </c>
      <c r="T87" s="15">
        <v>99</v>
      </c>
      <c r="U87" s="15">
        <v>1</v>
      </c>
      <c r="V87" s="15">
        <v>0</v>
      </c>
      <c r="W87" s="15">
        <v>1</v>
      </c>
      <c r="X87" s="15">
        <v>0.02778</v>
      </c>
      <c r="Y87" s="15">
        <v>1.24</v>
      </c>
      <c r="Z87" s="15">
        <v>1.24</v>
      </c>
      <c r="AA87" s="15">
        <v>80</v>
      </c>
      <c r="AB87" s="15">
        <v>11</v>
      </c>
      <c r="AC87" s="15">
        <v>0</v>
      </c>
      <c r="AD87" s="15">
        <v>11</v>
      </c>
      <c r="AE87" s="15">
        <v>0.30556</v>
      </c>
      <c r="AF87" s="15">
        <v>1</v>
      </c>
      <c r="AG87" s="15">
        <v>0</v>
      </c>
      <c r="AH87" s="15"/>
      <c r="AI87" s="15">
        <v>12</v>
      </c>
      <c r="AJ87" s="15">
        <v>6.67</v>
      </c>
      <c r="AK87" s="15">
        <v>12</v>
      </c>
      <c r="AL87" s="15">
        <v>6.67</v>
      </c>
      <c r="AM87" s="15">
        <v>1</v>
      </c>
      <c r="AN87" s="15">
        <v>80</v>
      </c>
      <c r="AO87" s="15">
        <v>0.02778</v>
      </c>
      <c r="AP87" s="15">
        <v>7.27</v>
      </c>
      <c r="AQ87" s="15">
        <v>2</v>
      </c>
      <c r="AR87" s="15">
        <v>118</v>
      </c>
      <c r="AS87" s="15">
        <v>0</v>
      </c>
      <c r="AT87" s="15">
        <v>1</v>
      </c>
      <c r="AU87" s="15">
        <v>0</v>
      </c>
      <c r="AV87" s="15">
        <v>0</v>
      </c>
      <c r="AW87" s="15">
        <v>0</v>
      </c>
      <c r="AX87" s="15">
        <v>2</v>
      </c>
      <c r="AY87" s="15">
        <v>165</v>
      </c>
      <c r="AZ87" s="15">
        <v>33</v>
      </c>
      <c r="BA87" s="15">
        <v>20</v>
      </c>
      <c r="BB87" s="15">
        <v>0.60606</v>
      </c>
      <c r="BC87" s="15">
        <v>0</v>
      </c>
      <c r="BD87" s="15">
        <v>0</v>
      </c>
      <c r="BE87" s="15">
        <v>0.21883</v>
      </c>
      <c r="BF87" s="15">
        <v>126</v>
      </c>
      <c r="BG87" s="15">
        <v>5</v>
      </c>
      <c r="BH87" s="15">
        <v>0</v>
      </c>
      <c r="BI87" s="15">
        <v>0</v>
      </c>
      <c r="BJ87" s="15">
        <v>0</v>
      </c>
      <c r="BK87" s="15">
        <v>0</v>
      </c>
      <c r="BL87" s="15">
        <v>0</v>
      </c>
      <c r="BM87" s="15">
        <v>1</v>
      </c>
      <c r="BN87" s="15">
        <v>1</v>
      </c>
      <c r="BO87" s="15">
        <v>99</v>
      </c>
      <c r="BP87" s="15">
        <v>2.05</v>
      </c>
      <c r="BQ87" s="15">
        <v>282</v>
      </c>
    </row>
    <row r="88" spans="1:69">
      <c r="A88" s="16">
        <v>46091</v>
      </c>
      <c r="B88" s="15">
        <v>371</v>
      </c>
      <c r="C88" s="15" t="s">
        <v>32</v>
      </c>
      <c r="D88" s="15">
        <v>371</v>
      </c>
      <c r="E88" s="15" t="s">
        <v>32</v>
      </c>
      <c r="F88" s="15">
        <v>5130</v>
      </c>
      <c r="G88" s="15">
        <v>102</v>
      </c>
      <c r="H88" s="15">
        <v>29.09</v>
      </c>
      <c r="I88" s="15">
        <v>0.01988</v>
      </c>
      <c r="J88" s="15">
        <v>0.29</v>
      </c>
      <c r="K88" s="15">
        <v>5.67</v>
      </c>
      <c r="L88" s="15">
        <v>0</v>
      </c>
      <c r="M88" s="15">
        <v>0</v>
      </c>
      <c r="N88" s="15">
        <v>0</v>
      </c>
      <c r="O88" s="15">
        <v>0</v>
      </c>
      <c r="P88" s="15">
        <v>0</v>
      </c>
      <c r="Q88" s="15">
        <v>0</v>
      </c>
      <c r="R88" s="15">
        <v>0</v>
      </c>
      <c r="S88" s="15">
        <v>0</v>
      </c>
      <c r="T88" s="15">
        <v>0</v>
      </c>
      <c r="U88" s="15">
        <v>0</v>
      </c>
      <c r="V88" s="15">
        <v>0</v>
      </c>
      <c r="W88" s="15">
        <v>0</v>
      </c>
      <c r="X88" s="15">
        <v>0</v>
      </c>
      <c r="Y88" s="15">
        <v>0</v>
      </c>
      <c r="Z88" s="15">
        <v>0</v>
      </c>
      <c r="AA88" s="15"/>
      <c r="AB88" s="15">
        <v>7</v>
      </c>
      <c r="AC88" s="15">
        <v>1</v>
      </c>
      <c r="AD88" s="15">
        <v>6</v>
      </c>
      <c r="AE88" s="15">
        <v>0.06863</v>
      </c>
      <c r="AF88" s="15">
        <v>3</v>
      </c>
      <c r="AG88" s="15">
        <v>1</v>
      </c>
      <c r="AH88" s="15">
        <v>29.09</v>
      </c>
      <c r="AI88" s="15">
        <v>11</v>
      </c>
      <c r="AJ88" s="15">
        <v>2.64</v>
      </c>
      <c r="AK88" s="15">
        <v>10</v>
      </c>
      <c r="AL88" s="15">
        <v>2.91</v>
      </c>
      <c r="AM88" s="15">
        <v>4</v>
      </c>
      <c r="AN88" s="15">
        <v>9.7</v>
      </c>
      <c r="AO88" s="15">
        <v>0.02941</v>
      </c>
      <c r="AP88" s="15">
        <v>4.16</v>
      </c>
      <c r="AQ88" s="15">
        <v>0</v>
      </c>
      <c r="AR88" s="15">
        <v>0</v>
      </c>
      <c r="AS88" s="15">
        <v>0</v>
      </c>
      <c r="AT88" s="15">
        <v>3</v>
      </c>
      <c r="AU88" s="15">
        <v>0</v>
      </c>
      <c r="AV88" s="15">
        <v>0</v>
      </c>
      <c r="AW88" s="15">
        <v>0</v>
      </c>
      <c r="AX88" s="15">
        <v>2</v>
      </c>
      <c r="AY88" s="15">
        <v>343</v>
      </c>
      <c r="AZ88" s="15">
        <v>105</v>
      </c>
      <c r="BA88" s="15">
        <v>99</v>
      </c>
      <c r="BB88" s="15">
        <v>0.94286</v>
      </c>
      <c r="BC88" s="15">
        <v>0</v>
      </c>
      <c r="BD88" s="15">
        <v>0</v>
      </c>
      <c r="BE88" s="15">
        <v>0.06686</v>
      </c>
      <c r="BF88" s="15">
        <v>219</v>
      </c>
      <c r="BG88" s="15">
        <v>3</v>
      </c>
      <c r="BH88" s="15">
        <v>0</v>
      </c>
      <c r="BI88" s="15"/>
      <c r="BJ88" s="15">
        <v>0</v>
      </c>
      <c r="BK88" s="15">
        <v>0</v>
      </c>
      <c r="BL88" s="15">
        <v>0</v>
      </c>
      <c r="BM88" s="15">
        <v>0</v>
      </c>
      <c r="BN88" s="15"/>
      <c r="BO88" s="15"/>
      <c r="BP88" s="15">
        <v>1.13</v>
      </c>
      <c r="BQ88" s="15">
        <v>642</v>
      </c>
    </row>
    <row r="89" spans="1:69">
      <c r="A89" s="16">
        <v>46091</v>
      </c>
      <c r="B89" s="15">
        <v>183</v>
      </c>
      <c r="C89" s="15" t="s">
        <v>40</v>
      </c>
      <c r="D89" s="15">
        <v>183</v>
      </c>
      <c r="E89" s="15" t="s">
        <v>40</v>
      </c>
      <c r="F89" s="15">
        <v>3651</v>
      </c>
      <c r="G89" s="15">
        <v>105</v>
      </c>
      <c r="H89" s="15">
        <v>200</v>
      </c>
      <c r="I89" s="15">
        <v>0.02876</v>
      </c>
      <c r="J89" s="15">
        <v>1.9</v>
      </c>
      <c r="K89" s="15">
        <v>54.78</v>
      </c>
      <c r="L89" s="15">
        <v>0</v>
      </c>
      <c r="M89" s="15">
        <v>0</v>
      </c>
      <c r="N89" s="15">
        <v>0</v>
      </c>
      <c r="O89" s="15">
        <v>0</v>
      </c>
      <c r="P89" s="15">
        <v>0</v>
      </c>
      <c r="Q89" s="15">
        <v>0</v>
      </c>
      <c r="R89" s="15">
        <v>0</v>
      </c>
      <c r="S89" s="15">
        <v>0</v>
      </c>
      <c r="T89" s="15">
        <v>0</v>
      </c>
      <c r="U89" s="15">
        <v>0</v>
      </c>
      <c r="V89" s="15">
        <v>0</v>
      </c>
      <c r="W89" s="15">
        <v>0</v>
      </c>
      <c r="X89" s="15">
        <v>0</v>
      </c>
      <c r="Y89" s="15">
        <v>0</v>
      </c>
      <c r="Z89" s="15">
        <v>0</v>
      </c>
      <c r="AA89" s="15"/>
      <c r="AB89" s="15">
        <v>12</v>
      </c>
      <c r="AC89" s="15">
        <v>5</v>
      </c>
      <c r="AD89" s="15">
        <v>7</v>
      </c>
      <c r="AE89" s="15">
        <v>0.11429</v>
      </c>
      <c r="AF89" s="15">
        <v>1</v>
      </c>
      <c r="AG89" s="15">
        <v>2</v>
      </c>
      <c r="AH89" s="15">
        <v>100</v>
      </c>
      <c r="AI89" s="15">
        <v>15</v>
      </c>
      <c r="AJ89" s="15">
        <v>13.33</v>
      </c>
      <c r="AK89" s="15">
        <v>13</v>
      </c>
      <c r="AL89" s="15">
        <v>15.38</v>
      </c>
      <c r="AM89" s="15">
        <v>3</v>
      </c>
      <c r="AN89" s="15">
        <v>200</v>
      </c>
      <c r="AO89" s="15">
        <v>0.00952</v>
      </c>
      <c r="AP89" s="15">
        <v>16.67</v>
      </c>
      <c r="AQ89" s="15">
        <v>0</v>
      </c>
      <c r="AR89" s="15">
        <v>0</v>
      </c>
      <c r="AS89" s="15">
        <v>1</v>
      </c>
      <c r="AT89" s="15">
        <v>0</v>
      </c>
      <c r="AU89" s="15">
        <v>0</v>
      </c>
      <c r="AV89" s="15">
        <v>0</v>
      </c>
      <c r="AW89" s="15">
        <v>0</v>
      </c>
      <c r="AX89" s="15">
        <v>0</v>
      </c>
      <c r="AY89" s="15">
        <v>712</v>
      </c>
      <c r="AZ89" s="15">
        <v>159</v>
      </c>
      <c r="BA89" s="15">
        <v>94</v>
      </c>
      <c r="BB89" s="15">
        <v>0.59119</v>
      </c>
      <c r="BC89" s="15">
        <v>0</v>
      </c>
      <c r="BD89" s="15">
        <v>0</v>
      </c>
      <c r="BE89" s="15">
        <v>0.19502</v>
      </c>
      <c r="BF89" s="15">
        <v>335</v>
      </c>
      <c r="BG89" s="15">
        <v>4</v>
      </c>
      <c r="BH89" s="15">
        <v>0</v>
      </c>
      <c r="BI89" s="15"/>
      <c r="BJ89" s="15">
        <v>0</v>
      </c>
      <c r="BK89" s="15">
        <v>0</v>
      </c>
      <c r="BL89" s="15">
        <v>0</v>
      </c>
      <c r="BM89" s="15">
        <v>0</v>
      </c>
      <c r="BN89" s="15"/>
      <c r="BO89" s="15"/>
      <c r="BP89" s="15">
        <v>6.05</v>
      </c>
      <c r="BQ89" s="15">
        <v>2037</v>
      </c>
    </row>
    <row r="90" spans="1:69">
      <c r="A90" s="16">
        <v>46090</v>
      </c>
      <c r="B90" s="15">
        <v>183</v>
      </c>
      <c r="C90" s="15" t="s">
        <v>40</v>
      </c>
      <c r="D90" s="15">
        <v>183</v>
      </c>
      <c r="E90" s="15" t="s">
        <v>40</v>
      </c>
      <c r="F90" s="15">
        <v>893</v>
      </c>
      <c r="G90" s="15">
        <v>60</v>
      </c>
      <c r="H90" s="15">
        <v>110.8</v>
      </c>
      <c r="I90" s="15">
        <v>0.06719</v>
      </c>
      <c r="J90" s="15">
        <v>1.85</v>
      </c>
      <c r="K90" s="15">
        <v>124.08</v>
      </c>
      <c r="L90" s="15">
        <v>0</v>
      </c>
      <c r="M90" s="15">
        <v>0</v>
      </c>
      <c r="N90" s="15">
        <v>0</v>
      </c>
      <c r="O90" s="15">
        <v>0</v>
      </c>
      <c r="P90" s="15">
        <v>0</v>
      </c>
      <c r="Q90" s="15">
        <v>0</v>
      </c>
      <c r="R90" s="15">
        <v>0</v>
      </c>
      <c r="S90" s="15">
        <v>311.7</v>
      </c>
      <c r="T90" s="15">
        <v>311.7</v>
      </c>
      <c r="U90" s="15">
        <v>3</v>
      </c>
      <c r="V90" s="15">
        <v>0</v>
      </c>
      <c r="W90" s="15">
        <v>3</v>
      </c>
      <c r="X90" s="15">
        <v>0.05</v>
      </c>
      <c r="Y90" s="15">
        <v>2.81</v>
      </c>
      <c r="Z90" s="15">
        <v>2.81</v>
      </c>
      <c r="AA90" s="15">
        <v>36.93</v>
      </c>
      <c r="AB90" s="15">
        <v>13</v>
      </c>
      <c r="AC90" s="15">
        <v>5</v>
      </c>
      <c r="AD90" s="15">
        <v>8</v>
      </c>
      <c r="AE90" s="15">
        <v>0.21667</v>
      </c>
      <c r="AF90" s="15">
        <v>3</v>
      </c>
      <c r="AG90" s="15">
        <v>2</v>
      </c>
      <c r="AH90" s="15">
        <v>55.4</v>
      </c>
      <c r="AI90" s="15">
        <v>18</v>
      </c>
      <c r="AJ90" s="15">
        <v>6.16</v>
      </c>
      <c r="AK90" s="15">
        <v>16</v>
      </c>
      <c r="AL90" s="15">
        <v>6.93</v>
      </c>
      <c r="AM90" s="15">
        <v>5</v>
      </c>
      <c r="AN90" s="15">
        <v>36.93</v>
      </c>
      <c r="AO90" s="15">
        <v>0.05</v>
      </c>
      <c r="AP90" s="15">
        <v>8.52</v>
      </c>
      <c r="AQ90" s="15">
        <v>4</v>
      </c>
      <c r="AR90" s="15">
        <v>574.9</v>
      </c>
      <c r="AS90" s="15">
        <v>2</v>
      </c>
      <c r="AT90" s="15">
        <v>1</v>
      </c>
      <c r="AU90" s="15">
        <v>0</v>
      </c>
      <c r="AV90" s="15">
        <v>0</v>
      </c>
      <c r="AW90" s="15">
        <v>0</v>
      </c>
      <c r="AX90" s="15">
        <v>2</v>
      </c>
      <c r="AY90" s="15">
        <v>565</v>
      </c>
      <c r="AZ90" s="15">
        <v>84</v>
      </c>
      <c r="BA90" s="15">
        <v>58</v>
      </c>
      <c r="BB90" s="15">
        <v>0.69048</v>
      </c>
      <c r="BC90" s="15">
        <v>0</v>
      </c>
      <c r="BD90" s="15">
        <v>0</v>
      </c>
      <c r="BE90" s="15">
        <v>0.6327</v>
      </c>
      <c r="BF90" s="15">
        <v>362</v>
      </c>
      <c r="BG90" s="15">
        <v>7</v>
      </c>
      <c r="BH90" s="15">
        <v>1</v>
      </c>
      <c r="BI90" s="15">
        <v>1</v>
      </c>
      <c r="BJ90" s="15">
        <v>0</v>
      </c>
      <c r="BK90" s="15">
        <v>0</v>
      </c>
      <c r="BL90" s="15">
        <v>0</v>
      </c>
      <c r="BM90" s="15">
        <v>1</v>
      </c>
      <c r="BN90" s="15">
        <v>3</v>
      </c>
      <c r="BO90" s="15">
        <v>311.7</v>
      </c>
      <c r="BP90" s="15">
        <v>78.19</v>
      </c>
      <c r="BQ90" s="15">
        <v>561</v>
      </c>
    </row>
    <row r="91" spans="1:69">
      <c r="A91" s="16">
        <v>46090</v>
      </c>
      <c r="B91" s="15">
        <v>371</v>
      </c>
      <c r="C91" s="15" t="s">
        <v>32</v>
      </c>
      <c r="D91" s="15">
        <v>371</v>
      </c>
      <c r="E91" s="15" t="s">
        <v>32</v>
      </c>
      <c r="F91" s="15">
        <v>4949</v>
      </c>
      <c r="G91" s="15">
        <v>120</v>
      </c>
      <c r="H91" s="15">
        <v>33.52</v>
      </c>
      <c r="I91" s="15">
        <v>0.02425</v>
      </c>
      <c r="J91" s="15">
        <v>0.28</v>
      </c>
      <c r="K91" s="15">
        <v>6.77</v>
      </c>
      <c r="L91" s="15">
        <v>0</v>
      </c>
      <c r="M91" s="15">
        <v>0</v>
      </c>
      <c r="N91" s="15">
        <v>0</v>
      </c>
      <c r="O91" s="15">
        <v>0</v>
      </c>
      <c r="P91" s="15">
        <v>0</v>
      </c>
      <c r="Q91" s="15">
        <v>0</v>
      </c>
      <c r="R91" s="15">
        <v>0</v>
      </c>
      <c r="S91" s="15">
        <v>0</v>
      </c>
      <c r="T91" s="15">
        <v>0</v>
      </c>
      <c r="U91" s="15">
        <v>0</v>
      </c>
      <c r="V91" s="15">
        <v>0</v>
      </c>
      <c r="W91" s="15">
        <v>0</v>
      </c>
      <c r="X91" s="15">
        <v>0</v>
      </c>
      <c r="Y91" s="15">
        <v>0</v>
      </c>
      <c r="Z91" s="15">
        <v>0</v>
      </c>
      <c r="AA91" s="15"/>
      <c r="AB91" s="15">
        <v>9</v>
      </c>
      <c r="AC91" s="15">
        <v>1</v>
      </c>
      <c r="AD91" s="15">
        <v>8</v>
      </c>
      <c r="AE91" s="15">
        <v>0.075</v>
      </c>
      <c r="AF91" s="15">
        <v>0</v>
      </c>
      <c r="AG91" s="15">
        <v>2</v>
      </c>
      <c r="AH91" s="15">
        <v>16.76</v>
      </c>
      <c r="AI91" s="15">
        <v>11</v>
      </c>
      <c r="AJ91" s="15">
        <v>3.05</v>
      </c>
      <c r="AK91" s="15">
        <v>9</v>
      </c>
      <c r="AL91" s="15">
        <v>3.72</v>
      </c>
      <c r="AM91" s="15">
        <v>2</v>
      </c>
      <c r="AN91" s="15"/>
      <c r="AO91" s="15">
        <v>0</v>
      </c>
      <c r="AP91" s="15">
        <v>3.72</v>
      </c>
      <c r="AQ91" s="15">
        <v>0</v>
      </c>
      <c r="AR91" s="15">
        <v>0</v>
      </c>
      <c r="AS91" s="15">
        <v>0</v>
      </c>
      <c r="AT91" s="15">
        <v>0</v>
      </c>
      <c r="AU91" s="15">
        <v>0</v>
      </c>
      <c r="AV91" s="15">
        <v>0</v>
      </c>
      <c r="AW91" s="15">
        <v>0</v>
      </c>
      <c r="AX91" s="15">
        <v>0</v>
      </c>
      <c r="AY91" s="15">
        <v>334</v>
      </c>
      <c r="AZ91" s="15">
        <v>100</v>
      </c>
      <c r="BA91" s="15">
        <v>87</v>
      </c>
      <c r="BB91" s="15">
        <v>0.87</v>
      </c>
      <c r="BC91" s="15">
        <v>0</v>
      </c>
      <c r="BD91" s="15">
        <v>0</v>
      </c>
      <c r="BE91" s="15">
        <v>0.06749</v>
      </c>
      <c r="BF91" s="15">
        <v>213</v>
      </c>
      <c r="BG91" s="15">
        <v>3</v>
      </c>
      <c r="BH91" s="15">
        <v>0</v>
      </c>
      <c r="BI91" s="15"/>
      <c r="BJ91" s="15">
        <v>0</v>
      </c>
      <c r="BK91" s="15">
        <v>0</v>
      </c>
      <c r="BL91" s="15">
        <v>0</v>
      </c>
      <c r="BM91" s="15">
        <v>0</v>
      </c>
      <c r="BN91" s="15"/>
      <c r="BO91" s="15"/>
      <c r="BP91" s="15">
        <v>0.4</v>
      </c>
      <c r="BQ91" s="15">
        <v>363</v>
      </c>
    </row>
    <row r="92" spans="1:69">
      <c r="A92" s="16">
        <v>46090</v>
      </c>
      <c r="B92" s="15">
        <v>436</v>
      </c>
      <c r="C92" s="15" t="s">
        <v>38</v>
      </c>
      <c r="D92" s="15">
        <v>436</v>
      </c>
      <c r="E92" s="15" t="s">
        <v>38</v>
      </c>
      <c r="F92" s="15">
        <v>701</v>
      </c>
      <c r="G92" s="15">
        <v>28</v>
      </c>
      <c r="H92" s="15">
        <v>80</v>
      </c>
      <c r="I92" s="15">
        <v>0.03994</v>
      </c>
      <c r="J92" s="15">
        <v>2.86</v>
      </c>
      <c r="K92" s="15">
        <v>114.12</v>
      </c>
      <c r="L92" s="15">
        <v>0</v>
      </c>
      <c r="M92" s="15">
        <v>0</v>
      </c>
      <c r="N92" s="15">
        <v>0</v>
      </c>
      <c r="O92" s="15">
        <v>0</v>
      </c>
      <c r="P92" s="15">
        <v>0</v>
      </c>
      <c r="Q92" s="15">
        <v>0</v>
      </c>
      <c r="R92" s="15">
        <v>0</v>
      </c>
      <c r="S92" s="15">
        <v>0</v>
      </c>
      <c r="T92" s="15">
        <v>0</v>
      </c>
      <c r="U92" s="15">
        <v>0</v>
      </c>
      <c r="V92" s="15">
        <v>0</v>
      </c>
      <c r="W92" s="15">
        <v>0</v>
      </c>
      <c r="X92" s="15">
        <v>0</v>
      </c>
      <c r="Y92" s="15">
        <v>0</v>
      </c>
      <c r="Z92" s="15">
        <v>0</v>
      </c>
      <c r="AA92" s="15"/>
      <c r="AB92" s="15">
        <v>10</v>
      </c>
      <c r="AC92" s="15">
        <v>0</v>
      </c>
      <c r="AD92" s="15">
        <v>10</v>
      </c>
      <c r="AE92" s="15">
        <v>0.35714</v>
      </c>
      <c r="AF92" s="15">
        <v>0</v>
      </c>
      <c r="AG92" s="15">
        <v>2</v>
      </c>
      <c r="AH92" s="15">
        <v>40</v>
      </c>
      <c r="AI92" s="15">
        <v>12</v>
      </c>
      <c r="AJ92" s="15">
        <v>6.67</v>
      </c>
      <c r="AK92" s="15">
        <v>10</v>
      </c>
      <c r="AL92" s="15">
        <v>8</v>
      </c>
      <c r="AM92" s="15">
        <v>2</v>
      </c>
      <c r="AN92" s="15"/>
      <c r="AO92" s="15">
        <v>0</v>
      </c>
      <c r="AP92" s="15">
        <v>8</v>
      </c>
      <c r="AQ92" s="15">
        <v>0</v>
      </c>
      <c r="AR92" s="15">
        <v>0</v>
      </c>
      <c r="AS92" s="15">
        <v>0</v>
      </c>
      <c r="AT92" s="15">
        <v>0</v>
      </c>
      <c r="AU92" s="15">
        <v>0</v>
      </c>
      <c r="AV92" s="15">
        <v>0</v>
      </c>
      <c r="AW92" s="15">
        <v>0</v>
      </c>
      <c r="AX92" s="15">
        <v>0</v>
      </c>
      <c r="AY92" s="15">
        <v>132</v>
      </c>
      <c r="AZ92" s="15">
        <v>24</v>
      </c>
      <c r="BA92" s="15">
        <v>21</v>
      </c>
      <c r="BB92" s="15">
        <v>0.875</v>
      </c>
      <c r="BC92" s="15">
        <v>0</v>
      </c>
      <c r="BD92" s="15">
        <v>0</v>
      </c>
      <c r="BE92" s="15">
        <v>0.1883</v>
      </c>
      <c r="BF92" s="15">
        <v>103</v>
      </c>
      <c r="BG92" s="15">
        <v>6</v>
      </c>
      <c r="BH92" s="15">
        <v>0</v>
      </c>
      <c r="BI92" s="15"/>
      <c r="BJ92" s="15">
        <v>0</v>
      </c>
      <c r="BK92" s="15">
        <v>0</v>
      </c>
      <c r="BL92" s="15">
        <v>0</v>
      </c>
      <c r="BM92" s="15">
        <v>0</v>
      </c>
      <c r="BN92" s="15"/>
      <c r="BO92" s="15"/>
      <c r="BP92" s="15">
        <v>1.47</v>
      </c>
      <c r="BQ92" s="15">
        <v>21</v>
      </c>
    </row>
    <row r="93" spans="1:69">
      <c r="A93" s="16">
        <v>46090</v>
      </c>
      <c r="B93" s="15">
        <v>479</v>
      </c>
      <c r="C93" s="15" t="s">
        <v>39</v>
      </c>
      <c r="D93" s="15">
        <v>479</v>
      </c>
      <c r="E93" s="15" t="s">
        <v>39</v>
      </c>
      <c r="F93" s="15">
        <v>144</v>
      </c>
      <c r="G93" s="15">
        <v>53</v>
      </c>
      <c r="H93" s="15">
        <v>42.33</v>
      </c>
      <c r="I93" s="15">
        <v>0.36806</v>
      </c>
      <c r="J93" s="15">
        <v>0.8</v>
      </c>
      <c r="K93" s="15">
        <v>293.94</v>
      </c>
      <c r="L93" s="15">
        <v>0</v>
      </c>
      <c r="M93" s="15">
        <v>0</v>
      </c>
      <c r="N93" s="15">
        <v>0</v>
      </c>
      <c r="O93" s="15">
        <v>0</v>
      </c>
      <c r="P93" s="15">
        <v>0</v>
      </c>
      <c r="Q93" s="15">
        <v>0</v>
      </c>
      <c r="R93" s="15">
        <v>0</v>
      </c>
      <c r="S93" s="15">
        <v>566.6</v>
      </c>
      <c r="T93" s="15">
        <v>566.6</v>
      </c>
      <c r="U93" s="15">
        <v>3</v>
      </c>
      <c r="V93" s="15">
        <v>0</v>
      </c>
      <c r="W93" s="15">
        <v>3</v>
      </c>
      <c r="X93" s="15">
        <v>0.0566</v>
      </c>
      <c r="Y93" s="15">
        <v>13.39</v>
      </c>
      <c r="Z93" s="15">
        <v>13.39</v>
      </c>
      <c r="AA93" s="15">
        <v>14.11</v>
      </c>
      <c r="AB93" s="15">
        <v>9</v>
      </c>
      <c r="AC93" s="15">
        <v>0</v>
      </c>
      <c r="AD93" s="15">
        <v>9</v>
      </c>
      <c r="AE93" s="15">
        <v>0.16981</v>
      </c>
      <c r="AF93" s="15">
        <v>1</v>
      </c>
      <c r="AG93" s="15">
        <v>3</v>
      </c>
      <c r="AH93" s="15">
        <v>14.11</v>
      </c>
      <c r="AI93" s="15">
        <v>13</v>
      </c>
      <c r="AJ93" s="15">
        <v>3.26</v>
      </c>
      <c r="AK93" s="15">
        <v>10</v>
      </c>
      <c r="AL93" s="15">
        <v>4.23</v>
      </c>
      <c r="AM93" s="15">
        <v>4</v>
      </c>
      <c r="AN93" s="15">
        <v>42.33</v>
      </c>
      <c r="AO93" s="15">
        <v>0.01887</v>
      </c>
      <c r="AP93" s="15">
        <v>4.7</v>
      </c>
      <c r="AQ93" s="15">
        <v>5</v>
      </c>
      <c r="AR93" s="15">
        <v>1077</v>
      </c>
      <c r="AS93" s="15">
        <v>0</v>
      </c>
      <c r="AT93" s="15">
        <v>1</v>
      </c>
      <c r="AU93" s="15">
        <v>0</v>
      </c>
      <c r="AV93" s="15">
        <v>0</v>
      </c>
      <c r="AW93" s="15">
        <v>0</v>
      </c>
      <c r="AX93" s="15">
        <v>1</v>
      </c>
      <c r="AY93" s="15">
        <v>528</v>
      </c>
      <c r="AZ93" s="15">
        <v>48</v>
      </c>
      <c r="BA93" s="15">
        <v>36</v>
      </c>
      <c r="BB93" s="15">
        <v>0.75</v>
      </c>
      <c r="BC93" s="15">
        <v>0</v>
      </c>
      <c r="BD93" s="15">
        <v>0</v>
      </c>
      <c r="BE93" s="15">
        <v>3.66667</v>
      </c>
      <c r="BF93" s="15">
        <v>472</v>
      </c>
      <c r="BG93" s="15">
        <v>11</v>
      </c>
      <c r="BH93" s="15">
        <v>2</v>
      </c>
      <c r="BI93" s="15">
        <v>1</v>
      </c>
      <c r="BJ93" s="15">
        <v>0</v>
      </c>
      <c r="BK93" s="15">
        <v>0</v>
      </c>
      <c r="BL93" s="15">
        <v>0</v>
      </c>
      <c r="BM93" s="15">
        <v>2</v>
      </c>
      <c r="BN93" s="15">
        <v>2</v>
      </c>
      <c r="BO93" s="15">
        <v>283.3</v>
      </c>
      <c r="BP93" s="15">
        <v>190.87</v>
      </c>
      <c r="BQ93" s="15">
        <v>640</v>
      </c>
    </row>
    <row r="94" spans="1:69">
      <c r="A94" s="16">
        <v>46089</v>
      </c>
      <c r="B94" s="15">
        <v>183</v>
      </c>
      <c r="C94" s="15" t="s">
        <v>40</v>
      </c>
      <c r="D94" s="15">
        <v>183</v>
      </c>
      <c r="E94" s="15" t="s">
        <v>40</v>
      </c>
      <c r="F94" s="15">
        <v>607</v>
      </c>
      <c r="G94" s="15">
        <v>62</v>
      </c>
      <c r="H94" s="15">
        <v>100</v>
      </c>
      <c r="I94" s="15">
        <v>0.10214</v>
      </c>
      <c r="J94" s="15">
        <v>1.61</v>
      </c>
      <c r="K94" s="15">
        <v>164.74</v>
      </c>
      <c r="L94" s="15">
        <v>0</v>
      </c>
      <c r="M94" s="15">
        <v>0</v>
      </c>
      <c r="N94" s="15">
        <v>0</v>
      </c>
      <c r="O94" s="15">
        <v>0</v>
      </c>
      <c r="P94" s="15">
        <v>0</v>
      </c>
      <c r="Q94" s="15">
        <v>0</v>
      </c>
      <c r="R94" s="15">
        <v>143.64</v>
      </c>
      <c r="S94" s="15">
        <v>226</v>
      </c>
      <c r="T94" s="15">
        <v>369.64</v>
      </c>
      <c r="U94" s="15">
        <v>2</v>
      </c>
      <c r="V94" s="15">
        <v>1</v>
      </c>
      <c r="W94" s="15">
        <v>1</v>
      </c>
      <c r="X94" s="15">
        <v>0.03226</v>
      </c>
      <c r="Y94" s="15">
        <v>3.7</v>
      </c>
      <c r="Z94" s="15">
        <v>3.7</v>
      </c>
      <c r="AA94" s="15">
        <v>50</v>
      </c>
      <c r="AB94" s="15">
        <v>17</v>
      </c>
      <c r="AC94" s="15">
        <v>13</v>
      </c>
      <c r="AD94" s="15">
        <v>4</v>
      </c>
      <c r="AE94" s="15">
        <v>0.27419</v>
      </c>
      <c r="AF94" s="15">
        <v>2</v>
      </c>
      <c r="AG94" s="15">
        <v>2</v>
      </c>
      <c r="AH94" s="15">
        <v>50</v>
      </c>
      <c r="AI94" s="15">
        <v>21</v>
      </c>
      <c r="AJ94" s="15">
        <v>4.76</v>
      </c>
      <c r="AK94" s="15">
        <v>19</v>
      </c>
      <c r="AL94" s="15">
        <v>5.26</v>
      </c>
      <c r="AM94" s="15">
        <v>4</v>
      </c>
      <c r="AN94" s="15">
        <v>50</v>
      </c>
      <c r="AO94" s="15">
        <v>0.03226</v>
      </c>
      <c r="AP94" s="15">
        <v>5.88</v>
      </c>
      <c r="AQ94" s="15">
        <v>3</v>
      </c>
      <c r="AR94" s="15">
        <v>633</v>
      </c>
      <c r="AS94" s="15">
        <v>1</v>
      </c>
      <c r="AT94" s="15">
        <v>1</v>
      </c>
      <c r="AU94" s="15">
        <v>0</v>
      </c>
      <c r="AV94" s="15">
        <v>0</v>
      </c>
      <c r="AW94" s="15">
        <v>0</v>
      </c>
      <c r="AX94" s="15">
        <v>3</v>
      </c>
      <c r="AY94" s="15">
        <v>427</v>
      </c>
      <c r="AZ94" s="15">
        <v>71</v>
      </c>
      <c r="BA94" s="15">
        <v>45</v>
      </c>
      <c r="BB94" s="15">
        <v>0.6338</v>
      </c>
      <c r="BC94" s="15">
        <v>0</v>
      </c>
      <c r="BD94" s="15">
        <v>0</v>
      </c>
      <c r="BE94" s="15">
        <v>0.70346</v>
      </c>
      <c r="BF94" s="15">
        <v>280</v>
      </c>
      <c r="BG94" s="15">
        <v>6</v>
      </c>
      <c r="BH94" s="15">
        <v>2</v>
      </c>
      <c r="BI94" s="15">
        <v>1</v>
      </c>
      <c r="BJ94" s="15">
        <v>0</v>
      </c>
      <c r="BK94" s="15">
        <v>0</v>
      </c>
      <c r="BL94" s="15">
        <v>0</v>
      </c>
      <c r="BM94" s="15">
        <v>2</v>
      </c>
      <c r="BN94" s="15">
        <v>1</v>
      </c>
      <c r="BO94" s="15">
        <v>184.82</v>
      </c>
      <c r="BP94" s="15">
        <v>101.69</v>
      </c>
      <c r="BQ94" s="15">
        <v>748</v>
      </c>
    </row>
    <row r="95" spans="1:69">
      <c r="A95" s="16">
        <v>46089</v>
      </c>
      <c r="B95" s="15">
        <v>436</v>
      </c>
      <c r="C95" s="15" t="s">
        <v>38</v>
      </c>
      <c r="D95" s="15">
        <v>436</v>
      </c>
      <c r="E95" s="15" t="s">
        <v>38</v>
      </c>
      <c r="F95" s="15">
        <v>404</v>
      </c>
      <c r="G95" s="15">
        <v>28</v>
      </c>
      <c r="H95" s="15">
        <v>80</v>
      </c>
      <c r="I95" s="15">
        <v>0.06931</v>
      </c>
      <c r="J95" s="15">
        <v>2.86</v>
      </c>
      <c r="K95" s="15">
        <v>198.02</v>
      </c>
      <c r="L95" s="15">
        <v>0</v>
      </c>
      <c r="M95" s="15">
        <v>0</v>
      </c>
      <c r="N95" s="15">
        <v>0</v>
      </c>
      <c r="O95" s="15">
        <v>0</v>
      </c>
      <c r="P95" s="15">
        <v>0</v>
      </c>
      <c r="Q95" s="15">
        <v>0</v>
      </c>
      <c r="R95" s="15">
        <v>0</v>
      </c>
      <c r="S95" s="15">
        <v>457.04</v>
      </c>
      <c r="T95" s="15">
        <v>457.04</v>
      </c>
      <c r="U95" s="15">
        <v>2</v>
      </c>
      <c r="V95" s="15">
        <v>0</v>
      </c>
      <c r="W95" s="15">
        <v>2</v>
      </c>
      <c r="X95" s="15">
        <v>0.07143</v>
      </c>
      <c r="Y95" s="15">
        <v>5.71</v>
      </c>
      <c r="Z95" s="15">
        <v>5.71</v>
      </c>
      <c r="AA95" s="15">
        <v>40</v>
      </c>
      <c r="AB95" s="15">
        <v>17</v>
      </c>
      <c r="AC95" s="15">
        <v>1</v>
      </c>
      <c r="AD95" s="15">
        <v>16</v>
      </c>
      <c r="AE95" s="15">
        <v>0.60714</v>
      </c>
      <c r="AF95" s="15">
        <v>0</v>
      </c>
      <c r="AG95" s="15">
        <v>2</v>
      </c>
      <c r="AH95" s="15">
        <v>40</v>
      </c>
      <c r="AI95" s="15">
        <v>19</v>
      </c>
      <c r="AJ95" s="15">
        <v>4.21</v>
      </c>
      <c r="AK95" s="15">
        <v>17</v>
      </c>
      <c r="AL95" s="15">
        <v>4.71</v>
      </c>
      <c r="AM95" s="15">
        <v>2</v>
      </c>
      <c r="AN95" s="15"/>
      <c r="AO95" s="15">
        <v>0</v>
      </c>
      <c r="AP95" s="15">
        <v>4.71</v>
      </c>
      <c r="AQ95" s="15">
        <v>4</v>
      </c>
      <c r="AR95" s="15">
        <v>811.9</v>
      </c>
      <c r="AS95" s="15">
        <v>0</v>
      </c>
      <c r="AT95" s="15">
        <v>0</v>
      </c>
      <c r="AU95" s="15">
        <v>0</v>
      </c>
      <c r="AV95" s="15">
        <v>0</v>
      </c>
      <c r="AW95" s="15">
        <v>0</v>
      </c>
      <c r="AX95" s="15">
        <v>0</v>
      </c>
      <c r="AY95" s="15">
        <v>188</v>
      </c>
      <c r="AZ95" s="15">
        <v>27</v>
      </c>
      <c r="BA95" s="15">
        <v>21</v>
      </c>
      <c r="BB95" s="15">
        <v>0.77778</v>
      </c>
      <c r="BC95" s="15">
        <v>0</v>
      </c>
      <c r="BD95" s="15">
        <v>0</v>
      </c>
      <c r="BE95" s="15">
        <v>0.46535</v>
      </c>
      <c r="BF95" s="15">
        <v>159</v>
      </c>
      <c r="BG95" s="15">
        <v>7</v>
      </c>
      <c r="BH95" s="15">
        <v>2</v>
      </c>
      <c r="BI95" s="15">
        <v>1</v>
      </c>
      <c r="BJ95" s="15">
        <v>0</v>
      </c>
      <c r="BK95" s="15">
        <v>0</v>
      </c>
      <c r="BL95" s="15">
        <v>0</v>
      </c>
      <c r="BM95" s="15">
        <v>2</v>
      </c>
      <c r="BN95" s="15">
        <v>1</v>
      </c>
      <c r="BO95" s="15">
        <v>228.52</v>
      </c>
      <c r="BP95" s="15">
        <v>82.2</v>
      </c>
      <c r="BQ95" s="15">
        <v>173</v>
      </c>
    </row>
    <row r="96" spans="1:69">
      <c r="A96" s="16">
        <v>46089</v>
      </c>
      <c r="B96" s="15">
        <v>479</v>
      </c>
      <c r="C96" s="15" t="s">
        <v>39</v>
      </c>
      <c r="D96" s="15">
        <v>479</v>
      </c>
      <c r="E96" s="15" t="s">
        <v>39</v>
      </c>
      <c r="F96" s="15">
        <v>195</v>
      </c>
      <c r="G96" s="15">
        <v>97</v>
      </c>
      <c r="H96" s="15">
        <v>59.41</v>
      </c>
      <c r="I96" s="15">
        <v>0.49744</v>
      </c>
      <c r="J96" s="15">
        <v>0.61</v>
      </c>
      <c r="K96" s="15">
        <v>304.68</v>
      </c>
      <c r="L96" s="15">
        <v>0</v>
      </c>
      <c r="M96" s="15">
        <v>0</v>
      </c>
      <c r="N96" s="15">
        <v>0</v>
      </c>
      <c r="O96" s="15">
        <v>0</v>
      </c>
      <c r="P96" s="15">
        <v>0</v>
      </c>
      <c r="Q96" s="15">
        <v>0</v>
      </c>
      <c r="R96" s="15">
        <v>0</v>
      </c>
      <c r="S96" s="15">
        <v>384.49</v>
      </c>
      <c r="T96" s="15">
        <v>384.49</v>
      </c>
      <c r="U96" s="15">
        <v>4</v>
      </c>
      <c r="V96" s="15">
        <v>0</v>
      </c>
      <c r="W96" s="15">
        <v>4</v>
      </c>
      <c r="X96" s="15">
        <v>0.04124</v>
      </c>
      <c r="Y96" s="15">
        <v>6.47</v>
      </c>
      <c r="Z96" s="15">
        <v>6.47</v>
      </c>
      <c r="AA96" s="15">
        <v>14.85</v>
      </c>
      <c r="AB96" s="15">
        <v>23</v>
      </c>
      <c r="AC96" s="15">
        <v>0</v>
      </c>
      <c r="AD96" s="15">
        <v>23</v>
      </c>
      <c r="AE96" s="15">
        <v>0.23711</v>
      </c>
      <c r="AF96" s="15">
        <v>2</v>
      </c>
      <c r="AG96" s="15">
        <v>12</v>
      </c>
      <c r="AH96" s="15">
        <v>4.95</v>
      </c>
      <c r="AI96" s="15">
        <v>37</v>
      </c>
      <c r="AJ96" s="15">
        <v>1.61</v>
      </c>
      <c r="AK96" s="15">
        <v>25</v>
      </c>
      <c r="AL96" s="15">
        <v>2.38</v>
      </c>
      <c r="AM96" s="15">
        <v>14</v>
      </c>
      <c r="AN96" s="15">
        <v>29.71</v>
      </c>
      <c r="AO96" s="15">
        <v>0.02062</v>
      </c>
      <c r="AP96" s="15">
        <v>2.58</v>
      </c>
      <c r="AQ96" s="15">
        <v>7</v>
      </c>
      <c r="AR96" s="15">
        <v>554.6</v>
      </c>
      <c r="AS96" s="15">
        <v>0</v>
      </c>
      <c r="AT96" s="15">
        <v>2</v>
      </c>
      <c r="AU96" s="15">
        <v>0</v>
      </c>
      <c r="AV96" s="15">
        <v>0</v>
      </c>
      <c r="AW96" s="15">
        <v>0</v>
      </c>
      <c r="AX96" s="15">
        <v>4</v>
      </c>
      <c r="AY96" s="15">
        <v>857</v>
      </c>
      <c r="AZ96" s="15">
        <v>91</v>
      </c>
      <c r="BA96" s="15">
        <v>82</v>
      </c>
      <c r="BB96" s="15">
        <v>0.9011</v>
      </c>
      <c r="BC96" s="15">
        <v>0</v>
      </c>
      <c r="BD96" s="15">
        <v>0</v>
      </c>
      <c r="BE96" s="15">
        <v>4.39487</v>
      </c>
      <c r="BF96" s="15">
        <v>754</v>
      </c>
      <c r="BG96" s="15">
        <v>9</v>
      </c>
      <c r="BH96" s="15">
        <v>4</v>
      </c>
      <c r="BI96" s="15">
        <v>1</v>
      </c>
      <c r="BJ96" s="15">
        <v>0</v>
      </c>
      <c r="BK96" s="15">
        <v>0</v>
      </c>
      <c r="BL96" s="15">
        <v>0</v>
      </c>
      <c r="BM96" s="15">
        <v>4</v>
      </c>
      <c r="BN96" s="15">
        <v>1</v>
      </c>
      <c r="BO96" s="15">
        <v>96.12</v>
      </c>
      <c r="BP96" s="15">
        <v>68.45</v>
      </c>
      <c r="BQ96" s="15">
        <v>649</v>
      </c>
    </row>
    <row r="97" spans="1:69">
      <c r="A97" s="16">
        <v>46089</v>
      </c>
      <c r="B97" s="15">
        <v>371</v>
      </c>
      <c r="C97" s="15" t="s">
        <v>32</v>
      </c>
      <c r="D97" s="15">
        <v>371</v>
      </c>
      <c r="E97" s="15" t="s">
        <v>32</v>
      </c>
      <c r="F97" s="15">
        <v>5076</v>
      </c>
      <c r="G97" s="15">
        <v>119</v>
      </c>
      <c r="H97" s="15">
        <v>34.45</v>
      </c>
      <c r="I97" s="15">
        <v>0.02344</v>
      </c>
      <c r="J97" s="15">
        <v>0.29</v>
      </c>
      <c r="K97" s="15">
        <v>6.79</v>
      </c>
      <c r="L97" s="15">
        <v>0</v>
      </c>
      <c r="M97" s="15">
        <v>0</v>
      </c>
      <c r="N97" s="15">
        <v>0</v>
      </c>
      <c r="O97" s="15">
        <v>0</v>
      </c>
      <c r="P97" s="15">
        <v>0</v>
      </c>
      <c r="Q97" s="15">
        <v>0</v>
      </c>
      <c r="R97" s="15">
        <v>0</v>
      </c>
      <c r="S97" s="15">
        <v>0</v>
      </c>
      <c r="T97" s="15">
        <v>0</v>
      </c>
      <c r="U97" s="15">
        <v>0</v>
      </c>
      <c r="V97" s="15">
        <v>0</v>
      </c>
      <c r="W97" s="15">
        <v>0</v>
      </c>
      <c r="X97" s="15">
        <v>0</v>
      </c>
      <c r="Y97" s="15">
        <v>0</v>
      </c>
      <c r="Z97" s="15">
        <v>0</v>
      </c>
      <c r="AA97" s="15"/>
      <c r="AB97" s="15">
        <v>12</v>
      </c>
      <c r="AC97" s="15">
        <v>2</v>
      </c>
      <c r="AD97" s="15">
        <v>10</v>
      </c>
      <c r="AE97" s="15">
        <v>0.10084</v>
      </c>
      <c r="AF97" s="15">
        <v>2</v>
      </c>
      <c r="AG97" s="15">
        <v>4</v>
      </c>
      <c r="AH97" s="15">
        <v>8.61</v>
      </c>
      <c r="AI97" s="15">
        <v>18</v>
      </c>
      <c r="AJ97" s="15">
        <v>1.91</v>
      </c>
      <c r="AK97" s="15">
        <v>14</v>
      </c>
      <c r="AL97" s="15">
        <v>2.46</v>
      </c>
      <c r="AM97" s="15">
        <v>6</v>
      </c>
      <c r="AN97" s="15">
        <v>17.23</v>
      </c>
      <c r="AO97" s="15">
        <v>0.01681</v>
      </c>
      <c r="AP97" s="15">
        <v>2.87</v>
      </c>
      <c r="AQ97" s="15">
        <v>0</v>
      </c>
      <c r="AR97" s="15">
        <v>0</v>
      </c>
      <c r="AS97" s="15">
        <v>1</v>
      </c>
      <c r="AT97" s="15">
        <v>1</v>
      </c>
      <c r="AU97" s="15">
        <v>0</v>
      </c>
      <c r="AV97" s="15">
        <v>0</v>
      </c>
      <c r="AW97" s="15">
        <v>0</v>
      </c>
      <c r="AX97" s="15">
        <v>0</v>
      </c>
      <c r="AY97" s="15">
        <v>457</v>
      </c>
      <c r="AZ97" s="15">
        <v>123</v>
      </c>
      <c r="BA97" s="15">
        <v>115</v>
      </c>
      <c r="BB97" s="15">
        <v>0.93496</v>
      </c>
      <c r="BC97" s="15">
        <v>0</v>
      </c>
      <c r="BD97" s="15">
        <v>0</v>
      </c>
      <c r="BE97" s="15">
        <v>0.09003</v>
      </c>
      <c r="BF97" s="15">
        <v>300</v>
      </c>
      <c r="BG97" s="15">
        <v>4</v>
      </c>
      <c r="BH97" s="15">
        <v>0</v>
      </c>
      <c r="BI97" s="15"/>
      <c r="BJ97" s="15">
        <v>0</v>
      </c>
      <c r="BK97" s="15">
        <v>0</v>
      </c>
      <c r="BL97" s="15">
        <v>0</v>
      </c>
      <c r="BM97" s="15">
        <v>0</v>
      </c>
      <c r="BN97" s="15"/>
      <c r="BO97" s="15"/>
      <c r="BP97" s="15">
        <v>1.06</v>
      </c>
      <c r="BQ97" s="15">
        <v>2412</v>
      </c>
    </row>
    <row r="98" spans="1:69">
      <c r="A98" s="16">
        <v>46088</v>
      </c>
      <c r="B98" s="15">
        <v>436</v>
      </c>
      <c r="C98" s="15" t="s">
        <v>38</v>
      </c>
      <c r="D98" s="15">
        <v>436</v>
      </c>
      <c r="E98" s="15" t="s">
        <v>38</v>
      </c>
      <c r="F98" s="15">
        <v>852</v>
      </c>
      <c r="G98" s="15">
        <v>47</v>
      </c>
      <c r="H98" s="15">
        <v>78.73</v>
      </c>
      <c r="I98" s="15">
        <v>0.05516</v>
      </c>
      <c r="J98" s="15">
        <v>1.68</v>
      </c>
      <c r="K98" s="15">
        <v>92.41</v>
      </c>
      <c r="L98" s="15">
        <v>0</v>
      </c>
      <c r="M98" s="15">
        <v>0</v>
      </c>
      <c r="N98" s="15">
        <v>0</v>
      </c>
      <c r="O98" s="15">
        <v>0</v>
      </c>
      <c r="P98" s="15">
        <v>0</v>
      </c>
      <c r="Q98" s="15">
        <v>0</v>
      </c>
      <c r="R98" s="15">
        <v>172</v>
      </c>
      <c r="S98" s="15">
        <v>0</v>
      </c>
      <c r="T98" s="15">
        <v>172</v>
      </c>
      <c r="U98" s="15">
        <v>1</v>
      </c>
      <c r="V98" s="15">
        <v>1</v>
      </c>
      <c r="W98" s="15">
        <v>0</v>
      </c>
      <c r="X98" s="15">
        <v>0.02128</v>
      </c>
      <c r="Y98" s="15">
        <v>2.18</v>
      </c>
      <c r="Z98" s="15">
        <v>2.18</v>
      </c>
      <c r="AA98" s="15">
        <v>78.73</v>
      </c>
      <c r="AB98" s="15">
        <v>7</v>
      </c>
      <c r="AC98" s="15">
        <v>0</v>
      </c>
      <c r="AD98" s="15">
        <v>7</v>
      </c>
      <c r="AE98" s="15">
        <v>0.14894</v>
      </c>
      <c r="AF98" s="15">
        <v>0</v>
      </c>
      <c r="AG98" s="15">
        <v>2</v>
      </c>
      <c r="AH98" s="15">
        <v>39.37</v>
      </c>
      <c r="AI98" s="15">
        <v>9</v>
      </c>
      <c r="AJ98" s="15">
        <v>8.75</v>
      </c>
      <c r="AK98" s="15">
        <v>7</v>
      </c>
      <c r="AL98" s="15">
        <v>11.25</v>
      </c>
      <c r="AM98" s="15">
        <v>2</v>
      </c>
      <c r="AN98" s="15"/>
      <c r="AO98" s="15">
        <v>0</v>
      </c>
      <c r="AP98" s="15">
        <v>11.25</v>
      </c>
      <c r="AQ98" s="15">
        <v>2</v>
      </c>
      <c r="AR98" s="15">
        <v>245.9</v>
      </c>
      <c r="AS98" s="15">
        <v>0</v>
      </c>
      <c r="AT98" s="15">
        <v>0</v>
      </c>
      <c r="AU98" s="15">
        <v>0</v>
      </c>
      <c r="AV98" s="15">
        <v>0</v>
      </c>
      <c r="AW98" s="15">
        <v>0</v>
      </c>
      <c r="AX98" s="15">
        <v>0</v>
      </c>
      <c r="AY98" s="15">
        <v>167</v>
      </c>
      <c r="AZ98" s="15">
        <v>41</v>
      </c>
      <c r="BA98" s="15">
        <v>29</v>
      </c>
      <c r="BB98" s="15">
        <v>0.70732</v>
      </c>
      <c r="BC98" s="15">
        <v>0</v>
      </c>
      <c r="BD98" s="15">
        <v>0</v>
      </c>
      <c r="BE98" s="15">
        <v>0.19601</v>
      </c>
      <c r="BF98" s="15">
        <v>120</v>
      </c>
      <c r="BG98" s="15">
        <v>4</v>
      </c>
      <c r="BH98" s="15">
        <v>1</v>
      </c>
      <c r="BI98" s="15">
        <v>1</v>
      </c>
      <c r="BJ98" s="15">
        <v>0</v>
      </c>
      <c r="BK98" s="15">
        <v>0</v>
      </c>
      <c r="BL98" s="15">
        <v>0</v>
      </c>
      <c r="BM98" s="15">
        <v>1</v>
      </c>
      <c r="BN98" s="15">
        <v>1</v>
      </c>
      <c r="BO98" s="15">
        <v>172</v>
      </c>
      <c r="BP98" s="15">
        <v>112.28</v>
      </c>
      <c r="BQ98" s="15">
        <v>653</v>
      </c>
    </row>
    <row r="99" spans="1:69">
      <c r="A99" s="16">
        <v>46088</v>
      </c>
      <c r="B99" s="15">
        <v>479</v>
      </c>
      <c r="C99" s="15" t="s">
        <v>39</v>
      </c>
      <c r="D99" s="15">
        <v>479</v>
      </c>
      <c r="E99" s="15" t="s">
        <v>39</v>
      </c>
      <c r="F99" s="15">
        <v>88</v>
      </c>
      <c r="G99" s="15">
        <v>37</v>
      </c>
      <c r="H99" s="15">
        <v>23</v>
      </c>
      <c r="I99" s="15">
        <v>0.42045</v>
      </c>
      <c r="J99" s="15">
        <v>0.62</v>
      </c>
      <c r="K99" s="15">
        <v>261.38</v>
      </c>
      <c r="L99" s="15">
        <v>0</v>
      </c>
      <c r="M99" s="15">
        <v>0</v>
      </c>
      <c r="N99" s="15">
        <v>0</v>
      </c>
      <c r="O99" s="15">
        <v>0</v>
      </c>
      <c r="P99" s="15">
        <v>0</v>
      </c>
      <c r="Q99" s="15">
        <v>0</v>
      </c>
      <c r="R99" s="15">
        <v>0</v>
      </c>
      <c r="S99" s="15">
        <v>148.4</v>
      </c>
      <c r="T99" s="15">
        <v>148.4</v>
      </c>
      <c r="U99" s="15">
        <v>2</v>
      </c>
      <c r="V99" s="15">
        <v>0</v>
      </c>
      <c r="W99" s="15">
        <v>2</v>
      </c>
      <c r="X99" s="15">
        <v>0.05405</v>
      </c>
      <c r="Y99" s="15">
        <v>6.45</v>
      </c>
      <c r="Z99" s="15">
        <v>6.45</v>
      </c>
      <c r="AA99" s="15">
        <v>11.5</v>
      </c>
      <c r="AB99" s="15">
        <v>12</v>
      </c>
      <c r="AC99" s="15">
        <v>0</v>
      </c>
      <c r="AD99" s="15">
        <v>12</v>
      </c>
      <c r="AE99" s="15">
        <v>0.32432</v>
      </c>
      <c r="AF99" s="15">
        <v>2</v>
      </c>
      <c r="AG99" s="15">
        <v>2</v>
      </c>
      <c r="AH99" s="15">
        <v>11.5</v>
      </c>
      <c r="AI99" s="15">
        <v>16</v>
      </c>
      <c r="AJ99" s="15">
        <v>1.44</v>
      </c>
      <c r="AK99" s="15">
        <v>14</v>
      </c>
      <c r="AL99" s="15">
        <v>1.64</v>
      </c>
      <c r="AM99" s="15">
        <v>4</v>
      </c>
      <c r="AN99" s="15">
        <v>11.5</v>
      </c>
      <c r="AO99" s="15">
        <v>0.05405</v>
      </c>
      <c r="AP99" s="15">
        <v>1.92</v>
      </c>
      <c r="AQ99" s="15">
        <v>6</v>
      </c>
      <c r="AR99" s="15">
        <v>821.8</v>
      </c>
      <c r="AS99" s="15">
        <v>0</v>
      </c>
      <c r="AT99" s="15">
        <v>2</v>
      </c>
      <c r="AU99" s="15">
        <v>0</v>
      </c>
      <c r="AV99" s="15">
        <v>0</v>
      </c>
      <c r="AW99" s="15">
        <v>0</v>
      </c>
      <c r="AX99" s="15">
        <v>1</v>
      </c>
      <c r="AY99" s="15">
        <v>357</v>
      </c>
      <c r="AZ99" s="15">
        <v>34</v>
      </c>
      <c r="BA99" s="15">
        <v>28</v>
      </c>
      <c r="BB99" s="15">
        <v>0.82353</v>
      </c>
      <c r="BC99" s="15">
        <v>0</v>
      </c>
      <c r="BD99" s="15">
        <v>0</v>
      </c>
      <c r="BE99" s="15">
        <v>4.05682</v>
      </c>
      <c r="BF99" s="15">
        <v>316</v>
      </c>
      <c r="BG99" s="15">
        <v>11</v>
      </c>
      <c r="BH99" s="15">
        <v>2</v>
      </c>
      <c r="BI99" s="15">
        <v>1</v>
      </c>
      <c r="BJ99" s="15">
        <v>1</v>
      </c>
      <c r="BK99" s="15">
        <v>74.2</v>
      </c>
      <c r="BL99" s="15">
        <v>1</v>
      </c>
      <c r="BM99" s="15">
        <v>2</v>
      </c>
      <c r="BN99" s="15">
        <v>1</v>
      </c>
      <c r="BO99" s="15">
        <v>74.2</v>
      </c>
      <c r="BP99" s="15">
        <v>53.14</v>
      </c>
      <c r="BQ99" s="15">
        <v>322</v>
      </c>
    </row>
    <row r="100" spans="1:69">
      <c r="A100" s="16">
        <v>46088</v>
      </c>
      <c r="B100" s="15">
        <v>183</v>
      </c>
      <c r="C100" s="15" t="s">
        <v>40</v>
      </c>
      <c r="D100" s="15">
        <v>183</v>
      </c>
      <c r="E100" s="15" t="s">
        <v>40</v>
      </c>
      <c r="F100" s="15">
        <v>634</v>
      </c>
      <c r="G100" s="15">
        <v>42</v>
      </c>
      <c r="H100" s="15">
        <v>100</v>
      </c>
      <c r="I100" s="15">
        <v>0.06625</v>
      </c>
      <c r="J100" s="15">
        <v>2.38</v>
      </c>
      <c r="K100" s="15">
        <v>157.73</v>
      </c>
      <c r="L100" s="15">
        <v>0</v>
      </c>
      <c r="M100" s="15">
        <v>0</v>
      </c>
      <c r="N100" s="15">
        <v>0</v>
      </c>
      <c r="O100" s="15">
        <v>0</v>
      </c>
      <c r="P100" s="15">
        <v>0</v>
      </c>
      <c r="Q100" s="15">
        <v>0</v>
      </c>
      <c r="R100" s="15">
        <v>0</v>
      </c>
      <c r="S100" s="15">
        <v>0</v>
      </c>
      <c r="T100" s="15">
        <v>0</v>
      </c>
      <c r="U100" s="15">
        <v>0</v>
      </c>
      <c r="V100" s="15">
        <v>0</v>
      </c>
      <c r="W100" s="15">
        <v>0</v>
      </c>
      <c r="X100" s="15">
        <v>0</v>
      </c>
      <c r="Y100" s="15">
        <v>0</v>
      </c>
      <c r="Z100" s="15">
        <v>0</v>
      </c>
      <c r="AA100" s="15"/>
      <c r="AB100" s="15">
        <v>7</v>
      </c>
      <c r="AC100" s="15">
        <v>5</v>
      </c>
      <c r="AD100" s="15">
        <v>2</v>
      </c>
      <c r="AE100" s="15">
        <v>0.16667</v>
      </c>
      <c r="AF100" s="15">
        <v>2</v>
      </c>
      <c r="AG100" s="15">
        <v>0</v>
      </c>
      <c r="AH100" s="15"/>
      <c r="AI100" s="15">
        <v>9</v>
      </c>
      <c r="AJ100" s="15">
        <v>11.11</v>
      </c>
      <c r="AK100" s="15">
        <v>9</v>
      </c>
      <c r="AL100" s="15">
        <v>11.11</v>
      </c>
      <c r="AM100" s="15">
        <v>2</v>
      </c>
      <c r="AN100" s="15">
        <v>50</v>
      </c>
      <c r="AO100" s="15">
        <v>0.04762</v>
      </c>
      <c r="AP100" s="15">
        <v>14.29</v>
      </c>
      <c r="AQ100" s="15">
        <v>0</v>
      </c>
      <c r="AR100" s="15">
        <v>0</v>
      </c>
      <c r="AS100" s="15">
        <v>1</v>
      </c>
      <c r="AT100" s="15">
        <v>1</v>
      </c>
      <c r="AU100" s="15">
        <v>0</v>
      </c>
      <c r="AV100" s="15">
        <v>0</v>
      </c>
      <c r="AW100" s="15">
        <v>0</v>
      </c>
      <c r="AX100" s="15">
        <v>0</v>
      </c>
      <c r="AY100" s="15">
        <v>214</v>
      </c>
      <c r="AZ100" s="15">
        <v>48</v>
      </c>
      <c r="BA100" s="15">
        <v>21</v>
      </c>
      <c r="BB100" s="15">
        <v>0.4375</v>
      </c>
      <c r="BC100" s="15">
        <v>0</v>
      </c>
      <c r="BD100" s="15">
        <v>0</v>
      </c>
      <c r="BE100" s="15">
        <v>0.33754</v>
      </c>
      <c r="BF100" s="15">
        <v>135</v>
      </c>
      <c r="BG100" s="15">
        <v>4</v>
      </c>
      <c r="BH100" s="15">
        <v>0</v>
      </c>
      <c r="BI100" s="15"/>
      <c r="BJ100" s="15">
        <v>0</v>
      </c>
      <c r="BK100" s="15">
        <v>0</v>
      </c>
      <c r="BL100" s="15">
        <v>0</v>
      </c>
      <c r="BM100" s="15">
        <v>0</v>
      </c>
      <c r="BN100" s="15"/>
      <c r="BO100" s="15"/>
      <c r="BP100" s="15">
        <v>3.16</v>
      </c>
      <c r="BQ100" s="15">
        <v>135</v>
      </c>
    </row>
    <row r="101" spans="1:69">
      <c r="A101" s="16">
        <v>46088</v>
      </c>
      <c r="B101" s="15">
        <v>371</v>
      </c>
      <c r="C101" s="15" t="s">
        <v>32</v>
      </c>
      <c r="D101" s="15">
        <v>371</v>
      </c>
      <c r="E101" s="15" t="s">
        <v>32</v>
      </c>
      <c r="F101" s="15">
        <v>6360</v>
      </c>
      <c r="G101" s="15">
        <v>104</v>
      </c>
      <c r="H101" s="15">
        <v>30.01</v>
      </c>
      <c r="I101" s="15">
        <v>0.01635</v>
      </c>
      <c r="J101" s="15">
        <v>0.29</v>
      </c>
      <c r="K101" s="15">
        <v>4.72</v>
      </c>
      <c r="L101" s="15">
        <v>0</v>
      </c>
      <c r="M101" s="15">
        <v>0</v>
      </c>
      <c r="N101" s="15">
        <v>0</v>
      </c>
      <c r="O101" s="15">
        <v>0</v>
      </c>
      <c r="P101" s="15">
        <v>0</v>
      </c>
      <c r="Q101" s="15">
        <v>0</v>
      </c>
      <c r="R101" s="15">
        <v>0</v>
      </c>
      <c r="S101" s="15">
        <v>0</v>
      </c>
      <c r="T101" s="15">
        <v>0</v>
      </c>
      <c r="U101" s="15">
        <v>0</v>
      </c>
      <c r="V101" s="15">
        <v>0</v>
      </c>
      <c r="W101" s="15">
        <v>0</v>
      </c>
      <c r="X101" s="15">
        <v>0</v>
      </c>
      <c r="Y101" s="15">
        <v>0</v>
      </c>
      <c r="Z101" s="15">
        <v>0</v>
      </c>
      <c r="AA101" s="15"/>
      <c r="AB101" s="15">
        <v>1</v>
      </c>
      <c r="AC101" s="15">
        <v>1</v>
      </c>
      <c r="AD101" s="15">
        <v>0</v>
      </c>
      <c r="AE101" s="15">
        <v>0.00962</v>
      </c>
      <c r="AF101" s="15">
        <v>0</v>
      </c>
      <c r="AG101" s="15">
        <v>1</v>
      </c>
      <c r="AH101" s="15">
        <v>30.01</v>
      </c>
      <c r="AI101" s="15">
        <v>2</v>
      </c>
      <c r="AJ101" s="15">
        <v>15.01</v>
      </c>
      <c r="AK101" s="15">
        <v>1</v>
      </c>
      <c r="AL101" s="15">
        <v>30.01</v>
      </c>
      <c r="AM101" s="15">
        <v>1</v>
      </c>
      <c r="AN101" s="15"/>
      <c r="AO101" s="15">
        <v>0</v>
      </c>
      <c r="AP101" s="15">
        <v>30.01</v>
      </c>
      <c r="AQ101" s="15">
        <v>0</v>
      </c>
      <c r="AR101" s="15">
        <v>0</v>
      </c>
      <c r="AS101" s="15">
        <v>0</v>
      </c>
      <c r="AT101" s="15">
        <v>0</v>
      </c>
      <c r="AU101" s="15">
        <v>0</v>
      </c>
      <c r="AV101" s="15">
        <v>0</v>
      </c>
      <c r="AW101" s="15">
        <v>0</v>
      </c>
      <c r="AX101" s="15">
        <v>0</v>
      </c>
      <c r="AY101" s="15">
        <v>283</v>
      </c>
      <c r="AZ101" s="15">
        <v>113</v>
      </c>
      <c r="BA101" s="15">
        <v>106</v>
      </c>
      <c r="BB101" s="15">
        <v>0.93805</v>
      </c>
      <c r="BC101" s="15">
        <v>0</v>
      </c>
      <c r="BD101" s="15">
        <v>0</v>
      </c>
      <c r="BE101" s="15">
        <v>0.0445</v>
      </c>
      <c r="BF101" s="15">
        <v>153</v>
      </c>
      <c r="BG101" s="15">
        <v>3</v>
      </c>
      <c r="BH101" s="15">
        <v>0</v>
      </c>
      <c r="BI101" s="15"/>
      <c r="BJ101" s="15">
        <v>0</v>
      </c>
      <c r="BK101" s="15">
        <v>0</v>
      </c>
      <c r="BL101" s="15">
        <v>0</v>
      </c>
      <c r="BM101" s="15">
        <v>0</v>
      </c>
      <c r="BN101" s="15"/>
      <c r="BO101" s="15"/>
      <c r="BP101" s="15">
        <v>0.06</v>
      </c>
      <c r="BQ101" s="15">
        <v>537</v>
      </c>
    </row>
    <row r="102" spans="1:69">
      <c r="A102" s="16">
        <v>46087</v>
      </c>
      <c r="B102" s="15">
        <v>479</v>
      </c>
      <c r="C102" s="15" t="s">
        <v>39</v>
      </c>
      <c r="D102" s="15">
        <v>479</v>
      </c>
      <c r="E102" s="15" t="s">
        <v>39</v>
      </c>
      <c r="F102" s="15">
        <v>76</v>
      </c>
      <c r="G102" s="15">
        <v>36</v>
      </c>
      <c r="H102" s="15">
        <v>23.36</v>
      </c>
      <c r="I102" s="15">
        <v>0.47368</v>
      </c>
      <c r="J102" s="15">
        <v>0.65</v>
      </c>
      <c r="K102" s="15">
        <v>307.37</v>
      </c>
      <c r="L102" s="15">
        <v>0</v>
      </c>
      <c r="M102" s="15">
        <v>0</v>
      </c>
      <c r="N102" s="15">
        <v>0</v>
      </c>
      <c r="O102" s="15">
        <v>0</v>
      </c>
      <c r="P102" s="15">
        <v>0</v>
      </c>
      <c r="Q102" s="15">
        <v>0</v>
      </c>
      <c r="R102" s="15">
        <v>0</v>
      </c>
      <c r="S102" s="15">
        <v>0</v>
      </c>
      <c r="T102" s="15">
        <v>0</v>
      </c>
      <c r="U102" s="15">
        <v>0</v>
      </c>
      <c r="V102" s="15">
        <v>0</v>
      </c>
      <c r="W102" s="15">
        <v>0</v>
      </c>
      <c r="X102" s="15">
        <v>0</v>
      </c>
      <c r="Y102" s="15">
        <v>0</v>
      </c>
      <c r="Z102" s="15">
        <v>0</v>
      </c>
      <c r="AA102" s="15"/>
      <c r="AB102" s="15">
        <v>5</v>
      </c>
      <c r="AC102" s="15">
        <v>0</v>
      </c>
      <c r="AD102" s="15">
        <v>5</v>
      </c>
      <c r="AE102" s="15">
        <v>0.13889</v>
      </c>
      <c r="AF102" s="15">
        <v>4</v>
      </c>
      <c r="AG102" s="15">
        <v>5</v>
      </c>
      <c r="AH102" s="15">
        <v>4.67</v>
      </c>
      <c r="AI102" s="15">
        <v>14</v>
      </c>
      <c r="AJ102" s="15">
        <v>1.67</v>
      </c>
      <c r="AK102" s="15">
        <v>9</v>
      </c>
      <c r="AL102" s="15">
        <v>2.6</v>
      </c>
      <c r="AM102" s="15">
        <v>9</v>
      </c>
      <c r="AN102" s="15">
        <v>5.84</v>
      </c>
      <c r="AO102" s="15">
        <v>0.11111</v>
      </c>
      <c r="AP102" s="15">
        <v>4.67</v>
      </c>
      <c r="AQ102" s="15">
        <v>0</v>
      </c>
      <c r="AR102" s="15">
        <v>0</v>
      </c>
      <c r="AS102" s="15">
        <v>0</v>
      </c>
      <c r="AT102" s="15">
        <v>4</v>
      </c>
      <c r="AU102" s="15">
        <v>0</v>
      </c>
      <c r="AV102" s="15">
        <v>0</v>
      </c>
      <c r="AW102" s="15">
        <v>0</v>
      </c>
      <c r="AX102" s="15">
        <v>0</v>
      </c>
      <c r="AY102" s="15">
        <v>290</v>
      </c>
      <c r="AZ102" s="15">
        <v>30</v>
      </c>
      <c r="BA102" s="15">
        <v>24</v>
      </c>
      <c r="BB102" s="15">
        <v>0.8</v>
      </c>
      <c r="BC102" s="15">
        <v>0</v>
      </c>
      <c r="BD102" s="15">
        <v>0</v>
      </c>
      <c r="BE102" s="15">
        <v>3.81579</v>
      </c>
      <c r="BF102" s="15">
        <v>250</v>
      </c>
      <c r="BG102" s="15">
        <v>10</v>
      </c>
      <c r="BH102" s="15">
        <v>0</v>
      </c>
      <c r="BI102" s="15"/>
      <c r="BJ102" s="15">
        <v>0</v>
      </c>
      <c r="BK102" s="15">
        <v>0</v>
      </c>
      <c r="BL102" s="15">
        <v>0</v>
      </c>
      <c r="BM102" s="15">
        <v>0</v>
      </c>
      <c r="BN102" s="15"/>
      <c r="BO102" s="15"/>
      <c r="BP102" s="15">
        <v>126.36</v>
      </c>
      <c r="BQ102" s="15">
        <v>320</v>
      </c>
    </row>
    <row r="103" spans="1:69">
      <c r="A103" s="16">
        <v>46087</v>
      </c>
      <c r="B103" s="15">
        <v>183</v>
      </c>
      <c r="C103" s="15" t="s">
        <v>40</v>
      </c>
      <c r="D103" s="15">
        <v>183</v>
      </c>
      <c r="E103" s="15" t="s">
        <v>40</v>
      </c>
      <c r="F103" s="15">
        <v>4472</v>
      </c>
      <c r="G103" s="15">
        <v>119</v>
      </c>
      <c r="H103" s="15">
        <v>173.28</v>
      </c>
      <c r="I103" s="15">
        <v>0.02661</v>
      </c>
      <c r="J103" s="15">
        <v>1.46</v>
      </c>
      <c r="K103" s="15">
        <v>38.75</v>
      </c>
      <c r="L103" s="15">
        <v>0</v>
      </c>
      <c r="M103" s="15">
        <v>0</v>
      </c>
      <c r="N103" s="15">
        <v>0</v>
      </c>
      <c r="O103" s="15">
        <v>0</v>
      </c>
      <c r="P103" s="15">
        <v>0</v>
      </c>
      <c r="Q103" s="15">
        <v>0</v>
      </c>
      <c r="R103" s="15">
        <v>978.22</v>
      </c>
      <c r="S103" s="15">
        <v>0</v>
      </c>
      <c r="T103" s="15">
        <v>978.22</v>
      </c>
      <c r="U103" s="15">
        <v>1</v>
      </c>
      <c r="V103" s="15">
        <v>1</v>
      </c>
      <c r="W103" s="15">
        <v>0</v>
      </c>
      <c r="X103" s="15">
        <v>0.0084</v>
      </c>
      <c r="Y103" s="15">
        <v>5.65</v>
      </c>
      <c r="Z103" s="15">
        <v>5.65</v>
      </c>
      <c r="AA103" s="15">
        <v>173.28</v>
      </c>
      <c r="AB103" s="15">
        <v>3</v>
      </c>
      <c r="AC103" s="15">
        <v>3</v>
      </c>
      <c r="AD103" s="15">
        <v>0</v>
      </c>
      <c r="AE103" s="15">
        <v>0.02521</v>
      </c>
      <c r="AF103" s="15">
        <v>1</v>
      </c>
      <c r="AG103" s="15">
        <v>0</v>
      </c>
      <c r="AH103" s="15"/>
      <c r="AI103" s="15">
        <v>4</v>
      </c>
      <c r="AJ103" s="15">
        <v>43.32</v>
      </c>
      <c r="AK103" s="15">
        <v>4</v>
      </c>
      <c r="AL103" s="15">
        <v>43.32</v>
      </c>
      <c r="AM103" s="15">
        <v>1</v>
      </c>
      <c r="AN103" s="15">
        <v>173.28</v>
      </c>
      <c r="AO103" s="15">
        <v>0.0084</v>
      </c>
      <c r="AP103" s="15">
        <v>57.76</v>
      </c>
      <c r="AQ103" s="15">
        <v>2</v>
      </c>
      <c r="AR103" s="15">
        <v>1669</v>
      </c>
      <c r="AS103" s="15">
        <v>0</v>
      </c>
      <c r="AT103" s="15">
        <v>1</v>
      </c>
      <c r="AU103" s="15">
        <v>0</v>
      </c>
      <c r="AV103" s="15">
        <v>0</v>
      </c>
      <c r="AW103" s="15">
        <v>0</v>
      </c>
      <c r="AX103" s="15">
        <v>0</v>
      </c>
      <c r="AY103" s="15">
        <v>414</v>
      </c>
      <c r="AZ103" s="15">
        <v>83</v>
      </c>
      <c r="BA103" s="15">
        <v>50</v>
      </c>
      <c r="BB103" s="15">
        <v>0.60241</v>
      </c>
      <c r="BC103" s="15">
        <v>0</v>
      </c>
      <c r="BD103" s="15">
        <v>0</v>
      </c>
      <c r="BE103" s="15">
        <v>0.09258</v>
      </c>
      <c r="BF103" s="15">
        <v>235</v>
      </c>
      <c r="BG103" s="15">
        <v>5</v>
      </c>
      <c r="BH103" s="15">
        <v>1</v>
      </c>
      <c r="BI103" s="15">
        <v>1</v>
      </c>
      <c r="BJ103" s="15">
        <v>0</v>
      </c>
      <c r="BK103" s="15">
        <v>0</v>
      </c>
      <c r="BL103" s="15">
        <v>0</v>
      </c>
      <c r="BM103" s="15">
        <v>1</v>
      </c>
      <c r="BN103" s="15">
        <v>1</v>
      </c>
      <c r="BO103" s="15">
        <v>978.22</v>
      </c>
      <c r="BP103" s="15">
        <v>5.26</v>
      </c>
      <c r="BQ103" s="15">
        <v>401</v>
      </c>
    </row>
    <row r="104" spans="1:69">
      <c r="A104" s="16">
        <v>46087</v>
      </c>
      <c r="B104" s="15">
        <v>436</v>
      </c>
      <c r="C104" s="15" t="s">
        <v>38</v>
      </c>
      <c r="D104" s="15">
        <v>436</v>
      </c>
      <c r="E104" s="15" t="s">
        <v>38</v>
      </c>
      <c r="F104" s="15">
        <v>820</v>
      </c>
      <c r="G104" s="15">
        <v>35</v>
      </c>
      <c r="H104" s="15">
        <v>80</v>
      </c>
      <c r="I104" s="15">
        <v>0.04268</v>
      </c>
      <c r="J104" s="15">
        <v>2.29</v>
      </c>
      <c r="K104" s="15">
        <v>97.56</v>
      </c>
      <c r="L104" s="15">
        <v>0</v>
      </c>
      <c r="M104" s="15">
        <v>0</v>
      </c>
      <c r="N104" s="15">
        <v>0</v>
      </c>
      <c r="O104" s="15">
        <v>0</v>
      </c>
      <c r="P104" s="15">
        <v>0</v>
      </c>
      <c r="Q104" s="15">
        <v>0</v>
      </c>
      <c r="R104" s="15">
        <v>68.6</v>
      </c>
      <c r="S104" s="15">
        <v>0</v>
      </c>
      <c r="T104" s="15">
        <v>68.6</v>
      </c>
      <c r="U104" s="15">
        <v>1</v>
      </c>
      <c r="V104" s="15">
        <v>1</v>
      </c>
      <c r="W104" s="15">
        <v>0</v>
      </c>
      <c r="X104" s="15">
        <v>0.02857</v>
      </c>
      <c r="Y104" s="15">
        <v>0.86</v>
      </c>
      <c r="Z104" s="15">
        <v>0.86</v>
      </c>
      <c r="AA104" s="15">
        <v>80</v>
      </c>
      <c r="AB104" s="15">
        <v>3</v>
      </c>
      <c r="AC104" s="15">
        <v>3</v>
      </c>
      <c r="AD104" s="15">
        <v>0</v>
      </c>
      <c r="AE104" s="15">
        <v>0.08571</v>
      </c>
      <c r="AF104" s="15">
        <v>0</v>
      </c>
      <c r="AG104" s="15">
        <v>0</v>
      </c>
      <c r="AH104" s="15"/>
      <c r="AI104" s="15">
        <v>3</v>
      </c>
      <c r="AJ104" s="15">
        <v>26.67</v>
      </c>
      <c r="AK104" s="15">
        <v>3</v>
      </c>
      <c r="AL104" s="15">
        <v>26.67</v>
      </c>
      <c r="AM104" s="15">
        <v>0</v>
      </c>
      <c r="AN104" s="15"/>
      <c r="AO104" s="15">
        <v>0</v>
      </c>
      <c r="AP104" s="15">
        <v>26.67</v>
      </c>
      <c r="AQ104" s="15">
        <v>1</v>
      </c>
      <c r="AR104" s="15">
        <v>78</v>
      </c>
      <c r="AS104" s="15">
        <v>0</v>
      </c>
      <c r="AT104" s="15">
        <v>0</v>
      </c>
      <c r="AU104" s="15">
        <v>0</v>
      </c>
      <c r="AV104" s="15">
        <v>0</v>
      </c>
      <c r="AW104" s="15">
        <v>0</v>
      </c>
      <c r="AX104" s="15">
        <v>0</v>
      </c>
      <c r="AY104" s="15">
        <v>123</v>
      </c>
      <c r="AZ104" s="15">
        <v>32</v>
      </c>
      <c r="BA104" s="15">
        <v>22</v>
      </c>
      <c r="BB104" s="15">
        <v>0.6875</v>
      </c>
      <c r="BC104" s="15">
        <v>0</v>
      </c>
      <c r="BD104" s="15">
        <v>0</v>
      </c>
      <c r="BE104" s="15">
        <v>0.15</v>
      </c>
      <c r="BF104" s="15">
        <v>80</v>
      </c>
      <c r="BG104" s="15">
        <v>4</v>
      </c>
      <c r="BH104" s="15">
        <v>1</v>
      </c>
      <c r="BI104" s="15">
        <v>1</v>
      </c>
      <c r="BJ104" s="15">
        <v>0</v>
      </c>
      <c r="BK104" s="15">
        <v>0</v>
      </c>
      <c r="BL104" s="15">
        <v>0</v>
      </c>
      <c r="BM104" s="15">
        <v>1</v>
      </c>
      <c r="BN104" s="15">
        <v>1</v>
      </c>
      <c r="BO104" s="15">
        <v>68.6</v>
      </c>
      <c r="BP104" s="15">
        <v>0</v>
      </c>
      <c r="BQ104" s="15">
        <v>351</v>
      </c>
    </row>
    <row r="105" spans="1:69">
      <c r="A105" s="16">
        <v>46087</v>
      </c>
      <c r="B105" s="15">
        <v>371</v>
      </c>
      <c r="C105" s="15" t="s">
        <v>32</v>
      </c>
      <c r="D105" s="15">
        <v>371</v>
      </c>
      <c r="E105" s="15" t="s">
        <v>32</v>
      </c>
      <c r="F105" s="15">
        <v>5329</v>
      </c>
      <c r="G105" s="15">
        <v>98</v>
      </c>
      <c r="H105" s="15">
        <v>29.88</v>
      </c>
      <c r="I105" s="15">
        <v>0.01839</v>
      </c>
      <c r="J105" s="15">
        <v>0.3</v>
      </c>
      <c r="K105" s="15">
        <v>5.61</v>
      </c>
      <c r="L105" s="15">
        <v>0</v>
      </c>
      <c r="M105" s="15">
        <v>0</v>
      </c>
      <c r="N105" s="15">
        <v>0</v>
      </c>
      <c r="O105" s="15">
        <v>0</v>
      </c>
      <c r="P105" s="15">
        <v>0</v>
      </c>
      <c r="Q105" s="15">
        <v>0</v>
      </c>
      <c r="R105" s="15">
        <v>0</v>
      </c>
      <c r="S105" s="15">
        <v>0</v>
      </c>
      <c r="T105" s="15">
        <v>0</v>
      </c>
      <c r="U105" s="15">
        <v>0</v>
      </c>
      <c r="V105" s="15">
        <v>0</v>
      </c>
      <c r="W105" s="15">
        <v>0</v>
      </c>
      <c r="X105" s="15">
        <v>0</v>
      </c>
      <c r="Y105" s="15">
        <v>0</v>
      </c>
      <c r="Z105" s="15">
        <v>0</v>
      </c>
      <c r="AA105" s="15"/>
      <c r="AB105" s="15">
        <v>0</v>
      </c>
      <c r="AC105" s="15">
        <v>0</v>
      </c>
      <c r="AD105" s="15">
        <v>0</v>
      </c>
      <c r="AE105" s="15">
        <v>0</v>
      </c>
      <c r="AF105" s="15">
        <v>0</v>
      </c>
      <c r="AG105" s="15">
        <v>0</v>
      </c>
      <c r="AH105" s="15"/>
      <c r="AI105" s="15">
        <v>0</v>
      </c>
      <c r="AJ105" s="15"/>
      <c r="AK105" s="15">
        <v>0</v>
      </c>
      <c r="AL105" s="15"/>
      <c r="AM105" s="15">
        <v>0</v>
      </c>
      <c r="AN105" s="15"/>
      <c r="AO105" s="15">
        <v>0</v>
      </c>
      <c r="AP105" s="15"/>
      <c r="AQ105" s="15">
        <v>0</v>
      </c>
      <c r="AR105" s="15">
        <v>0</v>
      </c>
      <c r="AS105" s="15">
        <v>0</v>
      </c>
      <c r="AT105" s="15">
        <v>0</v>
      </c>
      <c r="AU105" s="15">
        <v>0</v>
      </c>
      <c r="AV105" s="15">
        <v>0</v>
      </c>
      <c r="AW105" s="15">
        <v>0</v>
      </c>
      <c r="AX105" s="15">
        <v>0</v>
      </c>
      <c r="AY105" s="15">
        <v>176</v>
      </c>
      <c r="AZ105" s="15">
        <v>99</v>
      </c>
      <c r="BA105" s="15">
        <v>85</v>
      </c>
      <c r="BB105" s="15">
        <v>0.85859</v>
      </c>
      <c r="BC105" s="15">
        <v>0</v>
      </c>
      <c r="BD105" s="15">
        <v>0</v>
      </c>
      <c r="BE105" s="15">
        <v>0.03303</v>
      </c>
      <c r="BF105" s="15">
        <v>60</v>
      </c>
      <c r="BG105" s="15">
        <v>2</v>
      </c>
      <c r="BH105" s="15">
        <v>0</v>
      </c>
      <c r="BI105" s="15"/>
      <c r="BJ105" s="15">
        <v>0</v>
      </c>
      <c r="BK105" s="15">
        <v>0</v>
      </c>
      <c r="BL105" s="15">
        <v>0</v>
      </c>
      <c r="BM105" s="15">
        <v>0</v>
      </c>
      <c r="BN105" s="15"/>
      <c r="BO105" s="15"/>
      <c r="BP105" s="15">
        <v>0</v>
      </c>
      <c r="BQ105" s="15">
        <v>11</v>
      </c>
    </row>
    <row r="106" spans="1:69">
      <c r="A106" s="16">
        <v>46086</v>
      </c>
      <c r="B106" s="15">
        <v>479</v>
      </c>
      <c r="C106" s="15" t="s">
        <v>39</v>
      </c>
      <c r="D106" s="15">
        <v>479</v>
      </c>
      <c r="E106" s="15" t="s">
        <v>39</v>
      </c>
      <c r="F106" s="15">
        <v>86</v>
      </c>
      <c r="G106" s="15">
        <v>48</v>
      </c>
      <c r="H106" s="15">
        <v>23.88</v>
      </c>
      <c r="I106" s="15">
        <v>0.55814</v>
      </c>
      <c r="J106" s="15">
        <v>0.5</v>
      </c>
      <c r="K106" s="15">
        <v>277.71</v>
      </c>
      <c r="L106" s="15">
        <v>0</v>
      </c>
      <c r="M106" s="15">
        <v>0</v>
      </c>
      <c r="N106" s="15">
        <v>0</v>
      </c>
      <c r="O106" s="15">
        <v>0</v>
      </c>
      <c r="P106" s="15">
        <v>0</v>
      </c>
      <c r="Q106" s="15">
        <v>0</v>
      </c>
      <c r="R106" s="15">
        <v>0</v>
      </c>
      <c r="S106" s="15">
        <v>0</v>
      </c>
      <c r="T106" s="15">
        <v>0</v>
      </c>
      <c r="U106" s="15">
        <v>0</v>
      </c>
      <c r="V106" s="15">
        <v>0</v>
      </c>
      <c r="W106" s="15">
        <v>0</v>
      </c>
      <c r="X106" s="15">
        <v>0</v>
      </c>
      <c r="Y106" s="15">
        <v>0</v>
      </c>
      <c r="Z106" s="15">
        <v>0</v>
      </c>
      <c r="AA106" s="15"/>
      <c r="AB106" s="15">
        <v>7</v>
      </c>
      <c r="AC106" s="15">
        <v>0</v>
      </c>
      <c r="AD106" s="15">
        <v>7</v>
      </c>
      <c r="AE106" s="15">
        <v>0.14583</v>
      </c>
      <c r="AF106" s="15">
        <v>2</v>
      </c>
      <c r="AG106" s="15">
        <v>4</v>
      </c>
      <c r="AH106" s="15">
        <v>5.97</v>
      </c>
      <c r="AI106" s="15">
        <v>13</v>
      </c>
      <c r="AJ106" s="15">
        <v>1.84</v>
      </c>
      <c r="AK106" s="15">
        <v>9</v>
      </c>
      <c r="AL106" s="15">
        <v>2.65</v>
      </c>
      <c r="AM106" s="15">
        <v>6</v>
      </c>
      <c r="AN106" s="15">
        <v>11.94</v>
      </c>
      <c r="AO106" s="15">
        <v>0.04167</v>
      </c>
      <c r="AP106" s="15">
        <v>3.41</v>
      </c>
      <c r="AQ106" s="15">
        <v>2</v>
      </c>
      <c r="AR106" s="15">
        <v>32256</v>
      </c>
      <c r="AS106" s="15">
        <v>0</v>
      </c>
      <c r="AT106" s="15">
        <v>2</v>
      </c>
      <c r="AU106" s="15">
        <v>0</v>
      </c>
      <c r="AV106" s="15">
        <v>0</v>
      </c>
      <c r="AW106" s="15">
        <v>0</v>
      </c>
      <c r="AX106" s="15">
        <v>1</v>
      </c>
      <c r="AY106" s="15">
        <v>448</v>
      </c>
      <c r="AZ106" s="15">
        <v>37</v>
      </c>
      <c r="BA106" s="15">
        <v>30</v>
      </c>
      <c r="BB106" s="15">
        <v>0.81081</v>
      </c>
      <c r="BC106" s="15">
        <v>0</v>
      </c>
      <c r="BD106" s="15">
        <v>0</v>
      </c>
      <c r="BE106" s="15">
        <v>5.2093</v>
      </c>
      <c r="BF106" s="15">
        <v>395</v>
      </c>
      <c r="BG106" s="15">
        <v>12</v>
      </c>
      <c r="BH106" s="15">
        <v>0</v>
      </c>
      <c r="BI106" s="15"/>
      <c r="BJ106" s="15">
        <v>0</v>
      </c>
      <c r="BK106" s="15">
        <v>0</v>
      </c>
      <c r="BL106" s="15">
        <v>0</v>
      </c>
      <c r="BM106" s="15">
        <v>0</v>
      </c>
      <c r="BN106" s="15"/>
      <c r="BO106" s="15"/>
      <c r="BP106" s="15">
        <v>16.6</v>
      </c>
      <c r="BQ106" s="15">
        <v>194</v>
      </c>
    </row>
    <row r="107" spans="1:69">
      <c r="A107" s="16">
        <v>46086</v>
      </c>
      <c r="B107" s="15">
        <v>183</v>
      </c>
      <c r="C107" s="15" t="s">
        <v>40</v>
      </c>
      <c r="D107" s="15">
        <v>183</v>
      </c>
      <c r="E107" s="15" t="s">
        <v>40</v>
      </c>
      <c r="F107" s="15">
        <v>3487</v>
      </c>
      <c r="G107" s="15">
        <v>110</v>
      </c>
      <c r="H107" s="15">
        <v>197.65</v>
      </c>
      <c r="I107" s="15">
        <v>0.03155</v>
      </c>
      <c r="J107" s="15">
        <v>1.8</v>
      </c>
      <c r="K107" s="15">
        <v>56.68</v>
      </c>
      <c r="L107" s="15">
        <v>0</v>
      </c>
      <c r="M107" s="15">
        <v>0</v>
      </c>
      <c r="N107" s="15">
        <v>0</v>
      </c>
      <c r="O107" s="15">
        <v>0</v>
      </c>
      <c r="P107" s="15">
        <v>0</v>
      </c>
      <c r="Q107" s="15">
        <v>0</v>
      </c>
      <c r="R107" s="15">
        <v>0</v>
      </c>
      <c r="S107" s="15">
        <v>113.44</v>
      </c>
      <c r="T107" s="15">
        <v>113.44</v>
      </c>
      <c r="U107" s="15">
        <v>1</v>
      </c>
      <c r="V107" s="15">
        <v>0</v>
      </c>
      <c r="W107" s="15">
        <v>1</v>
      </c>
      <c r="X107" s="15">
        <v>0.00909</v>
      </c>
      <c r="Y107" s="15">
        <v>0.57</v>
      </c>
      <c r="Z107" s="15">
        <v>0.57</v>
      </c>
      <c r="AA107" s="15">
        <v>197.65</v>
      </c>
      <c r="AB107" s="15">
        <v>5</v>
      </c>
      <c r="AC107" s="15">
        <v>2</v>
      </c>
      <c r="AD107" s="15">
        <v>3</v>
      </c>
      <c r="AE107" s="15">
        <v>0.04545</v>
      </c>
      <c r="AF107" s="15">
        <v>0</v>
      </c>
      <c r="AG107" s="15">
        <v>2</v>
      </c>
      <c r="AH107" s="15">
        <v>98.83</v>
      </c>
      <c r="AI107" s="15">
        <v>7</v>
      </c>
      <c r="AJ107" s="15">
        <v>28.24</v>
      </c>
      <c r="AK107" s="15">
        <v>5</v>
      </c>
      <c r="AL107" s="15">
        <v>39.53</v>
      </c>
      <c r="AM107" s="15">
        <v>2</v>
      </c>
      <c r="AN107" s="15"/>
      <c r="AO107" s="15">
        <v>0</v>
      </c>
      <c r="AP107" s="15">
        <v>39.53</v>
      </c>
      <c r="AQ107" s="15">
        <v>2</v>
      </c>
      <c r="AR107" s="15">
        <v>217.9</v>
      </c>
      <c r="AS107" s="15">
        <v>0</v>
      </c>
      <c r="AT107" s="15">
        <v>0</v>
      </c>
      <c r="AU107" s="15">
        <v>0</v>
      </c>
      <c r="AV107" s="15">
        <v>0</v>
      </c>
      <c r="AW107" s="15">
        <v>0</v>
      </c>
      <c r="AX107" s="15">
        <v>1</v>
      </c>
      <c r="AY107" s="15">
        <v>492</v>
      </c>
      <c r="AZ107" s="15">
        <v>144</v>
      </c>
      <c r="BA107" s="15">
        <v>80</v>
      </c>
      <c r="BB107" s="15">
        <v>0.55556</v>
      </c>
      <c r="BC107" s="15">
        <v>0</v>
      </c>
      <c r="BD107" s="15">
        <v>0</v>
      </c>
      <c r="BE107" s="15">
        <v>0.1411</v>
      </c>
      <c r="BF107" s="15">
        <v>246</v>
      </c>
      <c r="BG107" s="15">
        <v>3</v>
      </c>
      <c r="BH107" s="15">
        <v>1</v>
      </c>
      <c r="BI107" s="15">
        <v>1</v>
      </c>
      <c r="BJ107" s="15">
        <v>0</v>
      </c>
      <c r="BK107" s="15">
        <v>0</v>
      </c>
      <c r="BL107" s="15">
        <v>0</v>
      </c>
      <c r="BM107" s="15">
        <v>1</v>
      </c>
      <c r="BN107" s="15">
        <v>1</v>
      </c>
      <c r="BO107" s="15">
        <v>113.44</v>
      </c>
      <c r="BP107" s="15">
        <v>1.08</v>
      </c>
      <c r="BQ107" s="15">
        <v>349</v>
      </c>
    </row>
    <row r="108" spans="1:69">
      <c r="A108" s="16">
        <v>46086</v>
      </c>
      <c r="B108" s="15">
        <v>371</v>
      </c>
      <c r="C108" s="15" t="s">
        <v>32</v>
      </c>
      <c r="D108" s="15">
        <v>371</v>
      </c>
      <c r="E108" s="15" t="s">
        <v>32</v>
      </c>
      <c r="F108" s="15">
        <v>6873</v>
      </c>
      <c r="G108" s="15">
        <v>154</v>
      </c>
      <c r="H108" s="15">
        <v>50.75</v>
      </c>
      <c r="I108" s="15">
        <v>0.02241</v>
      </c>
      <c r="J108" s="15">
        <v>0.33</v>
      </c>
      <c r="K108" s="15">
        <v>7.38</v>
      </c>
      <c r="L108" s="15">
        <v>0</v>
      </c>
      <c r="M108" s="15">
        <v>0</v>
      </c>
      <c r="N108" s="15">
        <v>0</v>
      </c>
      <c r="O108" s="15">
        <v>0</v>
      </c>
      <c r="P108" s="15">
        <v>0</v>
      </c>
      <c r="Q108" s="15">
        <v>0</v>
      </c>
      <c r="R108" s="15">
        <v>0</v>
      </c>
      <c r="S108" s="15">
        <v>1301.46</v>
      </c>
      <c r="T108" s="15">
        <v>1301.46</v>
      </c>
      <c r="U108" s="15">
        <v>2</v>
      </c>
      <c r="V108" s="15">
        <v>0</v>
      </c>
      <c r="W108" s="15">
        <v>2</v>
      </c>
      <c r="X108" s="15">
        <v>0.01299</v>
      </c>
      <c r="Y108" s="15">
        <v>25.64</v>
      </c>
      <c r="Z108" s="15">
        <v>25.64</v>
      </c>
      <c r="AA108" s="15">
        <v>25.38</v>
      </c>
      <c r="AB108" s="15">
        <v>6</v>
      </c>
      <c r="AC108" s="15">
        <v>1</v>
      </c>
      <c r="AD108" s="15">
        <v>5</v>
      </c>
      <c r="AE108" s="15">
        <v>0.03896</v>
      </c>
      <c r="AF108" s="15">
        <v>0</v>
      </c>
      <c r="AG108" s="15">
        <v>0</v>
      </c>
      <c r="AH108" s="15"/>
      <c r="AI108" s="15">
        <v>6</v>
      </c>
      <c r="AJ108" s="15">
        <v>8.46</v>
      </c>
      <c r="AK108" s="15">
        <v>6</v>
      </c>
      <c r="AL108" s="15">
        <v>8.46</v>
      </c>
      <c r="AM108" s="15">
        <v>0</v>
      </c>
      <c r="AN108" s="15"/>
      <c r="AO108" s="15">
        <v>0</v>
      </c>
      <c r="AP108" s="15">
        <v>8.46</v>
      </c>
      <c r="AQ108" s="15">
        <v>3</v>
      </c>
      <c r="AR108" s="15">
        <v>1838.9</v>
      </c>
      <c r="AS108" s="15">
        <v>0</v>
      </c>
      <c r="AT108" s="15">
        <v>0</v>
      </c>
      <c r="AU108" s="15">
        <v>0</v>
      </c>
      <c r="AV108" s="15">
        <v>0</v>
      </c>
      <c r="AW108" s="15">
        <v>0</v>
      </c>
      <c r="AX108" s="15">
        <v>0</v>
      </c>
      <c r="AY108" s="15">
        <v>304</v>
      </c>
      <c r="AZ108" s="15">
        <v>142</v>
      </c>
      <c r="BA108" s="15">
        <v>134</v>
      </c>
      <c r="BB108" s="15">
        <v>0.94366</v>
      </c>
      <c r="BC108" s="15">
        <v>0</v>
      </c>
      <c r="BD108" s="15">
        <v>0</v>
      </c>
      <c r="BE108" s="15">
        <v>0.04423</v>
      </c>
      <c r="BF108" s="15">
        <v>141</v>
      </c>
      <c r="BG108" s="15">
        <v>2</v>
      </c>
      <c r="BH108" s="15">
        <v>1</v>
      </c>
      <c r="BI108" s="15">
        <v>0.5</v>
      </c>
      <c r="BJ108" s="15">
        <v>0</v>
      </c>
      <c r="BK108" s="15">
        <v>0</v>
      </c>
      <c r="BL108" s="15">
        <v>0</v>
      </c>
      <c r="BM108" s="15">
        <v>2</v>
      </c>
      <c r="BN108" s="15">
        <v>1</v>
      </c>
      <c r="BO108" s="15">
        <v>650.73</v>
      </c>
      <c r="BP108" s="15">
        <v>1.62</v>
      </c>
      <c r="BQ108" s="15">
        <v>3781</v>
      </c>
    </row>
    <row r="109" spans="1:69">
      <c r="A109" s="16">
        <v>46086</v>
      </c>
      <c r="B109" s="15">
        <v>436</v>
      </c>
      <c r="C109" s="15" t="s">
        <v>38</v>
      </c>
      <c r="D109" s="15">
        <v>436</v>
      </c>
      <c r="E109" s="15" t="s">
        <v>38</v>
      </c>
      <c r="F109" s="15">
        <v>1094</v>
      </c>
      <c r="G109" s="15">
        <v>36</v>
      </c>
      <c r="H109" s="15">
        <v>66.54</v>
      </c>
      <c r="I109" s="15">
        <v>0.03291</v>
      </c>
      <c r="J109" s="15">
        <v>1.85</v>
      </c>
      <c r="K109" s="15">
        <v>60.82</v>
      </c>
      <c r="L109" s="15">
        <v>0</v>
      </c>
      <c r="M109" s="15">
        <v>0</v>
      </c>
      <c r="N109" s="15">
        <v>0</v>
      </c>
      <c r="O109" s="15">
        <v>0</v>
      </c>
      <c r="P109" s="15">
        <v>0</v>
      </c>
      <c r="Q109" s="15">
        <v>0</v>
      </c>
      <c r="R109" s="15">
        <v>196</v>
      </c>
      <c r="S109" s="15">
        <v>0</v>
      </c>
      <c r="T109" s="15">
        <v>196</v>
      </c>
      <c r="U109" s="15">
        <v>1</v>
      </c>
      <c r="V109" s="15">
        <v>1</v>
      </c>
      <c r="W109" s="15">
        <v>0</v>
      </c>
      <c r="X109" s="15">
        <v>0.02778</v>
      </c>
      <c r="Y109" s="15">
        <v>2.95</v>
      </c>
      <c r="Z109" s="15">
        <v>2.95</v>
      </c>
      <c r="AA109" s="15">
        <v>66.54</v>
      </c>
      <c r="AB109" s="15">
        <v>5</v>
      </c>
      <c r="AC109" s="15">
        <v>5</v>
      </c>
      <c r="AD109" s="15">
        <v>0</v>
      </c>
      <c r="AE109" s="15">
        <v>0.13889</v>
      </c>
      <c r="AF109" s="15">
        <v>2</v>
      </c>
      <c r="AG109" s="15">
        <v>1</v>
      </c>
      <c r="AH109" s="15">
        <v>66.54</v>
      </c>
      <c r="AI109" s="15">
        <v>8</v>
      </c>
      <c r="AJ109" s="15">
        <v>8.32</v>
      </c>
      <c r="AK109" s="15">
        <v>7</v>
      </c>
      <c r="AL109" s="15">
        <v>9.51</v>
      </c>
      <c r="AM109" s="15">
        <v>3</v>
      </c>
      <c r="AN109" s="15">
        <v>33.27</v>
      </c>
      <c r="AO109" s="15">
        <v>0.05556</v>
      </c>
      <c r="AP109" s="15">
        <v>13.31</v>
      </c>
      <c r="AQ109" s="15">
        <v>1</v>
      </c>
      <c r="AR109" s="15">
        <v>196</v>
      </c>
      <c r="AS109" s="15">
        <v>2</v>
      </c>
      <c r="AT109" s="15">
        <v>0</v>
      </c>
      <c r="AU109" s="15">
        <v>0</v>
      </c>
      <c r="AV109" s="15">
        <v>0</v>
      </c>
      <c r="AW109" s="15">
        <v>0</v>
      </c>
      <c r="AX109" s="15">
        <v>0</v>
      </c>
      <c r="AY109" s="15">
        <v>116</v>
      </c>
      <c r="AZ109" s="15">
        <v>33</v>
      </c>
      <c r="BA109" s="15">
        <v>21</v>
      </c>
      <c r="BB109" s="15">
        <v>0.63636</v>
      </c>
      <c r="BC109" s="15">
        <v>0</v>
      </c>
      <c r="BD109" s="15">
        <v>0</v>
      </c>
      <c r="BE109" s="15">
        <v>0.10603</v>
      </c>
      <c r="BF109" s="15">
        <v>75</v>
      </c>
      <c r="BG109" s="15">
        <v>4</v>
      </c>
      <c r="BH109" s="15">
        <v>1</v>
      </c>
      <c r="BI109" s="15">
        <v>1</v>
      </c>
      <c r="BJ109" s="15">
        <v>0</v>
      </c>
      <c r="BK109" s="15">
        <v>0</v>
      </c>
      <c r="BL109" s="15">
        <v>0</v>
      </c>
      <c r="BM109" s="15">
        <v>1</v>
      </c>
      <c r="BN109" s="15">
        <v>1</v>
      </c>
      <c r="BO109" s="15">
        <v>196</v>
      </c>
      <c r="BP109" s="15">
        <v>0.07</v>
      </c>
      <c r="BQ109" s="15">
        <v>432</v>
      </c>
    </row>
    <row r="110" spans="1:69">
      <c r="A110" s="16">
        <v>46085</v>
      </c>
      <c r="B110" s="15">
        <v>371</v>
      </c>
      <c r="C110" s="15" t="s">
        <v>32</v>
      </c>
      <c r="D110" s="15">
        <v>371</v>
      </c>
      <c r="E110" s="15" t="s">
        <v>32</v>
      </c>
      <c r="F110" s="15">
        <v>2750</v>
      </c>
      <c r="G110" s="15">
        <v>84</v>
      </c>
      <c r="H110" s="15">
        <v>20.34</v>
      </c>
      <c r="I110" s="15">
        <v>0.03055</v>
      </c>
      <c r="J110" s="15">
        <v>0.24</v>
      </c>
      <c r="K110" s="15">
        <v>7.4</v>
      </c>
      <c r="L110" s="15">
        <v>0</v>
      </c>
      <c r="M110" s="15">
        <v>0</v>
      </c>
      <c r="N110" s="15">
        <v>0</v>
      </c>
      <c r="O110" s="15">
        <v>0</v>
      </c>
      <c r="P110" s="15">
        <v>0</v>
      </c>
      <c r="Q110" s="15">
        <v>0</v>
      </c>
      <c r="R110" s="15">
        <v>1413.55</v>
      </c>
      <c r="S110" s="15">
        <v>0</v>
      </c>
      <c r="T110" s="15">
        <v>1413.55</v>
      </c>
      <c r="U110" s="15">
        <v>1</v>
      </c>
      <c r="V110" s="15">
        <v>1</v>
      </c>
      <c r="W110" s="15">
        <v>0</v>
      </c>
      <c r="X110" s="15">
        <v>0.0119</v>
      </c>
      <c r="Y110" s="15">
        <v>69.5</v>
      </c>
      <c r="Z110" s="15">
        <v>69.5</v>
      </c>
      <c r="AA110" s="15">
        <v>20.34</v>
      </c>
      <c r="AB110" s="15">
        <v>1</v>
      </c>
      <c r="AC110" s="15">
        <v>0</v>
      </c>
      <c r="AD110" s="15">
        <v>1</v>
      </c>
      <c r="AE110" s="15">
        <v>0.0119</v>
      </c>
      <c r="AF110" s="15">
        <v>2</v>
      </c>
      <c r="AG110" s="15">
        <v>1</v>
      </c>
      <c r="AH110" s="15">
        <v>20.34</v>
      </c>
      <c r="AI110" s="15">
        <v>4</v>
      </c>
      <c r="AJ110" s="15">
        <v>5.09</v>
      </c>
      <c r="AK110" s="15">
        <v>3</v>
      </c>
      <c r="AL110" s="15">
        <v>6.78</v>
      </c>
      <c r="AM110" s="15">
        <v>3</v>
      </c>
      <c r="AN110" s="15">
        <v>10.17</v>
      </c>
      <c r="AO110" s="15">
        <v>0.02381</v>
      </c>
      <c r="AP110" s="15">
        <v>20.34</v>
      </c>
      <c r="AQ110" s="15">
        <v>2</v>
      </c>
      <c r="AR110" s="15">
        <v>2338</v>
      </c>
      <c r="AS110" s="15">
        <v>2</v>
      </c>
      <c r="AT110" s="15">
        <v>0</v>
      </c>
      <c r="AU110" s="15">
        <v>0</v>
      </c>
      <c r="AV110" s="15">
        <v>0</v>
      </c>
      <c r="AW110" s="15">
        <v>0</v>
      </c>
      <c r="AX110" s="15">
        <v>2</v>
      </c>
      <c r="AY110" s="15">
        <v>213</v>
      </c>
      <c r="AZ110" s="15">
        <v>80</v>
      </c>
      <c r="BA110" s="15">
        <v>66</v>
      </c>
      <c r="BB110" s="15">
        <v>0.825</v>
      </c>
      <c r="BC110" s="15">
        <v>0</v>
      </c>
      <c r="BD110" s="15">
        <v>0</v>
      </c>
      <c r="BE110" s="15">
        <v>0.07745</v>
      </c>
      <c r="BF110" s="15">
        <v>123</v>
      </c>
      <c r="BG110" s="15">
        <v>3</v>
      </c>
      <c r="BH110" s="15">
        <v>1</v>
      </c>
      <c r="BI110" s="15">
        <v>1</v>
      </c>
      <c r="BJ110" s="15">
        <v>0</v>
      </c>
      <c r="BK110" s="15">
        <v>0</v>
      </c>
      <c r="BL110" s="15">
        <v>0</v>
      </c>
      <c r="BM110" s="15">
        <v>1</v>
      </c>
      <c r="BN110" s="15">
        <v>1</v>
      </c>
      <c r="BO110" s="15">
        <v>1413.55</v>
      </c>
      <c r="BP110" s="15">
        <v>0</v>
      </c>
      <c r="BQ110" s="15">
        <v>765</v>
      </c>
    </row>
    <row r="111" spans="1:69">
      <c r="A111" s="16">
        <v>46085</v>
      </c>
      <c r="B111" s="15">
        <v>436</v>
      </c>
      <c r="C111" s="15" t="s">
        <v>38</v>
      </c>
      <c r="D111" s="15">
        <v>436</v>
      </c>
      <c r="E111" s="15" t="s">
        <v>38</v>
      </c>
      <c r="F111" s="15">
        <v>301</v>
      </c>
      <c r="G111" s="15">
        <v>15</v>
      </c>
      <c r="H111" s="15">
        <v>80</v>
      </c>
      <c r="I111" s="15">
        <v>0.04983</v>
      </c>
      <c r="J111" s="15">
        <v>5.33</v>
      </c>
      <c r="K111" s="15">
        <v>265.78</v>
      </c>
      <c r="L111" s="15">
        <v>0</v>
      </c>
      <c r="M111" s="15">
        <v>0</v>
      </c>
      <c r="N111" s="15">
        <v>0</v>
      </c>
      <c r="O111" s="15">
        <v>0</v>
      </c>
      <c r="P111" s="15">
        <v>0</v>
      </c>
      <c r="Q111" s="15">
        <v>0</v>
      </c>
      <c r="R111" s="15">
        <v>67.04</v>
      </c>
      <c r="S111" s="15">
        <v>1413.65</v>
      </c>
      <c r="T111" s="15">
        <v>1480.69</v>
      </c>
      <c r="U111" s="15">
        <v>2</v>
      </c>
      <c r="V111" s="15">
        <v>1</v>
      </c>
      <c r="W111" s="15">
        <v>1</v>
      </c>
      <c r="X111" s="15">
        <v>0.13333</v>
      </c>
      <c r="Y111" s="15">
        <v>18.51</v>
      </c>
      <c r="Z111" s="15">
        <v>18.51</v>
      </c>
      <c r="AA111" s="15">
        <v>40</v>
      </c>
      <c r="AB111" s="15">
        <v>5</v>
      </c>
      <c r="AC111" s="15">
        <v>3</v>
      </c>
      <c r="AD111" s="15">
        <v>2</v>
      </c>
      <c r="AE111" s="15">
        <v>0.33333</v>
      </c>
      <c r="AF111" s="15">
        <v>0</v>
      </c>
      <c r="AG111" s="15">
        <v>0</v>
      </c>
      <c r="AH111" s="15"/>
      <c r="AI111" s="15">
        <v>5</v>
      </c>
      <c r="AJ111" s="15">
        <v>16</v>
      </c>
      <c r="AK111" s="15">
        <v>5</v>
      </c>
      <c r="AL111" s="15">
        <v>16</v>
      </c>
      <c r="AM111" s="15">
        <v>0</v>
      </c>
      <c r="AN111" s="15"/>
      <c r="AO111" s="15">
        <v>0</v>
      </c>
      <c r="AP111" s="15">
        <v>16</v>
      </c>
      <c r="AQ111" s="15">
        <v>3</v>
      </c>
      <c r="AR111" s="15">
        <v>2416</v>
      </c>
      <c r="AS111" s="15">
        <v>0</v>
      </c>
      <c r="AT111" s="15">
        <v>0</v>
      </c>
      <c r="AU111" s="15">
        <v>0</v>
      </c>
      <c r="AV111" s="15">
        <v>0</v>
      </c>
      <c r="AW111" s="15">
        <v>0</v>
      </c>
      <c r="AX111" s="15">
        <v>2</v>
      </c>
      <c r="AY111" s="15">
        <v>137</v>
      </c>
      <c r="AZ111" s="15">
        <v>14</v>
      </c>
      <c r="BA111" s="15">
        <v>8</v>
      </c>
      <c r="BB111" s="15">
        <v>0.57143</v>
      </c>
      <c r="BC111" s="15">
        <v>0</v>
      </c>
      <c r="BD111" s="15">
        <v>0</v>
      </c>
      <c r="BE111" s="15">
        <v>0.45515</v>
      </c>
      <c r="BF111" s="15">
        <v>118</v>
      </c>
      <c r="BG111" s="15">
        <v>10</v>
      </c>
      <c r="BH111" s="15">
        <v>2</v>
      </c>
      <c r="BI111" s="15">
        <v>1</v>
      </c>
      <c r="BJ111" s="15">
        <v>0</v>
      </c>
      <c r="BK111" s="15">
        <v>0</v>
      </c>
      <c r="BL111" s="15">
        <v>0</v>
      </c>
      <c r="BM111" s="15">
        <v>2</v>
      </c>
      <c r="BN111" s="15">
        <v>1</v>
      </c>
      <c r="BO111" s="15">
        <v>740.35</v>
      </c>
      <c r="BP111" s="15">
        <v>0.06</v>
      </c>
      <c r="BQ111" s="15">
        <v>447</v>
      </c>
    </row>
    <row r="112" spans="1:69">
      <c r="A112" s="16">
        <v>46085</v>
      </c>
      <c r="B112" s="15">
        <v>183</v>
      </c>
      <c r="C112" s="15" t="s">
        <v>40</v>
      </c>
      <c r="D112" s="15">
        <v>183</v>
      </c>
      <c r="E112" s="15" t="s">
        <v>40</v>
      </c>
      <c r="F112" s="15">
        <v>2139</v>
      </c>
      <c r="G112" s="15">
        <v>72</v>
      </c>
      <c r="H112" s="15">
        <v>178.09</v>
      </c>
      <c r="I112" s="15">
        <v>0.03366</v>
      </c>
      <c r="J112" s="15">
        <v>2.47</v>
      </c>
      <c r="K112" s="15">
        <v>83.26</v>
      </c>
      <c r="L112" s="15">
        <v>0</v>
      </c>
      <c r="M112" s="15">
        <v>0</v>
      </c>
      <c r="N112" s="15">
        <v>0</v>
      </c>
      <c r="O112" s="15">
        <v>0</v>
      </c>
      <c r="P112" s="15">
        <v>0</v>
      </c>
      <c r="Q112" s="15">
        <v>0</v>
      </c>
      <c r="R112" s="15">
        <v>63.2</v>
      </c>
      <c r="S112" s="15">
        <v>108.4</v>
      </c>
      <c r="T112" s="15">
        <v>171.6</v>
      </c>
      <c r="U112" s="15">
        <v>2</v>
      </c>
      <c r="V112" s="15">
        <v>1</v>
      </c>
      <c r="W112" s="15">
        <v>1</v>
      </c>
      <c r="X112" s="15">
        <v>0.02778</v>
      </c>
      <c r="Y112" s="15">
        <v>0.96</v>
      </c>
      <c r="Z112" s="15">
        <v>0.96</v>
      </c>
      <c r="AA112" s="15">
        <v>89.05</v>
      </c>
      <c r="AB112" s="15">
        <v>10</v>
      </c>
      <c r="AC112" s="15">
        <v>6</v>
      </c>
      <c r="AD112" s="15">
        <v>4</v>
      </c>
      <c r="AE112" s="15">
        <v>0.13889</v>
      </c>
      <c r="AF112" s="15">
        <v>2</v>
      </c>
      <c r="AG112" s="15">
        <v>0</v>
      </c>
      <c r="AH112" s="15"/>
      <c r="AI112" s="15">
        <v>12</v>
      </c>
      <c r="AJ112" s="15">
        <v>14.84</v>
      </c>
      <c r="AK112" s="15">
        <v>12</v>
      </c>
      <c r="AL112" s="15">
        <v>14.84</v>
      </c>
      <c r="AM112" s="15">
        <v>2</v>
      </c>
      <c r="AN112" s="15">
        <v>89.05</v>
      </c>
      <c r="AO112" s="15">
        <v>0.02778</v>
      </c>
      <c r="AP112" s="15">
        <v>17.81</v>
      </c>
      <c r="AQ112" s="15">
        <v>3</v>
      </c>
      <c r="AR112" s="15">
        <v>443</v>
      </c>
      <c r="AS112" s="15">
        <v>1</v>
      </c>
      <c r="AT112" s="15">
        <v>1</v>
      </c>
      <c r="AU112" s="15">
        <v>0</v>
      </c>
      <c r="AV112" s="15">
        <v>0</v>
      </c>
      <c r="AW112" s="15">
        <v>0</v>
      </c>
      <c r="AX112" s="15">
        <v>3</v>
      </c>
      <c r="AY112" s="15">
        <v>572</v>
      </c>
      <c r="AZ112" s="15">
        <v>116</v>
      </c>
      <c r="BA112" s="15">
        <v>75</v>
      </c>
      <c r="BB112" s="15">
        <v>0.64655</v>
      </c>
      <c r="BC112" s="15">
        <v>0</v>
      </c>
      <c r="BD112" s="15">
        <v>0</v>
      </c>
      <c r="BE112" s="15">
        <v>0.26741</v>
      </c>
      <c r="BF112" s="15">
        <v>320</v>
      </c>
      <c r="BG112" s="15">
        <v>5</v>
      </c>
      <c r="BH112" s="15">
        <v>1</v>
      </c>
      <c r="BI112" s="15">
        <v>1</v>
      </c>
      <c r="BJ112" s="15">
        <v>0</v>
      </c>
      <c r="BK112" s="15">
        <v>0</v>
      </c>
      <c r="BL112" s="15">
        <v>0</v>
      </c>
      <c r="BM112" s="15">
        <v>1</v>
      </c>
      <c r="BN112" s="15">
        <v>2</v>
      </c>
      <c r="BO112" s="15">
        <v>171.6</v>
      </c>
      <c r="BP112" s="15">
        <v>0.54</v>
      </c>
      <c r="BQ112" s="15">
        <v>771</v>
      </c>
    </row>
    <row r="113" spans="1:69">
      <c r="A113" s="16">
        <v>46085</v>
      </c>
      <c r="B113" s="15">
        <v>479</v>
      </c>
      <c r="C113" s="15" t="s">
        <v>39</v>
      </c>
      <c r="D113" s="15">
        <v>479</v>
      </c>
      <c r="E113" s="15" t="s">
        <v>39</v>
      </c>
      <c r="F113" s="15">
        <v>87</v>
      </c>
      <c r="G113" s="15">
        <v>50</v>
      </c>
      <c r="H113" s="15">
        <v>28.53</v>
      </c>
      <c r="I113" s="15">
        <v>0.57471</v>
      </c>
      <c r="J113" s="15">
        <v>0.57</v>
      </c>
      <c r="K113" s="15">
        <v>327.92</v>
      </c>
      <c r="L113" s="15">
        <v>0</v>
      </c>
      <c r="M113" s="15">
        <v>0</v>
      </c>
      <c r="N113" s="15">
        <v>0</v>
      </c>
      <c r="O113" s="15">
        <v>0</v>
      </c>
      <c r="P113" s="15">
        <v>0</v>
      </c>
      <c r="Q113" s="15">
        <v>0</v>
      </c>
      <c r="R113" s="15">
        <v>0</v>
      </c>
      <c r="S113" s="15">
        <v>262.24</v>
      </c>
      <c r="T113" s="15">
        <v>262.24</v>
      </c>
      <c r="U113" s="15">
        <v>1</v>
      </c>
      <c r="V113" s="15">
        <v>0</v>
      </c>
      <c r="W113" s="15">
        <v>1</v>
      </c>
      <c r="X113" s="15">
        <v>0.02</v>
      </c>
      <c r="Y113" s="15">
        <v>9.19</v>
      </c>
      <c r="Z113" s="15">
        <v>9.19</v>
      </c>
      <c r="AA113" s="15">
        <v>28.53</v>
      </c>
      <c r="AB113" s="15">
        <v>9</v>
      </c>
      <c r="AC113" s="15">
        <v>0</v>
      </c>
      <c r="AD113" s="15">
        <v>9</v>
      </c>
      <c r="AE113" s="15">
        <v>0.18</v>
      </c>
      <c r="AF113" s="15">
        <v>0</v>
      </c>
      <c r="AG113" s="15">
        <v>2</v>
      </c>
      <c r="AH113" s="15">
        <v>14.26</v>
      </c>
      <c r="AI113" s="15">
        <v>11</v>
      </c>
      <c r="AJ113" s="15">
        <v>2.59</v>
      </c>
      <c r="AK113" s="15">
        <v>9</v>
      </c>
      <c r="AL113" s="15">
        <v>3.17</v>
      </c>
      <c r="AM113" s="15">
        <v>2</v>
      </c>
      <c r="AN113" s="15"/>
      <c r="AO113" s="15">
        <v>0</v>
      </c>
      <c r="AP113" s="15">
        <v>3.17</v>
      </c>
      <c r="AQ113" s="15">
        <v>2</v>
      </c>
      <c r="AR113" s="15">
        <v>524</v>
      </c>
      <c r="AS113" s="15">
        <v>0</v>
      </c>
      <c r="AT113" s="15">
        <v>0</v>
      </c>
      <c r="AU113" s="15">
        <v>0</v>
      </c>
      <c r="AV113" s="15">
        <v>0</v>
      </c>
      <c r="AW113" s="15">
        <v>0</v>
      </c>
      <c r="AX113" s="15">
        <v>0</v>
      </c>
      <c r="AY113" s="15">
        <v>479</v>
      </c>
      <c r="AZ113" s="15">
        <v>42</v>
      </c>
      <c r="BA113" s="15">
        <v>29</v>
      </c>
      <c r="BB113" s="15">
        <v>0.69048</v>
      </c>
      <c r="BC113" s="15">
        <v>0</v>
      </c>
      <c r="BD113" s="15">
        <v>0</v>
      </c>
      <c r="BE113" s="15">
        <v>5.50575</v>
      </c>
      <c r="BF113" s="15">
        <v>415</v>
      </c>
      <c r="BG113" s="15">
        <v>11</v>
      </c>
      <c r="BH113" s="15">
        <v>1</v>
      </c>
      <c r="BI113" s="15">
        <v>1</v>
      </c>
      <c r="BJ113" s="15">
        <v>0</v>
      </c>
      <c r="BK113" s="15">
        <v>0</v>
      </c>
      <c r="BL113" s="15">
        <v>0</v>
      </c>
      <c r="BM113" s="15">
        <v>1</v>
      </c>
      <c r="BN113" s="15">
        <v>1</v>
      </c>
      <c r="BO113" s="15">
        <v>262.24</v>
      </c>
      <c r="BP113" s="15">
        <v>74</v>
      </c>
      <c r="BQ113" s="15">
        <v>782</v>
      </c>
    </row>
    <row r="114" spans="1:69">
      <c r="A114" s="16">
        <v>46084</v>
      </c>
      <c r="B114" s="15">
        <v>436</v>
      </c>
      <c r="C114" s="15" t="s">
        <v>38</v>
      </c>
      <c r="D114" s="15">
        <v>436</v>
      </c>
      <c r="E114" s="15" t="s">
        <v>38</v>
      </c>
      <c r="F114" s="15">
        <v>598</v>
      </c>
      <c r="G114" s="15">
        <v>41</v>
      </c>
      <c r="H114" s="15">
        <v>80</v>
      </c>
      <c r="I114" s="15">
        <v>0.06856</v>
      </c>
      <c r="J114" s="15">
        <v>1.95</v>
      </c>
      <c r="K114" s="15">
        <v>133.78</v>
      </c>
      <c r="L114" s="15">
        <v>0</v>
      </c>
      <c r="M114" s="15">
        <v>0</v>
      </c>
      <c r="N114" s="15">
        <v>0</v>
      </c>
      <c r="O114" s="15">
        <v>0</v>
      </c>
      <c r="P114" s="15">
        <v>0</v>
      </c>
      <c r="Q114" s="15">
        <v>0</v>
      </c>
      <c r="R114" s="15">
        <v>0</v>
      </c>
      <c r="S114" s="15">
        <v>135.04</v>
      </c>
      <c r="T114" s="15">
        <v>135.04</v>
      </c>
      <c r="U114" s="15">
        <v>2</v>
      </c>
      <c r="V114" s="15">
        <v>0</v>
      </c>
      <c r="W114" s="15">
        <v>2</v>
      </c>
      <c r="X114" s="15">
        <v>0.04878</v>
      </c>
      <c r="Y114" s="15">
        <v>1.69</v>
      </c>
      <c r="Z114" s="15">
        <v>1.69</v>
      </c>
      <c r="AA114" s="15">
        <v>40</v>
      </c>
      <c r="AB114" s="15">
        <v>4</v>
      </c>
      <c r="AC114" s="15">
        <v>1</v>
      </c>
      <c r="AD114" s="15">
        <v>3</v>
      </c>
      <c r="AE114" s="15">
        <v>0.09756</v>
      </c>
      <c r="AF114" s="15">
        <v>0</v>
      </c>
      <c r="AG114" s="15">
        <v>1</v>
      </c>
      <c r="AH114" s="15">
        <v>80</v>
      </c>
      <c r="AI114" s="15">
        <v>5</v>
      </c>
      <c r="AJ114" s="15">
        <v>16</v>
      </c>
      <c r="AK114" s="15">
        <v>4</v>
      </c>
      <c r="AL114" s="15">
        <v>20</v>
      </c>
      <c r="AM114" s="15">
        <v>1</v>
      </c>
      <c r="AN114" s="15"/>
      <c r="AO114" s="15">
        <v>0</v>
      </c>
      <c r="AP114" s="15">
        <v>20</v>
      </c>
      <c r="AQ114" s="15">
        <v>3</v>
      </c>
      <c r="AR114" s="15">
        <v>167.9</v>
      </c>
      <c r="AS114" s="15">
        <v>0</v>
      </c>
      <c r="AT114" s="15">
        <v>0</v>
      </c>
      <c r="AU114" s="15">
        <v>0</v>
      </c>
      <c r="AV114" s="15">
        <v>0</v>
      </c>
      <c r="AW114" s="15">
        <v>0</v>
      </c>
      <c r="AX114" s="15">
        <v>2</v>
      </c>
      <c r="AY114" s="15">
        <v>200</v>
      </c>
      <c r="AZ114" s="15">
        <v>38</v>
      </c>
      <c r="BA114" s="15">
        <v>30</v>
      </c>
      <c r="BB114" s="15">
        <v>0.78947</v>
      </c>
      <c r="BC114" s="15">
        <v>0</v>
      </c>
      <c r="BD114" s="15">
        <v>0</v>
      </c>
      <c r="BE114" s="15">
        <v>0.33445</v>
      </c>
      <c r="BF114" s="15">
        <v>159</v>
      </c>
      <c r="BG114" s="15">
        <v>5</v>
      </c>
      <c r="BH114" s="15">
        <v>1</v>
      </c>
      <c r="BI114" s="15">
        <v>1</v>
      </c>
      <c r="BJ114" s="15">
        <v>0</v>
      </c>
      <c r="BK114" s="15">
        <v>0</v>
      </c>
      <c r="BL114" s="15">
        <v>0</v>
      </c>
      <c r="BM114" s="15">
        <v>1</v>
      </c>
      <c r="BN114" s="15">
        <v>2</v>
      </c>
      <c r="BO114" s="15">
        <v>135.04</v>
      </c>
      <c r="BP114" s="15">
        <v>37.16</v>
      </c>
      <c r="BQ114" s="15">
        <v>387</v>
      </c>
    </row>
    <row r="115" spans="1:69">
      <c r="A115" s="16">
        <v>46084</v>
      </c>
      <c r="B115" s="15">
        <v>183</v>
      </c>
      <c r="C115" s="15" t="s">
        <v>40</v>
      </c>
      <c r="D115" s="15">
        <v>183</v>
      </c>
      <c r="E115" s="15" t="s">
        <v>40</v>
      </c>
      <c r="F115" s="15">
        <v>543</v>
      </c>
      <c r="G115" s="15">
        <v>40</v>
      </c>
      <c r="H115" s="15">
        <v>100</v>
      </c>
      <c r="I115" s="15">
        <v>0.07366</v>
      </c>
      <c r="J115" s="15">
        <v>2.5</v>
      </c>
      <c r="K115" s="15">
        <v>184.16</v>
      </c>
      <c r="L115" s="15">
        <v>0</v>
      </c>
      <c r="M115" s="15">
        <v>0</v>
      </c>
      <c r="N115" s="15">
        <v>0</v>
      </c>
      <c r="O115" s="15">
        <v>0</v>
      </c>
      <c r="P115" s="15">
        <v>0</v>
      </c>
      <c r="Q115" s="15">
        <v>0</v>
      </c>
      <c r="R115" s="15">
        <v>0</v>
      </c>
      <c r="S115" s="15">
        <v>0</v>
      </c>
      <c r="T115" s="15">
        <v>0</v>
      </c>
      <c r="U115" s="15">
        <v>0</v>
      </c>
      <c r="V115" s="15">
        <v>0</v>
      </c>
      <c r="W115" s="15">
        <v>0</v>
      </c>
      <c r="X115" s="15">
        <v>0</v>
      </c>
      <c r="Y115" s="15">
        <v>0</v>
      </c>
      <c r="Z115" s="15">
        <v>0</v>
      </c>
      <c r="AA115" s="15"/>
      <c r="AB115" s="15">
        <v>3</v>
      </c>
      <c r="AC115" s="15">
        <v>1</v>
      </c>
      <c r="AD115" s="15">
        <v>2</v>
      </c>
      <c r="AE115" s="15">
        <v>0.075</v>
      </c>
      <c r="AF115" s="15">
        <v>1</v>
      </c>
      <c r="AG115" s="15">
        <v>0</v>
      </c>
      <c r="AH115" s="15"/>
      <c r="AI115" s="15">
        <v>4</v>
      </c>
      <c r="AJ115" s="15">
        <v>25</v>
      </c>
      <c r="AK115" s="15">
        <v>4</v>
      </c>
      <c r="AL115" s="15">
        <v>25</v>
      </c>
      <c r="AM115" s="15">
        <v>1</v>
      </c>
      <c r="AN115" s="15">
        <v>100</v>
      </c>
      <c r="AO115" s="15">
        <v>0.025</v>
      </c>
      <c r="AP115" s="15">
        <v>33.33</v>
      </c>
      <c r="AQ115" s="15">
        <v>0</v>
      </c>
      <c r="AR115" s="15">
        <v>0</v>
      </c>
      <c r="AS115" s="15">
        <v>0</v>
      </c>
      <c r="AT115" s="15">
        <v>1</v>
      </c>
      <c r="AU115" s="15">
        <v>0</v>
      </c>
      <c r="AV115" s="15">
        <v>0</v>
      </c>
      <c r="AW115" s="15">
        <v>0</v>
      </c>
      <c r="AX115" s="15">
        <v>1</v>
      </c>
      <c r="AY115" s="15">
        <v>239</v>
      </c>
      <c r="AZ115" s="15">
        <v>57</v>
      </c>
      <c r="BA115" s="15">
        <v>33</v>
      </c>
      <c r="BB115" s="15">
        <v>0.57895</v>
      </c>
      <c r="BC115" s="15">
        <v>0</v>
      </c>
      <c r="BD115" s="15">
        <v>0</v>
      </c>
      <c r="BE115" s="15">
        <v>0.44015</v>
      </c>
      <c r="BF115" s="15">
        <v>148</v>
      </c>
      <c r="BG115" s="15">
        <v>4</v>
      </c>
      <c r="BH115" s="15">
        <v>0</v>
      </c>
      <c r="BI115" s="15"/>
      <c r="BJ115" s="15">
        <v>0</v>
      </c>
      <c r="BK115" s="15">
        <v>0</v>
      </c>
      <c r="BL115" s="15">
        <v>0</v>
      </c>
      <c r="BM115" s="15">
        <v>0</v>
      </c>
      <c r="BN115" s="15"/>
      <c r="BO115" s="15"/>
      <c r="BP115" s="15">
        <v>86.69</v>
      </c>
      <c r="BQ115" s="15">
        <v>169</v>
      </c>
    </row>
    <row r="116" spans="1:69">
      <c r="A116" s="16">
        <v>46084</v>
      </c>
      <c r="B116" s="15">
        <v>371</v>
      </c>
      <c r="C116" s="15" t="s">
        <v>32</v>
      </c>
      <c r="D116" s="15">
        <v>371</v>
      </c>
      <c r="E116" s="15" t="s">
        <v>32</v>
      </c>
      <c r="F116" s="15">
        <v>3812</v>
      </c>
      <c r="G116" s="15">
        <v>106</v>
      </c>
      <c r="H116" s="15">
        <v>26.16</v>
      </c>
      <c r="I116" s="15">
        <v>0.02781</v>
      </c>
      <c r="J116" s="15">
        <v>0.25</v>
      </c>
      <c r="K116" s="15">
        <v>6.86</v>
      </c>
      <c r="L116" s="15">
        <v>0</v>
      </c>
      <c r="M116" s="15">
        <v>0</v>
      </c>
      <c r="N116" s="15">
        <v>0</v>
      </c>
      <c r="O116" s="15">
        <v>0</v>
      </c>
      <c r="P116" s="15">
        <v>0</v>
      </c>
      <c r="Q116" s="15">
        <v>0</v>
      </c>
      <c r="R116" s="15">
        <v>0</v>
      </c>
      <c r="S116" s="15">
        <v>0</v>
      </c>
      <c r="T116" s="15">
        <v>0</v>
      </c>
      <c r="U116" s="15">
        <v>0</v>
      </c>
      <c r="V116" s="15">
        <v>0</v>
      </c>
      <c r="W116" s="15">
        <v>0</v>
      </c>
      <c r="X116" s="15">
        <v>0</v>
      </c>
      <c r="Y116" s="15">
        <v>0</v>
      </c>
      <c r="Z116" s="15">
        <v>0</v>
      </c>
      <c r="AA116" s="15"/>
      <c r="AB116" s="15">
        <v>9</v>
      </c>
      <c r="AC116" s="15">
        <v>0</v>
      </c>
      <c r="AD116" s="15">
        <v>9</v>
      </c>
      <c r="AE116" s="15">
        <v>0.08491</v>
      </c>
      <c r="AF116" s="15">
        <v>0</v>
      </c>
      <c r="AG116" s="15">
        <v>3</v>
      </c>
      <c r="AH116" s="15">
        <v>8.72</v>
      </c>
      <c r="AI116" s="15">
        <v>12</v>
      </c>
      <c r="AJ116" s="15">
        <v>2.18</v>
      </c>
      <c r="AK116" s="15">
        <v>9</v>
      </c>
      <c r="AL116" s="15">
        <v>2.91</v>
      </c>
      <c r="AM116" s="15">
        <v>3</v>
      </c>
      <c r="AN116" s="15"/>
      <c r="AO116" s="15">
        <v>0</v>
      </c>
      <c r="AP116" s="15">
        <v>2.91</v>
      </c>
      <c r="AQ116" s="15">
        <v>0</v>
      </c>
      <c r="AR116" s="15">
        <v>0</v>
      </c>
      <c r="AS116" s="15">
        <v>0</v>
      </c>
      <c r="AT116" s="15">
        <v>0</v>
      </c>
      <c r="AU116" s="15">
        <v>0</v>
      </c>
      <c r="AV116" s="15">
        <v>0</v>
      </c>
      <c r="AW116" s="15">
        <v>0</v>
      </c>
      <c r="AX116" s="15">
        <v>4</v>
      </c>
      <c r="AY116" s="15">
        <v>420</v>
      </c>
      <c r="AZ116" s="15">
        <v>86</v>
      </c>
      <c r="BA116" s="15">
        <v>67</v>
      </c>
      <c r="BB116" s="15">
        <v>0.77907</v>
      </c>
      <c r="BC116" s="15">
        <v>0</v>
      </c>
      <c r="BD116" s="15">
        <v>0</v>
      </c>
      <c r="BE116" s="15">
        <v>0.11018</v>
      </c>
      <c r="BF116" s="15">
        <v>313</v>
      </c>
      <c r="BG116" s="15">
        <v>5</v>
      </c>
      <c r="BH116" s="15">
        <v>0</v>
      </c>
      <c r="BI116" s="15"/>
      <c r="BJ116" s="15">
        <v>0</v>
      </c>
      <c r="BK116" s="15">
        <v>0</v>
      </c>
      <c r="BL116" s="15">
        <v>0</v>
      </c>
      <c r="BM116" s="15">
        <v>0</v>
      </c>
      <c r="BN116" s="15"/>
      <c r="BO116" s="15"/>
      <c r="BP116" s="15">
        <v>30.14</v>
      </c>
      <c r="BQ116" s="15">
        <v>132</v>
      </c>
    </row>
    <row r="117" spans="1:69">
      <c r="A117" s="16">
        <v>46084</v>
      </c>
      <c r="B117" s="15">
        <v>479</v>
      </c>
      <c r="C117" s="15" t="s">
        <v>39</v>
      </c>
      <c r="D117" s="15">
        <v>479</v>
      </c>
      <c r="E117" s="15" t="s">
        <v>39</v>
      </c>
      <c r="F117" s="15">
        <v>113</v>
      </c>
      <c r="G117" s="15">
        <v>49</v>
      </c>
      <c r="H117" s="15">
        <v>31.37</v>
      </c>
      <c r="I117" s="15">
        <v>0.43363</v>
      </c>
      <c r="J117" s="15">
        <v>0.64</v>
      </c>
      <c r="K117" s="15">
        <v>277.58</v>
      </c>
      <c r="L117" s="15">
        <v>0</v>
      </c>
      <c r="M117" s="15">
        <v>0</v>
      </c>
      <c r="N117" s="15">
        <v>0</v>
      </c>
      <c r="O117" s="15">
        <v>0</v>
      </c>
      <c r="P117" s="15">
        <v>0</v>
      </c>
      <c r="Q117" s="15">
        <v>0</v>
      </c>
      <c r="R117" s="15">
        <v>0</v>
      </c>
      <c r="S117" s="15">
        <v>291.24</v>
      </c>
      <c r="T117" s="15">
        <v>291.24</v>
      </c>
      <c r="U117" s="15">
        <v>2</v>
      </c>
      <c r="V117" s="15">
        <v>0</v>
      </c>
      <c r="W117" s="15">
        <v>2</v>
      </c>
      <c r="X117" s="15">
        <v>0.04082</v>
      </c>
      <c r="Y117" s="15">
        <v>9.29</v>
      </c>
      <c r="Z117" s="15">
        <v>9.29</v>
      </c>
      <c r="AA117" s="15">
        <v>15.68</v>
      </c>
      <c r="AB117" s="15">
        <v>12</v>
      </c>
      <c r="AC117" s="15">
        <v>0</v>
      </c>
      <c r="AD117" s="15">
        <v>12</v>
      </c>
      <c r="AE117" s="15">
        <v>0.2449</v>
      </c>
      <c r="AF117" s="15">
        <v>2</v>
      </c>
      <c r="AG117" s="15">
        <v>3</v>
      </c>
      <c r="AH117" s="15">
        <v>10.46</v>
      </c>
      <c r="AI117" s="15">
        <v>17</v>
      </c>
      <c r="AJ117" s="15">
        <v>1.85</v>
      </c>
      <c r="AK117" s="15">
        <v>14</v>
      </c>
      <c r="AL117" s="15">
        <v>2.24</v>
      </c>
      <c r="AM117" s="15">
        <v>5</v>
      </c>
      <c r="AN117" s="15">
        <v>15.68</v>
      </c>
      <c r="AO117" s="15">
        <v>0.04082</v>
      </c>
      <c r="AP117" s="15">
        <v>2.61</v>
      </c>
      <c r="AQ117" s="15">
        <v>3</v>
      </c>
      <c r="AR117" s="15">
        <v>553</v>
      </c>
      <c r="AS117" s="15">
        <v>0</v>
      </c>
      <c r="AT117" s="15">
        <v>2</v>
      </c>
      <c r="AU117" s="15">
        <v>0</v>
      </c>
      <c r="AV117" s="15">
        <v>0</v>
      </c>
      <c r="AW117" s="15">
        <v>0</v>
      </c>
      <c r="AX117" s="15">
        <v>1</v>
      </c>
      <c r="AY117" s="15">
        <v>553</v>
      </c>
      <c r="AZ117" s="15">
        <v>45</v>
      </c>
      <c r="BA117" s="15">
        <v>36</v>
      </c>
      <c r="BB117" s="15">
        <v>0.8</v>
      </c>
      <c r="BC117" s="15">
        <v>0</v>
      </c>
      <c r="BD117" s="15">
        <v>0</v>
      </c>
      <c r="BE117" s="15">
        <v>4.89381</v>
      </c>
      <c r="BF117" s="15">
        <v>501</v>
      </c>
      <c r="BG117" s="15">
        <v>12</v>
      </c>
      <c r="BH117" s="15">
        <v>2</v>
      </c>
      <c r="BI117" s="15">
        <v>1</v>
      </c>
      <c r="BJ117" s="15">
        <v>0</v>
      </c>
      <c r="BK117" s="15">
        <v>0</v>
      </c>
      <c r="BL117" s="15">
        <v>0</v>
      </c>
      <c r="BM117" s="15">
        <v>2</v>
      </c>
      <c r="BN117" s="15">
        <v>1</v>
      </c>
      <c r="BO117" s="15">
        <v>145.62</v>
      </c>
      <c r="BP117" s="15">
        <v>349.55</v>
      </c>
      <c r="BQ117" s="15">
        <v>658</v>
      </c>
    </row>
    <row r="118" spans="1:69">
      <c r="A118" s="16">
        <v>46083</v>
      </c>
      <c r="B118" s="15">
        <v>183</v>
      </c>
      <c r="C118" s="15" t="s">
        <v>40</v>
      </c>
      <c r="D118" s="15">
        <v>183</v>
      </c>
      <c r="E118" s="15" t="s">
        <v>40</v>
      </c>
      <c r="F118" s="15">
        <v>1010</v>
      </c>
      <c r="G118" s="15">
        <v>50</v>
      </c>
      <c r="H118" s="15">
        <v>100</v>
      </c>
      <c r="I118" s="15">
        <v>0.0495</v>
      </c>
      <c r="J118" s="15">
        <v>2</v>
      </c>
      <c r="K118" s="15">
        <v>99.01</v>
      </c>
      <c r="L118" s="15">
        <v>0</v>
      </c>
      <c r="M118" s="15">
        <v>0</v>
      </c>
      <c r="N118" s="15">
        <v>0</v>
      </c>
      <c r="O118" s="15">
        <v>0</v>
      </c>
      <c r="P118" s="15">
        <v>0</v>
      </c>
      <c r="Q118" s="15">
        <v>0</v>
      </c>
      <c r="R118" s="15">
        <v>0</v>
      </c>
      <c r="S118" s="15">
        <v>236</v>
      </c>
      <c r="T118" s="15">
        <v>236</v>
      </c>
      <c r="U118" s="15">
        <v>1</v>
      </c>
      <c r="V118" s="15">
        <v>0</v>
      </c>
      <c r="W118" s="15">
        <v>1</v>
      </c>
      <c r="X118" s="15">
        <v>0.02</v>
      </c>
      <c r="Y118" s="15">
        <v>2.36</v>
      </c>
      <c r="Z118" s="15">
        <v>2.36</v>
      </c>
      <c r="AA118" s="15">
        <v>100</v>
      </c>
      <c r="AB118" s="15">
        <v>8</v>
      </c>
      <c r="AC118" s="15">
        <v>3</v>
      </c>
      <c r="AD118" s="15">
        <v>5</v>
      </c>
      <c r="AE118" s="15">
        <v>0.16</v>
      </c>
      <c r="AF118" s="15">
        <v>2</v>
      </c>
      <c r="AG118" s="15">
        <v>1</v>
      </c>
      <c r="AH118" s="15">
        <v>100</v>
      </c>
      <c r="AI118" s="15">
        <v>11</v>
      </c>
      <c r="AJ118" s="15">
        <v>9.09</v>
      </c>
      <c r="AK118" s="15">
        <v>10</v>
      </c>
      <c r="AL118" s="15">
        <v>10</v>
      </c>
      <c r="AM118" s="15">
        <v>3</v>
      </c>
      <c r="AN118" s="15">
        <v>50</v>
      </c>
      <c r="AO118" s="15">
        <v>0.04</v>
      </c>
      <c r="AP118" s="15">
        <v>12.5</v>
      </c>
      <c r="AQ118" s="15">
        <v>1</v>
      </c>
      <c r="AR118" s="15">
        <v>395</v>
      </c>
      <c r="AS118" s="15">
        <v>2</v>
      </c>
      <c r="AT118" s="15">
        <v>0</v>
      </c>
      <c r="AU118" s="15">
        <v>0</v>
      </c>
      <c r="AV118" s="15">
        <v>0</v>
      </c>
      <c r="AW118" s="15">
        <v>0</v>
      </c>
      <c r="AX118" s="15">
        <v>1</v>
      </c>
      <c r="AY118" s="15">
        <v>481</v>
      </c>
      <c r="AZ118" s="15">
        <v>102</v>
      </c>
      <c r="BA118" s="15">
        <v>75</v>
      </c>
      <c r="BB118" s="15">
        <v>0.73529</v>
      </c>
      <c r="BC118" s="15">
        <v>0</v>
      </c>
      <c r="BD118" s="15">
        <v>0</v>
      </c>
      <c r="BE118" s="15">
        <v>0.47624</v>
      </c>
      <c r="BF118" s="15">
        <v>331</v>
      </c>
      <c r="BG118" s="15">
        <v>5</v>
      </c>
      <c r="BH118" s="15">
        <v>1</v>
      </c>
      <c r="BI118" s="15">
        <v>1</v>
      </c>
      <c r="BJ118" s="15">
        <v>0</v>
      </c>
      <c r="BK118" s="15">
        <v>0</v>
      </c>
      <c r="BL118" s="15">
        <v>0</v>
      </c>
      <c r="BM118" s="15">
        <v>1</v>
      </c>
      <c r="BN118" s="15">
        <v>1</v>
      </c>
      <c r="BO118" s="15">
        <v>236</v>
      </c>
      <c r="BP118" s="15">
        <v>0.24</v>
      </c>
      <c r="BQ118" s="15">
        <v>2098</v>
      </c>
    </row>
    <row r="119" spans="1:69">
      <c r="A119" s="16">
        <v>46083</v>
      </c>
      <c r="B119" s="15">
        <v>436</v>
      </c>
      <c r="C119" s="15" t="s">
        <v>38</v>
      </c>
      <c r="D119" s="15">
        <v>436</v>
      </c>
      <c r="E119" s="15" t="s">
        <v>38</v>
      </c>
      <c r="F119" s="15">
        <v>686</v>
      </c>
      <c r="G119" s="15">
        <v>28</v>
      </c>
      <c r="H119" s="15">
        <v>79.56</v>
      </c>
      <c r="I119" s="15">
        <v>0.04082</v>
      </c>
      <c r="J119" s="15">
        <v>2.84</v>
      </c>
      <c r="K119" s="15">
        <v>115.98</v>
      </c>
      <c r="L119" s="15">
        <v>0</v>
      </c>
      <c r="M119" s="15">
        <v>0</v>
      </c>
      <c r="N119" s="15">
        <v>0</v>
      </c>
      <c r="O119" s="15">
        <v>0</v>
      </c>
      <c r="P119" s="15">
        <v>0</v>
      </c>
      <c r="Q119" s="15">
        <v>0</v>
      </c>
      <c r="R119" s="15">
        <v>0</v>
      </c>
      <c r="S119" s="15">
        <v>0</v>
      </c>
      <c r="T119" s="15">
        <v>0</v>
      </c>
      <c r="U119" s="15">
        <v>0</v>
      </c>
      <c r="V119" s="15">
        <v>0</v>
      </c>
      <c r="W119" s="15">
        <v>0</v>
      </c>
      <c r="X119" s="15">
        <v>0</v>
      </c>
      <c r="Y119" s="15">
        <v>0</v>
      </c>
      <c r="Z119" s="15">
        <v>0</v>
      </c>
      <c r="AA119" s="15"/>
      <c r="AB119" s="15">
        <v>3</v>
      </c>
      <c r="AC119" s="15">
        <v>3</v>
      </c>
      <c r="AD119" s="15">
        <v>0</v>
      </c>
      <c r="AE119" s="15">
        <v>0.10714</v>
      </c>
      <c r="AF119" s="15">
        <v>0</v>
      </c>
      <c r="AG119" s="15">
        <v>1</v>
      </c>
      <c r="AH119" s="15">
        <v>79.56</v>
      </c>
      <c r="AI119" s="15">
        <v>4</v>
      </c>
      <c r="AJ119" s="15">
        <v>19.89</v>
      </c>
      <c r="AK119" s="15">
        <v>3</v>
      </c>
      <c r="AL119" s="15">
        <v>26.52</v>
      </c>
      <c r="AM119" s="15">
        <v>1</v>
      </c>
      <c r="AN119" s="15"/>
      <c r="AO119" s="15">
        <v>0</v>
      </c>
      <c r="AP119" s="15">
        <v>26.52</v>
      </c>
      <c r="AQ119" s="15">
        <v>0</v>
      </c>
      <c r="AR119" s="15">
        <v>0</v>
      </c>
      <c r="AS119" s="15">
        <v>0</v>
      </c>
      <c r="AT119" s="15">
        <v>0</v>
      </c>
      <c r="AU119" s="15">
        <v>0</v>
      </c>
      <c r="AV119" s="15">
        <v>0</v>
      </c>
      <c r="AW119" s="15">
        <v>0</v>
      </c>
      <c r="AX119" s="15">
        <v>1</v>
      </c>
      <c r="AY119" s="15">
        <v>72</v>
      </c>
      <c r="AZ119" s="15">
        <v>23</v>
      </c>
      <c r="BA119" s="15">
        <v>15</v>
      </c>
      <c r="BB119" s="15">
        <v>0.65217</v>
      </c>
      <c r="BC119" s="15">
        <v>0</v>
      </c>
      <c r="BD119" s="15">
        <v>0</v>
      </c>
      <c r="BE119" s="15">
        <v>0.10496</v>
      </c>
      <c r="BF119" s="15">
        <v>43</v>
      </c>
      <c r="BG119" s="15">
        <v>3</v>
      </c>
      <c r="BH119" s="15">
        <v>0</v>
      </c>
      <c r="BI119" s="15"/>
      <c r="BJ119" s="15">
        <v>0</v>
      </c>
      <c r="BK119" s="15">
        <v>0</v>
      </c>
      <c r="BL119" s="15">
        <v>0</v>
      </c>
      <c r="BM119" s="15">
        <v>0</v>
      </c>
      <c r="BN119" s="15"/>
      <c r="BO119" s="15"/>
      <c r="BP119" s="15">
        <v>3.86</v>
      </c>
      <c r="BQ119" s="15">
        <v>83</v>
      </c>
    </row>
    <row r="120" spans="1:69">
      <c r="A120" s="16">
        <v>46083</v>
      </c>
      <c r="B120" s="15">
        <v>371</v>
      </c>
      <c r="C120" s="15" t="s">
        <v>32</v>
      </c>
      <c r="D120" s="15">
        <v>371</v>
      </c>
      <c r="E120" s="15" t="s">
        <v>32</v>
      </c>
      <c r="F120" s="15">
        <v>4520</v>
      </c>
      <c r="G120" s="15">
        <v>123</v>
      </c>
      <c r="H120" s="15">
        <v>32.77</v>
      </c>
      <c r="I120" s="15">
        <v>0.02721</v>
      </c>
      <c r="J120" s="15">
        <v>0.27</v>
      </c>
      <c r="K120" s="15">
        <v>7.25</v>
      </c>
      <c r="L120" s="15">
        <v>0</v>
      </c>
      <c r="M120" s="15">
        <v>0</v>
      </c>
      <c r="N120" s="15">
        <v>0</v>
      </c>
      <c r="O120" s="15">
        <v>0</v>
      </c>
      <c r="P120" s="15">
        <v>0</v>
      </c>
      <c r="Q120" s="15">
        <v>0</v>
      </c>
      <c r="R120" s="15">
        <v>0</v>
      </c>
      <c r="S120" s="15">
        <v>0</v>
      </c>
      <c r="T120" s="15">
        <v>0</v>
      </c>
      <c r="U120" s="15">
        <v>0</v>
      </c>
      <c r="V120" s="15">
        <v>0</v>
      </c>
      <c r="W120" s="15">
        <v>0</v>
      </c>
      <c r="X120" s="15">
        <v>0</v>
      </c>
      <c r="Y120" s="15">
        <v>0</v>
      </c>
      <c r="Z120" s="15">
        <v>0</v>
      </c>
      <c r="AA120" s="15"/>
      <c r="AB120" s="15">
        <v>2</v>
      </c>
      <c r="AC120" s="15">
        <v>0</v>
      </c>
      <c r="AD120" s="15">
        <v>2</v>
      </c>
      <c r="AE120" s="15">
        <v>0.01626</v>
      </c>
      <c r="AF120" s="15">
        <v>5</v>
      </c>
      <c r="AG120" s="15">
        <v>2</v>
      </c>
      <c r="AH120" s="15">
        <v>16.39</v>
      </c>
      <c r="AI120" s="15">
        <v>9</v>
      </c>
      <c r="AJ120" s="15">
        <v>3.64</v>
      </c>
      <c r="AK120" s="15">
        <v>7</v>
      </c>
      <c r="AL120" s="15">
        <v>4.68</v>
      </c>
      <c r="AM120" s="15">
        <v>7</v>
      </c>
      <c r="AN120" s="15">
        <v>6.55</v>
      </c>
      <c r="AO120" s="15">
        <v>0.04065</v>
      </c>
      <c r="AP120" s="15">
        <v>16.39</v>
      </c>
      <c r="AQ120" s="15">
        <v>0</v>
      </c>
      <c r="AR120" s="15">
        <v>0</v>
      </c>
      <c r="AS120" s="15">
        <v>1</v>
      </c>
      <c r="AT120" s="15">
        <v>4</v>
      </c>
      <c r="AU120" s="15">
        <v>0</v>
      </c>
      <c r="AV120" s="15">
        <v>0</v>
      </c>
      <c r="AW120" s="15">
        <v>0</v>
      </c>
      <c r="AX120" s="15">
        <v>1</v>
      </c>
      <c r="AY120" s="15">
        <v>409</v>
      </c>
      <c r="AZ120" s="15">
        <v>108</v>
      </c>
      <c r="BA120" s="15">
        <v>99</v>
      </c>
      <c r="BB120" s="15">
        <v>0.91667</v>
      </c>
      <c r="BC120" s="15">
        <v>0</v>
      </c>
      <c r="BD120" s="15">
        <v>0</v>
      </c>
      <c r="BE120" s="15">
        <v>0.09049</v>
      </c>
      <c r="BF120" s="15">
        <v>278</v>
      </c>
      <c r="BG120" s="15">
        <v>4</v>
      </c>
      <c r="BH120" s="15">
        <v>0</v>
      </c>
      <c r="BI120" s="15"/>
      <c r="BJ120" s="15">
        <v>0</v>
      </c>
      <c r="BK120" s="15">
        <v>0</v>
      </c>
      <c r="BL120" s="15">
        <v>0</v>
      </c>
      <c r="BM120" s="15">
        <v>0</v>
      </c>
      <c r="BN120" s="15"/>
      <c r="BO120" s="15"/>
      <c r="BP120" s="15">
        <v>0</v>
      </c>
      <c r="BQ120" s="15">
        <v>304</v>
      </c>
    </row>
    <row r="121" spans="1:69">
      <c r="A121" s="16">
        <v>46083</v>
      </c>
      <c r="B121" s="15">
        <v>479</v>
      </c>
      <c r="C121" s="15" t="s">
        <v>39</v>
      </c>
      <c r="D121" s="15">
        <v>479</v>
      </c>
      <c r="E121" s="15" t="s">
        <v>39</v>
      </c>
      <c r="F121" s="15">
        <v>51</v>
      </c>
      <c r="G121" s="15">
        <v>22</v>
      </c>
      <c r="H121" s="15">
        <v>13.45</v>
      </c>
      <c r="I121" s="15">
        <v>0.43137</v>
      </c>
      <c r="J121" s="15">
        <v>0.61</v>
      </c>
      <c r="K121" s="15">
        <v>263.66</v>
      </c>
      <c r="L121" s="15">
        <v>0</v>
      </c>
      <c r="M121" s="15">
        <v>0</v>
      </c>
      <c r="N121" s="15">
        <v>0</v>
      </c>
      <c r="O121" s="15">
        <v>0</v>
      </c>
      <c r="P121" s="15">
        <v>0</v>
      </c>
      <c r="Q121" s="15">
        <v>0</v>
      </c>
      <c r="R121" s="15">
        <v>0</v>
      </c>
      <c r="S121" s="15">
        <v>0</v>
      </c>
      <c r="T121" s="15">
        <v>0</v>
      </c>
      <c r="U121" s="15">
        <v>0</v>
      </c>
      <c r="V121" s="15">
        <v>0</v>
      </c>
      <c r="W121" s="15">
        <v>0</v>
      </c>
      <c r="X121" s="15">
        <v>0</v>
      </c>
      <c r="Y121" s="15">
        <v>0</v>
      </c>
      <c r="Z121" s="15">
        <v>0</v>
      </c>
      <c r="AA121" s="15"/>
      <c r="AB121" s="15">
        <v>4</v>
      </c>
      <c r="AC121" s="15">
        <v>0</v>
      </c>
      <c r="AD121" s="15">
        <v>4</v>
      </c>
      <c r="AE121" s="15">
        <v>0.18182</v>
      </c>
      <c r="AF121" s="15">
        <v>1</v>
      </c>
      <c r="AG121" s="15">
        <v>1</v>
      </c>
      <c r="AH121" s="15">
        <v>13.45</v>
      </c>
      <c r="AI121" s="15">
        <v>6</v>
      </c>
      <c r="AJ121" s="15">
        <v>2.24</v>
      </c>
      <c r="AK121" s="15">
        <v>5</v>
      </c>
      <c r="AL121" s="15">
        <v>2.69</v>
      </c>
      <c r="AM121" s="15">
        <v>2</v>
      </c>
      <c r="AN121" s="15">
        <v>13.45</v>
      </c>
      <c r="AO121" s="15">
        <v>0.04545</v>
      </c>
      <c r="AP121" s="15">
        <v>3.36</v>
      </c>
      <c r="AQ121" s="15">
        <v>0</v>
      </c>
      <c r="AR121" s="15">
        <v>0</v>
      </c>
      <c r="AS121" s="15">
        <v>0</v>
      </c>
      <c r="AT121" s="15">
        <v>1</v>
      </c>
      <c r="AU121" s="15">
        <v>0</v>
      </c>
      <c r="AV121" s="15">
        <v>0</v>
      </c>
      <c r="AW121" s="15">
        <v>0</v>
      </c>
      <c r="AX121" s="15">
        <v>0</v>
      </c>
      <c r="AY121" s="15">
        <v>258</v>
      </c>
      <c r="AZ121" s="15">
        <v>19</v>
      </c>
      <c r="BA121" s="15">
        <v>16</v>
      </c>
      <c r="BB121" s="15">
        <v>0.84211</v>
      </c>
      <c r="BC121" s="15">
        <v>0</v>
      </c>
      <c r="BD121" s="15">
        <v>0</v>
      </c>
      <c r="BE121" s="15">
        <v>5.05882</v>
      </c>
      <c r="BF121" s="15">
        <v>236</v>
      </c>
      <c r="BG121" s="15">
        <v>14</v>
      </c>
      <c r="BH121" s="15">
        <v>0</v>
      </c>
      <c r="BI121" s="15"/>
      <c r="BJ121" s="15">
        <v>0</v>
      </c>
      <c r="BK121" s="15">
        <v>0</v>
      </c>
      <c r="BL121" s="15">
        <v>0</v>
      </c>
      <c r="BM121" s="15">
        <v>0</v>
      </c>
      <c r="BN121" s="15"/>
      <c r="BO121" s="15"/>
      <c r="BP121" s="15">
        <v>0.24</v>
      </c>
      <c r="BQ121" s="15">
        <v>249</v>
      </c>
    </row>
    <row r="122" spans="1:69">
      <c r="A122" s="16">
        <v>46082</v>
      </c>
      <c r="B122" s="15">
        <v>479</v>
      </c>
      <c r="C122" s="15" t="s">
        <v>39</v>
      </c>
      <c r="D122" s="15">
        <v>479</v>
      </c>
      <c r="E122" s="15" t="s">
        <v>39</v>
      </c>
      <c r="F122" s="15">
        <v>42</v>
      </c>
      <c r="G122" s="15">
        <v>28</v>
      </c>
      <c r="H122" s="15">
        <v>13.69</v>
      </c>
      <c r="I122" s="15">
        <v>0.66667</v>
      </c>
      <c r="J122" s="15">
        <v>0.49</v>
      </c>
      <c r="K122" s="15">
        <v>325.93</v>
      </c>
      <c r="L122" s="15">
        <v>0</v>
      </c>
      <c r="M122" s="15">
        <v>0</v>
      </c>
      <c r="N122" s="15">
        <v>0</v>
      </c>
      <c r="O122" s="15">
        <v>0</v>
      </c>
      <c r="P122" s="15">
        <v>0</v>
      </c>
      <c r="Q122" s="15">
        <v>0</v>
      </c>
      <c r="R122" s="15">
        <v>268.8</v>
      </c>
      <c r="S122" s="15">
        <v>49.9</v>
      </c>
      <c r="T122" s="15">
        <v>318.7</v>
      </c>
      <c r="U122" s="15">
        <v>2</v>
      </c>
      <c r="V122" s="15">
        <v>1</v>
      </c>
      <c r="W122" s="15">
        <v>1</v>
      </c>
      <c r="X122" s="15">
        <v>0.07143</v>
      </c>
      <c r="Y122" s="15">
        <v>23.28</v>
      </c>
      <c r="Z122" s="15">
        <v>23.28</v>
      </c>
      <c r="AA122" s="15">
        <v>6.84</v>
      </c>
      <c r="AB122" s="15">
        <v>11</v>
      </c>
      <c r="AC122" s="15">
        <v>2</v>
      </c>
      <c r="AD122" s="15">
        <v>9</v>
      </c>
      <c r="AE122" s="15">
        <v>0.39286</v>
      </c>
      <c r="AF122" s="15">
        <v>1</v>
      </c>
      <c r="AG122" s="15">
        <v>1</v>
      </c>
      <c r="AH122" s="15">
        <v>13.69</v>
      </c>
      <c r="AI122" s="15">
        <v>13</v>
      </c>
      <c r="AJ122" s="15">
        <v>1.05</v>
      </c>
      <c r="AK122" s="15">
        <v>12</v>
      </c>
      <c r="AL122" s="15">
        <v>1.14</v>
      </c>
      <c r="AM122" s="15">
        <v>2</v>
      </c>
      <c r="AN122" s="15">
        <v>13.69</v>
      </c>
      <c r="AO122" s="15">
        <v>0.03571</v>
      </c>
      <c r="AP122" s="15">
        <v>1.24</v>
      </c>
      <c r="AQ122" s="15">
        <v>2</v>
      </c>
      <c r="AR122" s="15">
        <v>377.9</v>
      </c>
      <c r="AS122" s="15">
        <v>0</v>
      </c>
      <c r="AT122" s="15">
        <v>1</v>
      </c>
      <c r="AU122" s="15">
        <v>0</v>
      </c>
      <c r="AV122" s="15">
        <v>0</v>
      </c>
      <c r="AW122" s="15">
        <v>0</v>
      </c>
      <c r="AX122" s="15">
        <v>3</v>
      </c>
      <c r="AY122" s="15">
        <v>342</v>
      </c>
      <c r="AZ122" s="15">
        <v>25</v>
      </c>
      <c r="BA122" s="15">
        <v>20</v>
      </c>
      <c r="BB122" s="15">
        <v>0.8</v>
      </c>
      <c r="BC122" s="15">
        <v>0</v>
      </c>
      <c r="BD122" s="15">
        <v>0</v>
      </c>
      <c r="BE122" s="15">
        <v>8.14286</v>
      </c>
      <c r="BF122" s="15">
        <v>313</v>
      </c>
      <c r="BG122" s="15">
        <v>14</v>
      </c>
      <c r="BH122" s="15">
        <v>2</v>
      </c>
      <c r="BI122" s="15">
        <v>1</v>
      </c>
      <c r="BJ122" s="15">
        <v>0</v>
      </c>
      <c r="BK122" s="15">
        <v>0</v>
      </c>
      <c r="BL122" s="15">
        <v>0</v>
      </c>
      <c r="BM122" s="15">
        <v>2</v>
      </c>
      <c r="BN122" s="15">
        <v>1</v>
      </c>
      <c r="BO122" s="15">
        <v>159.35</v>
      </c>
      <c r="BP122" s="15">
        <v>78.55</v>
      </c>
      <c r="BQ122" s="15">
        <v>353</v>
      </c>
    </row>
    <row r="123" spans="1:69">
      <c r="A123" s="16">
        <v>46082</v>
      </c>
      <c r="B123" s="15">
        <v>183</v>
      </c>
      <c r="C123" s="15" t="s">
        <v>40</v>
      </c>
      <c r="D123" s="15">
        <v>183</v>
      </c>
      <c r="E123" s="15" t="s">
        <v>40</v>
      </c>
      <c r="F123" s="15">
        <v>1292</v>
      </c>
      <c r="G123" s="15">
        <v>56</v>
      </c>
      <c r="H123" s="15">
        <v>100</v>
      </c>
      <c r="I123" s="15">
        <v>0.04334</v>
      </c>
      <c r="J123" s="15">
        <v>1.79</v>
      </c>
      <c r="K123" s="15">
        <v>77.4</v>
      </c>
      <c r="L123" s="15">
        <v>0</v>
      </c>
      <c r="M123" s="15">
        <v>0</v>
      </c>
      <c r="N123" s="15">
        <v>0</v>
      </c>
      <c r="O123" s="15">
        <v>0</v>
      </c>
      <c r="P123" s="15">
        <v>0</v>
      </c>
      <c r="Q123" s="15">
        <v>0</v>
      </c>
      <c r="R123" s="15">
        <v>77.17</v>
      </c>
      <c r="S123" s="15">
        <v>0</v>
      </c>
      <c r="T123" s="15">
        <v>77.17</v>
      </c>
      <c r="U123" s="15">
        <v>1</v>
      </c>
      <c r="V123" s="15">
        <v>1</v>
      </c>
      <c r="W123" s="15">
        <v>0</v>
      </c>
      <c r="X123" s="15">
        <v>0.01786</v>
      </c>
      <c r="Y123" s="15">
        <v>0.77</v>
      </c>
      <c r="Z123" s="15">
        <v>0.77</v>
      </c>
      <c r="AA123" s="15">
        <v>100</v>
      </c>
      <c r="AB123" s="15">
        <v>9</v>
      </c>
      <c r="AC123" s="15">
        <v>3</v>
      </c>
      <c r="AD123" s="15">
        <v>6</v>
      </c>
      <c r="AE123" s="15">
        <v>0.16071</v>
      </c>
      <c r="AF123" s="15">
        <v>0</v>
      </c>
      <c r="AG123" s="15">
        <v>1</v>
      </c>
      <c r="AH123" s="15">
        <v>100</v>
      </c>
      <c r="AI123" s="15">
        <v>10</v>
      </c>
      <c r="AJ123" s="15">
        <v>10</v>
      </c>
      <c r="AK123" s="15">
        <v>9</v>
      </c>
      <c r="AL123" s="15">
        <v>11.11</v>
      </c>
      <c r="AM123" s="15">
        <v>1</v>
      </c>
      <c r="AN123" s="15"/>
      <c r="AO123" s="15">
        <v>0</v>
      </c>
      <c r="AP123" s="15">
        <v>11.11</v>
      </c>
      <c r="AQ123" s="15">
        <v>2</v>
      </c>
      <c r="AR123" s="15">
        <v>148.9</v>
      </c>
      <c r="AS123" s="15">
        <v>0</v>
      </c>
      <c r="AT123" s="15">
        <v>0</v>
      </c>
      <c r="AU123" s="15">
        <v>0</v>
      </c>
      <c r="AV123" s="15">
        <v>0</v>
      </c>
      <c r="AW123" s="15">
        <v>0</v>
      </c>
      <c r="AX123" s="15">
        <v>0</v>
      </c>
      <c r="AY123" s="15">
        <v>365</v>
      </c>
      <c r="AZ123" s="15">
        <v>121</v>
      </c>
      <c r="BA123" s="15">
        <v>94</v>
      </c>
      <c r="BB123" s="15">
        <v>0.77686</v>
      </c>
      <c r="BC123" s="15">
        <v>0</v>
      </c>
      <c r="BD123" s="15">
        <v>0</v>
      </c>
      <c r="BE123" s="15">
        <v>0.28251</v>
      </c>
      <c r="BF123" s="15">
        <v>157</v>
      </c>
      <c r="BG123" s="15">
        <v>3</v>
      </c>
      <c r="BH123" s="15">
        <v>1</v>
      </c>
      <c r="BI123" s="15">
        <v>1</v>
      </c>
      <c r="BJ123" s="15">
        <v>0</v>
      </c>
      <c r="BK123" s="15">
        <v>0</v>
      </c>
      <c r="BL123" s="15">
        <v>0</v>
      </c>
      <c r="BM123" s="15">
        <v>1</v>
      </c>
      <c r="BN123" s="15">
        <v>1</v>
      </c>
      <c r="BO123" s="15">
        <v>77.17</v>
      </c>
      <c r="BP123" s="15">
        <v>27.44</v>
      </c>
      <c r="BQ123" s="15">
        <v>375</v>
      </c>
    </row>
    <row r="124" spans="1:69">
      <c r="A124" s="16">
        <v>46082</v>
      </c>
      <c r="B124" s="15">
        <v>371</v>
      </c>
      <c r="C124" s="15" t="s">
        <v>32</v>
      </c>
      <c r="D124" s="15">
        <v>371</v>
      </c>
      <c r="E124" s="15" t="s">
        <v>32</v>
      </c>
      <c r="F124" s="15">
        <v>4407</v>
      </c>
      <c r="G124" s="15">
        <v>127</v>
      </c>
      <c r="H124" s="15">
        <v>32.18</v>
      </c>
      <c r="I124" s="15">
        <v>0.02882</v>
      </c>
      <c r="J124" s="15">
        <v>0.25</v>
      </c>
      <c r="K124" s="15">
        <v>7.3</v>
      </c>
      <c r="L124" s="15">
        <v>0</v>
      </c>
      <c r="M124" s="15">
        <v>0</v>
      </c>
      <c r="N124" s="15">
        <v>0</v>
      </c>
      <c r="O124" s="15">
        <v>0</v>
      </c>
      <c r="P124" s="15">
        <v>0</v>
      </c>
      <c r="Q124" s="15">
        <v>0</v>
      </c>
      <c r="R124" s="15">
        <v>0</v>
      </c>
      <c r="S124" s="15">
        <v>0</v>
      </c>
      <c r="T124" s="15">
        <v>0</v>
      </c>
      <c r="U124" s="15">
        <v>0</v>
      </c>
      <c r="V124" s="15">
        <v>0</v>
      </c>
      <c r="W124" s="15">
        <v>0</v>
      </c>
      <c r="X124" s="15">
        <v>0</v>
      </c>
      <c r="Y124" s="15">
        <v>0</v>
      </c>
      <c r="Z124" s="15">
        <v>0</v>
      </c>
      <c r="AA124" s="15"/>
      <c r="AB124" s="15">
        <v>1</v>
      </c>
      <c r="AC124" s="15">
        <v>1</v>
      </c>
      <c r="AD124" s="15">
        <v>0</v>
      </c>
      <c r="AE124" s="15">
        <v>0.00787</v>
      </c>
      <c r="AF124" s="15">
        <v>3</v>
      </c>
      <c r="AG124" s="15">
        <v>0</v>
      </c>
      <c r="AH124" s="15"/>
      <c r="AI124" s="15">
        <v>4</v>
      </c>
      <c r="AJ124" s="15">
        <v>8.05</v>
      </c>
      <c r="AK124" s="15">
        <v>4</v>
      </c>
      <c r="AL124" s="15">
        <v>8.05</v>
      </c>
      <c r="AM124" s="15">
        <v>3</v>
      </c>
      <c r="AN124" s="15">
        <v>10.73</v>
      </c>
      <c r="AO124" s="15">
        <v>0.02362</v>
      </c>
      <c r="AP124" s="15">
        <v>32.18</v>
      </c>
      <c r="AQ124" s="15">
        <v>0</v>
      </c>
      <c r="AR124" s="15">
        <v>0</v>
      </c>
      <c r="AS124" s="15">
        <v>3</v>
      </c>
      <c r="AT124" s="15">
        <v>0</v>
      </c>
      <c r="AU124" s="15">
        <v>0</v>
      </c>
      <c r="AV124" s="15">
        <v>0</v>
      </c>
      <c r="AW124" s="15">
        <v>0</v>
      </c>
      <c r="AX124" s="15">
        <v>0</v>
      </c>
      <c r="AY124" s="15">
        <v>284</v>
      </c>
      <c r="AZ124" s="15">
        <v>121</v>
      </c>
      <c r="BA124" s="15">
        <v>104</v>
      </c>
      <c r="BB124" s="15">
        <v>0.8595</v>
      </c>
      <c r="BC124" s="15">
        <v>0</v>
      </c>
      <c r="BD124" s="15">
        <v>0</v>
      </c>
      <c r="BE124" s="15">
        <v>0.06444</v>
      </c>
      <c r="BF124" s="15">
        <v>139</v>
      </c>
      <c r="BG124" s="15">
        <v>2</v>
      </c>
      <c r="BH124" s="15">
        <v>0</v>
      </c>
      <c r="BI124" s="15"/>
      <c r="BJ124" s="15">
        <v>0</v>
      </c>
      <c r="BK124" s="15">
        <v>0</v>
      </c>
      <c r="BL124" s="15">
        <v>0</v>
      </c>
      <c r="BM124" s="15">
        <v>0</v>
      </c>
      <c r="BN124" s="15"/>
      <c r="BO124" s="15"/>
      <c r="BP124" s="15">
        <v>0</v>
      </c>
      <c r="BQ124" s="15">
        <v>1106</v>
      </c>
    </row>
    <row r="125" spans="1:69">
      <c r="A125" s="16">
        <v>46082</v>
      </c>
      <c r="B125" s="15">
        <v>436</v>
      </c>
      <c r="C125" s="15" t="s">
        <v>38</v>
      </c>
      <c r="D125" s="15">
        <v>436</v>
      </c>
      <c r="E125" s="15" t="s">
        <v>38</v>
      </c>
      <c r="F125" s="15">
        <v>838</v>
      </c>
      <c r="G125" s="15">
        <v>34</v>
      </c>
      <c r="H125" s="15">
        <v>69.93</v>
      </c>
      <c r="I125" s="15">
        <v>0.04057</v>
      </c>
      <c r="J125" s="15">
        <v>2.06</v>
      </c>
      <c r="K125" s="15">
        <v>83.45</v>
      </c>
      <c r="L125" s="15">
        <v>0</v>
      </c>
      <c r="M125" s="15">
        <v>0</v>
      </c>
      <c r="N125" s="15">
        <v>0</v>
      </c>
      <c r="O125" s="15">
        <v>0</v>
      </c>
      <c r="P125" s="15">
        <v>0</v>
      </c>
      <c r="Q125" s="15">
        <v>0</v>
      </c>
      <c r="R125" s="15">
        <v>172</v>
      </c>
      <c r="S125" s="15">
        <v>0</v>
      </c>
      <c r="T125" s="15">
        <v>172</v>
      </c>
      <c r="U125" s="15">
        <v>1</v>
      </c>
      <c r="V125" s="15">
        <v>1</v>
      </c>
      <c r="W125" s="15">
        <v>0</v>
      </c>
      <c r="X125" s="15">
        <v>0.02941</v>
      </c>
      <c r="Y125" s="15">
        <v>2.46</v>
      </c>
      <c r="Z125" s="15">
        <v>2.46</v>
      </c>
      <c r="AA125" s="15">
        <v>69.93</v>
      </c>
      <c r="AB125" s="15">
        <v>1</v>
      </c>
      <c r="AC125" s="15">
        <v>0</v>
      </c>
      <c r="AD125" s="15">
        <v>1</v>
      </c>
      <c r="AE125" s="15">
        <v>0.02941</v>
      </c>
      <c r="AF125" s="15">
        <v>0</v>
      </c>
      <c r="AG125" s="15">
        <v>0</v>
      </c>
      <c r="AH125" s="15"/>
      <c r="AI125" s="15">
        <v>1</v>
      </c>
      <c r="AJ125" s="15">
        <v>69.93</v>
      </c>
      <c r="AK125" s="15">
        <v>1</v>
      </c>
      <c r="AL125" s="15">
        <v>69.93</v>
      </c>
      <c r="AM125" s="15">
        <v>0</v>
      </c>
      <c r="AN125" s="15"/>
      <c r="AO125" s="15">
        <v>0</v>
      </c>
      <c r="AP125" s="15">
        <v>69.93</v>
      </c>
      <c r="AQ125" s="15">
        <v>2</v>
      </c>
      <c r="AR125" s="15">
        <v>245.9</v>
      </c>
      <c r="AS125" s="15">
        <v>0</v>
      </c>
      <c r="AT125" s="15">
        <v>0</v>
      </c>
      <c r="AU125" s="15">
        <v>0</v>
      </c>
      <c r="AV125" s="15">
        <v>0</v>
      </c>
      <c r="AW125" s="15">
        <v>0</v>
      </c>
      <c r="AX125" s="15">
        <v>0</v>
      </c>
      <c r="AY125" s="15">
        <v>104</v>
      </c>
      <c r="AZ125" s="15">
        <v>33</v>
      </c>
      <c r="BA125" s="15">
        <v>17</v>
      </c>
      <c r="BB125" s="15">
        <v>0.51515</v>
      </c>
      <c r="BC125" s="15">
        <v>0</v>
      </c>
      <c r="BD125" s="15">
        <v>0</v>
      </c>
      <c r="BE125" s="15">
        <v>0.12411</v>
      </c>
      <c r="BF125" s="15">
        <v>68</v>
      </c>
      <c r="BG125" s="15">
        <v>3</v>
      </c>
      <c r="BH125" s="15">
        <v>0</v>
      </c>
      <c r="BI125" s="15">
        <v>0</v>
      </c>
      <c r="BJ125" s="15">
        <v>0</v>
      </c>
      <c r="BK125" s="15">
        <v>0</v>
      </c>
      <c r="BL125" s="15">
        <v>0</v>
      </c>
      <c r="BM125" s="15">
        <v>1</v>
      </c>
      <c r="BN125" s="15">
        <v>1</v>
      </c>
      <c r="BO125" s="15">
        <v>172</v>
      </c>
      <c r="BP125" s="15">
        <v>62.42</v>
      </c>
      <c r="BQ125" s="15">
        <v>552</v>
      </c>
    </row>
    <row r="126" spans="1:69">
      <c r="A126" s="16">
        <v>46081</v>
      </c>
      <c r="B126" s="15">
        <v>371</v>
      </c>
      <c r="C126" s="15" t="s">
        <v>32</v>
      </c>
      <c r="D126" s="15">
        <v>371</v>
      </c>
      <c r="E126" s="15" t="s">
        <v>32</v>
      </c>
      <c r="F126" s="15">
        <v>5027</v>
      </c>
      <c r="G126" s="15">
        <v>124</v>
      </c>
      <c r="H126" s="15">
        <v>32</v>
      </c>
      <c r="I126" s="15">
        <v>0.02467</v>
      </c>
      <c r="J126" s="15">
        <v>0.26</v>
      </c>
      <c r="K126" s="15">
        <v>6.37</v>
      </c>
      <c r="L126" s="15">
        <v>0</v>
      </c>
      <c r="M126" s="15">
        <v>0</v>
      </c>
      <c r="N126" s="15">
        <v>0</v>
      </c>
      <c r="O126" s="15">
        <v>0</v>
      </c>
      <c r="P126" s="15">
        <v>0</v>
      </c>
      <c r="Q126" s="15">
        <v>0</v>
      </c>
      <c r="R126" s="15">
        <v>0</v>
      </c>
      <c r="S126" s="15">
        <v>0</v>
      </c>
      <c r="T126" s="15">
        <v>0</v>
      </c>
      <c r="U126" s="15">
        <v>0</v>
      </c>
      <c r="V126" s="15">
        <v>0</v>
      </c>
      <c r="W126" s="15">
        <v>0</v>
      </c>
      <c r="X126" s="15">
        <v>0</v>
      </c>
      <c r="Y126" s="15">
        <v>0</v>
      </c>
      <c r="Z126" s="15">
        <v>0</v>
      </c>
      <c r="AA126" s="15"/>
      <c r="AB126" s="15">
        <v>1</v>
      </c>
      <c r="AC126" s="15">
        <v>0</v>
      </c>
      <c r="AD126" s="15">
        <v>1</v>
      </c>
      <c r="AE126" s="15">
        <v>0.00806</v>
      </c>
      <c r="AF126" s="15">
        <v>0</v>
      </c>
      <c r="AG126" s="15">
        <v>0</v>
      </c>
      <c r="AH126" s="15"/>
      <c r="AI126" s="15">
        <v>1</v>
      </c>
      <c r="AJ126" s="15">
        <v>32</v>
      </c>
      <c r="AK126" s="15">
        <v>1</v>
      </c>
      <c r="AL126" s="15">
        <v>32</v>
      </c>
      <c r="AM126" s="15">
        <v>0</v>
      </c>
      <c r="AN126" s="15"/>
      <c r="AO126" s="15">
        <v>0</v>
      </c>
      <c r="AP126" s="15">
        <v>32</v>
      </c>
      <c r="AQ126" s="15">
        <v>0</v>
      </c>
      <c r="AR126" s="15">
        <v>0</v>
      </c>
      <c r="AS126" s="15">
        <v>0</v>
      </c>
      <c r="AT126" s="15">
        <v>0</v>
      </c>
      <c r="AU126" s="15">
        <v>0</v>
      </c>
      <c r="AV126" s="15">
        <v>0</v>
      </c>
      <c r="AW126" s="15">
        <v>0</v>
      </c>
      <c r="AX126" s="15">
        <v>1</v>
      </c>
      <c r="AY126" s="15">
        <v>193</v>
      </c>
      <c r="AZ126" s="15">
        <v>106</v>
      </c>
      <c r="BA126" s="15">
        <v>94</v>
      </c>
      <c r="BB126" s="15">
        <v>0.88679</v>
      </c>
      <c r="BC126" s="15">
        <v>0</v>
      </c>
      <c r="BD126" s="15">
        <v>0</v>
      </c>
      <c r="BE126" s="15">
        <v>0.03839</v>
      </c>
      <c r="BF126" s="15">
        <v>66</v>
      </c>
      <c r="BG126" s="15">
        <v>2</v>
      </c>
      <c r="BH126" s="15">
        <v>0</v>
      </c>
      <c r="BI126" s="15"/>
      <c r="BJ126" s="15">
        <v>0</v>
      </c>
      <c r="BK126" s="15">
        <v>0</v>
      </c>
      <c r="BL126" s="15">
        <v>0</v>
      </c>
      <c r="BM126" s="15">
        <v>0</v>
      </c>
      <c r="BN126" s="15"/>
      <c r="BO126" s="15"/>
      <c r="BP126" s="15">
        <v>0</v>
      </c>
      <c r="BQ126" s="15">
        <v>14</v>
      </c>
    </row>
    <row r="127" spans="1:69">
      <c r="A127" s="16">
        <v>46081</v>
      </c>
      <c r="B127" s="15">
        <v>183</v>
      </c>
      <c r="C127" s="15" t="s">
        <v>40</v>
      </c>
      <c r="D127" s="15">
        <v>183</v>
      </c>
      <c r="E127" s="15" t="s">
        <v>40</v>
      </c>
      <c r="F127" s="15">
        <v>881</v>
      </c>
      <c r="G127" s="15">
        <v>48</v>
      </c>
      <c r="H127" s="15">
        <v>100</v>
      </c>
      <c r="I127" s="15">
        <v>0.05448</v>
      </c>
      <c r="J127" s="15">
        <v>2.08</v>
      </c>
      <c r="K127" s="15">
        <v>113.51</v>
      </c>
      <c r="L127" s="15">
        <v>0</v>
      </c>
      <c r="M127" s="15">
        <v>0</v>
      </c>
      <c r="N127" s="15">
        <v>0</v>
      </c>
      <c r="O127" s="15">
        <v>0</v>
      </c>
      <c r="P127" s="15">
        <v>0</v>
      </c>
      <c r="Q127" s="15">
        <v>0</v>
      </c>
      <c r="R127" s="15">
        <v>0</v>
      </c>
      <c r="S127" s="15">
        <v>0</v>
      </c>
      <c r="T127" s="15">
        <v>0</v>
      </c>
      <c r="U127" s="15">
        <v>0</v>
      </c>
      <c r="V127" s="15">
        <v>0</v>
      </c>
      <c r="W127" s="15">
        <v>0</v>
      </c>
      <c r="X127" s="15">
        <v>0</v>
      </c>
      <c r="Y127" s="15">
        <v>0</v>
      </c>
      <c r="Z127" s="15">
        <v>0</v>
      </c>
      <c r="AA127" s="15"/>
      <c r="AB127" s="15">
        <v>2</v>
      </c>
      <c r="AC127" s="15">
        <v>0</v>
      </c>
      <c r="AD127" s="15">
        <v>2</v>
      </c>
      <c r="AE127" s="15">
        <v>0.04167</v>
      </c>
      <c r="AF127" s="15">
        <v>2</v>
      </c>
      <c r="AG127" s="15">
        <v>0</v>
      </c>
      <c r="AH127" s="15"/>
      <c r="AI127" s="15">
        <v>4</v>
      </c>
      <c r="AJ127" s="15">
        <v>25</v>
      </c>
      <c r="AK127" s="15">
        <v>4</v>
      </c>
      <c r="AL127" s="15">
        <v>25</v>
      </c>
      <c r="AM127" s="15">
        <v>2</v>
      </c>
      <c r="AN127" s="15">
        <v>50</v>
      </c>
      <c r="AO127" s="15">
        <v>0.04167</v>
      </c>
      <c r="AP127" s="15">
        <v>50</v>
      </c>
      <c r="AQ127" s="15">
        <v>0</v>
      </c>
      <c r="AR127" s="15">
        <v>0</v>
      </c>
      <c r="AS127" s="15">
        <v>1</v>
      </c>
      <c r="AT127" s="15">
        <v>1</v>
      </c>
      <c r="AU127" s="15">
        <v>0</v>
      </c>
      <c r="AV127" s="15">
        <v>0</v>
      </c>
      <c r="AW127" s="15">
        <v>0</v>
      </c>
      <c r="AX127" s="15">
        <v>1</v>
      </c>
      <c r="AY127" s="15">
        <v>346</v>
      </c>
      <c r="AZ127" s="15">
        <v>91</v>
      </c>
      <c r="BA127" s="15">
        <v>74</v>
      </c>
      <c r="BB127" s="15">
        <v>0.81319</v>
      </c>
      <c r="BC127" s="15">
        <v>0</v>
      </c>
      <c r="BD127" s="15">
        <v>0</v>
      </c>
      <c r="BE127" s="15">
        <v>0.39274</v>
      </c>
      <c r="BF127" s="15">
        <v>202</v>
      </c>
      <c r="BG127" s="15">
        <v>4</v>
      </c>
      <c r="BH127" s="15">
        <v>0</v>
      </c>
      <c r="BI127" s="15"/>
      <c r="BJ127" s="15">
        <v>0</v>
      </c>
      <c r="BK127" s="15">
        <v>0</v>
      </c>
      <c r="BL127" s="15">
        <v>0</v>
      </c>
      <c r="BM127" s="15">
        <v>0</v>
      </c>
      <c r="BN127" s="15"/>
      <c r="BO127" s="15"/>
      <c r="BP127" s="15">
        <v>53.48</v>
      </c>
      <c r="BQ127" s="15">
        <v>112</v>
      </c>
    </row>
    <row r="128" spans="1:69">
      <c r="A128" s="16">
        <v>46081</v>
      </c>
      <c r="B128" s="15">
        <v>479</v>
      </c>
      <c r="C128" s="15" t="s">
        <v>39</v>
      </c>
      <c r="D128" s="15">
        <v>479</v>
      </c>
      <c r="E128" s="15" t="s">
        <v>39</v>
      </c>
      <c r="F128" s="15">
        <v>76</v>
      </c>
      <c r="G128" s="15">
        <v>42</v>
      </c>
      <c r="H128" s="15">
        <v>23.04</v>
      </c>
      <c r="I128" s="15">
        <v>0.55263</v>
      </c>
      <c r="J128" s="15">
        <v>0.55</v>
      </c>
      <c r="K128" s="15">
        <v>303.16</v>
      </c>
      <c r="L128" s="15">
        <v>0</v>
      </c>
      <c r="M128" s="15">
        <v>0</v>
      </c>
      <c r="N128" s="15">
        <v>0</v>
      </c>
      <c r="O128" s="15">
        <v>0</v>
      </c>
      <c r="P128" s="15">
        <v>0</v>
      </c>
      <c r="Q128" s="15">
        <v>0</v>
      </c>
      <c r="R128" s="15">
        <v>0</v>
      </c>
      <c r="S128" s="15">
        <v>0</v>
      </c>
      <c r="T128" s="15">
        <v>0</v>
      </c>
      <c r="U128" s="15">
        <v>0</v>
      </c>
      <c r="V128" s="15">
        <v>0</v>
      </c>
      <c r="W128" s="15">
        <v>0</v>
      </c>
      <c r="X128" s="15">
        <v>0</v>
      </c>
      <c r="Y128" s="15">
        <v>0</v>
      </c>
      <c r="Z128" s="15">
        <v>0</v>
      </c>
      <c r="AA128" s="15"/>
      <c r="AB128" s="15">
        <v>10</v>
      </c>
      <c r="AC128" s="15">
        <v>1</v>
      </c>
      <c r="AD128" s="15">
        <v>9</v>
      </c>
      <c r="AE128" s="15">
        <v>0.2381</v>
      </c>
      <c r="AF128" s="15">
        <v>0</v>
      </c>
      <c r="AG128" s="15">
        <v>3</v>
      </c>
      <c r="AH128" s="15">
        <v>7.68</v>
      </c>
      <c r="AI128" s="15">
        <v>13</v>
      </c>
      <c r="AJ128" s="15">
        <v>1.77</v>
      </c>
      <c r="AK128" s="15">
        <v>10</v>
      </c>
      <c r="AL128" s="15">
        <v>2.3</v>
      </c>
      <c r="AM128" s="15">
        <v>3</v>
      </c>
      <c r="AN128" s="15"/>
      <c r="AO128" s="15">
        <v>0</v>
      </c>
      <c r="AP128" s="15">
        <v>2.3</v>
      </c>
      <c r="AQ128" s="15">
        <v>0</v>
      </c>
      <c r="AR128" s="15">
        <v>0</v>
      </c>
      <c r="AS128" s="15">
        <v>0</v>
      </c>
      <c r="AT128" s="15">
        <v>0</v>
      </c>
      <c r="AU128" s="15">
        <v>0</v>
      </c>
      <c r="AV128" s="15">
        <v>0</v>
      </c>
      <c r="AW128" s="15">
        <v>0</v>
      </c>
      <c r="AX128" s="15">
        <v>0</v>
      </c>
      <c r="AY128" s="15">
        <v>318</v>
      </c>
      <c r="AZ128" s="15">
        <v>35</v>
      </c>
      <c r="BA128" s="15">
        <v>25</v>
      </c>
      <c r="BB128" s="15">
        <v>0.71429</v>
      </c>
      <c r="BC128" s="15">
        <v>0</v>
      </c>
      <c r="BD128" s="15">
        <v>0</v>
      </c>
      <c r="BE128" s="15">
        <v>4.18421</v>
      </c>
      <c r="BF128" s="15">
        <v>272</v>
      </c>
      <c r="BG128" s="15">
        <v>9</v>
      </c>
      <c r="BH128" s="15">
        <v>0</v>
      </c>
      <c r="BI128" s="15"/>
      <c r="BJ128" s="15">
        <v>0</v>
      </c>
      <c r="BK128" s="15">
        <v>0</v>
      </c>
      <c r="BL128" s="15">
        <v>0</v>
      </c>
      <c r="BM128" s="15">
        <v>0</v>
      </c>
      <c r="BN128" s="15"/>
      <c r="BO128" s="15"/>
      <c r="BP128" s="15">
        <v>13.88</v>
      </c>
      <c r="BQ128" s="15">
        <v>150</v>
      </c>
    </row>
    <row r="129" spans="1:69">
      <c r="A129" s="16">
        <v>46081</v>
      </c>
      <c r="B129" s="15">
        <v>436</v>
      </c>
      <c r="C129" s="15" t="s">
        <v>38</v>
      </c>
      <c r="D129" s="15">
        <v>436</v>
      </c>
      <c r="E129" s="15" t="s">
        <v>38</v>
      </c>
      <c r="F129" s="15">
        <v>99</v>
      </c>
      <c r="G129" s="15">
        <v>10</v>
      </c>
      <c r="H129" s="15">
        <v>80</v>
      </c>
      <c r="I129" s="15">
        <v>0.10101</v>
      </c>
      <c r="J129" s="15">
        <v>8</v>
      </c>
      <c r="K129" s="15">
        <v>808.08</v>
      </c>
      <c r="L129" s="15">
        <v>0</v>
      </c>
      <c r="M129" s="15">
        <v>0</v>
      </c>
      <c r="N129" s="15">
        <v>0</v>
      </c>
      <c r="O129" s="15">
        <v>0</v>
      </c>
      <c r="P129" s="15">
        <v>0</v>
      </c>
      <c r="Q129" s="15">
        <v>0</v>
      </c>
      <c r="R129" s="15">
        <v>176</v>
      </c>
      <c r="S129" s="15">
        <v>0</v>
      </c>
      <c r="T129" s="15">
        <v>176</v>
      </c>
      <c r="U129" s="15">
        <v>1</v>
      </c>
      <c r="V129" s="15">
        <v>1</v>
      </c>
      <c r="W129" s="15">
        <v>0</v>
      </c>
      <c r="X129" s="15">
        <v>0.1</v>
      </c>
      <c r="Y129" s="15">
        <v>2.2</v>
      </c>
      <c r="Z129" s="15">
        <v>2.2</v>
      </c>
      <c r="AA129" s="15">
        <v>80</v>
      </c>
      <c r="AB129" s="15">
        <v>2</v>
      </c>
      <c r="AC129" s="15">
        <v>1</v>
      </c>
      <c r="AD129" s="15">
        <v>1</v>
      </c>
      <c r="AE129" s="15">
        <v>0.2</v>
      </c>
      <c r="AF129" s="15">
        <v>0</v>
      </c>
      <c r="AG129" s="15">
        <v>1</v>
      </c>
      <c r="AH129" s="15">
        <v>80</v>
      </c>
      <c r="AI129" s="15">
        <v>3</v>
      </c>
      <c r="AJ129" s="15">
        <v>26.67</v>
      </c>
      <c r="AK129" s="15">
        <v>2</v>
      </c>
      <c r="AL129" s="15">
        <v>40</v>
      </c>
      <c r="AM129" s="15">
        <v>1</v>
      </c>
      <c r="AN129" s="15"/>
      <c r="AO129" s="15">
        <v>0</v>
      </c>
      <c r="AP129" s="15">
        <v>40</v>
      </c>
      <c r="AQ129" s="15">
        <v>2</v>
      </c>
      <c r="AR129" s="15">
        <v>245.9</v>
      </c>
      <c r="AS129" s="15">
        <v>0</v>
      </c>
      <c r="AT129" s="15">
        <v>0</v>
      </c>
      <c r="AU129" s="15">
        <v>0</v>
      </c>
      <c r="AV129" s="15">
        <v>0</v>
      </c>
      <c r="AW129" s="15">
        <v>0</v>
      </c>
      <c r="AX129" s="15">
        <v>0</v>
      </c>
      <c r="AY129" s="15">
        <v>18</v>
      </c>
      <c r="AZ129" s="15">
        <v>9</v>
      </c>
      <c r="BA129" s="15">
        <v>7</v>
      </c>
      <c r="BB129" s="15">
        <v>0.77778</v>
      </c>
      <c r="BC129" s="15">
        <v>0</v>
      </c>
      <c r="BD129" s="15">
        <v>0</v>
      </c>
      <c r="BE129" s="15">
        <v>0.18182</v>
      </c>
      <c r="BF129" s="15">
        <v>9</v>
      </c>
      <c r="BG129" s="15">
        <v>2</v>
      </c>
      <c r="BH129" s="15">
        <v>1</v>
      </c>
      <c r="BI129" s="15">
        <v>1</v>
      </c>
      <c r="BJ129" s="15">
        <v>0</v>
      </c>
      <c r="BK129" s="15">
        <v>0</v>
      </c>
      <c r="BL129" s="15">
        <v>0</v>
      </c>
      <c r="BM129" s="15">
        <v>1</v>
      </c>
      <c r="BN129" s="15">
        <v>1</v>
      </c>
      <c r="BO129" s="15">
        <v>176</v>
      </c>
      <c r="BP129" s="15">
        <v>0.35</v>
      </c>
      <c r="BQ129" s="15">
        <v>310</v>
      </c>
    </row>
    <row r="130" spans="1:69">
      <c r="A130" s="16">
        <v>46080</v>
      </c>
      <c r="B130" s="15">
        <v>183</v>
      </c>
      <c r="C130" s="15" t="s">
        <v>40</v>
      </c>
      <c r="D130" s="15">
        <v>183</v>
      </c>
      <c r="E130" s="15" t="s">
        <v>40</v>
      </c>
      <c r="F130" s="15">
        <v>1208</v>
      </c>
      <c r="G130" s="15">
        <v>50</v>
      </c>
      <c r="H130" s="15">
        <v>100</v>
      </c>
      <c r="I130" s="15">
        <v>0.04139</v>
      </c>
      <c r="J130" s="15">
        <v>2</v>
      </c>
      <c r="K130" s="15">
        <v>82.78</v>
      </c>
      <c r="L130" s="15">
        <v>0</v>
      </c>
      <c r="M130" s="15">
        <v>0</v>
      </c>
      <c r="N130" s="15">
        <v>0</v>
      </c>
      <c r="O130" s="15">
        <v>0</v>
      </c>
      <c r="P130" s="15">
        <v>0</v>
      </c>
      <c r="Q130" s="15">
        <v>0</v>
      </c>
      <c r="R130" s="15">
        <v>0</v>
      </c>
      <c r="S130" s="15">
        <v>0</v>
      </c>
      <c r="T130" s="15">
        <v>0</v>
      </c>
      <c r="U130" s="15">
        <v>0</v>
      </c>
      <c r="V130" s="15">
        <v>0</v>
      </c>
      <c r="W130" s="15">
        <v>0</v>
      </c>
      <c r="X130" s="15">
        <v>0</v>
      </c>
      <c r="Y130" s="15">
        <v>0</v>
      </c>
      <c r="Z130" s="15">
        <v>0</v>
      </c>
      <c r="AA130" s="15"/>
      <c r="AB130" s="15">
        <v>4</v>
      </c>
      <c r="AC130" s="15">
        <v>3</v>
      </c>
      <c r="AD130" s="15">
        <v>1</v>
      </c>
      <c r="AE130" s="15">
        <v>0.08</v>
      </c>
      <c r="AF130" s="15">
        <v>3</v>
      </c>
      <c r="AG130" s="15">
        <v>2</v>
      </c>
      <c r="AH130" s="15">
        <v>50</v>
      </c>
      <c r="AI130" s="15">
        <v>9</v>
      </c>
      <c r="AJ130" s="15">
        <v>11.11</v>
      </c>
      <c r="AK130" s="15">
        <v>7</v>
      </c>
      <c r="AL130" s="15">
        <v>14.29</v>
      </c>
      <c r="AM130" s="15">
        <v>5</v>
      </c>
      <c r="AN130" s="15">
        <v>33.33</v>
      </c>
      <c r="AO130" s="15">
        <v>0.06</v>
      </c>
      <c r="AP130" s="15">
        <v>25</v>
      </c>
      <c r="AQ130" s="15">
        <v>0</v>
      </c>
      <c r="AR130" s="15">
        <v>0</v>
      </c>
      <c r="AS130" s="15">
        <v>2</v>
      </c>
      <c r="AT130" s="15">
        <v>1</v>
      </c>
      <c r="AU130" s="15">
        <v>0</v>
      </c>
      <c r="AV130" s="15">
        <v>0</v>
      </c>
      <c r="AW130" s="15">
        <v>0</v>
      </c>
      <c r="AX130" s="15">
        <v>1</v>
      </c>
      <c r="AY130" s="15">
        <v>367</v>
      </c>
      <c r="AZ130" s="15">
        <v>124</v>
      </c>
      <c r="BA130" s="15">
        <v>106</v>
      </c>
      <c r="BB130" s="15">
        <v>0.85484</v>
      </c>
      <c r="BC130" s="15">
        <v>0</v>
      </c>
      <c r="BD130" s="15">
        <v>0</v>
      </c>
      <c r="BE130" s="15">
        <v>0.30381</v>
      </c>
      <c r="BF130" s="15">
        <v>176</v>
      </c>
      <c r="BG130" s="15">
        <v>3</v>
      </c>
      <c r="BH130" s="15">
        <v>0</v>
      </c>
      <c r="BI130" s="15"/>
      <c r="BJ130" s="15">
        <v>0</v>
      </c>
      <c r="BK130" s="15">
        <v>0</v>
      </c>
      <c r="BL130" s="15">
        <v>0</v>
      </c>
      <c r="BM130" s="15">
        <v>0</v>
      </c>
      <c r="BN130" s="15"/>
      <c r="BO130" s="15"/>
      <c r="BP130" s="15">
        <v>26.75</v>
      </c>
      <c r="BQ130" s="15">
        <v>155</v>
      </c>
    </row>
    <row r="131" spans="1:69">
      <c r="A131" s="16">
        <v>46080</v>
      </c>
      <c r="B131" s="15">
        <v>479</v>
      </c>
      <c r="C131" s="15" t="s">
        <v>39</v>
      </c>
      <c r="D131" s="15">
        <v>479</v>
      </c>
      <c r="E131" s="15" t="s">
        <v>39</v>
      </c>
      <c r="F131" s="15">
        <v>62</v>
      </c>
      <c r="G131" s="15">
        <v>24</v>
      </c>
      <c r="H131" s="15">
        <v>16.47</v>
      </c>
      <c r="I131" s="15">
        <v>0.3871</v>
      </c>
      <c r="J131" s="15">
        <v>0.69</v>
      </c>
      <c r="K131" s="15">
        <v>265.66</v>
      </c>
      <c r="L131" s="15">
        <v>0</v>
      </c>
      <c r="M131" s="15">
        <v>0</v>
      </c>
      <c r="N131" s="15">
        <v>0</v>
      </c>
      <c r="O131" s="15">
        <v>0</v>
      </c>
      <c r="P131" s="15">
        <v>0</v>
      </c>
      <c r="Q131" s="15">
        <v>0</v>
      </c>
      <c r="R131" s="15">
        <v>0</v>
      </c>
      <c r="S131" s="15">
        <v>0</v>
      </c>
      <c r="T131" s="15">
        <v>0</v>
      </c>
      <c r="U131" s="15">
        <v>0</v>
      </c>
      <c r="V131" s="15">
        <v>0</v>
      </c>
      <c r="W131" s="15">
        <v>0</v>
      </c>
      <c r="X131" s="15">
        <v>0</v>
      </c>
      <c r="Y131" s="15">
        <v>0</v>
      </c>
      <c r="Z131" s="15">
        <v>0</v>
      </c>
      <c r="AA131" s="15"/>
      <c r="AB131" s="15">
        <v>14</v>
      </c>
      <c r="AC131" s="15">
        <v>2</v>
      </c>
      <c r="AD131" s="15">
        <v>12</v>
      </c>
      <c r="AE131" s="15">
        <v>0.58333</v>
      </c>
      <c r="AF131" s="15">
        <v>0</v>
      </c>
      <c r="AG131" s="15">
        <v>3</v>
      </c>
      <c r="AH131" s="15">
        <v>5.49</v>
      </c>
      <c r="AI131" s="15">
        <v>17</v>
      </c>
      <c r="AJ131" s="15">
        <v>0.97</v>
      </c>
      <c r="AK131" s="15">
        <v>14</v>
      </c>
      <c r="AL131" s="15">
        <v>1.18</v>
      </c>
      <c r="AM131" s="15">
        <v>3</v>
      </c>
      <c r="AN131" s="15"/>
      <c r="AO131" s="15">
        <v>0</v>
      </c>
      <c r="AP131" s="15">
        <v>1.18</v>
      </c>
      <c r="AQ131" s="15">
        <v>0</v>
      </c>
      <c r="AR131" s="15">
        <v>0</v>
      </c>
      <c r="AS131" s="15">
        <v>0</v>
      </c>
      <c r="AT131" s="15">
        <v>0</v>
      </c>
      <c r="AU131" s="15">
        <v>0</v>
      </c>
      <c r="AV131" s="15">
        <v>0</v>
      </c>
      <c r="AW131" s="15">
        <v>0</v>
      </c>
      <c r="AX131" s="15">
        <v>0</v>
      </c>
      <c r="AY131" s="15">
        <v>198</v>
      </c>
      <c r="AZ131" s="15">
        <v>21</v>
      </c>
      <c r="BA131" s="15">
        <v>15</v>
      </c>
      <c r="BB131" s="15">
        <v>0.71429</v>
      </c>
      <c r="BC131" s="15">
        <v>0</v>
      </c>
      <c r="BD131" s="15">
        <v>0</v>
      </c>
      <c r="BE131" s="15">
        <v>3.19355</v>
      </c>
      <c r="BF131" s="15">
        <v>171</v>
      </c>
      <c r="BG131" s="15">
        <v>9</v>
      </c>
      <c r="BH131" s="15">
        <v>0</v>
      </c>
      <c r="BI131" s="15"/>
      <c r="BJ131" s="15">
        <v>0</v>
      </c>
      <c r="BK131" s="15">
        <v>0</v>
      </c>
      <c r="BL131" s="15">
        <v>0</v>
      </c>
      <c r="BM131" s="15">
        <v>0</v>
      </c>
      <c r="BN131" s="15"/>
      <c r="BO131" s="15"/>
      <c r="BP131" s="15">
        <v>1.45</v>
      </c>
      <c r="BQ131" s="15">
        <v>309</v>
      </c>
    </row>
    <row r="132" spans="1:69">
      <c r="A132" s="16">
        <v>46080</v>
      </c>
      <c r="B132" s="15">
        <v>436</v>
      </c>
      <c r="C132" s="15" t="s">
        <v>38</v>
      </c>
      <c r="D132" s="15">
        <v>436</v>
      </c>
      <c r="E132" s="15" t="s">
        <v>38</v>
      </c>
      <c r="F132" s="15">
        <v>596</v>
      </c>
      <c r="G132" s="15">
        <v>30</v>
      </c>
      <c r="H132" s="15">
        <v>80</v>
      </c>
      <c r="I132" s="15">
        <v>0.05034</v>
      </c>
      <c r="J132" s="15">
        <v>2.67</v>
      </c>
      <c r="K132" s="15">
        <v>134.23</v>
      </c>
      <c r="L132" s="15">
        <v>0</v>
      </c>
      <c r="M132" s="15">
        <v>0</v>
      </c>
      <c r="N132" s="15">
        <v>0</v>
      </c>
      <c r="O132" s="15">
        <v>0</v>
      </c>
      <c r="P132" s="15">
        <v>0</v>
      </c>
      <c r="Q132" s="15">
        <v>0</v>
      </c>
      <c r="R132" s="15">
        <v>0</v>
      </c>
      <c r="S132" s="15">
        <v>0</v>
      </c>
      <c r="T132" s="15">
        <v>0</v>
      </c>
      <c r="U132" s="15">
        <v>0</v>
      </c>
      <c r="V132" s="15">
        <v>0</v>
      </c>
      <c r="W132" s="15">
        <v>0</v>
      </c>
      <c r="X132" s="15">
        <v>0</v>
      </c>
      <c r="Y132" s="15">
        <v>0</v>
      </c>
      <c r="Z132" s="15">
        <v>0</v>
      </c>
      <c r="AA132" s="15"/>
      <c r="AB132" s="15">
        <v>0</v>
      </c>
      <c r="AC132" s="15">
        <v>0</v>
      </c>
      <c r="AD132" s="15">
        <v>0</v>
      </c>
      <c r="AE132" s="15">
        <v>0</v>
      </c>
      <c r="AF132" s="15">
        <v>4</v>
      </c>
      <c r="AG132" s="15">
        <v>1</v>
      </c>
      <c r="AH132" s="15">
        <v>80</v>
      </c>
      <c r="AI132" s="15">
        <v>5</v>
      </c>
      <c r="AJ132" s="15">
        <v>16</v>
      </c>
      <c r="AK132" s="15">
        <v>4</v>
      </c>
      <c r="AL132" s="15">
        <v>20</v>
      </c>
      <c r="AM132" s="15">
        <v>5</v>
      </c>
      <c r="AN132" s="15">
        <v>20</v>
      </c>
      <c r="AO132" s="15">
        <v>0.13333</v>
      </c>
      <c r="AP132" s="15"/>
      <c r="AQ132" s="15">
        <v>0</v>
      </c>
      <c r="AR132" s="15">
        <v>0</v>
      </c>
      <c r="AS132" s="15">
        <v>1</v>
      </c>
      <c r="AT132" s="15">
        <v>3</v>
      </c>
      <c r="AU132" s="15">
        <v>0</v>
      </c>
      <c r="AV132" s="15">
        <v>0</v>
      </c>
      <c r="AW132" s="15">
        <v>0</v>
      </c>
      <c r="AX132" s="15">
        <v>0</v>
      </c>
      <c r="AY132" s="15">
        <v>100</v>
      </c>
      <c r="AZ132" s="15">
        <v>25</v>
      </c>
      <c r="BA132" s="15">
        <v>13</v>
      </c>
      <c r="BB132" s="15">
        <v>0.52</v>
      </c>
      <c r="BC132" s="15">
        <v>0</v>
      </c>
      <c r="BD132" s="15">
        <v>0</v>
      </c>
      <c r="BE132" s="15">
        <v>0.16779</v>
      </c>
      <c r="BF132" s="15">
        <v>66</v>
      </c>
      <c r="BG132" s="15">
        <v>4</v>
      </c>
      <c r="BH132" s="15">
        <v>0</v>
      </c>
      <c r="BI132" s="15"/>
      <c r="BJ132" s="15">
        <v>0</v>
      </c>
      <c r="BK132" s="15">
        <v>0</v>
      </c>
      <c r="BL132" s="15">
        <v>0</v>
      </c>
      <c r="BM132" s="15">
        <v>0</v>
      </c>
      <c r="BN132" s="15"/>
      <c r="BO132" s="15"/>
      <c r="BP132" s="15">
        <v>2.54</v>
      </c>
      <c r="BQ132" s="15">
        <v>301</v>
      </c>
    </row>
    <row r="133" spans="1:69">
      <c r="A133" s="16">
        <v>46080</v>
      </c>
      <c r="B133" s="15">
        <v>371</v>
      </c>
      <c r="C133" s="15" t="s">
        <v>32</v>
      </c>
      <c r="D133" s="15">
        <v>371</v>
      </c>
      <c r="E133" s="15" t="s">
        <v>32</v>
      </c>
      <c r="F133" s="15">
        <v>4994</v>
      </c>
      <c r="G133" s="15">
        <v>133</v>
      </c>
      <c r="H133" s="15">
        <v>33.98</v>
      </c>
      <c r="I133" s="15">
        <v>0.02663</v>
      </c>
      <c r="J133" s="15">
        <v>0.26</v>
      </c>
      <c r="K133" s="15">
        <v>6.8</v>
      </c>
      <c r="L133" s="15">
        <v>0</v>
      </c>
      <c r="M133" s="15">
        <v>0</v>
      </c>
      <c r="N133" s="15">
        <v>0</v>
      </c>
      <c r="O133" s="15">
        <v>0</v>
      </c>
      <c r="P133" s="15">
        <v>0</v>
      </c>
      <c r="Q133" s="15">
        <v>0</v>
      </c>
      <c r="R133" s="15">
        <v>0</v>
      </c>
      <c r="S133" s="15">
        <v>0</v>
      </c>
      <c r="T133" s="15">
        <v>0</v>
      </c>
      <c r="U133" s="15">
        <v>0</v>
      </c>
      <c r="V133" s="15">
        <v>0</v>
      </c>
      <c r="W133" s="15">
        <v>0</v>
      </c>
      <c r="X133" s="15">
        <v>0</v>
      </c>
      <c r="Y133" s="15">
        <v>0</v>
      </c>
      <c r="Z133" s="15">
        <v>0</v>
      </c>
      <c r="AA133" s="15"/>
      <c r="AB133" s="15">
        <v>2</v>
      </c>
      <c r="AC133" s="15">
        <v>0</v>
      </c>
      <c r="AD133" s="15">
        <v>2</v>
      </c>
      <c r="AE133" s="15">
        <v>0.01504</v>
      </c>
      <c r="AF133" s="15">
        <v>0</v>
      </c>
      <c r="AG133" s="15">
        <v>1</v>
      </c>
      <c r="AH133" s="15">
        <v>33.98</v>
      </c>
      <c r="AI133" s="15">
        <v>3</v>
      </c>
      <c r="AJ133" s="15">
        <v>11.33</v>
      </c>
      <c r="AK133" s="15">
        <v>2</v>
      </c>
      <c r="AL133" s="15">
        <v>16.99</v>
      </c>
      <c r="AM133" s="15">
        <v>1</v>
      </c>
      <c r="AN133" s="15"/>
      <c r="AO133" s="15">
        <v>0</v>
      </c>
      <c r="AP133" s="15">
        <v>16.99</v>
      </c>
      <c r="AQ133" s="15">
        <v>0</v>
      </c>
      <c r="AR133" s="15">
        <v>0</v>
      </c>
      <c r="AS133" s="15">
        <v>0</v>
      </c>
      <c r="AT133" s="15">
        <v>0</v>
      </c>
      <c r="AU133" s="15">
        <v>0</v>
      </c>
      <c r="AV133" s="15">
        <v>0</v>
      </c>
      <c r="AW133" s="15">
        <v>0</v>
      </c>
      <c r="AX133" s="15">
        <v>2</v>
      </c>
      <c r="AY133" s="15">
        <v>268</v>
      </c>
      <c r="AZ133" s="15">
        <v>114</v>
      </c>
      <c r="BA133" s="15">
        <v>100</v>
      </c>
      <c r="BB133" s="15">
        <v>0.87719</v>
      </c>
      <c r="BC133" s="15">
        <v>0</v>
      </c>
      <c r="BD133" s="15">
        <v>0</v>
      </c>
      <c r="BE133" s="15">
        <v>0.05366</v>
      </c>
      <c r="BF133" s="15">
        <v>133</v>
      </c>
      <c r="BG133" s="15">
        <v>2</v>
      </c>
      <c r="BH133" s="15">
        <v>0</v>
      </c>
      <c r="BI133" s="15"/>
      <c r="BJ133" s="15">
        <v>0</v>
      </c>
      <c r="BK133" s="15">
        <v>0</v>
      </c>
      <c r="BL133" s="15">
        <v>0</v>
      </c>
      <c r="BM133" s="15">
        <v>0</v>
      </c>
      <c r="BN133" s="15"/>
      <c r="BO133" s="15"/>
      <c r="BP133" s="15">
        <v>0.06</v>
      </c>
      <c r="BQ133" s="15">
        <v>52</v>
      </c>
    </row>
    <row r="134" spans="1:69">
      <c r="A134" s="16">
        <v>46079</v>
      </c>
      <c r="B134" s="15">
        <v>371</v>
      </c>
      <c r="C134" s="15" t="s">
        <v>32</v>
      </c>
      <c r="D134" s="15">
        <v>371</v>
      </c>
      <c r="E134" s="15" t="s">
        <v>32</v>
      </c>
      <c r="F134" s="15">
        <v>4015</v>
      </c>
      <c r="G134" s="15">
        <v>112</v>
      </c>
      <c r="H134" s="15">
        <v>34.73</v>
      </c>
      <c r="I134" s="15">
        <v>0.0279</v>
      </c>
      <c r="J134" s="15">
        <v>0.31</v>
      </c>
      <c r="K134" s="15">
        <v>8.65</v>
      </c>
      <c r="L134" s="15">
        <v>0</v>
      </c>
      <c r="M134" s="15">
        <v>0</v>
      </c>
      <c r="N134" s="15">
        <v>0</v>
      </c>
      <c r="O134" s="15">
        <v>0</v>
      </c>
      <c r="P134" s="15">
        <v>0</v>
      </c>
      <c r="Q134" s="15">
        <v>0</v>
      </c>
      <c r="R134" s="15">
        <v>0</v>
      </c>
      <c r="S134" s="15">
        <v>33.93</v>
      </c>
      <c r="T134" s="15">
        <v>33.93</v>
      </c>
      <c r="U134" s="15">
        <v>1</v>
      </c>
      <c r="V134" s="15">
        <v>0</v>
      </c>
      <c r="W134" s="15">
        <v>1</v>
      </c>
      <c r="X134" s="15">
        <v>0.00893</v>
      </c>
      <c r="Y134" s="15">
        <v>0.98</v>
      </c>
      <c r="Z134" s="15">
        <v>0.98</v>
      </c>
      <c r="AA134" s="15">
        <v>34.73</v>
      </c>
      <c r="AB134" s="15">
        <v>5</v>
      </c>
      <c r="AC134" s="15">
        <v>0</v>
      </c>
      <c r="AD134" s="15">
        <v>5</v>
      </c>
      <c r="AE134" s="15">
        <v>0.04464</v>
      </c>
      <c r="AF134" s="15">
        <v>0</v>
      </c>
      <c r="AG134" s="15">
        <v>1</v>
      </c>
      <c r="AH134" s="15">
        <v>34.73</v>
      </c>
      <c r="AI134" s="15">
        <v>6</v>
      </c>
      <c r="AJ134" s="15">
        <v>5.79</v>
      </c>
      <c r="AK134" s="15">
        <v>5</v>
      </c>
      <c r="AL134" s="15">
        <v>6.95</v>
      </c>
      <c r="AM134" s="15">
        <v>1</v>
      </c>
      <c r="AN134" s="15"/>
      <c r="AO134" s="15">
        <v>0</v>
      </c>
      <c r="AP134" s="15">
        <v>6.95</v>
      </c>
      <c r="AQ134" s="15">
        <v>1</v>
      </c>
      <c r="AR134" s="15">
        <v>49.9</v>
      </c>
      <c r="AS134" s="15">
        <v>0</v>
      </c>
      <c r="AT134" s="15">
        <v>0</v>
      </c>
      <c r="AU134" s="15">
        <v>0</v>
      </c>
      <c r="AV134" s="15">
        <v>0</v>
      </c>
      <c r="AW134" s="15">
        <v>0</v>
      </c>
      <c r="AX134" s="15">
        <v>1</v>
      </c>
      <c r="AY134" s="15">
        <v>269</v>
      </c>
      <c r="AZ134" s="15">
        <v>100</v>
      </c>
      <c r="BA134" s="15">
        <v>88</v>
      </c>
      <c r="BB134" s="15">
        <v>0.88</v>
      </c>
      <c r="BC134" s="15">
        <v>0</v>
      </c>
      <c r="BD134" s="15">
        <v>0</v>
      </c>
      <c r="BE134" s="15">
        <v>0.067</v>
      </c>
      <c r="BF134" s="15">
        <v>157</v>
      </c>
      <c r="BG134" s="15">
        <v>3</v>
      </c>
      <c r="BH134" s="15">
        <v>1</v>
      </c>
      <c r="BI134" s="15">
        <v>1</v>
      </c>
      <c r="BJ134" s="15">
        <v>0</v>
      </c>
      <c r="BK134" s="15">
        <v>0</v>
      </c>
      <c r="BL134" s="15">
        <v>0</v>
      </c>
      <c r="BM134" s="15">
        <v>1</v>
      </c>
      <c r="BN134" s="15">
        <v>1</v>
      </c>
      <c r="BO134" s="15">
        <v>33.93</v>
      </c>
      <c r="BP134" s="15">
        <v>13.16</v>
      </c>
      <c r="BQ134" s="15">
        <v>154</v>
      </c>
    </row>
    <row r="135" spans="1:69">
      <c r="A135" s="16">
        <v>46079</v>
      </c>
      <c r="B135" s="15">
        <v>436</v>
      </c>
      <c r="C135" s="15" t="s">
        <v>38</v>
      </c>
      <c r="D135" s="15">
        <v>436</v>
      </c>
      <c r="E135" s="15" t="s">
        <v>38</v>
      </c>
      <c r="F135" s="15">
        <v>563</v>
      </c>
      <c r="G135" s="15">
        <v>20</v>
      </c>
      <c r="H135" s="15">
        <v>80</v>
      </c>
      <c r="I135" s="15">
        <v>0.03552</v>
      </c>
      <c r="J135" s="15">
        <v>4</v>
      </c>
      <c r="K135" s="15">
        <v>142.1</v>
      </c>
      <c r="L135" s="15">
        <v>0</v>
      </c>
      <c r="M135" s="15">
        <v>0</v>
      </c>
      <c r="N135" s="15">
        <v>0</v>
      </c>
      <c r="O135" s="15">
        <v>0</v>
      </c>
      <c r="P135" s="15">
        <v>0</v>
      </c>
      <c r="Q135" s="15">
        <v>0</v>
      </c>
      <c r="R135" s="15">
        <v>693.84</v>
      </c>
      <c r="S135" s="15">
        <v>5740.18</v>
      </c>
      <c r="T135" s="15">
        <v>6434.02</v>
      </c>
      <c r="U135" s="15">
        <v>8</v>
      </c>
      <c r="V135" s="15">
        <v>2</v>
      </c>
      <c r="W135" s="15">
        <v>6</v>
      </c>
      <c r="X135" s="15">
        <v>0.4</v>
      </c>
      <c r="Y135" s="15">
        <v>80.43</v>
      </c>
      <c r="Z135" s="15">
        <v>80.43</v>
      </c>
      <c r="AA135" s="15">
        <v>10</v>
      </c>
      <c r="AB135" s="15">
        <v>10</v>
      </c>
      <c r="AC135" s="15">
        <v>3</v>
      </c>
      <c r="AD135" s="15">
        <v>7</v>
      </c>
      <c r="AE135" s="15">
        <v>0.5</v>
      </c>
      <c r="AF135" s="15">
        <v>0</v>
      </c>
      <c r="AG135" s="15">
        <v>1</v>
      </c>
      <c r="AH135" s="15">
        <v>80</v>
      </c>
      <c r="AI135" s="15">
        <v>11</v>
      </c>
      <c r="AJ135" s="15">
        <v>7.27</v>
      </c>
      <c r="AK135" s="15">
        <v>10</v>
      </c>
      <c r="AL135" s="15">
        <v>8</v>
      </c>
      <c r="AM135" s="15">
        <v>1</v>
      </c>
      <c r="AN135" s="15"/>
      <c r="AO135" s="15">
        <v>0</v>
      </c>
      <c r="AP135" s="15">
        <v>8</v>
      </c>
      <c r="AQ135" s="15">
        <v>11</v>
      </c>
      <c r="AR135" s="15">
        <v>8478.9</v>
      </c>
      <c r="AS135" s="15">
        <v>0</v>
      </c>
      <c r="AT135" s="15">
        <v>0</v>
      </c>
      <c r="AU135" s="15">
        <v>0</v>
      </c>
      <c r="AV135" s="15">
        <v>0</v>
      </c>
      <c r="AW135" s="15">
        <v>0</v>
      </c>
      <c r="AX135" s="15">
        <v>7</v>
      </c>
      <c r="AY135" s="15">
        <v>154</v>
      </c>
      <c r="AZ135" s="15">
        <v>20</v>
      </c>
      <c r="BA135" s="15">
        <v>15</v>
      </c>
      <c r="BB135" s="15">
        <v>0.75</v>
      </c>
      <c r="BC135" s="15">
        <v>0</v>
      </c>
      <c r="BD135" s="15">
        <v>0</v>
      </c>
      <c r="BE135" s="15">
        <v>0.27353</v>
      </c>
      <c r="BF135" s="15">
        <v>133</v>
      </c>
      <c r="BG135" s="15">
        <v>8</v>
      </c>
      <c r="BH135" s="15">
        <v>4</v>
      </c>
      <c r="BI135" s="15">
        <v>1</v>
      </c>
      <c r="BJ135" s="15">
        <v>0</v>
      </c>
      <c r="BK135" s="15">
        <v>0</v>
      </c>
      <c r="BL135" s="15">
        <v>0</v>
      </c>
      <c r="BM135" s="15">
        <v>4</v>
      </c>
      <c r="BN135" s="15">
        <v>2</v>
      </c>
      <c r="BO135" s="15">
        <v>1608.51</v>
      </c>
      <c r="BP135" s="15">
        <v>10.69</v>
      </c>
      <c r="BQ135" s="15">
        <v>1544</v>
      </c>
    </row>
    <row r="136" spans="1:69">
      <c r="A136" s="16">
        <v>46079</v>
      </c>
      <c r="B136" s="15">
        <v>479</v>
      </c>
      <c r="C136" s="15" t="s">
        <v>39</v>
      </c>
      <c r="D136" s="15">
        <v>479</v>
      </c>
      <c r="E136" s="15" t="s">
        <v>39</v>
      </c>
      <c r="F136" s="15">
        <v>48</v>
      </c>
      <c r="G136" s="15">
        <v>22</v>
      </c>
      <c r="H136" s="15">
        <v>14.34</v>
      </c>
      <c r="I136" s="15">
        <v>0.45833</v>
      </c>
      <c r="J136" s="15">
        <v>0.65</v>
      </c>
      <c r="K136" s="15">
        <v>298.73</v>
      </c>
      <c r="L136" s="15">
        <v>0</v>
      </c>
      <c r="M136" s="15">
        <v>0</v>
      </c>
      <c r="N136" s="15">
        <v>0</v>
      </c>
      <c r="O136" s="15">
        <v>0</v>
      </c>
      <c r="P136" s="15">
        <v>0</v>
      </c>
      <c r="Q136" s="15">
        <v>0</v>
      </c>
      <c r="R136" s="15">
        <v>0</v>
      </c>
      <c r="S136" s="15">
        <v>0</v>
      </c>
      <c r="T136" s="15">
        <v>0</v>
      </c>
      <c r="U136" s="15">
        <v>0</v>
      </c>
      <c r="V136" s="15">
        <v>0</v>
      </c>
      <c r="W136" s="15">
        <v>0</v>
      </c>
      <c r="X136" s="15">
        <v>0</v>
      </c>
      <c r="Y136" s="15">
        <v>0</v>
      </c>
      <c r="Z136" s="15">
        <v>0</v>
      </c>
      <c r="AA136" s="15"/>
      <c r="AB136" s="15">
        <v>0</v>
      </c>
      <c r="AC136" s="15">
        <v>0</v>
      </c>
      <c r="AD136" s="15">
        <v>0</v>
      </c>
      <c r="AE136" s="15">
        <v>0</v>
      </c>
      <c r="AF136" s="15">
        <v>0</v>
      </c>
      <c r="AG136" s="15">
        <v>1</v>
      </c>
      <c r="AH136" s="15">
        <v>14.34</v>
      </c>
      <c r="AI136" s="15">
        <v>1</v>
      </c>
      <c r="AJ136" s="15">
        <v>14.34</v>
      </c>
      <c r="AK136" s="15">
        <v>0</v>
      </c>
      <c r="AL136" s="15"/>
      <c r="AM136" s="15">
        <v>1</v>
      </c>
      <c r="AN136" s="15"/>
      <c r="AO136" s="15">
        <v>0</v>
      </c>
      <c r="AP136" s="15"/>
      <c r="AQ136" s="15">
        <v>0</v>
      </c>
      <c r="AR136" s="15">
        <v>0</v>
      </c>
      <c r="AS136" s="15">
        <v>0</v>
      </c>
      <c r="AT136" s="15">
        <v>0</v>
      </c>
      <c r="AU136" s="15">
        <v>0</v>
      </c>
      <c r="AV136" s="15">
        <v>0</v>
      </c>
      <c r="AW136" s="15">
        <v>0</v>
      </c>
      <c r="AX136" s="15">
        <v>2</v>
      </c>
      <c r="AY136" s="15">
        <v>230</v>
      </c>
      <c r="AZ136" s="15">
        <v>21</v>
      </c>
      <c r="BA136" s="15">
        <v>19</v>
      </c>
      <c r="BB136" s="15">
        <v>0.90476</v>
      </c>
      <c r="BC136" s="15">
        <v>0</v>
      </c>
      <c r="BD136" s="15">
        <v>0</v>
      </c>
      <c r="BE136" s="15">
        <v>4.79167</v>
      </c>
      <c r="BF136" s="15">
        <v>207</v>
      </c>
      <c r="BG136" s="15">
        <v>11</v>
      </c>
      <c r="BH136" s="15">
        <v>0</v>
      </c>
      <c r="BI136" s="15"/>
      <c r="BJ136" s="15">
        <v>0</v>
      </c>
      <c r="BK136" s="15">
        <v>0</v>
      </c>
      <c r="BL136" s="15">
        <v>0</v>
      </c>
      <c r="BM136" s="15">
        <v>0</v>
      </c>
      <c r="BN136" s="15"/>
      <c r="BO136" s="15"/>
      <c r="BP136" s="15">
        <v>0.18</v>
      </c>
      <c r="BQ136" s="15">
        <v>41</v>
      </c>
    </row>
    <row r="137" spans="1:69">
      <c r="A137" s="16">
        <v>46079</v>
      </c>
      <c r="B137" s="15">
        <v>183</v>
      </c>
      <c r="C137" s="15" t="s">
        <v>40</v>
      </c>
      <c r="D137" s="15">
        <v>183</v>
      </c>
      <c r="E137" s="15" t="s">
        <v>40</v>
      </c>
      <c r="F137" s="15">
        <v>1106</v>
      </c>
      <c r="G137" s="15">
        <v>55</v>
      </c>
      <c r="H137" s="15">
        <v>99.37</v>
      </c>
      <c r="I137" s="15">
        <v>0.04973</v>
      </c>
      <c r="J137" s="15">
        <v>1.81</v>
      </c>
      <c r="K137" s="15">
        <v>89.85</v>
      </c>
      <c r="L137" s="15">
        <v>0</v>
      </c>
      <c r="M137" s="15">
        <v>0</v>
      </c>
      <c r="N137" s="15">
        <v>0</v>
      </c>
      <c r="O137" s="15">
        <v>0</v>
      </c>
      <c r="P137" s="15">
        <v>0</v>
      </c>
      <c r="Q137" s="15">
        <v>0</v>
      </c>
      <c r="R137" s="15">
        <v>0</v>
      </c>
      <c r="S137" s="15">
        <v>233.27</v>
      </c>
      <c r="T137" s="15">
        <v>233.27</v>
      </c>
      <c r="U137" s="15">
        <v>2</v>
      </c>
      <c r="V137" s="15">
        <v>0</v>
      </c>
      <c r="W137" s="15">
        <v>2</v>
      </c>
      <c r="X137" s="15">
        <v>0.03636</v>
      </c>
      <c r="Y137" s="15">
        <v>2.35</v>
      </c>
      <c r="Z137" s="15">
        <v>2.35</v>
      </c>
      <c r="AA137" s="15">
        <v>49.69</v>
      </c>
      <c r="AB137" s="15">
        <v>15</v>
      </c>
      <c r="AC137" s="15">
        <v>2</v>
      </c>
      <c r="AD137" s="15">
        <v>13</v>
      </c>
      <c r="AE137" s="15">
        <v>0.27273</v>
      </c>
      <c r="AF137" s="15">
        <v>2</v>
      </c>
      <c r="AG137" s="15">
        <v>0</v>
      </c>
      <c r="AH137" s="15"/>
      <c r="AI137" s="15">
        <v>17</v>
      </c>
      <c r="AJ137" s="15">
        <v>5.85</v>
      </c>
      <c r="AK137" s="15">
        <v>17</v>
      </c>
      <c r="AL137" s="15">
        <v>5.85</v>
      </c>
      <c r="AM137" s="15">
        <v>2</v>
      </c>
      <c r="AN137" s="15">
        <v>49.69</v>
      </c>
      <c r="AO137" s="15">
        <v>0.03636</v>
      </c>
      <c r="AP137" s="15">
        <v>6.62</v>
      </c>
      <c r="AQ137" s="15">
        <v>6</v>
      </c>
      <c r="AR137" s="15">
        <v>2104.8</v>
      </c>
      <c r="AS137" s="15">
        <v>2</v>
      </c>
      <c r="AT137" s="15">
        <v>0</v>
      </c>
      <c r="AU137" s="15">
        <v>0</v>
      </c>
      <c r="AV137" s="15">
        <v>0</v>
      </c>
      <c r="AW137" s="15">
        <v>0</v>
      </c>
      <c r="AX137" s="15">
        <v>0</v>
      </c>
      <c r="AY137" s="15">
        <v>479</v>
      </c>
      <c r="AZ137" s="15">
        <v>130</v>
      </c>
      <c r="BA137" s="15">
        <v>104</v>
      </c>
      <c r="BB137" s="15">
        <v>0.8</v>
      </c>
      <c r="BC137" s="15">
        <v>0</v>
      </c>
      <c r="BD137" s="15">
        <v>0</v>
      </c>
      <c r="BE137" s="15">
        <v>0.43309</v>
      </c>
      <c r="BF137" s="15">
        <v>271</v>
      </c>
      <c r="BG137" s="15">
        <v>4</v>
      </c>
      <c r="BH137" s="15">
        <v>1</v>
      </c>
      <c r="BI137" s="15">
        <v>1</v>
      </c>
      <c r="BJ137" s="15">
        <v>0</v>
      </c>
      <c r="BK137" s="15">
        <v>0</v>
      </c>
      <c r="BL137" s="15">
        <v>0</v>
      </c>
      <c r="BM137" s="15">
        <v>1</v>
      </c>
      <c r="BN137" s="15">
        <v>2</v>
      </c>
      <c r="BO137" s="15">
        <v>233.27</v>
      </c>
      <c r="BP137" s="15">
        <v>27.76</v>
      </c>
      <c r="BQ137" s="15">
        <v>1211</v>
      </c>
    </row>
    <row r="138" spans="1:69">
      <c r="A138" s="16">
        <v>46078</v>
      </c>
      <c r="B138" s="15">
        <v>436</v>
      </c>
      <c r="C138" s="15" t="s">
        <v>38</v>
      </c>
      <c r="D138" s="15">
        <v>436</v>
      </c>
      <c r="E138" s="15" t="s">
        <v>38</v>
      </c>
      <c r="F138" s="15">
        <v>877</v>
      </c>
      <c r="G138" s="15">
        <v>41</v>
      </c>
      <c r="H138" s="15">
        <v>71.44</v>
      </c>
      <c r="I138" s="15">
        <v>0.04675</v>
      </c>
      <c r="J138" s="15">
        <v>1.74</v>
      </c>
      <c r="K138" s="15">
        <v>81.46</v>
      </c>
      <c r="L138" s="15">
        <v>0</v>
      </c>
      <c r="M138" s="15">
        <v>0</v>
      </c>
      <c r="N138" s="15">
        <v>0</v>
      </c>
      <c r="O138" s="15">
        <v>0</v>
      </c>
      <c r="P138" s="15">
        <v>0</v>
      </c>
      <c r="Q138" s="15">
        <v>0</v>
      </c>
      <c r="R138" s="15">
        <v>168.08</v>
      </c>
      <c r="S138" s="15">
        <v>0</v>
      </c>
      <c r="T138" s="15">
        <v>168.08</v>
      </c>
      <c r="U138" s="15">
        <v>1</v>
      </c>
      <c r="V138" s="15">
        <v>1</v>
      </c>
      <c r="W138" s="15">
        <v>0</v>
      </c>
      <c r="X138" s="15">
        <v>0.02439</v>
      </c>
      <c r="Y138" s="15">
        <v>2.35</v>
      </c>
      <c r="Z138" s="15">
        <v>2.35</v>
      </c>
      <c r="AA138" s="15">
        <v>71.44</v>
      </c>
      <c r="AB138" s="15">
        <v>3</v>
      </c>
      <c r="AC138" s="15">
        <v>1</v>
      </c>
      <c r="AD138" s="15">
        <v>2</v>
      </c>
      <c r="AE138" s="15">
        <v>0.07317</v>
      </c>
      <c r="AF138" s="15">
        <v>5</v>
      </c>
      <c r="AG138" s="15">
        <v>1</v>
      </c>
      <c r="AH138" s="15">
        <v>71.44</v>
      </c>
      <c r="AI138" s="15">
        <v>9</v>
      </c>
      <c r="AJ138" s="15">
        <v>7.94</v>
      </c>
      <c r="AK138" s="15">
        <v>8</v>
      </c>
      <c r="AL138" s="15">
        <v>8.93</v>
      </c>
      <c r="AM138" s="15">
        <v>6</v>
      </c>
      <c r="AN138" s="15">
        <v>14.29</v>
      </c>
      <c r="AO138" s="15">
        <v>0.12195</v>
      </c>
      <c r="AP138" s="15">
        <v>23.81</v>
      </c>
      <c r="AQ138" s="15">
        <v>2</v>
      </c>
      <c r="AR138" s="15">
        <v>245.9</v>
      </c>
      <c r="AS138" s="15">
        <v>1</v>
      </c>
      <c r="AT138" s="15">
        <v>4</v>
      </c>
      <c r="AU138" s="15">
        <v>0</v>
      </c>
      <c r="AV138" s="15">
        <v>0</v>
      </c>
      <c r="AW138" s="15">
        <v>0</v>
      </c>
      <c r="AX138" s="15">
        <v>3</v>
      </c>
      <c r="AY138" s="15">
        <v>124</v>
      </c>
      <c r="AZ138" s="15">
        <v>39</v>
      </c>
      <c r="BA138" s="15">
        <v>30</v>
      </c>
      <c r="BB138" s="15">
        <v>0.76923</v>
      </c>
      <c r="BC138" s="15">
        <v>0</v>
      </c>
      <c r="BD138" s="15">
        <v>0</v>
      </c>
      <c r="BE138" s="15">
        <v>0.14139</v>
      </c>
      <c r="BF138" s="15">
        <v>81</v>
      </c>
      <c r="BG138" s="15">
        <v>3</v>
      </c>
      <c r="BH138" s="15">
        <v>1</v>
      </c>
      <c r="BI138" s="15">
        <v>1</v>
      </c>
      <c r="BJ138" s="15">
        <v>0</v>
      </c>
      <c r="BK138" s="15">
        <v>0</v>
      </c>
      <c r="BL138" s="15">
        <v>0</v>
      </c>
      <c r="BM138" s="15">
        <v>1</v>
      </c>
      <c r="BN138" s="15">
        <v>1</v>
      </c>
      <c r="BO138" s="15">
        <v>168.08</v>
      </c>
      <c r="BP138" s="15">
        <v>4.34</v>
      </c>
      <c r="BQ138" s="15">
        <v>390</v>
      </c>
    </row>
    <row r="139" spans="1:69">
      <c r="A139" s="16">
        <v>46078</v>
      </c>
      <c r="B139" s="15">
        <v>479</v>
      </c>
      <c r="C139" s="15" t="s">
        <v>39</v>
      </c>
      <c r="D139" s="15">
        <v>479</v>
      </c>
      <c r="E139" s="15" t="s">
        <v>39</v>
      </c>
      <c r="F139" s="15">
        <v>69</v>
      </c>
      <c r="G139" s="15">
        <v>29</v>
      </c>
      <c r="H139" s="15">
        <v>21.03</v>
      </c>
      <c r="I139" s="15">
        <v>0.42029</v>
      </c>
      <c r="J139" s="15">
        <v>0.73</v>
      </c>
      <c r="K139" s="15">
        <v>304.77</v>
      </c>
      <c r="L139" s="15">
        <v>0</v>
      </c>
      <c r="M139" s="15">
        <v>0</v>
      </c>
      <c r="N139" s="15">
        <v>0</v>
      </c>
      <c r="O139" s="15">
        <v>0</v>
      </c>
      <c r="P139" s="15">
        <v>0</v>
      </c>
      <c r="Q139" s="15">
        <v>0</v>
      </c>
      <c r="R139" s="15">
        <v>0</v>
      </c>
      <c r="S139" s="15">
        <v>0</v>
      </c>
      <c r="T139" s="15">
        <v>0</v>
      </c>
      <c r="U139" s="15">
        <v>0</v>
      </c>
      <c r="V139" s="15">
        <v>0</v>
      </c>
      <c r="W139" s="15">
        <v>0</v>
      </c>
      <c r="X139" s="15">
        <v>0</v>
      </c>
      <c r="Y139" s="15">
        <v>0</v>
      </c>
      <c r="Z139" s="15">
        <v>0</v>
      </c>
      <c r="AA139" s="15"/>
      <c r="AB139" s="15">
        <v>5</v>
      </c>
      <c r="AC139" s="15">
        <v>0</v>
      </c>
      <c r="AD139" s="15">
        <v>5</v>
      </c>
      <c r="AE139" s="15">
        <v>0.17241</v>
      </c>
      <c r="AF139" s="15">
        <v>0</v>
      </c>
      <c r="AG139" s="15">
        <v>4</v>
      </c>
      <c r="AH139" s="15">
        <v>5.26</v>
      </c>
      <c r="AI139" s="15">
        <v>9</v>
      </c>
      <c r="AJ139" s="15">
        <v>2.34</v>
      </c>
      <c r="AK139" s="15">
        <v>5</v>
      </c>
      <c r="AL139" s="15">
        <v>4.21</v>
      </c>
      <c r="AM139" s="15">
        <v>4</v>
      </c>
      <c r="AN139" s="15"/>
      <c r="AO139" s="15">
        <v>0</v>
      </c>
      <c r="AP139" s="15">
        <v>4.21</v>
      </c>
      <c r="AQ139" s="15">
        <v>0</v>
      </c>
      <c r="AR139" s="15">
        <v>0</v>
      </c>
      <c r="AS139" s="15">
        <v>0</v>
      </c>
      <c r="AT139" s="15">
        <v>0</v>
      </c>
      <c r="AU139" s="15">
        <v>0</v>
      </c>
      <c r="AV139" s="15">
        <v>0</v>
      </c>
      <c r="AW139" s="15">
        <v>0</v>
      </c>
      <c r="AX139" s="15">
        <v>3</v>
      </c>
      <c r="AY139" s="15">
        <v>315</v>
      </c>
      <c r="AZ139" s="15">
        <v>25</v>
      </c>
      <c r="BA139" s="15">
        <v>22</v>
      </c>
      <c r="BB139" s="15">
        <v>0.88</v>
      </c>
      <c r="BC139" s="15">
        <v>0</v>
      </c>
      <c r="BD139" s="15">
        <v>0</v>
      </c>
      <c r="BE139" s="15">
        <v>4.56522</v>
      </c>
      <c r="BF139" s="15">
        <v>284</v>
      </c>
      <c r="BG139" s="15">
        <v>13</v>
      </c>
      <c r="BH139" s="15">
        <v>0</v>
      </c>
      <c r="BI139" s="15"/>
      <c r="BJ139" s="15">
        <v>0</v>
      </c>
      <c r="BK139" s="15">
        <v>0</v>
      </c>
      <c r="BL139" s="15">
        <v>0</v>
      </c>
      <c r="BM139" s="15">
        <v>0</v>
      </c>
      <c r="BN139" s="15"/>
      <c r="BO139" s="15"/>
      <c r="BP139" s="15">
        <v>0.28</v>
      </c>
      <c r="BQ139" s="15">
        <v>184</v>
      </c>
    </row>
    <row r="140" spans="1:69">
      <c r="A140" s="16">
        <v>46078</v>
      </c>
      <c r="B140" s="15">
        <v>371</v>
      </c>
      <c r="C140" s="15" t="s">
        <v>32</v>
      </c>
      <c r="D140" s="15">
        <v>371</v>
      </c>
      <c r="E140" s="15" t="s">
        <v>32</v>
      </c>
      <c r="F140" s="15">
        <v>4076</v>
      </c>
      <c r="G140" s="15">
        <v>117</v>
      </c>
      <c r="H140" s="15">
        <v>33.77</v>
      </c>
      <c r="I140" s="15">
        <v>0.0287</v>
      </c>
      <c r="J140" s="15">
        <v>0.29</v>
      </c>
      <c r="K140" s="15">
        <v>8.29</v>
      </c>
      <c r="L140" s="15">
        <v>0</v>
      </c>
      <c r="M140" s="15">
        <v>0</v>
      </c>
      <c r="N140" s="15">
        <v>0</v>
      </c>
      <c r="O140" s="15">
        <v>0</v>
      </c>
      <c r="P140" s="15">
        <v>0</v>
      </c>
      <c r="Q140" s="15">
        <v>0</v>
      </c>
      <c r="R140" s="15">
        <v>0</v>
      </c>
      <c r="S140" s="15">
        <v>0</v>
      </c>
      <c r="T140" s="15">
        <v>0</v>
      </c>
      <c r="U140" s="15">
        <v>0</v>
      </c>
      <c r="V140" s="15">
        <v>0</v>
      </c>
      <c r="W140" s="15">
        <v>0</v>
      </c>
      <c r="X140" s="15">
        <v>0</v>
      </c>
      <c r="Y140" s="15">
        <v>0</v>
      </c>
      <c r="Z140" s="15">
        <v>0</v>
      </c>
      <c r="AA140" s="15"/>
      <c r="AB140" s="15">
        <v>4</v>
      </c>
      <c r="AC140" s="15">
        <v>0</v>
      </c>
      <c r="AD140" s="15">
        <v>4</v>
      </c>
      <c r="AE140" s="15">
        <v>0.03419</v>
      </c>
      <c r="AF140" s="15">
        <v>0</v>
      </c>
      <c r="AG140" s="15">
        <v>0</v>
      </c>
      <c r="AH140" s="15"/>
      <c r="AI140" s="15">
        <v>4</v>
      </c>
      <c r="AJ140" s="15">
        <v>8.44</v>
      </c>
      <c r="AK140" s="15">
        <v>4</v>
      </c>
      <c r="AL140" s="15">
        <v>8.44</v>
      </c>
      <c r="AM140" s="15">
        <v>0</v>
      </c>
      <c r="AN140" s="15"/>
      <c r="AO140" s="15">
        <v>0</v>
      </c>
      <c r="AP140" s="15">
        <v>8.44</v>
      </c>
      <c r="AQ140" s="15">
        <v>0</v>
      </c>
      <c r="AR140" s="15">
        <v>0</v>
      </c>
      <c r="AS140" s="15">
        <v>0</v>
      </c>
      <c r="AT140" s="15">
        <v>0</v>
      </c>
      <c r="AU140" s="15">
        <v>0</v>
      </c>
      <c r="AV140" s="15">
        <v>0</v>
      </c>
      <c r="AW140" s="15">
        <v>0</v>
      </c>
      <c r="AX140" s="15">
        <v>0</v>
      </c>
      <c r="AY140" s="15">
        <v>219</v>
      </c>
      <c r="AZ140" s="15">
        <v>102</v>
      </c>
      <c r="BA140" s="15">
        <v>91</v>
      </c>
      <c r="BB140" s="15">
        <v>0.89216</v>
      </c>
      <c r="BC140" s="15">
        <v>0</v>
      </c>
      <c r="BD140" s="15">
        <v>0</v>
      </c>
      <c r="BE140" s="15">
        <v>0.05373</v>
      </c>
      <c r="BF140" s="15">
        <v>101</v>
      </c>
      <c r="BG140" s="15">
        <v>2</v>
      </c>
      <c r="BH140" s="15">
        <v>0</v>
      </c>
      <c r="BI140" s="15"/>
      <c r="BJ140" s="15">
        <v>0</v>
      </c>
      <c r="BK140" s="15">
        <v>0</v>
      </c>
      <c r="BL140" s="15">
        <v>0</v>
      </c>
      <c r="BM140" s="15">
        <v>0</v>
      </c>
      <c r="BN140" s="15"/>
      <c r="BO140" s="15"/>
      <c r="BP140" s="15">
        <v>0.12</v>
      </c>
      <c r="BQ140" s="15">
        <v>66</v>
      </c>
    </row>
    <row r="141" spans="1:69">
      <c r="A141" s="16">
        <v>46078</v>
      </c>
      <c r="B141" s="15">
        <v>183</v>
      </c>
      <c r="C141" s="15" t="s">
        <v>40</v>
      </c>
      <c r="D141" s="15">
        <v>183</v>
      </c>
      <c r="E141" s="15" t="s">
        <v>40</v>
      </c>
      <c r="F141" s="15">
        <v>810</v>
      </c>
      <c r="G141" s="15">
        <v>37</v>
      </c>
      <c r="H141" s="15">
        <v>98.16</v>
      </c>
      <c r="I141" s="15">
        <v>0.04568</v>
      </c>
      <c r="J141" s="15">
        <v>2.65</v>
      </c>
      <c r="K141" s="15">
        <v>121.19</v>
      </c>
      <c r="L141" s="15">
        <v>0</v>
      </c>
      <c r="M141" s="15">
        <v>0</v>
      </c>
      <c r="N141" s="15">
        <v>0</v>
      </c>
      <c r="O141" s="15">
        <v>0</v>
      </c>
      <c r="P141" s="15">
        <v>0</v>
      </c>
      <c r="Q141" s="15">
        <v>0</v>
      </c>
      <c r="R141" s="15">
        <v>0</v>
      </c>
      <c r="S141" s="15">
        <v>299.92</v>
      </c>
      <c r="T141" s="15">
        <v>299.92</v>
      </c>
      <c r="U141" s="15">
        <v>3</v>
      </c>
      <c r="V141" s="15">
        <v>0</v>
      </c>
      <c r="W141" s="15">
        <v>3</v>
      </c>
      <c r="X141" s="15">
        <v>0.08108</v>
      </c>
      <c r="Y141" s="15">
        <v>3.06</v>
      </c>
      <c r="Z141" s="15">
        <v>3.06</v>
      </c>
      <c r="AA141" s="15">
        <v>32.72</v>
      </c>
      <c r="AB141" s="15">
        <v>7</v>
      </c>
      <c r="AC141" s="15">
        <v>2</v>
      </c>
      <c r="AD141" s="15">
        <v>5</v>
      </c>
      <c r="AE141" s="15">
        <v>0.18919</v>
      </c>
      <c r="AF141" s="15">
        <v>1</v>
      </c>
      <c r="AG141" s="15">
        <v>1</v>
      </c>
      <c r="AH141" s="15">
        <v>98.16</v>
      </c>
      <c r="AI141" s="15">
        <v>9</v>
      </c>
      <c r="AJ141" s="15">
        <v>10.91</v>
      </c>
      <c r="AK141" s="15">
        <v>8</v>
      </c>
      <c r="AL141" s="15">
        <v>12.27</v>
      </c>
      <c r="AM141" s="15">
        <v>2</v>
      </c>
      <c r="AN141" s="15">
        <v>98.16</v>
      </c>
      <c r="AO141" s="15">
        <v>0.02703</v>
      </c>
      <c r="AP141" s="15">
        <v>14.02</v>
      </c>
      <c r="AQ141" s="15">
        <v>6</v>
      </c>
      <c r="AR141" s="15">
        <v>651.8</v>
      </c>
      <c r="AS141" s="15">
        <v>0</v>
      </c>
      <c r="AT141" s="15">
        <v>1</v>
      </c>
      <c r="AU141" s="15">
        <v>0</v>
      </c>
      <c r="AV141" s="15">
        <v>0</v>
      </c>
      <c r="AW141" s="15">
        <v>0</v>
      </c>
      <c r="AX141" s="15">
        <v>0</v>
      </c>
      <c r="AY141" s="15">
        <v>207</v>
      </c>
      <c r="AZ141" s="15">
        <v>64</v>
      </c>
      <c r="BA141" s="15">
        <v>54</v>
      </c>
      <c r="BB141" s="15">
        <v>0.84375</v>
      </c>
      <c r="BC141" s="15">
        <v>0</v>
      </c>
      <c r="BD141" s="15">
        <v>0</v>
      </c>
      <c r="BE141" s="15">
        <v>0.25556</v>
      </c>
      <c r="BF141" s="15">
        <v>107</v>
      </c>
      <c r="BG141" s="15">
        <v>3</v>
      </c>
      <c r="BH141" s="15">
        <v>2</v>
      </c>
      <c r="BI141" s="15">
        <v>1</v>
      </c>
      <c r="BJ141" s="15">
        <v>0</v>
      </c>
      <c r="BK141" s="15">
        <v>0</v>
      </c>
      <c r="BL141" s="15">
        <v>0</v>
      </c>
      <c r="BM141" s="15">
        <v>2</v>
      </c>
      <c r="BN141" s="15">
        <v>2</v>
      </c>
      <c r="BO141" s="15">
        <v>149.96</v>
      </c>
      <c r="BP141" s="15">
        <v>38.15</v>
      </c>
      <c r="BQ141" s="15">
        <v>453</v>
      </c>
    </row>
    <row r="142" spans="1:69">
      <c r="A142" s="16">
        <v>46077</v>
      </c>
      <c r="B142" s="15">
        <v>436</v>
      </c>
      <c r="C142" s="15" t="s">
        <v>38</v>
      </c>
      <c r="D142" s="15">
        <v>436</v>
      </c>
      <c r="E142" s="15" t="s">
        <v>38</v>
      </c>
      <c r="F142" s="15">
        <v>909</v>
      </c>
      <c r="G142" s="15">
        <v>25</v>
      </c>
      <c r="H142" s="15">
        <v>80</v>
      </c>
      <c r="I142" s="15">
        <v>0.0275</v>
      </c>
      <c r="J142" s="15">
        <v>3.2</v>
      </c>
      <c r="K142" s="15">
        <v>88.01</v>
      </c>
      <c r="L142" s="15">
        <v>0</v>
      </c>
      <c r="M142" s="15">
        <v>0</v>
      </c>
      <c r="N142" s="15">
        <v>0</v>
      </c>
      <c r="O142" s="15">
        <v>0</v>
      </c>
      <c r="P142" s="15">
        <v>0</v>
      </c>
      <c r="Q142" s="15">
        <v>0</v>
      </c>
      <c r="R142" s="15">
        <v>0</v>
      </c>
      <c r="S142" s="15">
        <v>0</v>
      </c>
      <c r="T142" s="15">
        <v>0</v>
      </c>
      <c r="U142" s="15">
        <v>0</v>
      </c>
      <c r="V142" s="15">
        <v>0</v>
      </c>
      <c r="W142" s="15">
        <v>0</v>
      </c>
      <c r="X142" s="15">
        <v>0</v>
      </c>
      <c r="Y142" s="15">
        <v>0</v>
      </c>
      <c r="Z142" s="15">
        <v>0</v>
      </c>
      <c r="AA142" s="15"/>
      <c r="AB142" s="15">
        <v>3</v>
      </c>
      <c r="AC142" s="15">
        <v>1</v>
      </c>
      <c r="AD142" s="15">
        <v>2</v>
      </c>
      <c r="AE142" s="15">
        <v>0.12</v>
      </c>
      <c r="AF142" s="15">
        <v>0</v>
      </c>
      <c r="AG142" s="15">
        <v>2</v>
      </c>
      <c r="AH142" s="15">
        <v>40</v>
      </c>
      <c r="AI142" s="15">
        <v>5</v>
      </c>
      <c r="AJ142" s="15">
        <v>16</v>
      </c>
      <c r="AK142" s="15">
        <v>3</v>
      </c>
      <c r="AL142" s="15">
        <v>26.67</v>
      </c>
      <c r="AM142" s="15">
        <v>2</v>
      </c>
      <c r="AN142" s="15"/>
      <c r="AO142" s="15">
        <v>0</v>
      </c>
      <c r="AP142" s="15">
        <v>26.67</v>
      </c>
      <c r="AQ142" s="15">
        <v>0</v>
      </c>
      <c r="AR142" s="15">
        <v>0</v>
      </c>
      <c r="AS142" s="15">
        <v>0</v>
      </c>
      <c r="AT142" s="15">
        <v>0</v>
      </c>
      <c r="AU142" s="15">
        <v>0</v>
      </c>
      <c r="AV142" s="15">
        <v>0</v>
      </c>
      <c r="AW142" s="15">
        <v>0</v>
      </c>
      <c r="AX142" s="15">
        <v>0</v>
      </c>
      <c r="AY142" s="15">
        <v>120</v>
      </c>
      <c r="AZ142" s="15">
        <v>21</v>
      </c>
      <c r="BA142" s="15">
        <v>15</v>
      </c>
      <c r="BB142" s="15">
        <v>0.71429</v>
      </c>
      <c r="BC142" s="15">
        <v>0</v>
      </c>
      <c r="BD142" s="15">
        <v>0</v>
      </c>
      <c r="BE142" s="15">
        <v>0.13201</v>
      </c>
      <c r="BF142" s="15">
        <v>95</v>
      </c>
      <c r="BG142" s="15">
        <v>6</v>
      </c>
      <c r="BH142" s="15">
        <v>0</v>
      </c>
      <c r="BI142" s="15"/>
      <c r="BJ142" s="15">
        <v>0</v>
      </c>
      <c r="BK142" s="15">
        <v>0</v>
      </c>
      <c r="BL142" s="15">
        <v>0</v>
      </c>
      <c r="BM142" s="15">
        <v>0</v>
      </c>
      <c r="BN142" s="15"/>
      <c r="BO142" s="15"/>
      <c r="BP142" s="15">
        <v>0</v>
      </c>
      <c r="BQ142" s="15">
        <v>81</v>
      </c>
    </row>
    <row r="143" spans="1:69">
      <c r="A143" s="16">
        <v>46077</v>
      </c>
      <c r="B143" s="15">
        <v>479</v>
      </c>
      <c r="C143" s="15" t="s">
        <v>39</v>
      </c>
      <c r="D143" s="15">
        <v>479</v>
      </c>
      <c r="E143" s="15" t="s">
        <v>39</v>
      </c>
      <c r="F143" s="15">
        <v>55</v>
      </c>
      <c r="G143" s="15">
        <v>23</v>
      </c>
      <c r="H143" s="15">
        <v>15.86</v>
      </c>
      <c r="I143" s="15">
        <v>0.41818</v>
      </c>
      <c r="J143" s="15">
        <v>0.69</v>
      </c>
      <c r="K143" s="15">
        <v>288.41</v>
      </c>
      <c r="L143" s="15">
        <v>0</v>
      </c>
      <c r="M143" s="15">
        <v>0</v>
      </c>
      <c r="N143" s="15">
        <v>0</v>
      </c>
      <c r="O143" s="15">
        <v>0</v>
      </c>
      <c r="P143" s="15">
        <v>0</v>
      </c>
      <c r="Q143" s="15">
        <v>0</v>
      </c>
      <c r="R143" s="15">
        <v>0</v>
      </c>
      <c r="S143" s="15">
        <v>27.45</v>
      </c>
      <c r="T143" s="15">
        <v>27.45</v>
      </c>
      <c r="U143" s="15">
        <v>1</v>
      </c>
      <c r="V143" s="15">
        <v>0</v>
      </c>
      <c r="W143" s="15">
        <v>1</v>
      </c>
      <c r="X143" s="15">
        <v>0.04348</v>
      </c>
      <c r="Y143" s="15">
        <v>1.73</v>
      </c>
      <c r="Z143" s="15">
        <v>1.73</v>
      </c>
      <c r="AA143" s="15">
        <v>15.86</v>
      </c>
      <c r="AB143" s="15">
        <v>4</v>
      </c>
      <c r="AC143" s="15">
        <v>0</v>
      </c>
      <c r="AD143" s="15">
        <v>4</v>
      </c>
      <c r="AE143" s="15">
        <v>0.17391</v>
      </c>
      <c r="AF143" s="15">
        <v>0</v>
      </c>
      <c r="AG143" s="15">
        <v>2</v>
      </c>
      <c r="AH143" s="15">
        <v>7.93</v>
      </c>
      <c r="AI143" s="15">
        <v>6</v>
      </c>
      <c r="AJ143" s="15">
        <v>2.64</v>
      </c>
      <c r="AK143" s="15">
        <v>4</v>
      </c>
      <c r="AL143" s="15">
        <v>3.97</v>
      </c>
      <c r="AM143" s="15">
        <v>2</v>
      </c>
      <c r="AN143" s="15"/>
      <c r="AO143" s="15">
        <v>0</v>
      </c>
      <c r="AP143" s="15">
        <v>3.97</v>
      </c>
      <c r="AQ143" s="15">
        <v>1</v>
      </c>
      <c r="AR143" s="15">
        <v>49.9</v>
      </c>
      <c r="AS143" s="15">
        <v>0</v>
      </c>
      <c r="AT143" s="15">
        <v>0</v>
      </c>
      <c r="AU143" s="15">
        <v>0</v>
      </c>
      <c r="AV143" s="15">
        <v>0</v>
      </c>
      <c r="AW143" s="15">
        <v>0</v>
      </c>
      <c r="AX143" s="15">
        <v>1</v>
      </c>
      <c r="AY143" s="15">
        <v>193</v>
      </c>
      <c r="AZ143" s="15">
        <v>18</v>
      </c>
      <c r="BA143" s="15">
        <v>12</v>
      </c>
      <c r="BB143" s="15">
        <v>0.66667</v>
      </c>
      <c r="BC143" s="15">
        <v>0</v>
      </c>
      <c r="BD143" s="15">
        <v>0</v>
      </c>
      <c r="BE143" s="15">
        <v>3.50909</v>
      </c>
      <c r="BF143" s="15">
        <v>167</v>
      </c>
      <c r="BG143" s="15">
        <v>11</v>
      </c>
      <c r="BH143" s="15">
        <v>1</v>
      </c>
      <c r="BI143" s="15">
        <v>1</v>
      </c>
      <c r="BJ143" s="15">
        <v>0</v>
      </c>
      <c r="BK143" s="15">
        <v>0</v>
      </c>
      <c r="BL143" s="15">
        <v>0</v>
      </c>
      <c r="BM143" s="15">
        <v>1</v>
      </c>
      <c r="BN143" s="15">
        <v>1</v>
      </c>
      <c r="BO143" s="15">
        <v>27.45</v>
      </c>
      <c r="BP143" s="15">
        <v>1.43</v>
      </c>
      <c r="BQ143" s="15">
        <v>937</v>
      </c>
    </row>
    <row r="144" spans="1:69">
      <c r="A144" s="16">
        <v>46077</v>
      </c>
      <c r="B144" s="15">
        <v>371</v>
      </c>
      <c r="C144" s="15" t="s">
        <v>32</v>
      </c>
      <c r="D144" s="15">
        <v>371</v>
      </c>
      <c r="E144" s="15" t="s">
        <v>32</v>
      </c>
      <c r="F144" s="15">
        <v>5137</v>
      </c>
      <c r="G144" s="15">
        <v>113</v>
      </c>
      <c r="H144" s="15">
        <v>34.22</v>
      </c>
      <c r="I144" s="15">
        <v>0.022</v>
      </c>
      <c r="J144" s="15">
        <v>0.3</v>
      </c>
      <c r="K144" s="15">
        <v>6.66</v>
      </c>
      <c r="L144" s="15">
        <v>0</v>
      </c>
      <c r="M144" s="15">
        <v>0</v>
      </c>
      <c r="N144" s="15">
        <v>0</v>
      </c>
      <c r="O144" s="15">
        <v>0</v>
      </c>
      <c r="P144" s="15">
        <v>0</v>
      </c>
      <c r="Q144" s="15">
        <v>0</v>
      </c>
      <c r="R144" s="15">
        <v>0</v>
      </c>
      <c r="S144" s="15">
        <v>0</v>
      </c>
      <c r="T144" s="15">
        <v>0</v>
      </c>
      <c r="U144" s="15">
        <v>0</v>
      </c>
      <c r="V144" s="15">
        <v>0</v>
      </c>
      <c r="W144" s="15">
        <v>0</v>
      </c>
      <c r="X144" s="15">
        <v>0</v>
      </c>
      <c r="Y144" s="15">
        <v>0</v>
      </c>
      <c r="Z144" s="15">
        <v>0</v>
      </c>
      <c r="AA144" s="15"/>
      <c r="AB144" s="15">
        <v>6</v>
      </c>
      <c r="AC144" s="15">
        <v>0</v>
      </c>
      <c r="AD144" s="15">
        <v>6</v>
      </c>
      <c r="AE144" s="15">
        <v>0.0531</v>
      </c>
      <c r="AF144" s="15">
        <v>0</v>
      </c>
      <c r="AG144" s="15">
        <v>0</v>
      </c>
      <c r="AH144" s="15"/>
      <c r="AI144" s="15">
        <v>6</v>
      </c>
      <c r="AJ144" s="15">
        <v>5.7</v>
      </c>
      <c r="AK144" s="15">
        <v>6</v>
      </c>
      <c r="AL144" s="15">
        <v>5.7</v>
      </c>
      <c r="AM144" s="15">
        <v>0</v>
      </c>
      <c r="AN144" s="15"/>
      <c r="AO144" s="15">
        <v>0</v>
      </c>
      <c r="AP144" s="15">
        <v>5.7</v>
      </c>
      <c r="AQ144" s="15">
        <v>0</v>
      </c>
      <c r="AR144" s="15">
        <v>0</v>
      </c>
      <c r="AS144" s="15">
        <v>0</v>
      </c>
      <c r="AT144" s="15">
        <v>0</v>
      </c>
      <c r="AU144" s="15">
        <v>0</v>
      </c>
      <c r="AV144" s="15">
        <v>0</v>
      </c>
      <c r="AW144" s="15">
        <v>0</v>
      </c>
      <c r="AX144" s="15">
        <v>0</v>
      </c>
      <c r="AY144" s="15">
        <v>249</v>
      </c>
      <c r="AZ144" s="15">
        <v>97</v>
      </c>
      <c r="BA144" s="15">
        <v>91</v>
      </c>
      <c r="BB144" s="15">
        <v>0.93814</v>
      </c>
      <c r="BC144" s="15">
        <v>0</v>
      </c>
      <c r="BD144" s="15">
        <v>0</v>
      </c>
      <c r="BE144" s="15">
        <v>0.04847</v>
      </c>
      <c r="BF144" s="15">
        <v>124</v>
      </c>
      <c r="BG144" s="15">
        <v>3</v>
      </c>
      <c r="BH144" s="15">
        <v>0</v>
      </c>
      <c r="BI144" s="15"/>
      <c r="BJ144" s="15">
        <v>0</v>
      </c>
      <c r="BK144" s="15">
        <v>0</v>
      </c>
      <c r="BL144" s="15">
        <v>0</v>
      </c>
      <c r="BM144" s="15">
        <v>0</v>
      </c>
      <c r="BN144" s="15"/>
      <c r="BO144" s="15"/>
      <c r="BP144" s="15">
        <v>0.07</v>
      </c>
      <c r="BQ144" s="15">
        <v>150</v>
      </c>
    </row>
    <row r="145" spans="1:69">
      <c r="A145" s="16">
        <v>46076</v>
      </c>
      <c r="B145" s="15">
        <v>371</v>
      </c>
      <c r="C145" s="15" t="s">
        <v>32</v>
      </c>
      <c r="D145" s="15">
        <v>371</v>
      </c>
      <c r="E145" s="15" t="s">
        <v>32</v>
      </c>
      <c r="F145" s="15">
        <v>3933</v>
      </c>
      <c r="G145" s="15">
        <v>111</v>
      </c>
      <c r="H145" s="15">
        <v>33.55</v>
      </c>
      <c r="I145" s="15">
        <v>0.02822</v>
      </c>
      <c r="J145" s="15">
        <v>0.3</v>
      </c>
      <c r="K145" s="15">
        <v>8.53</v>
      </c>
      <c r="L145" s="15">
        <v>0</v>
      </c>
      <c r="M145" s="15">
        <v>0</v>
      </c>
      <c r="N145" s="15">
        <v>0</v>
      </c>
      <c r="O145" s="15">
        <v>0</v>
      </c>
      <c r="P145" s="15">
        <v>0</v>
      </c>
      <c r="Q145" s="15">
        <v>0</v>
      </c>
      <c r="R145" s="15">
        <v>0</v>
      </c>
      <c r="S145" s="15">
        <v>0</v>
      </c>
      <c r="T145" s="15">
        <v>0</v>
      </c>
      <c r="U145" s="15">
        <v>0</v>
      </c>
      <c r="V145" s="15">
        <v>0</v>
      </c>
      <c r="W145" s="15">
        <v>0</v>
      </c>
      <c r="X145" s="15">
        <v>0</v>
      </c>
      <c r="Y145" s="15">
        <v>0</v>
      </c>
      <c r="Z145" s="15">
        <v>0</v>
      </c>
      <c r="AA145" s="15"/>
      <c r="AB145" s="15">
        <v>2</v>
      </c>
      <c r="AC145" s="15">
        <v>0</v>
      </c>
      <c r="AD145" s="15">
        <v>2</v>
      </c>
      <c r="AE145" s="15">
        <v>0.01802</v>
      </c>
      <c r="AF145" s="15">
        <v>0</v>
      </c>
      <c r="AG145" s="15">
        <v>1</v>
      </c>
      <c r="AH145" s="15">
        <v>33.55</v>
      </c>
      <c r="AI145" s="15">
        <v>3</v>
      </c>
      <c r="AJ145" s="15">
        <v>11.18</v>
      </c>
      <c r="AK145" s="15">
        <v>2</v>
      </c>
      <c r="AL145" s="15">
        <v>16.78</v>
      </c>
      <c r="AM145" s="15">
        <v>1</v>
      </c>
      <c r="AN145" s="15"/>
      <c r="AO145" s="15">
        <v>0</v>
      </c>
      <c r="AP145" s="15">
        <v>16.78</v>
      </c>
      <c r="AQ145" s="15">
        <v>0</v>
      </c>
      <c r="AR145" s="15">
        <v>0</v>
      </c>
      <c r="AS145" s="15">
        <v>0</v>
      </c>
      <c r="AT145" s="15">
        <v>0</v>
      </c>
      <c r="AU145" s="15">
        <v>0</v>
      </c>
      <c r="AV145" s="15">
        <v>0</v>
      </c>
      <c r="AW145" s="15">
        <v>0</v>
      </c>
      <c r="AX145" s="15">
        <v>0</v>
      </c>
      <c r="AY145" s="15">
        <v>209</v>
      </c>
      <c r="AZ145" s="15">
        <v>101</v>
      </c>
      <c r="BA145" s="15">
        <v>92</v>
      </c>
      <c r="BB145" s="15">
        <v>0.91089</v>
      </c>
      <c r="BC145" s="15">
        <v>0</v>
      </c>
      <c r="BD145" s="15">
        <v>0</v>
      </c>
      <c r="BE145" s="15">
        <v>0.05314</v>
      </c>
      <c r="BF145" s="15">
        <v>86</v>
      </c>
      <c r="BG145" s="15">
        <v>2</v>
      </c>
      <c r="BH145" s="15">
        <v>0</v>
      </c>
      <c r="BI145" s="15"/>
      <c r="BJ145" s="15">
        <v>0</v>
      </c>
      <c r="BK145" s="15">
        <v>0</v>
      </c>
      <c r="BL145" s="15">
        <v>0</v>
      </c>
      <c r="BM145" s="15">
        <v>0</v>
      </c>
      <c r="BN145" s="15"/>
      <c r="BO145" s="15"/>
      <c r="BP145" s="15">
        <v>0</v>
      </c>
      <c r="BQ145" s="15">
        <v>35</v>
      </c>
    </row>
    <row r="146" spans="1:69">
      <c r="A146" s="16">
        <v>46076</v>
      </c>
      <c r="B146" s="15">
        <v>436</v>
      </c>
      <c r="C146" s="15" t="s">
        <v>38</v>
      </c>
      <c r="D146" s="15">
        <v>436</v>
      </c>
      <c r="E146" s="15" t="s">
        <v>38</v>
      </c>
      <c r="F146" s="15">
        <v>1442</v>
      </c>
      <c r="G146" s="15">
        <v>41</v>
      </c>
      <c r="H146" s="15">
        <v>71.05</v>
      </c>
      <c r="I146" s="15">
        <v>0.02843</v>
      </c>
      <c r="J146" s="15">
        <v>1.73</v>
      </c>
      <c r="K146" s="15">
        <v>49.27</v>
      </c>
      <c r="L146" s="15">
        <v>0</v>
      </c>
      <c r="M146" s="15">
        <v>0</v>
      </c>
      <c r="N146" s="15">
        <v>0</v>
      </c>
      <c r="O146" s="15">
        <v>0</v>
      </c>
      <c r="P146" s="15">
        <v>0</v>
      </c>
      <c r="Q146" s="15">
        <v>0</v>
      </c>
      <c r="R146" s="15">
        <v>0</v>
      </c>
      <c r="S146" s="15">
        <v>236</v>
      </c>
      <c r="T146" s="15">
        <v>236</v>
      </c>
      <c r="U146" s="15">
        <v>1</v>
      </c>
      <c r="V146" s="15">
        <v>0</v>
      </c>
      <c r="W146" s="15">
        <v>1</v>
      </c>
      <c r="X146" s="15">
        <v>0.02439</v>
      </c>
      <c r="Y146" s="15">
        <v>3.32</v>
      </c>
      <c r="Z146" s="15">
        <v>3.32</v>
      </c>
      <c r="AA146" s="15">
        <v>71.05</v>
      </c>
      <c r="AB146" s="15">
        <v>5</v>
      </c>
      <c r="AC146" s="15">
        <v>2</v>
      </c>
      <c r="AD146" s="15">
        <v>3</v>
      </c>
      <c r="AE146" s="15">
        <v>0.12195</v>
      </c>
      <c r="AF146" s="15">
        <v>0</v>
      </c>
      <c r="AG146" s="15">
        <v>1</v>
      </c>
      <c r="AH146" s="15">
        <v>71.05</v>
      </c>
      <c r="AI146" s="15">
        <v>6</v>
      </c>
      <c r="AJ146" s="15">
        <v>11.84</v>
      </c>
      <c r="AK146" s="15">
        <v>5</v>
      </c>
      <c r="AL146" s="15">
        <v>14.21</v>
      </c>
      <c r="AM146" s="15">
        <v>1</v>
      </c>
      <c r="AN146" s="15"/>
      <c r="AO146" s="15">
        <v>0</v>
      </c>
      <c r="AP146" s="15">
        <v>14.21</v>
      </c>
      <c r="AQ146" s="15">
        <v>3</v>
      </c>
      <c r="AR146" s="15">
        <v>1079</v>
      </c>
      <c r="AS146" s="15">
        <v>0</v>
      </c>
      <c r="AT146" s="15">
        <v>0</v>
      </c>
      <c r="AU146" s="15">
        <v>0</v>
      </c>
      <c r="AV146" s="15">
        <v>0</v>
      </c>
      <c r="AW146" s="15">
        <v>0</v>
      </c>
      <c r="AX146" s="15">
        <v>2</v>
      </c>
      <c r="AY146" s="15">
        <v>107</v>
      </c>
      <c r="AZ146" s="15">
        <v>36</v>
      </c>
      <c r="BA146" s="15">
        <v>31</v>
      </c>
      <c r="BB146" s="15">
        <v>0.86111</v>
      </c>
      <c r="BC146" s="15">
        <v>0</v>
      </c>
      <c r="BD146" s="15">
        <v>0</v>
      </c>
      <c r="BE146" s="15">
        <v>0.0742</v>
      </c>
      <c r="BF146" s="15">
        <v>67</v>
      </c>
      <c r="BG146" s="15">
        <v>3</v>
      </c>
      <c r="BH146" s="15">
        <v>1</v>
      </c>
      <c r="BI146" s="15">
        <v>1</v>
      </c>
      <c r="BJ146" s="15">
        <v>0</v>
      </c>
      <c r="BK146" s="15">
        <v>0</v>
      </c>
      <c r="BL146" s="15">
        <v>0</v>
      </c>
      <c r="BM146" s="15">
        <v>1</v>
      </c>
      <c r="BN146" s="15">
        <v>1</v>
      </c>
      <c r="BO146" s="15">
        <v>236</v>
      </c>
      <c r="BP146" s="15">
        <v>733.62</v>
      </c>
      <c r="BQ146" s="15">
        <v>213</v>
      </c>
    </row>
    <row r="147" spans="1:69">
      <c r="A147" s="16">
        <v>46076</v>
      </c>
      <c r="B147" s="15">
        <v>479</v>
      </c>
      <c r="C147" s="15" t="s">
        <v>39</v>
      </c>
      <c r="D147" s="15">
        <v>479</v>
      </c>
      <c r="E147" s="15" t="s">
        <v>39</v>
      </c>
      <c r="F147" s="15">
        <v>44</v>
      </c>
      <c r="G147" s="15">
        <v>20</v>
      </c>
      <c r="H147" s="15">
        <v>13.81</v>
      </c>
      <c r="I147" s="15">
        <v>0.45455</v>
      </c>
      <c r="J147" s="15">
        <v>0.69</v>
      </c>
      <c r="K147" s="15">
        <v>313.96</v>
      </c>
      <c r="L147" s="15">
        <v>0</v>
      </c>
      <c r="M147" s="15">
        <v>0</v>
      </c>
      <c r="N147" s="15">
        <v>0</v>
      </c>
      <c r="O147" s="15">
        <v>0</v>
      </c>
      <c r="P147" s="15">
        <v>0</v>
      </c>
      <c r="Q147" s="15">
        <v>0</v>
      </c>
      <c r="R147" s="15">
        <v>0</v>
      </c>
      <c r="S147" s="15">
        <v>0</v>
      </c>
      <c r="T147" s="15">
        <v>0</v>
      </c>
      <c r="U147" s="15">
        <v>0</v>
      </c>
      <c r="V147" s="15">
        <v>0</v>
      </c>
      <c r="W147" s="15">
        <v>0</v>
      </c>
      <c r="X147" s="15">
        <v>0</v>
      </c>
      <c r="Y147" s="15">
        <v>0</v>
      </c>
      <c r="Z147" s="15">
        <v>0</v>
      </c>
      <c r="AA147" s="15"/>
      <c r="AB147" s="15">
        <v>6</v>
      </c>
      <c r="AC147" s="15">
        <v>0</v>
      </c>
      <c r="AD147" s="15">
        <v>6</v>
      </c>
      <c r="AE147" s="15">
        <v>0.3</v>
      </c>
      <c r="AF147" s="15">
        <v>1</v>
      </c>
      <c r="AG147" s="15">
        <v>2</v>
      </c>
      <c r="AH147" s="15">
        <v>6.91</v>
      </c>
      <c r="AI147" s="15">
        <v>9</v>
      </c>
      <c r="AJ147" s="15">
        <v>1.53</v>
      </c>
      <c r="AK147" s="15">
        <v>7</v>
      </c>
      <c r="AL147" s="15">
        <v>1.97</v>
      </c>
      <c r="AM147" s="15">
        <v>3</v>
      </c>
      <c r="AN147" s="15">
        <v>13.81</v>
      </c>
      <c r="AO147" s="15">
        <v>0.05</v>
      </c>
      <c r="AP147" s="15">
        <v>2.3</v>
      </c>
      <c r="AQ147" s="15">
        <v>0</v>
      </c>
      <c r="AR147" s="15">
        <v>0</v>
      </c>
      <c r="AS147" s="15">
        <v>0</v>
      </c>
      <c r="AT147" s="15">
        <v>1</v>
      </c>
      <c r="AU147" s="15">
        <v>0</v>
      </c>
      <c r="AV147" s="15">
        <v>0</v>
      </c>
      <c r="AW147" s="15">
        <v>0</v>
      </c>
      <c r="AX147" s="15">
        <v>3</v>
      </c>
      <c r="AY147" s="15">
        <v>210</v>
      </c>
      <c r="AZ147" s="15">
        <v>19</v>
      </c>
      <c r="BA147" s="15">
        <v>14</v>
      </c>
      <c r="BB147" s="15">
        <v>0.73684</v>
      </c>
      <c r="BC147" s="15">
        <v>0</v>
      </c>
      <c r="BD147" s="15">
        <v>0</v>
      </c>
      <c r="BE147" s="15">
        <v>4.77273</v>
      </c>
      <c r="BF147" s="15">
        <v>190</v>
      </c>
      <c r="BG147" s="15">
        <v>11</v>
      </c>
      <c r="BH147" s="15">
        <v>0</v>
      </c>
      <c r="BI147" s="15"/>
      <c r="BJ147" s="15">
        <v>0</v>
      </c>
      <c r="BK147" s="15">
        <v>0</v>
      </c>
      <c r="BL147" s="15">
        <v>0</v>
      </c>
      <c r="BM147" s="15">
        <v>0</v>
      </c>
      <c r="BN147" s="15"/>
      <c r="BO147" s="15"/>
      <c r="BP147" s="15">
        <v>0.12</v>
      </c>
      <c r="BQ147" s="15">
        <v>172</v>
      </c>
    </row>
    <row r="148" spans="1:69">
      <c r="A148" s="16">
        <v>46075</v>
      </c>
      <c r="B148" s="15">
        <v>371</v>
      </c>
      <c r="C148" s="15" t="s">
        <v>32</v>
      </c>
      <c r="D148" s="15">
        <v>371</v>
      </c>
      <c r="E148" s="15" t="s">
        <v>32</v>
      </c>
      <c r="F148" s="15">
        <v>4609</v>
      </c>
      <c r="G148" s="15">
        <v>120</v>
      </c>
      <c r="H148" s="15">
        <v>35</v>
      </c>
      <c r="I148" s="15">
        <v>0.02604</v>
      </c>
      <c r="J148" s="15">
        <v>0.29</v>
      </c>
      <c r="K148" s="15">
        <v>7.59</v>
      </c>
      <c r="L148" s="15">
        <v>0</v>
      </c>
      <c r="M148" s="15">
        <v>0</v>
      </c>
      <c r="N148" s="15">
        <v>0</v>
      </c>
      <c r="O148" s="15">
        <v>0</v>
      </c>
      <c r="P148" s="15">
        <v>0</v>
      </c>
      <c r="Q148" s="15">
        <v>0</v>
      </c>
      <c r="R148" s="15">
        <v>0</v>
      </c>
      <c r="S148" s="15">
        <v>0</v>
      </c>
      <c r="T148" s="15">
        <v>0</v>
      </c>
      <c r="U148" s="15">
        <v>0</v>
      </c>
      <c r="V148" s="15">
        <v>0</v>
      </c>
      <c r="W148" s="15">
        <v>0</v>
      </c>
      <c r="X148" s="15">
        <v>0</v>
      </c>
      <c r="Y148" s="15">
        <v>0</v>
      </c>
      <c r="Z148" s="15">
        <v>0</v>
      </c>
      <c r="AA148" s="15"/>
      <c r="AB148" s="15">
        <v>3</v>
      </c>
      <c r="AC148" s="15">
        <v>1</v>
      </c>
      <c r="AD148" s="15">
        <v>2</v>
      </c>
      <c r="AE148" s="15">
        <v>0.025</v>
      </c>
      <c r="AF148" s="15">
        <v>0</v>
      </c>
      <c r="AG148" s="15">
        <v>1</v>
      </c>
      <c r="AH148" s="15">
        <v>35</v>
      </c>
      <c r="AI148" s="15">
        <v>4</v>
      </c>
      <c r="AJ148" s="15">
        <v>8.75</v>
      </c>
      <c r="AK148" s="15">
        <v>3</v>
      </c>
      <c r="AL148" s="15">
        <v>11.67</v>
      </c>
      <c r="AM148" s="15">
        <v>1</v>
      </c>
      <c r="AN148" s="15"/>
      <c r="AO148" s="15">
        <v>0</v>
      </c>
      <c r="AP148" s="15">
        <v>11.67</v>
      </c>
      <c r="AQ148" s="15">
        <v>0</v>
      </c>
      <c r="AR148" s="15">
        <v>0</v>
      </c>
      <c r="AS148" s="15">
        <v>0</v>
      </c>
      <c r="AT148" s="15">
        <v>0</v>
      </c>
      <c r="AU148" s="15">
        <v>0</v>
      </c>
      <c r="AV148" s="15">
        <v>0</v>
      </c>
      <c r="AW148" s="15">
        <v>0</v>
      </c>
      <c r="AX148" s="15">
        <v>1</v>
      </c>
      <c r="AY148" s="15">
        <v>214</v>
      </c>
      <c r="AZ148" s="15">
        <v>113</v>
      </c>
      <c r="BA148" s="15">
        <v>107</v>
      </c>
      <c r="BB148" s="15">
        <v>0.9469</v>
      </c>
      <c r="BC148" s="15">
        <v>0</v>
      </c>
      <c r="BD148" s="15">
        <v>0</v>
      </c>
      <c r="BE148" s="15">
        <v>0.04643</v>
      </c>
      <c r="BF148" s="15">
        <v>86</v>
      </c>
      <c r="BG148" s="15">
        <v>2</v>
      </c>
      <c r="BH148" s="15">
        <v>0</v>
      </c>
      <c r="BI148" s="15"/>
      <c r="BJ148" s="15">
        <v>0</v>
      </c>
      <c r="BK148" s="15">
        <v>0</v>
      </c>
      <c r="BL148" s="15">
        <v>0</v>
      </c>
      <c r="BM148" s="15">
        <v>0</v>
      </c>
      <c r="BN148" s="15"/>
      <c r="BO148" s="15"/>
      <c r="BP148" s="15">
        <v>0</v>
      </c>
      <c r="BQ148" s="15">
        <v>2110</v>
      </c>
    </row>
    <row r="149" spans="1:69">
      <c r="A149" s="16">
        <v>46075</v>
      </c>
      <c r="B149" s="15">
        <v>436</v>
      </c>
      <c r="C149" s="15" t="s">
        <v>38</v>
      </c>
      <c r="D149" s="15">
        <v>436</v>
      </c>
      <c r="E149" s="15" t="s">
        <v>38</v>
      </c>
      <c r="F149" s="15">
        <v>1106</v>
      </c>
      <c r="G149" s="15">
        <v>28</v>
      </c>
      <c r="H149" s="15">
        <v>66.01</v>
      </c>
      <c r="I149" s="15">
        <v>0.02532</v>
      </c>
      <c r="J149" s="15">
        <v>2.36</v>
      </c>
      <c r="K149" s="15">
        <v>59.68</v>
      </c>
      <c r="L149" s="15">
        <v>0</v>
      </c>
      <c r="M149" s="15">
        <v>0</v>
      </c>
      <c r="N149" s="15">
        <v>0</v>
      </c>
      <c r="O149" s="15">
        <v>0</v>
      </c>
      <c r="P149" s="15">
        <v>0</v>
      </c>
      <c r="Q149" s="15">
        <v>0</v>
      </c>
      <c r="R149" s="15">
        <v>0</v>
      </c>
      <c r="S149" s="15">
        <v>0</v>
      </c>
      <c r="T149" s="15">
        <v>0</v>
      </c>
      <c r="U149" s="15">
        <v>0</v>
      </c>
      <c r="V149" s="15">
        <v>0</v>
      </c>
      <c r="W149" s="15">
        <v>0</v>
      </c>
      <c r="X149" s="15">
        <v>0</v>
      </c>
      <c r="Y149" s="15">
        <v>0</v>
      </c>
      <c r="Z149" s="15">
        <v>0</v>
      </c>
      <c r="AA149" s="15"/>
      <c r="AB149" s="15">
        <v>7</v>
      </c>
      <c r="AC149" s="15">
        <v>3</v>
      </c>
      <c r="AD149" s="15">
        <v>4</v>
      </c>
      <c r="AE149" s="15">
        <v>0.25</v>
      </c>
      <c r="AF149" s="15">
        <v>2</v>
      </c>
      <c r="AG149" s="15">
        <v>1</v>
      </c>
      <c r="AH149" s="15">
        <v>66.01</v>
      </c>
      <c r="AI149" s="15">
        <v>10</v>
      </c>
      <c r="AJ149" s="15">
        <v>6.6</v>
      </c>
      <c r="AK149" s="15">
        <v>9</v>
      </c>
      <c r="AL149" s="15">
        <v>7.33</v>
      </c>
      <c r="AM149" s="15">
        <v>3</v>
      </c>
      <c r="AN149" s="15">
        <v>33.01</v>
      </c>
      <c r="AO149" s="15">
        <v>0.07143</v>
      </c>
      <c r="AP149" s="15">
        <v>9.43</v>
      </c>
      <c r="AQ149" s="15">
        <v>0</v>
      </c>
      <c r="AR149" s="15">
        <v>0</v>
      </c>
      <c r="AS149" s="15">
        <v>2</v>
      </c>
      <c r="AT149" s="15">
        <v>0</v>
      </c>
      <c r="AU149" s="15">
        <v>0</v>
      </c>
      <c r="AV149" s="15">
        <v>0</v>
      </c>
      <c r="AW149" s="15">
        <v>0</v>
      </c>
      <c r="AX149" s="15">
        <v>1</v>
      </c>
      <c r="AY149" s="15">
        <v>111</v>
      </c>
      <c r="AZ149" s="15">
        <v>26</v>
      </c>
      <c r="BA149" s="15">
        <v>19</v>
      </c>
      <c r="BB149" s="15">
        <v>0.73077</v>
      </c>
      <c r="BC149" s="15">
        <v>0</v>
      </c>
      <c r="BD149" s="15">
        <v>0</v>
      </c>
      <c r="BE149" s="15">
        <v>0.10036</v>
      </c>
      <c r="BF149" s="15">
        <v>82</v>
      </c>
      <c r="BG149" s="15">
        <v>4</v>
      </c>
      <c r="BH149" s="15">
        <v>0</v>
      </c>
      <c r="BI149" s="15"/>
      <c r="BJ149" s="15">
        <v>0</v>
      </c>
      <c r="BK149" s="15">
        <v>0</v>
      </c>
      <c r="BL149" s="15">
        <v>0</v>
      </c>
      <c r="BM149" s="15">
        <v>0</v>
      </c>
      <c r="BN149" s="15"/>
      <c r="BO149" s="15"/>
      <c r="BP149" s="15">
        <v>27.02</v>
      </c>
      <c r="BQ149" s="15">
        <v>138</v>
      </c>
    </row>
    <row r="150" spans="1:69">
      <c r="A150" s="16">
        <v>46075</v>
      </c>
      <c r="B150" s="15">
        <v>479</v>
      </c>
      <c r="C150" s="15" t="s">
        <v>39</v>
      </c>
      <c r="D150" s="15">
        <v>479</v>
      </c>
      <c r="E150" s="15" t="s">
        <v>39</v>
      </c>
      <c r="F150" s="15">
        <v>73</v>
      </c>
      <c r="G150" s="15">
        <v>29</v>
      </c>
      <c r="H150" s="15">
        <v>21.46</v>
      </c>
      <c r="I150" s="15">
        <v>0.39726</v>
      </c>
      <c r="J150" s="15">
        <v>0.74</v>
      </c>
      <c r="K150" s="15">
        <v>293.97</v>
      </c>
      <c r="L150" s="15">
        <v>0</v>
      </c>
      <c r="M150" s="15">
        <v>0</v>
      </c>
      <c r="N150" s="15">
        <v>0</v>
      </c>
      <c r="O150" s="15">
        <v>0</v>
      </c>
      <c r="P150" s="15">
        <v>0</v>
      </c>
      <c r="Q150" s="15">
        <v>0</v>
      </c>
      <c r="R150" s="15">
        <v>0</v>
      </c>
      <c r="S150" s="15">
        <v>381.22</v>
      </c>
      <c r="T150" s="15">
        <v>381.22</v>
      </c>
      <c r="U150" s="15">
        <v>2</v>
      </c>
      <c r="V150" s="15">
        <v>0</v>
      </c>
      <c r="W150" s="15">
        <v>2</v>
      </c>
      <c r="X150" s="15">
        <v>0.06897</v>
      </c>
      <c r="Y150" s="15">
        <v>17.76</v>
      </c>
      <c r="Z150" s="15">
        <v>17.76</v>
      </c>
      <c r="AA150" s="15">
        <v>10.73</v>
      </c>
      <c r="AB150" s="15">
        <v>11</v>
      </c>
      <c r="AC150" s="15">
        <v>0</v>
      </c>
      <c r="AD150" s="15">
        <v>11</v>
      </c>
      <c r="AE150" s="15">
        <v>0.37931</v>
      </c>
      <c r="AF150" s="15">
        <v>2</v>
      </c>
      <c r="AG150" s="15">
        <v>4</v>
      </c>
      <c r="AH150" s="15">
        <v>5.36</v>
      </c>
      <c r="AI150" s="15">
        <v>17</v>
      </c>
      <c r="AJ150" s="15">
        <v>1.26</v>
      </c>
      <c r="AK150" s="15">
        <v>13</v>
      </c>
      <c r="AL150" s="15">
        <v>1.65</v>
      </c>
      <c r="AM150" s="15">
        <v>6</v>
      </c>
      <c r="AN150" s="15">
        <v>10.73</v>
      </c>
      <c r="AO150" s="15">
        <v>0.06897</v>
      </c>
      <c r="AP150" s="15">
        <v>1.95</v>
      </c>
      <c r="AQ150" s="15">
        <v>3</v>
      </c>
      <c r="AR150" s="15">
        <v>546.9</v>
      </c>
      <c r="AS150" s="15">
        <v>0</v>
      </c>
      <c r="AT150" s="15">
        <v>2</v>
      </c>
      <c r="AU150" s="15">
        <v>0</v>
      </c>
      <c r="AV150" s="15">
        <v>0</v>
      </c>
      <c r="AW150" s="15">
        <v>0</v>
      </c>
      <c r="AX150" s="15">
        <v>1</v>
      </c>
      <c r="AY150" s="15">
        <v>287</v>
      </c>
      <c r="AZ150" s="15">
        <v>24</v>
      </c>
      <c r="BA150" s="15">
        <v>16</v>
      </c>
      <c r="BB150" s="15">
        <v>0.66667</v>
      </c>
      <c r="BC150" s="15">
        <v>0</v>
      </c>
      <c r="BD150" s="15">
        <v>0</v>
      </c>
      <c r="BE150" s="15">
        <v>3.93151</v>
      </c>
      <c r="BF150" s="15">
        <v>256</v>
      </c>
      <c r="BG150" s="15">
        <v>12</v>
      </c>
      <c r="BH150" s="15">
        <v>2</v>
      </c>
      <c r="BI150" s="15">
        <v>1</v>
      </c>
      <c r="BJ150" s="15">
        <v>0</v>
      </c>
      <c r="BK150" s="15">
        <v>0</v>
      </c>
      <c r="BL150" s="15">
        <v>0</v>
      </c>
      <c r="BM150" s="15">
        <v>2</v>
      </c>
      <c r="BN150" s="15">
        <v>1</v>
      </c>
      <c r="BO150" s="15">
        <v>190.61</v>
      </c>
      <c r="BP150" s="15">
        <v>66.92</v>
      </c>
      <c r="BQ150" s="15">
        <v>556</v>
      </c>
    </row>
    <row r="151" spans="1:69">
      <c r="A151" s="16">
        <v>46074</v>
      </c>
      <c r="B151" s="15">
        <v>436</v>
      </c>
      <c r="C151" s="15" t="s">
        <v>38</v>
      </c>
      <c r="D151" s="15">
        <v>436</v>
      </c>
      <c r="E151" s="15" t="s">
        <v>38</v>
      </c>
      <c r="F151" s="15">
        <v>905</v>
      </c>
      <c r="G151" s="15">
        <v>38</v>
      </c>
      <c r="H151" s="15">
        <v>68.8</v>
      </c>
      <c r="I151" s="15">
        <v>0.04199</v>
      </c>
      <c r="J151" s="15">
        <v>1.81</v>
      </c>
      <c r="K151" s="15">
        <v>76.02</v>
      </c>
      <c r="L151" s="15">
        <v>0</v>
      </c>
      <c r="M151" s="15">
        <v>0</v>
      </c>
      <c r="N151" s="15">
        <v>0</v>
      </c>
      <c r="O151" s="15">
        <v>0</v>
      </c>
      <c r="P151" s="15">
        <v>0</v>
      </c>
      <c r="Q151" s="15">
        <v>0</v>
      </c>
      <c r="R151" s="15">
        <v>162.68</v>
      </c>
      <c r="S151" s="15">
        <v>0</v>
      </c>
      <c r="T151" s="15">
        <v>162.68</v>
      </c>
      <c r="U151" s="15">
        <v>1</v>
      </c>
      <c r="V151" s="15">
        <v>1</v>
      </c>
      <c r="W151" s="15">
        <v>0</v>
      </c>
      <c r="X151" s="15">
        <v>0.02632</v>
      </c>
      <c r="Y151" s="15">
        <v>2.36</v>
      </c>
      <c r="Z151" s="15">
        <v>2.36</v>
      </c>
      <c r="AA151" s="15">
        <v>68.8</v>
      </c>
      <c r="AB151" s="15">
        <v>6</v>
      </c>
      <c r="AC151" s="15">
        <v>3</v>
      </c>
      <c r="AD151" s="15">
        <v>3</v>
      </c>
      <c r="AE151" s="15">
        <v>0.15789</v>
      </c>
      <c r="AF151" s="15">
        <v>1</v>
      </c>
      <c r="AG151" s="15">
        <v>0</v>
      </c>
      <c r="AH151" s="15"/>
      <c r="AI151" s="15">
        <v>7</v>
      </c>
      <c r="AJ151" s="15">
        <v>9.83</v>
      </c>
      <c r="AK151" s="15">
        <v>7</v>
      </c>
      <c r="AL151" s="15">
        <v>9.83</v>
      </c>
      <c r="AM151" s="15">
        <v>1</v>
      </c>
      <c r="AN151" s="15">
        <v>68.8</v>
      </c>
      <c r="AO151" s="15">
        <v>0.02632</v>
      </c>
      <c r="AP151" s="15">
        <v>11.47</v>
      </c>
      <c r="AQ151" s="15">
        <v>3</v>
      </c>
      <c r="AR151" s="15">
        <v>534.9</v>
      </c>
      <c r="AS151" s="15">
        <v>0</v>
      </c>
      <c r="AT151" s="15">
        <v>1</v>
      </c>
      <c r="AU151" s="15">
        <v>0</v>
      </c>
      <c r="AV151" s="15">
        <v>0</v>
      </c>
      <c r="AW151" s="15">
        <v>0</v>
      </c>
      <c r="AX151" s="15">
        <v>2</v>
      </c>
      <c r="AY151" s="15">
        <v>187</v>
      </c>
      <c r="AZ151" s="15">
        <v>35</v>
      </c>
      <c r="BA151" s="15">
        <v>29</v>
      </c>
      <c r="BB151" s="15">
        <v>0.82857</v>
      </c>
      <c r="BC151" s="15">
        <v>0</v>
      </c>
      <c r="BD151" s="15">
        <v>0</v>
      </c>
      <c r="BE151" s="15">
        <v>0.20663</v>
      </c>
      <c r="BF151" s="15">
        <v>142</v>
      </c>
      <c r="BG151" s="15">
        <v>5</v>
      </c>
      <c r="BH151" s="15">
        <v>1</v>
      </c>
      <c r="BI151" s="15">
        <v>1</v>
      </c>
      <c r="BJ151" s="15">
        <v>0</v>
      </c>
      <c r="BK151" s="15">
        <v>0</v>
      </c>
      <c r="BL151" s="15">
        <v>0</v>
      </c>
      <c r="BM151" s="15">
        <v>1</v>
      </c>
      <c r="BN151" s="15">
        <v>1</v>
      </c>
      <c r="BO151" s="15">
        <v>162.68</v>
      </c>
      <c r="BP151" s="15">
        <v>0.32</v>
      </c>
      <c r="BQ151" s="15">
        <v>928</v>
      </c>
    </row>
    <row r="152" spans="1:69">
      <c r="A152" s="16">
        <v>46074</v>
      </c>
      <c r="B152" s="15">
        <v>371</v>
      </c>
      <c r="C152" s="15" t="s">
        <v>32</v>
      </c>
      <c r="D152" s="15">
        <v>371</v>
      </c>
      <c r="E152" s="15" t="s">
        <v>32</v>
      </c>
      <c r="F152" s="15">
        <v>5827</v>
      </c>
      <c r="G152" s="15">
        <v>109</v>
      </c>
      <c r="H152" s="15">
        <v>33.65</v>
      </c>
      <c r="I152" s="15">
        <v>0.01871</v>
      </c>
      <c r="J152" s="15">
        <v>0.31</v>
      </c>
      <c r="K152" s="15">
        <v>5.77</v>
      </c>
      <c r="L152" s="15">
        <v>0</v>
      </c>
      <c r="M152" s="15">
        <v>0</v>
      </c>
      <c r="N152" s="15">
        <v>0</v>
      </c>
      <c r="O152" s="15">
        <v>0</v>
      </c>
      <c r="P152" s="15">
        <v>0</v>
      </c>
      <c r="Q152" s="15">
        <v>0</v>
      </c>
      <c r="R152" s="15">
        <v>0</v>
      </c>
      <c r="S152" s="15">
        <v>57.27</v>
      </c>
      <c r="T152" s="15">
        <v>57.27</v>
      </c>
      <c r="U152" s="15">
        <v>1</v>
      </c>
      <c r="V152" s="15">
        <v>0</v>
      </c>
      <c r="W152" s="15">
        <v>1</v>
      </c>
      <c r="X152" s="15">
        <v>0.00917</v>
      </c>
      <c r="Y152" s="15">
        <v>1.7</v>
      </c>
      <c r="Z152" s="15">
        <v>1.7</v>
      </c>
      <c r="AA152" s="15">
        <v>33.65</v>
      </c>
      <c r="AB152" s="15">
        <v>5</v>
      </c>
      <c r="AC152" s="15">
        <v>2</v>
      </c>
      <c r="AD152" s="15">
        <v>3</v>
      </c>
      <c r="AE152" s="15">
        <v>0.04587</v>
      </c>
      <c r="AF152" s="15">
        <v>0</v>
      </c>
      <c r="AG152" s="15">
        <v>0</v>
      </c>
      <c r="AH152" s="15"/>
      <c r="AI152" s="15">
        <v>5</v>
      </c>
      <c r="AJ152" s="15">
        <v>6.73</v>
      </c>
      <c r="AK152" s="15">
        <v>5</v>
      </c>
      <c r="AL152" s="15">
        <v>6.73</v>
      </c>
      <c r="AM152" s="15">
        <v>0</v>
      </c>
      <c r="AN152" s="15"/>
      <c r="AO152" s="15">
        <v>0</v>
      </c>
      <c r="AP152" s="15">
        <v>6.73</v>
      </c>
      <c r="AQ152" s="15">
        <v>1</v>
      </c>
      <c r="AR152" s="15">
        <v>69</v>
      </c>
      <c r="AS152" s="15">
        <v>0</v>
      </c>
      <c r="AT152" s="15">
        <v>0</v>
      </c>
      <c r="AU152" s="15">
        <v>0</v>
      </c>
      <c r="AV152" s="15">
        <v>0</v>
      </c>
      <c r="AW152" s="15">
        <v>0</v>
      </c>
      <c r="AX152" s="15">
        <v>0</v>
      </c>
      <c r="AY152" s="15">
        <v>186</v>
      </c>
      <c r="AZ152" s="15">
        <v>97</v>
      </c>
      <c r="BA152" s="15">
        <v>95</v>
      </c>
      <c r="BB152" s="15">
        <v>0.97938</v>
      </c>
      <c r="BC152" s="15">
        <v>0</v>
      </c>
      <c r="BD152" s="15">
        <v>0</v>
      </c>
      <c r="BE152" s="15">
        <v>0.03192</v>
      </c>
      <c r="BF152" s="15">
        <v>80</v>
      </c>
      <c r="BG152" s="15">
        <v>2</v>
      </c>
      <c r="BH152" s="15">
        <v>1</v>
      </c>
      <c r="BI152" s="15">
        <v>1</v>
      </c>
      <c r="BJ152" s="15">
        <v>0</v>
      </c>
      <c r="BK152" s="15">
        <v>0</v>
      </c>
      <c r="BL152" s="15">
        <v>0</v>
      </c>
      <c r="BM152" s="15">
        <v>1</v>
      </c>
      <c r="BN152" s="15">
        <v>1</v>
      </c>
      <c r="BO152" s="15">
        <v>57.27</v>
      </c>
      <c r="BP152" s="15">
        <v>0.08</v>
      </c>
      <c r="BQ152" s="15">
        <v>2036</v>
      </c>
    </row>
    <row r="153" spans="1:69">
      <c r="A153" s="16">
        <v>46074</v>
      </c>
      <c r="B153" s="15">
        <v>479</v>
      </c>
      <c r="C153" s="15" t="s">
        <v>39</v>
      </c>
      <c r="D153" s="15">
        <v>479</v>
      </c>
      <c r="E153" s="15" t="s">
        <v>39</v>
      </c>
      <c r="F153" s="15">
        <v>58</v>
      </c>
      <c r="G153" s="15">
        <v>27</v>
      </c>
      <c r="H153" s="15">
        <v>18.06</v>
      </c>
      <c r="I153" s="15">
        <v>0.46552</v>
      </c>
      <c r="J153" s="15">
        <v>0.67</v>
      </c>
      <c r="K153" s="15">
        <v>311.39</v>
      </c>
      <c r="L153" s="15">
        <v>0</v>
      </c>
      <c r="M153" s="15">
        <v>0</v>
      </c>
      <c r="N153" s="15">
        <v>0</v>
      </c>
      <c r="O153" s="15">
        <v>0</v>
      </c>
      <c r="P153" s="15">
        <v>0</v>
      </c>
      <c r="Q153" s="15">
        <v>0</v>
      </c>
      <c r="R153" s="15">
        <v>0</v>
      </c>
      <c r="S153" s="15">
        <v>75.66</v>
      </c>
      <c r="T153" s="15">
        <v>75.66</v>
      </c>
      <c r="U153" s="15">
        <v>1</v>
      </c>
      <c r="V153" s="15">
        <v>0</v>
      </c>
      <c r="W153" s="15">
        <v>1</v>
      </c>
      <c r="X153" s="15">
        <v>0.03704</v>
      </c>
      <c r="Y153" s="15">
        <v>4.19</v>
      </c>
      <c r="Z153" s="15">
        <v>4.19</v>
      </c>
      <c r="AA153" s="15">
        <v>18.06</v>
      </c>
      <c r="AB153" s="15">
        <v>8</v>
      </c>
      <c r="AC153" s="15">
        <v>0</v>
      </c>
      <c r="AD153" s="15">
        <v>8</v>
      </c>
      <c r="AE153" s="15">
        <v>0.2963</v>
      </c>
      <c r="AF153" s="15">
        <v>1</v>
      </c>
      <c r="AG153" s="15">
        <v>3</v>
      </c>
      <c r="AH153" s="15">
        <v>6.02</v>
      </c>
      <c r="AI153" s="15">
        <v>12</v>
      </c>
      <c r="AJ153" s="15">
        <v>1.51</v>
      </c>
      <c r="AK153" s="15">
        <v>9</v>
      </c>
      <c r="AL153" s="15">
        <v>2.01</v>
      </c>
      <c r="AM153" s="15">
        <v>4</v>
      </c>
      <c r="AN153" s="15">
        <v>18.06</v>
      </c>
      <c r="AO153" s="15">
        <v>0.03704</v>
      </c>
      <c r="AP153" s="15">
        <v>2.26</v>
      </c>
      <c r="AQ153" s="15">
        <v>1</v>
      </c>
      <c r="AR153" s="15">
        <v>78</v>
      </c>
      <c r="AS153" s="15">
        <v>0</v>
      </c>
      <c r="AT153" s="15">
        <v>1</v>
      </c>
      <c r="AU153" s="15">
        <v>0</v>
      </c>
      <c r="AV153" s="15">
        <v>0</v>
      </c>
      <c r="AW153" s="15">
        <v>0</v>
      </c>
      <c r="AX153" s="15">
        <v>1</v>
      </c>
      <c r="AY153" s="15">
        <v>333</v>
      </c>
      <c r="AZ153" s="15">
        <v>22</v>
      </c>
      <c r="BA153" s="15">
        <v>16</v>
      </c>
      <c r="BB153" s="15">
        <v>0.72727</v>
      </c>
      <c r="BC153" s="15">
        <v>0</v>
      </c>
      <c r="BD153" s="15">
        <v>0</v>
      </c>
      <c r="BE153" s="15">
        <v>5.74138</v>
      </c>
      <c r="BF153" s="15">
        <v>306</v>
      </c>
      <c r="BG153" s="15">
        <v>15</v>
      </c>
      <c r="BH153" s="15">
        <v>1</v>
      </c>
      <c r="BI153" s="15">
        <v>1</v>
      </c>
      <c r="BJ153" s="15">
        <v>0</v>
      </c>
      <c r="BK153" s="15">
        <v>0</v>
      </c>
      <c r="BL153" s="15">
        <v>0</v>
      </c>
      <c r="BM153" s="15">
        <v>1</v>
      </c>
      <c r="BN153" s="15">
        <v>1</v>
      </c>
      <c r="BO153" s="15">
        <v>75.66</v>
      </c>
      <c r="BP153" s="15">
        <v>0.24</v>
      </c>
      <c r="BQ153" s="15">
        <v>306</v>
      </c>
    </row>
    <row r="154" spans="1:69">
      <c r="A154" s="16">
        <v>46073</v>
      </c>
      <c r="B154" s="15">
        <v>371</v>
      </c>
      <c r="C154" s="15" t="s">
        <v>32</v>
      </c>
      <c r="D154" s="15">
        <v>371</v>
      </c>
      <c r="E154" s="15" t="s">
        <v>32</v>
      </c>
      <c r="F154" s="15">
        <v>4119</v>
      </c>
      <c r="G154" s="15">
        <v>118</v>
      </c>
      <c r="H154" s="15">
        <v>35</v>
      </c>
      <c r="I154" s="15">
        <v>0.02865</v>
      </c>
      <c r="J154" s="15">
        <v>0.3</v>
      </c>
      <c r="K154" s="15">
        <v>8.5</v>
      </c>
      <c r="L154" s="15">
        <v>0</v>
      </c>
      <c r="M154" s="15">
        <v>0</v>
      </c>
      <c r="N154" s="15">
        <v>0</v>
      </c>
      <c r="O154" s="15">
        <v>0</v>
      </c>
      <c r="P154" s="15">
        <v>0</v>
      </c>
      <c r="Q154" s="15">
        <v>0</v>
      </c>
      <c r="R154" s="15">
        <v>0</v>
      </c>
      <c r="S154" s="15">
        <v>0</v>
      </c>
      <c r="T154" s="15">
        <v>0</v>
      </c>
      <c r="U154" s="15">
        <v>0</v>
      </c>
      <c r="V154" s="15">
        <v>0</v>
      </c>
      <c r="W154" s="15">
        <v>0</v>
      </c>
      <c r="X154" s="15">
        <v>0</v>
      </c>
      <c r="Y154" s="15">
        <v>0</v>
      </c>
      <c r="Z154" s="15">
        <v>0</v>
      </c>
      <c r="AA154" s="15"/>
      <c r="AB154" s="15">
        <v>1</v>
      </c>
      <c r="AC154" s="15">
        <v>1</v>
      </c>
      <c r="AD154" s="15">
        <v>0</v>
      </c>
      <c r="AE154" s="15">
        <v>0.00847</v>
      </c>
      <c r="AF154" s="15">
        <v>1</v>
      </c>
      <c r="AG154" s="15">
        <v>1</v>
      </c>
      <c r="AH154" s="15">
        <v>35</v>
      </c>
      <c r="AI154" s="15">
        <v>3</v>
      </c>
      <c r="AJ154" s="15">
        <v>11.67</v>
      </c>
      <c r="AK154" s="15">
        <v>2</v>
      </c>
      <c r="AL154" s="15">
        <v>17.5</v>
      </c>
      <c r="AM154" s="15">
        <v>2</v>
      </c>
      <c r="AN154" s="15">
        <v>35</v>
      </c>
      <c r="AO154" s="15">
        <v>0.00847</v>
      </c>
      <c r="AP154" s="15">
        <v>35</v>
      </c>
      <c r="AQ154" s="15">
        <v>0</v>
      </c>
      <c r="AR154" s="15">
        <v>0</v>
      </c>
      <c r="AS154" s="15">
        <v>1</v>
      </c>
      <c r="AT154" s="15">
        <v>0</v>
      </c>
      <c r="AU154" s="15">
        <v>0</v>
      </c>
      <c r="AV154" s="15">
        <v>0</v>
      </c>
      <c r="AW154" s="15">
        <v>0</v>
      </c>
      <c r="AX154" s="15">
        <v>0</v>
      </c>
      <c r="AY154" s="15">
        <v>244</v>
      </c>
      <c r="AZ154" s="15">
        <v>105</v>
      </c>
      <c r="BA154" s="15">
        <v>96</v>
      </c>
      <c r="BB154" s="15">
        <v>0.91429</v>
      </c>
      <c r="BC154" s="15">
        <v>0</v>
      </c>
      <c r="BD154" s="15">
        <v>0</v>
      </c>
      <c r="BE154" s="15">
        <v>0.05924</v>
      </c>
      <c r="BF154" s="15">
        <v>127</v>
      </c>
      <c r="BG154" s="15">
        <v>2</v>
      </c>
      <c r="BH154" s="15">
        <v>0</v>
      </c>
      <c r="BI154" s="15"/>
      <c r="BJ154" s="15">
        <v>0</v>
      </c>
      <c r="BK154" s="15">
        <v>0</v>
      </c>
      <c r="BL154" s="15">
        <v>0</v>
      </c>
      <c r="BM154" s="15">
        <v>0</v>
      </c>
      <c r="BN154" s="15"/>
      <c r="BO154" s="15"/>
      <c r="BP154" s="15">
        <v>0</v>
      </c>
      <c r="BQ154" s="15">
        <v>818</v>
      </c>
    </row>
    <row r="155" spans="1:69">
      <c r="A155" s="16">
        <v>46073</v>
      </c>
      <c r="B155" s="15">
        <v>436</v>
      </c>
      <c r="C155" s="15" t="s">
        <v>38</v>
      </c>
      <c r="D155" s="15">
        <v>436</v>
      </c>
      <c r="E155" s="15" t="s">
        <v>38</v>
      </c>
      <c r="F155" s="15">
        <v>2063</v>
      </c>
      <c r="G155" s="15">
        <v>67</v>
      </c>
      <c r="H155" s="15">
        <v>75.43</v>
      </c>
      <c r="I155" s="15">
        <v>0.03248</v>
      </c>
      <c r="J155" s="15">
        <v>1.13</v>
      </c>
      <c r="K155" s="15">
        <v>36.56</v>
      </c>
      <c r="L155" s="15">
        <v>0</v>
      </c>
      <c r="M155" s="15">
        <v>0</v>
      </c>
      <c r="N155" s="15">
        <v>0</v>
      </c>
      <c r="O155" s="15">
        <v>0</v>
      </c>
      <c r="P155" s="15">
        <v>0</v>
      </c>
      <c r="Q155" s="15">
        <v>0</v>
      </c>
      <c r="R155" s="15">
        <v>0</v>
      </c>
      <c r="S155" s="15">
        <v>0</v>
      </c>
      <c r="T155" s="15">
        <v>0</v>
      </c>
      <c r="U155" s="15">
        <v>0</v>
      </c>
      <c r="V155" s="15">
        <v>0</v>
      </c>
      <c r="W155" s="15">
        <v>0</v>
      </c>
      <c r="X155" s="15">
        <v>0</v>
      </c>
      <c r="Y155" s="15">
        <v>0</v>
      </c>
      <c r="Z155" s="15">
        <v>0</v>
      </c>
      <c r="AA155" s="15"/>
      <c r="AB155" s="15">
        <v>5</v>
      </c>
      <c r="AC155" s="15">
        <v>0</v>
      </c>
      <c r="AD155" s="15">
        <v>5</v>
      </c>
      <c r="AE155" s="15">
        <v>0.07463</v>
      </c>
      <c r="AF155" s="15">
        <v>1</v>
      </c>
      <c r="AG155" s="15">
        <v>1</v>
      </c>
      <c r="AH155" s="15">
        <v>75.43</v>
      </c>
      <c r="AI155" s="15">
        <v>7</v>
      </c>
      <c r="AJ155" s="15">
        <v>10.78</v>
      </c>
      <c r="AK155" s="15">
        <v>6</v>
      </c>
      <c r="AL155" s="15">
        <v>12.57</v>
      </c>
      <c r="AM155" s="15">
        <v>2</v>
      </c>
      <c r="AN155" s="15">
        <v>75.43</v>
      </c>
      <c r="AO155" s="15">
        <v>0.01493</v>
      </c>
      <c r="AP155" s="15">
        <v>15.09</v>
      </c>
      <c r="AQ155" s="15">
        <v>0</v>
      </c>
      <c r="AR155" s="15">
        <v>0</v>
      </c>
      <c r="AS155" s="15">
        <v>1</v>
      </c>
      <c r="AT155" s="15">
        <v>0</v>
      </c>
      <c r="AU155" s="15">
        <v>0</v>
      </c>
      <c r="AV155" s="15">
        <v>0</v>
      </c>
      <c r="AW155" s="15">
        <v>0</v>
      </c>
      <c r="AX155" s="15">
        <v>0</v>
      </c>
      <c r="AY155" s="15">
        <v>134</v>
      </c>
      <c r="AZ155" s="15">
        <v>62</v>
      </c>
      <c r="BA155" s="15">
        <v>52</v>
      </c>
      <c r="BB155" s="15">
        <v>0.83871</v>
      </c>
      <c r="BC155" s="15">
        <v>0</v>
      </c>
      <c r="BD155" s="15">
        <v>0</v>
      </c>
      <c r="BE155" s="15">
        <v>0.06495</v>
      </c>
      <c r="BF155" s="15">
        <v>62</v>
      </c>
      <c r="BG155" s="15">
        <v>2</v>
      </c>
      <c r="BH155" s="15">
        <v>0</v>
      </c>
      <c r="BI155" s="15"/>
      <c r="BJ155" s="15">
        <v>0</v>
      </c>
      <c r="BK155" s="15">
        <v>0</v>
      </c>
      <c r="BL155" s="15">
        <v>0</v>
      </c>
      <c r="BM155" s="15">
        <v>0</v>
      </c>
      <c r="BN155" s="15"/>
      <c r="BO155" s="15"/>
      <c r="BP155" s="15">
        <v>0.55</v>
      </c>
      <c r="BQ155" s="15">
        <v>194</v>
      </c>
    </row>
    <row r="156" spans="1:69">
      <c r="A156" s="16">
        <v>46073</v>
      </c>
      <c r="B156" s="15">
        <v>479</v>
      </c>
      <c r="C156" s="15" t="s">
        <v>39</v>
      </c>
      <c r="D156" s="15">
        <v>479</v>
      </c>
      <c r="E156" s="15" t="s">
        <v>39</v>
      </c>
      <c r="F156" s="15">
        <v>37</v>
      </c>
      <c r="G156" s="15">
        <v>24</v>
      </c>
      <c r="H156" s="15">
        <v>10.01</v>
      </c>
      <c r="I156" s="15">
        <v>0.64865</v>
      </c>
      <c r="J156" s="15">
        <v>0.42</v>
      </c>
      <c r="K156" s="15">
        <v>270.41</v>
      </c>
      <c r="L156" s="15">
        <v>0</v>
      </c>
      <c r="M156" s="15">
        <v>0</v>
      </c>
      <c r="N156" s="15">
        <v>0</v>
      </c>
      <c r="O156" s="15">
        <v>0</v>
      </c>
      <c r="P156" s="15">
        <v>0</v>
      </c>
      <c r="Q156" s="15">
        <v>0</v>
      </c>
      <c r="R156" s="15">
        <v>0</v>
      </c>
      <c r="S156" s="15">
        <v>28.42</v>
      </c>
      <c r="T156" s="15">
        <v>28.42</v>
      </c>
      <c r="U156" s="15">
        <v>1</v>
      </c>
      <c r="V156" s="15">
        <v>0</v>
      </c>
      <c r="W156" s="15">
        <v>1</v>
      </c>
      <c r="X156" s="15">
        <v>0.04167</v>
      </c>
      <c r="Y156" s="15">
        <v>2.84</v>
      </c>
      <c r="Z156" s="15">
        <v>2.84</v>
      </c>
      <c r="AA156" s="15">
        <v>10.01</v>
      </c>
      <c r="AB156" s="15">
        <v>6</v>
      </c>
      <c r="AC156" s="15">
        <v>0</v>
      </c>
      <c r="AD156" s="15">
        <v>6</v>
      </c>
      <c r="AE156" s="15">
        <v>0.25</v>
      </c>
      <c r="AF156" s="15">
        <v>1</v>
      </c>
      <c r="AG156" s="15">
        <v>4</v>
      </c>
      <c r="AH156" s="15">
        <v>2.5</v>
      </c>
      <c r="AI156" s="15">
        <v>11</v>
      </c>
      <c r="AJ156" s="15">
        <v>0.91</v>
      </c>
      <c r="AK156" s="15">
        <v>7</v>
      </c>
      <c r="AL156" s="15">
        <v>1.43</v>
      </c>
      <c r="AM156" s="15">
        <v>5</v>
      </c>
      <c r="AN156" s="15">
        <v>10.01</v>
      </c>
      <c r="AO156" s="15">
        <v>0.04167</v>
      </c>
      <c r="AP156" s="15">
        <v>1.67</v>
      </c>
      <c r="AQ156" s="15">
        <v>1</v>
      </c>
      <c r="AR156" s="15">
        <v>29</v>
      </c>
      <c r="AS156" s="15">
        <v>0</v>
      </c>
      <c r="AT156" s="15">
        <v>1</v>
      </c>
      <c r="AU156" s="15">
        <v>0</v>
      </c>
      <c r="AV156" s="15">
        <v>0</v>
      </c>
      <c r="AW156" s="15">
        <v>0</v>
      </c>
      <c r="AX156" s="15">
        <v>2</v>
      </c>
      <c r="AY156" s="15">
        <v>182</v>
      </c>
      <c r="AZ156" s="15">
        <v>16</v>
      </c>
      <c r="BA156" s="15">
        <v>15</v>
      </c>
      <c r="BB156" s="15">
        <v>0.9375</v>
      </c>
      <c r="BC156" s="15">
        <v>0</v>
      </c>
      <c r="BD156" s="15">
        <v>0</v>
      </c>
      <c r="BE156" s="15">
        <v>4.91892</v>
      </c>
      <c r="BF156" s="15">
        <v>158</v>
      </c>
      <c r="BG156" s="15">
        <v>11</v>
      </c>
      <c r="BH156" s="15">
        <v>1</v>
      </c>
      <c r="BI156" s="15">
        <v>1</v>
      </c>
      <c r="BJ156" s="15">
        <v>0</v>
      </c>
      <c r="BK156" s="15">
        <v>0</v>
      </c>
      <c r="BL156" s="15">
        <v>0</v>
      </c>
      <c r="BM156" s="15">
        <v>1</v>
      </c>
      <c r="BN156" s="15">
        <v>1</v>
      </c>
      <c r="BO156" s="15">
        <v>28.42</v>
      </c>
      <c r="BP156" s="15">
        <v>17.21</v>
      </c>
      <c r="BQ156" s="15">
        <v>659</v>
      </c>
    </row>
    <row r="157" spans="1:69">
      <c r="A157" s="16">
        <v>46072</v>
      </c>
      <c r="B157" s="15">
        <v>479</v>
      </c>
      <c r="C157" s="15" t="s">
        <v>39</v>
      </c>
      <c r="D157" s="15">
        <v>479</v>
      </c>
      <c r="E157" s="15" t="s">
        <v>39</v>
      </c>
      <c r="F157" s="15">
        <v>43</v>
      </c>
      <c r="G157" s="15">
        <v>24</v>
      </c>
      <c r="H157" s="15">
        <v>12.57</v>
      </c>
      <c r="I157" s="15">
        <v>0.55814</v>
      </c>
      <c r="J157" s="15">
        <v>0.52</v>
      </c>
      <c r="K157" s="15">
        <v>292.29</v>
      </c>
      <c r="L157" s="15">
        <v>0</v>
      </c>
      <c r="M157" s="15">
        <v>0</v>
      </c>
      <c r="N157" s="15">
        <v>0</v>
      </c>
      <c r="O157" s="15">
        <v>0</v>
      </c>
      <c r="P157" s="15">
        <v>0</v>
      </c>
      <c r="Q157" s="15">
        <v>0</v>
      </c>
      <c r="R157" s="15">
        <v>0</v>
      </c>
      <c r="S157" s="15">
        <v>0</v>
      </c>
      <c r="T157" s="15">
        <v>0</v>
      </c>
      <c r="U157" s="15">
        <v>0</v>
      </c>
      <c r="V157" s="15">
        <v>0</v>
      </c>
      <c r="W157" s="15">
        <v>0</v>
      </c>
      <c r="X157" s="15">
        <v>0</v>
      </c>
      <c r="Y157" s="15">
        <v>0</v>
      </c>
      <c r="Z157" s="15">
        <v>0</v>
      </c>
      <c r="AA157" s="15"/>
      <c r="AB157" s="15">
        <v>4</v>
      </c>
      <c r="AC157" s="15">
        <v>1</v>
      </c>
      <c r="AD157" s="15">
        <v>3</v>
      </c>
      <c r="AE157" s="15">
        <v>0.16667</v>
      </c>
      <c r="AF157" s="15">
        <v>0</v>
      </c>
      <c r="AG157" s="15">
        <v>5</v>
      </c>
      <c r="AH157" s="15">
        <v>2.51</v>
      </c>
      <c r="AI157" s="15">
        <v>9</v>
      </c>
      <c r="AJ157" s="15">
        <v>1.4</v>
      </c>
      <c r="AK157" s="15">
        <v>4</v>
      </c>
      <c r="AL157" s="15">
        <v>3.14</v>
      </c>
      <c r="AM157" s="15">
        <v>5</v>
      </c>
      <c r="AN157" s="15"/>
      <c r="AO157" s="15">
        <v>0</v>
      </c>
      <c r="AP157" s="15">
        <v>3.14</v>
      </c>
      <c r="AQ157" s="15">
        <v>0</v>
      </c>
      <c r="AR157" s="15">
        <v>0</v>
      </c>
      <c r="AS157" s="15">
        <v>0</v>
      </c>
      <c r="AT157" s="15">
        <v>0</v>
      </c>
      <c r="AU157" s="15">
        <v>0</v>
      </c>
      <c r="AV157" s="15">
        <v>0</v>
      </c>
      <c r="AW157" s="15">
        <v>0</v>
      </c>
      <c r="AX157" s="15">
        <v>0</v>
      </c>
      <c r="AY157" s="15">
        <v>194</v>
      </c>
      <c r="AZ157" s="15">
        <v>18</v>
      </c>
      <c r="BA157" s="15">
        <v>14</v>
      </c>
      <c r="BB157" s="15">
        <v>0.77778</v>
      </c>
      <c r="BC157" s="15">
        <v>0</v>
      </c>
      <c r="BD157" s="15">
        <v>0</v>
      </c>
      <c r="BE157" s="15">
        <v>4.51163</v>
      </c>
      <c r="BF157" s="15">
        <v>167</v>
      </c>
      <c r="BG157" s="15">
        <v>11</v>
      </c>
      <c r="BH157" s="15">
        <v>0</v>
      </c>
      <c r="BI157" s="15"/>
      <c r="BJ157" s="15">
        <v>0</v>
      </c>
      <c r="BK157" s="15">
        <v>0</v>
      </c>
      <c r="BL157" s="15">
        <v>0</v>
      </c>
      <c r="BM157" s="15">
        <v>0</v>
      </c>
      <c r="BN157" s="15"/>
      <c r="BO157" s="15"/>
      <c r="BP157" s="15">
        <v>5.58</v>
      </c>
      <c r="BQ157" s="15">
        <v>82</v>
      </c>
    </row>
    <row r="158" spans="1:69">
      <c r="A158" s="16">
        <v>46072</v>
      </c>
      <c r="B158" s="15">
        <v>436</v>
      </c>
      <c r="C158" s="15" t="s">
        <v>38</v>
      </c>
      <c r="D158" s="15">
        <v>436</v>
      </c>
      <c r="E158" s="15" t="s">
        <v>38</v>
      </c>
      <c r="F158" s="15">
        <v>1280</v>
      </c>
      <c r="G158" s="15">
        <v>49</v>
      </c>
      <c r="H158" s="15">
        <v>72.84</v>
      </c>
      <c r="I158" s="15">
        <v>0.03828</v>
      </c>
      <c r="J158" s="15">
        <v>1.49</v>
      </c>
      <c r="K158" s="15">
        <v>56.91</v>
      </c>
      <c r="L158" s="15">
        <v>0</v>
      </c>
      <c r="M158" s="15">
        <v>0</v>
      </c>
      <c r="N158" s="15">
        <v>0</v>
      </c>
      <c r="O158" s="15">
        <v>0</v>
      </c>
      <c r="P158" s="15">
        <v>0</v>
      </c>
      <c r="Q158" s="15">
        <v>0</v>
      </c>
      <c r="R158" s="15">
        <v>0</v>
      </c>
      <c r="S158" s="15">
        <v>0</v>
      </c>
      <c r="T158" s="15">
        <v>0</v>
      </c>
      <c r="U158" s="15">
        <v>0</v>
      </c>
      <c r="V158" s="15">
        <v>0</v>
      </c>
      <c r="W158" s="15">
        <v>0</v>
      </c>
      <c r="X158" s="15">
        <v>0</v>
      </c>
      <c r="Y158" s="15">
        <v>0</v>
      </c>
      <c r="Z158" s="15">
        <v>0</v>
      </c>
      <c r="AA158" s="15"/>
      <c r="AB158" s="15">
        <v>4</v>
      </c>
      <c r="AC158" s="15">
        <v>1</v>
      </c>
      <c r="AD158" s="15">
        <v>3</v>
      </c>
      <c r="AE158" s="15">
        <v>0.08163</v>
      </c>
      <c r="AF158" s="15">
        <v>0</v>
      </c>
      <c r="AG158" s="15">
        <v>1</v>
      </c>
      <c r="AH158" s="15">
        <v>72.84</v>
      </c>
      <c r="AI158" s="15">
        <v>5</v>
      </c>
      <c r="AJ158" s="15">
        <v>14.57</v>
      </c>
      <c r="AK158" s="15">
        <v>4</v>
      </c>
      <c r="AL158" s="15">
        <v>18.21</v>
      </c>
      <c r="AM158" s="15">
        <v>1</v>
      </c>
      <c r="AN158" s="15"/>
      <c r="AO158" s="15">
        <v>0</v>
      </c>
      <c r="AP158" s="15">
        <v>18.21</v>
      </c>
      <c r="AQ158" s="15">
        <v>0</v>
      </c>
      <c r="AR158" s="15">
        <v>0</v>
      </c>
      <c r="AS158" s="15">
        <v>0</v>
      </c>
      <c r="AT158" s="15">
        <v>0</v>
      </c>
      <c r="AU158" s="15">
        <v>0</v>
      </c>
      <c r="AV158" s="15">
        <v>0</v>
      </c>
      <c r="AW158" s="15">
        <v>0</v>
      </c>
      <c r="AX158" s="15">
        <v>0</v>
      </c>
      <c r="AY158" s="15">
        <v>155</v>
      </c>
      <c r="AZ158" s="15">
        <v>46</v>
      </c>
      <c r="BA158" s="15">
        <v>39</v>
      </c>
      <c r="BB158" s="15">
        <v>0.84783</v>
      </c>
      <c r="BC158" s="15">
        <v>0</v>
      </c>
      <c r="BD158" s="15">
        <v>0</v>
      </c>
      <c r="BE158" s="15">
        <v>0.12109</v>
      </c>
      <c r="BF158" s="15">
        <v>106</v>
      </c>
      <c r="BG158" s="15">
        <v>3</v>
      </c>
      <c r="BH158" s="15">
        <v>0</v>
      </c>
      <c r="BI158" s="15"/>
      <c r="BJ158" s="15">
        <v>0</v>
      </c>
      <c r="BK158" s="15">
        <v>0</v>
      </c>
      <c r="BL158" s="15">
        <v>0</v>
      </c>
      <c r="BM158" s="15">
        <v>0</v>
      </c>
      <c r="BN158" s="15"/>
      <c r="BO158" s="15"/>
      <c r="BP158" s="15">
        <v>32.86</v>
      </c>
      <c r="BQ158" s="15">
        <v>206</v>
      </c>
    </row>
    <row r="159" spans="1:69">
      <c r="A159" s="16">
        <v>46072</v>
      </c>
      <c r="B159" s="15">
        <v>371</v>
      </c>
      <c r="C159" s="15" t="s">
        <v>32</v>
      </c>
      <c r="D159" s="15">
        <v>371</v>
      </c>
      <c r="E159" s="15" t="s">
        <v>32</v>
      </c>
      <c r="F159" s="15">
        <v>5269</v>
      </c>
      <c r="G159" s="15">
        <v>116</v>
      </c>
      <c r="H159" s="15">
        <v>34.86</v>
      </c>
      <c r="I159" s="15">
        <v>0.02202</v>
      </c>
      <c r="J159" s="15">
        <v>0.3</v>
      </c>
      <c r="K159" s="15">
        <v>6.62</v>
      </c>
      <c r="L159" s="15">
        <v>0</v>
      </c>
      <c r="M159" s="15">
        <v>0</v>
      </c>
      <c r="N159" s="15">
        <v>0</v>
      </c>
      <c r="O159" s="15">
        <v>0</v>
      </c>
      <c r="P159" s="15">
        <v>0</v>
      </c>
      <c r="Q159" s="15">
        <v>0</v>
      </c>
      <c r="R159" s="15">
        <v>0</v>
      </c>
      <c r="S159" s="15">
        <v>0</v>
      </c>
      <c r="T159" s="15">
        <v>0</v>
      </c>
      <c r="U159" s="15">
        <v>0</v>
      </c>
      <c r="V159" s="15">
        <v>0</v>
      </c>
      <c r="W159" s="15">
        <v>0</v>
      </c>
      <c r="X159" s="15">
        <v>0</v>
      </c>
      <c r="Y159" s="15">
        <v>0</v>
      </c>
      <c r="Z159" s="15">
        <v>0</v>
      </c>
      <c r="AA159" s="15"/>
      <c r="AB159" s="15">
        <v>0</v>
      </c>
      <c r="AC159" s="15">
        <v>0</v>
      </c>
      <c r="AD159" s="15">
        <v>0</v>
      </c>
      <c r="AE159" s="15">
        <v>0</v>
      </c>
      <c r="AF159" s="15">
        <v>1</v>
      </c>
      <c r="AG159" s="15">
        <v>0</v>
      </c>
      <c r="AH159" s="15"/>
      <c r="AI159" s="15">
        <v>1</v>
      </c>
      <c r="AJ159" s="15">
        <v>34.86</v>
      </c>
      <c r="AK159" s="15">
        <v>1</v>
      </c>
      <c r="AL159" s="15">
        <v>34.86</v>
      </c>
      <c r="AM159" s="15">
        <v>1</v>
      </c>
      <c r="AN159" s="15">
        <v>34.86</v>
      </c>
      <c r="AO159" s="15">
        <v>0.00862</v>
      </c>
      <c r="AP159" s="15"/>
      <c r="AQ159" s="15">
        <v>0</v>
      </c>
      <c r="AR159" s="15">
        <v>0</v>
      </c>
      <c r="AS159" s="15">
        <v>1</v>
      </c>
      <c r="AT159" s="15">
        <v>0</v>
      </c>
      <c r="AU159" s="15">
        <v>0</v>
      </c>
      <c r="AV159" s="15">
        <v>0</v>
      </c>
      <c r="AW159" s="15">
        <v>0</v>
      </c>
      <c r="AX159" s="15">
        <v>0</v>
      </c>
      <c r="AY159" s="15">
        <v>215</v>
      </c>
      <c r="AZ159" s="15">
        <v>118</v>
      </c>
      <c r="BA159" s="15">
        <v>110</v>
      </c>
      <c r="BB159" s="15">
        <v>0.9322</v>
      </c>
      <c r="BC159" s="15">
        <v>0</v>
      </c>
      <c r="BD159" s="15">
        <v>0</v>
      </c>
      <c r="BE159" s="15">
        <v>0.0408</v>
      </c>
      <c r="BF159" s="15">
        <v>85</v>
      </c>
      <c r="BG159" s="15">
        <v>2</v>
      </c>
      <c r="BH159" s="15">
        <v>0</v>
      </c>
      <c r="BI159" s="15"/>
      <c r="BJ159" s="15">
        <v>0</v>
      </c>
      <c r="BK159" s="15">
        <v>0</v>
      </c>
      <c r="BL159" s="15">
        <v>0</v>
      </c>
      <c r="BM159" s="15">
        <v>0</v>
      </c>
      <c r="BN159" s="15"/>
      <c r="BO159" s="15"/>
      <c r="BP159" s="15">
        <v>0</v>
      </c>
      <c r="BQ159" s="15">
        <v>393</v>
      </c>
    </row>
    <row r="160" spans="1:69">
      <c r="A160" s="16">
        <v>46071</v>
      </c>
      <c r="B160" s="15">
        <v>479</v>
      </c>
      <c r="C160" s="15" t="s">
        <v>39</v>
      </c>
      <c r="D160" s="15">
        <v>479</v>
      </c>
      <c r="E160" s="15" t="s">
        <v>39</v>
      </c>
      <c r="F160" s="15">
        <v>39</v>
      </c>
      <c r="G160" s="15">
        <v>18</v>
      </c>
      <c r="H160" s="15">
        <v>11.2</v>
      </c>
      <c r="I160" s="15">
        <v>0.46154</v>
      </c>
      <c r="J160" s="15">
        <v>0.62</v>
      </c>
      <c r="K160" s="15">
        <v>287.09</v>
      </c>
      <c r="L160" s="15">
        <v>0</v>
      </c>
      <c r="M160" s="15">
        <v>0</v>
      </c>
      <c r="N160" s="15">
        <v>0</v>
      </c>
      <c r="O160" s="15">
        <v>0</v>
      </c>
      <c r="P160" s="15">
        <v>0</v>
      </c>
      <c r="Q160" s="15">
        <v>0</v>
      </c>
      <c r="R160" s="15">
        <v>0</v>
      </c>
      <c r="S160" s="15">
        <v>0</v>
      </c>
      <c r="T160" s="15">
        <v>0</v>
      </c>
      <c r="U160" s="15">
        <v>0</v>
      </c>
      <c r="V160" s="15">
        <v>0</v>
      </c>
      <c r="W160" s="15">
        <v>0</v>
      </c>
      <c r="X160" s="15">
        <v>0</v>
      </c>
      <c r="Y160" s="15">
        <v>0</v>
      </c>
      <c r="Z160" s="15">
        <v>0</v>
      </c>
      <c r="AA160" s="15"/>
      <c r="AB160" s="15">
        <v>4</v>
      </c>
      <c r="AC160" s="15">
        <v>0</v>
      </c>
      <c r="AD160" s="15">
        <v>4</v>
      </c>
      <c r="AE160" s="15">
        <v>0.22222</v>
      </c>
      <c r="AF160" s="15">
        <v>2</v>
      </c>
      <c r="AG160" s="15">
        <v>0</v>
      </c>
      <c r="AH160" s="15"/>
      <c r="AI160" s="15">
        <v>6</v>
      </c>
      <c r="AJ160" s="15">
        <v>1.87</v>
      </c>
      <c r="AK160" s="15">
        <v>6</v>
      </c>
      <c r="AL160" s="15">
        <v>1.87</v>
      </c>
      <c r="AM160" s="15">
        <v>2</v>
      </c>
      <c r="AN160" s="15">
        <v>5.6</v>
      </c>
      <c r="AO160" s="15">
        <v>0.11111</v>
      </c>
      <c r="AP160" s="15">
        <v>2.8</v>
      </c>
      <c r="AQ160" s="15">
        <v>0</v>
      </c>
      <c r="AR160" s="15">
        <v>0</v>
      </c>
      <c r="AS160" s="15">
        <v>0</v>
      </c>
      <c r="AT160" s="15">
        <v>2</v>
      </c>
      <c r="AU160" s="15">
        <v>0</v>
      </c>
      <c r="AV160" s="15">
        <v>0</v>
      </c>
      <c r="AW160" s="15">
        <v>0</v>
      </c>
      <c r="AX160" s="15">
        <v>0</v>
      </c>
      <c r="AY160" s="15">
        <v>217</v>
      </c>
      <c r="AZ160" s="15">
        <v>15</v>
      </c>
      <c r="BA160" s="15">
        <v>10</v>
      </c>
      <c r="BB160" s="15">
        <v>0.66667</v>
      </c>
      <c r="BC160" s="15">
        <v>0</v>
      </c>
      <c r="BD160" s="15">
        <v>0</v>
      </c>
      <c r="BE160" s="15">
        <v>5.5641</v>
      </c>
      <c r="BF160" s="15">
        <v>194</v>
      </c>
      <c r="BG160" s="15">
        <v>14</v>
      </c>
      <c r="BH160" s="15">
        <v>0</v>
      </c>
      <c r="BI160" s="15"/>
      <c r="BJ160" s="15">
        <v>0</v>
      </c>
      <c r="BK160" s="15">
        <v>0</v>
      </c>
      <c r="BL160" s="15">
        <v>0</v>
      </c>
      <c r="BM160" s="15">
        <v>0</v>
      </c>
      <c r="BN160" s="15"/>
      <c r="BO160" s="15"/>
      <c r="BP160" s="15">
        <v>0.45</v>
      </c>
      <c r="BQ160" s="15">
        <v>196</v>
      </c>
    </row>
    <row r="161" spans="1:69">
      <c r="A161" s="16">
        <v>46071</v>
      </c>
      <c r="B161" s="15">
        <v>371</v>
      </c>
      <c r="C161" s="15" t="s">
        <v>32</v>
      </c>
      <c r="D161" s="15">
        <v>371</v>
      </c>
      <c r="E161" s="15" t="s">
        <v>32</v>
      </c>
      <c r="F161" s="15">
        <v>4668</v>
      </c>
      <c r="G161" s="15">
        <v>114</v>
      </c>
      <c r="H161" s="15">
        <v>34.35</v>
      </c>
      <c r="I161" s="15">
        <v>0.02442</v>
      </c>
      <c r="J161" s="15">
        <v>0.3</v>
      </c>
      <c r="K161" s="15">
        <v>7.36</v>
      </c>
      <c r="L161" s="15">
        <v>0</v>
      </c>
      <c r="M161" s="15">
        <v>0</v>
      </c>
      <c r="N161" s="15">
        <v>0</v>
      </c>
      <c r="O161" s="15">
        <v>0</v>
      </c>
      <c r="P161" s="15">
        <v>0</v>
      </c>
      <c r="Q161" s="15">
        <v>0</v>
      </c>
      <c r="R161" s="15">
        <v>0</v>
      </c>
      <c r="S161" s="15">
        <v>0</v>
      </c>
      <c r="T161" s="15">
        <v>0</v>
      </c>
      <c r="U161" s="15">
        <v>0</v>
      </c>
      <c r="V161" s="15">
        <v>0</v>
      </c>
      <c r="W161" s="15">
        <v>0</v>
      </c>
      <c r="X161" s="15">
        <v>0</v>
      </c>
      <c r="Y161" s="15">
        <v>0</v>
      </c>
      <c r="Z161" s="15">
        <v>0</v>
      </c>
      <c r="AA161" s="15"/>
      <c r="AB161" s="15">
        <v>0</v>
      </c>
      <c r="AC161" s="15">
        <v>0</v>
      </c>
      <c r="AD161" s="15">
        <v>0</v>
      </c>
      <c r="AE161" s="15">
        <v>0</v>
      </c>
      <c r="AF161" s="15">
        <v>4</v>
      </c>
      <c r="AG161" s="15">
        <v>1</v>
      </c>
      <c r="AH161" s="15">
        <v>34.35</v>
      </c>
      <c r="AI161" s="15">
        <v>5</v>
      </c>
      <c r="AJ161" s="15">
        <v>6.87</v>
      </c>
      <c r="AK161" s="15">
        <v>4</v>
      </c>
      <c r="AL161" s="15">
        <v>8.59</v>
      </c>
      <c r="AM161" s="15">
        <v>5</v>
      </c>
      <c r="AN161" s="15">
        <v>8.59</v>
      </c>
      <c r="AO161" s="15">
        <v>0.03509</v>
      </c>
      <c r="AP161" s="15"/>
      <c r="AQ161" s="15">
        <v>0</v>
      </c>
      <c r="AR161" s="15">
        <v>0</v>
      </c>
      <c r="AS161" s="15">
        <v>4</v>
      </c>
      <c r="AT161" s="15">
        <v>0</v>
      </c>
      <c r="AU161" s="15">
        <v>0</v>
      </c>
      <c r="AV161" s="15">
        <v>0</v>
      </c>
      <c r="AW161" s="15">
        <v>0</v>
      </c>
      <c r="AX161" s="15">
        <v>0</v>
      </c>
      <c r="AY161" s="15">
        <v>201</v>
      </c>
      <c r="AZ161" s="15">
        <v>98</v>
      </c>
      <c r="BA161" s="15">
        <v>89</v>
      </c>
      <c r="BB161" s="15">
        <v>0.90816</v>
      </c>
      <c r="BC161" s="15">
        <v>0</v>
      </c>
      <c r="BD161" s="15">
        <v>0</v>
      </c>
      <c r="BE161" s="15">
        <v>0.04306</v>
      </c>
      <c r="BF161" s="15">
        <v>81</v>
      </c>
      <c r="BG161" s="15">
        <v>2</v>
      </c>
      <c r="BH161" s="15">
        <v>0</v>
      </c>
      <c r="BI161" s="15"/>
      <c r="BJ161" s="15">
        <v>0</v>
      </c>
      <c r="BK161" s="15">
        <v>0</v>
      </c>
      <c r="BL161" s="15">
        <v>0</v>
      </c>
      <c r="BM161" s="15">
        <v>0</v>
      </c>
      <c r="BN161" s="15"/>
      <c r="BO161" s="15"/>
      <c r="BP161" s="15">
        <v>0.08</v>
      </c>
      <c r="BQ161" s="15">
        <v>1000</v>
      </c>
    </row>
    <row r="162" spans="1:69">
      <c r="A162" s="16">
        <v>46071</v>
      </c>
      <c r="B162" s="15">
        <v>436</v>
      </c>
      <c r="C162" s="15" t="s">
        <v>38</v>
      </c>
      <c r="D162" s="15">
        <v>436</v>
      </c>
      <c r="E162" s="15" t="s">
        <v>38</v>
      </c>
      <c r="F162" s="15">
        <v>1473</v>
      </c>
      <c r="G162" s="15">
        <v>40</v>
      </c>
      <c r="H162" s="15">
        <v>67.43</v>
      </c>
      <c r="I162" s="15">
        <v>0.02716</v>
      </c>
      <c r="J162" s="15">
        <v>1.69</v>
      </c>
      <c r="K162" s="15">
        <v>45.78</v>
      </c>
      <c r="L162" s="15">
        <v>0</v>
      </c>
      <c r="M162" s="15">
        <v>0</v>
      </c>
      <c r="N162" s="15">
        <v>0</v>
      </c>
      <c r="O162" s="15">
        <v>0</v>
      </c>
      <c r="P162" s="15">
        <v>0</v>
      </c>
      <c r="Q162" s="15">
        <v>0</v>
      </c>
      <c r="R162" s="15">
        <v>0</v>
      </c>
      <c r="S162" s="15">
        <v>0</v>
      </c>
      <c r="T162" s="15">
        <v>0</v>
      </c>
      <c r="U162" s="15">
        <v>0</v>
      </c>
      <c r="V162" s="15">
        <v>0</v>
      </c>
      <c r="W162" s="15">
        <v>0</v>
      </c>
      <c r="X162" s="15">
        <v>0</v>
      </c>
      <c r="Y162" s="15">
        <v>0</v>
      </c>
      <c r="Z162" s="15">
        <v>0</v>
      </c>
      <c r="AA162" s="15"/>
      <c r="AB162" s="15">
        <v>0</v>
      </c>
      <c r="AC162" s="15">
        <v>0</v>
      </c>
      <c r="AD162" s="15">
        <v>0</v>
      </c>
      <c r="AE162" s="15">
        <v>0</v>
      </c>
      <c r="AF162" s="15">
        <v>2</v>
      </c>
      <c r="AG162" s="15">
        <v>0</v>
      </c>
      <c r="AH162" s="15"/>
      <c r="AI162" s="15">
        <v>2</v>
      </c>
      <c r="AJ162" s="15">
        <v>33.72</v>
      </c>
      <c r="AK162" s="15">
        <v>2</v>
      </c>
      <c r="AL162" s="15">
        <v>33.72</v>
      </c>
      <c r="AM162" s="15">
        <v>2</v>
      </c>
      <c r="AN162" s="15">
        <v>33.72</v>
      </c>
      <c r="AO162" s="15">
        <v>0.05</v>
      </c>
      <c r="AP162" s="15"/>
      <c r="AQ162" s="15">
        <v>0</v>
      </c>
      <c r="AR162" s="15">
        <v>0</v>
      </c>
      <c r="AS162" s="15">
        <v>0</v>
      </c>
      <c r="AT162" s="15">
        <v>2</v>
      </c>
      <c r="AU162" s="15">
        <v>0</v>
      </c>
      <c r="AV162" s="15">
        <v>0</v>
      </c>
      <c r="AW162" s="15">
        <v>0</v>
      </c>
      <c r="AX162" s="15">
        <v>0</v>
      </c>
      <c r="AY162" s="15">
        <v>83</v>
      </c>
      <c r="AZ162" s="15">
        <v>36</v>
      </c>
      <c r="BA162" s="15">
        <v>32</v>
      </c>
      <c r="BB162" s="15">
        <v>0.88889</v>
      </c>
      <c r="BC162" s="15">
        <v>0</v>
      </c>
      <c r="BD162" s="15">
        <v>0</v>
      </c>
      <c r="BE162" s="15">
        <v>0.05635</v>
      </c>
      <c r="BF162" s="15">
        <v>40</v>
      </c>
      <c r="BG162" s="15">
        <v>2</v>
      </c>
      <c r="BH162" s="15">
        <v>0</v>
      </c>
      <c r="BI162" s="15"/>
      <c r="BJ162" s="15">
        <v>0</v>
      </c>
      <c r="BK162" s="15">
        <v>0</v>
      </c>
      <c r="BL162" s="15">
        <v>0</v>
      </c>
      <c r="BM162" s="15">
        <v>0</v>
      </c>
      <c r="BN162" s="15"/>
      <c r="BO162" s="15"/>
      <c r="BP162" s="15">
        <v>0.16</v>
      </c>
      <c r="BQ162" s="15">
        <v>66</v>
      </c>
    </row>
    <row r="163" spans="1:69">
      <c r="A163" s="16">
        <v>46070</v>
      </c>
      <c r="B163" s="15">
        <v>371</v>
      </c>
      <c r="C163" s="15" t="s">
        <v>32</v>
      </c>
      <c r="D163" s="15">
        <v>371</v>
      </c>
      <c r="E163" s="15" t="s">
        <v>32</v>
      </c>
      <c r="F163" s="15">
        <v>4103</v>
      </c>
      <c r="G163" s="15">
        <v>120</v>
      </c>
      <c r="H163" s="15">
        <v>34.82</v>
      </c>
      <c r="I163" s="15">
        <v>0.02925</v>
      </c>
      <c r="J163" s="15">
        <v>0.29</v>
      </c>
      <c r="K163" s="15">
        <v>8.49</v>
      </c>
      <c r="L163" s="15">
        <v>0</v>
      </c>
      <c r="M163" s="15">
        <v>0</v>
      </c>
      <c r="N163" s="15">
        <v>0</v>
      </c>
      <c r="O163" s="15">
        <v>0</v>
      </c>
      <c r="P163" s="15">
        <v>0</v>
      </c>
      <c r="Q163" s="15">
        <v>0</v>
      </c>
      <c r="R163" s="15">
        <v>0</v>
      </c>
      <c r="S163" s="15">
        <v>0</v>
      </c>
      <c r="T163" s="15">
        <v>0</v>
      </c>
      <c r="U163" s="15">
        <v>0</v>
      </c>
      <c r="V163" s="15">
        <v>0</v>
      </c>
      <c r="W163" s="15">
        <v>0</v>
      </c>
      <c r="X163" s="15">
        <v>0</v>
      </c>
      <c r="Y163" s="15">
        <v>0</v>
      </c>
      <c r="Z163" s="15">
        <v>0</v>
      </c>
      <c r="AA163" s="15"/>
      <c r="AB163" s="15">
        <v>1</v>
      </c>
      <c r="AC163" s="15">
        <v>1</v>
      </c>
      <c r="AD163" s="15">
        <v>0</v>
      </c>
      <c r="AE163" s="15">
        <v>0.00833</v>
      </c>
      <c r="AF163" s="15">
        <v>0</v>
      </c>
      <c r="AG163" s="15">
        <v>0</v>
      </c>
      <c r="AH163" s="15"/>
      <c r="AI163" s="15">
        <v>1</v>
      </c>
      <c r="AJ163" s="15">
        <v>34.82</v>
      </c>
      <c r="AK163" s="15">
        <v>1</v>
      </c>
      <c r="AL163" s="15">
        <v>34.82</v>
      </c>
      <c r="AM163" s="15">
        <v>0</v>
      </c>
      <c r="AN163" s="15"/>
      <c r="AO163" s="15">
        <v>0</v>
      </c>
      <c r="AP163" s="15">
        <v>34.82</v>
      </c>
      <c r="AQ163" s="15">
        <v>0</v>
      </c>
      <c r="AR163" s="15">
        <v>0</v>
      </c>
      <c r="AS163" s="15">
        <v>0</v>
      </c>
      <c r="AT163" s="15">
        <v>0</v>
      </c>
      <c r="AU163" s="15">
        <v>0</v>
      </c>
      <c r="AV163" s="15">
        <v>0</v>
      </c>
      <c r="AW163" s="15">
        <v>0</v>
      </c>
      <c r="AX163" s="15">
        <v>0</v>
      </c>
      <c r="AY163" s="15">
        <v>209</v>
      </c>
      <c r="AZ163" s="15">
        <v>111</v>
      </c>
      <c r="BA163" s="15">
        <v>104</v>
      </c>
      <c r="BB163" s="15">
        <v>0.93694</v>
      </c>
      <c r="BC163" s="15">
        <v>0</v>
      </c>
      <c r="BD163" s="15">
        <v>0</v>
      </c>
      <c r="BE163" s="15">
        <v>0.05094</v>
      </c>
      <c r="BF163" s="15">
        <v>91</v>
      </c>
      <c r="BG163" s="15">
        <v>2</v>
      </c>
      <c r="BH163" s="15">
        <v>0</v>
      </c>
      <c r="BI163" s="15"/>
      <c r="BJ163" s="15">
        <v>0</v>
      </c>
      <c r="BK163" s="15">
        <v>0</v>
      </c>
      <c r="BL163" s="15">
        <v>0</v>
      </c>
      <c r="BM163" s="15">
        <v>0</v>
      </c>
      <c r="BN163" s="15"/>
      <c r="BO163" s="15"/>
      <c r="BP163" s="15">
        <v>0</v>
      </c>
      <c r="BQ163" s="15">
        <v>559</v>
      </c>
    </row>
    <row r="164" spans="1:69">
      <c r="A164" s="16">
        <v>46070</v>
      </c>
      <c r="B164" s="15">
        <v>436</v>
      </c>
      <c r="C164" s="15" t="s">
        <v>38</v>
      </c>
      <c r="D164" s="15">
        <v>436</v>
      </c>
      <c r="E164" s="15" t="s">
        <v>38</v>
      </c>
      <c r="F164" s="15">
        <v>2616</v>
      </c>
      <c r="G164" s="15">
        <v>44</v>
      </c>
      <c r="H164" s="15">
        <v>68.05</v>
      </c>
      <c r="I164" s="15">
        <v>0.01682</v>
      </c>
      <c r="J164" s="15">
        <v>1.55</v>
      </c>
      <c r="K164" s="15">
        <v>26.01</v>
      </c>
      <c r="L164" s="15">
        <v>0</v>
      </c>
      <c r="M164" s="15">
        <v>0</v>
      </c>
      <c r="N164" s="15">
        <v>0</v>
      </c>
      <c r="O164" s="15">
        <v>0</v>
      </c>
      <c r="P164" s="15">
        <v>0</v>
      </c>
      <c r="Q164" s="15">
        <v>0</v>
      </c>
      <c r="R164" s="15">
        <v>0</v>
      </c>
      <c r="S164" s="15">
        <v>0</v>
      </c>
      <c r="T164" s="15">
        <v>0</v>
      </c>
      <c r="U164" s="15">
        <v>0</v>
      </c>
      <c r="V164" s="15">
        <v>0</v>
      </c>
      <c r="W164" s="15">
        <v>0</v>
      </c>
      <c r="X164" s="15">
        <v>0</v>
      </c>
      <c r="Y164" s="15">
        <v>0</v>
      </c>
      <c r="Z164" s="15">
        <v>0</v>
      </c>
      <c r="AA164" s="15"/>
      <c r="AB164" s="15">
        <v>4</v>
      </c>
      <c r="AC164" s="15">
        <v>2</v>
      </c>
      <c r="AD164" s="15">
        <v>2</v>
      </c>
      <c r="AE164" s="15">
        <v>0.09091</v>
      </c>
      <c r="AF164" s="15">
        <v>0</v>
      </c>
      <c r="AG164" s="15">
        <v>0</v>
      </c>
      <c r="AH164" s="15"/>
      <c r="AI164" s="15">
        <v>4</v>
      </c>
      <c r="AJ164" s="15">
        <v>17.01</v>
      </c>
      <c r="AK164" s="15">
        <v>4</v>
      </c>
      <c r="AL164" s="15">
        <v>17.01</v>
      </c>
      <c r="AM164" s="15">
        <v>0</v>
      </c>
      <c r="AN164" s="15"/>
      <c r="AO164" s="15">
        <v>0</v>
      </c>
      <c r="AP164" s="15">
        <v>17.01</v>
      </c>
      <c r="AQ164" s="15">
        <v>0</v>
      </c>
      <c r="AR164" s="15">
        <v>0</v>
      </c>
      <c r="AS164" s="15">
        <v>0</v>
      </c>
      <c r="AT164" s="15">
        <v>0</v>
      </c>
      <c r="AU164" s="15">
        <v>0</v>
      </c>
      <c r="AV164" s="15">
        <v>0</v>
      </c>
      <c r="AW164" s="15">
        <v>0</v>
      </c>
      <c r="AX164" s="15">
        <v>1</v>
      </c>
      <c r="AY164" s="15">
        <v>109</v>
      </c>
      <c r="AZ164" s="15">
        <v>45</v>
      </c>
      <c r="BA164" s="15">
        <v>38</v>
      </c>
      <c r="BB164" s="15">
        <v>0.84444</v>
      </c>
      <c r="BC164" s="15">
        <v>0</v>
      </c>
      <c r="BD164" s="15">
        <v>0</v>
      </c>
      <c r="BE164" s="15">
        <v>0.04167</v>
      </c>
      <c r="BF164" s="15">
        <v>55</v>
      </c>
      <c r="BG164" s="15">
        <v>2</v>
      </c>
      <c r="BH164" s="15">
        <v>0</v>
      </c>
      <c r="BI164" s="15"/>
      <c r="BJ164" s="15">
        <v>0</v>
      </c>
      <c r="BK164" s="15">
        <v>0</v>
      </c>
      <c r="BL164" s="15">
        <v>0</v>
      </c>
      <c r="BM164" s="15">
        <v>0</v>
      </c>
      <c r="BN164" s="15"/>
      <c r="BO164" s="15"/>
      <c r="BP164" s="15">
        <v>0.57</v>
      </c>
      <c r="BQ164" s="15">
        <v>839</v>
      </c>
    </row>
    <row r="165" spans="1:69">
      <c r="A165" s="16">
        <v>46070</v>
      </c>
      <c r="B165" s="15">
        <v>479</v>
      </c>
      <c r="C165" s="15" t="s">
        <v>39</v>
      </c>
      <c r="D165" s="15">
        <v>479</v>
      </c>
      <c r="E165" s="15" t="s">
        <v>39</v>
      </c>
      <c r="F165" s="15">
        <v>30</v>
      </c>
      <c r="G165" s="15">
        <v>11</v>
      </c>
      <c r="H165" s="15">
        <v>9.46</v>
      </c>
      <c r="I165" s="15">
        <v>0.36667</v>
      </c>
      <c r="J165" s="15">
        <v>0.86</v>
      </c>
      <c r="K165" s="15">
        <v>315.33</v>
      </c>
      <c r="L165" s="15">
        <v>0</v>
      </c>
      <c r="M165" s="15">
        <v>0</v>
      </c>
      <c r="N165" s="15">
        <v>0</v>
      </c>
      <c r="O165" s="15">
        <v>0</v>
      </c>
      <c r="P165" s="15">
        <v>0</v>
      </c>
      <c r="Q165" s="15">
        <v>0</v>
      </c>
      <c r="R165" s="15">
        <v>0</v>
      </c>
      <c r="S165" s="15">
        <v>0</v>
      </c>
      <c r="T165" s="15">
        <v>0</v>
      </c>
      <c r="U165" s="15">
        <v>0</v>
      </c>
      <c r="V165" s="15">
        <v>0</v>
      </c>
      <c r="W165" s="15">
        <v>0</v>
      </c>
      <c r="X165" s="15">
        <v>0</v>
      </c>
      <c r="Y165" s="15">
        <v>0</v>
      </c>
      <c r="Z165" s="15">
        <v>0</v>
      </c>
      <c r="AA165" s="15"/>
      <c r="AB165" s="15">
        <v>0</v>
      </c>
      <c r="AC165" s="15">
        <v>0</v>
      </c>
      <c r="AD165" s="15">
        <v>0</v>
      </c>
      <c r="AE165" s="15">
        <v>0</v>
      </c>
      <c r="AF165" s="15">
        <v>0</v>
      </c>
      <c r="AG165" s="15">
        <v>0</v>
      </c>
      <c r="AH165" s="15"/>
      <c r="AI165" s="15">
        <v>0</v>
      </c>
      <c r="AJ165" s="15"/>
      <c r="AK165" s="15">
        <v>0</v>
      </c>
      <c r="AL165" s="15"/>
      <c r="AM165" s="15">
        <v>0</v>
      </c>
      <c r="AN165" s="15"/>
      <c r="AO165" s="15">
        <v>0</v>
      </c>
      <c r="AP165" s="15"/>
      <c r="AQ165" s="15">
        <v>0</v>
      </c>
      <c r="AR165" s="15">
        <v>0</v>
      </c>
      <c r="AS165" s="15">
        <v>0</v>
      </c>
      <c r="AT165" s="15">
        <v>0</v>
      </c>
      <c r="AU165" s="15">
        <v>0</v>
      </c>
      <c r="AV165" s="15">
        <v>0</v>
      </c>
      <c r="AW165" s="15">
        <v>0</v>
      </c>
      <c r="AX165" s="15">
        <v>0</v>
      </c>
      <c r="AY165" s="15">
        <v>112</v>
      </c>
      <c r="AZ165" s="15">
        <v>10</v>
      </c>
      <c r="BA165" s="15">
        <v>6</v>
      </c>
      <c r="BB165" s="15">
        <v>0.6</v>
      </c>
      <c r="BC165" s="15">
        <v>0</v>
      </c>
      <c r="BD165" s="15">
        <v>0</v>
      </c>
      <c r="BE165" s="15">
        <v>3.73333</v>
      </c>
      <c r="BF165" s="15">
        <v>100</v>
      </c>
      <c r="BG165" s="15">
        <v>11</v>
      </c>
      <c r="BH165" s="15">
        <v>0</v>
      </c>
      <c r="BI165" s="15"/>
      <c r="BJ165" s="15">
        <v>0</v>
      </c>
      <c r="BK165" s="15">
        <v>0</v>
      </c>
      <c r="BL165" s="15">
        <v>0</v>
      </c>
      <c r="BM165" s="15">
        <v>0</v>
      </c>
      <c r="BN165" s="15"/>
      <c r="BO165" s="15"/>
      <c r="BP165" s="15">
        <v>0.08</v>
      </c>
      <c r="BQ165" s="15">
        <v>16</v>
      </c>
    </row>
    <row r="166" spans="1:69">
      <c r="A166" s="16">
        <v>46069</v>
      </c>
      <c r="B166" s="15">
        <v>436</v>
      </c>
      <c r="C166" s="15" t="s">
        <v>38</v>
      </c>
      <c r="D166" s="15">
        <v>436</v>
      </c>
      <c r="E166" s="15" t="s">
        <v>38</v>
      </c>
      <c r="F166" s="15">
        <v>1821</v>
      </c>
      <c r="G166" s="15">
        <v>55</v>
      </c>
      <c r="H166" s="15">
        <v>40.4</v>
      </c>
      <c r="I166" s="15">
        <v>0.0302</v>
      </c>
      <c r="J166" s="15">
        <v>0.73</v>
      </c>
      <c r="K166" s="15">
        <v>22.19</v>
      </c>
      <c r="L166" s="15">
        <v>0</v>
      </c>
      <c r="M166" s="15">
        <v>0</v>
      </c>
      <c r="N166" s="15">
        <v>0</v>
      </c>
      <c r="O166" s="15">
        <v>0</v>
      </c>
      <c r="P166" s="15">
        <v>0</v>
      </c>
      <c r="Q166" s="15">
        <v>0</v>
      </c>
      <c r="R166" s="15">
        <v>0</v>
      </c>
      <c r="S166" s="15">
        <v>0</v>
      </c>
      <c r="T166" s="15">
        <v>0</v>
      </c>
      <c r="U166" s="15">
        <v>0</v>
      </c>
      <c r="V166" s="15">
        <v>0</v>
      </c>
      <c r="W166" s="15">
        <v>0</v>
      </c>
      <c r="X166" s="15">
        <v>0</v>
      </c>
      <c r="Y166" s="15">
        <v>0</v>
      </c>
      <c r="Z166" s="15">
        <v>0</v>
      </c>
      <c r="AA166" s="15"/>
      <c r="AB166" s="15">
        <v>3</v>
      </c>
      <c r="AC166" s="15">
        <v>2</v>
      </c>
      <c r="AD166" s="15">
        <v>1</v>
      </c>
      <c r="AE166" s="15">
        <v>0.05455</v>
      </c>
      <c r="AF166" s="15">
        <v>0</v>
      </c>
      <c r="AG166" s="15">
        <v>0</v>
      </c>
      <c r="AH166" s="15"/>
      <c r="AI166" s="15">
        <v>3</v>
      </c>
      <c r="AJ166" s="15">
        <v>13.47</v>
      </c>
      <c r="AK166" s="15">
        <v>3</v>
      </c>
      <c r="AL166" s="15">
        <v>13.47</v>
      </c>
      <c r="AM166" s="15">
        <v>0</v>
      </c>
      <c r="AN166" s="15"/>
      <c r="AO166" s="15">
        <v>0</v>
      </c>
      <c r="AP166" s="15">
        <v>13.47</v>
      </c>
      <c r="AQ166" s="15">
        <v>0</v>
      </c>
      <c r="AR166" s="15">
        <v>0</v>
      </c>
      <c r="AS166" s="15">
        <v>0</v>
      </c>
      <c r="AT166" s="15">
        <v>0</v>
      </c>
      <c r="AU166" s="15">
        <v>0</v>
      </c>
      <c r="AV166" s="15">
        <v>0</v>
      </c>
      <c r="AW166" s="15">
        <v>0</v>
      </c>
      <c r="AX166" s="15">
        <v>0</v>
      </c>
      <c r="AY166" s="15">
        <v>205</v>
      </c>
      <c r="AZ166" s="15">
        <v>52</v>
      </c>
      <c r="BA166" s="15">
        <v>36</v>
      </c>
      <c r="BB166" s="15">
        <v>0.69231</v>
      </c>
      <c r="BC166" s="15">
        <v>0</v>
      </c>
      <c r="BD166" s="15">
        <v>0</v>
      </c>
      <c r="BE166" s="15">
        <v>0.11258</v>
      </c>
      <c r="BF166" s="15">
        <v>137</v>
      </c>
      <c r="BG166" s="15">
        <v>4</v>
      </c>
      <c r="BH166" s="15">
        <v>0</v>
      </c>
      <c r="BI166" s="15"/>
      <c r="BJ166" s="15">
        <v>0</v>
      </c>
      <c r="BK166" s="15">
        <v>0</v>
      </c>
      <c r="BL166" s="15">
        <v>0</v>
      </c>
      <c r="BM166" s="15">
        <v>0</v>
      </c>
      <c r="BN166" s="15"/>
      <c r="BO166" s="15"/>
      <c r="BP166" s="15">
        <v>1.84</v>
      </c>
      <c r="BQ166" s="15">
        <v>195</v>
      </c>
    </row>
    <row r="167" spans="1:69">
      <c r="A167" s="16">
        <v>46069</v>
      </c>
      <c r="B167" s="15">
        <v>371</v>
      </c>
      <c r="C167" s="15" t="s">
        <v>32</v>
      </c>
      <c r="D167" s="15">
        <v>371</v>
      </c>
      <c r="E167" s="15" t="s">
        <v>32</v>
      </c>
      <c r="F167" s="15">
        <v>4532</v>
      </c>
      <c r="G167" s="15">
        <v>120</v>
      </c>
      <c r="H167" s="15">
        <v>35</v>
      </c>
      <c r="I167" s="15">
        <v>0.02648</v>
      </c>
      <c r="J167" s="15">
        <v>0.29</v>
      </c>
      <c r="K167" s="15">
        <v>7.72</v>
      </c>
      <c r="L167" s="15">
        <v>0</v>
      </c>
      <c r="M167" s="15">
        <v>0</v>
      </c>
      <c r="N167" s="15">
        <v>0</v>
      </c>
      <c r="O167" s="15">
        <v>0</v>
      </c>
      <c r="P167" s="15">
        <v>0</v>
      </c>
      <c r="Q167" s="15">
        <v>0</v>
      </c>
      <c r="R167" s="15">
        <v>0</v>
      </c>
      <c r="S167" s="15">
        <v>0</v>
      </c>
      <c r="T167" s="15">
        <v>0</v>
      </c>
      <c r="U167" s="15">
        <v>0</v>
      </c>
      <c r="V167" s="15">
        <v>0</v>
      </c>
      <c r="W167" s="15">
        <v>0</v>
      </c>
      <c r="X167" s="15">
        <v>0</v>
      </c>
      <c r="Y167" s="15">
        <v>0</v>
      </c>
      <c r="Z167" s="15">
        <v>0</v>
      </c>
      <c r="AA167" s="15"/>
      <c r="AB167" s="15">
        <v>5</v>
      </c>
      <c r="AC167" s="15">
        <v>1</v>
      </c>
      <c r="AD167" s="15">
        <v>4</v>
      </c>
      <c r="AE167" s="15">
        <v>0.04167</v>
      </c>
      <c r="AF167" s="15">
        <v>2</v>
      </c>
      <c r="AG167" s="15">
        <v>0</v>
      </c>
      <c r="AH167" s="15"/>
      <c r="AI167" s="15">
        <v>7</v>
      </c>
      <c r="AJ167" s="15">
        <v>5</v>
      </c>
      <c r="AK167" s="15">
        <v>7</v>
      </c>
      <c r="AL167" s="15">
        <v>5</v>
      </c>
      <c r="AM167" s="15">
        <v>2</v>
      </c>
      <c r="AN167" s="15">
        <v>17.5</v>
      </c>
      <c r="AO167" s="15">
        <v>0.01667</v>
      </c>
      <c r="AP167" s="15">
        <v>7</v>
      </c>
      <c r="AQ167" s="15">
        <v>0</v>
      </c>
      <c r="AR167" s="15">
        <v>0</v>
      </c>
      <c r="AS167" s="15">
        <v>1</v>
      </c>
      <c r="AT167" s="15">
        <v>1</v>
      </c>
      <c r="AU167" s="15">
        <v>0</v>
      </c>
      <c r="AV167" s="15">
        <v>0</v>
      </c>
      <c r="AW167" s="15">
        <v>0</v>
      </c>
      <c r="AX167" s="15">
        <v>0</v>
      </c>
      <c r="AY167" s="15">
        <v>300</v>
      </c>
      <c r="AZ167" s="15">
        <v>121</v>
      </c>
      <c r="BA167" s="15">
        <v>113</v>
      </c>
      <c r="BB167" s="15">
        <v>0.93388</v>
      </c>
      <c r="BC167" s="15">
        <v>0</v>
      </c>
      <c r="BD167" s="15">
        <v>0</v>
      </c>
      <c r="BE167" s="15">
        <v>0.0662</v>
      </c>
      <c r="BF167" s="15">
        <v>172</v>
      </c>
      <c r="BG167" s="15">
        <v>2</v>
      </c>
      <c r="BH167" s="15">
        <v>0</v>
      </c>
      <c r="BI167" s="15"/>
      <c r="BJ167" s="15">
        <v>0</v>
      </c>
      <c r="BK167" s="15">
        <v>0</v>
      </c>
      <c r="BL167" s="15">
        <v>0</v>
      </c>
      <c r="BM167" s="15">
        <v>0</v>
      </c>
      <c r="BN167" s="15"/>
      <c r="BO167" s="15"/>
      <c r="BP167" s="15">
        <v>0</v>
      </c>
      <c r="BQ167" s="15">
        <v>454</v>
      </c>
    </row>
    <row r="168" spans="1:69">
      <c r="A168" s="16">
        <v>46069</v>
      </c>
      <c r="B168" s="15">
        <v>479</v>
      </c>
      <c r="C168" s="15" t="s">
        <v>39</v>
      </c>
      <c r="D168" s="15">
        <v>479</v>
      </c>
      <c r="E168" s="15" t="s">
        <v>39</v>
      </c>
      <c r="F168" s="15">
        <v>25</v>
      </c>
      <c r="G168" s="15">
        <v>9</v>
      </c>
      <c r="H168" s="15">
        <v>8.56</v>
      </c>
      <c r="I168" s="15">
        <v>0.36</v>
      </c>
      <c r="J168" s="15">
        <v>0.95</v>
      </c>
      <c r="K168" s="15">
        <v>342.32</v>
      </c>
      <c r="L168" s="15">
        <v>0</v>
      </c>
      <c r="M168" s="15">
        <v>0</v>
      </c>
      <c r="N168" s="15">
        <v>0</v>
      </c>
      <c r="O168" s="15">
        <v>0</v>
      </c>
      <c r="P168" s="15">
        <v>0</v>
      </c>
      <c r="Q168" s="15">
        <v>0</v>
      </c>
      <c r="R168" s="15">
        <v>0</v>
      </c>
      <c r="S168" s="15">
        <v>0</v>
      </c>
      <c r="T168" s="15">
        <v>0</v>
      </c>
      <c r="U168" s="15">
        <v>0</v>
      </c>
      <c r="V168" s="15">
        <v>0</v>
      </c>
      <c r="W168" s="15">
        <v>0</v>
      </c>
      <c r="X168" s="15">
        <v>0</v>
      </c>
      <c r="Y168" s="15">
        <v>0</v>
      </c>
      <c r="Z168" s="15">
        <v>0</v>
      </c>
      <c r="AA168" s="15"/>
      <c r="AB168" s="15">
        <v>2</v>
      </c>
      <c r="AC168" s="15">
        <v>0</v>
      </c>
      <c r="AD168" s="15">
        <v>2</v>
      </c>
      <c r="AE168" s="15">
        <v>0.22222</v>
      </c>
      <c r="AF168" s="15">
        <v>1</v>
      </c>
      <c r="AG168" s="15">
        <v>0</v>
      </c>
      <c r="AH168" s="15"/>
      <c r="AI168" s="15">
        <v>3</v>
      </c>
      <c r="AJ168" s="15">
        <v>2.85</v>
      </c>
      <c r="AK168" s="15">
        <v>3</v>
      </c>
      <c r="AL168" s="15">
        <v>2.85</v>
      </c>
      <c r="AM168" s="15">
        <v>1</v>
      </c>
      <c r="AN168" s="15">
        <v>8.56</v>
      </c>
      <c r="AO168" s="15">
        <v>0.11111</v>
      </c>
      <c r="AP168" s="15">
        <v>4.28</v>
      </c>
      <c r="AQ168" s="15">
        <v>0</v>
      </c>
      <c r="AR168" s="15">
        <v>0</v>
      </c>
      <c r="AS168" s="15">
        <v>0</v>
      </c>
      <c r="AT168" s="15">
        <v>1</v>
      </c>
      <c r="AU168" s="15">
        <v>0</v>
      </c>
      <c r="AV168" s="15">
        <v>0</v>
      </c>
      <c r="AW168" s="15">
        <v>0</v>
      </c>
      <c r="AX168" s="15">
        <v>0</v>
      </c>
      <c r="AY168" s="15">
        <v>72</v>
      </c>
      <c r="AZ168" s="15">
        <v>9</v>
      </c>
      <c r="BA168" s="15">
        <v>7</v>
      </c>
      <c r="BB168" s="15">
        <v>0.77778</v>
      </c>
      <c r="BC168" s="15">
        <v>0</v>
      </c>
      <c r="BD168" s="15">
        <v>0</v>
      </c>
      <c r="BE168" s="15">
        <v>2.88</v>
      </c>
      <c r="BF168" s="15">
        <v>62</v>
      </c>
      <c r="BG168" s="15">
        <v>8</v>
      </c>
      <c r="BH168" s="15">
        <v>0</v>
      </c>
      <c r="BI168" s="15"/>
      <c r="BJ168" s="15">
        <v>0</v>
      </c>
      <c r="BK168" s="15">
        <v>0</v>
      </c>
      <c r="BL168" s="15">
        <v>0</v>
      </c>
      <c r="BM168" s="15">
        <v>0</v>
      </c>
      <c r="BN168" s="15"/>
      <c r="BO168" s="15"/>
      <c r="BP168" s="15">
        <v>0.4</v>
      </c>
      <c r="BQ168" s="15">
        <v>25</v>
      </c>
    </row>
    <row r="169" spans="1:69">
      <c r="A169" s="16">
        <v>46068</v>
      </c>
      <c r="B169" s="15">
        <v>371</v>
      </c>
      <c r="C169" s="15" t="s">
        <v>32</v>
      </c>
      <c r="D169" s="15">
        <v>371</v>
      </c>
      <c r="E169" s="15" t="s">
        <v>32</v>
      </c>
      <c r="F169" s="15">
        <v>7097</v>
      </c>
      <c r="G169" s="15">
        <v>131</v>
      </c>
      <c r="H169" s="15">
        <v>33.68</v>
      </c>
      <c r="I169" s="15">
        <v>0.01846</v>
      </c>
      <c r="J169" s="15">
        <v>0.26</v>
      </c>
      <c r="K169" s="15">
        <v>4.75</v>
      </c>
      <c r="L169" s="15">
        <v>0</v>
      </c>
      <c r="M169" s="15">
        <v>0</v>
      </c>
      <c r="N169" s="15">
        <v>0</v>
      </c>
      <c r="O169" s="15">
        <v>0</v>
      </c>
      <c r="P169" s="15">
        <v>0</v>
      </c>
      <c r="Q169" s="15">
        <v>0</v>
      </c>
      <c r="R169" s="15">
        <v>0</v>
      </c>
      <c r="S169" s="15">
        <v>0</v>
      </c>
      <c r="T169" s="15">
        <v>0</v>
      </c>
      <c r="U169" s="15">
        <v>0</v>
      </c>
      <c r="V169" s="15">
        <v>0</v>
      </c>
      <c r="W169" s="15">
        <v>0</v>
      </c>
      <c r="X169" s="15">
        <v>0</v>
      </c>
      <c r="Y169" s="15">
        <v>0</v>
      </c>
      <c r="Z169" s="15">
        <v>0</v>
      </c>
      <c r="AA169" s="15"/>
      <c r="AB169" s="15">
        <v>7</v>
      </c>
      <c r="AC169" s="15">
        <v>2</v>
      </c>
      <c r="AD169" s="15">
        <v>5</v>
      </c>
      <c r="AE169" s="15">
        <v>0.05344</v>
      </c>
      <c r="AF169" s="15">
        <v>1</v>
      </c>
      <c r="AG169" s="15">
        <v>1</v>
      </c>
      <c r="AH169" s="15">
        <v>33.68</v>
      </c>
      <c r="AI169" s="15">
        <v>9</v>
      </c>
      <c r="AJ169" s="15">
        <v>3.74</v>
      </c>
      <c r="AK169" s="15">
        <v>8</v>
      </c>
      <c r="AL169" s="15">
        <v>4.21</v>
      </c>
      <c r="AM169" s="15">
        <v>2</v>
      </c>
      <c r="AN169" s="15">
        <v>33.68</v>
      </c>
      <c r="AO169" s="15">
        <v>0.00763</v>
      </c>
      <c r="AP169" s="15">
        <v>4.81</v>
      </c>
      <c r="AQ169" s="15">
        <v>0</v>
      </c>
      <c r="AR169" s="15">
        <v>0</v>
      </c>
      <c r="AS169" s="15">
        <v>1</v>
      </c>
      <c r="AT169" s="15">
        <v>0</v>
      </c>
      <c r="AU169" s="15">
        <v>0</v>
      </c>
      <c r="AV169" s="15">
        <v>0</v>
      </c>
      <c r="AW169" s="15">
        <v>0</v>
      </c>
      <c r="AX169" s="15">
        <v>0</v>
      </c>
      <c r="AY169" s="15">
        <v>280</v>
      </c>
      <c r="AZ169" s="15">
        <v>149</v>
      </c>
      <c r="BA169" s="15">
        <v>141</v>
      </c>
      <c r="BB169" s="15">
        <v>0.94631</v>
      </c>
      <c r="BC169" s="15">
        <v>0</v>
      </c>
      <c r="BD169" s="15">
        <v>0</v>
      </c>
      <c r="BE169" s="15">
        <v>0.03945</v>
      </c>
      <c r="BF169" s="15">
        <v>124</v>
      </c>
      <c r="BG169" s="15">
        <v>2</v>
      </c>
      <c r="BH169" s="15">
        <v>0</v>
      </c>
      <c r="BI169" s="15"/>
      <c r="BJ169" s="15">
        <v>0</v>
      </c>
      <c r="BK169" s="15">
        <v>0</v>
      </c>
      <c r="BL169" s="15">
        <v>0</v>
      </c>
      <c r="BM169" s="15">
        <v>0</v>
      </c>
      <c r="BN169" s="15"/>
      <c r="BO169" s="15"/>
      <c r="BP169" s="15">
        <v>0.34</v>
      </c>
      <c r="BQ169" s="15">
        <v>851</v>
      </c>
    </row>
    <row r="170" spans="1:69">
      <c r="A170" s="16">
        <v>46068</v>
      </c>
      <c r="B170" s="15">
        <v>436</v>
      </c>
      <c r="C170" s="15" t="s">
        <v>38</v>
      </c>
      <c r="D170" s="15">
        <v>436</v>
      </c>
      <c r="E170" s="15" t="s">
        <v>38</v>
      </c>
      <c r="F170" s="15">
        <v>1191</v>
      </c>
      <c r="G170" s="15">
        <v>35</v>
      </c>
      <c r="H170" s="15">
        <v>74.55</v>
      </c>
      <c r="I170" s="15">
        <v>0.02939</v>
      </c>
      <c r="J170" s="15">
        <v>2.13</v>
      </c>
      <c r="K170" s="15">
        <v>62.59</v>
      </c>
      <c r="L170" s="15">
        <v>0</v>
      </c>
      <c r="M170" s="15">
        <v>0</v>
      </c>
      <c r="N170" s="15">
        <v>0</v>
      </c>
      <c r="O170" s="15">
        <v>0</v>
      </c>
      <c r="P170" s="15">
        <v>0</v>
      </c>
      <c r="Q170" s="15">
        <v>0</v>
      </c>
      <c r="R170" s="15">
        <v>0</v>
      </c>
      <c r="S170" s="15">
        <v>85.14</v>
      </c>
      <c r="T170" s="15">
        <v>85.14</v>
      </c>
      <c r="U170" s="15">
        <v>1</v>
      </c>
      <c r="V170" s="15">
        <v>0</v>
      </c>
      <c r="W170" s="15">
        <v>1</v>
      </c>
      <c r="X170" s="15">
        <v>0.02857</v>
      </c>
      <c r="Y170" s="15">
        <v>1.14</v>
      </c>
      <c r="Z170" s="15">
        <v>1.14</v>
      </c>
      <c r="AA170" s="15">
        <v>74.55</v>
      </c>
      <c r="AB170" s="15">
        <v>3</v>
      </c>
      <c r="AC170" s="15">
        <v>1</v>
      </c>
      <c r="AD170" s="15">
        <v>2</v>
      </c>
      <c r="AE170" s="15">
        <v>0.08571</v>
      </c>
      <c r="AF170" s="15">
        <v>0</v>
      </c>
      <c r="AG170" s="15">
        <v>0</v>
      </c>
      <c r="AH170" s="15"/>
      <c r="AI170" s="15">
        <v>3</v>
      </c>
      <c r="AJ170" s="15">
        <v>24.85</v>
      </c>
      <c r="AK170" s="15">
        <v>3</v>
      </c>
      <c r="AL170" s="15">
        <v>24.85</v>
      </c>
      <c r="AM170" s="15">
        <v>0</v>
      </c>
      <c r="AN170" s="15"/>
      <c r="AO170" s="15">
        <v>0</v>
      </c>
      <c r="AP170" s="15">
        <v>24.85</v>
      </c>
      <c r="AQ170" s="15">
        <v>2</v>
      </c>
      <c r="AR170" s="15">
        <v>148.9</v>
      </c>
      <c r="AS170" s="15">
        <v>0</v>
      </c>
      <c r="AT170" s="15">
        <v>0</v>
      </c>
      <c r="AU170" s="15">
        <v>0</v>
      </c>
      <c r="AV170" s="15">
        <v>0</v>
      </c>
      <c r="AW170" s="15">
        <v>0</v>
      </c>
      <c r="AX170" s="15">
        <v>1</v>
      </c>
      <c r="AY170" s="15">
        <v>183</v>
      </c>
      <c r="AZ170" s="15">
        <v>32</v>
      </c>
      <c r="BA170" s="15">
        <v>23</v>
      </c>
      <c r="BB170" s="15">
        <v>0.71875</v>
      </c>
      <c r="BC170" s="15">
        <v>0</v>
      </c>
      <c r="BD170" s="15">
        <v>0</v>
      </c>
      <c r="BE170" s="15">
        <v>0.15365</v>
      </c>
      <c r="BF170" s="15">
        <v>144</v>
      </c>
      <c r="BG170" s="15">
        <v>6</v>
      </c>
      <c r="BH170" s="15">
        <v>0</v>
      </c>
      <c r="BI170" s="15">
        <v>0</v>
      </c>
      <c r="BJ170" s="15">
        <v>0</v>
      </c>
      <c r="BK170" s="15">
        <v>0</v>
      </c>
      <c r="BL170" s="15">
        <v>0</v>
      </c>
      <c r="BM170" s="15">
        <v>1</v>
      </c>
      <c r="BN170" s="15">
        <v>1</v>
      </c>
      <c r="BO170" s="15">
        <v>85.14</v>
      </c>
      <c r="BP170" s="15">
        <v>0.98</v>
      </c>
      <c r="BQ170" s="15">
        <v>408</v>
      </c>
    </row>
    <row r="171" spans="1:69">
      <c r="A171" s="16">
        <v>46068</v>
      </c>
      <c r="B171" s="15">
        <v>479</v>
      </c>
      <c r="C171" s="15" t="s">
        <v>39</v>
      </c>
      <c r="D171" s="15">
        <v>479</v>
      </c>
      <c r="E171" s="15" t="s">
        <v>39</v>
      </c>
      <c r="F171" s="15">
        <v>77</v>
      </c>
      <c r="G171" s="15">
        <v>23</v>
      </c>
      <c r="H171" s="15">
        <v>19.63</v>
      </c>
      <c r="I171" s="15">
        <v>0.2987</v>
      </c>
      <c r="J171" s="15">
        <v>0.85</v>
      </c>
      <c r="K171" s="15">
        <v>255</v>
      </c>
      <c r="L171" s="15">
        <v>0</v>
      </c>
      <c r="M171" s="15">
        <v>0</v>
      </c>
      <c r="N171" s="15">
        <v>0</v>
      </c>
      <c r="O171" s="15">
        <v>0</v>
      </c>
      <c r="P171" s="15">
        <v>0</v>
      </c>
      <c r="Q171" s="15">
        <v>0</v>
      </c>
      <c r="R171" s="15">
        <v>0</v>
      </c>
      <c r="S171" s="15">
        <v>0</v>
      </c>
      <c r="T171" s="15">
        <v>0</v>
      </c>
      <c r="U171" s="15">
        <v>0</v>
      </c>
      <c r="V171" s="15">
        <v>0</v>
      </c>
      <c r="W171" s="15">
        <v>0</v>
      </c>
      <c r="X171" s="15">
        <v>0</v>
      </c>
      <c r="Y171" s="15">
        <v>0</v>
      </c>
      <c r="Z171" s="15">
        <v>0</v>
      </c>
      <c r="AA171" s="15"/>
      <c r="AB171" s="15">
        <v>6</v>
      </c>
      <c r="AC171" s="15">
        <v>1</v>
      </c>
      <c r="AD171" s="15">
        <v>5</v>
      </c>
      <c r="AE171" s="15">
        <v>0.26087</v>
      </c>
      <c r="AF171" s="15">
        <v>1</v>
      </c>
      <c r="AG171" s="15">
        <v>2</v>
      </c>
      <c r="AH171" s="15">
        <v>9.82</v>
      </c>
      <c r="AI171" s="15">
        <v>9</v>
      </c>
      <c r="AJ171" s="15">
        <v>2.18</v>
      </c>
      <c r="AK171" s="15">
        <v>7</v>
      </c>
      <c r="AL171" s="15">
        <v>2.8</v>
      </c>
      <c r="AM171" s="15">
        <v>3</v>
      </c>
      <c r="AN171" s="15">
        <v>19.63</v>
      </c>
      <c r="AO171" s="15">
        <v>0.04348</v>
      </c>
      <c r="AP171" s="15">
        <v>3.27</v>
      </c>
      <c r="AQ171" s="15">
        <v>0</v>
      </c>
      <c r="AR171" s="15">
        <v>0</v>
      </c>
      <c r="AS171" s="15">
        <v>0</v>
      </c>
      <c r="AT171" s="15">
        <v>1</v>
      </c>
      <c r="AU171" s="15">
        <v>0</v>
      </c>
      <c r="AV171" s="15">
        <v>0</v>
      </c>
      <c r="AW171" s="15">
        <v>0</v>
      </c>
      <c r="AX171" s="15">
        <v>1</v>
      </c>
      <c r="AY171" s="15">
        <v>170</v>
      </c>
      <c r="AZ171" s="15">
        <v>20</v>
      </c>
      <c r="BA171" s="15">
        <v>20</v>
      </c>
      <c r="BB171" s="15">
        <v>1</v>
      </c>
      <c r="BC171" s="15">
        <v>0</v>
      </c>
      <c r="BD171" s="15">
        <v>0</v>
      </c>
      <c r="BE171" s="15">
        <v>2.20779</v>
      </c>
      <c r="BF171" s="15">
        <v>147</v>
      </c>
      <c r="BG171" s="15">
        <v>9</v>
      </c>
      <c r="BH171" s="15">
        <v>0</v>
      </c>
      <c r="BI171" s="15"/>
      <c r="BJ171" s="15">
        <v>0</v>
      </c>
      <c r="BK171" s="15">
        <v>0</v>
      </c>
      <c r="BL171" s="15">
        <v>0</v>
      </c>
      <c r="BM171" s="15">
        <v>0</v>
      </c>
      <c r="BN171" s="15"/>
      <c r="BO171" s="15"/>
      <c r="BP171" s="15">
        <v>0.26</v>
      </c>
      <c r="BQ171" s="15">
        <v>179</v>
      </c>
    </row>
    <row r="172" spans="1:69">
      <c r="A172" s="16">
        <v>46067</v>
      </c>
      <c r="B172" s="15">
        <v>436</v>
      </c>
      <c r="C172" s="15" t="s">
        <v>38</v>
      </c>
      <c r="D172" s="15">
        <v>436</v>
      </c>
      <c r="E172" s="15" t="s">
        <v>38</v>
      </c>
      <c r="F172" s="15">
        <v>1823</v>
      </c>
      <c r="G172" s="15">
        <v>45</v>
      </c>
      <c r="H172" s="15">
        <v>80</v>
      </c>
      <c r="I172" s="15">
        <v>0.02468</v>
      </c>
      <c r="J172" s="15">
        <v>1.78</v>
      </c>
      <c r="K172" s="15">
        <v>43.88</v>
      </c>
      <c r="L172" s="15">
        <v>0</v>
      </c>
      <c r="M172" s="15">
        <v>0</v>
      </c>
      <c r="N172" s="15">
        <v>0</v>
      </c>
      <c r="O172" s="15">
        <v>0</v>
      </c>
      <c r="P172" s="15">
        <v>0</v>
      </c>
      <c r="Q172" s="15">
        <v>0</v>
      </c>
      <c r="R172" s="15">
        <v>0</v>
      </c>
      <c r="S172" s="15">
        <v>0</v>
      </c>
      <c r="T172" s="15">
        <v>0</v>
      </c>
      <c r="U172" s="15">
        <v>0</v>
      </c>
      <c r="V172" s="15">
        <v>0</v>
      </c>
      <c r="W172" s="15">
        <v>0</v>
      </c>
      <c r="X172" s="15">
        <v>0</v>
      </c>
      <c r="Y172" s="15">
        <v>0</v>
      </c>
      <c r="Z172" s="15">
        <v>0</v>
      </c>
      <c r="AA172" s="15"/>
      <c r="AB172" s="15">
        <v>2</v>
      </c>
      <c r="AC172" s="15">
        <v>1</v>
      </c>
      <c r="AD172" s="15">
        <v>1</v>
      </c>
      <c r="AE172" s="15">
        <v>0.04444</v>
      </c>
      <c r="AF172" s="15">
        <v>0</v>
      </c>
      <c r="AG172" s="15">
        <v>0</v>
      </c>
      <c r="AH172" s="15"/>
      <c r="AI172" s="15">
        <v>2</v>
      </c>
      <c r="AJ172" s="15">
        <v>40</v>
      </c>
      <c r="AK172" s="15">
        <v>2</v>
      </c>
      <c r="AL172" s="15">
        <v>40</v>
      </c>
      <c r="AM172" s="15">
        <v>0</v>
      </c>
      <c r="AN172" s="15"/>
      <c r="AO172" s="15">
        <v>0</v>
      </c>
      <c r="AP172" s="15">
        <v>40</v>
      </c>
      <c r="AQ172" s="15">
        <v>0</v>
      </c>
      <c r="AR172" s="15">
        <v>0</v>
      </c>
      <c r="AS172" s="15">
        <v>0</v>
      </c>
      <c r="AT172" s="15">
        <v>0</v>
      </c>
      <c r="AU172" s="15">
        <v>0</v>
      </c>
      <c r="AV172" s="15">
        <v>0</v>
      </c>
      <c r="AW172" s="15">
        <v>0</v>
      </c>
      <c r="AX172" s="15">
        <v>0</v>
      </c>
      <c r="AY172" s="15">
        <v>102</v>
      </c>
      <c r="AZ172" s="15">
        <v>42</v>
      </c>
      <c r="BA172" s="15">
        <v>34</v>
      </c>
      <c r="BB172" s="15">
        <v>0.80952</v>
      </c>
      <c r="BC172" s="15">
        <v>0</v>
      </c>
      <c r="BD172" s="15">
        <v>0</v>
      </c>
      <c r="BE172" s="15">
        <v>0.05595</v>
      </c>
      <c r="BF172" s="15">
        <v>52</v>
      </c>
      <c r="BG172" s="15">
        <v>2</v>
      </c>
      <c r="BH172" s="15">
        <v>0</v>
      </c>
      <c r="BI172" s="15"/>
      <c r="BJ172" s="15">
        <v>0</v>
      </c>
      <c r="BK172" s="15">
        <v>0</v>
      </c>
      <c r="BL172" s="15">
        <v>0</v>
      </c>
      <c r="BM172" s="15">
        <v>0</v>
      </c>
      <c r="BN172" s="15"/>
      <c r="BO172" s="15"/>
      <c r="BP172" s="15">
        <v>0.59</v>
      </c>
      <c r="BQ172" s="15">
        <v>86</v>
      </c>
    </row>
    <row r="173" spans="1:69">
      <c r="A173" s="16">
        <v>46067</v>
      </c>
      <c r="B173" s="15">
        <v>183</v>
      </c>
      <c r="C173" s="15" t="s">
        <v>40</v>
      </c>
      <c r="D173" s="15">
        <v>183</v>
      </c>
      <c r="E173" s="15" t="s">
        <v>40</v>
      </c>
      <c r="F173" s="15">
        <v>728</v>
      </c>
      <c r="G173" s="15">
        <v>35</v>
      </c>
      <c r="H173" s="15">
        <v>99.11</v>
      </c>
      <c r="I173" s="15">
        <v>0.04808</v>
      </c>
      <c r="J173" s="15">
        <v>2.83</v>
      </c>
      <c r="K173" s="15">
        <v>136.14</v>
      </c>
      <c r="L173" s="15">
        <v>0</v>
      </c>
      <c r="M173" s="15">
        <v>0</v>
      </c>
      <c r="N173" s="15">
        <v>0</v>
      </c>
      <c r="O173" s="15">
        <v>0</v>
      </c>
      <c r="P173" s="15">
        <v>0</v>
      </c>
      <c r="Q173" s="15">
        <v>0</v>
      </c>
      <c r="R173" s="15">
        <v>0</v>
      </c>
      <c r="S173" s="15">
        <v>24.94</v>
      </c>
      <c r="T173" s="15">
        <v>24.94</v>
      </c>
      <c r="U173" s="15">
        <v>1</v>
      </c>
      <c r="V173" s="15">
        <v>0</v>
      </c>
      <c r="W173" s="15">
        <v>1</v>
      </c>
      <c r="X173" s="15">
        <v>0.02857</v>
      </c>
      <c r="Y173" s="15">
        <v>0.25</v>
      </c>
      <c r="Z173" s="15">
        <v>0.25</v>
      </c>
      <c r="AA173" s="15">
        <v>99.11</v>
      </c>
      <c r="AB173" s="15">
        <v>5</v>
      </c>
      <c r="AC173" s="15">
        <v>4</v>
      </c>
      <c r="AD173" s="15">
        <v>1</v>
      </c>
      <c r="AE173" s="15">
        <v>0.14286</v>
      </c>
      <c r="AF173" s="15">
        <v>0</v>
      </c>
      <c r="AG173" s="15">
        <v>0</v>
      </c>
      <c r="AH173" s="15"/>
      <c r="AI173" s="15">
        <v>5</v>
      </c>
      <c r="AJ173" s="15">
        <v>19.82</v>
      </c>
      <c r="AK173" s="15">
        <v>5</v>
      </c>
      <c r="AL173" s="15">
        <v>19.82</v>
      </c>
      <c r="AM173" s="15">
        <v>0</v>
      </c>
      <c r="AN173" s="15"/>
      <c r="AO173" s="15">
        <v>0</v>
      </c>
      <c r="AP173" s="15">
        <v>19.82</v>
      </c>
      <c r="AQ173" s="15">
        <v>1</v>
      </c>
      <c r="AR173" s="15">
        <v>29</v>
      </c>
      <c r="AS173" s="15">
        <v>0</v>
      </c>
      <c r="AT173" s="15">
        <v>0</v>
      </c>
      <c r="AU173" s="15">
        <v>0</v>
      </c>
      <c r="AV173" s="15">
        <v>0</v>
      </c>
      <c r="AW173" s="15">
        <v>0</v>
      </c>
      <c r="AX173" s="15">
        <v>1</v>
      </c>
      <c r="AY173" s="15">
        <v>339</v>
      </c>
      <c r="AZ173" s="15">
        <v>85</v>
      </c>
      <c r="BA173" s="15">
        <v>62</v>
      </c>
      <c r="BB173" s="15">
        <v>0.72941</v>
      </c>
      <c r="BC173" s="15">
        <v>0</v>
      </c>
      <c r="BD173" s="15">
        <v>0</v>
      </c>
      <c r="BE173" s="15">
        <v>0.46566</v>
      </c>
      <c r="BF173" s="15">
        <v>199</v>
      </c>
      <c r="BG173" s="15">
        <v>4</v>
      </c>
      <c r="BH173" s="15">
        <v>1</v>
      </c>
      <c r="BI173" s="15">
        <v>1</v>
      </c>
      <c r="BJ173" s="15">
        <v>0</v>
      </c>
      <c r="BK173" s="15">
        <v>0</v>
      </c>
      <c r="BL173" s="15">
        <v>0</v>
      </c>
      <c r="BM173" s="15">
        <v>1</v>
      </c>
      <c r="BN173" s="15">
        <v>1</v>
      </c>
      <c r="BO173" s="15">
        <v>24.94</v>
      </c>
      <c r="BP173" s="15">
        <v>1.36</v>
      </c>
      <c r="BQ173" s="15">
        <v>371</v>
      </c>
    </row>
    <row r="174" spans="1:69">
      <c r="A174" s="16">
        <v>46067</v>
      </c>
      <c r="B174" s="15">
        <v>371</v>
      </c>
      <c r="C174" s="15" t="s">
        <v>32</v>
      </c>
      <c r="D174" s="15">
        <v>371</v>
      </c>
      <c r="E174" s="15" t="s">
        <v>32</v>
      </c>
      <c r="F174" s="15">
        <v>6968</v>
      </c>
      <c r="G174" s="15">
        <v>130</v>
      </c>
      <c r="H174" s="15">
        <v>34.52</v>
      </c>
      <c r="I174" s="15">
        <v>0.01866</v>
      </c>
      <c r="J174" s="15">
        <v>0.27</v>
      </c>
      <c r="K174" s="15">
        <v>4.95</v>
      </c>
      <c r="L174" s="15">
        <v>0</v>
      </c>
      <c r="M174" s="15">
        <v>0</v>
      </c>
      <c r="N174" s="15">
        <v>0</v>
      </c>
      <c r="O174" s="15">
        <v>0</v>
      </c>
      <c r="P174" s="15">
        <v>0</v>
      </c>
      <c r="Q174" s="15">
        <v>0</v>
      </c>
      <c r="R174" s="15">
        <v>0</v>
      </c>
      <c r="S174" s="15">
        <v>0</v>
      </c>
      <c r="T174" s="15">
        <v>0</v>
      </c>
      <c r="U174" s="15">
        <v>0</v>
      </c>
      <c r="V174" s="15">
        <v>0</v>
      </c>
      <c r="W174" s="15">
        <v>0</v>
      </c>
      <c r="X174" s="15">
        <v>0</v>
      </c>
      <c r="Y174" s="15">
        <v>0</v>
      </c>
      <c r="Z174" s="15">
        <v>0</v>
      </c>
      <c r="AA174" s="15"/>
      <c r="AB174" s="15">
        <v>1</v>
      </c>
      <c r="AC174" s="15">
        <v>1</v>
      </c>
      <c r="AD174" s="15">
        <v>0</v>
      </c>
      <c r="AE174" s="15">
        <v>0.00769</v>
      </c>
      <c r="AF174" s="15">
        <v>0</v>
      </c>
      <c r="AG174" s="15">
        <v>1</v>
      </c>
      <c r="AH174" s="15">
        <v>34.52</v>
      </c>
      <c r="AI174" s="15">
        <v>2</v>
      </c>
      <c r="AJ174" s="15">
        <v>17.26</v>
      </c>
      <c r="AK174" s="15">
        <v>1</v>
      </c>
      <c r="AL174" s="15">
        <v>34.52</v>
      </c>
      <c r="AM174" s="15">
        <v>1</v>
      </c>
      <c r="AN174" s="15"/>
      <c r="AO174" s="15">
        <v>0</v>
      </c>
      <c r="AP174" s="15">
        <v>34.52</v>
      </c>
      <c r="AQ174" s="15">
        <v>0</v>
      </c>
      <c r="AR174" s="15">
        <v>0</v>
      </c>
      <c r="AS174" s="15">
        <v>0</v>
      </c>
      <c r="AT174" s="15">
        <v>0</v>
      </c>
      <c r="AU174" s="15">
        <v>0</v>
      </c>
      <c r="AV174" s="15">
        <v>0</v>
      </c>
      <c r="AW174" s="15">
        <v>0</v>
      </c>
      <c r="AX174" s="15">
        <v>0</v>
      </c>
      <c r="AY174" s="15">
        <v>220</v>
      </c>
      <c r="AZ174" s="15">
        <v>144</v>
      </c>
      <c r="BA174" s="15">
        <v>136</v>
      </c>
      <c r="BB174" s="15">
        <v>0.94444</v>
      </c>
      <c r="BC174" s="15">
        <v>0</v>
      </c>
      <c r="BD174" s="15">
        <v>0</v>
      </c>
      <c r="BE174" s="15">
        <v>0.03157</v>
      </c>
      <c r="BF174" s="15">
        <v>66</v>
      </c>
      <c r="BG174" s="15">
        <v>2</v>
      </c>
      <c r="BH174" s="15">
        <v>0</v>
      </c>
      <c r="BI174" s="15"/>
      <c r="BJ174" s="15">
        <v>0</v>
      </c>
      <c r="BK174" s="15">
        <v>0</v>
      </c>
      <c r="BL174" s="15">
        <v>0</v>
      </c>
      <c r="BM174" s="15">
        <v>0</v>
      </c>
      <c r="BN174" s="15"/>
      <c r="BO174" s="15"/>
      <c r="BP174" s="15">
        <v>0.26</v>
      </c>
      <c r="BQ174" s="15">
        <v>519</v>
      </c>
    </row>
    <row r="175" spans="1:69">
      <c r="A175" s="16">
        <v>46067</v>
      </c>
      <c r="B175" s="15">
        <v>479</v>
      </c>
      <c r="C175" s="15" t="s">
        <v>39</v>
      </c>
      <c r="D175" s="15">
        <v>479</v>
      </c>
      <c r="E175" s="15" t="s">
        <v>39</v>
      </c>
      <c r="F175" s="15">
        <v>49</v>
      </c>
      <c r="G175" s="15">
        <v>23</v>
      </c>
      <c r="H175" s="15">
        <v>14.52</v>
      </c>
      <c r="I175" s="15">
        <v>0.46939</v>
      </c>
      <c r="J175" s="15">
        <v>0.63</v>
      </c>
      <c r="K175" s="15">
        <v>296.35</v>
      </c>
      <c r="L175" s="15">
        <v>0</v>
      </c>
      <c r="M175" s="15">
        <v>0</v>
      </c>
      <c r="N175" s="15">
        <v>0</v>
      </c>
      <c r="O175" s="15">
        <v>0</v>
      </c>
      <c r="P175" s="15">
        <v>0</v>
      </c>
      <c r="Q175" s="15">
        <v>0</v>
      </c>
      <c r="R175" s="15">
        <v>0</v>
      </c>
      <c r="S175" s="15">
        <v>1174.4</v>
      </c>
      <c r="T175" s="15">
        <v>1174.4</v>
      </c>
      <c r="U175" s="15">
        <v>3</v>
      </c>
      <c r="V175" s="15">
        <v>0</v>
      </c>
      <c r="W175" s="15">
        <v>3</v>
      </c>
      <c r="X175" s="15">
        <v>0.13043</v>
      </c>
      <c r="Y175" s="15">
        <v>80.88</v>
      </c>
      <c r="Z175" s="15">
        <v>80.88</v>
      </c>
      <c r="AA175" s="15">
        <v>4.84</v>
      </c>
      <c r="AB175" s="15">
        <v>4</v>
      </c>
      <c r="AC175" s="15">
        <v>1</v>
      </c>
      <c r="AD175" s="15">
        <v>3</v>
      </c>
      <c r="AE175" s="15">
        <v>0.17391</v>
      </c>
      <c r="AF175" s="15">
        <v>1</v>
      </c>
      <c r="AG175" s="15">
        <v>2</v>
      </c>
      <c r="AH175" s="15">
        <v>7.26</v>
      </c>
      <c r="AI175" s="15">
        <v>7</v>
      </c>
      <c r="AJ175" s="15">
        <v>2.07</v>
      </c>
      <c r="AK175" s="15">
        <v>5</v>
      </c>
      <c r="AL175" s="15">
        <v>2.9</v>
      </c>
      <c r="AM175" s="15">
        <v>3</v>
      </c>
      <c r="AN175" s="15">
        <v>14.52</v>
      </c>
      <c r="AO175" s="15">
        <v>0.04348</v>
      </c>
      <c r="AP175" s="15">
        <v>3.63</v>
      </c>
      <c r="AQ175" s="15">
        <v>5</v>
      </c>
      <c r="AR175" s="15">
        <v>1549</v>
      </c>
      <c r="AS175" s="15">
        <v>1</v>
      </c>
      <c r="AT175" s="15">
        <v>0</v>
      </c>
      <c r="AU175" s="15">
        <v>0</v>
      </c>
      <c r="AV175" s="15">
        <v>0</v>
      </c>
      <c r="AW175" s="15">
        <v>0</v>
      </c>
      <c r="AX175" s="15">
        <v>0</v>
      </c>
      <c r="AY175" s="15">
        <v>201</v>
      </c>
      <c r="AZ175" s="15">
        <v>18</v>
      </c>
      <c r="BA175" s="15">
        <v>10</v>
      </c>
      <c r="BB175" s="15">
        <v>0.55556</v>
      </c>
      <c r="BC175" s="15">
        <v>0</v>
      </c>
      <c r="BD175" s="15">
        <v>0</v>
      </c>
      <c r="BE175" s="15">
        <v>4.10204</v>
      </c>
      <c r="BF175" s="15">
        <v>176</v>
      </c>
      <c r="BG175" s="15">
        <v>11</v>
      </c>
      <c r="BH175" s="15">
        <v>1</v>
      </c>
      <c r="BI175" s="15">
        <v>0.5</v>
      </c>
      <c r="BJ175" s="15">
        <v>0</v>
      </c>
      <c r="BK175" s="15">
        <v>0</v>
      </c>
      <c r="BL175" s="15">
        <v>0</v>
      </c>
      <c r="BM175" s="15">
        <v>2</v>
      </c>
      <c r="BN175" s="15">
        <v>2</v>
      </c>
      <c r="BO175" s="15">
        <v>587.2</v>
      </c>
      <c r="BP175" s="15">
        <v>0</v>
      </c>
      <c r="BQ175" s="15">
        <v>553</v>
      </c>
    </row>
    <row r="176" spans="1:69">
      <c r="A176" s="16">
        <v>46066</v>
      </c>
      <c r="B176" s="15">
        <v>479</v>
      </c>
      <c r="C176" s="15" t="s">
        <v>39</v>
      </c>
      <c r="D176" s="15">
        <v>479</v>
      </c>
      <c r="E176" s="15" t="s">
        <v>39</v>
      </c>
      <c r="F176" s="15">
        <v>85</v>
      </c>
      <c r="G176" s="15">
        <v>44</v>
      </c>
      <c r="H176" s="15">
        <v>25.35</v>
      </c>
      <c r="I176" s="15">
        <v>0.51765</v>
      </c>
      <c r="J176" s="15">
        <v>0.58</v>
      </c>
      <c r="K176" s="15">
        <v>298.18</v>
      </c>
      <c r="L176" s="15">
        <v>0</v>
      </c>
      <c r="M176" s="15">
        <v>0</v>
      </c>
      <c r="N176" s="15">
        <v>0</v>
      </c>
      <c r="O176" s="15">
        <v>0</v>
      </c>
      <c r="P176" s="15">
        <v>0</v>
      </c>
      <c r="Q176" s="15">
        <v>0</v>
      </c>
      <c r="R176" s="15">
        <v>0</v>
      </c>
      <c r="S176" s="15">
        <v>0</v>
      </c>
      <c r="T176" s="15">
        <v>0</v>
      </c>
      <c r="U176" s="15">
        <v>0</v>
      </c>
      <c r="V176" s="15">
        <v>0</v>
      </c>
      <c r="W176" s="15">
        <v>0</v>
      </c>
      <c r="X176" s="15">
        <v>0</v>
      </c>
      <c r="Y176" s="15">
        <v>0</v>
      </c>
      <c r="Z176" s="15">
        <v>0</v>
      </c>
      <c r="AA176" s="15"/>
      <c r="AB176" s="15">
        <v>4</v>
      </c>
      <c r="AC176" s="15">
        <v>0</v>
      </c>
      <c r="AD176" s="15">
        <v>4</v>
      </c>
      <c r="AE176" s="15">
        <v>0.09091</v>
      </c>
      <c r="AF176" s="15">
        <v>0</v>
      </c>
      <c r="AG176" s="15">
        <v>2</v>
      </c>
      <c r="AH176" s="15">
        <v>12.67</v>
      </c>
      <c r="AI176" s="15">
        <v>6</v>
      </c>
      <c r="AJ176" s="15">
        <v>4.22</v>
      </c>
      <c r="AK176" s="15">
        <v>4</v>
      </c>
      <c r="AL176" s="15">
        <v>6.34</v>
      </c>
      <c r="AM176" s="15">
        <v>2</v>
      </c>
      <c r="AN176" s="15"/>
      <c r="AO176" s="15">
        <v>0</v>
      </c>
      <c r="AP176" s="15">
        <v>6.34</v>
      </c>
      <c r="AQ176" s="15">
        <v>0</v>
      </c>
      <c r="AR176" s="15">
        <v>0</v>
      </c>
      <c r="AS176" s="15">
        <v>0</v>
      </c>
      <c r="AT176" s="15">
        <v>0</v>
      </c>
      <c r="AU176" s="15">
        <v>0</v>
      </c>
      <c r="AV176" s="15">
        <v>0</v>
      </c>
      <c r="AW176" s="15">
        <v>0</v>
      </c>
      <c r="AX176" s="15">
        <v>3</v>
      </c>
      <c r="AY176" s="15">
        <v>458</v>
      </c>
      <c r="AZ176" s="15">
        <v>40</v>
      </c>
      <c r="BA176" s="15">
        <v>31</v>
      </c>
      <c r="BB176" s="15">
        <v>0.775</v>
      </c>
      <c r="BC176" s="15">
        <v>0</v>
      </c>
      <c r="BD176" s="15">
        <v>0</v>
      </c>
      <c r="BE176" s="15">
        <v>5.38824</v>
      </c>
      <c r="BF176" s="15">
        <v>411</v>
      </c>
      <c r="BG176" s="15">
        <v>11</v>
      </c>
      <c r="BH176" s="15">
        <v>0</v>
      </c>
      <c r="BI176" s="15"/>
      <c r="BJ176" s="15">
        <v>0</v>
      </c>
      <c r="BK176" s="15">
        <v>0</v>
      </c>
      <c r="BL176" s="15">
        <v>0</v>
      </c>
      <c r="BM176" s="15">
        <v>0</v>
      </c>
      <c r="BN176" s="15"/>
      <c r="BO176" s="15"/>
      <c r="BP176" s="15">
        <v>0.58</v>
      </c>
      <c r="BQ176" s="15">
        <v>183</v>
      </c>
    </row>
    <row r="177" spans="1:69">
      <c r="A177" s="16">
        <v>46066</v>
      </c>
      <c r="B177" s="15">
        <v>183</v>
      </c>
      <c r="C177" s="15" t="s">
        <v>40</v>
      </c>
      <c r="D177" s="15">
        <v>183</v>
      </c>
      <c r="E177" s="15" t="s">
        <v>40</v>
      </c>
      <c r="F177" s="15">
        <v>1102</v>
      </c>
      <c r="G177" s="15">
        <v>41</v>
      </c>
      <c r="H177" s="15">
        <v>100</v>
      </c>
      <c r="I177" s="15">
        <v>0.03721</v>
      </c>
      <c r="J177" s="15">
        <v>2.44</v>
      </c>
      <c r="K177" s="15">
        <v>90.74</v>
      </c>
      <c r="L177" s="15">
        <v>0</v>
      </c>
      <c r="M177" s="15">
        <v>0</v>
      </c>
      <c r="N177" s="15">
        <v>0</v>
      </c>
      <c r="O177" s="15">
        <v>0</v>
      </c>
      <c r="P177" s="15">
        <v>0</v>
      </c>
      <c r="Q177" s="15">
        <v>0</v>
      </c>
      <c r="R177" s="15">
        <v>928</v>
      </c>
      <c r="S177" s="15">
        <v>0</v>
      </c>
      <c r="T177" s="15">
        <v>928</v>
      </c>
      <c r="U177" s="15">
        <v>1</v>
      </c>
      <c r="V177" s="15">
        <v>1</v>
      </c>
      <c r="W177" s="15">
        <v>0</v>
      </c>
      <c r="X177" s="15">
        <v>0.02439</v>
      </c>
      <c r="Y177" s="15">
        <v>9.28</v>
      </c>
      <c r="Z177" s="15">
        <v>9.28</v>
      </c>
      <c r="AA177" s="15">
        <v>100</v>
      </c>
      <c r="AB177" s="15">
        <v>4</v>
      </c>
      <c r="AC177" s="15">
        <v>1</v>
      </c>
      <c r="AD177" s="15">
        <v>3</v>
      </c>
      <c r="AE177" s="15">
        <v>0.09756</v>
      </c>
      <c r="AF177" s="15">
        <v>1</v>
      </c>
      <c r="AG177" s="15">
        <v>1</v>
      </c>
      <c r="AH177" s="15">
        <v>100</v>
      </c>
      <c r="AI177" s="15">
        <v>6</v>
      </c>
      <c r="AJ177" s="15">
        <v>16.67</v>
      </c>
      <c r="AK177" s="15">
        <v>5</v>
      </c>
      <c r="AL177" s="15">
        <v>20</v>
      </c>
      <c r="AM177" s="15">
        <v>2</v>
      </c>
      <c r="AN177" s="15">
        <v>100</v>
      </c>
      <c r="AO177" s="15">
        <v>0.02439</v>
      </c>
      <c r="AP177" s="15">
        <v>25</v>
      </c>
      <c r="AQ177" s="15">
        <v>1</v>
      </c>
      <c r="AR177" s="15">
        <v>1380</v>
      </c>
      <c r="AS177" s="15">
        <v>0</v>
      </c>
      <c r="AT177" s="15">
        <v>1</v>
      </c>
      <c r="AU177" s="15">
        <v>0</v>
      </c>
      <c r="AV177" s="15">
        <v>0</v>
      </c>
      <c r="AW177" s="15">
        <v>0</v>
      </c>
      <c r="AX177" s="15">
        <v>0</v>
      </c>
      <c r="AY177" s="15">
        <v>294</v>
      </c>
      <c r="AZ177" s="15">
        <v>87</v>
      </c>
      <c r="BA177" s="15">
        <v>69</v>
      </c>
      <c r="BB177" s="15">
        <v>0.7931</v>
      </c>
      <c r="BC177" s="15">
        <v>0</v>
      </c>
      <c r="BD177" s="15">
        <v>0</v>
      </c>
      <c r="BE177" s="15">
        <v>0.26679</v>
      </c>
      <c r="BF177" s="15">
        <v>157</v>
      </c>
      <c r="BG177" s="15">
        <v>3</v>
      </c>
      <c r="BH177" s="15">
        <v>0</v>
      </c>
      <c r="BI177" s="15">
        <v>0</v>
      </c>
      <c r="BJ177" s="15">
        <v>0</v>
      </c>
      <c r="BK177" s="15">
        <v>0</v>
      </c>
      <c r="BL177" s="15">
        <v>0</v>
      </c>
      <c r="BM177" s="15">
        <v>1</v>
      </c>
      <c r="BN177" s="15">
        <v>1</v>
      </c>
      <c r="BO177" s="15">
        <v>928</v>
      </c>
      <c r="BP177" s="15">
        <v>0.88</v>
      </c>
      <c r="BQ177" s="15">
        <v>209</v>
      </c>
    </row>
    <row r="178" spans="1:69">
      <c r="A178" s="16">
        <v>46066</v>
      </c>
      <c r="B178" s="15">
        <v>436</v>
      </c>
      <c r="C178" s="15" t="s">
        <v>38</v>
      </c>
      <c r="D178" s="15">
        <v>436</v>
      </c>
      <c r="E178" s="15" t="s">
        <v>38</v>
      </c>
      <c r="F178" s="15">
        <v>781</v>
      </c>
      <c r="G178" s="15">
        <v>40</v>
      </c>
      <c r="H178" s="15">
        <v>80</v>
      </c>
      <c r="I178" s="15">
        <v>0.05122</v>
      </c>
      <c r="J178" s="15">
        <v>2</v>
      </c>
      <c r="K178" s="15">
        <v>102.43</v>
      </c>
      <c r="L178" s="15">
        <v>0</v>
      </c>
      <c r="M178" s="15">
        <v>0</v>
      </c>
      <c r="N178" s="15">
        <v>0</v>
      </c>
      <c r="O178" s="15">
        <v>0</v>
      </c>
      <c r="P178" s="15">
        <v>0</v>
      </c>
      <c r="Q178" s="15">
        <v>0</v>
      </c>
      <c r="R178" s="15">
        <v>0</v>
      </c>
      <c r="S178" s="15">
        <v>0</v>
      </c>
      <c r="T178" s="15">
        <v>0</v>
      </c>
      <c r="U178" s="15">
        <v>0</v>
      </c>
      <c r="V178" s="15">
        <v>0</v>
      </c>
      <c r="W178" s="15">
        <v>0</v>
      </c>
      <c r="X178" s="15">
        <v>0</v>
      </c>
      <c r="Y178" s="15">
        <v>0</v>
      </c>
      <c r="Z178" s="15">
        <v>0</v>
      </c>
      <c r="AA178" s="15"/>
      <c r="AB178" s="15">
        <v>2</v>
      </c>
      <c r="AC178" s="15">
        <v>0</v>
      </c>
      <c r="AD178" s="15">
        <v>2</v>
      </c>
      <c r="AE178" s="15">
        <v>0.05</v>
      </c>
      <c r="AF178" s="15">
        <v>0</v>
      </c>
      <c r="AG178" s="15">
        <v>0</v>
      </c>
      <c r="AH178" s="15"/>
      <c r="AI178" s="15">
        <v>2</v>
      </c>
      <c r="AJ178" s="15">
        <v>40</v>
      </c>
      <c r="AK178" s="15">
        <v>2</v>
      </c>
      <c r="AL178" s="15">
        <v>40</v>
      </c>
      <c r="AM178" s="15">
        <v>0</v>
      </c>
      <c r="AN178" s="15"/>
      <c r="AO178" s="15">
        <v>0</v>
      </c>
      <c r="AP178" s="15">
        <v>40</v>
      </c>
      <c r="AQ178" s="15">
        <v>0</v>
      </c>
      <c r="AR178" s="15">
        <v>0</v>
      </c>
      <c r="AS178" s="15">
        <v>0</v>
      </c>
      <c r="AT178" s="15">
        <v>0</v>
      </c>
      <c r="AU178" s="15">
        <v>0</v>
      </c>
      <c r="AV178" s="15">
        <v>0</v>
      </c>
      <c r="AW178" s="15">
        <v>0</v>
      </c>
      <c r="AX178" s="15">
        <v>0</v>
      </c>
      <c r="AY178" s="15">
        <v>181</v>
      </c>
      <c r="AZ178" s="15">
        <v>34</v>
      </c>
      <c r="BA178" s="15">
        <v>23</v>
      </c>
      <c r="BB178" s="15">
        <v>0.67647</v>
      </c>
      <c r="BC178" s="15">
        <v>0</v>
      </c>
      <c r="BD178" s="15">
        <v>0</v>
      </c>
      <c r="BE178" s="15">
        <v>0.23175</v>
      </c>
      <c r="BF178" s="15">
        <v>142</v>
      </c>
      <c r="BG178" s="15">
        <v>5</v>
      </c>
      <c r="BH178" s="15">
        <v>0</v>
      </c>
      <c r="BI178" s="15"/>
      <c r="BJ178" s="15">
        <v>0</v>
      </c>
      <c r="BK178" s="15">
        <v>0</v>
      </c>
      <c r="BL178" s="15">
        <v>0</v>
      </c>
      <c r="BM178" s="15">
        <v>0</v>
      </c>
      <c r="BN178" s="15"/>
      <c r="BO178" s="15"/>
      <c r="BP178" s="15">
        <v>1.05</v>
      </c>
      <c r="BQ178" s="15">
        <v>153</v>
      </c>
    </row>
    <row r="179" spans="1:69">
      <c r="A179" s="16">
        <v>46066</v>
      </c>
      <c r="B179" s="15">
        <v>371</v>
      </c>
      <c r="C179" s="15" t="s">
        <v>32</v>
      </c>
      <c r="D179" s="15">
        <v>371</v>
      </c>
      <c r="E179" s="15" t="s">
        <v>32</v>
      </c>
      <c r="F179" s="15">
        <v>6972</v>
      </c>
      <c r="G179" s="15">
        <v>115</v>
      </c>
      <c r="H179" s="15">
        <v>31.05</v>
      </c>
      <c r="I179" s="15">
        <v>0.01649</v>
      </c>
      <c r="J179" s="15">
        <v>0.27</v>
      </c>
      <c r="K179" s="15">
        <v>4.45</v>
      </c>
      <c r="L179" s="15">
        <v>0</v>
      </c>
      <c r="M179" s="15">
        <v>0</v>
      </c>
      <c r="N179" s="15">
        <v>0</v>
      </c>
      <c r="O179" s="15">
        <v>0</v>
      </c>
      <c r="P179" s="15">
        <v>0</v>
      </c>
      <c r="Q179" s="15">
        <v>0</v>
      </c>
      <c r="R179" s="15">
        <v>0</v>
      </c>
      <c r="S179" s="15">
        <v>0</v>
      </c>
      <c r="T179" s="15">
        <v>0</v>
      </c>
      <c r="U179" s="15">
        <v>0</v>
      </c>
      <c r="V179" s="15">
        <v>0</v>
      </c>
      <c r="W179" s="15">
        <v>0</v>
      </c>
      <c r="X179" s="15">
        <v>0</v>
      </c>
      <c r="Y179" s="15">
        <v>0</v>
      </c>
      <c r="Z179" s="15">
        <v>0</v>
      </c>
      <c r="AA179" s="15"/>
      <c r="AB179" s="15">
        <v>2</v>
      </c>
      <c r="AC179" s="15">
        <v>1</v>
      </c>
      <c r="AD179" s="15">
        <v>1</v>
      </c>
      <c r="AE179" s="15">
        <v>0.01739</v>
      </c>
      <c r="AF179" s="15">
        <v>0</v>
      </c>
      <c r="AG179" s="15">
        <v>0</v>
      </c>
      <c r="AH179" s="15"/>
      <c r="AI179" s="15">
        <v>2</v>
      </c>
      <c r="AJ179" s="15">
        <v>15.53</v>
      </c>
      <c r="AK179" s="15">
        <v>2</v>
      </c>
      <c r="AL179" s="15">
        <v>15.53</v>
      </c>
      <c r="AM179" s="15">
        <v>0</v>
      </c>
      <c r="AN179" s="15"/>
      <c r="AO179" s="15">
        <v>0</v>
      </c>
      <c r="AP179" s="15">
        <v>15.53</v>
      </c>
      <c r="AQ179" s="15">
        <v>2</v>
      </c>
      <c r="AR179" s="15">
        <v>3888</v>
      </c>
      <c r="AS179" s="15">
        <v>0</v>
      </c>
      <c r="AT179" s="15">
        <v>0</v>
      </c>
      <c r="AU179" s="15">
        <v>0</v>
      </c>
      <c r="AV179" s="15">
        <v>0</v>
      </c>
      <c r="AW179" s="15">
        <v>0</v>
      </c>
      <c r="AX179" s="15">
        <v>0</v>
      </c>
      <c r="AY179" s="15">
        <v>219</v>
      </c>
      <c r="AZ179" s="15">
        <v>114</v>
      </c>
      <c r="BA179" s="15">
        <v>108</v>
      </c>
      <c r="BB179" s="15">
        <v>0.94737</v>
      </c>
      <c r="BC179" s="15">
        <v>0</v>
      </c>
      <c r="BD179" s="15">
        <v>0</v>
      </c>
      <c r="BE179" s="15">
        <v>0.03141</v>
      </c>
      <c r="BF179" s="15">
        <v>89</v>
      </c>
      <c r="BG179" s="15">
        <v>2</v>
      </c>
      <c r="BH179" s="15">
        <v>0</v>
      </c>
      <c r="BI179" s="15"/>
      <c r="BJ179" s="15">
        <v>0</v>
      </c>
      <c r="BK179" s="15">
        <v>0</v>
      </c>
      <c r="BL179" s="15">
        <v>0</v>
      </c>
      <c r="BM179" s="15">
        <v>0</v>
      </c>
      <c r="BN179" s="15"/>
      <c r="BO179" s="15"/>
      <c r="BP179" s="15">
        <v>0</v>
      </c>
      <c r="BQ179" s="15">
        <v>350</v>
      </c>
    </row>
    <row r="180" spans="1:69">
      <c r="A180" s="16">
        <v>46065</v>
      </c>
      <c r="B180" s="15">
        <v>479</v>
      </c>
      <c r="C180" s="15" t="s">
        <v>39</v>
      </c>
      <c r="D180" s="15">
        <v>479</v>
      </c>
      <c r="E180" s="15" t="s">
        <v>39</v>
      </c>
      <c r="F180" s="15">
        <v>79</v>
      </c>
      <c r="G180" s="15">
        <v>31</v>
      </c>
      <c r="H180" s="15">
        <v>23.76</v>
      </c>
      <c r="I180" s="15">
        <v>0.39241</v>
      </c>
      <c r="J180" s="15">
        <v>0.77</v>
      </c>
      <c r="K180" s="15">
        <v>300.76</v>
      </c>
      <c r="L180" s="15">
        <v>0</v>
      </c>
      <c r="M180" s="15">
        <v>0</v>
      </c>
      <c r="N180" s="15">
        <v>0</v>
      </c>
      <c r="O180" s="15">
        <v>0</v>
      </c>
      <c r="P180" s="15">
        <v>0</v>
      </c>
      <c r="Q180" s="15">
        <v>0</v>
      </c>
      <c r="R180" s="15">
        <v>0</v>
      </c>
      <c r="S180" s="15">
        <v>0</v>
      </c>
      <c r="T180" s="15">
        <v>0</v>
      </c>
      <c r="U180" s="15">
        <v>0</v>
      </c>
      <c r="V180" s="15">
        <v>0</v>
      </c>
      <c r="W180" s="15">
        <v>0</v>
      </c>
      <c r="X180" s="15">
        <v>0</v>
      </c>
      <c r="Y180" s="15">
        <v>0</v>
      </c>
      <c r="Z180" s="15">
        <v>0</v>
      </c>
      <c r="AA180" s="15"/>
      <c r="AB180" s="15">
        <v>5</v>
      </c>
      <c r="AC180" s="15">
        <v>0</v>
      </c>
      <c r="AD180" s="15">
        <v>5</v>
      </c>
      <c r="AE180" s="15">
        <v>0.16129</v>
      </c>
      <c r="AF180" s="15">
        <v>3</v>
      </c>
      <c r="AG180" s="15">
        <v>4</v>
      </c>
      <c r="AH180" s="15">
        <v>5.94</v>
      </c>
      <c r="AI180" s="15">
        <v>12</v>
      </c>
      <c r="AJ180" s="15">
        <v>1.98</v>
      </c>
      <c r="AK180" s="15">
        <v>8</v>
      </c>
      <c r="AL180" s="15">
        <v>2.97</v>
      </c>
      <c r="AM180" s="15">
        <v>7</v>
      </c>
      <c r="AN180" s="15">
        <v>7.92</v>
      </c>
      <c r="AO180" s="15">
        <v>0.09677</v>
      </c>
      <c r="AP180" s="15">
        <v>4.75</v>
      </c>
      <c r="AQ180" s="15">
        <v>0</v>
      </c>
      <c r="AR180" s="15">
        <v>0</v>
      </c>
      <c r="AS180" s="15">
        <v>0</v>
      </c>
      <c r="AT180" s="15">
        <v>3</v>
      </c>
      <c r="AU180" s="15">
        <v>0</v>
      </c>
      <c r="AV180" s="15">
        <v>0</v>
      </c>
      <c r="AW180" s="15">
        <v>0</v>
      </c>
      <c r="AX180" s="15">
        <v>1</v>
      </c>
      <c r="AY180" s="15">
        <v>259</v>
      </c>
      <c r="AZ180" s="15">
        <v>27</v>
      </c>
      <c r="BA180" s="15">
        <v>21</v>
      </c>
      <c r="BB180" s="15">
        <v>0.77778</v>
      </c>
      <c r="BC180" s="15">
        <v>0</v>
      </c>
      <c r="BD180" s="15">
        <v>0</v>
      </c>
      <c r="BE180" s="15">
        <v>3.27848</v>
      </c>
      <c r="BF180" s="15">
        <v>228</v>
      </c>
      <c r="BG180" s="15">
        <v>10</v>
      </c>
      <c r="BH180" s="15">
        <v>0</v>
      </c>
      <c r="BI180" s="15"/>
      <c r="BJ180" s="15">
        <v>0</v>
      </c>
      <c r="BK180" s="15">
        <v>0</v>
      </c>
      <c r="BL180" s="15">
        <v>0</v>
      </c>
      <c r="BM180" s="15">
        <v>0</v>
      </c>
      <c r="BN180" s="15"/>
      <c r="BO180" s="15"/>
      <c r="BP180" s="15">
        <v>0.26</v>
      </c>
      <c r="BQ180" s="15">
        <v>132</v>
      </c>
    </row>
    <row r="181" spans="1:69">
      <c r="A181" s="16">
        <v>46065</v>
      </c>
      <c r="B181" s="15">
        <v>183</v>
      </c>
      <c r="C181" s="15" t="s">
        <v>40</v>
      </c>
      <c r="D181" s="15">
        <v>183</v>
      </c>
      <c r="E181" s="15" t="s">
        <v>40</v>
      </c>
      <c r="F181" s="15">
        <v>578</v>
      </c>
      <c r="G181" s="15">
        <v>39</v>
      </c>
      <c r="H181" s="15">
        <v>100</v>
      </c>
      <c r="I181" s="15">
        <v>0.06747</v>
      </c>
      <c r="J181" s="15">
        <v>2.56</v>
      </c>
      <c r="K181" s="15">
        <v>173.01</v>
      </c>
      <c r="L181" s="15">
        <v>0</v>
      </c>
      <c r="M181" s="15">
        <v>0</v>
      </c>
      <c r="N181" s="15">
        <v>0</v>
      </c>
      <c r="O181" s="15">
        <v>0</v>
      </c>
      <c r="P181" s="15">
        <v>0</v>
      </c>
      <c r="Q181" s="15">
        <v>0</v>
      </c>
      <c r="R181" s="15">
        <v>0</v>
      </c>
      <c r="S181" s="15">
        <v>0</v>
      </c>
      <c r="T181" s="15">
        <v>0</v>
      </c>
      <c r="U181" s="15">
        <v>0</v>
      </c>
      <c r="V181" s="15">
        <v>0</v>
      </c>
      <c r="W181" s="15">
        <v>0</v>
      </c>
      <c r="X181" s="15">
        <v>0</v>
      </c>
      <c r="Y181" s="15">
        <v>0</v>
      </c>
      <c r="Z181" s="15">
        <v>0</v>
      </c>
      <c r="AA181" s="15"/>
      <c r="AB181" s="15">
        <v>4</v>
      </c>
      <c r="AC181" s="15">
        <v>4</v>
      </c>
      <c r="AD181" s="15">
        <v>0</v>
      </c>
      <c r="AE181" s="15">
        <v>0.10256</v>
      </c>
      <c r="AF181" s="15">
        <v>0</v>
      </c>
      <c r="AG181" s="15">
        <v>1</v>
      </c>
      <c r="AH181" s="15">
        <v>100</v>
      </c>
      <c r="AI181" s="15">
        <v>5</v>
      </c>
      <c r="AJ181" s="15">
        <v>20</v>
      </c>
      <c r="AK181" s="15">
        <v>4</v>
      </c>
      <c r="AL181" s="15">
        <v>25</v>
      </c>
      <c r="AM181" s="15">
        <v>1</v>
      </c>
      <c r="AN181" s="15"/>
      <c r="AO181" s="15">
        <v>0</v>
      </c>
      <c r="AP181" s="15">
        <v>25</v>
      </c>
      <c r="AQ181" s="15">
        <v>0</v>
      </c>
      <c r="AR181" s="15">
        <v>0</v>
      </c>
      <c r="AS181" s="15">
        <v>0</v>
      </c>
      <c r="AT181" s="15">
        <v>0</v>
      </c>
      <c r="AU181" s="15">
        <v>0</v>
      </c>
      <c r="AV181" s="15">
        <v>0</v>
      </c>
      <c r="AW181" s="15">
        <v>0</v>
      </c>
      <c r="AX181" s="15">
        <v>1</v>
      </c>
      <c r="AY181" s="15">
        <v>188</v>
      </c>
      <c r="AZ181" s="15">
        <v>49</v>
      </c>
      <c r="BA181" s="15">
        <v>25</v>
      </c>
      <c r="BB181" s="15">
        <v>0.5102</v>
      </c>
      <c r="BC181" s="15">
        <v>0</v>
      </c>
      <c r="BD181" s="15">
        <v>0</v>
      </c>
      <c r="BE181" s="15">
        <v>0.32526</v>
      </c>
      <c r="BF181" s="15">
        <v>109</v>
      </c>
      <c r="BG181" s="15">
        <v>4</v>
      </c>
      <c r="BH181" s="15">
        <v>0</v>
      </c>
      <c r="BI181" s="15"/>
      <c r="BJ181" s="15">
        <v>0</v>
      </c>
      <c r="BK181" s="15">
        <v>0</v>
      </c>
      <c r="BL181" s="15">
        <v>0</v>
      </c>
      <c r="BM181" s="15">
        <v>0</v>
      </c>
      <c r="BN181" s="15"/>
      <c r="BO181" s="15"/>
      <c r="BP181" s="15">
        <v>0.49</v>
      </c>
      <c r="BQ181" s="15">
        <v>189</v>
      </c>
    </row>
    <row r="182" spans="1:69">
      <c r="A182" s="16">
        <v>46065</v>
      </c>
      <c r="B182" s="15">
        <v>371</v>
      </c>
      <c r="C182" s="15" t="s">
        <v>32</v>
      </c>
      <c r="D182" s="15">
        <v>371</v>
      </c>
      <c r="E182" s="15" t="s">
        <v>32</v>
      </c>
      <c r="F182" s="15">
        <v>5503</v>
      </c>
      <c r="G182" s="15">
        <v>110</v>
      </c>
      <c r="H182" s="15">
        <v>32.76</v>
      </c>
      <c r="I182" s="15">
        <v>0.01999</v>
      </c>
      <c r="J182" s="15">
        <v>0.3</v>
      </c>
      <c r="K182" s="15">
        <v>5.95</v>
      </c>
      <c r="L182" s="15">
        <v>0</v>
      </c>
      <c r="M182" s="15">
        <v>0</v>
      </c>
      <c r="N182" s="15">
        <v>0</v>
      </c>
      <c r="O182" s="15">
        <v>0</v>
      </c>
      <c r="P182" s="15">
        <v>0</v>
      </c>
      <c r="Q182" s="15">
        <v>0</v>
      </c>
      <c r="R182" s="15">
        <v>0</v>
      </c>
      <c r="S182" s="15">
        <v>0</v>
      </c>
      <c r="T182" s="15">
        <v>0</v>
      </c>
      <c r="U182" s="15">
        <v>0</v>
      </c>
      <c r="V182" s="15">
        <v>0</v>
      </c>
      <c r="W182" s="15">
        <v>0</v>
      </c>
      <c r="X182" s="15">
        <v>0</v>
      </c>
      <c r="Y182" s="15">
        <v>0</v>
      </c>
      <c r="Z182" s="15">
        <v>0</v>
      </c>
      <c r="AA182" s="15"/>
      <c r="AB182" s="15">
        <v>0</v>
      </c>
      <c r="AC182" s="15">
        <v>0</v>
      </c>
      <c r="AD182" s="15">
        <v>0</v>
      </c>
      <c r="AE182" s="15">
        <v>0</v>
      </c>
      <c r="AF182" s="15">
        <v>1</v>
      </c>
      <c r="AG182" s="15">
        <v>0</v>
      </c>
      <c r="AH182" s="15"/>
      <c r="AI182" s="15">
        <v>1</v>
      </c>
      <c r="AJ182" s="15">
        <v>32.76</v>
      </c>
      <c r="AK182" s="15">
        <v>1</v>
      </c>
      <c r="AL182" s="15">
        <v>32.76</v>
      </c>
      <c r="AM182" s="15">
        <v>1</v>
      </c>
      <c r="AN182" s="15">
        <v>32.76</v>
      </c>
      <c r="AO182" s="15">
        <v>0.00909</v>
      </c>
      <c r="AP182" s="15"/>
      <c r="AQ182" s="15">
        <v>0</v>
      </c>
      <c r="AR182" s="15">
        <v>0</v>
      </c>
      <c r="AS182" s="15">
        <v>0</v>
      </c>
      <c r="AT182" s="15">
        <v>1</v>
      </c>
      <c r="AU182" s="15">
        <v>0</v>
      </c>
      <c r="AV182" s="15">
        <v>0</v>
      </c>
      <c r="AW182" s="15">
        <v>0</v>
      </c>
      <c r="AX182" s="15">
        <v>1</v>
      </c>
      <c r="AY182" s="15">
        <v>230</v>
      </c>
      <c r="AZ182" s="15">
        <v>120</v>
      </c>
      <c r="BA182" s="15">
        <v>112</v>
      </c>
      <c r="BB182" s="15">
        <v>0.93333</v>
      </c>
      <c r="BC182" s="15">
        <v>0</v>
      </c>
      <c r="BD182" s="15">
        <v>0</v>
      </c>
      <c r="BE182" s="15">
        <v>0.0418</v>
      </c>
      <c r="BF182" s="15">
        <v>99</v>
      </c>
      <c r="BG182" s="15">
        <v>2</v>
      </c>
      <c r="BH182" s="15">
        <v>0</v>
      </c>
      <c r="BI182" s="15"/>
      <c r="BJ182" s="15">
        <v>0</v>
      </c>
      <c r="BK182" s="15">
        <v>0</v>
      </c>
      <c r="BL182" s="15">
        <v>0</v>
      </c>
      <c r="BM182" s="15">
        <v>0</v>
      </c>
      <c r="BN182" s="15"/>
      <c r="BO182" s="15"/>
      <c r="BP182" s="15">
        <v>0</v>
      </c>
      <c r="BQ182" s="15">
        <v>12</v>
      </c>
    </row>
    <row r="183" spans="1:69">
      <c r="A183" s="16">
        <v>46065</v>
      </c>
      <c r="B183" s="15">
        <v>436</v>
      </c>
      <c r="C183" s="15" t="s">
        <v>38</v>
      </c>
      <c r="D183" s="15">
        <v>436</v>
      </c>
      <c r="E183" s="15" t="s">
        <v>38</v>
      </c>
      <c r="F183" s="15">
        <v>1063</v>
      </c>
      <c r="G183" s="15">
        <v>45</v>
      </c>
      <c r="H183" s="15">
        <v>74.49</v>
      </c>
      <c r="I183" s="15">
        <v>0.04233</v>
      </c>
      <c r="J183" s="15">
        <v>1.66</v>
      </c>
      <c r="K183" s="15">
        <v>70.08</v>
      </c>
      <c r="L183" s="15">
        <v>0</v>
      </c>
      <c r="M183" s="15">
        <v>0</v>
      </c>
      <c r="N183" s="15">
        <v>0</v>
      </c>
      <c r="O183" s="15">
        <v>0</v>
      </c>
      <c r="P183" s="15">
        <v>0</v>
      </c>
      <c r="Q183" s="15">
        <v>0</v>
      </c>
      <c r="R183" s="15">
        <v>0</v>
      </c>
      <c r="S183" s="15">
        <v>165</v>
      </c>
      <c r="T183" s="15">
        <v>165</v>
      </c>
      <c r="U183" s="15">
        <v>1</v>
      </c>
      <c r="V183" s="15">
        <v>0</v>
      </c>
      <c r="W183" s="15">
        <v>1</v>
      </c>
      <c r="X183" s="15">
        <v>0.02222</v>
      </c>
      <c r="Y183" s="15">
        <v>2.22</v>
      </c>
      <c r="Z183" s="15">
        <v>2.22</v>
      </c>
      <c r="AA183" s="15">
        <v>74.49</v>
      </c>
      <c r="AB183" s="15">
        <v>3</v>
      </c>
      <c r="AC183" s="15">
        <v>1</v>
      </c>
      <c r="AD183" s="15">
        <v>2</v>
      </c>
      <c r="AE183" s="15">
        <v>0.06667</v>
      </c>
      <c r="AF183" s="15">
        <v>0</v>
      </c>
      <c r="AG183" s="15">
        <v>1</v>
      </c>
      <c r="AH183" s="15">
        <v>74.49</v>
      </c>
      <c r="AI183" s="15">
        <v>4</v>
      </c>
      <c r="AJ183" s="15">
        <v>18.62</v>
      </c>
      <c r="AK183" s="15">
        <v>3</v>
      </c>
      <c r="AL183" s="15">
        <v>24.83</v>
      </c>
      <c r="AM183" s="15">
        <v>1</v>
      </c>
      <c r="AN183" s="15"/>
      <c r="AO183" s="15">
        <v>0</v>
      </c>
      <c r="AP183" s="15">
        <v>24.83</v>
      </c>
      <c r="AQ183" s="15">
        <v>2</v>
      </c>
      <c r="AR183" s="15">
        <v>217.9</v>
      </c>
      <c r="AS183" s="15">
        <v>0</v>
      </c>
      <c r="AT183" s="15">
        <v>0</v>
      </c>
      <c r="AU183" s="15">
        <v>0</v>
      </c>
      <c r="AV183" s="15">
        <v>0</v>
      </c>
      <c r="AW183" s="15">
        <v>0</v>
      </c>
      <c r="AX183" s="15">
        <v>0</v>
      </c>
      <c r="AY183" s="15">
        <v>137</v>
      </c>
      <c r="AZ183" s="15">
        <v>43</v>
      </c>
      <c r="BA183" s="15">
        <v>36</v>
      </c>
      <c r="BB183" s="15">
        <v>0.83721</v>
      </c>
      <c r="BC183" s="15">
        <v>0</v>
      </c>
      <c r="BD183" s="15">
        <v>0</v>
      </c>
      <c r="BE183" s="15">
        <v>0.12888</v>
      </c>
      <c r="BF183" s="15">
        <v>88</v>
      </c>
      <c r="BG183" s="15">
        <v>3</v>
      </c>
      <c r="BH183" s="15">
        <v>1</v>
      </c>
      <c r="BI183" s="15">
        <v>1</v>
      </c>
      <c r="BJ183" s="15">
        <v>0</v>
      </c>
      <c r="BK183" s="15">
        <v>0</v>
      </c>
      <c r="BL183" s="15">
        <v>0</v>
      </c>
      <c r="BM183" s="15">
        <v>1</v>
      </c>
      <c r="BN183" s="15">
        <v>1</v>
      </c>
      <c r="BO183" s="15">
        <v>165</v>
      </c>
      <c r="BP183" s="15">
        <v>0.49</v>
      </c>
      <c r="BQ183" s="15">
        <v>296</v>
      </c>
    </row>
    <row r="184" spans="1:69">
      <c r="A184" s="16">
        <v>46064</v>
      </c>
      <c r="B184" s="15">
        <v>183</v>
      </c>
      <c r="C184" s="15" t="s">
        <v>40</v>
      </c>
      <c r="D184" s="15">
        <v>183</v>
      </c>
      <c r="E184" s="15" t="s">
        <v>40</v>
      </c>
      <c r="F184" s="15">
        <v>986</v>
      </c>
      <c r="G184" s="15">
        <v>39</v>
      </c>
      <c r="H184" s="15">
        <v>100</v>
      </c>
      <c r="I184" s="15">
        <v>0.03955</v>
      </c>
      <c r="J184" s="15">
        <v>2.56</v>
      </c>
      <c r="K184" s="15">
        <v>101.42</v>
      </c>
      <c r="L184" s="15">
        <v>0</v>
      </c>
      <c r="M184" s="15">
        <v>0</v>
      </c>
      <c r="N184" s="15">
        <v>0</v>
      </c>
      <c r="O184" s="15">
        <v>0</v>
      </c>
      <c r="P184" s="15">
        <v>0</v>
      </c>
      <c r="Q184" s="15">
        <v>0</v>
      </c>
      <c r="R184" s="15">
        <v>0</v>
      </c>
      <c r="S184" s="15">
        <v>0</v>
      </c>
      <c r="T184" s="15">
        <v>0</v>
      </c>
      <c r="U184" s="15">
        <v>0</v>
      </c>
      <c r="V184" s="15">
        <v>0</v>
      </c>
      <c r="W184" s="15">
        <v>0</v>
      </c>
      <c r="X184" s="15">
        <v>0</v>
      </c>
      <c r="Y184" s="15">
        <v>0</v>
      </c>
      <c r="Z184" s="15">
        <v>0</v>
      </c>
      <c r="AA184" s="15"/>
      <c r="AB184" s="15">
        <v>4</v>
      </c>
      <c r="AC184" s="15">
        <v>2</v>
      </c>
      <c r="AD184" s="15">
        <v>2</v>
      </c>
      <c r="AE184" s="15">
        <v>0.10256</v>
      </c>
      <c r="AF184" s="15">
        <v>2</v>
      </c>
      <c r="AG184" s="15">
        <v>2</v>
      </c>
      <c r="AH184" s="15">
        <v>50</v>
      </c>
      <c r="AI184" s="15">
        <v>8</v>
      </c>
      <c r="AJ184" s="15">
        <v>12.5</v>
      </c>
      <c r="AK184" s="15">
        <v>6</v>
      </c>
      <c r="AL184" s="15">
        <v>16.67</v>
      </c>
      <c r="AM184" s="15">
        <v>4</v>
      </c>
      <c r="AN184" s="15">
        <v>50</v>
      </c>
      <c r="AO184" s="15">
        <v>0.05128</v>
      </c>
      <c r="AP184" s="15">
        <v>25</v>
      </c>
      <c r="AQ184" s="15">
        <v>0</v>
      </c>
      <c r="AR184" s="15">
        <v>0</v>
      </c>
      <c r="AS184" s="15">
        <v>1</v>
      </c>
      <c r="AT184" s="15">
        <v>1</v>
      </c>
      <c r="AU184" s="15">
        <v>0</v>
      </c>
      <c r="AV184" s="15">
        <v>0</v>
      </c>
      <c r="AW184" s="15">
        <v>0</v>
      </c>
      <c r="AX184" s="15">
        <v>0</v>
      </c>
      <c r="AY184" s="15">
        <v>177</v>
      </c>
      <c r="AZ184" s="15">
        <v>79</v>
      </c>
      <c r="BA184" s="15">
        <v>55</v>
      </c>
      <c r="BB184" s="15">
        <v>0.6962</v>
      </c>
      <c r="BC184" s="15">
        <v>0</v>
      </c>
      <c r="BD184" s="15">
        <v>0</v>
      </c>
      <c r="BE184" s="15">
        <v>0.17951</v>
      </c>
      <c r="BF184" s="15">
        <v>55</v>
      </c>
      <c r="BG184" s="15">
        <v>2</v>
      </c>
      <c r="BH184" s="15">
        <v>0</v>
      </c>
      <c r="BI184" s="15"/>
      <c r="BJ184" s="15">
        <v>0</v>
      </c>
      <c r="BK184" s="15">
        <v>0</v>
      </c>
      <c r="BL184" s="15">
        <v>0</v>
      </c>
      <c r="BM184" s="15">
        <v>0</v>
      </c>
      <c r="BN184" s="15"/>
      <c r="BO184" s="15"/>
      <c r="BP184" s="15">
        <v>0.46</v>
      </c>
      <c r="BQ184" s="15">
        <v>146</v>
      </c>
    </row>
    <row r="185" spans="1:69">
      <c r="A185" s="16">
        <v>46064</v>
      </c>
      <c r="B185" s="15">
        <v>436</v>
      </c>
      <c r="C185" s="15" t="s">
        <v>38</v>
      </c>
      <c r="D185" s="15">
        <v>436</v>
      </c>
      <c r="E185" s="15" t="s">
        <v>38</v>
      </c>
      <c r="F185" s="15">
        <v>1023</v>
      </c>
      <c r="G185" s="15">
        <v>36</v>
      </c>
      <c r="H185" s="15">
        <v>80</v>
      </c>
      <c r="I185" s="15">
        <v>0.03519</v>
      </c>
      <c r="J185" s="15">
        <v>2.22</v>
      </c>
      <c r="K185" s="15">
        <v>78.2</v>
      </c>
      <c r="L185" s="15">
        <v>0</v>
      </c>
      <c r="M185" s="15">
        <v>0</v>
      </c>
      <c r="N185" s="15">
        <v>0</v>
      </c>
      <c r="O185" s="15">
        <v>0</v>
      </c>
      <c r="P185" s="15">
        <v>0</v>
      </c>
      <c r="Q185" s="15">
        <v>0</v>
      </c>
      <c r="R185" s="15">
        <v>0</v>
      </c>
      <c r="S185" s="15">
        <v>0</v>
      </c>
      <c r="T185" s="15">
        <v>0</v>
      </c>
      <c r="U185" s="15">
        <v>0</v>
      </c>
      <c r="V185" s="15">
        <v>0</v>
      </c>
      <c r="W185" s="15">
        <v>0</v>
      </c>
      <c r="X185" s="15">
        <v>0</v>
      </c>
      <c r="Y185" s="15">
        <v>0</v>
      </c>
      <c r="Z185" s="15">
        <v>0</v>
      </c>
      <c r="AA185" s="15"/>
      <c r="AB185" s="15">
        <v>4</v>
      </c>
      <c r="AC185" s="15">
        <v>2</v>
      </c>
      <c r="AD185" s="15">
        <v>2</v>
      </c>
      <c r="AE185" s="15">
        <v>0.11111</v>
      </c>
      <c r="AF185" s="15">
        <v>1</v>
      </c>
      <c r="AG185" s="15">
        <v>0</v>
      </c>
      <c r="AH185" s="15"/>
      <c r="AI185" s="15">
        <v>5</v>
      </c>
      <c r="AJ185" s="15">
        <v>16</v>
      </c>
      <c r="AK185" s="15">
        <v>5</v>
      </c>
      <c r="AL185" s="15">
        <v>16</v>
      </c>
      <c r="AM185" s="15">
        <v>1</v>
      </c>
      <c r="AN185" s="15">
        <v>80</v>
      </c>
      <c r="AO185" s="15">
        <v>0.02778</v>
      </c>
      <c r="AP185" s="15">
        <v>20</v>
      </c>
      <c r="AQ185" s="15">
        <v>0</v>
      </c>
      <c r="AR185" s="15">
        <v>0</v>
      </c>
      <c r="AS185" s="15">
        <v>0</v>
      </c>
      <c r="AT185" s="15">
        <v>1</v>
      </c>
      <c r="AU185" s="15">
        <v>0</v>
      </c>
      <c r="AV185" s="15">
        <v>0</v>
      </c>
      <c r="AW185" s="15">
        <v>0</v>
      </c>
      <c r="AX185" s="15">
        <v>0</v>
      </c>
      <c r="AY185" s="15">
        <v>104</v>
      </c>
      <c r="AZ185" s="15">
        <v>36</v>
      </c>
      <c r="BA185" s="15">
        <v>26</v>
      </c>
      <c r="BB185" s="15">
        <v>0.72222</v>
      </c>
      <c r="BC185" s="15">
        <v>0</v>
      </c>
      <c r="BD185" s="15">
        <v>0</v>
      </c>
      <c r="BE185" s="15">
        <v>0.10166</v>
      </c>
      <c r="BF185" s="15">
        <v>66</v>
      </c>
      <c r="BG185" s="15">
        <v>3</v>
      </c>
      <c r="BH185" s="15">
        <v>0</v>
      </c>
      <c r="BI185" s="15"/>
      <c r="BJ185" s="15">
        <v>0</v>
      </c>
      <c r="BK185" s="15">
        <v>0</v>
      </c>
      <c r="BL185" s="15">
        <v>0</v>
      </c>
      <c r="BM185" s="15">
        <v>0</v>
      </c>
      <c r="BN185" s="15"/>
      <c r="BO185" s="15"/>
      <c r="BP185" s="15">
        <v>0</v>
      </c>
      <c r="BQ185" s="15">
        <v>171</v>
      </c>
    </row>
    <row r="186" spans="1:69">
      <c r="A186" s="16">
        <v>46064</v>
      </c>
      <c r="B186" s="15">
        <v>371</v>
      </c>
      <c r="C186" s="15" t="s">
        <v>32</v>
      </c>
      <c r="D186" s="15">
        <v>371</v>
      </c>
      <c r="E186" s="15" t="s">
        <v>32</v>
      </c>
      <c r="F186" s="15">
        <v>5739</v>
      </c>
      <c r="G186" s="15">
        <v>93</v>
      </c>
      <c r="H186" s="15">
        <v>28.03</v>
      </c>
      <c r="I186" s="15">
        <v>0.0162</v>
      </c>
      <c r="J186" s="15">
        <v>0.3</v>
      </c>
      <c r="K186" s="15">
        <v>4.88</v>
      </c>
      <c r="L186" s="15">
        <v>0</v>
      </c>
      <c r="M186" s="15">
        <v>0</v>
      </c>
      <c r="N186" s="15">
        <v>0</v>
      </c>
      <c r="O186" s="15">
        <v>0</v>
      </c>
      <c r="P186" s="15">
        <v>0</v>
      </c>
      <c r="Q186" s="15">
        <v>0</v>
      </c>
      <c r="R186" s="15">
        <v>0</v>
      </c>
      <c r="S186" s="15">
        <v>0</v>
      </c>
      <c r="T186" s="15">
        <v>0</v>
      </c>
      <c r="U186" s="15">
        <v>0</v>
      </c>
      <c r="V186" s="15">
        <v>0</v>
      </c>
      <c r="W186" s="15">
        <v>0</v>
      </c>
      <c r="X186" s="15">
        <v>0</v>
      </c>
      <c r="Y186" s="15">
        <v>0</v>
      </c>
      <c r="Z186" s="15">
        <v>0</v>
      </c>
      <c r="AA186" s="15"/>
      <c r="AB186" s="15">
        <v>1</v>
      </c>
      <c r="AC186" s="15">
        <v>1</v>
      </c>
      <c r="AD186" s="15">
        <v>0</v>
      </c>
      <c r="AE186" s="15">
        <v>0.01075</v>
      </c>
      <c r="AF186" s="15">
        <v>0</v>
      </c>
      <c r="AG186" s="15">
        <v>0</v>
      </c>
      <c r="AH186" s="15"/>
      <c r="AI186" s="15">
        <v>1</v>
      </c>
      <c r="AJ186" s="15">
        <v>28.03</v>
      </c>
      <c r="AK186" s="15">
        <v>1</v>
      </c>
      <c r="AL186" s="15">
        <v>28.03</v>
      </c>
      <c r="AM186" s="15">
        <v>0</v>
      </c>
      <c r="AN186" s="15"/>
      <c r="AO186" s="15">
        <v>0</v>
      </c>
      <c r="AP186" s="15">
        <v>28.03</v>
      </c>
      <c r="AQ186" s="15">
        <v>1</v>
      </c>
      <c r="AR186" s="15">
        <v>29</v>
      </c>
      <c r="AS186" s="15">
        <v>0</v>
      </c>
      <c r="AT186" s="15">
        <v>0</v>
      </c>
      <c r="AU186" s="15">
        <v>0</v>
      </c>
      <c r="AV186" s="15">
        <v>0</v>
      </c>
      <c r="AW186" s="15">
        <v>0</v>
      </c>
      <c r="AX186" s="15">
        <v>2</v>
      </c>
      <c r="AY186" s="15">
        <v>208</v>
      </c>
      <c r="AZ186" s="15">
        <v>115</v>
      </c>
      <c r="BA186" s="15">
        <v>105</v>
      </c>
      <c r="BB186" s="15">
        <v>0.91304</v>
      </c>
      <c r="BC186" s="15">
        <v>0</v>
      </c>
      <c r="BD186" s="15">
        <v>0</v>
      </c>
      <c r="BE186" s="15">
        <v>0.03624</v>
      </c>
      <c r="BF186" s="15">
        <v>82</v>
      </c>
      <c r="BG186" s="15">
        <v>2</v>
      </c>
      <c r="BH186" s="15">
        <v>0</v>
      </c>
      <c r="BI186" s="15"/>
      <c r="BJ186" s="15">
        <v>0</v>
      </c>
      <c r="BK186" s="15">
        <v>0</v>
      </c>
      <c r="BL186" s="15">
        <v>0</v>
      </c>
      <c r="BM186" s="15">
        <v>0</v>
      </c>
      <c r="BN186" s="15"/>
      <c r="BO186" s="15"/>
      <c r="BP186" s="15">
        <v>0</v>
      </c>
      <c r="BQ186" s="15">
        <v>448</v>
      </c>
    </row>
    <row r="187" spans="1:69">
      <c r="A187" s="16">
        <v>46064</v>
      </c>
      <c r="B187" s="15">
        <v>479</v>
      </c>
      <c r="C187" s="15" t="s">
        <v>39</v>
      </c>
      <c r="D187" s="15">
        <v>479</v>
      </c>
      <c r="E187" s="15" t="s">
        <v>39</v>
      </c>
      <c r="F187" s="15">
        <v>78</v>
      </c>
      <c r="G187" s="15">
        <v>30</v>
      </c>
      <c r="H187" s="15">
        <v>23.66</v>
      </c>
      <c r="I187" s="15">
        <v>0.38462</v>
      </c>
      <c r="J187" s="15">
        <v>0.79</v>
      </c>
      <c r="K187" s="15">
        <v>303.36</v>
      </c>
      <c r="L187" s="15">
        <v>0</v>
      </c>
      <c r="M187" s="15">
        <v>0</v>
      </c>
      <c r="N187" s="15">
        <v>0</v>
      </c>
      <c r="O187" s="15">
        <v>0</v>
      </c>
      <c r="P187" s="15">
        <v>0</v>
      </c>
      <c r="Q187" s="15">
        <v>0</v>
      </c>
      <c r="R187" s="15">
        <v>0</v>
      </c>
      <c r="S187" s="15">
        <v>288.64</v>
      </c>
      <c r="T187" s="15">
        <v>288.64</v>
      </c>
      <c r="U187" s="15">
        <v>1</v>
      </c>
      <c r="V187" s="15">
        <v>0</v>
      </c>
      <c r="W187" s="15">
        <v>1</v>
      </c>
      <c r="X187" s="15">
        <v>0.03333</v>
      </c>
      <c r="Y187" s="15">
        <v>12.2</v>
      </c>
      <c r="Z187" s="15">
        <v>12.2</v>
      </c>
      <c r="AA187" s="15">
        <v>23.66</v>
      </c>
      <c r="AB187" s="15">
        <v>8</v>
      </c>
      <c r="AC187" s="15">
        <v>0</v>
      </c>
      <c r="AD187" s="15">
        <v>8</v>
      </c>
      <c r="AE187" s="15">
        <v>0.26667</v>
      </c>
      <c r="AF187" s="15">
        <v>0</v>
      </c>
      <c r="AG187" s="15">
        <v>1</v>
      </c>
      <c r="AH187" s="15">
        <v>23.66</v>
      </c>
      <c r="AI187" s="15">
        <v>9</v>
      </c>
      <c r="AJ187" s="15">
        <v>2.63</v>
      </c>
      <c r="AK187" s="15">
        <v>8</v>
      </c>
      <c r="AL187" s="15">
        <v>2.96</v>
      </c>
      <c r="AM187" s="15">
        <v>1</v>
      </c>
      <c r="AN187" s="15"/>
      <c r="AO187" s="15">
        <v>0</v>
      </c>
      <c r="AP187" s="15">
        <v>2.96</v>
      </c>
      <c r="AQ187" s="15">
        <v>2</v>
      </c>
      <c r="AR187" s="15">
        <v>427</v>
      </c>
      <c r="AS187" s="15">
        <v>0</v>
      </c>
      <c r="AT187" s="15">
        <v>0</v>
      </c>
      <c r="AU187" s="15">
        <v>0</v>
      </c>
      <c r="AV187" s="15">
        <v>0</v>
      </c>
      <c r="AW187" s="15">
        <v>0</v>
      </c>
      <c r="AX187" s="15">
        <v>0</v>
      </c>
      <c r="AY187" s="15">
        <v>223</v>
      </c>
      <c r="AZ187" s="15">
        <v>28</v>
      </c>
      <c r="BA187" s="15">
        <v>24</v>
      </c>
      <c r="BB187" s="15">
        <v>0.85714</v>
      </c>
      <c r="BC187" s="15">
        <v>0</v>
      </c>
      <c r="BD187" s="15">
        <v>0</v>
      </c>
      <c r="BE187" s="15">
        <v>2.85897</v>
      </c>
      <c r="BF187" s="15">
        <v>192</v>
      </c>
      <c r="BG187" s="15">
        <v>8</v>
      </c>
      <c r="BH187" s="15">
        <v>1</v>
      </c>
      <c r="BI187" s="15">
        <v>1</v>
      </c>
      <c r="BJ187" s="15">
        <v>0</v>
      </c>
      <c r="BK187" s="15">
        <v>0</v>
      </c>
      <c r="BL187" s="15">
        <v>0</v>
      </c>
      <c r="BM187" s="15">
        <v>1</v>
      </c>
      <c r="BN187" s="15">
        <v>1</v>
      </c>
      <c r="BO187" s="15">
        <v>288.64</v>
      </c>
      <c r="BP187" s="15">
        <v>1.53</v>
      </c>
      <c r="BQ187" s="15">
        <v>477</v>
      </c>
    </row>
    <row r="188" spans="1:69">
      <c r="A188" s="16">
        <v>46063</v>
      </c>
      <c r="B188" s="15">
        <v>371</v>
      </c>
      <c r="C188" s="15" t="s">
        <v>32</v>
      </c>
      <c r="D188" s="15">
        <v>371</v>
      </c>
      <c r="E188" s="15" t="s">
        <v>32</v>
      </c>
      <c r="F188" s="15">
        <v>6010</v>
      </c>
      <c r="G188" s="15">
        <v>128</v>
      </c>
      <c r="H188" s="15">
        <v>38.92</v>
      </c>
      <c r="I188" s="15">
        <v>0.0213</v>
      </c>
      <c r="J188" s="15">
        <v>0.3</v>
      </c>
      <c r="K188" s="15">
        <v>6.48</v>
      </c>
      <c r="L188" s="15">
        <v>0</v>
      </c>
      <c r="M188" s="15">
        <v>0</v>
      </c>
      <c r="N188" s="15">
        <v>0</v>
      </c>
      <c r="O188" s="15">
        <v>0</v>
      </c>
      <c r="P188" s="15">
        <v>0</v>
      </c>
      <c r="Q188" s="15">
        <v>0</v>
      </c>
      <c r="R188" s="15">
        <v>0</v>
      </c>
      <c r="S188" s="15">
        <v>1232.5</v>
      </c>
      <c r="T188" s="15">
        <v>1232.5</v>
      </c>
      <c r="U188" s="15">
        <v>1</v>
      </c>
      <c r="V188" s="15">
        <v>0</v>
      </c>
      <c r="W188" s="15">
        <v>1</v>
      </c>
      <c r="X188" s="15">
        <v>0.00781</v>
      </c>
      <c r="Y188" s="15">
        <v>31.67</v>
      </c>
      <c r="Z188" s="15">
        <v>31.67</v>
      </c>
      <c r="AA188" s="15">
        <v>38.92</v>
      </c>
      <c r="AB188" s="15">
        <v>17</v>
      </c>
      <c r="AC188" s="15">
        <v>6</v>
      </c>
      <c r="AD188" s="15">
        <v>11</v>
      </c>
      <c r="AE188" s="15">
        <v>0.13281</v>
      </c>
      <c r="AF188" s="15">
        <v>0</v>
      </c>
      <c r="AG188" s="15">
        <v>0</v>
      </c>
      <c r="AH188" s="15"/>
      <c r="AI188" s="15">
        <v>17</v>
      </c>
      <c r="AJ188" s="15">
        <v>2.29</v>
      </c>
      <c r="AK188" s="15">
        <v>17</v>
      </c>
      <c r="AL188" s="15">
        <v>2.29</v>
      </c>
      <c r="AM188" s="15">
        <v>0</v>
      </c>
      <c r="AN188" s="15"/>
      <c r="AO188" s="15">
        <v>0</v>
      </c>
      <c r="AP188" s="15">
        <v>2.29</v>
      </c>
      <c r="AQ188" s="15">
        <v>2</v>
      </c>
      <c r="AR188" s="15">
        <v>1739</v>
      </c>
      <c r="AS188" s="15">
        <v>0</v>
      </c>
      <c r="AT188" s="15">
        <v>0</v>
      </c>
      <c r="AU188" s="15">
        <v>0</v>
      </c>
      <c r="AV188" s="15">
        <v>0</v>
      </c>
      <c r="AW188" s="15">
        <v>0</v>
      </c>
      <c r="AX188" s="15">
        <v>0</v>
      </c>
      <c r="AY188" s="15">
        <v>285</v>
      </c>
      <c r="AZ188" s="15">
        <v>162</v>
      </c>
      <c r="BA188" s="15">
        <v>154</v>
      </c>
      <c r="BB188" s="15">
        <v>0.95062</v>
      </c>
      <c r="BC188" s="15">
        <v>0</v>
      </c>
      <c r="BD188" s="15">
        <v>0</v>
      </c>
      <c r="BE188" s="15">
        <v>0.04742</v>
      </c>
      <c r="BF188" s="15">
        <v>110</v>
      </c>
      <c r="BG188" s="15">
        <v>2</v>
      </c>
      <c r="BH188" s="15">
        <v>1</v>
      </c>
      <c r="BI188" s="15">
        <v>1</v>
      </c>
      <c r="BJ188" s="15">
        <v>0</v>
      </c>
      <c r="BK188" s="15">
        <v>0</v>
      </c>
      <c r="BL188" s="15">
        <v>0</v>
      </c>
      <c r="BM188" s="15">
        <v>1</v>
      </c>
      <c r="BN188" s="15">
        <v>1</v>
      </c>
      <c r="BO188" s="15">
        <v>1232.5</v>
      </c>
      <c r="BP188" s="15">
        <v>0</v>
      </c>
      <c r="BQ188" s="15">
        <v>2134</v>
      </c>
    </row>
    <row r="189" spans="1:69">
      <c r="A189" s="16">
        <v>46063</v>
      </c>
      <c r="B189" s="15">
        <v>372</v>
      </c>
      <c r="C189" s="15" t="s">
        <v>37</v>
      </c>
      <c r="D189" s="15">
        <v>372</v>
      </c>
      <c r="E189" s="15" t="s">
        <v>61</v>
      </c>
      <c r="F189" s="15">
        <v>77</v>
      </c>
      <c r="G189" s="15">
        <v>2</v>
      </c>
      <c r="H189" s="15">
        <v>5.72</v>
      </c>
      <c r="I189" s="15">
        <v>0.02597</v>
      </c>
      <c r="J189" s="15">
        <v>2.86</v>
      </c>
      <c r="K189" s="15">
        <v>74.29</v>
      </c>
      <c r="L189" s="15">
        <v>0</v>
      </c>
      <c r="M189" s="15">
        <v>0</v>
      </c>
      <c r="N189" s="15">
        <v>0</v>
      </c>
      <c r="O189" s="15">
        <v>0</v>
      </c>
      <c r="P189" s="15">
        <v>0</v>
      </c>
      <c r="Q189" s="15">
        <v>0</v>
      </c>
      <c r="R189" s="15">
        <v>0</v>
      </c>
      <c r="S189" s="15">
        <v>0</v>
      </c>
      <c r="T189" s="15">
        <v>0</v>
      </c>
      <c r="U189" s="15">
        <v>0</v>
      </c>
      <c r="V189" s="15">
        <v>0</v>
      </c>
      <c r="W189" s="15">
        <v>0</v>
      </c>
      <c r="X189" s="15">
        <v>0</v>
      </c>
      <c r="Y189" s="15">
        <v>0</v>
      </c>
      <c r="Z189" s="15">
        <v>0</v>
      </c>
      <c r="AA189" s="15"/>
      <c r="AB189" s="15">
        <v>0</v>
      </c>
      <c r="AC189" s="15">
        <v>0</v>
      </c>
      <c r="AD189" s="15">
        <v>0</v>
      </c>
      <c r="AE189" s="15">
        <v>0</v>
      </c>
      <c r="AF189" s="15">
        <v>0</v>
      </c>
      <c r="AG189" s="15">
        <v>0</v>
      </c>
      <c r="AH189" s="15"/>
      <c r="AI189" s="15">
        <v>0</v>
      </c>
      <c r="AJ189" s="15"/>
      <c r="AK189" s="15">
        <v>0</v>
      </c>
      <c r="AL189" s="15"/>
      <c r="AM189" s="15">
        <v>0</v>
      </c>
      <c r="AN189" s="15"/>
      <c r="AO189" s="15">
        <v>0</v>
      </c>
      <c r="AP189" s="15"/>
      <c r="AQ189" s="15">
        <v>0</v>
      </c>
      <c r="AR189" s="15">
        <v>0</v>
      </c>
      <c r="AS189" s="15">
        <v>0</v>
      </c>
      <c r="AT189" s="15">
        <v>0</v>
      </c>
      <c r="AU189" s="15">
        <v>0</v>
      </c>
      <c r="AV189" s="15">
        <v>0</v>
      </c>
      <c r="AW189" s="15">
        <v>0</v>
      </c>
      <c r="AX189" s="15">
        <v>0</v>
      </c>
      <c r="AY189" s="15">
        <v>11</v>
      </c>
      <c r="AZ189" s="15">
        <v>2</v>
      </c>
      <c r="BA189" s="15">
        <v>2</v>
      </c>
      <c r="BB189" s="15">
        <v>1</v>
      </c>
      <c r="BC189" s="15">
        <v>0</v>
      </c>
      <c r="BD189" s="15">
        <v>0</v>
      </c>
      <c r="BE189" s="15">
        <v>0.14286</v>
      </c>
      <c r="BF189" s="15">
        <v>9</v>
      </c>
      <c r="BG189" s="15">
        <v>6</v>
      </c>
      <c r="BH189" s="15">
        <v>0</v>
      </c>
      <c r="BI189" s="15"/>
      <c r="BJ189" s="15">
        <v>0</v>
      </c>
      <c r="BK189" s="15">
        <v>0</v>
      </c>
      <c r="BL189" s="15">
        <v>0</v>
      </c>
      <c r="BM189" s="15">
        <v>0</v>
      </c>
      <c r="BN189" s="15"/>
      <c r="BO189" s="15"/>
      <c r="BP189" s="15">
        <v>0</v>
      </c>
      <c r="BQ189" s="15">
        <v>1</v>
      </c>
    </row>
    <row r="190" spans="1:69">
      <c r="A190" s="16">
        <v>46063</v>
      </c>
      <c r="B190" s="15">
        <v>436</v>
      </c>
      <c r="C190" s="15" t="s">
        <v>38</v>
      </c>
      <c r="D190" s="15">
        <v>436</v>
      </c>
      <c r="E190" s="15" t="s">
        <v>38</v>
      </c>
      <c r="F190" s="15">
        <v>946</v>
      </c>
      <c r="G190" s="15">
        <v>40</v>
      </c>
      <c r="H190" s="15">
        <v>80</v>
      </c>
      <c r="I190" s="15">
        <v>0.04228</v>
      </c>
      <c r="J190" s="15">
        <v>2</v>
      </c>
      <c r="K190" s="15">
        <v>84.57</v>
      </c>
      <c r="L190" s="15">
        <v>0</v>
      </c>
      <c r="M190" s="15">
        <v>0</v>
      </c>
      <c r="N190" s="15">
        <v>0</v>
      </c>
      <c r="O190" s="15">
        <v>0</v>
      </c>
      <c r="P190" s="15">
        <v>0</v>
      </c>
      <c r="Q190" s="15">
        <v>0</v>
      </c>
      <c r="R190" s="15">
        <v>172.48</v>
      </c>
      <c r="S190" s="15">
        <v>70.84</v>
      </c>
      <c r="T190" s="15">
        <v>243.32</v>
      </c>
      <c r="U190" s="15">
        <v>3</v>
      </c>
      <c r="V190" s="15">
        <v>1</v>
      </c>
      <c r="W190" s="15">
        <v>2</v>
      </c>
      <c r="X190" s="15">
        <v>0.075</v>
      </c>
      <c r="Y190" s="15">
        <v>3.04</v>
      </c>
      <c r="Z190" s="15">
        <v>3.04</v>
      </c>
      <c r="AA190" s="15">
        <v>26.67</v>
      </c>
      <c r="AB190" s="15">
        <v>5</v>
      </c>
      <c r="AC190" s="15">
        <v>1</v>
      </c>
      <c r="AD190" s="15">
        <v>4</v>
      </c>
      <c r="AE190" s="15">
        <v>0.125</v>
      </c>
      <c r="AF190" s="15">
        <v>3</v>
      </c>
      <c r="AG190" s="15">
        <v>0</v>
      </c>
      <c r="AH190" s="15"/>
      <c r="AI190" s="15">
        <v>8</v>
      </c>
      <c r="AJ190" s="15">
        <v>10</v>
      </c>
      <c r="AK190" s="15">
        <v>8</v>
      </c>
      <c r="AL190" s="15">
        <v>10</v>
      </c>
      <c r="AM190" s="15">
        <v>3</v>
      </c>
      <c r="AN190" s="15">
        <v>26.67</v>
      </c>
      <c r="AO190" s="15">
        <v>0.075</v>
      </c>
      <c r="AP190" s="15">
        <v>16</v>
      </c>
      <c r="AQ190" s="15">
        <v>5</v>
      </c>
      <c r="AR190" s="15">
        <v>395.6</v>
      </c>
      <c r="AS190" s="15">
        <v>1</v>
      </c>
      <c r="AT190" s="15">
        <v>2</v>
      </c>
      <c r="AU190" s="15">
        <v>0</v>
      </c>
      <c r="AV190" s="15">
        <v>0</v>
      </c>
      <c r="AW190" s="15">
        <v>0</v>
      </c>
      <c r="AX190" s="15">
        <v>0</v>
      </c>
      <c r="AY190" s="15">
        <v>118</v>
      </c>
      <c r="AZ190" s="15">
        <v>37</v>
      </c>
      <c r="BA190" s="15">
        <v>29</v>
      </c>
      <c r="BB190" s="15">
        <v>0.78378</v>
      </c>
      <c r="BC190" s="15">
        <v>0</v>
      </c>
      <c r="BD190" s="15">
        <v>0</v>
      </c>
      <c r="BE190" s="15">
        <v>0.12474</v>
      </c>
      <c r="BF190" s="15">
        <v>76</v>
      </c>
      <c r="BG190" s="15">
        <v>3</v>
      </c>
      <c r="BH190" s="15">
        <v>2</v>
      </c>
      <c r="BI190" s="15">
        <v>1</v>
      </c>
      <c r="BJ190" s="15">
        <v>0</v>
      </c>
      <c r="BK190" s="15">
        <v>0</v>
      </c>
      <c r="BL190" s="15">
        <v>0</v>
      </c>
      <c r="BM190" s="15">
        <v>2</v>
      </c>
      <c r="BN190" s="15">
        <v>2</v>
      </c>
      <c r="BO190" s="15">
        <v>121.66</v>
      </c>
      <c r="BP190" s="15">
        <v>21.62</v>
      </c>
      <c r="BQ190" s="15">
        <v>1222</v>
      </c>
    </row>
    <row r="191" spans="1:69">
      <c r="A191" s="16">
        <v>46063</v>
      </c>
      <c r="B191" s="15">
        <v>183</v>
      </c>
      <c r="C191" s="15" t="s">
        <v>40</v>
      </c>
      <c r="D191" s="15">
        <v>183</v>
      </c>
      <c r="E191" s="15" t="s">
        <v>40</v>
      </c>
      <c r="F191" s="15">
        <v>1160</v>
      </c>
      <c r="G191" s="15">
        <v>52</v>
      </c>
      <c r="H191" s="15">
        <v>100</v>
      </c>
      <c r="I191" s="15">
        <v>0.04483</v>
      </c>
      <c r="J191" s="15">
        <v>1.92</v>
      </c>
      <c r="K191" s="15">
        <v>86.21</v>
      </c>
      <c r="L191" s="15">
        <v>0</v>
      </c>
      <c r="M191" s="15">
        <v>0</v>
      </c>
      <c r="N191" s="15">
        <v>0</v>
      </c>
      <c r="O191" s="15">
        <v>0</v>
      </c>
      <c r="P191" s="15">
        <v>0</v>
      </c>
      <c r="Q191" s="15">
        <v>0</v>
      </c>
      <c r="R191" s="15">
        <v>0</v>
      </c>
      <c r="S191" s="15">
        <v>882.3</v>
      </c>
      <c r="T191" s="15">
        <v>882.3</v>
      </c>
      <c r="U191" s="15">
        <v>1</v>
      </c>
      <c r="V191" s="15">
        <v>0</v>
      </c>
      <c r="W191" s="15">
        <v>1</v>
      </c>
      <c r="X191" s="15">
        <v>0.01923</v>
      </c>
      <c r="Y191" s="15">
        <v>8.82</v>
      </c>
      <c r="Z191" s="15">
        <v>8.82</v>
      </c>
      <c r="AA191" s="15">
        <v>100</v>
      </c>
      <c r="AB191" s="15">
        <v>2</v>
      </c>
      <c r="AC191" s="15">
        <v>1</v>
      </c>
      <c r="AD191" s="15">
        <v>1</v>
      </c>
      <c r="AE191" s="15">
        <v>0.03846</v>
      </c>
      <c r="AF191" s="15">
        <v>2</v>
      </c>
      <c r="AG191" s="15">
        <v>0</v>
      </c>
      <c r="AH191" s="15"/>
      <c r="AI191" s="15">
        <v>4</v>
      </c>
      <c r="AJ191" s="15">
        <v>25</v>
      </c>
      <c r="AK191" s="15">
        <v>4</v>
      </c>
      <c r="AL191" s="15">
        <v>25</v>
      </c>
      <c r="AM191" s="15">
        <v>2</v>
      </c>
      <c r="AN191" s="15">
        <v>50</v>
      </c>
      <c r="AO191" s="15">
        <v>0.03846</v>
      </c>
      <c r="AP191" s="15">
        <v>50</v>
      </c>
      <c r="AQ191" s="15">
        <v>2</v>
      </c>
      <c r="AR191" s="15">
        <v>1146</v>
      </c>
      <c r="AS191" s="15">
        <v>1</v>
      </c>
      <c r="AT191" s="15">
        <v>1</v>
      </c>
      <c r="AU191" s="15">
        <v>0</v>
      </c>
      <c r="AV191" s="15">
        <v>0</v>
      </c>
      <c r="AW191" s="15">
        <v>0</v>
      </c>
      <c r="AX191" s="15">
        <v>0</v>
      </c>
      <c r="AY191" s="15">
        <v>314</v>
      </c>
      <c r="AZ191" s="15">
        <v>104</v>
      </c>
      <c r="BA191" s="15">
        <v>79</v>
      </c>
      <c r="BB191" s="15">
        <v>0.75962</v>
      </c>
      <c r="BC191" s="15">
        <v>0</v>
      </c>
      <c r="BD191" s="15">
        <v>0</v>
      </c>
      <c r="BE191" s="15">
        <v>0.27069</v>
      </c>
      <c r="BF191" s="15">
        <v>159</v>
      </c>
      <c r="BG191" s="15">
        <v>3</v>
      </c>
      <c r="BH191" s="15">
        <v>0</v>
      </c>
      <c r="BI191" s="15">
        <v>0</v>
      </c>
      <c r="BJ191" s="15">
        <v>0</v>
      </c>
      <c r="BK191" s="15">
        <v>0</v>
      </c>
      <c r="BL191" s="15">
        <v>0</v>
      </c>
      <c r="BM191" s="15">
        <v>1</v>
      </c>
      <c r="BN191" s="15">
        <v>1</v>
      </c>
      <c r="BO191" s="15">
        <v>882.3</v>
      </c>
      <c r="BP191" s="15">
        <v>0</v>
      </c>
      <c r="BQ191" s="15">
        <v>291</v>
      </c>
    </row>
    <row r="192" spans="1:69">
      <c r="A192" s="16">
        <v>46063</v>
      </c>
      <c r="B192" s="15">
        <v>479</v>
      </c>
      <c r="C192" s="15" t="s">
        <v>39</v>
      </c>
      <c r="D192" s="15">
        <v>479</v>
      </c>
      <c r="E192" s="15" t="s">
        <v>39</v>
      </c>
      <c r="F192" s="15">
        <v>113</v>
      </c>
      <c r="G192" s="15">
        <v>41</v>
      </c>
      <c r="H192" s="15">
        <v>34.91</v>
      </c>
      <c r="I192" s="15">
        <v>0.36283</v>
      </c>
      <c r="J192" s="15">
        <v>0.85</v>
      </c>
      <c r="K192" s="15">
        <v>308.98</v>
      </c>
      <c r="L192" s="15">
        <v>0</v>
      </c>
      <c r="M192" s="15">
        <v>0</v>
      </c>
      <c r="N192" s="15">
        <v>0</v>
      </c>
      <c r="O192" s="15">
        <v>0</v>
      </c>
      <c r="P192" s="15">
        <v>0</v>
      </c>
      <c r="Q192" s="15">
        <v>0</v>
      </c>
      <c r="R192" s="15">
        <v>0</v>
      </c>
      <c r="S192" s="15">
        <v>0</v>
      </c>
      <c r="T192" s="15">
        <v>0</v>
      </c>
      <c r="U192" s="15">
        <v>0</v>
      </c>
      <c r="V192" s="15">
        <v>0</v>
      </c>
      <c r="W192" s="15">
        <v>0</v>
      </c>
      <c r="X192" s="15">
        <v>0</v>
      </c>
      <c r="Y192" s="15">
        <v>0</v>
      </c>
      <c r="Z192" s="15">
        <v>0</v>
      </c>
      <c r="AA192" s="15"/>
      <c r="AB192" s="15">
        <v>6</v>
      </c>
      <c r="AC192" s="15">
        <v>0</v>
      </c>
      <c r="AD192" s="15">
        <v>6</v>
      </c>
      <c r="AE192" s="15">
        <v>0.14634</v>
      </c>
      <c r="AF192" s="15">
        <v>1</v>
      </c>
      <c r="AG192" s="15">
        <v>0</v>
      </c>
      <c r="AH192" s="15"/>
      <c r="AI192" s="15">
        <v>7</v>
      </c>
      <c r="AJ192" s="15">
        <v>4.99</v>
      </c>
      <c r="AK192" s="15">
        <v>7</v>
      </c>
      <c r="AL192" s="15">
        <v>4.99</v>
      </c>
      <c r="AM192" s="15">
        <v>1</v>
      </c>
      <c r="AN192" s="15">
        <v>34.91</v>
      </c>
      <c r="AO192" s="15">
        <v>0.02439</v>
      </c>
      <c r="AP192" s="15">
        <v>5.82</v>
      </c>
      <c r="AQ192" s="15">
        <v>0</v>
      </c>
      <c r="AR192" s="15">
        <v>0</v>
      </c>
      <c r="AS192" s="15">
        <v>0</v>
      </c>
      <c r="AT192" s="15">
        <v>1</v>
      </c>
      <c r="AU192" s="15">
        <v>0</v>
      </c>
      <c r="AV192" s="15">
        <v>0</v>
      </c>
      <c r="AW192" s="15">
        <v>0</v>
      </c>
      <c r="AX192" s="15">
        <v>0</v>
      </c>
      <c r="AY192" s="15">
        <v>401</v>
      </c>
      <c r="AZ192" s="15">
        <v>32</v>
      </c>
      <c r="BA192" s="15">
        <v>24</v>
      </c>
      <c r="BB192" s="15">
        <v>0.75</v>
      </c>
      <c r="BC192" s="15">
        <v>0</v>
      </c>
      <c r="BD192" s="15">
        <v>0</v>
      </c>
      <c r="BE192" s="15">
        <v>3.54867</v>
      </c>
      <c r="BF192" s="15">
        <v>359</v>
      </c>
      <c r="BG192" s="15">
        <v>13</v>
      </c>
      <c r="BH192" s="15">
        <v>0</v>
      </c>
      <c r="BI192" s="15"/>
      <c r="BJ192" s="15">
        <v>0</v>
      </c>
      <c r="BK192" s="15">
        <v>0</v>
      </c>
      <c r="BL192" s="15">
        <v>0</v>
      </c>
      <c r="BM192" s="15">
        <v>0</v>
      </c>
      <c r="BN192" s="15"/>
      <c r="BO192" s="15"/>
      <c r="BP192" s="15">
        <v>0.39</v>
      </c>
      <c r="BQ192" s="15">
        <v>291</v>
      </c>
    </row>
    <row r="193" spans="1:69">
      <c r="A193" s="16">
        <v>46062</v>
      </c>
      <c r="B193" s="15">
        <v>479</v>
      </c>
      <c r="C193" s="15" t="s">
        <v>39</v>
      </c>
      <c r="D193" s="15">
        <v>479</v>
      </c>
      <c r="E193" s="15" t="s">
        <v>39</v>
      </c>
      <c r="F193" s="15">
        <v>71</v>
      </c>
      <c r="G193" s="15">
        <v>29</v>
      </c>
      <c r="H193" s="15">
        <v>20.18</v>
      </c>
      <c r="I193" s="15">
        <v>0.40845</v>
      </c>
      <c r="J193" s="15">
        <v>0.7</v>
      </c>
      <c r="K193" s="15">
        <v>284.23</v>
      </c>
      <c r="L193" s="15">
        <v>0</v>
      </c>
      <c r="M193" s="15">
        <v>0</v>
      </c>
      <c r="N193" s="15">
        <v>0</v>
      </c>
      <c r="O193" s="15">
        <v>0</v>
      </c>
      <c r="P193" s="15">
        <v>0</v>
      </c>
      <c r="Q193" s="15">
        <v>0</v>
      </c>
      <c r="R193" s="15">
        <v>0</v>
      </c>
      <c r="S193" s="15">
        <v>0</v>
      </c>
      <c r="T193" s="15">
        <v>0</v>
      </c>
      <c r="U193" s="15">
        <v>0</v>
      </c>
      <c r="V193" s="15">
        <v>0</v>
      </c>
      <c r="W193" s="15">
        <v>0</v>
      </c>
      <c r="X193" s="15">
        <v>0</v>
      </c>
      <c r="Y193" s="15">
        <v>0</v>
      </c>
      <c r="Z193" s="15">
        <v>0</v>
      </c>
      <c r="AA193" s="15"/>
      <c r="AB193" s="15">
        <v>4</v>
      </c>
      <c r="AC193" s="15">
        <v>0</v>
      </c>
      <c r="AD193" s="15">
        <v>4</v>
      </c>
      <c r="AE193" s="15">
        <v>0.13793</v>
      </c>
      <c r="AF193" s="15">
        <v>2</v>
      </c>
      <c r="AG193" s="15">
        <v>2</v>
      </c>
      <c r="AH193" s="15">
        <v>10.09</v>
      </c>
      <c r="AI193" s="15">
        <v>8</v>
      </c>
      <c r="AJ193" s="15">
        <v>2.52</v>
      </c>
      <c r="AK193" s="15">
        <v>6</v>
      </c>
      <c r="AL193" s="15">
        <v>3.36</v>
      </c>
      <c r="AM193" s="15">
        <v>4</v>
      </c>
      <c r="AN193" s="15">
        <v>10.09</v>
      </c>
      <c r="AO193" s="15">
        <v>0.06897</v>
      </c>
      <c r="AP193" s="15">
        <v>5.05</v>
      </c>
      <c r="AQ193" s="15">
        <v>0</v>
      </c>
      <c r="AR193" s="15">
        <v>0</v>
      </c>
      <c r="AS193" s="15">
        <v>0</v>
      </c>
      <c r="AT193" s="15">
        <v>2</v>
      </c>
      <c r="AU193" s="15">
        <v>0</v>
      </c>
      <c r="AV193" s="15">
        <v>0</v>
      </c>
      <c r="AW193" s="15">
        <v>0</v>
      </c>
      <c r="AX193" s="15">
        <v>5</v>
      </c>
      <c r="AY193" s="15">
        <v>259</v>
      </c>
      <c r="AZ193" s="15">
        <v>25</v>
      </c>
      <c r="BA193" s="15">
        <v>18</v>
      </c>
      <c r="BB193" s="15">
        <v>0.72</v>
      </c>
      <c r="BC193" s="15">
        <v>0</v>
      </c>
      <c r="BD193" s="15">
        <v>0</v>
      </c>
      <c r="BE193" s="15">
        <v>3.64789</v>
      </c>
      <c r="BF193" s="15">
        <v>228</v>
      </c>
      <c r="BG193" s="15">
        <v>10</v>
      </c>
      <c r="BH193" s="15">
        <v>0</v>
      </c>
      <c r="BI193" s="15"/>
      <c r="BJ193" s="15">
        <v>0</v>
      </c>
      <c r="BK193" s="15">
        <v>0</v>
      </c>
      <c r="BL193" s="15">
        <v>0</v>
      </c>
      <c r="BM193" s="15">
        <v>0</v>
      </c>
      <c r="BN193" s="15"/>
      <c r="BO193" s="15"/>
      <c r="BP193" s="15">
        <v>0</v>
      </c>
      <c r="BQ193" s="15">
        <v>131</v>
      </c>
    </row>
    <row r="194" spans="1:69">
      <c r="A194" s="16">
        <v>46062</v>
      </c>
      <c r="B194" s="15">
        <v>372</v>
      </c>
      <c r="C194" s="15" t="s">
        <v>37</v>
      </c>
      <c r="D194" s="15">
        <v>372</v>
      </c>
      <c r="E194" s="15" t="s">
        <v>61</v>
      </c>
      <c r="F194" s="15">
        <v>197</v>
      </c>
      <c r="G194" s="15">
        <v>12</v>
      </c>
      <c r="H194" s="15">
        <v>30.96</v>
      </c>
      <c r="I194" s="15">
        <v>0.06091</v>
      </c>
      <c r="J194" s="15">
        <v>2.58</v>
      </c>
      <c r="K194" s="15">
        <v>157.16</v>
      </c>
      <c r="L194" s="15">
        <v>0</v>
      </c>
      <c r="M194" s="15">
        <v>0</v>
      </c>
      <c r="N194" s="15">
        <v>0</v>
      </c>
      <c r="O194" s="15">
        <v>0</v>
      </c>
      <c r="P194" s="15">
        <v>0</v>
      </c>
      <c r="Q194" s="15">
        <v>0</v>
      </c>
      <c r="R194" s="15">
        <v>0</v>
      </c>
      <c r="S194" s="15">
        <v>0</v>
      </c>
      <c r="T194" s="15">
        <v>0</v>
      </c>
      <c r="U194" s="15">
        <v>0</v>
      </c>
      <c r="V194" s="15">
        <v>0</v>
      </c>
      <c r="W194" s="15">
        <v>0</v>
      </c>
      <c r="X194" s="15">
        <v>0</v>
      </c>
      <c r="Y194" s="15">
        <v>0</v>
      </c>
      <c r="Z194" s="15">
        <v>0</v>
      </c>
      <c r="AA194" s="15"/>
      <c r="AB194" s="15">
        <v>0</v>
      </c>
      <c r="AC194" s="15">
        <v>0</v>
      </c>
      <c r="AD194" s="15">
        <v>0</v>
      </c>
      <c r="AE194" s="15">
        <v>0</v>
      </c>
      <c r="AF194" s="15">
        <v>0</v>
      </c>
      <c r="AG194" s="15">
        <v>1</v>
      </c>
      <c r="AH194" s="15">
        <v>30.96</v>
      </c>
      <c r="AI194" s="15">
        <v>1</v>
      </c>
      <c r="AJ194" s="15">
        <v>30.96</v>
      </c>
      <c r="AK194" s="15">
        <v>0</v>
      </c>
      <c r="AL194" s="15"/>
      <c r="AM194" s="15">
        <v>1</v>
      </c>
      <c r="AN194" s="15"/>
      <c r="AO194" s="15">
        <v>0</v>
      </c>
      <c r="AP194" s="15"/>
      <c r="AQ194" s="15">
        <v>0</v>
      </c>
      <c r="AR194" s="15">
        <v>0</v>
      </c>
      <c r="AS194" s="15">
        <v>0</v>
      </c>
      <c r="AT194" s="15">
        <v>0</v>
      </c>
      <c r="AU194" s="15">
        <v>0</v>
      </c>
      <c r="AV194" s="15">
        <v>0</v>
      </c>
      <c r="AW194" s="15">
        <v>0</v>
      </c>
      <c r="AX194" s="15">
        <v>0</v>
      </c>
      <c r="AY194" s="15">
        <v>29</v>
      </c>
      <c r="AZ194" s="15">
        <v>9</v>
      </c>
      <c r="BA194" s="15">
        <v>6</v>
      </c>
      <c r="BB194" s="15">
        <v>0.66667</v>
      </c>
      <c r="BC194" s="15">
        <v>0</v>
      </c>
      <c r="BD194" s="15">
        <v>0</v>
      </c>
      <c r="BE194" s="15">
        <v>0.14721</v>
      </c>
      <c r="BF194" s="15">
        <v>15</v>
      </c>
      <c r="BG194" s="15">
        <v>3</v>
      </c>
      <c r="BH194" s="15">
        <v>0</v>
      </c>
      <c r="BI194" s="15"/>
      <c r="BJ194" s="15">
        <v>0</v>
      </c>
      <c r="BK194" s="15">
        <v>0</v>
      </c>
      <c r="BL194" s="15">
        <v>0</v>
      </c>
      <c r="BM194" s="15">
        <v>0</v>
      </c>
      <c r="BN194" s="15"/>
      <c r="BO194" s="15"/>
      <c r="BP194" s="15">
        <v>0</v>
      </c>
      <c r="BQ194" s="15">
        <v>3</v>
      </c>
    </row>
    <row r="195" spans="1:69">
      <c r="A195" s="16">
        <v>46062</v>
      </c>
      <c r="B195" s="15">
        <v>183</v>
      </c>
      <c r="C195" s="15" t="s">
        <v>40</v>
      </c>
      <c r="D195" s="15">
        <v>183</v>
      </c>
      <c r="E195" s="15" t="s">
        <v>40</v>
      </c>
      <c r="F195" s="15">
        <v>759</v>
      </c>
      <c r="G195" s="15">
        <v>41</v>
      </c>
      <c r="H195" s="15">
        <v>100</v>
      </c>
      <c r="I195" s="15">
        <v>0.05402</v>
      </c>
      <c r="J195" s="15">
        <v>2.44</v>
      </c>
      <c r="K195" s="15">
        <v>131.75</v>
      </c>
      <c r="L195" s="15">
        <v>0</v>
      </c>
      <c r="M195" s="15">
        <v>0</v>
      </c>
      <c r="N195" s="15">
        <v>0</v>
      </c>
      <c r="O195" s="15">
        <v>0</v>
      </c>
      <c r="P195" s="15">
        <v>0</v>
      </c>
      <c r="Q195" s="15">
        <v>0</v>
      </c>
      <c r="R195" s="15">
        <v>0</v>
      </c>
      <c r="S195" s="15">
        <v>0</v>
      </c>
      <c r="T195" s="15">
        <v>0</v>
      </c>
      <c r="U195" s="15">
        <v>0</v>
      </c>
      <c r="V195" s="15">
        <v>0</v>
      </c>
      <c r="W195" s="15">
        <v>0</v>
      </c>
      <c r="X195" s="15">
        <v>0</v>
      </c>
      <c r="Y195" s="15">
        <v>0</v>
      </c>
      <c r="Z195" s="15">
        <v>0</v>
      </c>
      <c r="AA195" s="15"/>
      <c r="AB195" s="15">
        <v>4</v>
      </c>
      <c r="AC195" s="15">
        <v>3</v>
      </c>
      <c r="AD195" s="15">
        <v>1</v>
      </c>
      <c r="AE195" s="15">
        <v>0.09756</v>
      </c>
      <c r="AF195" s="15">
        <v>1</v>
      </c>
      <c r="AG195" s="15">
        <v>0</v>
      </c>
      <c r="AH195" s="15"/>
      <c r="AI195" s="15">
        <v>5</v>
      </c>
      <c r="AJ195" s="15">
        <v>20</v>
      </c>
      <c r="AK195" s="15">
        <v>5</v>
      </c>
      <c r="AL195" s="15">
        <v>20</v>
      </c>
      <c r="AM195" s="15">
        <v>1</v>
      </c>
      <c r="AN195" s="15">
        <v>100</v>
      </c>
      <c r="AO195" s="15">
        <v>0.02439</v>
      </c>
      <c r="AP195" s="15">
        <v>25</v>
      </c>
      <c r="AQ195" s="15">
        <v>0</v>
      </c>
      <c r="AR195" s="15">
        <v>0</v>
      </c>
      <c r="AS195" s="15">
        <v>1</v>
      </c>
      <c r="AT195" s="15">
        <v>0</v>
      </c>
      <c r="AU195" s="15">
        <v>0</v>
      </c>
      <c r="AV195" s="15">
        <v>0</v>
      </c>
      <c r="AW195" s="15">
        <v>0</v>
      </c>
      <c r="AX195" s="15">
        <v>0</v>
      </c>
      <c r="AY195" s="15">
        <v>252</v>
      </c>
      <c r="AZ195" s="15">
        <v>66</v>
      </c>
      <c r="BA195" s="15">
        <v>43</v>
      </c>
      <c r="BB195" s="15">
        <v>0.65152</v>
      </c>
      <c r="BC195" s="15">
        <v>0</v>
      </c>
      <c r="BD195" s="15">
        <v>0</v>
      </c>
      <c r="BE195" s="15">
        <v>0.33202</v>
      </c>
      <c r="BF195" s="15">
        <v>151</v>
      </c>
      <c r="BG195" s="15">
        <v>4</v>
      </c>
      <c r="BH195" s="15">
        <v>0</v>
      </c>
      <c r="BI195" s="15"/>
      <c r="BJ195" s="15">
        <v>0</v>
      </c>
      <c r="BK195" s="15">
        <v>0</v>
      </c>
      <c r="BL195" s="15">
        <v>0</v>
      </c>
      <c r="BM195" s="15">
        <v>0</v>
      </c>
      <c r="BN195" s="15"/>
      <c r="BO195" s="15"/>
      <c r="BP195" s="15">
        <v>0.28</v>
      </c>
      <c r="BQ195" s="15">
        <v>128</v>
      </c>
    </row>
    <row r="196" spans="1:69">
      <c r="A196" s="16">
        <v>46062</v>
      </c>
      <c r="B196" s="15">
        <v>436</v>
      </c>
      <c r="C196" s="15" t="s">
        <v>38</v>
      </c>
      <c r="D196" s="15">
        <v>436</v>
      </c>
      <c r="E196" s="15" t="s">
        <v>38</v>
      </c>
      <c r="F196" s="15">
        <v>948</v>
      </c>
      <c r="G196" s="15">
        <v>31</v>
      </c>
      <c r="H196" s="15">
        <v>80</v>
      </c>
      <c r="I196" s="15">
        <v>0.0327</v>
      </c>
      <c r="J196" s="15">
        <v>2.58</v>
      </c>
      <c r="K196" s="15">
        <v>84.39</v>
      </c>
      <c r="L196" s="15">
        <v>0</v>
      </c>
      <c r="M196" s="15">
        <v>0</v>
      </c>
      <c r="N196" s="15">
        <v>0</v>
      </c>
      <c r="O196" s="15">
        <v>0</v>
      </c>
      <c r="P196" s="15">
        <v>0</v>
      </c>
      <c r="Q196" s="15">
        <v>0</v>
      </c>
      <c r="R196" s="15">
        <v>0</v>
      </c>
      <c r="S196" s="15">
        <v>0</v>
      </c>
      <c r="T196" s="15">
        <v>0</v>
      </c>
      <c r="U196" s="15">
        <v>0</v>
      </c>
      <c r="V196" s="15">
        <v>0</v>
      </c>
      <c r="W196" s="15">
        <v>0</v>
      </c>
      <c r="X196" s="15">
        <v>0</v>
      </c>
      <c r="Y196" s="15">
        <v>0</v>
      </c>
      <c r="Z196" s="15">
        <v>0</v>
      </c>
      <c r="AA196" s="15"/>
      <c r="AB196" s="15">
        <v>1</v>
      </c>
      <c r="AC196" s="15">
        <v>1</v>
      </c>
      <c r="AD196" s="15">
        <v>0</v>
      </c>
      <c r="AE196" s="15">
        <v>0.03226</v>
      </c>
      <c r="AF196" s="15">
        <v>1</v>
      </c>
      <c r="AG196" s="15">
        <v>0</v>
      </c>
      <c r="AH196" s="15"/>
      <c r="AI196" s="15">
        <v>2</v>
      </c>
      <c r="AJ196" s="15">
        <v>40</v>
      </c>
      <c r="AK196" s="15">
        <v>2</v>
      </c>
      <c r="AL196" s="15">
        <v>40</v>
      </c>
      <c r="AM196" s="15">
        <v>1</v>
      </c>
      <c r="AN196" s="15">
        <v>80</v>
      </c>
      <c r="AO196" s="15">
        <v>0.03226</v>
      </c>
      <c r="AP196" s="15">
        <v>80</v>
      </c>
      <c r="AQ196" s="15">
        <v>0</v>
      </c>
      <c r="AR196" s="15">
        <v>0</v>
      </c>
      <c r="AS196" s="15">
        <v>1</v>
      </c>
      <c r="AT196" s="15">
        <v>0</v>
      </c>
      <c r="AU196" s="15">
        <v>0</v>
      </c>
      <c r="AV196" s="15">
        <v>0</v>
      </c>
      <c r="AW196" s="15">
        <v>0</v>
      </c>
      <c r="AX196" s="15">
        <v>0</v>
      </c>
      <c r="AY196" s="15">
        <v>59</v>
      </c>
      <c r="AZ196" s="15">
        <v>28</v>
      </c>
      <c r="BA196" s="15">
        <v>19</v>
      </c>
      <c r="BB196" s="15">
        <v>0.67857</v>
      </c>
      <c r="BC196" s="15">
        <v>0</v>
      </c>
      <c r="BD196" s="15">
        <v>0</v>
      </c>
      <c r="BE196" s="15">
        <v>0.06224</v>
      </c>
      <c r="BF196" s="15">
        <v>22</v>
      </c>
      <c r="BG196" s="15">
        <v>2</v>
      </c>
      <c r="BH196" s="15">
        <v>0</v>
      </c>
      <c r="BI196" s="15"/>
      <c r="BJ196" s="15">
        <v>0</v>
      </c>
      <c r="BK196" s="15">
        <v>0</v>
      </c>
      <c r="BL196" s="15">
        <v>0</v>
      </c>
      <c r="BM196" s="15">
        <v>0</v>
      </c>
      <c r="BN196" s="15"/>
      <c r="BO196" s="15"/>
      <c r="BP196" s="15">
        <v>78.08</v>
      </c>
      <c r="BQ196" s="15">
        <v>275</v>
      </c>
    </row>
    <row r="197" spans="1:69">
      <c r="A197" s="16">
        <v>46062</v>
      </c>
      <c r="B197" s="15">
        <v>371</v>
      </c>
      <c r="C197" s="15" t="s">
        <v>32</v>
      </c>
      <c r="D197" s="15">
        <v>371</v>
      </c>
      <c r="E197" s="15" t="s">
        <v>32</v>
      </c>
      <c r="F197" s="15">
        <v>3719</v>
      </c>
      <c r="G197" s="15">
        <v>104</v>
      </c>
      <c r="H197" s="15">
        <v>31.78</v>
      </c>
      <c r="I197" s="15">
        <v>0.02796</v>
      </c>
      <c r="J197" s="15">
        <v>0.31</v>
      </c>
      <c r="K197" s="15">
        <v>8.55</v>
      </c>
      <c r="L197" s="15">
        <v>0</v>
      </c>
      <c r="M197" s="15">
        <v>0</v>
      </c>
      <c r="N197" s="15">
        <v>0</v>
      </c>
      <c r="O197" s="15">
        <v>0</v>
      </c>
      <c r="P197" s="15">
        <v>0</v>
      </c>
      <c r="Q197" s="15">
        <v>0</v>
      </c>
      <c r="R197" s="15">
        <v>0</v>
      </c>
      <c r="S197" s="15">
        <v>0</v>
      </c>
      <c r="T197" s="15">
        <v>0</v>
      </c>
      <c r="U197" s="15">
        <v>0</v>
      </c>
      <c r="V197" s="15">
        <v>0</v>
      </c>
      <c r="W197" s="15">
        <v>0</v>
      </c>
      <c r="X197" s="15">
        <v>0</v>
      </c>
      <c r="Y197" s="15">
        <v>0</v>
      </c>
      <c r="Z197" s="15">
        <v>0</v>
      </c>
      <c r="AA197" s="15"/>
      <c r="AB197" s="15">
        <v>1</v>
      </c>
      <c r="AC197" s="15">
        <v>0</v>
      </c>
      <c r="AD197" s="15">
        <v>1</v>
      </c>
      <c r="AE197" s="15">
        <v>0.00962</v>
      </c>
      <c r="AF197" s="15">
        <v>0</v>
      </c>
      <c r="AG197" s="15">
        <v>1</v>
      </c>
      <c r="AH197" s="15">
        <v>31.78</v>
      </c>
      <c r="AI197" s="15">
        <v>2</v>
      </c>
      <c r="AJ197" s="15">
        <v>15.89</v>
      </c>
      <c r="AK197" s="15">
        <v>1</v>
      </c>
      <c r="AL197" s="15">
        <v>31.78</v>
      </c>
      <c r="AM197" s="15">
        <v>1</v>
      </c>
      <c r="AN197" s="15"/>
      <c r="AO197" s="15">
        <v>0</v>
      </c>
      <c r="AP197" s="15">
        <v>31.78</v>
      </c>
      <c r="AQ197" s="15">
        <v>0</v>
      </c>
      <c r="AR197" s="15">
        <v>0</v>
      </c>
      <c r="AS197" s="15">
        <v>0</v>
      </c>
      <c r="AT197" s="15">
        <v>0</v>
      </c>
      <c r="AU197" s="15">
        <v>0</v>
      </c>
      <c r="AV197" s="15">
        <v>0</v>
      </c>
      <c r="AW197" s="15">
        <v>0</v>
      </c>
      <c r="AX197" s="15">
        <v>0</v>
      </c>
      <c r="AY197" s="15">
        <v>197</v>
      </c>
      <c r="AZ197" s="15">
        <v>101</v>
      </c>
      <c r="BA197" s="15">
        <v>94</v>
      </c>
      <c r="BB197" s="15">
        <v>0.93069</v>
      </c>
      <c r="BC197" s="15">
        <v>0</v>
      </c>
      <c r="BD197" s="15">
        <v>0</v>
      </c>
      <c r="BE197" s="15">
        <v>0.05297</v>
      </c>
      <c r="BF197" s="15">
        <v>83</v>
      </c>
      <c r="BG197" s="15">
        <v>2</v>
      </c>
      <c r="BH197" s="15">
        <v>0</v>
      </c>
      <c r="BI197" s="15"/>
      <c r="BJ197" s="15">
        <v>0</v>
      </c>
      <c r="BK197" s="15">
        <v>0</v>
      </c>
      <c r="BL197" s="15">
        <v>0</v>
      </c>
      <c r="BM197" s="15">
        <v>0</v>
      </c>
      <c r="BN197" s="15"/>
      <c r="BO197" s="15"/>
      <c r="BP197" s="15">
        <v>0.26</v>
      </c>
      <c r="BQ197" s="15">
        <v>59</v>
      </c>
    </row>
    <row r="198" spans="1:69">
      <c r="A198" s="16">
        <v>46061</v>
      </c>
      <c r="B198" s="15">
        <v>479</v>
      </c>
      <c r="C198" s="15" t="s">
        <v>39</v>
      </c>
      <c r="D198" s="15">
        <v>479</v>
      </c>
      <c r="E198" s="15" t="s">
        <v>39</v>
      </c>
      <c r="F198" s="15">
        <v>69</v>
      </c>
      <c r="G198" s="15">
        <v>36</v>
      </c>
      <c r="H198" s="15">
        <v>21.4</v>
      </c>
      <c r="I198" s="15">
        <v>0.52174</v>
      </c>
      <c r="J198" s="15">
        <v>0.59</v>
      </c>
      <c r="K198" s="15">
        <v>310.19</v>
      </c>
      <c r="L198" s="15">
        <v>0</v>
      </c>
      <c r="M198" s="15">
        <v>0</v>
      </c>
      <c r="N198" s="15">
        <v>0</v>
      </c>
      <c r="O198" s="15">
        <v>0</v>
      </c>
      <c r="P198" s="15">
        <v>0</v>
      </c>
      <c r="Q198" s="15">
        <v>0</v>
      </c>
      <c r="R198" s="15">
        <v>0</v>
      </c>
      <c r="S198" s="15">
        <v>147.24</v>
      </c>
      <c r="T198" s="15">
        <v>147.24</v>
      </c>
      <c r="U198" s="15">
        <v>1</v>
      </c>
      <c r="V198" s="15">
        <v>0</v>
      </c>
      <c r="W198" s="15">
        <v>1</v>
      </c>
      <c r="X198" s="15">
        <v>0.02778</v>
      </c>
      <c r="Y198" s="15">
        <v>6.88</v>
      </c>
      <c r="Z198" s="15">
        <v>6.88</v>
      </c>
      <c r="AA198" s="15">
        <v>21.4</v>
      </c>
      <c r="AB198" s="15">
        <v>8</v>
      </c>
      <c r="AC198" s="15">
        <v>0</v>
      </c>
      <c r="AD198" s="15">
        <v>8</v>
      </c>
      <c r="AE198" s="15">
        <v>0.22222</v>
      </c>
      <c r="AF198" s="15">
        <v>2</v>
      </c>
      <c r="AG198" s="15">
        <v>1</v>
      </c>
      <c r="AH198" s="15">
        <v>21.4</v>
      </c>
      <c r="AI198" s="15">
        <v>11</v>
      </c>
      <c r="AJ198" s="15">
        <v>1.95</v>
      </c>
      <c r="AK198" s="15">
        <v>10</v>
      </c>
      <c r="AL198" s="15">
        <v>2.14</v>
      </c>
      <c r="AM198" s="15">
        <v>3</v>
      </c>
      <c r="AN198" s="15">
        <v>10.7</v>
      </c>
      <c r="AO198" s="15">
        <v>0.05556</v>
      </c>
      <c r="AP198" s="15">
        <v>2.68</v>
      </c>
      <c r="AQ198" s="15">
        <v>2</v>
      </c>
      <c r="AR198" s="15">
        <v>217.9</v>
      </c>
      <c r="AS198" s="15">
        <v>0</v>
      </c>
      <c r="AT198" s="15">
        <v>2</v>
      </c>
      <c r="AU198" s="15">
        <v>0</v>
      </c>
      <c r="AV198" s="15">
        <v>0</v>
      </c>
      <c r="AW198" s="15">
        <v>0</v>
      </c>
      <c r="AX198" s="15">
        <v>1</v>
      </c>
      <c r="AY198" s="15">
        <v>388</v>
      </c>
      <c r="AZ198" s="15">
        <v>28</v>
      </c>
      <c r="BA198" s="15">
        <v>23</v>
      </c>
      <c r="BB198" s="15">
        <v>0.82143</v>
      </c>
      <c r="BC198" s="15">
        <v>0</v>
      </c>
      <c r="BD198" s="15">
        <v>0</v>
      </c>
      <c r="BE198" s="15">
        <v>5.62319</v>
      </c>
      <c r="BF198" s="15">
        <v>351</v>
      </c>
      <c r="BG198" s="15">
        <v>14</v>
      </c>
      <c r="BH198" s="15">
        <v>1</v>
      </c>
      <c r="BI198" s="15">
        <v>1</v>
      </c>
      <c r="BJ198" s="15">
        <v>0</v>
      </c>
      <c r="BK198" s="15">
        <v>0</v>
      </c>
      <c r="BL198" s="15">
        <v>0</v>
      </c>
      <c r="BM198" s="15">
        <v>1</v>
      </c>
      <c r="BN198" s="15">
        <v>1</v>
      </c>
      <c r="BO198" s="15">
        <v>147.24</v>
      </c>
      <c r="BP198" s="15">
        <v>1.05</v>
      </c>
      <c r="BQ198" s="15">
        <v>367</v>
      </c>
    </row>
    <row r="199" spans="1:69">
      <c r="A199" s="16">
        <v>46061</v>
      </c>
      <c r="B199" s="15">
        <v>371</v>
      </c>
      <c r="C199" s="15" t="s">
        <v>32</v>
      </c>
      <c r="D199" s="15">
        <v>371</v>
      </c>
      <c r="E199" s="15" t="s">
        <v>32</v>
      </c>
      <c r="F199" s="15">
        <v>3946</v>
      </c>
      <c r="G199" s="15">
        <v>107</v>
      </c>
      <c r="H199" s="15">
        <v>33.67</v>
      </c>
      <c r="I199" s="15">
        <v>0.02712</v>
      </c>
      <c r="J199" s="15">
        <v>0.31</v>
      </c>
      <c r="K199" s="15">
        <v>8.53</v>
      </c>
      <c r="L199" s="15">
        <v>0</v>
      </c>
      <c r="M199" s="15">
        <v>0</v>
      </c>
      <c r="N199" s="15">
        <v>0</v>
      </c>
      <c r="O199" s="15">
        <v>0</v>
      </c>
      <c r="P199" s="15">
        <v>0</v>
      </c>
      <c r="Q199" s="15">
        <v>0</v>
      </c>
      <c r="R199" s="15">
        <v>0</v>
      </c>
      <c r="S199" s="15">
        <v>0</v>
      </c>
      <c r="T199" s="15">
        <v>0</v>
      </c>
      <c r="U199" s="15">
        <v>0</v>
      </c>
      <c r="V199" s="15">
        <v>0</v>
      </c>
      <c r="W199" s="15">
        <v>0</v>
      </c>
      <c r="X199" s="15">
        <v>0</v>
      </c>
      <c r="Y199" s="15">
        <v>0</v>
      </c>
      <c r="Z199" s="15">
        <v>0</v>
      </c>
      <c r="AA199" s="15"/>
      <c r="AB199" s="15">
        <v>3</v>
      </c>
      <c r="AC199" s="15">
        <v>3</v>
      </c>
      <c r="AD199" s="15">
        <v>0</v>
      </c>
      <c r="AE199" s="15">
        <v>0.02804</v>
      </c>
      <c r="AF199" s="15">
        <v>0</v>
      </c>
      <c r="AG199" s="15">
        <v>0</v>
      </c>
      <c r="AH199" s="15"/>
      <c r="AI199" s="15">
        <v>3</v>
      </c>
      <c r="AJ199" s="15">
        <v>11.22</v>
      </c>
      <c r="AK199" s="15">
        <v>3</v>
      </c>
      <c r="AL199" s="15">
        <v>11.22</v>
      </c>
      <c r="AM199" s="15">
        <v>0</v>
      </c>
      <c r="AN199" s="15"/>
      <c r="AO199" s="15">
        <v>0</v>
      </c>
      <c r="AP199" s="15">
        <v>11.22</v>
      </c>
      <c r="AQ199" s="15">
        <v>0</v>
      </c>
      <c r="AR199" s="15">
        <v>0</v>
      </c>
      <c r="AS199" s="15">
        <v>0</v>
      </c>
      <c r="AT199" s="15">
        <v>0</v>
      </c>
      <c r="AU199" s="15">
        <v>0</v>
      </c>
      <c r="AV199" s="15">
        <v>0</v>
      </c>
      <c r="AW199" s="15">
        <v>0</v>
      </c>
      <c r="AX199" s="15">
        <v>0</v>
      </c>
      <c r="AY199" s="15">
        <v>199</v>
      </c>
      <c r="AZ199" s="15">
        <v>108</v>
      </c>
      <c r="BA199" s="15">
        <v>104</v>
      </c>
      <c r="BB199" s="15">
        <v>0.96296</v>
      </c>
      <c r="BC199" s="15">
        <v>0</v>
      </c>
      <c r="BD199" s="15">
        <v>0</v>
      </c>
      <c r="BE199" s="15">
        <v>0.05043</v>
      </c>
      <c r="BF199" s="15">
        <v>74</v>
      </c>
      <c r="BG199" s="15">
        <v>2</v>
      </c>
      <c r="BH199" s="15">
        <v>0</v>
      </c>
      <c r="BI199" s="15"/>
      <c r="BJ199" s="15">
        <v>0</v>
      </c>
      <c r="BK199" s="15">
        <v>0</v>
      </c>
      <c r="BL199" s="15">
        <v>0</v>
      </c>
      <c r="BM199" s="15">
        <v>0</v>
      </c>
      <c r="BN199" s="15"/>
      <c r="BO199" s="15"/>
      <c r="BP199" s="15">
        <v>0</v>
      </c>
      <c r="BQ199" s="15">
        <v>652</v>
      </c>
    </row>
    <row r="200" spans="1:69">
      <c r="A200" s="16">
        <v>46061</v>
      </c>
      <c r="B200" s="15">
        <v>436</v>
      </c>
      <c r="C200" s="15" t="s">
        <v>38</v>
      </c>
      <c r="D200" s="15">
        <v>436</v>
      </c>
      <c r="E200" s="15" t="s">
        <v>38</v>
      </c>
      <c r="F200" s="15">
        <v>404</v>
      </c>
      <c r="G200" s="15">
        <v>15</v>
      </c>
      <c r="H200" s="15">
        <v>80</v>
      </c>
      <c r="I200" s="15">
        <v>0.03713</v>
      </c>
      <c r="J200" s="15">
        <v>5.33</v>
      </c>
      <c r="K200" s="15">
        <v>198.02</v>
      </c>
      <c r="L200" s="15">
        <v>0</v>
      </c>
      <c r="M200" s="15">
        <v>0</v>
      </c>
      <c r="N200" s="15">
        <v>0</v>
      </c>
      <c r="O200" s="15">
        <v>0</v>
      </c>
      <c r="P200" s="15">
        <v>0</v>
      </c>
      <c r="Q200" s="15">
        <v>0</v>
      </c>
      <c r="R200" s="15">
        <v>162.68</v>
      </c>
      <c r="S200" s="15">
        <v>0</v>
      </c>
      <c r="T200" s="15">
        <v>162.68</v>
      </c>
      <c r="U200" s="15">
        <v>1</v>
      </c>
      <c r="V200" s="15">
        <v>1</v>
      </c>
      <c r="W200" s="15">
        <v>0</v>
      </c>
      <c r="X200" s="15">
        <v>0.06667</v>
      </c>
      <c r="Y200" s="15">
        <v>2.03</v>
      </c>
      <c r="Z200" s="15">
        <v>2.03</v>
      </c>
      <c r="AA200" s="15">
        <v>80</v>
      </c>
      <c r="AB200" s="15">
        <v>2</v>
      </c>
      <c r="AC200" s="15">
        <v>2</v>
      </c>
      <c r="AD200" s="15">
        <v>0</v>
      </c>
      <c r="AE200" s="15">
        <v>0.13333</v>
      </c>
      <c r="AF200" s="15">
        <v>0</v>
      </c>
      <c r="AG200" s="15">
        <v>1</v>
      </c>
      <c r="AH200" s="15">
        <v>80</v>
      </c>
      <c r="AI200" s="15">
        <v>3</v>
      </c>
      <c r="AJ200" s="15">
        <v>26.67</v>
      </c>
      <c r="AK200" s="15">
        <v>2</v>
      </c>
      <c r="AL200" s="15">
        <v>40</v>
      </c>
      <c r="AM200" s="15">
        <v>1</v>
      </c>
      <c r="AN200" s="15"/>
      <c r="AO200" s="15">
        <v>0</v>
      </c>
      <c r="AP200" s="15">
        <v>40</v>
      </c>
      <c r="AQ200" s="15">
        <v>2</v>
      </c>
      <c r="AR200" s="15">
        <v>245.9</v>
      </c>
      <c r="AS200" s="15">
        <v>0</v>
      </c>
      <c r="AT200" s="15">
        <v>0</v>
      </c>
      <c r="AU200" s="15">
        <v>0</v>
      </c>
      <c r="AV200" s="15">
        <v>0</v>
      </c>
      <c r="AW200" s="15">
        <v>0</v>
      </c>
      <c r="AX200" s="15">
        <v>2</v>
      </c>
      <c r="AY200" s="15">
        <v>94</v>
      </c>
      <c r="AZ200" s="15">
        <v>14</v>
      </c>
      <c r="BA200" s="15">
        <v>10</v>
      </c>
      <c r="BB200" s="15">
        <v>0.71429</v>
      </c>
      <c r="BC200" s="15">
        <v>0</v>
      </c>
      <c r="BD200" s="15">
        <v>0</v>
      </c>
      <c r="BE200" s="15">
        <v>0.23267</v>
      </c>
      <c r="BF200" s="15">
        <v>79</v>
      </c>
      <c r="BG200" s="15">
        <v>7</v>
      </c>
      <c r="BH200" s="15">
        <v>1</v>
      </c>
      <c r="BI200" s="15">
        <v>1</v>
      </c>
      <c r="BJ200" s="15">
        <v>0</v>
      </c>
      <c r="BK200" s="15">
        <v>0</v>
      </c>
      <c r="BL200" s="15">
        <v>0</v>
      </c>
      <c r="BM200" s="15">
        <v>1</v>
      </c>
      <c r="BN200" s="15">
        <v>1</v>
      </c>
      <c r="BO200" s="15">
        <v>162.68</v>
      </c>
      <c r="BP200" s="15">
        <v>0</v>
      </c>
      <c r="BQ200" s="15">
        <v>349</v>
      </c>
    </row>
    <row r="201" spans="1:69">
      <c r="A201" s="16">
        <v>46061</v>
      </c>
      <c r="B201" s="15">
        <v>372</v>
      </c>
      <c r="C201" s="15" t="s">
        <v>37</v>
      </c>
      <c r="D201" s="15">
        <v>372</v>
      </c>
      <c r="E201" s="15" t="s">
        <v>61</v>
      </c>
      <c r="F201" s="15">
        <v>374</v>
      </c>
      <c r="G201" s="15">
        <v>19</v>
      </c>
      <c r="H201" s="15">
        <v>35</v>
      </c>
      <c r="I201" s="15">
        <v>0.0508</v>
      </c>
      <c r="J201" s="15">
        <v>1.84</v>
      </c>
      <c r="K201" s="15">
        <v>93.58</v>
      </c>
      <c r="L201" s="15">
        <v>0</v>
      </c>
      <c r="M201" s="15">
        <v>0</v>
      </c>
      <c r="N201" s="15">
        <v>0</v>
      </c>
      <c r="O201" s="15">
        <v>0</v>
      </c>
      <c r="P201" s="15">
        <v>0</v>
      </c>
      <c r="Q201" s="15">
        <v>0</v>
      </c>
      <c r="R201" s="15">
        <v>0</v>
      </c>
      <c r="S201" s="15">
        <v>0</v>
      </c>
      <c r="T201" s="15">
        <v>0</v>
      </c>
      <c r="U201" s="15">
        <v>0</v>
      </c>
      <c r="V201" s="15">
        <v>0</v>
      </c>
      <c r="W201" s="15">
        <v>0</v>
      </c>
      <c r="X201" s="15">
        <v>0</v>
      </c>
      <c r="Y201" s="15">
        <v>0</v>
      </c>
      <c r="Z201" s="15">
        <v>0</v>
      </c>
      <c r="AA201" s="15"/>
      <c r="AB201" s="15">
        <v>6</v>
      </c>
      <c r="AC201" s="15">
        <v>1</v>
      </c>
      <c r="AD201" s="15">
        <v>5</v>
      </c>
      <c r="AE201" s="15">
        <v>0.31579</v>
      </c>
      <c r="AF201" s="15">
        <v>0</v>
      </c>
      <c r="AG201" s="15">
        <v>0</v>
      </c>
      <c r="AH201" s="15"/>
      <c r="AI201" s="15">
        <v>6</v>
      </c>
      <c r="AJ201" s="15">
        <v>5.83</v>
      </c>
      <c r="AK201" s="15">
        <v>6</v>
      </c>
      <c r="AL201" s="15">
        <v>5.83</v>
      </c>
      <c r="AM201" s="15">
        <v>0</v>
      </c>
      <c r="AN201" s="15"/>
      <c r="AO201" s="15">
        <v>0</v>
      </c>
      <c r="AP201" s="15">
        <v>5.83</v>
      </c>
      <c r="AQ201" s="15">
        <v>0</v>
      </c>
      <c r="AR201" s="15">
        <v>0</v>
      </c>
      <c r="AS201" s="15">
        <v>0</v>
      </c>
      <c r="AT201" s="15">
        <v>0</v>
      </c>
      <c r="AU201" s="15">
        <v>0</v>
      </c>
      <c r="AV201" s="15">
        <v>0</v>
      </c>
      <c r="AW201" s="15">
        <v>0</v>
      </c>
      <c r="AX201" s="15">
        <v>1</v>
      </c>
      <c r="AY201" s="15">
        <v>147</v>
      </c>
      <c r="AZ201" s="15">
        <v>16</v>
      </c>
      <c r="BA201" s="15">
        <v>11</v>
      </c>
      <c r="BB201" s="15">
        <v>0.6875</v>
      </c>
      <c r="BC201" s="15">
        <v>0</v>
      </c>
      <c r="BD201" s="15">
        <v>0</v>
      </c>
      <c r="BE201" s="15">
        <v>0.39305</v>
      </c>
      <c r="BF201" s="15">
        <v>126</v>
      </c>
      <c r="BG201" s="15">
        <v>9</v>
      </c>
      <c r="BH201" s="15">
        <v>0</v>
      </c>
      <c r="BI201" s="15"/>
      <c r="BJ201" s="15">
        <v>0</v>
      </c>
      <c r="BK201" s="15">
        <v>0</v>
      </c>
      <c r="BL201" s="15">
        <v>0</v>
      </c>
      <c r="BM201" s="15">
        <v>0</v>
      </c>
      <c r="BN201" s="15"/>
      <c r="BO201" s="15"/>
      <c r="BP201" s="15">
        <v>0.79</v>
      </c>
      <c r="BQ201" s="15">
        <v>64</v>
      </c>
    </row>
    <row r="202" spans="1:69">
      <c r="A202" s="16">
        <v>46061</v>
      </c>
      <c r="B202" s="15">
        <v>183</v>
      </c>
      <c r="C202" s="15" t="s">
        <v>40</v>
      </c>
      <c r="D202" s="15">
        <v>183</v>
      </c>
      <c r="E202" s="15" t="s">
        <v>40</v>
      </c>
      <c r="F202" s="15">
        <v>1056</v>
      </c>
      <c r="G202" s="15">
        <v>44</v>
      </c>
      <c r="H202" s="15">
        <v>100</v>
      </c>
      <c r="I202" s="15">
        <v>0.04167</v>
      </c>
      <c r="J202" s="15">
        <v>2.27</v>
      </c>
      <c r="K202" s="15">
        <v>94.7</v>
      </c>
      <c r="L202" s="15">
        <v>0</v>
      </c>
      <c r="M202" s="15">
        <v>0</v>
      </c>
      <c r="N202" s="15">
        <v>0</v>
      </c>
      <c r="O202" s="15">
        <v>0</v>
      </c>
      <c r="P202" s="15">
        <v>0</v>
      </c>
      <c r="Q202" s="15">
        <v>0</v>
      </c>
      <c r="R202" s="15">
        <v>288.96</v>
      </c>
      <c r="S202" s="15">
        <v>227.93</v>
      </c>
      <c r="T202" s="15">
        <v>516.89</v>
      </c>
      <c r="U202" s="15">
        <v>3</v>
      </c>
      <c r="V202" s="15">
        <v>2</v>
      </c>
      <c r="W202" s="15">
        <v>1</v>
      </c>
      <c r="X202" s="15">
        <v>0.06818</v>
      </c>
      <c r="Y202" s="15">
        <v>5.17</v>
      </c>
      <c r="Z202" s="15">
        <v>5.17</v>
      </c>
      <c r="AA202" s="15">
        <v>33.33</v>
      </c>
      <c r="AB202" s="15">
        <v>17</v>
      </c>
      <c r="AC202" s="15">
        <v>6</v>
      </c>
      <c r="AD202" s="15">
        <v>11</v>
      </c>
      <c r="AE202" s="15">
        <v>0.38636</v>
      </c>
      <c r="AF202" s="15">
        <v>2</v>
      </c>
      <c r="AG202" s="15">
        <v>0</v>
      </c>
      <c r="AH202" s="15"/>
      <c r="AI202" s="15">
        <v>19</v>
      </c>
      <c r="AJ202" s="15">
        <v>5.26</v>
      </c>
      <c r="AK202" s="15">
        <v>19</v>
      </c>
      <c r="AL202" s="15">
        <v>5.26</v>
      </c>
      <c r="AM202" s="15">
        <v>2</v>
      </c>
      <c r="AN202" s="15">
        <v>50</v>
      </c>
      <c r="AO202" s="15">
        <v>0.04545</v>
      </c>
      <c r="AP202" s="15">
        <v>5.88</v>
      </c>
      <c r="AQ202" s="15">
        <v>4</v>
      </c>
      <c r="AR202" s="15">
        <v>713</v>
      </c>
      <c r="AS202" s="15">
        <v>1</v>
      </c>
      <c r="AT202" s="15">
        <v>1</v>
      </c>
      <c r="AU202" s="15">
        <v>0</v>
      </c>
      <c r="AV202" s="15">
        <v>0</v>
      </c>
      <c r="AW202" s="15">
        <v>0</v>
      </c>
      <c r="AX202" s="15">
        <v>0</v>
      </c>
      <c r="AY202" s="15">
        <v>463</v>
      </c>
      <c r="AZ202" s="15">
        <v>94</v>
      </c>
      <c r="BA202" s="15">
        <v>61</v>
      </c>
      <c r="BB202" s="15">
        <v>0.64894</v>
      </c>
      <c r="BC202" s="15">
        <v>0</v>
      </c>
      <c r="BD202" s="15">
        <v>0</v>
      </c>
      <c r="BE202" s="15">
        <v>0.43845</v>
      </c>
      <c r="BF202" s="15">
        <v>310</v>
      </c>
      <c r="BG202" s="15">
        <v>5</v>
      </c>
      <c r="BH202" s="15">
        <v>1</v>
      </c>
      <c r="BI202" s="15">
        <v>1</v>
      </c>
      <c r="BJ202" s="15">
        <v>0</v>
      </c>
      <c r="BK202" s="15">
        <v>0</v>
      </c>
      <c r="BL202" s="15">
        <v>0</v>
      </c>
      <c r="BM202" s="15">
        <v>1</v>
      </c>
      <c r="BN202" s="15">
        <v>3</v>
      </c>
      <c r="BO202" s="15">
        <v>516.89</v>
      </c>
      <c r="BP202" s="15">
        <v>3.57</v>
      </c>
      <c r="BQ202" s="15">
        <v>647</v>
      </c>
    </row>
    <row r="203" spans="1:69">
      <c r="A203" s="16">
        <v>46060</v>
      </c>
      <c r="B203" s="15">
        <v>479</v>
      </c>
      <c r="C203" s="15" t="s">
        <v>39</v>
      </c>
      <c r="D203" s="15">
        <v>479</v>
      </c>
      <c r="E203" s="15" t="s">
        <v>39</v>
      </c>
      <c r="F203" s="15">
        <v>61</v>
      </c>
      <c r="G203" s="15">
        <v>21</v>
      </c>
      <c r="H203" s="15">
        <v>18.57</v>
      </c>
      <c r="I203" s="15">
        <v>0.34426</v>
      </c>
      <c r="J203" s="15">
        <v>0.88</v>
      </c>
      <c r="K203" s="15">
        <v>304.49</v>
      </c>
      <c r="L203" s="15">
        <v>0</v>
      </c>
      <c r="M203" s="15">
        <v>0</v>
      </c>
      <c r="N203" s="15">
        <v>0</v>
      </c>
      <c r="O203" s="15">
        <v>0</v>
      </c>
      <c r="P203" s="15">
        <v>0</v>
      </c>
      <c r="Q203" s="15">
        <v>0</v>
      </c>
      <c r="R203" s="15">
        <v>0</v>
      </c>
      <c r="S203" s="15">
        <v>65.35</v>
      </c>
      <c r="T203" s="15">
        <v>65.35</v>
      </c>
      <c r="U203" s="15">
        <v>2</v>
      </c>
      <c r="V203" s="15">
        <v>0</v>
      </c>
      <c r="W203" s="15">
        <v>2</v>
      </c>
      <c r="X203" s="15">
        <v>0.09524</v>
      </c>
      <c r="Y203" s="15">
        <v>3.52</v>
      </c>
      <c r="Z203" s="15">
        <v>3.52</v>
      </c>
      <c r="AA203" s="15">
        <v>9.29</v>
      </c>
      <c r="AB203" s="15">
        <v>8</v>
      </c>
      <c r="AC203" s="15">
        <v>0</v>
      </c>
      <c r="AD203" s="15">
        <v>8</v>
      </c>
      <c r="AE203" s="15">
        <v>0.38095</v>
      </c>
      <c r="AF203" s="15">
        <v>0</v>
      </c>
      <c r="AG203" s="15">
        <v>1</v>
      </c>
      <c r="AH203" s="15">
        <v>18.57</v>
      </c>
      <c r="AI203" s="15">
        <v>9</v>
      </c>
      <c r="AJ203" s="15">
        <v>2.06</v>
      </c>
      <c r="AK203" s="15">
        <v>8</v>
      </c>
      <c r="AL203" s="15">
        <v>2.32</v>
      </c>
      <c r="AM203" s="15">
        <v>1</v>
      </c>
      <c r="AN203" s="15"/>
      <c r="AO203" s="15">
        <v>0</v>
      </c>
      <c r="AP203" s="15">
        <v>2.32</v>
      </c>
      <c r="AQ203" s="15">
        <v>2</v>
      </c>
      <c r="AR203" s="15">
        <v>99.8</v>
      </c>
      <c r="AS203" s="15">
        <v>0</v>
      </c>
      <c r="AT203" s="15">
        <v>0</v>
      </c>
      <c r="AU203" s="15">
        <v>0</v>
      </c>
      <c r="AV203" s="15">
        <v>0</v>
      </c>
      <c r="AW203" s="15">
        <v>0</v>
      </c>
      <c r="AX203" s="15">
        <v>0</v>
      </c>
      <c r="AY203" s="15">
        <v>279</v>
      </c>
      <c r="AZ203" s="15">
        <v>20</v>
      </c>
      <c r="BA203" s="15">
        <v>14</v>
      </c>
      <c r="BB203" s="15">
        <v>0.7</v>
      </c>
      <c r="BC203" s="15">
        <v>0</v>
      </c>
      <c r="BD203" s="15">
        <v>0</v>
      </c>
      <c r="BE203" s="15">
        <v>4.57377</v>
      </c>
      <c r="BF203" s="15">
        <v>257</v>
      </c>
      <c r="BG203" s="15">
        <v>14</v>
      </c>
      <c r="BH203" s="15">
        <v>1</v>
      </c>
      <c r="BI203" s="15">
        <v>1</v>
      </c>
      <c r="BJ203" s="15">
        <v>0</v>
      </c>
      <c r="BK203" s="15">
        <v>0</v>
      </c>
      <c r="BL203" s="15">
        <v>0</v>
      </c>
      <c r="BM203" s="15">
        <v>1</v>
      </c>
      <c r="BN203" s="15">
        <v>2</v>
      </c>
      <c r="BO203" s="15">
        <v>65.35</v>
      </c>
      <c r="BP203" s="15">
        <v>0.81</v>
      </c>
      <c r="BQ203" s="15">
        <v>154</v>
      </c>
    </row>
    <row r="204" spans="1:69">
      <c r="A204" s="16">
        <v>46060</v>
      </c>
      <c r="B204" s="15">
        <v>436</v>
      </c>
      <c r="C204" s="15" t="s">
        <v>38</v>
      </c>
      <c r="D204" s="15">
        <v>436</v>
      </c>
      <c r="E204" s="15" t="s">
        <v>38</v>
      </c>
      <c r="F204" s="15">
        <v>485</v>
      </c>
      <c r="G204" s="15">
        <v>14</v>
      </c>
      <c r="H204" s="15">
        <v>80</v>
      </c>
      <c r="I204" s="15">
        <v>0.02887</v>
      </c>
      <c r="J204" s="15">
        <v>5.71</v>
      </c>
      <c r="K204" s="15">
        <v>164.95</v>
      </c>
      <c r="L204" s="15">
        <v>0</v>
      </c>
      <c r="M204" s="15">
        <v>0</v>
      </c>
      <c r="N204" s="15">
        <v>0</v>
      </c>
      <c r="O204" s="15">
        <v>0</v>
      </c>
      <c r="P204" s="15">
        <v>0</v>
      </c>
      <c r="Q204" s="15">
        <v>0</v>
      </c>
      <c r="R204" s="15">
        <v>68.64</v>
      </c>
      <c r="S204" s="15">
        <v>952.99</v>
      </c>
      <c r="T204" s="15">
        <v>1021.63</v>
      </c>
      <c r="U204" s="15">
        <v>5</v>
      </c>
      <c r="V204" s="15">
        <v>1</v>
      </c>
      <c r="W204" s="15">
        <v>4</v>
      </c>
      <c r="X204" s="15">
        <v>0.35714</v>
      </c>
      <c r="Y204" s="15">
        <v>12.77</v>
      </c>
      <c r="Z204" s="15">
        <v>12.77</v>
      </c>
      <c r="AA204" s="15">
        <v>16</v>
      </c>
      <c r="AB204" s="15">
        <v>4</v>
      </c>
      <c r="AC204" s="15">
        <v>1</v>
      </c>
      <c r="AD204" s="15">
        <v>3</v>
      </c>
      <c r="AE204" s="15">
        <v>0.28571</v>
      </c>
      <c r="AF204" s="15">
        <v>0</v>
      </c>
      <c r="AG204" s="15">
        <v>0</v>
      </c>
      <c r="AH204" s="15"/>
      <c r="AI204" s="15">
        <v>4</v>
      </c>
      <c r="AJ204" s="15">
        <v>20</v>
      </c>
      <c r="AK204" s="15">
        <v>4</v>
      </c>
      <c r="AL204" s="15">
        <v>20</v>
      </c>
      <c r="AM204" s="15">
        <v>0</v>
      </c>
      <c r="AN204" s="15"/>
      <c r="AO204" s="15">
        <v>0</v>
      </c>
      <c r="AP204" s="15">
        <v>20</v>
      </c>
      <c r="AQ204" s="15">
        <v>6</v>
      </c>
      <c r="AR204" s="15">
        <v>1299</v>
      </c>
      <c r="AS204" s="15">
        <v>0</v>
      </c>
      <c r="AT204" s="15">
        <v>0</v>
      </c>
      <c r="AU204" s="15">
        <v>0</v>
      </c>
      <c r="AV204" s="15">
        <v>0</v>
      </c>
      <c r="AW204" s="15">
        <v>0</v>
      </c>
      <c r="AX204" s="15">
        <v>0</v>
      </c>
      <c r="AY204" s="15">
        <v>157</v>
      </c>
      <c r="AZ204" s="15">
        <v>12</v>
      </c>
      <c r="BA204" s="15">
        <v>8</v>
      </c>
      <c r="BB204" s="15">
        <v>0.66667</v>
      </c>
      <c r="BC204" s="15">
        <v>0</v>
      </c>
      <c r="BD204" s="15">
        <v>0</v>
      </c>
      <c r="BE204" s="15">
        <v>0.32371</v>
      </c>
      <c r="BF204" s="15">
        <v>143</v>
      </c>
      <c r="BG204" s="15">
        <v>13</v>
      </c>
      <c r="BH204" s="15">
        <v>2</v>
      </c>
      <c r="BI204" s="15">
        <v>1</v>
      </c>
      <c r="BJ204" s="15">
        <v>0</v>
      </c>
      <c r="BK204" s="15">
        <v>0</v>
      </c>
      <c r="BL204" s="15">
        <v>0</v>
      </c>
      <c r="BM204" s="15">
        <v>2</v>
      </c>
      <c r="BN204" s="15">
        <v>3</v>
      </c>
      <c r="BO204" s="15">
        <v>510.82</v>
      </c>
      <c r="BP204" s="15">
        <v>0.55</v>
      </c>
      <c r="BQ204" s="15">
        <v>953</v>
      </c>
    </row>
    <row r="205" spans="1:69">
      <c r="A205" s="16">
        <v>46060</v>
      </c>
      <c r="B205" s="15">
        <v>372</v>
      </c>
      <c r="C205" s="15" t="s">
        <v>37</v>
      </c>
      <c r="D205" s="15">
        <v>372</v>
      </c>
      <c r="E205" s="15" t="s">
        <v>61</v>
      </c>
      <c r="F205" s="15">
        <v>247</v>
      </c>
      <c r="G205" s="15">
        <v>19</v>
      </c>
      <c r="H205" s="15">
        <v>32.71</v>
      </c>
      <c r="I205" s="15">
        <v>0.07692</v>
      </c>
      <c r="J205" s="15">
        <v>1.72</v>
      </c>
      <c r="K205" s="15">
        <v>132.43</v>
      </c>
      <c r="L205" s="15">
        <v>0</v>
      </c>
      <c r="M205" s="15">
        <v>0</v>
      </c>
      <c r="N205" s="15">
        <v>0</v>
      </c>
      <c r="O205" s="15">
        <v>0</v>
      </c>
      <c r="P205" s="15">
        <v>0</v>
      </c>
      <c r="Q205" s="15">
        <v>0</v>
      </c>
      <c r="R205" s="15">
        <v>0</v>
      </c>
      <c r="S205" s="15">
        <v>0</v>
      </c>
      <c r="T205" s="15">
        <v>0</v>
      </c>
      <c r="U205" s="15">
        <v>0</v>
      </c>
      <c r="V205" s="15">
        <v>0</v>
      </c>
      <c r="W205" s="15">
        <v>0</v>
      </c>
      <c r="X205" s="15">
        <v>0</v>
      </c>
      <c r="Y205" s="15">
        <v>0</v>
      </c>
      <c r="Z205" s="15">
        <v>0</v>
      </c>
      <c r="AA205" s="15"/>
      <c r="AB205" s="15">
        <v>7</v>
      </c>
      <c r="AC205" s="15">
        <v>1</v>
      </c>
      <c r="AD205" s="15">
        <v>6</v>
      </c>
      <c r="AE205" s="15">
        <v>0.36842</v>
      </c>
      <c r="AF205" s="15">
        <v>1</v>
      </c>
      <c r="AG205" s="15">
        <v>0</v>
      </c>
      <c r="AH205" s="15"/>
      <c r="AI205" s="15">
        <v>8</v>
      </c>
      <c r="AJ205" s="15">
        <v>4.09</v>
      </c>
      <c r="AK205" s="15">
        <v>8</v>
      </c>
      <c r="AL205" s="15">
        <v>4.09</v>
      </c>
      <c r="AM205" s="15">
        <v>1</v>
      </c>
      <c r="AN205" s="15">
        <v>32.71</v>
      </c>
      <c r="AO205" s="15">
        <v>0.05263</v>
      </c>
      <c r="AP205" s="15">
        <v>4.67</v>
      </c>
      <c r="AQ205" s="15">
        <v>0</v>
      </c>
      <c r="AR205" s="15">
        <v>0</v>
      </c>
      <c r="AS205" s="15">
        <v>0</v>
      </c>
      <c r="AT205" s="15">
        <v>1</v>
      </c>
      <c r="AU205" s="15">
        <v>0</v>
      </c>
      <c r="AV205" s="15">
        <v>0</v>
      </c>
      <c r="AW205" s="15">
        <v>0</v>
      </c>
      <c r="AX205" s="15">
        <v>1</v>
      </c>
      <c r="AY205" s="15">
        <v>102</v>
      </c>
      <c r="AZ205" s="15">
        <v>15</v>
      </c>
      <c r="BA205" s="15">
        <v>13</v>
      </c>
      <c r="BB205" s="15">
        <v>0.86667</v>
      </c>
      <c r="BC205" s="15">
        <v>0</v>
      </c>
      <c r="BD205" s="15">
        <v>0</v>
      </c>
      <c r="BE205" s="15">
        <v>0.41296</v>
      </c>
      <c r="BF205" s="15">
        <v>82</v>
      </c>
      <c r="BG205" s="15">
        <v>7</v>
      </c>
      <c r="BH205" s="15">
        <v>0</v>
      </c>
      <c r="BI205" s="15"/>
      <c r="BJ205" s="15">
        <v>0</v>
      </c>
      <c r="BK205" s="15">
        <v>0</v>
      </c>
      <c r="BL205" s="15">
        <v>0</v>
      </c>
      <c r="BM205" s="15">
        <v>0</v>
      </c>
      <c r="BN205" s="15"/>
      <c r="BO205" s="15"/>
      <c r="BP205" s="15">
        <v>0.37</v>
      </c>
      <c r="BQ205" s="15">
        <v>56</v>
      </c>
    </row>
    <row r="206" spans="1:69">
      <c r="A206" s="16">
        <v>46060</v>
      </c>
      <c r="B206" s="15">
        <v>371</v>
      </c>
      <c r="C206" s="15" t="s">
        <v>32</v>
      </c>
      <c r="D206" s="15">
        <v>371</v>
      </c>
      <c r="E206" s="15" t="s">
        <v>32</v>
      </c>
      <c r="F206" s="15">
        <v>4186</v>
      </c>
      <c r="G206" s="15">
        <v>82</v>
      </c>
      <c r="H206" s="15">
        <v>25.39</v>
      </c>
      <c r="I206" s="15">
        <v>0.01959</v>
      </c>
      <c r="J206" s="15">
        <v>0.31</v>
      </c>
      <c r="K206" s="15">
        <v>6.07</v>
      </c>
      <c r="L206" s="15">
        <v>0</v>
      </c>
      <c r="M206" s="15">
        <v>0</v>
      </c>
      <c r="N206" s="15">
        <v>0</v>
      </c>
      <c r="O206" s="15">
        <v>0</v>
      </c>
      <c r="P206" s="15">
        <v>0</v>
      </c>
      <c r="Q206" s="15">
        <v>0</v>
      </c>
      <c r="R206" s="15">
        <v>0</v>
      </c>
      <c r="S206" s="15">
        <v>0</v>
      </c>
      <c r="T206" s="15">
        <v>0</v>
      </c>
      <c r="U206" s="15">
        <v>0</v>
      </c>
      <c r="V206" s="15">
        <v>0</v>
      </c>
      <c r="W206" s="15">
        <v>0</v>
      </c>
      <c r="X206" s="15">
        <v>0</v>
      </c>
      <c r="Y206" s="15">
        <v>0</v>
      </c>
      <c r="Z206" s="15">
        <v>0</v>
      </c>
      <c r="AA206" s="15"/>
      <c r="AB206" s="15">
        <v>0</v>
      </c>
      <c r="AC206" s="15">
        <v>0</v>
      </c>
      <c r="AD206" s="15">
        <v>0</v>
      </c>
      <c r="AE206" s="15">
        <v>0</v>
      </c>
      <c r="AF206" s="15">
        <v>0</v>
      </c>
      <c r="AG206" s="15">
        <v>0</v>
      </c>
      <c r="AH206" s="15"/>
      <c r="AI206" s="15">
        <v>0</v>
      </c>
      <c r="AJ206" s="15"/>
      <c r="AK206" s="15">
        <v>0</v>
      </c>
      <c r="AL206" s="15"/>
      <c r="AM206" s="15">
        <v>0</v>
      </c>
      <c r="AN206" s="15"/>
      <c r="AO206" s="15">
        <v>0</v>
      </c>
      <c r="AP206" s="15"/>
      <c r="AQ206" s="15">
        <v>0</v>
      </c>
      <c r="AR206" s="15">
        <v>0</v>
      </c>
      <c r="AS206" s="15">
        <v>0</v>
      </c>
      <c r="AT206" s="15">
        <v>0</v>
      </c>
      <c r="AU206" s="15">
        <v>0</v>
      </c>
      <c r="AV206" s="15">
        <v>0</v>
      </c>
      <c r="AW206" s="15">
        <v>0</v>
      </c>
      <c r="AX206" s="15">
        <v>0</v>
      </c>
      <c r="AY206" s="15">
        <v>187</v>
      </c>
      <c r="AZ206" s="15">
        <v>106</v>
      </c>
      <c r="BA206" s="15">
        <v>103</v>
      </c>
      <c r="BB206" s="15">
        <v>0.9717</v>
      </c>
      <c r="BC206" s="15">
        <v>0</v>
      </c>
      <c r="BD206" s="15">
        <v>0</v>
      </c>
      <c r="BE206" s="15">
        <v>0.04467</v>
      </c>
      <c r="BF206" s="15">
        <v>68</v>
      </c>
      <c r="BG206" s="15">
        <v>2</v>
      </c>
      <c r="BH206" s="15">
        <v>0</v>
      </c>
      <c r="BI206" s="15"/>
      <c r="BJ206" s="15">
        <v>0</v>
      </c>
      <c r="BK206" s="15">
        <v>0</v>
      </c>
      <c r="BL206" s="15">
        <v>0</v>
      </c>
      <c r="BM206" s="15">
        <v>0</v>
      </c>
      <c r="BN206" s="15"/>
      <c r="BO206" s="15"/>
      <c r="BP206" s="15">
        <v>0.18</v>
      </c>
      <c r="BQ206" s="15">
        <v>15</v>
      </c>
    </row>
    <row r="207" spans="1:69">
      <c r="A207" s="16">
        <v>46060</v>
      </c>
      <c r="B207" s="15">
        <v>183</v>
      </c>
      <c r="C207" s="15" t="s">
        <v>40</v>
      </c>
      <c r="D207" s="15">
        <v>183</v>
      </c>
      <c r="E207" s="15" t="s">
        <v>40</v>
      </c>
      <c r="F207" s="15">
        <v>684</v>
      </c>
      <c r="G207" s="15">
        <v>40</v>
      </c>
      <c r="H207" s="15">
        <v>100</v>
      </c>
      <c r="I207" s="15">
        <v>0.05848</v>
      </c>
      <c r="J207" s="15">
        <v>2.5</v>
      </c>
      <c r="K207" s="15">
        <v>146.2</v>
      </c>
      <c r="L207" s="15">
        <v>0</v>
      </c>
      <c r="M207" s="15">
        <v>0</v>
      </c>
      <c r="N207" s="15">
        <v>0</v>
      </c>
      <c r="O207" s="15">
        <v>0</v>
      </c>
      <c r="P207" s="15">
        <v>0</v>
      </c>
      <c r="Q207" s="15">
        <v>0</v>
      </c>
      <c r="R207" s="15">
        <v>0</v>
      </c>
      <c r="S207" s="15">
        <v>183.26</v>
      </c>
      <c r="T207" s="15">
        <v>183.26</v>
      </c>
      <c r="U207" s="15">
        <v>2</v>
      </c>
      <c r="V207" s="15">
        <v>0</v>
      </c>
      <c r="W207" s="15">
        <v>2</v>
      </c>
      <c r="X207" s="15">
        <v>0.05</v>
      </c>
      <c r="Y207" s="15">
        <v>1.83</v>
      </c>
      <c r="Z207" s="15">
        <v>1.83</v>
      </c>
      <c r="AA207" s="15">
        <v>50</v>
      </c>
      <c r="AB207" s="15">
        <v>6</v>
      </c>
      <c r="AC207" s="15">
        <v>0</v>
      </c>
      <c r="AD207" s="15">
        <v>6</v>
      </c>
      <c r="AE207" s="15">
        <v>0.15</v>
      </c>
      <c r="AF207" s="15">
        <v>1</v>
      </c>
      <c r="AG207" s="15">
        <v>0</v>
      </c>
      <c r="AH207" s="15"/>
      <c r="AI207" s="15">
        <v>7</v>
      </c>
      <c r="AJ207" s="15">
        <v>14.29</v>
      </c>
      <c r="AK207" s="15">
        <v>7</v>
      </c>
      <c r="AL207" s="15">
        <v>14.29</v>
      </c>
      <c r="AM207" s="15">
        <v>1</v>
      </c>
      <c r="AN207" s="15">
        <v>100</v>
      </c>
      <c r="AO207" s="15">
        <v>0.025</v>
      </c>
      <c r="AP207" s="15">
        <v>16.67</v>
      </c>
      <c r="AQ207" s="15">
        <v>3</v>
      </c>
      <c r="AR207" s="15">
        <v>267.8</v>
      </c>
      <c r="AS207" s="15">
        <v>1</v>
      </c>
      <c r="AT207" s="15">
        <v>0</v>
      </c>
      <c r="AU207" s="15">
        <v>0</v>
      </c>
      <c r="AV207" s="15">
        <v>0</v>
      </c>
      <c r="AW207" s="15">
        <v>0</v>
      </c>
      <c r="AX207" s="15">
        <v>1</v>
      </c>
      <c r="AY207" s="15">
        <v>282</v>
      </c>
      <c r="AZ207" s="15">
        <v>64</v>
      </c>
      <c r="BA207" s="15">
        <v>39</v>
      </c>
      <c r="BB207" s="15">
        <v>0.60938</v>
      </c>
      <c r="BC207" s="15">
        <v>0</v>
      </c>
      <c r="BD207" s="15">
        <v>0</v>
      </c>
      <c r="BE207" s="15">
        <v>0.41228</v>
      </c>
      <c r="BF207" s="15">
        <v>172</v>
      </c>
      <c r="BG207" s="15">
        <v>4</v>
      </c>
      <c r="BH207" s="15">
        <v>1</v>
      </c>
      <c r="BI207" s="15">
        <v>0.5</v>
      </c>
      <c r="BJ207" s="15">
        <v>0</v>
      </c>
      <c r="BK207" s="15">
        <v>0</v>
      </c>
      <c r="BL207" s="15">
        <v>0</v>
      </c>
      <c r="BM207" s="15">
        <v>2</v>
      </c>
      <c r="BN207" s="15">
        <v>1</v>
      </c>
      <c r="BO207" s="15">
        <v>91.63</v>
      </c>
      <c r="BP207" s="15">
        <v>0.5</v>
      </c>
      <c r="BQ207" s="15">
        <v>422</v>
      </c>
    </row>
    <row r="208" spans="1:69">
      <c r="A208" s="16">
        <v>46059</v>
      </c>
      <c r="B208" s="15">
        <v>183</v>
      </c>
      <c r="C208" s="15" t="s">
        <v>40</v>
      </c>
      <c r="D208" s="15">
        <v>183</v>
      </c>
      <c r="E208" s="15" t="s">
        <v>40</v>
      </c>
      <c r="F208" s="15">
        <v>1007</v>
      </c>
      <c r="G208" s="15">
        <v>43</v>
      </c>
      <c r="H208" s="15">
        <v>100</v>
      </c>
      <c r="I208" s="15">
        <v>0.0427</v>
      </c>
      <c r="J208" s="15">
        <v>2.33</v>
      </c>
      <c r="K208" s="15">
        <v>99.3</v>
      </c>
      <c r="L208" s="15">
        <v>0</v>
      </c>
      <c r="M208" s="15">
        <v>0</v>
      </c>
      <c r="N208" s="15">
        <v>0</v>
      </c>
      <c r="O208" s="15">
        <v>0</v>
      </c>
      <c r="P208" s="15">
        <v>0</v>
      </c>
      <c r="Q208" s="15">
        <v>0</v>
      </c>
      <c r="R208" s="15">
        <v>0</v>
      </c>
      <c r="S208" s="15">
        <v>65.35</v>
      </c>
      <c r="T208" s="15">
        <v>65.35</v>
      </c>
      <c r="U208" s="15">
        <v>2</v>
      </c>
      <c r="V208" s="15">
        <v>0</v>
      </c>
      <c r="W208" s="15">
        <v>2</v>
      </c>
      <c r="X208" s="15">
        <v>0.04651</v>
      </c>
      <c r="Y208" s="15">
        <v>0.65</v>
      </c>
      <c r="Z208" s="15">
        <v>0.65</v>
      </c>
      <c r="AA208" s="15">
        <v>50</v>
      </c>
      <c r="AB208" s="15">
        <v>7</v>
      </c>
      <c r="AC208" s="15">
        <v>1</v>
      </c>
      <c r="AD208" s="15">
        <v>6</v>
      </c>
      <c r="AE208" s="15">
        <v>0.16279</v>
      </c>
      <c r="AF208" s="15">
        <v>1</v>
      </c>
      <c r="AG208" s="15">
        <v>2</v>
      </c>
      <c r="AH208" s="15">
        <v>50</v>
      </c>
      <c r="AI208" s="15">
        <v>10</v>
      </c>
      <c r="AJ208" s="15">
        <v>10</v>
      </c>
      <c r="AK208" s="15">
        <v>8</v>
      </c>
      <c r="AL208" s="15">
        <v>12.5</v>
      </c>
      <c r="AM208" s="15">
        <v>3</v>
      </c>
      <c r="AN208" s="15">
        <v>100</v>
      </c>
      <c r="AO208" s="15">
        <v>0.02326</v>
      </c>
      <c r="AP208" s="15">
        <v>14.29</v>
      </c>
      <c r="AQ208" s="15">
        <v>3</v>
      </c>
      <c r="AR208" s="15">
        <v>149.7</v>
      </c>
      <c r="AS208" s="15">
        <v>0</v>
      </c>
      <c r="AT208" s="15">
        <v>1</v>
      </c>
      <c r="AU208" s="15">
        <v>0</v>
      </c>
      <c r="AV208" s="15">
        <v>0</v>
      </c>
      <c r="AW208" s="15">
        <v>0</v>
      </c>
      <c r="AX208" s="15">
        <v>1</v>
      </c>
      <c r="AY208" s="15">
        <v>255</v>
      </c>
      <c r="AZ208" s="15">
        <v>62</v>
      </c>
      <c r="BA208" s="15">
        <v>38</v>
      </c>
      <c r="BB208" s="15">
        <v>0.6129</v>
      </c>
      <c r="BC208" s="15">
        <v>0</v>
      </c>
      <c r="BD208" s="15">
        <v>0</v>
      </c>
      <c r="BE208" s="15">
        <v>0.25323</v>
      </c>
      <c r="BF208" s="15">
        <v>135</v>
      </c>
      <c r="BG208" s="15">
        <v>4</v>
      </c>
      <c r="BH208" s="15">
        <v>1</v>
      </c>
      <c r="BI208" s="15">
        <v>1</v>
      </c>
      <c r="BJ208" s="15">
        <v>0</v>
      </c>
      <c r="BK208" s="15">
        <v>0</v>
      </c>
      <c r="BL208" s="15">
        <v>0</v>
      </c>
      <c r="BM208" s="15">
        <v>1</v>
      </c>
      <c r="BN208" s="15">
        <v>2</v>
      </c>
      <c r="BO208" s="15">
        <v>65.35</v>
      </c>
      <c r="BP208" s="15">
        <v>6</v>
      </c>
      <c r="BQ208" s="15">
        <v>198</v>
      </c>
    </row>
    <row r="209" spans="1:69">
      <c r="A209" s="16">
        <v>46059</v>
      </c>
      <c r="B209" s="15">
        <v>372</v>
      </c>
      <c r="C209" s="15" t="s">
        <v>37</v>
      </c>
      <c r="D209" s="15">
        <v>372</v>
      </c>
      <c r="E209" s="15" t="s">
        <v>61</v>
      </c>
      <c r="F209" s="15">
        <v>278</v>
      </c>
      <c r="G209" s="15">
        <v>11</v>
      </c>
      <c r="H209" s="15">
        <v>20.9</v>
      </c>
      <c r="I209" s="15">
        <v>0.03957</v>
      </c>
      <c r="J209" s="15">
        <v>1.9</v>
      </c>
      <c r="K209" s="15">
        <v>75.18</v>
      </c>
      <c r="L209" s="15">
        <v>0</v>
      </c>
      <c r="M209" s="15">
        <v>0</v>
      </c>
      <c r="N209" s="15">
        <v>0</v>
      </c>
      <c r="O209" s="15">
        <v>0</v>
      </c>
      <c r="P209" s="15">
        <v>0</v>
      </c>
      <c r="Q209" s="15">
        <v>0</v>
      </c>
      <c r="R209" s="15">
        <v>0</v>
      </c>
      <c r="S209" s="15">
        <v>0</v>
      </c>
      <c r="T209" s="15">
        <v>0</v>
      </c>
      <c r="U209" s="15">
        <v>0</v>
      </c>
      <c r="V209" s="15">
        <v>0</v>
      </c>
      <c r="W209" s="15">
        <v>0</v>
      </c>
      <c r="X209" s="15">
        <v>0</v>
      </c>
      <c r="Y209" s="15">
        <v>0</v>
      </c>
      <c r="Z209" s="15">
        <v>0</v>
      </c>
      <c r="AA209" s="15"/>
      <c r="AB209" s="15">
        <v>1</v>
      </c>
      <c r="AC209" s="15">
        <v>1</v>
      </c>
      <c r="AD209" s="15">
        <v>0</v>
      </c>
      <c r="AE209" s="15">
        <v>0.09091</v>
      </c>
      <c r="AF209" s="15">
        <v>0</v>
      </c>
      <c r="AG209" s="15">
        <v>0</v>
      </c>
      <c r="AH209" s="15"/>
      <c r="AI209" s="15">
        <v>1</v>
      </c>
      <c r="AJ209" s="15">
        <v>20.9</v>
      </c>
      <c r="AK209" s="15">
        <v>1</v>
      </c>
      <c r="AL209" s="15">
        <v>20.9</v>
      </c>
      <c r="AM209" s="15">
        <v>0</v>
      </c>
      <c r="AN209" s="15"/>
      <c r="AO209" s="15">
        <v>0</v>
      </c>
      <c r="AP209" s="15">
        <v>20.9</v>
      </c>
      <c r="AQ209" s="15">
        <v>0</v>
      </c>
      <c r="AR209" s="15">
        <v>0</v>
      </c>
      <c r="AS209" s="15">
        <v>0</v>
      </c>
      <c r="AT209" s="15">
        <v>0</v>
      </c>
      <c r="AU209" s="15">
        <v>0</v>
      </c>
      <c r="AV209" s="15">
        <v>0</v>
      </c>
      <c r="AW209" s="15">
        <v>0</v>
      </c>
      <c r="AX209" s="15">
        <v>0</v>
      </c>
      <c r="AY209" s="15">
        <v>28</v>
      </c>
      <c r="AZ209" s="15">
        <v>10</v>
      </c>
      <c r="BA209" s="15">
        <v>10</v>
      </c>
      <c r="BB209" s="15">
        <v>1</v>
      </c>
      <c r="BC209" s="15">
        <v>0</v>
      </c>
      <c r="BD209" s="15">
        <v>0</v>
      </c>
      <c r="BE209" s="15">
        <v>0.10072</v>
      </c>
      <c r="BF209" s="15">
        <v>17</v>
      </c>
      <c r="BG209" s="15">
        <v>3</v>
      </c>
      <c r="BH209" s="15">
        <v>0</v>
      </c>
      <c r="BI209" s="15"/>
      <c r="BJ209" s="15">
        <v>0</v>
      </c>
      <c r="BK209" s="15">
        <v>0</v>
      </c>
      <c r="BL209" s="15">
        <v>0</v>
      </c>
      <c r="BM209" s="15">
        <v>0</v>
      </c>
      <c r="BN209" s="15"/>
      <c r="BO209" s="15"/>
      <c r="BP209" s="15">
        <v>0.95</v>
      </c>
      <c r="BQ209" s="15">
        <v>15</v>
      </c>
    </row>
    <row r="210" spans="1:69">
      <c r="A210" s="16">
        <v>46059</v>
      </c>
      <c r="B210" s="15">
        <v>371</v>
      </c>
      <c r="C210" s="15" t="s">
        <v>32</v>
      </c>
      <c r="D210" s="15">
        <v>371</v>
      </c>
      <c r="E210" s="15" t="s">
        <v>32</v>
      </c>
      <c r="F210" s="15">
        <v>4017</v>
      </c>
      <c r="G210" s="15">
        <v>100</v>
      </c>
      <c r="H210" s="15">
        <v>32.41</v>
      </c>
      <c r="I210" s="15">
        <v>0.02489</v>
      </c>
      <c r="J210" s="15">
        <v>0.32</v>
      </c>
      <c r="K210" s="15">
        <v>8.07</v>
      </c>
      <c r="L210" s="15">
        <v>0</v>
      </c>
      <c r="M210" s="15">
        <v>0</v>
      </c>
      <c r="N210" s="15">
        <v>0</v>
      </c>
      <c r="O210" s="15">
        <v>0</v>
      </c>
      <c r="P210" s="15">
        <v>0</v>
      </c>
      <c r="Q210" s="15">
        <v>0</v>
      </c>
      <c r="R210" s="15">
        <v>0</v>
      </c>
      <c r="S210" s="15">
        <v>75.45</v>
      </c>
      <c r="T210" s="15">
        <v>75.45</v>
      </c>
      <c r="U210" s="15">
        <v>2</v>
      </c>
      <c r="V210" s="15">
        <v>0</v>
      </c>
      <c r="W210" s="15">
        <v>2</v>
      </c>
      <c r="X210" s="15">
        <v>0.02</v>
      </c>
      <c r="Y210" s="15">
        <v>2.33</v>
      </c>
      <c r="Z210" s="15">
        <v>2.33</v>
      </c>
      <c r="AA210" s="15">
        <v>16.21</v>
      </c>
      <c r="AB210" s="15">
        <v>7</v>
      </c>
      <c r="AC210" s="15">
        <v>1</v>
      </c>
      <c r="AD210" s="15">
        <v>6</v>
      </c>
      <c r="AE210" s="15">
        <v>0.07</v>
      </c>
      <c r="AF210" s="15">
        <v>1</v>
      </c>
      <c r="AG210" s="15">
        <v>0</v>
      </c>
      <c r="AH210" s="15"/>
      <c r="AI210" s="15">
        <v>8</v>
      </c>
      <c r="AJ210" s="15">
        <v>4.05</v>
      </c>
      <c r="AK210" s="15">
        <v>8</v>
      </c>
      <c r="AL210" s="15">
        <v>4.05</v>
      </c>
      <c r="AM210" s="15">
        <v>1</v>
      </c>
      <c r="AN210" s="15">
        <v>32.41</v>
      </c>
      <c r="AO210" s="15">
        <v>0.01</v>
      </c>
      <c r="AP210" s="15">
        <v>4.63</v>
      </c>
      <c r="AQ210" s="15">
        <v>3</v>
      </c>
      <c r="AR210" s="15">
        <v>167.9</v>
      </c>
      <c r="AS210" s="15">
        <v>0</v>
      </c>
      <c r="AT210" s="15">
        <v>1</v>
      </c>
      <c r="AU210" s="15">
        <v>0</v>
      </c>
      <c r="AV210" s="15">
        <v>0</v>
      </c>
      <c r="AW210" s="15">
        <v>0</v>
      </c>
      <c r="AX210" s="15">
        <v>2</v>
      </c>
      <c r="AY210" s="15">
        <v>194</v>
      </c>
      <c r="AZ210" s="15">
        <v>97</v>
      </c>
      <c r="BA210" s="15">
        <v>87</v>
      </c>
      <c r="BB210" s="15">
        <v>0.89691</v>
      </c>
      <c r="BC210" s="15">
        <v>0</v>
      </c>
      <c r="BD210" s="15">
        <v>0</v>
      </c>
      <c r="BE210" s="15">
        <v>0.04829</v>
      </c>
      <c r="BF210" s="15">
        <v>84</v>
      </c>
      <c r="BG210" s="15">
        <v>2</v>
      </c>
      <c r="BH210" s="15">
        <v>1</v>
      </c>
      <c r="BI210" s="15">
        <v>0.5</v>
      </c>
      <c r="BJ210" s="15">
        <v>0</v>
      </c>
      <c r="BK210" s="15">
        <v>0</v>
      </c>
      <c r="BL210" s="15">
        <v>0</v>
      </c>
      <c r="BM210" s="15">
        <v>2</v>
      </c>
      <c r="BN210" s="15">
        <v>1</v>
      </c>
      <c r="BO210" s="15">
        <v>37.73</v>
      </c>
      <c r="BP210" s="15">
        <v>29.24</v>
      </c>
      <c r="BQ210" s="15">
        <v>407</v>
      </c>
    </row>
    <row r="211" spans="1:69">
      <c r="A211" s="16">
        <v>46059</v>
      </c>
      <c r="B211" s="15">
        <v>479</v>
      </c>
      <c r="C211" s="15" t="s">
        <v>39</v>
      </c>
      <c r="D211" s="15">
        <v>479</v>
      </c>
      <c r="E211" s="15" t="s">
        <v>39</v>
      </c>
      <c r="F211" s="15">
        <v>106</v>
      </c>
      <c r="G211" s="15">
        <v>47</v>
      </c>
      <c r="H211" s="15">
        <v>32.32</v>
      </c>
      <c r="I211" s="15">
        <v>0.4434</v>
      </c>
      <c r="J211" s="15">
        <v>0.69</v>
      </c>
      <c r="K211" s="15">
        <v>304.92</v>
      </c>
      <c r="L211" s="15">
        <v>0</v>
      </c>
      <c r="M211" s="15">
        <v>0</v>
      </c>
      <c r="N211" s="15">
        <v>0</v>
      </c>
      <c r="O211" s="15">
        <v>0</v>
      </c>
      <c r="P211" s="15">
        <v>0</v>
      </c>
      <c r="Q211" s="15">
        <v>0</v>
      </c>
      <c r="R211" s="15">
        <v>0</v>
      </c>
      <c r="S211" s="15">
        <v>1746.96</v>
      </c>
      <c r="T211" s="15">
        <v>1746.96</v>
      </c>
      <c r="U211" s="15">
        <v>7</v>
      </c>
      <c r="V211" s="15">
        <v>0</v>
      </c>
      <c r="W211" s="15">
        <v>7</v>
      </c>
      <c r="X211" s="15">
        <v>0.14894</v>
      </c>
      <c r="Y211" s="15">
        <v>54.05</v>
      </c>
      <c r="Z211" s="15">
        <v>54.05</v>
      </c>
      <c r="AA211" s="15">
        <v>4.62</v>
      </c>
      <c r="AB211" s="15">
        <v>21</v>
      </c>
      <c r="AC211" s="15">
        <v>1</v>
      </c>
      <c r="AD211" s="15">
        <v>20</v>
      </c>
      <c r="AE211" s="15">
        <v>0.44681</v>
      </c>
      <c r="AF211" s="15">
        <v>1</v>
      </c>
      <c r="AG211" s="15">
        <v>1</v>
      </c>
      <c r="AH211" s="15">
        <v>32.32</v>
      </c>
      <c r="AI211" s="15">
        <v>23</v>
      </c>
      <c r="AJ211" s="15">
        <v>1.41</v>
      </c>
      <c r="AK211" s="15">
        <v>22</v>
      </c>
      <c r="AL211" s="15">
        <v>1.47</v>
      </c>
      <c r="AM211" s="15">
        <v>2</v>
      </c>
      <c r="AN211" s="15">
        <v>32.32</v>
      </c>
      <c r="AO211" s="15">
        <v>0.02128</v>
      </c>
      <c r="AP211" s="15">
        <v>1.54</v>
      </c>
      <c r="AQ211" s="15">
        <v>10</v>
      </c>
      <c r="AR211" s="15">
        <v>2508.7</v>
      </c>
      <c r="AS211" s="15">
        <v>0</v>
      </c>
      <c r="AT211" s="15">
        <v>1</v>
      </c>
      <c r="AU211" s="15">
        <v>0</v>
      </c>
      <c r="AV211" s="15">
        <v>0</v>
      </c>
      <c r="AW211" s="15">
        <v>0</v>
      </c>
      <c r="AX211" s="15">
        <v>3</v>
      </c>
      <c r="AY211" s="15">
        <v>482</v>
      </c>
      <c r="AZ211" s="15">
        <v>39</v>
      </c>
      <c r="BA211" s="15">
        <v>23</v>
      </c>
      <c r="BB211" s="15">
        <v>0.58974</v>
      </c>
      <c r="BC211" s="15">
        <v>0</v>
      </c>
      <c r="BD211" s="15">
        <v>0</v>
      </c>
      <c r="BE211" s="15">
        <v>4.54717</v>
      </c>
      <c r="BF211" s="15">
        <v>433</v>
      </c>
      <c r="BG211" s="15">
        <v>12</v>
      </c>
      <c r="BH211" s="15">
        <v>3</v>
      </c>
      <c r="BI211" s="15">
        <v>0.75</v>
      </c>
      <c r="BJ211" s="15">
        <v>0</v>
      </c>
      <c r="BK211" s="15">
        <v>0</v>
      </c>
      <c r="BL211" s="15">
        <v>0</v>
      </c>
      <c r="BM211" s="15">
        <v>4</v>
      </c>
      <c r="BN211" s="15">
        <v>2</v>
      </c>
      <c r="BO211" s="15">
        <v>436.74</v>
      </c>
      <c r="BP211" s="15">
        <v>28.46</v>
      </c>
      <c r="BQ211" s="15">
        <v>882</v>
      </c>
    </row>
    <row r="212" spans="1:69">
      <c r="A212" s="16">
        <v>46059</v>
      </c>
      <c r="B212" s="15">
        <v>436</v>
      </c>
      <c r="C212" s="15" t="s">
        <v>38</v>
      </c>
      <c r="D212" s="15">
        <v>436</v>
      </c>
      <c r="E212" s="15" t="s">
        <v>38</v>
      </c>
      <c r="F212" s="15">
        <v>759</v>
      </c>
      <c r="G212" s="15">
        <v>38</v>
      </c>
      <c r="H212" s="15">
        <v>75.5</v>
      </c>
      <c r="I212" s="15">
        <v>0.05007</v>
      </c>
      <c r="J212" s="15">
        <v>1.99</v>
      </c>
      <c r="K212" s="15">
        <v>99.47</v>
      </c>
      <c r="L212" s="15">
        <v>0</v>
      </c>
      <c r="M212" s="15">
        <v>0</v>
      </c>
      <c r="N212" s="15">
        <v>0</v>
      </c>
      <c r="O212" s="15">
        <v>0</v>
      </c>
      <c r="P212" s="15">
        <v>0</v>
      </c>
      <c r="Q212" s="15">
        <v>0</v>
      </c>
      <c r="R212" s="15">
        <v>0</v>
      </c>
      <c r="S212" s="15">
        <v>779.48</v>
      </c>
      <c r="T212" s="15">
        <v>779.48</v>
      </c>
      <c r="U212" s="15">
        <v>5</v>
      </c>
      <c r="V212" s="15">
        <v>0</v>
      </c>
      <c r="W212" s="15">
        <v>5</v>
      </c>
      <c r="X212" s="15">
        <v>0.13158</v>
      </c>
      <c r="Y212" s="15">
        <v>10.32</v>
      </c>
      <c r="Z212" s="15">
        <v>10.32</v>
      </c>
      <c r="AA212" s="15">
        <v>15.1</v>
      </c>
      <c r="AB212" s="15">
        <v>15</v>
      </c>
      <c r="AC212" s="15">
        <v>2</v>
      </c>
      <c r="AD212" s="15">
        <v>13</v>
      </c>
      <c r="AE212" s="15">
        <v>0.39474</v>
      </c>
      <c r="AF212" s="15">
        <v>0</v>
      </c>
      <c r="AG212" s="15">
        <v>0</v>
      </c>
      <c r="AH212" s="15"/>
      <c r="AI212" s="15">
        <v>15</v>
      </c>
      <c r="AJ212" s="15">
        <v>5.03</v>
      </c>
      <c r="AK212" s="15">
        <v>15</v>
      </c>
      <c r="AL212" s="15">
        <v>5.03</v>
      </c>
      <c r="AM212" s="15">
        <v>0</v>
      </c>
      <c r="AN212" s="15"/>
      <c r="AO212" s="15">
        <v>0</v>
      </c>
      <c r="AP212" s="15">
        <v>5.03</v>
      </c>
      <c r="AQ212" s="15">
        <v>8</v>
      </c>
      <c r="AR212" s="15">
        <v>1220.8</v>
      </c>
      <c r="AS212" s="15">
        <v>0</v>
      </c>
      <c r="AT212" s="15">
        <v>0</v>
      </c>
      <c r="AU212" s="15">
        <v>0</v>
      </c>
      <c r="AV212" s="15">
        <v>0</v>
      </c>
      <c r="AW212" s="15">
        <v>0</v>
      </c>
      <c r="AX212" s="15">
        <v>1</v>
      </c>
      <c r="AY212" s="15">
        <v>197</v>
      </c>
      <c r="AZ212" s="15">
        <v>35</v>
      </c>
      <c r="BA212" s="15">
        <v>25</v>
      </c>
      <c r="BB212" s="15">
        <v>0.71429</v>
      </c>
      <c r="BC212" s="15">
        <v>0</v>
      </c>
      <c r="BD212" s="15">
        <v>0</v>
      </c>
      <c r="BE212" s="15">
        <v>0.25955</v>
      </c>
      <c r="BF212" s="15">
        <v>159</v>
      </c>
      <c r="BG212" s="15">
        <v>6</v>
      </c>
      <c r="BH212" s="15">
        <v>2</v>
      </c>
      <c r="BI212" s="15">
        <v>1</v>
      </c>
      <c r="BJ212" s="15">
        <v>0</v>
      </c>
      <c r="BK212" s="15">
        <v>0</v>
      </c>
      <c r="BL212" s="15">
        <v>0</v>
      </c>
      <c r="BM212" s="15">
        <v>2</v>
      </c>
      <c r="BN212" s="15">
        <v>3</v>
      </c>
      <c r="BO212" s="15">
        <v>389.74</v>
      </c>
      <c r="BP212" s="15">
        <v>180.9</v>
      </c>
      <c r="BQ212" s="15">
        <v>918</v>
      </c>
    </row>
    <row r="213" spans="1:69">
      <c r="A213" s="16">
        <v>46058</v>
      </c>
      <c r="B213" s="15">
        <v>436</v>
      </c>
      <c r="C213" s="15" t="s">
        <v>38</v>
      </c>
      <c r="D213" s="15">
        <v>436</v>
      </c>
      <c r="E213" s="15" t="s">
        <v>38</v>
      </c>
      <c r="F213" s="15">
        <v>946</v>
      </c>
      <c r="G213" s="15">
        <v>49</v>
      </c>
      <c r="H213" s="15">
        <v>80</v>
      </c>
      <c r="I213" s="15">
        <v>0.0518</v>
      </c>
      <c r="J213" s="15">
        <v>1.63</v>
      </c>
      <c r="K213" s="15">
        <v>84.57</v>
      </c>
      <c r="L213" s="15">
        <v>0</v>
      </c>
      <c r="M213" s="15">
        <v>0</v>
      </c>
      <c r="N213" s="15">
        <v>0</v>
      </c>
      <c r="O213" s="15">
        <v>0</v>
      </c>
      <c r="P213" s="15">
        <v>0</v>
      </c>
      <c r="Q213" s="15">
        <v>0</v>
      </c>
      <c r="R213" s="15">
        <v>869.05</v>
      </c>
      <c r="S213" s="15">
        <v>1578.21</v>
      </c>
      <c r="T213" s="15">
        <v>2447.26</v>
      </c>
      <c r="U213" s="15">
        <v>7</v>
      </c>
      <c r="V213" s="15">
        <v>3</v>
      </c>
      <c r="W213" s="15">
        <v>4</v>
      </c>
      <c r="X213" s="15">
        <v>0.14286</v>
      </c>
      <c r="Y213" s="15">
        <v>30.59</v>
      </c>
      <c r="Z213" s="15">
        <v>30.59</v>
      </c>
      <c r="AA213" s="15">
        <v>11.43</v>
      </c>
      <c r="AB213" s="15">
        <v>11</v>
      </c>
      <c r="AC213" s="15">
        <v>5</v>
      </c>
      <c r="AD213" s="15">
        <v>6</v>
      </c>
      <c r="AE213" s="15">
        <v>0.22449</v>
      </c>
      <c r="AF213" s="15">
        <v>1</v>
      </c>
      <c r="AG213" s="15">
        <v>1</v>
      </c>
      <c r="AH213" s="15">
        <v>80</v>
      </c>
      <c r="AI213" s="15">
        <v>13</v>
      </c>
      <c r="AJ213" s="15">
        <v>6.15</v>
      </c>
      <c r="AK213" s="15">
        <v>12</v>
      </c>
      <c r="AL213" s="15">
        <v>6.67</v>
      </c>
      <c r="AM213" s="15">
        <v>2</v>
      </c>
      <c r="AN213" s="15">
        <v>80</v>
      </c>
      <c r="AO213" s="15">
        <v>0.02041</v>
      </c>
      <c r="AP213" s="15">
        <v>7.27</v>
      </c>
      <c r="AQ213" s="15">
        <v>10</v>
      </c>
      <c r="AR213" s="15">
        <v>3265.7</v>
      </c>
      <c r="AS213" s="15">
        <v>1</v>
      </c>
      <c r="AT213" s="15">
        <v>0</v>
      </c>
      <c r="AU213" s="15">
        <v>0</v>
      </c>
      <c r="AV213" s="15">
        <v>0</v>
      </c>
      <c r="AW213" s="15">
        <v>0</v>
      </c>
      <c r="AX213" s="15">
        <v>1</v>
      </c>
      <c r="AY213" s="15">
        <v>103</v>
      </c>
      <c r="AZ213" s="15">
        <v>44</v>
      </c>
      <c r="BA213" s="15">
        <v>34</v>
      </c>
      <c r="BB213" s="15">
        <v>0.77273</v>
      </c>
      <c r="BC213" s="15">
        <v>0</v>
      </c>
      <c r="BD213" s="15">
        <v>0</v>
      </c>
      <c r="BE213" s="15">
        <v>0.10888</v>
      </c>
      <c r="BF213" s="15">
        <v>54</v>
      </c>
      <c r="BG213" s="15">
        <v>2</v>
      </c>
      <c r="BH213" s="15">
        <v>3</v>
      </c>
      <c r="BI213" s="15">
        <v>1</v>
      </c>
      <c r="BJ213" s="15">
        <v>0</v>
      </c>
      <c r="BK213" s="15">
        <v>0</v>
      </c>
      <c r="BL213" s="15">
        <v>0</v>
      </c>
      <c r="BM213" s="15">
        <v>3</v>
      </c>
      <c r="BN213" s="15">
        <v>2</v>
      </c>
      <c r="BO213" s="15">
        <v>815.75</v>
      </c>
      <c r="BP213" s="15">
        <v>8.3</v>
      </c>
      <c r="BQ213" s="15">
        <v>1006</v>
      </c>
    </row>
    <row r="214" spans="1:69">
      <c r="A214" s="16">
        <v>46058</v>
      </c>
      <c r="B214" s="15">
        <v>183</v>
      </c>
      <c r="C214" s="15" t="s">
        <v>40</v>
      </c>
      <c r="D214" s="15">
        <v>183</v>
      </c>
      <c r="E214" s="15" t="s">
        <v>40</v>
      </c>
      <c r="F214" s="15">
        <v>600</v>
      </c>
      <c r="G214" s="15">
        <v>33</v>
      </c>
      <c r="H214" s="15">
        <v>100</v>
      </c>
      <c r="I214" s="15">
        <v>0.055</v>
      </c>
      <c r="J214" s="15">
        <v>3.03</v>
      </c>
      <c r="K214" s="15">
        <v>166.67</v>
      </c>
      <c r="L214" s="15">
        <v>0</v>
      </c>
      <c r="M214" s="15">
        <v>0</v>
      </c>
      <c r="N214" s="15">
        <v>0</v>
      </c>
      <c r="O214" s="15">
        <v>0</v>
      </c>
      <c r="P214" s="15">
        <v>0</v>
      </c>
      <c r="Q214" s="15">
        <v>0</v>
      </c>
      <c r="R214" s="15">
        <v>0</v>
      </c>
      <c r="S214" s="15">
        <v>0</v>
      </c>
      <c r="T214" s="15">
        <v>0</v>
      </c>
      <c r="U214" s="15">
        <v>0</v>
      </c>
      <c r="V214" s="15">
        <v>0</v>
      </c>
      <c r="W214" s="15">
        <v>0</v>
      </c>
      <c r="X214" s="15">
        <v>0</v>
      </c>
      <c r="Y214" s="15">
        <v>0</v>
      </c>
      <c r="Z214" s="15">
        <v>0</v>
      </c>
      <c r="AA214" s="15"/>
      <c r="AB214" s="15">
        <v>3</v>
      </c>
      <c r="AC214" s="15">
        <v>3</v>
      </c>
      <c r="AD214" s="15">
        <v>0</v>
      </c>
      <c r="AE214" s="15">
        <v>0.09091</v>
      </c>
      <c r="AF214" s="15">
        <v>2</v>
      </c>
      <c r="AG214" s="15">
        <v>1</v>
      </c>
      <c r="AH214" s="15">
        <v>100</v>
      </c>
      <c r="AI214" s="15">
        <v>6</v>
      </c>
      <c r="AJ214" s="15">
        <v>16.67</v>
      </c>
      <c r="AK214" s="15">
        <v>5</v>
      </c>
      <c r="AL214" s="15">
        <v>20</v>
      </c>
      <c r="AM214" s="15">
        <v>3</v>
      </c>
      <c r="AN214" s="15">
        <v>50</v>
      </c>
      <c r="AO214" s="15">
        <v>0.06061</v>
      </c>
      <c r="AP214" s="15">
        <v>33.33</v>
      </c>
      <c r="AQ214" s="15">
        <v>1</v>
      </c>
      <c r="AR214" s="15">
        <v>289</v>
      </c>
      <c r="AS214" s="15">
        <v>0</v>
      </c>
      <c r="AT214" s="15">
        <v>2</v>
      </c>
      <c r="AU214" s="15">
        <v>0</v>
      </c>
      <c r="AV214" s="15">
        <v>0</v>
      </c>
      <c r="AW214" s="15">
        <v>0</v>
      </c>
      <c r="AX214" s="15">
        <v>0</v>
      </c>
      <c r="AY214" s="15">
        <v>238</v>
      </c>
      <c r="AZ214" s="15">
        <v>55</v>
      </c>
      <c r="BA214" s="15">
        <v>35</v>
      </c>
      <c r="BB214" s="15">
        <v>0.63636</v>
      </c>
      <c r="BC214" s="15">
        <v>0</v>
      </c>
      <c r="BD214" s="15">
        <v>0</v>
      </c>
      <c r="BE214" s="15">
        <v>0.39667</v>
      </c>
      <c r="BF214" s="15">
        <v>153</v>
      </c>
      <c r="BG214" s="15">
        <v>4</v>
      </c>
      <c r="BH214" s="15">
        <v>0</v>
      </c>
      <c r="BI214" s="15"/>
      <c r="BJ214" s="15">
        <v>0</v>
      </c>
      <c r="BK214" s="15">
        <v>0</v>
      </c>
      <c r="BL214" s="15">
        <v>0</v>
      </c>
      <c r="BM214" s="15">
        <v>0</v>
      </c>
      <c r="BN214" s="15"/>
      <c r="BO214" s="15"/>
      <c r="BP214" s="15">
        <v>230.16</v>
      </c>
      <c r="BQ214" s="15">
        <v>206</v>
      </c>
    </row>
    <row r="215" spans="1:69">
      <c r="A215" s="16">
        <v>46058</v>
      </c>
      <c r="B215" s="15">
        <v>372</v>
      </c>
      <c r="C215" s="15" t="s">
        <v>37</v>
      </c>
      <c r="D215" s="15">
        <v>372</v>
      </c>
      <c r="E215" s="15" t="s">
        <v>61</v>
      </c>
      <c r="F215" s="15">
        <v>167</v>
      </c>
      <c r="G215" s="15">
        <v>15</v>
      </c>
      <c r="H215" s="15">
        <v>42.08</v>
      </c>
      <c r="I215" s="15">
        <v>0.08982</v>
      </c>
      <c r="J215" s="15">
        <v>2.81</v>
      </c>
      <c r="K215" s="15">
        <v>251.98</v>
      </c>
      <c r="L215" s="15">
        <v>0</v>
      </c>
      <c r="M215" s="15">
        <v>0</v>
      </c>
      <c r="N215" s="15">
        <v>0</v>
      </c>
      <c r="O215" s="15">
        <v>0</v>
      </c>
      <c r="P215" s="15">
        <v>0</v>
      </c>
      <c r="Q215" s="15">
        <v>0</v>
      </c>
      <c r="R215" s="15">
        <v>0</v>
      </c>
      <c r="S215" s="15">
        <v>0</v>
      </c>
      <c r="T215" s="15">
        <v>0</v>
      </c>
      <c r="U215" s="15">
        <v>0</v>
      </c>
      <c r="V215" s="15">
        <v>0</v>
      </c>
      <c r="W215" s="15">
        <v>0</v>
      </c>
      <c r="X215" s="15">
        <v>0</v>
      </c>
      <c r="Y215" s="15">
        <v>0</v>
      </c>
      <c r="Z215" s="15">
        <v>0</v>
      </c>
      <c r="AA215" s="15"/>
      <c r="AB215" s="15">
        <v>0</v>
      </c>
      <c r="AC215" s="15">
        <v>0</v>
      </c>
      <c r="AD215" s="15">
        <v>0</v>
      </c>
      <c r="AE215" s="15">
        <v>0</v>
      </c>
      <c r="AF215" s="15">
        <v>1</v>
      </c>
      <c r="AG215" s="15">
        <v>0</v>
      </c>
      <c r="AH215" s="15"/>
      <c r="AI215" s="15">
        <v>1</v>
      </c>
      <c r="AJ215" s="15">
        <v>42.08</v>
      </c>
      <c r="AK215" s="15">
        <v>1</v>
      </c>
      <c r="AL215" s="15">
        <v>42.08</v>
      </c>
      <c r="AM215" s="15">
        <v>1</v>
      </c>
      <c r="AN215" s="15">
        <v>42.08</v>
      </c>
      <c r="AO215" s="15">
        <v>0.06667</v>
      </c>
      <c r="AP215" s="15"/>
      <c r="AQ215" s="15">
        <v>0</v>
      </c>
      <c r="AR215" s="15">
        <v>0</v>
      </c>
      <c r="AS215" s="15">
        <v>1</v>
      </c>
      <c r="AT215" s="15">
        <v>0</v>
      </c>
      <c r="AU215" s="15">
        <v>0</v>
      </c>
      <c r="AV215" s="15">
        <v>0</v>
      </c>
      <c r="AW215" s="15">
        <v>0</v>
      </c>
      <c r="AX215" s="15">
        <v>0</v>
      </c>
      <c r="AY215" s="15">
        <v>58</v>
      </c>
      <c r="AZ215" s="15">
        <v>12</v>
      </c>
      <c r="BA215" s="15">
        <v>11</v>
      </c>
      <c r="BB215" s="15">
        <v>0.91667</v>
      </c>
      <c r="BC215" s="15">
        <v>0</v>
      </c>
      <c r="BD215" s="15">
        <v>0</v>
      </c>
      <c r="BE215" s="15">
        <v>0.34731</v>
      </c>
      <c r="BF215" s="15">
        <v>43</v>
      </c>
      <c r="BG215" s="15">
        <v>5</v>
      </c>
      <c r="BH215" s="15">
        <v>0</v>
      </c>
      <c r="BI215" s="15"/>
      <c r="BJ215" s="15">
        <v>0</v>
      </c>
      <c r="BK215" s="15">
        <v>0</v>
      </c>
      <c r="BL215" s="15">
        <v>0</v>
      </c>
      <c r="BM215" s="15">
        <v>0</v>
      </c>
      <c r="BN215" s="15"/>
      <c r="BO215" s="15"/>
      <c r="BP215" s="15">
        <v>11.45</v>
      </c>
      <c r="BQ215" s="15">
        <v>35</v>
      </c>
    </row>
    <row r="216" spans="1:69">
      <c r="A216" s="16">
        <v>46058</v>
      </c>
      <c r="B216" s="15">
        <v>371</v>
      </c>
      <c r="C216" s="15" t="s">
        <v>32</v>
      </c>
      <c r="D216" s="15">
        <v>371</v>
      </c>
      <c r="E216" s="15" t="s">
        <v>32</v>
      </c>
      <c r="F216" s="15">
        <v>3644</v>
      </c>
      <c r="G216" s="15">
        <v>93</v>
      </c>
      <c r="H216" s="15">
        <v>29.14</v>
      </c>
      <c r="I216" s="15">
        <v>0.02552</v>
      </c>
      <c r="J216" s="15">
        <v>0.31</v>
      </c>
      <c r="K216" s="15">
        <v>8</v>
      </c>
      <c r="L216" s="15">
        <v>0</v>
      </c>
      <c r="M216" s="15">
        <v>0</v>
      </c>
      <c r="N216" s="15">
        <v>0</v>
      </c>
      <c r="O216" s="15">
        <v>0</v>
      </c>
      <c r="P216" s="15">
        <v>0</v>
      </c>
      <c r="Q216" s="15">
        <v>0</v>
      </c>
      <c r="R216" s="15">
        <v>0</v>
      </c>
      <c r="S216" s="15">
        <v>0</v>
      </c>
      <c r="T216" s="15">
        <v>0</v>
      </c>
      <c r="U216" s="15">
        <v>0</v>
      </c>
      <c r="V216" s="15">
        <v>0</v>
      </c>
      <c r="W216" s="15">
        <v>0</v>
      </c>
      <c r="X216" s="15">
        <v>0</v>
      </c>
      <c r="Y216" s="15">
        <v>0</v>
      </c>
      <c r="Z216" s="15">
        <v>0</v>
      </c>
      <c r="AA216" s="15"/>
      <c r="AB216" s="15">
        <v>2</v>
      </c>
      <c r="AC216" s="15">
        <v>2</v>
      </c>
      <c r="AD216" s="15">
        <v>0</v>
      </c>
      <c r="AE216" s="15">
        <v>0.02151</v>
      </c>
      <c r="AF216" s="15">
        <v>0</v>
      </c>
      <c r="AG216" s="15">
        <v>1</v>
      </c>
      <c r="AH216" s="15">
        <v>29.14</v>
      </c>
      <c r="AI216" s="15">
        <v>3</v>
      </c>
      <c r="AJ216" s="15">
        <v>9.71</v>
      </c>
      <c r="AK216" s="15">
        <v>2</v>
      </c>
      <c r="AL216" s="15">
        <v>14.57</v>
      </c>
      <c r="AM216" s="15">
        <v>1</v>
      </c>
      <c r="AN216" s="15"/>
      <c r="AO216" s="15">
        <v>0</v>
      </c>
      <c r="AP216" s="15">
        <v>14.57</v>
      </c>
      <c r="AQ216" s="15">
        <v>0</v>
      </c>
      <c r="AR216" s="15">
        <v>0</v>
      </c>
      <c r="AS216" s="15">
        <v>0</v>
      </c>
      <c r="AT216" s="15">
        <v>0</v>
      </c>
      <c r="AU216" s="15">
        <v>0</v>
      </c>
      <c r="AV216" s="15">
        <v>0</v>
      </c>
      <c r="AW216" s="15">
        <v>0</v>
      </c>
      <c r="AX216" s="15">
        <v>1</v>
      </c>
      <c r="AY216" s="15">
        <v>129</v>
      </c>
      <c r="AZ216" s="15">
        <v>85</v>
      </c>
      <c r="BA216" s="15">
        <v>81</v>
      </c>
      <c r="BB216" s="15">
        <v>0.95294</v>
      </c>
      <c r="BC216" s="15">
        <v>0</v>
      </c>
      <c r="BD216" s="15">
        <v>0</v>
      </c>
      <c r="BE216" s="15">
        <v>0.0354</v>
      </c>
      <c r="BF216" s="15">
        <v>19</v>
      </c>
      <c r="BG216" s="15">
        <v>2</v>
      </c>
      <c r="BH216" s="15">
        <v>0</v>
      </c>
      <c r="BI216" s="15"/>
      <c r="BJ216" s="15">
        <v>0</v>
      </c>
      <c r="BK216" s="15">
        <v>0</v>
      </c>
      <c r="BL216" s="15">
        <v>0</v>
      </c>
      <c r="BM216" s="15">
        <v>0</v>
      </c>
      <c r="BN216" s="15"/>
      <c r="BO216" s="15"/>
      <c r="BP216" s="15">
        <v>225.51</v>
      </c>
      <c r="BQ216" s="15">
        <v>96</v>
      </c>
    </row>
    <row r="217" spans="1:69">
      <c r="A217" s="16">
        <v>46058</v>
      </c>
      <c r="B217" s="15">
        <v>479</v>
      </c>
      <c r="C217" s="15" t="s">
        <v>39</v>
      </c>
      <c r="D217" s="15">
        <v>479</v>
      </c>
      <c r="E217" s="15" t="s">
        <v>39</v>
      </c>
      <c r="F217" s="15">
        <v>73</v>
      </c>
      <c r="G217" s="15">
        <v>33</v>
      </c>
      <c r="H217" s="15">
        <v>21.41</v>
      </c>
      <c r="I217" s="15">
        <v>0.45205</v>
      </c>
      <c r="J217" s="15">
        <v>0.65</v>
      </c>
      <c r="K217" s="15">
        <v>293.35</v>
      </c>
      <c r="L217" s="15">
        <v>0</v>
      </c>
      <c r="M217" s="15">
        <v>0</v>
      </c>
      <c r="N217" s="15">
        <v>0</v>
      </c>
      <c r="O217" s="15">
        <v>0</v>
      </c>
      <c r="P217" s="15">
        <v>0</v>
      </c>
      <c r="Q217" s="15">
        <v>0</v>
      </c>
      <c r="R217" s="15">
        <v>0</v>
      </c>
      <c r="S217" s="15">
        <v>1154.56</v>
      </c>
      <c r="T217" s="15">
        <v>1154.56</v>
      </c>
      <c r="U217" s="15">
        <v>1</v>
      </c>
      <c r="V217" s="15">
        <v>0</v>
      </c>
      <c r="W217" s="15">
        <v>1</v>
      </c>
      <c r="X217" s="15">
        <v>0.0303</v>
      </c>
      <c r="Y217" s="15">
        <v>53.92</v>
      </c>
      <c r="Z217" s="15">
        <v>53.92</v>
      </c>
      <c r="AA217" s="15">
        <v>21.41</v>
      </c>
      <c r="AB217" s="15">
        <v>3</v>
      </c>
      <c r="AC217" s="15">
        <v>0</v>
      </c>
      <c r="AD217" s="15">
        <v>3</v>
      </c>
      <c r="AE217" s="15">
        <v>0.09091</v>
      </c>
      <c r="AF217" s="15">
        <v>1</v>
      </c>
      <c r="AG217" s="15">
        <v>0</v>
      </c>
      <c r="AH217" s="15"/>
      <c r="AI217" s="15">
        <v>4</v>
      </c>
      <c r="AJ217" s="15">
        <v>5.35</v>
      </c>
      <c r="AK217" s="15">
        <v>4</v>
      </c>
      <c r="AL217" s="15">
        <v>5.35</v>
      </c>
      <c r="AM217" s="15">
        <v>1</v>
      </c>
      <c r="AN217" s="15">
        <v>21.41</v>
      </c>
      <c r="AO217" s="15">
        <v>0.0303</v>
      </c>
      <c r="AP217" s="15">
        <v>7.14</v>
      </c>
      <c r="AQ217" s="15">
        <v>3</v>
      </c>
      <c r="AR217" s="15">
        <v>1650.9</v>
      </c>
      <c r="AS217" s="15">
        <v>0</v>
      </c>
      <c r="AT217" s="15">
        <v>1</v>
      </c>
      <c r="AU217" s="15">
        <v>0</v>
      </c>
      <c r="AV217" s="15">
        <v>0</v>
      </c>
      <c r="AW217" s="15">
        <v>0</v>
      </c>
      <c r="AX217" s="15">
        <v>2</v>
      </c>
      <c r="AY217" s="15">
        <v>296</v>
      </c>
      <c r="AZ217" s="15">
        <v>28</v>
      </c>
      <c r="BA217" s="15">
        <v>21</v>
      </c>
      <c r="BB217" s="15">
        <v>0.75</v>
      </c>
      <c r="BC217" s="15">
        <v>0</v>
      </c>
      <c r="BD217" s="15">
        <v>0</v>
      </c>
      <c r="BE217" s="15">
        <v>4.05479</v>
      </c>
      <c r="BF217" s="15">
        <v>261</v>
      </c>
      <c r="BG217" s="15">
        <v>11</v>
      </c>
      <c r="BH217" s="15">
        <v>1</v>
      </c>
      <c r="BI217" s="15">
        <v>1</v>
      </c>
      <c r="BJ217" s="15">
        <v>0</v>
      </c>
      <c r="BK217" s="15">
        <v>0</v>
      </c>
      <c r="BL217" s="15">
        <v>0</v>
      </c>
      <c r="BM217" s="15">
        <v>1</v>
      </c>
      <c r="BN217" s="15">
        <v>1</v>
      </c>
      <c r="BO217" s="15">
        <v>1154.56</v>
      </c>
      <c r="BP217" s="15">
        <v>154.72</v>
      </c>
      <c r="BQ217" s="15">
        <v>250</v>
      </c>
    </row>
    <row r="218" spans="1:69">
      <c r="A218" s="16">
        <v>46057</v>
      </c>
      <c r="B218" s="15">
        <v>183</v>
      </c>
      <c r="C218" s="15" t="s">
        <v>40</v>
      </c>
      <c r="D218" s="15">
        <v>183</v>
      </c>
      <c r="E218" s="15" t="s">
        <v>40</v>
      </c>
      <c r="F218" s="15">
        <v>525</v>
      </c>
      <c r="G218" s="15">
        <v>43</v>
      </c>
      <c r="H218" s="15">
        <v>100</v>
      </c>
      <c r="I218" s="15">
        <v>0.0819</v>
      </c>
      <c r="J218" s="15">
        <v>2.33</v>
      </c>
      <c r="K218" s="15">
        <v>190.48</v>
      </c>
      <c r="L218" s="15">
        <v>0</v>
      </c>
      <c r="M218" s="15">
        <v>0</v>
      </c>
      <c r="N218" s="15">
        <v>0</v>
      </c>
      <c r="O218" s="15">
        <v>0</v>
      </c>
      <c r="P218" s="15">
        <v>0</v>
      </c>
      <c r="Q218" s="15">
        <v>0</v>
      </c>
      <c r="R218" s="15">
        <v>0</v>
      </c>
      <c r="S218" s="15">
        <v>2076</v>
      </c>
      <c r="T218" s="15">
        <v>2076</v>
      </c>
      <c r="U218" s="15">
        <v>1</v>
      </c>
      <c r="V218" s="15">
        <v>0</v>
      </c>
      <c r="W218" s="15">
        <v>1</v>
      </c>
      <c r="X218" s="15">
        <v>0.02326</v>
      </c>
      <c r="Y218" s="15">
        <v>20.76</v>
      </c>
      <c r="Z218" s="15">
        <v>20.76</v>
      </c>
      <c r="AA218" s="15">
        <v>100</v>
      </c>
      <c r="AB218" s="15">
        <v>1</v>
      </c>
      <c r="AC218" s="15">
        <v>0</v>
      </c>
      <c r="AD218" s="15">
        <v>1</v>
      </c>
      <c r="AE218" s="15">
        <v>0.02326</v>
      </c>
      <c r="AF218" s="15">
        <v>4</v>
      </c>
      <c r="AG218" s="15">
        <v>1</v>
      </c>
      <c r="AH218" s="15">
        <v>100</v>
      </c>
      <c r="AI218" s="15">
        <v>6</v>
      </c>
      <c r="AJ218" s="15">
        <v>16.67</v>
      </c>
      <c r="AK218" s="15">
        <v>5</v>
      </c>
      <c r="AL218" s="15">
        <v>20</v>
      </c>
      <c r="AM218" s="15">
        <v>5</v>
      </c>
      <c r="AN218" s="15">
        <v>25</v>
      </c>
      <c r="AO218" s="15">
        <v>0.09302</v>
      </c>
      <c r="AP218" s="15">
        <v>100</v>
      </c>
      <c r="AQ218" s="15">
        <v>2</v>
      </c>
      <c r="AR218" s="15">
        <v>3269</v>
      </c>
      <c r="AS218" s="15">
        <v>0</v>
      </c>
      <c r="AT218" s="15">
        <v>4</v>
      </c>
      <c r="AU218" s="15">
        <v>0</v>
      </c>
      <c r="AV218" s="15">
        <v>0</v>
      </c>
      <c r="AW218" s="15">
        <v>0</v>
      </c>
      <c r="AX218" s="15">
        <v>1</v>
      </c>
      <c r="AY218" s="15">
        <v>263</v>
      </c>
      <c r="AZ218" s="15">
        <v>50</v>
      </c>
      <c r="BA218" s="15">
        <v>26</v>
      </c>
      <c r="BB218" s="15">
        <v>0.52</v>
      </c>
      <c r="BC218" s="15">
        <v>0</v>
      </c>
      <c r="BD218" s="15">
        <v>0</v>
      </c>
      <c r="BE218" s="15">
        <v>0.50095</v>
      </c>
      <c r="BF218" s="15">
        <v>169</v>
      </c>
      <c r="BG218" s="15">
        <v>5</v>
      </c>
      <c r="BH218" s="15">
        <v>1</v>
      </c>
      <c r="BI218" s="15">
        <v>1</v>
      </c>
      <c r="BJ218" s="15">
        <v>0</v>
      </c>
      <c r="BK218" s="15">
        <v>0</v>
      </c>
      <c r="BL218" s="15">
        <v>0</v>
      </c>
      <c r="BM218" s="15">
        <v>1</v>
      </c>
      <c r="BN218" s="15">
        <v>1</v>
      </c>
      <c r="BO218" s="15">
        <v>2076</v>
      </c>
      <c r="BP218" s="15">
        <v>20.2</v>
      </c>
      <c r="BQ218" s="15">
        <v>248</v>
      </c>
    </row>
    <row r="219" spans="1:69">
      <c r="A219" s="16">
        <v>46057</v>
      </c>
      <c r="B219" s="15">
        <v>371</v>
      </c>
      <c r="C219" s="15" t="s">
        <v>32</v>
      </c>
      <c r="D219" s="15">
        <v>371</v>
      </c>
      <c r="E219" s="15" t="s">
        <v>32</v>
      </c>
      <c r="F219" s="15">
        <v>3051</v>
      </c>
      <c r="G219" s="15">
        <v>95</v>
      </c>
      <c r="H219" s="15">
        <v>31.99</v>
      </c>
      <c r="I219" s="15">
        <v>0.03114</v>
      </c>
      <c r="J219" s="15">
        <v>0.34</v>
      </c>
      <c r="K219" s="15">
        <v>10.49</v>
      </c>
      <c r="L219" s="15">
        <v>0</v>
      </c>
      <c r="M219" s="15">
        <v>0</v>
      </c>
      <c r="N219" s="15">
        <v>0</v>
      </c>
      <c r="O219" s="15">
        <v>0</v>
      </c>
      <c r="P219" s="15">
        <v>0</v>
      </c>
      <c r="Q219" s="15">
        <v>0</v>
      </c>
      <c r="R219" s="15">
        <v>0</v>
      </c>
      <c r="S219" s="15">
        <v>0</v>
      </c>
      <c r="T219" s="15">
        <v>0</v>
      </c>
      <c r="U219" s="15">
        <v>0</v>
      </c>
      <c r="V219" s="15">
        <v>0</v>
      </c>
      <c r="W219" s="15">
        <v>0</v>
      </c>
      <c r="X219" s="15">
        <v>0</v>
      </c>
      <c r="Y219" s="15">
        <v>0</v>
      </c>
      <c r="Z219" s="15">
        <v>0</v>
      </c>
      <c r="AA219" s="15"/>
      <c r="AB219" s="15">
        <v>0</v>
      </c>
      <c r="AC219" s="15">
        <v>0</v>
      </c>
      <c r="AD219" s="15">
        <v>0</v>
      </c>
      <c r="AE219" s="15">
        <v>0</v>
      </c>
      <c r="AF219" s="15">
        <v>1</v>
      </c>
      <c r="AG219" s="15">
        <v>0</v>
      </c>
      <c r="AH219" s="15"/>
      <c r="AI219" s="15">
        <v>1</v>
      </c>
      <c r="AJ219" s="15">
        <v>31.99</v>
      </c>
      <c r="AK219" s="15">
        <v>1</v>
      </c>
      <c r="AL219" s="15">
        <v>31.99</v>
      </c>
      <c r="AM219" s="15">
        <v>1</v>
      </c>
      <c r="AN219" s="15">
        <v>31.99</v>
      </c>
      <c r="AO219" s="15">
        <v>0.01053</v>
      </c>
      <c r="AP219" s="15"/>
      <c r="AQ219" s="15">
        <v>0</v>
      </c>
      <c r="AR219" s="15">
        <v>0</v>
      </c>
      <c r="AS219" s="15">
        <v>1</v>
      </c>
      <c r="AT219" s="15">
        <v>0</v>
      </c>
      <c r="AU219" s="15">
        <v>0</v>
      </c>
      <c r="AV219" s="15">
        <v>0</v>
      </c>
      <c r="AW219" s="15">
        <v>0</v>
      </c>
      <c r="AX219" s="15">
        <v>0</v>
      </c>
      <c r="AY219" s="15">
        <v>141</v>
      </c>
      <c r="AZ219" s="15">
        <v>76</v>
      </c>
      <c r="BA219" s="15">
        <v>68</v>
      </c>
      <c r="BB219" s="15">
        <v>0.89474</v>
      </c>
      <c r="BC219" s="15">
        <v>0</v>
      </c>
      <c r="BD219" s="15">
        <v>0</v>
      </c>
      <c r="BE219" s="15">
        <v>0.04621</v>
      </c>
      <c r="BF219" s="15">
        <v>40</v>
      </c>
      <c r="BG219" s="15">
        <v>2</v>
      </c>
      <c r="BH219" s="15">
        <v>0</v>
      </c>
      <c r="BI219" s="15"/>
      <c r="BJ219" s="15">
        <v>0</v>
      </c>
      <c r="BK219" s="15">
        <v>0</v>
      </c>
      <c r="BL219" s="15">
        <v>0</v>
      </c>
      <c r="BM219" s="15">
        <v>0</v>
      </c>
      <c r="BN219" s="15"/>
      <c r="BO219" s="15"/>
      <c r="BP219" s="15">
        <v>0.18</v>
      </c>
      <c r="BQ219" s="15">
        <v>21</v>
      </c>
    </row>
    <row r="220" spans="1:69">
      <c r="A220" s="16">
        <v>46057</v>
      </c>
      <c r="B220" s="15">
        <v>436</v>
      </c>
      <c r="C220" s="15" t="s">
        <v>38</v>
      </c>
      <c r="D220" s="15">
        <v>436</v>
      </c>
      <c r="E220" s="15" t="s">
        <v>38</v>
      </c>
      <c r="F220" s="15">
        <v>1242</v>
      </c>
      <c r="G220" s="15">
        <v>48</v>
      </c>
      <c r="H220" s="15">
        <v>66.86</v>
      </c>
      <c r="I220" s="15">
        <v>0.03865</v>
      </c>
      <c r="J220" s="15">
        <v>1.39</v>
      </c>
      <c r="K220" s="15">
        <v>53.83</v>
      </c>
      <c r="L220" s="15">
        <v>0</v>
      </c>
      <c r="M220" s="15">
        <v>0</v>
      </c>
      <c r="N220" s="15">
        <v>0</v>
      </c>
      <c r="O220" s="15">
        <v>0</v>
      </c>
      <c r="P220" s="15">
        <v>0</v>
      </c>
      <c r="Q220" s="15">
        <v>0</v>
      </c>
      <c r="R220" s="15">
        <v>0</v>
      </c>
      <c r="S220" s="15">
        <v>0</v>
      </c>
      <c r="T220" s="15">
        <v>0</v>
      </c>
      <c r="U220" s="15">
        <v>0</v>
      </c>
      <c r="V220" s="15">
        <v>0</v>
      </c>
      <c r="W220" s="15">
        <v>0</v>
      </c>
      <c r="X220" s="15">
        <v>0</v>
      </c>
      <c r="Y220" s="15">
        <v>0</v>
      </c>
      <c r="Z220" s="15">
        <v>0</v>
      </c>
      <c r="AA220" s="15"/>
      <c r="AB220" s="15">
        <v>0</v>
      </c>
      <c r="AC220" s="15">
        <v>0</v>
      </c>
      <c r="AD220" s="15">
        <v>0</v>
      </c>
      <c r="AE220" s="15">
        <v>0</v>
      </c>
      <c r="AF220" s="15">
        <v>0</v>
      </c>
      <c r="AG220" s="15">
        <v>0</v>
      </c>
      <c r="AH220" s="15"/>
      <c r="AI220" s="15">
        <v>0</v>
      </c>
      <c r="AJ220" s="15"/>
      <c r="AK220" s="15">
        <v>0</v>
      </c>
      <c r="AL220" s="15"/>
      <c r="AM220" s="15">
        <v>0</v>
      </c>
      <c r="AN220" s="15"/>
      <c r="AO220" s="15">
        <v>0</v>
      </c>
      <c r="AP220" s="15"/>
      <c r="AQ220" s="15">
        <v>0</v>
      </c>
      <c r="AR220" s="15">
        <v>0</v>
      </c>
      <c r="AS220" s="15">
        <v>0</v>
      </c>
      <c r="AT220" s="15">
        <v>0</v>
      </c>
      <c r="AU220" s="15">
        <v>0</v>
      </c>
      <c r="AV220" s="15">
        <v>0</v>
      </c>
      <c r="AW220" s="15">
        <v>0</v>
      </c>
      <c r="AX220" s="15">
        <v>0</v>
      </c>
      <c r="AY220" s="15">
        <v>98</v>
      </c>
      <c r="AZ220" s="15">
        <v>46</v>
      </c>
      <c r="BA220" s="15">
        <v>39</v>
      </c>
      <c r="BB220" s="15">
        <v>0.84783</v>
      </c>
      <c r="BC220" s="15">
        <v>0</v>
      </c>
      <c r="BD220" s="15">
        <v>0</v>
      </c>
      <c r="BE220" s="15">
        <v>0.0789</v>
      </c>
      <c r="BF220" s="15">
        <v>49</v>
      </c>
      <c r="BG220" s="15">
        <v>2</v>
      </c>
      <c r="BH220" s="15">
        <v>0</v>
      </c>
      <c r="BI220" s="15"/>
      <c r="BJ220" s="15">
        <v>0</v>
      </c>
      <c r="BK220" s="15">
        <v>0</v>
      </c>
      <c r="BL220" s="15">
        <v>0</v>
      </c>
      <c r="BM220" s="15">
        <v>0</v>
      </c>
      <c r="BN220" s="15"/>
      <c r="BO220" s="15"/>
      <c r="BP220" s="15">
        <v>0.37</v>
      </c>
      <c r="BQ220" s="15">
        <v>133</v>
      </c>
    </row>
    <row r="221" spans="1:69">
      <c r="A221" s="16">
        <v>46057</v>
      </c>
      <c r="B221" s="15">
        <v>372</v>
      </c>
      <c r="C221" s="15" t="s">
        <v>37</v>
      </c>
      <c r="D221" s="15">
        <v>372</v>
      </c>
      <c r="E221" s="15" t="s">
        <v>61</v>
      </c>
      <c r="F221" s="15">
        <v>119</v>
      </c>
      <c r="G221" s="15">
        <v>11</v>
      </c>
      <c r="H221" s="15">
        <v>31.01</v>
      </c>
      <c r="I221" s="15">
        <v>0.09244</v>
      </c>
      <c r="J221" s="15">
        <v>2.82</v>
      </c>
      <c r="K221" s="15">
        <v>260.59</v>
      </c>
      <c r="L221" s="15">
        <v>0</v>
      </c>
      <c r="M221" s="15">
        <v>0</v>
      </c>
      <c r="N221" s="15">
        <v>0</v>
      </c>
      <c r="O221" s="15">
        <v>0</v>
      </c>
      <c r="P221" s="15">
        <v>0</v>
      </c>
      <c r="Q221" s="15">
        <v>0</v>
      </c>
      <c r="R221" s="15">
        <v>0</v>
      </c>
      <c r="S221" s="15">
        <v>27.45</v>
      </c>
      <c r="T221" s="15">
        <v>27.45</v>
      </c>
      <c r="U221" s="15">
        <v>1</v>
      </c>
      <c r="V221" s="15">
        <v>0</v>
      </c>
      <c r="W221" s="15">
        <v>1</v>
      </c>
      <c r="X221" s="15">
        <v>0.09091</v>
      </c>
      <c r="Y221" s="15">
        <v>0.89</v>
      </c>
      <c r="Z221" s="15">
        <v>0.89</v>
      </c>
      <c r="AA221" s="15">
        <v>31.01</v>
      </c>
      <c r="AB221" s="15">
        <v>3</v>
      </c>
      <c r="AC221" s="15">
        <v>0</v>
      </c>
      <c r="AD221" s="15">
        <v>3</v>
      </c>
      <c r="AE221" s="15">
        <v>0.27273</v>
      </c>
      <c r="AF221" s="15">
        <v>0</v>
      </c>
      <c r="AG221" s="15">
        <v>0</v>
      </c>
      <c r="AH221" s="15"/>
      <c r="AI221" s="15">
        <v>3</v>
      </c>
      <c r="AJ221" s="15">
        <v>10.34</v>
      </c>
      <c r="AK221" s="15">
        <v>3</v>
      </c>
      <c r="AL221" s="15">
        <v>10.34</v>
      </c>
      <c r="AM221" s="15">
        <v>0</v>
      </c>
      <c r="AN221" s="15"/>
      <c r="AO221" s="15">
        <v>0</v>
      </c>
      <c r="AP221" s="15">
        <v>10.34</v>
      </c>
      <c r="AQ221" s="15">
        <v>1</v>
      </c>
      <c r="AR221" s="15">
        <v>49.9</v>
      </c>
      <c r="AS221" s="15">
        <v>0</v>
      </c>
      <c r="AT221" s="15">
        <v>0</v>
      </c>
      <c r="AU221" s="15">
        <v>0</v>
      </c>
      <c r="AV221" s="15">
        <v>0</v>
      </c>
      <c r="AW221" s="15">
        <v>0</v>
      </c>
      <c r="AX221" s="15">
        <v>0</v>
      </c>
      <c r="AY221" s="15">
        <v>60</v>
      </c>
      <c r="AZ221" s="15">
        <v>11</v>
      </c>
      <c r="BA221" s="15">
        <v>8</v>
      </c>
      <c r="BB221" s="15">
        <v>0.72727</v>
      </c>
      <c r="BC221" s="15">
        <v>0</v>
      </c>
      <c r="BD221" s="15">
        <v>0</v>
      </c>
      <c r="BE221" s="15">
        <v>0.5042</v>
      </c>
      <c r="BF221" s="15">
        <v>49</v>
      </c>
      <c r="BG221" s="15">
        <v>5</v>
      </c>
      <c r="BH221" s="15">
        <v>1</v>
      </c>
      <c r="BI221" s="15">
        <v>1</v>
      </c>
      <c r="BJ221" s="15">
        <v>0</v>
      </c>
      <c r="BK221" s="15">
        <v>0</v>
      </c>
      <c r="BL221" s="15">
        <v>0</v>
      </c>
      <c r="BM221" s="15">
        <v>1</v>
      </c>
      <c r="BN221" s="15">
        <v>1</v>
      </c>
      <c r="BO221" s="15">
        <v>27.45</v>
      </c>
      <c r="BP221" s="15">
        <v>0.07</v>
      </c>
      <c r="BQ221" s="15">
        <v>63</v>
      </c>
    </row>
    <row r="222" spans="1:69">
      <c r="A222" s="16">
        <v>46057</v>
      </c>
      <c r="B222" s="15">
        <v>479</v>
      </c>
      <c r="C222" s="15" t="s">
        <v>39</v>
      </c>
      <c r="D222" s="15">
        <v>479</v>
      </c>
      <c r="E222" s="15" t="s">
        <v>39</v>
      </c>
      <c r="F222" s="15">
        <v>103</v>
      </c>
      <c r="G222" s="15">
        <v>54</v>
      </c>
      <c r="H222" s="15">
        <v>31.56</v>
      </c>
      <c r="I222" s="15">
        <v>0.52427</v>
      </c>
      <c r="J222" s="15">
        <v>0.58</v>
      </c>
      <c r="K222" s="15">
        <v>306.43</v>
      </c>
      <c r="L222" s="15">
        <v>0</v>
      </c>
      <c r="M222" s="15">
        <v>0</v>
      </c>
      <c r="N222" s="15">
        <v>0</v>
      </c>
      <c r="O222" s="15">
        <v>0</v>
      </c>
      <c r="P222" s="15">
        <v>0</v>
      </c>
      <c r="Q222" s="15">
        <v>0</v>
      </c>
      <c r="R222" s="15">
        <v>0</v>
      </c>
      <c r="S222" s="15">
        <v>3706.31</v>
      </c>
      <c r="T222" s="15">
        <v>3706.31</v>
      </c>
      <c r="U222" s="15">
        <v>6</v>
      </c>
      <c r="V222" s="15">
        <v>0</v>
      </c>
      <c r="W222" s="15">
        <v>6</v>
      </c>
      <c r="X222" s="15">
        <v>0.11111</v>
      </c>
      <c r="Y222" s="15">
        <v>117.43</v>
      </c>
      <c r="Z222" s="15">
        <v>117.43</v>
      </c>
      <c r="AA222" s="15">
        <v>5.26</v>
      </c>
      <c r="AB222" s="15">
        <v>8</v>
      </c>
      <c r="AC222" s="15">
        <v>0</v>
      </c>
      <c r="AD222" s="15">
        <v>8</v>
      </c>
      <c r="AE222" s="15">
        <v>0.14815</v>
      </c>
      <c r="AF222" s="15">
        <v>1</v>
      </c>
      <c r="AG222" s="15">
        <v>2</v>
      </c>
      <c r="AH222" s="15">
        <v>15.78</v>
      </c>
      <c r="AI222" s="15">
        <v>11</v>
      </c>
      <c r="AJ222" s="15">
        <v>2.87</v>
      </c>
      <c r="AK222" s="15">
        <v>9</v>
      </c>
      <c r="AL222" s="15">
        <v>3.51</v>
      </c>
      <c r="AM222" s="15">
        <v>3</v>
      </c>
      <c r="AN222" s="15">
        <v>31.56</v>
      </c>
      <c r="AO222" s="15">
        <v>0.01852</v>
      </c>
      <c r="AP222" s="15">
        <v>3.95</v>
      </c>
      <c r="AQ222" s="15">
        <v>12</v>
      </c>
      <c r="AR222" s="15">
        <v>7835.9</v>
      </c>
      <c r="AS222" s="15">
        <v>0</v>
      </c>
      <c r="AT222" s="15">
        <v>1</v>
      </c>
      <c r="AU222" s="15">
        <v>0</v>
      </c>
      <c r="AV222" s="15">
        <v>0</v>
      </c>
      <c r="AW222" s="15">
        <v>0</v>
      </c>
      <c r="AX222" s="15">
        <v>8</v>
      </c>
      <c r="AY222" s="15">
        <v>580</v>
      </c>
      <c r="AZ222" s="15">
        <v>47</v>
      </c>
      <c r="BA222" s="15">
        <v>30</v>
      </c>
      <c r="BB222" s="15">
        <v>0.6383</v>
      </c>
      <c r="BC222" s="15">
        <v>0</v>
      </c>
      <c r="BD222" s="15">
        <v>0</v>
      </c>
      <c r="BE222" s="15">
        <v>5.63107</v>
      </c>
      <c r="BF222" s="15">
        <v>524</v>
      </c>
      <c r="BG222" s="15">
        <v>12</v>
      </c>
      <c r="BH222" s="15">
        <v>3</v>
      </c>
      <c r="BI222" s="15">
        <v>0.6</v>
      </c>
      <c r="BJ222" s="15">
        <v>0</v>
      </c>
      <c r="BK222" s="15">
        <v>0</v>
      </c>
      <c r="BL222" s="15">
        <v>0</v>
      </c>
      <c r="BM222" s="15">
        <v>5</v>
      </c>
      <c r="BN222" s="15">
        <v>1</v>
      </c>
      <c r="BO222" s="15">
        <v>741.26</v>
      </c>
      <c r="BP222" s="15">
        <v>498.06</v>
      </c>
      <c r="BQ222" s="15">
        <v>5786</v>
      </c>
    </row>
    <row r="223" spans="1:69">
      <c r="A223" s="16">
        <v>46056</v>
      </c>
      <c r="B223" s="15">
        <v>479</v>
      </c>
      <c r="C223" s="15" t="s">
        <v>39</v>
      </c>
      <c r="D223" s="15">
        <v>479</v>
      </c>
      <c r="E223" s="15" t="s">
        <v>39</v>
      </c>
      <c r="F223" s="15">
        <v>67</v>
      </c>
      <c r="G223" s="15">
        <v>28</v>
      </c>
      <c r="H223" s="15">
        <v>19.34</v>
      </c>
      <c r="I223" s="15">
        <v>0.41791</v>
      </c>
      <c r="J223" s="15">
        <v>0.69</v>
      </c>
      <c r="K223" s="15">
        <v>288.63</v>
      </c>
      <c r="L223" s="15">
        <v>0</v>
      </c>
      <c r="M223" s="15">
        <v>0</v>
      </c>
      <c r="N223" s="15">
        <v>0</v>
      </c>
      <c r="O223" s="15">
        <v>0</v>
      </c>
      <c r="P223" s="15">
        <v>0</v>
      </c>
      <c r="Q223" s="15">
        <v>0</v>
      </c>
      <c r="R223" s="15">
        <v>0</v>
      </c>
      <c r="S223" s="15">
        <v>0</v>
      </c>
      <c r="T223" s="15">
        <v>0</v>
      </c>
      <c r="U223" s="15">
        <v>0</v>
      </c>
      <c r="V223" s="15">
        <v>0</v>
      </c>
      <c r="W223" s="15">
        <v>0</v>
      </c>
      <c r="X223" s="15">
        <v>0</v>
      </c>
      <c r="Y223" s="15">
        <v>0</v>
      </c>
      <c r="Z223" s="15">
        <v>0</v>
      </c>
      <c r="AA223" s="15"/>
      <c r="AB223" s="15">
        <v>4</v>
      </c>
      <c r="AC223" s="15">
        <v>1</v>
      </c>
      <c r="AD223" s="15">
        <v>3</v>
      </c>
      <c r="AE223" s="15">
        <v>0.14286</v>
      </c>
      <c r="AF223" s="15">
        <v>0</v>
      </c>
      <c r="AG223" s="15">
        <v>1</v>
      </c>
      <c r="AH223" s="15">
        <v>19.34</v>
      </c>
      <c r="AI223" s="15">
        <v>5</v>
      </c>
      <c r="AJ223" s="15">
        <v>3.87</v>
      </c>
      <c r="AK223" s="15">
        <v>4</v>
      </c>
      <c r="AL223" s="15">
        <v>4.83</v>
      </c>
      <c r="AM223" s="15">
        <v>1</v>
      </c>
      <c r="AN223" s="15"/>
      <c r="AO223" s="15">
        <v>0</v>
      </c>
      <c r="AP223" s="15">
        <v>4.83</v>
      </c>
      <c r="AQ223" s="15">
        <v>2</v>
      </c>
      <c r="AR223" s="15">
        <v>4688</v>
      </c>
      <c r="AS223" s="15">
        <v>0</v>
      </c>
      <c r="AT223" s="15">
        <v>0</v>
      </c>
      <c r="AU223" s="15">
        <v>0</v>
      </c>
      <c r="AV223" s="15">
        <v>0</v>
      </c>
      <c r="AW223" s="15">
        <v>0</v>
      </c>
      <c r="AX223" s="15">
        <v>2</v>
      </c>
      <c r="AY223" s="15">
        <v>257</v>
      </c>
      <c r="AZ223" s="15">
        <v>25</v>
      </c>
      <c r="BA223" s="15">
        <v>20</v>
      </c>
      <c r="BB223" s="15">
        <v>0.8</v>
      </c>
      <c r="BC223" s="15">
        <v>0</v>
      </c>
      <c r="BD223" s="15">
        <v>0</v>
      </c>
      <c r="BE223" s="15">
        <v>3.83582</v>
      </c>
      <c r="BF223" s="15">
        <v>229</v>
      </c>
      <c r="BG223" s="15">
        <v>10</v>
      </c>
      <c r="BH223" s="15">
        <v>0</v>
      </c>
      <c r="BI223" s="15"/>
      <c r="BJ223" s="15">
        <v>0</v>
      </c>
      <c r="BK223" s="15">
        <v>0</v>
      </c>
      <c r="BL223" s="15">
        <v>0</v>
      </c>
      <c r="BM223" s="15">
        <v>0</v>
      </c>
      <c r="BN223" s="15"/>
      <c r="BO223" s="15"/>
      <c r="BP223" s="15">
        <v>31.38</v>
      </c>
      <c r="BQ223" s="15">
        <v>113</v>
      </c>
    </row>
    <row r="224" spans="1:69">
      <c r="A224" s="16">
        <v>46056</v>
      </c>
      <c r="B224" s="15">
        <v>436</v>
      </c>
      <c r="C224" s="15" t="s">
        <v>38</v>
      </c>
      <c r="D224" s="15">
        <v>436</v>
      </c>
      <c r="E224" s="15" t="s">
        <v>38</v>
      </c>
      <c r="F224" s="15">
        <v>535</v>
      </c>
      <c r="G224" s="15">
        <v>37</v>
      </c>
      <c r="H224" s="15">
        <v>72.34</v>
      </c>
      <c r="I224" s="15">
        <v>0.06916</v>
      </c>
      <c r="J224" s="15">
        <v>1.96</v>
      </c>
      <c r="K224" s="15">
        <v>135.21</v>
      </c>
      <c r="L224" s="15">
        <v>0</v>
      </c>
      <c r="M224" s="15">
        <v>0</v>
      </c>
      <c r="N224" s="15">
        <v>0</v>
      </c>
      <c r="O224" s="15">
        <v>0</v>
      </c>
      <c r="P224" s="15">
        <v>0</v>
      </c>
      <c r="Q224" s="15">
        <v>0</v>
      </c>
      <c r="R224" s="15">
        <v>0</v>
      </c>
      <c r="S224" s="15">
        <v>375.76</v>
      </c>
      <c r="T224" s="15">
        <v>375.76</v>
      </c>
      <c r="U224" s="15">
        <v>2</v>
      </c>
      <c r="V224" s="15">
        <v>0</v>
      </c>
      <c r="W224" s="15">
        <v>2</v>
      </c>
      <c r="X224" s="15">
        <v>0.05405</v>
      </c>
      <c r="Y224" s="15">
        <v>5.19</v>
      </c>
      <c r="Z224" s="15">
        <v>5.19</v>
      </c>
      <c r="AA224" s="15">
        <v>36.17</v>
      </c>
      <c r="AB224" s="15">
        <v>6</v>
      </c>
      <c r="AC224" s="15">
        <v>2</v>
      </c>
      <c r="AD224" s="15">
        <v>4</v>
      </c>
      <c r="AE224" s="15">
        <v>0.16216</v>
      </c>
      <c r="AF224" s="15">
        <v>0</v>
      </c>
      <c r="AG224" s="15">
        <v>0</v>
      </c>
      <c r="AH224" s="15"/>
      <c r="AI224" s="15">
        <v>6</v>
      </c>
      <c r="AJ224" s="15">
        <v>12.06</v>
      </c>
      <c r="AK224" s="15">
        <v>6</v>
      </c>
      <c r="AL224" s="15">
        <v>12.06</v>
      </c>
      <c r="AM224" s="15">
        <v>0</v>
      </c>
      <c r="AN224" s="15"/>
      <c r="AO224" s="15">
        <v>0</v>
      </c>
      <c r="AP224" s="15">
        <v>12.06</v>
      </c>
      <c r="AQ224" s="15">
        <v>3</v>
      </c>
      <c r="AR224" s="15">
        <v>526</v>
      </c>
      <c r="AS224" s="15">
        <v>0</v>
      </c>
      <c r="AT224" s="15">
        <v>0</v>
      </c>
      <c r="AU224" s="15">
        <v>0</v>
      </c>
      <c r="AV224" s="15">
        <v>0</v>
      </c>
      <c r="AW224" s="15">
        <v>0</v>
      </c>
      <c r="AX224" s="15">
        <v>1</v>
      </c>
      <c r="AY224" s="15">
        <v>122</v>
      </c>
      <c r="AZ224" s="15">
        <v>31</v>
      </c>
      <c r="BA224" s="15">
        <v>24</v>
      </c>
      <c r="BB224" s="15">
        <v>0.77419</v>
      </c>
      <c r="BC224" s="15">
        <v>0</v>
      </c>
      <c r="BD224" s="15">
        <v>0</v>
      </c>
      <c r="BE224" s="15">
        <v>0.22804</v>
      </c>
      <c r="BF224" s="15">
        <v>85</v>
      </c>
      <c r="BG224" s="15">
        <v>4</v>
      </c>
      <c r="BH224" s="15">
        <v>0</v>
      </c>
      <c r="BI224" s="15">
        <v>0</v>
      </c>
      <c r="BJ224" s="15">
        <v>0</v>
      </c>
      <c r="BK224" s="15">
        <v>0</v>
      </c>
      <c r="BL224" s="15">
        <v>0</v>
      </c>
      <c r="BM224" s="15">
        <v>1</v>
      </c>
      <c r="BN224" s="15">
        <v>2</v>
      </c>
      <c r="BO224" s="15">
        <v>375.76</v>
      </c>
      <c r="BP224" s="15">
        <v>166.38</v>
      </c>
      <c r="BQ224" s="15">
        <v>835</v>
      </c>
    </row>
    <row r="225" spans="1:69">
      <c r="A225" s="16">
        <v>46056</v>
      </c>
      <c r="B225" s="15">
        <v>371</v>
      </c>
      <c r="C225" s="15" t="s">
        <v>32</v>
      </c>
      <c r="D225" s="15">
        <v>371</v>
      </c>
      <c r="E225" s="15" t="s">
        <v>32</v>
      </c>
      <c r="F225" s="15">
        <v>2646</v>
      </c>
      <c r="G225" s="15">
        <v>91</v>
      </c>
      <c r="H225" s="15">
        <v>31.76</v>
      </c>
      <c r="I225" s="15">
        <v>0.03439</v>
      </c>
      <c r="J225" s="15">
        <v>0.35</v>
      </c>
      <c r="K225" s="15">
        <v>12</v>
      </c>
      <c r="L225" s="15">
        <v>0</v>
      </c>
      <c r="M225" s="15">
        <v>0</v>
      </c>
      <c r="N225" s="15">
        <v>0</v>
      </c>
      <c r="O225" s="15">
        <v>0</v>
      </c>
      <c r="P225" s="15">
        <v>0</v>
      </c>
      <c r="Q225" s="15">
        <v>0</v>
      </c>
      <c r="R225" s="15">
        <v>0</v>
      </c>
      <c r="S225" s="15">
        <v>0</v>
      </c>
      <c r="T225" s="15">
        <v>0</v>
      </c>
      <c r="U225" s="15">
        <v>0</v>
      </c>
      <c r="V225" s="15">
        <v>0</v>
      </c>
      <c r="W225" s="15">
        <v>0</v>
      </c>
      <c r="X225" s="15">
        <v>0</v>
      </c>
      <c r="Y225" s="15">
        <v>0</v>
      </c>
      <c r="Z225" s="15">
        <v>0</v>
      </c>
      <c r="AA225" s="15"/>
      <c r="AB225" s="15">
        <v>0</v>
      </c>
      <c r="AC225" s="15">
        <v>0</v>
      </c>
      <c r="AD225" s="15">
        <v>0</v>
      </c>
      <c r="AE225" s="15">
        <v>0</v>
      </c>
      <c r="AF225" s="15">
        <v>1</v>
      </c>
      <c r="AG225" s="15">
        <v>1</v>
      </c>
      <c r="AH225" s="15">
        <v>31.76</v>
      </c>
      <c r="AI225" s="15">
        <v>2</v>
      </c>
      <c r="AJ225" s="15">
        <v>15.88</v>
      </c>
      <c r="AK225" s="15">
        <v>1</v>
      </c>
      <c r="AL225" s="15">
        <v>31.76</v>
      </c>
      <c r="AM225" s="15">
        <v>2</v>
      </c>
      <c r="AN225" s="15">
        <v>31.76</v>
      </c>
      <c r="AO225" s="15">
        <v>0.01099</v>
      </c>
      <c r="AP225" s="15"/>
      <c r="AQ225" s="15">
        <v>0</v>
      </c>
      <c r="AR225" s="15">
        <v>0</v>
      </c>
      <c r="AS225" s="15">
        <v>0</v>
      </c>
      <c r="AT225" s="15">
        <v>1</v>
      </c>
      <c r="AU225" s="15">
        <v>0</v>
      </c>
      <c r="AV225" s="15">
        <v>0</v>
      </c>
      <c r="AW225" s="15">
        <v>0</v>
      </c>
      <c r="AX225" s="15">
        <v>0</v>
      </c>
      <c r="AY225" s="15">
        <v>129</v>
      </c>
      <c r="AZ225" s="15">
        <v>80</v>
      </c>
      <c r="BA225" s="15">
        <v>76</v>
      </c>
      <c r="BB225" s="15">
        <v>0.95</v>
      </c>
      <c r="BC225" s="15">
        <v>0</v>
      </c>
      <c r="BD225" s="15">
        <v>0</v>
      </c>
      <c r="BE225" s="15">
        <v>0.04875</v>
      </c>
      <c r="BF225" s="15">
        <v>39</v>
      </c>
      <c r="BG225" s="15">
        <v>2</v>
      </c>
      <c r="BH225" s="15">
        <v>0</v>
      </c>
      <c r="BI225" s="15"/>
      <c r="BJ225" s="15">
        <v>0</v>
      </c>
      <c r="BK225" s="15">
        <v>0</v>
      </c>
      <c r="BL225" s="15">
        <v>0</v>
      </c>
      <c r="BM225" s="15">
        <v>0</v>
      </c>
      <c r="BN225" s="15"/>
      <c r="BO225" s="15"/>
      <c r="BP225" s="15">
        <v>0</v>
      </c>
      <c r="BQ225" s="15">
        <v>27</v>
      </c>
    </row>
    <row r="226" spans="1:69">
      <c r="A226" s="16">
        <v>46056</v>
      </c>
      <c r="B226" s="15">
        <v>372</v>
      </c>
      <c r="C226" s="15" t="s">
        <v>37</v>
      </c>
      <c r="D226" s="15">
        <v>372</v>
      </c>
      <c r="E226" s="15" t="s">
        <v>61</v>
      </c>
      <c r="F226" s="15">
        <v>533</v>
      </c>
      <c r="G226" s="15">
        <v>15</v>
      </c>
      <c r="H226" s="15">
        <v>37.32</v>
      </c>
      <c r="I226" s="15">
        <v>0.02814</v>
      </c>
      <c r="J226" s="15">
        <v>2.49</v>
      </c>
      <c r="K226" s="15">
        <v>70.02</v>
      </c>
      <c r="L226" s="15">
        <v>0</v>
      </c>
      <c r="M226" s="15">
        <v>0</v>
      </c>
      <c r="N226" s="15">
        <v>0</v>
      </c>
      <c r="O226" s="15">
        <v>0</v>
      </c>
      <c r="P226" s="15">
        <v>0</v>
      </c>
      <c r="Q226" s="15">
        <v>0</v>
      </c>
      <c r="R226" s="15">
        <v>0</v>
      </c>
      <c r="S226" s="15">
        <v>51.4</v>
      </c>
      <c r="T226" s="15">
        <v>51.4</v>
      </c>
      <c r="U226" s="15">
        <v>2</v>
      </c>
      <c r="V226" s="15">
        <v>0</v>
      </c>
      <c r="W226" s="15">
        <v>2</v>
      </c>
      <c r="X226" s="15">
        <v>0.13333</v>
      </c>
      <c r="Y226" s="15">
        <v>1.38</v>
      </c>
      <c r="Z226" s="15">
        <v>1.38</v>
      </c>
      <c r="AA226" s="15">
        <v>18.66</v>
      </c>
      <c r="AB226" s="15">
        <v>8</v>
      </c>
      <c r="AC226" s="15">
        <v>0</v>
      </c>
      <c r="AD226" s="15">
        <v>8</v>
      </c>
      <c r="AE226" s="15">
        <v>0.53333</v>
      </c>
      <c r="AF226" s="15">
        <v>0</v>
      </c>
      <c r="AG226" s="15">
        <v>0</v>
      </c>
      <c r="AH226" s="15"/>
      <c r="AI226" s="15">
        <v>8</v>
      </c>
      <c r="AJ226" s="15">
        <v>4.67</v>
      </c>
      <c r="AK226" s="15">
        <v>8</v>
      </c>
      <c r="AL226" s="15">
        <v>4.67</v>
      </c>
      <c r="AM226" s="15">
        <v>0</v>
      </c>
      <c r="AN226" s="15"/>
      <c r="AO226" s="15">
        <v>0</v>
      </c>
      <c r="AP226" s="15">
        <v>4.67</v>
      </c>
      <c r="AQ226" s="15">
        <v>2</v>
      </c>
      <c r="AR226" s="15">
        <v>78.9</v>
      </c>
      <c r="AS226" s="15">
        <v>0</v>
      </c>
      <c r="AT226" s="15">
        <v>0</v>
      </c>
      <c r="AU226" s="15">
        <v>0</v>
      </c>
      <c r="AV226" s="15">
        <v>0</v>
      </c>
      <c r="AW226" s="15">
        <v>0</v>
      </c>
      <c r="AX226" s="15">
        <v>0</v>
      </c>
      <c r="AY226" s="15">
        <v>73</v>
      </c>
      <c r="AZ226" s="15">
        <v>15</v>
      </c>
      <c r="BA226" s="15">
        <v>12</v>
      </c>
      <c r="BB226" s="15">
        <v>0.8</v>
      </c>
      <c r="BC226" s="15">
        <v>0</v>
      </c>
      <c r="BD226" s="15">
        <v>0</v>
      </c>
      <c r="BE226" s="15">
        <v>0.13696</v>
      </c>
      <c r="BF226" s="15">
        <v>55</v>
      </c>
      <c r="BG226" s="15">
        <v>5</v>
      </c>
      <c r="BH226" s="15">
        <v>1</v>
      </c>
      <c r="BI226" s="15">
        <v>1</v>
      </c>
      <c r="BJ226" s="15">
        <v>0</v>
      </c>
      <c r="BK226" s="15">
        <v>0</v>
      </c>
      <c r="BL226" s="15">
        <v>0</v>
      </c>
      <c r="BM226" s="15">
        <v>1</v>
      </c>
      <c r="BN226" s="15">
        <v>2</v>
      </c>
      <c r="BO226" s="15">
        <v>51.4</v>
      </c>
      <c r="BP226" s="15">
        <v>2.36</v>
      </c>
      <c r="BQ226" s="15">
        <v>114</v>
      </c>
    </row>
    <row r="227" spans="1:69">
      <c r="A227" s="16">
        <v>46056</v>
      </c>
      <c r="B227" s="15">
        <v>183</v>
      </c>
      <c r="C227" s="15" t="s">
        <v>40</v>
      </c>
      <c r="D227" s="15">
        <v>183</v>
      </c>
      <c r="E227" s="15" t="s">
        <v>40</v>
      </c>
      <c r="F227" s="15">
        <v>911</v>
      </c>
      <c r="G227" s="15">
        <v>39</v>
      </c>
      <c r="H227" s="15">
        <v>100</v>
      </c>
      <c r="I227" s="15">
        <v>0.04281</v>
      </c>
      <c r="J227" s="15">
        <v>2.56</v>
      </c>
      <c r="K227" s="15">
        <v>109.77</v>
      </c>
      <c r="L227" s="15">
        <v>0</v>
      </c>
      <c r="M227" s="15">
        <v>0</v>
      </c>
      <c r="N227" s="15">
        <v>0</v>
      </c>
      <c r="O227" s="15">
        <v>0</v>
      </c>
      <c r="P227" s="15">
        <v>0</v>
      </c>
      <c r="Q227" s="15">
        <v>0</v>
      </c>
      <c r="R227" s="15">
        <v>0</v>
      </c>
      <c r="S227" s="15">
        <v>0</v>
      </c>
      <c r="T227" s="15">
        <v>0</v>
      </c>
      <c r="U227" s="15">
        <v>0</v>
      </c>
      <c r="V227" s="15">
        <v>0</v>
      </c>
      <c r="W227" s="15">
        <v>0</v>
      </c>
      <c r="X227" s="15">
        <v>0</v>
      </c>
      <c r="Y227" s="15">
        <v>0</v>
      </c>
      <c r="Z227" s="15">
        <v>0</v>
      </c>
      <c r="AA227" s="15"/>
      <c r="AB227" s="15">
        <v>5</v>
      </c>
      <c r="AC227" s="15">
        <v>2</v>
      </c>
      <c r="AD227" s="15">
        <v>3</v>
      </c>
      <c r="AE227" s="15">
        <v>0.12821</v>
      </c>
      <c r="AF227" s="15">
        <v>3</v>
      </c>
      <c r="AG227" s="15">
        <v>0</v>
      </c>
      <c r="AH227" s="15"/>
      <c r="AI227" s="15">
        <v>8</v>
      </c>
      <c r="AJ227" s="15">
        <v>12.5</v>
      </c>
      <c r="AK227" s="15">
        <v>8</v>
      </c>
      <c r="AL227" s="15">
        <v>12.5</v>
      </c>
      <c r="AM227" s="15">
        <v>3</v>
      </c>
      <c r="AN227" s="15">
        <v>33.33</v>
      </c>
      <c r="AO227" s="15">
        <v>0.07692</v>
      </c>
      <c r="AP227" s="15">
        <v>20</v>
      </c>
      <c r="AQ227" s="15">
        <v>0</v>
      </c>
      <c r="AR227" s="15">
        <v>0</v>
      </c>
      <c r="AS227" s="15">
        <v>2</v>
      </c>
      <c r="AT227" s="15">
        <v>1</v>
      </c>
      <c r="AU227" s="15">
        <v>0</v>
      </c>
      <c r="AV227" s="15">
        <v>0</v>
      </c>
      <c r="AW227" s="15">
        <v>0</v>
      </c>
      <c r="AX227" s="15">
        <v>1</v>
      </c>
      <c r="AY227" s="15">
        <v>183</v>
      </c>
      <c r="AZ227" s="15">
        <v>84</v>
      </c>
      <c r="BA227" s="15">
        <v>64</v>
      </c>
      <c r="BB227" s="15">
        <v>0.7619</v>
      </c>
      <c r="BC227" s="15">
        <v>0</v>
      </c>
      <c r="BD227" s="15">
        <v>0</v>
      </c>
      <c r="BE227" s="15">
        <v>0.20088</v>
      </c>
      <c r="BF227" s="15">
        <v>50</v>
      </c>
      <c r="BG227" s="15">
        <v>2</v>
      </c>
      <c r="BH227" s="15">
        <v>0</v>
      </c>
      <c r="BI227" s="15"/>
      <c r="BJ227" s="15">
        <v>0</v>
      </c>
      <c r="BK227" s="15">
        <v>0</v>
      </c>
      <c r="BL227" s="15">
        <v>0</v>
      </c>
      <c r="BM227" s="15">
        <v>0</v>
      </c>
      <c r="BN227" s="15"/>
      <c r="BO227" s="15"/>
      <c r="BP227" s="15">
        <v>0.37</v>
      </c>
      <c r="BQ227" s="15">
        <v>269</v>
      </c>
    </row>
    <row r="228" spans="1:69">
      <c r="A228" s="16">
        <v>46055</v>
      </c>
      <c r="B228" s="15">
        <v>479</v>
      </c>
      <c r="C228" s="15" t="s">
        <v>39</v>
      </c>
      <c r="D228" s="15">
        <v>479</v>
      </c>
      <c r="E228" s="15" t="s">
        <v>39</v>
      </c>
      <c r="F228" s="15">
        <v>73</v>
      </c>
      <c r="G228" s="15">
        <v>30</v>
      </c>
      <c r="H228" s="15">
        <v>21.38</v>
      </c>
      <c r="I228" s="15">
        <v>0.41096</v>
      </c>
      <c r="J228" s="15">
        <v>0.71</v>
      </c>
      <c r="K228" s="15">
        <v>292.9</v>
      </c>
      <c r="L228" s="15">
        <v>0</v>
      </c>
      <c r="M228" s="15">
        <v>0</v>
      </c>
      <c r="N228" s="15">
        <v>0</v>
      </c>
      <c r="O228" s="15">
        <v>0</v>
      </c>
      <c r="P228" s="15">
        <v>0</v>
      </c>
      <c r="Q228" s="15">
        <v>0</v>
      </c>
      <c r="R228" s="15">
        <v>0</v>
      </c>
      <c r="S228" s="15">
        <v>0</v>
      </c>
      <c r="T228" s="15">
        <v>0</v>
      </c>
      <c r="U228" s="15">
        <v>0</v>
      </c>
      <c r="V228" s="15">
        <v>0</v>
      </c>
      <c r="W228" s="15">
        <v>0</v>
      </c>
      <c r="X228" s="15">
        <v>0</v>
      </c>
      <c r="Y228" s="15">
        <v>0</v>
      </c>
      <c r="Z228" s="15">
        <v>0</v>
      </c>
      <c r="AA228" s="15"/>
      <c r="AB228" s="15">
        <v>1</v>
      </c>
      <c r="AC228" s="15">
        <v>0</v>
      </c>
      <c r="AD228" s="15">
        <v>1</v>
      </c>
      <c r="AE228" s="15">
        <v>0.03333</v>
      </c>
      <c r="AF228" s="15">
        <v>1</v>
      </c>
      <c r="AG228" s="15">
        <v>1</v>
      </c>
      <c r="AH228" s="15">
        <v>21.38</v>
      </c>
      <c r="AI228" s="15">
        <v>3</v>
      </c>
      <c r="AJ228" s="15">
        <v>7.13</v>
      </c>
      <c r="AK228" s="15">
        <v>2</v>
      </c>
      <c r="AL228" s="15">
        <v>10.69</v>
      </c>
      <c r="AM228" s="15">
        <v>2</v>
      </c>
      <c r="AN228" s="15">
        <v>21.38</v>
      </c>
      <c r="AO228" s="15">
        <v>0.03333</v>
      </c>
      <c r="AP228" s="15">
        <v>21.38</v>
      </c>
      <c r="AQ228" s="15">
        <v>0</v>
      </c>
      <c r="AR228" s="15">
        <v>0</v>
      </c>
      <c r="AS228" s="15">
        <v>0</v>
      </c>
      <c r="AT228" s="15">
        <v>1</v>
      </c>
      <c r="AU228" s="15">
        <v>3</v>
      </c>
      <c r="AV228" s="15">
        <v>0</v>
      </c>
      <c r="AW228" s="15">
        <v>0</v>
      </c>
      <c r="AX228" s="15">
        <v>4</v>
      </c>
      <c r="AY228" s="15">
        <v>385</v>
      </c>
      <c r="AZ228" s="15">
        <v>25</v>
      </c>
      <c r="BA228" s="15">
        <v>17</v>
      </c>
      <c r="BB228" s="15">
        <v>0.68</v>
      </c>
      <c r="BC228" s="15">
        <v>0</v>
      </c>
      <c r="BD228" s="15">
        <v>0</v>
      </c>
      <c r="BE228" s="15">
        <v>5.27397</v>
      </c>
      <c r="BF228" s="15">
        <v>354</v>
      </c>
      <c r="BG228" s="15">
        <v>15</v>
      </c>
      <c r="BH228" s="15">
        <v>0</v>
      </c>
      <c r="BI228" s="15"/>
      <c r="BJ228" s="15">
        <v>0</v>
      </c>
      <c r="BK228" s="15">
        <v>0</v>
      </c>
      <c r="BL228" s="15">
        <v>0</v>
      </c>
      <c r="BM228" s="15">
        <v>0</v>
      </c>
      <c r="BN228" s="15"/>
      <c r="BO228" s="15"/>
      <c r="BP228" s="15">
        <v>0.48</v>
      </c>
      <c r="BQ228" s="15">
        <v>916</v>
      </c>
    </row>
    <row r="229" spans="1:69">
      <c r="A229" s="16">
        <v>46055</v>
      </c>
      <c r="B229" s="15">
        <v>183</v>
      </c>
      <c r="C229" s="15" t="s">
        <v>40</v>
      </c>
      <c r="D229" s="15">
        <v>183</v>
      </c>
      <c r="E229" s="15" t="s">
        <v>40</v>
      </c>
      <c r="F229" s="15">
        <v>1311</v>
      </c>
      <c r="G229" s="15">
        <v>53</v>
      </c>
      <c r="H229" s="15">
        <v>100</v>
      </c>
      <c r="I229" s="15">
        <v>0.04043</v>
      </c>
      <c r="J229" s="15">
        <v>1.89</v>
      </c>
      <c r="K229" s="15">
        <v>76.28</v>
      </c>
      <c r="L229" s="15">
        <v>0</v>
      </c>
      <c r="M229" s="15">
        <v>0</v>
      </c>
      <c r="N229" s="15">
        <v>0</v>
      </c>
      <c r="O229" s="15">
        <v>0</v>
      </c>
      <c r="P229" s="15">
        <v>0</v>
      </c>
      <c r="Q229" s="15">
        <v>0</v>
      </c>
      <c r="R229" s="15">
        <v>0</v>
      </c>
      <c r="S229" s="15">
        <v>0</v>
      </c>
      <c r="T229" s="15">
        <v>0</v>
      </c>
      <c r="U229" s="15">
        <v>0</v>
      </c>
      <c r="V229" s="15">
        <v>0</v>
      </c>
      <c r="W229" s="15">
        <v>0</v>
      </c>
      <c r="X229" s="15">
        <v>0</v>
      </c>
      <c r="Y229" s="15">
        <v>0</v>
      </c>
      <c r="Z229" s="15">
        <v>0</v>
      </c>
      <c r="AA229" s="15"/>
      <c r="AB229" s="15">
        <v>5</v>
      </c>
      <c r="AC229" s="15">
        <v>5</v>
      </c>
      <c r="AD229" s="15">
        <v>0</v>
      </c>
      <c r="AE229" s="15">
        <v>0.09434</v>
      </c>
      <c r="AF229" s="15">
        <v>1</v>
      </c>
      <c r="AG229" s="15">
        <v>0</v>
      </c>
      <c r="AH229" s="15"/>
      <c r="AI229" s="15">
        <v>6</v>
      </c>
      <c r="AJ229" s="15">
        <v>16.67</v>
      </c>
      <c r="AK229" s="15">
        <v>6</v>
      </c>
      <c r="AL229" s="15">
        <v>16.67</v>
      </c>
      <c r="AM229" s="15">
        <v>1</v>
      </c>
      <c r="AN229" s="15">
        <v>100</v>
      </c>
      <c r="AO229" s="15">
        <v>0.01887</v>
      </c>
      <c r="AP229" s="15">
        <v>20</v>
      </c>
      <c r="AQ229" s="15">
        <v>0</v>
      </c>
      <c r="AR229" s="15">
        <v>0</v>
      </c>
      <c r="AS229" s="15">
        <v>1</v>
      </c>
      <c r="AT229" s="15">
        <v>0</v>
      </c>
      <c r="AU229" s="15">
        <v>4</v>
      </c>
      <c r="AV229" s="15">
        <v>0</v>
      </c>
      <c r="AW229" s="15">
        <v>0</v>
      </c>
      <c r="AX229" s="15">
        <v>1</v>
      </c>
      <c r="AY229" s="15">
        <v>347</v>
      </c>
      <c r="AZ229" s="15">
        <v>96</v>
      </c>
      <c r="BA229" s="15">
        <v>80</v>
      </c>
      <c r="BB229" s="15">
        <v>0.83333</v>
      </c>
      <c r="BC229" s="15">
        <v>0</v>
      </c>
      <c r="BD229" s="15">
        <v>0</v>
      </c>
      <c r="BE229" s="15">
        <v>0.26468</v>
      </c>
      <c r="BF229" s="15">
        <v>196</v>
      </c>
      <c r="BG229" s="15">
        <v>4</v>
      </c>
      <c r="BH229" s="15">
        <v>0</v>
      </c>
      <c r="BI229" s="15"/>
      <c r="BJ229" s="15">
        <v>0</v>
      </c>
      <c r="BK229" s="15">
        <v>0</v>
      </c>
      <c r="BL229" s="15">
        <v>0</v>
      </c>
      <c r="BM229" s="15">
        <v>0</v>
      </c>
      <c r="BN229" s="15"/>
      <c r="BO229" s="15"/>
      <c r="BP229" s="15">
        <v>9.74</v>
      </c>
      <c r="BQ229" s="15">
        <v>117</v>
      </c>
    </row>
    <row r="230" spans="1:69">
      <c r="A230" s="16">
        <v>46055</v>
      </c>
      <c r="B230" s="15">
        <v>372</v>
      </c>
      <c r="C230" s="15" t="s">
        <v>37</v>
      </c>
      <c r="D230" s="15">
        <v>372</v>
      </c>
      <c r="E230" s="15" t="s">
        <v>61</v>
      </c>
      <c r="F230" s="15">
        <v>835</v>
      </c>
      <c r="G230" s="15">
        <v>28</v>
      </c>
      <c r="H230" s="15">
        <v>60.23</v>
      </c>
      <c r="I230" s="15">
        <v>0.03353</v>
      </c>
      <c r="J230" s="15">
        <v>2.15</v>
      </c>
      <c r="K230" s="15">
        <v>72.13</v>
      </c>
      <c r="L230" s="15">
        <v>0</v>
      </c>
      <c r="M230" s="15">
        <v>0</v>
      </c>
      <c r="N230" s="15">
        <v>0</v>
      </c>
      <c r="O230" s="15">
        <v>0</v>
      </c>
      <c r="P230" s="15">
        <v>0</v>
      </c>
      <c r="Q230" s="15">
        <v>0</v>
      </c>
      <c r="R230" s="15">
        <v>0</v>
      </c>
      <c r="S230" s="15">
        <v>0</v>
      </c>
      <c r="T230" s="15">
        <v>0</v>
      </c>
      <c r="U230" s="15">
        <v>0</v>
      </c>
      <c r="V230" s="15">
        <v>0</v>
      </c>
      <c r="W230" s="15">
        <v>0</v>
      </c>
      <c r="X230" s="15">
        <v>0</v>
      </c>
      <c r="Y230" s="15">
        <v>0</v>
      </c>
      <c r="Z230" s="15">
        <v>0</v>
      </c>
      <c r="AA230" s="15"/>
      <c r="AB230" s="15">
        <v>1</v>
      </c>
      <c r="AC230" s="15">
        <v>0</v>
      </c>
      <c r="AD230" s="15">
        <v>1</v>
      </c>
      <c r="AE230" s="15">
        <v>0.03571</v>
      </c>
      <c r="AF230" s="15">
        <v>0</v>
      </c>
      <c r="AG230" s="15">
        <v>1</v>
      </c>
      <c r="AH230" s="15">
        <v>60.23</v>
      </c>
      <c r="AI230" s="15">
        <v>2</v>
      </c>
      <c r="AJ230" s="15">
        <v>30.12</v>
      </c>
      <c r="AK230" s="15">
        <v>1</v>
      </c>
      <c r="AL230" s="15">
        <v>60.23</v>
      </c>
      <c r="AM230" s="15">
        <v>1</v>
      </c>
      <c r="AN230" s="15"/>
      <c r="AO230" s="15">
        <v>0</v>
      </c>
      <c r="AP230" s="15">
        <v>60.23</v>
      </c>
      <c r="AQ230" s="15">
        <v>0</v>
      </c>
      <c r="AR230" s="15">
        <v>0</v>
      </c>
      <c r="AS230" s="15">
        <v>0</v>
      </c>
      <c r="AT230" s="15">
        <v>0</v>
      </c>
      <c r="AU230" s="15">
        <v>0</v>
      </c>
      <c r="AV230" s="15">
        <v>0</v>
      </c>
      <c r="AW230" s="15">
        <v>0</v>
      </c>
      <c r="AX230" s="15">
        <v>1</v>
      </c>
      <c r="AY230" s="15">
        <v>63</v>
      </c>
      <c r="AZ230" s="15">
        <v>27</v>
      </c>
      <c r="BA230" s="15">
        <v>24</v>
      </c>
      <c r="BB230" s="15">
        <v>0.88889</v>
      </c>
      <c r="BC230" s="15">
        <v>0</v>
      </c>
      <c r="BD230" s="15">
        <v>0</v>
      </c>
      <c r="BE230" s="15">
        <v>0.07545</v>
      </c>
      <c r="BF230" s="15">
        <v>30</v>
      </c>
      <c r="BG230" s="15">
        <v>2</v>
      </c>
      <c r="BH230" s="15">
        <v>0</v>
      </c>
      <c r="BI230" s="15"/>
      <c r="BJ230" s="15">
        <v>0</v>
      </c>
      <c r="BK230" s="15">
        <v>0</v>
      </c>
      <c r="BL230" s="15">
        <v>0</v>
      </c>
      <c r="BM230" s="15">
        <v>0</v>
      </c>
      <c r="BN230" s="15"/>
      <c r="BO230" s="15"/>
      <c r="BP230" s="15">
        <v>3.03</v>
      </c>
      <c r="BQ230" s="15">
        <v>66</v>
      </c>
    </row>
    <row r="231" spans="1:69">
      <c r="A231" s="16">
        <v>46055</v>
      </c>
      <c r="B231" s="15">
        <v>371</v>
      </c>
      <c r="C231" s="15" t="s">
        <v>32</v>
      </c>
      <c r="D231" s="15">
        <v>371</v>
      </c>
      <c r="E231" s="15" t="s">
        <v>32</v>
      </c>
      <c r="F231" s="15">
        <v>2493</v>
      </c>
      <c r="G231" s="15">
        <v>83</v>
      </c>
      <c r="H231" s="15">
        <v>24.1</v>
      </c>
      <c r="I231" s="15">
        <v>0.03329</v>
      </c>
      <c r="J231" s="15">
        <v>0.29</v>
      </c>
      <c r="K231" s="15">
        <v>9.67</v>
      </c>
      <c r="L231" s="15">
        <v>0</v>
      </c>
      <c r="M231" s="15">
        <v>0</v>
      </c>
      <c r="N231" s="15">
        <v>0</v>
      </c>
      <c r="O231" s="15">
        <v>0</v>
      </c>
      <c r="P231" s="15">
        <v>0</v>
      </c>
      <c r="Q231" s="15">
        <v>0</v>
      </c>
      <c r="R231" s="15">
        <v>0</v>
      </c>
      <c r="S231" s="15">
        <v>2358.18</v>
      </c>
      <c r="T231" s="15">
        <v>2358.18</v>
      </c>
      <c r="U231" s="15">
        <v>2</v>
      </c>
      <c r="V231" s="15">
        <v>0</v>
      </c>
      <c r="W231" s="15">
        <v>2</v>
      </c>
      <c r="X231" s="15">
        <v>0.0241</v>
      </c>
      <c r="Y231" s="15">
        <v>97.85</v>
      </c>
      <c r="Z231" s="15">
        <v>97.85</v>
      </c>
      <c r="AA231" s="15">
        <v>12.05</v>
      </c>
      <c r="AB231" s="15">
        <v>2</v>
      </c>
      <c r="AC231" s="15">
        <v>0</v>
      </c>
      <c r="AD231" s="15">
        <v>2</v>
      </c>
      <c r="AE231" s="15">
        <v>0.0241</v>
      </c>
      <c r="AF231" s="15">
        <v>0</v>
      </c>
      <c r="AG231" s="15">
        <v>0</v>
      </c>
      <c r="AH231" s="15"/>
      <c r="AI231" s="15">
        <v>2</v>
      </c>
      <c r="AJ231" s="15">
        <v>12.05</v>
      </c>
      <c r="AK231" s="15">
        <v>2</v>
      </c>
      <c r="AL231" s="15">
        <v>12.05</v>
      </c>
      <c r="AM231" s="15">
        <v>0</v>
      </c>
      <c r="AN231" s="15"/>
      <c r="AO231" s="15">
        <v>0</v>
      </c>
      <c r="AP231" s="15">
        <v>12.05</v>
      </c>
      <c r="AQ231" s="15">
        <v>4</v>
      </c>
      <c r="AR231" s="15">
        <v>3093</v>
      </c>
      <c r="AS231" s="15">
        <v>0</v>
      </c>
      <c r="AT231" s="15">
        <v>0</v>
      </c>
      <c r="AU231" s="15">
        <v>6</v>
      </c>
      <c r="AV231" s="15">
        <v>0</v>
      </c>
      <c r="AW231" s="15">
        <v>0</v>
      </c>
      <c r="AX231" s="15">
        <v>0</v>
      </c>
      <c r="AY231" s="15">
        <v>208</v>
      </c>
      <c r="AZ231" s="15">
        <v>86</v>
      </c>
      <c r="BA231" s="15">
        <v>80</v>
      </c>
      <c r="BB231" s="15">
        <v>0.93023</v>
      </c>
      <c r="BC231" s="15">
        <v>0</v>
      </c>
      <c r="BD231" s="15">
        <v>0</v>
      </c>
      <c r="BE231" s="15">
        <v>0.08343</v>
      </c>
      <c r="BF231" s="15">
        <v>112</v>
      </c>
      <c r="BG231" s="15">
        <v>2</v>
      </c>
      <c r="BH231" s="15">
        <v>1</v>
      </c>
      <c r="BI231" s="15">
        <v>1</v>
      </c>
      <c r="BJ231" s="15">
        <v>0</v>
      </c>
      <c r="BK231" s="15">
        <v>0</v>
      </c>
      <c r="BL231" s="15">
        <v>0</v>
      </c>
      <c r="BM231" s="15">
        <v>1</v>
      </c>
      <c r="BN231" s="15">
        <v>2</v>
      </c>
      <c r="BO231" s="15">
        <v>2358.18</v>
      </c>
      <c r="BP231" s="15">
        <v>1712.24</v>
      </c>
      <c r="BQ231" s="15">
        <v>410</v>
      </c>
    </row>
    <row r="232" spans="1:69">
      <c r="A232" s="16">
        <v>46055</v>
      </c>
      <c r="B232" s="15">
        <v>436</v>
      </c>
      <c r="C232" s="15" t="s">
        <v>38</v>
      </c>
      <c r="D232" s="15">
        <v>436</v>
      </c>
      <c r="E232" s="15" t="s">
        <v>38</v>
      </c>
      <c r="F232" s="15">
        <v>1247</v>
      </c>
      <c r="G232" s="15">
        <v>50</v>
      </c>
      <c r="H232" s="15">
        <v>80</v>
      </c>
      <c r="I232" s="15">
        <v>0.0401</v>
      </c>
      <c r="J232" s="15">
        <v>1.6</v>
      </c>
      <c r="K232" s="15">
        <v>64.15</v>
      </c>
      <c r="L232" s="15">
        <v>0</v>
      </c>
      <c r="M232" s="15">
        <v>0</v>
      </c>
      <c r="N232" s="15">
        <v>0</v>
      </c>
      <c r="O232" s="15">
        <v>0</v>
      </c>
      <c r="P232" s="15">
        <v>0</v>
      </c>
      <c r="Q232" s="15">
        <v>0</v>
      </c>
      <c r="R232" s="15">
        <v>0</v>
      </c>
      <c r="S232" s="15">
        <v>432</v>
      </c>
      <c r="T232" s="15">
        <v>432</v>
      </c>
      <c r="U232" s="15">
        <v>2</v>
      </c>
      <c r="V232" s="15">
        <v>0</v>
      </c>
      <c r="W232" s="15">
        <v>2</v>
      </c>
      <c r="X232" s="15">
        <v>0.04</v>
      </c>
      <c r="Y232" s="15">
        <v>5.4</v>
      </c>
      <c r="Z232" s="15">
        <v>5.4</v>
      </c>
      <c r="AA232" s="15">
        <v>40</v>
      </c>
      <c r="AB232" s="15">
        <v>8</v>
      </c>
      <c r="AC232" s="15">
        <v>3</v>
      </c>
      <c r="AD232" s="15">
        <v>5</v>
      </c>
      <c r="AE232" s="15">
        <v>0.16</v>
      </c>
      <c r="AF232" s="15">
        <v>2</v>
      </c>
      <c r="AG232" s="15">
        <v>0</v>
      </c>
      <c r="AH232" s="15"/>
      <c r="AI232" s="15">
        <v>10</v>
      </c>
      <c r="AJ232" s="15">
        <v>8</v>
      </c>
      <c r="AK232" s="15">
        <v>10</v>
      </c>
      <c r="AL232" s="15">
        <v>8</v>
      </c>
      <c r="AM232" s="15">
        <v>2</v>
      </c>
      <c r="AN232" s="15">
        <v>40</v>
      </c>
      <c r="AO232" s="15">
        <v>0.04</v>
      </c>
      <c r="AP232" s="15">
        <v>10</v>
      </c>
      <c r="AQ232" s="15">
        <v>3</v>
      </c>
      <c r="AR232" s="15">
        <v>663</v>
      </c>
      <c r="AS232" s="15">
        <v>2</v>
      </c>
      <c r="AT232" s="15">
        <v>0</v>
      </c>
      <c r="AU232" s="15">
        <v>2</v>
      </c>
      <c r="AV232" s="15">
        <v>0</v>
      </c>
      <c r="AW232" s="15">
        <v>0</v>
      </c>
      <c r="AX232" s="15">
        <v>0</v>
      </c>
      <c r="AY232" s="15">
        <v>129</v>
      </c>
      <c r="AZ232" s="15">
        <v>44</v>
      </c>
      <c r="BA232" s="15">
        <v>33</v>
      </c>
      <c r="BB232" s="15">
        <v>0.75</v>
      </c>
      <c r="BC232" s="15">
        <v>0</v>
      </c>
      <c r="BD232" s="15">
        <v>0</v>
      </c>
      <c r="BE232" s="15">
        <v>0.10345</v>
      </c>
      <c r="BF232" s="15">
        <v>80</v>
      </c>
      <c r="BG232" s="15">
        <v>3</v>
      </c>
      <c r="BH232" s="15">
        <v>1</v>
      </c>
      <c r="BI232" s="15">
        <v>1</v>
      </c>
      <c r="BJ232" s="15">
        <v>0</v>
      </c>
      <c r="BK232" s="15">
        <v>0</v>
      </c>
      <c r="BL232" s="15">
        <v>0</v>
      </c>
      <c r="BM232" s="15">
        <v>1</v>
      </c>
      <c r="BN232" s="15">
        <v>2</v>
      </c>
      <c r="BO232" s="15">
        <v>432</v>
      </c>
      <c r="BP232" s="15">
        <v>17.66</v>
      </c>
      <c r="BQ232" s="15">
        <v>344</v>
      </c>
    </row>
    <row r="233" spans="1:69">
      <c r="A233" s="16">
        <v>46054</v>
      </c>
      <c r="B233" s="15">
        <v>371</v>
      </c>
      <c r="C233" s="15" t="s">
        <v>32</v>
      </c>
      <c r="D233" s="15">
        <v>371</v>
      </c>
      <c r="E233" s="15" t="s">
        <v>32</v>
      </c>
      <c r="F233" s="15">
        <v>3088</v>
      </c>
      <c r="G233" s="15">
        <v>70</v>
      </c>
      <c r="H233" s="15">
        <v>19.92</v>
      </c>
      <c r="I233" s="15">
        <v>0.02267</v>
      </c>
      <c r="J233" s="15">
        <v>0.28</v>
      </c>
      <c r="K233" s="15">
        <v>6.45</v>
      </c>
      <c r="L233" s="15">
        <v>0</v>
      </c>
      <c r="M233" s="15">
        <v>0</v>
      </c>
      <c r="N233" s="15">
        <v>0</v>
      </c>
      <c r="O233" s="15">
        <v>0</v>
      </c>
      <c r="P233" s="15">
        <v>0</v>
      </c>
      <c r="Q233" s="15">
        <v>0</v>
      </c>
      <c r="R233" s="15">
        <v>1288.4</v>
      </c>
      <c r="S233" s="15">
        <v>4323.75</v>
      </c>
      <c r="T233" s="15">
        <v>5612.15</v>
      </c>
      <c r="U233" s="15">
        <v>3</v>
      </c>
      <c r="V233" s="15">
        <v>1</v>
      </c>
      <c r="W233" s="15">
        <v>2</v>
      </c>
      <c r="X233" s="15">
        <v>0.04286</v>
      </c>
      <c r="Y233" s="15">
        <v>281.73</v>
      </c>
      <c r="Z233" s="15">
        <v>281.73</v>
      </c>
      <c r="AA233" s="15">
        <v>6.64</v>
      </c>
      <c r="AB233" s="15">
        <v>3</v>
      </c>
      <c r="AC233" s="15">
        <v>0</v>
      </c>
      <c r="AD233" s="15">
        <v>3</v>
      </c>
      <c r="AE233" s="15">
        <v>0.04286</v>
      </c>
      <c r="AF233" s="15">
        <v>0</v>
      </c>
      <c r="AG233" s="15">
        <v>0</v>
      </c>
      <c r="AH233" s="15"/>
      <c r="AI233" s="15">
        <v>3</v>
      </c>
      <c r="AJ233" s="15">
        <v>6.64</v>
      </c>
      <c r="AK233" s="15">
        <v>3</v>
      </c>
      <c r="AL233" s="15">
        <v>6.64</v>
      </c>
      <c r="AM233" s="15">
        <v>0</v>
      </c>
      <c r="AN233" s="15"/>
      <c r="AO233" s="15">
        <v>0</v>
      </c>
      <c r="AP233" s="15">
        <v>6.64</v>
      </c>
      <c r="AQ233" s="15">
        <v>5</v>
      </c>
      <c r="AR233" s="15">
        <v>7524</v>
      </c>
      <c r="AS233" s="15">
        <v>0</v>
      </c>
      <c r="AT233" s="15">
        <v>0</v>
      </c>
      <c r="AU233" s="15">
        <v>6</v>
      </c>
      <c r="AV233" s="15">
        <v>0</v>
      </c>
      <c r="AW233" s="15">
        <v>0</v>
      </c>
      <c r="AX233" s="15">
        <v>0</v>
      </c>
      <c r="AY233" s="15">
        <v>134</v>
      </c>
      <c r="AZ233" s="15">
        <v>80</v>
      </c>
      <c r="BA233" s="15">
        <v>75</v>
      </c>
      <c r="BB233" s="15">
        <v>0.9375</v>
      </c>
      <c r="BC233" s="15">
        <v>0</v>
      </c>
      <c r="BD233" s="15">
        <v>0</v>
      </c>
      <c r="BE233" s="15">
        <v>0.04339</v>
      </c>
      <c r="BF233" s="15">
        <v>47</v>
      </c>
      <c r="BG233" s="15">
        <v>2</v>
      </c>
      <c r="BH233" s="15">
        <v>2</v>
      </c>
      <c r="BI233" s="15">
        <v>1</v>
      </c>
      <c r="BJ233" s="15">
        <v>0</v>
      </c>
      <c r="BK233" s="15">
        <v>0</v>
      </c>
      <c r="BL233" s="15">
        <v>0</v>
      </c>
      <c r="BM233" s="15">
        <v>2</v>
      </c>
      <c r="BN233" s="15">
        <v>2</v>
      </c>
      <c r="BO233" s="15">
        <v>2806.08</v>
      </c>
      <c r="BP233" s="15">
        <v>0.06</v>
      </c>
      <c r="BQ233" s="15">
        <v>195</v>
      </c>
    </row>
    <row r="234" spans="1:69">
      <c r="A234" s="16">
        <v>46054</v>
      </c>
      <c r="B234" s="15">
        <v>372</v>
      </c>
      <c r="C234" s="15" t="s">
        <v>37</v>
      </c>
      <c r="D234" s="15">
        <v>372</v>
      </c>
      <c r="E234" s="15" t="s">
        <v>61</v>
      </c>
      <c r="F234" s="15">
        <v>446</v>
      </c>
      <c r="G234" s="15">
        <v>22</v>
      </c>
      <c r="H234" s="15">
        <v>56.2</v>
      </c>
      <c r="I234" s="15">
        <v>0.04933</v>
      </c>
      <c r="J234" s="15">
        <v>2.55</v>
      </c>
      <c r="K234" s="15">
        <v>126.01</v>
      </c>
      <c r="L234" s="15">
        <v>0</v>
      </c>
      <c r="M234" s="15">
        <v>0</v>
      </c>
      <c r="N234" s="15">
        <v>0</v>
      </c>
      <c r="O234" s="15">
        <v>0</v>
      </c>
      <c r="P234" s="15">
        <v>0</v>
      </c>
      <c r="Q234" s="15">
        <v>0</v>
      </c>
      <c r="R234" s="15">
        <v>0</v>
      </c>
      <c r="S234" s="15">
        <v>0</v>
      </c>
      <c r="T234" s="15">
        <v>0</v>
      </c>
      <c r="U234" s="15">
        <v>0</v>
      </c>
      <c r="V234" s="15">
        <v>0</v>
      </c>
      <c r="W234" s="15">
        <v>0</v>
      </c>
      <c r="X234" s="15">
        <v>0</v>
      </c>
      <c r="Y234" s="15">
        <v>0</v>
      </c>
      <c r="Z234" s="15">
        <v>0</v>
      </c>
      <c r="AA234" s="15"/>
      <c r="AB234" s="15">
        <v>0</v>
      </c>
      <c r="AC234" s="15">
        <v>0</v>
      </c>
      <c r="AD234" s="15">
        <v>0</v>
      </c>
      <c r="AE234" s="15">
        <v>0</v>
      </c>
      <c r="AF234" s="15">
        <v>0</v>
      </c>
      <c r="AG234" s="15">
        <v>0</v>
      </c>
      <c r="AH234" s="15"/>
      <c r="AI234" s="15">
        <v>0</v>
      </c>
      <c r="AJ234" s="15"/>
      <c r="AK234" s="15">
        <v>0</v>
      </c>
      <c r="AL234" s="15"/>
      <c r="AM234" s="15">
        <v>0</v>
      </c>
      <c r="AN234" s="15"/>
      <c r="AO234" s="15">
        <v>0</v>
      </c>
      <c r="AP234" s="15"/>
      <c r="AQ234" s="15">
        <v>0</v>
      </c>
      <c r="AR234" s="15">
        <v>0</v>
      </c>
      <c r="AS234" s="15">
        <v>0</v>
      </c>
      <c r="AT234" s="15">
        <v>0</v>
      </c>
      <c r="AU234" s="15">
        <v>1</v>
      </c>
      <c r="AV234" s="15">
        <v>0</v>
      </c>
      <c r="AW234" s="15">
        <v>0</v>
      </c>
      <c r="AX234" s="15">
        <v>0</v>
      </c>
      <c r="AY234" s="15">
        <v>82</v>
      </c>
      <c r="AZ234" s="15">
        <v>21</v>
      </c>
      <c r="BA234" s="15">
        <v>11</v>
      </c>
      <c r="BB234" s="15">
        <v>0.52381</v>
      </c>
      <c r="BC234" s="15">
        <v>0</v>
      </c>
      <c r="BD234" s="15">
        <v>0</v>
      </c>
      <c r="BE234" s="15">
        <v>0.18386</v>
      </c>
      <c r="BF234" s="15">
        <v>58</v>
      </c>
      <c r="BG234" s="15">
        <v>4</v>
      </c>
      <c r="BH234" s="15">
        <v>0</v>
      </c>
      <c r="BI234" s="15"/>
      <c r="BJ234" s="15">
        <v>0</v>
      </c>
      <c r="BK234" s="15">
        <v>0</v>
      </c>
      <c r="BL234" s="15">
        <v>0</v>
      </c>
      <c r="BM234" s="15">
        <v>0</v>
      </c>
      <c r="BN234" s="15"/>
      <c r="BO234" s="15"/>
      <c r="BP234" s="15">
        <v>0.28</v>
      </c>
      <c r="BQ234" s="15">
        <v>45</v>
      </c>
    </row>
    <row r="235" spans="1:69">
      <c r="A235" s="16">
        <v>46054</v>
      </c>
      <c r="B235" s="15">
        <v>183</v>
      </c>
      <c r="C235" s="15" t="s">
        <v>40</v>
      </c>
      <c r="D235" s="15">
        <v>183</v>
      </c>
      <c r="E235" s="15" t="s">
        <v>40</v>
      </c>
      <c r="F235" s="15">
        <v>805</v>
      </c>
      <c r="G235" s="15">
        <v>43</v>
      </c>
      <c r="H235" s="15">
        <v>100</v>
      </c>
      <c r="I235" s="15">
        <v>0.05342</v>
      </c>
      <c r="J235" s="15">
        <v>2.33</v>
      </c>
      <c r="K235" s="15">
        <v>124.22</v>
      </c>
      <c r="L235" s="15">
        <v>0</v>
      </c>
      <c r="M235" s="15">
        <v>0</v>
      </c>
      <c r="N235" s="15">
        <v>0</v>
      </c>
      <c r="O235" s="15">
        <v>0</v>
      </c>
      <c r="P235" s="15">
        <v>0</v>
      </c>
      <c r="Q235" s="15">
        <v>0</v>
      </c>
      <c r="R235" s="15">
        <v>1388.3</v>
      </c>
      <c r="S235" s="15">
        <v>892.02</v>
      </c>
      <c r="T235" s="15">
        <v>2280.32</v>
      </c>
      <c r="U235" s="15">
        <v>2</v>
      </c>
      <c r="V235" s="15">
        <v>1</v>
      </c>
      <c r="W235" s="15">
        <v>1</v>
      </c>
      <c r="X235" s="15">
        <v>0.04651</v>
      </c>
      <c r="Y235" s="15">
        <v>22.8</v>
      </c>
      <c r="Z235" s="15">
        <v>22.8</v>
      </c>
      <c r="AA235" s="15">
        <v>50</v>
      </c>
      <c r="AB235" s="15">
        <v>8</v>
      </c>
      <c r="AC235" s="15">
        <v>6</v>
      </c>
      <c r="AD235" s="15">
        <v>2</v>
      </c>
      <c r="AE235" s="15">
        <v>0.18605</v>
      </c>
      <c r="AF235" s="15">
        <v>0</v>
      </c>
      <c r="AG235" s="15">
        <v>0</v>
      </c>
      <c r="AH235" s="15"/>
      <c r="AI235" s="15">
        <v>8</v>
      </c>
      <c r="AJ235" s="15">
        <v>12.5</v>
      </c>
      <c r="AK235" s="15">
        <v>8</v>
      </c>
      <c r="AL235" s="15">
        <v>12.5</v>
      </c>
      <c r="AM235" s="15">
        <v>0</v>
      </c>
      <c r="AN235" s="15"/>
      <c r="AO235" s="15">
        <v>0</v>
      </c>
      <c r="AP235" s="15">
        <v>12.5</v>
      </c>
      <c r="AQ235" s="15">
        <v>5</v>
      </c>
      <c r="AR235" s="15">
        <v>5673</v>
      </c>
      <c r="AS235" s="15">
        <v>0</v>
      </c>
      <c r="AT235" s="15">
        <v>0</v>
      </c>
      <c r="AU235" s="15">
        <v>10</v>
      </c>
      <c r="AV235" s="15">
        <v>0</v>
      </c>
      <c r="AW235" s="15">
        <v>0</v>
      </c>
      <c r="AX235" s="15">
        <v>3</v>
      </c>
      <c r="AY235" s="15">
        <v>401</v>
      </c>
      <c r="AZ235" s="15">
        <v>78</v>
      </c>
      <c r="BA235" s="15">
        <v>60</v>
      </c>
      <c r="BB235" s="15">
        <v>0.76923</v>
      </c>
      <c r="BC235" s="15">
        <v>0</v>
      </c>
      <c r="BD235" s="15">
        <v>0</v>
      </c>
      <c r="BE235" s="15">
        <v>0.49814</v>
      </c>
      <c r="BF235" s="15">
        <v>272</v>
      </c>
      <c r="BG235" s="15">
        <v>5</v>
      </c>
      <c r="BH235" s="15">
        <v>2</v>
      </c>
      <c r="BI235" s="15">
        <v>1</v>
      </c>
      <c r="BJ235" s="15">
        <v>0</v>
      </c>
      <c r="BK235" s="15">
        <v>0</v>
      </c>
      <c r="BL235" s="15">
        <v>0</v>
      </c>
      <c r="BM235" s="15">
        <v>2</v>
      </c>
      <c r="BN235" s="15">
        <v>1</v>
      </c>
      <c r="BO235" s="15">
        <v>1140.16</v>
      </c>
      <c r="BP235" s="15">
        <v>11.15</v>
      </c>
      <c r="BQ235" s="15">
        <v>667</v>
      </c>
    </row>
    <row r="236" spans="1:69">
      <c r="A236" s="16">
        <v>46054</v>
      </c>
      <c r="B236" s="15">
        <v>479</v>
      </c>
      <c r="C236" s="15" t="s">
        <v>39</v>
      </c>
      <c r="D236" s="15">
        <v>479</v>
      </c>
      <c r="E236" s="15" t="s">
        <v>39</v>
      </c>
      <c r="F236" s="15">
        <v>80</v>
      </c>
      <c r="G236" s="15">
        <v>40</v>
      </c>
      <c r="H236" s="15">
        <v>24.35</v>
      </c>
      <c r="I236" s="15">
        <v>0.5</v>
      </c>
      <c r="J236" s="15">
        <v>0.61</v>
      </c>
      <c r="K236" s="15">
        <v>304.44</v>
      </c>
      <c r="L236" s="15">
        <v>0</v>
      </c>
      <c r="M236" s="15">
        <v>0</v>
      </c>
      <c r="N236" s="15">
        <v>0</v>
      </c>
      <c r="O236" s="15">
        <v>0</v>
      </c>
      <c r="P236" s="15">
        <v>0</v>
      </c>
      <c r="Q236" s="15">
        <v>0</v>
      </c>
      <c r="R236" s="15">
        <v>0</v>
      </c>
      <c r="S236" s="15">
        <v>498.27</v>
      </c>
      <c r="T236" s="15">
        <v>498.27</v>
      </c>
      <c r="U236" s="15">
        <v>2</v>
      </c>
      <c r="V236" s="15">
        <v>0</v>
      </c>
      <c r="W236" s="15">
        <v>2</v>
      </c>
      <c r="X236" s="15">
        <v>0.05</v>
      </c>
      <c r="Y236" s="15">
        <v>20.46</v>
      </c>
      <c r="Z236" s="15">
        <v>20.46</v>
      </c>
      <c r="AA236" s="15">
        <v>12.18</v>
      </c>
      <c r="AB236" s="15">
        <v>21</v>
      </c>
      <c r="AC236" s="15">
        <v>0</v>
      </c>
      <c r="AD236" s="15">
        <v>21</v>
      </c>
      <c r="AE236" s="15">
        <v>0.525</v>
      </c>
      <c r="AF236" s="15">
        <v>2</v>
      </c>
      <c r="AG236" s="15">
        <v>4</v>
      </c>
      <c r="AH236" s="15">
        <v>6.09</v>
      </c>
      <c r="AI236" s="15">
        <v>27</v>
      </c>
      <c r="AJ236" s="15">
        <v>0.9</v>
      </c>
      <c r="AK236" s="15">
        <v>23</v>
      </c>
      <c r="AL236" s="15">
        <v>1.06</v>
      </c>
      <c r="AM236" s="15">
        <v>6</v>
      </c>
      <c r="AN236" s="15">
        <v>12.18</v>
      </c>
      <c r="AO236" s="15">
        <v>0.05</v>
      </c>
      <c r="AP236" s="15">
        <v>1.16</v>
      </c>
      <c r="AQ236" s="15">
        <v>3</v>
      </c>
      <c r="AR236" s="15">
        <v>855.9</v>
      </c>
      <c r="AS236" s="15">
        <v>0</v>
      </c>
      <c r="AT236" s="15">
        <v>2</v>
      </c>
      <c r="AU236" s="15">
        <v>9</v>
      </c>
      <c r="AV236" s="15">
        <v>0</v>
      </c>
      <c r="AW236" s="15">
        <v>0</v>
      </c>
      <c r="AX236" s="15">
        <v>2</v>
      </c>
      <c r="AY236" s="15">
        <v>627</v>
      </c>
      <c r="AZ236" s="15">
        <v>34</v>
      </c>
      <c r="BA236" s="15">
        <v>25</v>
      </c>
      <c r="BB236" s="15">
        <v>0.73529</v>
      </c>
      <c r="BC236" s="15">
        <v>0</v>
      </c>
      <c r="BD236" s="15">
        <v>0</v>
      </c>
      <c r="BE236" s="15">
        <v>7.8375</v>
      </c>
      <c r="BF236" s="15">
        <v>586</v>
      </c>
      <c r="BG236" s="15">
        <v>18</v>
      </c>
      <c r="BH236" s="15">
        <v>1</v>
      </c>
      <c r="BI236" s="15">
        <v>1</v>
      </c>
      <c r="BJ236" s="15">
        <v>0</v>
      </c>
      <c r="BK236" s="15">
        <v>0</v>
      </c>
      <c r="BL236" s="15">
        <v>0</v>
      </c>
      <c r="BM236" s="15">
        <v>1</v>
      </c>
      <c r="BN236" s="15">
        <v>2</v>
      </c>
      <c r="BO236" s="15">
        <v>498.27</v>
      </c>
      <c r="BP236" s="15">
        <v>19.09</v>
      </c>
      <c r="BQ236" s="15">
        <v>1408</v>
      </c>
    </row>
    <row r="237" spans="1:69">
      <c r="A237" s="16">
        <v>46054</v>
      </c>
      <c r="B237" s="15">
        <v>436</v>
      </c>
      <c r="C237" s="15" t="s">
        <v>38</v>
      </c>
      <c r="D237" s="15">
        <v>436</v>
      </c>
      <c r="E237" s="15" t="s">
        <v>38</v>
      </c>
      <c r="F237" s="15">
        <v>666</v>
      </c>
      <c r="G237" s="15">
        <v>39</v>
      </c>
      <c r="H237" s="15">
        <v>73.48</v>
      </c>
      <c r="I237" s="15">
        <v>0.05856</v>
      </c>
      <c r="J237" s="15">
        <v>1.88</v>
      </c>
      <c r="K237" s="15">
        <v>110.33</v>
      </c>
      <c r="L237" s="15">
        <v>0</v>
      </c>
      <c r="M237" s="15">
        <v>0</v>
      </c>
      <c r="N237" s="15">
        <v>0</v>
      </c>
      <c r="O237" s="15">
        <v>0</v>
      </c>
      <c r="P237" s="15">
        <v>0</v>
      </c>
      <c r="Q237" s="15">
        <v>0</v>
      </c>
      <c r="R237" s="15">
        <v>0</v>
      </c>
      <c r="S237" s="15">
        <v>0</v>
      </c>
      <c r="T237" s="15">
        <v>0</v>
      </c>
      <c r="U237" s="15">
        <v>0</v>
      </c>
      <c r="V237" s="15">
        <v>0</v>
      </c>
      <c r="W237" s="15">
        <v>0</v>
      </c>
      <c r="X237" s="15">
        <v>0</v>
      </c>
      <c r="Y237" s="15">
        <v>0</v>
      </c>
      <c r="Z237" s="15">
        <v>0</v>
      </c>
      <c r="AA237" s="15"/>
      <c r="AB237" s="15">
        <v>5</v>
      </c>
      <c r="AC237" s="15">
        <v>3</v>
      </c>
      <c r="AD237" s="15">
        <v>2</v>
      </c>
      <c r="AE237" s="15">
        <v>0.12821</v>
      </c>
      <c r="AF237" s="15">
        <v>0</v>
      </c>
      <c r="AG237" s="15">
        <v>1</v>
      </c>
      <c r="AH237" s="15">
        <v>73.48</v>
      </c>
      <c r="AI237" s="15">
        <v>6</v>
      </c>
      <c r="AJ237" s="15">
        <v>12.25</v>
      </c>
      <c r="AK237" s="15">
        <v>5</v>
      </c>
      <c r="AL237" s="15">
        <v>14.7</v>
      </c>
      <c r="AM237" s="15">
        <v>1</v>
      </c>
      <c r="AN237" s="15"/>
      <c r="AO237" s="15">
        <v>0</v>
      </c>
      <c r="AP237" s="15">
        <v>14.7</v>
      </c>
      <c r="AQ237" s="15">
        <v>0</v>
      </c>
      <c r="AR237" s="15">
        <v>0</v>
      </c>
      <c r="AS237" s="15">
        <v>0</v>
      </c>
      <c r="AT237" s="15">
        <v>0</v>
      </c>
      <c r="AU237" s="15">
        <v>4</v>
      </c>
      <c r="AV237" s="15">
        <v>0</v>
      </c>
      <c r="AW237" s="15">
        <v>0</v>
      </c>
      <c r="AX237" s="15">
        <v>1</v>
      </c>
      <c r="AY237" s="15">
        <v>135</v>
      </c>
      <c r="AZ237" s="15">
        <v>35</v>
      </c>
      <c r="BA237" s="15">
        <v>26</v>
      </c>
      <c r="BB237" s="15">
        <v>0.74286</v>
      </c>
      <c r="BC237" s="15">
        <v>0</v>
      </c>
      <c r="BD237" s="15">
        <v>0</v>
      </c>
      <c r="BE237" s="15">
        <v>0.2027</v>
      </c>
      <c r="BF237" s="15">
        <v>97</v>
      </c>
      <c r="BG237" s="15">
        <v>4</v>
      </c>
      <c r="BH237" s="15">
        <v>0</v>
      </c>
      <c r="BI237" s="15"/>
      <c r="BJ237" s="15">
        <v>0</v>
      </c>
      <c r="BK237" s="15">
        <v>0</v>
      </c>
      <c r="BL237" s="15">
        <v>0</v>
      </c>
      <c r="BM237" s="15">
        <v>0</v>
      </c>
      <c r="BN237" s="15"/>
      <c r="BO237" s="15"/>
      <c r="BP237" s="15">
        <v>1.12</v>
      </c>
      <c r="BQ237" s="15">
        <v>206</v>
      </c>
    </row>
    <row r="238" spans="1:69">
      <c r="A238" s="16">
        <v>46053</v>
      </c>
      <c r="B238" s="15">
        <v>183</v>
      </c>
      <c r="C238" s="15" t="s">
        <v>40</v>
      </c>
      <c r="D238" s="15">
        <v>183</v>
      </c>
      <c r="E238" s="15" t="s">
        <v>40</v>
      </c>
      <c r="F238" s="15">
        <v>1046</v>
      </c>
      <c r="G238" s="15">
        <v>48</v>
      </c>
      <c r="H238" s="15">
        <v>100</v>
      </c>
      <c r="I238" s="15">
        <v>0.04589</v>
      </c>
      <c r="J238" s="15">
        <v>2.08</v>
      </c>
      <c r="K238" s="15">
        <v>95.6</v>
      </c>
      <c r="L238" s="15">
        <v>0</v>
      </c>
      <c r="M238" s="15">
        <v>0</v>
      </c>
      <c r="N238" s="15">
        <v>0</v>
      </c>
      <c r="O238" s="15">
        <v>0</v>
      </c>
      <c r="P238" s="15">
        <v>0</v>
      </c>
      <c r="Q238" s="15">
        <v>0</v>
      </c>
      <c r="R238" s="15">
        <v>0</v>
      </c>
      <c r="S238" s="15">
        <v>0</v>
      </c>
      <c r="T238" s="15">
        <v>0</v>
      </c>
      <c r="U238" s="15">
        <v>0</v>
      </c>
      <c r="V238" s="15">
        <v>0</v>
      </c>
      <c r="W238" s="15">
        <v>0</v>
      </c>
      <c r="X238" s="15">
        <v>0</v>
      </c>
      <c r="Y238" s="15">
        <v>0</v>
      </c>
      <c r="Z238" s="15">
        <v>0</v>
      </c>
      <c r="AA238" s="15"/>
      <c r="AB238" s="15">
        <v>5</v>
      </c>
      <c r="AC238" s="15">
        <v>3</v>
      </c>
      <c r="AD238" s="15">
        <v>2</v>
      </c>
      <c r="AE238" s="15">
        <v>0.10417</v>
      </c>
      <c r="AF238" s="15">
        <v>3</v>
      </c>
      <c r="AG238" s="15">
        <v>1</v>
      </c>
      <c r="AH238" s="15">
        <v>100</v>
      </c>
      <c r="AI238" s="15">
        <v>9</v>
      </c>
      <c r="AJ238" s="15">
        <v>11.11</v>
      </c>
      <c r="AK238" s="15">
        <v>8</v>
      </c>
      <c r="AL238" s="15">
        <v>12.5</v>
      </c>
      <c r="AM238" s="15">
        <v>4</v>
      </c>
      <c r="AN238" s="15">
        <v>33.33</v>
      </c>
      <c r="AO238" s="15">
        <v>0.0625</v>
      </c>
      <c r="AP238" s="15">
        <v>20</v>
      </c>
      <c r="AQ238" s="15">
        <v>0</v>
      </c>
      <c r="AR238" s="15">
        <v>0</v>
      </c>
      <c r="AS238" s="15">
        <v>0</v>
      </c>
      <c r="AT238" s="15">
        <v>3</v>
      </c>
      <c r="AU238" s="15">
        <v>5</v>
      </c>
      <c r="AV238" s="15">
        <v>0</v>
      </c>
      <c r="AW238" s="15">
        <v>0</v>
      </c>
      <c r="AX238" s="15">
        <v>0</v>
      </c>
      <c r="AY238" s="15">
        <v>298</v>
      </c>
      <c r="AZ238" s="15">
        <v>82</v>
      </c>
      <c r="BA238" s="15">
        <v>67</v>
      </c>
      <c r="BB238" s="15">
        <v>0.81707</v>
      </c>
      <c r="BC238" s="15">
        <v>0</v>
      </c>
      <c r="BD238" s="15">
        <v>0</v>
      </c>
      <c r="BE238" s="15">
        <v>0.28489</v>
      </c>
      <c r="BF238" s="15">
        <v>179</v>
      </c>
      <c r="BG238" s="15">
        <v>4</v>
      </c>
      <c r="BH238" s="15">
        <v>0</v>
      </c>
      <c r="BI238" s="15"/>
      <c r="BJ238" s="15">
        <v>0</v>
      </c>
      <c r="BK238" s="15">
        <v>0</v>
      </c>
      <c r="BL238" s="15">
        <v>0</v>
      </c>
      <c r="BM238" s="15">
        <v>0</v>
      </c>
      <c r="BN238" s="15"/>
      <c r="BO238" s="15"/>
      <c r="BP238" s="15">
        <v>3.04</v>
      </c>
      <c r="BQ238" s="15">
        <v>187</v>
      </c>
    </row>
    <row r="239" spans="1:69">
      <c r="A239" s="16">
        <v>46053</v>
      </c>
      <c r="B239" s="15">
        <v>479</v>
      </c>
      <c r="C239" s="15" t="s">
        <v>39</v>
      </c>
      <c r="D239" s="15">
        <v>479</v>
      </c>
      <c r="E239" s="15" t="s">
        <v>39</v>
      </c>
      <c r="F239" s="15">
        <v>83</v>
      </c>
      <c r="G239" s="15">
        <v>33</v>
      </c>
      <c r="H239" s="15">
        <v>23.92</v>
      </c>
      <c r="I239" s="15">
        <v>0.39759</v>
      </c>
      <c r="J239" s="15">
        <v>0.72</v>
      </c>
      <c r="K239" s="15">
        <v>288.18</v>
      </c>
      <c r="L239" s="15">
        <v>0</v>
      </c>
      <c r="M239" s="15">
        <v>0</v>
      </c>
      <c r="N239" s="15">
        <v>0</v>
      </c>
      <c r="O239" s="15">
        <v>0</v>
      </c>
      <c r="P239" s="15">
        <v>0</v>
      </c>
      <c r="Q239" s="15">
        <v>0</v>
      </c>
      <c r="R239" s="15">
        <v>0</v>
      </c>
      <c r="S239" s="15">
        <v>1283.84</v>
      </c>
      <c r="T239" s="15">
        <v>1283.84</v>
      </c>
      <c r="U239" s="15">
        <v>4</v>
      </c>
      <c r="V239" s="15">
        <v>0</v>
      </c>
      <c r="W239" s="15">
        <v>4</v>
      </c>
      <c r="X239" s="15">
        <v>0.12121</v>
      </c>
      <c r="Y239" s="15">
        <v>53.67</v>
      </c>
      <c r="Z239" s="15">
        <v>53.67</v>
      </c>
      <c r="AA239" s="15">
        <v>5.98</v>
      </c>
      <c r="AB239" s="15">
        <v>16</v>
      </c>
      <c r="AC239" s="15">
        <v>0</v>
      </c>
      <c r="AD239" s="15">
        <v>16</v>
      </c>
      <c r="AE239" s="15">
        <v>0.48485</v>
      </c>
      <c r="AF239" s="15">
        <v>3</v>
      </c>
      <c r="AG239" s="15">
        <v>5</v>
      </c>
      <c r="AH239" s="15">
        <v>4.78</v>
      </c>
      <c r="AI239" s="15">
        <v>24</v>
      </c>
      <c r="AJ239" s="15">
        <v>1</v>
      </c>
      <c r="AK239" s="15">
        <v>19</v>
      </c>
      <c r="AL239" s="15">
        <v>1.26</v>
      </c>
      <c r="AM239" s="15">
        <v>8</v>
      </c>
      <c r="AN239" s="15">
        <v>7.97</v>
      </c>
      <c r="AO239" s="15">
        <v>0.09091</v>
      </c>
      <c r="AP239" s="15">
        <v>1.49</v>
      </c>
      <c r="AQ239" s="15">
        <v>6</v>
      </c>
      <c r="AR239" s="15">
        <v>1881</v>
      </c>
      <c r="AS239" s="15">
        <v>0</v>
      </c>
      <c r="AT239" s="15">
        <v>3</v>
      </c>
      <c r="AU239" s="15">
        <v>7</v>
      </c>
      <c r="AV239" s="15">
        <v>0</v>
      </c>
      <c r="AW239" s="15">
        <v>0</v>
      </c>
      <c r="AX239" s="15">
        <v>2</v>
      </c>
      <c r="AY239" s="15">
        <v>355</v>
      </c>
      <c r="AZ239" s="15">
        <v>26</v>
      </c>
      <c r="BA239" s="15">
        <v>22</v>
      </c>
      <c r="BB239" s="15">
        <v>0.84615</v>
      </c>
      <c r="BC239" s="15">
        <v>0</v>
      </c>
      <c r="BD239" s="15">
        <v>0</v>
      </c>
      <c r="BE239" s="15">
        <v>4.27711</v>
      </c>
      <c r="BF239" s="15">
        <v>322</v>
      </c>
      <c r="BG239" s="15">
        <v>14</v>
      </c>
      <c r="BH239" s="15">
        <v>1</v>
      </c>
      <c r="BI239" s="15">
        <v>0.5</v>
      </c>
      <c r="BJ239" s="15">
        <v>0</v>
      </c>
      <c r="BK239" s="15">
        <v>0</v>
      </c>
      <c r="BL239" s="15">
        <v>0</v>
      </c>
      <c r="BM239" s="15">
        <v>2</v>
      </c>
      <c r="BN239" s="15">
        <v>2</v>
      </c>
      <c r="BO239" s="15">
        <v>641.92</v>
      </c>
      <c r="BP239" s="15">
        <v>14.6</v>
      </c>
      <c r="BQ239" s="15">
        <v>1430</v>
      </c>
    </row>
    <row r="240" spans="1:69">
      <c r="A240" s="16">
        <v>46053</v>
      </c>
      <c r="B240" s="15">
        <v>436</v>
      </c>
      <c r="C240" s="15" t="s">
        <v>38</v>
      </c>
      <c r="D240" s="15">
        <v>436</v>
      </c>
      <c r="E240" s="15" t="s">
        <v>38</v>
      </c>
      <c r="F240" s="15">
        <v>573</v>
      </c>
      <c r="G240" s="15">
        <v>25</v>
      </c>
      <c r="H240" s="15">
        <v>80</v>
      </c>
      <c r="I240" s="15">
        <v>0.04363</v>
      </c>
      <c r="J240" s="15">
        <v>3.2</v>
      </c>
      <c r="K240" s="15">
        <v>139.62</v>
      </c>
      <c r="L240" s="15">
        <v>0</v>
      </c>
      <c r="M240" s="15">
        <v>0</v>
      </c>
      <c r="N240" s="15">
        <v>0</v>
      </c>
      <c r="O240" s="15">
        <v>0</v>
      </c>
      <c r="P240" s="15">
        <v>0</v>
      </c>
      <c r="Q240" s="15">
        <v>0</v>
      </c>
      <c r="R240" s="15">
        <v>586.64</v>
      </c>
      <c r="S240" s="15">
        <v>0</v>
      </c>
      <c r="T240" s="15">
        <v>586.64</v>
      </c>
      <c r="U240" s="15">
        <v>1</v>
      </c>
      <c r="V240" s="15">
        <v>1</v>
      </c>
      <c r="W240" s="15">
        <v>0</v>
      </c>
      <c r="X240" s="15">
        <v>0.04</v>
      </c>
      <c r="Y240" s="15">
        <v>7.33</v>
      </c>
      <c r="Z240" s="15">
        <v>7.33</v>
      </c>
      <c r="AA240" s="15">
        <v>80</v>
      </c>
      <c r="AB240" s="15">
        <v>1</v>
      </c>
      <c r="AC240" s="15">
        <v>1</v>
      </c>
      <c r="AD240" s="15">
        <v>0</v>
      </c>
      <c r="AE240" s="15">
        <v>0.04</v>
      </c>
      <c r="AF240" s="15">
        <v>2</v>
      </c>
      <c r="AG240" s="15">
        <v>1</v>
      </c>
      <c r="AH240" s="15">
        <v>80</v>
      </c>
      <c r="AI240" s="15">
        <v>4</v>
      </c>
      <c r="AJ240" s="15">
        <v>20</v>
      </c>
      <c r="AK240" s="15">
        <v>3</v>
      </c>
      <c r="AL240" s="15">
        <v>26.67</v>
      </c>
      <c r="AM240" s="15">
        <v>3</v>
      </c>
      <c r="AN240" s="15">
        <v>40</v>
      </c>
      <c r="AO240" s="15">
        <v>0.08</v>
      </c>
      <c r="AP240" s="15">
        <v>80</v>
      </c>
      <c r="AQ240" s="15">
        <v>1</v>
      </c>
      <c r="AR240" s="15">
        <v>678</v>
      </c>
      <c r="AS240" s="15">
        <v>1</v>
      </c>
      <c r="AT240" s="15">
        <v>1</v>
      </c>
      <c r="AU240" s="15">
        <v>0</v>
      </c>
      <c r="AV240" s="15">
        <v>0</v>
      </c>
      <c r="AW240" s="15">
        <v>0</v>
      </c>
      <c r="AX240" s="15">
        <v>0</v>
      </c>
      <c r="AY240" s="15">
        <v>84</v>
      </c>
      <c r="AZ240" s="15">
        <v>23</v>
      </c>
      <c r="BA240" s="15">
        <v>15</v>
      </c>
      <c r="BB240" s="15">
        <v>0.65217</v>
      </c>
      <c r="BC240" s="15">
        <v>0</v>
      </c>
      <c r="BD240" s="15">
        <v>0</v>
      </c>
      <c r="BE240" s="15">
        <v>0.1466</v>
      </c>
      <c r="BF240" s="15">
        <v>52</v>
      </c>
      <c r="BG240" s="15">
        <v>4</v>
      </c>
      <c r="BH240" s="15">
        <v>1</v>
      </c>
      <c r="BI240" s="15">
        <v>1</v>
      </c>
      <c r="BJ240" s="15">
        <v>0</v>
      </c>
      <c r="BK240" s="15">
        <v>0</v>
      </c>
      <c r="BL240" s="15">
        <v>0</v>
      </c>
      <c r="BM240" s="15">
        <v>1</v>
      </c>
      <c r="BN240" s="15">
        <v>1</v>
      </c>
      <c r="BO240" s="15">
        <v>586.64</v>
      </c>
      <c r="BP240" s="15">
        <v>71.09</v>
      </c>
      <c r="BQ240" s="15">
        <v>1059</v>
      </c>
    </row>
    <row r="241" spans="1:69">
      <c r="A241" s="16">
        <v>46053</v>
      </c>
      <c r="B241" s="15">
        <v>372</v>
      </c>
      <c r="C241" s="15" t="s">
        <v>37</v>
      </c>
      <c r="D241" s="15">
        <v>372</v>
      </c>
      <c r="E241" s="15" t="s">
        <v>61</v>
      </c>
      <c r="F241" s="15">
        <v>718</v>
      </c>
      <c r="G241" s="15">
        <v>25</v>
      </c>
      <c r="H241" s="15">
        <v>51.47</v>
      </c>
      <c r="I241" s="15">
        <v>0.03482</v>
      </c>
      <c r="J241" s="15">
        <v>2.06</v>
      </c>
      <c r="K241" s="15">
        <v>71.69</v>
      </c>
      <c r="L241" s="15">
        <v>0</v>
      </c>
      <c r="M241" s="15">
        <v>0</v>
      </c>
      <c r="N241" s="15">
        <v>0</v>
      </c>
      <c r="O241" s="15">
        <v>0</v>
      </c>
      <c r="P241" s="15">
        <v>0</v>
      </c>
      <c r="Q241" s="15">
        <v>0</v>
      </c>
      <c r="R241" s="15">
        <v>0</v>
      </c>
      <c r="S241" s="15">
        <v>0</v>
      </c>
      <c r="T241" s="15">
        <v>0</v>
      </c>
      <c r="U241" s="15">
        <v>0</v>
      </c>
      <c r="V241" s="15">
        <v>0</v>
      </c>
      <c r="W241" s="15">
        <v>0</v>
      </c>
      <c r="X241" s="15">
        <v>0</v>
      </c>
      <c r="Y241" s="15">
        <v>0</v>
      </c>
      <c r="Z241" s="15">
        <v>0</v>
      </c>
      <c r="AA241" s="15"/>
      <c r="AB241" s="15">
        <v>2</v>
      </c>
      <c r="AC241" s="15">
        <v>2</v>
      </c>
      <c r="AD241" s="15">
        <v>0</v>
      </c>
      <c r="AE241" s="15">
        <v>0.08</v>
      </c>
      <c r="AF241" s="15">
        <v>0</v>
      </c>
      <c r="AG241" s="15">
        <v>0</v>
      </c>
      <c r="AH241" s="15"/>
      <c r="AI241" s="15">
        <v>2</v>
      </c>
      <c r="AJ241" s="15">
        <v>25.74</v>
      </c>
      <c r="AK241" s="15">
        <v>2</v>
      </c>
      <c r="AL241" s="15">
        <v>25.74</v>
      </c>
      <c r="AM241" s="15">
        <v>0</v>
      </c>
      <c r="AN241" s="15"/>
      <c r="AO241" s="15">
        <v>0</v>
      </c>
      <c r="AP241" s="15">
        <v>25.74</v>
      </c>
      <c r="AQ241" s="15">
        <v>0</v>
      </c>
      <c r="AR241" s="15">
        <v>0</v>
      </c>
      <c r="AS241" s="15">
        <v>0</v>
      </c>
      <c r="AT241" s="15">
        <v>0</v>
      </c>
      <c r="AU241" s="15">
        <v>2</v>
      </c>
      <c r="AV241" s="15">
        <v>0</v>
      </c>
      <c r="AW241" s="15">
        <v>0</v>
      </c>
      <c r="AX241" s="15">
        <v>2</v>
      </c>
      <c r="AY241" s="15">
        <v>97</v>
      </c>
      <c r="AZ241" s="15">
        <v>23</v>
      </c>
      <c r="BA241" s="15">
        <v>16</v>
      </c>
      <c r="BB241" s="15">
        <v>0.69565</v>
      </c>
      <c r="BC241" s="15">
        <v>0</v>
      </c>
      <c r="BD241" s="15">
        <v>0</v>
      </c>
      <c r="BE241" s="15">
        <v>0.1351</v>
      </c>
      <c r="BF241" s="15">
        <v>72</v>
      </c>
      <c r="BG241" s="15">
        <v>4</v>
      </c>
      <c r="BH241" s="15">
        <v>0</v>
      </c>
      <c r="BI241" s="15"/>
      <c r="BJ241" s="15">
        <v>0</v>
      </c>
      <c r="BK241" s="15">
        <v>0</v>
      </c>
      <c r="BL241" s="15">
        <v>0</v>
      </c>
      <c r="BM241" s="15">
        <v>0</v>
      </c>
      <c r="BN241" s="15"/>
      <c r="BO241" s="15"/>
      <c r="BP241" s="15">
        <v>1.6</v>
      </c>
      <c r="BQ241" s="15">
        <v>48</v>
      </c>
    </row>
    <row r="242" spans="1:69">
      <c r="A242" s="16">
        <v>46053</v>
      </c>
      <c r="B242" s="15">
        <v>371</v>
      </c>
      <c r="C242" s="15" t="s">
        <v>32</v>
      </c>
      <c r="D242" s="15">
        <v>371</v>
      </c>
      <c r="E242" s="15" t="s">
        <v>32</v>
      </c>
      <c r="F242" s="15">
        <v>2649</v>
      </c>
      <c r="G242" s="15">
        <v>44</v>
      </c>
      <c r="H242" s="15">
        <v>12.05</v>
      </c>
      <c r="I242" s="15">
        <v>0.01661</v>
      </c>
      <c r="J242" s="15">
        <v>0.27</v>
      </c>
      <c r="K242" s="15">
        <v>4.55</v>
      </c>
      <c r="L242" s="15">
        <v>0</v>
      </c>
      <c r="M242" s="15">
        <v>0</v>
      </c>
      <c r="N242" s="15">
        <v>0</v>
      </c>
      <c r="O242" s="15">
        <v>0</v>
      </c>
      <c r="P242" s="15">
        <v>0</v>
      </c>
      <c r="Q242" s="15">
        <v>0</v>
      </c>
      <c r="R242" s="15">
        <v>0</v>
      </c>
      <c r="S242" s="15">
        <v>0</v>
      </c>
      <c r="T242" s="15">
        <v>0</v>
      </c>
      <c r="U242" s="15">
        <v>0</v>
      </c>
      <c r="V242" s="15">
        <v>0</v>
      </c>
      <c r="W242" s="15">
        <v>0</v>
      </c>
      <c r="X242" s="15">
        <v>0</v>
      </c>
      <c r="Y242" s="15">
        <v>0</v>
      </c>
      <c r="Z242" s="15">
        <v>0</v>
      </c>
      <c r="AA242" s="15"/>
      <c r="AB242" s="15">
        <v>0</v>
      </c>
      <c r="AC242" s="15">
        <v>0</v>
      </c>
      <c r="AD242" s="15">
        <v>0</v>
      </c>
      <c r="AE242" s="15">
        <v>0</v>
      </c>
      <c r="AF242" s="15">
        <v>0</v>
      </c>
      <c r="AG242" s="15">
        <v>1</v>
      </c>
      <c r="AH242" s="15">
        <v>12.05</v>
      </c>
      <c r="AI242" s="15">
        <v>1</v>
      </c>
      <c r="AJ242" s="15">
        <v>12.05</v>
      </c>
      <c r="AK242" s="15">
        <v>0</v>
      </c>
      <c r="AL242" s="15"/>
      <c r="AM242" s="15">
        <v>1</v>
      </c>
      <c r="AN242" s="15"/>
      <c r="AO242" s="15">
        <v>0</v>
      </c>
      <c r="AP242" s="15"/>
      <c r="AQ242" s="15">
        <v>0</v>
      </c>
      <c r="AR242" s="15">
        <v>0</v>
      </c>
      <c r="AS242" s="15">
        <v>0</v>
      </c>
      <c r="AT242" s="15">
        <v>0</v>
      </c>
      <c r="AU242" s="15">
        <v>3</v>
      </c>
      <c r="AV242" s="15">
        <v>0</v>
      </c>
      <c r="AW242" s="15">
        <v>0</v>
      </c>
      <c r="AX242" s="15">
        <v>1</v>
      </c>
      <c r="AY242" s="15">
        <v>236</v>
      </c>
      <c r="AZ242" s="15">
        <v>54</v>
      </c>
      <c r="BA242" s="15">
        <v>50</v>
      </c>
      <c r="BB242" s="15">
        <v>0.92593</v>
      </c>
      <c r="BC242" s="15">
        <v>0</v>
      </c>
      <c r="BD242" s="15">
        <v>0</v>
      </c>
      <c r="BE242" s="15">
        <v>0.08909</v>
      </c>
      <c r="BF242" s="15">
        <v>177</v>
      </c>
      <c r="BG242" s="15">
        <v>4</v>
      </c>
      <c r="BH242" s="15">
        <v>0</v>
      </c>
      <c r="BI242" s="15"/>
      <c r="BJ242" s="15">
        <v>0</v>
      </c>
      <c r="BK242" s="15">
        <v>0</v>
      </c>
      <c r="BL242" s="15">
        <v>0</v>
      </c>
      <c r="BM242" s="15">
        <v>0</v>
      </c>
      <c r="BN242" s="15"/>
      <c r="BO242" s="15"/>
      <c r="BP242" s="15">
        <v>0.17</v>
      </c>
      <c r="BQ242" s="15">
        <v>170</v>
      </c>
    </row>
    <row r="243" spans="1:69">
      <c r="A243" s="16">
        <v>46052</v>
      </c>
      <c r="B243" s="15">
        <v>372</v>
      </c>
      <c r="C243" s="15" t="s">
        <v>37</v>
      </c>
      <c r="D243" s="15">
        <v>372</v>
      </c>
      <c r="E243" s="15" t="s">
        <v>61</v>
      </c>
      <c r="F243" s="15">
        <v>231</v>
      </c>
      <c r="G243" s="15">
        <v>27</v>
      </c>
      <c r="H243" s="15">
        <v>63.42</v>
      </c>
      <c r="I243" s="15">
        <v>0.11688</v>
      </c>
      <c r="J243" s="15">
        <v>2.35</v>
      </c>
      <c r="K243" s="15">
        <v>274.55</v>
      </c>
      <c r="L243" s="15">
        <v>0</v>
      </c>
      <c r="M243" s="15">
        <v>0</v>
      </c>
      <c r="N243" s="15">
        <v>0</v>
      </c>
      <c r="O243" s="15">
        <v>0</v>
      </c>
      <c r="P243" s="15">
        <v>0</v>
      </c>
      <c r="Q243" s="15">
        <v>0</v>
      </c>
      <c r="R243" s="15">
        <v>0</v>
      </c>
      <c r="S243" s="15">
        <v>0</v>
      </c>
      <c r="T243" s="15">
        <v>0</v>
      </c>
      <c r="U243" s="15">
        <v>0</v>
      </c>
      <c r="V243" s="15">
        <v>0</v>
      </c>
      <c r="W243" s="15">
        <v>0</v>
      </c>
      <c r="X243" s="15">
        <v>0</v>
      </c>
      <c r="Y243" s="15">
        <v>0</v>
      </c>
      <c r="Z243" s="15">
        <v>0</v>
      </c>
      <c r="AA243" s="15"/>
      <c r="AB243" s="15">
        <v>4</v>
      </c>
      <c r="AC243" s="15">
        <v>1</v>
      </c>
      <c r="AD243" s="15">
        <v>3</v>
      </c>
      <c r="AE243" s="15">
        <v>0.14815</v>
      </c>
      <c r="AF243" s="15">
        <v>2</v>
      </c>
      <c r="AG243" s="15">
        <v>0</v>
      </c>
      <c r="AH243" s="15"/>
      <c r="AI243" s="15">
        <v>6</v>
      </c>
      <c r="AJ243" s="15">
        <v>10.57</v>
      </c>
      <c r="AK243" s="15">
        <v>6</v>
      </c>
      <c r="AL243" s="15">
        <v>10.57</v>
      </c>
      <c r="AM243" s="15">
        <v>2</v>
      </c>
      <c r="AN243" s="15">
        <v>31.71</v>
      </c>
      <c r="AO243" s="15">
        <v>0.07407</v>
      </c>
      <c r="AP243" s="15">
        <v>15.86</v>
      </c>
      <c r="AQ243" s="15">
        <v>2</v>
      </c>
      <c r="AR243" s="15">
        <v>148.9</v>
      </c>
      <c r="AS243" s="15">
        <v>0</v>
      </c>
      <c r="AT243" s="15">
        <v>2</v>
      </c>
      <c r="AU243" s="15">
        <v>3</v>
      </c>
      <c r="AV243" s="15">
        <v>0</v>
      </c>
      <c r="AW243" s="15">
        <v>0</v>
      </c>
      <c r="AX243" s="15">
        <v>1</v>
      </c>
      <c r="AY243" s="15">
        <v>123</v>
      </c>
      <c r="AZ243" s="15">
        <v>19</v>
      </c>
      <c r="BA243" s="15">
        <v>16</v>
      </c>
      <c r="BB243" s="15">
        <v>0.84211</v>
      </c>
      <c r="BC243" s="15">
        <v>0</v>
      </c>
      <c r="BD243" s="15">
        <v>0</v>
      </c>
      <c r="BE243" s="15">
        <v>0.53247</v>
      </c>
      <c r="BF243" s="15">
        <v>94</v>
      </c>
      <c r="BG243" s="15">
        <v>6</v>
      </c>
      <c r="BH243" s="15">
        <v>0</v>
      </c>
      <c r="BI243" s="15"/>
      <c r="BJ243" s="15">
        <v>0</v>
      </c>
      <c r="BK243" s="15">
        <v>0</v>
      </c>
      <c r="BL243" s="15">
        <v>0</v>
      </c>
      <c r="BM243" s="15">
        <v>0</v>
      </c>
      <c r="BN243" s="15"/>
      <c r="BO243" s="15"/>
      <c r="BP243" s="15">
        <v>1.32</v>
      </c>
      <c r="BQ243" s="15">
        <v>179</v>
      </c>
    </row>
    <row r="244" spans="1:69">
      <c r="A244" s="16">
        <v>46052</v>
      </c>
      <c r="B244" s="15">
        <v>183</v>
      </c>
      <c r="C244" s="15" t="s">
        <v>40</v>
      </c>
      <c r="D244" s="15">
        <v>183</v>
      </c>
      <c r="E244" s="15" t="s">
        <v>40</v>
      </c>
      <c r="F244" s="15">
        <v>1070</v>
      </c>
      <c r="G244" s="15">
        <v>52</v>
      </c>
      <c r="H244" s="15">
        <v>100</v>
      </c>
      <c r="I244" s="15">
        <v>0.0486</v>
      </c>
      <c r="J244" s="15">
        <v>1.92</v>
      </c>
      <c r="K244" s="15">
        <v>93.46</v>
      </c>
      <c r="L244" s="15">
        <v>0</v>
      </c>
      <c r="M244" s="15">
        <v>0</v>
      </c>
      <c r="N244" s="15">
        <v>0</v>
      </c>
      <c r="O244" s="15">
        <v>0</v>
      </c>
      <c r="P244" s="15">
        <v>0</v>
      </c>
      <c r="Q244" s="15">
        <v>0</v>
      </c>
      <c r="R244" s="15">
        <v>0</v>
      </c>
      <c r="S244" s="15">
        <v>0</v>
      </c>
      <c r="T244" s="15">
        <v>0</v>
      </c>
      <c r="U244" s="15">
        <v>0</v>
      </c>
      <c r="V244" s="15">
        <v>0</v>
      </c>
      <c r="W244" s="15">
        <v>0</v>
      </c>
      <c r="X244" s="15">
        <v>0</v>
      </c>
      <c r="Y244" s="15">
        <v>0</v>
      </c>
      <c r="Z244" s="15">
        <v>0</v>
      </c>
      <c r="AA244" s="15"/>
      <c r="AB244" s="15">
        <v>4</v>
      </c>
      <c r="AC244" s="15">
        <v>4</v>
      </c>
      <c r="AD244" s="15">
        <v>0</v>
      </c>
      <c r="AE244" s="15">
        <v>0.07692</v>
      </c>
      <c r="AF244" s="15">
        <v>4</v>
      </c>
      <c r="AG244" s="15">
        <v>2</v>
      </c>
      <c r="AH244" s="15">
        <v>50</v>
      </c>
      <c r="AI244" s="15">
        <v>10</v>
      </c>
      <c r="AJ244" s="15">
        <v>10</v>
      </c>
      <c r="AK244" s="15">
        <v>8</v>
      </c>
      <c r="AL244" s="15">
        <v>12.5</v>
      </c>
      <c r="AM244" s="15">
        <v>6</v>
      </c>
      <c r="AN244" s="15">
        <v>25</v>
      </c>
      <c r="AO244" s="15">
        <v>0.07692</v>
      </c>
      <c r="AP244" s="15">
        <v>25</v>
      </c>
      <c r="AQ244" s="15">
        <v>0</v>
      </c>
      <c r="AR244" s="15">
        <v>0</v>
      </c>
      <c r="AS244" s="15">
        <v>4</v>
      </c>
      <c r="AT244" s="15">
        <v>0</v>
      </c>
      <c r="AU244" s="15">
        <v>11</v>
      </c>
      <c r="AV244" s="15">
        <v>0</v>
      </c>
      <c r="AW244" s="15">
        <v>0</v>
      </c>
      <c r="AX244" s="15">
        <v>0</v>
      </c>
      <c r="AY244" s="15">
        <v>267</v>
      </c>
      <c r="AZ244" s="15">
        <v>69</v>
      </c>
      <c r="BA244" s="15">
        <v>48</v>
      </c>
      <c r="BB244" s="15">
        <v>0.69565</v>
      </c>
      <c r="BC244" s="15">
        <v>0</v>
      </c>
      <c r="BD244" s="15">
        <v>0</v>
      </c>
      <c r="BE244" s="15">
        <v>0.24953</v>
      </c>
      <c r="BF244" s="15">
        <v>166</v>
      </c>
      <c r="BG244" s="15">
        <v>4</v>
      </c>
      <c r="BH244" s="15">
        <v>0</v>
      </c>
      <c r="BI244" s="15"/>
      <c r="BJ244" s="15">
        <v>0</v>
      </c>
      <c r="BK244" s="15">
        <v>0</v>
      </c>
      <c r="BL244" s="15">
        <v>0</v>
      </c>
      <c r="BM244" s="15">
        <v>0</v>
      </c>
      <c r="BN244" s="15"/>
      <c r="BO244" s="15"/>
      <c r="BP244" s="15">
        <v>2.99</v>
      </c>
      <c r="BQ244" s="15">
        <v>245</v>
      </c>
    </row>
    <row r="245" spans="1:69">
      <c r="A245" s="16">
        <v>46052</v>
      </c>
      <c r="B245" s="15">
        <v>479</v>
      </c>
      <c r="C245" s="15" t="s">
        <v>39</v>
      </c>
      <c r="D245" s="15">
        <v>479</v>
      </c>
      <c r="E245" s="15" t="s">
        <v>39</v>
      </c>
      <c r="F245" s="15">
        <v>117</v>
      </c>
      <c r="G245" s="15">
        <v>47</v>
      </c>
      <c r="H245" s="15">
        <v>36.03</v>
      </c>
      <c r="I245" s="15">
        <v>0.40171</v>
      </c>
      <c r="J245" s="15">
        <v>0.77</v>
      </c>
      <c r="K245" s="15">
        <v>307.92</v>
      </c>
      <c r="L245" s="15">
        <v>0</v>
      </c>
      <c r="M245" s="15">
        <v>0</v>
      </c>
      <c r="N245" s="15">
        <v>0</v>
      </c>
      <c r="O245" s="15">
        <v>0</v>
      </c>
      <c r="P245" s="15">
        <v>0</v>
      </c>
      <c r="Q245" s="15">
        <v>0</v>
      </c>
      <c r="R245" s="15">
        <v>0</v>
      </c>
      <c r="S245" s="15">
        <v>121.65</v>
      </c>
      <c r="T245" s="15">
        <v>121.65</v>
      </c>
      <c r="U245" s="15">
        <v>3</v>
      </c>
      <c r="V245" s="15">
        <v>0</v>
      </c>
      <c r="W245" s="15">
        <v>3</v>
      </c>
      <c r="X245" s="15">
        <v>0.06383</v>
      </c>
      <c r="Y245" s="15">
        <v>3.38</v>
      </c>
      <c r="Z245" s="15">
        <v>3.38</v>
      </c>
      <c r="AA245" s="15">
        <v>12.01</v>
      </c>
      <c r="AB245" s="15">
        <v>10</v>
      </c>
      <c r="AC245" s="15">
        <v>0</v>
      </c>
      <c r="AD245" s="15">
        <v>10</v>
      </c>
      <c r="AE245" s="15">
        <v>0.21277</v>
      </c>
      <c r="AF245" s="15">
        <v>1</v>
      </c>
      <c r="AG245" s="15">
        <v>2</v>
      </c>
      <c r="AH245" s="15">
        <v>18.01</v>
      </c>
      <c r="AI245" s="15">
        <v>13</v>
      </c>
      <c r="AJ245" s="15">
        <v>2.77</v>
      </c>
      <c r="AK245" s="15">
        <v>11</v>
      </c>
      <c r="AL245" s="15">
        <v>3.28</v>
      </c>
      <c r="AM245" s="15">
        <v>3</v>
      </c>
      <c r="AN245" s="15">
        <v>36.03</v>
      </c>
      <c r="AO245" s="15">
        <v>0.02128</v>
      </c>
      <c r="AP245" s="15">
        <v>3.6</v>
      </c>
      <c r="AQ245" s="15">
        <v>5</v>
      </c>
      <c r="AR245" s="15">
        <v>298.6</v>
      </c>
      <c r="AS245" s="15">
        <v>0</v>
      </c>
      <c r="AT245" s="15">
        <v>1</v>
      </c>
      <c r="AU245" s="15">
        <v>5</v>
      </c>
      <c r="AV245" s="15">
        <v>0</v>
      </c>
      <c r="AW245" s="15">
        <v>0</v>
      </c>
      <c r="AX245" s="15">
        <v>1</v>
      </c>
      <c r="AY245" s="15">
        <v>436</v>
      </c>
      <c r="AZ245" s="15">
        <v>36</v>
      </c>
      <c r="BA245" s="15">
        <v>22</v>
      </c>
      <c r="BB245" s="15">
        <v>0.61111</v>
      </c>
      <c r="BC245" s="15">
        <v>0</v>
      </c>
      <c r="BD245" s="15">
        <v>0</v>
      </c>
      <c r="BE245" s="15">
        <v>3.7265</v>
      </c>
      <c r="BF245" s="15">
        <v>376</v>
      </c>
      <c r="BG245" s="15">
        <v>12</v>
      </c>
      <c r="BH245" s="15">
        <v>1</v>
      </c>
      <c r="BI245" s="15">
        <v>1</v>
      </c>
      <c r="BJ245" s="15">
        <v>0</v>
      </c>
      <c r="BK245" s="15">
        <v>0</v>
      </c>
      <c r="BL245" s="15">
        <v>0</v>
      </c>
      <c r="BM245" s="15">
        <v>1</v>
      </c>
      <c r="BN245" s="15">
        <v>3</v>
      </c>
      <c r="BO245" s="15">
        <v>121.65</v>
      </c>
      <c r="BP245" s="15">
        <v>39.75</v>
      </c>
      <c r="BQ245" s="15">
        <v>446</v>
      </c>
    </row>
    <row r="246" spans="1:69">
      <c r="A246" s="16">
        <v>46052</v>
      </c>
      <c r="B246" s="15">
        <v>371</v>
      </c>
      <c r="C246" s="15" t="s">
        <v>32</v>
      </c>
      <c r="D246" s="15">
        <v>371</v>
      </c>
      <c r="E246" s="15" t="s">
        <v>32</v>
      </c>
      <c r="F246" s="15">
        <v>2887</v>
      </c>
      <c r="G246" s="15">
        <v>71</v>
      </c>
      <c r="H246" s="15">
        <v>19.81</v>
      </c>
      <c r="I246" s="15">
        <v>0.02459</v>
      </c>
      <c r="J246" s="15">
        <v>0.28</v>
      </c>
      <c r="K246" s="15">
        <v>6.86</v>
      </c>
      <c r="L246" s="15">
        <v>0</v>
      </c>
      <c r="M246" s="15">
        <v>0</v>
      </c>
      <c r="N246" s="15">
        <v>0</v>
      </c>
      <c r="O246" s="15">
        <v>0</v>
      </c>
      <c r="P246" s="15">
        <v>0</v>
      </c>
      <c r="Q246" s="15">
        <v>0</v>
      </c>
      <c r="R246" s="15">
        <v>0</v>
      </c>
      <c r="S246" s="15">
        <v>0</v>
      </c>
      <c r="T246" s="15">
        <v>0</v>
      </c>
      <c r="U246" s="15">
        <v>0</v>
      </c>
      <c r="V246" s="15">
        <v>0</v>
      </c>
      <c r="W246" s="15">
        <v>0</v>
      </c>
      <c r="X246" s="15">
        <v>0</v>
      </c>
      <c r="Y246" s="15">
        <v>0</v>
      </c>
      <c r="Z246" s="15">
        <v>0</v>
      </c>
      <c r="AA246" s="15"/>
      <c r="AB246" s="15">
        <v>3</v>
      </c>
      <c r="AC246" s="15">
        <v>1</v>
      </c>
      <c r="AD246" s="15">
        <v>2</v>
      </c>
      <c r="AE246" s="15">
        <v>0.04225</v>
      </c>
      <c r="AF246" s="15">
        <v>0</v>
      </c>
      <c r="AG246" s="15">
        <v>0</v>
      </c>
      <c r="AH246" s="15"/>
      <c r="AI246" s="15">
        <v>3</v>
      </c>
      <c r="AJ246" s="15">
        <v>6.6</v>
      </c>
      <c r="AK246" s="15">
        <v>3</v>
      </c>
      <c r="AL246" s="15">
        <v>6.6</v>
      </c>
      <c r="AM246" s="15">
        <v>0</v>
      </c>
      <c r="AN246" s="15"/>
      <c r="AO246" s="15">
        <v>0</v>
      </c>
      <c r="AP246" s="15">
        <v>6.6</v>
      </c>
      <c r="AQ246" s="15">
        <v>0</v>
      </c>
      <c r="AR246" s="15">
        <v>0</v>
      </c>
      <c r="AS246" s="15">
        <v>0</v>
      </c>
      <c r="AT246" s="15">
        <v>0</v>
      </c>
      <c r="AU246" s="15">
        <v>4</v>
      </c>
      <c r="AV246" s="15">
        <v>0</v>
      </c>
      <c r="AW246" s="15">
        <v>0</v>
      </c>
      <c r="AX246" s="15">
        <v>0</v>
      </c>
      <c r="AY246" s="15">
        <v>153</v>
      </c>
      <c r="AZ246" s="15">
        <v>77</v>
      </c>
      <c r="BA246" s="15">
        <v>75</v>
      </c>
      <c r="BB246" s="15">
        <v>0.97403</v>
      </c>
      <c r="BC246" s="15">
        <v>0</v>
      </c>
      <c r="BD246" s="15">
        <v>0</v>
      </c>
      <c r="BE246" s="15">
        <v>0.053</v>
      </c>
      <c r="BF246" s="15">
        <v>67</v>
      </c>
      <c r="BG246" s="15">
        <v>2</v>
      </c>
      <c r="BH246" s="15">
        <v>0</v>
      </c>
      <c r="BI246" s="15"/>
      <c r="BJ246" s="15">
        <v>0</v>
      </c>
      <c r="BK246" s="15">
        <v>0</v>
      </c>
      <c r="BL246" s="15">
        <v>0</v>
      </c>
      <c r="BM246" s="15">
        <v>0</v>
      </c>
      <c r="BN246" s="15"/>
      <c r="BO246" s="15"/>
      <c r="BP246" s="15">
        <v>2.74</v>
      </c>
      <c r="BQ246" s="15">
        <v>133</v>
      </c>
    </row>
    <row r="247" spans="1:69">
      <c r="A247" s="16">
        <v>46052</v>
      </c>
      <c r="B247" s="15">
        <v>436</v>
      </c>
      <c r="C247" s="15" t="s">
        <v>38</v>
      </c>
      <c r="D247" s="15">
        <v>436</v>
      </c>
      <c r="E247" s="15" t="s">
        <v>38</v>
      </c>
      <c r="F247" s="15">
        <v>677</v>
      </c>
      <c r="G247" s="15">
        <v>40</v>
      </c>
      <c r="H247" s="15">
        <v>71.9</v>
      </c>
      <c r="I247" s="15">
        <v>0.05908</v>
      </c>
      <c r="J247" s="15">
        <v>1.8</v>
      </c>
      <c r="K247" s="15">
        <v>106.2</v>
      </c>
      <c r="L247" s="15">
        <v>0</v>
      </c>
      <c r="M247" s="15">
        <v>0</v>
      </c>
      <c r="N247" s="15">
        <v>0</v>
      </c>
      <c r="O247" s="15">
        <v>0</v>
      </c>
      <c r="P247" s="15">
        <v>0</v>
      </c>
      <c r="Q247" s="15">
        <v>0</v>
      </c>
      <c r="R247" s="15">
        <v>0</v>
      </c>
      <c r="S247" s="15">
        <v>0</v>
      </c>
      <c r="T247" s="15">
        <v>0</v>
      </c>
      <c r="U247" s="15">
        <v>0</v>
      </c>
      <c r="V247" s="15">
        <v>0</v>
      </c>
      <c r="W247" s="15">
        <v>0</v>
      </c>
      <c r="X247" s="15">
        <v>0</v>
      </c>
      <c r="Y247" s="15">
        <v>0</v>
      </c>
      <c r="Z247" s="15">
        <v>0</v>
      </c>
      <c r="AA247" s="15"/>
      <c r="AB247" s="15">
        <v>2</v>
      </c>
      <c r="AC247" s="15">
        <v>1</v>
      </c>
      <c r="AD247" s="15">
        <v>1</v>
      </c>
      <c r="AE247" s="15">
        <v>0.05</v>
      </c>
      <c r="AF247" s="15">
        <v>1</v>
      </c>
      <c r="AG247" s="15">
        <v>0</v>
      </c>
      <c r="AH247" s="15"/>
      <c r="AI247" s="15">
        <v>3</v>
      </c>
      <c r="AJ247" s="15">
        <v>23.97</v>
      </c>
      <c r="AK247" s="15">
        <v>3</v>
      </c>
      <c r="AL247" s="15">
        <v>23.97</v>
      </c>
      <c r="AM247" s="15">
        <v>1</v>
      </c>
      <c r="AN247" s="15">
        <v>71.9</v>
      </c>
      <c r="AO247" s="15">
        <v>0.025</v>
      </c>
      <c r="AP247" s="15">
        <v>35.95</v>
      </c>
      <c r="AQ247" s="15">
        <v>2</v>
      </c>
      <c r="AR247" s="15">
        <v>148.9</v>
      </c>
      <c r="AS247" s="15">
        <v>0</v>
      </c>
      <c r="AT247" s="15">
        <v>1</v>
      </c>
      <c r="AU247" s="15">
        <v>3</v>
      </c>
      <c r="AV247" s="15">
        <v>0</v>
      </c>
      <c r="AW247" s="15">
        <v>0</v>
      </c>
      <c r="AX247" s="15">
        <v>2</v>
      </c>
      <c r="AY247" s="15">
        <v>231</v>
      </c>
      <c r="AZ247" s="15">
        <v>35</v>
      </c>
      <c r="BA247" s="15">
        <v>26</v>
      </c>
      <c r="BB247" s="15">
        <v>0.74286</v>
      </c>
      <c r="BC247" s="15">
        <v>0</v>
      </c>
      <c r="BD247" s="15">
        <v>0</v>
      </c>
      <c r="BE247" s="15">
        <v>0.34121</v>
      </c>
      <c r="BF247" s="15">
        <v>186</v>
      </c>
      <c r="BG247" s="15">
        <v>7</v>
      </c>
      <c r="BH247" s="15">
        <v>0</v>
      </c>
      <c r="BI247" s="15"/>
      <c r="BJ247" s="15">
        <v>0</v>
      </c>
      <c r="BK247" s="15">
        <v>0</v>
      </c>
      <c r="BL247" s="15">
        <v>0</v>
      </c>
      <c r="BM247" s="15">
        <v>0</v>
      </c>
      <c r="BN247" s="15"/>
      <c r="BO247" s="15"/>
      <c r="BP247" s="15">
        <v>2.83</v>
      </c>
      <c r="BQ247" s="15">
        <v>186</v>
      </c>
    </row>
    <row r="248" spans="1:69">
      <c r="A248" s="16">
        <v>46051</v>
      </c>
      <c r="B248" s="15">
        <v>436</v>
      </c>
      <c r="C248" s="15" t="s">
        <v>38</v>
      </c>
      <c r="D248" s="15">
        <v>436</v>
      </c>
      <c r="E248" s="15" t="s">
        <v>38</v>
      </c>
      <c r="F248" s="15">
        <v>535</v>
      </c>
      <c r="G248" s="15">
        <v>31</v>
      </c>
      <c r="H248" s="15">
        <v>80</v>
      </c>
      <c r="I248" s="15">
        <v>0.05794</v>
      </c>
      <c r="J248" s="15">
        <v>2.58</v>
      </c>
      <c r="K248" s="15">
        <v>149.53</v>
      </c>
      <c r="L248" s="15">
        <v>0</v>
      </c>
      <c r="M248" s="15">
        <v>0</v>
      </c>
      <c r="N248" s="15">
        <v>0</v>
      </c>
      <c r="O248" s="15">
        <v>0</v>
      </c>
      <c r="P248" s="15">
        <v>0</v>
      </c>
      <c r="Q248" s="15">
        <v>0</v>
      </c>
      <c r="R248" s="15">
        <v>0</v>
      </c>
      <c r="S248" s="15">
        <v>1262.5</v>
      </c>
      <c r="T248" s="15">
        <v>1262.5</v>
      </c>
      <c r="U248" s="15">
        <v>2</v>
      </c>
      <c r="V248" s="15">
        <v>0</v>
      </c>
      <c r="W248" s="15">
        <v>2</v>
      </c>
      <c r="X248" s="15">
        <v>0.06452</v>
      </c>
      <c r="Y248" s="15">
        <v>15.78</v>
      </c>
      <c r="Z248" s="15">
        <v>15.78</v>
      </c>
      <c r="AA248" s="15">
        <v>40</v>
      </c>
      <c r="AB248" s="15">
        <v>3</v>
      </c>
      <c r="AC248" s="15">
        <v>0</v>
      </c>
      <c r="AD248" s="15">
        <v>3</v>
      </c>
      <c r="AE248" s="15">
        <v>0.09677</v>
      </c>
      <c r="AF248" s="15">
        <v>3</v>
      </c>
      <c r="AG248" s="15">
        <v>2</v>
      </c>
      <c r="AH248" s="15">
        <v>40</v>
      </c>
      <c r="AI248" s="15">
        <v>8</v>
      </c>
      <c r="AJ248" s="15">
        <v>10</v>
      </c>
      <c r="AK248" s="15">
        <v>6</v>
      </c>
      <c r="AL248" s="15">
        <v>13.33</v>
      </c>
      <c r="AM248" s="15">
        <v>5</v>
      </c>
      <c r="AN248" s="15">
        <v>26.67</v>
      </c>
      <c r="AO248" s="15">
        <v>0.09677</v>
      </c>
      <c r="AP248" s="15">
        <v>26.67</v>
      </c>
      <c r="AQ248" s="15">
        <v>3</v>
      </c>
      <c r="AR248" s="15">
        <v>1601</v>
      </c>
      <c r="AS248" s="15">
        <v>0</v>
      </c>
      <c r="AT248" s="15">
        <v>3</v>
      </c>
      <c r="AU248" s="15">
        <v>9</v>
      </c>
      <c r="AV248" s="15">
        <v>0</v>
      </c>
      <c r="AW248" s="15">
        <v>0</v>
      </c>
      <c r="AX248" s="15">
        <v>3</v>
      </c>
      <c r="AY248" s="15">
        <v>126</v>
      </c>
      <c r="AZ248" s="15">
        <v>30</v>
      </c>
      <c r="BA248" s="15">
        <v>22</v>
      </c>
      <c r="BB248" s="15">
        <v>0.73333</v>
      </c>
      <c r="BC248" s="15">
        <v>0</v>
      </c>
      <c r="BD248" s="15">
        <v>0</v>
      </c>
      <c r="BE248" s="15">
        <v>0.23551</v>
      </c>
      <c r="BF248" s="15">
        <v>94</v>
      </c>
      <c r="BG248" s="15">
        <v>4</v>
      </c>
      <c r="BH248" s="15">
        <v>1</v>
      </c>
      <c r="BI248" s="15">
        <v>1</v>
      </c>
      <c r="BJ248" s="15">
        <v>0</v>
      </c>
      <c r="BK248" s="15">
        <v>0</v>
      </c>
      <c r="BL248" s="15">
        <v>0</v>
      </c>
      <c r="BM248" s="15">
        <v>1</v>
      </c>
      <c r="BN248" s="15">
        <v>2</v>
      </c>
      <c r="BO248" s="15">
        <v>1262.5</v>
      </c>
      <c r="BP248" s="15">
        <v>131.16</v>
      </c>
      <c r="BQ248" s="15">
        <v>473</v>
      </c>
    </row>
    <row r="249" spans="1:69">
      <c r="A249" s="16">
        <v>46051</v>
      </c>
      <c r="B249" s="15">
        <v>183</v>
      </c>
      <c r="C249" s="15" t="s">
        <v>40</v>
      </c>
      <c r="D249" s="15">
        <v>183</v>
      </c>
      <c r="E249" s="15" t="s">
        <v>40</v>
      </c>
      <c r="F249" s="15">
        <v>729</v>
      </c>
      <c r="G249" s="15">
        <v>47</v>
      </c>
      <c r="H249" s="15">
        <v>100</v>
      </c>
      <c r="I249" s="15">
        <v>0.06447</v>
      </c>
      <c r="J249" s="15">
        <v>2.13</v>
      </c>
      <c r="K249" s="15">
        <v>137.17</v>
      </c>
      <c r="L249" s="15">
        <v>0</v>
      </c>
      <c r="M249" s="15">
        <v>0</v>
      </c>
      <c r="N249" s="15">
        <v>0</v>
      </c>
      <c r="O249" s="15">
        <v>0</v>
      </c>
      <c r="P249" s="15">
        <v>0</v>
      </c>
      <c r="Q249" s="15">
        <v>0</v>
      </c>
      <c r="R249" s="15">
        <v>1678</v>
      </c>
      <c r="S249" s="15">
        <v>71.13</v>
      </c>
      <c r="T249" s="15">
        <v>1749.13</v>
      </c>
      <c r="U249" s="15">
        <v>2</v>
      </c>
      <c r="V249" s="15">
        <v>1</v>
      </c>
      <c r="W249" s="15">
        <v>1</v>
      </c>
      <c r="X249" s="15">
        <v>0.04255</v>
      </c>
      <c r="Y249" s="15">
        <v>17.49</v>
      </c>
      <c r="Z249" s="15">
        <v>17.49</v>
      </c>
      <c r="AA249" s="15">
        <v>50</v>
      </c>
      <c r="AB249" s="15">
        <v>4</v>
      </c>
      <c r="AC249" s="15">
        <v>2</v>
      </c>
      <c r="AD249" s="15">
        <v>2</v>
      </c>
      <c r="AE249" s="15">
        <v>0.08511</v>
      </c>
      <c r="AF249" s="15">
        <v>1</v>
      </c>
      <c r="AG249" s="15">
        <v>1</v>
      </c>
      <c r="AH249" s="15">
        <v>100</v>
      </c>
      <c r="AI249" s="15">
        <v>6</v>
      </c>
      <c r="AJ249" s="15">
        <v>16.67</v>
      </c>
      <c r="AK249" s="15">
        <v>5</v>
      </c>
      <c r="AL249" s="15">
        <v>20</v>
      </c>
      <c r="AM249" s="15">
        <v>2</v>
      </c>
      <c r="AN249" s="15">
        <v>100</v>
      </c>
      <c r="AO249" s="15">
        <v>0.02128</v>
      </c>
      <c r="AP249" s="15">
        <v>25</v>
      </c>
      <c r="AQ249" s="15">
        <v>3</v>
      </c>
      <c r="AR249" s="15">
        <v>2146.9</v>
      </c>
      <c r="AS249" s="15">
        <v>1</v>
      </c>
      <c r="AT249" s="15">
        <v>0</v>
      </c>
      <c r="AU249" s="15">
        <v>7</v>
      </c>
      <c r="AV249" s="15">
        <v>0</v>
      </c>
      <c r="AW249" s="15">
        <v>0</v>
      </c>
      <c r="AX249" s="15">
        <v>2</v>
      </c>
      <c r="AY249" s="15">
        <v>326</v>
      </c>
      <c r="AZ249" s="15">
        <v>99</v>
      </c>
      <c r="BA249" s="15">
        <v>70</v>
      </c>
      <c r="BB249" s="15">
        <v>0.70707</v>
      </c>
      <c r="BC249" s="15">
        <v>0</v>
      </c>
      <c r="BD249" s="15">
        <v>0</v>
      </c>
      <c r="BE249" s="15">
        <v>0.44719</v>
      </c>
      <c r="BF249" s="15">
        <v>196</v>
      </c>
      <c r="BG249" s="15">
        <v>3</v>
      </c>
      <c r="BH249" s="15">
        <v>2</v>
      </c>
      <c r="BI249" s="15">
        <v>1</v>
      </c>
      <c r="BJ249" s="15">
        <v>0</v>
      </c>
      <c r="BK249" s="15">
        <v>0</v>
      </c>
      <c r="BL249" s="15">
        <v>0</v>
      </c>
      <c r="BM249" s="15">
        <v>2</v>
      </c>
      <c r="BN249" s="15">
        <v>1</v>
      </c>
      <c r="BO249" s="15">
        <v>874.57</v>
      </c>
      <c r="BP249" s="15">
        <v>2.79</v>
      </c>
      <c r="BQ249" s="15">
        <v>543</v>
      </c>
    </row>
    <row r="250" spans="1:69">
      <c r="A250" s="16">
        <v>46051</v>
      </c>
      <c r="B250" s="15">
        <v>372</v>
      </c>
      <c r="C250" s="15" t="s">
        <v>37</v>
      </c>
      <c r="D250" s="15">
        <v>372</v>
      </c>
      <c r="E250" s="15" t="s">
        <v>61</v>
      </c>
      <c r="F250" s="15">
        <v>526</v>
      </c>
      <c r="G250" s="15">
        <v>14</v>
      </c>
      <c r="H250" s="15">
        <v>44.26</v>
      </c>
      <c r="I250" s="15">
        <v>0.02662</v>
      </c>
      <c r="J250" s="15">
        <v>3.16</v>
      </c>
      <c r="K250" s="15">
        <v>84.14</v>
      </c>
      <c r="L250" s="15">
        <v>0</v>
      </c>
      <c r="M250" s="15">
        <v>0</v>
      </c>
      <c r="N250" s="15">
        <v>0</v>
      </c>
      <c r="O250" s="15">
        <v>0</v>
      </c>
      <c r="P250" s="15">
        <v>0</v>
      </c>
      <c r="Q250" s="15">
        <v>0</v>
      </c>
      <c r="R250" s="15">
        <v>0</v>
      </c>
      <c r="S250" s="15">
        <v>559.04</v>
      </c>
      <c r="T250" s="15">
        <v>559.04</v>
      </c>
      <c r="U250" s="15">
        <v>1</v>
      </c>
      <c r="V250" s="15">
        <v>0</v>
      </c>
      <c r="W250" s="15">
        <v>1</v>
      </c>
      <c r="X250" s="15">
        <v>0.07143</v>
      </c>
      <c r="Y250" s="15">
        <v>12.63</v>
      </c>
      <c r="Z250" s="15">
        <v>12.63</v>
      </c>
      <c r="AA250" s="15">
        <v>44.26</v>
      </c>
      <c r="AB250" s="15">
        <v>0</v>
      </c>
      <c r="AC250" s="15">
        <v>0</v>
      </c>
      <c r="AD250" s="15">
        <v>0</v>
      </c>
      <c r="AE250" s="15">
        <v>0</v>
      </c>
      <c r="AF250" s="15">
        <v>0</v>
      </c>
      <c r="AG250" s="15">
        <v>0</v>
      </c>
      <c r="AH250" s="15"/>
      <c r="AI250" s="15">
        <v>0</v>
      </c>
      <c r="AJ250" s="15"/>
      <c r="AK250" s="15">
        <v>0</v>
      </c>
      <c r="AL250" s="15"/>
      <c r="AM250" s="15">
        <v>0</v>
      </c>
      <c r="AN250" s="15"/>
      <c r="AO250" s="15">
        <v>0</v>
      </c>
      <c r="AP250" s="15"/>
      <c r="AQ250" s="15">
        <v>2</v>
      </c>
      <c r="AR250" s="15">
        <v>806</v>
      </c>
      <c r="AS250" s="15">
        <v>0</v>
      </c>
      <c r="AT250" s="15">
        <v>0</v>
      </c>
      <c r="AU250" s="15">
        <v>1</v>
      </c>
      <c r="AV250" s="15">
        <v>0</v>
      </c>
      <c r="AW250" s="15">
        <v>0</v>
      </c>
      <c r="AX250" s="15">
        <v>2</v>
      </c>
      <c r="AY250" s="15">
        <v>59</v>
      </c>
      <c r="AZ250" s="15">
        <v>14</v>
      </c>
      <c r="BA250" s="15">
        <v>7</v>
      </c>
      <c r="BB250" s="15">
        <v>0.5</v>
      </c>
      <c r="BC250" s="15">
        <v>0</v>
      </c>
      <c r="BD250" s="15">
        <v>0</v>
      </c>
      <c r="BE250" s="15">
        <v>0.11217</v>
      </c>
      <c r="BF250" s="15">
        <v>43</v>
      </c>
      <c r="BG250" s="15">
        <v>4</v>
      </c>
      <c r="BH250" s="15">
        <v>1</v>
      </c>
      <c r="BI250" s="15">
        <v>1</v>
      </c>
      <c r="BJ250" s="15">
        <v>0</v>
      </c>
      <c r="BK250" s="15">
        <v>0</v>
      </c>
      <c r="BL250" s="15">
        <v>0</v>
      </c>
      <c r="BM250" s="15">
        <v>1</v>
      </c>
      <c r="BN250" s="15">
        <v>1</v>
      </c>
      <c r="BO250" s="15">
        <v>559.04</v>
      </c>
      <c r="BP250" s="15">
        <v>0.06</v>
      </c>
      <c r="BQ250" s="15">
        <v>232</v>
      </c>
    </row>
    <row r="251" spans="1:69">
      <c r="A251" s="16">
        <v>46051</v>
      </c>
      <c r="B251" s="15">
        <v>371</v>
      </c>
      <c r="C251" s="15" t="s">
        <v>32</v>
      </c>
      <c r="D251" s="15">
        <v>371</v>
      </c>
      <c r="E251" s="15" t="s">
        <v>32</v>
      </c>
      <c r="F251" s="15">
        <v>2739</v>
      </c>
      <c r="G251" s="15">
        <v>54</v>
      </c>
      <c r="H251" s="15">
        <v>14.52</v>
      </c>
      <c r="I251" s="15">
        <v>0.01972</v>
      </c>
      <c r="J251" s="15">
        <v>0.27</v>
      </c>
      <c r="K251" s="15">
        <v>5.3</v>
      </c>
      <c r="L251" s="15">
        <v>0</v>
      </c>
      <c r="M251" s="15">
        <v>0</v>
      </c>
      <c r="N251" s="15">
        <v>0</v>
      </c>
      <c r="O251" s="15">
        <v>0</v>
      </c>
      <c r="P251" s="15">
        <v>0</v>
      </c>
      <c r="Q251" s="15">
        <v>0</v>
      </c>
      <c r="R251" s="15">
        <v>0</v>
      </c>
      <c r="S251" s="15">
        <v>0</v>
      </c>
      <c r="T251" s="15">
        <v>0</v>
      </c>
      <c r="U251" s="15">
        <v>0</v>
      </c>
      <c r="V251" s="15">
        <v>0</v>
      </c>
      <c r="W251" s="15">
        <v>0</v>
      </c>
      <c r="X251" s="15">
        <v>0</v>
      </c>
      <c r="Y251" s="15">
        <v>0</v>
      </c>
      <c r="Z251" s="15">
        <v>0</v>
      </c>
      <c r="AA251" s="15"/>
      <c r="AB251" s="15">
        <v>2</v>
      </c>
      <c r="AC251" s="15">
        <v>1</v>
      </c>
      <c r="AD251" s="15">
        <v>1</v>
      </c>
      <c r="AE251" s="15">
        <v>0.03704</v>
      </c>
      <c r="AF251" s="15">
        <v>1</v>
      </c>
      <c r="AG251" s="15">
        <v>1</v>
      </c>
      <c r="AH251" s="15">
        <v>14.52</v>
      </c>
      <c r="AI251" s="15">
        <v>4</v>
      </c>
      <c r="AJ251" s="15">
        <v>3.63</v>
      </c>
      <c r="AK251" s="15">
        <v>3</v>
      </c>
      <c r="AL251" s="15">
        <v>4.84</v>
      </c>
      <c r="AM251" s="15">
        <v>2</v>
      </c>
      <c r="AN251" s="15">
        <v>14.52</v>
      </c>
      <c r="AO251" s="15">
        <v>0.01852</v>
      </c>
      <c r="AP251" s="15">
        <v>7.26</v>
      </c>
      <c r="AQ251" s="15">
        <v>0</v>
      </c>
      <c r="AR251" s="15">
        <v>0</v>
      </c>
      <c r="AS251" s="15">
        <v>1</v>
      </c>
      <c r="AT251" s="15">
        <v>0</v>
      </c>
      <c r="AU251" s="15">
        <v>8</v>
      </c>
      <c r="AV251" s="15">
        <v>0</v>
      </c>
      <c r="AW251" s="15">
        <v>0</v>
      </c>
      <c r="AX251" s="15">
        <v>0</v>
      </c>
      <c r="AY251" s="15">
        <v>154</v>
      </c>
      <c r="AZ251" s="15">
        <v>68</v>
      </c>
      <c r="BA251" s="15">
        <v>66</v>
      </c>
      <c r="BB251" s="15">
        <v>0.97059</v>
      </c>
      <c r="BC251" s="15">
        <v>0</v>
      </c>
      <c r="BD251" s="15">
        <v>0</v>
      </c>
      <c r="BE251" s="15">
        <v>0.05622</v>
      </c>
      <c r="BF251" s="15">
        <v>77</v>
      </c>
      <c r="BG251" s="15">
        <v>2</v>
      </c>
      <c r="BH251" s="15">
        <v>0</v>
      </c>
      <c r="BI251" s="15"/>
      <c r="BJ251" s="15">
        <v>0</v>
      </c>
      <c r="BK251" s="15">
        <v>0</v>
      </c>
      <c r="BL251" s="15">
        <v>0</v>
      </c>
      <c r="BM251" s="15">
        <v>0</v>
      </c>
      <c r="BN251" s="15"/>
      <c r="BO251" s="15"/>
      <c r="BP251" s="15">
        <v>5.47</v>
      </c>
      <c r="BQ251" s="15">
        <v>142</v>
      </c>
    </row>
    <row r="252" spans="1:69">
      <c r="A252" s="16">
        <v>46051</v>
      </c>
      <c r="B252" s="15">
        <v>479</v>
      </c>
      <c r="C252" s="15" t="s">
        <v>39</v>
      </c>
      <c r="D252" s="15">
        <v>479</v>
      </c>
      <c r="E252" s="15" t="s">
        <v>39</v>
      </c>
      <c r="F252" s="15">
        <v>116</v>
      </c>
      <c r="G252" s="15">
        <v>64</v>
      </c>
      <c r="H252" s="15">
        <v>36.2</v>
      </c>
      <c r="I252" s="15">
        <v>0.55172</v>
      </c>
      <c r="J252" s="15">
        <v>0.57</v>
      </c>
      <c r="K252" s="15">
        <v>312.07</v>
      </c>
      <c r="L252" s="15">
        <v>0</v>
      </c>
      <c r="M252" s="15">
        <v>0</v>
      </c>
      <c r="N252" s="15">
        <v>0</v>
      </c>
      <c r="O252" s="15">
        <v>0</v>
      </c>
      <c r="P252" s="15">
        <v>0</v>
      </c>
      <c r="Q252" s="15">
        <v>0</v>
      </c>
      <c r="R252" s="15">
        <v>0</v>
      </c>
      <c r="S252" s="15">
        <v>349.77</v>
      </c>
      <c r="T252" s="15">
        <v>349.77</v>
      </c>
      <c r="U252" s="15">
        <v>2</v>
      </c>
      <c r="V252" s="15">
        <v>0</v>
      </c>
      <c r="W252" s="15">
        <v>2</v>
      </c>
      <c r="X252" s="15">
        <v>0.03125</v>
      </c>
      <c r="Y252" s="15">
        <v>9.66</v>
      </c>
      <c r="Z252" s="15">
        <v>9.66</v>
      </c>
      <c r="AA252" s="15">
        <v>18.1</v>
      </c>
      <c r="AB252" s="15">
        <v>9</v>
      </c>
      <c r="AC252" s="15">
        <v>0</v>
      </c>
      <c r="AD252" s="15">
        <v>9</v>
      </c>
      <c r="AE252" s="15">
        <v>0.14063</v>
      </c>
      <c r="AF252" s="15">
        <v>2</v>
      </c>
      <c r="AG252" s="15">
        <v>5</v>
      </c>
      <c r="AH252" s="15">
        <v>7.24</v>
      </c>
      <c r="AI252" s="15">
        <v>16</v>
      </c>
      <c r="AJ252" s="15">
        <v>2.26</v>
      </c>
      <c r="AK252" s="15">
        <v>11</v>
      </c>
      <c r="AL252" s="15">
        <v>3.29</v>
      </c>
      <c r="AM252" s="15">
        <v>7</v>
      </c>
      <c r="AN252" s="15">
        <v>18.1</v>
      </c>
      <c r="AO252" s="15">
        <v>0.03125</v>
      </c>
      <c r="AP252" s="15">
        <v>4.02</v>
      </c>
      <c r="AQ252" s="15">
        <v>5</v>
      </c>
      <c r="AR252" s="15">
        <v>864.9</v>
      </c>
      <c r="AS252" s="15">
        <v>0</v>
      </c>
      <c r="AT252" s="15">
        <v>2</v>
      </c>
      <c r="AU252" s="15">
        <v>10</v>
      </c>
      <c r="AV252" s="15">
        <v>0</v>
      </c>
      <c r="AW252" s="15">
        <v>0</v>
      </c>
      <c r="AX252" s="15">
        <v>3</v>
      </c>
      <c r="AY252" s="15">
        <v>660</v>
      </c>
      <c r="AZ252" s="15">
        <v>53</v>
      </c>
      <c r="BA252" s="15">
        <v>30</v>
      </c>
      <c r="BB252" s="15">
        <v>0.56604</v>
      </c>
      <c r="BC252" s="15">
        <v>0</v>
      </c>
      <c r="BD252" s="15">
        <v>0</v>
      </c>
      <c r="BE252" s="15">
        <v>5.68966</v>
      </c>
      <c r="BF252" s="15">
        <v>593</v>
      </c>
      <c r="BG252" s="15">
        <v>12</v>
      </c>
      <c r="BH252" s="15">
        <v>2</v>
      </c>
      <c r="BI252" s="15">
        <v>1</v>
      </c>
      <c r="BJ252" s="15">
        <v>0</v>
      </c>
      <c r="BK252" s="15">
        <v>0</v>
      </c>
      <c r="BL252" s="15">
        <v>0</v>
      </c>
      <c r="BM252" s="15">
        <v>2</v>
      </c>
      <c r="BN252" s="15">
        <v>1</v>
      </c>
      <c r="BO252" s="15">
        <v>174.89</v>
      </c>
      <c r="BP252" s="15">
        <v>12.21</v>
      </c>
      <c r="BQ252" s="15">
        <v>705</v>
      </c>
    </row>
    <row r="253" spans="1:69">
      <c r="A253" s="16">
        <v>46050</v>
      </c>
      <c r="B253" s="15">
        <v>479</v>
      </c>
      <c r="C253" s="15" t="s">
        <v>39</v>
      </c>
      <c r="D253" s="15">
        <v>479</v>
      </c>
      <c r="E253" s="15" t="s">
        <v>39</v>
      </c>
      <c r="F253" s="15">
        <v>94</v>
      </c>
      <c r="G253" s="15">
        <v>45</v>
      </c>
      <c r="H253" s="15">
        <v>26.28</v>
      </c>
      <c r="I253" s="15">
        <v>0.47872</v>
      </c>
      <c r="J253" s="15">
        <v>0.58</v>
      </c>
      <c r="K253" s="15">
        <v>279.53</v>
      </c>
      <c r="L253" s="15">
        <v>0</v>
      </c>
      <c r="M253" s="15">
        <v>0</v>
      </c>
      <c r="N253" s="15">
        <v>0</v>
      </c>
      <c r="O253" s="15">
        <v>0</v>
      </c>
      <c r="P253" s="15">
        <v>0</v>
      </c>
      <c r="Q253" s="15">
        <v>0</v>
      </c>
      <c r="R253" s="15">
        <v>0</v>
      </c>
      <c r="S253" s="15">
        <v>157658.55</v>
      </c>
      <c r="T253" s="15">
        <v>157658.55</v>
      </c>
      <c r="U253" s="15">
        <v>7</v>
      </c>
      <c r="V253" s="15">
        <v>0</v>
      </c>
      <c r="W253" s="15">
        <v>7</v>
      </c>
      <c r="X253" s="15">
        <v>0.15556</v>
      </c>
      <c r="Y253" s="15">
        <v>6000.14</v>
      </c>
      <c r="Z253" s="15">
        <v>6000.14</v>
      </c>
      <c r="AA253" s="15">
        <v>3.75</v>
      </c>
      <c r="AB253" s="15">
        <v>13</v>
      </c>
      <c r="AC253" s="15">
        <v>0</v>
      </c>
      <c r="AD253" s="15">
        <v>13</v>
      </c>
      <c r="AE253" s="15">
        <v>0.28889</v>
      </c>
      <c r="AF253" s="15">
        <v>1</v>
      </c>
      <c r="AG253" s="15">
        <v>3</v>
      </c>
      <c r="AH253" s="15">
        <v>8.76</v>
      </c>
      <c r="AI253" s="15">
        <v>17</v>
      </c>
      <c r="AJ253" s="15">
        <v>1.55</v>
      </c>
      <c r="AK253" s="15">
        <v>14</v>
      </c>
      <c r="AL253" s="15">
        <v>1.88</v>
      </c>
      <c r="AM253" s="15">
        <v>4</v>
      </c>
      <c r="AN253" s="15">
        <v>26.28</v>
      </c>
      <c r="AO253" s="15">
        <v>0.02222</v>
      </c>
      <c r="AP253" s="15">
        <v>2.02</v>
      </c>
      <c r="AQ253" s="15">
        <v>11</v>
      </c>
      <c r="AR253" s="15">
        <v>180844</v>
      </c>
      <c r="AS253" s="15">
        <v>0</v>
      </c>
      <c r="AT253" s="15">
        <v>1</v>
      </c>
      <c r="AU253" s="15">
        <v>7</v>
      </c>
      <c r="AV253" s="15">
        <v>0</v>
      </c>
      <c r="AW253" s="15">
        <v>0</v>
      </c>
      <c r="AX253" s="15">
        <v>7</v>
      </c>
      <c r="AY253" s="15">
        <v>431</v>
      </c>
      <c r="AZ253" s="15">
        <v>36</v>
      </c>
      <c r="BA253" s="15">
        <v>25</v>
      </c>
      <c r="BB253" s="15">
        <v>0.69444</v>
      </c>
      <c r="BC253" s="15">
        <v>0</v>
      </c>
      <c r="BD253" s="15">
        <v>0</v>
      </c>
      <c r="BE253" s="15">
        <v>4.58511</v>
      </c>
      <c r="BF253" s="15">
        <v>383</v>
      </c>
      <c r="BG253" s="15">
        <v>12</v>
      </c>
      <c r="BH253" s="15">
        <v>2</v>
      </c>
      <c r="BI253" s="15">
        <v>1</v>
      </c>
      <c r="BJ253" s="15">
        <v>0</v>
      </c>
      <c r="BK253" s="15">
        <v>0</v>
      </c>
      <c r="BL253" s="15">
        <v>0</v>
      </c>
      <c r="BM253" s="15">
        <v>2</v>
      </c>
      <c r="BN253" s="15">
        <v>4</v>
      </c>
      <c r="BO253" s="15">
        <v>78829.28</v>
      </c>
      <c r="BP253" s="15">
        <v>8.32</v>
      </c>
      <c r="BQ253" s="15">
        <v>283</v>
      </c>
    </row>
    <row r="254" spans="1:69">
      <c r="A254" s="16">
        <v>46050</v>
      </c>
      <c r="B254" s="15">
        <v>372</v>
      </c>
      <c r="C254" s="15" t="s">
        <v>37</v>
      </c>
      <c r="D254" s="15">
        <v>372</v>
      </c>
      <c r="E254" s="15" t="s">
        <v>61</v>
      </c>
      <c r="F254" s="15">
        <v>360</v>
      </c>
      <c r="G254" s="15">
        <v>13</v>
      </c>
      <c r="H254" s="15">
        <v>36.96</v>
      </c>
      <c r="I254" s="15">
        <v>0.03611</v>
      </c>
      <c r="J254" s="15">
        <v>2.84</v>
      </c>
      <c r="K254" s="15">
        <v>102.67</v>
      </c>
      <c r="L254" s="15">
        <v>0</v>
      </c>
      <c r="M254" s="15">
        <v>0</v>
      </c>
      <c r="N254" s="15">
        <v>0</v>
      </c>
      <c r="O254" s="15">
        <v>0</v>
      </c>
      <c r="P254" s="15">
        <v>0</v>
      </c>
      <c r="Q254" s="15">
        <v>0</v>
      </c>
      <c r="R254" s="15">
        <v>0</v>
      </c>
      <c r="S254" s="15">
        <v>0</v>
      </c>
      <c r="T254" s="15">
        <v>0</v>
      </c>
      <c r="U254" s="15">
        <v>0</v>
      </c>
      <c r="V254" s="15">
        <v>0</v>
      </c>
      <c r="W254" s="15">
        <v>0</v>
      </c>
      <c r="X254" s="15">
        <v>0</v>
      </c>
      <c r="Y254" s="15">
        <v>0</v>
      </c>
      <c r="Z254" s="15">
        <v>0</v>
      </c>
      <c r="AA254" s="15"/>
      <c r="AB254" s="15">
        <v>1</v>
      </c>
      <c r="AC254" s="15">
        <v>1</v>
      </c>
      <c r="AD254" s="15">
        <v>0</v>
      </c>
      <c r="AE254" s="15">
        <v>0.07692</v>
      </c>
      <c r="AF254" s="15">
        <v>2</v>
      </c>
      <c r="AG254" s="15">
        <v>0</v>
      </c>
      <c r="AH254" s="15"/>
      <c r="AI254" s="15">
        <v>3</v>
      </c>
      <c r="AJ254" s="15">
        <v>12.32</v>
      </c>
      <c r="AK254" s="15">
        <v>3</v>
      </c>
      <c r="AL254" s="15">
        <v>12.32</v>
      </c>
      <c r="AM254" s="15">
        <v>2</v>
      </c>
      <c r="AN254" s="15">
        <v>18.48</v>
      </c>
      <c r="AO254" s="15">
        <v>0.15385</v>
      </c>
      <c r="AP254" s="15">
        <v>36.96</v>
      </c>
      <c r="AQ254" s="15">
        <v>0</v>
      </c>
      <c r="AR254" s="15">
        <v>0</v>
      </c>
      <c r="AS254" s="15">
        <v>2</v>
      </c>
      <c r="AT254" s="15">
        <v>0</v>
      </c>
      <c r="AU254" s="15">
        <v>1</v>
      </c>
      <c r="AV254" s="15">
        <v>0</v>
      </c>
      <c r="AW254" s="15">
        <v>0</v>
      </c>
      <c r="AX254" s="15">
        <v>0</v>
      </c>
      <c r="AY254" s="15">
        <v>31</v>
      </c>
      <c r="AZ254" s="15">
        <v>12</v>
      </c>
      <c r="BA254" s="15">
        <v>10</v>
      </c>
      <c r="BB254" s="15">
        <v>0.83333</v>
      </c>
      <c r="BC254" s="15">
        <v>0</v>
      </c>
      <c r="BD254" s="15">
        <v>0</v>
      </c>
      <c r="BE254" s="15">
        <v>0.08611</v>
      </c>
      <c r="BF254" s="15">
        <v>17</v>
      </c>
      <c r="BG254" s="15">
        <v>3</v>
      </c>
      <c r="BH254" s="15">
        <v>0</v>
      </c>
      <c r="BI254" s="15"/>
      <c r="BJ254" s="15">
        <v>0</v>
      </c>
      <c r="BK254" s="15">
        <v>0</v>
      </c>
      <c r="BL254" s="15">
        <v>0</v>
      </c>
      <c r="BM254" s="15">
        <v>0</v>
      </c>
      <c r="BN254" s="15"/>
      <c r="BO254" s="15"/>
      <c r="BP254" s="15">
        <v>0</v>
      </c>
      <c r="BQ254" s="15">
        <v>108</v>
      </c>
    </row>
    <row r="255" spans="1:69">
      <c r="A255" s="16">
        <v>46050</v>
      </c>
      <c r="B255" s="15">
        <v>436</v>
      </c>
      <c r="C255" s="15" t="s">
        <v>38</v>
      </c>
      <c r="D255" s="15">
        <v>436</v>
      </c>
      <c r="E255" s="15" t="s">
        <v>38</v>
      </c>
      <c r="F255" s="15">
        <v>904</v>
      </c>
      <c r="G255" s="15">
        <v>35</v>
      </c>
      <c r="H255" s="15">
        <v>73.55</v>
      </c>
      <c r="I255" s="15">
        <v>0.03872</v>
      </c>
      <c r="J255" s="15">
        <v>2.1</v>
      </c>
      <c r="K255" s="15">
        <v>81.36</v>
      </c>
      <c r="L255" s="15">
        <v>0</v>
      </c>
      <c r="M255" s="15">
        <v>0</v>
      </c>
      <c r="N255" s="15">
        <v>0</v>
      </c>
      <c r="O255" s="15">
        <v>0</v>
      </c>
      <c r="P255" s="15">
        <v>0</v>
      </c>
      <c r="Q255" s="15">
        <v>0</v>
      </c>
      <c r="R255" s="15">
        <v>0</v>
      </c>
      <c r="S255" s="15">
        <v>0</v>
      </c>
      <c r="T255" s="15">
        <v>0</v>
      </c>
      <c r="U255" s="15">
        <v>0</v>
      </c>
      <c r="V255" s="15">
        <v>0</v>
      </c>
      <c r="W255" s="15">
        <v>0</v>
      </c>
      <c r="X255" s="15">
        <v>0</v>
      </c>
      <c r="Y255" s="15">
        <v>0</v>
      </c>
      <c r="Z255" s="15">
        <v>0</v>
      </c>
      <c r="AA255" s="15"/>
      <c r="AB255" s="15">
        <v>11</v>
      </c>
      <c r="AC255" s="15">
        <v>2</v>
      </c>
      <c r="AD255" s="15">
        <v>9</v>
      </c>
      <c r="AE255" s="15">
        <v>0.31429</v>
      </c>
      <c r="AF255" s="15">
        <v>0</v>
      </c>
      <c r="AG255" s="15">
        <v>2</v>
      </c>
      <c r="AH255" s="15">
        <v>36.78</v>
      </c>
      <c r="AI255" s="15">
        <v>13</v>
      </c>
      <c r="AJ255" s="15">
        <v>5.66</v>
      </c>
      <c r="AK255" s="15">
        <v>11</v>
      </c>
      <c r="AL255" s="15">
        <v>6.69</v>
      </c>
      <c r="AM255" s="15">
        <v>2</v>
      </c>
      <c r="AN255" s="15"/>
      <c r="AO255" s="15">
        <v>0</v>
      </c>
      <c r="AP255" s="15">
        <v>6.69</v>
      </c>
      <c r="AQ255" s="15">
        <v>0</v>
      </c>
      <c r="AR255" s="15">
        <v>0</v>
      </c>
      <c r="AS255" s="15">
        <v>0</v>
      </c>
      <c r="AT255" s="15">
        <v>0</v>
      </c>
      <c r="AU255" s="15">
        <v>9</v>
      </c>
      <c r="AV255" s="15">
        <v>0</v>
      </c>
      <c r="AW255" s="15">
        <v>0</v>
      </c>
      <c r="AX255" s="15">
        <v>2</v>
      </c>
      <c r="AY255" s="15">
        <v>131</v>
      </c>
      <c r="AZ255" s="15">
        <v>33</v>
      </c>
      <c r="BA255" s="15">
        <v>24</v>
      </c>
      <c r="BB255" s="15">
        <v>0.72727</v>
      </c>
      <c r="BC255" s="15">
        <v>0</v>
      </c>
      <c r="BD255" s="15">
        <v>0</v>
      </c>
      <c r="BE255" s="15">
        <v>0.14491</v>
      </c>
      <c r="BF255" s="15">
        <v>89</v>
      </c>
      <c r="BG255" s="15">
        <v>4</v>
      </c>
      <c r="BH255" s="15">
        <v>0</v>
      </c>
      <c r="BI255" s="15"/>
      <c r="BJ255" s="15">
        <v>0</v>
      </c>
      <c r="BK255" s="15">
        <v>0</v>
      </c>
      <c r="BL255" s="15">
        <v>0</v>
      </c>
      <c r="BM255" s="15">
        <v>0</v>
      </c>
      <c r="BN255" s="15"/>
      <c r="BO255" s="15"/>
      <c r="BP255" s="15">
        <v>8.34</v>
      </c>
      <c r="BQ255" s="15">
        <v>286</v>
      </c>
    </row>
    <row r="256" spans="1:69">
      <c r="A256" s="16">
        <v>46050</v>
      </c>
      <c r="B256" s="15">
        <v>371</v>
      </c>
      <c r="C256" s="15" t="s">
        <v>32</v>
      </c>
      <c r="D256" s="15">
        <v>371</v>
      </c>
      <c r="E256" s="15" t="s">
        <v>32</v>
      </c>
      <c r="F256" s="15">
        <v>1695</v>
      </c>
      <c r="G256" s="15">
        <v>38</v>
      </c>
      <c r="H256" s="15">
        <v>34.5</v>
      </c>
      <c r="I256" s="15">
        <v>0.02242</v>
      </c>
      <c r="J256" s="15">
        <v>0.91</v>
      </c>
      <c r="K256" s="15">
        <v>20.35</v>
      </c>
      <c r="L256" s="15">
        <v>0</v>
      </c>
      <c r="M256" s="15">
        <v>0</v>
      </c>
      <c r="N256" s="15">
        <v>0</v>
      </c>
      <c r="O256" s="15">
        <v>0</v>
      </c>
      <c r="P256" s="15">
        <v>0</v>
      </c>
      <c r="Q256" s="15">
        <v>0</v>
      </c>
      <c r="R256" s="15">
        <v>0</v>
      </c>
      <c r="S256" s="15">
        <v>0</v>
      </c>
      <c r="T256" s="15">
        <v>0</v>
      </c>
      <c r="U256" s="15">
        <v>0</v>
      </c>
      <c r="V256" s="15">
        <v>0</v>
      </c>
      <c r="W256" s="15">
        <v>0</v>
      </c>
      <c r="X256" s="15">
        <v>0</v>
      </c>
      <c r="Y256" s="15">
        <v>0</v>
      </c>
      <c r="Z256" s="15">
        <v>0</v>
      </c>
      <c r="AA256" s="15"/>
      <c r="AB256" s="15">
        <v>0</v>
      </c>
      <c r="AC256" s="15">
        <v>0</v>
      </c>
      <c r="AD256" s="15">
        <v>0</v>
      </c>
      <c r="AE256" s="15">
        <v>0</v>
      </c>
      <c r="AF256" s="15">
        <v>1</v>
      </c>
      <c r="AG256" s="15">
        <v>0</v>
      </c>
      <c r="AH256" s="15"/>
      <c r="AI256" s="15">
        <v>1</v>
      </c>
      <c r="AJ256" s="15">
        <v>34.5</v>
      </c>
      <c r="AK256" s="15">
        <v>1</v>
      </c>
      <c r="AL256" s="15">
        <v>34.5</v>
      </c>
      <c r="AM256" s="15">
        <v>1</v>
      </c>
      <c r="AN256" s="15">
        <v>34.5</v>
      </c>
      <c r="AO256" s="15">
        <v>0.02632</v>
      </c>
      <c r="AP256" s="15"/>
      <c r="AQ256" s="15">
        <v>0</v>
      </c>
      <c r="AR256" s="15">
        <v>0</v>
      </c>
      <c r="AS256" s="15">
        <v>1</v>
      </c>
      <c r="AT256" s="15">
        <v>0</v>
      </c>
      <c r="AU256" s="15">
        <v>1</v>
      </c>
      <c r="AV256" s="15">
        <v>0</v>
      </c>
      <c r="AW256" s="15">
        <v>0</v>
      </c>
      <c r="AX256" s="15">
        <v>0</v>
      </c>
      <c r="AY256" s="15">
        <v>63</v>
      </c>
      <c r="AZ256" s="15">
        <v>41</v>
      </c>
      <c r="BA256" s="15">
        <v>40</v>
      </c>
      <c r="BB256" s="15">
        <v>0.97561</v>
      </c>
      <c r="BC256" s="15">
        <v>0</v>
      </c>
      <c r="BD256" s="15">
        <v>0</v>
      </c>
      <c r="BE256" s="15">
        <v>0.03717</v>
      </c>
      <c r="BF256" s="15">
        <v>20</v>
      </c>
      <c r="BG256" s="15">
        <v>2</v>
      </c>
      <c r="BH256" s="15">
        <v>0</v>
      </c>
      <c r="BI256" s="15"/>
      <c r="BJ256" s="15">
        <v>0</v>
      </c>
      <c r="BK256" s="15">
        <v>0</v>
      </c>
      <c r="BL256" s="15">
        <v>0</v>
      </c>
      <c r="BM256" s="15">
        <v>0</v>
      </c>
      <c r="BN256" s="15"/>
      <c r="BO256" s="15"/>
      <c r="BP256" s="15">
        <v>0</v>
      </c>
      <c r="BQ256" s="15">
        <v>1056</v>
      </c>
    </row>
    <row r="257" spans="1:69">
      <c r="A257" s="16">
        <v>46050</v>
      </c>
      <c r="B257" s="15">
        <v>183</v>
      </c>
      <c r="C257" s="15" t="s">
        <v>40</v>
      </c>
      <c r="D257" s="15">
        <v>183</v>
      </c>
      <c r="E257" s="15" t="s">
        <v>40</v>
      </c>
      <c r="F257" s="15">
        <v>958</v>
      </c>
      <c r="G257" s="15">
        <v>41</v>
      </c>
      <c r="H257" s="15">
        <v>100</v>
      </c>
      <c r="I257" s="15">
        <v>0.0428</v>
      </c>
      <c r="J257" s="15">
        <v>2.44</v>
      </c>
      <c r="K257" s="15">
        <v>104.38</v>
      </c>
      <c r="L257" s="15">
        <v>0</v>
      </c>
      <c r="M257" s="15">
        <v>0</v>
      </c>
      <c r="N257" s="15">
        <v>0</v>
      </c>
      <c r="O257" s="15">
        <v>0</v>
      </c>
      <c r="P257" s="15">
        <v>0</v>
      </c>
      <c r="Q257" s="15">
        <v>0</v>
      </c>
      <c r="R257" s="15">
        <v>80.14</v>
      </c>
      <c r="S257" s="15">
        <v>1453.19</v>
      </c>
      <c r="T257" s="15">
        <v>1533.33</v>
      </c>
      <c r="U257" s="15">
        <v>8</v>
      </c>
      <c r="V257" s="15">
        <v>1</v>
      </c>
      <c r="W257" s="15">
        <v>7</v>
      </c>
      <c r="X257" s="15">
        <v>0.19512</v>
      </c>
      <c r="Y257" s="15">
        <v>15.33</v>
      </c>
      <c r="Z257" s="15">
        <v>15.33</v>
      </c>
      <c r="AA257" s="15">
        <v>12.5</v>
      </c>
      <c r="AB257" s="15">
        <v>20</v>
      </c>
      <c r="AC257" s="15">
        <v>6</v>
      </c>
      <c r="AD257" s="15">
        <v>14</v>
      </c>
      <c r="AE257" s="15">
        <v>0.4878</v>
      </c>
      <c r="AF257" s="15">
        <v>3</v>
      </c>
      <c r="AG257" s="15">
        <v>3</v>
      </c>
      <c r="AH257" s="15">
        <v>33.33</v>
      </c>
      <c r="AI257" s="15">
        <v>26</v>
      </c>
      <c r="AJ257" s="15">
        <v>3.85</v>
      </c>
      <c r="AK257" s="15">
        <v>23</v>
      </c>
      <c r="AL257" s="15">
        <v>4.35</v>
      </c>
      <c r="AM257" s="15">
        <v>6</v>
      </c>
      <c r="AN257" s="15">
        <v>33.33</v>
      </c>
      <c r="AO257" s="15">
        <v>0.07317</v>
      </c>
      <c r="AP257" s="15">
        <v>5</v>
      </c>
      <c r="AQ257" s="15">
        <v>12</v>
      </c>
      <c r="AR257" s="15">
        <v>2331.3</v>
      </c>
      <c r="AS257" s="15">
        <v>3</v>
      </c>
      <c r="AT257" s="15">
        <v>0</v>
      </c>
      <c r="AU257" s="15">
        <v>9</v>
      </c>
      <c r="AV257" s="15">
        <v>0</v>
      </c>
      <c r="AW257" s="15">
        <v>0</v>
      </c>
      <c r="AX257" s="15">
        <v>1</v>
      </c>
      <c r="AY257" s="15">
        <v>384</v>
      </c>
      <c r="AZ257" s="15">
        <v>104</v>
      </c>
      <c r="BA257" s="15">
        <v>85</v>
      </c>
      <c r="BB257" s="15">
        <v>0.81731</v>
      </c>
      <c r="BC257" s="15">
        <v>0</v>
      </c>
      <c r="BD257" s="15">
        <v>0</v>
      </c>
      <c r="BE257" s="15">
        <v>0.40084</v>
      </c>
      <c r="BF257" s="15">
        <v>182</v>
      </c>
      <c r="BG257" s="15">
        <v>4</v>
      </c>
      <c r="BH257" s="15">
        <v>2</v>
      </c>
      <c r="BI257" s="15">
        <v>0.66667</v>
      </c>
      <c r="BJ257" s="15">
        <v>0</v>
      </c>
      <c r="BK257" s="15">
        <v>0</v>
      </c>
      <c r="BL257" s="15">
        <v>0</v>
      </c>
      <c r="BM257" s="15">
        <v>3</v>
      </c>
      <c r="BN257" s="15">
        <v>3</v>
      </c>
      <c r="BO257" s="15">
        <v>511.11</v>
      </c>
      <c r="BP257" s="15">
        <v>0.23</v>
      </c>
      <c r="BQ257" s="15">
        <v>2058</v>
      </c>
    </row>
    <row r="258" spans="1:69">
      <c r="A258" s="16">
        <v>46049</v>
      </c>
      <c r="B258" s="15">
        <v>479</v>
      </c>
      <c r="C258" s="15" t="s">
        <v>39</v>
      </c>
      <c r="D258" s="15">
        <v>479</v>
      </c>
      <c r="E258" s="15" t="s">
        <v>39</v>
      </c>
      <c r="F258" s="15">
        <v>89</v>
      </c>
      <c r="G258" s="15">
        <v>46</v>
      </c>
      <c r="H258" s="15">
        <v>27.65</v>
      </c>
      <c r="I258" s="15">
        <v>0.51685</v>
      </c>
      <c r="J258" s="15">
        <v>0.6</v>
      </c>
      <c r="K258" s="15">
        <v>310.72</v>
      </c>
      <c r="L258" s="15">
        <v>0</v>
      </c>
      <c r="M258" s="15">
        <v>0</v>
      </c>
      <c r="N258" s="15">
        <v>0</v>
      </c>
      <c r="O258" s="15">
        <v>0</v>
      </c>
      <c r="P258" s="15">
        <v>0</v>
      </c>
      <c r="Q258" s="15">
        <v>0</v>
      </c>
      <c r="R258" s="15">
        <v>0</v>
      </c>
      <c r="S258" s="15">
        <v>0</v>
      </c>
      <c r="T258" s="15">
        <v>0</v>
      </c>
      <c r="U258" s="15">
        <v>0</v>
      </c>
      <c r="V258" s="15">
        <v>0</v>
      </c>
      <c r="W258" s="15">
        <v>0</v>
      </c>
      <c r="X258" s="15">
        <v>0</v>
      </c>
      <c r="Y258" s="15">
        <v>0</v>
      </c>
      <c r="Z258" s="15">
        <v>0</v>
      </c>
      <c r="AA258" s="15"/>
      <c r="AB258" s="15">
        <v>6</v>
      </c>
      <c r="AC258" s="15">
        <v>0</v>
      </c>
      <c r="AD258" s="15">
        <v>6</v>
      </c>
      <c r="AE258" s="15">
        <v>0.13043</v>
      </c>
      <c r="AF258" s="15">
        <v>0</v>
      </c>
      <c r="AG258" s="15">
        <v>5</v>
      </c>
      <c r="AH258" s="15">
        <v>5.53</v>
      </c>
      <c r="AI258" s="15">
        <v>11</v>
      </c>
      <c r="AJ258" s="15">
        <v>2.51</v>
      </c>
      <c r="AK258" s="15">
        <v>6</v>
      </c>
      <c r="AL258" s="15">
        <v>4.61</v>
      </c>
      <c r="AM258" s="15">
        <v>5</v>
      </c>
      <c r="AN258" s="15"/>
      <c r="AO258" s="15">
        <v>0</v>
      </c>
      <c r="AP258" s="15">
        <v>4.61</v>
      </c>
      <c r="AQ258" s="15">
        <v>0</v>
      </c>
      <c r="AR258" s="15">
        <v>0</v>
      </c>
      <c r="AS258" s="15">
        <v>0</v>
      </c>
      <c r="AT258" s="15">
        <v>0</v>
      </c>
      <c r="AU258" s="15">
        <v>7</v>
      </c>
      <c r="AV258" s="15">
        <v>0</v>
      </c>
      <c r="AW258" s="15">
        <v>0</v>
      </c>
      <c r="AX258" s="15">
        <v>3</v>
      </c>
      <c r="AY258" s="15">
        <v>525</v>
      </c>
      <c r="AZ258" s="15">
        <v>42</v>
      </c>
      <c r="BA258" s="15">
        <v>35</v>
      </c>
      <c r="BB258" s="15">
        <v>0.83333</v>
      </c>
      <c r="BC258" s="15">
        <v>0</v>
      </c>
      <c r="BD258" s="15">
        <v>0</v>
      </c>
      <c r="BE258" s="15">
        <v>5.89888</v>
      </c>
      <c r="BF258" s="15">
        <v>464</v>
      </c>
      <c r="BG258" s="15">
        <v>13</v>
      </c>
      <c r="BH258" s="15">
        <v>0</v>
      </c>
      <c r="BI258" s="15"/>
      <c r="BJ258" s="15">
        <v>0</v>
      </c>
      <c r="BK258" s="15">
        <v>0</v>
      </c>
      <c r="BL258" s="15">
        <v>0</v>
      </c>
      <c r="BM258" s="15">
        <v>0</v>
      </c>
      <c r="BN258" s="15"/>
      <c r="BO258" s="15"/>
      <c r="BP258" s="15">
        <v>5.53</v>
      </c>
      <c r="BQ258" s="15">
        <v>192</v>
      </c>
    </row>
    <row r="259" spans="1:69">
      <c r="A259" s="16">
        <v>46049</v>
      </c>
      <c r="B259" s="15">
        <v>372</v>
      </c>
      <c r="C259" s="15" t="s">
        <v>37</v>
      </c>
      <c r="D259" s="15">
        <v>372</v>
      </c>
      <c r="E259" s="15" t="s">
        <v>61</v>
      </c>
      <c r="F259" s="15">
        <v>1442</v>
      </c>
      <c r="G259" s="15">
        <v>35</v>
      </c>
      <c r="H259" s="15">
        <v>81.74</v>
      </c>
      <c r="I259" s="15">
        <v>0.02427</v>
      </c>
      <c r="J259" s="15">
        <v>2.34</v>
      </c>
      <c r="K259" s="15">
        <v>56.69</v>
      </c>
      <c r="L259" s="15">
        <v>0</v>
      </c>
      <c r="M259" s="15">
        <v>0</v>
      </c>
      <c r="N259" s="15">
        <v>0</v>
      </c>
      <c r="O259" s="15">
        <v>0</v>
      </c>
      <c r="P259" s="15">
        <v>0</v>
      </c>
      <c r="Q259" s="15">
        <v>0</v>
      </c>
      <c r="R259" s="15">
        <v>0</v>
      </c>
      <c r="S259" s="15">
        <v>73.6</v>
      </c>
      <c r="T259" s="15">
        <v>73.6</v>
      </c>
      <c r="U259" s="15">
        <v>1</v>
      </c>
      <c r="V259" s="15">
        <v>0</v>
      </c>
      <c r="W259" s="15">
        <v>1</v>
      </c>
      <c r="X259" s="15">
        <v>0.02857</v>
      </c>
      <c r="Y259" s="15">
        <v>0.9</v>
      </c>
      <c r="Z259" s="15">
        <v>0.9</v>
      </c>
      <c r="AA259" s="15">
        <v>81.74</v>
      </c>
      <c r="AB259" s="15">
        <v>2</v>
      </c>
      <c r="AC259" s="15">
        <v>0</v>
      </c>
      <c r="AD259" s="15">
        <v>2</v>
      </c>
      <c r="AE259" s="15">
        <v>0.05714</v>
      </c>
      <c r="AF259" s="15">
        <v>1</v>
      </c>
      <c r="AG259" s="15">
        <v>0</v>
      </c>
      <c r="AH259" s="15"/>
      <c r="AI259" s="15">
        <v>3</v>
      </c>
      <c r="AJ259" s="15">
        <v>27.25</v>
      </c>
      <c r="AK259" s="15">
        <v>3</v>
      </c>
      <c r="AL259" s="15">
        <v>27.25</v>
      </c>
      <c r="AM259" s="15">
        <v>1</v>
      </c>
      <c r="AN259" s="15">
        <v>81.74</v>
      </c>
      <c r="AO259" s="15">
        <v>0.02857</v>
      </c>
      <c r="AP259" s="15">
        <v>40.87</v>
      </c>
      <c r="AQ259" s="15">
        <v>2</v>
      </c>
      <c r="AR259" s="15">
        <v>148.9</v>
      </c>
      <c r="AS259" s="15">
        <v>0</v>
      </c>
      <c r="AT259" s="15">
        <v>1</v>
      </c>
      <c r="AU259" s="15">
        <v>3</v>
      </c>
      <c r="AV259" s="15">
        <v>0</v>
      </c>
      <c r="AW259" s="15">
        <v>0</v>
      </c>
      <c r="AX259" s="15">
        <v>0</v>
      </c>
      <c r="AY259" s="15">
        <v>97</v>
      </c>
      <c r="AZ259" s="15">
        <v>33</v>
      </c>
      <c r="BA259" s="15">
        <v>26</v>
      </c>
      <c r="BB259" s="15">
        <v>0.78788</v>
      </c>
      <c r="BC259" s="15">
        <v>0</v>
      </c>
      <c r="BD259" s="15">
        <v>0</v>
      </c>
      <c r="BE259" s="15">
        <v>0.06727</v>
      </c>
      <c r="BF259" s="15">
        <v>61</v>
      </c>
      <c r="BG259" s="15">
        <v>3</v>
      </c>
      <c r="BH259" s="15">
        <v>1</v>
      </c>
      <c r="BI259" s="15">
        <v>1</v>
      </c>
      <c r="BJ259" s="15">
        <v>0</v>
      </c>
      <c r="BK259" s="15">
        <v>0</v>
      </c>
      <c r="BL259" s="15">
        <v>0</v>
      </c>
      <c r="BM259" s="15">
        <v>1</v>
      </c>
      <c r="BN259" s="15">
        <v>1</v>
      </c>
      <c r="BO259" s="15">
        <v>73.6</v>
      </c>
      <c r="BP259" s="15">
        <v>0</v>
      </c>
      <c r="BQ259" s="15">
        <v>175</v>
      </c>
    </row>
    <row r="260" spans="1:69">
      <c r="A260" s="16">
        <v>46049</v>
      </c>
      <c r="B260" s="15">
        <v>183</v>
      </c>
      <c r="C260" s="15" t="s">
        <v>40</v>
      </c>
      <c r="D260" s="15">
        <v>183</v>
      </c>
      <c r="E260" s="15" t="s">
        <v>40</v>
      </c>
      <c r="F260" s="15">
        <v>949</v>
      </c>
      <c r="G260" s="15">
        <v>50</v>
      </c>
      <c r="H260" s="15">
        <v>100</v>
      </c>
      <c r="I260" s="15">
        <v>0.05269</v>
      </c>
      <c r="J260" s="15">
        <v>2</v>
      </c>
      <c r="K260" s="15">
        <v>105.37</v>
      </c>
      <c r="L260" s="15">
        <v>0</v>
      </c>
      <c r="M260" s="15">
        <v>0</v>
      </c>
      <c r="N260" s="15">
        <v>0</v>
      </c>
      <c r="O260" s="15">
        <v>0</v>
      </c>
      <c r="P260" s="15">
        <v>0</v>
      </c>
      <c r="Q260" s="15">
        <v>0</v>
      </c>
      <c r="R260" s="15">
        <v>0</v>
      </c>
      <c r="S260" s="15">
        <v>0</v>
      </c>
      <c r="T260" s="15">
        <v>0</v>
      </c>
      <c r="U260" s="15">
        <v>0</v>
      </c>
      <c r="V260" s="15">
        <v>0</v>
      </c>
      <c r="W260" s="15">
        <v>0</v>
      </c>
      <c r="X260" s="15">
        <v>0</v>
      </c>
      <c r="Y260" s="15">
        <v>0</v>
      </c>
      <c r="Z260" s="15">
        <v>0</v>
      </c>
      <c r="AA260" s="15"/>
      <c r="AB260" s="15">
        <v>13</v>
      </c>
      <c r="AC260" s="15">
        <v>4</v>
      </c>
      <c r="AD260" s="15">
        <v>9</v>
      </c>
      <c r="AE260" s="15">
        <v>0.26</v>
      </c>
      <c r="AF260" s="15">
        <v>2</v>
      </c>
      <c r="AG260" s="15">
        <v>1</v>
      </c>
      <c r="AH260" s="15">
        <v>100</v>
      </c>
      <c r="AI260" s="15">
        <v>16</v>
      </c>
      <c r="AJ260" s="15">
        <v>6.25</v>
      </c>
      <c r="AK260" s="15">
        <v>15</v>
      </c>
      <c r="AL260" s="15">
        <v>6.67</v>
      </c>
      <c r="AM260" s="15">
        <v>3</v>
      </c>
      <c r="AN260" s="15">
        <v>50</v>
      </c>
      <c r="AO260" s="15">
        <v>0.04</v>
      </c>
      <c r="AP260" s="15">
        <v>7.69</v>
      </c>
      <c r="AQ260" s="15">
        <v>0</v>
      </c>
      <c r="AR260" s="15">
        <v>0</v>
      </c>
      <c r="AS260" s="15">
        <v>2</v>
      </c>
      <c r="AT260" s="15">
        <v>0</v>
      </c>
      <c r="AU260" s="15">
        <v>0</v>
      </c>
      <c r="AV260" s="15">
        <v>0</v>
      </c>
      <c r="AW260" s="15">
        <v>0</v>
      </c>
      <c r="AX260" s="15">
        <v>3</v>
      </c>
      <c r="AY260" s="15">
        <v>474</v>
      </c>
      <c r="AZ260" s="15">
        <v>119</v>
      </c>
      <c r="BA260" s="15">
        <v>92</v>
      </c>
      <c r="BB260" s="15">
        <v>0.77311</v>
      </c>
      <c r="BC260" s="15">
        <v>0</v>
      </c>
      <c r="BD260" s="15">
        <v>0</v>
      </c>
      <c r="BE260" s="15">
        <v>0.49947</v>
      </c>
      <c r="BF260" s="15">
        <v>306</v>
      </c>
      <c r="BG260" s="15">
        <v>4</v>
      </c>
      <c r="BH260" s="15">
        <v>0</v>
      </c>
      <c r="BI260" s="15"/>
      <c r="BJ260" s="15">
        <v>0</v>
      </c>
      <c r="BK260" s="15">
        <v>0</v>
      </c>
      <c r="BL260" s="15">
        <v>0</v>
      </c>
      <c r="BM260" s="15">
        <v>0</v>
      </c>
      <c r="BN260" s="15"/>
      <c r="BO260" s="15"/>
      <c r="BP260" s="15">
        <v>0.11</v>
      </c>
      <c r="BQ260" s="15">
        <v>286</v>
      </c>
    </row>
    <row r="261" spans="1:69">
      <c r="A261" s="16">
        <v>46049</v>
      </c>
      <c r="B261" s="15">
        <v>371</v>
      </c>
      <c r="C261" s="15" t="s">
        <v>32</v>
      </c>
      <c r="D261" s="15">
        <v>371</v>
      </c>
      <c r="E261" s="15" t="s">
        <v>32</v>
      </c>
      <c r="F261" s="15">
        <v>2611</v>
      </c>
      <c r="G261" s="15">
        <v>42</v>
      </c>
      <c r="H261" s="15">
        <v>35</v>
      </c>
      <c r="I261" s="15">
        <v>0.01609</v>
      </c>
      <c r="J261" s="15">
        <v>0.83</v>
      </c>
      <c r="K261" s="15">
        <v>13.4</v>
      </c>
      <c r="L261" s="15">
        <v>0</v>
      </c>
      <c r="M261" s="15">
        <v>0</v>
      </c>
      <c r="N261" s="15">
        <v>0</v>
      </c>
      <c r="O261" s="15">
        <v>0</v>
      </c>
      <c r="P261" s="15">
        <v>0</v>
      </c>
      <c r="Q261" s="15">
        <v>0</v>
      </c>
      <c r="R261" s="15">
        <v>0</v>
      </c>
      <c r="S261" s="15">
        <v>0</v>
      </c>
      <c r="T261" s="15">
        <v>0</v>
      </c>
      <c r="U261" s="15">
        <v>0</v>
      </c>
      <c r="V261" s="15">
        <v>0</v>
      </c>
      <c r="W261" s="15">
        <v>0</v>
      </c>
      <c r="X261" s="15">
        <v>0</v>
      </c>
      <c r="Y261" s="15">
        <v>0</v>
      </c>
      <c r="Z261" s="15">
        <v>0</v>
      </c>
      <c r="AA261" s="15"/>
      <c r="AB261" s="15">
        <v>0</v>
      </c>
      <c r="AC261" s="15">
        <v>0</v>
      </c>
      <c r="AD261" s="15">
        <v>0</v>
      </c>
      <c r="AE261" s="15">
        <v>0</v>
      </c>
      <c r="AF261" s="15">
        <v>0</v>
      </c>
      <c r="AG261" s="15">
        <v>0</v>
      </c>
      <c r="AH261" s="15"/>
      <c r="AI261" s="15">
        <v>0</v>
      </c>
      <c r="AJ261" s="15"/>
      <c r="AK261" s="15">
        <v>0</v>
      </c>
      <c r="AL261" s="15"/>
      <c r="AM261" s="15">
        <v>0</v>
      </c>
      <c r="AN261" s="15"/>
      <c r="AO261" s="15">
        <v>0</v>
      </c>
      <c r="AP261" s="15"/>
      <c r="AQ261" s="15">
        <v>0</v>
      </c>
      <c r="AR261" s="15">
        <v>0</v>
      </c>
      <c r="AS261" s="15">
        <v>0</v>
      </c>
      <c r="AT261" s="15">
        <v>0</v>
      </c>
      <c r="AU261" s="15">
        <v>4</v>
      </c>
      <c r="AV261" s="15">
        <v>0</v>
      </c>
      <c r="AW261" s="15">
        <v>0</v>
      </c>
      <c r="AX261" s="15">
        <v>0</v>
      </c>
      <c r="AY261" s="15">
        <v>87</v>
      </c>
      <c r="AZ261" s="15">
        <v>54</v>
      </c>
      <c r="BA261" s="15">
        <v>54</v>
      </c>
      <c r="BB261" s="15">
        <v>1</v>
      </c>
      <c r="BC261" s="15">
        <v>0</v>
      </c>
      <c r="BD261" s="15">
        <v>0</v>
      </c>
      <c r="BE261" s="15">
        <v>0.03332</v>
      </c>
      <c r="BF261" s="15">
        <v>32</v>
      </c>
      <c r="BG261" s="15">
        <v>2</v>
      </c>
      <c r="BH261" s="15">
        <v>0</v>
      </c>
      <c r="BI261" s="15"/>
      <c r="BJ261" s="15">
        <v>0</v>
      </c>
      <c r="BK261" s="15">
        <v>0</v>
      </c>
      <c r="BL261" s="15">
        <v>0</v>
      </c>
      <c r="BM261" s="15">
        <v>0</v>
      </c>
      <c r="BN261" s="15"/>
      <c r="BO261" s="15"/>
      <c r="BP261" s="15">
        <v>0</v>
      </c>
      <c r="BQ261" s="15">
        <v>3</v>
      </c>
    </row>
    <row r="262" spans="1:69">
      <c r="A262" s="16">
        <v>46049</v>
      </c>
      <c r="B262" s="15">
        <v>436</v>
      </c>
      <c r="C262" s="15" t="s">
        <v>38</v>
      </c>
      <c r="D262" s="15">
        <v>436</v>
      </c>
      <c r="E262" s="15" t="s">
        <v>38</v>
      </c>
      <c r="F262" s="15">
        <v>690</v>
      </c>
      <c r="G262" s="15">
        <v>31</v>
      </c>
      <c r="H262" s="15">
        <v>80</v>
      </c>
      <c r="I262" s="15">
        <v>0.04493</v>
      </c>
      <c r="J262" s="15">
        <v>2.58</v>
      </c>
      <c r="K262" s="15">
        <v>115.94</v>
      </c>
      <c r="L262" s="15">
        <v>0</v>
      </c>
      <c r="M262" s="15">
        <v>0</v>
      </c>
      <c r="N262" s="15">
        <v>0</v>
      </c>
      <c r="O262" s="15">
        <v>0</v>
      </c>
      <c r="P262" s="15">
        <v>0</v>
      </c>
      <c r="Q262" s="15">
        <v>0</v>
      </c>
      <c r="R262" s="15">
        <v>0</v>
      </c>
      <c r="S262" s="15">
        <v>0</v>
      </c>
      <c r="T262" s="15">
        <v>0</v>
      </c>
      <c r="U262" s="15">
        <v>0</v>
      </c>
      <c r="V262" s="15">
        <v>0</v>
      </c>
      <c r="W262" s="15">
        <v>0</v>
      </c>
      <c r="X262" s="15">
        <v>0</v>
      </c>
      <c r="Y262" s="15">
        <v>0</v>
      </c>
      <c r="Z262" s="15">
        <v>0</v>
      </c>
      <c r="AA262" s="15"/>
      <c r="AB262" s="15">
        <v>4</v>
      </c>
      <c r="AC262" s="15">
        <v>2</v>
      </c>
      <c r="AD262" s="15">
        <v>2</v>
      </c>
      <c r="AE262" s="15">
        <v>0.12903</v>
      </c>
      <c r="AF262" s="15">
        <v>0</v>
      </c>
      <c r="AG262" s="15">
        <v>0</v>
      </c>
      <c r="AH262" s="15"/>
      <c r="AI262" s="15">
        <v>4</v>
      </c>
      <c r="AJ262" s="15">
        <v>20</v>
      </c>
      <c r="AK262" s="15">
        <v>4</v>
      </c>
      <c r="AL262" s="15">
        <v>20</v>
      </c>
      <c r="AM262" s="15">
        <v>0</v>
      </c>
      <c r="AN262" s="15"/>
      <c r="AO262" s="15">
        <v>0</v>
      </c>
      <c r="AP262" s="15">
        <v>20</v>
      </c>
      <c r="AQ262" s="15">
        <v>0</v>
      </c>
      <c r="AR262" s="15">
        <v>0</v>
      </c>
      <c r="AS262" s="15">
        <v>0</v>
      </c>
      <c r="AT262" s="15">
        <v>0</v>
      </c>
      <c r="AU262" s="15">
        <v>1</v>
      </c>
      <c r="AV262" s="15">
        <v>0</v>
      </c>
      <c r="AW262" s="15">
        <v>0</v>
      </c>
      <c r="AX262" s="15">
        <v>0</v>
      </c>
      <c r="AY262" s="15">
        <v>61</v>
      </c>
      <c r="AZ262" s="15">
        <v>28</v>
      </c>
      <c r="BA262" s="15">
        <v>24</v>
      </c>
      <c r="BB262" s="15">
        <v>0.85714</v>
      </c>
      <c r="BC262" s="15">
        <v>0</v>
      </c>
      <c r="BD262" s="15">
        <v>0</v>
      </c>
      <c r="BE262" s="15">
        <v>0.08841</v>
      </c>
      <c r="BF262" s="15">
        <v>26</v>
      </c>
      <c r="BG262" s="15">
        <v>2</v>
      </c>
      <c r="BH262" s="15">
        <v>0</v>
      </c>
      <c r="BI262" s="15"/>
      <c r="BJ262" s="15">
        <v>0</v>
      </c>
      <c r="BK262" s="15">
        <v>0</v>
      </c>
      <c r="BL262" s="15">
        <v>0</v>
      </c>
      <c r="BM262" s="15">
        <v>0</v>
      </c>
      <c r="BN262" s="15"/>
      <c r="BO262" s="15"/>
      <c r="BP262" s="15">
        <v>0</v>
      </c>
      <c r="BQ262" s="15">
        <v>131</v>
      </c>
    </row>
    <row r="263" spans="1:69">
      <c r="A263" s="16">
        <v>46048</v>
      </c>
      <c r="B263" s="15">
        <v>436</v>
      </c>
      <c r="C263" s="15" t="s">
        <v>38</v>
      </c>
      <c r="D263" s="15">
        <v>436</v>
      </c>
      <c r="E263" s="15" t="s">
        <v>38</v>
      </c>
      <c r="F263" s="15">
        <v>1084</v>
      </c>
      <c r="G263" s="15">
        <v>34</v>
      </c>
      <c r="H263" s="15">
        <v>59.97</v>
      </c>
      <c r="I263" s="15">
        <v>0.03137</v>
      </c>
      <c r="J263" s="15">
        <v>1.76</v>
      </c>
      <c r="K263" s="15">
        <v>55.32</v>
      </c>
      <c r="L263" s="15">
        <v>0</v>
      </c>
      <c r="M263" s="15">
        <v>0</v>
      </c>
      <c r="N263" s="15">
        <v>0</v>
      </c>
      <c r="O263" s="15">
        <v>0</v>
      </c>
      <c r="P263" s="15">
        <v>0</v>
      </c>
      <c r="Q263" s="15">
        <v>0</v>
      </c>
      <c r="R263" s="15">
        <v>0</v>
      </c>
      <c r="S263" s="15">
        <v>732</v>
      </c>
      <c r="T263" s="15">
        <v>732</v>
      </c>
      <c r="U263" s="15">
        <v>2</v>
      </c>
      <c r="V263" s="15">
        <v>0</v>
      </c>
      <c r="W263" s="15">
        <v>2</v>
      </c>
      <c r="X263" s="15">
        <v>0.05882</v>
      </c>
      <c r="Y263" s="15">
        <v>12.21</v>
      </c>
      <c r="Z263" s="15">
        <v>12.21</v>
      </c>
      <c r="AA263" s="15">
        <v>29.99</v>
      </c>
      <c r="AB263" s="15">
        <v>6</v>
      </c>
      <c r="AC263" s="15">
        <v>1</v>
      </c>
      <c r="AD263" s="15">
        <v>5</v>
      </c>
      <c r="AE263" s="15">
        <v>0.17647</v>
      </c>
      <c r="AF263" s="15">
        <v>0</v>
      </c>
      <c r="AG263" s="15">
        <v>0</v>
      </c>
      <c r="AH263" s="15"/>
      <c r="AI263" s="15">
        <v>6</v>
      </c>
      <c r="AJ263" s="15">
        <v>10</v>
      </c>
      <c r="AK263" s="15">
        <v>6</v>
      </c>
      <c r="AL263" s="15">
        <v>10</v>
      </c>
      <c r="AM263" s="15">
        <v>0</v>
      </c>
      <c r="AN263" s="15"/>
      <c r="AO263" s="15">
        <v>0</v>
      </c>
      <c r="AP263" s="15">
        <v>10</v>
      </c>
      <c r="AQ263" s="15">
        <v>6</v>
      </c>
      <c r="AR263" s="15">
        <v>1581</v>
      </c>
      <c r="AS263" s="15">
        <v>0</v>
      </c>
      <c r="AT263" s="15">
        <v>0</v>
      </c>
      <c r="AU263" s="15">
        <v>3</v>
      </c>
      <c r="AV263" s="15">
        <v>0</v>
      </c>
      <c r="AW263" s="15">
        <v>0</v>
      </c>
      <c r="AX263" s="15">
        <v>2</v>
      </c>
      <c r="AY263" s="15">
        <v>215</v>
      </c>
      <c r="AZ263" s="15">
        <v>32</v>
      </c>
      <c r="BA263" s="15">
        <v>24</v>
      </c>
      <c r="BB263" s="15">
        <v>0.75</v>
      </c>
      <c r="BC263" s="15">
        <v>0</v>
      </c>
      <c r="BD263" s="15">
        <v>0</v>
      </c>
      <c r="BE263" s="15">
        <v>0.19834</v>
      </c>
      <c r="BF263" s="15">
        <v>170</v>
      </c>
      <c r="BG263" s="15">
        <v>7</v>
      </c>
      <c r="BH263" s="15">
        <v>0</v>
      </c>
      <c r="BI263" s="15">
        <v>0</v>
      </c>
      <c r="BJ263" s="15">
        <v>0</v>
      </c>
      <c r="BK263" s="15">
        <v>0</v>
      </c>
      <c r="BL263" s="15">
        <v>0</v>
      </c>
      <c r="BM263" s="15">
        <v>1</v>
      </c>
      <c r="BN263" s="15">
        <v>2</v>
      </c>
      <c r="BO263" s="15">
        <v>732</v>
      </c>
      <c r="BP263" s="15">
        <v>17.17</v>
      </c>
      <c r="BQ263" s="15">
        <v>450</v>
      </c>
    </row>
    <row r="264" spans="1:69">
      <c r="A264" s="16">
        <v>46048</v>
      </c>
      <c r="B264" s="15">
        <v>372</v>
      </c>
      <c r="C264" s="15" t="s">
        <v>37</v>
      </c>
      <c r="D264" s="15">
        <v>372</v>
      </c>
      <c r="E264" s="15" t="s">
        <v>61</v>
      </c>
      <c r="F264" s="15">
        <v>908</v>
      </c>
      <c r="G264" s="15">
        <v>25</v>
      </c>
      <c r="H264" s="15">
        <v>78.45</v>
      </c>
      <c r="I264" s="15">
        <v>0.02753</v>
      </c>
      <c r="J264" s="15">
        <v>3.14</v>
      </c>
      <c r="K264" s="15">
        <v>86.4</v>
      </c>
      <c r="L264" s="15">
        <v>0</v>
      </c>
      <c r="M264" s="15">
        <v>0</v>
      </c>
      <c r="N264" s="15">
        <v>0</v>
      </c>
      <c r="O264" s="15">
        <v>0</v>
      </c>
      <c r="P264" s="15">
        <v>0</v>
      </c>
      <c r="Q264" s="15">
        <v>0</v>
      </c>
      <c r="R264" s="15">
        <v>0</v>
      </c>
      <c r="S264" s="15">
        <v>71.13</v>
      </c>
      <c r="T264" s="15">
        <v>71.13</v>
      </c>
      <c r="U264" s="15">
        <v>1</v>
      </c>
      <c r="V264" s="15">
        <v>0</v>
      </c>
      <c r="W264" s="15">
        <v>1</v>
      </c>
      <c r="X264" s="15">
        <v>0.04</v>
      </c>
      <c r="Y264" s="15">
        <v>0.91</v>
      </c>
      <c r="Z264" s="15">
        <v>0.91</v>
      </c>
      <c r="AA264" s="15">
        <v>78.45</v>
      </c>
      <c r="AB264" s="15">
        <v>0</v>
      </c>
      <c r="AC264" s="15">
        <v>0</v>
      </c>
      <c r="AD264" s="15">
        <v>0</v>
      </c>
      <c r="AE264" s="15">
        <v>0</v>
      </c>
      <c r="AF264" s="15">
        <v>0</v>
      </c>
      <c r="AG264" s="15">
        <v>0</v>
      </c>
      <c r="AH264" s="15"/>
      <c r="AI264" s="15">
        <v>0</v>
      </c>
      <c r="AJ264" s="15"/>
      <c r="AK264" s="15">
        <v>0</v>
      </c>
      <c r="AL264" s="15"/>
      <c r="AM264" s="15">
        <v>0</v>
      </c>
      <c r="AN264" s="15"/>
      <c r="AO264" s="15">
        <v>0</v>
      </c>
      <c r="AP264" s="15"/>
      <c r="AQ264" s="15">
        <v>2</v>
      </c>
      <c r="AR264" s="15">
        <v>148.9</v>
      </c>
      <c r="AS264" s="15">
        <v>0</v>
      </c>
      <c r="AT264" s="15">
        <v>0</v>
      </c>
      <c r="AU264" s="15">
        <v>6</v>
      </c>
      <c r="AV264" s="15">
        <v>0</v>
      </c>
      <c r="AW264" s="15">
        <v>0</v>
      </c>
      <c r="AX264" s="15">
        <v>1</v>
      </c>
      <c r="AY264" s="15">
        <v>86</v>
      </c>
      <c r="AZ264" s="15">
        <v>24</v>
      </c>
      <c r="BA264" s="15">
        <v>17</v>
      </c>
      <c r="BB264" s="15">
        <v>0.70833</v>
      </c>
      <c r="BC264" s="15">
        <v>0</v>
      </c>
      <c r="BD264" s="15">
        <v>0</v>
      </c>
      <c r="BE264" s="15">
        <v>0.09471</v>
      </c>
      <c r="BF264" s="15">
        <v>58</v>
      </c>
      <c r="BG264" s="15">
        <v>4</v>
      </c>
      <c r="BH264" s="15">
        <v>0</v>
      </c>
      <c r="BI264" s="15">
        <v>0</v>
      </c>
      <c r="BJ264" s="15">
        <v>0</v>
      </c>
      <c r="BK264" s="15">
        <v>0</v>
      </c>
      <c r="BL264" s="15">
        <v>0</v>
      </c>
      <c r="BM264" s="15">
        <v>1</v>
      </c>
      <c r="BN264" s="15">
        <v>1</v>
      </c>
      <c r="BO264" s="15">
        <v>71.13</v>
      </c>
      <c r="BP264" s="15">
        <v>0.06</v>
      </c>
      <c r="BQ264" s="15">
        <v>77</v>
      </c>
    </row>
    <row r="265" spans="1:69">
      <c r="A265" s="16">
        <v>46048</v>
      </c>
      <c r="B265" s="15">
        <v>183</v>
      </c>
      <c r="C265" s="15" t="s">
        <v>40</v>
      </c>
      <c r="D265" s="15">
        <v>183</v>
      </c>
      <c r="E265" s="15" t="s">
        <v>40</v>
      </c>
      <c r="F265" s="15">
        <v>1066</v>
      </c>
      <c r="G265" s="15">
        <v>38</v>
      </c>
      <c r="H265" s="15">
        <v>100</v>
      </c>
      <c r="I265" s="15">
        <v>0.03565</v>
      </c>
      <c r="J265" s="15">
        <v>2.63</v>
      </c>
      <c r="K265" s="15">
        <v>93.81</v>
      </c>
      <c r="L265" s="15">
        <v>0</v>
      </c>
      <c r="M265" s="15">
        <v>0</v>
      </c>
      <c r="N265" s="15">
        <v>0</v>
      </c>
      <c r="O265" s="15">
        <v>0</v>
      </c>
      <c r="P265" s="15">
        <v>0</v>
      </c>
      <c r="Q265" s="15">
        <v>0</v>
      </c>
      <c r="R265" s="15">
        <v>0</v>
      </c>
      <c r="S265" s="15">
        <v>0</v>
      </c>
      <c r="T265" s="15">
        <v>0</v>
      </c>
      <c r="U265" s="15">
        <v>0</v>
      </c>
      <c r="V265" s="15">
        <v>0</v>
      </c>
      <c r="W265" s="15">
        <v>0</v>
      </c>
      <c r="X265" s="15">
        <v>0</v>
      </c>
      <c r="Y265" s="15">
        <v>0</v>
      </c>
      <c r="Z265" s="15">
        <v>0</v>
      </c>
      <c r="AA265" s="15"/>
      <c r="AB265" s="15">
        <v>3</v>
      </c>
      <c r="AC265" s="15">
        <v>1</v>
      </c>
      <c r="AD265" s="15">
        <v>2</v>
      </c>
      <c r="AE265" s="15">
        <v>0.07895</v>
      </c>
      <c r="AF265" s="15">
        <v>1</v>
      </c>
      <c r="AG265" s="15">
        <v>1</v>
      </c>
      <c r="AH265" s="15">
        <v>100</v>
      </c>
      <c r="AI265" s="15">
        <v>5</v>
      </c>
      <c r="AJ265" s="15">
        <v>20</v>
      </c>
      <c r="AK265" s="15">
        <v>4</v>
      </c>
      <c r="AL265" s="15">
        <v>25</v>
      </c>
      <c r="AM265" s="15">
        <v>2</v>
      </c>
      <c r="AN265" s="15">
        <v>100</v>
      </c>
      <c r="AO265" s="15">
        <v>0.02632</v>
      </c>
      <c r="AP265" s="15">
        <v>33.33</v>
      </c>
      <c r="AQ265" s="15">
        <v>0</v>
      </c>
      <c r="AR265" s="15">
        <v>0</v>
      </c>
      <c r="AS265" s="15">
        <v>1</v>
      </c>
      <c r="AT265" s="15">
        <v>0</v>
      </c>
      <c r="AU265" s="15">
        <v>6</v>
      </c>
      <c r="AV265" s="15">
        <v>0</v>
      </c>
      <c r="AW265" s="15">
        <v>0</v>
      </c>
      <c r="AX265" s="15">
        <v>2</v>
      </c>
      <c r="AY265" s="15">
        <v>281</v>
      </c>
      <c r="AZ265" s="15">
        <v>127</v>
      </c>
      <c r="BA265" s="15">
        <v>105</v>
      </c>
      <c r="BB265" s="15">
        <v>0.82677</v>
      </c>
      <c r="BC265" s="15">
        <v>0</v>
      </c>
      <c r="BD265" s="15">
        <v>0</v>
      </c>
      <c r="BE265" s="15">
        <v>0.2636</v>
      </c>
      <c r="BF265" s="15">
        <v>98</v>
      </c>
      <c r="BG265" s="15">
        <v>2</v>
      </c>
      <c r="BH265" s="15">
        <v>0</v>
      </c>
      <c r="BI265" s="15"/>
      <c r="BJ265" s="15">
        <v>0</v>
      </c>
      <c r="BK265" s="15">
        <v>0</v>
      </c>
      <c r="BL265" s="15">
        <v>0</v>
      </c>
      <c r="BM265" s="15">
        <v>0</v>
      </c>
      <c r="BN265" s="15"/>
      <c r="BO265" s="15"/>
      <c r="BP265" s="15">
        <v>0.06</v>
      </c>
      <c r="BQ265" s="15">
        <v>121</v>
      </c>
    </row>
    <row r="266" spans="1:69">
      <c r="A266" s="16">
        <v>46048</v>
      </c>
      <c r="B266" s="15">
        <v>479</v>
      </c>
      <c r="C266" s="15" t="s">
        <v>39</v>
      </c>
      <c r="D266" s="15">
        <v>479</v>
      </c>
      <c r="E266" s="15" t="s">
        <v>39</v>
      </c>
      <c r="F266" s="15">
        <v>70</v>
      </c>
      <c r="G266" s="15">
        <v>21</v>
      </c>
      <c r="H266" s="15">
        <v>21.74</v>
      </c>
      <c r="I266" s="15">
        <v>0.3</v>
      </c>
      <c r="J266" s="15">
        <v>1.04</v>
      </c>
      <c r="K266" s="15">
        <v>310.57</v>
      </c>
      <c r="L266" s="15">
        <v>0</v>
      </c>
      <c r="M266" s="15">
        <v>0</v>
      </c>
      <c r="N266" s="15">
        <v>0</v>
      </c>
      <c r="O266" s="15">
        <v>0</v>
      </c>
      <c r="P266" s="15">
        <v>0</v>
      </c>
      <c r="Q266" s="15">
        <v>0</v>
      </c>
      <c r="R266" s="15">
        <v>0</v>
      </c>
      <c r="S266" s="15">
        <v>0</v>
      </c>
      <c r="T266" s="15">
        <v>0</v>
      </c>
      <c r="U266" s="15">
        <v>0</v>
      </c>
      <c r="V266" s="15">
        <v>0</v>
      </c>
      <c r="W266" s="15">
        <v>0</v>
      </c>
      <c r="X266" s="15">
        <v>0</v>
      </c>
      <c r="Y266" s="15">
        <v>0</v>
      </c>
      <c r="Z266" s="15">
        <v>0</v>
      </c>
      <c r="AA266" s="15"/>
      <c r="AB266" s="15">
        <v>2</v>
      </c>
      <c r="AC266" s="15">
        <v>0</v>
      </c>
      <c r="AD266" s="15">
        <v>2</v>
      </c>
      <c r="AE266" s="15">
        <v>0.09524</v>
      </c>
      <c r="AF266" s="15">
        <v>0</v>
      </c>
      <c r="AG266" s="15">
        <v>0</v>
      </c>
      <c r="AH266" s="15"/>
      <c r="AI266" s="15">
        <v>2</v>
      </c>
      <c r="AJ266" s="15">
        <v>10.87</v>
      </c>
      <c r="AK266" s="15">
        <v>2</v>
      </c>
      <c r="AL266" s="15">
        <v>10.87</v>
      </c>
      <c r="AM266" s="15">
        <v>0</v>
      </c>
      <c r="AN266" s="15"/>
      <c r="AO266" s="15">
        <v>0</v>
      </c>
      <c r="AP266" s="15">
        <v>10.87</v>
      </c>
      <c r="AQ266" s="15">
        <v>0</v>
      </c>
      <c r="AR266" s="15">
        <v>0</v>
      </c>
      <c r="AS266" s="15">
        <v>0</v>
      </c>
      <c r="AT266" s="15">
        <v>0</v>
      </c>
      <c r="AU266" s="15">
        <v>1</v>
      </c>
      <c r="AV266" s="15">
        <v>0</v>
      </c>
      <c r="AW266" s="15">
        <v>0</v>
      </c>
      <c r="AX266" s="15">
        <v>1</v>
      </c>
      <c r="AY266" s="15">
        <v>144</v>
      </c>
      <c r="AZ266" s="15">
        <v>19</v>
      </c>
      <c r="BA266" s="15">
        <v>15</v>
      </c>
      <c r="BB266" s="15">
        <v>0.78947</v>
      </c>
      <c r="BC266" s="15">
        <v>0</v>
      </c>
      <c r="BD266" s="15">
        <v>0</v>
      </c>
      <c r="BE266" s="15">
        <v>2.05714</v>
      </c>
      <c r="BF266" s="15">
        <v>121</v>
      </c>
      <c r="BG266" s="15">
        <v>8</v>
      </c>
      <c r="BH266" s="15">
        <v>0</v>
      </c>
      <c r="BI266" s="15"/>
      <c r="BJ266" s="15">
        <v>0</v>
      </c>
      <c r="BK266" s="15">
        <v>0</v>
      </c>
      <c r="BL266" s="15">
        <v>0</v>
      </c>
      <c r="BM266" s="15">
        <v>0</v>
      </c>
      <c r="BN266" s="15"/>
      <c r="BO266" s="15"/>
      <c r="BP266" s="15">
        <v>2.85</v>
      </c>
      <c r="BQ266" s="15">
        <v>103</v>
      </c>
    </row>
    <row r="267" spans="1:69">
      <c r="A267" s="16">
        <v>46048</v>
      </c>
      <c r="B267" s="15">
        <v>371</v>
      </c>
      <c r="C267" s="15" t="s">
        <v>32</v>
      </c>
      <c r="D267" s="15">
        <v>371</v>
      </c>
      <c r="E267" s="15" t="s">
        <v>32</v>
      </c>
      <c r="F267" s="15">
        <v>1580</v>
      </c>
      <c r="G267" s="15">
        <v>24</v>
      </c>
      <c r="H267" s="15">
        <v>29.1</v>
      </c>
      <c r="I267" s="15">
        <v>0.01519</v>
      </c>
      <c r="J267" s="15">
        <v>1.21</v>
      </c>
      <c r="K267" s="15">
        <v>18.42</v>
      </c>
      <c r="L267" s="15">
        <v>0</v>
      </c>
      <c r="M267" s="15">
        <v>0</v>
      </c>
      <c r="N267" s="15">
        <v>0</v>
      </c>
      <c r="O267" s="15">
        <v>0</v>
      </c>
      <c r="P267" s="15">
        <v>0</v>
      </c>
      <c r="Q267" s="15">
        <v>0</v>
      </c>
      <c r="R267" s="15">
        <v>0</v>
      </c>
      <c r="S267" s="15">
        <v>0</v>
      </c>
      <c r="T267" s="15">
        <v>0</v>
      </c>
      <c r="U267" s="15">
        <v>0</v>
      </c>
      <c r="V267" s="15">
        <v>0</v>
      </c>
      <c r="W267" s="15">
        <v>0</v>
      </c>
      <c r="X267" s="15">
        <v>0</v>
      </c>
      <c r="Y267" s="15">
        <v>0</v>
      </c>
      <c r="Z267" s="15">
        <v>0</v>
      </c>
      <c r="AA267" s="15"/>
      <c r="AB267" s="15">
        <v>0</v>
      </c>
      <c r="AC267" s="15">
        <v>0</v>
      </c>
      <c r="AD267" s="15">
        <v>0</v>
      </c>
      <c r="AE267" s="15">
        <v>0</v>
      </c>
      <c r="AF267" s="15">
        <v>0</v>
      </c>
      <c r="AG267" s="15">
        <v>0</v>
      </c>
      <c r="AH267" s="15"/>
      <c r="AI267" s="15">
        <v>0</v>
      </c>
      <c r="AJ267" s="15"/>
      <c r="AK267" s="15">
        <v>0</v>
      </c>
      <c r="AL267" s="15"/>
      <c r="AM267" s="15">
        <v>0</v>
      </c>
      <c r="AN267" s="15"/>
      <c r="AO267" s="15">
        <v>0</v>
      </c>
      <c r="AP267" s="15"/>
      <c r="AQ267" s="15">
        <v>0</v>
      </c>
      <c r="AR267" s="15">
        <v>0</v>
      </c>
      <c r="AS267" s="15">
        <v>0</v>
      </c>
      <c r="AT267" s="15">
        <v>0</v>
      </c>
      <c r="AU267" s="15">
        <v>1</v>
      </c>
      <c r="AV267" s="15">
        <v>0</v>
      </c>
      <c r="AW267" s="15">
        <v>0</v>
      </c>
      <c r="AX267" s="15">
        <v>0</v>
      </c>
      <c r="AY267" s="15">
        <v>38</v>
      </c>
      <c r="AZ267" s="15">
        <v>26</v>
      </c>
      <c r="BA267" s="15">
        <v>25</v>
      </c>
      <c r="BB267" s="15">
        <v>0.96154</v>
      </c>
      <c r="BC267" s="15">
        <v>0</v>
      </c>
      <c r="BD267" s="15">
        <v>0</v>
      </c>
      <c r="BE267" s="15">
        <v>0.02405</v>
      </c>
      <c r="BF267" s="15">
        <v>9</v>
      </c>
      <c r="BG267" s="15">
        <v>1</v>
      </c>
      <c r="BH267" s="15">
        <v>0</v>
      </c>
      <c r="BI267" s="15"/>
      <c r="BJ267" s="15">
        <v>0</v>
      </c>
      <c r="BK267" s="15">
        <v>0</v>
      </c>
      <c r="BL267" s="15">
        <v>0</v>
      </c>
      <c r="BM267" s="15">
        <v>0</v>
      </c>
      <c r="BN267" s="15"/>
      <c r="BO267" s="15"/>
      <c r="BP267" s="15">
        <v>0</v>
      </c>
      <c r="BQ267" s="15">
        <v>1</v>
      </c>
    </row>
    <row r="268" spans="1:69">
      <c r="A268" s="16">
        <v>46047</v>
      </c>
      <c r="B268" s="15">
        <v>183</v>
      </c>
      <c r="C268" s="15" t="s">
        <v>40</v>
      </c>
      <c r="D268" s="15">
        <v>183</v>
      </c>
      <c r="E268" s="15" t="s">
        <v>40</v>
      </c>
      <c r="F268" s="15">
        <v>616</v>
      </c>
      <c r="G268" s="15">
        <v>38</v>
      </c>
      <c r="H268" s="15">
        <v>100</v>
      </c>
      <c r="I268" s="15">
        <v>0.06169</v>
      </c>
      <c r="J268" s="15">
        <v>2.63</v>
      </c>
      <c r="K268" s="15">
        <v>162.34</v>
      </c>
      <c r="L268" s="15">
        <v>0</v>
      </c>
      <c r="M268" s="15">
        <v>0</v>
      </c>
      <c r="N268" s="15">
        <v>0</v>
      </c>
      <c r="O268" s="15">
        <v>0</v>
      </c>
      <c r="P268" s="15">
        <v>0</v>
      </c>
      <c r="Q268" s="15">
        <v>0</v>
      </c>
      <c r="R268" s="15">
        <v>0</v>
      </c>
      <c r="S268" s="15">
        <v>133.07</v>
      </c>
      <c r="T268" s="15">
        <v>133.07</v>
      </c>
      <c r="U268" s="15">
        <v>5</v>
      </c>
      <c r="V268" s="15">
        <v>0</v>
      </c>
      <c r="W268" s="15">
        <v>5</v>
      </c>
      <c r="X268" s="15">
        <v>0.13158</v>
      </c>
      <c r="Y268" s="15">
        <v>1.33</v>
      </c>
      <c r="Z268" s="15">
        <v>1.33</v>
      </c>
      <c r="AA268" s="15">
        <v>20</v>
      </c>
      <c r="AB268" s="15">
        <v>6</v>
      </c>
      <c r="AC268" s="15">
        <v>3</v>
      </c>
      <c r="AD268" s="15">
        <v>3</v>
      </c>
      <c r="AE268" s="15">
        <v>0.15789</v>
      </c>
      <c r="AF268" s="15">
        <v>1</v>
      </c>
      <c r="AG268" s="15">
        <v>2</v>
      </c>
      <c r="AH268" s="15">
        <v>50</v>
      </c>
      <c r="AI268" s="15">
        <v>9</v>
      </c>
      <c r="AJ268" s="15">
        <v>11.11</v>
      </c>
      <c r="AK268" s="15">
        <v>7</v>
      </c>
      <c r="AL268" s="15">
        <v>14.29</v>
      </c>
      <c r="AM268" s="15">
        <v>3</v>
      </c>
      <c r="AN268" s="15">
        <v>100</v>
      </c>
      <c r="AO268" s="15">
        <v>0.02632</v>
      </c>
      <c r="AP268" s="15">
        <v>16.67</v>
      </c>
      <c r="AQ268" s="15">
        <v>6</v>
      </c>
      <c r="AR268" s="15">
        <v>247.6</v>
      </c>
      <c r="AS268" s="15">
        <v>0</v>
      </c>
      <c r="AT268" s="15">
        <v>1</v>
      </c>
      <c r="AU268" s="15">
        <v>6</v>
      </c>
      <c r="AV268" s="15">
        <v>0</v>
      </c>
      <c r="AW268" s="15">
        <v>0</v>
      </c>
      <c r="AX268" s="15">
        <v>2</v>
      </c>
      <c r="AY268" s="15">
        <v>283</v>
      </c>
      <c r="AZ268" s="15">
        <v>92</v>
      </c>
      <c r="BA268" s="15">
        <v>79</v>
      </c>
      <c r="BB268" s="15">
        <v>0.8587</v>
      </c>
      <c r="BC268" s="15">
        <v>0</v>
      </c>
      <c r="BD268" s="15">
        <v>0</v>
      </c>
      <c r="BE268" s="15">
        <v>0.45942</v>
      </c>
      <c r="BF268" s="15">
        <v>148</v>
      </c>
      <c r="BG268" s="15">
        <v>3</v>
      </c>
      <c r="BH268" s="15">
        <v>1</v>
      </c>
      <c r="BI268" s="15">
        <v>1</v>
      </c>
      <c r="BJ268" s="15">
        <v>0</v>
      </c>
      <c r="BK268" s="15">
        <v>0</v>
      </c>
      <c r="BL268" s="15">
        <v>0</v>
      </c>
      <c r="BM268" s="15">
        <v>1</v>
      </c>
      <c r="BN268" s="15">
        <v>5</v>
      </c>
      <c r="BO268" s="15">
        <v>133.07</v>
      </c>
      <c r="BP268" s="15">
        <v>5.59</v>
      </c>
      <c r="BQ268" s="15">
        <v>249</v>
      </c>
    </row>
    <row r="269" spans="1:69">
      <c r="A269" s="16">
        <v>46047</v>
      </c>
      <c r="B269" s="15">
        <v>371</v>
      </c>
      <c r="C269" s="15" t="s">
        <v>32</v>
      </c>
      <c r="D269" s="15">
        <v>371</v>
      </c>
      <c r="E269" s="15" t="s">
        <v>32</v>
      </c>
      <c r="F269" s="15">
        <v>1250</v>
      </c>
      <c r="G269" s="15">
        <v>26</v>
      </c>
      <c r="H269" s="15">
        <v>30</v>
      </c>
      <c r="I269" s="15">
        <v>0.0208</v>
      </c>
      <c r="J269" s="15">
        <v>1.15</v>
      </c>
      <c r="K269" s="15">
        <v>24</v>
      </c>
      <c r="L269" s="15">
        <v>0</v>
      </c>
      <c r="M269" s="15">
        <v>0</v>
      </c>
      <c r="N269" s="15">
        <v>0</v>
      </c>
      <c r="O269" s="15">
        <v>0</v>
      </c>
      <c r="P269" s="15">
        <v>0</v>
      </c>
      <c r="Q269" s="15">
        <v>0</v>
      </c>
      <c r="R269" s="15">
        <v>0</v>
      </c>
      <c r="S269" s="15">
        <v>0</v>
      </c>
      <c r="T269" s="15">
        <v>0</v>
      </c>
      <c r="U269" s="15">
        <v>0</v>
      </c>
      <c r="V269" s="15">
        <v>0</v>
      </c>
      <c r="W269" s="15">
        <v>0</v>
      </c>
      <c r="X269" s="15">
        <v>0</v>
      </c>
      <c r="Y269" s="15">
        <v>0</v>
      </c>
      <c r="Z269" s="15">
        <v>0</v>
      </c>
      <c r="AA269" s="15"/>
      <c r="AB269" s="15">
        <v>5</v>
      </c>
      <c r="AC269" s="15">
        <v>0</v>
      </c>
      <c r="AD269" s="15">
        <v>5</v>
      </c>
      <c r="AE269" s="15">
        <v>0.19231</v>
      </c>
      <c r="AF269" s="15">
        <v>1</v>
      </c>
      <c r="AG269" s="15">
        <v>0</v>
      </c>
      <c r="AH269" s="15"/>
      <c r="AI269" s="15">
        <v>6</v>
      </c>
      <c r="AJ269" s="15">
        <v>5</v>
      </c>
      <c r="AK269" s="15">
        <v>6</v>
      </c>
      <c r="AL269" s="15">
        <v>5</v>
      </c>
      <c r="AM269" s="15">
        <v>1</v>
      </c>
      <c r="AN269" s="15">
        <v>30</v>
      </c>
      <c r="AO269" s="15">
        <v>0.03846</v>
      </c>
      <c r="AP269" s="15">
        <v>6</v>
      </c>
      <c r="AQ269" s="15">
        <v>0</v>
      </c>
      <c r="AR269" s="15">
        <v>0</v>
      </c>
      <c r="AS269" s="15">
        <v>1</v>
      </c>
      <c r="AT269" s="15">
        <v>0</v>
      </c>
      <c r="AU269" s="15">
        <v>0</v>
      </c>
      <c r="AV269" s="15">
        <v>0</v>
      </c>
      <c r="AW269" s="15">
        <v>0</v>
      </c>
      <c r="AX269" s="15">
        <v>0</v>
      </c>
      <c r="AY269" s="15">
        <v>67</v>
      </c>
      <c r="AZ269" s="15">
        <v>31</v>
      </c>
      <c r="BA269" s="15">
        <v>31</v>
      </c>
      <c r="BB269" s="15">
        <v>1</v>
      </c>
      <c r="BC269" s="15">
        <v>0</v>
      </c>
      <c r="BD269" s="15">
        <v>0</v>
      </c>
      <c r="BE269" s="15">
        <v>0.0536</v>
      </c>
      <c r="BF269" s="15">
        <v>35</v>
      </c>
      <c r="BG269" s="15">
        <v>2</v>
      </c>
      <c r="BH269" s="15">
        <v>0</v>
      </c>
      <c r="BI269" s="15"/>
      <c r="BJ269" s="15">
        <v>0</v>
      </c>
      <c r="BK269" s="15">
        <v>0</v>
      </c>
      <c r="BL269" s="15">
        <v>0</v>
      </c>
      <c r="BM269" s="15">
        <v>0</v>
      </c>
      <c r="BN269" s="15"/>
      <c r="BO269" s="15"/>
      <c r="BP269" s="15">
        <v>0</v>
      </c>
      <c r="BQ269" s="15">
        <v>888</v>
      </c>
    </row>
    <row r="270" spans="1:69">
      <c r="A270" s="16">
        <v>46047</v>
      </c>
      <c r="B270" s="15">
        <v>372</v>
      </c>
      <c r="C270" s="15" t="s">
        <v>37</v>
      </c>
      <c r="D270" s="15">
        <v>372</v>
      </c>
      <c r="E270" s="15" t="s">
        <v>61</v>
      </c>
      <c r="F270" s="15">
        <v>1359</v>
      </c>
      <c r="G270" s="15">
        <v>41</v>
      </c>
      <c r="H270" s="15">
        <v>75</v>
      </c>
      <c r="I270" s="15">
        <v>0.03017</v>
      </c>
      <c r="J270" s="15">
        <v>1.83</v>
      </c>
      <c r="K270" s="15">
        <v>55.19</v>
      </c>
      <c r="L270" s="15">
        <v>0</v>
      </c>
      <c r="M270" s="15">
        <v>0</v>
      </c>
      <c r="N270" s="15">
        <v>0</v>
      </c>
      <c r="O270" s="15">
        <v>0</v>
      </c>
      <c r="P270" s="15">
        <v>0</v>
      </c>
      <c r="Q270" s="15">
        <v>0</v>
      </c>
      <c r="R270" s="15">
        <v>0</v>
      </c>
      <c r="S270" s="15">
        <v>0</v>
      </c>
      <c r="T270" s="15">
        <v>0</v>
      </c>
      <c r="U270" s="15">
        <v>0</v>
      </c>
      <c r="V270" s="15">
        <v>0</v>
      </c>
      <c r="W270" s="15">
        <v>0</v>
      </c>
      <c r="X270" s="15">
        <v>0</v>
      </c>
      <c r="Y270" s="15">
        <v>0</v>
      </c>
      <c r="Z270" s="15">
        <v>0</v>
      </c>
      <c r="AA270" s="15"/>
      <c r="AB270" s="15">
        <v>2</v>
      </c>
      <c r="AC270" s="15">
        <v>1</v>
      </c>
      <c r="AD270" s="15">
        <v>1</v>
      </c>
      <c r="AE270" s="15">
        <v>0.04878</v>
      </c>
      <c r="AF270" s="15">
        <v>1</v>
      </c>
      <c r="AG270" s="15">
        <v>2</v>
      </c>
      <c r="AH270" s="15">
        <v>37.5</v>
      </c>
      <c r="AI270" s="15">
        <v>5</v>
      </c>
      <c r="AJ270" s="15">
        <v>15</v>
      </c>
      <c r="AK270" s="15">
        <v>3</v>
      </c>
      <c r="AL270" s="15">
        <v>25</v>
      </c>
      <c r="AM270" s="15">
        <v>3</v>
      </c>
      <c r="AN270" s="15">
        <v>75</v>
      </c>
      <c r="AO270" s="15">
        <v>0.02439</v>
      </c>
      <c r="AP270" s="15">
        <v>37.5</v>
      </c>
      <c r="AQ270" s="15">
        <v>0</v>
      </c>
      <c r="AR270" s="15">
        <v>0</v>
      </c>
      <c r="AS270" s="15">
        <v>1</v>
      </c>
      <c r="AT270" s="15">
        <v>0</v>
      </c>
      <c r="AU270" s="15">
        <v>0</v>
      </c>
      <c r="AV270" s="15">
        <v>0</v>
      </c>
      <c r="AW270" s="15">
        <v>0</v>
      </c>
      <c r="AX270" s="15">
        <v>2</v>
      </c>
      <c r="AY270" s="15">
        <v>159</v>
      </c>
      <c r="AZ270" s="15">
        <v>35</v>
      </c>
      <c r="BA270" s="15">
        <v>31</v>
      </c>
      <c r="BB270" s="15">
        <v>0.88571</v>
      </c>
      <c r="BC270" s="15">
        <v>0</v>
      </c>
      <c r="BD270" s="15">
        <v>0</v>
      </c>
      <c r="BE270" s="15">
        <v>0.117</v>
      </c>
      <c r="BF270" s="15">
        <v>113</v>
      </c>
      <c r="BG270" s="15">
        <v>5</v>
      </c>
      <c r="BH270" s="15">
        <v>0</v>
      </c>
      <c r="BI270" s="15"/>
      <c r="BJ270" s="15">
        <v>0</v>
      </c>
      <c r="BK270" s="15">
        <v>0</v>
      </c>
      <c r="BL270" s="15">
        <v>0</v>
      </c>
      <c r="BM270" s="15">
        <v>0</v>
      </c>
      <c r="BN270" s="15"/>
      <c r="BO270" s="15"/>
      <c r="BP270" s="15">
        <v>2.79</v>
      </c>
      <c r="BQ270" s="15">
        <v>99</v>
      </c>
    </row>
    <row r="271" spans="1:69">
      <c r="A271" s="16">
        <v>46047</v>
      </c>
      <c r="B271" s="15">
        <v>436</v>
      </c>
      <c r="C271" s="15" t="s">
        <v>38</v>
      </c>
      <c r="D271" s="15">
        <v>436</v>
      </c>
      <c r="E271" s="15" t="s">
        <v>38</v>
      </c>
      <c r="F271" s="15">
        <v>536</v>
      </c>
      <c r="G271" s="15">
        <v>17</v>
      </c>
      <c r="H271" s="15">
        <v>80</v>
      </c>
      <c r="I271" s="15">
        <v>0.03172</v>
      </c>
      <c r="J271" s="15">
        <v>4.71</v>
      </c>
      <c r="K271" s="15">
        <v>149.25</v>
      </c>
      <c r="L271" s="15">
        <v>0</v>
      </c>
      <c r="M271" s="15">
        <v>0</v>
      </c>
      <c r="N271" s="15">
        <v>0</v>
      </c>
      <c r="O271" s="15">
        <v>0</v>
      </c>
      <c r="P271" s="15">
        <v>0</v>
      </c>
      <c r="Q271" s="15">
        <v>0</v>
      </c>
      <c r="R271" s="15">
        <v>0</v>
      </c>
      <c r="S271" s="15">
        <v>248</v>
      </c>
      <c r="T271" s="15">
        <v>248</v>
      </c>
      <c r="U271" s="15">
        <v>1</v>
      </c>
      <c r="V271" s="15">
        <v>0</v>
      </c>
      <c r="W271" s="15">
        <v>1</v>
      </c>
      <c r="X271" s="15">
        <v>0.05882</v>
      </c>
      <c r="Y271" s="15">
        <v>3.1</v>
      </c>
      <c r="Z271" s="15">
        <v>3.1</v>
      </c>
      <c r="AA271" s="15">
        <v>80</v>
      </c>
      <c r="AB271" s="15">
        <v>6</v>
      </c>
      <c r="AC271" s="15">
        <v>1</v>
      </c>
      <c r="AD271" s="15">
        <v>5</v>
      </c>
      <c r="AE271" s="15">
        <v>0.35294</v>
      </c>
      <c r="AF271" s="15">
        <v>0</v>
      </c>
      <c r="AG271" s="15">
        <v>0</v>
      </c>
      <c r="AH271" s="15"/>
      <c r="AI271" s="15">
        <v>6</v>
      </c>
      <c r="AJ271" s="15">
        <v>13.33</v>
      </c>
      <c r="AK271" s="15">
        <v>6</v>
      </c>
      <c r="AL271" s="15">
        <v>13.33</v>
      </c>
      <c r="AM271" s="15">
        <v>0</v>
      </c>
      <c r="AN271" s="15"/>
      <c r="AO271" s="15">
        <v>0</v>
      </c>
      <c r="AP271" s="15">
        <v>13.33</v>
      </c>
      <c r="AQ271" s="15">
        <v>2</v>
      </c>
      <c r="AR271" s="15">
        <v>399</v>
      </c>
      <c r="AS271" s="15">
        <v>0</v>
      </c>
      <c r="AT271" s="15">
        <v>0</v>
      </c>
      <c r="AU271" s="15">
        <v>2</v>
      </c>
      <c r="AV271" s="15">
        <v>0</v>
      </c>
      <c r="AW271" s="15">
        <v>0</v>
      </c>
      <c r="AX271" s="15">
        <v>1</v>
      </c>
      <c r="AY271" s="15">
        <v>95</v>
      </c>
      <c r="AZ271" s="15">
        <v>15</v>
      </c>
      <c r="BA271" s="15">
        <v>12</v>
      </c>
      <c r="BB271" s="15">
        <v>0.8</v>
      </c>
      <c r="BC271" s="15">
        <v>0</v>
      </c>
      <c r="BD271" s="15">
        <v>0</v>
      </c>
      <c r="BE271" s="15">
        <v>0.17724</v>
      </c>
      <c r="BF271" s="15">
        <v>78</v>
      </c>
      <c r="BG271" s="15">
        <v>6</v>
      </c>
      <c r="BH271" s="15">
        <v>1</v>
      </c>
      <c r="BI271" s="15">
        <v>1</v>
      </c>
      <c r="BJ271" s="15">
        <v>0</v>
      </c>
      <c r="BK271" s="15">
        <v>0</v>
      </c>
      <c r="BL271" s="15">
        <v>0</v>
      </c>
      <c r="BM271" s="15">
        <v>1</v>
      </c>
      <c r="BN271" s="15">
        <v>1</v>
      </c>
      <c r="BO271" s="15">
        <v>248</v>
      </c>
      <c r="BP271" s="15">
        <v>0.11</v>
      </c>
      <c r="BQ271" s="15">
        <v>333</v>
      </c>
    </row>
    <row r="272" spans="1:69">
      <c r="A272" s="16">
        <v>46047</v>
      </c>
      <c r="B272" s="15">
        <v>479</v>
      </c>
      <c r="C272" s="15" t="s">
        <v>39</v>
      </c>
      <c r="D272" s="15">
        <v>479</v>
      </c>
      <c r="E272" s="15" t="s">
        <v>39</v>
      </c>
      <c r="F272" s="15">
        <v>46</v>
      </c>
      <c r="G272" s="15">
        <v>26</v>
      </c>
      <c r="H272" s="15">
        <v>14.68</v>
      </c>
      <c r="I272" s="15">
        <v>0.56522</v>
      </c>
      <c r="J272" s="15">
        <v>0.56</v>
      </c>
      <c r="K272" s="15">
        <v>319.08</v>
      </c>
      <c r="L272" s="15">
        <v>0</v>
      </c>
      <c r="M272" s="15">
        <v>0</v>
      </c>
      <c r="N272" s="15">
        <v>0</v>
      </c>
      <c r="O272" s="15">
        <v>0</v>
      </c>
      <c r="P272" s="15">
        <v>0</v>
      </c>
      <c r="Q272" s="15">
        <v>0</v>
      </c>
      <c r="R272" s="15">
        <v>0</v>
      </c>
      <c r="S272" s="15">
        <v>2138.21</v>
      </c>
      <c r="T272" s="15">
        <v>2138.21</v>
      </c>
      <c r="U272" s="15">
        <v>4</v>
      </c>
      <c r="V272" s="15">
        <v>0</v>
      </c>
      <c r="W272" s="15">
        <v>4</v>
      </c>
      <c r="X272" s="15">
        <v>0.15385</v>
      </c>
      <c r="Y272" s="15">
        <v>145.68</v>
      </c>
      <c r="Z272" s="15">
        <v>145.68</v>
      </c>
      <c r="AA272" s="15">
        <v>3.67</v>
      </c>
      <c r="AB272" s="15">
        <v>4</v>
      </c>
      <c r="AC272" s="15">
        <v>0</v>
      </c>
      <c r="AD272" s="15">
        <v>4</v>
      </c>
      <c r="AE272" s="15">
        <v>0.15385</v>
      </c>
      <c r="AF272" s="15">
        <v>2</v>
      </c>
      <c r="AG272" s="15">
        <v>1</v>
      </c>
      <c r="AH272" s="15">
        <v>14.68</v>
      </c>
      <c r="AI272" s="15">
        <v>7</v>
      </c>
      <c r="AJ272" s="15">
        <v>2.1</v>
      </c>
      <c r="AK272" s="15">
        <v>6</v>
      </c>
      <c r="AL272" s="15">
        <v>2.45</v>
      </c>
      <c r="AM272" s="15">
        <v>3</v>
      </c>
      <c r="AN272" s="15">
        <v>7.34</v>
      </c>
      <c r="AO272" s="15">
        <v>0.07692</v>
      </c>
      <c r="AP272" s="15">
        <v>3.67</v>
      </c>
      <c r="AQ272" s="15">
        <v>8</v>
      </c>
      <c r="AR272" s="15">
        <v>3080.9</v>
      </c>
      <c r="AS272" s="15">
        <v>1</v>
      </c>
      <c r="AT272" s="15">
        <v>1</v>
      </c>
      <c r="AU272" s="15">
        <v>5</v>
      </c>
      <c r="AV272" s="15">
        <v>0</v>
      </c>
      <c r="AW272" s="15">
        <v>0</v>
      </c>
      <c r="AX272" s="15">
        <v>6</v>
      </c>
      <c r="AY272" s="15">
        <v>349</v>
      </c>
      <c r="AZ272" s="15">
        <v>22</v>
      </c>
      <c r="BA272" s="15">
        <v>16</v>
      </c>
      <c r="BB272" s="15">
        <v>0.72727</v>
      </c>
      <c r="BC272" s="15">
        <v>0</v>
      </c>
      <c r="BD272" s="15">
        <v>0</v>
      </c>
      <c r="BE272" s="15">
        <v>7.58696</v>
      </c>
      <c r="BF272" s="15">
        <v>323</v>
      </c>
      <c r="BG272" s="15">
        <v>16</v>
      </c>
      <c r="BH272" s="15">
        <v>4</v>
      </c>
      <c r="BI272" s="15">
        <v>1</v>
      </c>
      <c r="BJ272" s="15">
        <v>0</v>
      </c>
      <c r="BK272" s="15">
        <v>0</v>
      </c>
      <c r="BL272" s="15">
        <v>0</v>
      </c>
      <c r="BM272" s="15">
        <v>4</v>
      </c>
      <c r="BN272" s="15">
        <v>1</v>
      </c>
      <c r="BO272" s="15">
        <v>534.55</v>
      </c>
      <c r="BP272" s="15">
        <v>8.38</v>
      </c>
      <c r="BQ272" s="15">
        <v>511</v>
      </c>
    </row>
    <row r="273" spans="1:69">
      <c r="A273" s="16">
        <v>46046</v>
      </c>
      <c r="B273" s="15">
        <v>436</v>
      </c>
      <c r="C273" s="15" t="s">
        <v>38</v>
      </c>
      <c r="D273" s="15">
        <v>436</v>
      </c>
      <c r="E273" s="15" t="s">
        <v>38</v>
      </c>
      <c r="F273" s="15">
        <v>714</v>
      </c>
      <c r="G273" s="15">
        <v>25</v>
      </c>
      <c r="H273" s="15">
        <v>80</v>
      </c>
      <c r="I273" s="15">
        <v>0.03501</v>
      </c>
      <c r="J273" s="15">
        <v>3.2</v>
      </c>
      <c r="K273" s="15">
        <v>112.04</v>
      </c>
      <c r="L273" s="15">
        <v>0</v>
      </c>
      <c r="M273" s="15">
        <v>0</v>
      </c>
      <c r="N273" s="15">
        <v>0</v>
      </c>
      <c r="O273" s="15">
        <v>0</v>
      </c>
      <c r="P273" s="15">
        <v>0</v>
      </c>
      <c r="Q273" s="15">
        <v>0</v>
      </c>
      <c r="R273" s="15">
        <v>0</v>
      </c>
      <c r="S273" s="15">
        <v>0</v>
      </c>
      <c r="T273" s="15">
        <v>0</v>
      </c>
      <c r="U273" s="15">
        <v>0</v>
      </c>
      <c r="V273" s="15">
        <v>0</v>
      </c>
      <c r="W273" s="15">
        <v>0</v>
      </c>
      <c r="X273" s="15">
        <v>0</v>
      </c>
      <c r="Y273" s="15">
        <v>0</v>
      </c>
      <c r="Z273" s="15">
        <v>0</v>
      </c>
      <c r="AA273" s="15"/>
      <c r="AB273" s="15">
        <v>2</v>
      </c>
      <c r="AC273" s="15">
        <v>1</v>
      </c>
      <c r="AD273" s="15">
        <v>1</v>
      </c>
      <c r="AE273" s="15">
        <v>0.08</v>
      </c>
      <c r="AF273" s="15">
        <v>0</v>
      </c>
      <c r="AG273" s="15">
        <v>2</v>
      </c>
      <c r="AH273" s="15">
        <v>40</v>
      </c>
      <c r="AI273" s="15">
        <v>4</v>
      </c>
      <c r="AJ273" s="15">
        <v>20</v>
      </c>
      <c r="AK273" s="15">
        <v>2</v>
      </c>
      <c r="AL273" s="15">
        <v>40</v>
      </c>
      <c r="AM273" s="15">
        <v>2</v>
      </c>
      <c r="AN273" s="15"/>
      <c r="AO273" s="15">
        <v>0</v>
      </c>
      <c r="AP273" s="15">
        <v>40</v>
      </c>
      <c r="AQ273" s="15">
        <v>0</v>
      </c>
      <c r="AR273" s="15">
        <v>0</v>
      </c>
      <c r="AS273" s="15">
        <v>0</v>
      </c>
      <c r="AT273" s="15">
        <v>0</v>
      </c>
      <c r="AU273" s="15">
        <v>2</v>
      </c>
      <c r="AV273" s="15">
        <v>0</v>
      </c>
      <c r="AW273" s="15">
        <v>0</v>
      </c>
      <c r="AX273" s="15">
        <v>1</v>
      </c>
      <c r="AY273" s="15">
        <v>84</v>
      </c>
      <c r="AZ273" s="15">
        <v>24</v>
      </c>
      <c r="BA273" s="15">
        <v>20</v>
      </c>
      <c r="BB273" s="15">
        <v>0.83333</v>
      </c>
      <c r="BC273" s="15">
        <v>0</v>
      </c>
      <c r="BD273" s="15">
        <v>0</v>
      </c>
      <c r="BE273" s="15">
        <v>0.11765</v>
      </c>
      <c r="BF273" s="15">
        <v>58</v>
      </c>
      <c r="BG273" s="15">
        <v>4</v>
      </c>
      <c r="BH273" s="15">
        <v>0</v>
      </c>
      <c r="BI273" s="15"/>
      <c r="BJ273" s="15">
        <v>0</v>
      </c>
      <c r="BK273" s="15">
        <v>0</v>
      </c>
      <c r="BL273" s="15">
        <v>0</v>
      </c>
      <c r="BM273" s="15">
        <v>0</v>
      </c>
      <c r="BN273" s="15"/>
      <c r="BO273" s="15"/>
      <c r="BP273" s="15">
        <v>0</v>
      </c>
      <c r="BQ273" s="15">
        <v>41</v>
      </c>
    </row>
    <row r="274" spans="1:69">
      <c r="A274" s="16">
        <v>46046</v>
      </c>
      <c r="B274" s="15">
        <v>479</v>
      </c>
      <c r="C274" s="15" t="s">
        <v>39</v>
      </c>
      <c r="D274" s="15">
        <v>479</v>
      </c>
      <c r="E274" s="15" t="s">
        <v>39</v>
      </c>
      <c r="F274" s="15">
        <v>63</v>
      </c>
      <c r="G274" s="15">
        <v>32</v>
      </c>
      <c r="H274" s="15">
        <v>21.58</v>
      </c>
      <c r="I274" s="15">
        <v>0.50794</v>
      </c>
      <c r="J274" s="15">
        <v>0.67</v>
      </c>
      <c r="K274" s="15">
        <v>342.59</v>
      </c>
      <c r="L274" s="15">
        <v>0</v>
      </c>
      <c r="M274" s="15">
        <v>0</v>
      </c>
      <c r="N274" s="15">
        <v>0</v>
      </c>
      <c r="O274" s="15">
        <v>0</v>
      </c>
      <c r="P274" s="15">
        <v>0</v>
      </c>
      <c r="Q274" s="15">
        <v>0</v>
      </c>
      <c r="R274" s="15">
        <v>0</v>
      </c>
      <c r="S274" s="15">
        <v>2861.15</v>
      </c>
      <c r="T274" s="15">
        <v>2861.15</v>
      </c>
      <c r="U274" s="15">
        <v>7</v>
      </c>
      <c r="V274" s="15">
        <v>0</v>
      </c>
      <c r="W274" s="15">
        <v>7</v>
      </c>
      <c r="X274" s="15">
        <v>0.21875</v>
      </c>
      <c r="Y274" s="15">
        <v>132.57</v>
      </c>
      <c r="Z274" s="15">
        <v>132.57</v>
      </c>
      <c r="AA274" s="15">
        <v>3.08</v>
      </c>
      <c r="AB274" s="15">
        <v>16</v>
      </c>
      <c r="AC274" s="15">
        <v>1</v>
      </c>
      <c r="AD274" s="15">
        <v>15</v>
      </c>
      <c r="AE274" s="15">
        <v>0.5</v>
      </c>
      <c r="AF274" s="15">
        <v>2</v>
      </c>
      <c r="AG274" s="15">
        <v>6</v>
      </c>
      <c r="AH274" s="15">
        <v>3.6</v>
      </c>
      <c r="AI274" s="15">
        <v>24</v>
      </c>
      <c r="AJ274" s="15">
        <v>0.9</v>
      </c>
      <c r="AK274" s="15">
        <v>18</v>
      </c>
      <c r="AL274" s="15">
        <v>1.2</v>
      </c>
      <c r="AM274" s="15">
        <v>8</v>
      </c>
      <c r="AN274" s="15">
        <v>10.79</v>
      </c>
      <c r="AO274" s="15">
        <v>0.0625</v>
      </c>
      <c r="AP274" s="15">
        <v>1.35</v>
      </c>
      <c r="AQ274" s="15">
        <v>11</v>
      </c>
      <c r="AR274" s="15">
        <v>3937.7</v>
      </c>
      <c r="AS274" s="15">
        <v>0</v>
      </c>
      <c r="AT274" s="15">
        <v>2</v>
      </c>
      <c r="AU274" s="15">
        <v>12</v>
      </c>
      <c r="AV274" s="15">
        <v>0</v>
      </c>
      <c r="AW274" s="15">
        <v>0</v>
      </c>
      <c r="AX274" s="15">
        <v>5</v>
      </c>
      <c r="AY274" s="15">
        <v>302</v>
      </c>
      <c r="AZ274" s="15">
        <v>25</v>
      </c>
      <c r="BA274" s="15">
        <v>19</v>
      </c>
      <c r="BB274" s="15">
        <v>0.76</v>
      </c>
      <c r="BC274" s="15">
        <v>0</v>
      </c>
      <c r="BD274" s="15">
        <v>0</v>
      </c>
      <c r="BE274" s="15">
        <v>4.79365</v>
      </c>
      <c r="BF274" s="15">
        <v>268</v>
      </c>
      <c r="BG274" s="15">
        <v>12</v>
      </c>
      <c r="BH274" s="15">
        <v>3</v>
      </c>
      <c r="BI274" s="15">
        <v>1</v>
      </c>
      <c r="BJ274" s="15">
        <v>0</v>
      </c>
      <c r="BK274" s="15">
        <v>0</v>
      </c>
      <c r="BL274" s="15">
        <v>0</v>
      </c>
      <c r="BM274" s="15">
        <v>3</v>
      </c>
      <c r="BN274" s="15">
        <v>2</v>
      </c>
      <c r="BO274" s="15">
        <v>953.72</v>
      </c>
      <c r="BP274" s="15">
        <v>69.6</v>
      </c>
      <c r="BQ274" s="15">
        <v>1474</v>
      </c>
    </row>
    <row r="275" spans="1:69">
      <c r="A275" s="16">
        <v>46046</v>
      </c>
      <c r="B275" s="15">
        <v>371</v>
      </c>
      <c r="C275" s="15" t="s">
        <v>32</v>
      </c>
      <c r="D275" s="15">
        <v>371</v>
      </c>
      <c r="E275" s="15" t="s">
        <v>32</v>
      </c>
      <c r="F275" s="15">
        <v>1860</v>
      </c>
      <c r="G275" s="15">
        <v>28</v>
      </c>
      <c r="H275" s="15">
        <v>30</v>
      </c>
      <c r="I275" s="15">
        <v>0.01505</v>
      </c>
      <c r="J275" s="15">
        <v>1.07</v>
      </c>
      <c r="K275" s="15">
        <v>16.13</v>
      </c>
      <c r="L275" s="15">
        <v>0</v>
      </c>
      <c r="M275" s="15">
        <v>0</v>
      </c>
      <c r="N275" s="15">
        <v>0</v>
      </c>
      <c r="O275" s="15">
        <v>0</v>
      </c>
      <c r="P275" s="15">
        <v>0</v>
      </c>
      <c r="Q275" s="15">
        <v>0</v>
      </c>
      <c r="R275" s="15">
        <v>0</v>
      </c>
      <c r="S275" s="15">
        <v>0</v>
      </c>
      <c r="T275" s="15">
        <v>0</v>
      </c>
      <c r="U275" s="15">
        <v>0</v>
      </c>
      <c r="V275" s="15">
        <v>0</v>
      </c>
      <c r="W275" s="15">
        <v>0</v>
      </c>
      <c r="X275" s="15">
        <v>0</v>
      </c>
      <c r="Y275" s="15">
        <v>0</v>
      </c>
      <c r="Z275" s="15">
        <v>0</v>
      </c>
      <c r="AA275" s="15"/>
      <c r="AB275" s="15">
        <v>0</v>
      </c>
      <c r="AC275" s="15">
        <v>0</v>
      </c>
      <c r="AD275" s="15">
        <v>0</v>
      </c>
      <c r="AE275" s="15">
        <v>0</v>
      </c>
      <c r="AF275" s="15">
        <v>0</v>
      </c>
      <c r="AG275" s="15">
        <v>0</v>
      </c>
      <c r="AH275" s="15"/>
      <c r="AI275" s="15">
        <v>0</v>
      </c>
      <c r="AJ275" s="15"/>
      <c r="AK275" s="15">
        <v>0</v>
      </c>
      <c r="AL275" s="15"/>
      <c r="AM275" s="15">
        <v>0</v>
      </c>
      <c r="AN275" s="15"/>
      <c r="AO275" s="15">
        <v>0</v>
      </c>
      <c r="AP275" s="15"/>
      <c r="AQ275" s="15">
        <v>0</v>
      </c>
      <c r="AR275" s="15">
        <v>0</v>
      </c>
      <c r="AS275" s="15">
        <v>0</v>
      </c>
      <c r="AT275" s="15">
        <v>0</v>
      </c>
      <c r="AU275" s="15">
        <v>0</v>
      </c>
      <c r="AV275" s="15">
        <v>0</v>
      </c>
      <c r="AW275" s="15">
        <v>0</v>
      </c>
      <c r="AX275" s="15">
        <v>0</v>
      </c>
      <c r="AY275" s="15">
        <v>40</v>
      </c>
      <c r="AZ275" s="15">
        <v>27</v>
      </c>
      <c r="BA275" s="15">
        <v>25</v>
      </c>
      <c r="BB275" s="15">
        <v>0.92593</v>
      </c>
      <c r="BC275" s="15">
        <v>0</v>
      </c>
      <c r="BD275" s="15">
        <v>0</v>
      </c>
      <c r="BE275" s="15">
        <v>0.02151</v>
      </c>
      <c r="BF275" s="15">
        <v>7</v>
      </c>
      <c r="BG275" s="15">
        <v>1</v>
      </c>
      <c r="BH275" s="15">
        <v>0</v>
      </c>
      <c r="BI275" s="15"/>
      <c r="BJ275" s="15">
        <v>0</v>
      </c>
      <c r="BK275" s="15">
        <v>0</v>
      </c>
      <c r="BL275" s="15">
        <v>0</v>
      </c>
      <c r="BM275" s="15">
        <v>0</v>
      </c>
      <c r="BN275" s="15"/>
      <c r="BO275" s="15"/>
      <c r="BP275" s="15">
        <v>0</v>
      </c>
      <c r="BQ275" s="15">
        <v>1</v>
      </c>
    </row>
    <row r="276" spans="1:69">
      <c r="A276" s="16">
        <v>46046</v>
      </c>
      <c r="B276" s="15">
        <v>183</v>
      </c>
      <c r="C276" s="15" t="s">
        <v>40</v>
      </c>
      <c r="D276" s="15">
        <v>183</v>
      </c>
      <c r="E276" s="15" t="s">
        <v>40</v>
      </c>
      <c r="F276" s="15">
        <v>807</v>
      </c>
      <c r="G276" s="15">
        <v>45</v>
      </c>
      <c r="H276" s="15">
        <v>100</v>
      </c>
      <c r="I276" s="15">
        <v>0.05576</v>
      </c>
      <c r="J276" s="15">
        <v>2.22</v>
      </c>
      <c r="K276" s="15">
        <v>123.92</v>
      </c>
      <c r="L276" s="15">
        <v>0</v>
      </c>
      <c r="M276" s="15">
        <v>0</v>
      </c>
      <c r="N276" s="15">
        <v>0</v>
      </c>
      <c r="O276" s="15">
        <v>0</v>
      </c>
      <c r="P276" s="15">
        <v>0</v>
      </c>
      <c r="Q276" s="15">
        <v>0</v>
      </c>
      <c r="R276" s="15">
        <v>0</v>
      </c>
      <c r="S276" s="15">
        <v>830.32</v>
      </c>
      <c r="T276" s="15">
        <v>830.32</v>
      </c>
      <c r="U276" s="15">
        <v>2</v>
      </c>
      <c r="V276" s="15">
        <v>0</v>
      </c>
      <c r="W276" s="15">
        <v>2</v>
      </c>
      <c r="X276" s="15">
        <v>0.04444</v>
      </c>
      <c r="Y276" s="15">
        <v>8.3</v>
      </c>
      <c r="Z276" s="15">
        <v>8.3</v>
      </c>
      <c r="AA276" s="15">
        <v>50</v>
      </c>
      <c r="AB276" s="15">
        <v>15</v>
      </c>
      <c r="AC276" s="15">
        <v>5</v>
      </c>
      <c r="AD276" s="15">
        <v>10</v>
      </c>
      <c r="AE276" s="15">
        <v>0.33333</v>
      </c>
      <c r="AF276" s="15">
        <v>2</v>
      </c>
      <c r="AG276" s="15">
        <v>0</v>
      </c>
      <c r="AH276" s="15"/>
      <c r="AI276" s="15">
        <v>17</v>
      </c>
      <c r="AJ276" s="15">
        <v>5.88</v>
      </c>
      <c r="AK276" s="15">
        <v>17</v>
      </c>
      <c r="AL276" s="15">
        <v>5.88</v>
      </c>
      <c r="AM276" s="15">
        <v>2</v>
      </c>
      <c r="AN276" s="15">
        <v>50</v>
      </c>
      <c r="AO276" s="15">
        <v>0.04444</v>
      </c>
      <c r="AP276" s="15">
        <v>6.67</v>
      </c>
      <c r="AQ276" s="15">
        <v>4</v>
      </c>
      <c r="AR276" s="15">
        <v>1213</v>
      </c>
      <c r="AS276" s="15">
        <v>2</v>
      </c>
      <c r="AT276" s="15">
        <v>0</v>
      </c>
      <c r="AU276" s="15">
        <v>9</v>
      </c>
      <c r="AV276" s="15">
        <v>0</v>
      </c>
      <c r="AW276" s="15">
        <v>0</v>
      </c>
      <c r="AX276" s="15">
        <v>1</v>
      </c>
      <c r="AY276" s="15">
        <v>498</v>
      </c>
      <c r="AZ276" s="15">
        <v>108</v>
      </c>
      <c r="BA276" s="15">
        <v>85</v>
      </c>
      <c r="BB276" s="15">
        <v>0.78704</v>
      </c>
      <c r="BC276" s="15">
        <v>0</v>
      </c>
      <c r="BD276" s="15">
        <v>0</v>
      </c>
      <c r="BE276" s="15">
        <v>0.6171</v>
      </c>
      <c r="BF276" s="15">
        <v>317</v>
      </c>
      <c r="BG276" s="15">
        <v>5</v>
      </c>
      <c r="BH276" s="15">
        <v>1</v>
      </c>
      <c r="BI276" s="15">
        <v>0.5</v>
      </c>
      <c r="BJ276" s="15">
        <v>0</v>
      </c>
      <c r="BK276" s="15">
        <v>0</v>
      </c>
      <c r="BL276" s="15">
        <v>0</v>
      </c>
      <c r="BM276" s="15">
        <v>2</v>
      </c>
      <c r="BN276" s="15">
        <v>1</v>
      </c>
      <c r="BO276" s="15">
        <v>415.16</v>
      </c>
      <c r="BP276" s="15">
        <v>2.85</v>
      </c>
      <c r="BQ276" s="15">
        <v>1467</v>
      </c>
    </row>
    <row r="277" spans="1:69">
      <c r="A277" s="16">
        <v>46046</v>
      </c>
      <c r="B277" s="15">
        <v>372</v>
      </c>
      <c r="C277" s="15" t="s">
        <v>37</v>
      </c>
      <c r="D277" s="15">
        <v>372</v>
      </c>
      <c r="E277" s="15" t="s">
        <v>61</v>
      </c>
      <c r="F277" s="15">
        <v>582</v>
      </c>
      <c r="G277" s="15">
        <v>28</v>
      </c>
      <c r="H277" s="15">
        <v>69.73</v>
      </c>
      <c r="I277" s="15">
        <v>0.04811</v>
      </c>
      <c r="J277" s="15">
        <v>2.49</v>
      </c>
      <c r="K277" s="15">
        <v>119.81</v>
      </c>
      <c r="L277" s="15">
        <v>0</v>
      </c>
      <c r="M277" s="15">
        <v>0</v>
      </c>
      <c r="N277" s="15">
        <v>0</v>
      </c>
      <c r="O277" s="15">
        <v>0</v>
      </c>
      <c r="P277" s="15">
        <v>0</v>
      </c>
      <c r="Q277" s="15">
        <v>0</v>
      </c>
      <c r="R277" s="15">
        <v>0</v>
      </c>
      <c r="S277" s="15">
        <v>117.74</v>
      </c>
      <c r="T277" s="15">
        <v>117.74</v>
      </c>
      <c r="U277" s="15">
        <v>4</v>
      </c>
      <c r="V277" s="15">
        <v>0</v>
      </c>
      <c r="W277" s="15">
        <v>4</v>
      </c>
      <c r="X277" s="15">
        <v>0.14286</v>
      </c>
      <c r="Y277" s="15">
        <v>1.69</v>
      </c>
      <c r="Z277" s="15">
        <v>1.69</v>
      </c>
      <c r="AA277" s="15">
        <v>17.43</v>
      </c>
      <c r="AB277" s="15">
        <v>5</v>
      </c>
      <c r="AC277" s="15">
        <v>0</v>
      </c>
      <c r="AD277" s="15">
        <v>5</v>
      </c>
      <c r="AE277" s="15">
        <v>0.17857</v>
      </c>
      <c r="AF277" s="15">
        <v>0</v>
      </c>
      <c r="AG277" s="15">
        <v>0</v>
      </c>
      <c r="AH277" s="15"/>
      <c r="AI277" s="15">
        <v>5</v>
      </c>
      <c r="AJ277" s="15">
        <v>13.95</v>
      </c>
      <c r="AK277" s="15">
        <v>5</v>
      </c>
      <c r="AL277" s="15">
        <v>13.95</v>
      </c>
      <c r="AM277" s="15">
        <v>0</v>
      </c>
      <c r="AN277" s="15"/>
      <c r="AO277" s="15">
        <v>0</v>
      </c>
      <c r="AP277" s="15">
        <v>13.95</v>
      </c>
      <c r="AQ277" s="15">
        <v>6</v>
      </c>
      <c r="AR277" s="15">
        <v>299.4</v>
      </c>
      <c r="AS277" s="15">
        <v>0</v>
      </c>
      <c r="AT277" s="15">
        <v>0</v>
      </c>
      <c r="AU277" s="15">
        <v>2</v>
      </c>
      <c r="AV277" s="15">
        <v>0</v>
      </c>
      <c r="AW277" s="15">
        <v>0</v>
      </c>
      <c r="AX277" s="15">
        <v>0</v>
      </c>
      <c r="AY277" s="15">
        <v>104</v>
      </c>
      <c r="AZ277" s="15">
        <v>25</v>
      </c>
      <c r="BA277" s="15">
        <v>14</v>
      </c>
      <c r="BB277" s="15">
        <v>0.56</v>
      </c>
      <c r="BC277" s="15">
        <v>0</v>
      </c>
      <c r="BD277" s="15">
        <v>0</v>
      </c>
      <c r="BE277" s="15">
        <v>0.17869</v>
      </c>
      <c r="BF277" s="15">
        <v>69</v>
      </c>
      <c r="BG277" s="15">
        <v>4</v>
      </c>
      <c r="BH277" s="15">
        <v>1</v>
      </c>
      <c r="BI277" s="15">
        <v>1</v>
      </c>
      <c r="BJ277" s="15">
        <v>0</v>
      </c>
      <c r="BK277" s="15">
        <v>0</v>
      </c>
      <c r="BL277" s="15">
        <v>0</v>
      </c>
      <c r="BM277" s="15">
        <v>1</v>
      </c>
      <c r="BN277" s="15">
        <v>4</v>
      </c>
      <c r="BO277" s="15">
        <v>117.74</v>
      </c>
      <c r="BP277" s="15">
        <v>0.06</v>
      </c>
      <c r="BQ277" s="15">
        <v>94</v>
      </c>
    </row>
    <row r="278" spans="1:69">
      <c r="A278" s="16">
        <v>46045</v>
      </c>
      <c r="B278" s="15">
        <v>371</v>
      </c>
      <c r="C278" s="15" t="s">
        <v>32</v>
      </c>
      <c r="D278" s="15">
        <v>371</v>
      </c>
      <c r="E278" s="15" t="s">
        <v>32</v>
      </c>
      <c r="F278" s="15">
        <v>2179</v>
      </c>
      <c r="G278" s="15">
        <v>27</v>
      </c>
      <c r="H278" s="15">
        <v>30</v>
      </c>
      <c r="I278" s="15">
        <v>0.01239</v>
      </c>
      <c r="J278" s="15">
        <v>1.11</v>
      </c>
      <c r="K278" s="15">
        <v>13.77</v>
      </c>
      <c r="L278" s="15">
        <v>0</v>
      </c>
      <c r="M278" s="15">
        <v>0</v>
      </c>
      <c r="N278" s="15">
        <v>0</v>
      </c>
      <c r="O278" s="15">
        <v>0</v>
      </c>
      <c r="P278" s="15">
        <v>0</v>
      </c>
      <c r="Q278" s="15">
        <v>0</v>
      </c>
      <c r="R278" s="15">
        <v>0</v>
      </c>
      <c r="S278" s="15">
        <v>0</v>
      </c>
      <c r="T278" s="15">
        <v>0</v>
      </c>
      <c r="U278" s="15">
        <v>0</v>
      </c>
      <c r="V278" s="15">
        <v>0</v>
      </c>
      <c r="W278" s="15">
        <v>0</v>
      </c>
      <c r="X278" s="15">
        <v>0</v>
      </c>
      <c r="Y278" s="15">
        <v>0</v>
      </c>
      <c r="Z278" s="15">
        <v>0</v>
      </c>
      <c r="AA278" s="15"/>
      <c r="AB278" s="15">
        <v>0</v>
      </c>
      <c r="AC278" s="15">
        <v>0</v>
      </c>
      <c r="AD278" s="15">
        <v>0</v>
      </c>
      <c r="AE278" s="15">
        <v>0</v>
      </c>
      <c r="AF278" s="15">
        <v>1</v>
      </c>
      <c r="AG278" s="15">
        <v>0</v>
      </c>
      <c r="AH278" s="15"/>
      <c r="AI278" s="15">
        <v>1</v>
      </c>
      <c r="AJ278" s="15">
        <v>30</v>
      </c>
      <c r="AK278" s="15">
        <v>1</v>
      </c>
      <c r="AL278" s="15">
        <v>30</v>
      </c>
      <c r="AM278" s="15">
        <v>1</v>
      </c>
      <c r="AN278" s="15">
        <v>30</v>
      </c>
      <c r="AO278" s="15">
        <v>0.03704</v>
      </c>
      <c r="AP278" s="15"/>
      <c r="AQ278" s="15">
        <v>0</v>
      </c>
      <c r="AR278" s="15">
        <v>0</v>
      </c>
      <c r="AS278" s="15">
        <v>1</v>
      </c>
      <c r="AT278" s="15">
        <v>0</v>
      </c>
      <c r="AU278" s="15">
        <v>2</v>
      </c>
      <c r="AV278" s="15">
        <v>0</v>
      </c>
      <c r="AW278" s="15">
        <v>0</v>
      </c>
      <c r="AX278" s="15">
        <v>0</v>
      </c>
      <c r="AY278" s="15">
        <v>36</v>
      </c>
      <c r="AZ278" s="15">
        <v>30</v>
      </c>
      <c r="BA278" s="15">
        <v>30</v>
      </c>
      <c r="BB278" s="15">
        <v>1</v>
      </c>
      <c r="BC278" s="15">
        <v>0</v>
      </c>
      <c r="BD278" s="15">
        <v>0</v>
      </c>
      <c r="BE278" s="15">
        <v>0.01652</v>
      </c>
      <c r="BF278" s="15">
        <v>3</v>
      </c>
      <c r="BG278" s="15">
        <v>1</v>
      </c>
      <c r="BH278" s="15">
        <v>0</v>
      </c>
      <c r="BI278" s="15"/>
      <c r="BJ278" s="15">
        <v>0</v>
      </c>
      <c r="BK278" s="15">
        <v>0</v>
      </c>
      <c r="BL278" s="15">
        <v>0</v>
      </c>
      <c r="BM278" s="15">
        <v>0</v>
      </c>
      <c r="BN278" s="15"/>
      <c r="BO278" s="15"/>
      <c r="BP278" s="15">
        <v>0</v>
      </c>
      <c r="BQ278" s="15">
        <v>72</v>
      </c>
    </row>
    <row r="279" spans="1:69">
      <c r="A279" s="16">
        <v>46045</v>
      </c>
      <c r="B279" s="15">
        <v>436</v>
      </c>
      <c r="C279" s="15" t="s">
        <v>38</v>
      </c>
      <c r="D279" s="15">
        <v>436</v>
      </c>
      <c r="E279" s="15" t="s">
        <v>38</v>
      </c>
      <c r="F279" s="15">
        <v>642</v>
      </c>
      <c r="G279" s="15">
        <v>34</v>
      </c>
      <c r="H279" s="15">
        <v>66.02</v>
      </c>
      <c r="I279" s="15">
        <v>0.05296</v>
      </c>
      <c r="J279" s="15">
        <v>1.94</v>
      </c>
      <c r="K279" s="15">
        <v>102.83</v>
      </c>
      <c r="L279" s="15">
        <v>0</v>
      </c>
      <c r="M279" s="15">
        <v>0</v>
      </c>
      <c r="N279" s="15">
        <v>0</v>
      </c>
      <c r="O279" s="15">
        <v>0</v>
      </c>
      <c r="P279" s="15">
        <v>0</v>
      </c>
      <c r="Q279" s="15">
        <v>0</v>
      </c>
      <c r="R279" s="15">
        <v>1963.32</v>
      </c>
      <c r="S279" s="15">
        <v>42.4</v>
      </c>
      <c r="T279" s="15">
        <v>2005.72</v>
      </c>
      <c r="U279" s="15">
        <v>3</v>
      </c>
      <c r="V279" s="15">
        <v>2</v>
      </c>
      <c r="W279" s="15">
        <v>1</v>
      </c>
      <c r="X279" s="15">
        <v>0.08824</v>
      </c>
      <c r="Y279" s="15">
        <v>30.38</v>
      </c>
      <c r="Z279" s="15">
        <v>30.38</v>
      </c>
      <c r="AA279" s="15">
        <v>22.01</v>
      </c>
      <c r="AB279" s="15">
        <v>10</v>
      </c>
      <c r="AC279" s="15">
        <v>4</v>
      </c>
      <c r="AD279" s="15">
        <v>6</v>
      </c>
      <c r="AE279" s="15">
        <v>0.29412</v>
      </c>
      <c r="AF279" s="15">
        <v>1</v>
      </c>
      <c r="AG279" s="15">
        <v>1</v>
      </c>
      <c r="AH279" s="15">
        <v>66.02</v>
      </c>
      <c r="AI279" s="15">
        <v>12</v>
      </c>
      <c r="AJ279" s="15">
        <v>5.5</v>
      </c>
      <c r="AK279" s="15">
        <v>11</v>
      </c>
      <c r="AL279" s="15">
        <v>6</v>
      </c>
      <c r="AM279" s="15">
        <v>2</v>
      </c>
      <c r="AN279" s="15">
        <v>66.02</v>
      </c>
      <c r="AO279" s="15">
        <v>0.02941</v>
      </c>
      <c r="AP279" s="15">
        <v>6.6</v>
      </c>
      <c r="AQ279" s="15">
        <v>5</v>
      </c>
      <c r="AR279" s="15">
        <v>2480.9</v>
      </c>
      <c r="AS279" s="15">
        <v>0</v>
      </c>
      <c r="AT279" s="15">
        <v>1</v>
      </c>
      <c r="AU279" s="15">
        <v>9</v>
      </c>
      <c r="AV279" s="15">
        <v>0</v>
      </c>
      <c r="AW279" s="15">
        <v>0</v>
      </c>
      <c r="AX279" s="15">
        <v>2</v>
      </c>
      <c r="AY279" s="15">
        <v>142</v>
      </c>
      <c r="AZ279" s="15">
        <v>30</v>
      </c>
      <c r="BA279" s="15">
        <v>24</v>
      </c>
      <c r="BB279" s="15">
        <v>0.8</v>
      </c>
      <c r="BC279" s="15">
        <v>0</v>
      </c>
      <c r="BD279" s="15">
        <v>0</v>
      </c>
      <c r="BE279" s="15">
        <v>0.22118</v>
      </c>
      <c r="BF279" s="15">
        <v>104</v>
      </c>
      <c r="BG279" s="15">
        <v>5</v>
      </c>
      <c r="BH279" s="15">
        <v>2</v>
      </c>
      <c r="BI279" s="15">
        <v>1</v>
      </c>
      <c r="BJ279" s="15">
        <v>0</v>
      </c>
      <c r="BK279" s="15">
        <v>0</v>
      </c>
      <c r="BL279" s="15">
        <v>0</v>
      </c>
      <c r="BM279" s="15">
        <v>2</v>
      </c>
      <c r="BN279" s="15">
        <v>2</v>
      </c>
      <c r="BO279" s="15">
        <v>1002.86</v>
      </c>
      <c r="BP279" s="15">
        <v>3.02</v>
      </c>
      <c r="BQ279" s="15">
        <v>761</v>
      </c>
    </row>
    <row r="280" spans="1:69">
      <c r="A280" s="16">
        <v>46045</v>
      </c>
      <c r="B280" s="15">
        <v>479</v>
      </c>
      <c r="C280" s="15" t="s">
        <v>39</v>
      </c>
      <c r="D280" s="15">
        <v>479</v>
      </c>
      <c r="E280" s="15" t="s">
        <v>39</v>
      </c>
      <c r="F280" s="15">
        <v>97</v>
      </c>
      <c r="G280" s="15">
        <v>41</v>
      </c>
      <c r="H280" s="15">
        <v>29.33</v>
      </c>
      <c r="I280" s="15">
        <v>0.42268</v>
      </c>
      <c r="J280" s="15">
        <v>0.72</v>
      </c>
      <c r="K280" s="15">
        <v>302.33</v>
      </c>
      <c r="L280" s="15">
        <v>0</v>
      </c>
      <c r="M280" s="15">
        <v>0</v>
      </c>
      <c r="N280" s="15">
        <v>0</v>
      </c>
      <c r="O280" s="15">
        <v>0</v>
      </c>
      <c r="P280" s="15">
        <v>0</v>
      </c>
      <c r="Q280" s="15">
        <v>0</v>
      </c>
      <c r="R280" s="15">
        <v>0</v>
      </c>
      <c r="S280" s="15">
        <v>218</v>
      </c>
      <c r="T280" s="15">
        <v>218</v>
      </c>
      <c r="U280" s="15">
        <v>1</v>
      </c>
      <c r="V280" s="15">
        <v>0</v>
      </c>
      <c r="W280" s="15">
        <v>1</v>
      </c>
      <c r="X280" s="15">
        <v>0.02439</v>
      </c>
      <c r="Y280" s="15">
        <v>7.43</v>
      </c>
      <c r="Z280" s="15">
        <v>7.43</v>
      </c>
      <c r="AA280" s="15">
        <v>29.33</v>
      </c>
      <c r="AB280" s="15">
        <v>5</v>
      </c>
      <c r="AC280" s="15">
        <v>0</v>
      </c>
      <c r="AD280" s="15">
        <v>5</v>
      </c>
      <c r="AE280" s="15">
        <v>0.12195</v>
      </c>
      <c r="AF280" s="15">
        <v>1</v>
      </c>
      <c r="AG280" s="15">
        <v>2</v>
      </c>
      <c r="AH280" s="15">
        <v>14.66</v>
      </c>
      <c r="AI280" s="15">
        <v>8</v>
      </c>
      <c r="AJ280" s="15">
        <v>3.67</v>
      </c>
      <c r="AK280" s="15">
        <v>6</v>
      </c>
      <c r="AL280" s="15">
        <v>4.89</v>
      </c>
      <c r="AM280" s="15">
        <v>3</v>
      </c>
      <c r="AN280" s="15">
        <v>29.33</v>
      </c>
      <c r="AO280" s="15">
        <v>0.02439</v>
      </c>
      <c r="AP280" s="15">
        <v>5.87</v>
      </c>
      <c r="AQ280" s="15">
        <v>2</v>
      </c>
      <c r="AR280" s="15">
        <v>399</v>
      </c>
      <c r="AS280" s="15">
        <v>0</v>
      </c>
      <c r="AT280" s="15">
        <v>1</v>
      </c>
      <c r="AU280" s="15">
        <v>4</v>
      </c>
      <c r="AV280" s="15">
        <v>0</v>
      </c>
      <c r="AW280" s="15">
        <v>0</v>
      </c>
      <c r="AX280" s="15">
        <v>0</v>
      </c>
      <c r="AY280" s="15">
        <v>381</v>
      </c>
      <c r="AZ280" s="15">
        <v>34</v>
      </c>
      <c r="BA280" s="15">
        <v>26</v>
      </c>
      <c r="BB280" s="15">
        <v>0.76471</v>
      </c>
      <c r="BC280" s="15">
        <v>0</v>
      </c>
      <c r="BD280" s="15">
        <v>0</v>
      </c>
      <c r="BE280" s="15">
        <v>3.92784</v>
      </c>
      <c r="BF280" s="15">
        <v>339</v>
      </c>
      <c r="BG280" s="15">
        <v>11</v>
      </c>
      <c r="BH280" s="15">
        <v>1</v>
      </c>
      <c r="BI280" s="15">
        <v>1</v>
      </c>
      <c r="BJ280" s="15">
        <v>0</v>
      </c>
      <c r="BK280" s="15">
        <v>0</v>
      </c>
      <c r="BL280" s="15">
        <v>0</v>
      </c>
      <c r="BM280" s="15">
        <v>1</v>
      </c>
      <c r="BN280" s="15">
        <v>1</v>
      </c>
      <c r="BO280" s="15">
        <v>218</v>
      </c>
      <c r="BP280" s="15">
        <v>2.91</v>
      </c>
      <c r="BQ280" s="15">
        <v>245</v>
      </c>
    </row>
    <row r="281" spans="1:69">
      <c r="A281" s="16">
        <v>46045</v>
      </c>
      <c r="B281" s="15">
        <v>372</v>
      </c>
      <c r="C281" s="15" t="s">
        <v>37</v>
      </c>
      <c r="D281" s="15">
        <v>372</v>
      </c>
      <c r="E281" s="15" t="s">
        <v>61</v>
      </c>
      <c r="F281" s="15">
        <v>906</v>
      </c>
      <c r="G281" s="15">
        <v>31</v>
      </c>
      <c r="H281" s="15">
        <v>65.73</v>
      </c>
      <c r="I281" s="15">
        <v>0.03422</v>
      </c>
      <c r="J281" s="15">
        <v>2.12</v>
      </c>
      <c r="K281" s="15">
        <v>72.55</v>
      </c>
      <c r="L281" s="15">
        <v>0</v>
      </c>
      <c r="M281" s="15">
        <v>0</v>
      </c>
      <c r="N281" s="15">
        <v>0</v>
      </c>
      <c r="O281" s="15">
        <v>0</v>
      </c>
      <c r="P281" s="15">
        <v>0</v>
      </c>
      <c r="Q281" s="15">
        <v>0</v>
      </c>
      <c r="R281" s="15">
        <v>0</v>
      </c>
      <c r="S281" s="15">
        <v>0</v>
      </c>
      <c r="T281" s="15">
        <v>0</v>
      </c>
      <c r="U281" s="15">
        <v>0</v>
      </c>
      <c r="V281" s="15">
        <v>0</v>
      </c>
      <c r="W281" s="15">
        <v>0</v>
      </c>
      <c r="X281" s="15">
        <v>0</v>
      </c>
      <c r="Y281" s="15">
        <v>0</v>
      </c>
      <c r="Z281" s="15">
        <v>0</v>
      </c>
      <c r="AA281" s="15"/>
      <c r="AB281" s="15">
        <v>0</v>
      </c>
      <c r="AC281" s="15">
        <v>0</v>
      </c>
      <c r="AD281" s="15">
        <v>0</v>
      </c>
      <c r="AE281" s="15">
        <v>0</v>
      </c>
      <c r="AF281" s="15">
        <v>0</v>
      </c>
      <c r="AG281" s="15">
        <v>0</v>
      </c>
      <c r="AH281" s="15"/>
      <c r="AI281" s="15">
        <v>0</v>
      </c>
      <c r="AJ281" s="15"/>
      <c r="AK281" s="15">
        <v>0</v>
      </c>
      <c r="AL281" s="15"/>
      <c r="AM281" s="15">
        <v>0</v>
      </c>
      <c r="AN281" s="15"/>
      <c r="AO281" s="15">
        <v>0</v>
      </c>
      <c r="AP281" s="15"/>
      <c r="AQ281" s="15">
        <v>0</v>
      </c>
      <c r="AR281" s="15">
        <v>0</v>
      </c>
      <c r="AS281" s="15">
        <v>0</v>
      </c>
      <c r="AT281" s="15">
        <v>0</v>
      </c>
      <c r="AU281" s="15">
        <v>2</v>
      </c>
      <c r="AV281" s="15">
        <v>0</v>
      </c>
      <c r="AW281" s="15">
        <v>0</v>
      </c>
      <c r="AX281" s="15">
        <v>1</v>
      </c>
      <c r="AY281" s="15">
        <v>96</v>
      </c>
      <c r="AZ281" s="15">
        <v>29</v>
      </c>
      <c r="BA281" s="15">
        <v>23</v>
      </c>
      <c r="BB281" s="15">
        <v>0.7931</v>
      </c>
      <c r="BC281" s="15">
        <v>0</v>
      </c>
      <c r="BD281" s="15">
        <v>0</v>
      </c>
      <c r="BE281" s="15">
        <v>0.10596</v>
      </c>
      <c r="BF281" s="15">
        <v>60</v>
      </c>
      <c r="BG281" s="15">
        <v>3</v>
      </c>
      <c r="BH281" s="15">
        <v>0</v>
      </c>
      <c r="BI281" s="15"/>
      <c r="BJ281" s="15">
        <v>0</v>
      </c>
      <c r="BK281" s="15">
        <v>0</v>
      </c>
      <c r="BL281" s="15">
        <v>0</v>
      </c>
      <c r="BM281" s="15">
        <v>0</v>
      </c>
      <c r="BN281" s="15"/>
      <c r="BO281" s="15"/>
      <c r="BP281" s="15">
        <v>0</v>
      </c>
      <c r="BQ281" s="15">
        <v>23</v>
      </c>
    </row>
    <row r="282" spans="1:69">
      <c r="A282" s="16">
        <v>46045</v>
      </c>
      <c r="B282" s="15">
        <v>183</v>
      </c>
      <c r="C282" s="15" t="s">
        <v>40</v>
      </c>
      <c r="D282" s="15">
        <v>183</v>
      </c>
      <c r="E282" s="15" t="s">
        <v>40</v>
      </c>
      <c r="F282" s="15">
        <v>928</v>
      </c>
      <c r="G282" s="15">
        <v>47</v>
      </c>
      <c r="H282" s="15">
        <v>100</v>
      </c>
      <c r="I282" s="15">
        <v>0.05065</v>
      </c>
      <c r="J282" s="15">
        <v>2.13</v>
      </c>
      <c r="K282" s="15">
        <v>107.76</v>
      </c>
      <c r="L282" s="15">
        <v>0</v>
      </c>
      <c r="M282" s="15">
        <v>0</v>
      </c>
      <c r="N282" s="15">
        <v>0</v>
      </c>
      <c r="O282" s="15">
        <v>0</v>
      </c>
      <c r="P282" s="15">
        <v>0</v>
      </c>
      <c r="Q282" s="15">
        <v>0</v>
      </c>
      <c r="R282" s="15">
        <v>1175.04</v>
      </c>
      <c r="S282" s="15">
        <v>74.1</v>
      </c>
      <c r="T282" s="15">
        <v>1249.14</v>
      </c>
      <c r="U282" s="15">
        <v>2</v>
      </c>
      <c r="V282" s="15">
        <v>1</v>
      </c>
      <c r="W282" s="15">
        <v>1</v>
      </c>
      <c r="X282" s="15">
        <v>0.04255</v>
      </c>
      <c r="Y282" s="15">
        <v>12.49</v>
      </c>
      <c r="Z282" s="15">
        <v>12.49</v>
      </c>
      <c r="AA282" s="15">
        <v>50</v>
      </c>
      <c r="AB282" s="15">
        <v>4</v>
      </c>
      <c r="AC282" s="15">
        <v>2</v>
      </c>
      <c r="AD282" s="15">
        <v>2</v>
      </c>
      <c r="AE282" s="15">
        <v>0.08511</v>
      </c>
      <c r="AF282" s="15">
        <v>6</v>
      </c>
      <c r="AG282" s="15">
        <v>0</v>
      </c>
      <c r="AH282" s="15"/>
      <c r="AI282" s="15">
        <v>10</v>
      </c>
      <c r="AJ282" s="15">
        <v>10</v>
      </c>
      <c r="AK282" s="15">
        <v>10</v>
      </c>
      <c r="AL282" s="15">
        <v>10</v>
      </c>
      <c r="AM282" s="15">
        <v>6</v>
      </c>
      <c r="AN282" s="15">
        <v>16.67</v>
      </c>
      <c r="AO282" s="15">
        <v>0.12766</v>
      </c>
      <c r="AP282" s="15">
        <v>25</v>
      </c>
      <c r="AQ282" s="15">
        <v>4</v>
      </c>
      <c r="AR282" s="15">
        <v>1633.9</v>
      </c>
      <c r="AS282" s="15">
        <v>2</v>
      </c>
      <c r="AT282" s="15">
        <v>4</v>
      </c>
      <c r="AU282" s="15">
        <v>15</v>
      </c>
      <c r="AV282" s="15">
        <v>0</v>
      </c>
      <c r="AW282" s="15">
        <v>0</v>
      </c>
      <c r="AX282" s="15">
        <v>3</v>
      </c>
      <c r="AY282" s="15">
        <v>306</v>
      </c>
      <c r="AZ282" s="15">
        <v>104</v>
      </c>
      <c r="BA282" s="15">
        <v>87</v>
      </c>
      <c r="BB282" s="15">
        <v>0.83654</v>
      </c>
      <c r="BC282" s="15">
        <v>0</v>
      </c>
      <c r="BD282" s="15">
        <v>0</v>
      </c>
      <c r="BE282" s="15">
        <v>0.32974</v>
      </c>
      <c r="BF282" s="15">
        <v>150</v>
      </c>
      <c r="BG282" s="15">
        <v>3</v>
      </c>
      <c r="BH282" s="15">
        <v>2</v>
      </c>
      <c r="BI282" s="15">
        <v>1</v>
      </c>
      <c r="BJ282" s="15">
        <v>0</v>
      </c>
      <c r="BK282" s="15">
        <v>0</v>
      </c>
      <c r="BL282" s="15">
        <v>0</v>
      </c>
      <c r="BM282" s="15">
        <v>2</v>
      </c>
      <c r="BN282" s="15">
        <v>1</v>
      </c>
      <c r="BO282" s="15">
        <v>624.57</v>
      </c>
      <c r="BP282" s="15">
        <v>2.79</v>
      </c>
      <c r="BQ282" s="15">
        <v>826</v>
      </c>
    </row>
    <row r="283" spans="1:69">
      <c r="A283" s="16">
        <v>46044</v>
      </c>
      <c r="B283" s="15">
        <v>479</v>
      </c>
      <c r="C283" s="15" t="s">
        <v>39</v>
      </c>
      <c r="D283" s="15">
        <v>479</v>
      </c>
      <c r="E283" s="15" t="s">
        <v>39</v>
      </c>
      <c r="F283" s="15">
        <v>67</v>
      </c>
      <c r="G283" s="15">
        <v>29</v>
      </c>
      <c r="H283" s="15">
        <v>21.45</v>
      </c>
      <c r="I283" s="15">
        <v>0.43284</v>
      </c>
      <c r="J283" s="15">
        <v>0.74</v>
      </c>
      <c r="K283" s="15">
        <v>320.15</v>
      </c>
      <c r="L283" s="15">
        <v>0</v>
      </c>
      <c r="M283" s="15">
        <v>0</v>
      </c>
      <c r="N283" s="15">
        <v>0</v>
      </c>
      <c r="O283" s="15">
        <v>0</v>
      </c>
      <c r="P283" s="15">
        <v>0</v>
      </c>
      <c r="Q283" s="15">
        <v>0</v>
      </c>
      <c r="R283" s="15">
        <v>0</v>
      </c>
      <c r="S283" s="15">
        <v>0</v>
      </c>
      <c r="T283" s="15">
        <v>0</v>
      </c>
      <c r="U283" s="15">
        <v>0</v>
      </c>
      <c r="V283" s="15">
        <v>0</v>
      </c>
      <c r="W283" s="15">
        <v>0</v>
      </c>
      <c r="X283" s="15">
        <v>0</v>
      </c>
      <c r="Y283" s="15">
        <v>0</v>
      </c>
      <c r="Z283" s="15">
        <v>0</v>
      </c>
      <c r="AA283" s="15"/>
      <c r="AB283" s="15">
        <v>2</v>
      </c>
      <c r="AC283" s="15">
        <v>0</v>
      </c>
      <c r="AD283" s="15">
        <v>2</v>
      </c>
      <c r="AE283" s="15">
        <v>0.06897</v>
      </c>
      <c r="AF283" s="15">
        <v>3</v>
      </c>
      <c r="AG283" s="15">
        <v>0</v>
      </c>
      <c r="AH283" s="15"/>
      <c r="AI283" s="15">
        <v>5</v>
      </c>
      <c r="AJ283" s="15">
        <v>4.29</v>
      </c>
      <c r="AK283" s="15">
        <v>5</v>
      </c>
      <c r="AL283" s="15">
        <v>4.29</v>
      </c>
      <c r="AM283" s="15">
        <v>3</v>
      </c>
      <c r="AN283" s="15">
        <v>7.15</v>
      </c>
      <c r="AO283" s="15">
        <v>0.10345</v>
      </c>
      <c r="AP283" s="15">
        <v>10.73</v>
      </c>
      <c r="AQ283" s="15">
        <v>0</v>
      </c>
      <c r="AR283" s="15">
        <v>0</v>
      </c>
      <c r="AS283" s="15">
        <v>0</v>
      </c>
      <c r="AT283" s="15">
        <v>3</v>
      </c>
      <c r="AU283" s="15">
        <v>1</v>
      </c>
      <c r="AV283" s="15">
        <v>0</v>
      </c>
      <c r="AW283" s="15">
        <v>0</v>
      </c>
      <c r="AX283" s="15">
        <v>0</v>
      </c>
      <c r="AY283" s="15">
        <v>220</v>
      </c>
      <c r="AZ283" s="15">
        <v>22</v>
      </c>
      <c r="BA283" s="15">
        <v>12</v>
      </c>
      <c r="BB283" s="15">
        <v>0.54545</v>
      </c>
      <c r="BC283" s="15">
        <v>0</v>
      </c>
      <c r="BD283" s="15">
        <v>0</v>
      </c>
      <c r="BE283" s="15">
        <v>3.28358</v>
      </c>
      <c r="BF283" s="15">
        <v>190</v>
      </c>
      <c r="BG283" s="15">
        <v>10</v>
      </c>
      <c r="BH283" s="15">
        <v>0</v>
      </c>
      <c r="BI283" s="15"/>
      <c r="BJ283" s="15">
        <v>0</v>
      </c>
      <c r="BK283" s="15">
        <v>0</v>
      </c>
      <c r="BL283" s="15">
        <v>0</v>
      </c>
      <c r="BM283" s="15">
        <v>0</v>
      </c>
      <c r="BN283" s="15"/>
      <c r="BO283" s="15"/>
      <c r="BP283" s="15">
        <v>0.11</v>
      </c>
      <c r="BQ283" s="15">
        <v>177</v>
      </c>
    </row>
    <row r="284" spans="1:69">
      <c r="A284" s="16">
        <v>46044</v>
      </c>
      <c r="B284" s="15">
        <v>436</v>
      </c>
      <c r="C284" s="15" t="s">
        <v>38</v>
      </c>
      <c r="D284" s="15">
        <v>436</v>
      </c>
      <c r="E284" s="15" t="s">
        <v>38</v>
      </c>
      <c r="F284" s="15">
        <v>874</v>
      </c>
      <c r="G284" s="15">
        <v>23</v>
      </c>
      <c r="H284" s="15">
        <v>84.89</v>
      </c>
      <c r="I284" s="15">
        <v>0.02632</v>
      </c>
      <c r="J284" s="15">
        <v>3.69</v>
      </c>
      <c r="K284" s="15">
        <v>97.13</v>
      </c>
      <c r="L284" s="15">
        <v>0</v>
      </c>
      <c r="M284" s="15">
        <v>0</v>
      </c>
      <c r="N284" s="15">
        <v>0</v>
      </c>
      <c r="O284" s="15">
        <v>0</v>
      </c>
      <c r="P284" s="15">
        <v>0</v>
      </c>
      <c r="Q284" s="15">
        <v>0</v>
      </c>
      <c r="R284" s="15">
        <v>0</v>
      </c>
      <c r="S284" s="15">
        <v>313.83</v>
      </c>
      <c r="T284" s="15">
        <v>313.83</v>
      </c>
      <c r="U284" s="15">
        <v>1</v>
      </c>
      <c r="V284" s="15">
        <v>0</v>
      </c>
      <c r="W284" s="15">
        <v>1</v>
      </c>
      <c r="X284" s="15">
        <v>0.04348</v>
      </c>
      <c r="Y284" s="15">
        <v>3.7</v>
      </c>
      <c r="Z284" s="15">
        <v>3.7</v>
      </c>
      <c r="AA284" s="15">
        <v>84.89</v>
      </c>
      <c r="AB284" s="15">
        <v>7</v>
      </c>
      <c r="AC284" s="15">
        <v>0</v>
      </c>
      <c r="AD284" s="15">
        <v>7</v>
      </c>
      <c r="AE284" s="15">
        <v>0.30435</v>
      </c>
      <c r="AF284" s="15">
        <v>0</v>
      </c>
      <c r="AG284" s="15">
        <v>2</v>
      </c>
      <c r="AH284" s="15">
        <v>42.45</v>
      </c>
      <c r="AI284" s="15">
        <v>9</v>
      </c>
      <c r="AJ284" s="15">
        <v>9.43</v>
      </c>
      <c r="AK284" s="15">
        <v>7</v>
      </c>
      <c r="AL284" s="15">
        <v>12.13</v>
      </c>
      <c r="AM284" s="15">
        <v>2</v>
      </c>
      <c r="AN284" s="15"/>
      <c r="AO284" s="15">
        <v>0</v>
      </c>
      <c r="AP284" s="15">
        <v>12.13</v>
      </c>
      <c r="AQ284" s="15">
        <v>2</v>
      </c>
      <c r="AR284" s="15">
        <v>494</v>
      </c>
      <c r="AS284" s="15">
        <v>0</v>
      </c>
      <c r="AT284" s="15">
        <v>0</v>
      </c>
      <c r="AU284" s="15">
        <v>5</v>
      </c>
      <c r="AV284" s="15">
        <v>0</v>
      </c>
      <c r="AW284" s="15">
        <v>0</v>
      </c>
      <c r="AX284" s="15">
        <v>5</v>
      </c>
      <c r="AY284" s="15">
        <v>92</v>
      </c>
      <c r="AZ284" s="15">
        <v>22</v>
      </c>
      <c r="BA284" s="15">
        <v>16</v>
      </c>
      <c r="BB284" s="15">
        <v>0.72727</v>
      </c>
      <c r="BC284" s="15">
        <v>0</v>
      </c>
      <c r="BD284" s="15">
        <v>0</v>
      </c>
      <c r="BE284" s="15">
        <v>0.10526</v>
      </c>
      <c r="BF284" s="15">
        <v>67</v>
      </c>
      <c r="BG284" s="15">
        <v>4</v>
      </c>
      <c r="BH284" s="15">
        <v>1</v>
      </c>
      <c r="BI284" s="15">
        <v>1</v>
      </c>
      <c r="BJ284" s="15">
        <v>0</v>
      </c>
      <c r="BK284" s="15">
        <v>0</v>
      </c>
      <c r="BL284" s="15">
        <v>0</v>
      </c>
      <c r="BM284" s="15">
        <v>1</v>
      </c>
      <c r="BN284" s="15">
        <v>1</v>
      </c>
      <c r="BO284" s="15">
        <v>313.83</v>
      </c>
      <c r="BP284" s="15">
        <v>0</v>
      </c>
      <c r="BQ284" s="15">
        <v>356</v>
      </c>
    </row>
    <row r="285" spans="1:69">
      <c r="A285" s="16">
        <v>46044</v>
      </c>
      <c r="B285" s="15">
        <v>371</v>
      </c>
      <c r="C285" s="15" t="s">
        <v>32</v>
      </c>
      <c r="D285" s="15">
        <v>371</v>
      </c>
      <c r="E285" s="15" t="s">
        <v>32</v>
      </c>
      <c r="F285" s="15">
        <v>1781</v>
      </c>
      <c r="G285" s="15">
        <v>23</v>
      </c>
      <c r="H285" s="15">
        <v>30</v>
      </c>
      <c r="I285" s="15">
        <v>0.01291</v>
      </c>
      <c r="J285" s="15">
        <v>1.3</v>
      </c>
      <c r="K285" s="15">
        <v>16.84</v>
      </c>
      <c r="L285" s="15">
        <v>0</v>
      </c>
      <c r="M285" s="15">
        <v>0</v>
      </c>
      <c r="N285" s="15">
        <v>0</v>
      </c>
      <c r="O285" s="15">
        <v>0</v>
      </c>
      <c r="P285" s="15">
        <v>0</v>
      </c>
      <c r="Q285" s="15">
        <v>0</v>
      </c>
      <c r="R285" s="15">
        <v>0</v>
      </c>
      <c r="S285" s="15">
        <v>0</v>
      </c>
      <c r="T285" s="15">
        <v>0</v>
      </c>
      <c r="U285" s="15">
        <v>0</v>
      </c>
      <c r="V285" s="15">
        <v>0</v>
      </c>
      <c r="W285" s="15">
        <v>0</v>
      </c>
      <c r="X285" s="15">
        <v>0</v>
      </c>
      <c r="Y285" s="15">
        <v>0</v>
      </c>
      <c r="Z285" s="15">
        <v>0</v>
      </c>
      <c r="AA285" s="15"/>
      <c r="AB285" s="15">
        <v>0</v>
      </c>
      <c r="AC285" s="15">
        <v>0</v>
      </c>
      <c r="AD285" s="15">
        <v>0</v>
      </c>
      <c r="AE285" s="15">
        <v>0</v>
      </c>
      <c r="AF285" s="15">
        <v>1</v>
      </c>
      <c r="AG285" s="15">
        <v>0</v>
      </c>
      <c r="AH285" s="15"/>
      <c r="AI285" s="15">
        <v>1</v>
      </c>
      <c r="AJ285" s="15">
        <v>30</v>
      </c>
      <c r="AK285" s="15">
        <v>1</v>
      </c>
      <c r="AL285" s="15">
        <v>30</v>
      </c>
      <c r="AM285" s="15">
        <v>1</v>
      </c>
      <c r="AN285" s="15">
        <v>30</v>
      </c>
      <c r="AO285" s="15">
        <v>0.04348</v>
      </c>
      <c r="AP285" s="15"/>
      <c r="AQ285" s="15">
        <v>0</v>
      </c>
      <c r="AR285" s="15">
        <v>0</v>
      </c>
      <c r="AS285" s="15">
        <v>1</v>
      </c>
      <c r="AT285" s="15">
        <v>0</v>
      </c>
      <c r="AU285" s="15">
        <v>2</v>
      </c>
      <c r="AV285" s="15">
        <v>0</v>
      </c>
      <c r="AW285" s="15">
        <v>0</v>
      </c>
      <c r="AX285" s="15">
        <v>0</v>
      </c>
      <c r="AY285" s="15">
        <v>32</v>
      </c>
      <c r="AZ285" s="15">
        <v>27</v>
      </c>
      <c r="BA285" s="15">
        <v>27</v>
      </c>
      <c r="BB285" s="15">
        <v>1</v>
      </c>
      <c r="BC285" s="15">
        <v>0</v>
      </c>
      <c r="BD285" s="15">
        <v>0</v>
      </c>
      <c r="BE285" s="15">
        <v>0.01797</v>
      </c>
      <c r="BF285" s="15">
        <v>5</v>
      </c>
      <c r="BG285" s="15">
        <v>1</v>
      </c>
      <c r="BH285" s="15">
        <v>0</v>
      </c>
      <c r="BI285" s="15"/>
      <c r="BJ285" s="15">
        <v>0</v>
      </c>
      <c r="BK285" s="15">
        <v>0</v>
      </c>
      <c r="BL285" s="15">
        <v>0</v>
      </c>
      <c r="BM285" s="15">
        <v>0</v>
      </c>
      <c r="BN285" s="15"/>
      <c r="BO285" s="15"/>
      <c r="BP285" s="15">
        <v>0</v>
      </c>
      <c r="BQ285" s="15">
        <v>270</v>
      </c>
    </row>
    <row r="286" spans="1:69">
      <c r="A286" s="16">
        <v>46044</v>
      </c>
      <c r="B286" s="15">
        <v>372</v>
      </c>
      <c r="C286" s="15" t="s">
        <v>37</v>
      </c>
      <c r="D286" s="15">
        <v>372</v>
      </c>
      <c r="E286" s="15" t="s">
        <v>61</v>
      </c>
      <c r="F286" s="15">
        <v>797</v>
      </c>
      <c r="G286" s="15">
        <v>18</v>
      </c>
      <c r="H286" s="15">
        <v>61.1</v>
      </c>
      <c r="I286" s="15">
        <v>0.02258</v>
      </c>
      <c r="J286" s="15">
        <v>3.39</v>
      </c>
      <c r="K286" s="15">
        <v>76.66</v>
      </c>
      <c r="L286" s="15">
        <v>0</v>
      </c>
      <c r="M286" s="15">
        <v>0</v>
      </c>
      <c r="N286" s="15">
        <v>0</v>
      </c>
      <c r="O286" s="15">
        <v>0</v>
      </c>
      <c r="P286" s="15">
        <v>0</v>
      </c>
      <c r="Q286" s="15">
        <v>0</v>
      </c>
      <c r="R286" s="15">
        <v>0</v>
      </c>
      <c r="S286" s="15">
        <v>0</v>
      </c>
      <c r="T286" s="15">
        <v>0</v>
      </c>
      <c r="U286" s="15">
        <v>0</v>
      </c>
      <c r="V286" s="15">
        <v>0</v>
      </c>
      <c r="W286" s="15">
        <v>0</v>
      </c>
      <c r="X286" s="15">
        <v>0</v>
      </c>
      <c r="Y286" s="15">
        <v>0</v>
      </c>
      <c r="Z286" s="15">
        <v>0</v>
      </c>
      <c r="AA286" s="15"/>
      <c r="AB286" s="15">
        <v>3</v>
      </c>
      <c r="AC286" s="15">
        <v>2</v>
      </c>
      <c r="AD286" s="15">
        <v>1</v>
      </c>
      <c r="AE286" s="15">
        <v>0.16667</v>
      </c>
      <c r="AF286" s="15">
        <v>0</v>
      </c>
      <c r="AG286" s="15">
        <v>0</v>
      </c>
      <c r="AH286" s="15"/>
      <c r="AI286" s="15">
        <v>3</v>
      </c>
      <c r="AJ286" s="15">
        <v>20.37</v>
      </c>
      <c r="AK286" s="15">
        <v>3</v>
      </c>
      <c r="AL286" s="15">
        <v>20.37</v>
      </c>
      <c r="AM286" s="15">
        <v>0</v>
      </c>
      <c r="AN286" s="15"/>
      <c r="AO286" s="15">
        <v>0</v>
      </c>
      <c r="AP286" s="15">
        <v>20.37</v>
      </c>
      <c r="AQ286" s="15">
        <v>0</v>
      </c>
      <c r="AR286" s="15">
        <v>0</v>
      </c>
      <c r="AS286" s="15">
        <v>0</v>
      </c>
      <c r="AT286" s="15">
        <v>0</v>
      </c>
      <c r="AU286" s="15">
        <v>0</v>
      </c>
      <c r="AV286" s="15">
        <v>0</v>
      </c>
      <c r="AW286" s="15">
        <v>0</v>
      </c>
      <c r="AX286" s="15">
        <v>1</v>
      </c>
      <c r="AY286" s="15">
        <v>57</v>
      </c>
      <c r="AZ286" s="15">
        <v>19</v>
      </c>
      <c r="BA286" s="15">
        <v>17</v>
      </c>
      <c r="BB286" s="15">
        <v>0.89474</v>
      </c>
      <c r="BC286" s="15">
        <v>0</v>
      </c>
      <c r="BD286" s="15">
        <v>0</v>
      </c>
      <c r="BE286" s="15">
        <v>0.07152</v>
      </c>
      <c r="BF286" s="15">
        <v>36</v>
      </c>
      <c r="BG286" s="15">
        <v>3</v>
      </c>
      <c r="BH286" s="15">
        <v>0</v>
      </c>
      <c r="BI286" s="15"/>
      <c r="BJ286" s="15">
        <v>0</v>
      </c>
      <c r="BK286" s="15">
        <v>0</v>
      </c>
      <c r="BL286" s="15">
        <v>0</v>
      </c>
      <c r="BM286" s="15">
        <v>0</v>
      </c>
      <c r="BN286" s="15"/>
      <c r="BO286" s="15"/>
      <c r="BP286" s="15">
        <v>0.06</v>
      </c>
      <c r="BQ286" s="15">
        <v>44</v>
      </c>
    </row>
    <row r="287" spans="1:69">
      <c r="A287" s="16">
        <v>46044</v>
      </c>
      <c r="B287" s="15">
        <v>183</v>
      </c>
      <c r="C287" s="15" t="s">
        <v>40</v>
      </c>
      <c r="D287" s="15">
        <v>183</v>
      </c>
      <c r="E287" s="15" t="s">
        <v>40</v>
      </c>
      <c r="F287" s="15">
        <v>1030</v>
      </c>
      <c r="G287" s="15">
        <v>47</v>
      </c>
      <c r="H287" s="15">
        <v>100</v>
      </c>
      <c r="I287" s="15">
        <v>0.04563</v>
      </c>
      <c r="J287" s="15">
        <v>2.13</v>
      </c>
      <c r="K287" s="15">
        <v>97.09</v>
      </c>
      <c r="L287" s="15">
        <v>0</v>
      </c>
      <c r="M287" s="15">
        <v>0</v>
      </c>
      <c r="N287" s="15">
        <v>0</v>
      </c>
      <c r="O287" s="15">
        <v>0</v>
      </c>
      <c r="P287" s="15">
        <v>0</v>
      </c>
      <c r="Q287" s="15">
        <v>0</v>
      </c>
      <c r="R287" s="15">
        <v>0</v>
      </c>
      <c r="S287" s="15">
        <v>0</v>
      </c>
      <c r="T287" s="15">
        <v>0</v>
      </c>
      <c r="U287" s="15">
        <v>0</v>
      </c>
      <c r="V287" s="15">
        <v>0</v>
      </c>
      <c r="W287" s="15">
        <v>0</v>
      </c>
      <c r="X287" s="15">
        <v>0</v>
      </c>
      <c r="Y287" s="15">
        <v>0</v>
      </c>
      <c r="Z287" s="15">
        <v>0</v>
      </c>
      <c r="AA287" s="15"/>
      <c r="AB287" s="15">
        <v>1</v>
      </c>
      <c r="AC287" s="15">
        <v>1</v>
      </c>
      <c r="AD287" s="15">
        <v>0</v>
      </c>
      <c r="AE287" s="15">
        <v>0.02128</v>
      </c>
      <c r="AF287" s="15">
        <v>2</v>
      </c>
      <c r="AG287" s="15">
        <v>0</v>
      </c>
      <c r="AH287" s="15"/>
      <c r="AI287" s="15">
        <v>3</v>
      </c>
      <c r="AJ287" s="15">
        <v>33.33</v>
      </c>
      <c r="AK287" s="15">
        <v>3</v>
      </c>
      <c r="AL287" s="15">
        <v>33.33</v>
      </c>
      <c r="AM287" s="15">
        <v>2</v>
      </c>
      <c r="AN287" s="15">
        <v>50</v>
      </c>
      <c r="AO287" s="15">
        <v>0.04255</v>
      </c>
      <c r="AP287" s="15">
        <v>100</v>
      </c>
      <c r="AQ287" s="15">
        <v>0</v>
      </c>
      <c r="AR287" s="15">
        <v>0</v>
      </c>
      <c r="AS287" s="15">
        <v>2</v>
      </c>
      <c r="AT287" s="15">
        <v>0</v>
      </c>
      <c r="AU287" s="15">
        <v>4</v>
      </c>
      <c r="AV287" s="15">
        <v>0</v>
      </c>
      <c r="AW287" s="15">
        <v>0</v>
      </c>
      <c r="AX287" s="15">
        <v>0</v>
      </c>
      <c r="AY287" s="15">
        <v>251</v>
      </c>
      <c r="AZ287" s="15">
        <v>117</v>
      </c>
      <c r="BA287" s="15">
        <v>97</v>
      </c>
      <c r="BB287" s="15">
        <v>0.82906</v>
      </c>
      <c r="BC287" s="15">
        <v>0</v>
      </c>
      <c r="BD287" s="15">
        <v>0</v>
      </c>
      <c r="BE287" s="15">
        <v>0.24369</v>
      </c>
      <c r="BF287" s="15">
        <v>103</v>
      </c>
      <c r="BG287" s="15">
        <v>2</v>
      </c>
      <c r="BH287" s="15">
        <v>0</v>
      </c>
      <c r="BI287" s="15"/>
      <c r="BJ287" s="15">
        <v>0</v>
      </c>
      <c r="BK287" s="15">
        <v>0</v>
      </c>
      <c r="BL287" s="15">
        <v>0</v>
      </c>
      <c r="BM287" s="15">
        <v>0</v>
      </c>
      <c r="BN287" s="15"/>
      <c r="BO287" s="15"/>
      <c r="BP287" s="15">
        <v>0</v>
      </c>
      <c r="BQ287" s="15">
        <v>63</v>
      </c>
    </row>
    <row r="288" spans="1:69">
      <c r="A288" s="16">
        <v>46043</v>
      </c>
      <c r="B288" s="15">
        <v>479</v>
      </c>
      <c r="C288" s="15" t="s">
        <v>39</v>
      </c>
      <c r="D288" s="15">
        <v>479</v>
      </c>
      <c r="E288" s="15" t="s">
        <v>39</v>
      </c>
      <c r="F288" s="15">
        <v>51</v>
      </c>
      <c r="G288" s="15">
        <v>19</v>
      </c>
      <c r="H288" s="15">
        <v>15.24</v>
      </c>
      <c r="I288" s="15">
        <v>0.37255</v>
      </c>
      <c r="J288" s="15">
        <v>0.8</v>
      </c>
      <c r="K288" s="15">
        <v>298.91</v>
      </c>
      <c r="L288" s="15">
        <v>0</v>
      </c>
      <c r="M288" s="15">
        <v>0</v>
      </c>
      <c r="N288" s="15">
        <v>0</v>
      </c>
      <c r="O288" s="15">
        <v>0</v>
      </c>
      <c r="P288" s="15">
        <v>0</v>
      </c>
      <c r="Q288" s="15">
        <v>0</v>
      </c>
      <c r="R288" s="15">
        <v>0</v>
      </c>
      <c r="S288" s="15">
        <v>0</v>
      </c>
      <c r="T288" s="15">
        <v>0</v>
      </c>
      <c r="U288" s="15">
        <v>0</v>
      </c>
      <c r="V288" s="15">
        <v>0</v>
      </c>
      <c r="W288" s="15">
        <v>0</v>
      </c>
      <c r="X288" s="15">
        <v>0</v>
      </c>
      <c r="Y288" s="15">
        <v>0</v>
      </c>
      <c r="Z288" s="15">
        <v>0</v>
      </c>
      <c r="AA288" s="15"/>
      <c r="AB288" s="15">
        <v>3</v>
      </c>
      <c r="AC288" s="15">
        <v>0</v>
      </c>
      <c r="AD288" s="15">
        <v>3</v>
      </c>
      <c r="AE288" s="15">
        <v>0.15789</v>
      </c>
      <c r="AF288" s="15">
        <v>1</v>
      </c>
      <c r="AG288" s="15">
        <v>1</v>
      </c>
      <c r="AH288" s="15">
        <v>15.24</v>
      </c>
      <c r="AI288" s="15">
        <v>5</v>
      </c>
      <c r="AJ288" s="15">
        <v>3.05</v>
      </c>
      <c r="AK288" s="15">
        <v>4</v>
      </c>
      <c r="AL288" s="15">
        <v>3.81</v>
      </c>
      <c r="AM288" s="15">
        <v>2</v>
      </c>
      <c r="AN288" s="15">
        <v>15.24</v>
      </c>
      <c r="AO288" s="15">
        <v>0.05263</v>
      </c>
      <c r="AP288" s="15">
        <v>5.08</v>
      </c>
      <c r="AQ288" s="15">
        <v>0</v>
      </c>
      <c r="AR288" s="15">
        <v>0</v>
      </c>
      <c r="AS288" s="15">
        <v>0</v>
      </c>
      <c r="AT288" s="15">
        <v>1</v>
      </c>
      <c r="AU288" s="15">
        <v>2</v>
      </c>
      <c r="AV288" s="15">
        <v>0</v>
      </c>
      <c r="AW288" s="15">
        <v>0</v>
      </c>
      <c r="AX288" s="15">
        <v>1</v>
      </c>
      <c r="AY288" s="15">
        <v>213</v>
      </c>
      <c r="AZ288" s="15">
        <v>19</v>
      </c>
      <c r="BA288" s="15">
        <v>12</v>
      </c>
      <c r="BB288" s="15">
        <v>0.63158</v>
      </c>
      <c r="BC288" s="15">
        <v>0</v>
      </c>
      <c r="BD288" s="15">
        <v>0</v>
      </c>
      <c r="BE288" s="15">
        <v>4.17647</v>
      </c>
      <c r="BF288" s="15">
        <v>185</v>
      </c>
      <c r="BG288" s="15">
        <v>11</v>
      </c>
      <c r="BH288" s="15">
        <v>0</v>
      </c>
      <c r="BI288" s="15"/>
      <c r="BJ288" s="15">
        <v>0</v>
      </c>
      <c r="BK288" s="15">
        <v>0</v>
      </c>
      <c r="BL288" s="15">
        <v>0</v>
      </c>
      <c r="BM288" s="15">
        <v>0</v>
      </c>
      <c r="BN288" s="15"/>
      <c r="BO288" s="15"/>
      <c r="BP288" s="15">
        <v>0.28</v>
      </c>
      <c r="BQ288" s="15">
        <v>78</v>
      </c>
    </row>
    <row r="289" spans="1:69">
      <c r="A289" s="16">
        <v>46043</v>
      </c>
      <c r="B289" s="15">
        <v>436</v>
      </c>
      <c r="C289" s="15" t="s">
        <v>38</v>
      </c>
      <c r="D289" s="15">
        <v>436</v>
      </c>
      <c r="E289" s="15" t="s">
        <v>38</v>
      </c>
      <c r="F289" s="15">
        <v>1282</v>
      </c>
      <c r="G289" s="15">
        <v>36</v>
      </c>
      <c r="H289" s="15">
        <v>95.29</v>
      </c>
      <c r="I289" s="15">
        <v>0.02808</v>
      </c>
      <c r="J289" s="15">
        <v>2.65</v>
      </c>
      <c r="K289" s="15">
        <v>74.33</v>
      </c>
      <c r="L289" s="15">
        <v>0</v>
      </c>
      <c r="M289" s="15">
        <v>0</v>
      </c>
      <c r="N289" s="15">
        <v>0</v>
      </c>
      <c r="O289" s="15">
        <v>0</v>
      </c>
      <c r="P289" s="15">
        <v>0</v>
      </c>
      <c r="Q289" s="15">
        <v>0</v>
      </c>
      <c r="R289" s="15">
        <v>0</v>
      </c>
      <c r="S289" s="15">
        <v>0</v>
      </c>
      <c r="T289" s="15">
        <v>0</v>
      </c>
      <c r="U289" s="15">
        <v>0</v>
      </c>
      <c r="V289" s="15">
        <v>0</v>
      </c>
      <c r="W289" s="15">
        <v>0</v>
      </c>
      <c r="X289" s="15">
        <v>0</v>
      </c>
      <c r="Y289" s="15">
        <v>0</v>
      </c>
      <c r="Z289" s="15">
        <v>0</v>
      </c>
      <c r="AA289" s="15"/>
      <c r="AB289" s="15">
        <v>1</v>
      </c>
      <c r="AC289" s="15">
        <v>0</v>
      </c>
      <c r="AD289" s="15">
        <v>1</v>
      </c>
      <c r="AE289" s="15">
        <v>0.02778</v>
      </c>
      <c r="AF289" s="15">
        <v>0</v>
      </c>
      <c r="AG289" s="15">
        <v>0</v>
      </c>
      <c r="AH289" s="15"/>
      <c r="AI289" s="15">
        <v>1</v>
      </c>
      <c r="AJ289" s="15">
        <v>95.29</v>
      </c>
      <c r="AK289" s="15">
        <v>1</v>
      </c>
      <c r="AL289" s="15">
        <v>95.29</v>
      </c>
      <c r="AM289" s="15">
        <v>0</v>
      </c>
      <c r="AN289" s="15"/>
      <c r="AO289" s="15">
        <v>0</v>
      </c>
      <c r="AP289" s="15">
        <v>95.29</v>
      </c>
      <c r="AQ289" s="15">
        <v>0</v>
      </c>
      <c r="AR289" s="15">
        <v>0</v>
      </c>
      <c r="AS289" s="15">
        <v>0</v>
      </c>
      <c r="AT289" s="15">
        <v>0</v>
      </c>
      <c r="AU289" s="15">
        <v>3</v>
      </c>
      <c r="AV289" s="15">
        <v>0</v>
      </c>
      <c r="AW289" s="15">
        <v>0</v>
      </c>
      <c r="AX289" s="15">
        <v>0</v>
      </c>
      <c r="AY289" s="15">
        <v>134</v>
      </c>
      <c r="AZ289" s="15">
        <v>35</v>
      </c>
      <c r="BA289" s="15">
        <v>25</v>
      </c>
      <c r="BB289" s="15">
        <v>0.71429</v>
      </c>
      <c r="BC289" s="15">
        <v>0</v>
      </c>
      <c r="BD289" s="15">
        <v>0</v>
      </c>
      <c r="BE289" s="15">
        <v>0.10452</v>
      </c>
      <c r="BF289" s="15">
        <v>92</v>
      </c>
      <c r="BG289" s="15">
        <v>4</v>
      </c>
      <c r="BH289" s="15">
        <v>0</v>
      </c>
      <c r="BI289" s="15"/>
      <c r="BJ289" s="15">
        <v>0</v>
      </c>
      <c r="BK289" s="15">
        <v>0</v>
      </c>
      <c r="BL289" s="15">
        <v>0</v>
      </c>
      <c r="BM289" s="15">
        <v>0</v>
      </c>
      <c r="BN289" s="15"/>
      <c r="BO289" s="15"/>
      <c r="BP289" s="15">
        <v>0.11</v>
      </c>
      <c r="BQ289" s="15">
        <v>105</v>
      </c>
    </row>
    <row r="290" spans="1:69">
      <c r="A290" s="16">
        <v>46043</v>
      </c>
      <c r="B290" s="15">
        <v>372</v>
      </c>
      <c r="C290" s="15" t="s">
        <v>37</v>
      </c>
      <c r="D290" s="15">
        <v>372</v>
      </c>
      <c r="E290" s="15" t="s">
        <v>61</v>
      </c>
      <c r="F290" s="15">
        <v>536</v>
      </c>
      <c r="G290" s="15">
        <v>13</v>
      </c>
      <c r="H290" s="15">
        <v>25.84</v>
      </c>
      <c r="I290" s="15">
        <v>0.02425</v>
      </c>
      <c r="J290" s="15">
        <v>1.99</v>
      </c>
      <c r="K290" s="15">
        <v>48.21</v>
      </c>
      <c r="L290" s="15">
        <v>0</v>
      </c>
      <c r="M290" s="15">
        <v>0</v>
      </c>
      <c r="N290" s="15">
        <v>0</v>
      </c>
      <c r="O290" s="15">
        <v>0</v>
      </c>
      <c r="P290" s="15">
        <v>0</v>
      </c>
      <c r="Q290" s="15">
        <v>0</v>
      </c>
      <c r="R290" s="15">
        <v>0</v>
      </c>
      <c r="S290" s="15">
        <v>0</v>
      </c>
      <c r="T290" s="15">
        <v>0</v>
      </c>
      <c r="U290" s="15">
        <v>0</v>
      </c>
      <c r="V290" s="15">
        <v>0</v>
      </c>
      <c r="W290" s="15">
        <v>0</v>
      </c>
      <c r="X290" s="15">
        <v>0</v>
      </c>
      <c r="Y290" s="15">
        <v>0</v>
      </c>
      <c r="Z290" s="15">
        <v>0</v>
      </c>
      <c r="AA290" s="15"/>
      <c r="AB290" s="15">
        <v>0</v>
      </c>
      <c r="AC290" s="15">
        <v>0</v>
      </c>
      <c r="AD290" s="15">
        <v>0</v>
      </c>
      <c r="AE290" s="15">
        <v>0</v>
      </c>
      <c r="AF290" s="15">
        <v>0</v>
      </c>
      <c r="AG290" s="15">
        <v>0</v>
      </c>
      <c r="AH290" s="15"/>
      <c r="AI290" s="15">
        <v>0</v>
      </c>
      <c r="AJ290" s="15"/>
      <c r="AK290" s="15">
        <v>0</v>
      </c>
      <c r="AL290" s="15"/>
      <c r="AM290" s="15">
        <v>0</v>
      </c>
      <c r="AN290" s="15"/>
      <c r="AO290" s="15">
        <v>0</v>
      </c>
      <c r="AP290" s="15"/>
      <c r="AQ290" s="15">
        <v>0</v>
      </c>
      <c r="AR290" s="15">
        <v>0</v>
      </c>
      <c r="AS290" s="15">
        <v>0</v>
      </c>
      <c r="AT290" s="15">
        <v>0</v>
      </c>
      <c r="AU290" s="15">
        <v>0</v>
      </c>
      <c r="AV290" s="15">
        <v>0</v>
      </c>
      <c r="AW290" s="15">
        <v>0</v>
      </c>
      <c r="AX290" s="15">
        <v>0</v>
      </c>
      <c r="AY290" s="15">
        <v>32</v>
      </c>
      <c r="AZ290" s="15">
        <v>11</v>
      </c>
      <c r="BA290" s="15">
        <v>9</v>
      </c>
      <c r="BB290" s="15">
        <v>0.81818</v>
      </c>
      <c r="BC290" s="15">
        <v>0</v>
      </c>
      <c r="BD290" s="15">
        <v>0</v>
      </c>
      <c r="BE290" s="15">
        <v>0.0597</v>
      </c>
      <c r="BF290" s="15">
        <v>17</v>
      </c>
      <c r="BG290" s="15">
        <v>3</v>
      </c>
      <c r="BH290" s="15">
        <v>0</v>
      </c>
      <c r="BI290" s="15"/>
      <c r="BJ290" s="15">
        <v>0</v>
      </c>
      <c r="BK290" s="15">
        <v>0</v>
      </c>
      <c r="BL290" s="15">
        <v>0</v>
      </c>
      <c r="BM290" s="15">
        <v>0</v>
      </c>
      <c r="BN290" s="15"/>
      <c r="BO290" s="15"/>
      <c r="BP290" s="15">
        <v>0</v>
      </c>
      <c r="BQ290" s="15">
        <v>19</v>
      </c>
    </row>
    <row r="291" spans="1:69">
      <c r="A291" s="16">
        <v>46043</v>
      </c>
      <c r="B291" s="15">
        <v>183</v>
      </c>
      <c r="C291" s="15" t="s">
        <v>40</v>
      </c>
      <c r="D291" s="15">
        <v>183</v>
      </c>
      <c r="E291" s="15" t="s">
        <v>40</v>
      </c>
      <c r="F291" s="15">
        <v>1901</v>
      </c>
      <c r="G291" s="15">
        <v>51</v>
      </c>
      <c r="H291" s="15">
        <v>100</v>
      </c>
      <c r="I291" s="15">
        <v>0.02683</v>
      </c>
      <c r="J291" s="15">
        <v>1.96</v>
      </c>
      <c r="K291" s="15">
        <v>52.6</v>
      </c>
      <c r="L291" s="15">
        <v>0</v>
      </c>
      <c r="M291" s="15">
        <v>0</v>
      </c>
      <c r="N291" s="15">
        <v>0</v>
      </c>
      <c r="O291" s="15">
        <v>0</v>
      </c>
      <c r="P291" s="15">
        <v>0</v>
      </c>
      <c r="Q291" s="15">
        <v>0</v>
      </c>
      <c r="R291" s="15">
        <v>0</v>
      </c>
      <c r="S291" s="15">
        <v>74.1</v>
      </c>
      <c r="T291" s="15">
        <v>74.1</v>
      </c>
      <c r="U291" s="15">
        <v>1</v>
      </c>
      <c r="V291" s="15">
        <v>0</v>
      </c>
      <c r="W291" s="15">
        <v>1</v>
      </c>
      <c r="X291" s="15">
        <v>0.01961</v>
      </c>
      <c r="Y291" s="15">
        <v>0.74</v>
      </c>
      <c r="Z291" s="15">
        <v>0.74</v>
      </c>
      <c r="AA291" s="15">
        <v>100</v>
      </c>
      <c r="AB291" s="15">
        <v>11</v>
      </c>
      <c r="AC291" s="15">
        <v>2</v>
      </c>
      <c r="AD291" s="15">
        <v>9</v>
      </c>
      <c r="AE291" s="15">
        <v>0.21569</v>
      </c>
      <c r="AF291" s="15">
        <v>2</v>
      </c>
      <c r="AG291" s="15">
        <v>1</v>
      </c>
      <c r="AH291" s="15">
        <v>100</v>
      </c>
      <c r="AI291" s="15">
        <v>14</v>
      </c>
      <c r="AJ291" s="15">
        <v>7.14</v>
      </c>
      <c r="AK291" s="15">
        <v>13</v>
      </c>
      <c r="AL291" s="15">
        <v>7.69</v>
      </c>
      <c r="AM291" s="15">
        <v>3</v>
      </c>
      <c r="AN291" s="15">
        <v>50</v>
      </c>
      <c r="AO291" s="15">
        <v>0.03922</v>
      </c>
      <c r="AP291" s="15">
        <v>9.09</v>
      </c>
      <c r="AQ291" s="15">
        <v>2</v>
      </c>
      <c r="AR291" s="15">
        <v>148.9</v>
      </c>
      <c r="AS291" s="15">
        <v>1</v>
      </c>
      <c r="AT291" s="15">
        <v>1</v>
      </c>
      <c r="AU291" s="15">
        <v>18</v>
      </c>
      <c r="AV291" s="15">
        <v>0</v>
      </c>
      <c r="AW291" s="15">
        <v>0</v>
      </c>
      <c r="AX291" s="15">
        <v>2</v>
      </c>
      <c r="AY291" s="15">
        <v>1315</v>
      </c>
      <c r="AZ291" s="15">
        <v>140</v>
      </c>
      <c r="BA291" s="15">
        <v>116</v>
      </c>
      <c r="BB291" s="15">
        <v>0.82857</v>
      </c>
      <c r="BC291" s="15">
        <v>0</v>
      </c>
      <c r="BD291" s="15">
        <v>0</v>
      </c>
      <c r="BE291" s="15">
        <v>0.69174</v>
      </c>
      <c r="BF291" s="15">
        <v>124</v>
      </c>
      <c r="BG291" s="15">
        <v>9</v>
      </c>
      <c r="BH291" s="15">
        <v>1</v>
      </c>
      <c r="BI291" s="15">
        <v>1</v>
      </c>
      <c r="BJ291" s="15">
        <v>0</v>
      </c>
      <c r="BK291" s="15">
        <v>0</v>
      </c>
      <c r="BL291" s="15">
        <v>0</v>
      </c>
      <c r="BM291" s="15">
        <v>1</v>
      </c>
      <c r="BN291" s="15">
        <v>1</v>
      </c>
      <c r="BO291" s="15">
        <v>74.1</v>
      </c>
      <c r="BP291" s="15">
        <v>0.28</v>
      </c>
      <c r="BQ291" s="15">
        <v>167</v>
      </c>
    </row>
    <row r="292" spans="1:69">
      <c r="A292" s="16">
        <v>46042</v>
      </c>
      <c r="B292" s="15">
        <v>372</v>
      </c>
      <c r="C292" s="15" t="s">
        <v>37</v>
      </c>
      <c r="D292" s="15">
        <v>372</v>
      </c>
      <c r="E292" s="15" t="s">
        <v>61</v>
      </c>
      <c r="F292" s="15">
        <v>639</v>
      </c>
      <c r="G292" s="15">
        <v>17</v>
      </c>
      <c r="H292" s="15">
        <v>46.63</v>
      </c>
      <c r="I292" s="15">
        <v>0.0266</v>
      </c>
      <c r="J292" s="15">
        <v>2.74</v>
      </c>
      <c r="K292" s="15">
        <v>72.97</v>
      </c>
      <c r="L292" s="15">
        <v>0</v>
      </c>
      <c r="M292" s="15">
        <v>0</v>
      </c>
      <c r="N292" s="15">
        <v>0</v>
      </c>
      <c r="O292" s="15">
        <v>0</v>
      </c>
      <c r="P292" s="15">
        <v>0</v>
      </c>
      <c r="Q292" s="15">
        <v>0</v>
      </c>
      <c r="R292" s="15">
        <v>0</v>
      </c>
      <c r="S292" s="15">
        <v>0</v>
      </c>
      <c r="T292" s="15">
        <v>0</v>
      </c>
      <c r="U292" s="15">
        <v>0</v>
      </c>
      <c r="V292" s="15">
        <v>0</v>
      </c>
      <c r="W292" s="15">
        <v>0</v>
      </c>
      <c r="X292" s="15">
        <v>0</v>
      </c>
      <c r="Y292" s="15">
        <v>0</v>
      </c>
      <c r="Z292" s="15">
        <v>0</v>
      </c>
      <c r="AA292" s="15"/>
      <c r="AB292" s="15">
        <v>0</v>
      </c>
      <c r="AC292" s="15">
        <v>0</v>
      </c>
      <c r="AD292" s="15">
        <v>0</v>
      </c>
      <c r="AE292" s="15">
        <v>0</v>
      </c>
      <c r="AF292" s="15">
        <v>0</v>
      </c>
      <c r="AG292" s="15">
        <v>0</v>
      </c>
      <c r="AH292" s="15"/>
      <c r="AI292" s="15">
        <v>0</v>
      </c>
      <c r="AJ292" s="15"/>
      <c r="AK292" s="15">
        <v>0</v>
      </c>
      <c r="AL292" s="15"/>
      <c r="AM292" s="15">
        <v>0</v>
      </c>
      <c r="AN292" s="15"/>
      <c r="AO292" s="15">
        <v>0</v>
      </c>
      <c r="AP292" s="15"/>
      <c r="AQ292" s="15">
        <v>0</v>
      </c>
      <c r="AR292" s="15">
        <v>0</v>
      </c>
      <c r="AS292" s="15">
        <v>0</v>
      </c>
      <c r="AT292" s="15">
        <v>0</v>
      </c>
      <c r="AU292" s="15">
        <v>0</v>
      </c>
      <c r="AV292" s="15">
        <v>0</v>
      </c>
      <c r="AW292" s="15">
        <v>0</v>
      </c>
      <c r="AX292" s="15">
        <v>0</v>
      </c>
      <c r="AY292" s="15">
        <v>46</v>
      </c>
      <c r="AZ292" s="15">
        <v>17</v>
      </c>
      <c r="BA292" s="15">
        <v>13</v>
      </c>
      <c r="BB292" s="15">
        <v>0.76471</v>
      </c>
      <c r="BC292" s="15">
        <v>0</v>
      </c>
      <c r="BD292" s="15">
        <v>0</v>
      </c>
      <c r="BE292" s="15">
        <v>0.07199</v>
      </c>
      <c r="BF292" s="15">
        <v>26</v>
      </c>
      <c r="BG292" s="15">
        <v>3</v>
      </c>
      <c r="BH292" s="15">
        <v>0</v>
      </c>
      <c r="BI292" s="15"/>
      <c r="BJ292" s="15">
        <v>0</v>
      </c>
      <c r="BK292" s="15">
        <v>0</v>
      </c>
      <c r="BL292" s="15">
        <v>0</v>
      </c>
      <c r="BM292" s="15">
        <v>0</v>
      </c>
      <c r="BN292" s="15"/>
      <c r="BO292" s="15"/>
      <c r="BP292" s="15">
        <v>0</v>
      </c>
      <c r="BQ292" s="15">
        <v>9</v>
      </c>
    </row>
    <row r="293" spans="1:69">
      <c r="A293" s="16">
        <v>46042</v>
      </c>
      <c r="B293" s="15">
        <v>436</v>
      </c>
      <c r="C293" s="15" t="s">
        <v>38</v>
      </c>
      <c r="D293" s="15">
        <v>436</v>
      </c>
      <c r="E293" s="15" t="s">
        <v>38</v>
      </c>
      <c r="F293" s="15">
        <v>970</v>
      </c>
      <c r="G293" s="15">
        <v>38</v>
      </c>
      <c r="H293" s="15">
        <v>91.4</v>
      </c>
      <c r="I293" s="15">
        <v>0.03918</v>
      </c>
      <c r="J293" s="15">
        <v>2.41</v>
      </c>
      <c r="K293" s="15">
        <v>94.23</v>
      </c>
      <c r="L293" s="15">
        <v>0</v>
      </c>
      <c r="M293" s="15">
        <v>0</v>
      </c>
      <c r="N293" s="15">
        <v>0</v>
      </c>
      <c r="O293" s="15">
        <v>0</v>
      </c>
      <c r="P293" s="15">
        <v>0</v>
      </c>
      <c r="Q293" s="15">
        <v>0</v>
      </c>
      <c r="R293" s="15">
        <v>0</v>
      </c>
      <c r="S293" s="15">
        <v>0</v>
      </c>
      <c r="T293" s="15">
        <v>0</v>
      </c>
      <c r="U293" s="15">
        <v>0</v>
      </c>
      <c r="V293" s="15">
        <v>0</v>
      </c>
      <c r="W293" s="15">
        <v>0</v>
      </c>
      <c r="X293" s="15">
        <v>0</v>
      </c>
      <c r="Y293" s="15">
        <v>0</v>
      </c>
      <c r="Z293" s="15">
        <v>0</v>
      </c>
      <c r="AA293" s="15"/>
      <c r="AB293" s="15">
        <v>2</v>
      </c>
      <c r="AC293" s="15">
        <v>1</v>
      </c>
      <c r="AD293" s="15">
        <v>1</v>
      </c>
      <c r="AE293" s="15">
        <v>0.05263</v>
      </c>
      <c r="AF293" s="15">
        <v>1</v>
      </c>
      <c r="AG293" s="15">
        <v>0</v>
      </c>
      <c r="AH293" s="15"/>
      <c r="AI293" s="15">
        <v>3</v>
      </c>
      <c r="AJ293" s="15">
        <v>30.47</v>
      </c>
      <c r="AK293" s="15">
        <v>3</v>
      </c>
      <c r="AL293" s="15">
        <v>30.47</v>
      </c>
      <c r="AM293" s="15">
        <v>1</v>
      </c>
      <c r="AN293" s="15">
        <v>91.4</v>
      </c>
      <c r="AO293" s="15">
        <v>0.02632</v>
      </c>
      <c r="AP293" s="15">
        <v>45.7</v>
      </c>
      <c r="AQ293" s="15">
        <v>0</v>
      </c>
      <c r="AR293" s="15">
        <v>0</v>
      </c>
      <c r="AS293" s="15">
        <v>1</v>
      </c>
      <c r="AT293" s="15">
        <v>0</v>
      </c>
      <c r="AU293" s="15">
        <v>2</v>
      </c>
      <c r="AV293" s="15">
        <v>0</v>
      </c>
      <c r="AW293" s="15">
        <v>0</v>
      </c>
      <c r="AX293" s="15">
        <v>1</v>
      </c>
      <c r="AY293" s="15">
        <v>136</v>
      </c>
      <c r="AZ293" s="15">
        <v>33</v>
      </c>
      <c r="BA293" s="15">
        <v>23</v>
      </c>
      <c r="BB293" s="15">
        <v>0.69697</v>
      </c>
      <c r="BC293" s="15">
        <v>0</v>
      </c>
      <c r="BD293" s="15">
        <v>0</v>
      </c>
      <c r="BE293" s="15">
        <v>0.14021</v>
      </c>
      <c r="BF293" s="15">
        <v>97</v>
      </c>
      <c r="BG293" s="15">
        <v>4</v>
      </c>
      <c r="BH293" s="15">
        <v>0</v>
      </c>
      <c r="BI293" s="15"/>
      <c r="BJ293" s="15">
        <v>0</v>
      </c>
      <c r="BK293" s="15">
        <v>0</v>
      </c>
      <c r="BL293" s="15">
        <v>0</v>
      </c>
      <c r="BM293" s="15">
        <v>0</v>
      </c>
      <c r="BN293" s="15"/>
      <c r="BO293" s="15"/>
      <c r="BP293" s="15">
        <v>0</v>
      </c>
      <c r="BQ293" s="15">
        <v>93</v>
      </c>
    </row>
    <row r="294" spans="1:69">
      <c r="A294" s="16">
        <v>46042</v>
      </c>
      <c r="B294" s="15">
        <v>183</v>
      </c>
      <c r="C294" s="15" t="s">
        <v>40</v>
      </c>
      <c r="D294" s="15">
        <v>183</v>
      </c>
      <c r="E294" s="15" t="s">
        <v>40</v>
      </c>
      <c r="F294" s="15">
        <v>1854</v>
      </c>
      <c r="G294" s="15">
        <v>52</v>
      </c>
      <c r="H294" s="15">
        <v>100</v>
      </c>
      <c r="I294" s="15">
        <v>0.02805</v>
      </c>
      <c r="J294" s="15">
        <v>1.92</v>
      </c>
      <c r="K294" s="15">
        <v>53.94</v>
      </c>
      <c r="L294" s="15">
        <v>0</v>
      </c>
      <c r="M294" s="15">
        <v>0</v>
      </c>
      <c r="N294" s="15">
        <v>0</v>
      </c>
      <c r="O294" s="15">
        <v>0</v>
      </c>
      <c r="P294" s="15">
        <v>0</v>
      </c>
      <c r="Q294" s="15">
        <v>0</v>
      </c>
      <c r="R294" s="15">
        <v>0</v>
      </c>
      <c r="S294" s="15">
        <v>217.93</v>
      </c>
      <c r="T294" s="15">
        <v>217.93</v>
      </c>
      <c r="U294" s="15">
        <v>1</v>
      </c>
      <c r="V294" s="15">
        <v>0</v>
      </c>
      <c r="W294" s="15">
        <v>1</v>
      </c>
      <c r="X294" s="15">
        <v>0.01923</v>
      </c>
      <c r="Y294" s="15">
        <v>2.18</v>
      </c>
      <c r="Z294" s="15">
        <v>2.18</v>
      </c>
      <c r="AA294" s="15">
        <v>100</v>
      </c>
      <c r="AB294" s="15">
        <v>5</v>
      </c>
      <c r="AC294" s="15">
        <v>4</v>
      </c>
      <c r="AD294" s="15">
        <v>1</v>
      </c>
      <c r="AE294" s="15">
        <v>0.09615</v>
      </c>
      <c r="AF294" s="15">
        <v>3</v>
      </c>
      <c r="AG294" s="15">
        <v>1</v>
      </c>
      <c r="AH294" s="15">
        <v>100</v>
      </c>
      <c r="AI294" s="15">
        <v>9</v>
      </c>
      <c r="AJ294" s="15">
        <v>11.11</v>
      </c>
      <c r="AK294" s="15">
        <v>8</v>
      </c>
      <c r="AL294" s="15">
        <v>12.5</v>
      </c>
      <c r="AM294" s="15">
        <v>4</v>
      </c>
      <c r="AN294" s="15">
        <v>33.33</v>
      </c>
      <c r="AO294" s="15">
        <v>0.05769</v>
      </c>
      <c r="AP294" s="15">
        <v>20</v>
      </c>
      <c r="AQ294" s="15">
        <v>6</v>
      </c>
      <c r="AR294" s="15">
        <v>55290</v>
      </c>
      <c r="AS294" s="15">
        <v>3</v>
      </c>
      <c r="AT294" s="15">
        <v>0</v>
      </c>
      <c r="AU294" s="15">
        <v>14</v>
      </c>
      <c r="AV294" s="15">
        <v>0</v>
      </c>
      <c r="AW294" s="15">
        <v>0</v>
      </c>
      <c r="AX294" s="15">
        <v>0</v>
      </c>
      <c r="AY294" s="15">
        <v>118</v>
      </c>
      <c r="AZ294" s="15">
        <v>50</v>
      </c>
      <c r="BA294" s="15">
        <v>36</v>
      </c>
      <c r="BB294" s="15">
        <v>0.72</v>
      </c>
      <c r="BC294" s="15">
        <v>0</v>
      </c>
      <c r="BD294" s="15">
        <v>0</v>
      </c>
      <c r="BE294" s="15">
        <v>0.06365</v>
      </c>
      <c r="BF294" s="15">
        <v>46</v>
      </c>
      <c r="BG294" s="15">
        <v>2</v>
      </c>
      <c r="BH294" s="15">
        <v>0</v>
      </c>
      <c r="BI294" s="15">
        <v>0</v>
      </c>
      <c r="BJ294" s="15">
        <v>0</v>
      </c>
      <c r="BK294" s="15">
        <v>0</v>
      </c>
      <c r="BL294" s="15">
        <v>0</v>
      </c>
      <c r="BM294" s="15">
        <v>1</v>
      </c>
      <c r="BN294" s="15">
        <v>1</v>
      </c>
      <c r="BO294" s="15">
        <v>217.93</v>
      </c>
      <c r="BP294" s="15">
        <v>0</v>
      </c>
      <c r="BQ294" s="15">
        <v>225</v>
      </c>
    </row>
    <row r="295" spans="1:69">
      <c r="A295" s="16">
        <v>46042</v>
      </c>
      <c r="B295" s="15">
        <v>479</v>
      </c>
      <c r="C295" s="15" t="s">
        <v>39</v>
      </c>
      <c r="D295" s="15">
        <v>479</v>
      </c>
      <c r="E295" s="15" t="s">
        <v>39</v>
      </c>
      <c r="F295" s="15">
        <v>55</v>
      </c>
      <c r="G295" s="15">
        <v>24</v>
      </c>
      <c r="H295" s="15">
        <v>17.71</v>
      </c>
      <c r="I295" s="15">
        <v>0.43636</v>
      </c>
      <c r="J295" s="15">
        <v>0.74</v>
      </c>
      <c r="K295" s="15">
        <v>322.03</v>
      </c>
      <c r="L295" s="15">
        <v>0</v>
      </c>
      <c r="M295" s="15">
        <v>0</v>
      </c>
      <c r="N295" s="15">
        <v>0</v>
      </c>
      <c r="O295" s="15">
        <v>0</v>
      </c>
      <c r="P295" s="15">
        <v>0</v>
      </c>
      <c r="Q295" s="15">
        <v>0</v>
      </c>
      <c r="R295" s="15">
        <v>0</v>
      </c>
      <c r="S295" s="15">
        <v>0</v>
      </c>
      <c r="T295" s="15">
        <v>0</v>
      </c>
      <c r="U295" s="15">
        <v>0</v>
      </c>
      <c r="V295" s="15">
        <v>0</v>
      </c>
      <c r="W295" s="15">
        <v>0</v>
      </c>
      <c r="X295" s="15">
        <v>0</v>
      </c>
      <c r="Y295" s="15">
        <v>0</v>
      </c>
      <c r="Z295" s="15">
        <v>0</v>
      </c>
      <c r="AA295" s="15"/>
      <c r="AB295" s="15">
        <v>1</v>
      </c>
      <c r="AC295" s="15">
        <v>0</v>
      </c>
      <c r="AD295" s="15">
        <v>1</v>
      </c>
      <c r="AE295" s="15">
        <v>0.04167</v>
      </c>
      <c r="AF295" s="15">
        <v>1</v>
      </c>
      <c r="AG295" s="15">
        <v>0</v>
      </c>
      <c r="AH295" s="15"/>
      <c r="AI295" s="15">
        <v>2</v>
      </c>
      <c r="AJ295" s="15">
        <v>8.86</v>
      </c>
      <c r="AK295" s="15">
        <v>2</v>
      </c>
      <c r="AL295" s="15">
        <v>8.86</v>
      </c>
      <c r="AM295" s="15">
        <v>1</v>
      </c>
      <c r="AN295" s="15">
        <v>17.71</v>
      </c>
      <c r="AO295" s="15">
        <v>0.04167</v>
      </c>
      <c r="AP295" s="15">
        <v>17.71</v>
      </c>
      <c r="AQ295" s="15">
        <v>0</v>
      </c>
      <c r="AR295" s="15">
        <v>0</v>
      </c>
      <c r="AS295" s="15">
        <v>0</v>
      </c>
      <c r="AT295" s="15">
        <v>1</v>
      </c>
      <c r="AU295" s="15">
        <v>2</v>
      </c>
      <c r="AV295" s="15">
        <v>0</v>
      </c>
      <c r="AW295" s="15">
        <v>0</v>
      </c>
      <c r="AX295" s="15">
        <v>1</v>
      </c>
      <c r="AY295" s="15">
        <v>219</v>
      </c>
      <c r="AZ295" s="15">
        <v>20</v>
      </c>
      <c r="BA295" s="15">
        <v>14</v>
      </c>
      <c r="BB295" s="15">
        <v>0.7</v>
      </c>
      <c r="BC295" s="15">
        <v>0</v>
      </c>
      <c r="BD295" s="15">
        <v>0</v>
      </c>
      <c r="BE295" s="15">
        <v>3.98182</v>
      </c>
      <c r="BF295" s="15">
        <v>196</v>
      </c>
      <c r="BG295" s="15">
        <v>11</v>
      </c>
      <c r="BH295" s="15">
        <v>0</v>
      </c>
      <c r="BI295" s="15"/>
      <c r="BJ295" s="15">
        <v>0</v>
      </c>
      <c r="BK295" s="15">
        <v>0</v>
      </c>
      <c r="BL295" s="15">
        <v>0</v>
      </c>
      <c r="BM295" s="15">
        <v>0</v>
      </c>
      <c r="BN295" s="15"/>
      <c r="BO295" s="15"/>
      <c r="BP295" s="15">
        <v>0</v>
      </c>
      <c r="BQ295" s="15">
        <v>76</v>
      </c>
    </row>
    <row r="296" spans="1:69">
      <c r="A296" s="16">
        <v>46041</v>
      </c>
      <c r="B296" s="15">
        <v>372</v>
      </c>
      <c r="C296" s="15" t="s">
        <v>37</v>
      </c>
      <c r="D296" s="15">
        <v>372</v>
      </c>
      <c r="E296" s="15" t="s">
        <v>61</v>
      </c>
      <c r="F296" s="15">
        <v>1383</v>
      </c>
      <c r="G296" s="15">
        <v>40</v>
      </c>
      <c r="H296" s="15">
        <v>78.42</v>
      </c>
      <c r="I296" s="15">
        <v>0.02892</v>
      </c>
      <c r="J296" s="15">
        <v>1.96</v>
      </c>
      <c r="K296" s="15">
        <v>56.7</v>
      </c>
      <c r="L296" s="15">
        <v>0</v>
      </c>
      <c r="M296" s="15">
        <v>0</v>
      </c>
      <c r="N296" s="15">
        <v>0</v>
      </c>
      <c r="O296" s="15">
        <v>0</v>
      </c>
      <c r="P296" s="15">
        <v>0</v>
      </c>
      <c r="Q296" s="15">
        <v>0</v>
      </c>
      <c r="R296" s="15">
        <v>0</v>
      </c>
      <c r="S296" s="15">
        <v>0</v>
      </c>
      <c r="T296" s="15">
        <v>0</v>
      </c>
      <c r="U296" s="15">
        <v>0</v>
      </c>
      <c r="V296" s="15">
        <v>0</v>
      </c>
      <c r="W296" s="15">
        <v>0</v>
      </c>
      <c r="X296" s="15">
        <v>0</v>
      </c>
      <c r="Y296" s="15">
        <v>0</v>
      </c>
      <c r="Z296" s="15">
        <v>0</v>
      </c>
      <c r="AA296" s="15"/>
      <c r="AB296" s="15">
        <v>2</v>
      </c>
      <c r="AC296" s="15">
        <v>2</v>
      </c>
      <c r="AD296" s="15">
        <v>0</v>
      </c>
      <c r="AE296" s="15">
        <v>0.05</v>
      </c>
      <c r="AF296" s="15">
        <v>1</v>
      </c>
      <c r="AG296" s="15">
        <v>0</v>
      </c>
      <c r="AH296" s="15"/>
      <c r="AI296" s="15">
        <v>3</v>
      </c>
      <c r="AJ296" s="15">
        <v>26.14</v>
      </c>
      <c r="AK296" s="15">
        <v>3</v>
      </c>
      <c r="AL296" s="15">
        <v>26.14</v>
      </c>
      <c r="AM296" s="15">
        <v>1</v>
      </c>
      <c r="AN296" s="15">
        <v>78.42</v>
      </c>
      <c r="AO296" s="15">
        <v>0.025</v>
      </c>
      <c r="AP296" s="15">
        <v>39.21</v>
      </c>
      <c r="AQ296" s="15">
        <v>0</v>
      </c>
      <c r="AR296" s="15">
        <v>0</v>
      </c>
      <c r="AS296" s="15">
        <v>1</v>
      </c>
      <c r="AT296" s="15">
        <v>0</v>
      </c>
      <c r="AU296" s="15">
        <v>1</v>
      </c>
      <c r="AV296" s="15">
        <v>0</v>
      </c>
      <c r="AW296" s="15">
        <v>0</v>
      </c>
      <c r="AX296" s="15">
        <v>2</v>
      </c>
      <c r="AY296" s="15">
        <v>115</v>
      </c>
      <c r="AZ296" s="15">
        <v>39</v>
      </c>
      <c r="BA296" s="15">
        <v>29</v>
      </c>
      <c r="BB296" s="15">
        <v>0.74359</v>
      </c>
      <c r="BC296" s="15">
        <v>0</v>
      </c>
      <c r="BD296" s="15">
        <v>0</v>
      </c>
      <c r="BE296" s="15">
        <v>0.08315</v>
      </c>
      <c r="BF296" s="15">
        <v>64</v>
      </c>
      <c r="BG296" s="15">
        <v>3</v>
      </c>
      <c r="BH296" s="15">
        <v>0</v>
      </c>
      <c r="BI296" s="15"/>
      <c r="BJ296" s="15">
        <v>0</v>
      </c>
      <c r="BK296" s="15">
        <v>0</v>
      </c>
      <c r="BL296" s="15">
        <v>0</v>
      </c>
      <c r="BM296" s="15">
        <v>0</v>
      </c>
      <c r="BN296" s="15"/>
      <c r="BO296" s="15"/>
      <c r="BP296" s="15">
        <v>0</v>
      </c>
      <c r="BQ296" s="15">
        <v>143</v>
      </c>
    </row>
    <row r="297" spans="1:69">
      <c r="A297" s="16">
        <v>46041</v>
      </c>
      <c r="B297" s="15">
        <v>479</v>
      </c>
      <c r="C297" s="15" t="s">
        <v>39</v>
      </c>
      <c r="D297" s="15">
        <v>479</v>
      </c>
      <c r="E297" s="15" t="s">
        <v>39</v>
      </c>
      <c r="F297" s="15">
        <v>45</v>
      </c>
      <c r="G297" s="15">
        <v>23</v>
      </c>
      <c r="H297" s="15">
        <v>15.08</v>
      </c>
      <c r="I297" s="15">
        <v>0.51111</v>
      </c>
      <c r="J297" s="15">
        <v>0.66</v>
      </c>
      <c r="K297" s="15">
        <v>335.18</v>
      </c>
      <c r="L297" s="15">
        <v>0</v>
      </c>
      <c r="M297" s="15">
        <v>0</v>
      </c>
      <c r="N297" s="15">
        <v>0</v>
      </c>
      <c r="O297" s="15">
        <v>0</v>
      </c>
      <c r="P297" s="15">
        <v>0</v>
      </c>
      <c r="Q297" s="15">
        <v>0</v>
      </c>
      <c r="R297" s="15">
        <v>0</v>
      </c>
      <c r="S297" s="15">
        <v>0</v>
      </c>
      <c r="T297" s="15">
        <v>0</v>
      </c>
      <c r="U297" s="15">
        <v>0</v>
      </c>
      <c r="V297" s="15">
        <v>0</v>
      </c>
      <c r="W297" s="15">
        <v>0</v>
      </c>
      <c r="X297" s="15">
        <v>0</v>
      </c>
      <c r="Y297" s="15">
        <v>0</v>
      </c>
      <c r="Z297" s="15">
        <v>0</v>
      </c>
      <c r="AA297" s="15"/>
      <c r="AB297" s="15">
        <v>1</v>
      </c>
      <c r="AC297" s="15">
        <v>0</v>
      </c>
      <c r="AD297" s="15">
        <v>1</v>
      </c>
      <c r="AE297" s="15">
        <v>0.04348</v>
      </c>
      <c r="AF297" s="15">
        <v>1</v>
      </c>
      <c r="AG297" s="15">
        <v>0</v>
      </c>
      <c r="AH297" s="15"/>
      <c r="AI297" s="15">
        <v>2</v>
      </c>
      <c r="AJ297" s="15">
        <v>7.54</v>
      </c>
      <c r="AK297" s="15">
        <v>2</v>
      </c>
      <c r="AL297" s="15">
        <v>7.54</v>
      </c>
      <c r="AM297" s="15">
        <v>1</v>
      </c>
      <c r="AN297" s="15">
        <v>15.08</v>
      </c>
      <c r="AO297" s="15">
        <v>0.04348</v>
      </c>
      <c r="AP297" s="15">
        <v>15.08</v>
      </c>
      <c r="AQ297" s="15">
        <v>0</v>
      </c>
      <c r="AR297" s="15">
        <v>0</v>
      </c>
      <c r="AS297" s="15">
        <v>0</v>
      </c>
      <c r="AT297" s="15">
        <v>1</v>
      </c>
      <c r="AU297" s="15">
        <v>1</v>
      </c>
      <c r="AV297" s="15">
        <v>0</v>
      </c>
      <c r="AW297" s="15">
        <v>0</v>
      </c>
      <c r="AX297" s="15">
        <v>1</v>
      </c>
      <c r="AY297" s="15">
        <v>224</v>
      </c>
      <c r="AZ297" s="15">
        <v>20</v>
      </c>
      <c r="BA297" s="15">
        <v>10</v>
      </c>
      <c r="BB297" s="15">
        <v>0.5</v>
      </c>
      <c r="BC297" s="15">
        <v>0</v>
      </c>
      <c r="BD297" s="15">
        <v>0</v>
      </c>
      <c r="BE297" s="15">
        <v>4.97778</v>
      </c>
      <c r="BF297" s="15">
        <v>201</v>
      </c>
      <c r="BG297" s="15">
        <v>11</v>
      </c>
      <c r="BH297" s="15">
        <v>0</v>
      </c>
      <c r="BI297" s="15"/>
      <c r="BJ297" s="15">
        <v>0</v>
      </c>
      <c r="BK297" s="15">
        <v>0</v>
      </c>
      <c r="BL297" s="15">
        <v>0</v>
      </c>
      <c r="BM297" s="15">
        <v>0</v>
      </c>
      <c r="BN297" s="15"/>
      <c r="BO297" s="15"/>
      <c r="BP297" s="15">
        <v>0</v>
      </c>
      <c r="BQ297" s="15">
        <v>48</v>
      </c>
    </row>
    <row r="298" spans="1:69">
      <c r="A298" s="16">
        <v>46041</v>
      </c>
      <c r="B298" s="15">
        <v>183</v>
      </c>
      <c r="C298" s="15" t="s">
        <v>40</v>
      </c>
      <c r="D298" s="15">
        <v>183</v>
      </c>
      <c r="E298" s="15" t="s">
        <v>40</v>
      </c>
      <c r="F298" s="15">
        <v>3201</v>
      </c>
      <c r="G298" s="15">
        <v>68</v>
      </c>
      <c r="H298" s="15">
        <v>100</v>
      </c>
      <c r="I298" s="15">
        <v>0.02124</v>
      </c>
      <c r="J298" s="15">
        <v>1.47</v>
      </c>
      <c r="K298" s="15">
        <v>31.24</v>
      </c>
      <c r="L298" s="15">
        <v>0</v>
      </c>
      <c r="M298" s="15">
        <v>0</v>
      </c>
      <c r="N298" s="15">
        <v>0</v>
      </c>
      <c r="O298" s="15">
        <v>0</v>
      </c>
      <c r="P298" s="15">
        <v>0</v>
      </c>
      <c r="Q298" s="15">
        <v>0</v>
      </c>
      <c r="R298" s="15">
        <v>0</v>
      </c>
      <c r="S298" s="15">
        <v>0</v>
      </c>
      <c r="T298" s="15">
        <v>0</v>
      </c>
      <c r="U298" s="15">
        <v>0</v>
      </c>
      <c r="V298" s="15">
        <v>0</v>
      </c>
      <c r="W298" s="15">
        <v>0</v>
      </c>
      <c r="X298" s="15">
        <v>0</v>
      </c>
      <c r="Y298" s="15">
        <v>0</v>
      </c>
      <c r="Z298" s="15">
        <v>0</v>
      </c>
      <c r="AA298" s="15"/>
      <c r="AB298" s="15">
        <v>3</v>
      </c>
      <c r="AC298" s="15">
        <v>2</v>
      </c>
      <c r="AD298" s="15">
        <v>1</v>
      </c>
      <c r="AE298" s="15">
        <v>0.04412</v>
      </c>
      <c r="AF298" s="15">
        <v>4</v>
      </c>
      <c r="AG298" s="15">
        <v>1</v>
      </c>
      <c r="AH298" s="15">
        <v>100</v>
      </c>
      <c r="AI298" s="15">
        <v>8</v>
      </c>
      <c r="AJ298" s="15">
        <v>12.5</v>
      </c>
      <c r="AK298" s="15">
        <v>7</v>
      </c>
      <c r="AL298" s="15">
        <v>14.29</v>
      </c>
      <c r="AM298" s="15">
        <v>5</v>
      </c>
      <c r="AN298" s="15">
        <v>25</v>
      </c>
      <c r="AO298" s="15">
        <v>0.05882</v>
      </c>
      <c r="AP298" s="15">
        <v>33.33</v>
      </c>
      <c r="AQ298" s="15">
        <v>0</v>
      </c>
      <c r="AR298" s="15">
        <v>0</v>
      </c>
      <c r="AS298" s="15">
        <v>3</v>
      </c>
      <c r="AT298" s="15">
        <v>1</v>
      </c>
      <c r="AU298" s="15">
        <v>6</v>
      </c>
      <c r="AV298" s="15">
        <v>0</v>
      </c>
      <c r="AW298" s="15">
        <v>0</v>
      </c>
      <c r="AX298" s="15">
        <v>4</v>
      </c>
      <c r="AY298" s="15">
        <v>154</v>
      </c>
      <c r="AZ298" s="15">
        <v>36</v>
      </c>
      <c r="BA298" s="15">
        <v>27</v>
      </c>
      <c r="BB298" s="15">
        <v>0.75</v>
      </c>
      <c r="BC298" s="15">
        <v>0</v>
      </c>
      <c r="BD298" s="15">
        <v>0</v>
      </c>
      <c r="BE298" s="15">
        <v>0.04811</v>
      </c>
      <c r="BF298" s="15">
        <v>78</v>
      </c>
      <c r="BG298" s="15">
        <v>4</v>
      </c>
      <c r="BH298" s="15">
        <v>0</v>
      </c>
      <c r="BI298" s="15"/>
      <c r="BJ298" s="15">
        <v>0</v>
      </c>
      <c r="BK298" s="15">
        <v>0</v>
      </c>
      <c r="BL298" s="15">
        <v>0</v>
      </c>
      <c r="BM298" s="15">
        <v>0</v>
      </c>
      <c r="BN298" s="15"/>
      <c r="BO298" s="15"/>
      <c r="BP298" s="15">
        <v>0.11</v>
      </c>
      <c r="BQ298" s="15">
        <v>100</v>
      </c>
    </row>
    <row r="299" spans="1:69">
      <c r="A299" s="16">
        <v>46041</v>
      </c>
      <c r="B299" s="15">
        <v>436</v>
      </c>
      <c r="C299" s="15" t="s">
        <v>38</v>
      </c>
      <c r="D299" s="15">
        <v>436</v>
      </c>
      <c r="E299" s="15" t="s">
        <v>38</v>
      </c>
      <c r="F299" s="15">
        <v>1563</v>
      </c>
      <c r="G299" s="15">
        <v>57</v>
      </c>
      <c r="H299" s="15">
        <v>240.7</v>
      </c>
      <c r="I299" s="15">
        <v>0.03647</v>
      </c>
      <c r="J299" s="15">
        <v>4.22</v>
      </c>
      <c r="K299" s="15">
        <v>154</v>
      </c>
      <c r="L299" s="15">
        <v>0</v>
      </c>
      <c r="M299" s="15">
        <v>0</v>
      </c>
      <c r="N299" s="15">
        <v>0</v>
      </c>
      <c r="O299" s="15">
        <v>0</v>
      </c>
      <c r="P299" s="15">
        <v>0</v>
      </c>
      <c r="Q299" s="15">
        <v>0</v>
      </c>
      <c r="R299" s="15">
        <v>184.04</v>
      </c>
      <c r="S299" s="15">
        <v>24.07</v>
      </c>
      <c r="T299" s="15">
        <v>208.11</v>
      </c>
      <c r="U299" s="15">
        <v>3</v>
      </c>
      <c r="V299" s="15">
        <v>2</v>
      </c>
      <c r="W299" s="15">
        <v>1</v>
      </c>
      <c r="X299" s="15">
        <v>0.05263</v>
      </c>
      <c r="Y299" s="15">
        <v>0.86</v>
      </c>
      <c r="Z299" s="15">
        <v>0.86</v>
      </c>
      <c r="AA299" s="15">
        <v>80.23</v>
      </c>
      <c r="AB299" s="15">
        <v>6</v>
      </c>
      <c r="AC299" s="15">
        <v>5</v>
      </c>
      <c r="AD299" s="15">
        <v>1</v>
      </c>
      <c r="AE299" s="15">
        <v>0.10526</v>
      </c>
      <c r="AF299" s="15">
        <v>0</v>
      </c>
      <c r="AG299" s="15">
        <v>0</v>
      </c>
      <c r="AH299" s="15"/>
      <c r="AI299" s="15">
        <v>6</v>
      </c>
      <c r="AJ299" s="15">
        <v>40.12</v>
      </c>
      <c r="AK299" s="15">
        <v>6</v>
      </c>
      <c r="AL299" s="15">
        <v>40.12</v>
      </c>
      <c r="AM299" s="15">
        <v>0</v>
      </c>
      <c r="AN299" s="15"/>
      <c r="AO299" s="15">
        <v>0</v>
      </c>
      <c r="AP299" s="15">
        <v>40.12</v>
      </c>
      <c r="AQ299" s="15">
        <v>4</v>
      </c>
      <c r="AR299" s="15">
        <v>276.9</v>
      </c>
      <c r="AS299" s="15">
        <v>0</v>
      </c>
      <c r="AT299" s="15">
        <v>0</v>
      </c>
      <c r="AU299" s="15">
        <v>3</v>
      </c>
      <c r="AV299" s="15">
        <v>0</v>
      </c>
      <c r="AW299" s="15">
        <v>0</v>
      </c>
      <c r="AX299" s="15">
        <v>3</v>
      </c>
      <c r="AY299" s="15">
        <v>191</v>
      </c>
      <c r="AZ299" s="15">
        <v>46</v>
      </c>
      <c r="BA299" s="15">
        <v>34</v>
      </c>
      <c r="BB299" s="15">
        <v>0.73913</v>
      </c>
      <c r="BC299" s="15">
        <v>0</v>
      </c>
      <c r="BD299" s="15">
        <v>0</v>
      </c>
      <c r="BE299" s="15">
        <v>0.1222</v>
      </c>
      <c r="BF299" s="15">
        <v>131</v>
      </c>
      <c r="BG299" s="15">
        <v>4</v>
      </c>
      <c r="BH299" s="15">
        <v>1</v>
      </c>
      <c r="BI299" s="15">
        <v>0.5</v>
      </c>
      <c r="BJ299" s="15">
        <v>0</v>
      </c>
      <c r="BK299" s="15">
        <v>0</v>
      </c>
      <c r="BL299" s="15">
        <v>0</v>
      </c>
      <c r="BM299" s="15">
        <v>2</v>
      </c>
      <c r="BN299" s="15">
        <v>2</v>
      </c>
      <c r="BO299" s="15">
        <v>104.06</v>
      </c>
      <c r="BP299" s="15">
        <v>0.11</v>
      </c>
      <c r="BQ299" s="15">
        <v>1099</v>
      </c>
    </row>
    <row r="300" spans="1:69">
      <c r="A300" s="16">
        <v>46040</v>
      </c>
      <c r="B300" s="15">
        <v>372</v>
      </c>
      <c r="C300" s="15" t="s">
        <v>37</v>
      </c>
      <c r="D300" s="15">
        <v>372</v>
      </c>
      <c r="E300" s="15" t="s">
        <v>61</v>
      </c>
      <c r="F300" s="15">
        <v>3280</v>
      </c>
      <c r="G300" s="15">
        <v>71</v>
      </c>
      <c r="H300" s="15">
        <v>179.43</v>
      </c>
      <c r="I300" s="15">
        <v>0.02165</v>
      </c>
      <c r="J300" s="15">
        <v>2.53</v>
      </c>
      <c r="K300" s="15">
        <v>54.7</v>
      </c>
      <c r="L300" s="15">
        <v>0</v>
      </c>
      <c r="M300" s="15">
        <v>0</v>
      </c>
      <c r="N300" s="15">
        <v>0</v>
      </c>
      <c r="O300" s="15">
        <v>0</v>
      </c>
      <c r="P300" s="15">
        <v>0</v>
      </c>
      <c r="Q300" s="15">
        <v>0</v>
      </c>
      <c r="R300" s="15">
        <v>576.85</v>
      </c>
      <c r="S300" s="15">
        <v>0</v>
      </c>
      <c r="T300" s="15">
        <v>576.85</v>
      </c>
      <c r="U300" s="15">
        <v>1</v>
      </c>
      <c r="V300" s="15">
        <v>1</v>
      </c>
      <c r="W300" s="15">
        <v>0</v>
      </c>
      <c r="X300" s="15">
        <v>0.01408</v>
      </c>
      <c r="Y300" s="15">
        <v>3.21</v>
      </c>
      <c r="Z300" s="15">
        <v>3.21</v>
      </c>
      <c r="AA300" s="15">
        <v>179.43</v>
      </c>
      <c r="AB300" s="15">
        <v>6</v>
      </c>
      <c r="AC300" s="15">
        <v>5</v>
      </c>
      <c r="AD300" s="15">
        <v>1</v>
      </c>
      <c r="AE300" s="15">
        <v>0.08451</v>
      </c>
      <c r="AF300" s="15">
        <v>0</v>
      </c>
      <c r="AG300" s="15">
        <v>1</v>
      </c>
      <c r="AH300" s="15">
        <v>179.43</v>
      </c>
      <c r="AI300" s="15">
        <v>7</v>
      </c>
      <c r="AJ300" s="15">
        <v>25.63</v>
      </c>
      <c r="AK300" s="15">
        <v>6</v>
      </c>
      <c r="AL300" s="15">
        <v>29.91</v>
      </c>
      <c r="AM300" s="15">
        <v>1</v>
      </c>
      <c r="AN300" s="15"/>
      <c r="AO300" s="15">
        <v>0</v>
      </c>
      <c r="AP300" s="15">
        <v>29.91</v>
      </c>
      <c r="AQ300" s="15">
        <v>2</v>
      </c>
      <c r="AR300" s="15">
        <v>697</v>
      </c>
      <c r="AS300" s="15">
        <v>0</v>
      </c>
      <c r="AT300" s="15">
        <v>0</v>
      </c>
      <c r="AU300" s="15">
        <v>10</v>
      </c>
      <c r="AV300" s="15">
        <v>0</v>
      </c>
      <c r="AW300" s="15">
        <v>0</v>
      </c>
      <c r="AX300" s="15">
        <v>1</v>
      </c>
      <c r="AY300" s="15">
        <v>233</v>
      </c>
      <c r="AZ300" s="15">
        <v>71</v>
      </c>
      <c r="BA300" s="15">
        <v>65</v>
      </c>
      <c r="BB300" s="15">
        <v>0.91549</v>
      </c>
      <c r="BC300" s="15">
        <v>0</v>
      </c>
      <c r="BD300" s="15">
        <v>0</v>
      </c>
      <c r="BE300" s="15">
        <v>0.07104</v>
      </c>
      <c r="BF300" s="15">
        <v>150</v>
      </c>
      <c r="BG300" s="15">
        <v>3</v>
      </c>
      <c r="BH300" s="15">
        <v>1</v>
      </c>
      <c r="BI300" s="15">
        <v>1</v>
      </c>
      <c r="BJ300" s="15">
        <v>0</v>
      </c>
      <c r="BK300" s="15">
        <v>0</v>
      </c>
      <c r="BL300" s="15">
        <v>0</v>
      </c>
      <c r="BM300" s="15">
        <v>1</v>
      </c>
      <c r="BN300" s="15">
        <v>1</v>
      </c>
      <c r="BO300" s="15">
        <v>576.85</v>
      </c>
      <c r="BP300" s="15">
        <v>0</v>
      </c>
      <c r="BQ300" s="15">
        <v>498</v>
      </c>
    </row>
    <row r="301" spans="1:69">
      <c r="A301" s="16">
        <v>46040</v>
      </c>
      <c r="B301" s="15">
        <v>479</v>
      </c>
      <c r="C301" s="15" t="s">
        <v>39</v>
      </c>
      <c r="D301" s="15">
        <v>479</v>
      </c>
      <c r="E301" s="15" t="s">
        <v>39</v>
      </c>
      <c r="F301" s="15">
        <v>31</v>
      </c>
      <c r="G301" s="15">
        <v>18</v>
      </c>
      <c r="H301" s="15">
        <v>10.13</v>
      </c>
      <c r="I301" s="15">
        <v>0.58065</v>
      </c>
      <c r="J301" s="15">
        <v>0.56</v>
      </c>
      <c r="K301" s="15">
        <v>326.69</v>
      </c>
      <c r="L301" s="15">
        <v>0</v>
      </c>
      <c r="M301" s="15">
        <v>0</v>
      </c>
      <c r="N301" s="15">
        <v>0</v>
      </c>
      <c r="O301" s="15">
        <v>0</v>
      </c>
      <c r="P301" s="15">
        <v>0</v>
      </c>
      <c r="Q301" s="15">
        <v>0</v>
      </c>
      <c r="R301" s="15">
        <v>163</v>
      </c>
      <c r="S301" s="15">
        <v>163</v>
      </c>
      <c r="T301" s="15">
        <v>326</v>
      </c>
      <c r="U301" s="15">
        <v>2</v>
      </c>
      <c r="V301" s="15">
        <v>1</v>
      </c>
      <c r="W301" s="15">
        <v>1</v>
      </c>
      <c r="X301" s="15">
        <v>0.11111</v>
      </c>
      <c r="Y301" s="15">
        <v>32.19</v>
      </c>
      <c r="Z301" s="15">
        <v>32.19</v>
      </c>
      <c r="AA301" s="15">
        <v>5.06</v>
      </c>
      <c r="AB301" s="15">
        <v>2</v>
      </c>
      <c r="AC301" s="15">
        <v>1</v>
      </c>
      <c r="AD301" s="15">
        <v>1</v>
      </c>
      <c r="AE301" s="15">
        <v>0.11111</v>
      </c>
      <c r="AF301" s="15">
        <v>0</v>
      </c>
      <c r="AG301" s="15">
        <v>0</v>
      </c>
      <c r="AH301" s="15"/>
      <c r="AI301" s="15">
        <v>2</v>
      </c>
      <c r="AJ301" s="15">
        <v>5.06</v>
      </c>
      <c r="AK301" s="15">
        <v>2</v>
      </c>
      <c r="AL301" s="15">
        <v>5.06</v>
      </c>
      <c r="AM301" s="15">
        <v>0</v>
      </c>
      <c r="AN301" s="15"/>
      <c r="AO301" s="15">
        <v>0</v>
      </c>
      <c r="AP301" s="15">
        <v>5.06</v>
      </c>
      <c r="AQ301" s="15">
        <v>3</v>
      </c>
      <c r="AR301" s="15">
        <v>435</v>
      </c>
      <c r="AS301" s="15">
        <v>0</v>
      </c>
      <c r="AT301" s="15">
        <v>0</v>
      </c>
      <c r="AU301" s="15">
        <v>1</v>
      </c>
      <c r="AV301" s="15">
        <v>0</v>
      </c>
      <c r="AW301" s="15">
        <v>0</v>
      </c>
      <c r="AX301" s="15">
        <v>1</v>
      </c>
      <c r="AY301" s="15">
        <v>185</v>
      </c>
      <c r="AZ301" s="15">
        <v>13</v>
      </c>
      <c r="BA301" s="15">
        <v>9</v>
      </c>
      <c r="BB301" s="15">
        <v>0.69231</v>
      </c>
      <c r="BC301" s="15">
        <v>0</v>
      </c>
      <c r="BD301" s="15">
        <v>0</v>
      </c>
      <c r="BE301" s="15">
        <v>5.96774</v>
      </c>
      <c r="BF301" s="15">
        <v>162</v>
      </c>
      <c r="BG301" s="15">
        <v>14</v>
      </c>
      <c r="BH301" s="15">
        <v>1</v>
      </c>
      <c r="BI301" s="15">
        <v>1</v>
      </c>
      <c r="BJ301" s="15">
        <v>0</v>
      </c>
      <c r="BK301" s="15">
        <v>0</v>
      </c>
      <c r="BL301" s="15">
        <v>0</v>
      </c>
      <c r="BM301" s="15">
        <v>1</v>
      </c>
      <c r="BN301" s="15">
        <v>2</v>
      </c>
      <c r="BO301" s="15">
        <v>326</v>
      </c>
      <c r="BP301" s="15">
        <v>0</v>
      </c>
      <c r="BQ301" s="15">
        <v>305</v>
      </c>
    </row>
    <row r="302" spans="1:69">
      <c r="A302" s="16">
        <v>46040</v>
      </c>
      <c r="B302" s="15">
        <v>436</v>
      </c>
      <c r="C302" s="15" t="s">
        <v>38</v>
      </c>
      <c r="D302" s="15">
        <v>436</v>
      </c>
      <c r="E302" s="15" t="s">
        <v>38</v>
      </c>
      <c r="F302" s="15">
        <v>1704</v>
      </c>
      <c r="G302" s="15">
        <v>57</v>
      </c>
      <c r="H302" s="15">
        <v>141.73</v>
      </c>
      <c r="I302" s="15">
        <v>0.03345</v>
      </c>
      <c r="J302" s="15">
        <v>2.49</v>
      </c>
      <c r="K302" s="15">
        <v>83.17</v>
      </c>
      <c r="L302" s="15">
        <v>0</v>
      </c>
      <c r="M302" s="15">
        <v>0</v>
      </c>
      <c r="N302" s="15">
        <v>0</v>
      </c>
      <c r="O302" s="15">
        <v>0</v>
      </c>
      <c r="P302" s="15">
        <v>0</v>
      </c>
      <c r="Q302" s="15">
        <v>0</v>
      </c>
      <c r="R302" s="15">
        <v>0</v>
      </c>
      <c r="S302" s="15">
        <v>0</v>
      </c>
      <c r="T302" s="15">
        <v>0</v>
      </c>
      <c r="U302" s="15">
        <v>0</v>
      </c>
      <c r="V302" s="15">
        <v>0</v>
      </c>
      <c r="W302" s="15">
        <v>0</v>
      </c>
      <c r="X302" s="15">
        <v>0</v>
      </c>
      <c r="Y302" s="15">
        <v>0</v>
      </c>
      <c r="Z302" s="15">
        <v>0</v>
      </c>
      <c r="AA302" s="15"/>
      <c r="AB302" s="15">
        <v>2</v>
      </c>
      <c r="AC302" s="15">
        <v>1</v>
      </c>
      <c r="AD302" s="15">
        <v>1</v>
      </c>
      <c r="AE302" s="15">
        <v>0.03509</v>
      </c>
      <c r="AF302" s="15">
        <v>0</v>
      </c>
      <c r="AG302" s="15">
        <v>0</v>
      </c>
      <c r="AH302" s="15"/>
      <c r="AI302" s="15">
        <v>2</v>
      </c>
      <c r="AJ302" s="15">
        <v>70.87</v>
      </c>
      <c r="AK302" s="15">
        <v>2</v>
      </c>
      <c r="AL302" s="15">
        <v>70.87</v>
      </c>
      <c r="AM302" s="15">
        <v>0</v>
      </c>
      <c r="AN302" s="15"/>
      <c r="AO302" s="15">
        <v>0</v>
      </c>
      <c r="AP302" s="15">
        <v>70.87</v>
      </c>
      <c r="AQ302" s="15">
        <v>0</v>
      </c>
      <c r="AR302" s="15">
        <v>0</v>
      </c>
      <c r="AS302" s="15">
        <v>0</v>
      </c>
      <c r="AT302" s="15">
        <v>0</v>
      </c>
      <c r="AU302" s="15">
        <v>4</v>
      </c>
      <c r="AV302" s="15">
        <v>0</v>
      </c>
      <c r="AW302" s="15">
        <v>0</v>
      </c>
      <c r="AX302" s="15">
        <v>0</v>
      </c>
      <c r="AY302" s="15">
        <v>190</v>
      </c>
      <c r="AZ302" s="15">
        <v>48</v>
      </c>
      <c r="BA302" s="15">
        <v>34</v>
      </c>
      <c r="BB302" s="15">
        <v>0.70833</v>
      </c>
      <c r="BC302" s="15">
        <v>0</v>
      </c>
      <c r="BD302" s="15">
        <v>0</v>
      </c>
      <c r="BE302" s="15">
        <v>0.1115</v>
      </c>
      <c r="BF302" s="15">
        <v>134</v>
      </c>
      <c r="BG302" s="15">
        <v>4</v>
      </c>
      <c r="BH302" s="15">
        <v>0</v>
      </c>
      <c r="BI302" s="15"/>
      <c r="BJ302" s="15">
        <v>0</v>
      </c>
      <c r="BK302" s="15">
        <v>0</v>
      </c>
      <c r="BL302" s="15">
        <v>0</v>
      </c>
      <c r="BM302" s="15">
        <v>0</v>
      </c>
      <c r="BN302" s="15"/>
      <c r="BO302" s="15"/>
      <c r="BP302" s="15">
        <v>0</v>
      </c>
      <c r="BQ302" s="15">
        <v>203</v>
      </c>
    </row>
    <row r="303" spans="1:69">
      <c r="A303" s="16">
        <v>46040</v>
      </c>
      <c r="B303" s="15">
        <v>183</v>
      </c>
      <c r="C303" s="15" t="s">
        <v>40</v>
      </c>
      <c r="D303" s="15">
        <v>183</v>
      </c>
      <c r="E303" s="15" t="s">
        <v>40</v>
      </c>
      <c r="F303" s="15">
        <v>1259</v>
      </c>
      <c r="G303" s="15">
        <v>61</v>
      </c>
      <c r="H303" s="15">
        <v>100</v>
      </c>
      <c r="I303" s="15">
        <v>0.04845</v>
      </c>
      <c r="J303" s="15">
        <v>1.64</v>
      </c>
      <c r="K303" s="15">
        <v>79.43</v>
      </c>
      <c r="L303" s="15">
        <v>0</v>
      </c>
      <c r="M303" s="15">
        <v>0</v>
      </c>
      <c r="N303" s="15">
        <v>0</v>
      </c>
      <c r="O303" s="15">
        <v>0</v>
      </c>
      <c r="P303" s="15">
        <v>0</v>
      </c>
      <c r="Q303" s="15">
        <v>0</v>
      </c>
      <c r="R303" s="15">
        <v>0</v>
      </c>
      <c r="S303" s="15">
        <v>19</v>
      </c>
      <c r="T303" s="15">
        <v>19</v>
      </c>
      <c r="U303" s="15">
        <v>1</v>
      </c>
      <c r="V303" s="15">
        <v>0</v>
      </c>
      <c r="W303" s="15">
        <v>1</v>
      </c>
      <c r="X303" s="15">
        <v>0.01639</v>
      </c>
      <c r="Y303" s="15">
        <v>0.19</v>
      </c>
      <c r="Z303" s="15">
        <v>0.19</v>
      </c>
      <c r="AA303" s="15">
        <v>100</v>
      </c>
      <c r="AB303" s="15">
        <v>1</v>
      </c>
      <c r="AC303" s="15">
        <v>1</v>
      </c>
      <c r="AD303" s="15">
        <v>0</v>
      </c>
      <c r="AE303" s="15">
        <v>0.01639</v>
      </c>
      <c r="AF303" s="15">
        <v>6</v>
      </c>
      <c r="AG303" s="15">
        <v>1</v>
      </c>
      <c r="AH303" s="15">
        <v>100</v>
      </c>
      <c r="AI303" s="15">
        <v>8</v>
      </c>
      <c r="AJ303" s="15">
        <v>12.5</v>
      </c>
      <c r="AK303" s="15">
        <v>7</v>
      </c>
      <c r="AL303" s="15">
        <v>14.29</v>
      </c>
      <c r="AM303" s="15">
        <v>7</v>
      </c>
      <c r="AN303" s="15">
        <v>16.67</v>
      </c>
      <c r="AO303" s="15">
        <v>0.09836</v>
      </c>
      <c r="AP303" s="15">
        <v>100</v>
      </c>
      <c r="AQ303" s="15">
        <v>2</v>
      </c>
      <c r="AR303" s="15">
        <v>68.9</v>
      </c>
      <c r="AS303" s="15">
        <v>5</v>
      </c>
      <c r="AT303" s="15">
        <v>1</v>
      </c>
      <c r="AU303" s="15">
        <v>8</v>
      </c>
      <c r="AV303" s="15">
        <v>0</v>
      </c>
      <c r="AW303" s="15">
        <v>0</v>
      </c>
      <c r="AX303" s="15">
        <v>1</v>
      </c>
      <c r="AY303" s="15">
        <v>131</v>
      </c>
      <c r="AZ303" s="15">
        <v>37</v>
      </c>
      <c r="BA303" s="15">
        <v>30</v>
      </c>
      <c r="BB303" s="15">
        <v>0.81081</v>
      </c>
      <c r="BC303" s="15">
        <v>0</v>
      </c>
      <c r="BD303" s="15">
        <v>0</v>
      </c>
      <c r="BE303" s="15">
        <v>0.10405</v>
      </c>
      <c r="BF303" s="15">
        <v>85</v>
      </c>
      <c r="BG303" s="15">
        <v>4</v>
      </c>
      <c r="BH303" s="15">
        <v>1</v>
      </c>
      <c r="BI303" s="15">
        <v>1</v>
      </c>
      <c r="BJ303" s="15">
        <v>0</v>
      </c>
      <c r="BK303" s="15">
        <v>0</v>
      </c>
      <c r="BL303" s="15">
        <v>0</v>
      </c>
      <c r="BM303" s="15">
        <v>1</v>
      </c>
      <c r="BN303" s="15">
        <v>1</v>
      </c>
      <c r="BO303" s="15">
        <v>19</v>
      </c>
      <c r="BP303" s="15">
        <v>8.83</v>
      </c>
      <c r="BQ303" s="15">
        <v>167</v>
      </c>
    </row>
    <row r="304" spans="1:69">
      <c r="A304" s="16">
        <v>46039</v>
      </c>
      <c r="B304" s="15">
        <v>479</v>
      </c>
      <c r="C304" s="15" t="s">
        <v>39</v>
      </c>
      <c r="D304" s="15">
        <v>479</v>
      </c>
      <c r="E304" s="15" t="s">
        <v>39</v>
      </c>
      <c r="F304" s="15">
        <v>37</v>
      </c>
      <c r="G304" s="15">
        <v>17</v>
      </c>
      <c r="H304" s="15">
        <v>11.57</v>
      </c>
      <c r="I304" s="15">
        <v>0.45946</v>
      </c>
      <c r="J304" s="15">
        <v>0.68</v>
      </c>
      <c r="K304" s="15">
        <v>312.81</v>
      </c>
      <c r="L304" s="15">
        <v>0</v>
      </c>
      <c r="M304" s="15">
        <v>0</v>
      </c>
      <c r="N304" s="15">
        <v>0</v>
      </c>
      <c r="O304" s="15">
        <v>0</v>
      </c>
      <c r="P304" s="15">
        <v>0</v>
      </c>
      <c r="Q304" s="15">
        <v>0</v>
      </c>
      <c r="R304" s="15">
        <v>0</v>
      </c>
      <c r="S304" s="15">
        <v>955.4</v>
      </c>
      <c r="T304" s="15">
        <v>955.4</v>
      </c>
      <c r="U304" s="15">
        <v>2</v>
      </c>
      <c r="V304" s="15">
        <v>0</v>
      </c>
      <c r="W304" s="15">
        <v>2</v>
      </c>
      <c r="X304" s="15">
        <v>0.11765</v>
      </c>
      <c r="Y304" s="15">
        <v>82.55</v>
      </c>
      <c r="Z304" s="15">
        <v>82.55</v>
      </c>
      <c r="AA304" s="15">
        <v>5.79</v>
      </c>
      <c r="AB304" s="15">
        <v>3</v>
      </c>
      <c r="AC304" s="15">
        <v>0</v>
      </c>
      <c r="AD304" s="15">
        <v>3</v>
      </c>
      <c r="AE304" s="15">
        <v>0.17647</v>
      </c>
      <c r="AF304" s="15">
        <v>0</v>
      </c>
      <c r="AG304" s="15">
        <v>1</v>
      </c>
      <c r="AH304" s="15">
        <v>11.57</v>
      </c>
      <c r="AI304" s="15">
        <v>4</v>
      </c>
      <c r="AJ304" s="15">
        <v>2.89</v>
      </c>
      <c r="AK304" s="15">
        <v>3</v>
      </c>
      <c r="AL304" s="15">
        <v>3.86</v>
      </c>
      <c r="AM304" s="15">
        <v>1</v>
      </c>
      <c r="AN304" s="15"/>
      <c r="AO304" s="15">
        <v>0</v>
      </c>
      <c r="AP304" s="15">
        <v>3.86</v>
      </c>
      <c r="AQ304" s="15">
        <v>2</v>
      </c>
      <c r="AR304" s="15">
        <v>1148.9</v>
      </c>
      <c r="AS304" s="15">
        <v>0</v>
      </c>
      <c r="AT304" s="15">
        <v>0</v>
      </c>
      <c r="AU304" s="15">
        <v>2</v>
      </c>
      <c r="AV304" s="15">
        <v>0</v>
      </c>
      <c r="AW304" s="15">
        <v>0</v>
      </c>
      <c r="AX304" s="15">
        <v>2</v>
      </c>
      <c r="AY304" s="15">
        <v>152</v>
      </c>
      <c r="AZ304" s="15">
        <v>17</v>
      </c>
      <c r="BA304" s="15">
        <v>12</v>
      </c>
      <c r="BB304" s="15">
        <v>0.70588</v>
      </c>
      <c r="BC304" s="15">
        <v>0</v>
      </c>
      <c r="BD304" s="15">
        <v>0</v>
      </c>
      <c r="BE304" s="15">
        <v>4.10811</v>
      </c>
      <c r="BF304" s="15">
        <v>135</v>
      </c>
      <c r="BG304" s="15">
        <v>9</v>
      </c>
      <c r="BH304" s="15">
        <v>1</v>
      </c>
      <c r="BI304" s="15">
        <v>0.5</v>
      </c>
      <c r="BJ304" s="15">
        <v>0</v>
      </c>
      <c r="BK304" s="15">
        <v>0</v>
      </c>
      <c r="BL304" s="15">
        <v>0</v>
      </c>
      <c r="BM304" s="15">
        <v>2</v>
      </c>
      <c r="BN304" s="15">
        <v>1</v>
      </c>
      <c r="BO304" s="15">
        <v>477.7</v>
      </c>
      <c r="BP304" s="15">
        <v>0</v>
      </c>
      <c r="BQ304" s="15">
        <v>393</v>
      </c>
    </row>
    <row r="305" spans="1:69">
      <c r="A305" s="16">
        <v>46039</v>
      </c>
      <c r="B305" s="15">
        <v>183</v>
      </c>
      <c r="C305" s="15" t="s">
        <v>40</v>
      </c>
      <c r="D305" s="15">
        <v>183</v>
      </c>
      <c r="E305" s="15" t="s">
        <v>40</v>
      </c>
      <c r="F305" s="15">
        <v>1799</v>
      </c>
      <c r="G305" s="15">
        <v>73</v>
      </c>
      <c r="H305" s="15">
        <v>100</v>
      </c>
      <c r="I305" s="15">
        <v>0.04058</v>
      </c>
      <c r="J305" s="15">
        <v>1.37</v>
      </c>
      <c r="K305" s="15">
        <v>55.59</v>
      </c>
      <c r="L305" s="15">
        <v>0</v>
      </c>
      <c r="M305" s="15">
        <v>0</v>
      </c>
      <c r="N305" s="15">
        <v>0</v>
      </c>
      <c r="O305" s="15">
        <v>0</v>
      </c>
      <c r="P305" s="15">
        <v>0</v>
      </c>
      <c r="Q305" s="15">
        <v>0</v>
      </c>
      <c r="R305" s="15">
        <v>1047.64</v>
      </c>
      <c r="S305" s="15">
        <v>0</v>
      </c>
      <c r="T305" s="15">
        <v>1047.64</v>
      </c>
      <c r="U305" s="15">
        <v>2</v>
      </c>
      <c r="V305" s="15">
        <v>2</v>
      </c>
      <c r="W305" s="15">
        <v>0</v>
      </c>
      <c r="X305" s="15">
        <v>0.0274</v>
      </c>
      <c r="Y305" s="15">
        <v>10.48</v>
      </c>
      <c r="Z305" s="15">
        <v>10.48</v>
      </c>
      <c r="AA305" s="15">
        <v>50</v>
      </c>
      <c r="AB305" s="15">
        <v>7</v>
      </c>
      <c r="AC305" s="15">
        <v>6</v>
      </c>
      <c r="AD305" s="15">
        <v>1</v>
      </c>
      <c r="AE305" s="15">
        <v>0.09589</v>
      </c>
      <c r="AF305" s="15">
        <v>2</v>
      </c>
      <c r="AG305" s="15">
        <v>0</v>
      </c>
      <c r="AH305" s="15"/>
      <c r="AI305" s="15">
        <v>9</v>
      </c>
      <c r="AJ305" s="15">
        <v>11.11</v>
      </c>
      <c r="AK305" s="15">
        <v>9</v>
      </c>
      <c r="AL305" s="15">
        <v>11.11</v>
      </c>
      <c r="AM305" s="15">
        <v>2</v>
      </c>
      <c r="AN305" s="15">
        <v>50</v>
      </c>
      <c r="AO305" s="15">
        <v>0.0274</v>
      </c>
      <c r="AP305" s="15">
        <v>14.29</v>
      </c>
      <c r="AQ305" s="15">
        <v>3</v>
      </c>
      <c r="AR305" s="15">
        <v>1174</v>
      </c>
      <c r="AS305" s="15">
        <v>2</v>
      </c>
      <c r="AT305" s="15">
        <v>0</v>
      </c>
      <c r="AU305" s="15">
        <v>8</v>
      </c>
      <c r="AV305" s="15">
        <v>0</v>
      </c>
      <c r="AW305" s="15">
        <v>0</v>
      </c>
      <c r="AX305" s="15">
        <v>0</v>
      </c>
      <c r="AY305" s="15">
        <v>119</v>
      </c>
      <c r="AZ305" s="15">
        <v>46</v>
      </c>
      <c r="BA305" s="15">
        <v>35</v>
      </c>
      <c r="BB305" s="15">
        <v>0.76087</v>
      </c>
      <c r="BC305" s="15">
        <v>0</v>
      </c>
      <c r="BD305" s="15">
        <v>0</v>
      </c>
      <c r="BE305" s="15">
        <v>0.06615</v>
      </c>
      <c r="BF305" s="15">
        <v>62</v>
      </c>
      <c r="BG305" s="15">
        <v>3</v>
      </c>
      <c r="BH305" s="15">
        <v>2</v>
      </c>
      <c r="BI305" s="15">
        <v>1</v>
      </c>
      <c r="BJ305" s="15">
        <v>0</v>
      </c>
      <c r="BK305" s="15">
        <v>0</v>
      </c>
      <c r="BL305" s="15">
        <v>0</v>
      </c>
      <c r="BM305" s="15">
        <v>2</v>
      </c>
      <c r="BN305" s="15">
        <v>1</v>
      </c>
      <c r="BO305" s="15">
        <v>523.82</v>
      </c>
      <c r="BP305" s="15">
        <v>0.02</v>
      </c>
      <c r="BQ305" s="15">
        <v>467</v>
      </c>
    </row>
    <row r="306" spans="1:69">
      <c r="A306" s="16">
        <v>46039</v>
      </c>
      <c r="B306" s="15">
        <v>372</v>
      </c>
      <c r="C306" s="15" t="s">
        <v>37</v>
      </c>
      <c r="D306" s="15">
        <v>372</v>
      </c>
      <c r="E306" s="15" t="s">
        <v>61</v>
      </c>
      <c r="F306" s="15">
        <v>2519</v>
      </c>
      <c r="G306" s="15">
        <v>59</v>
      </c>
      <c r="H306" s="15">
        <v>89.97</v>
      </c>
      <c r="I306" s="15">
        <v>0.02342</v>
      </c>
      <c r="J306" s="15">
        <v>1.52</v>
      </c>
      <c r="K306" s="15">
        <v>35.72</v>
      </c>
      <c r="L306" s="15">
        <v>0</v>
      </c>
      <c r="M306" s="15">
        <v>0</v>
      </c>
      <c r="N306" s="15">
        <v>0</v>
      </c>
      <c r="O306" s="15">
        <v>0</v>
      </c>
      <c r="P306" s="15">
        <v>0</v>
      </c>
      <c r="Q306" s="15">
        <v>0</v>
      </c>
      <c r="R306" s="15">
        <v>0</v>
      </c>
      <c r="S306" s="15">
        <v>0</v>
      </c>
      <c r="T306" s="15">
        <v>0</v>
      </c>
      <c r="U306" s="15">
        <v>0</v>
      </c>
      <c r="V306" s="15">
        <v>0</v>
      </c>
      <c r="W306" s="15">
        <v>0</v>
      </c>
      <c r="X306" s="15">
        <v>0</v>
      </c>
      <c r="Y306" s="15">
        <v>0</v>
      </c>
      <c r="Z306" s="15">
        <v>0</v>
      </c>
      <c r="AA306" s="15"/>
      <c r="AB306" s="15">
        <v>3</v>
      </c>
      <c r="AC306" s="15">
        <v>2</v>
      </c>
      <c r="AD306" s="15">
        <v>1</v>
      </c>
      <c r="AE306" s="15">
        <v>0.05085</v>
      </c>
      <c r="AF306" s="15">
        <v>1</v>
      </c>
      <c r="AG306" s="15">
        <v>0</v>
      </c>
      <c r="AH306" s="15"/>
      <c r="AI306" s="15">
        <v>4</v>
      </c>
      <c r="AJ306" s="15">
        <v>22.49</v>
      </c>
      <c r="AK306" s="15">
        <v>4</v>
      </c>
      <c r="AL306" s="15">
        <v>22.49</v>
      </c>
      <c r="AM306" s="15">
        <v>1</v>
      </c>
      <c r="AN306" s="15">
        <v>89.97</v>
      </c>
      <c r="AO306" s="15">
        <v>0.01695</v>
      </c>
      <c r="AP306" s="15">
        <v>29.99</v>
      </c>
      <c r="AQ306" s="15">
        <v>0</v>
      </c>
      <c r="AR306" s="15">
        <v>0</v>
      </c>
      <c r="AS306" s="15">
        <v>0</v>
      </c>
      <c r="AT306" s="15">
        <v>1</v>
      </c>
      <c r="AU306" s="15">
        <v>7</v>
      </c>
      <c r="AV306" s="15">
        <v>0</v>
      </c>
      <c r="AW306" s="15">
        <v>0</v>
      </c>
      <c r="AX306" s="15">
        <v>0</v>
      </c>
      <c r="AY306" s="15">
        <v>150</v>
      </c>
      <c r="AZ306" s="15">
        <v>57</v>
      </c>
      <c r="BA306" s="15">
        <v>52</v>
      </c>
      <c r="BB306" s="15">
        <v>0.91228</v>
      </c>
      <c r="BC306" s="15">
        <v>0</v>
      </c>
      <c r="BD306" s="15">
        <v>0</v>
      </c>
      <c r="BE306" s="15">
        <v>0.05955</v>
      </c>
      <c r="BF306" s="15">
        <v>79</v>
      </c>
      <c r="BG306" s="15">
        <v>3</v>
      </c>
      <c r="BH306" s="15">
        <v>0</v>
      </c>
      <c r="BI306" s="15"/>
      <c r="BJ306" s="15">
        <v>0</v>
      </c>
      <c r="BK306" s="15">
        <v>0</v>
      </c>
      <c r="BL306" s="15">
        <v>0</v>
      </c>
      <c r="BM306" s="15">
        <v>0</v>
      </c>
      <c r="BN306" s="15"/>
      <c r="BO306" s="15"/>
      <c r="BP306" s="15">
        <v>0</v>
      </c>
      <c r="BQ306" s="15">
        <v>101</v>
      </c>
    </row>
    <row r="307" spans="1:69">
      <c r="A307" s="16">
        <v>46039</v>
      </c>
      <c r="B307" s="15">
        <v>436</v>
      </c>
      <c r="C307" s="15" t="s">
        <v>38</v>
      </c>
      <c r="D307" s="15">
        <v>436</v>
      </c>
      <c r="E307" s="15" t="s">
        <v>38</v>
      </c>
      <c r="F307" s="15">
        <v>1640</v>
      </c>
      <c r="G307" s="15">
        <v>56</v>
      </c>
      <c r="H307" s="15">
        <v>180.41</v>
      </c>
      <c r="I307" s="15">
        <v>0.03415</v>
      </c>
      <c r="J307" s="15">
        <v>3.22</v>
      </c>
      <c r="K307" s="15">
        <v>110.01</v>
      </c>
      <c r="L307" s="15">
        <v>0</v>
      </c>
      <c r="M307" s="15">
        <v>0</v>
      </c>
      <c r="N307" s="15">
        <v>0</v>
      </c>
      <c r="O307" s="15">
        <v>0</v>
      </c>
      <c r="P307" s="15">
        <v>0</v>
      </c>
      <c r="Q307" s="15">
        <v>0</v>
      </c>
      <c r="R307" s="15">
        <v>0</v>
      </c>
      <c r="S307" s="15">
        <v>0</v>
      </c>
      <c r="T307" s="15">
        <v>0</v>
      </c>
      <c r="U307" s="15">
        <v>0</v>
      </c>
      <c r="V307" s="15">
        <v>0</v>
      </c>
      <c r="W307" s="15">
        <v>0</v>
      </c>
      <c r="X307" s="15">
        <v>0</v>
      </c>
      <c r="Y307" s="15">
        <v>0</v>
      </c>
      <c r="Z307" s="15">
        <v>0</v>
      </c>
      <c r="AA307" s="15"/>
      <c r="AB307" s="15">
        <v>1</v>
      </c>
      <c r="AC307" s="15">
        <v>0</v>
      </c>
      <c r="AD307" s="15">
        <v>1</v>
      </c>
      <c r="AE307" s="15">
        <v>0.01786</v>
      </c>
      <c r="AF307" s="15">
        <v>2</v>
      </c>
      <c r="AG307" s="15">
        <v>0</v>
      </c>
      <c r="AH307" s="15"/>
      <c r="AI307" s="15">
        <v>3</v>
      </c>
      <c r="AJ307" s="15">
        <v>60.14</v>
      </c>
      <c r="AK307" s="15">
        <v>3</v>
      </c>
      <c r="AL307" s="15">
        <v>60.14</v>
      </c>
      <c r="AM307" s="15">
        <v>2</v>
      </c>
      <c r="AN307" s="15">
        <v>90.21</v>
      </c>
      <c r="AO307" s="15">
        <v>0.03571</v>
      </c>
      <c r="AP307" s="15">
        <v>180.41</v>
      </c>
      <c r="AQ307" s="15">
        <v>0</v>
      </c>
      <c r="AR307" s="15">
        <v>0</v>
      </c>
      <c r="AS307" s="15">
        <v>1</v>
      </c>
      <c r="AT307" s="15">
        <v>1</v>
      </c>
      <c r="AU307" s="15">
        <v>3</v>
      </c>
      <c r="AV307" s="15">
        <v>0</v>
      </c>
      <c r="AW307" s="15">
        <v>0</v>
      </c>
      <c r="AX307" s="15">
        <v>1</v>
      </c>
      <c r="AY307" s="15">
        <v>175</v>
      </c>
      <c r="AZ307" s="15">
        <v>48</v>
      </c>
      <c r="BA307" s="15">
        <v>39</v>
      </c>
      <c r="BB307" s="15">
        <v>0.8125</v>
      </c>
      <c r="BC307" s="15">
        <v>0</v>
      </c>
      <c r="BD307" s="15">
        <v>0</v>
      </c>
      <c r="BE307" s="15">
        <v>0.10671</v>
      </c>
      <c r="BF307" s="15">
        <v>121</v>
      </c>
      <c r="BG307" s="15">
        <v>4</v>
      </c>
      <c r="BH307" s="15">
        <v>0</v>
      </c>
      <c r="BI307" s="15"/>
      <c r="BJ307" s="15">
        <v>0</v>
      </c>
      <c r="BK307" s="15">
        <v>0</v>
      </c>
      <c r="BL307" s="15">
        <v>0</v>
      </c>
      <c r="BM307" s="15">
        <v>0</v>
      </c>
      <c r="BN307" s="15"/>
      <c r="BO307" s="15"/>
      <c r="BP307" s="15">
        <v>0</v>
      </c>
      <c r="BQ307" s="15">
        <v>261</v>
      </c>
    </row>
    <row r="308" spans="1:69">
      <c r="A308" s="16">
        <v>46038</v>
      </c>
      <c r="B308" s="15">
        <v>183</v>
      </c>
      <c r="C308" s="15" t="s">
        <v>40</v>
      </c>
      <c r="D308" s="15">
        <v>183</v>
      </c>
      <c r="E308" s="15" t="s">
        <v>40</v>
      </c>
      <c r="F308" s="15">
        <v>2360</v>
      </c>
      <c r="G308" s="15">
        <v>71</v>
      </c>
      <c r="H308" s="15">
        <v>97.42</v>
      </c>
      <c r="I308" s="15">
        <v>0.03008</v>
      </c>
      <c r="J308" s="15">
        <v>1.37</v>
      </c>
      <c r="K308" s="15">
        <v>41.28</v>
      </c>
      <c r="L308" s="15">
        <v>0</v>
      </c>
      <c r="M308" s="15">
        <v>0</v>
      </c>
      <c r="N308" s="15">
        <v>0</v>
      </c>
      <c r="O308" s="15">
        <v>0</v>
      </c>
      <c r="P308" s="15">
        <v>0</v>
      </c>
      <c r="Q308" s="15">
        <v>0</v>
      </c>
      <c r="R308" s="15">
        <v>0</v>
      </c>
      <c r="S308" s="15">
        <v>0</v>
      </c>
      <c r="T308" s="15">
        <v>0</v>
      </c>
      <c r="U308" s="15">
        <v>0</v>
      </c>
      <c r="V308" s="15">
        <v>0</v>
      </c>
      <c r="W308" s="15">
        <v>0</v>
      </c>
      <c r="X308" s="15">
        <v>0</v>
      </c>
      <c r="Y308" s="15">
        <v>0</v>
      </c>
      <c r="Z308" s="15">
        <v>0</v>
      </c>
      <c r="AA308" s="15"/>
      <c r="AB308" s="15">
        <v>9</v>
      </c>
      <c r="AC308" s="15">
        <v>8</v>
      </c>
      <c r="AD308" s="15">
        <v>1</v>
      </c>
      <c r="AE308" s="15">
        <v>0.12676</v>
      </c>
      <c r="AF308" s="15">
        <v>3</v>
      </c>
      <c r="AG308" s="15">
        <v>2</v>
      </c>
      <c r="AH308" s="15">
        <v>48.71</v>
      </c>
      <c r="AI308" s="15">
        <v>14</v>
      </c>
      <c r="AJ308" s="15">
        <v>6.96</v>
      </c>
      <c r="AK308" s="15">
        <v>12</v>
      </c>
      <c r="AL308" s="15">
        <v>8.12</v>
      </c>
      <c r="AM308" s="15">
        <v>5</v>
      </c>
      <c r="AN308" s="15">
        <v>32.47</v>
      </c>
      <c r="AO308" s="15">
        <v>0.04225</v>
      </c>
      <c r="AP308" s="15">
        <v>10.82</v>
      </c>
      <c r="AQ308" s="15">
        <v>0</v>
      </c>
      <c r="AR308" s="15">
        <v>0</v>
      </c>
      <c r="AS308" s="15">
        <v>3</v>
      </c>
      <c r="AT308" s="15">
        <v>0</v>
      </c>
      <c r="AU308" s="15">
        <v>12</v>
      </c>
      <c r="AV308" s="15">
        <v>0</v>
      </c>
      <c r="AW308" s="15">
        <v>0</v>
      </c>
      <c r="AX308" s="15">
        <v>0</v>
      </c>
      <c r="AY308" s="15">
        <v>108</v>
      </c>
      <c r="AZ308" s="15">
        <v>48</v>
      </c>
      <c r="BA308" s="15">
        <v>36</v>
      </c>
      <c r="BB308" s="15">
        <v>0.75</v>
      </c>
      <c r="BC308" s="15">
        <v>0</v>
      </c>
      <c r="BD308" s="15">
        <v>0</v>
      </c>
      <c r="BE308" s="15">
        <v>0.04576</v>
      </c>
      <c r="BF308" s="15">
        <v>38</v>
      </c>
      <c r="BG308" s="15">
        <v>2</v>
      </c>
      <c r="BH308" s="15">
        <v>0</v>
      </c>
      <c r="BI308" s="15"/>
      <c r="BJ308" s="15">
        <v>0</v>
      </c>
      <c r="BK308" s="15">
        <v>0</v>
      </c>
      <c r="BL308" s="15">
        <v>0</v>
      </c>
      <c r="BM308" s="15">
        <v>0</v>
      </c>
      <c r="BN308" s="15"/>
      <c r="BO308" s="15"/>
      <c r="BP308" s="15">
        <v>0</v>
      </c>
      <c r="BQ308" s="15">
        <v>181</v>
      </c>
    </row>
    <row r="309" spans="1:69">
      <c r="A309" s="16">
        <v>46038</v>
      </c>
      <c r="B309" s="15">
        <v>372</v>
      </c>
      <c r="C309" s="15" t="s">
        <v>37</v>
      </c>
      <c r="D309" s="15">
        <v>372</v>
      </c>
      <c r="E309" s="15" t="s">
        <v>61</v>
      </c>
      <c r="F309" s="15">
        <v>3370</v>
      </c>
      <c r="G309" s="15">
        <v>67</v>
      </c>
      <c r="H309" s="15">
        <v>101.17</v>
      </c>
      <c r="I309" s="15">
        <v>0.01988</v>
      </c>
      <c r="J309" s="15">
        <v>1.51</v>
      </c>
      <c r="K309" s="15">
        <v>30.02</v>
      </c>
      <c r="L309" s="15">
        <v>0</v>
      </c>
      <c r="M309" s="15">
        <v>0</v>
      </c>
      <c r="N309" s="15">
        <v>0</v>
      </c>
      <c r="O309" s="15">
        <v>0</v>
      </c>
      <c r="P309" s="15">
        <v>0</v>
      </c>
      <c r="Q309" s="15">
        <v>0</v>
      </c>
      <c r="R309" s="15">
        <v>0</v>
      </c>
      <c r="S309" s="15">
        <v>0</v>
      </c>
      <c r="T309" s="15">
        <v>0</v>
      </c>
      <c r="U309" s="15">
        <v>0</v>
      </c>
      <c r="V309" s="15">
        <v>0</v>
      </c>
      <c r="W309" s="15">
        <v>0</v>
      </c>
      <c r="X309" s="15">
        <v>0</v>
      </c>
      <c r="Y309" s="15">
        <v>0</v>
      </c>
      <c r="Z309" s="15">
        <v>0</v>
      </c>
      <c r="AA309" s="15"/>
      <c r="AB309" s="15">
        <v>2</v>
      </c>
      <c r="AC309" s="15">
        <v>2</v>
      </c>
      <c r="AD309" s="15">
        <v>0</v>
      </c>
      <c r="AE309" s="15">
        <v>0.02985</v>
      </c>
      <c r="AF309" s="15">
        <v>1</v>
      </c>
      <c r="AG309" s="15">
        <v>0</v>
      </c>
      <c r="AH309" s="15"/>
      <c r="AI309" s="15">
        <v>3</v>
      </c>
      <c r="AJ309" s="15">
        <v>33.72</v>
      </c>
      <c r="AK309" s="15">
        <v>3</v>
      </c>
      <c r="AL309" s="15">
        <v>33.72</v>
      </c>
      <c r="AM309" s="15">
        <v>1</v>
      </c>
      <c r="AN309" s="15">
        <v>101.17</v>
      </c>
      <c r="AO309" s="15">
        <v>0.01493</v>
      </c>
      <c r="AP309" s="15">
        <v>50.59</v>
      </c>
      <c r="AQ309" s="15">
        <v>0</v>
      </c>
      <c r="AR309" s="15">
        <v>0</v>
      </c>
      <c r="AS309" s="15">
        <v>1</v>
      </c>
      <c r="AT309" s="15">
        <v>0</v>
      </c>
      <c r="AU309" s="15">
        <v>1</v>
      </c>
      <c r="AV309" s="15">
        <v>0</v>
      </c>
      <c r="AW309" s="15">
        <v>0</v>
      </c>
      <c r="AX309" s="15">
        <v>0</v>
      </c>
      <c r="AY309" s="15">
        <v>149</v>
      </c>
      <c r="AZ309" s="15">
        <v>62</v>
      </c>
      <c r="BA309" s="15">
        <v>55</v>
      </c>
      <c r="BB309" s="15">
        <v>0.8871</v>
      </c>
      <c r="BC309" s="15">
        <v>0</v>
      </c>
      <c r="BD309" s="15">
        <v>0</v>
      </c>
      <c r="BE309" s="15">
        <v>0.04421</v>
      </c>
      <c r="BF309" s="15">
        <v>69</v>
      </c>
      <c r="BG309" s="15">
        <v>2</v>
      </c>
      <c r="BH309" s="15">
        <v>0</v>
      </c>
      <c r="BI309" s="15"/>
      <c r="BJ309" s="15">
        <v>0</v>
      </c>
      <c r="BK309" s="15">
        <v>0</v>
      </c>
      <c r="BL309" s="15">
        <v>0</v>
      </c>
      <c r="BM309" s="15">
        <v>0</v>
      </c>
      <c r="BN309" s="15"/>
      <c r="BO309" s="15"/>
      <c r="BP309" s="15">
        <v>0</v>
      </c>
      <c r="BQ309" s="15">
        <v>78</v>
      </c>
    </row>
    <row r="310" spans="1:69">
      <c r="A310" s="16">
        <v>46038</v>
      </c>
      <c r="B310" s="15">
        <v>436</v>
      </c>
      <c r="C310" s="15" t="s">
        <v>38</v>
      </c>
      <c r="D310" s="15">
        <v>436</v>
      </c>
      <c r="E310" s="15" t="s">
        <v>38</v>
      </c>
      <c r="F310" s="15">
        <v>1397</v>
      </c>
      <c r="G310" s="15">
        <v>56</v>
      </c>
      <c r="H310" s="15">
        <v>182.7</v>
      </c>
      <c r="I310" s="15">
        <v>0.04009</v>
      </c>
      <c r="J310" s="15">
        <v>3.26</v>
      </c>
      <c r="K310" s="15">
        <v>130.78</v>
      </c>
      <c r="L310" s="15">
        <v>0</v>
      </c>
      <c r="M310" s="15">
        <v>0</v>
      </c>
      <c r="N310" s="15">
        <v>0</v>
      </c>
      <c r="O310" s="15">
        <v>0</v>
      </c>
      <c r="P310" s="15">
        <v>0</v>
      </c>
      <c r="Q310" s="15">
        <v>0</v>
      </c>
      <c r="R310" s="15">
        <v>566.3</v>
      </c>
      <c r="S310" s="15">
        <v>247.85</v>
      </c>
      <c r="T310" s="15">
        <v>814.15</v>
      </c>
      <c r="U310" s="15">
        <v>2</v>
      </c>
      <c r="V310" s="15">
        <v>1</v>
      </c>
      <c r="W310" s="15">
        <v>1</v>
      </c>
      <c r="X310" s="15">
        <v>0.03571</v>
      </c>
      <c r="Y310" s="15">
        <v>4.46</v>
      </c>
      <c r="Z310" s="15">
        <v>4.46</v>
      </c>
      <c r="AA310" s="15">
        <v>91.35</v>
      </c>
      <c r="AB310" s="15">
        <v>8</v>
      </c>
      <c r="AC310" s="15">
        <v>2</v>
      </c>
      <c r="AD310" s="15">
        <v>6</v>
      </c>
      <c r="AE310" s="15">
        <v>0.14286</v>
      </c>
      <c r="AF310" s="15">
        <v>0</v>
      </c>
      <c r="AG310" s="15">
        <v>1</v>
      </c>
      <c r="AH310" s="15">
        <v>182.7</v>
      </c>
      <c r="AI310" s="15">
        <v>9</v>
      </c>
      <c r="AJ310" s="15">
        <v>20.3</v>
      </c>
      <c r="AK310" s="15">
        <v>8</v>
      </c>
      <c r="AL310" s="15">
        <v>22.84</v>
      </c>
      <c r="AM310" s="15">
        <v>1</v>
      </c>
      <c r="AN310" s="15"/>
      <c r="AO310" s="15">
        <v>0</v>
      </c>
      <c r="AP310" s="15">
        <v>22.84</v>
      </c>
      <c r="AQ310" s="15">
        <v>4</v>
      </c>
      <c r="AR310" s="15">
        <v>1033.85</v>
      </c>
      <c r="AS310" s="15">
        <v>0</v>
      </c>
      <c r="AT310" s="15">
        <v>0</v>
      </c>
      <c r="AU310" s="15">
        <v>4</v>
      </c>
      <c r="AV310" s="15">
        <v>0</v>
      </c>
      <c r="AW310" s="15">
        <v>0</v>
      </c>
      <c r="AX310" s="15">
        <v>2</v>
      </c>
      <c r="AY310" s="15">
        <v>170</v>
      </c>
      <c r="AZ310" s="15">
        <v>48</v>
      </c>
      <c r="BA310" s="15">
        <v>38</v>
      </c>
      <c r="BB310" s="15">
        <v>0.79167</v>
      </c>
      <c r="BC310" s="15">
        <v>0</v>
      </c>
      <c r="BD310" s="15">
        <v>0</v>
      </c>
      <c r="BE310" s="15">
        <v>0.12169</v>
      </c>
      <c r="BF310" s="15">
        <v>113</v>
      </c>
      <c r="BG310" s="15">
        <v>4</v>
      </c>
      <c r="BH310" s="15">
        <v>2</v>
      </c>
      <c r="BI310" s="15">
        <v>1</v>
      </c>
      <c r="BJ310" s="15">
        <v>0</v>
      </c>
      <c r="BK310" s="15">
        <v>0</v>
      </c>
      <c r="BL310" s="15">
        <v>0</v>
      </c>
      <c r="BM310" s="15">
        <v>2</v>
      </c>
      <c r="BN310" s="15">
        <v>1</v>
      </c>
      <c r="BO310" s="15">
        <v>407.08</v>
      </c>
      <c r="BP310" s="15">
        <v>0</v>
      </c>
      <c r="BQ310" s="15">
        <v>2062</v>
      </c>
    </row>
    <row r="311" spans="1:69">
      <c r="A311" s="16">
        <v>46038</v>
      </c>
      <c r="B311" s="15">
        <v>479</v>
      </c>
      <c r="C311" s="15" t="s">
        <v>39</v>
      </c>
      <c r="D311" s="15">
        <v>479</v>
      </c>
      <c r="E311" s="15" t="s">
        <v>39</v>
      </c>
      <c r="F311" s="15">
        <v>45</v>
      </c>
      <c r="G311" s="15">
        <v>29</v>
      </c>
      <c r="H311" s="15">
        <v>13.37</v>
      </c>
      <c r="I311" s="15">
        <v>0.64444</v>
      </c>
      <c r="J311" s="15">
        <v>0.46</v>
      </c>
      <c r="K311" s="15">
        <v>297.21</v>
      </c>
      <c r="L311" s="15">
        <v>0</v>
      </c>
      <c r="M311" s="15">
        <v>0</v>
      </c>
      <c r="N311" s="15">
        <v>0</v>
      </c>
      <c r="O311" s="15">
        <v>0</v>
      </c>
      <c r="P311" s="15">
        <v>0</v>
      </c>
      <c r="Q311" s="15">
        <v>0</v>
      </c>
      <c r="R311" s="15">
        <v>0</v>
      </c>
      <c r="S311" s="15">
        <v>0</v>
      </c>
      <c r="T311" s="15">
        <v>0</v>
      </c>
      <c r="U311" s="15">
        <v>0</v>
      </c>
      <c r="V311" s="15">
        <v>0</v>
      </c>
      <c r="W311" s="15">
        <v>0</v>
      </c>
      <c r="X311" s="15">
        <v>0</v>
      </c>
      <c r="Y311" s="15">
        <v>0</v>
      </c>
      <c r="Z311" s="15">
        <v>0</v>
      </c>
      <c r="AA311" s="15"/>
      <c r="AB311" s="15">
        <v>1</v>
      </c>
      <c r="AC311" s="15">
        <v>0</v>
      </c>
      <c r="AD311" s="15">
        <v>1</v>
      </c>
      <c r="AE311" s="15">
        <v>0.03448</v>
      </c>
      <c r="AF311" s="15">
        <v>0</v>
      </c>
      <c r="AG311" s="15">
        <v>1</v>
      </c>
      <c r="AH311" s="15">
        <v>13.37</v>
      </c>
      <c r="AI311" s="15">
        <v>2</v>
      </c>
      <c r="AJ311" s="15">
        <v>6.69</v>
      </c>
      <c r="AK311" s="15">
        <v>1</v>
      </c>
      <c r="AL311" s="15">
        <v>13.37</v>
      </c>
      <c r="AM311" s="15">
        <v>1</v>
      </c>
      <c r="AN311" s="15"/>
      <c r="AO311" s="15">
        <v>0</v>
      </c>
      <c r="AP311" s="15">
        <v>13.37</v>
      </c>
      <c r="AQ311" s="15">
        <v>0</v>
      </c>
      <c r="AR311" s="15">
        <v>0</v>
      </c>
      <c r="AS311" s="15">
        <v>0</v>
      </c>
      <c r="AT311" s="15">
        <v>0</v>
      </c>
      <c r="AU311" s="15">
        <v>1</v>
      </c>
      <c r="AV311" s="15">
        <v>0</v>
      </c>
      <c r="AW311" s="15">
        <v>0</v>
      </c>
      <c r="AX311" s="15">
        <v>0</v>
      </c>
      <c r="AY311" s="15">
        <v>195</v>
      </c>
      <c r="AZ311" s="15">
        <v>27</v>
      </c>
      <c r="BA311" s="15">
        <v>20</v>
      </c>
      <c r="BB311" s="15">
        <v>0.74074</v>
      </c>
      <c r="BC311" s="15">
        <v>0</v>
      </c>
      <c r="BD311" s="15">
        <v>0</v>
      </c>
      <c r="BE311" s="15">
        <v>4.33333</v>
      </c>
      <c r="BF311" s="15">
        <v>165</v>
      </c>
      <c r="BG311" s="15">
        <v>7</v>
      </c>
      <c r="BH311" s="15">
        <v>0</v>
      </c>
      <c r="BI311" s="15"/>
      <c r="BJ311" s="15">
        <v>0</v>
      </c>
      <c r="BK311" s="15">
        <v>0</v>
      </c>
      <c r="BL311" s="15">
        <v>0</v>
      </c>
      <c r="BM311" s="15">
        <v>0</v>
      </c>
      <c r="BN311" s="15"/>
      <c r="BO311" s="15"/>
      <c r="BP311" s="15">
        <v>6.47</v>
      </c>
      <c r="BQ311" s="15">
        <v>49</v>
      </c>
    </row>
    <row r="312" spans="1:69">
      <c r="A312" s="16">
        <v>46037</v>
      </c>
      <c r="B312" s="15">
        <v>436</v>
      </c>
      <c r="C312" s="15" t="s">
        <v>38</v>
      </c>
      <c r="D312" s="15">
        <v>436</v>
      </c>
      <c r="E312" s="15" t="s">
        <v>38</v>
      </c>
      <c r="F312" s="15">
        <v>1617</v>
      </c>
      <c r="G312" s="15">
        <v>49</v>
      </c>
      <c r="H312" s="15">
        <v>95.19</v>
      </c>
      <c r="I312" s="15">
        <v>0.0303</v>
      </c>
      <c r="J312" s="15">
        <v>1.94</v>
      </c>
      <c r="K312" s="15">
        <v>58.87</v>
      </c>
      <c r="L312" s="15">
        <v>0</v>
      </c>
      <c r="M312" s="15">
        <v>0</v>
      </c>
      <c r="N312" s="15">
        <v>0</v>
      </c>
      <c r="O312" s="15">
        <v>0</v>
      </c>
      <c r="P312" s="15">
        <v>0</v>
      </c>
      <c r="Q312" s="15">
        <v>0</v>
      </c>
      <c r="R312" s="15">
        <v>0</v>
      </c>
      <c r="S312" s="15">
        <v>0</v>
      </c>
      <c r="T312" s="15">
        <v>0</v>
      </c>
      <c r="U312" s="15">
        <v>0</v>
      </c>
      <c r="V312" s="15">
        <v>0</v>
      </c>
      <c r="W312" s="15">
        <v>0</v>
      </c>
      <c r="X312" s="15">
        <v>0</v>
      </c>
      <c r="Y312" s="15">
        <v>0</v>
      </c>
      <c r="Z312" s="15">
        <v>0</v>
      </c>
      <c r="AA312" s="15"/>
      <c r="AB312" s="15">
        <v>4</v>
      </c>
      <c r="AC312" s="15">
        <v>1</v>
      </c>
      <c r="AD312" s="15">
        <v>3</v>
      </c>
      <c r="AE312" s="15">
        <v>0.08163</v>
      </c>
      <c r="AF312" s="15">
        <v>1</v>
      </c>
      <c r="AG312" s="15">
        <v>0</v>
      </c>
      <c r="AH312" s="15"/>
      <c r="AI312" s="15">
        <v>5</v>
      </c>
      <c r="AJ312" s="15">
        <v>19.04</v>
      </c>
      <c r="AK312" s="15">
        <v>5</v>
      </c>
      <c r="AL312" s="15">
        <v>19.04</v>
      </c>
      <c r="AM312" s="15">
        <v>1</v>
      </c>
      <c r="AN312" s="15">
        <v>95.19</v>
      </c>
      <c r="AO312" s="15">
        <v>0.02041</v>
      </c>
      <c r="AP312" s="15">
        <v>23.8</v>
      </c>
      <c r="AQ312" s="15">
        <v>0</v>
      </c>
      <c r="AR312" s="15">
        <v>0</v>
      </c>
      <c r="AS312" s="15">
        <v>0</v>
      </c>
      <c r="AT312" s="15">
        <v>1</v>
      </c>
      <c r="AU312" s="15">
        <v>1</v>
      </c>
      <c r="AV312" s="15">
        <v>0</v>
      </c>
      <c r="AW312" s="15">
        <v>0</v>
      </c>
      <c r="AX312" s="15">
        <v>0</v>
      </c>
      <c r="AY312" s="15">
        <v>226</v>
      </c>
      <c r="AZ312" s="15">
        <v>44</v>
      </c>
      <c r="BA312" s="15">
        <v>32</v>
      </c>
      <c r="BB312" s="15">
        <v>0.72727</v>
      </c>
      <c r="BC312" s="15">
        <v>0</v>
      </c>
      <c r="BD312" s="15">
        <v>0</v>
      </c>
      <c r="BE312" s="15">
        <v>0.13976</v>
      </c>
      <c r="BF312" s="15">
        <v>176</v>
      </c>
      <c r="BG312" s="15">
        <v>5</v>
      </c>
      <c r="BH312" s="15">
        <v>0</v>
      </c>
      <c r="BI312" s="15"/>
      <c r="BJ312" s="15">
        <v>0</v>
      </c>
      <c r="BK312" s="15">
        <v>0</v>
      </c>
      <c r="BL312" s="15">
        <v>0</v>
      </c>
      <c r="BM312" s="15">
        <v>0</v>
      </c>
      <c r="BN312" s="15"/>
      <c r="BO312" s="15"/>
      <c r="BP312" s="15">
        <v>0</v>
      </c>
      <c r="BQ312" s="15">
        <v>323</v>
      </c>
    </row>
    <row r="313" spans="1:69">
      <c r="A313" s="16">
        <v>46037</v>
      </c>
      <c r="B313" s="15">
        <v>183</v>
      </c>
      <c r="C313" s="15" t="s">
        <v>40</v>
      </c>
      <c r="D313" s="15">
        <v>183</v>
      </c>
      <c r="E313" s="15" t="s">
        <v>40</v>
      </c>
      <c r="F313" s="15">
        <v>3425</v>
      </c>
      <c r="G313" s="15">
        <v>88</v>
      </c>
      <c r="H313" s="15">
        <v>100</v>
      </c>
      <c r="I313" s="15">
        <v>0.02569</v>
      </c>
      <c r="J313" s="15">
        <v>1.14</v>
      </c>
      <c r="K313" s="15">
        <v>29.2</v>
      </c>
      <c r="L313" s="15">
        <v>0</v>
      </c>
      <c r="M313" s="15">
        <v>0</v>
      </c>
      <c r="N313" s="15">
        <v>0</v>
      </c>
      <c r="O313" s="15">
        <v>0</v>
      </c>
      <c r="P313" s="15">
        <v>0</v>
      </c>
      <c r="Q313" s="15">
        <v>0</v>
      </c>
      <c r="R313" s="15">
        <v>0</v>
      </c>
      <c r="S313" s="15">
        <v>0</v>
      </c>
      <c r="T313" s="15">
        <v>0</v>
      </c>
      <c r="U313" s="15">
        <v>0</v>
      </c>
      <c r="V313" s="15">
        <v>0</v>
      </c>
      <c r="W313" s="15">
        <v>0</v>
      </c>
      <c r="X313" s="15">
        <v>0</v>
      </c>
      <c r="Y313" s="15">
        <v>0</v>
      </c>
      <c r="Z313" s="15">
        <v>0</v>
      </c>
      <c r="AA313" s="15"/>
      <c r="AB313" s="15">
        <v>4</v>
      </c>
      <c r="AC313" s="15">
        <v>2</v>
      </c>
      <c r="AD313" s="15">
        <v>2</v>
      </c>
      <c r="AE313" s="15">
        <v>0.04545</v>
      </c>
      <c r="AF313" s="15">
        <v>4</v>
      </c>
      <c r="AG313" s="15">
        <v>1</v>
      </c>
      <c r="AH313" s="15">
        <v>100</v>
      </c>
      <c r="AI313" s="15">
        <v>9</v>
      </c>
      <c r="AJ313" s="15">
        <v>11.11</v>
      </c>
      <c r="AK313" s="15">
        <v>8</v>
      </c>
      <c r="AL313" s="15">
        <v>12.5</v>
      </c>
      <c r="AM313" s="15">
        <v>5</v>
      </c>
      <c r="AN313" s="15">
        <v>25</v>
      </c>
      <c r="AO313" s="15">
        <v>0.04545</v>
      </c>
      <c r="AP313" s="15">
        <v>25</v>
      </c>
      <c r="AQ313" s="15">
        <v>0</v>
      </c>
      <c r="AR313" s="15">
        <v>0</v>
      </c>
      <c r="AS313" s="15">
        <v>4</v>
      </c>
      <c r="AT313" s="15">
        <v>0</v>
      </c>
      <c r="AU313" s="15">
        <v>4</v>
      </c>
      <c r="AV313" s="15">
        <v>0</v>
      </c>
      <c r="AW313" s="15">
        <v>0</v>
      </c>
      <c r="AX313" s="15">
        <v>1</v>
      </c>
      <c r="AY313" s="15">
        <v>180</v>
      </c>
      <c r="AZ313" s="15">
        <v>52</v>
      </c>
      <c r="BA313" s="15">
        <v>46</v>
      </c>
      <c r="BB313" s="15">
        <v>0.88462</v>
      </c>
      <c r="BC313" s="15">
        <v>0</v>
      </c>
      <c r="BD313" s="15">
        <v>0</v>
      </c>
      <c r="BE313" s="15">
        <v>0.05255</v>
      </c>
      <c r="BF313" s="15">
        <v>97</v>
      </c>
      <c r="BG313" s="15">
        <v>3</v>
      </c>
      <c r="BH313" s="15">
        <v>0</v>
      </c>
      <c r="BI313" s="15"/>
      <c r="BJ313" s="15">
        <v>0</v>
      </c>
      <c r="BK313" s="15">
        <v>0</v>
      </c>
      <c r="BL313" s="15">
        <v>0</v>
      </c>
      <c r="BM313" s="15">
        <v>0</v>
      </c>
      <c r="BN313" s="15"/>
      <c r="BO313" s="15"/>
      <c r="BP313" s="15">
        <v>0</v>
      </c>
      <c r="BQ313" s="15">
        <v>115</v>
      </c>
    </row>
    <row r="314" spans="1:69">
      <c r="A314" s="16">
        <v>46037</v>
      </c>
      <c r="B314" s="15">
        <v>479</v>
      </c>
      <c r="C314" s="15" t="s">
        <v>39</v>
      </c>
      <c r="D314" s="15">
        <v>479</v>
      </c>
      <c r="E314" s="15" t="s">
        <v>39</v>
      </c>
      <c r="F314" s="15">
        <v>40</v>
      </c>
      <c r="G314" s="15">
        <v>24</v>
      </c>
      <c r="H314" s="15">
        <v>13.04</v>
      </c>
      <c r="I314" s="15">
        <v>0.6</v>
      </c>
      <c r="J314" s="15">
        <v>0.54</v>
      </c>
      <c r="K314" s="15">
        <v>326.09</v>
      </c>
      <c r="L314" s="15">
        <v>0</v>
      </c>
      <c r="M314" s="15">
        <v>0</v>
      </c>
      <c r="N314" s="15">
        <v>0</v>
      </c>
      <c r="O314" s="15">
        <v>0</v>
      </c>
      <c r="P314" s="15">
        <v>0</v>
      </c>
      <c r="Q314" s="15">
        <v>0</v>
      </c>
      <c r="R314" s="15">
        <v>0</v>
      </c>
      <c r="S314" s="15">
        <v>0</v>
      </c>
      <c r="T314" s="15">
        <v>0</v>
      </c>
      <c r="U314" s="15">
        <v>0</v>
      </c>
      <c r="V314" s="15">
        <v>0</v>
      </c>
      <c r="W314" s="15">
        <v>0</v>
      </c>
      <c r="X314" s="15">
        <v>0</v>
      </c>
      <c r="Y314" s="15">
        <v>0</v>
      </c>
      <c r="Z314" s="15">
        <v>0</v>
      </c>
      <c r="AA314" s="15"/>
      <c r="AB314" s="15">
        <v>11</v>
      </c>
      <c r="AC314" s="15">
        <v>0</v>
      </c>
      <c r="AD314" s="15">
        <v>11</v>
      </c>
      <c r="AE314" s="15">
        <v>0.45833</v>
      </c>
      <c r="AF314" s="15">
        <v>3</v>
      </c>
      <c r="AG314" s="15">
        <v>1</v>
      </c>
      <c r="AH314" s="15">
        <v>13.04</v>
      </c>
      <c r="AI314" s="15">
        <v>15</v>
      </c>
      <c r="AJ314" s="15">
        <v>0.87</v>
      </c>
      <c r="AK314" s="15">
        <v>14</v>
      </c>
      <c r="AL314" s="15">
        <v>0.93</v>
      </c>
      <c r="AM314" s="15">
        <v>4</v>
      </c>
      <c r="AN314" s="15">
        <v>4.35</v>
      </c>
      <c r="AO314" s="15">
        <v>0.125</v>
      </c>
      <c r="AP314" s="15">
        <v>1.19</v>
      </c>
      <c r="AQ314" s="15">
        <v>0</v>
      </c>
      <c r="AR314" s="15">
        <v>0</v>
      </c>
      <c r="AS314" s="15">
        <v>0</v>
      </c>
      <c r="AT314" s="15">
        <v>3</v>
      </c>
      <c r="AU314" s="15">
        <v>0</v>
      </c>
      <c r="AV314" s="15">
        <v>0</v>
      </c>
      <c r="AW314" s="15">
        <v>0</v>
      </c>
      <c r="AX314" s="15">
        <v>0</v>
      </c>
      <c r="AY314" s="15">
        <v>253</v>
      </c>
      <c r="AZ314" s="15">
        <v>22</v>
      </c>
      <c r="BA314" s="15">
        <v>12</v>
      </c>
      <c r="BB314" s="15">
        <v>0.54545</v>
      </c>
      <c r="BC314" s="15">
        <v>0</v>
      </c>
      <c r="BD314" s="15">
        <v>0</v>
      </c>
      <c r="BE314" s="15">
        <v>6.325</v>
      </c>
      <c r="BF314" s="15">
        <v>227</v>
      </c>
      <c r="BG314" s="15">
        <v>12</v>
      </c>
      <c r="BH314" s="15">
        <v>0</v>
      </c>
      <c r="BI314" s="15"/>
      <c r="BJ314" s="15">
        <v>0</v>
      </c>
      <c r="BK314" s="15">
        <v>0</v>
      </c>
      <c r="BL314" s="15">
        <v>0</v>
      </c>
      <c r="BM314" s="15">
        <v>0</v>
      </c>
      <c r="BN314" s="15"/>
      <c r="BO314" s="15"/>
      <c r="BP314" s="15">
        <v>0.01</v>
      </c>
      <c r="BQ314" s="15">
        <v>354</v>
      </c>
    </row>
    <row r="315" spans="1:69">
      <c r="A315" s="16">
        <v>46037</v>
      </c>
      <c r="B315" s="15">
        <v>372</v>
      </c>
      <c r="C315" s="15" t="s">
        <v>37</v>
      </c>
      <c r="D315" s="15">
        <v>372</v>
      </c>
      <c r="E315" s="15" t="s">
        <v>61</v>
      </c>
      <c r="F315" s="15">
        <v>2720</v>
      </c>
      <c r="G315" s="15">
        <v>81</v>
      </c>
      <c r="H315" s="15">
        <v>140.81</v>
      </c>
      <c r="I315" s="15">
        <v>0.02978</v>
      </c>
      <c r="J315" s="15">
        <v>1.74</v>
      </c>
      <c r="K315" s="15">
        <v>51.77</v>
      </c>
      <c r="L315" s="15">
        <v>0</v>
      </c>
      <c r="M315" s="15">
        <v>0</v>
      </c>
      <c r="N315" s="15">
        <v>0</v>
      </c>
      <c r="O315" s="15">
        <v>0</v>
      </c>
      <c r="P315" s="15">
        <v>0</v>
      </c>
      <c r="Q315" s="15">
        <v>0</v>
      </c>
      <c r="R315" s="15">
        <v>0</v>
      </c>
      <c r="S315" s="15">
        <v>0</v>
      </c>
      <c r="T315" s="15">
        <v>0</v>
      </c>
      <c r="U315" s="15">
        <v>0</v>
      </c>
      <c r="V315" s="15">
        <v>0</v>
      </c>
      <c r="W315" s="15">
        <v>0</v>
      </c>
      <c r="X315" s="15">
        <v>0</v>
      </c>
      <c r="Y315" s="15">
        <v>0</v>
      </c>
      <c r="Z315" s="15">
        <v>0</v>
      </c>
      <c r="AA315" s="15"/>
      <c r="AB315" s="15">
        <v>2</v>
      </c>
      <c r="AC315" s="15">
        <v>2</v>
      </c>
      <c r="AD315" s="15">
        <v>0</v>
      </c>
      <c r="AE315" s="15">
        <v>0.02469</v>
      </c>
      <c r="AF315" s="15">
        <v>1</v>
      </c>
      <c r="AG315" s="15">
        <v>0</v>
      </c>
      <c r="AH315" s="15"/>
      <c r="AI315" s="15">
        <v>3</v>
      </c>
      <c r="AJ315" s="15">
        <v>46.94</v>
      </c>
      <c r="AK315" s="15">
        <v>3</v>
      </c>
      <c r="AL315" s="15">
        <v>46.94</v>
      </c>
      <c r="AM315" s="15">
        <v>1</v>
      </c>
      <c r="AN315" s="15">
        <v>140.81</v>
      </c>
      <c r="AO315" s="15">
        <v>0.01235</v>
      </c>
      <c r="AP315" s="15">
        <v>70.41</v>
      </c>
      <c r="AQ315" s="15">
        <v>1</v>
      </c>
      <c r="AR315" s="15">
        <v>2049</v>
      </c>
      <c r="AS315" s="15">
        <v>0</v>
      </c>
      <c r="AT315" s="15">
        <v>1</v>
      </c>
      <c r="AU315" s="15">
        <v>1</v>
      </c>
      <c r="AV315" s="15">
        <v>0</v>
      </c>
      <c r="AW315" s="15">
        <v>0</v>
      </c>
      <c r="AX315" s="15">
        <v>1</v>
      </c>
      <c r="AY315" s="15">
        <v>167</v>
      </c>
      <c r="AZ315" s="15">
        <v>78</v>
      </c>
      <c r="BA315" s="15">
        <v>69</v>
      </c>
      <c r="BB315" s="15">
        <v>0.88462</v>
      </c>
      <c r="BC315" s="15">
        <v>0</v>
      </c>
      <c r="BD315" s="15">
        <v>0</v>
      </c>
      <c r="BE315" s="15">
        <v>0.0614</v>
      </c>
      <c r="BF315" s="15">
        <v>65</v>
      </c>
      <c r="BG315" s="15">
        <v>2</v>
      </c>
      <c r="BH315" s="15">
        <v>0</v>
      </c>
      <c r="BI315" s="15"/>
      <c r="BJ315" s="15">
        <v>0</v>
      </c>
      <c r="BK315" s="15">
        <v>0</v>
      </c>
      <c r="BL315" s="15">
        <v>0</v>
      </c>
      <c r="BM315" s="15">
        <v>0</v>
      </c>
      <c r="BN315" s="15"/>
      <c r="BO315" s="15"/>
      <c r="BP315" s="15">
        <v>0</v>
      </c>
      <c r="BQ315" s="15">
        <v>106</v>
      </c>
    </row>
    <row r="316" spans="1:69">
      <c r="A316" s="16">
        <v>46036</v>
      </c>
      <c r="B316" s="15">
        <v>183</v>
      </c>
      <c r="C316" s="15" t="s">
        <v>40</v>
      </c>
      <c r="D316" s="15">
        <v>183</v>
      </c>
      <c r="E316" s="15" t="s">
        <v>40</v>
      </c>
      <c r="F316" s="15">
        <v>4754</v>
      </c>
      <c r="G316" s="15">
        <v>110</v>
      </c>
      <c r="H316" s="15">
        <v>99.79</v>
      </c>
      <c r="I316" s="15">
        <v>0.02314</v>
      </c>
      <c r="J316" s="15">
        <v>0.91</v>
      </c>
      <c r="K316" s="15">
        <v>20.99</v>
      </c>
      <c r="L316" s="15">
        <v>0</v>
      </c>
      <c r="M316" s="15">
        <v>0</v>
      </c>
      <c r="N316" s="15">
        <v>0</v>
      </c>
      <c r="O316" s="15">
        <v>0</v>
      </c>
      <c r="P316" s="15">
        <v>0</v>
      </c>
      <c r="Q316" s="15">
        <v>0</v>
      </c>
      <c r="R316" s="15">
        <v>0</v>
      </c>
      <c r="S316" s="15">
        <v>0</v>
      </c>
      <c r="T316" s="15">
        <v>0</v>
      </c>
      <c r="U316" s="15">
        <v>0</v>
      </c>
      <c r="V316" s="15">
        <v>0</v>
      </c>
      <c r="W316" s="15">
        <v>0</v>
      </c>
      <c r="X316" s="15">
        <v>0</v>
      </c>
      <c r="Y316" s="15">
        <v>0</v>
      </c>
      <c r="Z316" s="15">
        <v>0</v>
      </c>
      <c r="AA316" s="15"/>
      <c r="AB316" s="15">
        <v>1</v>
      </c>
      <c r="AC316" s="15">
        <v>1</v>
      </c>
      <c r="AD316" s="15">
        <v>0</v>
      </c>
      <c r="AE316" s="15">
        <v>0.00909</v>
      </c>
      <c r="AF316" s="15">
        <v>1</v>
      </c>
      <c r="AG316" s="15">
        <v>0</v>
      </c>
      <c r="AH316" s="15"/>
      <c r="AI316" s="15">
        <v>2</v>
      </c>
      <c r="AJ316" s="15">
        <v>49.9</v>
      </c>
      <c r="AK316" s="15">
        <v>2</v>
      </c>
      <c r="AL316" s="15">
        <v>49.9</v>
      </c>
      <c r="AM316" s="15">
        <v>1</v>
      </c>
      <c r="AN316" s="15">
        <v>99.79</v>
      </c>
      <c r="AO316" s="15">
        <v>0.00909</v>
      </c>
      <c r="AP316" s="15">
        <v>99.79</v>
      </c>
      <c r="AQ316" s="15">
        <v>0</v>
      </c>
      <c r="AR316" s="15">
        <v>0</v>
      </c>
      <c r="AS316" s="15">
        <v>1</v>
      </c>
      <c r="AT316" s="15">
        <v>0</v>
      </c>
      <c r="AU316" s="15">
        <v>0</v>
      </c>
      <c r="AV316" s="15">
        <v>0</v>
      </c>
      <c r="AW316" s="15">
        <v>0</v>
      </c>
      <c r="AX316" s="15">
        <v>1</v>
      </c>
      <c r="AY316" s="15">
        <v>102</v>
      </c>
      <c r="AZ316" s="15">
        <v>41</v>
      </c>
      <c r="BA316" s="15">
        <v>33</v>
      </c>
      <c r="BB316" s="15">
        <v>0.80488</v>
      </c>
      <c r="BC316" s="15">
        <v>0</v>
      </c>
      <c r="BD316" s="15">
        <v>0</v>
      </c>
      <c r="BE316" s="15">
        <v>0.02146</v>
      </c>
      <c r="BF316" s="15">
        <v>51</v>
      </c>
      <c r="BG316" s="15">
        <v>2</v>
      </c>
      <c r="BH316" s="15">
        <v>0</v>
      </c>
      <c r="BI316" s="15"/>
      <c r="BJ316" s="15">
        <v>0</v>
      </c>
      <c r="BK316" s="15">
        <v>0</v>
      </c>
      <c r="BL316" s="15">
        <v>0</v>
      </c>
      <c r="BM316" s="15">
        <v>0</v>
      </c>
      <c r="BN316" s="15"/>
      <c r="BO316" s="15"/>
      <c r="BP316" s="15">
        <v>2.33</v>
      </c>
      <c r="BQ316" s="15">
        <v>24</v>
      </c>
    </row>
    <row r="317" spans="1:69">
      <c r="A317" s="16">
        <v>46036</v>
      </c>
      <c r="B317" s="15">
        <v>436</v>
      </c>
      <c r="C317" s="15" t="s">
        <v>38</v>
      </c>
      <c r="D317" s="15">
        <v>436</v>
      </c>
      <c r="E317" s="15" t="s">
        <v>38</v>
      </c>
      <c r="F317" s="15">
        <v>1356</v>
      </c>
      <c r="G317" s="15">
        <v>53</v>
      </c>
      <c r="H317" s="15">
        <v>91.78</v>
      </c>
      <c r="I317" s="15">
        <v>0.03909</v>
      </c>
      <c r="J317" s="15">
        <v>1.73</v>
      </c>
      <c r="K317" s="15">
        <v>67.68</v>
      </c>
      <c r="L317" s="15">
        <v>0</v>
      </c>
      <c r="M317" s="15">
        <v>0</v>
      </c>
      <c r="N317" s="15">
        <v>0</v>
      </c>
      <c r="O317" s="15">
        <v>0</v>
      </c>
      <c r="P317" s="15">
        <v>0</v>
      </c>
      <c r="Q317" s="15">
        <v>0</v>
      </c>
      <c r="R317" s="15">
        <v>0</v>
      </c>
      <c r="S317" s="15">
        <v>0</v>
      </c>
      <c r="T317" s="15">
        <v>0</v>
      </c>
      <c r="U317" s="15">
        <v>0</v>
      </c>
      <c r="V317" s="15">
        <v>0</v>
      </c>
      <c r="W317" s="15">
        <v>0</v>
      </c>
      <c r="X317" s="15">
        <v>0</v>
      </c>
      <c r="Y317" s="15">
        <v>0</v>
      </c>
      <c r="Z317" s="15">
        <v>0</v>
      </c>
      <c r="AA317" s="15"/>
      <c r="AB317" s="15">
        <v>2</v>
      </c>
      <c r="AC317" s="15">
        <v>0</v>
      </c>
      <c r="AD317" s="15">
        <v>2</v>
      </c>
      <c r="AE317" s="15">
        <v>0.03774</v>
      </c>
      <c r="AF317" s="15">
        <v>1</v>
      </c>
      <c r="AG317" s="15">
        <v>2</v>
      </c>
      <c r="AH317" s="15">
        <v>45.89</v>
      </c>
      <c r="AI317" s="15">
        <v>5</v>
      </c>
      <c r="AJ317" s="15">
        <v>18.36</v>
      </c>
      <c r="AK317" s="15">
        <v>3</v>
      </c>
      <c r="AL317" s="15">
        <v>30.59</v>
      </c>
      <c r="AM317" s="15">
        <v>3</v>
      </c>
      <c r="AN317" s="15">
        <v>91.78</v>
      </c>
      <c r="AO317" s="15">
        <v>0.01887</v>
      </c>
      <c r="AP317" s="15">
        <v>45.89</v>
      </c>
      <c r="AQ317" s="15">
        <v>0</v>
      </c>
      <c r="AR317" s="15">
        <v>0</v>
      </c>
      <c r="AS317" s="15">
        <v>0</v>
      </c>
      <c r="AT317" s="15">
        <v>1</v>
      </c>
      <c r="AU317" s="15">
        <v>0</v>
      </c>
      <c r="AV317" s="15">
        <v>0</v>
      </c>
      <c r="AW317" s="15">
        <v>0</v>
      </c>
      <c r="AX317" s="15">
        <v>0</v>
      </c>
      <c r="AY317" s="15">
        <v>268</v>
      </c>
      <c r="AZ317" s="15">
        <v>43</v>
      </c>
      <c r="BA317" s="15">
        <v>28</v>
      </c>
      <c r="BB317" s="15">
        <v>0.65116</v>
      </c>
      <c r="BC317" s="15">
        <v>0</v>
      </c>
      <c r="BD317" s="15">
        <v>0</v>
      </c>
      <c r="BE317" s="15">
        <v>0.19764</v>
      </c>
      <c r="BF317" s="15">
        <v>211</v>
      </c>
      <c r="BG317" s="15">
        <v>6</v>
      </c>
      <c r="BH317" s="15">
        <v>0</v>
      </c>
      <c r="BI317" s="15"/>
      <c r="BJ317" s="15">
        <v>0</v>
      </c>
      <c r="BK317" s="15">
        <v>0</v>
      </c>
      <c r="BL317" s="15">
        <v>0</v>
      </c>
      <c r="BM317" s="15">
        <v>0</v>
      </c>
      <c r="BN317" s="15"/>
      <c r="BO317" s="15"/>
      <c r="BP317" s="15">
        <v>0</v>
      </c>
      <c r="BQ317" s="15">
        <v>121</v>
      </c>
    </row>
    <row r="318" spans="1:69">
      <c r="A318" s="16">
        <v>46036</v>
      </c>
      <c r="B318" s="15">
        <v>372</v>
      </c>
      <c r="C318" s="15" t="s">
        <v>37</v>
      </c>
      <c r="D318" s="15">
        <v>372</v>
      </c>
      <c r="E318" s="15" t="s">
        <v>61</v>
      </c>
      <c r="F318" s="15">
        <v>3265</v>
      </c>
      <c r="G318" s="15">
        <v>86</v>
      </c>
      <c r="H318" s="15">
        <v>179.06</v>
      </c>
      <c r="I318" s="15">
        <v>0.02634</v>
      </c>
      <c r="J318" s="15">
        <v>2.08</v>
      </c>
      <c r="K318" s="15">
        <v>54.84</v>
      </c>
      <c r="L318" s="15">
        <v>0</v>
      </c>
      <c r="M318" s="15">
        <v>0</v>
      </c>
      <c r="N318" s="15">
        <v>0</v>
      </c>
      <c r="O318" s="15">
        <v>0</v>
      </c>
      <c r="P318" s="15">
        <v>0</v>
      </c>
      <c r="Q318" s="15">
        <v>0</v>
      </c>
      <c r="R318" s="15">
        <v>339.15</v>
      </c>
      <c r="S318" s="15">
        <v>0</v>
      </c>
      <c r="T318" s="15">
        <v>339.15</v>
      </c>
      <c r="U318" s="15">
        <v>1</v>
      </c>
      <c r="V318" s="15">
        <v>1</v>
      </c>
      <c r="W318" s="15">
        <v>0</v>
      </c>
      <c r="X318" s="15">
        <v>0.01163</v>
      </c>
      <c r="Y318" s="15">
        <v>1.89</v>
      </c>
      <c r="Z318" s="15">
        <v>1.89</v>
      </c>
      <c r="AA318" s="15">
        <v>179.06</v>
      </c>
      <c r="AB318" s="15">
        <v>4</v>
      </c>
      <c r="AC318" s="15">
        <v>3</v>
      </c>
      <c r="AD318" s="15">
        <v>1</v>
      </c>
      <c r="AE318" s="15">
        <v>0.04651</v>
      </c>
      <c r="AF318" s="15">
        <v>3</v>
      </c>
      <c r="AG318" s="15">
        <v>2</v>
      </c>
      <c r="AH318" s="15">
        <v>89.53</v>
      </c>
      <c r="AI318" s="15">
        <v>9</v>
      </c>
      <c r="AJ318" s="15">
        <v>19.9</v>
      </c>
      <c r="AK318" s="15">
        <v>7</v>
      </c>
      <c r="AL318" s="15">
        <v>25.58</v>
      </c>
      <c r="AM318" s="15">
        <v>5</v>
      </c>
      <c r="AN318" s="15">
        <v>59.69</v>
      </c>
      <c r="AO318" s="15">
        <v>0.03488</v>
      </c>
      <c r="AP318" s="15">
        <v>44.77</v>
      </c>
      <c r="AQ318" s="15">
        <v>2</v>
      </c>
      <c r="AR318" s="15">
        <v>498</v>
      </c>
      <c r="AS318" s="15">
        <v>2</v>
      </c>
      <c r="AT318" s="15">
        <v>1</v>
      </c>
      <c r="AU318" s="15">
        <v>1</v>
      </c>
      <c r="AV318" s="15">
        <v>0</v>
      </c>
      <c r="AW318" s="15">
        <v>0</v>
      </c>
      <c r="AX318" s="15">
        <v>0</v>
      </c>
      <c r="AY318" s="15">
        <v>208</v>
      </c>
      <c r="AZ318" s="15">
        <v>78</v>
      </c>
      <c r="BA318" s="15">
        <v>70</v>
      </c>
      <c r="BB318" s="15">
        <v>0.89744</v>
      </c>
      <c r="BC318" s="15">
        <v>0</v>
      </c>
      <c r="BD318" s="15">
        <v>0</v>
      </c>
      <c r="BE318" s="15">
        <v>0.06371</v>
      </c>
      <c r="BF318" s="15">
        <v>100</v>
      </c>
      <c r="BG318" s="15">
        <v>3</v>
      </c>
      <c r="BH318" s="15">
        <v>1</v>
      </c>
      <c r="BI318" s="15">
        <v>1</v>
      </c>
      <c r="BJ318" s="15">
        <v>0</v>
      </c>
      <c r="BK318" s="15">
        <v>0</v>
      </c>
      <c r="BL318" s="15">
        <v>0</v>
      </c>
      <c r="BM318" s="15">
        <v>1</v>
      </c>
      <c r="BN318" s="15">
        <v>1</v>
      </c>
      <c r="BO318" s="15">
        <v>339.15</v>
      </c>
      <c r="BP318" s="15">
        <v>0.49</v>
      </c>
      <c r="BQ318" s="15">
        <v>321</v>
      </c>
    </row>
    <row r="319" spans="1:69">
      <c r="A319" s="16">
        <v>46036</v>
      </c>
      <c r="B319" s="15">
        <v>479</v>
      </c>
      <c r="C319" s="15" t="s">
        <v>39</v>
      </c>
      <c r="D319" s="15">
        <v>479</v>
      </c>
      <c r="E319" s="15" t="s">
        <v>39</v>
      </c>
      <c r="F319" s="15">
        <v>45</v>
      </c>
      <c r="G319" s="15">
        <v>16</v>
      </c>
      <c r="H319" s="15">
        <v>14.58</v>
      </c>
      <c r="I319" s="15">
        <v>0.35556</v>
      </c>
      <c r="J319" s="15">
        <v>0.91</v>
      </c>
      <c r="K319" s="15">
        <v>324.07</v>
      </c>
      <c r="L319" s="15">
        <v>0</v>
      </c>
      <c r="M319" s="15">
        <v>0</v>
      </c>
      <c r="N319" s="15">
        <v>0</v>
      </c>
      <c r="O319" s="15">
        <v>0</v>
      </c>
      <c r="P319" s="15">
        <v>0</v>
      </c>
      <c r="Q319" s="15">
        <v>0</v>
      </c>
      <c r="R319" s="15">
        <v>0</v>
      </c>
      <c r="S319" s="15">
        <v>0</v>
      </c>
      <c r="T319" s="15">
        <v>0</v>
      </c>
      <c r="U319" s="15">
        <v>0</v>
      </c>
      <c r="V319" s="15">
        <v>0</v>
      </c>
      <c r="W319" s="15">
        <v>0</v>
      </c>
      <c r="X319" s="15">
        <v>0</v>
      </c>
      <c r="Y319" s="15">
        <v>0</v>
      </c>
      <c r="Z319" s="15">
        <v>0</v>
      </c>
      <c r="AA319" s="15"/>
      <c r="AB319" s="15">
        <v>0</v>
      </c>
      <c r="AC319" s="15">
        <v>0</v>
      </c>
      <c r="AD319" s="15">
        <v>0</v>
      </c>
      <c r="AE319" s="15">
        <v>0</v>
      </c>
      <c r="AF319" s="15">
        <v>4</v>
      </c>
      <c r="AG319" s="15">
        <v>1</v>
      </c>
      <c r="AH319" s="15">
        <v>14.58</v>
      </c>
      <c r="AI319" s="15">
        <v>5</v>
      </c>
      <c r="AJ319" s="15">
        <v>2.92</v>
      </c>
      <c r="AK319" s="15">
        <v>4</v>
      </c>
      <c r="AL319" s="15">
        <v>3.65</v>
      </c>
      <c r="AM319" s="15">
        <v>5</v>
      </c>
      <c r="AN319" s="15">
        <v>3.65</v>
      </c>
      <c r="AO319" s="15">
        <v>0.25</v>
      </c>
      <c r="AP319" s="15"/>
      <c r="AQ319" s="15">
        <v>0</v>
      </c>
      <c r="AR319" s="15">
        <v>0</v>
      </c>
      <c r="AS319" s="15">
        <v>0</v>
      </c>
      <c r="AT319" s="15">
        <v>4</v>
      </c>
      <c r="AU319" s="15">
        <v>0</v>
      </c>
      <c r="AV319" s="15">
        <v>0</v>
      </c>
      <c r="AW319" s="15">
        <v>0</v>
      </c>
      <c r="AX319" s="15">
        <v>0</v>
      </c>
      <c r="AY319" s="15">
        <v>133</v>
      </c>
      <c r="AZ319" s="15">
        <v>12</v>
      </c>
      <c r="BA319" s="15">
        <v>9</v>
      </c>
      <c r="BB319" s="15">
        <v>0.75</v>
      </c>
      <c r="BC319" s="15">
        <v>0</v>
      </c>
      <c r="BD319" s="15">
        <v>0</v>
      </c>
      <c r="BE319" s="15">
        <v>2.95556</v>
      </c>
      <c r="BF319" s="15">
        <v>117</v>
      </c>
      <c r="BG319" s="15">
        <v>11</v>
      </c>
      <c r="BH319" s="15">
        <v>0</v>
      </c>
      <c r="BI319" s="15"/>
      <c r="BJ319" s="15">
        <v>0</v>
      </c>
      <c r="BK319" s="15">
        <v>0</v>
      </c>
      <c r="BL319" s="15">
        <v>0</v>
      </c>
      <c r="BM319" s="15">
        <v>0</v>
      </c>
      <c r="BN319" s="15"/>
      <c r="BO319" s="15"/>
      <c r="BP319" s="15">
        <v>0</v>
      </c>
      <c r="BQ319" s="15">
        <v>31</v>
      </c>
    </row>
    <row r="320" spans="1:69">
      <c r="A320" s="16">
        <v>46035</v>
      </c>
      <c r="B320" s="15">
        <v>436</v>
      </c>
      <c r="C320" s="15" t="s">
        <v>38</v>
      </c>
      <c r="D320" s="15">
        <v>436</v>
      </c>
      <c r="E320" s="15" t="s">
        <v>38</v>
      </c>
      <c r="F320" s="15">
        <v>1019</v>
      </c>
      <c r="G320" s="15">
        <v>35</v>
      </c>
      <c r="H320" s="15">
        <v>85.53</v>
      </c>
      <c r="I320" s="15">
        <v>0.03435</v>
      </c>
      <c r="J320" s="15">
        <v>2.44</v>
      </c>
      <c r="K320" s="15">
        <v>83.94</v>
      </c>
      <c r="L320" s="15">
        <v>0</v>
      </c>
      <c r="M320" s="15">
        <v>0</v>
      </c>
      <c r="N320" s="15">
        <v>0</v>
      </c>
      <c r="O320" s="15">
        <v>0</v>
      </c>
      <c r="P320" s="15">
        <v>0</v>
      </c>
      <c r="Q320" s="15">
        <v>0</v>
      </c>
      <c r="R320" s="15">
        <v>0</v>
      </c>
      <c r="S320" s="15">
        <v>868.61</v>
      </c>
      <c r="T320" s="15">
        <v>868.61</v>
      </c>
      <c r="U320" s="15">
        <v>3</v>
      </c>
      <c r="V320" s="15">
        <v>0</v>
      </c>
      <c r="W320" s="15">
        <v>3</v>
      </c>
      <c r="X320" s="15">
        <v>0.08571</v>
      </c>
      <c r="Y320" s="15">
        <v>10.16</v>
      </c>
      <c r="Z320" s="15">
        <v>10.16</v>
      </c>
      <c r="AA320" s="15">
        <v>28.51</v>
      </c>
      <c r="AB320" s="15">
        <v>11</v>
      </c>
      <c r="AC320" s="15">
        <v>2</v>
      </c>
      <c r="AD320" s="15">
        <v>9</v>
      </c>
      <c r="AE320" s="15">
        <v>0.31429</v>
      </c>
      <c r="AF320" s="15">
        <v>7</v>
      </c>
      <c r="AG320" s="15">
        <v>1</v>
      </c>
      <c r="AH320" s="15">
        <v>85.53</v>
      </c>
      <c r="AI320" s="15">
        <v>19</v>
      </c>
      <c r="AJ320" s="15">
        <v>4.5</v>
      </c>
      <c r="AK320" s="15">
        <v>18</v>
      </c>
      <c r="AL320" s="15">
        <v>4.75</v>
      </c>
      <c r="AM320" s="15">
        <v>8</v>
      </c>
      <c r="AN320" s="15">
        <v>12.22</v>
      </c>
      <c r="AO320" s="15">
        <v>0.2</v>
      </c>
      <c r="AP320" s="15">
        <v>7.78</v>
      </c>
      <c r="AQ320" s="15">
        <v>5</v>
      </c>
      <c r="AR320" s="15">
        <v>1152</v>
      </c>
      <c r="AS320" s="15">
        <v>0</v>
      </c>
      <c r="AT320" s="15">
        <v>7</v>
      </c>
      <c r="AU320" s="15">
        <v>2</v>
      </c>
      <c r="AV320" s="15">
        <v>0</v>
      </c>
      <c r="AW320" s="15">
        <v>0</v>
      </c>
      <c r="AX320" s="15">
        <v>0</v>
      </c>
      <c r="AY320" s="15">
        <v>101</v>
      </c>
      <c r="AZ320" s="15">
        <v>30</v>
      </c>
      <c r="BA320" s="15">
        <v>19</v>
      </c>
      <c r="BB320" s="15">
        <v>0.63333</v>
      </c>
      <c r="BC320" s="15">
        <v>0</v>
      </c>
      <c r="BD320" s="15">
        <v>0</v>
      </c>
      <c r="BE320" s="15">
        <v>0.09912</v>
      </c>
      <c r="BF320" s="15">
        <v>64</v>
      </c>
      <c r="BG320" s="15">
        <v>3</v>
      </c>
      <c r="BH320" s="15">
        <v>1</v>
      </c>
      <c r="BI320" s="15">
        <v>0.5</v>
      </c>
      <c r="BJ320" s="15">
        <v>0</v>
      </c>
      <c r="BK320" s="15">
        <v>0</v>
      </c>
      <c r="BL320" s="15">
        <v>0</v>
      </c>
      <c r="BM320" s="15">
        <v>2</v>
      </c>
      <c r="BN320" s="15">
        <v>2</v>
      </c>
      <c r="BO320" s="15">
        <v>434.31</v>
      </c>
      <c r="BP320" s="15">
        <v>0</v>
      </c>
      <c r="BQ320" s="15">
        <v>1543</v>
      </c>
    </row>
    <row r="321" spans="1:69">
      <c r="A321" s="16">
        <v>46035</v>
      </c>
      <c r="B321" s="15">
        <v>183</v>
      </c>
      <c r="C321" s="15" t="s">
        <v>40</v>
      </c>
      <c r="D321" s="15">
        <v>183</v>
      </c>
      <c r="E321" s="15" t="s">
        <v>40</v>
      </c>
      <c r="F321" s="15">
        <v>3852</v>
      </c>
      <c r="G321" s="15">
        <v>88</v>
      </c>
      <c r="H321" s="15">
        <v>100</v>
      </c>
      <c r="I321" s="15">
        <v>0.02285</v>
      </c>
      <c r="J321" s="15">
        <v>1.14</v>
      </c>
      <c r="K321" s="15">
        <v>25.96</v>
      </c>
      <c r="L321" s="15">
        <v>0</v>
      </c>
      <c r="M321" s="15">
        <v>0</v>
      </c>
      <c r="N321" s="15">
        <v>0</v>
      </c>
      <c r="O321" s="15">
        <v>0</v>
      </c>
      <c r="P321" s="15">
        <v>0</v>
      </c>
      <c r="Q321" s="15">
        <v>0</v>
      </c>
      <c r="R321" s="15">
        <v>0</v>
      </c>
      <c r="S321" s="15">
        <v>0</v>
      </c>
      <c r="T321" s="15">
        <v>0</v>
      </c>
      <c r="U321" s="15">
        <v>0</v>
      </c>
      <c r="V321" s="15">
        <v>0</v>
      </c>
      <c r="W321" s="15">
        <v>0</v>
      </c>
      <c r="X321" s="15">
        <v>0</v>
      </c>
      <c r="Y321" s="15">
        <v>0</v>
      </c>
      <c r="Z321" s="15">
        <v>0</v>
      </c>
      <c r="AA321" s="15"/>
      <c r="AB321" s="15">
        <v>4</v>
      </c>
      <c r="AC321" s="15">
        <v>4</v>
      </c>
      <c r="AD321" s="15">
        <v>0</v>
      </c>
      <c r="AE321" s="15">
        <v>0.04545</v>
      </c>
      <c r="AF321" s="15">
        <v>2</v>
      </c>
      <c r="AG321" s="15">
        <v>0</v>
      </c>
      <c r="AH321" s="15"/>
      <c r="AI321" s="15">
        <v>6</v>
      </c>
      <c r="AJ321" s="15">
        <v>16.67</v>
      </c>
      <c r="AK321" s="15">
        <v>6</v>
      </c>
      <c r="AL321" s="15">
        <v>16.67</v>
      </c>
      <c r="AM321" s="15">
        <v>2</v>
      </c>
      <c r="AN321" s="15">
        <v>50</v>
      </c>
      <c r="AO321" s="15">
        <v>0.02273</v>
      </c>
      <c r="AP321" s="15">
        <v>25</v>
      </c>
      <c r="AQ321" s="15">
        <v>0</v>
      </c>
      <c r="AR321" s="15">
        <v>0</v>
      </c>
      <c r="AS321" s="15">
        <v>2</v>
      </c>
      <c r="AT321" s="15">
        <v>0</v>
      </c>
      <c r="AU321" s="15">
        <v>0</v>
      </c>
      <c r="AV321" s="15">
        <v>0</v>
      </c>
      <c r="AW321" s="15">
        <v>0</v>
      </c>
      <c r="AX321" s="15">
        <v>0</v>
      </c>
      <c r="AY321" s="15">
        <v>139</v>
      </c>
      <c r="AZ321" s="15">
        <v>58</v>
      </c>
      <c r="BA321" s="15">
        <v>45</v>
      </c>
      <c r="BB321" s="15">
        <v>0.77586</v>
      </c>
      <c r="BC321" s="15">
        <v>0</v>
      </c>
      <c r="BD321" s="15">
        <v>0</v>
      </c>
      <c r="BE321" s="15">
        <v>0.03609</v>
      </c>
      <c r="BF321" s="15">
        <v>65</v>
      </c>
      <c r="BG321" s="15">
        <v>2</v>
      </c>
      <c r="BH321" s="15">
        <v>0</v>
      </c>
      <c r="BI321" s="15"/>
      <c r="BJ321" s="15">
        <v>0</v>
      </c>
      <c r="BK321" s="15">
        <v>0</v>
      </c>
      <c r="BL321" s="15">
        <v>0</v>
      </c>
      <c r="BM321" s="15">
        <v>0</v>
      </c>
      <c r="BN321" s="15"/>
      <c r="BO321" s="15"/>
      <c r="BP321" s="15">
        <v>1.08</v>
      </c>
      <c r="BQ321" s="15">
        <v>85</v>
      </c>
    </row>
    <row r="322" spans="1:69">
      <c r="A322" s="16">
        <v>46035</v>
      </c>
      <c r="B322" s="15">
        <v>479</v>
      </c>
      <c r="C322" s="15" t="s">
        <v>39</v>
      </c>
      <c r="D322" s="15">
        <v>479</v>
      </c>
      <c r="E322" s="15" t="s">
        <v>39</v>
      </c>
      <c r="F322" s="15">
        <v>42</v>
      </c>
      <c r="G322" s="15">
        <v>25</v>
      </c>
      <c r="H322" s="15">
        <v>13.56</v>
      </c>
      <c r="I322" s="15">
        <v>0.59524</v>
      </c>
      <c r="J322" s="15">
        <v>0.54</v>
      </c>
      <c r="K322" s="15">
        <v>322.94</v>
      </c>
      <c r="L322" s="15">
        <v>0</v>
      </c>
      <c r="M322" s="15">
        <v>0</v>
      </c>
      <c r="N322" s="15">
        <v>0</v>
      </c>
      <c r="O322" s="15">
        <v>0</v>
      </c>
      <c r="P322" s="15">
        <v>0</v>
      </c>
      <c r="Q322" s="15">
        <v>0</v>
      </c>
      <c r="R322" s="15">
        <v>142.8</v>
      </c>
      <c r="S322" s="15">
        <v>0</v>
      </c>
      <c r="T322" s="15">
        <v>142.8</v>
      </c>
      <c r="U322" s="15">
        <v>1</v>
      </c>
      <c r="V322" s="15">
        <v>1</v>
      </c>
      <c r="W322" s="15">
        <v>0</v>
      </c>
      <c r="X322" s="15">
        <v>0.04</v>
      </c>
      <c r="Y322" s="15">
        <v>10.53</v>
      </c>
      <c r="Z322" s="15">
        <v>10.53</v>
      </c>
      <c r="AA322" s="15">
        <v>13.56</v>
      </c>
      <c r="AB322" s="15">
        <v>6</v>
      </c>
      <c r="AC322" s="15">
        <v>0</v>
      </c>
      <c r="AD322" s="15">
        <v>6</v>
      </c>
      <c r="AE322" s="15">
        <v>0.24</v>
      </c>
      <c r="AF322" s="15">
        <v>0</v>
      </c>
      <c r="AG322" s="15">
        <v>0</v>
      </c>
      <c r="AH322" s="15"/>
      <c r="AI322" s="15">
        <v>6</v>
      </c>
      <c r="AJ322" s="15">
        <v>2.26</v>
      </c>
      <c r="AK322" s="15">
        <v>6</v>
      </c>
      <c r="AL322" s="15">
        <v>2.26</v>
      </c>
      <c r="AM322" s="15">
        <v>0</v>
      </c>
      <c r="AN322" s="15"/>
      <c r="AO322" s="15">
        <v>0</v>
      </c>
      <c r="AP322" s="15">
        <v>2.26</v>
      </c>
      <c r="AQ322" s="15">
        <v>2</v>
      </c>
      <c r="AR322" s="15">
        <v>217.9</v>
      </c>
      <c r="AS322" s="15">
        <v>0</v>
      </c>
      <c r="AT322" s="15">
        <v>0</v>
      </c>
      <c r="AU322" s="15">
        <v>1</v>
      </c>
      <c r="AV322" s="15">
        <v>0</v>
      </c>
      <c r="AW322" s="15">
        <v>0</v>
      </c>
      <c r="AX322" s="15">
        <v>0</v>
      </c>
      <c r="AY322" s="15">
        <v>214</v>
      </c>
      <c r="AZ322" s="15">
        <v>22</v>
      </c>
      <c r="BA322" s="15">
        <v>12</v>
      </c>
      <c r="BB322" s="15">
        <v>0.54545</v>
      </c>
      <c r="BC322" s="15">
        <v>0</v>
      </c>
      <c r="BD322" s="15">
        <v>0</v>
      </c>
      <c r="BE322" s="15">
        <v>5.09524</v>
      </c>
      <c r="BF322" s="15">
        <v>184</v>
      </c>
      <c r="BG322" s="15">
        <v>10</v>
      </c>
      <c r="BH322" s="15">
        <v>1</v>
      </c>
      <c r="BI322" s="15">
        <v>1</v>
      </c>
      <c r="BJ322" s="15">
        <v>0</v>
      </c>
      <c r="BK322" s="15">
        <v>0</v>
      </c>
      <c r="BL322" s="15">
        <v>0</v>
      </c>
      <c r="BM322" s="15">
        <v>1</v>
      </c>
      <c r="BN322" s="15">
        <v>1</v>
      </c>
      <c r="BO322" s="15">
        <v>142.8</v>
      </c>
      <c r="BP322" s="15">
        <v>111.7</v>
      </c>
      <c r="BQ322" s="15">
        <v>267</v>
      </c>
    </row>
    <row r="323" spans="1:69">
      <c r="A323" s="16">
        <v>46035</v>
      </c>
      <c r="B323" s="15">
        <v>372</v>
      </c>
      <c r="C323" s="15" t="s">
        <v>37</v>
      </c>
      <c r="D323" s="15">
        <v>372</v>
      </c>
      <c r="E323" s="15" t="s">
        <v>61</v>
      </c>
      <c r="F323" s="15">
        <v>3017</v>
      </c>
      <c r="G323" s="15">
        <v>71</v>
      </c>
      <c r="H323" s="15">
        <v>144.22</v>
      </c>
      <c r="I323" s="15">
        <v>0.02353</v>
      </c>
      <c r="J323" s="15">
        <v>2.03</v>
      </c>
      <c r="K323" s="15">
        <v>47.8</v>
      </c>
      <c r="L323" s="15">
        <v>0</v>
      </c>
      <c r="M323" s="15">
        <v>0</v>
      </c>
      <c r="N323" s="15">
        <v>0</v>
      </c>
      <c r="O323" s="15">
        <v>0</v>
      </c>
      <c r="P323" s="15">
        <v>0</v>
      </c>
      <c r="Q323" s="15">
        <v>0</v>
      </c>
      <c r="R323" s="15">
        <v>0</v>
      </c>
      <c r="S323" s="15">
        <v>59.86</v>
      </c>
      <c r="T323" s="15">
        <v>59.86</v>
      </c>
      <c r="U323" s="15">
        <v>1</v>
      </c>
      <c r="V323" s="15">
        <v>0</v>
      </c>
      <c r="W323" s="15">
        <v>1</v>
      </c>
      <c r="X323" s="15">
        <v>0.01408</v>
      </c>
      <c r="Y323" s="15">
        <v>0.42</v>
      </c>
      <c r="Z323" s="15">
        <v>0.42</v>
      </c>
      <c r="AA323" s="15">
        <v>144.22</v>
      </c>
      <c r="AB323" s="15">
        <v>5</v>
      </c>
      <c r="AC323" s="15">
        <v>1</v>
      </c>
      <c r="AD323" s="15">
        <v>4</v>
      </c>
      <c r="AE323" s="15">
        <v>0.07042</v>
      </c>
      <c r="AF323" s="15">
        <v>2</v>
      </c>
      <c r="AG323" s="15">
        <v>1</v>
      </c>
      <c r="AH323" s="15">
        <v>144.22</v>
      </c>
      <c r="AI323" s="15">
        <v>8</v>
      </c>
      <c r="AJ323" s="15">
        <v>18.03</v>
      </c>
      <c r="AK323" s="15">
        <v>7</v>
      </c>
      <c r="AL323" s="15">
        <v>20.6</v>
      </c>
      <c r="AM323" s="15">
        <v>3</v>
      </c>
      <c r="AN323" s="15">
        <v>72.11</v>
      </c>
      <c r="AO323" s="15">
        <v>0.02817</v>
      </c>
      <c r="AP323" s="15">
        <v>28.84</v>
      </c>
      <c r="AQ323" s="15">
        <v>2</v>
      </c>
      <c r="AR323" s="15">
        <v>149.7</v>
      </c>
      <c r="AS323" s="15">
        <v>1</v>
      </c>
      <c r="AT323" s="15">
        <v>1</v>
      </c>
      <c r="AU323" s="15">
        <v>0</v>
      </c>
      <c r="AV323" s="15">
        <v>0</v>
      </c>
      <c r="AW323" s="15">
        <v>0</v>
      </c>
      <c r="AX323" s="15">
        <v>1</v>
      </c>
      <c r="AY323" s="15">
        <v>164</v>
      </c>
      <c r="AZ323" s="15">
        <v>64</v>
      </c>
      <c r="BA323" s="15">
        <v>55</v>
      </c>
      <c r="BB323" s="15">
        <v>0.85938</v>
      </c>
      <c r="BC323" s="15">
        <v>0</v>
      </c>
      <c r="BD323" s="15">
        <v>0</v>
      </c>
      <c r="BE323" s="15">
        <v>0.05436</v>
      </c>
      <c r="BF323" s="15">
        <v>84</v>
      </c>
      <c r="BG323" s="15">
        <v>3</v>
      </c>
      <c r="BH323" s="15">
        <v>1</v>
      </c>
      <c r="BI323" s="15">
        <v>1</v>
      </c>
      <c r="BJ323" s="15">
        <v>0</v>
      </c>
      <c r="BK323" s="15">
        <v>0</v>
      </c>
      <c r="BL323" s="15">
        <v>0</v>
      </c>
      <c r="BM323" s="15">
        <v>1</v>
      </c>
      <c r="BN323" s="15">
        <v>1</v>
      </c>
      <c r="BO323" s="15">
        <v>59.86</v>
      </c>
      <c r="BP323" s="15">
        <v>12</v>
      </c>
      <c r="BQ323" s="15">
        <v>131</v>
      </c>
    </row>
    <row r="324" spans="1:69">
      <c r="A324" s="16">
        <v>46034</v>
      </c>
      <c r="B324" s="15">
        <v>479</v>
      </c>
      <c r="C324" s="15" t="s">
        <v>39</v>
      </c>
      <c r="D324" s="15">
        <v>479</v>
      </c>
      <c r="E324" s="15" t="s">
        <v>39</v>
      </c>
      <c r="F324" s="15">
        <v>34</v>
      </c>
      <c r="G324" s="15">
        <v>20</v>
      </c>
      <c r="H324" s="15">
        <v>11.59</v>
      </c>
      <c r="I324" s="15">
        <v>0.58824</v>
      </c>
      <c r="J324" s="15">
        <v>0.58</v>
      </c>
      <c r="K324" s="15">
        <v>340.92</v>
      </c>
      <c r="L324" s="15">
        <v>0</v>
      </c>
      <c r="M324" s="15">
        <v>0</v>
      </c>
      <c r="N324" s="15">
        <v>0</v>
      </c>
      <c r="O324" s="15">
        <v>0</v>
      </c>
      <c r="P324" s="15">
        <v>0</v>
      </c>
      <c r="Q324" s="15">
        <v>0</v>
      </c>
      <c r="R324" s="15">
        <v>0</v>
      </c>
      <c r="S324" s="15">
        <v>0</v>
      </c>
      <c r="T324" s="15">
        <v>0</v>
      </c>
      <c r="U324" s="15">
        <v>0</v>
      </c>
      <c r="V324" s="15">
        <v>0</v>
      </c>
      <c r="W324" s="15">
        <v>0</v>
      </c>
      <c r="X324" s="15">
        <v>0</v>
      </c>
      <c r="Y324" s="15">
        <v>0</v>
      </c>
      <c r="Z324" s="15">
        <v>0</v>
      </c>
      <c r="AA324" s="15"/>
      <c r="AB324" s="15">
        <v>2</v>
      </c>
      <c r="AC324" s="15">
        <v>1</v>
      </c>
      <c r="AD324" s="15">
        <v>1</v>
      </c>
      <c r="AE324" s="15">
        <v>0.1</v>
      </c>
      <c r="AF324" s="15">
        <v>0</v>
      </c>
      <c r="AG324" s="15">
        <v>0</v>
      </c>
      <c r="AH324" s="15"/>
      <c r="AI324" s="15">
        <v>2</v>
      </c>
      <c r="AJ324" s="15">
        <v>5.8</v>
      </c>
      <c r="AK324" s="15">
        <v>2</v>
      </c>
      <c r="AL324" s="15">
        <v>5.8</v>
      </c>
      <c r="AM324" s="15">
        <v>0</v>
      </c>
      <c r="AN324" s="15"/>
      <c r="AO324" s="15">
        <v>0</v>
      </c>
      <c r="AP324" s="15">
        <v>5.8</v>
      </c>
      <c r="AQ324" s="15">
        <v>0</v>
      </c>
      <c r="AR324" s="15">
        <v>0</v>
      </c>
      <c r="AS324" s="15">
        <v>0</v>
      </c>
      <c r="AT324" s="15">
        <v>0</v>
      </c>
      <c r="AU324" s="15">
        <v>0</v>
      </c>
      <c r="AV324" s="15">
        <v>0</v>
      </c>
      <c r="AW324" s="15">
        <v>0</v>
      </c>
      <c r="AX324" s="15">
        <v>0</v>
      </c>
      <c r="AY324" s="15">
        <v>130</v>
      </c>
      <c r="AZ324" s="15">
        <v>18</v>
      </c>
      <c r="BA324" s="15">
        <v>7</v>
      </c>
      <c r="BB324" s="15">
        <v>0.38889</v>
      </c>
      <c r="BC324" s="15">
        <v>0</v>
      </c>
      <c r="BD324" s="15">
        <v>0</v>
      </c>
      <c r="BE324" s="15">
        <v>3.82353</v>
      </c>
      <c r="BF324" s="15">
        <v>108</v>
      </c>
      <c r="BG324" s="15">
        <v>7</v>
      </c>
      <c r="BH324" s="15">
        <v>0</v>
      </c>
      <c r="BI324" s="15"/>
      <c r="BJ324" s="15">
        <v>0</v>
      </c>
      <c r="BK324" s="15">
        <v>0</v>
      </c>
      <c r="BL324" s="15">
        <v>0</v>
      </c>
      <c r="BM324" s="15">
        <v>0</v>
      </c>
      <c r="BN324" s="15"/>
      <c r="BO324" s="15"/>
      <c r="BP324" s="15">
        <v>0.03</v>
      </c>
      <c r="BQ324" s="15">
        <v>109</v>
      </c>
    </row>
    <row r="325" spans="1:69">
      <c r="A325" s="16">
        <v>46034</v>
      </c>
      <c r="B325" s="15">
        <v>436</v>
      </c>
      <c r="C325" s="15" t="s">
        <v>38</v>
      </c>
      <c r="D325" s="15">
        <v>436</v>
      </c>
      <c r="E325" s="15" t="s">
        <v>38</v>
      </c>
      <c r="F325" s="15">
        <v>1156</v>
      </c>
      <c r="G325" s="15">
        <v>44</v>
      </c>
      <c r="H325" s="15">
        <v>105.73</v>
      </c>
      <c r="I325" s="15">
        <v>0.03806</v>
      </c>
      <c r="J325" s="15">
        <v>2.4</v>
      </c>
      <c r="K325" s="15">
        <v>91.46</v>
      </c>
      <c r="L325" s="15">
        <v>0</v>
      </c>
      <c r="M325" s="15">
        <v>0</v>
      </c>
      <c r="N325" s="15">
        <v>0</v>
      </c>
      <c r="O325" s="15">
        <v>0</v>
      </c>
      <c r="P325" s="15">
        <v>0</v>
      </c>
      <c r="Q325" s="15">
        <v>0</v>
      </c>
      <c r="R325" s="15">
        <v>0</v>
      </c>
      <c r="S325" s="15">
        <v>0</v>
      </c>
      <c r="T325" s="15">
        <v>0</v>
      </c>
      <c r="U325" s="15">
        <v>0</v>
      </c>
      <c r="V325" s="15">
        <v>0</v>
      </c>
      <c r="W325" s="15">
        <v>0</v>
      </c>
      <c r="X325" s="15">
        <v>0</v>
      </c>
      <c r="Y325" s="15">
        <v>0</v>
      </c>
      <c r="Z325" s="15">
        <v>0</v>
      </c>
      <c r="AA325" s="15"/>
      <c r="AB325" s="15">
        <v>8</v>
      </c>
      <c r="AC325" s="15">
        <v>3</v>
      </c>
      <c r="AD325" s="15">
        <v>5</v>
      </c>
      <c r="AE325" s="15">
        <v>0.18182</v>
      </c>
      <c r="AF325" s="15">
        <v>1</v>
      </c>
      <c r="AG325" s="15">
        <v>0</v>
      </c>
      <c r="AH325" s="15"/>
      <c r="AI325" s="15">
        <v>9</v>
      </c>
      <c r="AJ325" s="15">
        <v>11.75</v>
      </c>
      <c r="AK325" s="15">
        <v>9</v>
      </c>
      <c r="AL325" s="15">
        <v>11.75</v>
      </c>
      <c r="AM325" s="15">
        <v>1</v>
      </c>
      <c r="AN325" s="15">
        <v>105.73</v>
      </c>
      <c r="AO325" s="15">
        <v>0.02273</v>
      </c>
      <c r="AP325" s="15">
        <v>13.22</v>
      </c>
      <c r="AQ325" s="15">
        <v>0</v>
      </c>
      <c r="AR325" s="15">
        <v>0</v>
      </c>
      <c r="AS325" s="15">
        <v>0</v>
      </c>
      <c r="AT325" s="15">
        <v>1</v>
      </c>
      <c r="AU325" s="15">
        <v>0</v>
      </c>
      <c r="AV325" s="15">
        <v>0</v>
      </c>
      <c r="AW325" s="15">
        <v>0</v>
      </c>
      <c r="AX325" s="15">
        <v>2</v>
      </c>
      <c r="AY325" s="15">
        <v>176</v>
      </c>
      <c r="AZ325" s="15">
        <v>39</v>
      </c>
      <c r="BA325" s="15">
        <v>26</v>
      </c>
      <c r="BB325" s="15">
        <v>0.66667</v>
      </c>
      <c r="BC325" s="15">
        <v>0</v>
      </c>
      <c r="BD325" s="15">
        <v>0</v>
      </c>
      <c r="BE325" s="15">
        <v>0.15225</v>
      </c>
      <c r="BF325" s="15">
        <v>129</v>
      </c>
      <c r="BG325" s="15">
        <v>5</v>
      </c>
      <c r="BH325" s="15">
        <v>0</v>
      </c>
      <c r="BI325" s="15"/>
      <c r="BJ325" s="15">
        <v>0</v>
      </c>
      <c r="BK325" s="15">
        <v>0</v>
      </c>
      <c r="BL325" s="15">
        <v>0</v>
      </c>
      <c r="BM325" s="15">
        <v>0</v>
      </c>
      <c r="BN325" s="15"/>
      <c r="BO325" s="15"/>
      <c r="BP325" s="15">
        <v>27.77</v>
      </c>
      <c r="BQ325" s="15">
        <v>171</v>
      </c>
    </row>
    <row r="326" spans="1:69">
      <c r="A326" s="16">
        <v>46034</v>
      </c>
      <c r="B326" s="15">
        <v>183</v>
      </c>
      <c r="C326" s="15" t="s">
        <v>40</v>
      </c>
      <c r="D326" s="15">
        <v>183</v>
      </c>
      <c r="E326" s="15" t="s">
        <v>40</v>
      </c>
      <c r="F326" s="15">
        <v>4443</v>
      </c>
      <c r="G326" s="15">
        <v>109</v>
      </c>
      <c r="H326" s="15">
        <v>100</v>
      </c>
      <c r="I326" s="15">
        <v>0.02453</v>
      </c>
      <c r="J326" s="15">
        <v>0.92</v>
      </c>
      <c r="K326" s="15">
        <v>22.51</v>
      </c>
      <c r="L326" s="15">
        <v>0</v>
      </c>
      <c r="M326" s="15">
        <v>0</v>
      </c>
      <c r="N326" s="15">
        <v>0</v>
      </c>
      <c r="O326" s="15">
        <v>0</v>
      </c>
      <c r="P326" s="15">
        <v>0</v>
      </c>
      <c r="Q326" s="15">
        <v>0</v>
      </c>
      <c r="R326" s="15">
        <v>0</v>
      </c>
      <c r="S326" s="15">
        <v>0</v>
      </c>
      <c r="T326" s="15">
        <v>0</v>
      </c>
      <c r="U326" s="15">
        <v>0</v>
      </c>
      <c r="V326" s="15">
        <v>0</v>
      </c>
      <c r="W326" s="15">
        <v>0</v>
      </c>
      <c r="X326" s="15">
        <v>0</v>
      </c>
      <c r="Y326" s="15">
        <v>0</v>
      </c>
      <c r="Z326" s="15">
        <v>0</v>
      </c>
      <c r="AA326" s="15"/>
      <c r="AB326" s="15">
        <v>3</v>
      </c>
      <c r="AC326" s="15">
        <v>2</v>
      </c>
      <c r="AD326" s="15">
        <v>1</v>
      </c>
      <c r="AE326" s="15">
        <v>0.02752</v>
      </c>
      <c r="AF326" s="15">
        <v>1</v>
      </c>
      <c r="AG326" s="15">
        <v>0</v>
      </c>
      <c r="AH326" s="15"/>
      <c r="AI326" s="15">
        <v>4</v>
      </c>
      <c r="AJ326" s="15">
        <v>25</v>
      </c>
      <c r="AK326" s="15">
        <v>4</v>
      </c>
      <c r="AL326" s="15">
        <v>25</v>
      </c>
      <c r="AM326" s="15">
        <v>1</v>
      </c>
      <c r="AN326" s="15">
        <v>100</v>
      </c>
      <c r="AO326" s="15">
        <v>0.00917</v>
      </c>
      <c r="AP326" s="15">
        <v>33.33</v>
      </c>
      <c r="AQ326" s="15">
        <v>0</v>
      </c>
      <c r="AR326" s="15">
        <v>0</v>
      </c>
      <c r="AS326" s="15">
        <v>1</v>
      </c>
      <c r="AT326" s="15">
        <v>0</v>
      </c>
      <c r="AU326" s="15">
        <v>2</v>
      </c>
      <c r="AV326" s="15">
        <v>0</v>
      </c>
      <c r="AW326" s="15">
        <v>0</v>
      </c>
      <c r="AX326" s="15">
        <v>0</v>
      </c>
      <c r="AY326" s="15">
        <v>129</v>
      </c>
      <c r="AZ326" s="15">
        <v>51</v>
      </c>
      <c r="BA326" s="15">
        <v>47</v>
      </c>
      <c r="BB326" s="15">
        <v>0.92157</v>
      </c>
      <c r="BC326" s="15">
        <v>0</v>
      </c>
      <c r="BD326" s="15">
        <v>0</v>
      </c>
      <c r="BE326" s="15">
        <v>0.02903</v>
      </c>
      <c r="BF326" s="15">
        <v>64</v>
      </c>
      <c r="BG326" s="15">
        <v>3</v>
      </c>
      <c r="BH326" s="15">
        <v>0</v>
      </c>
      <c r="BI326" s="15"/>
      <c r="BJ326" s="15">
        <v>0</v>
      </c>
      <c r="BK326" s="15">
        <v>0</v>
      </c>
      <c r="BL326" s="15">
        <v>0</v>
      </c>
      <c r="BM326" s="15">
        <v>0</v>
      </c>
      <c r="BN326" s="15"/>
      <c r="BO326" s="15"/>
      <c r="BP326" s="15">
        <v>0.05</v>
      </c>
      <c r="BQ326" s="15">
        <v>82</v>
      </c>
    </row>
    <row r="327" spans="1:69">
      <c r="A327" s="16">
        <v>46034</v>
      </c>
      <c r="B327" s="15">
        <v>372</v>
      </c>
      <c r="C327" s="15" t="s">
        <v>37</v>
      </c>
      <c r="D327" s="15">
        <v>372</v>
      </c>
      <c r="E327" s="15" t="s">
        <v>61</v>
      </c>
      <c r="F327" s="15">
        <v>2824</v>
      </c>
      <c r="G327" s="15">
        <v>58</v>
      </c>
      <c r="H327" s="15">
        <v>139.04</v>
      </c>
      <c r="I327" s="15">
        <v>0.02054</v>
      </c>
      <c r="J327" s="15">
        <v>2.4</v>
      </c>
      <c r="K327" s="15">
        <v>49.24</v>
      </c>
      <c r="L327" s="15">
        <v>0</v>
      </c>
      <c r="M327" s="15">
        <v>0</v>
      </c>
      <c r="N327" s="15">
        <v>0</v>
      </c>
      <c r="O327" s="15">
        <v>0</v>
      </c>
      <c r="P327" s="15">
        <v>0</v>
      </c>
      <c r="Q327" s="15">
        <v>0</v>
      </c>
      <c r="R327" s="15">
        <v>0</v>
      </c>
      <c r="S327" s="15">
        <v>26.46</v>
      </c>
      <c r="T327" s="15">
        <v>26.46</v>
      </c>
      <c r="U327" s="15">
        <v>1</v>
      </c>
      <c r="V327" s="15">
        <v>0</v>
      </c>
      <c r="W327" s="15">
        <v>1</v>
      </c>
      <c r="X327" s="15">
        <v>0.01724</v>
      </c>
      <c r="Y327" s="15">
        <v>0.19</v>
      </c>
      <c r="Z327" s="15">
        <v>0.19</v>
      </c>
      <c r="AA327" s="15">
        <v>139.04</v>
      </c>
      <c r="AB327" s="15">
        <v>6</v>
      </c>
      <c r="AC327" s="15">
        <v>5</v>
      </c>
      <c r="AD327" s="15">
        <v>1</v>
      </c>
      <c r="AE327" s="15">
        <v>0.10345</v>
      </c>
      <c r="AF327" s="15">
        <v>1</v>
      </c>
      <c r="AG327" s="15">
        <v>0</v>
      </c>
      <c r="AH327" s="15"/>
      <c r="AI327" s="15">
        <v>7</v>
      </c>
      <c r="AJ327" s="15">
        <v>19.86</v>
      </c>
      <c r="AK327" s="15">
        <v>7</v>
      </c>
      <c r="AL327" s="15">
        <v>19.86</v>
      </c>
      <c r="AM327" s="15">
        <v>1</v>
      </c>
      <c r="AN327" s="15">
        <v>139.04</v>
      </c>
      <c r="AO327" s="15">
        <v>0.01724</v>
      </c>
      <c r="AP327" s="15">
        <v>23.17</v>
      </c>
      <c r="AQ327" s="15">
        <v>1</v>
      </c>
      <c r="AR327" s="15">
        <v>49.9</v>
      </c>
      <c r="AS327" s="15">
        <v>0</v>
      </c>
      <c r="AT327" s="15">
        <v>1</v>
      </c>
      <c r="AU327" s="15">
        <v>0</v>
      </c>
      <c r="AV327" s="15">
        <v>0</v>
      </c>
      <c r="AW327" s="15">
        <v>0</v>
      </c>
      <c r="AX327" s="15">
        <v>0</v>
      </c>
      <c r="AY327" s="15">
        <v>151</v>
      </c>
      <c r="AZ327" s="15">
        <v>55</v>
      </c>
      <c r="BA327" s="15">
        <v>42</v>
      </c>
      <c r="BB327" s="15">
        <v>0.76364</v>
      </c>
      <c r="BC327" s="15">
        <v>0</v>
      </c>
      <c r="BD327" s="15">
        <v>0</v>
      </c>
      <c r="BE327" s="15">
        <v>0.05347</v>
      </c>
      <c r="BF327" s="15">
        <v>83</v>
      </c>
      <c r="BG327" s="15">
        <v>3</v>
      </c>
      <c r="BH327" s="15">
        <v>1</v>
      </c>
      <c r="BI327" s="15">
        <v>1</v>
      </c>
      <c r="BJ327" s="15">
        <v>0</v>
      </c>
      <c r="BK327" s="15">
        <v>0</v>
      </c>
      <c r="BL327" s="15">
        <v>0</v>
      </c>
      <c r="BM327" s="15">
        <v>1</v>
      </c>
      <c r="BN327" s="15">
        <v>1</v>
      </c>
      <c r="BO327" s="15">
        <v>26.46</v>
      </c>
      <c r="BP327" s="15">
        <v>2.6</v>
      </c>
      <c r="BQ327" s="15">
        <v>138</v>
      </c>
    </row>
    <row r="328" spans="1:69">
      <c r="A328" s="16">
        <v>46033</v>
      </c>
      <c r="B328" s="15">
        <v>479</v>
      </c>
      <c r="C328" s="15" t="s">
        <v>39</v>
      </c>
      <c r="D328" s="15">
        <v>479</v>
      </c>
      <c r="E328" s="15" t="s">
        <v>39</v>
      </c>
      <c r="F328" s="15">
        <v>36</v>
      </c>
      <c r="G328" s="15">
        <v>20</v>
      </c>
      <c r="H328" s="15">
        <v>10.76</v>
      </c>
      <c r="I328" s="15">
        <v>0.55556</v>
      </c>
      <c r="J328" s="15">
        <v>0.54</v>
      </c>
      <c r="K328" s="15">
        <v>298.89</v>
      </c>
      <c r="L328" s="15">
        <v>0</v>
      </c>
      <c r="M328" s="15">
        <v>0</v>
      </c>
      <c r="N328" s="15">
        <v>0</v>
      </c>
      <c r="O328" s="15">
        <v>0</v>
      </c>
      <c r="P328" s="15">
        <v>0</v>
      </c>
      <c r="Q328" s="15">
        <v>0</v>
      </c>
      <c r="R328" s="15">
        <v>0</v>
      </c>
      <c r="S328" s="15">
        <v>0</v>
      </c>
      <c r="T328" s="15">
        <v>0</v>
      </c>
      <c r="U328" s="15">
        <v>0</v>
      </c>
      <c r="V328" s="15">
        <v>0</v>
      </c>
      <c r="W328" s="15">
        <v>0</v>
      </c>
      <c r="X328" s="15">
        <v>0</v>
      </c>
      <c r="Y328" s="15">
        <v>0</v>
      </c>
      <c r="Z328" s="15">
        <v>0</v>
      </c>
      <c r="AA328" s="15"/>
      <c r="AB328" s="15">
        <v>0</v>
      </c>
      <c r="AC328" s="15">
        <v>0</v>
      </c>
      <c r="AD328" s="15">
        <v>0</v>
      </c>
      <c r="AE328" s="15">
        <v>0</v>
      </c>
      <c r="AF328" s="15">
        <v>0</v>
      </c>
      <c r="AG328" s="15">
        <v>0</v>
      </c>
      <c r="AH328" s="15"/>
      <c r="AI328" s="15">
        <v>0</v>
      </c>
      <c r="AJ328" s="15"/>
      <c r="AK328" s="15">
        <v>0</v>
      </c>
      <c r="AL328" s="15"/>
      <c r="AM328" s="15">
        <v>0</v>
      </c>
      <c r="AN328" s="15"/>
      <c r="AO328" s="15">
        <v>0</v>
      </c>
      <c r="AP328" s="15"/>
      <c r="AQ328" s="15">
        <v>0</v>
      </c>
      <c r="AR328" s="15">
        <v>0</v>
      </c>
      <c r="AS328" s="15">
        <v>0</v>
      </c>
      <c r="AT328" s="15">
        <v>0</v>
      </c>
      <c r="AU328" s="15">
        <v>0</v>
      </c>
      <c r="AV328" s="15">
        <v>0</v>
      </c>
      <c r="AW328" s="15">
        <v>0</v>
      </c>
      <c r="AX328" s="15">
        <v>0</v>
      </c>
      <c r="AY328" s="15">
        <v>101</v>
      </c>
      <c r="AZ328" s="15">
        <v>17</v>
      </c>
      <c r="BA328" s="15">
        <v>10</v>
      </c>
      <c r="BB328" s="15">
        <v>0.58824</v>
      </c>
      <c r="BC328" s="15">
        <v>0</v>
      </c>
      <c r="BD328" s="15">
        <v>0</v>
      </c>
      <c r="BE328" s="15">
        <v>2.80556</v>
      </c>
      <c r="BF328" s="15">
        <v>81</v>
      </c>
      <c r="BG328" s="15">
        <v>6</v>
      </c>
      <c r="BH328" s="15">
        <v>0</v>
      </c>
      <c r="BI328" s="15"/>
      <c r="BJ328" s="15">
        <v>0</v>
      </c>
      <c r="BK328" s="15">
        <v>0</v>
      </c>
      <c r="BL328" s="15">
        <v>0</v>
      </c>
      <c r="BM328" s="15">
        <v>0</v>
      </c>
      <c r="BN328" s="15"/>
      <c r="BO328" s="15"/>
      <c r="BP328" s="15">
        <v>0</v>
      </c>
      <c r="BQ328" s="15">
        <v>20</v>
      </c>
    </row>
    <row r="329" spans="1:69">
      <c r="A329" s="16">
        <v>46033</v>
      </c>
      <c r="B329" s="15">
        <v>436</v>
      </c>
      <c r="C329" s="15" t="s">
        <v>38</v>
      </c>
      <c r="D329" s="15">
        <v>436</v>
      </c>
      <c r="E329" s="15" t="s">
        <v>38</v>
      </c>
      <c r="F329" s="15">
        <v>1230</v>
      </c>
      <c r="G329" s="15">
        <v>35</v>
      </c>
      <c r="H329" s="15">
        <v>95.3</v>
      </c>
      <c r="I329" s="15">
        <v>0.02846</v>
      </c>
      <c r="J329" s="15">
        <v>2.72</v>
      </c>
      <c r="K329" s="15">
        <v>77.48</v>
      </c>
      <c r="L329" s="15">
        <v>0</v>
      </c>
      <c r="M329" s="15">
        <v>0</v>
      </c>
      <c r="N329" s="15">
        <v>0</v>
      </c>
      <c r="O329" s="15">
        <v>0</v>
      </c>
      <c r="P329" s="15">
        <v>0</v>
      </c>
      <c r="Q329" s="15">
        <v>0</v>
      </c>
      <c r="R329" s="15">
        <v>0</v>
      </c>
      <c r="S329" s="15">
        <v>0</v>
      </c>
      <c r="T329" s="15">
        <v>0</v>
      </c>
      <c r="U329" s="15">
        <v>0</v>
      </c>
      <c r="V329" s="15">
        <v>0</v>
      </c>
      <c r="W329" s="15">
        <v>0</v>
      </c>
      <c r="X329" s="15">
        <v>0</v>
      </c>
      <c r="Y329" s="15">
        <v>0</v>
      </c>
      <c r="Z329" s="15">
        <v>0</v>
      </c>
      <c r="AA329" s="15"/>
      <c r="AB329" s="15">
        <v>2</v>
      </c>
      <c r="AC329" s="15">
        <v>1</v>
      </c>
      <c r="AD329" s="15">
        <v>1</v>
      </c>
      <c r="AE329" s="15">
        <v>0.05714</v>
      </c>
      <c r="AF329" s="15">
        <v>1</v>
      </c>
      <c r="AG329" s="15">
        <v>0</v>
      </c>
      <c r="AH329" s="15"/>
      <c r="AI329" s="15">
        <v>3</v>
      </c>
      <c r="AJ329" s="15">
        <v>31.77</v>
      </c>
      <c r="AK329" s="15">
        <v>3</v>
      </c>
      <c r="AL329" s="15">
        <v>31.77</v>
      </c>
      <c r="AM329" s="15">
        <v>1</v>
      </c>
      <c r="AN329" s="15">
        <v>95.3</v>
      </c>
      <c r="AO329" s="15">
        <v>0.02857</v>
      </c>
      <c r="AP329" s="15">
        <v>47.65</v>
      </c>
      <c r="AQ329" s="15">
        <v>0</v>
      </c>
      <c r="AR329" s="15">
        <v>0</v>
      </c>
      <c r="AS329" s="15">
        <v>0</v>
      </c>
      <c r="AT329" s="15">
        <v>1</v>
      </c>
      <c r="AU329" s="15">
        <v>0</v>
      </c>
      <c r="AV329" s="15">
        <v>0</v>
      </c>
      <c r="AW329" s="15">
        <v>0</v>
      </c>
      <c r="AX329" s="15">
        <v>3</v>
      </c>
      <c r="AY329" s="15">
        <v>111</v>
      </c>
      <c r="AZ329" s="15">
        <v>29</v>
      </c>
      <c r="BA329" s="15">
        <v>23</v>
      </c>
      <c r="BB329" s="15">
        <v>0.7931</v>
      </c>
      <c r="BC329" s="15">
        <v>0</v>
      </c>
      <c r="BD329" s="15">
        <v>0</v>
      </c>
      <c r="BE329" s="15">
        <v>0.09024</v>
      </c>
      <c r="BF329" s="15">
        <v>72</v>
      </c>
      <c r="BG329" s="15">
        <v>4</v>
      </c>
      <c r="BH329" s="15">
        <v>0</v>
      </c>
      <c r="BI329" s="15"/>
      <c r="BJ329" s="15">
        <v>0</v>
      </c>
      <c r="BK329" s="15">
        <v>0</v>
      </c>
      <c r="BL329" s="15">
        <v>0</v>
      </c>
      <c r="BM329" s="15">
        <v>0</v>
      </c>
      <c r="BN329" s="15"/>
      <c r="BO329" s="15"/>
      <c r="BP329" s="15">
        <v>0.17</v>
      </c>
      <c r="BQ329" s="15">
        <v>115</v>
      </c>
    </row>
    <row r="330" spans="1:69">
      <c r="A330" s="16">
        <v>46033</v>
      </c>
      <c r="B330" s="15">
        <v>183</v>
      </c>
      <c r="C330" s="15" t="s">
        <v>40</v>
      </c>
      <c r="D330" s="15">
        <v>183</v>
      </c>
      <c r="E330" s="15" t="s">
        <v>40</v>
      </c>
      <c r="F330" s="15">
        <v>3535</v>
      </c>
      <c r="G330" s="15">
        <v>89</v>
      </c>
      <c r="H330" s="15">
        <v>100</v>
      </c>
      <c r="I330" s="15">
        <v>0.02518</v>
      </c>
      <c r="J330" s="15">
        <v>1.12</v>
      </c>
      <c r="K330" s="15">
        <v>28.29</v>
      </c>
      <c r="L330" s="15">
        <v>0</v>
      </c>
      <c r="M330" s="15">
        <v>0</v>
      </c>
      <c r="N330" s="15">
        <v>0</v>
      </c>
      <c r="O330" s="15">
        <v>0</v>
      </c>
      <c r="P330" s="15">
        <v>0</v>
      </c>
      <c r="Q330" s="15">
        <v>0</v>
      </c>
      <c r="R330" s="15">
        <v>0</v>
      </c>
      <c r="S330" s="15">
        <v>120.16</v>
      </c>
      <c r="T330" s="15">
        <v>120.16</v>
      </c>
      <c r="U330" s="15">
        <v>1</v>
      </c>
      <c r="V330" s="15">
        <v>0</v>
      </c>
      <c r="W330" s="15">
        <v>1</v>
      </c>
      <c r="X330" s="15">
        <v>0.01124</v>
      </c>
      <c r="Y330" s="15">
        <v>1.2</v>
      </c>
      <c r="Z330" s="15">
        <v>1.2</v>
      </c>
      <c r="AA330" s="15">
        <v>100</v>
      </c>
      <c r="AB330" s="15">
        <v>13</v>
      </c>
      <c r="AC330" s="15">
        <v>11</v>
      </c>
      <c r="AD330" s="15">
        <v>2</v>
      </c>
      <c r="AE330" s="15">
        <v>0.14607</v>
      </c>
      <c r="AF330" s="15">
        <v>6</v>
      </c>
      <c r="AG330" s="15">
        <v>0</v>
      </c>
      <c r="AH330" s="15"/>
      <c r="AI330" s="15">
        <v>19</v>
      </c>
      <c r="AJ330" s="15">
        <v>5.26</v>
      </c>
      <c r="AK330" s="15">
        <v>19</v>
      </c>
      <c r="AL330" s="15">
        <v>5.26</v>
      </c>
      <c r="AM330" s="15">
        <v>6</v>
      </c>
      <c r="AN330" s="15">
        <v>16.67</v>
      </c>
      <c r="AO330" s="15">
        <v>0.06742</v>
      </c>
      <c r="AP330" s="15">
        <v>7.69</v>
      </c>
      <c r="AQ330" s="15">
        <v>1</v>
      </c>
      <c r="AR330" s="15">
        <v>168</v>
      </c>
      <c r="AS330" s="15">
        <v>3</v>
      </c>
      <c r="AT330" s="15">
        <v>3</v>
      </c>
      <c r="AU330" s="15">
        <v>4</v>
      </c>
      <c r="AV330" s="15">
        <v>0</v>
      </c>
      <c r="AW330" s="15">
        <v>0</v>
      </c>
      <c r="AX330" s="15">
        <v>2</v>
      </c>
      <c r="AY330" s="15">
        <v>214</v>
      </c>
      <c r="AZ330" s="15">
        <v>49</v>
      </c>
      <c r="BA330" s="15">
        <v>37</v>
      </c>
      <c r="BB330" s="15">
        <v>0.7551</v>
      </c>
      <c r="BC330" s="15">
        <v>0</v>
      </c>
      <c r="BD330" s="15">
        <v>0</v>
      </c>
      <c r="BE330" s="15">
        <v>0.06054</v>
      </c>
      <c r="BF330" s="15">
        <v>144</v>
      </c>
      <c r="BG330" s="15">
        <v>4</v>
      </c>
      <c r="BH330" s="15">
        <v>1</v>
      </c>
      <c r="BI330" s="15">
        <v>1</v>
      </c>
      <c r="BJ330" s="15">
        <v>0</v>
      </c>
      <c r="BK330" s="15">
        <v>0</v>
      </c>
      <c r="BL330" s="15">
        <v>0</v>
      </c>
      <c r="BM330" s="15">
        <v>1</v>
      </c>
      <c r="BN330" s="15">
        <v>1</v>
      </c>
      <c r="BO330" s="15">
        <v>120.16</v>
      </c>
      <c r="BP330" s="15">
        <v>0.13</v>
      </c>
      <c r="BQ330" s="15">
        <v>442</v>
      </c>
    </row>
    <row r="331" spans="1:69">
      <c r="A331" s="16">
        <v>46033</v>
      </c>
      <c r="B331" s="15">
        <v>372</v>
      </c>
      <c r="C331" s="15" t="s">
        <v>37</v>
      </c>
      <c r="D331" s="15">
        <v>372</v>
      </c>
      <c r="E331" s="15" t="s">
        <v>61</v>
      </c>
      <c r="F331" s="15">
        <v>4845</v>
      </c>
      <c r="G331" s="15">
        <v>86</v>
      </c>
      <c r="H331" s="15">
        <v>158.97</v>
      </c>
      <c r="I331" s="15">
        <v>0.01775</v>
      </c>
      <c r="J331" s="15">
        <v>1.85</v>
      </c>
      <c r="K331" s="15">
        <v>32.81</v>
      </c>
      <c r="L331" s="15">
        <v>0</v>
      </c>
      <c r="M331" s="15">
        <v>0</v>
      </c>
      <c r="N331" s="15">
        <v>0</v>
      </c>
      <c r="O331" s="15">
        <v>0</v>
      </c>
      <c r="P331" s="15">
        <v>0</v>
      </c>
      <c r="Q331" s="15">
        <v>0</v>
      </c>
      <c r="R331" s="15">
        <v>787.1</v>
      </c>
      <c r="S331" s="15">
        <v>0</v>
      </c>
      <c r="T331" s="15">
        <v>787.1</v>
      </c>
      <c r="U331" s="15">
        <v>2</v>
      </c>
      <c r="V331" s="15">
        <v>2</v>
      </c>
      <c r="W331" s="15">
        <v>0</v>
      </c>
      <c r="X331" s="15">
        <v>0.02326</v>
      </c>
      <c r="Y331" s="15">
        <v>4.95</v>
      </c>
      <c r="Z331" s="15">
        <v>4.95</v>
      </c>
      <c r="AA331" s="15">
        <v>79.49</v>
      </c>
      <c r="AB331" s="15">
        <v>4</v>
      </c>
      <c r="AC331" s="15">
        <v>3</v>
      </c>
      <c r="AD331" s="15">
        <v>1</v>
      </c>
      <c r="AE331" s="15">
        <v>0.04651</v>
      </c>
      <c r="AF331" s="15">
        <v>1</v>
      </c>
      <c r="AG331" s="15">
        <v>0</v>
      </c>
      <c r="AH331" s="15"/>
      <c r="AI331" s="15">
        <v>5</v>
      </c>
      <c r="AJ331" s="15">
        <v>31.79</v>
      </c>
      <c r="AK331" s="15">
        <v>5</v>
      </c>
      <c r="AL331" s="15">
        <v>31.79</v>
      </c>
      <c r="AM331" s="15">
        <v>1</v>
      </c>
      <c r="AN331" s="15">
        <v>158.97</v>
      </c>
      <c r="AO331" s="15">
        <v>0.01163</v>
      </c>
      <c r="AP331" s="15">
        <v>39.74</v>
      </c>
      <c r="AQ331" s="15">
        <v>4</v>
      </c>
      <c r="AR331" s="15">
        <v>1124</v>
      </c>
      <c r="AS331" s="15">
        <v>1</v>
      </c>
      <c r="AT331" s="15">
        <v>0</v>
      </c>
      <c r="AU331" s="15">
        <v>1</v>
      </c>
      <c r="AV331" s="15">
        <v>0</v>
      </c>
      <c r="AW331" s="15">
        <v>0</v>
      </c>
      <c r="AX331" s="15">
        <v>4</v>
      </c>
      <c r="AY331" s="15">
        <v>177</v>
      </c>
      <c r="AZ331" s="15">
        <v>81</v>
      </c>
      <c r="BA331" s="15">
        <v>74</v>
      </c>
      <c r="BB331" s="15">
        <v>0.91358</v>
      </c>
      <c r="BC331" s="15">
        <v>0</v>
      </c>
      <c r="BD331" s="15">
        <v>0</v>
      </c>
      <c r="BE331" s="15">
        <v>0.03653</v>
      </c>
      <c r="BF331" s="15">
        <v>65</v>
      </c>
      <c r="BG331" s="15">
        <v>2</v>
      </c>
      <c r="BH331" s="15">
        <v>2</v>
      </c>
      <c r="BI331" s="15">
        <v>1</v>
      </c>
      <c r="BJ331" s="15">
        <v>0</v>
      </c>
      <c r="BK331" s="15">
        <v>0</v>
      </c>
      <c r="BL331" s="15">
        <v>0</v>
      </c>
      <c r="BM331" s="15">
        <v>2</v>
      </c>
      <c r="BN331" s="15">
        <v>1</v>
      </c>
      <c r="BO331" s="15">
        <v>393.55</v>
      </c>
      <c r="BP331" s="15">
        <v>25.22</v>
      </c>
      <c r="BQ331" s="15">
        <v>1218</v>
      </c>
    </row>
    <row r="332" spans="1:69">
      <c r="A332" s="16">
        <v>46032</v>
      </c>
      <c r="B332" s="15">
        <v>436</v>
      </c>
      <c r="C332" s="15" t="s">
        <v>38</v>
      </c>
      <c r="D332" s="15">
        <v>436</v>
      </c>
      <c r="E332" s="15" t="s">
        <v>38</v>
      </c>
      <c r="F332" s="15">
        <v>1321</v>
      </c>
      <c r="G332" s="15">
        <v>39</v>
      </c>
      <c r="H332" s="15">
        <v>97.79</v>
      </c>
      <c r="I332" s="15">
        <v>0.02952</v>
      </c>
      <c r="J332" s="15">
        <v>2.51</v>
      </c>
      <c r="K332" s="15">
        <v>74.03</v>
      </c>
      <c r="L332" s="15">
        <v>0</v>
      </c>
      <c r="M332" s="15">
        <v>0</v>
      </c>
      <c r="N332" s="15">
        <v>0</v>
      </c>
      <c r="O332" s="15">
        <v>0</v>
      </c>
      <c r="P332" s="15">
        <v>0</v>
      </c>
      <c r="Q332" s="15">
        <v>0</v>
      </c>
      <c r="R332" s="15">
        <v>0</v>
      </c>
      <c r="S332" s="15">
        <v>0</v>
      </c>
      <c r="T332" s="15">
        <v>0</v>
      </c>
      <c r="U332" s="15">
        <v>0</v>
      </c>
      <c r="V332" s="15">
        <v>0</v>
      </c>
      <c r="W332" s="15">
        <v>0</v>
      </c>
      <c r="X332" s="15">
        <v>0</v>
      </c>
      <c r="Y332" s="15">
        <v>0</v>
      </c>
      <c r="Z332" s="15">
        <v>0</v>
      </c>
      <c r="AA332" s="15"/>
      <c r="AB332" s="15">
        <v>1</v>
      </c>
      <c r="AC332" s="15">
        <v>0</v>
      </c>
      <c r="AD332" s="15">
        <v>1</v>
      </c>
      <c r="AE332" s="15">
        <v>0.02564</v>
      </c>
      <c r="AF332" s="15">
        <v>1</v>
      </c>
      <c r="AG332" s="15">
        <v>1</v>
      </c>
      <c r="AH332" s="15">
        <v>97.79</v>
      </c>
      <c r="AI332" s="15">
        <v>3</v>
      </c>
      <c r="AJ332" s="15">
        <v>32.6</v>
      </c>
      <c r="AK332" s="15">
        <v>2</v>
      </c>
      <c r="AL332" s="15">
        <v>48.9</v>
      </c>
      <c r="AM332" s="15">
        <v>2</v>
      </c>
      <c r="AN332" s="15">
        <v>97.79</v>
      </c>
      <c r="AO332" s="15">
        <v>0.02564</v>
      </c>
      <c r="AP332" s="15">
        <v>97.79</v>
      </c>
      <c r="AQ332" s="15">
        <v>0</v>
      </c>
      <c r="AR332" s="15">
        <v>0</v>
      </c>
      <c r="AS332" s="15">
        <v>0</v>
      </c>
      <c r="AT332" s="15">
        <v>1</v>
      </c>
      <c r="AU332" s="15">
        <v>0</v>
      </c>
      <c r="AV332" s="15">
        <v>0</v>
      </c>
      <c r="AW332" s="15">
        <v>0</v>
      </c>
      <c r="AX332" s="15">
        <v>1</v>
      </c>
      <c r="AY332" s="15">
        <v>155</v>
      </c>
      <c r="AZ332" s="15">
        <v>35</v>
      </c>
      <c r="BA332" s="15">
        <v>24</v>
      </c>
      <c r="BB332" s="15">
        <v>0.68571</v>
      </c>
      <c r="BC332" s="15">
        <v>0</v>
      </c>
      <c r="BD332" s="15">
        <v>0</v>
      </c>
      <c r="BE332" s="15">
        <v>0.11734</v>
      </c>
      <c r="BF332" s="15">
        <v>114</v>
      </c>
      <c r="BG332" s="15">
        <v>4</v>
      </c>
      <c r="BH332" s="15">
        <v>0</v>
      </c>
      <c r="BI332" s="15"/>
      <c r="BJ332" s="15">
        <v>0</v>
      </c>
      <c r="BK332" s="15">
        <v>0</v>
      </c>
      <c r="BL332" s="15">
        <v>0</v>
      </c>
      <c r="BM332" s="15">
        <v>0</v>
      </c>
      <c r="BN332" s="15"/>
      <c r="BO332" s="15"/>
      <c r="BP332" s="15">
        <v>0</v>
      </c>
      <c r="BQ332" s="15">
        <v>62</v>
      </c>
    </row>
    <row r="333" spans="1:69">
      <c r="A333" s="16">
        <v>46032</v>
      </c>
      <c r="B333" s="15">
        <v>372</v>
      </c>
      <c r="C333" s="15" t="s">
        <v>37</v>
      </c>
      <c r="D333" s="15">
        <v>372</v>
      </c>
      <c r="E333" s="15" t="s">
        <v>61</v>
      </c>
      <c r="F333" s="15">
        <v>4277</v>
      </c>
      <c r="G333" s="15">
        <v>87</v>
      </c>
      <c r="H333" s="15">
        <v>158.75</v>
      </c>
      <c r="I333" s="15">
        <v>0.02034</v>
      </c>
      <c r="J333" s="15">
        <v>1.82</v>
      </c>
      <c r="K333" s="15">
        <v>37.12</v>
      </c>
      <c r="L333" s="15">
        <v>0</v>
      </c>
      <c r="M333" s="15">
        <v>0</v>
      </c>
      <c r="N333" s="15">
        <v>0</v>
      </c>
      <c r="O333" s="15">
        <v>0</v>
      </c>
      <c r="P333" s="15">
        <v>0</v>
      </c>
      <c r="Q333" s="15">
        <v>0</v>
      </c>
      <c r="R333" s="15">
        <v>0</v>
      </c>
      <c r="S333" s="15">
        <v>0</v>
      </c>
      <c r="T333" s="15">
        <v>0</v>
      </c>
      <c r="U333" s="15">
        <v>0</v>
      </c>
      <c r="V333" s="15">
        <v>0</v>
      </c>
      <c r="W333" s="15">
        <v>0</v>
      </c>
      <c r="X333" s="15">
        <v>0</v>
      </c>
      <c r="Y333" s="15">
        <v>0</v>
      </c>
      <c r="Z333" s="15">
        <v>0</v>
      </c>
      <c r="AA333" s="15"/>
      <c r="AB333" s="15">
        <v>4</v>
      </c>
      <c r="AC333" s="15">
        <v>3</v>
      </c>
      <c r="AD333" s="15">
        <v>1</v>
      </c>
      <c r="AE333" s="15">
        <v>0.04598</v>
      </c>
      <c r="AF333" s="15">
        <v>1</v>
      </c>
      <c r="AG333" s="15">
        <v>1</v>
      </c>
      <c r="AH333" s="15">
        <v>158.75</v>
      </c>
      <c r="AI333" s="15">
        <v>6</v>
      </c>
      <c r="AJ333" s="15">
        <v>26.46</v>
      </c>
      <c r="AK333" s="15">
        <v>5</v>
      </c>
      <c r="AL333" s="15">
        <v>31.75</v>
      </c>
      <c r="AM333" s="15">
        <v>2</v>
      </c>
      <c r="AN333" s="15">
        <v>158.75</v>
      </c>
      <c r="AO333" s="15">
        <v>0.01149</v>
      </c>
      <c r="AP333" s="15">
        <v>39.69</v>
      </c>
      <c r="AQ333" s="15">
        <v>0</v>
      </c>
      <c r="AR333" s="15">
        <v>0</v>
      </c>
      <c r="AS333" s="15">
        <v>0</v>
      </c>
      <c r="AT333" s="15">
        <v>1</v>
      </c>
      <c r="AU333" s="15">
        <v>1</v>
      </c>
      <c r="AV333" s="15">
        <v>0</v>
      </c>
      <c r="AW333" s="15">
        <v>0</v>
      </c>
      <c r="AX333" s="15">
        <v>0</v>
      </c>
      <c r="AY333" s="15">
        <v>251</v>
      </c>
      <c r="AZ333" s="15">
        <v>77</v>
      </c>
      <c r="BA333" s="15">
        <v>68</v>
      </c>
      <c r="BB333" s="15">
        <v>0.88312</v>
      </c>
      <c r="BC333" s="15">
        <v>0</v>
      </c>
      <c r="BD333" s="15">
        <v>0</v>
      </c>
      <c r="BE333" s="15">
        <v>0.05869</v>
      </c>
      <c r="BF333" s="15">
        <v>136</v>
      </c>
      <c r="BG333" s="15">
        <v>3</v>
      </c>
      <c r="BH333" s="15">
        <v>0</v>
      </c>
      <c r="BI333" s="15"/>
      <c r="BJ333" s="15">
        <v>0</v>
      </c>
      <c r="BK333" s="15">
        <v>0</v>
      </c>
      <c r="BL333" s="15">
        <v>0</v>
      </c>
      <c r="BM333" s="15">
        <v>0</v>
      </c>
      <c r="BN333" s="15"/>
      <c r="BO333" s="15"/>
      <c r="BP333" s="15">
        <v>0.02</v>
      </c>
      <c r="BQ333" s="15">
        <v>225</v>
      </c>
    </row>
    <row r="334" spans="1:69">
      <c r="A334" s="16">
        <v>46032</v>
      </c>
      <c r="B334" s="15">
        <v>183</v>
      </c>
      <c r="C334" s="15" t="s">
        <v>40</v>
      </c>
      <c r="D334" s="15">
        <v>183</v>
      </c>
      <c r="E334" s="15" t="s">
        <v>40</v>
      </c>
      <c r="F334" s="15">
        <v>3015</v>
      </c>
      <c r="G334" s="15">
        <v>81</v>
      </c>
      <c r="H334" s="15">
        <v>99.62</v>
      </c>
      <c r="I334" s="15">
        <v>0.02687</v>
      </c>
      <c r="J334" s="15">
        <v>1.23</v>
      </c>
      <c r="K334" s="15">
        <v>33.04</v>
      </c>
      <c r="L334" s="15">
        <v>0</v>
      </c>
      <c r="M334" s="15">
        <v>0</v>
      </c>
      <c r="N334" s="15">
        <v>0</v>
      </c>
      <c r="O334" s="15">
        <v>0</v>
      </c>
      <c r="P334" s="15">
        <v>0</v>
      </c>
      <c r="Q334" s="15">
        <v>0</v>
      </c>
      <c r="R334" s="15">
        <v>0</v>
      </c>
      <c r="S334" s="15">
        <v>0</v>
      </c>
      <c r="T334" s="15">
        <v>0</v>
      </c>
      <c r="U334" s="15">
        <v>0</v>
      </c>
      <c r="V334" s="15">
        <v>0</v>
      </c>
      <c r="W334" s="15">
        <v>0</v>
      </c>
      <c r="X334" s="15">
        <v>0</v>
      </c>
      <c r="Y334" s="15">
        <v>0</v>
      </c>
      <c r="Z334" s="15">
        <v>0</v>
      </c>
      <c r="AA334" s="15"/>
      <c r="AB334" s="15">
        <v>5</v>
      </c>
      <c r="AC334" s="15">
        <v>5</v>
      </c>
      <c r="AD334" s="15">
        <v>0</v>
      </c>
      <c r="AE334" s="15">
        <v>0.06173</v>
      </c>
      <c r="AF334" s="15">
        <v>1</v>
      </c>
      <c r="AG334" s="15">
        <v>0</v>
      </c>
      <c r="AH334" s="15"/>
      <c r="AI334" s="15">
        <v>6</v>
      </c>
      <c r="AJ334" s="15">
        <v>16.6</v>
      </c>
      <c r="AK334" s="15">
        <v>6</v>
      </c>
      <c r="AL334" s="15">
        <v>16.6</v>
      </c>
      <c r="AM334" s="15">
        <v>1</v>
      </c>
      <c r="AN334" s="15">
        <v>99.62</v>
      </c>
      <c r="AO334" s="15">
        <v>0.01235</v>
      </c>
      <c r="AP334" s="15">
        <v>19.92</v>
      </c>
      <c r="AQ334" s="15">
        <v>0</v>
      </c>
      <c r="AR334" s="15">
        <v>0</v>
      </c>
      <c r="AS334" s="15">
        <v>1</v>
      </c>
      <c r="AT334" s="15">
        <v>0</v>
      </c>
      <c r="AU334" s="15">
        <v>0</v>
      </c>
      <c r="AV334" s="15">
        <v>0</v>
      </c>
      <c r="AW334" s="15">
        <v>0</v>
      </c>
      <c r="AX334" s="15">
        <v>0</v>
      </c>
      <c r="AY334" s="15">
        <v>87</v>
      </c>
      <c r="AZ334" s="15">
        <v>38</v>
      </c>
      <c r="BA334" s="15">
        <v>30</v>
      </c>
      <c r="BB334" s="15">
        <v>0.78947</v>
      </c>
      <c r="BC334" s="15">
        <v>0</v>
      </c>
      <c r="BD334" s="15">
        <v>0</v>
      </c>
      <c r="BE334" s="15">
        <v>0.02886</v>
      </c>
      <c r="BF334" s="15">
        <v>34</v>
      </c>
      <c r="BG334" s="15">
        <v>2</v>
      </c>
      <c r="BH334" s="15">
        <v>0</v>
      </c>
      <c r="BI334" s="15"/>
      <c r="BJ334" s="15">
        <v>0</v>
      </c>
      <c r="BK334" s="15">
        <v>0</v>
      </c>
      <c r="BL334" s="15">
        <v>0</v>
      </c>
      <c r="BM334" s="15">
        <v>0</v>
      </c>
      <c r="BN334" s="15"/>
      <c r="BO334" s="15"/>
      <c r="BP334" s="15">
        <v>0.03</v>
      </c>
      <c r="BQ334" s="15">
        <v>34</v>
      </c>
    </row>
    <row r="335" spans="1:69">
      <c r="A335" s="16">
        <v>46032</v>
      </c>
      <c r="B335" s="15">
        <v>479</v>
      </c>
      <c r="C335" s="15" t="s">
        <v>39</v>
      </c>
      <c r="D335" s="15">
        <v>479</v>
      </c>
      <c r="E335" s="15" t="s">
        <v>39</v>
      </c>
      <c r="F335" s="15">
        <v>32</v>
      </c>
      <c r="G335" s="15">
        <v>22</v>
      </c>
      <c r="H335" s="15">
        <v>9.87</v>
      </c>
      <c r="I335" s="15">
        <v>0.6875</v>
      </c>
      <c r="J335" s="15">
        <v>0.45</v>
      </c>
      <c r="K335" s="15">
        <v>308.57</v>
      </c>
      <c r="L335" s="15">
        <v>0</v>
      </c>
      <c r="M335" s="15">
        <v>0</v>
      </c>
      <c r="N335" s="15">
        <v>0</v>
      </c>
      <c r="O335" s="15">
        <v>0</v>
      </c>
      <c r="P335" s="15">
        <v>0</v>
      </c>
      <c r="Q335" s="15">
        <v>0</v>
      </c>
      <c r="R335" s="15">
        <v>0</v>
      </c>
      <c r="S335" s="15">
        <v>0</v>
      </c>
      <c r="T335" s="15">
        <v>0</v>
      </c>
      <c r="U335" s="15">
        <v>0</v>
      </c>
      <c r="V335" s="15">
        <v>0</v>
      </c>
      <c r="W335" s="15">
        <v>0</v>
      </c>
      <c r="X335" s="15">
        <v>0</v>
      </c>
      <c r="Y335" s="15">
        <v>0</v>
      </c>
      <c r="Z335" s="15">
        <v>0</v>
      </c>
      <c r="AA335" s="15"/>
      <c r="AB335" s="15">
        <v>5</v>
      </c>
      <c r="AC335" s="15">
        <v>0</v>
      </c>
      <c r="AD335" s="15">
        <v>5</v>
      </c>
      <c r="AE335" s="15">
        <v>0.22727</v>
      </c>
      <c r="AF335" s="15">
        <v>0</v>
      </c>
      <c r="AG335" s="15">
        <v>3</v>
      </c>
      <c r="AH335" s="15">
        <v>3.29</v>
      </c>
      <c r="AI335" s="15">
        <v>8</v>
      </c>
      <c r="AJ335" s="15">
        <v>1.23</v>
      </c>
      <c r="AK335" s="15">
        <v>5</v>
      </c>
      <c r="AL335" s="15">
        <v>1.97</v>
      </c>
      <c r="AM335" s="15">
        <v>3</v>
      </c>
      <c r="AN335" s="15"/>
      <c r="AO335" s="15">
        <v>0</v>
      </c>
      <c r="AP335" s="15">
        <v>1.97</v>
      </c>
      <c r="AQ335" s="15">
        <v>0</v>
      </c>
      <c r="AR335" s="15">
        <v>0</v>
      </c>
      <c r="AS335" s="15">
        <v>0</v>
      </c>
      <c r="AT335" s="15">
        <v>0</v>
      </c>
      <c r="AU335" s="15">
        <v>0</v>
      </c>
      <c r="AV335" s="15">
        <v>0</v>
      </c>
      <c r="AW335" s="15">
        <v>0</v>
      </c>
      <c r="AX335" s="15">
        <v>1</v>
      </c>
      <c r="AY335" s="15">
        <v>180</v>
      </c>
      <c r="AZ335" s="15">
        <v>17</v>
      </c>
      <c r="BA335" s="15">
        <v>16</v>
      </c>
      <c r="BB335" s="15">
        <v>0.94118</v>
      </c>
      <c r="BC335" s="15">
        <v>0</v>
      </c>
      <c r="BD335" s="15">
        <v>0</v>
      </c>
      <c r="BE335" s="15">
        <v>5.625</v>
      </c>
      <c r="BF335" s="15">
        <v>157</v>
      </c>
      <c r="BG335" s="15">
        <v>11</v>
      </c>
      <c r="BH335" s="15">
        <v>0</v>
      </c>
      <c r="BI335" s="15"/>
      <c r="BJ335" s="15">
        <v>0</v>
      </c>
      <c r="BK335" s="15">
        <v>0</v>
      </c>
      <c r="BL335" s="15">
        <v>0</v>
      </c>
      <c r="BM335" s="15">
        <v>0</v>
      </c>
      <c r="BN335" s="15"/>
      <c r="BO335" s="15"/>
      <c r="BP335" s="15">
        <v>2.31</v>
      </c>
      <c r="BQ335" s="15">
        <v>185</v>
      </c>
    </row>
    <row r="336" spans="1:69">
      <c r="A336" s="16">
        <v>46031</v>
      </c>
      <c r="B336" s="15">
        <v>372</v>
      </c>
      <c r="C336" s="15" t="s">
        <v>37</v>
      </c>
      <c r="D336" s="15">
        <v>372</v>
      </c>
      <c r="E336" s="15" t="s">
        <v>61</v>
      </c>
      <c r="F336" s="15">
        <v>5440</v>
      </c>
      <c r="G336" s="15">
        <v>81</v>
      </c>
      <c r="H336" s="15">
        <v>166.48</v>
      </c>
      <c r="I336" s="15">
        <v>0.01489</v>
      </c>
      <c r="J336" s="15">
        <v>2.06</v>
      </c>
      <c r="K336" s="15">
        <v>30.6</v>
      </c>
      <c r="L336" s="15">
        <v>0</v>
      </c>
      <c r="M336" s="15">
        <v>0</v>
      </c>
      <c r="N336" s="15">
        <v>0</v>
      </c>
      <c r="O336" s="15">
        <v>0</v>
      </c>
      <c r="P336" s="15">
        <v>0</v>
      </c>
      <c r="Q336" s="15">
        <v>0</v>
      </c>
      <c r="R336" s="15">
        <v>0</v>
      </c>
      <c r="S336" s="15">
        <v>0</v>
      </c>
      <c r="T336" s="15">
        <v>0</v>
      </c>
      <c r="U336" s="15">
        <v>0</v>
      </c>
      <c r="V336" s="15">
        <v>0</v>
      </c>
      <c r="W336" s="15">
        <v>0</v>
      </c>
      <c r="X336" s="15">
        <v>0</v>
      </c>
      <c r="Y336" s="15">
        <v>0</v>
      </c>
      <c r="Z336" s="15">
        <v>0</v>
      </c>
      <c r="AA336" s="15"/>
      <c r="AB336" s="15">
        <v>1</v>
      </c>
      <c r="AC336" s="15">
        <v>1</v>
      </c>
      <c r="AD336" s="15">
        <v>0</v>
      </c>
      <c r="AE336" s="15">
        <v>0.01235</v>
      </c>
      <c r="AF336" s="15">
        <v>3</v>
      </c>
      <c r="AG336" s="15">
        <v>0</v>
      </c>
      <c r="AH336" s="15"/>
      <c r="AI336" s="15">
        <v>4</v>
      </c>
      <c r="AJ336" s="15">
        <v>41.62</v>
      </c>
      <c r="AK336" s="15">
        <v>4</v>
      </c>
      <c r="AL336" s="15">
        <v>41.62</v>
      </c>
      <c r="AM336" s="15">
        <v>3</v>
      </c>
      <c r="AN336" s="15">
        <v>55.49</v>
      </c>
      <c r="AO336" s="15">
        <v>0.03704</v>
      </c>
      <c r="AP336" s="15">
        <v>166.48</v>
      </c>
      <c r="AQ336" s="15">
        <v>0</v>
      </c>
      <c r="AR336" s="15">
        <v>0</v>
      </c>
      <c r="AS336" s="15">
        <v>1</v>
      </c>
      <c r="AT336" s="15">
        <v>2</v>
      </c>
      <c r="AU336" s="15">
        <v>0</v>
      </c>
      <c r="AV336" s="15">
        <v>0</v>
      </c>
      <c r="AW336" s="15">
        <v>0</v>
      </c>
      <c r="AX336" s="15">
        <v>0</v>
      </c>
      <c r="AY336" s="15">
        <v>156</v>
      </c>
      <c r="AZ336" s="15">
        <v>75</v>
      </c>
      <c r="BA336" s="15">
        <v>62</v>
      </c>
      <c r="BB336" s="15">
        <v>0.82667</v>
      </c>
      <c r="BC336" s="15">
        <v>0</v>
      </c>
      <c r="BD336" s="15">
        <v>0</v>
      </c>
      <c r="BE336" s="15">
        <v>0.02868</v>
      </c>
      <c r="BF336" s="15">
        <v>66</v>
      </c>
      <c r="BG336" s="15">
        <v>2</v>
      </c>
      <c r="BH336" s="15">
        <v>0</v>
      </c>
      <c r="BI336" s="15"/>
      <c r="BJ336" s="15">
        <v>0</v>
      </c>
      <c r="BK336" s="15">
        <v>0</v>
      </c>
      <c r="BL336" s="15">
        <v>0</v>
      </c>
      <c r="BM336" s="15">
        <v>0</v>
      </c>
      <c r="BN336" s="15"/>
      <c r="BO336" s="15"/>
      <c r="BP336" s="15">
        <v>0.07</v>
      </c>
      <c r="BQ336" s="15">
        <v>57</v>
      </c>
    </row>
    <row r="337" spans="1:69">
      <c r="A337" s="16">
        <v>46031</v>
      </c>
      <c r="B337" s="15">
        <v>479</v>
      </c>
      <c r="C337" s="15" t="s">
        <v>39</v>
      </c>
      <c r="D337" s="15">
        <v>479</v>
      </c>
      <c r="E337" s="15" t="s">
        <v>39</v>
      </c>
      <c r="F337" s="15">
        <v>49</v>
      </c>
      <c r="G337" s="15">
        <v>36</v>
      </c>
      <c r="H337" s="15">
        <v>17.33</v>
      </c>
      <c r="I337" s="15">
        <v>0.73469</v>
      </c>
      <c r="J337" s="15">
        <v>0.48</v>
      </c>
      <c r="K337" s="15">
        <v>353.71</v>
      </c>
      <c r="L337" s="15">
        <v>0</v>
      </c>
      <c r="M337" s="15">
        <v>0</v>
      </c>
      <c r="N337" s="15">
        <v>0</v>
      </c>
      <c r="O337" s="15">
        <v>0</v>
      </c>
      <c r="P337" s="15">
        <v>0</v>
      </c>
      <c r="Q337" s="15">
        <v>0</v>
      </c>
      <c r="R337" s="15">
        <v>0</v>
      </c>
      <c r="S337" s="15">
        <v>0</v>
      </c>
      <c r="T337" s="15">
        <v>0</v>
      </c>
      <c r="U337" s="15">
        <v>0</v>
      </c>
      <c r="V337" s="15">
        <v>0</v>
      </c>
      <c r="W337" s="15">
        <v>0</v>
      </c>
      <c r="X337" s="15">
        <v>0</v>
      </c>
      <c r="Y337" s="15">
        <v>0</v>
      </c>
      <c r="Z337" s="15">
        <v>0</v>
      </c>
      <c r="AA337" s="15"/>
      <c r="AB337" s="15">
        <v>12</v>
      </c>
      <c r="AC337" s="15">
        <v>0</v>
      </c>
      <c r="AD337" s="15">
        <v>12</v>
      </c>
      <c r="AE337" s="15">
        <v>0.33333</v>
      </c>
      <c r="AF337" s="15">
        <v>5</v>
      </c>
      <c r="AG337" s="15">
        <v>2</v>
      </c>
      <c r="AH337" s="15">
        <v>8.67</v>
      </c>
      <c r="AI337" s="15">
        <v>19</v>
      </c>
      <c r="AJ337" s="15">
        <v>0.91</v>
      </c>
      <c r="AK337" s="15">
        <v>17</v>
      </c>
      <c r="AL337" s="15">
        <v>1.02</v>
      </c>
      <c r="AM337" s="15">
        <v>7</v>
      </c>
      <c r="AN337" s="15">
        <v>3.47</v>
      </c>
      <c r="AO337" s="15">
        <v>0.13889</v>
      </c>
      <c r="AP337" s="15">
        <v>1.44</v>
      </c>
      <c r="AQ337" s="15">
        <v>0</v>
      </c>
      <c r="AR337" s="15">
        <v>0</v>
      </c>
      <c r="AS337" s="15">
        <v>0</v>
      </c>
      <c r="AT337" s="15">
        <v>5</v>
      </c>
      <c r="AU337" s="15">
        <v>0</v>
      </c>
      <c r="AV337" s="15">
        <v>0</v>
      </c>
      <c r="AW337" s="15">
        <v>0</v>
      </c>
      <c r="AX337" s="15">
        <v>2</v>
      </c>
      <c r="AY337" s="15">
        <v>398</v>
      </c>
      <c r="AZ337" s="15">
        <v>27</v>
      </c>
      <c r="BA337" s="15">
        <v>20</v>
      </c>
      <c r="BB337" s="15">
        <v>0.74074</v>
      </c>
      <c r="BC337" s="15">
        <v>0</v>
      </c>
      <c r="BD337" s="15">
        <v>0</v>
      </c>
      <c r="BE337" s="15">
        <v>8.12245</v>
      </c>
      <c r="BF337" s="15">
        <v>361</v>
      </c>
      <c r="BG337" s="15">
        <v>15</v>
      </c>
      <c r="BH337" s="15">
        <v>0</v>
      </c>
      <c r="BI337" s="15"/>
      <c r="BJ337" s="15">
        <v>0</v>
      </c>
      <c r="BK337" s="15">
        <v>0</v>
      </c>
      <c r="BL337" s="15">
        <v>0</v>
      </c>
      <c r="BM337" s="15">
        <v>0</v>
      </c>
      <c r="BN337" s="15"/>
      <c r="BO337" s="15"/>
      <c r="BP337" s="15">
        <v>0</v>
      </c>
      <c r="BQ337" s="15">
        <v>122</v>
      </c>
    </row>
    <row r="338" spans="1:69">
      <c r="A338" s="16">
        <v>46031</v>
      </c>
      <c r="B338" s="15">
        <v>183</v>
      </c>
      <c r="C338" s="15" t="s">
        <v>40</v>
      </c>
      <c r="D338" s="15">
        <v>183</v>
      </c>
      <c r="E338" s="15" t="s">
        <v>40</v>
      </c>
      <c r="F338" s="15">
        <v>2607</v>
      </c>
      <c r="G338" s="15">
        <v>75</v>
      </c>
      <c r="H338" s="15">
        <v>96.43</v>
      </c>
      <c r="I338" s="15">
        <v>0.02877</v>
      </c>
      <c r="J338" s="15">
        <v>1.29</v>
      </c>
      <c r="K338" s="15">
        <v>36.99</v>
      </c>
      <c r="L338" s="15">
        <v>0</v>
      </c>
      <c r="M338" s="15">
        <v>0</v>
      </c>
      <c r="N338" s="15">
        <v>0</v>
      </c>
      <c r="O338" s="15">
        <v>0</v>
      </c>
      <c r="P338" s="15">
        <v>0</v>
      </c>
      <c r="Q338" s="15">
        <v>0</v>
      </c>
      <c r="R338" s="15">
        <v>497.41</v>
      </c>
      <c r="S338" s="15">
        <v>2716.54</v>
      </c>
      <c r="T338" s="15">
        <v>3213.95</v>
      </c>
      <c r="U338" s="15">
        <v>4</v>
      </c>
      <c r="V338" s="15">
        <v>1</v>
      </c>
      <c r="W338" s="15">
        <v>3</v>
      </c>
      <c r="X338" s="15">
        <v>0.05333</v>
      </c>
      <c r="Y338" s="15">
        <v>33.33</v>
      </c>
      <c r="Z338" s="15">
        <v>33.33</v>
      </c>
      <c r="AA338" s="15">
        <v>24.11</v>
      </c>
      <c r="AB338" s="15">
        <v>3</v>
      </c>
      <c r="AC338" s="15">
        <v>2</v>
      </c>
      <c r="AD338" s="15">
        <v>1</v>
      </c>
      <c r="AE338" s="15">
        <v>0.04</v>
      </c>
      <c r="AF338" s="15">
        <v>5</v>
      </c>
      <c r="AG338" s="15">
        <v>0</v>
      </c>
      <c r="AH338" s="15"/>
      <c r="AI338" s="15">
        <v>8</v>
      </c>
      <c r="AJ338" s="15">
        <v>12.05</v>
      </c>
      <c r="AK338" s="15">
        <v>8</v>
      </c>
      <c r="AL338" s="15">
        <v>12.05</v>
      </c>
      <c r="AM338" s="15">
        <v>5</v>
      </c>
      <c r="AN338" s="15">
        <v>19.29</v>
      </c>
      <c r="AO338" s="15">
        <v>0.06667</v>
      </c>
      <c r="AP338" s="15">
        <v>32.14</v>
      </c>
      <c r="AQ338" s="15">
        <v>6</v>
      </c>
      <c r="AR338" s="15">
        <v>4685</v>
      </c>
      <c r="AS338" s="15">
        <v>4</v>
      </c>
      <c r="AT338" s="15">
        <v>1</v>
      </c>
      <c r="AU338" s="15">
        <v>0</v>
      </c>
      <c r="AV338" s="15">
        <v>0</v>
      </c>
      <c r="AW338" s="15">
        <v>0</v>
      </c>
      <c r="AX338" s="15">
        <v>2</v>
      </c>
      <c r="AY338" s="15">
        <v>128</v>
      </c>
      <c r="AZ338" s="15">
        <v>44</v>
      </c>
      <c r="BA338" s="15">
        <v>32</v>
      </c>
      <c r="BB338" s="15">
        <v>0.72727</v>
      </c>
      <c r="BC338" s="15">
        <v>0</v>
      </c>
      <c r="BD338" s="15">
        <v>0</v>
      </c>
      <c r="BE338" s="15">
        <v>0.0491</v>
      </c>
      <c r="BF338" s="15">
        <v>64</v>
      </c>
      <c r="BG338" s="15">
        <v>3</v>
      </c>
      <c r="BH338" s="15">
        <v>2</v>
      </c>
      <c r="BI338" s="15">
        <v>1</v>
      </c>
      <c r="BJ338" s="15">
        <v>0</v>
      </c>
      <c r="BK338" s="15">
        <v>0</v>
      </c>
      <c r="BL338" s="15">
        <v>0</v>
      </c>
      <c r="BM338" s="15">
        <v>2</v>
      </c>
      <c r="BN338" s="15">
        <v>2</v>
      </c>
      <c r="BO338" s="15">
        <v>1606.98</v>
      </c>
      <c r="BP338" s="15">
        <v>279.44</v>
      </c>
      <c r="BQ338" s="15">
        <v>469</v>
      </c>
    </row>
    <row r="339" spans="1:69">
      <c r="A339" s="16">
        <v>46031</v>
      </c>
      <c r="B339" s="15">
        <v>436</v>
      </c>
      <c r="C339" s="15" t="s">
        <v>38</v>
      </c>
      <c r="D339" s="15">
        <v>436</v>
      </c>
      <c r="E339" s="15" t="s">
        <v>38</v>
      </c>
      <c r="F339" s="15">
        <v>1176</v>
      </c>
      <c r="G339" s="15">
        <v>41</v>
      </c>
      <c r="H339" s="15">
        <v>126.04</v>
      </c>
      <c r="I339" s="15">
        <v>0.03486</v>
      </c>
      <c r="J339" s="15">
        <v>3.07</v>
      </c>
      <c r="K339" s="15">
        <v>107.18</v>
      </c>
      <c r="L339" s="15">
        <v>0</v>
      </c>
      <c r="M339" s="15">
        <v>0</v>
      </c>
      <c r="N339" s="15">
        <v>0</v>
      </c>
      <c r="O339" s="15">
        <v>0</v>
      </c>
      <c r="P339" s="15">
        <v>0</v>
      </c>
      <c r="Q339" s="15">
        <v>0</v>
      </c>
      <c r="R339" s="15">
        <v>84.15</v>
      </c>
      <c r="S339" s="15">
        <v>715.1</v>
      </c>
      <c r="T339" s="15">
        <v>799.25</v>
      </c>
      <c r="U339" s="15">
        <v>3</v>
      </c>
      <c r="V339" s="15">
        <v>1</v>
      </c>
      <c r="W339" s="15">
        <v>2</v>
      </c>
      <c r="X339" s="15">
        <v>0.07317</v>
      </c>
      <c r="Y339" s="15">
        <v>6.34</v>
      </c>
      <c r="Z339" s="15">
        <v>6.34</v>
      </c>
      <c r="AA339" s="15">
        <v>42.01</v>
      </c>
      <c r="AB339" s="15">
        <v>3</v>
      </c>
      <c r="AC339" s="15">
        <v>1</v>
      </c>
      <c r="AD339" s="15">
        <v>2</v>
      </c>
      <c r="AE339" s="15">
        <v>0.07317</v>
      </c>
      <c r="AF339" s="15">
        <v>0</v>
      </c>
      <c r="AG339" s="15">
        <v>1</v>
      </c>
      <c r="AH339" s="15">
        <v>126.04</v>
      </c>
      <c r="AI339" s="15">
        <v>4</v>
      </c>
      <c r="AJ339" s="15">
        <v>31.51</v>
      </c>
      <c r="AK339" s="15">
        <v>3</v>
      </c>
      <c r="AL339" s="15">
        <v>42.01</v>
      </c>
      <c r="AM339" s="15">
        <v>1</v>
      </c>
      <c r="AN339" s="15"/>
      <c r="AO339" s="15">
        <v>0</v>
      </c>
      <c r="AP339" s="15">
        <v>42.01</v>
      </c>
      <c r="AQ339" s="15">
        <v>5</v>
      </c>
      <c r="AR339" s="15">
        <v>1172</v>
      </c>
      <c r="AS339" s="15">
        <v>0</v>
      </c>
      <c r="AT339" s="15">
        <v>0</v>
      </c>
      <c r="AU339" s="15">
        <v>0</v>
      </c>
      <c r="AV339" s="15">
        <v>0</v>
      </c>
      <c r="AW339" s="15">
        <v>0</v>
      </c>
      <c r="AX339" s="15">
        <v>0</v>
      </c>
      <c r="AY339" s="15">
        <v>126</v>
      </c>
      <c r="AZ339" s="15">
        <v>34</v>
      </c>
      <c r="BA339" s="15">
        <v>25</v>
      </c>
      <c r="BB339" s="15">
        <v>0.73529</v>
      </c>
      <c r="BC339" s="15">
        <v>0</v>
      </c>
      <c r="BD339" s="15">
        <v>0</v>
      </c>
      <c r="BE339" s="15">
        <v>0.10714</v>
      </c>
      <c r="BF339" s="15">
        <v>82</v>
      </c>
      <c r="BG339" s="15">
        <v>4</v>
      </c>
      <c r="BH339" s="15">
        <v>2</v>
      </c>
      <c r="BI339" s="15">
        <v>1</v>
      </c>
      <c r="BJ339" s="15">
        <v>0</v>
      </c>
      <c r="BK339" s="15">
        <v>0</v>
      </c>
      <c r="BL339" s="15">
        <v>0</v>
      </c>
      <c r="BM339" s="15">
        <v>2</v>
      </c>
      <c r="BN339" s="15">
        <v>2</v>
      </c>
      <c r="BO339" s="15">
        <v>399.63</v>
      </c>
      <c r="BP339" s="15">
        <v>0</v>
      </c>
      <c r="BQ339" s="15">
        <v>805</v>
      </c>
    </row>
    <row r="340" spans="1:69">
      <c r="A340" s="16">
        <v>46030</v>
      </c>
      <c r="B340" s="15">
        <v>479</v>
      </c>
      <c r="C340" s="15" t="s">
        <v>39</v>
      </c>
      <c r="D340" s="15">
        <v>479</v>
      </c>
      <c r="E340" s="15" t="s">
        <v>39</v>
      </c>
      <c r="F340" s="15">
        <v>40</v>
      </c>
      <c r="G340" s="15">
        <v>22</v>
      </c>
      <c r="H340" s="15">
        <v>13.9</v>
      </c>
      <c r="I340" s="15">
        <v>0.55</v>
      </c>
      <c r="J340" s="15">
        <v>0.63</v>
      </c>
      <c r="K340" s="15">
        <v>347.45</v>
      </c>
      <c r="L340" s="15">
        <v>0</v>
      </c>
      <c r="M340" s="15">
        <v>0</v>
      </c>
      <c r="N340" s="15">
        <v>0</v>
      </c>
      <c r="O340" s="15">
        <v>0</v>
      </c>
      <c r="P340" s="15">
        <v>0</v>
      </c>
      <c r="Q340" s="15">
        <v>0</v>
      </c>
      <c r="R340" s="15">
        <v>0</v>
      </c>
      <c r="S340" s="15">
        <v>0</v>
      </c>
      <c r="T340" s="15">
        <v>0</v>
      </c>
      <c r="U340" s="15">
        <v>0</v>
      </c>
      <c r="V340" s="15">
        <v>0</v>
      </c>
      <c r="W340" s="15">
        <v>0</v>
      </c>
      <c r="X340" s="15">
        <v>0</v>
      </c>
      <c r="Y340" s="15">
        <v>0</v>
      </c>
      <c r="Z340" s="15">
        <v>0</v>
      </c>
      <c r="AA340" s="15"/>
      <c r="AB340" s="15">
        <v>2</v>
      </c>
      <c r="AC340" s="15">
        <v>0</v>
      </c>
      <c r="AD340" s="15">
        <v>2</v>
      </c>
      <c r="AE340" s="15">
        <v>0.09091</v>
      </c>
      <c r="AF340" s="15">
        <v>0</v>
      </c>
      <c r="AG340" s="15">
        <v>0</v>
      </c>
      <c r="AH340" s="15"/>
      <c r="AI340" s="15">
        <v>2</v>
      </c>
      <c r="AJ340" s="15">
        <v>6.95</v>
      </c>
      <c r="AK340" s="15">
        <v>2</v>
      </c>
      <c r="AL340" s="15">
        <v>6.95</v>
      </c>
      <c r="AM340" s="15">
        <v>0</v>
      </c>
      <c r="AN340" s="15"/>
      <c r="AO340" s="15">
        <v>0</v>
      </c>
      <c r="AP340" s="15">
        <v>6.95</v>
      </c>
      <c r="AQ340" s="15">
        <v>0</v>
      </c>
      <c r="AR340" s="15">
        <v>0</v>
      </c>
      <c r="AS340" s="15">
        <v>0</v>
      </c>
      <c r="AT340" s="15">
        <v>0</v>
      </c>
      <c r="AU340" s="15">
        <v>0</v>
      </c>
      <c r="AV340" s="15">
        <v>0</v>
      </c>
      <c r="AW340" s="15">
        <v>0</v>
      </c>
      <c r="AX340" s="15">
        <v>1</v>
      </c>
      <c r="AY340" s="15">
        <v>172</v>
      </c>
      <c r="AZ340" s="15">
        <v>17</v>
      </c>
      <c r="BA340" s="15">
        <v>9</v>
      </c>
      <c r="BB340" s="15">
        <v>0.52941</v>
      </c>
      <c r="BC340" s="15">
        <v>0</v>
      </c>
      <c r="BD340" s="15">
        <v>0</v>
      </c>
      <c r="BE340" s="15">
        <v>4.3</v>
      </c>
      <c r="BF340" s="15">
        <v>145</v>
      </c>
      <c r="BG340" s="15">
        <v>10</v>
      </c>
      <c r="BH340" s="15">
        <v>0</v>
      </c>
      <c r="BI340" s="15"/>
      <c r="BJ340" s="15">
        <v>0</v>
      </c>
      <c r="BK340" s="15">
        <v>0</v>
      </c>
      <c r="BL340" s="15">
        <v>0</v>
      </c>
      <c r="BM340" s="15">
        <v>0</v>
      </c>
      <c r="BN340" s="15"/>
      <c r="BO340" s="15"/>
      <c r="BP340" s="15">
        <v>0</v>
      </c>
      <c r="BQ340" s="15">
        <v>27</v>
      </c>
    </row>
    <row r="341" spans="1:69">
      <c r="A341" s="16">
        <v>46030</v>
      </c>
      <c r="B341" s="15">
        <v>183</v>
      </c>
      <c r="C341" s="15" t="s">
        <v>40</v>
      </c>
      <c r="D341" s="15">
        <v>183</v>
      </c>
      <c r="E341" s="15" t="s">
        <v>40</v>
      </c>
      <c r="F341" s="15">
        <v>2461</v>
      </c>
      <c r="G341" s="15">
        <v>86</v>
      </c>
      <c r="H341" s="15">
        <v>98.93</v>
      </c>
      <c r="I341" s="15">
        <v>0.03495</v>
      </c>
      <c r="J341" s="15">
        <v>1.15</v>
      </c>
      <c r="K341" s="15">
        <v>40.2</v>
      </c>
      <c r="L341" s="15">
        <v>0</v>
      </c>
      <c r="M341" s="15">
        <v>0</v>
      </c>
      <c r="N341" s="15">
        <v>0</v>
      </c>
      <c r="O341" s="15">
        <v>0</v>
      </c>
      <c r="P341" s="15">
        <v>0</v>
      </c>
      <c r="Q341" s="15">
        <v>0</v>
      </c>
      <c r="R341" s="15">
        <v>139.44</v>
      </c>
      <c r="S341" s="15">
        <v>0</v>
      </c>
      <c r="T341" s="15">
        <v>139.44</v>
      </c>
      <c r="U341" s="15">
        <v>1</v>
      </c>
      <c r="V341" s="15">
        <v>1</v>
      </c>
      <c r="W341" s="15">
        <v>0</v>
      </c>
      <c r="X341" s="15">
        <v>0.01163</v>
      </c>
      <c r="Y341" s="15">
        <v>1.41</v>
      </c>
      <c r="Z341" s="15">
        <v>1.41</v>
      </c>
      <c r="AA341" s="15">
        <v>98.93</v>
      </c>
      <c r="AB341" s="15">
        <v>5</v>
      </c>
      <c r="AC341" s="15">
        <v>5</v>
      </c>
      <c r="AD341" s="15">
        <v>0</v>
      </c>
      <c r="AE341" s="15">
        <v>0.05814</v>
      </c>
      <c r="AF341" s="15">
        <v>2</v>
      </c>
      <c r="AG341" s="15">
        <v>0</v>
      </c>
      <c r="AH341" s="15"/>
      <c r="AI341" s="15">
        <v>7</v>
      </c>
      <c r="AJ341" s="15">
        <v>14.13</v>
      </c>
      <c r="AK341" s="15">
        <v>7</v>
      </c>
      <c r="AL341" s="15">
        <v>14.13</v>
      </c>
      <c r="AM341" s="15">
        <v>2</v>
      </c>
      <c r="AN341" s="15">
        <v>49.47</v>
      </c>
      <c r="AO341" s="15">
        <v>0.02326</v>
      </c>
      <c r="AP341" s="15">
        <v>19.79</v>
      </c>
      <c r="AQ341" s="15">
        <v>2</v>
      </c>
      <c r="AR341" s="15">
        <v>217.9</v>
      </c>
      <c r="AS341" s="15">
        <v>2</v>
      </c>
      <c r="AT341" s="15">
        <v>0</v>
      </c>
      <c r="AU341" s="15">
        <v>0</v>
      </c>
      <c r="AV341" s="15">
        <v>0</v>
      </c>
      <c r="AW341" s="15">
        <v>0</v>
      </c>
      <c r="AX341" s="15">
        <v>1</v>
      </c>
      <c r="AY341" s="15">
        <v>176</v>
      </c>
      <c r="AZ341" s="15">
        <v>57</v>
      </c>
      <c r="BA341" s="15">
        <v>41</v>
      </c>
      <c r="BB341" s="15">
        <v>0.7193</v>
      </c>
      <c r="BC341" s="15">
        <v>0</v>
      </c>
      <c r="BD341" s="15">
        <v>0</v>
      </c>
      <c r="BE341" s="15">
        <v>0.07152</v>
      </c>
      <c r="BF341" s="15">
        <v>103</v>
      </c>
      <c r="BG341" s="15">
        <v>3</v>
      </c>
      <c r="BH341" s="15">
        <v>1</v>
      </c>
      <c r="BI341" s="15">
        <v>1</v>
      </c>
      <c r="BJ341" s="15">
        <v>0</v>
      </c>
      <c r="BK341" s="15">
        <v>0</v>
      </c>
      <c r="BL341" s="15">
        <v>0</v>
      </c>
      <c r="BM341" s="15">
        <v>1</v>
      </c>
      <c r="BN341" s="15">
        <v>1</v>
      </c>
      <c r="BO341" s="15">
        <v>139.44</v>
      </c>
      <c r="BP341" s="15">
        <v>1.11</v>
      </c>
      <c r="BQ341" s="15">
        <v>484</v>
      </c>
    </row>
    <row r="342" spans="1:69">
      <c r="A342" s="16">
        <v>46030</v>
      </c>
      <c r="B342" s="15">
        <v>436</v>
      </c>
      <c r="C342" s="15" t="s">
        <v>38</v>
      </c>
      <c r="D342" s="15">
        <v>436</v>
      </c>
      <c r="E342" s="15" t="s">
        <v>38</v>
      </c>
      <c r="F342" s="15">
        <v>1068</v>
      </c>
      <c r="G342" s="15">
        <v>32</v>
      </c>
      <c r="H342" s="15">
        <v>132.27</v>
      </c>
      <c r="I342" s="15">
        <v>0.02996</v>
      </c>
      <c r="J342" s="15">
        <v>4.13</v>
      </c>
      <c r="K342" s="15">
        <v>123.85</v>
      </c>
      <c r="L342" s="15">
        <v>0</v>
      </c>
      <c r="M342" s="15">
        <v>0</v>
      </c>
      <c r="N342" s="15">
        <v>0</v>
      </c>
      <c r="O342" s="15">
        <v>0</v>
      </c>
      <c r="P342" s="15">
        <v>0</v>
      </c>
      <c r="Q342" s="15">
        <v>0</v>
      </c>
      <c r="R342" s="15">
        <v>0</v>
      </c>
      <c r="S342" s="15">
        <v>2268</v>
      </c>
      <c r="T342" s="15">
        <v>2268</v>
      </c>
      <c r="U342" s="15">
        <v>2</v>
      </c>
      <c r="V342" s="15">
        <v>0</v>
      </c>
      <c r="W342" s="15">
        <v>2</v>
      </c>
      <c r="X342" s="15">
        <v>0.0625</v>
      </c>
      <c r="Y342" s="15">
        <v>17.15</v>
      </c>
      <c r="Z342" s="15">
        <v>17.15</v>
      </c>
      <c r="AA342" s="15">
        <v>66.14</v>
      </c>
      <c r="AB342" s="15">
        <v>9</v>
      </c>
      <c r="AC342" s="15">
        <v>1</v>
      </c>
      <c r="AD342" s="15">
        <v>8</v>
      </c>
      <c r="AE342" s="15">
        <v>0.28125</v>
      </c>
      <c r="AF342" s="15">
        <v>0</v>
      </c>
      <c r="AG342" s="15">
        <v>0</v>
      </c>
      <c r="AH342" s="15"/>
      <c r="AI342" s="15">
        <v>9</v>
      </c>
      <c r="AJ342" s="15">
        <v>14.7</v>
      </c>
      <c r="AK342" s="15">
        <v>9</v>
      </c>
      <c r="AL342" s="15">
        <v>14.7</v>
      </c>
      <c r="AM342" s="15">
        <v>0</v>
      </c>
      <c r="AN342" s="15"/>
      <c r="AO342" s="15">
        <v>0</v>
      </c>
      <c r="AP342" s="15">
        <v>14.7</v>
      </c>
      <c r="AQ342" s="15">
        <v>3</v>
      </c>
      <c r="AR342" s="15">
        <v>3748</v>
      </c>
      <c r="AS342" s="15">
        <v>0</v>
      </c>
      <c r="AT342" s="15">
        <v>0</v>
      </c>
      <c r="AU342" s="15">
        <v>0</v>
      </c>
      <c r="AV342" s="15">
        <v>0</v>
      </c>
      <c r="AW342" s="15">
        <v>0</v>
      </c>
      <c r="AX342" s="15">
        <v>2</v>
      </c>
      <c r="AY342" s="15">
        <v>209</v>
      </c>
      <c r="AZ342" s="15">
        <v>28</v>
      </c>
      <c r="BA342" s="15">
        <v>21</v>
      </c>
      <c r="BB342" s="15">
        <v>0.75</v>
      </c>
      <c r="BC342" s="15">
        <v>0</v>
      </c>
      <c r="BD342" s="15">
        <v>0</v>
      </c>
      <c r="BE342" s="15">
        <v>0.19569</v>
      </c>
      <c r="BF342" s="15">
        <v>175</v>
      </c>
      <c r="BG342" s="15">
        <v>7</v>
      </c>
      <c r="BH342" s="15">
        <v>1</v>
      </c>
      <c r="BI342" s="15">
        <v>1</v>
      </c>
      <c r="BJ342" s="15">
        <v>0</v>
      </c>
      <c r="BK342" s="15">
        <v>0</v>
      </c>
      <c r="BL342" s="15">
        <v>0</v>
      </c>
      <c r="BM342" s="15">
        <v>1</v>
      </c>
      <c r="BN342" s="15">
        <v>2</v>
      </c>
      <c r="BO342" s="15">
        <v>2268</v>
      </c>
      <c r="BP342" s="15">
        <v>0</v>
      </c>
      <c r="BQ342" s="15">
        <v>227</v>
      </c>
    </row>
    <row r="343" spans="1:69">
      <c r="A343" s="16">
        <v>46030</v>
      </c>
      <c r="B343" s="15">
        <v>372</v>
      </c>
      <c r="C343" s="15" t="s">
        <v>37</v>
      </c>
      <c r="D343" s="15">
        <v>372</v>
      </c>
      <c r="E343" s="15" t="s">
        <v>61</v>
      </c>
      <c r="F343" s="15">
        <v>3543</v>
      </c>
      <c r="G343" s="15">
        <v>64</v>
      </c>
      <c r="H343" s="15">
        <v>131.9</v>
      </c>
      <c r="I343" s="15">
        <v>0.01806</v>
      </c>
      <c r="J343" s="15">
        <v>2.06</v>
      </c>
      <c r="K343" s="15">
        <v>37.23</v>
      </c>
      <c r="L343" s="15">
        <v>0</v>
      </c>
      <c r="M343" s="15">
        <v>0</v>
      </c>
      <c r="N343" s="15">
        <v>0</v>
      </c>
      <c r="O343" s="15">
        <v>0</v>
      </c>
      <c r="P343" s="15">
        <v>0</v>
      </c>
      <c r="Q343" s="15">
        <v>0</v>
      </c>
      <c r="R343" s="15">
        <v>0</v>
      </c>
      <c r="S343" s="15">
        <v>0</v>
      </c>
      <c r="T343" s="15">
        <v>0</v>
      </c>
      <c r="U343" s="15">
        <v>0</v>
      </c>
      <c r="V343" s="15">
        <v>0</v>
      </c>
      <c r="W343" s="15">
        <v>0</v>
      </c>
      <c r="X343" s="15">
        <v>0</v>
      </c>
      <c r="Y343" s="15">
        <v>0</v>
      </c>
      <c r="Z343" s="15">
        <v>0</v>
      </c>
      <c r="AA343" s="15"/>
      <c r="AB343" s="15">
        <v>4</v>
      </c>
      <c r="AC343" s="15">
        <v>2</v>
      </c>
      <c r="AD343" s="15">
        <v>2</v>
      </c>
      <c r="AE343" s="15">
        <v>0.0625</v>
      </c>
      <c r="AF343" s="15">
        <v>0</v>
      </c>
      <c r="AG343" s="15">
        <v>0</v>
      </c>
      <c r="AH343" s="15"/>
      <c r="AI343" s="15">
        <v>4</v>
      </c>
      <c r="AJ343" s="15">
        <v>32.98</v>
      </c>
      <c r="AK343" s="15">
        <v>4</v>
      </c>
      <c r="AL343" s="15">
        <v>32.98</v>
      </c>
      <c r="AM343" s="15">
        <v>0</v>
      </c>
      <c r="AN343" s="15"/>
      <c r="AO343" s="15">
        <v>0</v>
      </c>
      <c r="AP343" s="15">
        <v>32.98</v>
      </c>
      <c r="AQ343" s="15">
        <v>0</v>
      </c>
      <c r="AR343" s="15">
        <v>0</v>
      </c>
      <c r="AS343" s="15">
        <v>0</v>
      </c>
      <c r="AT343" s="15">
        <v>0</v>
      </c>
      <c r="AU343" s="15">
        <v>0</v>
      </c>
      <c r="AV343" s="15">
        <v>0</v>
      </c>
      <c r="AW343" s="15">
        <v>0</v>
      </c>
      <c r="AX343" s="15">
        <v>0</v>
      </c>
      <c r="AY343" s="15">
        <v>145</v>
      </c>
      <c r="AZ343" s="15">
        <v>60</v>
      </c>
      <c r="BA343" s="15">
        <v>53</v>
      </c>
      <c r="BB343" s="15">
        <v>0.88333</v>
      </c>
      <c r="BC343" s="15">
        <v>0</v>
      </c>
      <c r="BD343" s="15">
        <v>0</v>
      </c>
      <c r="BE343" s="15">
        <v>0.04093</v>
      </c>
      <c r="BF343" s="15">
        <v>50</v>
      </c>
      <c r="BG343" s="15">
        <v>2</v>
      </c>
      <c r="BH343" s="15">
        <v>0</v>
      </c>
      <c r="BI343" s="15"/>
      <c r="BJ343" s="15">
        <v>0</v>
      </c>
      <c r="BK343" s="15">
        <v>0</v>
      </c>
      <c r="BL343" s="15">
        <v>0</v>
      </c>
      <c r="BM343" s="15">
        <v>0</v>
      </c>
      <c r="BN343" s="15"/>
      <c r="BO343" s="15"/>
      <c r="BP343" s="15">
        <v>0</v>
      </c>
      <c r="BQ343" s="15">
        <v>154</v>
      </c>
    </row>
    <row r="344" spans="1:69">
      <c r="A344" s="16">
        <v>46029</v>
      </c>
      <c r="B344" s="15">
        <v>372</v>
      </c>
      <c r="C344" s="15" t="s">
        <v>37</v>
      </c>
      <c r="D344" s="15">
        <v>372</v>
      </c>
      <c r="E344" s="15" t="s">
        <v>61</v>
      </c>
      <c r="F344" s="15">
        <v>5700</v>
      </c>
      <c r="G344" s="15">
        <v>90</v>
      </c>
      <c r="H344" s="15">
        <v>139.72</v>
      </c>
      <c r="I344" s="15">
        <v>0.01579</v>
      </c>
      <c r="J344" s="15">
        <v>1.55</v>
      </c>
      <c r="K344" s="15">
        <v>24.51</v>
      </c>
      <c r="L344" s="15">
        <v>0</v>
      </c>
      <c r="M344" s="15">
        <v>0</v>
      </c>
      <c r="N344" s="15">
        <v>0</v>
      </c>
      <c r="O344" s="15">
        <v>0</v>
      </c>
      <c r="P344" s="15">
        <v>0</v>
      </c>
      <c r="Q344" s="15">
        <v>0</v>
      </c>
      <c r="R344" s="15">
        <v>0</v>
      </c>
      <c r="S344" s="15">
        <v>0</v>
      </c>
      <c r="T344" s="15">
        <v>0</v>
      </c>
      <c r="U344" s="15">
        <v>0</v>
      </c>
      <c r="V344" s="15">
        <v>0</v>
      </c>
      <c r="W344" s="15">
        <v>0</v>
      </c>
      <c r="X344" s="15">
        <v>0</v>
      </c>
      <c r="Y344" s="15">
        <v>0</v>
      </c>
      <c r="Z344" s="15">
        <v>0</v>
      </c>
      <c r="AA344" s="15"/>
      <c r="AB344" s="15">
        <v>3</v>
      </c>
      <c r="AC344" s="15">
        <v>1</v>
      </c>
      <c r="AD344" s="15">
        <v>2</v>
      </c>
      <c r="AE344" s="15">
        <v>0.03333</v>
      </c>
      <c r="AF344" s="15">
        <v>4</v>
      </c>
      <c r="AG344" s="15">
        <v>0</v>
      </c>
      <c r="AH344" s="15"/>
      <c r="AI344" s="15">
        <v>7</v>
      </c>
      <c r="AJ344" s="15">
        <v>19.96</v>
      </c>
      <c r="AK344" s="15">
        <v>7</v>
      </c>
      <c r="AL344" s="15">
        <v>19.96</v>
      </c>
      <c r="AM344" s="15">
        <v>4</v>
      </c>
      <c r="AN344" s="15">
        <v>34.93</v>
      </c>
      <c r="AO344" s="15">
        <v>0.04444</v>
      </c>
      <c r="AP344" s="15">
        <v>46.57</v>
      </c>
      <c r="AQ344" s="15">
        <v>2</v>
      </c>
      <c r="AR344" s="15">
        <v>498</v>
      </c>
      <c r="AS344" s="15">
        <v>4</v>
      </c>
      <c r="AT344" s="15">
        <v>0</v>
      </c>
      <c r="AU344" s="15">
        <v>0</v>
      </c>
      <c r="AV344" s="15">
        <v>0</v>
      </c>
      <c r="AW344" s="15">
        <v>0</v>
      </c>
      <c r="AX344" s="15">
        <v>1</v>
      </c>
      <c r="AY344" s="15">
        <v>249</v>
      </c>
      <c r="AZ344" s="15">
        <v>83</v>
      </c>
      <c r="BA344" s="15">
        <v>77</v>
      </c>
      <c r="BB344" s="15">
        <v>0.92771</v>
      </c>
      <c r="BC344" s="15">
        <v>0</v>
      </c>
      <c r="BD344" s="15">
        <v>0</v>
      </c>
      <c r="BE344" s="15">
        <v>0.04368</v>
      </c>
      <c r="BF344" s="15">
        <v>141</v>
      </c>
      <c r="BG344" s="15">
        <v>3</v>
      </c>
      <c r="BH344" s="15">
        <v>0</v>
      </c>
      <c r="BI344" s="15"/>
      <c r="BJ344" s="15">
        <v>0</v>
      </c>
      <c r="BK344" s="15">
        <v>0</v>
      </c>
      <c r="BL344" s="15">
        <v>0</v>
      </c>
      <c r="BM344" s="15">
        <v>0</v>
      </c>
      <c r="BN344" s="15"/>
      <c r="BO344" s="15"/>
      <c r="BP344" s="15">
        <v>0</v>
      </c>
      <c r="BQ344" s="15">
        <v>197</v>
      </c>
    </row>
    <row r="345" spans="1:69">
      <c r="A345" s="16">
        <v>46029</v>
      </c>
      <c r="B345" s="15">
        <v>183</v>
      </c>
      <c r="C345" s="15" t="s">
        <v>40</v>
      </c>
      <c r="D345" s="15">
        <v>183</v>
      </c>
      <c r="E345" s="15" t="s">
        <v>40</v>
      </c>
      <c r="F345" s="15">
        <v>2389</v>
      </c>
      <c r="G345" s="15">
        <v>74</v>
      </c>
      <c r="H345" s="15">
        <v>98.66</v>
      </c>
      <c r="I345" s="15">
        <v>0.03098</v>
      </c>
      <c r="J345" s="15">
        <v>1.33</v>
      </c>
      <c r="K345" s="15">
        <v>41.3</v>
      </c>
      <c r="L345" s="15">
        <v>0</v>
      </c>
      <c r="M345" s="15">
        <v>0</v>
      </c>
      <c r="N345" s="15">
        <v>0</v>
      </c>
      <c r="O345" s="15">
        <v>0</v>
      </c>
      <c r="P345" s="15">
        <v>0</v>
      </c>
      <c r="Q345" s="15">
        <v>0</v>
      </c>
      <c r="R345" s="15">
        <v>0</v>
      </c>
      <c r="S345" s="15">
        <v>122.56</v>
      </c>
      <c r="T345" s="15">
        <v>122.56</v>
      </c>
      <c r="U345" s="15">
        <v>2</v>
      </c>
      <c r="V345" s="15">
        <v>0</v>
      </c>
      <c r="W345" s="15">
        <v>2</v>
      </c>
      <c r="X345" s="15">
        <v>0.02703</v>
      </c>
      <c r="Y345" s="15">
        <v>1.24</v>
      </c>
      <c r="Z345" s="15">
        <v>1.24</v>
      </c>
      <c r="AA345" s="15">
        <v>49.33</v>
      </c>
      <c r="AB345" s="15">
        <v>11</v>
      </c>
      <c r="AC345" s="15">
        <v>4</v>
      </c>
      <c r="AD345" s="15">
        <v>7</v>
      </c>
      <c r="AE345" s="15">
        <v>0.14865</v>
      </c>
      <c r="AF345" s="15">
        <v>1</v>
      </c>
      <c r="AG345" s="15">
        <v>0</v>
      </c>
      <c r="AH345" s="15"/>
      <c r="AI345" s="15">
        <v>12</v>
      </c>
      <c r="AJ345" s="15">
        <v>8.22</v>
      </c>
      <c r="AK345" s="15">
        <v>12</v>
      </c>
      <c r="AL345" s="15">
        <v>8.22</v>
      </c>
      <c r="AM345" s="15">
        <v>1</v>
      </c>
      <c r="AN345" s="15">
        <v>98.66</v>
      </c>
      <c r="AO345" s="15">
        <v>0.01351</v>
      </c>
      <c r="AP345" s="15">
        <v>8.97</v>
      </c>
      <c r="AQ345" s="15">
        <v>3</v>
      </c>
      <c r="AR345" s="15">
        <v>247.9</v>
      </c>
      <c r="AS345" s="15">
        <v>1</v>
      </c>
      <c r="AT345" s="15">
        <v>0</v>
      </c>
      <c r="AU345" s="15">
        <v>0</v>
      </c>
      <c r="AV345" s="15">
        <v>0</v>
      </c>
      <c r="AW345" s="15">
        <v>0</v>
      </c>
      <c r="AX345" s="15">
        <v>0</v>
      </c>
      <c r="AY345" s="15">
        <v>199</v>
      </c>
      <c r="AZ345" s="15">
        <v>44</v>
      </c>
      <c r="BA345" s="15">
        <v>35</v>
      </c>
      <c r="BB345" s="15">
        <v>0.79545</v>
      </c>
      <c r="BC345" s="15">
        <v>0</v>
      </c>
      <c r="BD345" s="15">
        <v>0</v>
      </c>
      <c r="BE345" s="15">
        <v>0.0833</v>
      </c>
      <c r="BF345" s="15">
        <v>129</v>
      </c>
      <c r="BG345" s="15">
        <v>5</v>
      </c>
      <c r="BH345" s="15">
        <v>1</v>
      </c>
      <c r="BI345" s="15">
        <v>1</v>
      </c>
      <c r="BJ345" s="15">
        <v>0</v>
      </c>
      <c r="BK345" s="15">
        <v>0</v>
      </c>
      <c r="BL345" s="15">
        <v>0</v>
      </c>
      <c r="BM345" s="15">
        <v>1</v>
      </c>
      <c r="BN345" s="15">
        <v>2</v>
      </c>
      <c r="BO345" s="15">
        <v>122.56</v>
      </c>
      <c r="BP345" s="15">
        <v>0.02</v>
      </c>
      <c r="BQ345" s="15">
        <v>297</v>
      </c>
    </row>
    <row r="346" spans="1:69">
      <c r="A346" s="16">
        <v>46029</v>
      </c>
      <c r="B346" s="15">
        <v>479</v>
      </c>
      <c r="C346" s="15" t="s">
        <v>39</v>
      </c>
      <c r="D346" s="15">
        <v>479</v>
      </c>
      <c r="E346" s="15" t="s">
        <v>39</v>
      </c>
      <c r="F346" s="15">
        <v>62</v>
      </c>
      <c r="G346" s="15">
        <v>33</v>
      </c>
      <c r="H346" s="15">
        <v>18.68</v>
      </c>
      <c r="I346" s="15">
        <v>0.53226</v>
      </c>
      <c r="J346" s="15">
        <v>0.57</v>
      </c>
      <c r="K346" s="15">
        <v>301.23</v>
      </c>
      <c r="L346" s="15">
        <v>0</v>
      </c>
      <c r="M346" s="15">
        <v>0</v>
      </c>
      <c r="N346" s="15">
        <v>0</v>
      </c>
      <c r="O346" s="15">
        <v>0</v>
      </c>
      <c r="P346" s="15">
        <v>0</v>
      </c>
      <c r="Q346" s="15">
        <v>0</v>
      </c>
      <c r="R346" s="15">
        <v>0</v>
      </c>
      <c r="S346" s="15">
        <v>0</v>
      </c>
      <c r="T346" s="15">
        <v>0</v>
      </c>
      <c r="U346" s="15">
        <v>0</v>
      </c>
      <c r="V346" s="15">
        <v>0</v>
      </c>
      <c r="W346" s="15">
        <v>0</v>
      </c>
      <c r="X346" s="15">
        <v>0</v>
      </c>
      <c r="Y346" s="15">
        <v>0</v>
      </c>
      <c r="Z346" s="15">
        <v>0</v>
      </c>
      <c r="AA346" s="15"/>
      <c r="AB346" s="15">
        <v>2</v>
      </c>
      <c r="AC346" s="15">
        <v>0</v>
      </c>
      <c r="AD346" s="15">
        <v>2</v>
      </c>
      <c r="AE346" s="15">
        <v>0.06061</v>
      </c>
      <c r="AF346" s="15">
        <v>0</v>
      </c>
      <c r="AG346" s="15">
        <v>0</v>
      </c>
      <c r="AH346" s="15"/>
      <c r="AI346" s="15">
        <v>2</v>
      </c>
      <c r="AJ346" s="15">
        <v>9.34</v>
      </c>
      <c r="AK346" s="15">
        <v>2</v>
      </c>
      <c r="AL346" s="15">
        <v>9.34</v>
      </c>
      <c r="AM346" s="15">
        <v>0</v>
      </c>
      <c r="AN346" s="15"/>
      <c r="AO346" s="15">
        <v>0</v>
      </c>
      <c r="AP346" s="15">
        <v>9.34</v>
      </c>
      <c r="AQ346" s="15">
        <v>0</v>
      </c>
      <c r="AR346" s="15">
        <v>0</v>
      </c>
      <c r="AS346" s="15">
        <v>0</v>
      </c>
      <c r="AT346" s="15">
        <v>0</v>
      </c>
      <c r="AU346" s="15">
        <v>0</v>
      </c>
      <c r="AV346" s="15">
        <v>0</v>
      </c>
      <c r="AW346" s="15">
        <v>0</v>
      </c>
      <c r="AX346" s="15">
        <v>1</v>
      </c>
      <c r="AY346" s="15">
        <v>304</v>
      </c>
      <c r="AZ346" s="15">
        <v>29</v>
      </c>
      <c r="BA346" s="15">
        <v>20</v>
      </c>
      <c r="BB346" s="15">
        <v>0.68966</v>
      </c>
      <c r="BC346" s="15">
        <v>0</v>
      </c>
      <c r="BD346" s="15">
        <v>0</v>
      </c>
      <c r="BE346" s="15">
        <v>4.90323</v>
      </c>
      <c r="BF346" s="15">
        <v>268</v>
      </c>
      <c r="BG346" s="15">
        <v>10</v>
      </c>
      <c r="BH346" s="15">
        <v>0</v>
      </c>
      <c r="BI346" s="15"/>
      <c r="BJ346" s="15">
        <v>0</v>
      </c>
      <c r="BK346" s="15">
        <v>0</v>
      </c>
      <c r="BL346" s="15">
        <v>0</v>
      </c>
      <c r="BM346" s="15">
        <v>0</v>
      </c>
      <c r="BN346" s="15"/>
      <c r="BO346" s="15"/>
      <c r="BP346" s="15">
        <v>0</v>
      </c>
      <c r="BQ346" s="15">
        <v>173</v>
      </c>
    </row>
    <row r="347" spans="1:69">
      <c r="A347" s="16">
        <v>46029</v>
      </c>
      <c r="B347" s="15">
        <v>436</v>
      </c>
      <c r="C347" s="15" t="s">
        <v>38</v>
      </c>
      <c r="D347" s="15">
        <v>436</v>
      </c>
      <c r="E347" s="15" t="s">
        <v>38</v>
      </c>
      <c r="F347" s="15">
        <v>1769</v>
      </c>
      <c r="G347" s="15">
        <v>41</v>
      </c>
      <c r="H347" s="15">
        <v>56.79</v>
      </c>
      <c r="I347" s="15">
        <v>0.02318</v>
      </c>
      <c r="J347" s="15">
        <v>1.39</v>
      </c>
      <c r="K347" s="15">
        <v>32.1</v>
      </c>
      <c r="L347" s="15">
        <v>0</v>
      </c>
      <c r="M347" s="15">
        <v>0</v>
      </c>
      <c r="N347" s="15">
        <v>0</v>
      </c>
      <c r="O347" s="15">
        <v>0</v>
      </c>
      <c r="P347" s="15">
        <v>0</v>
      </c>
      <c r="Q347" s="15">
        <v>0</v>
      </c>
      <c r="R347" s="15">
        <v>0</v>
      </c>
      <c r="S347" s="15">
        <v>0</v>
      </c>
      <c r="T347" s="15">
        <v>0</v>
      </c>
      <c r="U347" s="15">
        <v>0</v>
      </c>
      <c r="V347" s="15">
        <v>0</v>
      </c>
      <c r="W347" s="15">
        <v>0</v>
      </c>
      <c r="X347" s="15">
        <v>0</v>
      </c>
      <c r="Y347" s="15">
        <v>0</v>
      </c>
      <c r="Z347" s="15">
        <v>0</v>
      </c>
      <c r="AA347" s="15"/>
      <c r="AB347" s="15">
        <v>2</v>
      </c>
      <c r="AC347" s="15">
        <v>0</v>
      </c>
      <c r="AD347" s="15">
        <v>2</v>
      </c>
      <c r="AE347" s="15">
        <v>0.04878</v>
      </c>
      <c r="AF347" s="15">
        <v>0</v>
      </c>
      <c r="AG347" s="15">
        <v>0</v>
      </c>
      <c r="AH347" s="15"/>
      <c r="AI347" s="15">
        <v>2</v>
      </c>
      <c r="AJ347" s="15">
        <v>28.4</v>
      </c>
      <c r="AK347" s="15">
        <v>2</v>
      </c>
      <c r="AL347" s="15">
        <v>28.4</v>
      </c>
      <c r="AM347" s="15">
        <v>0</v>
      </c>
      <c r="AN347" s="15"/>
      <c r="AO347" s="15">
        <v>0</v>
      </c>
      <c r="AP347" s="15">
        <v>28.4</v>
      </c>
      <c r="AQ347" s="15">
        <v>0</v>
      </c>
      <c r="AR347" s="15">
        <v>0</v>
      </c>
      <c r="AS347" s="15">
        <v>0</v>
      </c>
      <c r="AT347" s="15">
        <v>0</v>
      </c>
      <c r="AU347" s="15">
        <v>0</v>
      </c>
      <c r="AV347" s="15">
        <v>0</v>
      </c>
      <c r="AW347" s="15">
        <v>0</v>
      </c>
      <c r="AX347" s="15">
        <v>0</v>
      </c>
      <c r="AY347" s="15">
        <v>115</v>
      </c>
      <c r="AZ347" s="15">
        <v>37</v>
      </c>
      <c r="BA347" s="15">
        <v>23</v>
      </c>
      <c r="BB347" s="15">
        <v>0.62162</v>
      </c>
      <c r="BC347" s="15">
        <v>0</v>
      </c>
      <c r="BD347" s="15">
        <v>0</v>
      </c>
      <c r="BE347" s="15">
        <v>0.06501</v>
      </c>
      <c r="BF347" s="15">
        <v>63</v>
      </c>
      <c r="BG347" s="15">
        <v>3</v>
      </c>
      <c r="BH347" s="15">
        <v>0</v>
      </c>
      <c r="BI347" s="15"/>
      <c r="BJ347" s="15">
        <v>0</v>
      </c>
      <c r="BK347" s="15">
        <v>0</v>
      </c>
      <c r="BL347" s="15">
        <v>0</v>
      </c>
      <c r="BM347" s="15">
        <v>0</v>
      </c>
      <c r="BN347" s="15"/>
      <c r="BO347" s="15"/>
      <c r="BP347" s="15">
        <v>0</v>
      </c>
      <c r="BQ347" s="15">
        <v>131</v>
      </c>
    </row>
    <row r="348" spans="1:69">
      <c r="A348" s="16">
        <v>46028</v>
      </c>
      <c r="B348" s="15">
        <v>479</v>
      </c>
      <c r="C348" s="15" t="s">
        <v>39</v>
      </c>
      <c r="D348" s="15">
        <v>479</v>
      </c>
      <c r="E348" s="15" t="s">
        <v>39</v>
      </c>
      <c r="F348" s="15">
        <v>39</v>
      </c>
      <c r="G348" s="15">
        <v>14</v>
      </c>
      <c r="H348" s="15">
        <v>11.67</v>
      </c>
      <c r="I348" s="15">
        <v>0.35897</v>
      </c>
      <c r="J348" s="15">
        <v>0.83</v>
      </c>
      <c r="K348" s="15">
        <v>299.13</v>
      </c>
      <c r="L348" s="15">
        <v>0</v>
      </c>
      <c r="M348" s="15">
        <v>0</v>
      </c>
      <c r="N348" s="15">
        <v>0</v>
      </c>
      <c r="O348" s="15">
        <v>0</v>
      </c>
      <c r="P348" s="15">
        <v>0</v>
      </c>
      <c r="Q348" s="15">
        <v>0</v>
      </c>
      <c r="R348" s="15">
        <v>0</v>
      </c>
      <c r="S348" s="15">
        <v>726.16</v>
      </c>
      <c r="T348" s="15">
        <v>726.16</v>
      </c>
      <c r="U348" s="15">
        <v>1</v>
      </c>
      <c r="V348" s="15">
        <v>0</v>
      </c>
      <c r="W348" s="15">
        <v>1</v>
      </c>
      <c r="X348" s="15">
        <v>0.07143</v>
      </c>
      <c r="Y348" s="15">
        <v>62.25</v>
      </c>
      <c r="Z348" s="15">
        <v>62.25</v>
      </c>
      <c r="AA348" s="15">
        <v>11.67</v>
      </c>
      <c r="AB348" s="15">
        <v>6</v>
      </c>
      <c r="AC348" s="15">
        <v>0</v>
      </c>
      <c r="AD348" s="15">
        <v>6</v>
      </c>
      <c r="AE348" s="15">
        <v>0.42857</v>
      </c>
      <c r="AF348" s="15">
        <v>0</v>
      </c>
      <c r="AG348" s="15">
        <v>0</v>
      </c>
      <c r="AH348" s="15"/>
      <c r="AI348" s="15">
        <v>6</v>
      </c>
      <c r="AJ348" s="15">
        <v>1.94</v>
      </c>
      <c r="AK348" s="15">
        <v>6</v>
      </c>
      <c r="AL348" s="15">
        <v>1.94</v>
      </c>
      <c r="AM348" s="15">
        <v>0</v>
      </c>
      <c r="AN348" s="15"/>
      <c r="AO348" s="15">
        <v>0</v>
      </c>
      <c r="AP348" s="15">
        <v>1.94</v>
      </c>
      <c r="AQ348" s="15">
        <v>2</v>
      </c>
      <c r="AR348" s="15">
        <v>1146</v>
      </c>
      <c r="AS348" s="15">
        <v>0</v>
      </c>
      <c r="AT348" s="15">
        <v>0</v>
      </c>
      <c r="AU348" s="15">
        <v>0</v>
      </c>
      <c r="AV348" s="15">
        <v>0</v>
      </c>
      <c r="AW348" s="15">
        <v>0</v>
      </c>
      <c r="AX348" s="15">
        <v>0</v>
      </c>
      <c r="AY348" s="15">
        <v>120</v>
      </c>
      <c r="AZ348" s="15">
        <v>11</v>
      </c>
      <c r="BA348" s="15">
        <v>8</v>
      </c>
      <c r="BB348" s="15">
        <v>0.72727</v>
      </c>
      <c r="BC348" s="15">
        <v>0</v>
      </c>
      <c r="BD348" s="15">
        <v>0</v>
      </c>
      <c r="BE348" s="15">
        <v>3.07692</v>
      </c>
      <c r="BF348" s="15">
        <v>106</v>
      </c>
      <c r="BG348" s="15">
        <v>11</v>
      </c>
      <c r="BH348" s="15">
        <v>1</v>
      </c>
      <c r="BI348" s="15">
        <v>1</v>
      </c>
      <c r="BJ348" s="15">
        <v>0</v>
      </c>
      <c r="BK348" s="15">
        <v>0</v>
      </c>
      <c r="BL348" s="15">
        <v>0</v>
      </c>
      <c r="BM348" s="15">
        <v>1</v>
      </c>
      <c r="BN348" s="15">
        <v>1</v>
      </c>
      <c r="BO348" s="15">
        <v>726.16</v>
      </c>
      <c r="BP348" s="15">
        <v>0</v>
      </c>
      <c r="BQ348" s="15">
        <v>223</v>
      </c>
    </row>
    <row r="349" spans="1:69">
      <c r="A349" s="16">
        <v>46028</v>
      </c>
      <c r="B349" s="15">
        <v>436</v>
      </c>
      <c r="C349" s="15" t="s">
        <v>38</v>
      </c>
      <c r="D349" s="15">
        <v>436</v>
      </c>
      <c r="E349" s="15" t="s">
        <v>38</v>
      </c>
      <c r="F349" s="15">
        <v>1650</v>
      </c>
      <c r="G349" s="15">
        <v>45</v>
      </c>
      <c r="H349" s="15">
        <v>111.5</v>
      </c>
      <c r="I349" s="15">
        <v>0.02727</v>
      </c>
      <c r="J349" s="15">
        <v>2.48</v>
      </c>
      <c r="K349" s="15">
        <v>67.58</v>
      </c>
      <c r="L349" s="15">
        <v>0</v>
      </c>
      <c r="M349" s="15">
        <v>0</v>
      </c>
      <c r="N349" s="15">
        <v>0</v>
      </c>
      <c r="O349" s="15">
        <v>0</v>
      </c>
      <c r="P349" s="15">
        <v>0</v>
      </c>
      <c r="Q349" s="15">
        <v>0</v>
      </c>
      <c r="R349" s="15">
        <v>0</v>
      </c>
      <c r="S349" s="15">
        <v>262.4</v>
      </c>
      <c r="T349" s="15">
        <v>262.4</v>
      </c>
      <c r="U349" s="15">
        <v>1</v>
      </c>
      <c r="V349" s="15">
        <v>0</v>
      </c>
      <c r="W349" s="15">
        <v>1</v>
      </c>
      <c r="X349" s="15">
        <v>0.02222</v>
      </c>
      <c r="Y349" s="15">
        <v>2.35</v>
      </c>
      <c r="Z349" s="15">
        <v>2.35</v>
      </c>
      <c r="AA349" s="15">
        <v>111.5</v>
      </c>
      <c r="AB349" s="15">
        <v>0</v>
      </c>
      <c r="AC349" s="15">
        <v>0</v>
      </c>
      <c r="AD349" s="15">
        <v>0</v>
      </c>
      <c r="AE349" s="15">
        <v>0</v>
      </c>
      <c r="AF349" s="15">
        <v>1</v>
      </c>
      <c r="AG349" s="15">
        <v>0</v>
      </c>
      <c r="AH349" s="15"/>
      <c r="AI349" s="15">
        <v>1</v>
      </c>
      <c r="AJ349" s="15">
        <v>111.5</v>
      </c>
      <c r="AK349" s="15">
        <v>1</v>
      </c>
      <c r="AL349" s="15">
        <v>111.5</v>
      </c>
      <c r="AM349" s="15">
        <v>1</v>
      </c>
      <c r="AN349" s="15">
        <v>111.5</v>
      </c>
      <c r="AO349" s="15">
        <v>0.02222</v>
      </c>
      <c r="AP349" s="15"/>
      <c r="AQ349" s="15">
        <v>2</v>
      </c>
      <c r="AR349" s="15">
        <v>427</v>
      </c>
      <c r="AS349" s="15">
        <v>0</v>
      </c>
      <c r="AT349" s="15">
        <v>1</v>
      </c>
      <c r="AU349" s="15">
        <v>0</v>
      </c>
      <c r="AV349" s="15">
        <v>0</v>
      </c>
      <c r="AW349" s="15">
        <v>0</v>
      </c>
      <c r="AX349" s="15">
        <v>1</v>
      </c>
      <c r="AY349" s="15">
        <v>136</v>
      </c>
      <c r="AZ349" s="15">
        <v>38</v>
      </c>
      <c r="BA349" s="15">
        <v>23</v>
      </c>
      <c r="BB349" s="15">
        <v>0.60526</v>
      </c>
      <c r="BC349" s="15">
        <v>0</v>
      </c>
      <c r="BD349" s="15">
        <v>0</v>
      </c>
      <c r="BE349" s="15">
        <v>0.08242</v>
      </c>
      <c r="BF349" s="15">
        <v>90</v>
      </c>
      <c r="BG349" s="15">
        <v>4</v>
      </c>
      <c r="BH349" s="15">
        <v>0</v>
      </c>
      <c r="BI349" s="15">
        <v>0</v>
      </c>
      <c r="BJ349" s="15">
        <v>0</v>
      </c>
      <c r="BK349" s="15">
        <v>0</v>
      </c>
      <c r="BL349" s="15">
        <v>0</v>
      </c>
      <c r="BM349" s="15">
        <v>1</v>
      </c>
      <c r="BN349" s="15">
        <v>1</v>
      </c>
      <c r="BO349" s="15">
        <v>262.4</v>
      </c>
      <c r="BP349" s="15">
        <v>0</v>
      </c>
      <c r="BQ349" s="15">
        <v>363</v>
      </c>
    </row>
    <row r="350" spans="1:69">
      <c r="A350" s="16">
        <v>46028</v>
      </c>
      <c r="B350" s="15">
        <v>372</v>
      </c>
      <c r="C350" s="15" t="s">
        <v>37</v>
      </c>
      <c r="D350" s="15">
        <v>372</v>
      </c>
      <c r="E350" s="15" t="s">
        <v>61</v>
      </c>
      <c r="F350" s="15">
        <v>4630</v>
      </c>
      <c r="G350" s="15">
        <v>73</v>
      </c>
      <c r="H350" s="15">
        <v>151.03</v>
      </c>
      <c r="I350" s="15">
        <v>0.01577</v>
      </c>
      <c r="J350" s="15">
        <v>2.07</v>
      </c>
      <c r="K350" s="15">
        <v>32.62</v>
      </c>
      <c r="L350" s="15">
        <v>0</v>
      </c>
      <c r="M350" s="15">
        <v>0</v>
      </c>
      <c r="N350" s="15">
        <v>0</v>
      </c>
      <c r="O350" s="15">
        <v>0</v>
      </c>
      <c r="P350" s="15">
        <v>0</v>
      </c>
      <c r="Q350" s="15">
        <v>0</v>
      </c>
      <c r="R350" s="15">
        <v>0</v>
      </c>
      <c r="S350" s="15">
        <v>0</v>
      </c>
      <c r="T350" s="15">
        <v>0</v>
      </c>
      <c r="U350" s="15">
        <v>0</v>
      </c>
      <c r="V350" s="15">
        <v>0</v>
      </c>
      <c r="W350" s="15">
        <v>0</v>
      </c>
      <c r="X350" s="15">
        <v>0</v>
      </c>
      <c r="Y350" s="15">
        <v>0</v>
      </c>
      <c r="Z350" s="15">
        <v>0</v>
      </c>
      <c r="AA350" s="15"/>
      <c r="AB350" s="15">
        <v>3</v>
      </c>
      <c r="AC350" s="15">
        <v>3</v>
      </c>
      <c r="AD350" s="15">
        <v>0</v>
      </c>
      <c r="AE350" s="15">
        <v>0.0411</v>
      </c>
      <c r="AF350" s="15">
        <v>0</v>
      </c>
      <c r="AG350" s="15">
        <v>0</v>
      </c>
      <c r="AH350" s="15"/>
      <c r="AI350" s="15">
        <v>3</v>
      </c>
      <c r="AJ350" s="15">
        <v>50.34</v>
      </c>
      <c r="AK350" s="15">
        <v>3</v>
      </c>
      <c r="AL350" s="15">
        <v>50.34</v>
      </c>
      <c r="AM350" s="15">
        <v>0</v>
      </c>
      <c r="AN350" s="15"/>
      <c r="AO350" s="15">
        <v>0</v>
      </c>
      <c r="AP350" s="15">
        <v>50.34</v>
      </c>
      <c r="AQ350" s="15">
        <v>0</v>
      </c>
      <c r="AR350" s="15">
        <v>0</v>
      </c>
      <c r="AS350" s="15">
        <v>0</v>
      </c>
      <c r="AT350" s="15">
        <v>0</v>
      </c>
      <c r="AU350" s="15">
        <v>0</v>
      </c>
      <c r="AV350" s="15">
        <v>0</v>
      </c>
      <c r="AW350" s="15">
        <v>0</v>
      </c>
      <c r="AX350" s="15">
        <v>1</v>
      </c>
      <c r="AY350" s="15">
        <v>143</v>
      </c>
      <c r="AZ350" s="15">
        <v>67</v>
      </c>
      <c r="BA350" s="15">
        <v>61</v>
      </c>
      <c r="BB350" s="15">
        <v>0.91045</v>
      </c>
      <c r="BC350" s="15">
        <v>0</v>
      </c>
      <c r="BD350" s="15">
        <v>0</v>
      </c>
      <c r="BE350" s="15">
        <v>0.03089</v>
      </c>
      <c r="BF350" s="15">
        <v>59</v>
      </c>
      <c r="BG350" s="15">
        <v>2</v>
      </c>
      <c r="BH350" s="15">
        <v>0</v>
      </c>
      <c r="BI350" s="15"/>
      <c r="BJ350" s="15">
        <v>0</v>
      </c>
      <c r="BK350" s="15">
        <v>0</v>
      </c>
      <c r="BL350" s="15">
        <v>0</v>
      </c>
      <c r="BM350" s="15">
        <v>0</v>
      </c>
      <c r="BN350" s="15"/>
      <c r="BO350" s="15"/>
      <c r="BP350" s="15">
        <v>0</v>
      </c>
      <c r="BQ350" s="15">
        <v>72</v>
      </c>
    </row>
    <row r="351" spans="1:69">
      <c r="A351" s="16">
        <v>46028</v>
      </c>
      <c r="B351" s="15">
        <v>183</v>
      </c>
      <c r="C351" s="15" t="s">
        <v>40</v>
      </c>
      <c r="D351" s="15">
        <v>183</v>
      </c>
      <c r="E351" s="15" t="s">
        <v>40</v>
      </c>
      <c r="F351" s="15">
        <v>1695</v>
      </c>
      <c r="G351" s="15">
        <v>64</v>
      </c>
      <c r="H351" s="15">
        <v>100</v>
      </c>
      <c r="I351" s="15">
        <v>0.03776</v>
      </c>
      <c r="J351" s="15">
        <v>1.56</v>
      </c>
      <c r="K351" s="15">
        <v>59</v>
      </c>
      <c r="L351" s="15">
        <v>0</v>
      </c>
      <c r="M351" s="15">
        <v>0</v>
      </c>
      <c r="N351" s="15">
        <v>0</v>
      </c>
      <c r="O351" s="15">
        <v>0</v>
      </c>
      <c r="P351" s="15">
        <v>0</v>
      </c>
      <c r="Q351" s="15">
        <v>0</v>
      </c>
      <c r="R351" s="15">
        <v>139.44</v>
      </c>
      <c r="S351" s="15">
        <v>0</v>
      </c>
      <c r="T351" s="15">
        <v>139.44</v>
      </c>
      <c r="U351" s="15">
        <v>1</v>
      </c>
      <c r="V351" s="15">
        <v>1</v>
      </c>
      <c r="W351" s="15">
        <v>0</v>
      </c>
      <c r="X351" s="15">
        <v>0.01563</v>
      </c>
      <c r="Y351" s="15">
        <v>1.39</v>
      </c>
      <c r="Z351" s="15">
        <v>1.39</v>
      </c>
      <c r="AA351" s="15">
        <v>100</v>
      </c>
      <c r="AB351" s="15">
        <v>8</v>
      </c>
      <c r="AC351" s="15">
        <v>7</v>
      </c>
      <c r="AD351" s="15">
        <v>1</v>
      </c>
      <c r="AE351" s="15">
        <v>0.125</v>
      </c>
      <c r="AF351" s="15">
        <v>4</v>
      </c>
      <c r="AG351" s="15">
        <v>0</v>
      </c>
      <c r="AH351" s="15"/>
      <c r="AI351" s="15">
        <v>12</v>
      </c>
      <c r="AJ351" s="15">
        <v>8.33</v>
      </c>
      <c r="AK351" s="15">
        <v>12</v>
      </c>
      <c r="AL351" s="15">
        <v>8.33</v>
      </c>
      <c r="AM351" s="15">
        <v>4</v>
      </c>
      <c r="AN351" s="15">
        <v>25</v>
      </c>
      <c r="AO351" s="15">
        <v>0.0625</v>
      </c>
      <c r="AP351" s="15">
        <v>12.5</v>
      </c>
      <c r="AQ351" s="15">
        <v>2</v>
      </c>
      <c r="AR351" s="15">
        <v>217.9</v>
      </c>
      <c r="AS351" s="15">
        <v>1</v>
      </c>
      <c r="AT351" s="15">
        <v>3</v>
      </c>
      <c r="AU351" s="15">
        <v>0</v>
      </c>
      <c r="AV351" s="15">
        <v>0</v>
      </c>
      <c r="AW351" s="15">
        <v>0</v>
      </c>
      <c r="AX351" s="15">
        <v>1</v>
      </c>
      <c r="AY351" s="15">
        <v>114</v>
      </c>
      <c r="AZ351" s="15">
        <v>41</v>
      </c>
      <c r="BA351" s="15">
        <v>30</v>
      </c>
      <c r="BB351" s="15">
        <v>0.73171</v>
      </c>
      <c r="BC351" s="15">
        <v>0</v>
      </c>
      <c r="BD351" s="15">
        <v>0</v>
      </c>
      <c r="BE351" s="15">
        <v>0.06726</v>
      </c>
      <c r="BF351" s="15">
        <v>59</v>
      </c>
      <c r="BG351" s="15">
        <v>3</v>
      </c>
      <c r="BH351" s="15">
        <v>1</v>
      </c>
      <c r="BI351" s="15">
        <v>1</v>
      </c>
      <c r="BJ351" s="15">
        <v>0</v>
      </c>
      <c r="BK351" s="15">
        <v>0</v>
      </c>
      <c r="BL351" s="15">
        <v>0</v>
      </c>
      <c r="BM351" s="15">
        <v>1</v>
      </c>
      <c r="BN351" s="15">
        <v>1</v>
      </c>
      <c r="BO351" s="15">
        <v>139.44</v>
      </c>
      <c r="BP351" s="15">
        <v>125.28</v>
      </c>
      <c r="BQ351" s="15">
        <v>501</v>
      </c>
    </row>
    <row r="352" spans="1:69">
      <c r="A352" s="16">
        <v>46027</v>
      </c>
      <c r="B352" s="15">
        <v>436</v>
      </c>
      <c r="C352" s="15" t="s">
        <v>38</v>
      </c>
      <c r="D352" s="15">
        <v>436</v>
      </c>
      <c r="E352" s="15" t="s">
        <v>38</v>
      </c>
      <c r="F352" s="15">
        <v>2425</v>
      </c>
      <c r="G352" s="15">
        <v>51</v>
      </c>
      <c r="H352" s="15">
        <v>106.59</v>
      </c>
      <c r="I352" s="15">
        <v>0.02103</v>
      </c>
      <c r="J352" s="15">
        <v>2.09</v>
      </c>
      <c r="K352" s="15">
        <v>43.95</v>
      </c>
      <c r="L352" s="15">
        <v>0</v>
      </c>
      <c r="M352" s="15">
        <v>0</v>
      </c>
      <c r="N352" s="15">
        <v>0</v>
      </c>
      <c r="O352" s="15">
        <v>0</v>
      </c>
      <c r="P352" s="15">
        <v>0</v>
      </c>
      <c r="Q352" s="15">
        <v>0</v>
      </c>
      <c r="R352" s="15">
        <v>0</v>
      </c>
      <c r="S352" s="15">
        <v>0</v>
      </c>
      <c r="T352" s="15">
        <v>0</v>
      </c>
      <c r="U352" s="15">
        <v>0</v>
      </c>
      <c r="V352" s="15">
        <v>0</v>
      </c>
      <c r="W352" s="15">
        <v>0</v>
      </c>
      <c r="X352" s="15">
        <v>0</v>
      </c>
      <c r="Y352" s="15">
        <v>0</v>
      </c>
      <c r="Z352" s="15">
        <v>0</v>
      </c>
      <c r="AA352" s="15"/>
      <c r="AB352" s="15">
        <v>8</v>
      </c>
      <c r="AC352" s="15">
        <v>4</v>
      </c>
      <c r="AD352" s="15">
        <v>4</v>
      </c>
      <c r="AE352" s="15">
        <v>0.15686</v>
      </c>
      <c r="AF352" s="15">
        <v>0</v>
      </c>
      <c r="AG352" s="15">
        <v>3</v>
      </c>
      <c r="AH352" s="15">
        <v>35.53</v>
      </c>
      <c r="AI352" s="15">
        <v>11</v>
      </c>
      <c r="AJ352" s="15">
        <v>9.69</v>
      </c>
      <c r="AK352" s="15">
        <v>8</v>
      </c>
      <c r="AL352" s="15">
        <v>13.32</v>
      </c>
      <c r="AM352" s="15">
        <v>3</v>
      </c>
      <c r="AN352" s="15"/>
      <c r="AO352" s="15">
        <v>0</v>
      </c>
      <c r="AP352" s="15">
        <v>13.32</v>
      </c>
      <c r="AQ352" s="15">
        <v>0</v>
      </c>
      <c r="AR352" s="15">
        <v>0</v>
      </c>
      <c r="AS352" s="15">
        <v>0</v>
      </c>
      <c r="AT352" s="15">
        <v>0</v>
      </c>
      <c r="AU352" s="15">
        <v>0</v>
      </c>
      <c r="AV352" s="15">
        <v>0</v>
      </c>
      <c r="AW352" s="15">
        <v>0</v>
      </c>
      <c r="AX352" s="15">
        <v>0</v>
      </c>
      <c r="AY352" s="15">
        <v>204</v>
      </c>
      <c r="AZ352" s="15">
        <v>44</v>
      </c>
      <c r="BA352" s="15">
        <v>33</v>
      </c>
      <c r="BB352" s="15">
        <v>0.75</v>
      </c>
      <c r="BC352" s="15">
        <v>0</v>
      </c>
      <c r="BD352" s="15">
        <v>0</v>
      </c>
      <c r="BE352" s="15">
        <v>0.08412</v>
      </c>
      <c r="BF352" s="15">
        <v>152</v>
      </c>
      <c r="BG352" s="15">
        <v>5</v>
      </c>
      <c r="BH352" s="15">
        <v>0</v>
      </c>
      <c r="BI352" s="15"/>
      <c r="BJ352" s="15">
        <v>0</v>
      </c>
      <c r="BK352" s="15">
        <v>0</v>
      </c>
      <c r="BL352" s="15">
        <v>0</v>
      </c>
      <c r="BM352" s="15">
        <v>0</v>
      </c>
      <c r="BN352" s="15"/>
      <c r="BO352" s="15"/>
      <c r="BP352" s="15">
        <v>0</v>
      </c>
      <c r="BQ352" s="15">
        <v>123</v>
      </c>
    </row>
    <row r="353" spans="1:69">
      <c r="A353" s="16">
        <v>46027</v>
      </c>
      <c r="B353" s="15">
        <v>479</v>
      </c>
      <c r="C353" s="15" t="s">
        <v>39</v>
      </c>
      <c r="D353" s="15">
        <v>479</v>
      </c>
      <c r="E353" s="15" t="s">
        <v>39</v>
      </c>
      <c r="F353" s="15">
        <v>33</v>
      </c>
      <c r="G353" s="15">
        <v>14</v>
      </c>
      <c r="H353" s="15">
        <v>10.17</v>
      </c>
      <c r="I353" s="15">
        <v>0.42424</v>
      </c>
      <c r="J353" s="15">
        <v>0.73</v>
      </c>
      <c r="K353" s="15">
        <v>308.05</v>
      </c>
      <c r="L353" s="15">
        <v>0</v>
      </c>
      <c r="M353" s="15">
        <v>0</v>
      </c>
      <c r="N353" s="15">
        <v>0</v>
      </c>
      <c r="O353" s="15">
        <v>0</v>
      </c>
      <c r="P353" s="15">
        <v>0</v>
      </c>
      <c r="Q353" s="15">
        <v>0</v>
      </c>
      <c r="R353" s="15">
        <v>0</v>
      </c>
      <c r="S353" s="15">
        <v>0</v>
      </c>
      <c r="T353" s="15">
        <v>0</v>
      </c>
      <c r="U353" s="15">
        <v>0</v>
      </c>
      <c r="V353" s="15">
        <v>0</v>
      </c>
      <c r="W353" s="15">
        <v>0</v>
      </c>
      <c r="X353" s="15">
        <v>0</v>
      </c>
      <c r="Y353" s="15">
        <v>0</v>
      </c>
      <c r="Z353" s="15">
        <v>0</v>
      </c>
      <c r="AA353" s="15"/>
      <c r="AB353" s="15">
        <v>1</v>
      </c>
      <c r="AC353" s="15">
        <v>0</v>
      </c>
      <c r="AD353" s="15">
        <v>1</v>
      </c>
      <c r="AE353" s="15">
        <v>0.07143</v>
      </c>
      <c r="AF353" s="15">
        <v>0</v>
      </c>
      <c r="AG353" s="15">
        <v>0</v>
      </c>
      <c r="AH353" s="15"/>
      <c r="AI353" s="15">
        <v>1</v>
      </c>
      <c r="AJ353" s="15">
        <v>10.17</v>
      </c>
      <c r="AK353" s="15">
        <v>1</v>
      </c>
      <c r="AL353" s="15">
        <v>10.17</v>
      </c>
      <c r="AM353" s="15">
        <v>0</v>
      </c>
      <c r="AN353" s="15"/>
      <c r="AO353" s="15">
        <v>0</v>
      </c>
      <c r="AP353" s="15">
        <v>10.17</v>
      </c>
      <c r="AQ353" s="15">
        <v>0</v>
      </c>
      <c r="AR353" s="15">
        <v>0</v>
      </c>
      <c r="AS353" s="15">
        <v>0</v>
      </c>
      <c r="AT353" s="15">
        <v>0</v>
      </c>
      <c r="AU353" s="15">
        <v>0</v>
      </c>
      <c r="AV353" s="15">
        <v>0</v>
      </c>
      <c r="AW353" s="15">
        <v>0</v>
      </c>
      <c r="AX353" s="15">
        <v>0</v>
      </c>
      <c r="AY353" s="15">
        <v>87</v>
      </c>
      <c r="AZ353" s="15">
        <v>14</v>
      </c>
      <c r="BA353" s="15">
        <v>11</v>
      </c>
      <c r="BB353" s="15">
        <v>0.78571</v>
      </c>
      <c r="BC353" s="15">
        <v>0</v>
      </c>
      <c r="BD353" s="15">
        <v>0</v>
      </c>
      <c r="BE353" s="15">
        <v>2.63636</v>
      </c>
      <c r="BF353" s="15">
        <v>73</v>
      </c>
      <c r="BG353" s="15">
        <v>6</v>
      </c>
      <c r="BH353" s="15">
        <v>0</v>
      </c>
      <c r="BI353" s="15"/>
      <c r="BJ353" s="15">
        <v>0</v>
      </c>
      <c r="BK353" s="15">
        <v>0</v>
      </c>
      <c r="BL353" s="15">
        <v>0</v>
      </c>
      <c r="BM353" s="15">
        <v>0</v>
      </c>
      <c r="BN353" s="15"/>
      <c r="BO353" s="15"/>
      <c r="BP353" s="15">
        <v>0</v>
      </c>
      <c r="BQ353" s="15">
        <v>31</v>
      </c>
    </row>
    <row r="354" spans="1:69">
      <c r="A354" s="16">
        <v>46027</v>
      </c>
      <c r="B354" s="15">
        <v>372</v>
      </c>
      <c r="C354" s="15" t="s">
        <v>37</v>
      </c>
      <c r="D354" s="15">
        <v>372</v>
      </c>
      <c r="E354" s="15" t="s">
        <v>61</v>
      </c>
      <c r="F354" s="15">
        <v>5414</v>
      </c>
      <c r="G354" s="15">
        <v>112</v>
      </c>
      <c r="H354" s="15">
        <v>132.55</v>
      </c>
      <c r="I354" s="15">
        <v>0.02069</v>
      </c>
      <c r="J354" s="15">
        <v>1.18</v>
      </c>
      <c r="K354" s="15">
        <v>24.48</v>
      </c>
      <c r="L354" s="15">
        <v>0</v>
      </c>
      <c r="M354" s="15">
        <v>0</v>
      </c>
      <c r="N354" s="15">
        <v>0</v>
      </c>
      <c r="O354" s="15">
        <v>0</v>
      </c>
      <c r="P354" s="15">
        <v>0</v>
      </c>
      <c r="Q354" s="15">
        <v>0</v>
      </c>
      <c r="R354" s="15">
        <v>278.8</v>
      </c>
      <c r="S354" s="15">
        <v>0</v>
      </c>
      <c r="T354" s="15">
        <v>278.8</v>
      </c>
      <c r="U354" s="15">
        <v>1</v>
      </c>
      <c r="V354" s="15">
        <v>1</v>
      </c>
      <c r="W354" s="15">
        <v>0</v>
      </c>
      <c r="X354" s="15">
        <v>0.00893</v>
      </c>
      <c r="Y354" s="15">
        <v>2.1</v>
      </c>
      <c r="Z354" s="15">
        <v>2.1</v>
      </c>
      <c r="AA354" s="15">
        <v>132.55</v>
      </c>
      <c r="AB354" s="15">
        <v>3</v>
      </c>
      <c r="AC354" s="15">
        <v>3</v>
      </c>
      <c r="AD354" s="15">
        <v>0</v>
      </c>
      <c r="AE354" s="15">
        <v>0.02679</v>
      </c>
      <c r="AF354" s="15">
        <v>3</v>
      </c>
      <c r="AG354" s="15">
        <v>0</v>
      </c>
      <c r="AH354" s="15"/>
      <c r="AI354" s="15">
        <v>6</v>
      </c>
      <c r="AJ354" s="15">
        <v>22.09</v>
      </c>
      <c r="AK354" s="15">
        <v>6</v>
      </c>
      <c r="AL354" s="15">
        <v>22.09</v>
      </c>
      <c r="AM354" s="15">
        <v>3</v>
      </c>
      <c r="AN354" s="15">
        <v>44.18</v>
      </c>
      <c r="AO354" s="15">
        <v>0.02679</v>
      </c>
      <c r="AP354" s="15">
        <v>44.18</v>
      </c>
      <c r="AQ354" s="15">
        <v>2</v>
      </c>
      <c r="AR354" s="15">
        <v>427</v>
      </c>
      <c r="AS354" s="15">
        <v>3</v>
      </c>
      <c r="AT354" s="15">
        <v>0</v>
      </c>
      <c r="AU354" s="15">
        <v>0</v>
      </c>
      <c r="AV354" s="15">
        <v>0</v>
      </c>
      <c r="AW354" s="15">
        <v>0</v>
      </c>
      <c r="AX354" s="15">
        <v>0</v>
      </c>
      <c r="AY354" s="15">
        <v>238</v>
      </c>
      <c r="AZ354" s="15">
        <v>92</v>
      </c>
      <c r="BA354" s="15">
        <v>86</v>
      </c>
      <c r="BB354" s="15">
        <v>0.93478</v>
      </c>
      <c r="BC354" s="15">
        <v>0</v>
      </c>
      <c r="BD354" s="15">
        <v>0</v>
      </c>
      <c r="BE354" s="15">
        <v>0.04396</v>
      </c>
      <c r="BF354" s="15">
        <v>97</v>
      </c>
      <c r="BG354" s="15">
        <v>3</v>
      </c>
      <c r="BH354" s="15">
        <v>1</v>
      </c>
      <c r="BI354" s="15">
        <v>1</v>
      </c>
      <c r="BJ354" s="15">
        <v>0</v>
      </c>
      <c r="BK354" s="15">
        <v>0</v>
      </c>
      <c r="BL354" s="15">
        <v>0</v>
      </c>
      <c r="BM354" s="15">
        <v>1</v>
      </c>
      <c r="BN354" s="15">
        <v>1</v>
      </c>
      <c r="BO354" s="15">
        <v>278.8</v>
      </c>
      <c r="BP354" s="15">
        <v>0</v>
      </c>
      <c r="BQ354" s="15">
        <v>299</v>
      </c>
    </row>
    <row r="355" spans="1:69">
      <c r="A355" s="16">
        <v>46027</v>
      </c>
      <c r="B355" s="15">
        <v>183</v>
      </c>
      <c r="C355" s="15" t="s">
        <v>40</v>
      </c>
      <c r="D355" s="15">
        <v>183</v>
      </c>
      <c r="E355" s="15" t="s">
        <v>40</v>
      </c>
      <c r="F355" s="15">
        <v>2365</v>
      </c>
      <c r="G355" s="15">
        <v>67</v>
      </c>
      <c r="H355" s="15">
        <v>99.45</v>
      </c>
      <c r="I355" s="15">
        <v>0.02833</v>
      </c>
      <c r="J355" s="15">
        <v>1.48</v>
      </c>
      <c r="K355" s="15">
        <v>42.05</v>
      </c>
      <c r="L355" s="15">
        <v>0</v>
      </c>
      <c r="M355" s="15">
        <v>0</v>
      </c>
      <c r="N355" s="15">
        <v>0</v>
      </c>
      <c r="O355" s="15">
        <v>0</v>
      </c>
      <c r="P355" s="15">
        <v>0</v>
      </c>
      <c r="Q355" s="15">
        <v>0</v>
      </c>
      <c r="R355" s="15">
        <v>0</v>
      </c>
      <c r="S355" s="15">
        <v>1514.6</v>
      </c>
      <c r="T355" s="15">
        <v>1514.6</v>
      </c>
      <c r="U355" s="15">
        <v>1</v>
      </c>
      <c r="V355" s="15">
        <v>0</v>
      </c>
      <c r="W355" s="15">
        <v>1</v>
      </c>
      <c r="X355" s="15">
        <v>0.01493</v>
      </c>
      <c r="Y355" s="15">
        <v>15.23</v>
      </c>
      <c r="Z355" s="15">
        <v>15.23</v>
      </c>
      <c r="AA355" s="15">
        <v>99.45</v>
      </c>
      <c r="AB355" s="15">
        <v>5</v>
      </c>
      <c r="AC355" s="15">
        <v>4</v>
      </c>
      <c r="AD355" s="15">
        <v>1</v>
      </c>
      <c r="AE355" s="15">
        <v>0.07463</v>
      </c>
      <c r="AF355" s="15">
        <v>3</v>
      </c>
      <c r="AG355" s="15">
        <v>2</v>
      </c>
      <c r="AH355" s="15">
        <v>49.73</v>
      </c>
      <c r="AI355" s="15">
        <v>10</v>
      </c>
      <c r="AJ355" s="15">
        <v>9.95</v>
      </c>
      <c r="AK355" s="15">
        <v>8</v>
      </c>
      <c r="AL355" s="15">
        <v>12.43</v>
      </c>
      <c r="AM355" s="15">
        <v>5</v>
      </c>
      <c r="AN355" s="15">
        <v>33.15</v>
      </c>
      <c r="AO355" s="15">
        <v>0.04478</v>
      </c>
      <c r="AP355" s="15">
        <v>19.89</v>
      </c>
      <c r="AQ355" s="15">
        <v>4</v>
      </c>
      <c r="AR355" s="15">
        <v>4928</v>
      </c>
      <c r="AS355" s="15">
        <v>3</v>
      </c>
      <c r="AT355" s="15">
        <v>0</v>
      </c>
      <c r="AU355" s="15">
        <v>0</v>
      </c>
      <c r="AV355" s="15">
        <v>0</v>
      </c>
      <c r="AW355" s="15">
        <v>0</v>
      </c>
      <c r="AX355" s="15">
        <v>2</v>
      </c>
      <c r="AY355" s="15">
        <v>174</v>
      </c>
      <c r="AZ355" s="15">
        <v>57</v>
      </c>
      <c r="BA355" s="15">
        <v>34</v>
      </c>
      <c r="BB355" s="15">
        <v>0.59649</v>
      </c>
      <c r="BC355" s="15">
        <v>0</v>
      </c>
      <c r="BD355" s="15">
        <v>0</v>
      </c>
      <c r="BE355" s="15">
        <v>0.07357</v>
      </c>
      <c r="BF355" s="15">
        <v>101</v>
      </c>
      <c r="BG355" s="15">
        <v>3</v>
      </c>
      <c r="BH355" s="15">
        <v>1</v>
      </c>
      <c r="BI355" s="15">
        <v>1</v>
      </c>
      <c r="BJ355" s="15">
        <v>0</v>
      </c>
      <c r="BK355" s="15">
        <v>0</v>
      </c>
      <c r="BL355" s="15">
        <v>0</v>
      </c>
      <c r="BM355" s="15">
        <v>1</v>
      </c>
      <c r="BN355" s="15">
        <v>1</v>
      </c>
      <c r="BO355" s="15">
        <v>1514.6</v>
      </c>
      <c r="BP355" s="15">
        <v>0</v>
      </c>
      <c r="BQ355" s="15">
        <v>159</v>
      </c>
    </row>
    <row r="356" spans="1:69">
      <c r="A356" s="16">
        <v>46026</v>
      </c>
      <c r="B356" s="15">
        <v>372</v>
      </c>
      <c r="C356" s="15" t="s">
        <v>37</v>
      </c>
      <c r="D356" s="15">
        <v>372</v>
      </c>
      <c r="E356" s="15" t="s">
        <v>61</v>
      </c>
      <c r="F356" s="15">
        <v>9756</v>
      </c>
      <c r="G356" s="15">
        <v>127</v>
      </c>
      <c r="H356" s="15">
        <v>187.34</v>
      </c>
      <c r="I356" s="15">
        <v>0.01302</v>
      </c>
      <c r="J356" s="15">
        <v>1.48</v>
      </c>
      <c r="K356" s="15">
        <v>19.2</v>
      </c>
      <c r="L356" s="15">
        <v>0</v>
      </c>
      <c r="M356" s="15">
        <v>0</v>
      </c>
      <c r="N356" s="15">
        <v>0</v>
      </c>
      <c r="O356" s="15">
        <v>0</v>
      </c>
      <c r="P356" s="15">
        <v>0</v>
      </c>
      <c r="Q356" s="15">
        <v>0</v>
      </c>
      <c r="R356" s="15">
        <v>0</v>
      </c>
      <c r="S356" s="15">
        <v>0</v>
      </c>
      <c r="T356" s="15">
        <v>0</v>
      </c>
      <c r="U356" s="15">
        <v>0</v>
      </c>
      <c r="V356" s="15">
        <v>0</v>
      </c>
      <c r="W356" s="15">
        <v>0</v>
      </c>
      <c r="X356" s="15">
        <v>0</v>
      </c>
      <c r="Y356" s="15">
        <v>0</v>
      </c>
      <c r="Z356" s="15">
        <v>0</v>
      </c>
      <c r="AA356" s="15"/>
      <c r="AB356" s="15">
        <v>2</v>
      </c>
      <c r="AC356" s="15">
        <v>2</v>
      </c>
      <c r="AD356" s="15">
        <v>0</v>
      </c>
      <c r="AE356" s="15">
        <v>0.01575</v>
      </c>
      <c r="AF356" s="15">
        <v>2</v>
      </c>
      <c r="AG356" s="15">
        <v>0</v>
      </c>
      <c r="AH356" s="15"/>
      <c r="AI356" s="15">
        <v>4</v>
      </c>
      <c r="AJ356" s="15">
        <v>46.84</v>
      </c>
      <c r="AK356" s="15">
        <v>4</v>
      </c>
      <c r="AL356" s="15">
        <v>46.84</v>
      </c>
      <c r="AM356" s="15">
        <v>2</v>
      </c>
      <c r="AN356" s="15">
        <v>93.67</v>
      </c>
      <c r="AO356" s="15">
        <v>0.01575</v>
      </c>
      <c r="AP356" s="15">
        <v>93.67</v>
      </c>
      <c r="AQ356" s="15">
        <v>0</v>
      </c>
      <c r="AR356" s="15">
        <v>0</v>
      </c>
      <c r="AS356" s="15">
        <v>2</v>
      </c>
      <c r="AT356" s="15">
        <v>0</v>
      </c>
      <c r="AU356" s="15">
        <v>0</v>
      </c>
      <c r="AV356" s="15">
        <v>0</v>
      </c>
      <c r="AW356" s="15">
        <v>0</v>
      </c>
      <c r="AX356" s="15">
        <v>1</v>
      </c>
      <c r="AY356" s="15">
        <v>271</v>
      </c>
      <c r="AZ356" s="15">
        <v>117</v>
      </c>
      <c r="BA356" s="15">
        <v>110</v>
      </c>
      <c r="BB356" s="15">
        <v>0.94017</v>
      </c>
      <c r="BC356" s="15">
        <v>0</v>
      </c>
      <c r="BD356" s="15">
        <v>0</v>
      </c>
      <c r="BE356" s="15">
        <v>0.02778</v>
      </c>
      <c r="BF356" s="15">
        <v>122</v>
      </c>
      <c r="BG356" s="15">
        <v>2</v>
      </c>
      <c r="BH356" s="15">
        <v>0</v>
      </c>
      <c r="BI356" s="15"/>
      <c r="BJ356" s="15">
        <v>0</v>
      </c>
      <c r="BK356" s="15">
        <v>0</v>
      </c>
      <c r="BL356" s="15">
        <v>0</v>
      </c>
      <c r="BM356" s="15">
        <v>0</v>
      </c>
      <c r="BN356" s="15"/>
      <c r="BO356" s="15"/>
      <c r="BP356" s="15">
        <v>0</v>
      </c>
      <c r="BQ356" s="15">
        <v>162</v>
      </c>
    </row>
    <row r="357" spans="1:69">
      <c r="A357" s="16">
        <v>46026</v>
      </c>
      <c r="B357" s="15">
        <v>436</v>
      </c>
      <c r="C357" s="15" t="s">
        <v>38</v>
      </c>
      <c r="D357" s="15">
        <v>436</v>
      </c>
      <c r="E357" s="15" t="s">
        <v>38</v>
      </c>
      <c r="F357" s="15">
        <v>2475</v>
      </c>
      <c r="G357" s="15">
        <v>70</v>
      </c>
      <c r="H357" s="15">
        <v>130.88</v>
      </c>
      <c r="I357" s="15">
        <v>0.02828</v>
      </c>
      <c r="J357" s="15">
        <v>1.87</v>
      </c>
      <c r="K357" s="15">
        <v>52.88</v>
      </c>
      <c r="L357" s="15">
        <v>0</v>
      </c>
      <c r="M357" s="15">
        <v>0</v>
      </c>
      <c r="N357" s="15">
        <v>0</v>
      </c>
      <c r="O357" s="15">
        <v>0</v>
      </c>
      <c r="P357" s="15">
        <v>0</v>
      </c>
      <c r="Q357" s="15">
        <v>0</v>
      </c>
      <c r="R357" s="15">
        <v>641.04</v>
      </c>
      <c r="S357" s="15">
        <v>24.96</v>
      </c>
      <c r="T357" s="15">
        <v>666</v>
      </c>
      <c r="U357" s="15">
        <v>3</v>
      </c>
      <c r="V357" s="15">
        <v>2</v>
      </c>
      <c r="W357" s="15">
        <v>1</v>
      </c>
      <c r="X357" s="15">
        <v>0.04286</v>
      </c>
      <c r="Y357" s="15">
        <v>5.09</v>
      </c>
      <c r="Z357" s="15">
        <v>5.09</v>
      </c>
      <c r="AA357" s="15">
        <v>43.63</v>
      </c>
      <c r="AB357" s="15">
        <v>2</v>
      </c>
      <c r="AC357" s="15">
        <v>2</v>
      </c>
      <c r="AD357" s="15">
        <v>0</v>
      </c>
      <c r="AE357" s="15">
        <v>0.02857</v>
      </c>
      <c r="AF357" s="15">
        <v>0</v>
      </c>
      <c r="AG357" s="15">
        <v>0</v>
      </c>
      <c r="AH357" s="15"/>
      <c r="AI357" s="15">
        <v>2</v>
      </c>
      <c r="AJ357" s="15">
        <v>65.44</v>
      </c>
      <c r="AK357" s="15">
        <v>2</v>
      </c>
      <c r="AL357" s="15">
        <v>65.44</v>
      </c>
      <c r="AM357" s="15">
        <v>0</v>
      </c>
      <c r="AN357" s="15"/>
      <c r="AO357" s="15">
        <v>0</v>
      </c>
      <c r="AP357" s="15">
        <v>65.44</v>
      </c>
      <c r="AQ357" s="15">
        <v>5</v>
      </c>
      <c r="AR357" s="15">
        <v>991.9</v>
      </c>
      <c r="AS357" s="15">
        <v>0</v>
      </c>
      <c r="AT357" s="15">
        <v>0</v>
      </c>
      <c r="AU357" s="15">
        <v>0</v>
      </c>
      <c r="AV357" s="15">
        <v>0</v>
      </c>
      <c r="AW357" s="15">
        <v>0</v>
      </c>
      <c r="AX357" s="15">
        <v>4</v>
      </c>
      <c r="AY357" s="15">
        <v>174</v>
      </c>
      <c r="AZ357" s="15">
        <v>61</v>
      </c>
      <c r="BA357" s="15">
        <v>45</v>
      </c>
      <c r="BB357" s="15">
        <v>0.7377</v>
      </c>
      <c r="BC357" s="15">
        <v>0</v>
      </c>
      <c r="BD357" s="15">
        <v>0</v>
      </c>
      <c r="BE357" s="15">
        <v>0.0703</v>
      </c>
      <c r="BF357" s="15">
        <v>103</v>
      </c>
      <c r="BG357" s="15">
        <v>3</v>
      </c>
      <c r="BH357" s="15">
        <v>1</v>
      </c>
      <c r="BI357" s="15">
        <v>0.33333</v>
      </c>
      <c r="BJ357" s="15">
        <v>0</v>
      </c>
      <c r="BK357" s="15">
        <v>0</v>
      </c>
      <c r="BL357" s="15">
        <v>0</v>
      </c>
      <c r="BM357" s="15">
        <v>3</v>
      </c>
      <c r="BN357" s="15">
        <v>1</v>
      </c>
      <c r="BO357" s="15">
        <v>222</v>
      </c>
      <c r="BP357" s="15">
        <v>6.52</v>
      </c>
      <c r="BQ357" s="15">
        <v>835</v>
      </c>
    </row>
    <row r="358" spans="1:69">
      <c r="A358" s="16">
        <v>46026</v>
      </c>
      <c r="B358" s="15">
        <v>479</v>
      </c>
      <c r="C358" s="15" t="s">
        <v>39</v>
      </c>
      <c r="D358" s="15">
        <v>479</v>
      </c>
      <c r="E358" s="15" t="s">
        <v>39</v>
      </c>
      <c r="F358" s="15">
        <v>50</v>
      </c>
      <c r="G358" s="15">
        <v>23</v>
      </c>
      <c r="H358" s="15">
        <v>16.24</v>
      </c>
      <c r="I358" s="15">
        <v>0.46</v>
      </c>
      <c r="J358" s="15">
        <v>0.71</v>
      </c>
      <c r="K358" s="15">
        <v>324.77</v>
      </c>
      <c r="L358" s="15">
        <v>0</v>
      </c>
      <c r="M358" s="15">
        <v>0</v>
      </c>
      <c r="N358" s="15">
        <v>0</v>
      </c>
      <c r="O358" s="15">
        <v>0</v>
      </c>
      <c r="P358" s="15">
        <v>0</v>
      </c>
      <c r="Q358" s="15">
        <v>0</v>
      </c>
      <c r="R358" s="15">
        <v>0</v>
      </c>
      <c r="S358" s="15">
        <v>6178.52</v>
      </c>
      <c r="T358" s="15">
        <v>6178.52</v>
      </c>
      <c r="U358" s="15">
        <v>3</v>
      </c>
      <c r="V358" s="15">
        <v>0</v>
      </c>
      <c r="W358" s="15">
        <v>3</v>
      </c>
      <c r="X358" s="15">
        <v>0.13043</v>
      </c>
      <c r="Y358" s="15">
        <v>380.49</v>
      </c>
      <c r="Z358" s="15">
        <v>380.49</v>
      </c>
      <c r="AA358" s="15">
        <v>5.41</v>
      </c>
      <c r="AB358" s="15">
        <v>7</v>
      </c>
      <c r="AC358" s="15">
        <v>0</v>
      </c>
      <c r="AD358" s="15">
        <v>7</v>
      </c>
      <c r="AE358" s="15">
        <v>0.30435</v>
      </c>
      <c r="AF358" s="15">
        <v>1</v>
      </c>
      <c r="AG358" s="15">
        <v>1</v>
      </c>
      <c r="AH358" s="15">
        <v>16.24</v>
      </c>
      <c r="AI358" s="15">
        <v>9</v>
      </c>
      <c r="AJ358" s="15">
        <v>1.8</v>
      </c>
      <c r="AK358" s="15">
        <v>8</v>
      </c>
      <c r="AL358" s="15">
        <v>2.03</v>
      </c>
      <c r="AM358" s="15">
        <v>2</v>
      </c>
      <c r="AN358" s="15">
        <v>16.24</v>
      </c>
      <c r="AO358" s="15">
        <v>0.04348</v>
      </c>
      <c r="AP358" s="15">
        <v>2.32</v>
      </c>
      <c r="AQ358" s="15">
        <v>5</v>
      </c>
      <c r="AR358" s="15">
        <v>9716</v>
      </c>
      <c r="AS358" s="15">
        <v>0</v>
      </c>
      <c r="AT358" s="15">
        <v>1</v>
      </c>
      <c r="AU358" s="15">
        <v>0</v>
      </c>
      <c r="AV358" s="15">
        <v>0</v>
      </c>
      <c r="AW358" s="15">
        <v>0</v>
      </c>
      <c r="AX358" s="15">
        <v>3</v>
      </c>
      <c r="AY358" s="15">
        <v>250</v>
      </c>
      <c r="AZ358" s="15">
        <v>16</v>
      </c>
      <c r="BA358" s="15">
        <v>12</v>
      </c>
      <c r="BB358" s="15">
        <v>0.75</v>
      </c>
      <c r="BC358" s="15">
        <v>0</v>
      </c>
      <c r="BD358" s="15">
        <v>0</v>
      </c>
      <c r="BE358" s="15">
        <v>5</v>
      </c>
      <c r="BF358" s="15">
        <v>226</v>
      </c>
      <c r="BG358" s="15">
        <v>16</v>
      </c>
      <c r="BH358" s="15">
        <v>1</v>
      </c>
      <c r="BI358" s="15">
        <v>1</v>
      </c>
      <c r="BJ358" s="15">
        <v>0</v>
      </c>
      <c r="BK358" s="15">
        <v>0</v>
      </c>
      <c r="BL358" s="15">
        <v>0</v>
      </c>
      <c r="BM358" s="15">
        <v>1</v>
      </c>
      <c r="BN358" s="15">
        <v>3</v>
      </c>
      <c r="BO358" s="15">
        <v>6178.52</v>
      </c>
      <c r="BP358" s="15">
        <v>0</v>
      </c>
      <c r="BQ358" s="15">
        <v>328</v>
      </c>
    </row>
    <row r="359" spans="1:69">
      <c r="A359" s="16">
        <v>46026</v>
      </c>
      <c r="B359" s="15">
        <v>183</v>
      </c>
      <c r="C359" s="15" t="s">
        <v>40</v>
      </c>
      <c r="D359" s="15">
        <v>183</v>
      </c>
      <c r="E359" s="15" t="s">
        <v>40</v>
      </c>
      <c r="F359" s="15">
        <v>1610</v>
      </c>
      <c r="G359" s="15">
        <v>44</v>
      </c>
      <c r="H359" s="15">
        <v>94.16</v>
      </c>
      <c r="I359" s="15">
        <v>0.02733</v>
      </c>
      <c r="J359" s="15">
        <v>2.14</v>
      </c>
      <c r="K359" s="15">
        <v>58.48</v>
      </c>
      <c r="L359" s="15">
        <v>0</v>
      </c>
      <c r="M359" s="15">
        <v>0</v>
      </c>
      <c r="N359" s="15">
        <v>0</v>
      </c>
      <c r="O359" s="15">
        <v>0</v>
      </c>
      <c r="P359" s="15">
        <v>0</v>
      </c>
      <c r="Q359" s="15">
        <v>0</v>
      </c>
      <c r="R359" s="15">
        <v>0</v>
      </c>
      <c r="S359" s="15">
        <v>106.97</v>
      </c>
      <c r="T359" s="15">
        <v>106.97</v>
      </c>
      <c r="U359" s="15">
        <v>4</v>
      </c>
      <c r="V359" s="15">
        <v>0</v>
      </c>
      <c r="W359" s="15">
        <v>4</v>
      </c>
      <c r="X359" s="15">
        <v>0.09091</v>
      </c>
      <c r="Y359" s="15">
        <v>1.14</v>
      </c>
      <c r="Z359" s="15">
        <v>1.14</v>
      </c>
      <c r="AA359" s="15">
        <v>23.54</v>
      </c>
      <c r="AB359" s="15">
        <v>6</v>
      </c>
      <c r="AC359" s="15">
        <v>1</v>
      </c>
      <c r="AD359" s="15">
        <v>5</v>
      </c>
      <c r="AE359" s="15">
        <v>0.13636</v>
      </c>
      <c r="AF359" s="15">
        <v>2</v>
      </c>
      <c r="AG359" s="15">
        <v>1</v>
      </c>
      <c r="AH359" s="15">
        <v>94.16</v>
      </c>
      <c r="AI359" s="15">
        <v>9</v>
      </c>
      <c r="AJ359" s="15">
        <v>10.46</v>
      </c>
      <c r="AK359" s="15">
        <v>8</v>
      </c>
      <c r="AL359" s="15">
        <v>11.77</v>
      </c>
      <c r="AM359" s="15">
        <v>3</v>
      </c>
      <c r="AN359" s="15">
        <v>47.08</v>
      </c>
      <c r="AO359" s="15">
        <v>0.04545</v>
      </c>
      <c r="AP359" s="15">
        <v>15.69</v>
      </c>
      <c r="AQ359" s="15">
        <v>5</v>
      </c>
      <c r="AR359" s="15">
        <v>228.6</v>
      </c>
      <c r="AS359" s="15">
        <v>2</v>
      </c>
      <c r="AT359" s="15">
        <v>0</v>
      </c>
      <c r="AU359" s="15">
        <v>0</v>
      </c>
      <c r="AV359" s="15">
        <v>0</v>
      </c>
      <c r="AW359" s="15">
        <v>0</v>
      </c>
      <c r="AX359" s="15">
        <v>1</v>
      </c>
      <c r="AY359" s="15">
        <v>111</v>
      </c>
      <c r="AZ359" s="15">
        <v>32</v>
      </c>
      <c r="BA359" s="15">
        <v>28</v>
      </c>
      <c r="BB359" s="15">
        <v>0.875</v>
      </c>
      <c r="BC359" s="15">
        <v>0</v>
      </c>
      <c r="BD359" s="15">
        <v>0</v>
      </c>
      <c r="BE359" s="15">
        <v>0.06894</v>
      </c>
      <c r="BF359" s="15">
        <v>72</v>
      </c>
      <c r="BG359" s="15">
        <v>3</v>
      </c>
      <c r="BH359" s="15">
        <v>1</v>
      </c>
      <c r="BI359" s="15">
        <v>1</v>
      </c>
      <c r="BJ359" s="15">
        <v>0</v>
      </c>
      <c r="BK359" s="15">
        <v>0</v>
      </c>
      <c r="BL359" s="15">
        <v>0</v>
      </c>
      <c r="BM359" s="15">
        <v>1</v>
      </c>
      <c r="BN359" s="15">
        <v>4</v>
      </c>
      <c r="BO359" s="15">
        <v>106.97</v>
      </c>
      <c r="BP359" s="15">
        <v>8.79</v>
      </c>
      <c r="BQ359" s="15">
        <v>210</v>
      </c>
    </row>
    <row r="360" spans="1:69">
      <c r="A360" s="16">
        <v>46025</v>
      </c>
      <c r="B360" s="15">
        <v>372</v>
      </c>
      <c r="C360" s="15" t="s">
        <v>37</v>
      </c>
      <c r="D360" s="15">
        <v>372</v>
      </c>
      <c r="E360" s="15" t="s">
        <v>61</v>
      </c>
      <c r="F360" s="15">
        <v>8597</v>
      </c>
      <c r="G360" s="15">
        <v>127</v>
      </c>
      <c r="H360" s="15">
        <v>138.13</v>
      </c>
      <c r="I360" s="15">
        <v>0.01477</v>
      </c>
      <c r="J360" s="15">
        <v>1.09</v>
      </c>
      <c r="K360" s="15">
        <v>16.07</v>
      </c>
      <c r="L360" s="15">
        <v>0</v>
      </c>
      <c r="M360" s="15">
        <v>0</v>
      </c>
      <c r="N360" s="15">
        <v>0</v>
      </c>
      <c r="O360" s="15">
        <v>0</v>
      </c>
      <c r="P360" s="15">
        <v>0</v>
      </c>
      <c r="Q360" s="15">
        <v>0</v>
      </c>
      <c r="R360" s="15">
        <v>0</v>
      </c>
      <c r="S360" s="15">
        <v>24.65</v>
      </c>
      <c r="T360" s="15">
        <v>24.65</v>
      </c>
      <c r="U360" s="15">
        <v>1</v>
      </c>
      <c r="V360" s="15">
        <v>0</v>
      </c>
      <c r="W360" s="15">
        <v>1</v>
      </c>
      <c r="X360" s="15">
        <v>0.00787</v>
      </c>
      <c r="Y360" s="15">
        <v>0.18</v>
      </c>
      <c r="Z360" s="15">
        <v>0.18</v>
      </c>
      <c r="AA360" s="15">
        <v>138.13</v>
      </c>
      <c r="AB360" s="15">
        <v>5</v>
      </c>
      <c r="AC360" s="15">
        <v>3</v>
      </c>
      <c r="AD360" s="15">
        <v>2</v>
      </c>
      <c r="AE360" s="15">
        <v>0.03937</v>
      </c>
      <c r="AF360" s="15">
        <v>2</v>
      </c>
      <c r="AG360" s="15">
        <v>0</v>
      </c>
      <c r="AH360" s="15"/>
      <c r="AI360" s="15">
        <v>7</v>
      </c>
      <c r="AJ360" s="15">
        <v>19.73</v>
      </c>
      <c r="AK360" s="15">
        <v>7</v>
      </c>
      <c r="AL360" s="15">
        <v>19.73</v>
      </c>
      <c r="AM360" s="15">
        <v>2</v>
      </c>
      <c r="AN360" s="15">
        <v>69.07</v>
      </c>
      <c r="AO360" s="15">
        <v>0.01575</v>
      </c>
      <c r="AP360" s="15">
        <v>27.63</v>
      </c>
      <c r="AQ360" s="15">
        <v>1</v>
      </c>
      <c r="AR360" s="15">
        <v>29</v>
      </c>
      <c r="AS360" s="15">
        <v>1</v>
      </c>
      <c r="AT360" s="15">
        <v>1</v>
      </c>
      <c r="AU360" s="15">
        <v>0</v>
      </c>
      <c r="AV360" s="15">
        <v>0</v>
      </c>
      <c r="AW360" s="15">
        <v>0</v>
      </c>
      <c r="AX360" s="15">
        <v>2</v>
      </c>
      <c r="AY360" s="15">
        <v>232</v>
      </c>
      <c r="AZ360" s="15">
        <v>113</v>
      </c>
      <c r="BA360" s="15">
        <v>102</v>
      </c>
      <c r="BB360" s="15">
        <v>0.90265</v>
      </c>
      <c r="BC360" s="15">
        <v>0</v>
      </c>
      <c r="BD360" s="15">
        <v>0</v>
      </c>
      <c r="BE360" s="15">
        <v>0.02699</v>
      </c>
      <c r="BF360" s="15">
        <v>79</v>
      </c>
      <c r="BG360" s="15">
        <v>2</v>
      </c>
      <c r="BH360" s="15">
        <v>1</v>
      </c>
      <c r="BI360" s="15">
        <v>1</v>
      </c>
      <c r="BJ360" s="15">
        <v>0</v>
      </c>
      <c r="BK360" s="15">
        <v>0</v>
      </c>
      <c r="BL360" s="15">
        <v>0</v>
      </c>
      <c r="BM360" s="15">
        <v>1</v>
      </c>
      <c r="BN360" s="15">
        <v>1</v>
      </c>
      <c r="BO360" s="15">
        <v>24.65</v>
      </c>
      <c r="BP360" s="15">
        <v>0</v>
      </c>
      <c r="BQ360" s="15">
        <v>207</v>
      </c>
    </row>
    <row r="361" spans="1:69">
      <c r="A361" s="16">
        <v>46025</v>
      </c>
      <c r="B361" s="15">
        <v>479</v>
      </c>
      <c r="C361" s="15" t="s">
        <v>39</v>
      </c>
      <c r="D361" s="15">
        <v>479</v>
      </c>
      <c r="E361" s="15" t="s">
        <v>39</v>
      </c>
      <c r="F361" s="15">
        <v>37</v>
      </c>
      <c r="G361" s="15">
        <v>11</v>
      </c>
      <c r="H361" s="15">
        <v>10.78</v>
      </c>
      <c r="I361" s="15">
        <v>0.2973</v>
      </c>
      <c r="J361" s="15">
        <v>0.98</v>
      </c>
      <c r="K361" s="15">
        <v>291.48</v>
      </c>
      <c r="L361" s="15">
        <v>0</v>
      </c>
      <c r="M361" s="15">
        <v>0</v>
      </c>
      <c r="N361" s="15">
        <v>0</v>
      </c>
      <c r="O361" s="15">
        <v>0</v>
      </c>
      <c r="P361" s="15">
        <v>0</v>
      </c>
      <c r="Q361" s="15">
        <v>0</v>
      </c>
      <c r="R361" s="15">
        <v>0</v>
      </c>
      <c r="S361" s="15">
        <v>0</v>
      </c>
      <c r="T361" s="15">
        <v>0</v>
      </c>
      <c r="U361" s="15">
        <v>0</v>
      </c>
      <c r="V361" s="15">
        <v>0</v>
      </c>
      <c r="W361" s="15">
        <v>0</v>
      </c>
      <c r="X361" s="15">
        <v>0</v>
      </c>
      <c r="Y361" s="15">
        <v>0</v>
      </c>
      <c r="Z361" s="15">
        <v>0</v>
      </c>
      <c r="AA361" s="15"/>
      <c r="AB361" s="15">
        <v>0</v>
      </c>
      <c r="AC361" s="15">
        <v>0</v>
      </c>
      <c r="AD361" s="15">
        <v>0</v>
      </c>
      <c r="AE361" s="15">
        <v>0</v>
      </c>
      <c r="AF361" s="15">
        <v>0</v>
      </c>
      <c r="AG361" s="15">
        <v>0</v>
      </c>
      <c r="AH361" s="15"/>
      <c r="AI361" s="15">
        <v>0</v>
      </c>
      <c r="AJ361" s="15"/>
      <c r="AK361" s="15">
        <v>0</v>
      </c>
      <c r="AL361" s="15"/>
      <c r="AM361" s="15">
        <v>0</v>
      </c>
      <c r="AN361" s="15"/>
      <c r="AO361" s="15">
        <v>0</v>
      </c>
      <c r="AP361" s="15"/>
      <c r="AQ361" s="15">
        <v>0</v>
      </c>
      <c r="AR361" s="15">
        <v>0</v>
      </c>
      <c r="AS361" s="15">
        <v>0</v>
      </c>
      <c r="AT361" s="15">
        <v>0</v>
      </c>
      <c r="AU361" s="15">
        <v>0</v>
      </c>
      <c r="AV361" s="15">
        <v>0</v>
      </c>
      <c r="AW361" s="15">
        <v>0</v>
      </c>
      <c r="AX361" s="15">
        <v>0</v>
      </c>
      <c r="AY361" s="15">
        <v>88</v>
      </c>
      <c r="AZ361" s="15">
        <v>11</v>
      </c>
      <c r="BA361" s="15">
        <v>6</v>
      </c>
      <c r="BB361" s="15">
        <v>0.54545</v>
      </c>
      <c r="BC361" s="15">
        <v>0</v>
      </c>
      <c r="BD361" s="15">
        <v>0</v>
      </c>
      <c r="BE361" s="15">
        <v>2.37838</v>
      </c>
      <c r="BF361" s="15">
        <v>77</v>
      </c>
      <c r="BG361" s="15">
        <v>8</v>
      </c>
      <c r="BH361" s="15">
        <v>0</v>
      </c>
      <c r="BI361" s="15"/>
      <c r="BJ361" s="15">
        <v>0</v>
      </c>
      <c r="BK361" s="15">
        <v>0</v>
      </c>
      <c r="BL361" s="15">
        <v>0</v>
      </c>
      <c r="BM361" s="15">
        <v>0</v>
      </c>
      <c r="BN361" s="15"/>
      <c r="BO361" s="15"/>
      <c r="BP361" s="15">
        <v>0</v>
      </c>
      <c r="BQ361" s="15">
        <v>44</v>
      </c>
    </row>
    <row r="362" spans="1:69">
      <c r="A362" s="16">
        <v>46025</v>
      </c>
      <c r="B362" s="15">
        <v>436</v>
      </c>
      <c r="C362" s="15" t="s">
        <v>38</v>
      </c>
      <c r="D362" s="15">
        <v>436</v>
      </c>
      <c r="E362" s="15" t="s">
        <v>38</v>
      </c>
      <c r="F362" s="15">
        <v>2403</v>
      </c>
      <c r="G362" s="15">
        <v>63</v>
      </c>
      <c r="H362" s="15">
        <v>137.45</v>
      </c>
      <c r="I362" s="15">
        <v>0.02622</v>
      </c>
      <c r="J362" s="15">
        <v>2.18</v>
      </c>
      <c r="K362" s="15">
        <v>57.2</v>
      </c>
      <c r="L362" s="15">
        <v>0</v>
      </c>
      <c r="M362" s="15">
        <v>0</v>
      </c>
      <c r="N362" s="15">
        <v>0</v>
      </c>
      <c r="O362" s="15">
        <v>0</v>
      </c>
      <c r="P362" s="15">
        <v>0</v>
      </c>
      <c r="Q362" s="15">
        <v>0</v>
      </c>
      <c r="R362" s="15">
        <v>0</v>
      </c>
      <c r="S362" s="15">
        <v>72.25</v>
      </c>
      <c r="T362" s="15">
        <v>72.25</v>
      </c>
      <c r="U362" s="15">
        <v>1</v>
      </c>
      <c r="V362" s="15">
        <v>0</v>
      </c>
      <c r="W362" s="15">
        <v>1</v>
      </c>
      <c r="X362" s="15">
        <v>0.01587</v>
      </c>
      <c r="Y362" s="15">
        <v>0.53</v>
      </c>
      <c r="Z362" s="15">
        <v>0.53</v>
      </c>
      <c r="AA362" s="15">
        <v>137.45</v>
      </c>
      <c r="AB362" s="15">
        <v>6</v>
      </c>
      <c r="AC362" s="15">
        <v>4</v>
      </c>
      <c r="AD362" s="15">
        <v>2</v>
      </c>
      <c r="AE362" s="15">
        <v>0.09524</v>
      </c>
      <c r="AF362" s="15">
        <v>1</v>
      </c>
      <c r="AG362" s="15">
        <v>1</v>
      </c>
      <c r="AH362" s="15">
        <v>137.45</v>
      </c>
      <c r="AI362" s="15">
        <v>8</v>
      </c>
      <c r="AJ362" s="15">
        <v>17.18</v>
      </c>
      <c r="AK362" s="15">
        <v>7</v>
      </c>
      <c r="AL362" s="15">
        <v>19.64</v>
      </c>
      <c r="AM362" s="15">
        <v>2</v>
      </c>
      <c r="AN362" s="15">
        <v>137.45</v>
      </c>
      <c r="AO362" s="15">
        <v>0.01587</v>
      </c>
      <c r="AP362" s="15">
        <v>22.91</v>
      </c>
      <c r="AQ362" s="15">
        <v>2</v>
      </c>
      <c r="AR362" s="15">
        <v>148.9</v>
      </c>
      <c r="AS362" s="15">
        <v>1</v>
      </c>
      <c r="AT362" s="15">
        <v>0</v>
      </c>
      <c r="AU362" s="15">
        <v>0</v>
      </c>
      <c r="AV362" s="15">
        <v>0</v>
      </c>
      <c r="AW362" s="15">
        <v>0</v>
      </c>
      <c r="AX362" s="15">
        <v>2</v>
      </c>
      <c r="AY362" s="15">
        <v>192</v>
      </c>
      <c r="AZ362" s="15">
        <v>54</v>
      </c>
      <c r="BA362" s="15">
        <v>38</v>
      </c>
      <c r="BB362" s="15">
        <v>0.7037</v>
      </c>
      <c r="BC362" s="15">
        <v>0</v>
      </c>
      <c r="BD362" s="15">
        <v>0</v>
      </c>
      <c r="BE362" s="15">
        <v>0.0799</v>
      </c>
      <c r="BF362" s="15">
        <v>114</v>
      </c>
      <c r="BG362" s="15">
        <v>4</v>
      </c>
      <c r="BH362" s="15">
        <v>1</v>
      </c>
      <c r="BI362" s="15">
        <v>1</v>
      </c>
      <c r="BJ362" s="15">
        <v>0</v>
      </c>
      <c r="BK362" s="15">
        <v>0</v>
      </c>
      <c r="BL362" s="15">
        <v>0</v>
      </c>
      <c r="BM362" s="15">
        <v>1</v>
      </c>
      <c r="BN362" s="15">
        <v>1</v>
      </c>
      <c r="BO362" s="15">
        <v>72.25</v>
      </c>
      <c r="BP362" s="15">
        <v>26.08</v>
      </c>
      <c r="BQ362" s="15">
        <v>211</v>
      </c>
    </row>
    <row r="363" spans="1:69">
      <c r="A363" s="16">
        <v>46024</v>
      </c>
      <c r="B363" s="15">
        <v>479</v>
      </c>
      <c r="C363" s="15" t="s">
        <v>39</v>
      </c>
      <c r="D363" s="15">
        <v>479</v>
      </c>
      <c r="E363" s="15" t="s">
        <v>39</v>
      </c>
      <c r="F363" s="15">
        <v>29</v>
      </c>
      <c r="G363" s="15">
        <v>16</v>
      </c>
      <c r="H363" s="15">
        <v>10.04</v>
      </c>
      <c r="I363" s="15">
        <v>0.55172</v>
      </c>
      <c r="J363" s="15">
        <v>0.63</v>
      </c>
      <c r="K363" s="15">
        <v>346.35</v>
      </c>
      <c r="L363" s="15">
        <v>0</v>
      </c>
      <c r="M363" s="15">
        <v>0</v>
      </c>
      <c r="N363" s="15">
        <v>0</v>
      </c>
      <c r="O363" s="15">
        <v>0</v>
      </c>
      <c r="P363" s="15">
        <v>0</v>
      </c>
      <c r="Q363" s="15">
        <v>0</v>
      </c>
      <c r="R363" s="15">
        <v>0</v>
      </c>
      <c r="S363" s="15">
        <v>0</v>
      </c>
      <c r="T363" s="15">
        <v>0</v>
      </c>
      <c r="U363" s="15">
        <v>0</v>
      </c>
      <c r="V363" s="15">
        <v>0</v>
      </c>
      <c r="W363" s="15">
        <v>0</v>
      </c>
      <c r="X363" s="15">
        <v>0</v>
      </c>
      <c r="Y363" s="15">
        <v>0</v>
      </c>
      <c r="Z363" s="15">
        <v>0</v>
      </c>
      <c r="AA363" s="15"/>
      <c r="AB363" s="15">
        <v>3</v>
      </c>
      <c r="AC363" s="15">
        <v>0</v>
      </c>
      <c r="AD363" s="15">
        <v>3</v>
      </c>
      <c r="AE363" s="15">
        <v>0.1875</v>
      </c>
      <c r="AF363" s="15">
        <v>0</v>
      </c>
      <c r="AG363" s="15">
        <v>0</v>
      </c>
      <c r="AH363" s="15"/>
      <c r="AI363" s="15">
        <v>3</v>
      </c>
      <c r="AJ363" s="15">
        <v>3.35</v>
      </c>
      <c r="AK363" s="15">
        <v>3</v>
      </c>
      <c r="AL363" s="15">
        <v>3.35</v>
      </c>
      <c r="AM363" s="15">
        <v>0</v>
      </c>
      <c r="AN363" s="15"/>
      <c r="AO363" s="15">
        <v>0</v>
      </c>
      <c r="AP363" s="15">
        <v>3.35</v>
      </c>
      <c r="AQ363" s="15">
        <v>0</v>
      </c>
      <c r="AR363" s="15">
        <v>0</v>
      </c>
      <c r="AS363" s="15">
        <v>0</v>
      </c>
      <c r="AT363" s="15">
        <v>0</v>
      </c>
      <c r="AU363" s="15">
        <v>0</v>
      </c>
      <c r="AV363" s="15">
        <v>0</v>
      </c>
      <c r="AW363" s="15">
        <v>0</v>
      </c>
      <c r="AX363" s="15">
        <v>0</v>
      </c>
      <c r="AY363" s="15">
        <v>135</v>
      </c>
      <c r="AZ363" s="15">
        <v>14</v>
      </c>
      <c r="BA363" s="15">
        <v>11</v>
      </c>
      <c r="BB363" s="15">
        <v>0.78571</v>
      </c>
      <c r="BC363" s="15">
        <v>0</v>
      </c>
      <c r="BD363" s="15">
        <v>0</v>
      </c>
      <c r="BE363" s="15">
        <v>4.65517</v>
      </c>
      <c r="BF363" s="15">
        <v>119</v>
      </c>
      <c r="BG363" s="15">
        <v>10</v>
      </c>
      <c r="BH363" s="15">
        <v>0</v>
      </c>
      <c r="BI363" s="15"/>
      <c r="BJ363" s="15">
        <v>0</v>
      </c>
      <c r="BK363" s="15">
        <v>0</v>
      </c>
      <c r="BL363" s="15">
        <v>0</v>
      </c>
      <c r="BM363" s="15">
        <v>0</v>
      </c>
      <c r="BN363" s="15"/>
      <c r="BO363" s="15"/>
      <c r="BP363" s="15">
        <v>0</v>
      </c>
      <c r="BQ363" s="15">
        <v>25</v>
      </c>
    </row>
    <row r="364" spans="1:69">
      <c r="A364" s="16">
        <v>46024</v>
      </c>
      <c r="B364" s="15">
        <v>436</v>
      </c>
      <c r="C364" s="15" t="s">
        <v>38</v>
      </c>
      <c r="D364" s="15">
        <v>436</v>
      </c>
      <c r="E364" s="15" t="s">
        <v>38</v>
      </c>
      <c r="F364" s="15">
        <v>3868</v>
      </c>
      <c r="G364" s="15">
        <v>77</v>
      </c>
      <c r="H364" s="15">
        <v>131.99</v>
      </c>
      <c r="I364" s="15">
        <v>0.01991</v>
      </c>
      <c r="J364" s="15">
        <v>1.71</v>
      </c>
      <c r="K364" s="15">
        <v>34.12</v>
      </c>
      <c r="L364" s="15">
        <v>0</v>
      </c>
      <c r="M364" s="15">
        <v>0</v>
      </c>
      <c r="N364" s="15">
        <v>0</v>
      </c>
      <c r="O364" s="15">
        <v>0</v>
      </c>
      <c r="P364" s="15">
        <v>0</v>
      </c>
      <c r="Q364" s="15">
        <v>0</v>
      </c>
      <c r="R364" s="15">
        <v>64.74</v>
      </c>
      <c r="S364" s="15">
        <v>255</v>
      </c>
      <c r="T364" s="15">
        <v>319.74</v>
      </c>
      <c r="U364" s="15">
        <v>2</v>
      </c>
      <c r="V364" s="15">
        <v>1</v>
      </c>
      <c r="W364" s="15">
        <v>1</v>
      </c>
      <c r="X364" s="15">
        <v>0.02597</v>
      </c>
      <c r="Y364" s="15">
        <v>2.42</v>
      </c>
      <c r="Z364" s="15">
        <v>2.42</v>
      </c>
      <c r="AA364" s="15">
        <v>66</v>
      </c>
      <c r="AB364" s="15">
        <v>4</v>
      </c>
      <c r="AC364" s="15">
        <v>4</v>
      </c>
      <c r="AD364" s="15">
        <v>0</v>
      </c>
      <c r="AE364" s="15">
        <v>0.05195</v>
      </c>
      <c r="AF364" s="15">
        <v>1</v>
      </c>
      <c r="AG364" s="15">
        <v>0</v>
      </c>
      <c r="AH364" s="15"/>
      <c r="AI364" s="15">
        <v>5</v>
      </c>
      <c r="AJ364" s="15">
        <v>26.4</v>
      </c>
      <c r="AK364" s="15">
        <v>5</v>
      </c>
      <c r="AL364" s="15">
        <v>26.4</v>
      </c>
      <c r="AM364" s="15">
        <v>1</v>
      </c>
      <c r="AN364" s="15">
        <v>131.99</v>
      </c>
      <c r="AO364" s="15">
        <v>0.01299</v>
      </c>
      <c r="AP364" s="15">
        <v>33</v>
      </c>
      <c r="AQ364" s="15">
        <v>3</v>
      </c>
      <c r="AR364" s="15">
        <v>477</v>
      </c>
      <c r="AS364" s="15">
        <v>0</v>
      </c>
      <c r="AT364" s="15">
        <v>1</v>
      </c>
      <c r="AU364" s="15">
        <v>2</v>
      </c>
      <c r="AV364" s="15">
        <v>0</v>
      </c>
      <c r="AW364" s="15">
        <v>0</v>
      </c>
      <c r="AX364" s="15">
        <v>0</v>
      </c>
      <c r="AY364" s="15">
        <v>218</v>
      </c>
      <c r="AZ364" s="15">
        <v>72</v>
      </c>
      <c r="BA364" s="15">
        <v>54</v>
      </c>
      <c r="BB364" s="15">
        <v>0.75</v>
      </c>
      <c r="BC364" s="15">
        <v>0</v>
      </c>
      <c r="BD364" s="15">
        <v>0</v>
      </c>
      <c r="BE364" s="15">
        <v>0.05636</v>
      </c>
      <c r="BF364" s="15">
        <v>140</v>
      </c>
      <c r="BG364" s="15">
        <v>3</v>
      </c>
      <c r="BH364" s="15">
        <v>2</v>
      </c>
      <c r="BI364" s="15">
        <v>1</v>
      </c>
      <c r="BJ364" s="15">
        <v>0</v>
      </c>
      <c r="BK364" s="15">
        <v>0</v>
      </c>
      <c r="BL364" s="15">
        <v>0</v>
      </c>
      <c r="BM364" s="15">
        <v>2</v>
      </c>
      <c r="BN364" s="15">
        <v>1</v>
      </c>
      <c r="BO364" s="15">
        <v>159.87</v>
      </c>
      <c r="BP364" s="15">
        <v>0</v>
      </c>
      <c r="BQ364" s="15">
        <v>829</v>
      </c>
    </row>
    <row r="365" spans="1:69">
      <c r="A365" s="16">
        <v>46024</v>
      </c>
      <c r="B365" s="15">
        <v>372</v>
      </c>
      <c r="C365" s="15" t="s">
        <v>37</v>
      </c>
      <c r="D365" s="15">
        <v>372</v>
      </c>
      <c r="E365" s="15" t="s">
        <v>61</v>
      </c>
      <c r="F365" s="15">
        <v>7477</v>
      </c>
      <c r="G365" s="15">
        <v>95</v>
      </c>
      <c r="H365" s="15">
        <v>87.67</v>
      </c>
      <c r="I365" s="15">
        <v>0.01271</v>
      </c>
      <c r="J365" s="15">
        <v>0.92</v>
      </c>
      <c r="K365" s="15">
        <v>11.73</v>
      </c>
      <c r="L365" s="15">
        <v>0</v>
      </c>
      <c r="M365" s="15">
        <v>0</v>
      </c>
      <c r="N365" s="15">
        <v>0</v>
      </c>
      <c r="O365" s="15">
        <v>0</v>
      </c>
      <c r="P365" s="15">
        <v>0</v>
      </c>
      <c r="Q365" s="15">
        <v>0</v>
      </c>
      <c r="R365" s="15">
        <v>0</v>
      </c>
      <c r="S365" s="15">
        <v>82.17</v>
      </c>
      <c r="T365" s="15">
        <v>82.17</v>
      </c>
      <c r="U365" s="15">
        <v>1</v>
      </c>
      <c r="V365" s="15">
        <v>0</v>
      </c>
      <c r="W365" s="15">
        <v>1</v>
      </c>
      <c r="X365" s="15">
        <v>0.01053</v>
      </c>
      <c r="Y365" s="15">
        <v>0.94</v>
      </c>
      <c r="Z365" s="15">
        <v>0.94</v>
      </c>
      <c r="AA365" s="15">
        <v>87.67</v>
      </c>
      <c r="AB365" s="15">
        <v>10</v>
      </c>
      <c r="AC365" s="15">
        <v>7</v>
      </c>
      <c r="AD365" s="15">
        <v>3</v>
      </c>
      <c r="AE365" s="15">
        <v>0.10526</v>
      </c>
      <c r="AF365" s="15">
        <v>1</v>
      </c>
      <c r="AG365" s="15">
        <v>1</v>
      </c>
      <c r="AH365" s="15">
        <v>87.67</v>
      </c>
      <c r="AI365" s="15">
        <v>12</v>
      </c>
      <c r="AJ365" s="15">
        <v>7.31</v>
      </c>
      <c r="AK365" s="15">
        <v>11</v>
      </c>
      <c r="AL365" s="15">
        <v>7.97</v>
      </c>
      <c r="AM365" s="15">
        <v>2</v>
      </c>
      <c r="AN365" s="15">
        <v>87.67</v>
      </c>
      <c r="AO365" s="15">
        <v>0.01053</v>
      </c>
      <c r="AP365" s="15">
        <v>8.77</v>
      </c>
      <c r="AQ365" s="15">
        <v>2</v>
      </c>
      <c r="AR365" s="15">
        <v>148.9</v>
      </c>
      <c r="AS365" s="15">
        <v>1</v>
      </c>
      <c r="AT365" s="15">
        <v>0</v>
      </c>
      <c r="AU365" s="15">
        <v>0</v>
      </c>
      <c r="AV365" s="15">
        <v>0</v>
      </c>
      <c r="AW365" s="15">
        <v>0</v>
      </c>
      <c r="AX365" s="15">
        <v>1</v>
      </c>
      <c r="AY365" s="15">
        <v>157</v>
      </c>
      <c r="AZ365" s="15">
        <v>84</v>
      </c>
      <c r="BA365" s="15">
        <v>79</v>
      </c>
      <c r="BB365" s="15">
        <v>0.94048</v>
      </c>
      <c r="BC365" s="15">
        <v>0</v>
      </c>
      <c r="BD365" s="15">
        <v>0</v>
      </c>
      <c r="BE365" s="15">
        <v>0.021</v>
      </c>
      <c r="BF365" s="15">
        <v>51</v>
      </c>
      <c r="BG365" s="15">
        <v>2</v>
      </c>
      <c r="BH365" s="15">
        <v>1</v>
      </c>
      <c r="BI365" s="15">
        <v>1</v>
      </c>
      <c r="BJ365" s="15">
        <v>0</v>
      </c>
      <c r="BK365" s="15">
        <v>0</v>
      </c>
      <c r="BL365" s="15">
        <v>0</v>
      </c>
      <c r="BM365" s="15">
        <v>1</v>
      </c>
      <c r="BN365" s="15">
        <v>1</v>
      </c>
      <c r="BO365" s="15">
        <v>82.17</v>
      </c>
      <c r="BP365" s="15">
        <v>0</v>
      </c>
      <c r="BQ365" s="15">
        <v>1066</v>
      </c>
    </row>
    <row r="366" spans="1:69">
      <c r="A366" s="16">
        <v>46023</v>
      </c>
      <c r="B366" s="15">
        <v>479</v>
      </c>
      <c r="C366" s="15" t="s">
        <v>39</v>
      </c>
      <c r="D366" s="15">
        <v>479</v>
      </c>
      <c r="E366" s="15" t="s">
        <v>39</v>
      </c>
      <c r="F366" s="15">
        <v>23</v>
      </c>
      <c r="G366" s="15">
        <v>15</v>
      </c>
      <c r="H366" s="15">
        <v>7.8</v>
      </c>
      <c r="I366" s="15">
        <v>0.65217</v>
      </c>
      <c r="J366" s="15">
        <v>0.52</v>
      </c>
      <c r="K366" s="15">
        <v>339.06</v>
      </c>
      <c r="L366" s="15">
        <v>0</v>
      </c>
      <c r="M366" s="15">
        <v>0</v>
      </c>
      <c r="N366" s="15">
        <v>0</v>
      </c>
      <c r="O366" s="15">
        <v>0</v>
      </c>
      <c r="P366" s="15">
        <v>0</v>
      </c>
      <c r="Q366" s="15">
        <v>0</v>
      </c>
      <c r="R366" s="15">
        <v>0</v>
      </c>
      <c r="S366" s="15">
        <v>278.8</v>
      </c>
      <c r="T366" s="15">
        <v>278.8</v>
      </c>
      <c r="U366" s="15">
        <v>1</v>
      </c>
      <c r="V366" s="15">
        <v>0</v>
      </c>
      <c r="W366" s="15">
        <v>1</v>
      </c>
      <c r="X366" s="15">
        <v>0.06667</v>
      </c>
      <c r="Y366" s="15">
        <v>35.75</v>
      </c>
      <c r="Z366" s="15">
        <v>35.75</v>
      </c>
      <c r="AA366" s="15">
        <v>7.8</v>
      </c>
      <c r="AB366" s="15">
        <v>2</v>
      </c>
      <c r="AC366" s="15">
        <v>0</v>
      </c>
      <c r="AD366" s="15">
        <v>2</v>
      </c>
      <c r="AE366" s="15">
        <v>0.13333</v>
      </c>
      <c r="AF366" s="15">
        <v>0</v>
      </c>
      <c r="AG366" s="15">
        <v>1</v>
      </c>
      <c r="AH366" s="15">
        <v>7.8</v>
      </c>
      <c r="AI366" s="15">
        <v>3</v>
      </c>
      <c r="AJ366" s="15">
        <v>2.6</v>
      </c>
      <c r="AK366" s="15">
        <v>2</v>
      </c>
      <c r="AL366" s="15">
        <v>3.9</v>
      </c>
      <c r="AM366" s="15">
        <v>1</v>
      </c>
      <c r="AN366" s="15"/>
      <c r="AO366" s="15">
        <v>0</v>
      </c>
      <c r="AP366" s="15">
        <v>3.9</v>
      </c>
      <c r="AQ366" s="15">
        <v>2</v>
      </c>
      <c r="AR366" s="15">
        <v>436</v>
      </c>
      <c r="AS366" s="15">
        <v>0</v>
      </c>
      <c r="AT366" s="15">
        <v>0</v>
      </c>
      <c r="AU366" s="15">
        <v>0</v>
      </c>
      <c r="AV366" s="15">
        <v>0</v>
      </c>
      <c r="AW366" s="15">
        <v>0</v>
      </c>
      <c r="AX366" s="15">
        <v>1</v>
      </c>
      <c r="AY366" s="15">
        <v>109</v>
      </c>
      <c r="AZ366" s="15">
        <v>15</v>
      </c>
      <c r="BA366" s="15">
        <v>11</v>
      </c>
      <c r="BB366" s="15">
        <v>0.73333</v>
      </c>
      <c r="BC366" s="15">
        <v>0</v>
      </c>
      <c r="BD366" s="15">
        <v>0</v>
      </c>
      <c r="BE366" s="15">
        <v>4.73913</v>
      </c>
      <c r="BF366" s="15">
        <v>93</v>
      </c>
      <c r="BG366" s="15">
        <v>7</v>
      </c>
      <c r="BH366" s="15">
        <v>1</v>
      </c>
      <c r="BI366" s="15">
        <v>1</v>
      </c>
      <c r="BJ366" s="15">
        <v>0</v>
      </c>
      <c r="BK366" s="15">
        <v>0</v>
      </c>
      <c r="BL366" s="15">
        <v>0</v>
      </c>
      <c r="BM366" s="15">
        <v>1</v>
      </c>
      <c r="BN366" s="15">
        <v>1</v>
      </c>
      <c r="BO366" s="15">
        <v>278.8</v>
      </c>
      <c r="BP366" s="15">
        <v>0</v>
      </c>
      <c r="BQ366" s="15">
        <v>228</v>
      </c>
    </row>
    <row r="367" spans="1:69">
      <c r="A367" s="16">
        <v>46023</v>
      </c>
      <c r="B367" s="15">
        <v>436</v>
      </c>
      <c r="C367" s="15" t="s">
        <v>38</v>
      </c>
      <c r="D367" s="15">
        <v>436</v>
      </c>
      <c r="E367" s="15" t="s">
        <v>38</v>
      </c>
      <c r="F367" s="15">
        <v>2508</v>
      </c>
      <c r="G367" s="15">
        <v>50</v>
      </c>
      <c r="H367" s="15">
        <v>123.17</v>
      </c>
      <c r="I367" s="15">
        <v>0.01994</v>
      </c>
      <c r="J367" s="15">
        <v>2.46</v>
      </c>
      <c r="K367" s="15">
        <v>49.11</v>
      </c>
      <c r="L367" s="15">
        <v>0</v>
      </c>
      <c r="M367" s="15">
        <v>0</v>
      </c>
      <c r="N367" s="15">
        <v>0</v>
      </c>
      <c r="O367" s="15">
        <v>0</v>
      </c>
      <c r="P367" s="15">
        <v>0</v>
      </c>
      <c r="Q367" s="15">
        <v>0</v>
      </c>
      <c r="R367" s="15">
        <v>0</v>
      </c>
      <c r="S367" s="15">
        <v>0</v>
      </c>
      <c r="T367" s="15">
        <v>0</v>
      </c>
      <c r="U367" s="15">
        <v>0</v>
      </c>
      <c r="V367" s="15">
        <v>0</v>
      </c>
      <c r="W367" s="15">
        <v>0</v>
      </c>
      <c r="X367" s="15">
        <v>0</v>
      </c>
      <c r="Y367" s="15">
        <v>0</v>
      </c>
      <c r="Z367" s="15">
        <v>0</v>
      </c>
      <c r="AA367" s="15"/>
      <c r="AB367" s="15">
        <v>4</v>
      </c>
      <c r="AC367" s="15">
        <v>0</v>
      </c>
      <c r="AD367" s="15">
        <v>4</v>
      </c>
      <c r="AE367" s="15">
        <v>0.08</v>
      </c>
      <c r="AF367" s="15">
        <v>4</v>
      </c>
      <c r="AG367" s="15">
        <v>0</v>
      </c>
      <c r="AH367" s="15"/>
      <c r="AI367" s="15">
        <v>8</v>
      </c>
      <c r="AJ367" s="15">
        <v>15.4</v>
      </c>
      <c r="AK367" s="15">
        <v>8</v>
      </c>
      <c r="AL367" s="15">
        <v>15.4</v>
      </c>
      <c r="AM367" s="15">
        <v>4</v>
      </c>
      <c r="AN367" s="15">
        <v>30.79</v>
      </c>
      <c r="AO367" s="15">
        <v>0.08</v>
      </c>
      <c r="AP367" s="15">
        <v>30.79</v>
      </c>
      <c r="AQ367" s="15">
        <v>0</v>
      </c>
      <c r="AR367" s="15">
        <v>0</v>
      </c>
      <c r="AS367" s="15">
        <v>0</v>
      </c>
      <c r="AT367" s="15">
        <v>4</v>
      </c>
      <c r="AU367" s="15">
        <v>0</v>
      </c>
      <c r="AV367" s="15">
        <v>0</v>
      </c>
      <c r="AW367" s="15">
        <v>0</v>
      </c>
      <c r="AX367" s="15">
        <v>0</v>
      </c>
      <c r="AY367" s="15">
        <v>153</v>
      </c>
      <c r="AZ367" s="15">
        <v>46</v>
      </c>
      <c r="BA367" s="15">
        <v>32</v>
      </c>
      <c r="BB367" s="15">
        <v>0.69565</v>
      </c>
      <c r="BC367" s="15">
        <v>0</v>
      </c>
      <c r="BD367" s="15">
        <v>0</v>
      </c>
      <c r="BE367" s="15">
        <v>0.061</v>
      </c>
      <c r="BF367" s="15">
        <v>96</v>
      </c>
      <c r="BG367" s="15">
        <v>3</v>
      </c>
      <c r="BH367" s="15">
        <v>0</v>
      </c>
      <c r="BI367" s="15"/>
      <c r="BJ367" s="15">
        <v>0</v>
      </c>
      <c r="BK367" s="15">
        <v>0</v>
      </c>
      <c r="BL367" s="15">
        <v>0</v>
      </c>
      <c r="BM367" s="15">
        <v>0</v>
      </c>
      <c r="BN367" s="15"/>
      <c r="BO367" s="15"/>
      <c r="BP367" s="15">
        <v>0.6</v>
      </c>
      <c r="BQ367" s="15">
        <v>133</v>
      </c>
    </row>
    <row r="368" spans="1:69">
      <c r="A368" s="16">
        <v>46023</v>
      </c>
      <c r="B368" s="15">
        <v>372</v>
      </c>
      <c r="C368" s="15" t="s">
        <v>37</v>
      </c>
      <c r="D368" s="15">
        <v>372</v>
      </c>
      <c r="E368" s="15" t="s">
        <v>61</v>
      </c>
      <c r="F368" s="15">
        <v>6811</v>
      </c>
      <c r="G368" s="15">
        <v>78</v>
      </c>
      <c r="H368" s="15">
        <v>99.76</v>
      </c>
      <c r="I368" s="15">
        <v>0.01145</v>
      </c>
      <c r="J368" s="15">
        <v>1.28</v>
      </c>
      <c r="K368" s="15">
        <v>14.65</v>
      </c>
      <c r="L368" s="15">
        <v>0</v>
      </c>
      <c r="M368" s="15">
        <v>0</v>
      </c>
      <c r="N368" s="15">
        <v>0</v>
      </c>
      <c r="O368" s="15">
        <v>0</v>
      </c>
      <c r="P368" s="15">
        <v>0</v>
      </c>
      <c r="Q368" s="15">
        <v>0</v>
      </c>
      <c r="R368" s="15">
        <v>338.3</v>
      </c>
      <c r="S368" s="15">
        <v>0</v>
      </c>
      <c r="T368" s="15">
        <v>338.3</v>
      </c>
      <c r="U368" s="15">
        <v>1</v>
      </c>
      <c r="V368" s="15">
        <v>1</v>
      </c>
      <c r="W368" s="15">
        <v>0</v>
      </c>
      <c r="X368" s="15">
        <v>0.01282</v>
      </c>
      <c r="Y368" s="15">
        <v>3.39</v>
      </c>
      <c r="Z368" s="15">
        <v>3.39</v>
      </c>
      <c r="AA368" s="15">
        <v>99.76</v>
      </c>
      <c r="AB368" s="15">
        <v>5</v>
      </c>
      <c r="AC368" s="15">
        <v>5</v>
      </c>
      <c r="AD368" s="15">
        <v>0</v>
      </c>
      <c r="AE368" s="15">
        <v>0.0641</v>
      </c>
      <c r="AF368" s="15">
        <v>2</v>
      </c>
      <c r="AG368" s="15">
        <v>0</v>
      </c>
      <c r="AH368" s="15"/>
      <c r="AI368" s="15">
        <v>7</v>
      </c>
      <c r="AJ368" s="15">
        <v>14.25</v>
      </c>
      <c r="AK368" s="15">
        <v>7</v>
      </c>
      <c r="AL368" s="15">
        <v>14.25</v>
      </c>
      <c r="AM368" s="15">
        <v>2</v>
      </c>
      <c r="AN368" s="15">
        <v>49.88</v>
      </c>
      <c r="AO368" s="15">
        <v>0.02564</v>
      </c>
      <c r="AP368" s="15">
        <v>19.95</v>
      </c>
      <c r="AQ368" s="15">
        <v>1</v>
      </c>
      <c r="AR368" s="15">
        <v>398</v>
      </c>
      <c r="AS368" s="15">
        <v>2</v>
      </c>
      <c r="AT368" s="15">
        <v>0</v>
      </c>
      <c r="AU368" s="15">
        <v>0</v>
      </c>
      <c r="AV368" s="15">
        <v>0</v>
      </c>
      <c r="AW368" s="15">
        <v>0</v>
      </c>
      <c r="AX368" s="15">
        <v>0</v>
      </c>
      <c r="AY368" s="15">
        <v>129</v>
      </c>
      <c r="AZ368" s="15">
        <v>71</v>
      </c>
      <c r="BA368" s="15">
        <v>61</v>
      </c>
      <c r="BB368" s="15">
        <v>0.85915</v>
      </c>
      <c r="BC368" s="15">
        <v>0</v>
      </c>
      <c r="BD368" s="15">
        <v>0</v>
      </c>
      <c r="BE368" s="15">
        <v>0.01894</v>
      </c>
      <c r="BF368" s="15">
        <v>33</v>
      </c>
      <c r="BG368" s="15">
        <v>2</v>
      </c>
      <c r="BH368" s="15">
        <v>1</v>
      </c>
      <c r="BI368" s="15">
        <v>1</v>
      </c>
      <c r="BJ368" s="15">
        <v>0</v>
      </c>
      <c r="BK368" s="15">
        <v>0</v>
      </c>
      <c r="BL368" s="15">
        <v>0</v>
      </c>
      <c r="BM368" s="15">
        <v>1</v>
      </c>
      <c r="BN368" s="15">
        <v>1</v>
      </c>
      <c r="BO368" s="15">
        <v>338.3</v>
      </c>
      <c r="BP368" s="15">
        <v>0</v>
      </c>
      <c r="BQ368" s="15">
        <v>316</v>
      </c>
    </row>
    <row r="369" spans="1:73">
      <c r="A369" s="18" t="s">
        <v>3</v>
      </c>
      <c r="B369" s="18" t="s">
        <v>78</v>
      </c>
      <c r="C369" s="18" t="s">
        <v>79</v>
      </c>
      <c r="D369" s="18" t="s">
        <v>80</v>
      </c>
      <c r="E369" s="18" t="s">
        <v>81</v>
      </c>
      <c r="F369" s="18" t="s">
        <v>54</v>
      </c>
      <c r="G369" s="18" t="s">
        <v>21</v>
      </c>
      <c r="H369" s="18" t="s">
        <v>12</v>
      </c>
      <c r="I369" s="18" t="s">
        <v>56</v>
      </c>
      <c r="J369" s="18" t="s">
        <v>82</v>
      </c>
      <c r="K369" s="18" t="s">
        <v>83</v>
      </c>
      <c r="L369" s="18" t="s">
        <v>84</v>
      </c>
      <c r="M369" s="18" t="s">
        <v>85</v>
      </c>
      <c r="N369" s="18" t="s">
        <v>86</v>
      </c>
      <c r="O369" s="18" t="s">
        <v>87</v>
      </c>
      <c r="P369" s="18" t="s">
        <v>88</v>
      </c>
      <c r="Q369" s="18" t="s">
        <v>89</v>
      </c>
      <c r="R369" s="18" t="s">
        <v>90</v>
      </c>
      <c r="S369" s="18" t="s">
        <v>91</v>
      </c>
      <c r="T369" s="18" t="s">
        <v>26</v>
      </c>
      <c r="U369" s="18" t="s">
        <v>55</v>
      </c>
      <c r="V369" s="18" t="s">
        <v>92</v>
      </c>
      <c r="W369" s="18" t="s">
        <v>93</v>
      </c>
      <c r="X369" s="18" t="s">
        <v>29</v>
      </c>
      <c r="Y369" s="18" t="s">
        <v>94</v>
      </c>
      <c r="Z369" s="18" t="s">
        <v>95</v>
      </c>
      <c r="AA369" s="18" t="s">
        <v>96</v>
      </c>
      <c r="AB369" s="18" t="s">
        <v>23</v>
      </c>
      <c r="AC369" s="18" t="s">
        <v>97</v>
      </c>
      <c r="AD369" s="18" t="s">
        <v>98</v>
      </c>
      <c r="AE369" s="18" t="s">
        <v>28</v>
      </c>
      <c r="AF369" s="18" t="s">
        <v>99</v>
      </c>
      <c r="AG369" s="18" t="s">
        <v>100</v>
      </c>
      <c r="AH369" s="18" t="s">
        <v>101</v>
      </c>
      <c r="AI369" s="18" t="s">
        <v>102</v>
      </c>
      <c r="AJ369" s="18" t="s">
        <v>103</v>
      </c>
      <c r="AK369" s="18" t="s">
        <v>104</v>
      </c>
      <c r="AL369" s="18" t="s">
        <v>105</v>
      </c>
      <c r="AM369" s="18" t="s">
        <v>106</v>
      </c>
      <c r="AN369" s="18" t="s">
        <v>107</v>
      </c>
      <c r="AO369" s="18" t="s">
        <v>108</v>
      </c>
      <c r="AP369" s="18" t="s">
        <v>24</v>
      </c>
      <c r="AQ369" s="18" t="s">
        <v>109</v>
      </c>
      <c r="AR369" s="18" t="s">
        <v>110</v>
      </c>
      <c r="AS369" s="18" t="s">
        <v>111</v>
      </c>
      <c r="AT369" s="18" t="s">
        <v>112</v>
      </c>
      <c r="AU369" s="18" t="s">
        <v>113</v>
      </c>
      <c r="AV369" s="18" t="s">
        <v>114</v>
      </c>
      <c r="AW369" s="18" t="s">
        <v>115</v>
      </c>
      <c r="AX369" s="18" t="s">
        <v>116</v>
      </c>
      <c r="AY369" s="18" t="s">
        <v>117</v>
      </c>
      <c r="AZ369" s="18" t="s">
        <v>118</v>
      </c>
      <c r="BA369" s="18" t="s">
        <v>119</v>
      </c>
      <c r="BB369" s="18" t="s">
        <v>120</v>
      </c>
      <c r="BC369" s="18" t="s">
        <v>121</v>
      </c>
      <c r="BD369" s="18" t="s">
        <v>122</v>
      </c>
      <c r="BE369" s="18" t="s">
        <v>123</v>
      </c>
      <c r="BF369" s="18" t="s">
        <v>124</v>
      </c>
      <c r="BG369" s="18" t="s">
        <v>125</v>
      </c>
      <c r="BH369" s="18" t="s">
        <v>126</v>
      </c>
      <c r="BI369" s="18" t="s">
        <v>127</v>
      </c>
      <c r="BJ369" s="18" t="s">
        <v>128</v>
      </c>
      <c r="BK369" s="18" t="s">
        <v>129</v>
      </c>
      <c r="BL369" s="18" t="s">
        <v>130</v>
      </c>
      <c r="BM369" s="18" t="s">
        <v>131</v>
      </c>
      <c r="BN369" s="18" t="s">
        <v>132</v>
      </c>
      <c r="BO369" s="18" t="s">
        <v>133</v>
      </c>
      <c r="BP369" s="18" t="s">
        <v>134</v>
      </c>
      <c r="BQ369" s="18" t="s">
        <v>135</v>
      </c>
      <c r="BR369" s="18" t="s">
        <v>136</v>
      </c>
      <c r="BS369" s="18" t="s">
        <v>137</v>
      </c>
      <c r="BT369" s="18" t="s">
        <v>138</v>
      </c>
      <c r="BU369" s="18" t="s">
        <v>139</v>
      </c>
    </row>
    <row r="370" spans="1:73">
      <c r="A370" s="19">
        <v>46194</v>
      </c>
      <c r="B370" s="18">
        <v>479</v>
      </c>
      <c r="C370" s="18" t="s">
        <v>39</v>
      </c>
      <c r="D370" s="18">
        <v>479</v>
      </c>
      <c r="E370" s="18" t="s">
        <v>39</v>
      </c>
      <c r="F370" s="18">
        <v>27</v>
      </c>
      <c r="G370" s="18">
        <v>14</v>
      </c>
      <c r="H370" s="18">
        <v>8.52</v>
      </c>
      <c r="I370" s="18">
        <v>0.51852</v>
      </c>
      <c r="J370" s="18">
        <v>0.61</v>
      </c>
      <c r="K370" s="18">
        <v>315.62</v>
      </c>
      <c r="L370" s="18">
        <v>0</v>
      </c>
      <c r="M370" s="18">
        <v>0</v>
      </c>
      <c r="N370" s="18">
        <v>0</v>
      </c>
      <c r="O370" s="18">
        <v>0</v>
      </c>
      <c r="P370" s="18">
        <v>0</v>
      </c>
      <c r="Q370" s="18">
        <v>0</v>
      </c>
      <c r="R370" s="18">
        <v>0</v>
      </c>
      <c r="S370" s="18">
        <v>0</v>
      </c>
      <c r="T370" s="18">
        <v>0</v>
      </c>
      <c r="U370" s="18">
        <v>0</v>
      </c>
      <c r="V370" s="18">
        <v>0</v>
      </c>
      <c r="W370" s="18">
        <v>0</v>
      </c>
      <c r="X370" s="18">
        <v>0</v>
      </c>
      <c r="Y370" s="18">
        <v>0</v>
      </c>
      <c r="Z370" s="18">
        <v>0</v>
      </c>
      <c r="AA370" s="18"/>
      <c r="AB370" s="18">
        <v>3</v>
      </c>
      <c r="AC370" s="18">
        <v>0</v>
      </c>
      <c r="AD370" s="18">
        <v>3</v>
      </c>
      <c r="AE370" s="18">
        <v>0.21429</v>
      </c>
      <c r="AF370" s="18">
        <v>0</v>
      </c>
      <c r="AG370" s="18">
        <v>1</v>
      </c>
      <c r="AH370" s="18">
        <v>8.52</v>
      </c>
      <c r="AI370" s="18">
        <v>4</v>
      </c>
      <c r="AJ370" s="18">
        <v>2.13</v>
      </c>
      <c r="AK370" s="18">
        <v>3</v>
      </c>
      <c r="AL370" s="18">
        <v>2.84</v>
      </c>
      <c r="AM370" s="18">
        <v>1</v>
      </c>
      <c r="AN370" s="18"/>
      <c r="AO370" s="18">
        <v>0</v>
      </c>
      <c r="AP370" s="18">
        <v>2.84</v>
      </c>
      <c r="AQ370" s="18">
        <v>0</v>
      </c>
      <c r="AR370" s="18">
        <v>0</v>
      </c>
      <c r="AS370" s="18">
        <v>0</v>
      </c>
      <c r="AT370" s="18">
        <v>0</v>
      </c>
      <c r="AU370" s="18">
        <v>0</v>
      </c>
      <c r="AV370" s="18">
        <v>0</v>
      </c>
      <c r="AW370" s="18">
        <v>0</v>
      </c>
      <c r="AX370" s="18">
        <v>2</v>
      </c>
      <c r="AY370" s="18">
        <v>85</v>
      </c>
      <c r="AZ370" s="18">
        <v>12</v>
      </c>
      <c r="BA370" s="18">
        <v>11</v>
      </c>
      <c r="BB370" s="18">
        <v>0.91667</v>
      </c>
      <c r="BC370" s="18">
        <v>0</v>
      </c>
      <c r="BD370" s="18">
        <v>0</v>
      </c>
      <c r="BE370" s="18">
        <v>3.14815</v>
      </c>
      <c r="BF370" s="18">
        <v>71</v>
      </c>
      <c r="BG370" s="18">
        <v>7</v>
      </c>
      <c r="BH370" s="18">
        <v>0</v>
      </c>
      <c r="BI370" s="18"/>
      <c r="BJ370" s="18">
        <v>0</v>
      </c>
      <c r="BK370" s="18">
        <v>0</v>
      </c>
      <c r="BL370" s="18">
        <v>0</v>
      </c>
      <c r="BM370" s="18">
        <v>0</v>
      </c>
      <c r="BN370" s="18"/>
      <c r="BO370" s="18"/>
      <c r="BP370" s="18">
        <v>0</v>
      </c>
      <c r="BQ370" s="18">
        <v>0</v>
      </c>
      <c r="BR370" s="18">
        <v>0</v>
      </c>
      <c r="BS370" s="18">
        <v>0</v>
      </c>
      <c r="BT370" s="18">
        <v>0</v>
      </c>
      <c r="BU370" s="18">
        <v>0</v>
      </c>
    </row>
    <row r="371" spans="1:73">
      <c r="A371" s="19">
        <v>46194</v>
      </c>
      <c r="B371" s="18">
        <v>183</v>
      </c>
      <c r="C371" s="18" t="s">
        <v>40</v>
      </c>
      <c r="D371" s="18">
        <v>183</v>
      </c>
      <c r="E371" s="18" t="s">
        <v>40</v>
      </c>
      <c r="F371" s="18">
        <v>836</v>
      </c>
      <c r="G371" s="18">
        <v>40</v>
      </c>
      <c r="H371" s="18">
        <v>150</v>
      </c>
      <c r="I371" s="18">
        <v>0.04785</v>
      </c>
      <c r="J371" s="18">
        <v>3.75</v>
      </c>
      <c r="K371" s="18">
        <v>179.43</v>
      </c>
      <c r="L371" s="18">
        <v>0</v>
      </c>
      <c r="M371" s="18">
        <v>0</v>
      </c>
      <c r="N371" s="18">
        <v>0</v>
      </c>
      <c r="O371" s="18">
        <v>0</v>
      </c>
      <c r="P371" s="18">
        <v>0</v>
      </c>
      <c r="Q371" s="18">
        <v>0</v>
      </c>
      <c r="R371" s="18">
        <v>0</v>
      </c>
      <c r="S371" s="18">
        <v>0</v>
      </c>
      <c r="T371" s="18">
        <v>0</v>
      </c>
      <c r="U371" s="18">
        <v>0</v>
      </c>
      <c r="V371" s="18">
        <v>0</v>
      </c>
      <c r="W371" s="18">
        <v>0</v>
      </c>
      <c r="X371" s="18">
        <v>0</v>
      </c>
      <c r="Y371" s="18">
        <v>0</v>
      </c>
      <c r="Z371" s="18">
        <v>0</v>
      </c>
      <c r="AA371" s="18"/>
      <c r="AB371" s="18">
        <v>4</v>
      </c>
      <c r="AC371" s="18">
        <v>4</v>
      </c>
      <c r="AD371" s="18">
        <v>0</v>
      </c>
      <c r="AE371" s="18">
        <v>0.1</v>
      </c>
      <c r="AF371" s="18">
        <v>0</v>
      </c>
      <c r="AG371" s="18">
        <v>0</v>
      </c>
      <c r="AH371" s="18"/>
      <c r="AI371" s="18">
        <v>4</v>
      </c>
      <c r="AJ371" s="18">
        <v>37.5</v>
      </c>
      <c r="AK371" s="18">
        <v>4</v>
      </c>
      <c r="AL371" s="18">
        <v>37.5</v>
      </c>
      <c r="AM371" s="18">
        <v>0</v>
      </c>
      <c r="AN371" s="18"/>
      <c r="AO371" s="18">
        <v>0</v>
      </c>
      <c r="AP371" s="18">
        <v>37.5</v>
      </c>
      <c r="AQ371" s="18">
        <v>0</v>
      </c>
      <c r="AR371" s="18">
        <v>0</v>
      </c>
      <c r="AS371" s="18">
        <v>0</v>
      </c>
      <c r="AT371" s="18">
        <v>0</v>
      </c>
      <c r="AU371" s="18">
        <v>0</v>
      </c>
      <c r="AV371" s="18">
        <v>0</v>
      </c>
      <c r="AW371" s="18">
        <v>0</v>
      </c>
      <c r="AX371" s="18">
        <v>0</v>
      </c>
      <c r="AY371" s="18">
        <v>185</v>
      </c>
      <c r="AZ371" s="18">
        <v>93</v>
      </c>
      <c r="BA371" s="18">
        <v>64</v>
      </c>
      <c r="BB371" s="18">
        <v>0.68817</v>
      </c>
      <c r="BC371" s="18">
        <v>0</v>
      </c>
      <c r="BD371" s="18">
        <v>0</v>
      </c>
      <c r="BE371" s="18">
        <v>0.22129</v>
      </c>
      <c r="BF371" s="18">
        <v>66</v>
      </c>
      <c r="BG371" s="18">
        <v>2</v>
      </c>
      <c r="BH371" s="18">
        <v>0</v>
      </c>
      <c r="BI371" s="18"/>
      <c r="BJ371" s="18">
        <v>0</v>
      </c>
      <c r="BK371" s="18">
        <v>0</v>
      </c>
      <c r="BL371" s="18">
        <v>0</v>
      </c>
      <c r="BM371" s="18">
        <v>0</v>
      </c>
      <c r="BN371" s="18"/>
      <c r="BO371" s="18"/>
      <c r="BP371" s="18">
        <v>0</v>
      </c>
      <c r="BQ371" s="18">
        <v>0</v>
      </c>
      <c r="BR371" s="18">
        <v>0</v>
      </c>
      <c r="BS371" s="18">
        <v>0</v>
      </c>
      <c r="BT371" s="18">
        <v>0</v>
      </c>
      <c r="BU371" s="18">
        <v>0</v>
      </c>
    </row>
    <row r="372" spans="1:73">
      <c r="A372" s="19">
        <v>46194</v>
      </c>
      <c r="B372" s="18">
        <v>372</v>
      </c>
      <c r="C372" s="18" t="s">
        <v>37</v>
      </c>
      <c r="D372" s="18">
        <v>372</v>
      </c>
      <c r="E372" s="18" t="s">
        <v>61</v>
      </c>
      <c r="F372" s="18">
        <v>2268</v>
      </c>
      <c r="G372" s="18">
        <v>257</v>
      </c>
      <c r="H372" s="18">
        <v>88.93</v>
      </c>
      <c r="I372" s="18">
        <v>0.11332</v>
      </c>
      <c r="J372" s="18">
        <v>0.35</v>
      </c>
      <c r="K372" s="18">
        <v>39.21</v>
      </c>
      <c r="L372" s="18">
        <v>0</v>
      </c>
      <c r="M372" s="18">
        <v>0</v>
      </c>
      <c r="N372" s="18">
        <v>0</v>
      </c>
      <c r="O372" s="18">
        <v>0</v>
      </c>
      <c r="P372" s="18">
        <v>0</v>
      </c>
      <c r="Q372" s="18">
        <v>0</v>
      </c>
      <c r="R372" s="18">
        <v>0</v>
      </c>
      <c r="S372" s="18">
        <v>0</v>
      </c>
      <c r="T372" s="18">
        <v>0</v>
      </c>
      <c r="U372" s="18">
        <v>0</v>
      </c>
      <c r="V372" s="18">
        <v>0</v>
      </c>
      <c r="W372" s="18">
        <v>0</v>
      </c>
      <c r="X372" s="18">
        <v>0</v>
      </c>
      <c r="Y372" s="18">
        <v>0</v>
      </c>
      <c r="Z372" s="18">
        <v>0</v>
      </c>
      <c r="AA372" s="18"/>
      <c r="AB372" s="18">
        <v>7</v>
      </c>
      <c r="AC372" s="18">
        <v>6</v>
      </c>
      <c r="AD372" s="18">
        <v>1</v>
      </c>
      <c r="AE372" s="18">
        <v>0.02724</v>
      </c>
      <c r="AF372" s="18">
        <v>0</v>
      </c>
      <c r="AG372" s="18">
        <v>1</v>
      </c>
      <c r="AH372" s="18">
        <v>88.93</v>
      </c>
      <c r="AI372" s="18">
        <v>8</v>
      </c>
      <c r="AJ372" s="18">
        <v>11.12</v>
      </c>
      <c r="AK372" s="18">
        <v>7</v>
      </c>
      <c r="AL372" s="18">
        <v>12.7</v>
      </c>
      <c r="AM372" s="18">
        <v>1</v>
      </c>
      <c r="AN372" s="18"/>
      <c r="AO372" s="18">
        <v>0</v>
      </c>
      <c r="AP372" s="18">
        <v>12.7</v>
      </c>
      <c r="AQ372" s="18">
        <v>0</v>
      </c>
      <c r="AR372" s="18">
        <v>0</v>
      </c>
      <c r="AS372" s="18">
        <v>0</v>
      </c>
      <c r="AT372" s="18">
        <v>0</v>
      </c>
      <c r="AU372" s="18">
        <v>0</v>
      </c>
      <c r="AV372" s="18">
        <v>0</v>
      </c>
      <c r="AW372" s="18">
        <v>0</v>
      </c>
      <c r="AX372" s="18">
        <v>0</v>
      </c>
      <c r="AY372" s="18">
        <v>422</v>
      </c>
      <c r="AZ372" s="18">
        <v>246</v>
      </c>
      <c r="BA372" s="18">
        <v>196</v>
      </c>
      <c r="BB372" s="18">
        <v>0.79675</v>
      </c>
      <c r="BC372" s="18">
        <v>0</v>
      </c>
      <c r="BD372" s="18">
        <v>0</v>
      </c>
      <c r="BE372" s="18">
        <v>0.18607</v>
      </c>
      <c r="BF372" s="18">
        <v>87</v>
      </c>
      <c r="BG372" s="18">
        <v>2</v>
      </c>
      <c r="BH372" s="18">
        <v>0</v>
      </c>
      <c r="BI372" s="18"/>
      <c r="BJ372" s="18">
        <v>0</v>
      </c>
      <c r="BK372" s="18">
        <v>0</v>
      </c>
      <c r="BL372" s="18">
        <v>0</v>
      </c>
      <c r="BM372" s="18">
        <v>0</v>
      </c>
      <c r="BN372" s="18"/>
      <c r="BO372" s="18"/>
      <c r="BP372" s="18">
        <v>0</v>
      </c>
      <c r="BQ372" s="18">
        <v>0</v>
      </c>
      <c r="BR372" s="18">
        <v>0</v>
      </c>
      <c r="BS372" s="18">
        <v>0</v>
      </c>
      <c r="BT372" s="18">
        <v>0</v>
      </c>
      <c r="BU372" s="18">
        <v>0</v>
      </c>
    </row>
    <row r="373" spans="1:73">
      <c r="A373" s="19">
        <v>46194</v>
      </c>
      <c r="B373" s="18">
        <v>371</v>
      </c>
      <c r="C373" s="18" t="s">
        <v>32</v>
      </c>
      <c r="D373" s="18">
        <v>371</v>
      </c>
      <c r="E373" s="18" t="s">
        <v>32</v>
      </c>
      <c r="F373" s="18">
        <v>3843</v>
      </c>
      <c r="G373" s="18">
        <v>187</v>
      </c>
      <c r="H373" s="18">
        <v>136.9</v>
      </c>
      <c r="I373" s="18">
        <v>0.04866</v>
      </c>
      <c r="J373" s="18">
        <v>0.73</v>
      </c>
      <c r="K373" s="18">
        <v>35.62</v>
      </c>
      <c r="L373" s="18">
        <v>0</v>
      </c>
      <c r="M373" s="18">
        <v>0</v>
      </c>
      <c r="N373" s="18">
        <v>0</v>
      </c>
      <c r="O373" s="18">
        <v>0</v>
      </c>
      <c r="P373" s="18">
        <v>0</v>
      </c>
      <c r="Q373" s="18">
        <v>0</v>
      </c>
      <c r="R373" s="18">
        <v>0</v>
      </c>
      <c r="S373" s="18">
        <v>0</v>
      </c>
      <c r="T373" s="18">
        <v>0</v>
      </c>
      <c r="U373" s="18">
        <v>0</v>
      </c>
      <c r="V373" s="18">
        <v>0</v>
      </c>
      <c r="W373" s="18">
        <v>0</v>
      </c>
      <c r="X373" s="18">
        <v>0</v>
      </c>
      <c r="Y373" s="18">
        <v>0</v>
      </c>
      <c r="Z373" s="18">
        <v>0</v>
      </c>
      <c r="AA373" s="18"/>
      <c r="AB373" s="18">
        <v>3</v>
      </c>
      <c r="AC373" s="18">
        <v>2</v>
      </c>
      <c r="AD373" s="18">
        <v>1</v>
      </c>
      <c r="AE373" s="18">
        <v>0.01604</v>
      </c>
      <c r="AF373" s="18">
        <v>1</v>
      </c>
      <c r="AG373" s="18">
        <v>0</v>
      </c>
      <c r="AH373" s="18"/>
      <c r="AI373" s="18">
        <v>4</v>
      </c>
      <c r="AJ373" s="18">
        <v>34.23</v>
      </c>
      <c r="AK373" s="18">
        <v>4</v>
      </c>
      <c r="AL373" s="18">
        <v>34.23</v>
      </c>
      <c r="AM373" s="18">
        <v>1</v>
      </c>
      <c r="AN373" s="18">
        <v>136.9</v>
      </c>
      <c r="AO373" s="18">
        <v>0.00535</v>
      </c>
      <c r="AP373" s="18">
        <v>45.63</v>
      </c>
      <c r="AQ373" s="18">
        <v>0</v>
      </c>
      <c r="AR373" s="18">
        <v>0</v>
      </c>
      <c r="AS373" s="18">
        <v>0</v>
      </c>
      <c r="AT373" s="18">
        <v>1</v>
      </c>
      <c r="AU373" s="18">
        <v>0</v>
      </c>
      <c r="AV373" s="18">
        <v>0</v>
      </c>
      <c r="AW373" s="18">
        <v>0</v>
      </c>
      <c r="AX373" s="18">
        <v>0</v>
      </c>
      <c r="AY373" s="18">
        <v>320</v>
      </c>
      <c r="AZ373" s="18">
        <v>124</v>
      </c>
      <c r="BA373" s="18">
        <v>102</v>
      </c>
      <c r="BB373" s="18">
        <v>0.82258</v>
      </c>
      <c r="BC373" s="18">
        <v>0</v>
      </c>
      <c r="BD373" s="18">
        <v>0</v>
      </c>
      <c r="BE373" s="18">
        <v>0.08327</v>
      </c>
      <c r="BF373" s="18">
        <v>104</v>
      </c>
      <c r="BG373" s="18">
        <v>3</v>
      </c>
      <c r="BH373" s="18">
        <v>0</v>
      </c>
      <c r="BI373" s="18"/>
      <c r="BJ373" s="18">
        <v>0</v>
      </c>
      <c r="BK373" s="18">
        <v>0</v>
      </c>
      <c r="BL373" s="18">
        <v>0</v>
      </c>
      <c r="BM373" s="18">
        <v>0</v>
      </c>
      <c r="BN373" s="18"/>
      <c r="BO373" s="18"/>
      <c r="BP373" s="18">
        <v>0</v>
      </c>
      <c r="BQ373" s="18">
        <v>0</v>
      </c>
      <c r="BR373" s="18">
        <v>0</v>
      </c>
      <c r="BS373" s="18">
        <v>0</v>
      </c>
      <c r="BT373" s="18">
        <v>0</v>
      </c>
      <c r="BU373" s="18">
        <v>0</v>
      </c>
    </row>
    <row r="374" spans="1:73">
      <c r="A374" s="19">
        <v>46194</v>
      </c>
      <c r="B374" s="18">
        <v>436</v>
      </c>
      <c r="C374" s="18" t="s">
        <v>38</v>
      </c>
      <c r="D374" s="18">
        <v>436</v>
      </c>
      <c r="E374" s="18" t="s">
        <v>38</v>
      </c>
      <c r="F374" s="18">
        <v>604</v>
      </c>
      <c r="G374" s="18">
        <v>36</v>
      </c>
      <c r="H374" s="18">
        <v>33</v>
      </c>
      <c r="I374" s="18">
        <v>0.0596</v>
      </c>
      <c r="J374" s="18">
        <v>0.92</v>
      </c>
      <c r="K374" s="18">
        <v>54.64</v>
      </c>
      <c r="L374" s="18">
        <v>0</v>
      </c>
      <c r="M374" s="18">
        <v>0</v>
      </c>
      <c r="N374" s="18">
        <v>0</v>
      </c>
      <c r="O374" s="18">
        <v>0</v>
      </c>
      <c r="P374" s="18">
        <v>0</v>
      </c>
      <c r="Q374" s="18">
        <v>0</v>
      </c>
      <c r="R374" s="18">
        <v>0</v>
      </c>
      <c r="S374" s="18">
        <v>0</v>
      </c>
      <c r="T374" s="18">
        <v>0</v>
      </c>
      <c r="U374" s="18">
        <v>0</v>
      </c>
      <c r="V374" s="18">
        <v>0</v>
      </c>
      <c r="W374" s="18">
        <v>0</v>
      </c>
      <c r="X374" s="18">
        <v>0</v>
      </c>
      <c r="Y374" s="18">
        <v>0</v>
      </c>
      <c r="Z374" s="18">
        <v>0</v>
      </c>
      <c r="AA374" s="18"/>
      <c r="AB374" s="18">
        <v>9</v>
      </c>
      <c r="AC374" s="18">
        <v>0</v>
      </c>
      <c r="AD374" s="18">
        <v>9</v>
      </c>
      <c r="AE374" s="18">
        <v>0.25</v>
      </c>
      <c r="AF374" s="18">
        <v>1</v>
      </c>
      <c r="AG374" s="18">
        <v>0</v>
      </c>
      <c r="AH374" s="18"/>
      <c r="AI374" s="18">
        <v>10</v>
      </c>
      <c r="AJ374" s="18">
        <v>3.3</v>
      </c>
      <c r="AK374" s="18">
        <v>10</v>
      </c>
      <c r="AL374" s="18">
        <v>3.3</v>
      </c>
      <c r="AM374" s="18">
        <v>1</v>
      </c>
      <c r="AN374" s="18">
        <v>33</v>
      </c>
      <c r="AO374" s="18">
        <v>0.02778</v>
      </c>
      <c r="AP374" s="18">
        <v>3.67</v>
      </c>
      <c r="AQ374" s="18">
        <v>0</v>
      </c>
      <c r="AR374" s="18">
        <v>0</v>
      </c>
      <c r="AS374" s="18">
        <v>0</v>
      </c>
      <c r="AT374" s="18">
        <v>1</v>
      </c>
      <c r="AU374" s="18">
        <v>0</v>
      </c>
      <c r="AV374" s="18">
        <v>0</v>
      </c>
      <c r="AW374" s="18">
        <v>0</v>
      </c>
      <c r="AX374" s="18">
        <v>0</v>
      </c>
      <c r="AY374" s="18">
        <v>110</v>
      </c>
      <c r="AZ374" s="18">
        <v>28</v>
      </c>
      <c r="BA374" s="18">
        <v>20</v>
      </c>
      <c r="BB374" s="18">
        <v>0.71429</v>
      </c>
      <c r="BC374" s="18">
        <v>0</v>
      </c>
      <c r="BD374" s="18">
        <v>0</v>
      </c>
      <c r="BE374" s="18">
        <v>0.18212</v>
      </c>
      <c r="BF374" s="18">
        <v>74</v>
      </c>
      <c r="BG374" s="18">
        <v>4</v>
      </c>
      <c r="BH374" s="18">
        <v>0</v>
      </c>
      <c r="BI374" s="18"/>
      <c r="BJ374" s="18">
        <v>0</v>
      </c>
      <c r="BK374" s="18">
        <v>0</v>
      </c>
      <c r="BL374" s="18">
        <v>0</v>
      </c>
      <c r="BM374" s="18">
        <v>0</v>
      </c>
      <c r="BN374" s="18"/>
      <c r="BO374" s="18"/>
      <c r="BP374" s="18">
        <v>0</v>
      </c>
      <c r="BQ374" s="18">
        <v>0</v>
      </c>
      <c r="BR374" s="18">
        <v>0</v>
      </c>
      <c r="BS374" s="18">
        <v>0</v>
      </c>
      <c r="BT374" s="18">
        <v>0</v>
      </c>
      <c r="BU374" s="18">
        <v>0</v>
      </c>
    </row>
    <row r="375" spans="1:73">
      <c r="A375" s="19">
        <v>46193</v>
      </c>
      <c r="B375" s="18">
        <v>436</v>
      </c>
      <c r="C375" s="18" t="s">
        <v>38</v>
      </c>
      <c r="D375" s="18">
        <v>436</v>
      </c>
      <c r="E375" s="18" t="s">
        <v>38</v>
      </c>
      <c r="F375" s="18">
        <v>612</v>
      </c>
      <c r="G375" s="18">
        <v>36</v>
      </c>
      <c r="H375" s="18">
        <v>50</v>
      </c>
      <c r="I375" s="18">
        <v>0.05882</v>
      </c>
      <c r="J375" s="18">
        <v>1.39</v>
      </c>
      <c r="K375" s="18">
        <v>81.7</v>
      </c>
      <c r="L375" s="18">
        <v>0</v>
      </c>
      <c r="M375" s="18">
        <v>0</v>
      </c>
      <c r="N375" s="18">
        <v>0</v>
      </c>
      <c r="O375" s="18">
        <v>0</v>
      </c>
      <c r="P375" s="18">
        <v>0</v>
      </c>
      <c r="Q375" s="18">
        <v>0</v>
      </c>
      <c r="R375" s="18">
        <v>0</v>
      </c>
      <c r="S375" s="18">
        <v>66.3</v>
      </c>
      <c r="T375" s="18">
        <v>66.3</v>
      </c>
      <c r="U375" s="18">
        <v>1</v>
      </c>
      <c r="V375" s="18">
        <v>0</v>
      </c>
      <c r="W375" s="18">
        <v>1</v>
      </c>
      <c r="X375" s="18">
        <v>0.02778</v>
      </c>
      <c r="Y375" s="18">
        <v>1.33</v>
      </c>
      <c r="Z375" s="18">
        <v>1.33</v>
      </c>
      <c r="AA375" s="18">
        <v>50</v>
      </c>
      <c r="AB375" s="18">
        <v>8</v>
      </c>
      <c r="AC375" s="18">
        <v>1</v>
      </c>
      <c r="AD375" s="18">
        <v>7</v>
      </c>
      <c r="AE375" s="18">
        <v>0.22222</v>
      </c>
      <c r="AF375" s="18">
        <v>2</v>
      </c>
      <c r="AG375" s="18">
        <v>2</v>
      </c>
      <c r="AH375" s="18">
        <v>25</v>
      </c>
      <c r="AI375" s="18">
        <v>12</v>
      </c>
      <c r="AJ375" s="18">
        <v>4.17</v>
      </c>
      <c r="AK375" s="18">
        <v>10</v>
      </c>
      <c r="AL375" s="18">
        <v>5</v>
      </c>
      <c r="AM375" s="18">
        <v>4</v>
      </c>
      <c r="AN375" s="18">
        <v>25</v>
      </c>
      <c r="AO375" s="18">
        <v>0.05556</v>
      </c>
      <c r="AP375" s="18">
        <v>6.25</v>
      </c>
      <c r="AQ375" s="18">
        <v>1</v>
      </c>
      <c r="AR375" s="18">
        <v>78</v>
      </c>
      <c r="AS375" s="18">
        <v>1</v>
      </c>
      <c r="AT375" s="18">
        <v>1</v>
      </c>
      <c r="AU375" s="18">
        <v>0</v>
      </c>
      <c r="AV375" s="18">
        <v>0</v>
      </c>
      <c r="AW375" s="18">
        <v>0</v>
      </c>
      <c r="AX375" s="18">
        <v>0</v>
      </c>
      <c r="AY375" s="18">
        <v>122</v>
      </c>
      <c r="AZ375" s="18">
        <v>29</v>
      </c>
      <c r="BA375" s="18">
        <v>22</v>
      </c>
      <c r="BB375" s="18">
        <v>0.75862</v>
      </c>
      <c r="BC375" s="18">
        <v>0</v>
      </c>
      <c r="BD375" s="18">
        <v>0</v>
      </c>
      <c r="BE375" s="18">
        <v>0.19935</v>
      </c>
      <c r="BF375" s="18">
        <v>86</v>
      </c>
      <c r="BG375" s="18">
        <v>4</v>
      </c>
      <c r="BH375" s="18">
        <v>1</v>
      </c>
      <c r="BI375" s="18">
        <v>1</v>
      </c>
      <c r="BJ375" s="18">
        <v>0</v>
      </c>
      <c r="BK375" s="18">
        <v>0</v>
      </c>
      <c r="BL375" s="18">
        <v>0</v>
      </c>
      <c r="BM375" s="18">
        <v>1</v>
      </c>
      <c r="BN375" s="18">
        <v>1</v>
      </c>
      <c r="BO375" s="18">
        <v>66.3</v>
      </c>
      <c r="BP375" s="18">
        <v>0</v>
      </c>
      <c r="BQ375" s="18">
        <v>97</v>
      </c>
      <c r="BR375" s="18">
        <v>0</v>
      </c>
      <c r="BS375" s="18">
        <v>0</v>
      </c>
      <c r="BT375" s="18">
        <v>0</v>
      </c>
      <c r="BU375" s="18">
        <v>0</v>
      </c>
    </row>
    <row r="376" spans="1:73">
      <c r="A376" s="19">
        <v>46193</v>
      </c>
      <c r="B376" s="18">
        <v>183</v>
      </c>
      <c r="C376" s="18" t="s">
        <v>40</v>
      </c>
      <c r="D376" s="18">
        <v>183</v>
      </c>
      <c r="E376" s="18" t="s">
        <v>40</v>
      </c>
      <c r="F376" s="18">
        <v>705</v>
      </c>
      <c r="G376" s="18">
        <v>39</v>
      </c>
      <c r="H376" s="18">
        <v>150</v>
      </c>
      <c r="I376" s="18">
        <v>0.05532</v>
      </c>
      <c r="J376" s="18">
        <v>3.85</v>
      </c>
      <c r="K376" s="18">
        <v>212.77</v>
      </c>
      <c r="L376" s="18">
        <v>0</v>
      </c>
      <c r="M376" s="18">
        <v>0</v>
      </c>
      <c r="N376" s="18">
        <v>0</v>
      </c>
      <c r="O376" s="18">
        <v>0</v>
      </c>
      <c r="P376" s="18">
        <v>0</v>
      </c>
      <c r="Q376" s="18">
        <v>0</v>
      </c>
      <c r="R376" s="18">
        <v>0</v>
      </c>
      <c r="S376" s="18">
        <v>0</v>
      </c>
      <c r="T376" s="18">
        <v>0</v>
      </c>
      <c r="U376" s="18">
        <v>0</v>
      </c>
      <c r="V376" s="18">
        <v>0</v>
      </c>
      <c r="W376" s="18">
        <v>0</v>
      </c>
      <c r="X376" s="18">
        <v>0</v>
      </c>
      <c r="Y376" s="18">
        <v>0</v>
      </c>
      <c r="Z376" s="18">
        <v>0</v>
      </c>
      <c r="AA376" s="18"/>
      <c r="AB376" s="18">
        <v>3</v>
      </c>
      <c r="AC376" s="18">
        <v>2</v>
      </c>
      <c r="AD376" s="18">
        <v>1</v>
      </c>
      <c r="AE376" s="18">
        <v>0.07692</v>
      </c>
      <c r="AF376" s="18">
        <v>1</v>
      </c>
      <c r="AG376" s="18">
        <v>0</v>
      </c>
      <c r="AH376" s="18"/>
      <c r="AI376" s="18">
        <v>4</v>
      </c>
      <c r="AJ376" s="18">
        <v>37.5</v>
      </c>
      <c r="AK376" s="18">
        <v>4</v>
      </c>
      <c r="AL376" s="18">
        <v>37.5</v>
      </c>
      <c r="AM376" s="18">
        <v>1</v>
      </c>
      <c r="AN376" s="18">
        <v>150</v>
      </c>
      <c r="AO376" s="18">
        <v>0.02564</v>
      </c>
      <c r="AP376" s="18">
        <v>50</v>
      </c>
      <c r="AQ376" s="18">
        <v>0</v>
      </c>
      <c r="AR376" s="18">
        <v>0</v>
      </c>
      <c r="AS376" s="18">
        <v>1</v>
      </c>
      <c r="AT376" s="18">
        <v>0</v>
      </c>
      <c r="AU376" s="18">
        <v>0</v>
      </c>
      <c r="AV376" s="18">
        <v>0</v>
      </c>
      <c r="AW376" s="18">
        <v>0</v>
      </c>
      <c r="AX376" s="18">
        <v>0</v>
      </c>
      <c r="AY376" s="18">
        <v>146</v>
      </c>
      <c r="AZ376" s="18">
        <v>72</v>
      </c>
      <c r="BA376" s="18">
        <v>51</v>
      </c>
      <c r="BB376" s="18">
        <v>0.70833</v>
      </c>
      <c r="BC376" s="18">
        <v>0</v>
      </c>
      <c r="BD376" s="18">
        <v>0</v>
      </c>
      <c r="BE376" s="18">
        <v>0.20709</v>
      </c>
      <c r="BF376" s="18">
        <v>53</v>
      </c>
      <c r="BG376" s="18">
        <v>2</v>
      </c>
      <c r="BH376" s="18">
        <v>0</v>
      </c>
      <c r="BI376" s="18"/>
      <c r="BJ376" s="18">
        <v>0</v>
      </c>
      <c r="BK376" s="18">
        <v>0</v>
      </c>
      <c r="BL376" s="18">
        <v>0</v>
      </c>
      <c r="BM376" s="18">
        <v>0</v>
      </c>
      <c r="BN376" s="18"/>
      <c r="BO376" s="18"/>
      <c r="BP376" s="18">
        <v>0</v>
      </c>
      <c r="BQ376" s="18">
        <v>52</v>
      </c>
      <c r="BR376" s="18">
        <v>0</v>
      </c>
      <c r="BS376" s="18">
        <v>0</v>
      </c>
      <c r="BT376" s="18">
        <v>0</v>
      </c>
      <c r="BU376" s="18">
        <v>0</v>
      </c>
    </row>
    <row r="377" spans="1:73">
      <c r="A377" s="19">
        <v>46193</v>
      </c>
      <c r="B377" s="18">
        <v>479</v>
      </c>
      <c r="C377" s="18" t="s">
        <v>39</v>
      </c>
      <c r="D377" s="18">
        <v>479</v>
      </c>
      <c r="E377" s="18" t="s">
        <v>39</v>
      </c>
      <c r="F377" s="18">
        <v>42</v>
      </c>
      <c r="G377" s="18">
        <v>16</v>
      </c>
      <c r="H377" s="18">
        <v>15.52</v>
      </c>
      <c r="I377" s="18">
        <v>0.38095</v>
      </c>
      <c r="J377" s="18">
        <v>0.97</v>
      </c>
      <c r="K377" s="18">
        <v>369.45</v>
      </c>
      <c r="L377" s="18">
        <v>0</v>
      </c>
      <c r="M377" s="18">
        <v>0</v>
      </c>
      <c r="N377" s="18">
        <v>0</v>
      </c>
      <c r="O377" s="18">
        <v>0</v>
      </c>
      <c r="P377" s="18">
        <v>0</v>
      </c>
      <c r="Q377" s="18">
        <v>0</v>
      </c>
      <c r="R377" s="18">
        <v>0</v>
      </c>
      <c r="S377" s="18">
        <v>0</v>
      </c>
      <c r="T377" s="18">
        <v>0</v>
      </c>
      <c r="U377" s="18">
        <v>0</v>
      </c>
      <c r="V377" s="18">
        <v>0</v>
      </c>
      <c r="W377" s="18">
        <v>0</v>
      </c>
      <c r="X377" s="18">
        <v>0</v>
      </c>
      <c r="Y377" s="18">
        <v>0</v>
      </c>
      <c r="Z377" s="18">
        <v>0</v>
      </c>
      <c r="AA377" s="18"/>
      <c r="AB377" s="18">
        <v>0</v>
      </c>
      <c r="AC377" s="18">
        <v>0</v>
      </c>
      <c r="AD377" s="18">
        <v>0</v>
      </c>
      <c r="AE377" s="18">
        <v>0</v>
      </c>
      <c r="AF377" s="18">
        <v>0</v>
      </c>
      <c r="AG377" s="18">
        <v>0</v>
      </c>
      <c r="AH377" s="18"/>
      <c r="AI377" s="18">
        <v>0</v>
      </c>
      <c r="AJ377" s="18"/>
      <c r="AK377" s="18">
        <v>0</v>
      </c>
      <c r="AL377" s="18"/>
      <c r="AM377" s="18">
        <v>0</v>
      </c>
      <c r="AN377" s="18"/>
      <c r="AO377" s="18">
        <v>0</v>
      </c>
      <c r="AP377" s="18"/>
      <c r="AQ377" s="18">
        <v>0</v>
      </c>
      <c r="AR377" s="18">
        <v>0</v>
      </c>
      <c r="AS377" s="18">
        <v>0</v>
      </c>
      <c r="AT377" s="18">
        <v>0</v>
      </c>
      <c r="AU377" s="18">
        <v>0</v>
      </c>
      <c r="AV377" s="18">
        <v>0</v>
      </c>
      <c r="AW377" s="18">
        <v>0</v>
      </c>
      <c r="AX377" s="18">
        <v>0</v>
      </c>
      <c r="AY377" s="18">
        <v>173</v>
      </c>
      <c r="AZ377" s="18">
        <v>13</v>
      </c>
      <c r="BA377" s="18">
        <v>12</v>
      </c>
      <c r="BB377" s="18">
        <v>0.92308</v>
      </c>
      <c r="BC377" s="18">
        <v>0</v>
      </c>
      <c r="BD377" s="18">
        <v>0</v>
      </c>
      <c r="BE377" s="18">
        <v>4.11905</v>
      </c>
      <c r="BF377" s="18">
        <v>156</v>
      </c>
      <c r="BG377" s="18">
        <v>13</v>
      </c>
      <c r="BH377" s="18">
        <v>0</v>
      </c>
      <c r="BI377" s="18"/>
      <c r="BJ377" s="18">
        <v>0</v>
      </c>
      <c r="BK377" s="18">
        <v>0</v>
      </c>
      <c r="BL377" s="18">
        <v>0</v>
      </c>
      <c r="BM377" s="18">
        <v>0</v>
      </c>
      <c r="BN377" s="18"/>
      <c r="BO377" s="18"/>
      <c r="BP377" s="18">
        <v>0</v>
      </c>
      <c r="BQ377" s="18">
        <v>2</v>
      </c>
      <c r="BR377" s="18">
        <v>0</v>
      </c>
      <c r="BS377" s="18">
        <v>0</v>
      </c>
      <c r="BT377" s="18">
        <v>0</v>
      </c>
      <c r="BU377" s="18">
        <v>0</v>
      </c>
    </row>
    <row r="378" spans="1:73">
      <c r="A378" s="19">
        <v>46193</v>
      </c>
      <c r="B378" s="18">
        <v>372</v>
      </c>
      <c r="C378" s="18" t="s">
        <v>37</v>
      </c>
      <c r="D378" s="18">
        <v>372</v>
      </c>
      <c r="E378" s="18" t="s">
        <v>61</v>
      </c>
      <c r="F378" s="18">
        <v>2074</v>
      </c>
      <c r="G378" s="18">
        <v>213</v>
      </c>
      <c r="H378" s="18">
        <v>74.98</v>
      </c>
      <c r="I378" s="18">
        <v>0.1027</v>
      </c>
      <c r="J378" s="18">
        <v>0.35</v>
      </c>
      <c r="K378" s="18">
        <v>36.15</v>
      </c>
      <c r="L378" s="18">
        <v>0</v>
      </c>
      <c r="M378" s="18">
        <v>0</v>
      </c>
      <c r="N378" s="18">
        <v>0</v>
      </c>
      <c r="O378" s="18">
        <v>0</v>
      </c>
      <c r="P378" s="18">
        <v>0</v>
      </c>
      <c r="Q378" s="18">
        <v>0</v>
      </c>
      <c r="R378" s="18">
        <v>0</v>
      </c>
      <c r="S378" s="18">
        <v>0</v>
      </c>
      <c r="T378" s="18">
        <v>0</v>
      </c>
      <c r="U378" s="18">
        <v>0</v>
      </c>
      <c r="V378" s="18">
        <v>0</v>
      </c>
      <c r="W378" s="18">
        <v>0</v>
      </c>
      <c r="X378" s="18">
        <v>0</v>
      </c>
      <c r="Y378" s="18">
        <v>0</v>
      </c>
      <c r="Z378" s="18">
        <v>0</v>
      </c>
      <c r="AA378" s="18"/>
      <c r="AB378" s="18">
        <v>6</v>
      </c>
      <c r="AC378" s="18">
        <v>6</v>
      </c>
      <c r="AD378" s="18">
        <v>0</v>
      </c>
      <c r="AE378" s="18">
        <v>0.02817</v>
      </c>
      <c r="AF378" s="18">
        <v>2</v>
      </c>
      <c r="AG378" s="18">
        <v>0</v>
      </c>
      <c r="AH378" s="18"/>
      <c r="AI378" s="18">
        <v>8</v>
      </c>
      <c r="AJ378" s="18">
        <v>9.37</v>
      </c>
      <c r="AK378" s="18">
        <v>8</v>
      </c>
      <c r="AL378" s="18">
        <v>9.37</v>
      </c>
      <c r="AM378" s="18">
        <v>2</v>
      </c>
      <c r="AN378" s="18">
        <v>37.49</v>
      </c>
      <c r="AO378" s="18">
        <v>0.00939</v>
      </c>
      <c r="AP378" s="18">
        <v>12.5</v>
      </c>
      <c r="AQ378" s="18">
        <v>0</v>
      </c>
      <c r="AR378" s="18">
        <v>0</v>
      </c>
      <c r="AS378" s="18">
        <v>2</v>
      </c>
      <c r="AT378" s="18">
        <v>0</v>
      </c>
      <c r="AU378" s="18">
        <v>0</v>
      </c>
      <c r="AV378" s="18">
        <v>0</v>
      </c>
      <c r="AW378" s="18">
        <v>0</v>
      </c>
      <c r="AX378" s="18">
        <v>0</v>
      </c>
      <c r="AY378" s="18">
        <v>368</v>
      </c>
      <c r="AZ378" s="18">
        <v>205</v>
      </c>
      <c r="BA378" s="18">
        <v>158</v>
      </c>
      <c r="BB378" s="18">
        <v>0.77073</v>
      </c>
      <c r="BC378" s="18">
        <v>0</v>
      </c>
      <c r="BD378" s="18">
        <v>0</v>
      </c>
      <c r="BE378" s="18">
        <v>0.17743</v>
      </c>
      <c r="BF378" s="18">
        <v>87</v>
      </c>
      <c r="BG378" s="18">
        <v>2</v>
      </c>
      <c r="BH378" s="18">
        <v>0</v>
      </c>
      <c r="BI378" s="18"/>
      <c r="BJ378" s="18">
        <v>0</v>
      </c>
      <c r="BK378" s="18">
        <v>0</v>
      </c>
      <c r="BL378" s="18">
        <v>0</v>
      </c>
      <c r="BM378" s="18">
        <v>0</v>
      </c>
      <c r="BN378" s="18"/>
      <c r="BO378" s="18"/>
      <c r="BP378" s="18">
        <v>58.41</v>
      </c>
      <c r="BQ378" s="18">
        <v>273</v>
      </c>
      <c r="BR378" s="18">
        <v>0</v>
      </c>
      <c r="BS378" s="18">
        <v>0</v>
      </c>
      <c r="BT378" s="18">
        <v>0</v>
      </c>
      <c r="BU378" s="18">
        <v>0</v>
      </c>
    </row>
    <row r="379" spans="1:73">
      <c r="A379" s="19">
        <v>46193</v>
      </c>
      <c r="B379" s="18">
        <v>371</v>
      </c>
      <c r="C379" s="18" t="s">
        <v>32</v>
      </c>
      <c r="D379" s="18">
        <v>371</v>
      </c>
      <c r="E379" s="18" t="s">
        <v>32</v>
      </c>
      <c r="F379" s="18">
        <v>2960</v>
      </c>
      <c r="G379" s="18">
        <v>145</v>
      </c>
      <c r="H379" s="18">
        <v>107.2</v>
      </c>
      <c r="I379" s="18">
        <v>0.04899</v>
      </c>
      <c r="J379" s="18">
        <v>0.74</v>
      </c>
      <c r="K379" s="18">
        <v>36.22</v>
      </c>
      <c r="L379" s="18">
        <v>0</v>
      </c>
      <c r="M379" s="18">
        <v>0</v>
      </c>
      <c r="N379" s="18">
        <v>0</v>
      </c>
      <c r="O379" s="18">
        <v>0</v>
      </c>
      <c r="P379" s="18">
        <v>0</v>
      </c>
      <c r="Q379" s="18">
        <v>0</v>
      </c>
      <c r="R379" s="18">
        <v>37.46</v>
      </c>
      <c r="S379" s="18">
        <v>0</v>
      </c>
      <c r="T379" s="18">
        <v>37.46</v>
      </c>
      <c r="U379" s="18">
        <v>1</v>
      </c>
      <c r="V379" s="18">
        <v>1</v>
      </c>
      <c r="W379" s="18">
        <v>0</v>
      </c>
      <c r="X379" s="18">
        <v>0.0069</v>
      </c>
      <c r="Y379" s="18">
        <v>0.35</v>
      </c>
      <c r="Z379" s="18">
        <v>0.35</v>
      </c>
      <c r="AA379" s="18">
        <v>107.2</v>
      </c>
      <c r="AB379" s="18">
        <v>6</v>
      </c>
      <c r="AC379" s="18">
        <v>4</v>
      </c>
      <c r="AD379" s="18">
        <v>2</v>
      </c>
      <c r="AE379" s="18">
        <v>0.04138</v>
      </c>
      <c r="AF379" s="18">
        <v>4</v>
      </c>
      <c r="AG379" s="18">
        <v>0</v>
      </c>
      <c r="AH379" s="18"/>
      <c r="AI379" s="18">
        <v>10</v>
      </c>
      <c r="AJ379" s="18">
        <v>10.72</v>
      </c>
      <c r="AK379" s="18">
        <v>10</v>
      </c>
      <c r="AL379" s="18">
        <v>10.72</v>
      </c>
      <c r="AM379" s="18">
        <v>4</v>
      </c>
      <c r="AN379" s="18">
        <v>26.8</v>
      </c>
      <c r="AO379" s="18">
        <v>0.02759</v>
      </c>
      <c r="AP379" s="18">
        <v>17.87</v>
      </c>
      <c r="AQ379" s="18">
        <v>3</v>
      </c>
      <c r="AR379" s="18">
        <v>2045.9</v>
      </c>
      <c r="AS379" s="18">
        <v>4</v>
      </c>
      <c r="AT379" s="18">
        <v>0</v>
      </c>
      <c r="AU379" s="18">
        <v>0</v>
      </c>
      <c r="AV379" s="18">
        <v>0</v>
      </c>
      <c r="AW379" s="18">
        <v>0</v>
      </c>
      <c r="AX379" s="18">
        <v>1</v>
      </c>
      <c r="AY379" s="18">
        <v>330</v>
      </c>
      <c r="AZ379" s="18">
        <v>110</v>
      </c>
      <c r="BA379" s="18">
        <v>94</v>
      </c>
      <c r="BB379" s="18">
        <v>0.85455</v>
      </c>
      <c r="BC379" s="18">
        <v>0</v>
      </c>
      <c r="BD379" s="18">
        <v>0</v>
      </c>
      <c r="BE379" s="18">
        <v>0.11149</v>
      </c>
      <c r="BF379" s="18">
        <v>141</v>
      </c>
      <c r="BG379" s="18">
        <v>3</v>
      </c>
      <c r="BH379" s="18">
        <v>1</v>
      </c>
      <c r="BI379" s="18">
        <v>1</v>
      </c>
      <c r="BJ379" s="18">
        <v>0</v>
      </c>
      <c r="BK379" s="18">
        <v>0</v>
      </c>
      <c r="BL379" s="18">
        <v>0</v>
      </c>
      <c r="BM379" s="18">
        <v>1</v>
      </c>
      <c r="BN379" s="18">
        <v>1</v>
      </c>
      <c r="BO379" s="18">
        <v>37.46</v>
      </c>
      <c r="BP379" s="18">
        <v>12.82</v>
      </c>
      <c r="BQ379" s="18">
        <v>424</v>
      </c>
      <c r="BR379" s="18">
        <v>0</v>
      </c>
      <c r="BS379" s="18">
        <v>0</v>
      </c>
      <c r="BT379" s="18">
        <v>0</v>
      </c>
      <c r="BU379" s="18">
        <v>0</v>
      </c>
    </row>
    <row r="380" spans="1:73">
      <c r="A380" s="19">
        <v>46192</v>
      </c>
      <c r="B380" s="18">
        <v>372</v>
      </c>
      <c r="C380" s="18" t="s">
        <v>37</v>
      </c>
      <c r="D380" s="18">
        <v>372</v>
      </c>
      <c r="E380" s="18" t="s">
        <v>61</v>
      </c>
      <c r="F380" s="18">
        <v>1787</v>
      </c>
      <c r="G380" s="18">
        <v>214</v>
      </c>
      <c r="H380" s="18">
        <v>78.7</v>
      </c>
      <c r="I380" s="18">
        <v>0.11975</v>
      </c>
      <c r="J380" s="18">
        <v>0.37</v>
      </c>
      <c r="K380" s="18">
        <v>44.04</v>
      </c>
      <c r="L380" s="18">
        <v>0</v>
      </c>
      <c r="M380" s="18">
        <v>0</v>
      </c>
      <c r="N380" s="18">
        <v>0</v>
      </c>
      <c r="O380" s="18">
        <v>0</v>
      </c>
      <c r="P380" s="18">
        <v>0</v>
      </c>
      <c r="Q380" s="18">
        <v>0</v>
      </c>
      <c r="R380" s="18">
        <v>0</v>
      </c>
      <c r="S380" s="18">
        <v>0</v>
      </c>
      <c r="T380" s="18">
        <v>0</v>
      </c>
      <c r="U380" s="18">
        <v>0</v>
      </c>
      <c r="V380" s="18">
        <v>0</v>
      </c>
      <c r="W380" s="18">
        <v>0</v>
      </c>
      <c r="X380" s="18">
        <v>0</v>
      </c>
      <c r="Y380" s="18">
        <v>0</v>
      </c>
      <c r="Z380" s="18">
        <v>0</v>
      </c>
      <c r="AA380" s="18"/>
      <c r="AB380" s="18">
        <v>5</v>
      </c>
      <c r="AC380" s="18">
        <v>5</v>
      </c>
      <c r="AD380" s="18">
        <v>0</v>
      </c>
      <c r="AE380" s="18">
        <v>0.02336</v>
      </c>
      <c r="AF380" s="18">
        <v>5</v>
      </c>
      <c r="AG380" s="18">
        <v>3</v>
      </c>
      <c r="AH380" s="18">
        <v>26.23</v>
      </c>
      <c r="AI380" s="18">
        <v>13</v>
      </c>
      <c r="AJ380" s="18">
        <v>6.05</v>
      </c>
      <c r="AK380" s="18">
        <v>10</v>
      </c>
      <c r="AL380" s="18">
        <v>7.87</v>
      </c>
      <c r="AM380" s="18">
        <v>8</v>
      </c>
      <c r="AN380" s="18">
        <v>15.74</v>
      </c>
      <c r="AO380" s="18">
        <v>0.02336</v>
      </c>
      <c r="AP380" s="18">
        <v>15.74</v>
      </c>
      <c r="AQ380" s="18">
        <v>0</v>
      </c>
      <c r="AR380" s="18">
        <v>0</v>
      </c>
      <c r="AS380" s="18">
        <v>5</v>
      </c>
      <c r="AT380" s="18">
        <v>0</v>
      </c>
      <c r="AU380" s="18">
        <v>0</v>
      </c>
      <c r="AV380" s="18">
        <v>0</v>
      </c>
      <c r="AW380" s="18">
        <v>0</v>
      </c>
      <c r="AX380" s="18">
        <v>0</v>
      </c>
      <c r="AY380" s="18">
        <v>351</v>
      </c>
      <c r="AZ380" s="18">
        <v>203</v>
      </c>
      <c r="BA380" s="18">
        <v>156</v>
      </c>
      <c r="BB380" s="18">
        <v>0.76847</v>
      </c>
      <c r="BC380" s="18">
        <v>0</v>
      </c>
      <c r="BD380" s="18">
        <v>0</v>
      </c>
      <c r="BE380" s="18">
        <v>0.19642</v>
      </c>
      <c r="BF380" s="18">
        <v>66</v>
      </c>
      <c r="BG380" s="18">
        <v>2</v>
      </c>
      <c r="BH380" s="18">
        <v>0</v>
      </c>
      <c r="BI380" s="18"/>
      <c r="BJ380" s="18">
        <v>0</v>
      </c>
      <c r="BK380" s="18">
        <v>0</v>
      </c>
      <c r="BL380" s="18">
        <v>0</v>
      </c>
      <c r="BM380" s="18">
        <v>0</v>
      </c>
      <c r="BN380" s="18"/>
      <c r="BO380" s="18"/>
      <c r="BP380" s="18">
        <v>4.49</v>
      </c>
      <c r="BQ380" s="18">
        <v>184</v>
      </c>
      <c r="BR380" s="18">
        <v>0</v>
      </c>
      <c r="BS380" s="18">
        <v>0</v>
      </c>
      <c r="BT380" s="18">
        <v>0</v>
      </c>
      <c r="BU380" s="18">
        <v>0</v>
      </c>
    </row>
    <row r="381" spans="1:73">
      <c r="A381" s="19">
        <v>46192</v>
      </c>
      <c r="B381" s="18">
        <v>436</v>
      </c>
      <c r="C381" s="18" t="s">
        <v>38</v>
      </c>
      <c r="D381" s="18">
        <v>436</v>
      </c>
      <c r="E381" s="18" t="s">
        <v>38</v>
      </c>
      <c r="F381" s="18">
        <v>503</v>
      </c>
      <c r="G381" s="18">
        <v>20</v>
      </c>
      <c r="H381" s="18">
        <v>50</v>
      </c>
      <c r="I381" s="18">
        <v>0.03976</v>
      </c>
      <c r="J381" s="18">
        <v>2.5</v>
      </c>
      <c r="K381" s="18">
        <v>99.4</v>
      </c>
      <c r="L381" s="18">
        <v>0</v>
      </c>
      <c r="M381" s="18">
        <v>0</v>
      </c>
      <c r="N381" s="18">
        <v>0</v>
      </c>
      <c r="O381" s="18">
        <v>0</v>
      </c>
      <c r="P381" s="18">
        <v>0</v>
      </c>
      <c r="Q381" s="18">
        <v>0</v>
      </c>
      <c r="R381" s="18">
        <v>470.64</v>
      </c>
      <c r="S381" s="18">
        <v>0</v>
      </c>
      <c r="T381" s="18">
        <v>470.64</v>
      </c>
      <c r="U381" s="18">
        <v>2</v>
      </c>
      <c r="V381" s="18">
        <v>2</v>
      </c>
      <c r="W381" s="18">
        <v>0</v>
      </c>
      <c r="X381" s="18">
        <v>0.1</v>
      </c>
      <c r="Y381" s="18">
        <v>9.41</v>
      </c>
      <c r="Z381" s="18">
        <v>9.41</v>
      </c>
      <c r="AA381" s="18">
        <v>25</v>
      </c>
      <c r="AB381" s="18">
        <v>4</v>
      </c>
      <c r="AC381" s="18">
        <v>3</v>
      </c>
      <c r="AD381" s="18">
        <v>1</v>
      </c>
      <c r="AE381" s="18">
        <v>0.2</v>
      </c>
      <c r="AF381" s="18">
        <v>0</v>
      </c>
      <c r="AG381" s="18">
        <v>0</v>
      </c>
      <c r="AH381" s="18"/>
      <c r="AI381" s="18">
        <v>4</v>
      </c>
      <c r="AJ381" s="18">
        <v>12.5</v>
      </c>
      <c r="AK381" s="18">
        <v>4</v>
      </c>
      <c r="AL381" s="18">
        <v>12.5</v>
      </c>
      <c r="AM381" s="18">
        <v>0</v>
      </c>
      <c r="AN381" s="18"/>
      <c r="AO381" s="18">
        <v>0</v>
      </c>
      <c r="AP381" s="18">
        <v>12.5</v>
      </c>
      <c r="AQ381" s="18">
        <v>3</v>
      </c>
      <c r="AR381" s="18">
        <v>609.9</v>
      </c>
      <c r="AS381" s="18">
        <v>0</v>
      </c>
      <c r="AT381" s="18">
        <v>0</v>
      </c>
      <c r="AU381" s="18">
        <v>0</v>
      </c>
      <c r="AV381" s="18">
        <v>0</v>
      </c>
      <c r="AW381" s="18">
        <v>0</v>
      </c>
      <c r="AX381" s="18">
        <v>1</v>
      </c>
      <c r="AY381" s="18">
        <v>58</v>
      </c>
      <c r="AZ381" s="18">
        <v>17</v>
      </c>
      <c r="BA381" s="18">
        <v>9</v>
      </c>
      <c r="BB381" s="18">
        <v>0.52941</v>
      </c>
      <c r="BC381" s="18">
        <v>0</v>
      </c>
      <c r="BD381" s="18">
        <v>0</v>
      </c>
      <c r="BE381" s="18">
        <v>0.11531</v>
      </c>
      <c r="BF381" s="18">
        <v>38</v>
      </c>
      <c r="BG381" s="18">
        <v>3</v>
      </c>
      <c r="BH381" s="18">
        <v>0</v>
      </c>
      <c r="BI381" s="18">
        <v>0</v>
      </c>
      <c r="BJ381" s="18">
        <v>0</v>
      </c>
      <c r="BK381" s="18">
        <v>0</v>
      </c>
      <c r="BL381" s="18">
        <v>0</v>
      </c>
      <c r="BM381" s="18">
        <v>2</v>
      </c>
      <c r="BN381" s="18">
        <v>1</v>
      </c>
      <c r="BO381" s="18">
        <v>235.32</v>
      </c>
      <c r="BP381" s="18">
        <v>0</v>
      </c>
      <c r="BQ381" s="18">
        <v>201</v>
      </c>
      <c r="BR381" s="18">
        <v>0</v>
      </c>
      <c r="BS381" s="18">
        <v>0</v>
      </c>
      <c r="BT381" s="18">
        <v>0</v>
      </c>
      <c r="BU381" s="18">
        <v>0</v>
      </c>
    </row>
    <row r="382" spans="1:73">
      <c r="A382" s="19">
        <v>46192</v>
      </c>
      <c r="B382" s="18">
        <v>479</v>
      </c>
      <c r="C382" s="18" t="s">
        <v>39</v>
      </c>
      <c r="D382" s="18">
        <v>479</v>
      </c>
      <c r="E382" s="18" t="s">
        <v>39</v>
      </c>
      <c r="F382" s="18">
        <v>20</v>
      </c>
      <c r="G382" s="18">
        <v>5</v>
      </c>
      <c r="H382" s="18">
        <v>7.75</v>
      </c>
      <c r="I382" s="18">
        <v>0.25</v>
      </c>
      <c r="J382" s="18">
        <v>1.55</v>
      </c>
      <c r="K382" s="18">
        <v>387.39</v>
      </c>
      <c r="L382" s="18">
        <v>0</v>
      </c>
      <c r="M382" s="18">
        <v>0</v>
      </c>
      <c r="N382" s="18">
        <v>0</v>
      </c>
      <c r="O382" s="18">
        <v>0</v>
      </c>
      <c r="P382" s="18">
        <v>0</v>
      </c>
      <c r="Q382" s="18">
        <v>0</v>
      </c>
      <c r="R382" s="18">
        <v>0</v>
      </c>
      <c r="S382" s="18">
        <v>0</v>
      </c>
      <c r="T382" s="18">
        <v>0</v>
      </c>
      <c r="U382" s="18">
        <v>0</v>
      </c>
      <c r="V382" s="18">
        <v>0</v>
      </c>
      <c r="W382" s="18">
        <v>0</v>
      </c>
      <c r="X382" s="18">
        <v>0</v>
      </c>
      <c r="Y382" s="18">
        <v>0</v>
      </c>
      <c r="Z382" s="18">
        <v>0</v>
      </c>
      <c r="AA382" s="18"/>
      <c r="AB382" s="18">
        <v>0</v>
      </c>
      <c r="AC382" s="18">
        <v>0</v>
      </c>
      <c r="AD382" s="18">
        <v>0</v>
      </c>
      <c r="AE382" s="18">
        <v>0</v>
      </c>
      <c r="AF382" s="18">
        <v>0</v>
      </c>
      <c r="AG382" s="18">
        <v>0</v>
      </c>
      <c r="AH382" s="18"/>
      <c r="AI382" s="18">
        <v>0</v>
      </c>
      <c r="AJ382" s="18"/>
      <c r="AK382" s="18">
        <v>0</v>
      </c>
      <c r="AL382" s="18"/>
      <c r="AM382" s="18">
        <v>0</v>
      </c>
      <c r="AN382" s="18"/>
      <c r="AO382" s="18">
        <v>0</v>
      </c>
      <c r="AP382" s="18"/>
      <c r="AQ382" s="18">
        <v>0</v>
      </c>
      <c r="AR382" s="18">
        <v>0</v>
      </c>
      <c r="AS382" s="18">
        <v>0</v>
      </c>
      <c r="AT382" s="18">
        <v>0</v>
      </c>
      <c r="AU382" s="18">
        <v>0</v>
      </c>
      <c r="AV382" s="18">
        <v>0</v>
      </c>
      <c r="AW382" s="18">
        <v>0</v>
      </c>
      <c r="AX382" s="18">
        <v>0</v>
      </c>
      <c r="AY382" s="18">
        <v>31</v>
      </c>
      <c r="AZ382" s="18">
        <v>5</v>
      </c>
      <c r="BA382" s="18">
        <v>5</v>
      </c>
      <c r="BB382" s="18">
        <v>1</v>
      </c>
      <c r="BC382" s="18">
        <v>0</v>
      </c>
      <c r="BD382" s="18">
        <v>0</v>
      </c>
      <c r="BE382" s="18">
        <v>1.55</v>
      </c>
      <c r="BF382" s="18">
        <v>26</v>
      </c>
      <c r="BG382" s="18">
        <v>6</v>
      </c>
      <c r="BH382" s="18">
        <v>0</v>
      </c>
      <c r="BI382" s="18"/>
      <c r="BJ382" s="18">
        <v>0</v>
      </c>
      <c r="BK382" s="18">
        <v>0</v>
      </c>
      <c r="BL382" s="18">
        <v>0</v>
      </c>
      <c r="BM382" s="18">
        <v>0</v>
      </c>
      <c r="BN382" s="18"/>
      <c r="BO382" s="18"/>
      <c r="BP382" s="18">
        <v>0</v>
      </c>
      <c r="BQ382" s="18">
        <v>13</v>
      </c>
      <c r="BR382" s="18">
        <v>0</v>
      </c>
      <c r="BS382" s="18">
        <v>0</v>
      </c>
      <c r="BT382" s="18">
        <v>0</v>
      </c>
      <c r="BU382" s="18">
        <v>0</v>
      </c>
    </row>
    <row r="383" spans="1:73">
      <c r="A383" s="19">
        <v>46192</v>
      </c>
      <c r="B383" s="18">
        <v>183</v>
      </c>
      <c r="C383" s="18" t="s">
        <v>40</v>
      </c>
      <c r="D383" s="18">
        <v>183</v>
      </c>
      <c r="E383" s="18" t="s">
        <v>40</v>
      </c>
      <c r="F383" s="18">
        <v>782</v>
      </c>
      <c r="G383" s="18">
        <v>45</v>
      </c>
      <c r="H383" s="18">
        <v>150</v>
      </c>
      <c r="I383" s="18">
        <v>0.05754</v>
      </c>
      <c r="J383" s="18">
        <v>3.33</v>
      </c>
      <c r="K383" s="18">
        <v>191.82</v>
      </c>
      <c r="L383" s="18">
        <v>0</v>
      </c>
      <c r="M383" s="18">
        <v>0</v>
      </c>
      <c r="N383" s="18">
        <v>0</v>
      </c>
      <c r="O383" s="18">
        <v>0</v>
      </c>
      <c r="P383" s="18">
        <v>0</v>
      </c>
      <c r="Q383" s="18">
        <v>0</v>
      </c>
      <c r="R383" s="18">
        <v>0</v>
      </c>
      <c r="S383" s="18">
        <v>0</v>
      </c>
      <c r="T383" s="18">
        <v>0</v>
      </c>
      <c r="U383" s="18">
        <v>0</v>
      </c>
      <c r="V383" s="18">
        <v>0</v>
      </c>
      <c r="W383" s="18">
        <v>0</v>
      </c>
      <c r="X383" s="18">
        <v>0</v>
      </c>
      <c r="Y383" s="18">
        <v>0</v>
      </c>
      <c r="Z383" s="18">
        <v>0</v>
      </c>
      <c r="AA383" s="18"/>
      <c r="AB383" s="18">
        <v>4</v>
      </c>
      <c r="AC383" s="18">
        <v>3</v>
      </c>
      <c r="AD383" s="18">
        <v>1</v>
      </c>
      <c r="AE383" s="18">
        <v>0.08889</v>
      </c>
      <c r="AF383" s="18">
        <v>2</v>
      </c>
      <c r="AG383" s="18">
        <v>1</v>
      </c>
      <c r="AH383" s="18">
        <v>150</v>
      </c>
      <c r="AI383" s="18">
        <v>7</v>
      </c>
      <c r="AJ383" s="18">
        <v>21.43</v>
      </c>
      <c r="AK383" s="18">
        <v>6</v>
      </c>
      <c r="AL383" s="18">
        <v>25</v>
      </c>
      <c r="AM383" s="18">
        <v>3</v>
      </c>
      <c r="AN383" s="18">
        <v>75</v>
      </c>
      <c r="AO383" s="18">
        <v>0.04444</v>
      </c>
      <c r="AP383" s="18">
        <v>37.5</v>
      </c>
      <c r="AQ383" s="18">
        <v>1</v>
      </c>
      <c r="AR383" s="18">
        <v>49.9</v>
      </c>
      <c r="AS383" s="18">
        <v>2</v>
      </c>
      <c r="AT383" s="18">
        <v>0</v>
      </c>
      <c r="AU383" s="18">
        <v>0</v>
      </c>
      <c r="AV383" s="18">
        <v>0</v>
      </c>
      <c r="AW383" s="18">
        <v>0</v>
      </c>
      <c r="AX383" s="18">
        <v>0</v>
      </c>
      <c r="AY383" s="18">
        <v>242</v>
      </c>
      <c r="AZ383" s="18">
        <v>92</v>
      </c>
      <c r="BA383" s="18">
        <v>64</v>
      </c>
      <c r="BB383" s="18">
        <v>0.69565</v>
      </c>
      <c r="BC383" s="18">
        <v>0</v>
      </c>
      <c r="BD383" s="18">
        <v>0</v>
      </c>
      <c r="BE383" s="18">
        <v>0.30946</v>
      </c>
      <c r="BF383" s="18">
        <v>130</v>
      </c>
      <c r="BG383" s="18">
        <v>3</v>
      </c>
      <c r="BH383" s="18">
        <v>0</v>
      </c>
      <c r="BI383" s="18"/>
      <c r="BJ383" s="18">
        <v>0</v>
      </c>
      <c r="BK383" s="18">
        <v>0</v>
      </c>
      <c r="BL383" s="18">
        <v>0</v>
      </c>
      <c r="BM383" s="18">
        <v>0</v>
      </c>
      <c r="BN383" s="18"/>
      <c r="BO383" s="18"/>
      <c r="BP383" s="18">
        <v>0</v>
      </c>
      <c r="BQ383" s="18">
        <v>157</v>
      </c>
      <c r="BR383" s="18">
        <v>0</v>
      </c>
      <c r="BS383" s="18">
        <v>0</v>
      </c>
      <c r="BT383" s="18">
        <v>0</v>
      </c>
      <c r="BU383" s="18">
        <v>0</v>
      </c>
    </row>
    <row r="384" spans="1:73">
      <c r="A384" s="19">
        <v>46192</v>
      </c>
      <c r="B384" s="18">
        <v>371</v>
      </c>
      <c r="C384" s="18" t="s">
        <v>32</v>
      </c>
      <c r="D384" s="18">
        <v>371</v>
      </c>
      <c r="E384" s="18" t="s">
        <v>32</v>
      </c>
      <c r="F384" s="18">
        <v>2976</v>
      </c>
      <c r="G384" s="18">
        <v>147</v>
      </c>
      <c r="H384" s="18">
        <v>104.41</v>
      </c>
      <c r="I384" s="18">
        <v>0.0494</v>
      </c>
      <c r="J384" s="18">
        <v>0.71</v>
      </c>
      <c r="K384" s="18">
        <v>35.08</v>
      </c>
      <c r="L384" s="18">
        <v>0</v>
      </c>
      <c r="M384" s="18">
        <v>0</v>
      </c>
      <c r="N384" s="18">
        <v>0</v>
      </c>
      <c r="O384" s="18">
        <v>0</v>
      </c>
      <c r="P384" s="18">
        <v>0</v>
      </c>
      <c r="Q384" s="18">
        <v>0</v>
      </c>
      <c r="R384" s="18">
        <v>0</v>
      </c>
      <c r="S384" s="18">
        <v>0</v>
      </c>
      <c r="T384" s="18">
        <v>0</v>
      </c>
      <c r="U384" s="18">
        <v>0</v>
      </c>
      <c r="V384" s="18">
        <v>0</v>
      </c>
      <c r="W384" s="18">
        <v>0</v>
      </c>
      <c r="X384" s="18">
        <v>0</v>
      </c>
      <c r="Y384" s="18">
        <v>0</v>
      </c>
      <c r="Z384" s="18">
        <v>0</v>
      </c>
      <c r="AA384" s="18"/>
      <c r="AB384" s="18">
        <v>7</v>
      </c>
      <c r="AC384" s="18">
        <v>3</v>
      </c>
      <c r="AD384" s="18">
        <v>4</v>
      </c>
      <c r="AE384" s="18">
        <v>0.04762</v>
      </c>
      <c r="AF384" s="18">
        <v>1</v>
      </c>
      <c r="AG384" s="18">
        <v>3</v>
      </c>
      <c r="AH384" s="18">
        <v>34.8</v>
      </c>
      <c r="AI384" s="18">
        <v>11</v>
      </c>
      <c r="AJ384" s="18">
        <v>9.49</v>
      </c>
      <c r="AK384" s="18">
        <v>8</v>
      </c>
      <c r="AL384" s="18">
        <v>13.05</v>
      </c>
      <c r="AM384" s="18">
        <v>4</v>
      </c>
      <c r="AN384" s="18">
        <v>104.41</v>
      </c>
      <c r="AO384" s="18">
        <v>0.0068</v>
      </c>
      <c r="AP384" s="18">
        <v>14.92</v>
      </c>
      <c r="AQ384" s="18">
        <v>0</v>
      </c>
      <c r="AR384" s="18">
        <v>0</v>
      </c>
      <c r="AS384" s="18">
        <v>1</v>
      </c>
      <c r="AT384" s="18">
        <v>0</v>
      </c>
      <c r="AU384" s="18">
        <v>0</v>
      </c>
      <c r="AV384" s="18">
        <v>0</v>
      </c>
      <c r="AW384" s="18">
        <v>0</v>
      </c>
      <c r="AX384" s="18">
        <v>1</v>
      </c>
      <c r="AY384" s="18">
        <v>262</v>
      </c>
      <c r="AZ384" s="18">
        <v>98</v>
      </c>
      <c r="BA384" s="18">
        <v>83</v>
      </c>
      <c r="BB384" s="18">
        <v>0.84694</v>
      </c>
      <c r="BC384" s="18">
        <v>0</v>
      </c>
      <c r="BD384" s="18">
        <v>0</v>
      </c>
      <c r="BE384" s="18">
        <v>0.08804</v>
      </c>
      <c r="BF384" s="18">
        <v>103</v>
      </c>
      <c r="BG384" s="18">
        <v>3</v>
      </c>
      <c r="BH384" s="18">
        <v>0</v>
      </c>
      <c r="BI384" s="18"/>
      <c r="BJ384" s="18">
        <v>0</v>
      </c>
      <c r="BK384" s="18">
        <v>0</v>
      </c>
      <c r="BL384" s="18">
        <v>0</v>
      </c>
      <c r="BM384" s="18">
        <v>0</v>
      </c>
      <c r="BN384" s="18"/>
      <c r="BO384" s="18"/>
      <c r="BP384" s="18">
        <v>3.12</v>
      </c>
      <c r="BQ384" s="18">
        <v>147</v>
      </c>
      <c r="BR384" s="18">
        <v>0</v>
      </c>
      <c r="BS384" s="18">
        <v>0</v>
      </c>
      <c r="BT384" s="18">
        <v>0</v>
      </c>
      <c r="BU384" s="18">
        <v>0</v>
      </c>
    </row>
    <row r="385" spans="1:73">
      <c r="A385" s="19">
        <v>46191</v>
      </c>
      <c r="B385" s="18">
        <v>183</v>
      </c>
      <c r="C385" s="18" t="s">
        <v>40</v>
      </c>
      <c r="D385" s="18">
        <v>183</v>
      </c>
      <c r="E385" s="18" t="s">
        <v>40</v>
      </c>
      <c r="F385" s="18">
        <v>1174</v>
      </c>
      <c r="G385" s="18">
        <v>40</v>
      </c>
      <c r="H385" s="18">
        <v>150</v>
      </c>
      <c r="I385" s="18">
        <v>0.03407</v>
      </c>
      <c r="J385" s="18">
        <v>3.75</v>
      </c>
      <c r="K385" s="18">
        <v>127.77</v>
      </c>
      <c r="L385" s="18">
        <v>0</v>
      </c>
      <c r="M385" s="18">
        <v>0</v>
      </c>
      <c r="N385" s="18">
        <v>0</v>
      </c>
      <c r="O385" s="18">
        <v>0</v>
      </c>
      <c r="P385" s="18">
        <v>0</v>
      </c>
      <c r="Q385" s="18">
        <v>0</v>
      </c>
      <c r="R385" s="18">
        <v>0</v>
      </c>
      <c r="S385" s="18">
        <v>138.64</v>
      </c>
      <c r="T385" s="18">
        <v>138.64</v>
      </c>
      <c r="U385" s="18">
        <v>1</v>
      </c>
      <c r="V385" s="18">
        <v>0</v>
      </c>
      <c r="W385" s="18">
        <v>1</v>
      </c>
      <c r="X385" s="18">
        <v>0.025</v>
      </c>
      <c r="Y385" s="18">
        <v>0.92</v>
      </c>
      <c r="Z385" s="18">
        <v>0.92</v>
      </c>
      <c r="AA385" s="18">
        <v>150</v>
      </c>
      <c r="AB385" s="18">
        <v>6</v>
      </c>
      <c r="AC385" s="18">
        <v>3</v>
      </c>
      <c r="AD385" s="18">
        <v>3</v>
      </c>
      <c r="AE385" s="18">
        <v>0.15</v>
      </c>
      <c r="AF385" s="18">
        <v>1</v>
      </c>
      <c r="AG385" s="18">
        <v>0</v>
      </c>
      <c r="AH385" s="18"/>
      <c r="AI385" s="18">
        <v>7</v>
      </c>
      <c r="AJ385" s="18">
        <v>21.43</v>
      </c>
      <c r="AK385" s="18">
        <v>7</v>
      </c>
      <c r="AL385" s="18">
        <v>21.43</v>
      </c>
      <c r="AM385" s="18">
        <v>1</v>
      </c>
      <c r="AN385" s="18">
        <v>150</v>
      </c>
      <c r="AO385" s="18">
        <v>0.025</v>
      </c>
      <c r="AP385" s="18">
        <v>25</v>
      </c>
      <c r="AQ385" s="18">
        <v>2</v>
      </c>
      <c r="AR385" s="18">
        <v>217.9</v>
      </c>
      <c r="AS385" s="18">
        <v>1</v>
      </c>
      <c r="AT385" s="18">
        <v>0</v>
      </c>
      <c r="AU385" s="18">
        <v>0</v>
      </c>
      <c r="AV385" s="18">
        <v>0</v>
      </c>
      <c r="AW385" s="18">
        <v>0</v>
      </c>
      <c r="AX385" s="18">
        <v>0</v>
      </c>
      <c r="AY385" s="18">
        <v>242</v>
      </c>
      <c r="AZ385" s="18">
        <v>100</v>
      </c>
      <c r="BA385" s="18">
        <v>79</v>
      </c>
      <c r="BB385" s="18">
        <v>0.79</v>
      </c>
      <c r="BC385" s="18">
        <v>0</v>
      </c>
      <c r="BD385" s="18">
        <v>0</v>
      </c>
      <c r="BE385" s="18">
        <v>0.20613</v>
      </c>
      <c r="BF385" s="18">
        <v>115</v>
      </c>
      <c r="BG385" s="18">
        <v>2</v>
      </c>
      <c r="BH385" s="18">
        <v>1</v>
      </c>
      <c r="BI385" s="18">
        <v>1</v>
      </c>
      <c r="BJ385" s="18">
        <v>0</v>
      </c>
      <c r="BK385" s="18">
        <v>0</v>
      </c>
      <c r="BL385" s="18">
        <v>0</v>
      </c>
      <c r="BM385" s="18">
        <v>1</v>
      </c>
      <c r="BN385" s="18">
        <v>1</v>
      </c>
      <c r="BO385" s="18">
        <v>138.64</v>
      </c>
      <c r="BP385" s="18">
        <v>0</v>
      </c>
      <c r="BQ385" s="18">
        <v>586</v>
      </c>
      <c r="BR385" s="18">
        <v>0</v>
      </c>
      <c r="BS385" s="18">
        <v>0</v>
      </c>
      <c r="BT385" s="18">
        <v>0</v>
      </c>
      <c r="BU385" s="18">
        <v>0</v>
      </c>
    </row>
    <row r="386" spans="1:73">
      <c r="A386" s="19">
        <v>46191</v>
      </c>
      <c r="B386" s="18">
        <v>436</v>
      </c>
      <c r="C386" s="18" t="s">
        <v>38</v>
      </c>
      <c r="D386" s="18">
        <v>436</v>
      </c>
      <c r="E386" s="18" t="s">
        <v>38</v>
      </c>
      <c r="F386" s="18">
        <v>663</v>
      </c>
      <c r="G386" s="18">
        <v>36</v>
      </c>
      <c r="H386" s="18">
        <v>47.61</v>
      </c>
      <c r="I386" s="18">
        <v>0.0543</v>
      </c>
      <c r="J386" s="18">
        <v>1.32</v>
      </c>
      <c r="K386" s="18">
        <v>71.81</v>
      </c>
      <c r="L386" s="18">
        <v>0</v>
      </c>
      <c r="M386" s="18">
        <v>0</v>
      </c>
      <c r="N386" s="18">
        <v>0</v>
      </c>
      <c r="O386" s="18">
        <v>0</v>
      </c>
      <c r="P386" s="18">
        <v>0</v>
      </c>
      <c r="Q386" s="18">
        <v>0</v>
      </c>
      <c r="R386" s="18">
        <v>138.64</v>
      </c>
      <c r="S386" s="18">
        <v>0</v>
      </c>
      <c r="T386" s="18">
        <v>138.64</v>
      </c>
      <c r="U386" s="18">
        <v>1</v>
      </c>
      <c r="V386" s="18">
        <v>1</v>
      </c>
      <c r="W386" s="18">
        <v>0</v>
      </c>
      <c r="X386" s="18">
        <v>0.02778</v>
      </c>
      <c r="Y386" s="18">
        <v>2.91</v>
      </c>
      <c r="Z386" s="18">
        <v>2.91</v>
      </c>
      <c r="AA386" s="18">
        <v>47.61</v>
      </c>
      <c r="AB386" s="18">
        <v>3</v>
      </c>
      <c r="AC386" s="18">
        <v>2</v>
      </c>
      <c r="AD386" s="18">
        <v>1</v>
      </c>
      <c r="AE386" s="18">
        <v>0.08333</v>
      </c>
      <c r="AF386" s="18">
        <v>0</v>
      </c>
      <c r="AG386" s="18">
        <v>2</v>
      </c>
      <c r="AH386" s="18">
        <v>23.81</v>
      </c>
      <c r="AI386" s="18">
        <v>5</v>
      </c>
      <c r="AJ386" s="18">
        <v>9.52</v>
      </c>
      <c r="AK386" s="18">
        <v>3</v>
      </c>
      <c r="AL386" s="18">
        <v>15.87</v>
      </c>
      <c r="AM386" s="18">
        <v>2</v>
      </c>
      <c r="AN386" s="18"/>
      <c r="AO386" s="18">
        <v>0</v>
      </c>
      <c r="AP386" s="18">
        <v>15.87</v>
      </c>
      <c r="AQ386" s="18">
        <v>2</v>
      </c>
      <c r="AR386" s="18">
        <v>217.9</v>
      </c>
      <c r="AS386" s="18">
        <v>0</v>
      </c>
      <c r="AT386" s="18">
        <v>0</v>
      </c>
      <c r="AU386" s="18">
        <v>0</v>
      </c>
      <c r="AV386" s="18">
        <v>0</v>
      </c>
      <c r="AW386" s="18">
        <v>0</v>
      </c>
      <c r="AX386" s="18">
        <v>0</v>
      </c>
      <c r="AY386" s="18">
        <v>117</v>
      </c>
      <c r="AZ386" s="18">
        <v>23</v>
      </c>
      <c r="BA386" s="18">
        <v>16</v>
      </c>
      <c r="BB386" s="18">
        <v>0.69565</v>
      </c>
      <c r="BC386" s="18">
        <v>0</v>
      </c>
      <c r="BD386" s="18">
        <v>0</v>
      </c>
      <c r="BE386" s="18">
        <v>0.17647</v>
      </c>
      <c r="BF386" s="18">
        <v>83</v>
      </c>
      <c r="BG386" s="18">
        <v>5</v>
      </c>
      <c r="BH386" s="18">
        <v>1</v>
      </c>
      <c r="BI386" s="18">
        <v>1</v>
      </c>
      <c r="BJ386" s="18">
        <v>0</v>
      </c>
      <c r="BK386" s="18">
        <v>0</v>
      </c>
      <c r="BL386" s="18">
        <v>0</v>
      </c>
      <c r="BM386" s="18">
        <v>1</v>
      </c>
      <c r="BN386" s="18">
        <v>1</v>
      </c>
      <c r="BO386" s="18">
        <v>138.64</v>
      </c>
      <c r="BP386" s="18">
        <v>0</v>
      </c>
      <c r="BQ386" s="18">
        <v>154</v>
      </c>
      <c r="BR386" s="18">
        <v>0</v>
      </c>
      <c r="BS386" s="18">
        <v>0</v>
      </c>
      <c r="BT386" s="18">
        <v>0</v>
      </c>
      <c r="BU386" s="18">
        <v>0</v>
      </c>
    </row>
    <row r="387" spans="1:73">
      <c r="A387" s="19">
        <v>46191</v>
      </c>
      <c r="B387" s="18">
        <v>372</v>
      </c>
      <c r="C387" s="18" t="s">
        <v>37</v>
      </c>
      <c r="D387" s="18">
        <v>372</v>
      </c>
      <c r="E387" s="18" t="s">
        <v>61</v>
      </c>
      <c r="F387" s="18">
        <v>916</v>
      </c>
      <c r="G387" s="18">
        <v>73</v>
      </c>
      <c r="H387" s="18">
        <v>39.73</v>
      </c>
      <c r="I387" s="18">
        <v>0.07969</v>
      </c>
      <c r="J387" s="18">
        <v>0.54</v>
      </c>
      <c r="K387" s="18">
        <v>43.37</v>
      </c>
      <c r="L387" s="18">
        <v>0</v>
      </c>
      <c r="M387" s="18">
        <v>0</v>
      </c>
      <c r="N387" s="18">
        <v>0</v>
      </c>
      <c r="O387" s="18">
        <v>0</v>
      </c>
      <c r="P387" s="18">
        <v>0</v>
      </c>
      <c r="Q387" s="18">
        <v>0</v>
      </c>
      <c r="R387" s="18">
        <v>0</v>
      </c>
      <c r="S387" s="18">
        <v>0</v>
      </c>
      <c r="T387" s="18">
        <v>0</v>
      </c>
      <c r="U387" s="18">
        <v>0</v>
      </c>
      <c r="V387" s="18">
        <v>0</v>
      </c>
      <c r="W387" s="18">
        <v>0</v>
      </c>
      <c r="X387" s="18">
        <v>0</v>
      </c>
      <c r="Y387" s="18">
        <v>0</v>
      </c>
      <c r="Z387" s="18">
        <v>0</v>
      </c>
      <c r="AA387" s="18"/>
      <c r="AB387" s="18">
        <v>5</v>
      </c>
      <c r="AC387" s="18">
        <v>3</v>
      </c>
      <c r="AD387" s="18">
        <v>2</v>
      </c>
      <c r="AE387" s="18">
        <v>0.06849</v>
      </c>
      <c r="AF387" s="18">
        <v>1</v>
      </c>
      <c r="AG387" s="18">
        <v>0</v>
      </c>
      <c r="AH387" s="18"/>
      <c r="AI387" s="18">
        <v>6</v>
      </c>
      <c r="AJ387" s="18">
        <v>6.62</v>
      </c>
      <c r="AK387" s="18">
        <v>6</v>
      </c>
      <c r="AL387" s="18">
        <v>6.62</v>
      </c>
      <c r="AM387" s="18">
        <v>1</v>
      </c>
      <c r="AN387" s="18">
        <v>39.73</v>
      </c>
      <c r="AO387" s="18">
        <v>0.0137</v>
      </c>
      <c r="AP387" s="18">
        <v>7.95</v>
      </c>
      <c r="AQ387" s="18">
        <v>0</v>
      </c>
      <c r="AR387" s="18">
        <v>0</v>
      </c>
      <c r="AS387" s="18">
        <v>1</v>
      </c>
      <c r="AT387" s="18">
        <v>0</v>
      </c>
      <c r="AU387" s="18">
        <v>0</v>
      </c>
      <c r="AV387" s="18">
        <v>0</v>
      </c>
      <c r="AW387" s="18">
        <v>0</v>
      </c>
      <c r="AX387" s="18">
        <v>0</v>
      </c>
      <c r="AY387" s="18">
        <v>176</v>
      </c>
      <c r="AZ387" s="18">
        <v>74</v>
      </c>
      <c r="BA387" s="18">
        <v>42</v>
      </c>
      <c r="BB387" s="18">
        <v>0.56757</v>
      </c>
      <c r="BC387" s="18">
        <v>0</v>
      </c>
      <c r="BD387" s="18">
        <v>0</v>
      </c>
      <c r="BE387" s="18">
        <v>0.19214</v>
      </c>
      <c r="BF387" s="18">
        <v>74</v>
      </c>
      <c r="BG387" s="18">
        <v>2</v>
      </c>
      <c r="BH387" s="18">
        <v>0</v>
      </c>
      <c r="BI387" s="18"/>
      <c r="BJ387" s="18">
        <v>0</v>
      </c>
      <c r="BK387" s="18">
        <v>0</v>
      </c>
      <c r="BL387" s="18">
        <v>0</v>
      </c>
      <c r="BM387" s="18">
        <v>0</v>
      </c>
      <c r="BN387" s="18"/>
      <c r="BO387" s="18"/>
      <c r="BP387" s="18">
        <v>0</v>
      </c>
      <c r="BQ387" s="18">
        <v>84</v>
      </c>
      <c r="BR387" s="18">
        <v>0</v>
      </c>
      <c r="BS387" s="18">
        <v>0</v>
      </c>
      <c r="BT387" s="18">
        <v>0</v>
      </c>
      <c r="BU387" s="18">
        <v>0</v>
      </c>
    </row>
    <row r="388" spans="1:73">
      <c r="A388" s="19">
        <v>46191</v>
      </c>
      <c r="B388" s="18">
        <v>371</v>
      </c>
      <c r="C388" s="18" t="s">
        <v>32</v>
      </c>
      <c r="D388" s="18">
        <v>371</v>
      </c>
      <c r="E388" s="18" t="s">
        <v>32</v>
      </c>
      <c r="F388" s="18">
        <v>3899</v>
      </c>
      <c r="G388" s="18">
        <v>168</v>
      </c>
      <c r="H388" s="18">
        <v>128.56</v>
      </c>
      <c r="I388" s="18">
        <v>0.04309</v>
      </c>
      <c r="J388" s="18">
        <v>0.77</v>
      </c>
      <c r="K388" s="18">
        <v>32.97</v>
      </c>
      <c r="L388" s="18">
        <v>0</v>
      </c>
      <c r="M388" s="18">
        <v>0</v>
      </c>
      <c r="N388" s="18">
        <v>0</v>
      </c>
      <c r="O388" s="18">
        <v>0</v>
      </c>
      <c r="P388" s="18">
        <v>0</v>
      </c>
      <c r="Q388" s="18">
        <v>0</v>
      </c>
      <c r="R388" s="18">
        <v>74.92</v>
      </c>
      <c r="S388" s="18">
        <v>0</v>
      </c>
      <c r="T388" s="18">
        <v>74.92</v>
      </c>
      <c r="U388" s="18">
        <v>2</v>
      </c>
      <c r="V388" s="18">
        <v>2</v>
      </c>
      <c r="W388" s="18">
        <v>0</v>
      </c>
      <c r="X388" s="18">
        <v>0.0119</v>
      </c>
      <c r="Y388" s="18">
        <v>0.58</v>
      </c>
      <c r="Z388" s="18">
        <v>0.58</v>
      </c>
      <c r="AA388" s="18">
        <v>64.28</v>
      </c>
      <c r="AB388" s="18">
        <v>4</v>
      </c>
      <c r="AC388" s="18">
        <v>4</v>
      </c>
      <c r="AD388" s="18">
        <v>0</v>
      </c>
      <c r="AE388" s="18">
        <v>0.02381</v>
      </c>
      <c r="AF388" s="18">
        <v>1</v>
      </c>
      <c r="AG388" s="18">
        <v>1</v>
      </c>
      <c r="AH388" s="18">
        <v>128.56</v>
      </c>
      <c r="AI388" s="18">
        <v>6</v>
      </c>
      <c r="AJ388" s="18">
        <v>21.43</v>
      </c>
      <c r="AK388" s="18">
        <v>5</v>
      </c>
      <c r="AL388" s="18">
        <v>25.71</v>
      </c>
      <c r="AM388" s="18">
        <v>2</v>
      </c>
      <c r="AN388" s="18">
        <v>128.56</v>
      </c>
      <c r="AO388" s="18">
        <v>0.00595</v>
      </c>
      <c r="AP388" s="18">
        <v>32.14</v>
      </c>
      <c r="AQ388" s="18">
        <v>2</v>
      </c>
      <c r="AR388" s="18">
        <v>93.8</v>
      </c>
      <c r="AS388" s="18">
        <v>1</v>
      </c>
      <c r="AT388" s="18">
        <v>0</v>
      </c>
      <c r="AU388" s="18">
        <v>0</v>
      </c>
      <c r="AV388" s="18">
        <v>0</v>
      </c>
      <c r="AW388" s="18">
        <v>0</v>
      </c>
      <c r="AX388" s="18">
        <v>0</v>
      </c>
      <c r="AY388" s="18">
        <v>308</v>
      </c>
      <c r="AZ388" s="18">
        <v>118</v>
      </c>
      <c r="BA388" s="18">
        <v>99</v>
      </c>
      <c r="BB388" s="18">
        <v>0.83898</v>
      </c>
      <c r="BC388" s="18">
        <v>0</v>
      </c>
      <c r="BD388" s="18">
        <v>0</v>
      </c>
      <c r="BE388" s="18">
        <v>0.07899</v>
      </c>
      <c r="BF388" s="18">
        <v>85</v>
      </c>
      <c r="BG388" s="18">
        <v>3</v>
      </c>
      <c r="BH388" s="18">
        <v>0</v>
      </c>
      <c r="BI388" s="18">
        <v>0</v>
      </c>
      <c r="BJ388" s="18">
        <v>0</v>
      </c>
      <c r="BK388" s="18">
        <v>0</v>
      </c>
      <c r="BL388" s="18">
        <v>0</v>
      </c>
      <c r="BM388" s="18">
        <v>1</v>
      </c>
      <c r="BN388" s="18">
        <v>2</v>
      </c>
      <c r="BO388" s="18">
        <v>74.92</v>
      </c>
      <c r="BP388" s="18">
        <v>1.11</v>
      </c>
      <c r="BQ388" s="18">
        <v>331</v>
      </c>
      <c r="BR388" s="18">
        <v>2</v>
      </c>
      <c r="BS388" s="18">
        <v>74.92</v>
      </c>
      <c r="BT388" s="18">
        <v>1</v>
      </c>
      <c r="BU388" s="18">
        <v>1</v>
      </c>
    </row>
    <row r="389" spans="1:73">
      <c r="A389" s="19">
        <v>46191</v>
      </c>
      <c r="B389" s="18">
        <v>479</v>
      </c>
      <c r="C389" s="18" t="s">
        <v>39</v>
      </c>
      <c r="D389" s="18">
        <v>479</v>
      </c>
      <c r="E389" s="18" t="s">
        <v>39</v>
      </c>
      <c r="F389" s="18">
        <v>37</v>
      </c>
      <c r="G389" s="18">
        <v>14</v>
      </c>
      <c r="H389" s="18">
        <v>13.47</v>
      </c>
      <c r="I389" s="18">
        <v>0.37838</v>
      </c>
      <c r="J389" s="18">
        <v>0.96</v>
      </c>
      <c r="K389" s="18">
        <v>363.96</v>
      </c>
      <c r="L389" s="18">
        <v>0</v>
      </c>
      <c r="M389" s="18">
        <v>0</v>
      </c>
      <c r="N389" s="18">
        <v>0</v>
      </c>
      <c r="O389" s="18">
        <v>0</v>
      </c>
      <c r="P389" s="18">
        <v>0</v>
      </c>
      <c r="Q389" s="18">
        <v>0</v>
      </c>
      <c r="R389" s="18">
        <v>0</v>
      </c>
      <c r="S389" s="18">
        <v>0</v>
      </c>
      <c r="T389" s="18">
        <v>0</v>
      </c>
      <c r="U389" s="18">
        <v>0</v>
      </c>
      <c r="V389" s="18">
        <v>0</v>
      </c>
      <c r="W389" s="18">
        <v>0</v>
      </c>
      <c r="X389" s="18">
        <v>0</v>
      </c>
      <c r="Y389" s="18">
        <v>0</v>
      </c>
      <c r="Z389" s="18">
        <v>0</v>
      </c>
      <c r="AA389" s="18"/>
      <c r="AB389" s="18">
        <v>1</v>
      </c>
      <c r="AC389" s="18">
        <v>0</v>
      </c>
      <c r="AD389" s="18">
        <v>1</v>
      </c>
      <c r="AE389" s="18">
        <v>0.07143</v>
      </c>
      <c r="AF389" s="18">
        <v>0</v>
      </c>
      <c r="AG389" s="18">
        <v>0</v>
      </c>
      <c r="AH389" s="18"/>
      <c r="AI389" s="18">
        <v>1</v>
      </c>
      <c r="AJ389" s="18">
        <v>13.47</v>
      </c>
      <c r="AK389" s="18">
        <v>1</v>
      </c>
      <c r="AL389" s="18">
        <v>13.47</v>
      </c>
      <c r="AM389" s="18">
        <v>0</v>
      </c>
      <c r="AN389" s="18"/>
      <c r="AO389" s="18">
        <v>0</v>
      </c>
      <c r="AP389" s="18">
        <v>13.47</v>
      </c>
      <c r="AQ389" s="18">
        <v>0</v>
      </c>
      <c r="AR389" s="18">
        <v>0</v>
      </c>
      <c r="AS389" s="18">
        <v>0</v>
      </c>
      <c r="AT389" s="18">
        <v>0</v>
      </c>
      <c r="AU389" s="18">
        <v>0</v>
      </c>
      <c r="AV389" s="18">
        <v>0</v>
      </c>
      <c r="AW389" s="18">
        <v>0</v>
      </c>
      <c r="AX389" s="18">
        <v>0</v>
      </c>
      <c r="AY389" s="18">
        <v>108</v>
      </c>
      <c r="AZ389" s="18">
        <v>12</v>
      </c>
      <c r="BA389" s="18">
        <v>6</v>
      </c>
      <c r="BB389" s="18">
        <v>0.5</v>
      </c>
      <c r="BC389" s="18">
        <v>0</v>
      </c>
      <c r="BD389" s="18">
        <v>0</v>
      </c>
      <c r="BE389" s="18">
        <v>2.91892</v>
      </c>
      <c r="BF389" s="18">
        <v>94</v>
      </c>
      <c r="BG389" s="18">
        <v>9</v>
      </c>
      <c r="BH389" s="18">
        <v>0</v>
      </c>
      <c r="BI389" s="18"/>
      <c r="BJ389" s="18">
        <v>0</v>
      </c>
      <c r="BK389" s="18">
        <v>0</v>
      </c>
      <c r="BL389" s="18">
        <v>0</v>
      </c>
      <c r="BM389" s="18">
        <v>0</v>
      </c>
      <c r="BN389" s="18"/>
      <c r="BO389" s="18"/>
      <c r="BP389" s="18">
        <v>0</v>
      </c>
      <c r="BQ389" s="18">
        <v>10</v>
      </c>
      <c r="BR389" s="18">
        <v>0</v>
      </c>
      <c r="BS389" s="18">
        <v>0</v>
      </c>
      <c r="BT389" s="18">
        <v>0</v>
      </c>
      <c r="BU389" s="18">
        <v>0</v>
      </c>
    </row>
    <row r="390" spans="1:73">
      <c r="A390" s="19">
        <v>46190</v>
      </c>
      <c r="B390" s="18">
        <v>372</v>
      </c>
      <c r="C390" s="18" t="s">
        <v>37</v>
      </c>
      <c r="D390" s="18">
        <v>372</v>
      </c>
      <c r="E390" s="18" t="s">
        <v>61</v>
      </c>
      <c r="F390" s="18">
        <v>1404</v>
      </c>
      <c r="G390" s="18">
        <v>94</v>
      </c>
      <c r="H390" s="18">
        <v>45.69</v>
      </c>
      <c r="I390" s="18">
        <v>0.06695</v>
      </c>
      <c r="J390" s="18">
        <v>0.49</v>
      </c>
      <c r="K390" s="18">
        <v>32.54</v>
      </c>
      <c r="L390" s="18">
        <v>0</v>
      </c>
      <c r="M390" s="18">
        <v>0</v>
      </c>
      <c r="N390" s="18">
        <v>0</v>
      </c>
      <c r="O390" s="18">
        <v>0</v>
      </c>
      <c r="P390" s="18">
        <v>0</v>
      </c>
      <c r="Q390" s="18">
        <v>0</v>
      </c>
      <c r="R390" s="18">
        <v>0</v>
      </c>
      <c r="S390" s="18">
        <v>0</v>
      </c>
      <c r="T390" s="18">
        <v>0</v>
      </c>
      <c r="U390" s="18">
        <v>0</v>
      </c>
      <c r="V390" s="18">
        <v>0</v>
      </c>
      <c r="W390" s="18">
        <v>0</v>
      </c>
      <c r="X390" s="18">
        <v>0</v>
      </c>
      <c r="Y390" s="18">
        <v>0</v>
      </c>
      <c r="Z390" s="18">
        <v>0</v>
      </c>
      <c r="AA390" s="18"/>
      <c r="AB390" s="18">
        <v>1</v>
      </c>
      <c r="AC390" s="18">
        <v>1</v>
      </c>
      <c r="AD390" s="18">
        <v>0</v>
      </c>
      <c r="AE390" s="18">
        <v>0.01064</v>
      </c>
      <c r="AF390" s="18">
        <v>1</v>
      </c>
      <c r="AG390" s="18">
        <v>0</v>
      </c>
      <c r="AH390" s="18"/>
      <c r="AI390" s="18">
        <v>2</v>
      </c>
      <c r="AJ390" s="18">
        <v>22.85</v>
      </c>
      <c r="AK390" s="18">
        <v>2</v>
      </c>
      <c r="AL390" s="18">
        <v>22.85</v>
      </c>
      <c r="AM390" s="18">
        <v>1</v>
      </c>
      <c r="AN390" s="18">
        <v>45.69</v>
      </c>
      <c r="AO390" s="18">
        <v>0.01064</v>
      </c>
      <c r="AP390" s="18">
        <v>45.69</v>
      </c>
      <c r="AQ390" s="18">
        <v>0</v>
      </c>
      <c r="AR390" s="18">
        <v>0</v>
      </c>
      <c r="AS390" s="18">
        <v>1</v>
      </c>
      <c r="AT390" s="18">
        <v>0</v>
      </c>
      <c r="AU390" s="18">
        <v>0</v>
      </c>
      <c r="AV390" s="18">
        <v>0</v>
      </c>
      <c r="AW390" s="18">
        <v>0</v>
      </c>
      <c r="AX390" s="18">
        <v>0</v>
      </c>
      <c r="AY390" s="18">
        <v>161</v>
      </c>
      <c r="AZ390" s="18">
        <v>89</v>
      </c>
      <c r="BA390" s="18">
        <v>55</v>
      </c>
      <c r="BB390" s="18">
        <v>0.61798</v>
      </c>
      <c r="BC390" s="18">
        <v>0</v>
      </c>
      <c r="BD390" s="18">
        <v>0</v>
      </c>
      <c r="BE390" s="18">
        <v>0.11467</v>
      </c>
      <c r="BF390" s="18">
        <v>38</v>
      </c>
      <c r="BG390" s="18">
        <v>2</v>
      </c>
      <c r="BH390" s="18">
        <v>0</v>
      </c>
      <c r="BI390" s="18"/>
      <c r="BJ390" s="18">
        <v>0</v>
      </c>
      <c r="BK390" s="18">
        <v>0</v>
      </c>
      <c r="BL390" s="18">
        <v>0</v>
      </c>
      <c r="BM390" s="18">
        <v>0</v>
      </c>
      <c r="BN390" s="18"/>
      <c r="BO390" s="18"/>
      <c r="BP390" s="18">
        <v>0</v>
      </c>
      <c r="BQ390" s="18">
        <v>76</v>
      </c>
      <c r="BR390" s="18">
        <v>0</v>
      </c>
      <c r="BS390" s="18">
        <v>0</v>
      </c>
      <c r="BT390" s="18">
        <v>0</v>
      </c>
      <c r="BU390" s="18">
        <v>0</v>
      </c>
    </row>
    <row r="391" spans="1:73">
      <c r="A391" s="19">
        <v>46190</v>
      </c>
      <c r="B391" s="18">
        <v>183</v>
      </c>
      <c r="C391" s="18" t="s">
        <v>40</v>
      </c>
      <c r="D391" s="18">
        <v>183</v>
      </c>
      <c r="E391" s="18" t="s">
        <v>40</v>
      </c>
      <c r="F391" s="18">
        <v>1398</v>
      </c>
      <c r="G391" s="18">
        <v>63</v>
      </c>
      <c r="H391" s="18">
        <v>192.3</v>
      </c>
      <c r="I391" s="18">
        <v>0.04506</v>
      </c>
      <c r="J391" s="18">
        <v>3.05</v>
      </c>
      <c r="K391" s="18">
        <v>137.55</v>
      </c>
      <c r="L391" s="18">
        <v>0</v>
      </c>
      <c r="M391" s="18">
        <v>0</v>
      </c>
      <c r="N391" s="18">
        <v>0</v>
      </c>
      <c r="O391" s="18">
        <v>0</v>
      </c>
      <c r="P391" s="18">
        <v>0</v>
      </c>
      <c r="Q391" s="18">
        <v>0</v>
      </c>
      <c r="R391" s="18">
        <v>278.45</v>
      </c>
      <c r="S391" s="18">
        <v>0</v>
      </c>
      <c r="T391" s="18">
        <v>278.45</v>
      </c>
      <c r="U391" s="18">
        <v>4</v>
      </c>
      <c r="V391" s="18">
        <v>4</v>
      </c>
      <c r="W391" s="18">
        <v>0</v>
      </c>
      <c r="X391" s="18">
        <v>0.06349</v>
      </c>
      <c r="Y391" s="18">
        <v>1.45</v>
      </c>
      <c r="Z391" s="18">
        <v>1.45</v>
      </c>
      <c r="AA391" s="18">
        <v>48.08</v>
      </c>
      <c r="AB391" s="18">
        <v>17</v>
      </c>
      <c r="AC391" s="18">
        <v>14</v>
      </c>
      <c r="AD391" s="18">
        <v>3</v>
      </c>
      <c r="AE391" s="18">
        <v>0.26984</v>
      </c>
      <c r="AF391" s="18">
        <v>3</v>
      </c>
      <c r="AG391" s="18">
        <v>1</v>
      </c>
      <c r="AH391" s="18">
        <v>192.3</v>
      </c>
      <c r="AI391" s="18">
        <v>21</v>
      </c>
      <c r="AJ391" s="18">
        <v>9.16</v>
      </c>
      <c r="AK391" s="18">
        <v>20</v>
      </c>
      <c r="AL391" s="18">
        <v>9.62</v>
      </c>
      <c r="AM391" s="18">
        <v>4</v>
      </c>
      <c r="AN391" s="18">
        <v>64.1</v>
      </c>
      <c r="AO391" s="18">
        <v>0.04762</v>
      </c>
      <c r="AP391" s="18">
        <v>11.31</v>
      </c>
      <c r="AQ391" s="18">
        <v>5</v>
      </c>
      <c r="AR391" s="18">
        <v>386.6</v>
      </c>
      <c r="AS391" s="18">
        <v>3</v>
      </c>
      <c r="AT391" s="18">
        <v>0</v>
      </c>
      <c r="AU391" s="18">
        <v>0</v>
      </c>
      <c r="AV391" s="18">
        <v>0</v>
      </c>
      <c r="AW391" s="18">
        <v>0</v>
      </c>
      <c r="AX391" s="18">
        <v>2</v>
      </c>
      <c r="AY391" s="18">
        <v>352</v>
      </c>
      <c r="AZ391" s="18">
        <v>111</v>
      </c>
      <c r="BA391" s="18">
        <v>74</v>
      </c>
      <c r="BB391" s="18">
        <v>0.66667</v>
      </c>
      <c r="BC391" s="18">
        <v>0</v>
      </c>
      <c r="BD391" s="18">
        <v>0</v>
      </c>
      <c r="BE391" s="18">
        <v>0.25179</v>
      </c>
      <c r="BF391" s="18">
        <v>179</v>
      </c>
      <c r="BG391" s="18">
        <v>3</v>
      </c>
      <c r="BH391" s="18">
        <v>3</v>
      </c>
      <c r="BI391" s="18">
        <v>1</v>
      </c>
      <c r="BJ391" s="18">
        <v>0</v>
      </c>
      <c r="BK391" s="18">
        <v>0</v>
      </c>
      <c r="BL391" s="18">
        <v>0</v>
      </c>
      <c r="BM391" s="18">
        <v>3</v>
      </c>
      <c r="BN391" s="18">
        <v>1</v>
      </c>
      <c r="BO391" s="18">
        <v>92.82</v>
      </c>
      <c r="BP391" s="18">
        <v>0</v>
      </c>
      <c r="BQ391" s="18">
        <v>484</v>
      </c>
      <c r="BR391" s="18">
        <v>0</v>
      </c>
      <c r="BS391" s="18">
        <v>0</v>
      </c>
      <c r="BT391" s="18">
        <v>0</v>
      </c>
      <c r="BU391" s="18">
        <v>0</v>
      </c>
    </row>
    <row r="392" spans="1:73">
      <c r="A392" s="19">
        <v>46190</v>
      </c>
      <c r="B392" s="18">
        <v>479</v>
      </c>
      <c r="C392" s="18" t="s">
        <v>39</v>
      </c>
      <c r="D392" s="18">
        <v>479</v>
      </c>
      <c r="E392" s="18" t="s">
        <v>39</v>
      </c>
      <c r="F392" s="18">
        <v>29</v>
      </c>
      <c r="G392" s="18">
        <v>16</v>
      </c>
      <c r="H392" s="18">
        <v>10.28</v>
      </c>
      <c r="I392" s="18">
        <v>0.55172</v>
      </c>
      <c r="J392" s="18">
        <v>0.64</v>
      </c>
      <c r="K392" s="18">
        <v>354.43</v>
      </c>
      <c r="L392" s="18">
        <v>0</v>
      </c>
      <c r="M392" s="18">
        <v>0</v>
      </c>
      <c r="N392" s="18">
        <v>0</v>
      </c>
      <c r="O392" s="18">
        <v>0</v>
      </c>
      <c r="P392" s="18">
        <v>0</v>
      </c>
      <c r="Q392" s="18">
        <v>0</v>
      </c>
      <c r="R392" s="18">
        <v>0</v>
      </c>
      <c r="S392" s="18">
        <v>0</v>
      </c>
      <c r="T392" s="18">
        <v>0</v>
      </c>
      <c r="U392" s="18">
        <v>0</v>
      </c>
      <c r="V392" s="18">
        <v>0</v>
      </c>
      <c r="W392" s="18">
        <v>0</v>
      </c>
      <c r="X392" s="18">
        <v>0</v>
      </c>
      <c r="Y392" s="18">
        <v>0</v>
      </c>
      <c r="Z392" s="18">
        <v>0</v>
      </c>
      <c r="AA392" s="18"/>
      <c r="AB392" s="18">
        <v>2</v>
      </c>
      <c r="AC392" s="18">
        <v>0</v>
      </c>
      <c r="AD392" s="18">
        <v>2</v>
      </c>
      <c r="AE392" s="18">
        <v>0.125</v>
      </c>
      <c r="AF392" s="18">
        <v>0</v>
      </c>
      <c r="AG392" s="18">
        <v>0</v>
      </c>
      <c r="AH392" s="18"/>
      <c r="AI392" s="18">
        <v>2</v>
      </c>
      <c r="AJ392" s="18">
        <v>5.14</v>
      </c>
      <c r="AK392" s="18">
        <v>2</v>
      </c>
      <c r="AL392" s="18">
        <v>5.14</v>
      </c>
      <c r="AM392" s="18">
        <v>0</v>
      </c>
      <c r="AN392" s="18"/>
      <c r="AO392" s="18">
        <v>0</v>
      </c>
      <c r="AP392" s="18">
        <v>5.14</v>
      </c>
      <c r="AQ392" s="18">
        <v>0</v>
      </c>
      <c r="AR392" s="18">
        <v>0</v>
      </c>
      <c r="AS392" s="18">
        <v>0</v>
      </c>
      <c r="AT392" s="18">
        <v>0</v>
      </c>
      <c r="AU392" s="18">
        <v>0</v>
      </c>
      <c r="AV392" s="18">
        <v>0</v>
      </c>
      <c r="AW392" s="18">
        <v>0</v>
      </c>
      <c r="AX392" s="18">
        <v>0</v>
      </c>
      <c r="AY392" s="18">
        <v>125</v>
      </c>
      <c r="AZ392" s="18">
        <v>14</v>
      </c>
      <c r="BA392" s="18">
        <v>7</v>
      </c>
      <c r="BB392" s="18">
        <v>0.5</v>
      </c>
      <c r="BC392" s="18">
        <v>0</v>
      </c>
      <c r="BD392" s="18">
        <v>0</v>
      </c>
      <c r="BE392" s="18">
        <v>4.31034</v>
      </c>
      <c r="BF392" s="18">
        <v>107</v>
      </c>
      <c r="BG392" s="18">
        <v>9</v>
      </c>
      <c r="BH392" s="18">
        <v>0</v>
      </c>
      <c r="BI392" s="18"/>
      <c r="BJ392" s="18">
        <v>0</v>
      </c>
      <c r="BK392" s="18">
        <v>0</v>
      </c>
      <c r="BL392" s="18">
        <v>0</v>
      </c>
      <c r="BM392" s="18">
        <v>0</v>
      </c>
      <c r="BN392" s="18"/>
      <c r="BO392" s="18"/>
      <c r="BP392" s="18">
        <v>0</v>
      </c>
      <c r="BQ392" s="18">
        <v>11</v>
      </c>
      <c r="BR392" s="18">
        <v>0</v>
      </c>
      <c r="BS392" s="18">
        <v>0</v>
      </c>
      <c r="BT392" s="18">
        <v>0</v>
      </c>
      <c r="BU392" s="18">
        <v>0</v>
      </c>
    </row>
    <row r="393" spans="1:73">
      <c r="A393" s="19">
        <v>46190</v>
      </c>
      <c r="B393" s="18">
        <v>436</v>
      </c>
      <c r="C393" s="18" t="s">
        <v>38</v>
      </c>
      <c r="D393" s="18">
        <v>436</v>
      </c>
      <c r="E393" s="18" t="s">
        <v>38</v>
      </c>
      <c r="F393" s="18">
        <v>522</v>
      </c>
      <c r="G393" s="18">
        <v>16</v>
      </c>
      <c r="H393" s="18">
        <v>31.78</v>
      </c>
      <c r="I393" s="18">
        <v>0.03065</v>
      </c>
      <c r="J393" s="18">
        <v>1.99</v>
      </c>
      <c r="K393" s="18">
        <v>60.88</v>
      </c>
      <c r="L393" s="18">
        <v>0</v>
      </c>
      <c r="M393" s="18">
        <v>0</v>
      </c>
      <c r="N393" s="18">
        <v>0</v>
      </c>
      <c r="O393" s="18">
        <v>0</v>
      </c>
      <c r="P393" s="18">
        <v>0</v>
      </c>
      <c r="Q393" s="18">
        <v>0</v>
      </c>
      <c r="R393" s="18">
        <v>0</v>
      </c>
      <c r="S393" s="18">
        <v>0</v>
      </c>
      <c r="T393" s="18">
        <v>0</v>
      </c>
      <c r="U393" s="18">
        <v>0</v>
      </c>
      <c r="V393" s="18">
        <v>0</v>
      </c>
      <c r="W393" s="18">
        <v>0</v>
      </c>
      <c r="X393" s="18">
        <v>0</v>
      </c>
      <c r="Y393" s="18">
        <v>0</v>
      </c>
      <c r="Z393" s="18">
        <v>0</v>
      </c>
      <c r="AA393" s="18"/>
      <c r="AB393" s="18">
        <v>3</v>
      </c>
      <c r="AC393" s="18">
        <v>0</v>
      </c>
      <c r="AD393" s="18">
        <v>3</v>
      </c>
      <c r="AE393" s="18">
        <v>0.1875</v>
      </c>
      <c r="AF393" s="18">
        <v>1</v>
      </c>
      <c r="AG393" s="18">
        <v>1</v>
      </c>
      <c r="AH393" s="18">
        <v>31.78</v>
      </c>
      <c r="AI393" s="18">
        <v>5</v>
      </c>
      <c r="AJ393" s="18">
        <v>6.36</v>
      </c>
      <c r="AK393" s="18">
        <v>4</v>
      </c>
      <c r="AL393" s="18">
        <v>7.95</v>
      </c>
      <c r="AM393" s="18">
        <v>2</v>
      </c>
      <c r="AN393" s="18">
        <v>31.78</v>
      </c>
      <c r="AO393" s="18">
        <v>0.0625</v>
      </c>
      <c r="AP393" s="18">
        <v>10.59</v>
      </c>
      <c r="AQ393" s="18">
        <v>2</v>
      </c>
      <c r="AR393" s="18">
        <v>3898</v>
      </c>
      <c r="AS393" s="18">
        <v>0</v>
      </c>
      <c r="AT393" s="18">
        <v>1</v>
      </c>
      <c r="AU393" s="18">
        <v>0</v>
      </c>
      <c r="AV393" s="18">
        <v>0</v>
      </c>
      <c r="AW393" s="18">
        <v>0</v>
      </c>
      <c r="AX393" s="18">
        <v>1</v>
      </c>
      <c r="AY393" s="18">
        <v>56</v>
      </c>
      <c r="AZ393" s="18">
        <v>14</v>
      </c>
      <c r="BA393" s="18">
        <v>9</v>
      </c>
      <c r="BB393" s="18">
        <v>0.64286</v>
      </c>
      <c r="BC393" s="18">
        <v>0</v>
      </c>
      <c r="BD393" s="18">
        <v>0</v>
      </c>
      <c r="BE393" s="18">
        <v>0.10728</v>
      </c>
      <c r="BF393" s="18">
        <v>39</v>
      </c>
      <c r="BG393" s="18">
        <v>4</v>
      </c>
      <c r="BH393" s="18">
        <v>0</v>
      </c>
      <c r="BI393" s="18"/>
      <c r="BJ393" s="18">
        <v>0</v>
      </c>
      <c r="BK393" s="18">
        <v>0</v>
      </c>
      <c r="BL393" s="18">
        <v>0</v>
      </c>
      <c r="BM393" s="18">
        <v>0</v>
      </c>
      <c r="BN393" s="18"/>
      <c r="BO393" s="18"/>
      <c r="BP393" s="18">
        <v>0</v>
      </c>
      <c r="BQ393" s="18">
        <v>33</v>
      </c>
      <c r="BR393" s="18">
        <v>0</v>
      </c>
      <c r="BS393" s="18">
        <v>0</v>
      </c>
      <c r="BT393" s="18">
        <v>0</v>
      </c>
      <c r="BU393" s="18">
        <v>0</v>
      </c>
    </row>
    <row r="394" spans="1:73">
      <c r="A394" s="19">
        <v>46190</v>
      </c>
      <c r="B394" s="18">
        <v>371</v>
      </c>
      <c r="C394" s="18" t="s">
        <v>32</v>
      </c>
      <c r="D394" s="18">
        <v>371</v>
      </c>
      <c r="E394" s="18" t="s">
        <v>32</v>
      </c>
      <c r="F394" s="18">
        <v>4672</v>
      </c>
      <c r="G394" s="18">
        <v>196</v>
      </c>
      <c r="H394" s="18">
        <v>140.81</v>
      </c>
      <c r="I394" s="18">
        <v>0.04195</v>
      </c>
      <c r="J394" s="18">
        <v>0.72</v>
      </c>
      <c r="K394" s="18">
        <v>30.14</v>
      </c>
      <c r="L394" s="18">
        <v>0</v>
      </c>
      <c r="M394" s="18">
        <v>0</v>
      </c>
      <c r="N394" s="18">
        <v>0</v>
      </c>
      <c r="O394" s="18">
        <v>0</v>
      </c>
      <c r="P394" s="18">
        <v>0</v>
      </c>
      <c r="Q394" s="18">
        <v>0</v>
      </c>
      <c r="R394" s="18">
        <v>0</v>
      </c>
      <c r="S394" s="18">
        <v>0</v>
      </c>
      <c r="T394" s="18">
        <v>0</v>
      </c>
      <c r="U394" s="18">
        <v>0</v>
      </c>
      <c r="V394" s="18">
        <v>0</v>
      </c>
      <c r="W394" s="18">
        <v>0</v>
      </c>
      <c r="X394" s="18">
        <v>0</v>
      </c>
      <c r="Y394" s="18">
        <v>0</v>
      </c>
      <c r="Z394" s="18">
        <v>0</v>
      </c>
      <c r="AA394" s="18"/>
      <c r="AB394" s="18">
        <v>3</v>
      </c>
      <c r="AC394" s="18">
        <v>2</v>
      </c>
      <c r="AD394" s="18">
        <v>1</v>
      </c>
      <c r="AE394" s="18">
        <v>0.01531</v>
      </c>
      <c r="AF394" s="18">
        <v>3</v>
      </c>
      <c r="AG394" s="18">
        <v>1</v>
      </c>
      <c r="AH394" s="18">
        <v>140.81</v>
      </c>
      <c r="AI394" s="18">
        <v>7</v>
      </c>
      <c r="AJ394" s="18">
        <v>20.12</v>
      </c>
      <c r="AK394" s="18">
        <v>6</v>
      </c>
      <c r="AL394" s="18">
        <v>23.47</v>
      </c>
      <c r="AM394" s="18">
        <v>4</v>
      </c>
      <c r="AN394" s="18">
        <v>46.94</v>
      </c>
      <c r="AO394" s="18">
        <v>0.01531</v>
      </c>
      <c r="AP394" s="18">
        <v>46.94</v>
      </c>
      <c r="AQ394" s="18">
        <v>0</v>
      </c>
      <c r="AR394" s="18">
        <v>0</v>
      </c>
      <c r="AS394" s="18">
        <v>3</v>
      </c>
      <c r="AT394" s="18">
        <v>0</v>
      </c>
      <c r="AU394" s="18">
        <v>0</v>
      </c>
      <c r="AV394" s="18">
        <v>0</v>
      </c>
      <c r="AW394" s="18">
        <v>0</v>
      </c>
      <c r="AX394" s="18">
        <v>0</v>
      </c>
      <c r="AY394" s="18">
        <v>309</v>
      </c>
      <c r="AZ394" s="18">
        <v>142</v>
      </c>
      <c r="BA394" s="18">
        <v>125</v>
      </c>
      <c r="BB394" s="18">
        <v>0.88028</v>
      </c>
      <c r="BC394" s="18">
        <v>0</v>
      </c>
      <c r="BD394" s="18">
        <v>0</v>
      </c>
      <c r="BE394" s="18">
        <v>0.06614</v>
      </c>
      <c r="BF394" s="18">
        <v>70</v>
      </c>
      <c r="BG394" s="18">
        <v>2</v>
      </c>
      <c r="BH394" s="18">
        <v>0</v>
      </c>
      <c r="BI394" s="18"/>
      <c r="BJ394" s="18">
        <v>0</v>
      </c>
      <c r="BK394" s="18">
        <v>0</v>
      </c>
      <c r="BL394" s="18">
        <v>0</v>
      </c>
      <c r="BM394" s="18">
        <v>0</v>
      </c>
      <c r="BN394" s="18"/>
      <c r="BO394" s="18"/>
      <c r="BP394" s="18">
        <v>0</v>
      </c>
      <c r="BQ394" s="18">
        <v>52</v>
      </c>
      <c r="BR394" s="18">
        <v>0</v>
      </c>
      <c r="BS394" s="18">
        <v>0</v>
      </c>
      <c r="BT394" s="18">
        <v>0</v>
      </c>
      <c r="BU394" s="18">
        <v>0</v>
      </c>
    </row>
    <row r="395" spans="1:73">
      <c r="A395" s="19">
        <v>46189</v>
      </c>
      <c r="B395" s="18">
        <v>479</v>
      </c>
      <c r="C395" s="18" t="s">
        <v>39</v>
      </c>
      <c r="D395" s="18">
        <v>479</v>
      </c>
      <c r="E395" s="18" t="s">
        <v>39</v>
      </c>
      <c r="F395" s="18">
        <v>34</v>
      </c>
      <c r="G395" s="18">
        <v>11</v>
      </c>
      <c r="H395" s="18">
        <v>11.74</v>
      </c>
      <c r="I395" s="18">
        <v>0.32353</v>
      </c>
      <c r="J395" s="18">
        <v>1.07</v>
      </c>
      <c r="K395" s="18">
        <v>345.26</v>
      </c>
      <c r="L395" s="18">
        <v>0</v>
      </c>
      <c r="M395" s="18">
        <v>0</v>
      </c>
      <c r="N395" s="18">
        <v>0</v>
      </c>
      <c r="O395" s="18">
        <v>0</v>
      </c>
      <c r="P395" s="18">
        <v>0</v>
      </c>
      <c r="Q395" s="18">
        <v>0</v>
      </c>
      <c r="R395" s="18">
        <v>0</v>
      </c>
      <c r="S395" s="18">
        <v>0</v>
      </c>
      <c r="T395" s="18">
        <v>0</v>
      </c>
      <c r="U395" s="18">
        <v>0</v>
      </c>
      <c r="V395" s="18">
        <v>0</v>
      </c>
      <c r="W395" s="18">
        <v>0</v>
      </c>
      <c r="X395" s="18">
        <v>0</v>
      </c>
      <c r="Y395" s="18">
        <v>0</v>
      </c>
      <c r="Z395" s="18">
        <v>0</v>
      </c>
      <c r="AA395" s="18"/>
      <c r="AB395" s="18">
        <v>0</v>
      </c>
      <c r="AC395" s="18">
        <v>0</v>
      </c>
      <c r="AD395" s="18">
        <v>0</v>
      </c>
      <c r="AE395" s="18">
        <v>0</v>
      </c>
      <c r="AF395" s="18">
        <v>0</v>
      </c>
      <c r="AG395" s="18">
        <v>0</v>
      </c>
      <c r="AH395" s="18"/>
      <c r="AI395" s="18">
        <v>0</v>
      </c>
      <c r="AJ395" s="18"/>
      <c r="AK395" s="18">
        <v>0</v>
      </c>
      <c r="AL395" s="18"/>
      <c r="AM395" s="18">
        <v>0</v>
      </c>
      <c r="AN395" s="18"/>
      <c r="AO395" s="18">
        <v>0</v>
      </c>
      <c r="AP395" s="18"/>
      <c r="AQ395" s="18">
        <v>0</v>
      </c>
      <c r="AR395" s="18">
        <v>0</v>
      </c>
      <c r="AS395" s="18">
        <v>0</v>
      </c>
      <c r="AT395" s="18">
        <v>0</v>
      </c>
      <c r="AU395" s="18">
        <v>0</v>
      </c>
      <c r="AV395" s="18">
        <v>0</v>
      </c>
      <c r="AW395" s="18">
        <v>0</v>
      </c>
      <c r="AX395" s="18">
        <v>0</v>
      </c>
      <c r="AY395" s="18">
        <v>71</v>
      </c>
      <c r="AZ395" s="18">
        <v>10</v>
      </c>
      <c r="BA395" s="18">
        <v>7</v>
      </c>
      <c r="BB395" s="18">
        <v>0.7</v>
      </c>
      <c r="BC395" s="18">
        <v>0</v>
      </c>
      <c r="BD395" s="18">
        <v>0</v>
      </c>
      <c r="BE395" s="18">
        <v>2.08824</v>
      </c>
      <c r="BF395" s="18">
        <v>59</v>
      </c>
      <c r="BG395" s="18">
        <v>7</v>
      </c>
      <c r="BH395" s="18">
        <v>0</v>
      </c>
      <c r="BI395" s="18"/>
      <c r="BJ395" s="18">
        <v>0</v>
      </c>
      <c r="BK395" s="18">
        <v>0</v>
      </c>
      <c r="BL395" s="18">
        <v>0</v>
      </c>
      <c r="BM395" s="18">
        <v>0</v>
      </c>
      <c r="BN395" s="18"/>
      <c r="BO395" s="18"/>
      <c r="BP395" s="18">
        <v>0</v>
      </c>
      <c r="BQ395" s="18">
        <v>8</v>
      </c>
      <c r="BR395" s="18">
        <v>0</v>
      </c>
      <c r="BS395" s="18">
        <v>0</v>
      </c>
      <c r="BT395" s="18">
        <v>0</v>
      </c>
      <c r="BU395" s="18">
        <v>0</v>
      </c>
    </row>
    <row r="396" spans="1:73">
      <c r="A396" s="19">
        <v>46189</v>
      </c>
      <c r="B396" s="18">
        <v>371</v>
      </c>
      <c r="C396" s="18" t="s">
        <v>32</v>
      </c>
      <c r="D396" s="18">
        <v>371</v>
      </c>
      <c r="E396" s="18" t="s">
        <v>32</v>
      </c>
      <c r="F396" s="18">
        <v>4233</v>
      </c>
      <c r="G396" s="18">
        <v>175</v>
      </c>
      <c r="H396" s="18">
        <v>134.04</v>
      </c>
      <c r="I396" s="18">
        <v>0.04134</v>
      </c>
      <c r="J396" s="18">
        <v>0.77</v>
      </c>
      <c r="K396" s="18">
        <v>31.67</v>
      </c>
      <c r="L396" s="18">
        <v>0</v>
      </c>
      <c r="M396" s="18">
        <v>0</v>
      </c>
      <c r="N396" s="18">
        <v>0</v>
      </c>
      <c r="O396" s="18">
        <v>0</v>
      </c>
      <c r="P396" s="18">
        <v>0</v>
      </c>
      <c r="Q396" s="18">
        <v>0</v>
      </c>
      <c r="R396" s="18">
        <v>314.74</v>
      </c>
      <c r="S396" s="18">
        <v>122.73</v>
      </c>
      <c r="T396" s="18">
        <v>437.47</v>
      </c>
      <c r="U396" s="18">
        <v>6</v>
      </c>
      <c r="V396" s="18">
        <v>3</v>
      </c>
      <c r="W396" s="18">
        <v>3</v>
      </c>
      <c r="X396" s="18">
        <v>0.03429</v>
      </c>
      <c r="Y396" s="18">
        <v>3.26</v>
      </c>
      <c r="Z396" s="18">
        <v>3.26</v>
      </c>
      <c r="AA396" s="18">
        <v>22.34</v>
      </c>
      <c r="AB396" s="18">
        <v>18</v>
      </c>
      <c r="AC396" s="18">
        <v>7</v>
      </c>
      <c r="AD396" s="18">
        <v>11</v>
      </c>
      <c r="AE396" s="18">
        <v>0.10286</v>
      </c>
      <c r="AF396" s="18">
        <v>1</v>
      </c>
      <c r="AG396" s="18">
        <v>0</v>
      </c>
      <c r="AH396" s="18"/>
      <c r="AI396" s="18">
        <v>19</v>
      </c>
      <c r="AJ396" s="18">
        <v>7.05</v>
      </c>
      <c r="AK396" s="18">
        <v>19</v>
      </c>
      <c r="AL396" s="18">
        <v>7.05</v>
      </c>
      <c r="AM396" s="18">
        <v>1</v>
      </c>
      <c r="AN396" s="18">
        <v>134.04</v>
      </c>
      <c r="AO396" s="18">
        <v>0.00571</v>
      </c>
      <c r="AP396" s="18">
        <v>7.45</v>
      </c>
      <c r="AQ396" s="18">
        <v>7</v>
      </c>
      <c r="AR396" s="18">
        <v>1130.6</v>
      </c>
      <c r="AS396" s="18">
        <v>1</v>
      </c>
      <c r="AT396" s="18">
        <v>0</v>
      </c>
      <c r="AU396" s="18">
        <v>0</v>
      </c>
      <c r="AV396" s="18">
        <v>0</v>
      </c>
      <c r="AW396" s="18">
        <v>0</v>
      </c>
      <c r="AX396" s="18">
        <v>0</v>
      </c>
      <c r="AY396" s="18">
        <v>399</v>
      </c>
      <c r="AZ396" s="18">
        <v>119</v>
      </c>
      <c r="BA396" s="18">
        <v>99</v>
      </c>
      <c r="BB396" s="18">
        <v>0.83193</v>
      </c>
      <c r="BC396" s="18">
        <v>0</v>
      </c>
      <c r="BD396" s="18">
        <v>0</v>
      </c>
      <c r="BE396" s="18">
        <v>0.09426</v>
      </c>
      <c r="BF396" s="18">
        <v>192</v>
      </c>
      <c r="BG396" s="18">
        <v>3</v>
      </c>
      <c r="BH396" s="18">
        <v>2</v>
      </c>
      <c r="BI396" s="18">
        <v>1</v>
      </c>
      <c r="BJ396" s="18">
        <v>0</v>
      </c>
      <c r="BK396" s="18">
        <v>0</v>
      </c>
      <c r="BL396" s="18">
        <v>0</v>
      </c>
      <c r="BM396" s="18">
        <v>2</v>
      </c>
      <c r="BN396" s="18">
        <v>3</v>
      </c>
      <c r="BO396" s="18">
        <v>218.74</v>
      </c>
      <c r="BP396" s="18">
        <v>19.01</v>
      </c>
      <c r="BQ396" s="18">
        <v>915</v>
      </c>
      <c r="BR396" s="18">
        <v>0</v>
      </c>
      <c r="BS396" s="18">
        <v>0</v>
      </c>
      <c r="BT396" s="18">
        <v>0</v>
      </c>
      <c r="BU396" s="18">
        <v>0</v>
      </c>
    </row>
    <row r="397" spans="1:73">
      <c r="A397" s="19">
        <v>46189</v>
      </c>
      <c r="B397" s="18">
        <v>183</v>
      </c>
      <c r="C397" s="18" t="s">
        <v>40</v>
      </c>
      <c r="D397" s="18">
        <v>183</v>
      </c>
      <c r="E397" s="18" t="s">
        <v>40</v>
      </c>
      <c r="F397" s="18">
        <v>1044</v>
      </c>
      <c r="G397" s="18">
        <v>36</v>
      </c>
      <c r="H397" s="18">
        <v>100</v>
      </c>
      <c r="I397" s="18">
        <v>0.03448</v>
      </c>
      <c r="J397" s="18">
        <v>2.78</v>
      </c>
      <c r="K397" s="18">
        <v>95.79</v>
      </c>
      <c r="L397" s="18">
        <v>0</v>
      </c>
      <c r="M397" s="18">
        <v>0</v>
      </c>
      <c r="N397" s="18">
        <v>0</v>
      </c>
      <c r="O397" s="18">
        <v>0</v>
      </c>
      <c r="P397" s="18">
        <v>0</v>
      </c>
      <c r="Q397" s="18">
        <v>0</v>
      </c>
      <c r="R397" s="18">
        <v>0</v>
      </c>
      <c r="S397" s="18">
        <v>0</v>
      </c>
      <c r="T397" s="18">
        <v>0</v>
      </c>
      <c r="U397" s="18">
        <v>0</v>
      </c>
      <c r="V397" s="18">
        <v>0</v>
      </c>
      <c r="W397" s="18">
        <v>0</v>
      </c>
      <c r="X397" s="18">
        <v>0</v>
      </c>
      <c r="Y397" s="18">
        <v>0</v>
      </c>
      <c r="Z397" s="18">
        <v>0</v>
      </c>
      <c r="AA397" s="18"/>
      <c r="AB397" s="18">
        <v>1</v>
      </c>
      <c r="AC397" s="18">
        <v>1</v>
      </c>
      <c r="AD397" s="18">
        <v>0</v>
      </c>
      <c r="AE397" s="18">
        <v>0.02778</v>
      </c>
      <c r="AF397" s="18">
        <v>2</v>
      </c>
      <c r="AG397" s="18">
        <v>0</v>
      </c>
      <c r="AH397" s="18"/>
      <c r="AI397" s="18">
        <v>3</v>
      </c>
      <c r="AJ397" s="18">
        <v>33.33</v>
      </c>
      <c r="AK397" s="18">
        <v>3</v>
      </c>
      <c r="AL397" s="18">
        <v>33.33</v>
      </c>
      <c r="AM397" s="18">
        <v>2</v>
      </c>
      <c r="AN397" s="18">
        <v>50</v>
      </c>
      <c r="AO397" s="18">
        <v>0.05556</v>
      </c>
      <c r="AP397" s="18">
        <v>100</v>
      </c>
      <c r="AQ397" s="18">
        <v>0</v>
      </c>
      <c r="AR397" s="18">
        <v>0</v>
      </c>
      <c r="AS397" s="18">
        <v>2</v>
      </c>
      <c r="AT397" s="18">
        <v>0</v>
      </c>
      <c r="AU397" s="18">
        <v>0</v>
      </c>
      <c r="AV397" s="18">
        <v>0</v>
      </c>
      <c r="AW397" s="18">
        <v>0</v>
      </c>
      <c r="AX397" s="18">
        <v>0</v>
      </c>
      <c r="AY397" s="18">
        <v>183</v>
      </c>
      <c r="AZ397" s="18">
        <v>66</v>
      </c>
      <c r="BA397" s="18">
        <v>30</v>
      </c>
      <c r="BB397" s="18">
        <v>0.45455</v>
      </c>
      <c r="BC397" s="18">
        <v>0</v>
      </c>
      <c r="BD397" s="18">
        <v>0</v>
      </c>
      <c r="BE397" s="18">
        <v>0.17529</v>
      </c>
      <c r="BF397" s="18">
        <v>86</v>
      </c>
      <c r="BG397" s="18">
        <v>3</v>
      </c>
      <c r="BH397" s="18">
        <v>0</v>
      </c>
      <c r="BI397" s="18"/>
      <c r="BJ397" s="18">
        <v>0</v>
      </c>
      <c r="BK397" s="18">
        <v>0</v>
      </c>
      <c r="BL397" s="18">
        <v>0</v>
      </c>
      <c r="BM397" s="18">
        <v>0</v>
      </c>
      <c r="BN397" s="18"/>
      <c r="BO397" s="18"/>
      <c r="BP397" s="18">
        <v>0</v>
      </c>
      <c r="BQ397" s="18">
        <v>127</v>
      </c>
      <c r="BR397" s="18">
        <v>0</v>
      </c>
      <c r="BS397" s="18">
        <v>0</v>
      </c>
      <c r="BT397" s="18">
        <v>0</v>
      </c>
      <c r="BU397" s="18">
        <v>0</v>
      </c>
    </row>
    <row r="398" spans="1:73">
      <c r="A398" s="19">
        <v>46189</v>
      </c>
      <c r="B398" s="18">
        <v>372</v>
      </c>
      <c r="C398" s="18" t="s">
        <v>37</v>
      </c>
      <c r="D398" s="18">
        <v>372</v>
      </c>
      <c r="E398" s="18" t="s">
        <v>61</v>
      </c>
      <c r="F398" s="18">
        <v>1067</v>
      </c>
      <c r="G398" s="18">
        <v>100</v>
      </c>
      <c r="H398" s="18">
        <v>53.38</v>
      </c>
      <c r="I398" s="18">
        <v>0.09372</v>
      </c>
      <c r="J398" s="18">
        <v>0.53</v>
      </c>
      <c r="K398" s="18">
        <v>50.03</v>
      </c>
      <c r="L398" s="18">
        <v>0</v>
      </c>
      <c r="M398" s="18">
        <v>0</v>
      </c>
      <c r="N398" s="18">
        <v>0</v>
      </c>
      <c r="O398" s="18">
        <v>0</v>
      </c>
      <c r="P398" s="18">
        <v>0</v>
      </c>
      <c r="Q398" s="18">
        <v>0</v>
      </c>
      <c r="R398" s="18">
        <v>0</v>
      </c>
      <c r="S398" s="18">
        <v>0</v>
      </c>
      <c r="T398" s="18">
        <v>0</v>
      </c>
      <c r="U398" s="18">
        <v>0</v>
      </c>
      <c r="V398" s="18">
        <v>0</v>
      </c>
      <c r="W398" s="18">
        <v>0</v>
      </c>
      <c r="X398" s="18">
        <v>0</v>
      </c>
      <c r="Y398" s="18">
        <v>0</v>
      </c>
      <c r="Z398" s="18">
        <v>0</v>
      </c>
      <c r="AA398" s="18"/>
      <c r="AB398" s="18">
        <v>5</v>
      </c>
      <c r="AC398" s="18">
        <v>4</v>
      </c>
      <c r="AD398" s="18">
        <v>1</v>
      </c>
      <c r="AE398" s="18">
        <v>0.05</v>
      </c>
      <c r="AF398" s="18">
        <v>5</v>
      </c>
      <c r="AG398" s="18">
        <v>0</v>
      </c>
      <c r="AH398" s="18"/>
      <c r="AI398" s="18">
        <v>10</v>
      </c>
      <c r="AJ398" s="18">
        <v>5.34</v>
      </c>
      <c r="AK398" s="18">
        <v>10</v>
      </c>
      <c r="AL398" s="18">
        <v>5.34</v>
      </c>
      <c r="AM398" s="18">
        <v>5</v>
      </c>
      <c r="AN398" s="18">
        <v>10.68</v>
      </c>
      <c r="AO398" s="18">
        <v>0.05</v>
      </c>
      <c r="AP398" s="18">
        <v>10.68</v>
      </c>
      <c r="AQ398" s="18">
        <v>0</v>
      </c>
      <c r="AR398" s="18">
        <v>0</v>
      </c>
      <c r="AS398" s="18">
        <v>4</v>
      </c>
      <c r="AT398" s="18">
        <v>1</v>
      </c>
      <c r="AU398" s="18">
        <v>0</v>
      </c>
      <c r="AV398" s="18">
        <v>0</v>
      </c>
      <c r="AW398" s="18">
        <v>0</v>
      </c>
      <c r="AX398" s="18">
        <v>1</v>
      </c>
      <c r="AY398" s="18">
        <v>195</v>
      </c>
      <c r="AZ398" s="18">
        <v>94</v>
      </c>
      <c r="BA398" s="18">
        <v>51</v>
      </c>
      <c r="BB398" s="18">
        <v>0.54255</v>
      </c>
      <c r="BC398" s="18">
        <v>0</v>
      </c>
      <c r="BD398" s="18">
        <v>0</v>
      </c>
      <c r="BE398" s="18">
        <v>0.18276</v>
      </c>
      <c r="BF398" s="18">
        <v>62</v>
      </c>
      <c r="BG398" s="18">
        <v>2</v>
      </c>
      <c r="BH398" s="18">
        <v>0</v>
      </c>
      <c r="BI398" s="18"/>
      <c r="BJ398" s="18">
        <v>0</v>
      </c>
      <c r="BK398" s="18">
        <v>0</v>
      </c>
      <c r="BL398" s="18">
        <v>0</v>
      </c>
      <c r="BM398" s="18">
        <v>0</v>
      </c>
      <c r="BN398" s="18"/>
      <c r="BO398" s="18"/>
      <c r="BP398" s="18">
        <v>1.01</v>
      </c>
      <c r="BQ398" s="18">
        <v>312</v>
      </c>
      <c r="BR398" s="18">
        <v>0</v>
      </c>
      <c r="BS398" s="18">
        <v>0</v>
      </c>
      <c r="BT398" s="18">
        <v>0</v>
      </c>
      <c r="BU398" s="18">
        <v>0</v>
      </c>
    </row>
    <row r="399" spans="1:73">
      <c r="A399" s="19">
        <v>46189</v>
      </c>
      <c r="B399" s="18">
        <v>436</v>
      </c>
      <c r="C399" s="18" t="s">
        <v>38</v>
      </c>
      <c r="D399" s="18">
        <v>436</v>
      </c>
      <c r="E399" s="18" t="s">
        <v>38</v>
      </c>
      <c r="F399" s="18">
        <v>847</v>
      </c>
      <c r="G399" s="18">
        <v>39</v>
      </c>
      <c r="H399" s="18">
        <v>24.82</v>
      </c>
      <c r="I399" s="18">
        <v>0.04604</v>
      </c>
      <c r="J399" s="18">
        <v>0.64</v>
      </c>
      <c r="K399" s="18">
        <v>29.3</v>
      </c>
      <c r="L399" s="18">
        <v>0</v>
      </c>
      <c r="M399" s="18">
        <v>0</v>
      </c>
      <c r="N399" s="18">
        <v>0</v>
      </c>
      <c r="O399" s="18">
        <v>0</v>
      </c>
      <c r="P399" s="18">
        <v>0</v>
      </c>
      <c r="Q399" s="18">
        <v>0</v>
      </c>
      <c r="R399" s="18">
        <v>166</v>
      </c>
      <c r="S399" s="18">
        <v>0</v>
      </c>
      <c r="T399" s="18">
        <v>166</v>
      </c>
      <c r="U399" s="18">
        <v>1</v>
      </c>
      <c r="V399" s="18">
        <v>1</v>
      </c>
      <c r="W399" s="18">
        <v>0</v>
      </c>
      <c r="X399" s="18">
        <v>0.02564</v>
      </c>
      <c r="Y399" s="18">
        <v>6.69</v>
      </c>
      <c r="Z399" s="18">
        <v>6.69</v>
      </c>
      <c r="AA399" s="18">
        <v>24.82</v>
      </c>
      <c r="AB399" s="18">
        <v>2</v>
      </c>
      <c r="AC399" s="18">
        <v>1</v>
      </c>
      <c r="AD399" s="18">
        <v>1</v>
      </c>
      <c r="AE399" s="18">
        <v>0.05128</v>
      </c>
      <c r="AF399" s="18">
        <v>0</v>
      </c>
      <c r="AG399" s="18">
        <v>2</v>
      </c>
      <c r="AH399" s="18">
        <v>12.41</v>
      </c>
      <c r="AI399" s="18">
        <v>4</v>
      </c>
      <c r="AJ399" s="18">
        <v>6.21</v>
      </c>
      <c r="AK399" s="18">
        <v>2</v>
      </c>
      <c r="AL399" s="18">
        <v>12.41</v>
      </c>
      <c r="AM399" s="18">
        <v>2</v>
      </c>
      <c r="AN399" s="18"/>
      <c r="AO399" s="18">
        <v>0</v>
      </c>
      <c r="AP399" s="18">
        <v>12.41</v>
      </c>
      <c r="AQ399" s="18">
        <v>2</v>
      </c>
      <c r="AR399" s="18">
        <v>245.9</v>
      </c>
      <c r="AS399" s="18">
        <v>0</v>
      </c>
      <c r="AT399" s="18">
        <v>0</v>
      </c>
      <c r="AU399" s="18">
        <v>0</v>
      </c>
      <c r="AV399" s="18">
        <v>0</v>
      </c>
      <c r="AW399" s="18">
        <v>0</v>
      </c>
      <c r="AX399" s="18">
        <v>3</v>
      </c>
      <c r="AY399" s="18">
        <v>154</v>
      </c>
      <c r="AZ399" s="18">
        <v>36</v>
      </c>
      <c r="BA399" s="18">
        <v>23</v>
      </c>
      <c r="BB399" s="18">
        <v>0.63889</v>
      </c>
      <c r="BC399" s="18">
        <v>0</v>
      </c>
      <c r="BD399" s="18">
        <v>0</v>
      </c>
      <c r="BE399" s="18">
        <v>0.18182</v>
      </c>
      <c r="BF399" s="18">
        <v>113</v>
      </c>
      <c r="BG399" s="18">
        <v>4</v>
      </c>
      <c r="BH399" s="18">
        <v>1</v>
      </c>
      <c r="BI399" s="18">
        <v>1</v>
      </c>
      <c r="BJ399" s="18">
        <v>0</v>
      </c>
      <c r="BK399" s="18">
        <v>0</v>
      </c>
      <c r="BL399" s="18">
        <v>0</v>
      </c>
      <c r="BM399" s="18">
        <v>1</v>
      </c>
      <c r="BN399" s="18">
        <v>1</v>
      </c>
      <c r="BO399" s="18">
        <v>166</v>
      </c>
      <c r="BP399" s="18">
        <v>0</v>
      </c>
      <c r="BQ399" s="18">
        <v>168</v>
      </c>
      <c r="BR399" s="18">
        <v>0</v>
      </c>
      <c r="BS399" s="18">
        <v>0</v>
      </c>
      <c r="BT399" s="18">
        <v>0</v>
      </c>
      <c r="BU399" s="18">
        <v>0</v>
      </c>
    </row>
    <row r="400" spans="1:73">
      <c r="A400" s="19">
        <v>46188</v>
      </c>
      <c r="B400" s="18">
        <v>479</v>
      </c>
      <c r="C400" s="18" t="s">
        <v>39</v>
      </c>
      <c r="D400" s="18">
        <v>479</v>
      </c>
      <c r="E400" s="18" t="s">
        <v>39</v>
      </c>
      <c r="F400" s="18">
        <v>41</v>
      </c>
      <c r="G400" s="18">
        <v>11</v>
      </c>
      <c r="H400" s="18">
        <v>15.12</v>
      </c>
      <c r="I400" s="18">
        <v>0.26829</v>
      </c>
      <c r="J400" s="18">
        <v>1.37</v>
      </c>
      <c r="K400" s="18">
        <v>368.86</v>
      </c>
      <c r="L400" s="18">
        <v>0</v>
      </c>
      <c r="M400" s="18">
        <v>0</v>
      </c>
      <c r="N400" s="18">
        <v>0</v>
      </c>
      <c r="O400" s="18">
        <v>0</v>
      </c>
      <c r="P400" s="18">
        <v>0</v>
      </c>
      <c r="Q400" s="18">
        <v>0</v>
      </c>
      <c r="R400" s="18">
        <v>0</v>
      </c>
      <c r="S400" s="18">
        <v>275.6</v>
      </c>
      <c r="T400" s="18">
        <v>275.6</v>
      </c>
      <c r="U400" s="18">
        <v>2</v>
      </c>
      <c r="V400" s="18">
        <v>0</v>
      </c>
      <c r="W400" s="18">
        <v>2</v>
      </c>
      <c r="X400" s="18">
        <v>0.18182</v>
      </c>
      <c r="Y400" s="18">
        <v>18.22</v>
      </c>
      <c r="Z400" s="18">
        <v>18.22</v>
      </c>
      <c r="AA400" s="18">
        <v>7.56</v>
      </c>
      <c r="AB400" s="18">
        <v>5</v>
      </c>
      <c r="AC400" s="18">
        <v>0</v>
      </c>
      <c r="AD400" s="18">
        <v>5</v>
      </c>
      <c r="AE400" s="18">
        <v>0.45455</v>
      </c>
      <c r="AF400" s="18">
        <v>0</v>
      </c>
      <c r="AG400" s="18">
        <v>1</v>
      </c>
      <c r="AH400" s="18">
        <v>15.12</v>
      </c>
      <c r="AI400" s="18">
        <v>6</v>
      </c>
      <c r="AJ400" s="18">
        <v>2.52</v>
      </c>
      <c r="AK400" s="18">
        <v>5</v>
      </c>
      <c r="AL400" s="18">
        <v>3.02</v>
      </c>
      <c r="AM400" s="18">
        <v>1</v>
      </c>
      <c r="AN400" s="18"/>
      <c r="AO400" s="18">
        <v>0</v>
      </c>
      <c r="AP400" s="18">
        <v>3.02</v>
      </c>
      <c r="AQ400" s="18">
        <v>4</v>
      </c>
      <c r="AR400" s="18">
        <v>435.8</v>
      </c>
      <c r="AS400" s="18">
        <v>0</v>
      </c>
      <c r="AT400" s="18">
        <v>0</v>
      </c>
      <c r="AU400" s="18">
        <v>0</v>
      </c>
      <c r="AV400" s="18">
        <v>0</v>
      </c>
      <c r="AW400" s="18">
        <v>0</v>
      </c>
      <c r="AX400" s="18">
        <v>2</v>
      </c>
      <c r="AY400" s="18">
        <v>93</v>
      </c>
      <c r="AZ400" s="18">
        <v>10</v>
      </c>
      <c r="BA400" s="18">
        <v>7</v>
      </c>
      <c r="BB400" s="18">
        <v>0.7</v>
      </c>
      <c r="BC400" s="18">
        <v>0</v>
      </c>
      <c r="BD400" s="18">
        <v>0</v>
      </c>
      <c r="BE400" s="18">
        <v>2.26829</v>
      </c>
      <c r="BF400" s="18">
        <v>82</v>
      </c>
      <c r="BG400" s="18">
        <v>9</v>
      </c>
      <c r="BH400" s="18">
        <v>1</v>
      </c>
      <c r="BI400" s="18">
        <v>1</v>
      </c>
      <c r="BJ400" s="18">
        <v>0</v>
      </c>
      <c r="BK400" s="18">
        <v>0</v>
      </c>
      <c r="BL400" s="18">
        <v>0</v>
      </c>
      <c r="BM400" s="18">
        <v>1</v>
      </c>
      <c r="BN400" s="18">
        <v>2</v>
      </c>
      <c r="BO400" s="18">
        <v>275.6</v>
      </c>
      <c r="BP400" s="18">
        <v>0</v>
      </c>
      <c r="BQ400" s="18">
        <v>543</v>
      </c>
      <c r="BR400" s="18">
        <v>0</v>
      </c>
      <c r="BS400" s="18">
        <v>0</v>
      </c>
      <c r="BT400" s="18">
        <v>0</v>
      </c>
      <c r="BU400" s="18">
        <v>0</v>
      </c>
    </row>
    <row r="401" spans="1:73">
      <c r="A401" s="19">
        <v>46188</v>
      </c>
      <c r="B401" s="18">
        <v>372</v>
      </c>
      <c r="C401" s="18" t="s">
        <v>37</v>
      </c>
      <c r="D401" s="18">
        <v>372</v>
      </c>
      <c r="E401" s="18" t="s">
        <v>61</v>
      </c>
      <c r="F401" s="18">
        <v>1041</v>
      </c>
      <c r="G401" s="18">
        <v>93</v>
      </c>
      <c r="H401" s="18">
        <v>54.86</v>
      </c>
      <c r="I401" s="18">
        <v>0.08934</v>
      </c>
      <c r="J401" s="18">
        <v>0.59</v>
      </c>
      <c r="K401" s="18">
        <v>52.7</v>
      </c>
      <c r="L401" s="18">
        <v>0</v>
      </c>
      <c r="M401" s="18">
        <v>0</v>
      </c>
      <c r="N401" s="18">
        <v>0</v>
      </c>
      <c r="O401" s="18">
        <v>0</v>
      </c>
      <c r="P401" s="18">
        <v>0</v>
      </c>
      <c r="Q401" s="18">
        <v>0</v>
      </c>
      <c r="R401" s="18">
        <v>142</v>
      </c>
      <c r="S401" s="18">
        <v>0</v>
      </c>
      <c r="T401" s="18">
        <v>142</v>
      </c>
      <c r="U401" s="18">
        <v>1</v>
      </c>
      <c r="V401" s="18">
        <v>1</v>
      </c>
      <c r="W401" s="18">
        <v>0</v>
      </c>
      <c r="X401" s="18">
        <v>0.01075</v>
      </c>
      <c r="Y401" s="18">
        <v>2.59</v>
      </c>
      <c r="Z401" s="18">
        <v>2.59</v>
      </c>
      <c r="AA401" s="18">
        <v>54.86</v>
      </c>
      <c r="AB401" s="18">
        <v>3</v>
      </c>
      <c r="AC401" s="18">
        <v>2</v>
      </c>
      <c r="AD401" s="18">
        <v>1</v>
      </c>
      <c r="AE401" s="18">
        <v>0.03226</v>
      </c>
      <c r="AF401" s="18">
        <v>1</v>
      </c>
      <c r="AG401" s="18">
        <v>0</v>
      </c>
      <c r="AH401" s="18"/>
      <c r="AI401" s="18">
        <v>4</v>
      </c>
      <c r="AJ401" s="18">
        <v>13.72</v>
      </c>
      <c r="AK401" s="18">
        <v>4</v>
      </c>
      <c r="AL401" s="18">
        <v>13.72</v>
      </c>
      <c r="AM401" s="18">
        <v>1</v>
      </c>
      <c r="AN401" s="18">
        <v>54.86</v>
      </c>
      <c r="AO401" s="18">
        <v>0.01075</v>
      </c>
      <c r="AP401" s="18">
        <v>18.29</v>
      </c>
      <c r="AQ401" s="18">
        <v>2</v>
      </c>
      <c r="AR401" s="18">
        <v>217.9</v>
      </c>
      <c r="AS401" s="18">
        <v>1</v>
      </c>
      <c r="AT401" s="18">
        <v>0</v>
      </c>
      <c r="AU401" s="18">
        <v>0</v>
      </c>
      <c r="AV401" s="18">
        <v>0</v>
      </c>
      <c r="AW401" s="18">
        <v>0</v>
      </c>
      <c r="AX401" s="18">
        <v>2</v>
      </c>
      <c r="AY401" s="18">
        <v>194</v>
      </c>
      <c r="AZ401" s="18">
        <v>82</v>
      </c>
      <c r="BA401" s="18">
        <v>41</v>
      </c>
      <c r="BB401" s="18">
        <v>0.5</v>
      </c>
      <c r="BC401" s="18">
        <v>0</v>
      </c>
      <c r="BD401" s="18">
        <v>0</v>
      </c>
      <c r="BE401" s="18">
        <v>0.18636</v>
      </c>
      <c r="BF401" s="18">
        <v>81</v>
      </c>
      <c r="BG401" s="18">
        <v>2</v>
      </c>
      <c r="BH401" s="18">
        <v>1</v>
      </c>
      <c r="BI401" s="18">
        <v>1</v>
      </c>
      <c r="BJ401" s="18">
        <v>0</v>
      </c>
      <c r="BK401" s="18">
        <v>0</v>
      </c>
      <c r="BL401" s="18">
        <v>0</v>
      </c>
      <c r="BM401" s="18">
        <v>1</v>
      </c>
      <c r="BN401" s="18">
        <v>1</v>
      </c>
      <c r="BO401" s="18">
        <v>142</v>
      </c>
      <c r="BP401" s="18">
        <v>0</v>
      </c>
      <c r="BQ401" s="18">
        <v>537</v>
      </c>
      <c r="BR401" s="18">
        <v>0</v>
      </c>
      <c r="BS401" s="18">
        <v>0</v>
      </c>
      <c r="BT401" s="18">
        <v>0</v>
      </c>
      <c r="BU401" s="18">
        <v>0</v>
      </c>
    </row>
    <row r="402" spans="1:73">
      <c r="A402" s="19">
        <v>46188</v>
      </c>
      <c r="B402" s="18">
        <v>183</v>
      </c>
      <c r="C402" s="18" t="s">
        <v>40</v>
      </c>
      <c r="D402" s="18">
        <v>183</v>
      </c>
      <c r="E402" s="18" t="s">
        <v>40</v>
      </c>
      <c r="F402" s="18">
        <v>1069</v>
      </c>
      <c r="G402" s="18">
        <v>39</v>
      </c>
      <c r="H402" s="18">
        <v>100</v>
      </c>
      <c r="I402" s="18">
        <v>0.03648</v>
      </c>
      <c r="J402" s="18">
        <v>2.56</v>
      </c>
      <c r="K402" s="18">
        <v>93.55</v>
      </c>
      <c r="L402" s="18">
        <v>0</v>
      </c>
      <c r="M402" s="18">
        <v>0</v>
      </c>
      <c r="N402" s="18">
        <v>0</v>
      </c>
      <c r="O402" s="18">
        <v>0</v>
      </c>
      <c r="P402" s="18">
        <v>0</v>
      </c>
      <c r="Q402" s="18">
        <v>0</v>
      </c>
      <c r="R402" s="18">
        <v>37.46</v>
      </c>
      <c r="S402" s="18">
        <v>0</v>
      </c>
      <c r="T402" s="18">
        <v>37.46</v>
      </c>
      <c r="U402" s="18">
        <v>1</v>
      </c>
      <c r="V402" s="18">
        <v>1</v>
      </c>
      <c r="W402" s="18">
        <v>0</v>
      </c>
      <c r="X402" s="18">
        <v>0.02564</v>
      </c>
      <c r="Y402" s="18">
        <v>0.37</v>
      </c>
      <c r="Z402" s="18">
        <v>0.37</v>
      </c>
      <c r="AA402" s="18">
        <v>100</v>
      </c>
      <c r="AB402" s="18">
        <v>4</v>
      </c>
      <c r="AC402" s="18">
        <v>2</v>
      </c>
      <c r="AD402" s="18">
        <v>2</v>
      </c>
      <c r="AE402" s="18">
        <v>0.10256</v>
      </c>
      <c r="AF402" s="18">
        <v>2</v>
      </c>
      <c r="AG402" s="18">
        <v>0</v>
      </c>
      <c r="AH402" s="18"/>
      <c r="AI402" s="18">
        <v>6</v>
      </c>
      <c r="AJ402" s="18">
        <v>16.67</v>
      </c>
      <c r="AK402" s="18">
        <v>6</v>
      </c>
      <c r="AL402" s="18">
        <v>16.67</v>
      </c>
      <c r="AM402" s="18">
        <v>2</v>
      </c>
      <c r="AN402" s="18">
        <v>50</v>
      </c>
      <c r="AO402" s="18">
        <v>0.05128</v>
      </c>
      <c r="AP402" s="18">
        <v>25</v>
      </c>
      <c r="AQ402" s="18">
        <v>1</v>
      </c>
      <c r="AR402" s="18">
        <v>46.9</v>
      </c>
      <c r="AS402" s="18">
        <v>2</v>
      </c>
      <c r="AT402" s="18">
        <v>0</v>
      </c>
      <c r="AU402" s="18">
        <v>0</v>
      </c>
      <c r="AV402" s="18">
        <v>0</v>
      </c>
      <c r="AW402" s="18">
        <v>0</v>
      </c>
      <c r="AX402" s="18">
        <v>0</v>
      </c>
      <c r="AY402" s="18">
        <v>195</v>
      </c>
      <c r="AZ402" s="18">
        <v>66</v>
      </c>
      <c r="BA402" s="18">
        <v>37</v>
      </c>
      <c r="BB402" s="18">
        <v>0.56061</v>
      </c>
      <c r="BC402" s="18">
        <v>0</v>
      </c>
      <c r="BD402" s="18">
        <v>0</v>
      </c>
      <c r="BE402" s="18">
        <v>0.18241</v>
      </c>
      <c r="BF402" s="18">
        <v>83</v>
      </c>
      <c r="BG402" s="18">
        <v>3</v>
      </c>
      <c r="BH402" s="18">
        <v>0</v>
      </c>
      <c r="BI402" s="18">
        <v>0</v>
      </c>
      <c r="BJ402" s="18">
        <v>0</v>
      </c>
      <c r="BK402" s="18">
        <v>0</v>
      </c>
      <c r="BL402" s="18">
        <v>0</v>
      </c>
      <c r="BM402" s="18">
        <v>1</v>
      </c>
      <c r="BN402" s="18">
        <v>1</v>
      </c>
      <c r="BO402" s="18">
        <v>37.46</v>
      </c>
      <c r="BP402" s="18">
        <v>18.81</v>
      </c>
      <c r="BQ402" s="18">
        <v>390</v>
      </c>
      <c r="BR402" s="18">
        <v>0</v>
      </c>
      <c r="BS402" s="18">
        <v>0</v>
      </c>
      <c r="BT402" s="18">
        <v>0</v>
      </c>
      <c r="BU402" s="18">
        <v>0</v>
      </c>
    </row>
    <row r="403" spans="1:73">
      <c r="A403" s="19">
        <v>46188</v>
      </c>
      <c r="B403" s="18">
        <v>436</v>
      </c>
      <c r="C403" s="18" t="s">
        <v>38</v>
      </c>
      <c r="D403" s="18">
        <v>436</v>
      </c>
      <c r="E403" s="18" t="s">
        <v>38</v>
      </c>
      <c r="F403" s="18">
        <v>822</v>
      </c>
      <c r="G403" s="18">
        <v>32</v>
      </c>
      <c r="H403" s="18">
        <v>47.71</v>
      </c>
      <c r="I403" s="18">
        <v>0.03893</v>
      </c>
      <c r="J403" s="18">
        <v>1.49</v>
      </c>
      <c r="K403" s="18">
        <v>58.04</v>
      </c>
      <c r="L403" s="18">
        <v>0</v>
      </c>
      <c r="M403" s="18">
        <v>0</v>
      </c>
      <c r="N403" s="18">
        <v>0</v>
      </c>
      <c r="O403" s="18">
        <v>0</v>
      </c>
      <c r="P403" s="18">
        <v>0</v>
      </c>
      <c r="Q403" s="18">
        <v>0</v>
      </c>
      <c r="R403" s="18">
        <v>0</v>
      </c>
      <c r="S403" s="18">
        <v>16.1</v>
      </c>
      <c r="T403" s="18">
        <v>16.1</v>
      </c>
      <c r="U403" s="18">
        <v>1</v>
      </c>
      <c r="V403" s="18">
        <v>0</v>
      </c>
      <c r="W403" s="18">
        <v>1</v>
      </c>
      <c r="X403" s="18">
        <v>0.03125</v>
      </c>
      <c r="Y403" s="18">
        <v>0.34</v>
      </c>
      <c r="Z403" s="18">
        <v>0.34</v>
      </c>
      <c r="AA403" s="18">
        <v>47.71</v>
      </c>
      <c r="AB403" s="18">
        <v>2</v>
      </c>
      <c r="AC403" s="18">
        <v>0</v>
      </c>
      <c r="AD403" s="18">
        <v>2</v>
      </c>
      <c r="AE403" s="18">
        <v>0.0625</v>
      </c>
      <c r="AF403" s="18">
        <v>0</v>
      </c>
      <c r="AG403" s="18">
        <v>0</v>
      </c>
      <c r="AH403" s="18"/>
      <c r="AI403" s="18">
        <v>2</v>
      </c>
      <c r="AJ403" s="18">
        <v>23.86</v>
      </c>
      <c r="AK403" s="18">
        <v>2</v>
      </c>
      <c r="AL403" s="18">
        <v>23.86</v>
      </c>
      <c r="AM403" s="18">
        <v>0</v>
      </c>
      <c r="AN403" s="18"/>
      <c r="AO403" s="18">
        <v>0</v>
      </c>
      <c r="AP403" s="18">
        <v>23.86</v>
      </c>
      <c r="AQ403" s="18">
        <v>1</v>
      </c>
      <c r="AR403" s="18">
        <v>19</v>
      </c>
      <c r="AS403" s="18">
        <v>0</v>
      </c>
      <c r="AT403" s="18">
        <v>0</v>
      </c>
      <c r="AU403" s="18">
        <v>0</v>
      </c>
      <c r="AV403" s="18">
        <v>0</v>
      </c>
      <c r="AW403" s="18">
        <v>0</v>
      </c>
      <c r="AX403" s="18">
        <v>1</v>
      </c>
      <c r="AY403" s="18">
        <v>109</v>
      </c>
      <c r="AZ403" s="18">
        <v>30</v>
      </c>
      <c r="BA403" s="18">
        <v>19</v>
      </c>
      <c r="BB403" s="18">
        <v>0.63333</v>
      </c>
      <c r="BC403" s="18">
        <v>0</v>
      </c>
      <c r="BD403" s="18">
        <v>0</v>
      </c>
      <c r="BE403" s="18">
        <v>0.1326</v>
      </c>
      <c r="BF403" s="18">
        <v>75</v>
      </c>
      <c r="BG403" s="18">
        <v>4</v>
      </c>
      <c r="BH403" s="18">
        <v>0</v>
      </c>
      <c r="BI403" s="18">
        <v>0</v>
      </c>
      <c r="BJ403" s="18">
        <v>0</v>
      </c>
      <c r="BK403" s="18">
        <v>0</v>
      </c>
      <c r="BL403" s="18">
        <v>0</v>
      </c>
      <c r="BM403" s="18">
        <v>1</v>
      </c>
      <c r="BN403" s="18">
        <v>1</v>
      </c>
      <c r="BO403" s="18">
        <v>16.1</v>
      </c>
      <c r="BP403" s="18">
        <v>28.98</v>
      </c>
      <c r="BQ403" s="18">
        <v>38</v>
      </c>
      <c r="BR403" s="18">
        <v>0</v>
      </c>
      <c r="BS403" s="18">
        <v>0</v>
      </c>
      <c r="BT403" s="18">
        <v>0</v>
      </c>
      <c r="BU403" s="18">
        <v>0</v>
      </c>
    </row>
    <row r="404" spans="1:73">
      <c r="A404" s="19">
        <v>46188</v>
      </c>
      <c r="B404" s="18">
        <v>371</v>
      </c>
      <c r="C404" s="18" t="s">
        <v>32</v>
      </c>
      <c r="D404" s="18">
        <v>371</v>
      </c>
      <c r="E404" s="18" t="s">
        <v>32</v>
      </c>
      <c r="F404" s="18">
        <v>4327</v>
      </c>
      <c r="G404" s="18">
        <v>190</v>
      </c>
      <c r="H404" s="18">
        <v>136.37</v>
      </c>
      <c r="I404" s="18">
        <v>0.04391</v>
      </c>
      <c r="J404" s="18">
        <v>0.72</v>
      </c>
      <c r="K404" s="18">
        <v>31.52</v>
      </c>
      <c r="L404" s="18">
        <v>0</v>
      </c>
      <c r="M404" s="18">
        <v>0</v>
      </c>
      <c r="N404" s="18">
        <v>0</v>
      </c>
      <c r="O404" s="18">
        <v>0</v>
      </c>
      <c r="P404" s="18">
        <v>0</v>
      </c>
      <c r="Q404" s="18">
        <v>0</v>
      </c>
      <c r="R404" s="18">
        <v>0</v>
      </c>
      <c r="S404" s="18">
        <v>0</v>
      </c>
      <c r="T404" s="18">
        <v>0</v>
      </c>
      <c r="U404" s="18">
        <v>0</v>
      </c>
      <c r="V404" s="18">
        <v>0</v>
      </c>
      <c r="W404" s="18">
        <v>0</v>
      </c>
      <c r="X404" s="18">
        <v>0</v>
      </c>
      <c r="Y404" s="18">
        <v>0</v>
      </c>
      <c r="Z404" s="18">
        <v>0</v>
      </c>
      <c r="AA404" s="18"/>
      <c r="AB404" s="18">
        <v>7</v>
      </c>
      <c r="AC404" s="18">
        <v>5</v>
      </c>
      <c r="AD404" s="18">
        <v>2</v>
      </c>
      <c r="AE404" s="18">
        <v>0.03684</v>
      </c>
      <c r="AF404" s="18">
        <v>1</v>
      </c>
      <c r="AG404" s="18">
        <v>0</v>
      </c>
      <c r="AH404" s="18"/>
      <c r="AI404" s="18">
        <v>8</v>
      </c>
      <c r="AJ404" s="18">
        <v>17.05</v>
      </c>
      <c r="AK404" s="18">
        <v>8</v>
      </c>
      <c r="AL404" s="18">
        <v>17.05</v>
      </c>
      <c r="AM404" s="18">
        <v>1</v>
      </c>
      <c r="AN404" s="18">
        <v>136.37</v>
      </c>
      <c r="AO404" s="18">
        <v>0.00526</v>
      </c>
      <c r="AP404" s="18">
        <v>19.48</v>
      </c>
      <c r="AQ404" s="18">
        <v>0</v>
      </c>
      <c r="AR404" s="18">
        <v>0</v>
      </c>
      <c r="AS404" s="18">
        <v>1</v>
      </c>
      <c r="AT404" s="18">
        <v>0</v>
      </c>
      <c r="AU404" s="18">
        <v>0</v>
      </c>
      <c r="AV404" s="18">
        <v>0</v>
      </c>
      <c r="AW404" s="18">
        <v>0</v>
      </c>
      <c r="AX404" s="18">
        <v>0</v>
      </c>
      <c r="AY404" s="18">
        <v>332</v>
      </c>
      <c r="AZ404" s="18">
        <v>133</v>
      </c>
      <c r="BA404" s="18">
        <v>108</v>
      </c>
      <c r="BB404" s="18">
        <v>0.81203</v>
      </c>
      <c r="BC404" s="18">
        <v>0</v>
      </c>
      <c r="BD404" s="18">
        <v>0</v>
      </c>
      <c r="BE404" s="18">
        <v>0.07673</v>
      </c>
      <c r="BF404" s="18">
        <v>118</v>
      </c>
      <c r="BG404" s="18">
        <v>2</v>
      </c>
      <c r="BH404" s="18">
        <v>0</v>
      </c>
      <c r="BI404" s="18"/>
      <c r="BJ404" s="18">
        <v>0</v>
      </c>
      <c r="BK404" s="18">
        <v>0</v>
      </c>
      <c r="BL404" s="18">
        <v>0</v>
      </c>
      <c r="BM404" s="18">
        <v>0</v>
      </c>
      <c r="BN404" s="18"/>
      <c r="BO404" s="18"/>
      <c r="BP404" s="18">
        <v>0.12</v>
      </c>
      <c r="BQ404" s="18">
        <v>154</v>
      </c>
      <c r="BR404" s="18">
        <v>0</v>
      </c>
      <c r="BS404" s="18">
        <v>0</v>
      </c>
      <c r="BT404" s="18">
        <v>0</v>
      </c>
      <c r="BU404" s="18">
        <v>0</v>
      </c>
    </row>
    <row r="405" spans="1:73">
      <c r="A405" s="19">
        <v>46187</v>
      </c>
      <c r="B405" s="18">
        <v>372</v>
      </c>
      <c r="C405" s="18" t="s">
        <v>37</v>
      </c>
      <c r="D405" s="18">
        <v>372</v>
      </c>
      <c r="E405" s="18" t="s">
        <v>61</v>
      </c>
      <c r="F405" s="18">
        <v>1840</v>
      </c>
      <c r="G405" s="18">
        <v>171</v>
      </c>
      <c r="H405" s="18">
        <v>67.71</v>
      </c>
      <c r="I405" s="18">
        <v>0.09293</v>
      </c>
      <c r="J405" s="18">
        <v>0.4</v>
      </c>
      <c r="K405" s="18">
        <v>36.8</v>
      </c>
      <c r="L405" s="18">
        <v>0</v>
      </c>
      <c r="M405" s="18">
        <v>0</v>
      </c>
      <c r="N405" s="18">
        <v>0</v>
      </c>
      <c r="O405" s="18">
        <v>0</v>
      </c>
      <c r="P405" s="18">
        <v>0</v>
      </c>
      <c r="Q405" s="18">
        <v>0</v>
      </c>
      <c r="R405" s="18">
        <v>0</v>
      </c>
      <c r="S405" s="18">
        <v>0</v>
      </c>
      <c r="T405" s="18">
        <v>0</v>
      </c>
      <c r="U405" s="18">
        <v>0</v>
      </c>
      <c r="V405" s="18">
        <v>0</v>
      </c>
      <c r="W405" s="18">
        <v>0</v>
      </c>
      <c r="X405" s="18">
        <v>0</v>
      </c>
      <c r="Y405" s="18">
        <v>0</v>
      </c>
      <c r="Z405" s="18">
        <v>0</v>
      </c>
      <c r="AA405" s="18"/>
      <c r="AB405" s="18">
        <v>3</v>
      </c>
      <c r="AC405" s="18">
        <v>3</v>
      </c>
      <c r="AD405" s="18">
        <v>0</v>
      </c>
      <c r="AE405" s="18">
        <v>0.01754</v>
      </c>
      <c r="AF405" s="18">
        <v>3</v>
      </c>
      <c r="AG405" s="18">
        <v>1</v>
      </c>
      <c r="AH405" s="18">
        <v>67.71</v>
      </c>
      <c r="AI405" s="18">
        <v>7</v>
      </c>
      <c r="AJ405" s="18">
        <v>9.67</v>
      </c>
      <c r="AK405" s="18">
        <v>6</v>
      </c>
      <c r="AL405" s="18">
        <v>11.29</v>
      </c>
      <c r="AM405" s="18">
        <v>4</v>
      </c>
      <c r="AN405" s="18">
        <v>22.57</v>
      </c>
      <c r="AO405" s="18">
        <v>0.01754</v>
      </c>
      <c r="AP405" s="18">
        <v>22.57</v>
      </c>
      <c r="AQ405" s="18">
        <v>0</v>
      </c>
      <c r="AR405" s="18">
        <v>0</v>
      </c>
      <c r="AS405" s="18">
        <v>3</v>
      </c>
      <c r="AT405" s="18">
        <v>0</v>
      </c>
      <c r="AU405" s="18">
        <v>0</v>
      </c>
      <c r="AV405" s="18">
        <v>0</v>
      </c>
      <c r="AW405" s="18">
        <v>0</v>
      </c>
      <c r="AX405" s="18">
        <v>0</v>
      </c>
      <c r="AY405" s="18">
        <v>321</v>
      </c>
      <c r="AZ405" s="18">
        <v>162</v>
      </c>
      <c r="BA405" s="18">
        <v>119</v>
      </c>
      <c r="BB405" s="18">
        <v>0.73457</v>
      </c>
      <c r="BC405" s="18">
        <v>0</v>
      </c>
      <c r="BD405" s="18">
        <v>0</v>
      </c>
      <c r="BE405" s="18">
        <v>0.17446</v>
      </c>
      <c r="BF405" s="18">
        <v>90</v>
      </c>
      <c r="BG405" s="18">
        <v>2</v>
      </c>
      <c r="BH405" s="18">
        <v>0</v>
      </c>
      <c r="BI405" s="18"/>
      <c r="BJ405" s="18">
        <v>0</v>
      </c>
      <c r="BK405" s="18">
        <v>0</v>
      </c>
      <c r="BL405" s="18">
        <v>0</v>
      </c>
      <c r="BM405" s="18">
        <v>0</v>
      </c>
      <c r="BN405" s="18"/>
      <c r="BO405" s="18"/>
      <c r="BP405" s="18">
        <v>14.47</v>
      </c>
      <c r="BQ405" s="18">
        <v>301</v>
      </c>
      <c r="BR405" s="18">
        <v>0</v>
      </c>
      <c r="BS405" s="18">
        <v>0</v>
      </c>
      <c r="BT405" s="18">
        <v>0</v>
      </c>
      <c r="BU405" s="18">
        <v>0</v>
      </c>
    </row>
    <row r="406" spans="1:73">
      <c r="A406" s="19">
        <v>46187</v>
      </c>
      <c r="B406" s="18">
        <v>479</v>
      </c>
      <c r="C406" s="18" t="s">
        <v>39</v>
      </c>
      <c r="D406" s="18">
        <v>479</v>
      </c>
      <c r="E406" s="18" t="s">
        <v>39</v>
      </c>
      <c r="F406" s="18">
        <v>31</v>
      </c>
      <c r="G406" s="18">
        <v>13</v>
      </c>
      <c r="H406" s="18">
        <v>11.05</v>
      </c>
      <c r="I406" s="18">
        <v>0.41935</v>
      </c>
      <c r="J406" s="18">
        <v>0.85</v>
      </c>
      <c r="K406" s="18">
        <v>356.35</v>
      </c>
      <c r="L406" s="18">
        <v>0</v>
      </c>
      <c r="M406" s="18">
        <v>0</v>
      </c>
      <c r="N406" s="18">
        <v>0</v>
      </c>
      <c r="O406" s="18">
        <v>0</v>
      </c>
      <c r="P406" s="18">
        <v>0</v>
      </c>
      <c r="Q406" s="18">
        <v>0</v>
      </c>
      <c r="R406" s="18">
        <v>0</v>
      </c>
      <c r="S406" s="18">
        <v>0</v>
      </c>
      <c r="T406" s="18">
        <v>0</v>
      </c>
      <c r="U406" s="18">
        <v>0</v>
      </c>
      <c r="V406" s="18">
        <v>0</v>
      </c>
      <c r="W406" s="18">
        <v>0</v>
      </c>
      <c r="X406" s="18">
        <v>0</v>
      </c>
      <c r="Y406" s="18">
        <v>0</v>
      </c>
      <c r="Z406" s="18">
        <v>0</v>
      </c>
      <c r="AA406" s="18"/>
      <c r="AB406" s="18">
        <v>1</v>
      </c>
      <c r="AC406" s="18">
        <v>1</v>
      </c>
      <c r="AD406" s="18">
        <v>0</v>
      </c>
      <c r="AE406" s="18">
        <v>0.07692</v>
      </c>
      <c r="AF406" s="18">
        <v>0</v>
      </c>
      <c r="AG406" s="18">
        <v>1</v>
      </c>
      <c r="AH406" s="18">
        <v>11.05</v>
      </c>
      <c r="AI406" s="18">
        <v>2</v>
      </c>
      <c r="AJ406" s="18">
        <v>5.52</v>
      </c>
      <c r="AK406" s="18">
        <v>1</v>
      </c>
      <c r="AL406" s="18">
        <v>11.05</v>
      </c>
      <c r="AM406" s="18">
        <v>1</v>
      </c>
      <c r="AN406" s="18"/>
      <c r="AO406" s="18">
        <v>0</v>
      </c>
      <c r="AP406" s="18">
        <v>11.05</v>
      </c>
      <c r="AQ406" s="18">
        <v>0</v>
      </c>
      <c r="AR406" s="18">
        <v>0</v>
      </c>
      <c r="AS406" s="18">
        <v>0</v>
      </c>
      <c r="AT406" s="18">
        <v>0</v>
      </c>
      <c r="AU406" s="18">
        <v>0</v>
      </c>
      <c r="AV406" s="18">
        <v>0</v>
      </c>
      <c r="AW406" s="18">
        <v>0</v>
      </c>
      <c r="AX406" s="18">
        <v>1</v>
      </c>
      <c r="AY406" s="18">
        <v>143</v>
      </c>
      <c r="AZ406" s="18">
        <v>11</v>
      </c>
      <c r="BA406" s="18">
        <v>8</v>
      </c>
      <c r="BB406" s="18">
        <v>0.72727</v>
      </c>
      <c r="BC406" s="18">
        <v>0</v>
      </c>
      <c r="BD406" s="18">
        <v>0</v>
      </c>
      <c r="BE406" s="18">
        <v>4.6129</v>
      </c>
      <c r="BF406" s="18">
        <v>128</v>
      </c>
      <c r="BG406" s="18">
        <v>13</v>
      </c>
      <c r="BH406" s="18">
        <v>0</v>
      </c>
      <c r="BI406" s="18"/>
      <c r="BJ406" s="18">
        <v>0</v>
      </c>
      <c r="BK406" s="18">
        <v>0</v>
      </c>
      <c r="BL406" s="18">
        <v>0</v>
      </c>
      <c r="BM406" s="18">
        <v>0</v>
      </c>
      <c r="BN406" s="18"/>
      <c r="BO406" s="18"/>
      <c r="BP406" s="18">
        <v>3.9</v>
      </c>
      <c r="BQ406" s="18">
        <v>51</v>
      </c>
      <c r="BR406" s="18">
        <v>0</v>
      </c>
      <c r="BS406" s="18">
        <v>0</v>
      </c>
      <c r="BT406" s="18">
        <v>0</v>
      </c>
      <c r="BU406" s="18">
        <v>0</v>
      </c>
    </row>
    <row r="407" spans="1:73">
      <c r="A407" s="19">
        <v>46187</v>
      </c>
      <c r="B407" s="18">
        <v>371</v>
      </c>
      <c r="C407" s="18" t="s">
        <v>32</v>
      </c>
      <c r="D407" s="18">
        <v>371</v>
      </c>
      <c r="E407" s="18" t="s">
        <v>32</v>
      </c>
      <c r="F407" s="18">
        <v>4709</v>
      </c>
      <c r="G407" s="18">
        <v>196</v>
      </c>
      <c r="H407" s="18">
        <v>141.29</v>
      </c>
      <c r="I407" s="18">
        <v>0.04162</v>
      </c>
      <c r="J407" s="18">
        <v>0.72</v>
      </c>
      <c r="K407" s="18">
        <v>30</v>
      </c>
      <c r="L407" s="18">
        <v>0</v>
      </c>
      <c r="M407" s="18">
        <v>0</v>
      </c>
      <c r="N407" s="18">
        <v>0</v>
      </c>
      <c r="O407" s="18">
        <v>0</v>
      </c>
      <c r="P407" s="18">
        <v>0</v>
      </c>
      <c r="Q407" s="18">
        <v>0</v>
      </c>
      <c r="R407" s="18">
        <v>0</v>
      </c>
      <c r="S407" s="18">
        <v>0</v>
      </c>
      <c r="T407" s="18">
        <v>0</v>
      </c>
      <c r="U407" s="18">
        <v>0</v>
      </c>
      <c r="V407" s="18">
        <v>0</v>
      </c>
      <c r="W407" s="18">
        <v>0</v>
      </c>
      <c r="X407" s="18">
        <v>0</v>
      </c>
      <c r="Y407" s="18">
        <v>0</v>
      </c>
      <c r="Z407" s="18">
        <v>0</v>
      </c>
      <c r="AA407" s="18"/>
      <c r="AB407" s="18">
        <v>11</v>
      </c>
      <c r="AC407" s="18">
        <v>5</v>
      </c>
      <c r="AD407" s="18">
        <v>6</v>
      </c>
      <c r="AE407" s="18">
        <v>0.05612</v>
      </c>
      <c r="AF407" s="18">
        <v>3</v>
      </c>
      <c r="AG407" s="18">
        <v>1</v>
      </c>
      <c r="AH407" s="18">
        <v>141.29</v>
      </c>
      <c r="AI407" s="18">
        <v>15</v>
      </c>
      <c r="AJ407" s="18">
        <v>9.42</v>
      </c>
      <c r="AK407" s="18">
        <v>14</v>
      </c>
      <c r="AL407" s="18">
        <v>10.09</v>
      </c>
      <c r="AM407" s="18">
        <v>4</v>
      </c>
      <c r="AN407" s="18">
        <v>47.1</v>
      </c>
      <c r="AO407" s="18">
        <v>0.01531</v>
      </c>
      <c r="AP407" s="18">
        <v>12.84</v>
      </c>
      <c r="AQ407" s="18">
        <v>0</v>
      </c>
      <c r="AR407" s="18">
        <v>0</v>
      </c>
      <c r="AS407" s="18">
        <v>2</v>
      </c>
      <c r="AT407" s="18">
        <v>1</v>
      </c>
      <c r="AU407" s="18">
        <v>0</v>
      </c>
      <c r="AV407" s="18">
        <v>0</v>
      </c>
      <c r="AW407" s="18">
        <v>0</v>
      </c>
      <c r="AX407" s="18">
        <v>0</v>
      </c>
      <c r="AY407" s="18">
        <v>317</v>
      </c>
      <c r="AZ407" s="18">
        <v>142</v>
      </c>
      <c r="BA407" s="18">
        <v>122</v>
      </c>
      <c r="BB407" s="18">
        <v>0.85915</v>
      </c>
      <c r="BC407" s="18">
        <v>0</v>
      </c>
      <c r="BD407" s="18">
        <v>0</v>
      </c>
      <c r="BE407" s="18">
        <v>0.06732</v>
      </c>
      <c r="BF407" s="18">
        <v>115</v>
      </c>
      <c r="BG407" s="18">
        <v>2</v>
      </c>
      <c r="BH407" s="18">
        <v>0</v>
      </c>
      <c r="BI407" s="18"/>
      <c r="BJ407" s="18">
        <v>0</v>
      </c>
      <c r="BK407" s="18">
        <v>0</v>
      </c>
      <c r="BL407" s="18">
        <v>0</v>
      </c>
      <c r="BM407" s="18">
        <v>0</v>
      </c>
      <c r="BN407" s="18"/>
      <c r="BO407" s="18"/>
      <c r="BP407" s="18">
        <v>35.75</v>
      </c>
      <c r="BQ407" s="18">
        <v>355</v>
      </c>
      <c r="BR407" s="18">
        <v>0</v>
      </c>
      <c r="BS407" s="18">
        <v>0</v>
      </c>
      <c r="BT407" s="18">
        <v>0</v>
      </c>
      <c r="BU407" s="18">
        <v>0</v>
      </c>
    </row>
    <row r="408" spans="1:73">
      <c r="A408" s="19">
        <v>46187</v>
      </c>
      <c r="B408" s="18">
        <v>436</v>
      </c>
      <c r="C408" s="18" t="s">
        <v>38</v>
      </c>
      <c r="D408" s="18">
        <v>436</v>
      </c>
      <c r="E408" s="18" t="s">
        <v>38</v>
      </c>
      <c r="F408" s="18">
        <v>512</v>
      </c>
      <c r="G408" s="18">
        <v>18</v>
      </c>
      <c r="H408" s="18">
        <v>50</v>
      </c>
      <c r="I408" s="18">
        <v>0.03516</v>
      </c>
      <c r="J408" s="18">
        <v>2.78</v>
      </c>
      <c r="K408" s="18">
        <v>97.66</v>
      </c>
      <c r="L408" s="18">
        <v>0</v>
      </c>
      <c r="M408" s="18">
        <v>0</v>
      </c>
      <c r="N408" s="18">
        <v>0</v>
      </c>
      <c r="O408" s="18">
        <v>0</v>
      </c>
      <c r="P408" s="18">
        <v>0</v>
      </c>
      <c r="Q408" s="18">
        <v>0</v>
      </c>
      <c r="R408" s="18">
        <v>142</v>
      </c>
      <c r="S408" s="18">
        <v>39.8</v>
      </c>
      <c r="T408" s="18">
        <v>181.8</v>
      </c>
      <c r="U408" s="18">
        <v>2</v>
      </c>
      <c r="V408" s="18">
        <v>1</v>
      </c>
      <c r="W408" s="18">
        <v>1</v>
      </c>
      <c r="X408" s="18">
        <v>0.11111</v>
      </c>
      <c r="Y408" s="18">
        <v>3.64</v>
      </c>
      <c r="Z408" s="18">
        <v>3.64</v>
      </c>
      <c r="AA408" s="18">
        <v>25</v>
      </c>
      <c r="AB408" s="18">
        <v>5</v>
      </c>
      <c r="AC408" s="18">
        <v>2</v>
      </c>
      <c r="AD408" s="18">
        <v>3</v>
      </c>
      <c r="AE408" s="18">
        <v>0.27778</v>
      </c>
      <c r="AF408" s="18">
        <v>0</v>
      </c>
      <c r="AG408" s="18">
        <v>0</v>
      </c>
      <c r="AH408" s="18"/>
      <c r="AI408" s="18">
        <v>5</v>
      </c>
      <c r="AJ408" s="18">
        <v>10</v>
      </c>
      <c r="AK408" s="18">
        <v>5</v>
      </c>
      <c r="AL408" s="18">
        <v>10</v>
      </c>
      <c r="AM408" s="18">
        <v>0</v>
      </c>
      <c r="AN408" s="18"/>
      <c r="AO408" s="18">
        <v>0</v>
      </c>
      <c r="AP408" s="18">
        <v>10</v>
      </c>
      <c r="AQ408" s="18">
        <v>2</v>
      </c>
      <c r="AR408" s="18">
        <v>214.9</v>
      </c>
      <c r="AS408" s="18">
        <v>0</v>
      </c>
      <c r="AT408" s="18">
        <v>0</v>
      </c>
      <c r="AU408" s="18">
        <v>0</v>
      </c>
      <c r="AV408" s="18">
        <v>0</v>
      </c>
      <c r="AW408" s="18">
        <v>0</v>
      </c>
      <c r="AX408" s="18">
        <v>1</v>
      </c>
      <c r="AY408" s="18">
        <v>99</v>
      </c>
      <c r="AZ408" s="18">
        <v>17</v>
      </c>
      <c r="BA408" s="18">
        <v>15</v>
      </c>
      <c r="BB408" s="18">
        <v>0.88235</v>
      </c>
      <c r="BC408" s="18">
        <v>0</v>
      </c>
      <c r="BD408" s="18">
        <v>0</v>
      </c>
      <c r="BE408" s="18">
        <v>0.19336</v>
      </c>
      <c r="BF408" s="18">
        <v>76</v>
      </c>
      <c r="BG408" s="18">
        <v>6</v>
      </c>
      <c r="BH408" s="18">
        <v>2</v>
      </c>
      <c r="BI408" s="18">
        <v>1</v>
      </c>
      <c r="BJ408" s="18">
        <v>0</v>
      </c>
      <c r="BK408" s="18">
        <v>0</v>
      </c>
      <c r="BL408" s="18">
        <v>0</v>
      </c>
      <c r="BM408" s="18">
        <v>2</v>
      </c>
      <c r="BN408" s="18">
        <v>1</v>
      </c>
      <c r="BO408" s="18">
        <v>90.9</v>
      </c>
      <c r="BP408" s="18">
        <v>12.16</v>
      </c>
      <c r="BQ408" s="18">
        <v>572</v>
      </c>
      <c r="BR408" s="18">
        <v>0</v>
      </c>
      <c r="BS408" s="18">
        <v>0</v>
      </c>
      <c r="BT408" s="18">
        <v>0</v>
      </c>
      <c r="BU408" s="18">
        <v>0</v>
      </c>
    </row>
    <row r="409" spans="1:73">
      <c r="A409" s="19">
        <v>46187</v>
      </c>
      <c r="B409" s="18">
        <v>183</v>
      </c>
      <c r="C409" s="18" t="s">
        <v>40</v>
      </c>
      <c r="D409" s="18">
        <v>183</v>
      </c>
      <c r="E409" s="18" t="s">
        <v>40</v>
      </c>
      <c r="F409" s="18">
        <v>1469</v>
      </c>
      <c r="G409" s="18">
        <v>59</v>
      </c>
      <c r="H409" s="18">
        <v>100</v>
      </c>
      <c r="I409" s="18">
        <v>0.04016</v>
      </c>
      <c r="J409" s="18">
        <v>1.69</v>
      </c>
      <c r="K409" s="18">
        <v>68.07</v>
      </c>
      <c r="L409" s="18">
        <v>0</v>
      </c>
      <c r="M409" s="18">
        <v>0</v>
      </c>
      <c r="N409" s="18">
        <v>0</v>
      </c>
      <c r="O409" s="18">
        <v>0</v>
      </c>
      <c r="P409" s="18">
        <v>0</v>
      </c>
      <c r="Q409" s="18">
        <v>0</v>
      </c>
      <c r="R409" s="18">
        <v>115.47</v>
      </c>
      <c r="S409" s="18">
        <v>4480.52</v>
      </c>
      <c r="T409" s="18">
        <v>4595.99</v>
      </c>
      <c r="U409" s="18">
        <v>4</v>
      </c>
      <c r="V409" s="18">
        <v>2</v>
      </c>
      <c r="W409" s="18">
        <v>2</v>
      </c>
      <c r="X409" s="18">
        <v>0.0678</v>
      </c>
      <c r="Y409" s="18">
        <v>45.96</v>
      </c>
      <c r="Z409" s="18">
        <v>45.96</v>
      </c>
      <c r="AA409" s="18">
        <v>25</v>
      </c>
      <c r="AB409" s="18">
        <v>12</v>
      </c>
      <c r="AC409" s="18">
        <v>8</v>
      </c>
      <c r="AD409" s="18">
        <v>4</v>
      </c>
      <c r="AE409" s="18">
        <v>0.20339</v>
      </c>
      <c r="AF409" s="18">
        <v>1</v>
      </c>
      <c r="AG409" s="18">
        <v>1</v>
      </c>
      <c r="AH409" s="18">
        <v>100</v>
      </c>
      <c r="AI409" s="18">
        <v>14</v>
      </c>
      <c r="AJ409" s="18">
        <v>7.14</v>
      </c>
      <c r="AK409" s="18">
        <v>13</v>
      </c>
      <c r="AL409" s="18">
        <v>7.69</v>
      </c>
      <c r="AM409" s="18">
        <v>2</v>
      </c>
      <c r="AN409" s="18">
        <v>100</v>
      </c>
      <c r="AO409" s="18">
        <v>0.01695</v>
      </c>
      <c r="AP409" s="18">
        <v>8.33</v>
      </c>
      <c r="AQ409" s="18">
        <v>5</v>
      </c>
      <c r="AR409" s="18">
        <v>6218.8</v>
      </c>
      <c r="AS409" s="18">
        <v>0</v>
      </c>
      <c r="AT409" s="18">
        <v>1</v>
      </c>
      <c r="AU409" s="18">
        <v>0</v>
      </c>
      <c r="AV409" s="18">
        <v>0</v>
      </c>
      <c r="AW409" s="18">
        <v>0</v>
      </c>
      <c r="AX409" s="18">
        <v>0</v>
      </c>
      <c r="AY409" s="18">
        <v>482</v>
      </c>
      <c r="AZ409" s="18">
        <v>185</v>
      </c>
      <c r="BA409" s="18">
        <v>131</v>
      </c>
      <c r="BB409" s="18">
        <v>0.70811</v>
      </c>
      <c r="BC409" s="18">
        <v>0</v>
      </c>
      <c r="BD409" s="18">
        <v>0</v>
      </c>
      <c r="BE409" s="18">
        <v>0.32811</v>
      </c>
      <c r="BF409" s="18">
        <v>232</v>
      </c>
      <c r="BG409" s="18">
        <v>3</v>
      </c>
      <c r="BH409" s="18">
        <v>2</v>
      </c>
      <c r="BI409" s="18">
        <v>1</v>
      </c>
      <c r="BJ409" s="18">
        <v>0</v>
      </c>
      <c r="BK409" s="18">
        <v>0</v>
      </c>
      <c r="BL409" s="18">
        <v>0</v>
      </c>
      <c r="BM409" s="18">
        <v>2</v>
      </c>
      <c r="BN409" s="18">
        <v>2</v>
      </c>
      <c r="BO409" s="18">
        <v>2298</v>
      </c>
      <c r="BP409" s="18">
        <v>21.38</v>
      </c>
      <c r="BQ409" s="18">
        <v>632</v>
      </c>
      <c r="BR409" s="18">
        <v>0</v>
      </c>
      <c r="BS409" s="18">
        <v>0</v>
      </c>
      <c r="BT409" s="18">
        <v>0</v>
      </c>
      <c r="BU409" s="18">
        <v>0</v>
      </c>
    </row>
    <row r="410" spans="1:73">
      <c r="A410" s="19">
        <v>46186</v>
      </c>
      <c r="B410" s="18">
        <v>371</v>
      </c>
      <c r="C410" s="18" t="s">
        <v>32</v>
      </c>
      <c r="D410" s="18">
        <v>371</v>
      </c>
      <c r="E410" s="18" t="s">
        <v>32</v>
      </c>
      <c r="F410" s="18">
        <v>4491</v>
      </c>
      <c r="G410" s="18">
        <v>185</v>
      </c>
      <c r="H410" s="18">
        <v>121.51</v>
      </c>
      <c r="I410" s="18">
        <v>0.04119</v>
      </c>
      <c r="J410" s="18">
        <v>0.66</v>
      </c>
      <c r="K410" s="18">
        <v>27.06</v>
      </c>
      <c r="L410" s="18">
        <v>0</v>
      </c>
      <c r="M410" s="18">
        <v>0</v>
      </c>
      <c r="N410" s="18">
        <v>0</v>
      </c>
      <c r="O410" s="18">
        <v>0</v>
      </c>
      <c r="P410" s="18">
        <v>0</v>
      </c>
      <c r="Q410" s="18">
        <v>0</v>
      </c>
      <c r="R410" s="18">
        <v>201</v>
      </c>
      <c r="S410" s="18">
        <v>0</v>
      </c>
      <c r="T410" s="18">
        <v>201</v>
      </c>
      <c r="U410" s="18">
        <v>1</v>
      </c>
      <c r="V410" s="18">
        <v>1</v>
      </c>
      <c r="W410" s="18">
        <v>0</v>
      </c>
      <c r="X410" s="18">
        <v>0.00541</v>
      </c>
      <c r="Y410" s="18">
        <v>1.65</v>
      </c>
      <c r="Z410" s="18">
        <v>1.65</v>
      </c>
      <c r="AA410" s="18">
        <v>121.51</v>
      </c>
      <c r="AB410" s="18">
        <v>4</v>
      </c>
      <c r="AC410" s="18">
        <v>3</v>
      </c>
      <c r="AD410" s="18">
        <v>1</v>
      </c>
      <c r="AE410" s="18">
        <v>0.02162</v>
      </c>
      <c r="AF410" s="18">
        <v>2</v>
      </c>
      <c r="AG410" s="18">
        <v>1</v>
      </c>
      <c r="AH410" s="18">
        <v>121.51</v>
      </c>
      <c r="AI410" s="18">
        <v>7</v>
      </c>
      <c r="AJ410" s="18">
        <v>17.36</v>
      </c>
      <c r="AK410" s="18">
        <v>6</v>
      </c>
      <c r="AL410" s="18">
        <v>20.25</v>
      </c>
      <c r="AM410" s="18">
        <v>3</v>
      </c>
      <c r="AN410" s="18">
        <v>60.76</v>
      </c>
      <c r="AO410" s="18">
        <v>0.01081</v>
      </c>
      <c r="AP410" s="18">
        <v>30.38</v>
      </c>
      <c r="AQ410" s="18">
        <v>3</v>
      </c>
      <c r="AR410" s="18">
        <v>587.9</v>
      </c>
      <c r="AS410" s="18">
        <v>2</v>
      </c>
      <c r="AT410" s="18">
        <v>0</v>
      </c>
      <c r="AU410" s="18">
        <v>0</v>
      </c>
      <c r="AV410" s="18">
        <v>0</v>
      </c>
      <c r="AW410" s="18">
        <v>0</v>
      </c>
      <c r="AX410" s="18">
        <v>1</v>
      </c>
      <c r="AY410" s="18">
        <v>285</v>
      </c>
      <c r="AZ410" s="18">
        <v>146</v>
      </c>
      <c r="BA410" s="18">
        <v>132</v>
      </c>
      <c r="BB410" s="18">
        <v>0.90411</v>
      </c>
      <c r="BC410" s="18">
        <v>0</v>
      </c>
      <c r="BD410" s="18">
        <v>0</v>
      </c>
      <c r="BE410" s="18">
        <v>0.06346</v>
      </c>
      <c r="BF410" s="18">
        <v>84</v>
      </c>
      <c r="BG410" s="18">
        <v>2</v>
      </c>
      <c r="BH410" s="18">
        <v>1</v>
      </c>
      <c r="BI410" s="18">
        <v>1</v>
      </c>
      <c r="BJ410" s="18">
        <v>0</v>
      </c>
      <c r="BK410" s="18">
        <v>0</v>
      </c>
      <c r="BL410" s="18">
        <v>0</v>
      </c>
      <c r="BM410" s="18">
        <v>1</v>
      </c>
      <c r="BN410" s="18">
        <v>1</v>
      </c>
      <c r="BO410" s="18">
        <v>201</v>
      </c>
      <c r="BP410" s="18">
        <v>0.02</v>
      </c>
      <c r="BQ410" s="18">
        <v>2007</v>
      </c>
      <c r="BR410" s="18">
        <v>0</v>
      </c>
      <c r="BS410" s="18">
        <v>0</v>
      </c>
      <c r="BT410" s="18">
        <v>0</v>
      </c>
      <c r="BU410" s="18">
        <v>0</v>
      </c>
    </row>
    <row r="411" spans="1:73">
      <c r="A411" s="19">
        <v>46186</v>
      </c>
      <c r="B411" s="18">
        <v>436</v>
      </c>
      <c r="C411" s="18" t="s">
        <v>38</v>
      </c>
      <c r="D411" s="18">
        <v>436</v>
      </c>
      <c r="E411" s="18" t="s">
        <v>38</v>
      </c>
      <c r="F411" s="18">
        <v>572</v>
      </c>
      <c r="G411" s="18">
        <v>23</v>
      </c>
      <c r="H411" s="18">
        <v>50</v>
      </c>
      <c r="I411" s="18">
        <v>0.04021</v>
      </c>
      <c r="J411" s="18">
        <v>2.17</v>
      </c>
      <c r="K411" s="18">
        <v>87.41</v>
      </c>
      <c r="L411" s="18">
        <v>0</v>
      </c>
      <c r="M411" s="18">
        <v>0</v>
      </c>
      <c r="N411" s="18">
        <v>0</v>
      </c>
      <c r="O411" s="18">
        <v>0</v>
      </c>
      <c r="P411" s="18">
        <v>0</v>
      </c>
      <c r="Q411" s="18">
        <v>0</v>
      </c>
      <c r="R411" s="18">
        <v>642.3</v>
      </c>
      <c r="S411" s="18">
        <v>193</v>
      </c>
      <c r="T411" s="18">
        <v>835.3</v>
      </c>
      <c r="U411" s="18">
        <v>3</v>
      </c>
      <c r="V411" s="18">
        <v>2</v>
      </c>
      <c r="W411" s="18">
        <v>1</v>
      </c>
      <c r="X411" s="18">
        <v>0.13043</v>
      </c>
      <c r="Y411" s="18">
        <v>16.71</v>
      </c>
      <c r="Z411" s="18">
        <v>16.71</v>
      </c>
      <c r="AA411" s="18">
        <v>16.67</v>
      </c>
      <c r="AB411" s="18">
        <v>3</v>
      </c>
      <c r="AC411" s="18">
        <v>2</v>
      </c>
      <c r="AD411" s="18">
        <v>1</v>
      </c>
      <c r="AE411" s="18">
        <v>0.13043</v>
      </c>
      <c r="AF411" s="18">
        <v>1</v>
      </c>
      <c r="AG411" s="18">
        <v>0</v>
      </c>
      <c r="AH411" s="18"/>
      <c r="AI411" s="18">
        <v>4</v>
      </c>
      <c r="AJ411" s="18">
        <v>12.5</v>
      </c>
      <c r="AK411" s="18">
        <v>4</v>
      </c>
      <c r="AL411" s="18">
        <v>12.5</v>
      </c>
      <c r="AM411" s="18">
        <v>1</v>
      </c>
      <c r="AN411" s="18">
        <v>50</v>
      </c>
      <c r="AO411" s="18">
        <v>0.04348</v>
      </c>
      <c r="AP411" s="18">
        <v>16.67</v>
      </c>
      <c r="AQ411" s="18">
        <v>5</v>
      </c>
      <c r="AR411" s="18">
        <v>1631.9</v>
      </c>
      <c r="AS411" s="18">
        <v>1</v>
      </c>
      <c r="AT411" s="18">
        <v>0</v>
      </c>
      <c r="AU411" s="18">
        <v>0</v>
      </c>
      <c r="AV411" s="18">
        <v>0</v>
      </c>
      <c r="AW411" s="18">
        <v>0</v>
      </c>
      <c r="AX411" s="18">
        <v>2</v>
      </c>
      <c r="AY411" s="18">
        <v>58</v>
      </c>
      <c r="AZ411" s="18">
        <v>20</v>
      </c>
      <c r="BA411" s="18">
        <v>13</v>
      </c>
      <c r="BB411" s="18">
        <v>0.65</v>
      </c>
      <c r="BC411" s="18">
        <v>0</v>
      </c>
      <c r="BD411" s="18">
        <v>0</v>
      </c>
      <c r="BE411" s="18">
        <v>0.1014</v>
      </c>
      <c r="BF411" s="18">
        <v>35</v>
      </c>
      <c r="BG411" s="18">
        <v>3</v>
      </c>
      <c r="BH411" s="18">
        <v>3</v>
      </c>
      <c r="BI411" s="18">
        <v>1</v>
      </c>
      <c r="BJ411" s="18">
        <v>0</v>
      </c>
      <c r="BK411" s="18">
        <v>0</v>
      </c>
      <c r="BL411" s="18">
        <v>0</v>
      </c>
      <c r="BM411" s="18">
        <v>3</v>
      </c>
      <c r="BN411" s="18">
        <v>1</v>
      </c>
      <c r="BO411" s="18">
        <v>278.43</v>
      </c>
      <c r="BP411" s="18">
        <v>0</v>
      </c>
      <c r="BQ411" s="18">
        <v>355</v>
      </c>
      <c r="BR411" s="18">
        <v>0</v>
      </c>
      <c r="BS411" s="18">
        <v>0</v>
      </c>
      <c r="BT411" s="18">
        <v>0</v>
      </c>
      <c r="BU411" s="18">
        <v>0</v>
      </c>
    </row>
    <row r="412" spans="1:73">
      <c r="A412" s="19">
        <v>46186</v>
      </c>
      <c r="B412" s="18">
        <v>372</v>
      </c>
      <c r="C412" s="18" t="s">
        <v>37</v>
      </c>
      <c r="D412" s="18">
        <v>372</v>
      </c>
      <c r="E412" s="18" t="s">
        <v>61</v>
      </c>
      <c r="F412" s="18">
        <v>1882</v>
      </c>
      <c r="G412" s="18">
        <v>195</v>
      </c>
      <c r="H412" s="18">
        <v>76.02</v>
      </c>
      <c r="I412" s="18">
        <v>0.10361</v>
      </c>
      <c r="J412" s="18">
        <v>0.39</v>
      </c>
      <c r="K412" s="18">
        <v>40.39</v>
      </c>
      <c r="L412" s="18">
        <v>0</v>
      </c>
      <c r="M412" s="18">
        <v>0</v>
      </c>
      <c r="N412" s="18">
        <v>0</v>
      </c>
      <c r="O412" s="18">
        <v>0</v>
      </c>
      <c r="P412" s="18">
        <v>0</v>
      </c>
      <c r="Q412" s="18">
        <v>0</v>
      </c>
      <c r="R412" s="18">
        <v>0</v>
      </c>
      <c r="S412" s="18">
        <v>236.1</v>
      </c>
      <c r="T412" s="18">
        <v>236.1</v>
      </c>
      <c r="U412" s="18">
        <v>3</v>
      </c>
      <c r="V412" s="18">
        <v>0</v>
      </c>
      <c r="W412" s="18">
        <v>3</v>
      </c>
      <c r="X412" s="18">
        <v>0.01538</v>
      </c>
      <c r="Y412" s="18">
        <v>3.11</v>
      </c>
      <c r="Z412" s="18">
        <v>3.11</v>
      </c>
      <c r="AA412" s="18">
        <v>25.34</v>
      </c>
      <c r="AB412" s="18">
        <v>10</v>
      </c>
      <c r="AC412" s="18">
        <v>7</v>
      </c>
      <c r="AD412" s="18">
        <v>3</v>
      </c>
      <c r="AE412" s="18">
        <v>0.05128</v>
      </c>
      <c r="AF412" s="18">
        <v>3</v>
      </c>
      <c r="AG412" s="18">
        <v>0</v>
      </c>
      <c r="AH412" s="18"/>
      <c r="AI412" s="18">
        <v>13</v>
      </c>
      <c r="AJ412" s="18">
        <v>5.85</v>
      </c>
      <c r="AK412" s="18">
        <v>13</v>
      </c>
      <c r="AL412" s="18">
        <v>5.85</v>
      </c>
      <c r="AM412" s="18">
        <v>3</v>
      </c>
      <c r="AN412" s="18">
        <v>25.34</v>
      </c>
      <c r="AO412" s="18">
        <v>0.01538</v>
      </c>
      <c r="AP412" s="18">
        <v>7.6</v>
      </c>
      <c r="AQ412" s="18">
        <v>4</v>
      </c>
      <c r="AR412" s="18">
        <v>331.5</v>
      </c>
      <c r="AS412" s="18">
        <v>1</v>
      </c>
      <c r="AT412" s="18">
        <v>2</v>
      </c>
      <c r="AU412" s="18">
        <v>0</v>
      </c>
      <c r="AV412" s="18">
        <v>0</v>
      </c>
      <c r="AW412" s="18">
        <v>0</v>
      </c>
      <c r="AX412" s="18">
        <v>0</v>
      </c>
      <c r="AY412" s="18">
        <v>382</v>
      </c>
      <c r="AZ412" s="18">
        <v>203</v>
      </c>
      <c r="BA412" s="18">
        <v>154</v>
      </c>
      <c r="BB412" s="18">
        <v>0.75862</v>
      </c>
      <c r="BC412" s="18">
        <v>0</v>
      </c>
      <c r="BD412" s="18">
        <v>0</v>
      </c>
      <c r="BE412" s="18">
        <v>0.20298</v>
      </c>
      <c r="BF412" s="18">
        <v>109</v>
      </c>
      <c r="BG412" s="18">
        <v>2</v>
      </c>
      <c r="BH412" s="18">
        <v>0</v>
      </c>
      <c r="BI412" s="18">
        <v>0</v>
      </c>
      <c r="BJ412" s="18">
        <v>0</v>
      </c>
      <c r="BK412" s="18">
        <v>0</v>
      </c>
      <c r="BL412" s="18">
        <v>0</v>
      </c>
      <c r="BM412" s="18">
        <v>1</v>
      </c>
      <c r="BN412" s="18">
        <v>3</v>
      </c>
      <c r="BO412" s="18">
        <v>236.1</v>
      </c>
      <c r="BP412" s="18">
        <v>8.83</v>
      </c>
      <c r="BQ412" s="18">
        <v>640</v>
      </c>
      <c r="BR412" s="18">
        <v>0</v>
      </c>
      <c r="BS412" s="18">
        <v>0</v>
      </c>
      <c r="BT412" s="18">
        <v>0</v>
      </c>
      <c r="BU412" s="18">
        <v>0</v>
      </c>
    </row>
    <row r="413" spans="1:73">
      <c r="A413" s="19">
        <v>46186</v>
      </c>
      <c r="B413" s="18">
        <v>479</v>
      </c>
      <c r="C413" s="18" t="s">
        <v>39</v>
      </c>
      <c r="D413" s="18">
        <v>479</v>
      </c>
      <c r="E413" s="18" t="s">
        <v>39</v>
      </c>
      <c r="F413" s="18">
        <v>41</v>
      </c>
      <c r="G413" s="18">
        <v>15</v>
      </c>
      <c r="H413" s="18">
        <v>14.47</v>
      </c>
      <c r="I413" s="18">
        <v>0.36585</v>
      </c>
      <c r="J413" s="18">
        <v>0.96</v>
      </c>
      <c r="K413" s="18">
        <v>352.92</v>
      </c>
      <c r="L413" s="18">
        <v>0</v>
      </c>
      <c r="M413" s="18">
        <v>0</v>
      </c>
      <c r="N413" s="18">
        <v>0</v>
      </c>
      <c r="O413" s="18">
        <v>0</v>
      </c>
      <c r="P413" s="18">
        <v>0</v>
      </c>
      <c r="Q413" s="18">
        <v>0</v>
      </c>
      <c r="R413" s="18">
        <v>0</v>
      </c>
      <c r="S413" s="18">
        <v>79.15</v>
      </c>
      <c r="T413" s="18">
        <v>79.15</v>
      </c>
      <c r="U413" s="18">
        <v>1</v>
      </c>
      <c r="V413" s="18">
        <v>0</v>
      </c>
      <c r="W413" s="18">
        <v>1</v>
      </c>
      <c r="X413" s="18">
        <v>0.06667</v>
      </c>
      <c r="Y413" s="18">
        <v>5.47</v>
      </c>
      <c r="Z413" s="18">
        <v>5.47</v>
      </c>
      <c r="AA413" s="18">
        <v>14.47</v>
      </c>
      <c r="AB413" s="18">
        <v>6</v>
      </c>
      <c r="AC413" s="18">
        <v>0</v>
      </c>
      <c r="AD413" s="18">
        <v>6</v>
      </c>
      <c r="AE413" s="18">
        <v>0.4</v>
      </c>
      <c r="AF413" s="18">
        <v>0</v>
      </c>
      <c r="AG413" s="18">
        <v>0</v>
      </c>
      <c r="AH413" s="18"/>
      <c r="AI413" s="18">
        <v>6</v>
      </c>
      <c r="AJ413" s="18">
        <v>2.41</v>
      </c>
      <c r="AK413" s="18">
        <v>6</v>
      </c>
      <c r="AL413" s="18">
        <v>2.41</v>
      </c>
      <c r="AM413" s="18">
        <v>0</v>
      </c>
      <c r="AN413" s="18"/>
      <c r="AO413" s="18">
        <v>0</v>
      </c>
      <c r="AP413" s="18">
        <v>2.41</v>
      </c>
      <c r="AQ413" s="18">
        <v>2</v>
      </c>
      <c r="AR413" s="18">
        <v>148.9</v>
      </c>
      <c r="AS413" s="18">
        <v>0</v>
      </c>
      <c r="AT413" s="18">
        <v>0</v>
      </c>
      <c r="AU413" s="18">
        <v>0</v>
      </c>
      <c r="AV413" s="18">
        <v>0</v>
      </c>
      <c r="AW413" s="18">
        <v>0</v>
      </c>
      <c r="AX413" s="18">
        <v>1</v>
      </c>
      <c r="AY413" s="18">
        <v>144</v>
      </c>
      <c r="AZ413" s="18">
        <v>13</v>
      </c>
      <c r="BA413" s="18">
        <v>8</v>
      </c>
      <c r="BB413" s="18">
        <v>0.61538</v>
      </c>
      <c r="BC413" s="18">
        <v>0</v>
      </c>
      <c r="BD413" s="18">
        <v>0</v>
      </c>
      <c r="BE413" s="18">
        <v>3.5122</v>
      </c>
      <c r="BF413" s="18">
        <v>129</v>
      </c>
      <c r="BG413" s="18">
        <v>11</v>
      </c>
      <c r="BH413" s="18">
        <v>1</v>
      </c>
      <c r="BI413" s="18">
        <v>1</v>
      </c>
      <c r="BJ413" s="18">
        <v>0</v>
      </c>
      <c r="BK413" s="18">
        <v>0</v>
      </c>
      <c r="BL413" s="18">
        <v>0</v>
      </c>
      <c r="BM413" s="18">
        <v>1</v>
      </c>
      <c r="BN413" s="18">
        <v>1</v>
      </c>
      <c r="BO413" s="18">
        <v>79.15</v>
      </c>
      <c r="BP413" s="18">
        <v>0</v>
      </c>
      <c r="BQ413" s="18">
        <v>146</v>
      </c>
      <c r="BR413" s="18">
        <v>0</v>
      </c>
      <c r="BS413" s="18">
        <v>0</v>
      </c>
      <c r="BT413" s="18">
        <v>0</v>
      </c>
      <c r="BU413" s="18">
        <v>0</v>
      </c>
    </row>
    <row r="414" spans="1:73">
      <c r="A414" s="19">
        <v>46186</v>
      </c>
      <c r="B414" s="18">
        <v>183</v>
      </c>
      <c r="C414" s="18" t="s">
        <v>40</v>
      </c>
      <c r="D414" s="18">
        <v>183</v>
      </c>
      <c r="E414" s="18" t="s">
        <v>40</v>
      </c>
      <c r="F414" s="18">
        <v>934</v>
      </c>
      <c r="G414" s="18">
        <v>42</v>
      </c>
      <c r="H414" s="18">
        <v>100</v>
      </c>
      <c r="I414" s="18">
        <v>0.04497</v>
      </c>
      <c r="J414" s="18">
        <v>2.38</v>
      </c>
      <c r="K414" s="18">
        <v>107.07</v>
      </c>
      <c r="L414" s="18">
        <v>0</v>
      </c>
      <c r="M414" s="18">
        <v>0</v>
      </c>
      <c r="N414" s="18">
        <v>0</v>
      </c>
      <c r="O414" s="18">
        <v>0</v>
      </c>
      <c r="P414" s="18">
        <v>0</v>
      </c>
      <c r="Q414" s="18">
        <v>0</v>
      </c>
      <c r="R414" s="18">
        <v>76.18</v>
      </c>
      <c r="S414" s="18">
        <v>0</v>
      </c>
      <c r="T414" s="18">
        <v>76.18</v>
      </c>
      <c r="U414" s="18">
        <v>1</v>
      </c>
      <c r="V414" s="18">
        <v>1</v>
      </c>
      <c r="W414" s="18">
        <v>0</v>
      </c>
      <c r="X414" s="18">
        <v>0.02381</v>
      </c>
      <c r="Y414" s="18">
        <v>0.76</v>
      </c>
      <c r="Z414" s="18">
        <v>0.76</v>
      </c>
      <c r="AA414" s="18">
        <v>100</v>
      </c>
      <c r="AB414" s="18">
        <v>2</v>
      </c>
      <c r="AC414" s="18">
        <v>2</v>
      </c>
      <c r="AD414" s="18">
        <v>0</v>
      </c>
      <c r="AE414" s="18">
        <v>0.04762</v>
      </c>
      <c r="AF414" s="18">
        <v>1</v>
      </c>
      <c r="AG414" s="18">
        <v>0</v>
      </c>
      <c r="AH414" s="18"/>
      <c r="AI414" s="18">
        <v>3</v>
      </c>
      <c r="AJ414" s="18">
        <v>33.33</v>
      </c>
      <c r="AK414" s="18">
        <v>3</v>
      </c>
      <c r="AL414" s="18">
        <v>33.33</v>
      </c>
      <c r="AM414" s="18">
        <v>1</v>
      </c>
      <c r="AN414" s="18">
        <v>100</v>
      </c>
      <c r="AO414" s="18">
        <v>0.02381</v>
      </c>
      <c r="AP414" s="18">
        <v>50</v>
      </c>
      <c r="AQ414" s="18">
        <v>2</v>
      </c>
      <c r="AR414" s="18">
        <v>148.9</v>
      </c>
      <c r="AS414" s="18">
        <v>1</v>
      </c>
      <c r="AT414" s="18">
        <v>0</v>
      </c>
      <c r="AU414" s="18">
        <v>0</v>
      </c>
      <c r="AV414" s="18">
        <v>0</v>
      </c>
      <c r="AW414" s="18">
        <v>0</v>
      </c>
      <c r="AX414" s="18">
        <v>2</v>
      </c>
      <c r="AY414" s="18">
        <v>294</v>
      </c>
      <c r="AZ414" s="18">
        <v>153</v>
      </c>
      <c r="BA414" s="18">
        <v>114</v>
      </c>
      <c r="BB414" s="18">
        <v>0.7451</v>
      </c>
      <c r="BC414" s="18">
        <v>0</v>
      </c>
      <c r="BD414" s="18">
        <v>0</v>
      </c>
      <c r="BE414" s="18">
        <v>0.31478</v>
      </c>
      <c r="BF414" s="18">
        <v>80</v>
      </c>
      <c r="BG414" s="18">
        <v>2</v>
      </c>
      <c r="BH414" s="18">
        <v>1</v>
      </c>
      <c r="BI414" s="18">
        <v>1</v>
      </c>
      <c r="BJ414" s="18">
        <v>0</v>
      </c>
      <c r="BK414" s="18">
        <v>0</v>
      </c>
      <c r="BL414" s="18">
        <v>0</v>
      </c>
      <c r="BM414" s="18">
        <v>1</v>
      </c>
      <c r="BN414" s="18">
        <v>1</v>
      </c>
      <c r="BO414" s="18">
        <v>76.18</v>
      </c>
      <c r="BP414" s="18">
        <v>0.01</v>
      </c>
      <c r="BQ414" s="18">
        <v>309</v>
      </c>
      <c r="BR414" s="18">
        <v>0</v>
      </c>
      <c r="BS414" s="18">
        <v>0</v>
      </c>
      <c r="BT414" s="18">
        <v>0</v>
      </c>
      <c r="BU414" s="18">
        <v>0</v>
      </c>
    </row>
    <row r="415" spans="1:73">
      <c r="A415" s="19">
        <v>46185</v>
      </c>
      <c r="B415" s="18">
        <v>371</v>
      </c>
      <c r="C415" s="18" t="s">
        <v>32</v>
      </c>
      <c r="D415" s="18">
        <v>371</v>
      </c>
      <c r="E415" s="18" t="s">
        <v>32</v>
      </c>
      <c r="F415" s="18">
        <v>3676</v>
      </c>
      <c r="G415" s="18">
        <v>162</v>
      </c>
      <c r="H415" s="18">
        <v>119.02</v>
      </c>
      <c r="I415" s="18">
        <v>0.04407</v>
      </c>
      <c r="J415" s="18">
        <v>0.73</v>
      </c>
      <c r="K415" s="18">
        <v>32.38</v>
      </c>
      <c r="L415" s="18">
        <v>0</v>
      </c>
      <c r="M415" s="18">
        <v>0</v>
      </c>
      <c r="N415" s="18">
        <v>0</v>
      </c>
      <c r="O415" s="18">
        <v>0</v>
      </c>
      <c r="P415" s="18">
        <v>0</v>
      </c>
      <c r="Q415" s="18">
        <v>0</v>
      </c>
      <c r="R415" s="18">
        <v>0</v>
      </c>
      <c r="S415" s="18">
        <v>0</v>
      </c>
      <c r="T415" s="18">
        <v>0</v>
      </c>
      <c r="U415" s="18">
        <v>0</v>
      </c>
      <c r="V415" s="18">
        <v>0</v>
      </c>
      <c r="W415" s="18">
        <v>0</v>
      </c>
      <c r="X415" s="18">
        <v>0</v>
      </c>
      <c r="Y415" s="18">
        <v>0</v>
      </c>
      <c r="Z415" s="18">
        <v>0</v>
      </c>
      <c r="AA415" s="18"/>
      <c r="AB415" s="18">
        <v>3</v>
      </c>
      <c r="AC415" s="18">
        <v>2</v>
      </c>
      <c r="AD415" s="18">
        <v>1</v>
      </c>
      <c r="AE415" s="18">
        <v>0.01852</v>
      </c>
      <c r="AF415" s="18">
        <v>0</v>
      </c>
      <c r="AG415" s="18">
        <v>0</v>
      </c>
      <c r="AH415" s="18"/>
      <c r="AI415" s="18">
        <v>3</v>
      </c>
      <c r="AJ415" s="18">
        <v>39.67</v>
      </c>
      <c r="AK415" s="18">
        <v>3</v>
      </c>
      <c r="AL415" s="18">
        <v>39.67</v>
      </c>
      <c r="AM415" s="18">
        <v>0</v>
      </c>
      <c r="AN415" s="18"/>
      <c r="AO415" s="18">
        <v>0</v>
      </c>
      <c r="AP415" s="18">
        <v>39.67</v>
      </c>
      <c r="AQ415" s="18">
        <v>0</v>
      </c>
      <c r="AR415" s="18">
        <v>0</v>
      </c>
      <c r="AS415" s="18">
        <v>0</v>
      </c>
      <c r="AT415" s="18">
        <v>0</v>
      </c>
      <c r="AU415" s="18">
        <v>0</v>
      </c>
      <c r="AV415" s="18">
        <v>0</v>
      </c>
      <c r="AW415" s="18">
        <v>0</v>
      </c>
      <c r="AX415" s="18">
        <v>1</v>
      </c>
      <c r="AY415" s="18">
        <v>355</v>
      </c>
      <c r="AZ415" s="18">
        <v>120</v>
      </c>
      <c r="BA415" s="18">
        <v>99</v>
      </c>
      <c r="BB415" s="18">
        <v>0.825</v>
      </c>
      <c r="BC415" s="18">
        <v>0</v>
      </c>
      <c r="BD415" s="18">
        <v>0</v>
      </c>
      <c r="BE415" s="18">
        <v>0.09657</v>
      </c>
      <c r="BF415" s="18">
        <v>131</v>
      </c>
      <c r="BG415" s="18">
        <v>3</v>
      </c>
      <c r="BH415" s="18">
        <v>0</v>
      </c>
      <c r="BI415" s="18"/>
      <c r="BJ415" s="18">
        <v>0</v>
      </c>
      <c r="BK415" s="18">
        <v>0</v>
      </c>
      <c r="BL415" s="18">
        <v>0</v>
      </c>
      <c r="BM415" s="18">
        <v>0</v>
      </c>
      <c r="BN415" s="18"/>
      <c r="BO415" s="18"/>
      <c r="BP415" s="18">
        <v>0</v>
      </c>
      <c r="BQ415" s="18">
        <v>175</v>
      </c>
      <c r="BR415" s="18">
        <v>0</v>
      </c>
      <c r="BS415" s="18">
        <v>0</v>
      </c>
      <c r="BT415" s="18">
        <v>0</v>
      </c>
      <c r="BU415" s="18">
        <v>0</v>
      </c>
    </row>
    <row r="416" spans="1:73">
      <c r="A416" s="19">
        <v>46185</v>
      </c>
      <c r="B416" s="18">
        <v>183</v>
      </c>
      <c r="C416" s="18" t="s">
        <v>40</v>
      </c>
      <c r="D416" s="18">
        <v>183</v>
      </c>
      <c r="E416" s="18" t="s">
        <v>40</v>
      </c>
      <c r="F416" s="18">
        <v>868</v>
      </c>
      <c r="G416" s="18">
        <v>40</v>
      </c>
      <c r="H416" s="18">
        <v>100</v>
      </c>
      <c r="I416" s="18">
        <v>0.04608</v>
      </c>
      <c r="J416" s="18">
        <v>2.5</v>
      </c>
      <c r="K416" s="18">
        <v>115.21</v>
      </c>
      <c r="L416" s="18">
        <v>0</v>
      </c>
      <c r="M416" s="18">
        <v>0</v>
      </c>
      <c r="N416" s="18">
        <v>0</v>
      </c>
      <c r="O416" s="18">
        <v>0</v>
      </c>
      <c r="P416" s="18">
        <v>0</v>
      </c>
      <c r="Q416" s="18">
        <v>0</v>
      </c>
      <c r="R416" s="18">
        <v>75.19</v>
      </c>
      <c r="S416" s="18">
        <v>78.86</v>
      </c>
      <c r="T416" s="18">
        <v>154.05</v>
      </c>
      <c r="U416" s="18">
        <v>2</v>
      </c>
      <c r="V416" s="18">
        <v>1</v>
      </c>
      <c r="W416" s="18">
        <v>1</v>
      </c>
      <c r="X416" s="18">
        <v>0.05</v>
      </c>
      <c r="Y416" s="18">
        <v>1.54</v>
      </c>
      <c r="Z416" s="18">
        <v>1.54</v>
      </c>
      <c r="AA416" s="18">
        <v>50</v>
      </c>
      <c r="AB416" s="18">
        <v>4</v>
      </c>
      <c r="AC416" s="18">
        <v>1</v>
      </c>
      <c r="AD416" s="18">
        <v>3</v>
      </c>
      <c r="AE416" s="18">
        <v>0.1</v>
      </c>
      <c r="AF416" s="18">
        <v>1</v>
      </c>
      <c r="AG416" s="18">
        <v>2</v>
      </c>
      <c r="AH416" s="18">
        <v>50</v>
      </c>
      <c r="AI416" s="18">
        <v>7</v>
      </c>
      <c r="AJ416" s="18">
        <v>14.29</v>
      </c>
      <c r="AK416" s="18">
        <v>5</v>
      </c>
      <c r="AL416" s="18">
        <v>20</v>
      </c>
      <c r="AM416" s="18">
        <v>3</v>
      </c>
      <c r="AN416" s="18">
        <v>100</v>
      </c>
      <c r="AO416" s="18">
        <v>0.025</v>
      </c>
      <c r="AP416" s="18">
        <v>25</v>
      </c>
      <c r="AQ416" s="18">
        <v>4</v>
      </c>
      <c r="AR416" s="18">
        <v>297.8</v>
      </c>
      <c r="AS416" s="18">
        <v>1</v>
      </c>
      <c r="AT416" s="18">
        <v>0</v>
      </c>
      <c r="AU416" s="18">
        <v>0</v>
      </c>
      <c r="AV416" s="18">
        <v>0</v>
      </c>
      <c r="AW416" s="18">
        <v>0</v>
      </c>
      <c r="AX416" s="18">
        <v>1</v>
      </c>
      <c r="AY416" s="18">
        <v>181</v>
      </c>
      <c r="AZ416" s="18">
        <v>68</v>
      </c>
      <c r="BA416" s="18">
        <v>34</v>
      </c>
      <c r="BB416" s="18">
        <v>0.5</v>
      </c>
      <c r="BC416" s="18">
        <v>0</v>
      </c>
      <c r="BD416" s="18">
        <v>0</v>
      </c>
      <c r="BE416" s="18">
        <v>0.20853</v>
      </c>
      <c r="BF416" s="18">
        <v>42</v>
      </c>
      <c r="BG416" s="18">
        <v>3</v>
      </c>
      <c r="BH416" s="18">
        <v>2</v>
      </c>
      <c r="BI416" s="18">
        <v>1</v>
      </c>
      <c r="BJ416" s="18">
        <v>0</v>
      </c>
      <c r="BK416" s="18">
        <v>0</v>
      </c>
      <c r="BL416" s="18">
        <v>0</v>
      </c>
      <c r="BM416" s="18">
        <v>2</v>
      </c>
      <c r="BN416" s="18">
        <v>1</v>
      </c>
      <c r="BO416" s="18">
        <v>77.03</v>
      </c>
      <c r="BP416" s="18">
        <v>0.01</v>
      </c>
      <c r="BQ416" s="18">
        <v>353</v>
      </c>
      <c r="BR416" s="18">
        <v>0</v>
      </c>
      <c r="BS416" s="18">
        <v>0</v>
      </c>
      <c r="BT416" s="18">
        <v>0</v>
      </c>
      <c r="BU416" s="18">
        <v>0</v>
      </c>
    </row>
    <row r="417" spans="1:73">
      <c r="A417" s="19">
        <v>46185</v>
      </c>
      <c r="B417" s="18">
        <v>372</v>
      </c>
      <c r="C417" s="18" t="s">
        <v>37</v>
      </c>
      <c r="D417" s="18">
        <v>372</v>
      </c>
      <c r="E417" s="18" t="s">
        <v>61</v>
      </c>
      <c r="F417" s="18">
        <v>805</v>
      </c>
      <c r="G417" s="18">
        <v>45</v>
      </c>
      <c r="H417" s="18">
        <v>38.4</v>
      </c>
      <c r="I417" s="18">
        <v>0.0559</v>
      </c>
      <c r="J417" s="18">
        <v>0.85</v>
      </c>
      <c r="K417" s="18">
        <v>47.7</v>
      </c>
      <c r="L417" s="18">
        <v>0</v>
      </c>
      <c r="M417" s="18">
        <v>0</v>
      </c>
      <c r="N417" s="18">
        <v>0</v>
      </c>
      <c r="O417" s="18">
        <v>0</v>
      </c>
      <c r="P417" s="18">
        <v>0</v>
      </c>
      <c r="Q417" s="18">
        <v>0</v>
      </c>
      <c r="R417" s="18">
        <v>0</v>
      </c>
      <c r="S417" s="18">
        <v>0</v>
      </c>
      <c r="T417" s="18">
        <v>0</v>
      </c>
      <c r="U417" s="18">
        <v>0</v>
      </c>
      <c r="V417" s="18">
        <v>0</v>
      </c>
      <c r="W417" s="18">
        <v>0</v>
      </c>
      <c r="X417" s="18">
        <v>0</v>
      </c>
      <c r="Y417" s="18">
        <v>0</v>
      </c>
      <c r="Z417" s="18">
        <v>0</v>
      </c>
      <c r="AA417" s="18"/>
      <c r="AB417" s="18">
        <v>2</v>
      </c>
      <c r="AC417" s="18">
        <v>2</v>
      </c>
      <c r="AD417" s="18">
        <v>0</v>
      </c>
      <c r="AE417" s="18">
        <v>0.04444</v>
      </c>
      <c r="AF417" s="18">
        <v>1</v>
      </c>
      <c r="AG417" s="18">
        <v>0</v>
      </c>
      <c r="AH417" s="18"/>
      <c r="AI417" s="18">
        <v>3</v>
      </c>
      <c r="AJ417" s="18">
        <v>12.8</v>
      </c>
      <c r="AK417" s="18">
        <v>3</v>
      </c>
      <c r="AL417" s="18">
        <v>12.8</v>
      </c>
      <c r="AM417" s="18">
        <v>1</v>
      </c>
      <c r="AN417" s="18">
        <v>38.4</v>
      </c>
      <c r="AO417" s="18">
        <v>0.02222</v>
      </c>
      <c r="AP417" s="18">
        <v>19.2</v>
      </c>
      <c r="AQ417" s="18">
        <v>0</v>
      </c>
      <c r="AR417" s="18">
        <v>0</v>
      </c>
      <c r="AS417" s="18">
        <v>1</v>
      </c>
      <c r="AT417" s="18">
        <v>0</v>
      </c>
      <c r="AU417" s="18">
        <v>0</v>
      </c>
      <c r="AV417" s="18">
        <v>0</v>
      </c>
      <c r="AW417" s="18">
        <v>0</v>
      </c>
      <c r="AX417" s="18">
        <v>0</v>
      </c>
      <c r="AY417" s="18">
        <v>86</v>
      </c>
      <c r="AZ417" s="18">
        <v>43</v>
      </c>
      <c r="BA417" s="18">
        <v>10</v>
      </c>
      <c r="BB417" s="18">
        <v>0.23256</v>
      </c>
      <c r="BC417" s="18">
        <v>0</v>
      </c>
      <c r="BD417" s="18">
        <v>0</v>
      </c>
      <c r="BE417" s="18">
        <v>0.10683</v>
      </c>
      <c r="BF417" s="18">
        <v>23</v>
      </c>
      <c r="BG417" s="18">
        <v>2</v>
      </c>
      <c r="BH417" s="18">
        <v>0</v>
      </c>
      <c r="BI417" s="18"/>
      <c r="BJ417" s="18">
        <v>0</v>
      </c>
      <c r="BK417" s="18">
        <v>0</v>
      </c>
      <c r="BL417" s="18">
        <v>0</v>
      </c>
      <c r="BM417" s="18">
        <v>0</v>
      </c>
      <c r="BN417" s="18"/>
      <c r="BO417" s="18"/>
      <c r="BP417" s="18">
        <v>0.05</v>
      </c>
      <c r="BQ417" s="18">
        <v>252</v>
      </c>
      <c r="BR417" s="18">
        <v>0</v>
      </c>
      <c r="BS417" s="18">
        <v>0</v>
      </c>
      <c r="BT417" s="18">
        <v>0</v>
      </c>
      <c r="BU417" s="18">
        <v>0</v>
      </c>
    </row>
    <row r="418" spans="1:73">
      <c r="A418" s="19">
        <v>46185</v>
      </c>
      <c r="B418" s="18">
        <v>436</v>
      </c>
      <c r="C418" s="18" t="s">
        <v>38</v>
      </c>
      <c r="D418" s="18">
        <v>436</v>
      </c>
      <c r="E418" s="18" t="s">
        <v>38</v>
      </c>
      <c r="F418" s="18">
        <v>690</v>
      </c>
      <c r="G418" s="18">
        <v>24</v>
      </c>
      <c r="H418" s="18">
        <v>48.34</v>
      </c>
      <c r="I418" s="18">
        <v>0.03478</v>
      </c>
      <c r="J418" s="18">
        <v>2.01</v>
      </c>
      <c r="K418" s="18">
        <v>70.06</v>
      </c>
      <c r="L418" s="18">
        <v>0</v>
      </c>
      <c r="M418" s="18">
        <v>0</v>
      </c>
      <c r="N418" s="18">
        <v>0</v>
      </c>
      <c r="O418" s="18">
        <v>0</v>
      </c>
      <c r="P418" s="18">
        <v>0</v>
      </c>
      <c r="Q418" s="18">
        <v>0</v>
      </c>
      <c r="R418" s="18">
        <v>0</v>
      </c>
      <c r="S418" s="18">
        <v>0</v>
      </c>
      <c r="T418" s="18">
        <v>0</v>
      </c>
      <c r="U418" s="18">
        <v>0</v>
      </c>
      <c r="V418" s="18">
        <v>0</v>
      </c>
      <c r="W418" s="18">
        <v>0</v>
      </c>
      <c r="X418" s="18">
        <v>0</v>
      </c>
      <c r="Y418" s="18">
        <v>0</v>
      </c>
      <c r="Z418" s="18">
        <v>0</v>
      </c>
      <c r="AA418" s="18"/>
      <c r="AB418" s="18">
        <v>2</v>
      </c>
      <c r="AC418" s="18">
        <v>2</v>
      </c>
      <c r="AD418" s="18">
        <v>0</v>
      </c>
      <c r="AE418" s="18">
        <v>0.08333</v>
      </c>
      <c r="AF418" s="18">
        <v>0</v>
      </c>
      <c r="AG418" s="18">
        <v>0</v>
      </c>
      <c r="AH418" s="18"/>
      <c r="AI418" s="18">
        <v>2</v>
      </c>
      <c r="AJ418" s="18">
        <v>24.17</v>
      </c>
      <c r="AK418" s="18">
        <v>2</v>
      </c>
      <c r="AL418" s="18">
        <v>24.17</v>
      </c>
      <c r="AM418" s="18">
        <v>0</v>
      </c>
      <c r="AN418" s="18"/>
      <c r="AO418" s="18">
        <v>0</v>
      </c>
      <c r="AP418" s="18">
        <v>24.17</v>
      </c>
      <c r="AQ418" s="18">
        <v>2</v>
      </c>
      <c r="AR418" s="18">
        <v>1276</v>
      </c>
      <c r="AS418" s="18">
        <v>0</v>
      </c>
      <c r="AT418" s="18">
        <v>0</v>
      </c>
      <c r="AU418" s="18">
        <v>0</v>
      </c>
      <c r="AV418" s="18">
        <v>0</v>
      </c>
      <c r="AW418" s="18">
        <v>0</v>
      </c>
      <c r="AX418" s="18">
        <v>0</v>
      </c>
      <c r="AY418" s="18">
        <v>66</v>
      </c>
      <c r="AZ418" s="18">
        <v>23</v>
      </c>
      <c r="BA418" s="18">
        <v>9</v>
      </c>
      <c r="BB418" s="18">
        <v>0.3913</v>
      </c>
      <c r="BC418" s="18">
        <v>0</v>
      </c>
      <c r="BD418" s="18">
        <v>0</v>
      </c>
      <c r="BE418" s="18">
        <v>0.09565</v>
      </c>
      <c r="BF418" s="18">
        <v>37</v>
      </c>
      <c r="BG418" s="18">
        <v>3</v>
      </c>
      <c r="BH418" s="18">
        <v>0</v>
      </c>
      <c r="BI418" s="18"/>
      <c r="BJ418" s="18">
        <v>0</v>
      </c>
      <c r="BK418" s="18">
        <v>0</v>
      </c>
      <c r="BL418" s="18">
        <v>0</v>
      </c>
      <c r="BM418" s="18">
        <v>0</v>
      </c>
      <c r="BN418" s="18"/>
      <c r="BO418" s="18"/>
      <c r="BP418" s="18">
        <v>0</v>
      </c>
      <c r="BQ418" s="18">
        <v>199</v>
      </c>
      <c r="BR418" s="18">
        <v>0</v>
      </c>
      <c r="BS418" s="18">
        <v>0</v>
      </c>
      <c r="BT418" s="18">
        <v>0</v>
      </c>
      <c r="BU418" s="18">
        <v>0</v>
      </c>
    </row>
    <row r="419" spans="1:73">
      <c r="A419" s="19">
        <v>46185</v>
      </c>
      <c r="B419" s="18">
        <v>479</v>
      </c>
      <c r="C419" s="18" t="s">
        <v>39</v>
      </c>
      <c r="D419" s="18">
        <v>479</v>
      </c>
      <c r="E419" s="18" t="s">
        <v>39</v>
      </c>
      <c r="F419" s="18">
        <v>36</v>
      </c>
      <c r="G419" s="18">
        <v>17</v>
      </c>
      <c r="H419" s="18">
        <v>13.09</v>
      </c>
      <c r="I419" s="18">
        <v>0.47222</v>
      </c>
      <c r="J419" s="18">
        <v>0.77</v>
      </c>
      <c r="K419" s="18">
        <v>363.5</v>
      </c>
      <c r="L419" s="18">
        <v>0</v>
      </c>
      <c r="M419" s="18">
        <v>0</v>
      </c>
      <c r="N419" s="18">
        <v>0</v>
      </c>
      <c r="O419" s="18">
        <v>0</v>
      </c>
      <c r="P419" s="18">
        <v>0</v>
      </c>
      <c r="Q419" s="18">
        <v>0</v>
      </c>
      <c r="R419" s="18">
        <v>0</v>
      </c>
      <c r="S419" s="18">
        <v>271.49</v>
      </c>
      <c r="T419" s="18">
        <v>271.49</v>
      </c>
      <c r="U419" s="18">
        <v>1</v>
      </c>
      <c r="V419" s="18">
        <v>0</v>
      </c>
      <c r="W419" s="18">
        <v>1</v>
      </c>
      <c r="X419" s="18">
        <v>0.05882</v>
      </c>
      <c r="Y419" s="18">
        <v>20.75</v>
      </c>
      <c r="Z419" s="18">
        <v>20.75</v>
      </c>
      <c r="AA419" s="18">
        <v>13.09</v>
      </c>
      <c r="AB419" s="18">
        <v>1</v>
      </c>
      <c r="AC419" s="18">
        <v>0</v>
      </c>
      <c r="AD419" s="18">
        <v>1</v>
      </c>
      <c r="AE419" s="18">
        <v>0.05882</v>
      </c>
      <c r="AF419" s="18">
        <v>0</v>
      </c>
      <c r="AG419" s="18">
        <v>0</v>
      </c>
      <c r="AH419" s="18"/>
      <c r="AI419" s="18">
        <v>1</v>
      </c>
      <c r="AJ419" s="18">
        <v>13.09</v>
      </c>
      <c r="AK419" s="18">
        <v>1</v>
      </c>
      <c r="AL419" s="18">
        <v>13.09</v>
      </c>
      <c r="AM419" s="18">
        <v>0</v>
      </c>
      <c r="AN419" s="18"/>
      <c r="AO419" s="18">
        <v>0</v>
      </c>
      <c r="AP419" s="18">
        <v>13.09</v>
      </c>
      <c r="AQ419" s="18">
        <v>2</v>
      </c>
      <c r="AR419" s="18">
        <v>377.9</v>
      </c>
      <c r="AS419" s="18">
        <v>0</v>
      </c>
      <c r="AT419" s="18">
        <v>0</v>
      </c>
      <c r="AU419" s="18">
        <v>0</v>
      </c>
      <c r="AV419" s="18">
        <v>0</v>
      </c>
      <c r="AW419" s="18">
        <v>0</v>
      </c>
      <c r="AX419" s="18">
        <v>0</v>
      </c>
      <c r="AY419" s="18">
        <v>123</v>
      </c>
      <c r="AZ419" s="18">
        <v>15</v>
      </c>
      <c r="BA419" s="18">
        <v>9</v>
      </c>
      <c r="BB419" s="18">
        <v>0.6</v>
      </c>
      <c r="BC419" s="18">
        <v>0</v>
      </c>
      <c r="BD419" s="18">
        <v>0</v>
      </c>
      <c r="BE419" s="18">
        <v>3.41667</v>
      </c>
      <c r="BF419" s="18">
        <v>105</v>
      </c>
      <c r="BG419" s="18">
        <v>8</v>
      </c>
      <c r="BH419" s="18">
        <v>0</v>
      </c>
      <c r="BI419" s="18">
        <v>0</v>
      </c>
      <c r="BJ419" s="18">
        <v>0</v>
      </c>
      <c r="BK419" s="18">
        <v>0</v>
      </c>
      <c r="BL419" s="18">
        <v>0</v>
      </c>
      <c r="BM419" s="18">
        <v>1</v>
      </c>
      <c r="BN419" s="18">
        <v>1</v>
      </c>
      <c r="BO419" s="18">
        <v>271.49</v>
      </c>
      <c r="BP419" s="18">
        <v>0</v>
      </c>
      <c r="BQ419" s="18">
        <v>161</v>
      </c>
      <c r="BR419" s="18">
        <v>0</v>
      </c>
      <c r="BS419" s="18">
        <v>0</v>
      </c>
      <c r="BT419" s="18">
        <v>0</v>
      </c>
      <c r="BU419" s="18">
        <v>0</v>
      </c>
    </row>
    <row r="420" spans="1:73">
      <c r="A420" s="19">
        <v>46184</v>
      </c>
      <c r="B420" s="18">
        <v>183</v>
      </c>
      <c r="C420" s="18" t="s">
        <v>40</v>
      </c>
      <c r="D420" s="18">
        <v>183</v>
      </c>
      <c r="E420" s="18" t="s">
        <v>40</v>
      </c>
      <c r="F420" s="18">
        <v>783</v>
      </c>
      <c r="G420" s="18">
        <v>42</v>
      </c>
      <c r="H420" s="18">
        <v>100</v>
      </c>
      <c r="I420" s="18">
        <v>0.05364</v>
      </c>
      <c r="J420" s="18">
        <v>2.38</v>
      </c>
      <c r="K420" s="18">
        <v>127.71</v>
      </c>
      <c r="L420" s="18">
        <v>0</v>
      </c>
      <c r="M420" s="18">
        <v>0</v>
      </c>
      <c r="N420" s="18">
        <v>0</v>
      </c>
      <c r="O420" s="18">
        <v>0</v>
      </c>
      <c r="P420" s="18">
        <v>0</v>
      </c>
      <c r="Q420" s="18">
        <v>0</v>
      </c>
      <c r="R420" s="18">
        <v>0</v>
      </c>
      <c r="S420" s="18">
        <v>721.82</v>
      </c>
      <c r="T420" s="18">
        <v>721.82</v>
      </c>
      <c r="U420" s="18">
        <v>2</v>
      </c>
      <c r="V420" s="18">
        <v>0</v>
      </c>
      <c r="W420" s="18">
        <v>2</v>
      </c>
      <c r="X420" s="18">
        <v>0.04762</v>
      </c>
      <c r="Y420" s="18">
        <v>7.22</v>
      </c>
      <c r="Z420" s="18">
        <v>7.22</v>
      </c>
      <c r="AA420" s="18">
        <v>50</v>
      </c>
      <c r="AB420" s="18">
        <v>3</v>
      </c>
      <c r="AC420" s="18">
        <v>1</v>
      </c>
      <c r="AD420" s="18">
        <v>2</v>
      </c>
      <c r="AE420" s="18">
        <v>0.07143</v>
      </c>
      <c r="AF420" s="18">
        <v>0</v>
      </c>
      <c r="AG420" s="18">
        <v>0</v>
      </c>
      <c r="AH420" s="18"/>
      <c r="AI420" s="18">
        <v>3</v>
      </c>
      <c r="AJ420" s="18">
        <v>33.33</v>
      </c>
      <c r="AK420" s="18">
        <v>3</v>
      </c>
      <c r="AL420" s="18">
        <v>33.33</v>
      </c>
      <c r="AM420" s="18">
        <v>0</v>
      </c>
      <c r="AN420" s="18"/>
      <c r="AO420" s="18">
        <v>0</v>
      </c>
      <c r="AP420" s="18">
        <v>33.33</v>
      </c>
      <c r="AQ420" s="18">
        <v>3</v>
      </c>
      <c r="AR420" s="18">
        <v>1324</v>
      </c>
      <c r="AS420" s="18">
        <v>0</v>
      </c>
      <c r="AT420" s="18">
        <v>0</v>
      </c>
      <c r="AU420" s="18">
        <v>0</v>
      </c>
      <c r="AV420" s="18">
        <v>0</v>
      </c>
      <c r="AW420" s="18">
        <v>0</v>
      </c>
      <c r="AX420" s="18">
        <v>2</v>
      </c>
      <c r="AY420" s="18">
        <v>245</v>
      </c>
      <c r="AZ420" s="18">
        <v>68</v>
      </c>
      <c r="BA420" s="18">
        <v>38</v>
      </c>
      <c r="BB420" s="18">
        <v>0.55882</v>
      </c>
      <c r="BC420" s="18">
        <v>0</v>
      </c>
      <c r="BD420" s="18">
        <v>0</v>
      </c>
      <c r="BE420" s="18">
        <v>0.3129</v>
      </c>
      <c r="BF420" s="18">
        <v>132</v>
      </c>
      <c r="BG420" s="18">
        <v>4</v>
      </c>
      <c r="BH420" s="18">
        <v>1</v>
      </c>
      <c r="BI420" s="18">
        <v>1</v>
      </c>
      <c r="BJ420" s="18">
        <v>0</v>
      </c>
      <c r="BK420" s="18">
        <v>0</v>
      </c>
      <c r="BL420" s="18">
        <v>0</v>
      </c>
      <c r="BM420" s="18">
        <v>1</v>
      </c>
      <c r="BN420" s="18">
        <v>2</v>
      </c>
      <c r="BO420" s="18">
        <v>721.82</v>
      </c>
      <c r="BP420" s="18">
        <v>0</v>
      </c>
      <c r="BQ420" s="18">
        <v>395</v>
      </c>
      <c r="BR420" s="18">
        <v>0</v>
      </c>
      <c r="BS420" s="18">
        <v>0</v>
      </c>
      <c r="BT420" s="18">
        <v>0</v>
      </c>
      <c r="BU420" s="18">
        <v>0</v>
      </c>
    </row>
    <row r="421" spans="1:73">
      <c r="A421" s="19">
        <v>46184</v>
      </c>
      <c r="B421" s="18">
        <v>371</v>
      </c>
      <c r="C421" s="18" t="s">
        <v>32</v>
      </c>
      <c r="D421" s="18">
        <v>371</v>
      </c>
      <c r="E421" s="18" t="s">
        <v>32</v>
      </c>
      <c r="F421" s="18">
        <v>4375</v>
      </c>
      <c r="G421" s="18">
        <v>182</v>
      </c>
      <c r="H421" s="18">
        <v>127.73</v>
      </c>
      <c r="I421" s="18">
        <v>0.0416</v>
      </c>
      <c r="J421" s="18">
        <v>0.7</v>
      </c>
      <c r="K421" s="18">
        <v>29.2</v>
      </c>
      <c r="L421" s="18">
        <v>0</v>
      </c>
      <c r="M421" s="18">
        <v>0</v>
      </c>
      <c r="N421" s="18">
        <v>0</v>
      </c>
      <c r="O421" s="18">
        <v>0</v>
      </c>
      <c r="P421" s="18">
        <v>0</v>
      </c>
      <c r="Q421" s="18">
        <v>0</v>
      </c>
      <c r="R421" s="18">
        <v>0</v>
      </c>
      <c r="S421" s="18">
        <v>0</v>
      </c>
      <c r="T421" s="18">
        <v>0</v>
      </c>
      <c r="U421" s="18">
        <v>0</v>
      </c>
      <c r="V421" s="18">
        <v>0</v>
      </c>
      <c r="W421" s="18">
        <v>0</v>
      </c>
      <c r="X421" s="18">
        <v>0</v>
      </c>
      <c r="Y421" s="18">
        <v>0</v>
      </c>
      <c r="Z421" s="18">
        <v>0</v>
      </c>
      <c r="AA421" s="18"/>
      <c r="AB421" s="18">
        <v>5</v>
      </c>
      <c r="AC421" s="18">
        <v>5</v>
      </c>
      <c r="AD421" s="18">
        <v>0</v>
      </c>
      <c r="AE421" s="18">
        <v>0.02747</v>
      </c>
      <c r="AF421" s="18">
        <v>3</v>
      </c>
      <c r="AG421" s="18">
        <v>1</v>
      </c>
      <c r="AH421" s="18">
        <v>127.73</v>
      </c>
      <c r="AI421" s="18">
        <v>9</v>
      </c>
      <c r="AJ421" s="18">
        <v>14.19</v>
      </c>
      <c r="AK421" s="18">
        <v>8</v>
      </c>
      <c r="AL421" s="18">
        <v>15.97</v>
      </c>
      <c r="AM421" s="18">
        <v>4</v>
      </c>
      <c r="AN421" s="18">
        <v>42.58</v>
      </c>
      <c r="AO421" s="18">
        <v>0.01648</v>
      </c>
      <c r="AP421" s="18">
        <v>25.55</v>
      </c>
      <c r="AQ421" s="18">
        <v>0</v>
      </c>
      <c r="AR421" s="18">
        <v>0</v>
      </c>
      <c r="AS421" s="18">
        <v>2</v>
      </c>
      <c r="AT421" s="18">
        <v>1</v>
      </c>
      <c r="AU421" s="18">
        <v>0</v>
      </c>
      <c r="AV421" s="18">
        <v>0</v>
      </c>
      <c r="AW421" s="18">
        <v>0</v>
      </c>
      <c r="AX421" s="18">
        <v>0</v>
      </c>
      <c r="AY421" s="18">
        <v>286</v>
      </c>
      <c r="AZ421" s="18">
        <v>139</v>
      </c>
      <c r="BA421" s="18">
        <v>119</v>
      </c>
      <c r="BB421" s="18">
        <v>0.85612</v>
      </c>
      <c r="BC421" s="18">
        <v>0</v>
      </c>
      <c r="BD421" s="18">
        <v>0</v>
      </c>
      <c r="BE421" s="18">
        <v>0.06537</v>
      </c>
      <c r="BF421" s="18">
        <v>81</v>
      </c>
      <c r="BG421" s="18">
        <v>2</v>
      </c>
      <c r="BH421" s="18">
        <v>0</v>
      </c>
      <c r="BI421" s="18"/>
      <c r="BJ421" s="18">
        <v>0</v>
      </c>
      <c r="BK421" s="18">
        <v>0</v>
      </c>
      <c r="BL421" s="18">
        <v>0</v>
      </c>
      <c r="BM421" s="18">
        <v>0</v>
      </c>
      <c r="BN421" s="18"/>
      <c r="BO421" s="18"/>
      <c r="BP421" s="18">
        <v>0.1</v>
      </c>
      <c r="BQ421" s="18">
        <v>173</v>
      </c>
      <c r="BR421" s="18">
        <v>0</v>
      </c>
      <c r="BS421" s="18">
        <v>0</v>
      </c>
      <c r="BT421" s="18">
        <v>0</v>
      </c>
      <c r="BU421" s="18">
        <v>0</v>
      </c>
    </row>
    <row r="422" spans="1:73">
      <c r="A422" s="19">
        <v>46184</v>
      </c>
      <c r="B422" s="18">
        <v>372</v>
      </c>
      <c r="C422" s="18" t="s">
        <v>37</v>
      </c>
      <c r="D422" s="18">
        <v>372</v>
      </c>
      <c r="E422" s="18" t="s">
        <v>61</v>
      </c>
      <c r="F422" s="18">
        <v>1218</v>
      </c>
      <c r="G422" s="18">
        <v>116</v>
      </c>
      <c r="H422" s="18">
        <v>56.92</v>
      </c>
      <c r="I422" s="18">
        <v>0.09524</v>
      </c>
      <c r="J422" s="18">
        <v>0.49</v>
      </c>
      <c r="K422" s="18">
        <v>46.73</v>
      </c>
      <c r="L422" s="18">
        <v>0</v>
      </c>
      <c r="M422" s="18">
        <v>0</v>
      </c>
      <c r="N422" s="18">
        <v>0</v>
      </c>
      <c r="O422" s="18">
        <v>0</v>
      </c>
      <c r="P422" s="18">
        <v>0</v>
      </c>
      <c r="Q422" s="18">
        <v>0</v>
      </c>
      <c r="R422" s="18">
        <v>0</v>
      </c>
      <c r="S422" s="18">
        <v>0</v>
      </c>
      <c r="T422" s="18">
        <v>0</v>
      </c>
      <c r="U422" s="18">
        <v>0</v>
      </c>
      <c r="V422" s="18">
        <v>0</v>
      </c>
      <c r="W422" s="18">
        <v>0</v>
      </c>
      <c r="X422" s="18">
        <v>0</v>
      </c>
      <c r="Y422" s="18">
        <v>0</v>
      </c>
      <c r="Z422" s="18">
        <v>0</v>
      </c>
      <c r="AA422" s="18"/>
      <c r="AB422" s="18">
        <v>1</v>
      </c>
      <c r="AC422" s="18">
        <v>0</v>
      </c>
      <c r="AD422" s="18">
        <v>1</v>
      </c>
      <c r="AE422" s="18">
        <v>0.00862</v>
      </c>
      <c r="AF422" s="18">
        <v>1</v>
      </c>
      <c r="AG422" s="18">
        <v>0</v>
      </c>
      <c r="AH422" s="18"/>
      <c r="AI422" s="18">
        <v>2</v>
      </c>
      <c r="AJ422" s="18">
        <v>28.46</v>
      </c>
      <c r="AK422" s="18">
        <v>2</v>
      </c>
      <c r="AL422" s="18">
        <v>28.46</v>
      </c>
      <c r="AM422" s="18">
        <v>1</v>
      </c>
      <c r="AN422" s="18">
        <v>56.92</v>
      </c>
      <c r="AO422" s="18">
        <v>0.00862</v>
      </c>
      <c r="AP422" s="18">
        <v>56.92</v>
      </c>
      <c r="AQ422" s="18">
        <v>0</v>
      </c>
      <c r="AR422" s="18">
        <v>0</v>
      </c>
      <c r="AS422" s="18">
        <v>1</v>
      </c>
      <c r="AT422" s="18">
        <v>0</v>
      </c>
      <c r="AU422" s="18">
        <v>0</v>
      </c>
      <c r="AV422" s="18">
        <v>0</v>
      </c>
      <c r="AW422" s="18">
        <v>0</v>
      </c>
      <c r="AX422" s="18">
        <v>1</v>
      </c>
      <c r="AY422" s="18">
        <v>191</v>
      </c>
      <c r="AZ422" s="18">
        <v>109</v>
      </c>
      <c r="BA422" s="18">
        <v>72</v>
      </c>
      <c r="BB422" s="18">
        <v>0.66055</v>
      </c>
      <c r="BC422" s="18">
        <v>0</v>
      </c>
      <c r="BD422" s="18">
        <v>0</v>
      </c>
      <c r="BE422" s="18">
        <v>0.15681</v>
      </c>
      <c r="BF422" s="18">
        <v>54</v>
      </c>
      <c r="BG422" s="18">
        <v>2</v>
      </c>
      <c r="BH422" s="18">
        <v>0</v>
      </c>
      <c r="BI422" s="18"/>
      <c r="BJ422" s="18">
        <v>0</v>
      </c>
      <c r="BK422" s="18">
        <v>0</v>
      </c>
      <c r="BL422" s="18">
        <v>0</v>
      </c>
      <c r="BM422" s="18">
        <v>0</v>
      </c>
      <c r="BN422" s="18"/>
      <c r="BO422" s="18"/>
      <c r="BP422" s="18">
        <v>0.02</v>
      </c>
      <c r="BQ422" s="18">
        <v>169</v>
      </c>
      <c r="BR422" s="18">
        <v>0</v>
      </c>
      <c r="BS422" s="18">
        <v>0</v>
      </c>
      <c r="BT422" s="18">
        <v>0</v>
      </c>
      <c r="BU422" s="18">
        <v>0</v>
      </c>
    </row>
    <row r="423" spans="1:73">
      <c r="A423" s="19">
        <v>46184</v>
      </c>
      <c r="B423" s="18">
        <v>436</v>
      </c>
      <c r="C423" s="18" t="s">
        <v>38</v>
      </c>
      <c r="D423" s="18">
        <v>436</v>
      </c>
      <c r="E423" s="18" t="s">
        <v>38</v>
      </c>
      <c r="F423" s="18">
        <v>618</v>
      </c>
      <c r="G423" s="18">
        <v>25</v>
      </c>
      <c r="H423" s="18">
        <v>48.43</v>
      </c>
      <c r="I423" s="18">
        <v>0.04045</v>
      </c>
      <c r="J423" s="18">
        <v>1.94</v>
      </c>
      <c r="K423" s="18">
        <v>78.37</v>
      </c>
      <c r="L423" s="18">
        <v>0</v>
      </c>
      <c r="M423" s="18">
        <v>0</v>
      </c>
      <c r="N423" s="18">
        <v>0</v>
      </c>
      <c r="O423" s="18">
        <v>0</v>
      </c>
      <c r="P423" s="18">
        <v>0</v>
      </c>
      <c r="Q423" s="18">
        <v>0</v>
      </c>
      <c r="R423" s="18">
        <v>0</v>
      </c>
      <c r="S423" s="18">
        <v>0</v>
      </c>
      <c r="T423" s="18">
        <v>0</v>
      </c>
      <c r="U423" s="18">
        <v>0</v>
      </c>
      <c r="V423" s="18">
        <v>0</v>
      </c>
      <c r="W423" s="18">
        <v>0</v>
      </c>
      <c r="X423" s="18">
        <v>0</v>
      </c>
      <c r="Y423" s="18">
        <v>0</v>
      </c>
      <c r="Z423" s="18">
        <v>0</v>
      </c>
      <c r="AA423" s="18"/>
      <c r="AB423" s="18">
        <v>0</v>
      </c>
      <c r="AC423" s="18">
        <v>0</v>
      </c>
      <c r="AD423" s="18">
        <v>0</v>
      </c>
      <c r="AE423" s="18">
        <v>0</v>
      </c>
      <c r="AF423" s="18">
        <v>0</v>
      </c>
      <c r="AG423" s="18">
        <v>0</v>
      </c>
      <c r="AH423" s="18"/>
      <c r="AI423" s="18">
        <v>0</v>
      </c>
      <c r="AJ423" s="18"/>
      <c r="AK423" s="18">
        <v>0</v>
      </c>
      <c r="AL423" s="18"/>
      <c r="AM423" s="18">
        <v>0</v>
      </c>
      <c r="AN423" s="18"/>
      <c r="AO423" s="18">
        <v>0</v>
      </c>
      <c r="AP423" s="18"/>
      <c r="AQ423" s="18">
        <v>0</v>
      </c>
      <c r="AR423" s="18">
        <v>0</v>
      </c>
      <c r="AS423" s="18">
        <v>0</v>
      </c>
      <c r="AT423" s="18">
        <v>0</v>
      </c>
      <c r="AU423" s="18">
        <v>0</v>
      </c>
      <c r="AV423" s="18">
        <v>0</v>
      </c>
      <c r="AW423" s="18">
        <v>0</v>
      </c>
      <c r="AX423" s="18">
        <v>0</v>
      </c>
      <c r="AY423" s="18">
        <v>108</v>
      </c>
      <c r="AZ423" s="18">
        <v>20</v>
      </c>
      <c r="BA423" s="18">
        <v>11</v>
      </c>
      <c r="BB423" s="18">
        <v>0.55</v>
      </c>
      <c r="BC423" s="18">
        <v>0</v>
      </c>
      <c r="BD423" s="18">
        <v>0</v>
      </c>
      <c r="BE423" s="18">
        <v>0.17476</v>
      </c>
      <c r="BF423" s="18">
        <v>83</v>
      </c>
      <c r="BG423" s="18">
        <v>5</v>
      </c>
      <c r="BH423" s="18">
        <v>0</v>
      </c>
      <c r="BI423" s="18"/>
      <c r="BJ423" s="18">
        <v>0</v>
      </c>
      <c r="BK423" s="18">
        <v>0</v>
      </c>
      <c r="BL423" s="18">
        <v>0</v>
      </c>
      <c r="BM423" s="18">
        <v>0</v>
      </c>
      <c r="BN423" s="18"/>
      <c r="BO423" s="18"/>
      <c r="BP423" s="18">
        <v>0</v>
      </c>
      <c r="BQ423" s="18">
        <v>45</v>
      </c>
      <c r="BR423" s="18">
        <v>0</v>
      </c>
      <c r="BS423" s="18">
        <v>0</v>
      </c>
      <c r="BT423" s="18">
        <v>0</v>
      </c>
      <c r="BU423" s="18">
        <v>0</v>
      </c>
    </row>
    <row r="424" spans="1:73">
      <c r="A424" s="19">
        <v>46184</v>
      </c>
      <c r="B424" s="18">
        <v>479</v>
      </c>
      <c r="C424" s="18" t="s">
        <v>39</v>
      </c>
      <c r="D424" s="18">
        <v>479</v>
      </c>
      <c r="E424" s="18" t="s">
        <v>39</v>
      </c>
      <c r="F424" s="18">
        <v>43</v>
      </c>
      <c r="G424" s="18">
        <v>16</v>
      </c>
      <c r="H424" s="18">
        <v>15.92</v>
      </c>
      <c r="I424" s="18">
        <v>0.37209</v>
      </c>
      <c r="J424" s="18">
        <v>0.99</v>
      </c>
      <c r="K424" s="18">
        <v>370.22</v>
      </c>
      <c r="L424" s="18">
        <v>0</v>
      </c>
      <c r="M424" s="18">
        <v>0</v>
      </c>
      <c r="N424" s="18">
        <v>0</v>
      </c>
      <c r="O424" s="18">
        <v>0</v>
      </c>
      <c r="P424" s="18">
        <v>0</v>
      </c>
      <c r="Q424" s="18">
        <v>0</v>
      </c>
      <c r="R424" s="18">
        <v>0</v>
      </c>
      <c r="S424" s="18">
        <v>0</v>
      </c>
      <c r="T424" s="18">
        <v>0</v>
      </c>
      <c r="U424" s="18">
        <v>0</v>
      </c>
      <c r="V424" s="18">
        <v>0</v>
      </c>
      <c r="W424" s="18">
        <v>0</v>
      </c>
      <c r="X424" s="18">
        <v>0</v>
      </c>
      <c r="Y424" s="18">
        <v>0</v>
      </c>
      <c r="Z424" s="18">
        <v>0</v>
      </c>
      <c r="AA424" s="18"/>
      <c r="AB424" s="18">
        <v>1</v>
      </c>
      <c r="AC424" s="18">
        <v>0</v>
      </c>
      <c r="AD424" s="18">
        <v>1</v>
      </c>
      <c r="AE424" s="18">
        <v>0.0625</v>
      </c>
      <c r="AF424" s="18">
        <v>1</v>
      </c>
      <c r="AG424" s="18">
        <v>1</v>
      </c>
      <c r="AH424" s="18">
        <v>15.92</v>
      </c>
      <c r="AI424" s="18">
        <v>3</v>
      </c>
      <c r="AJ424" s="18">
        <v>5.31</v>
      </c>
      <c r="AK424" s="18">
        <v>2</v>
      </c>
      <c r="AL424" s="18">
        <v>7.96</v>
      </c>
      <c r="AM424" s="18">
        <v>2</v>
      </c>
      <c r="AN424" s="18">
        <v>15.92</v>
      </c>
      <c r="AO424" s="18">
        <v>0.0625</v>
      </c>
      <c r="AP424" s="18">
        <v>15.92</v>
      </c>
      <c r="AQ424" s="18">
        <v>0</v>
      </c>
      <c r="AR424" s="18">
        <v>0</v>
      </c>
      <c r="AS424" s="18">
        <v>0</v>
      </c>
      <c r="AT424" s="18">
        <v>1</v>
      </c>
      <c r="AU424" s="18">
        <v>0</v>
      </c>
      <c r="AV424" s="18">
        <v>0</v>
      </c>
      <c r="AW424" s="18">
        <v>0</v>
      </c>
      <c r="AX424" s="18">
        <v>0</v>
      </c>
      <c r="AY424" s="18">
        <v>144</v>
      </c>
      <c r="AZ424" s="18">
        <v>16</v>
      </c>
      <c r="BA424" s="18">
        <v>7</v>
      </c>
      <c r="BB424" s="18">
        <v>0.4375</v>
      </c>
      <c r="BC424" s="18">
        <v>0</v>
      </c>
      <c r="BD424" s="18">
        <v>0</v>
      </c>
      <c r="BE424" s="18">
        <v>3.34884</v>
      </c>
      <c r="BF424" s="18">
        <v>127</v>
      </c>
      <c r="BG424" s="18">
        <v>9</v>
      </c>
      <c r="BH424" s="18">
        <v>0</v>
      </c>
      <c r="BI424" s="18"/>
      <c r="BJ424" s="18">
        <v>0</v>
      </c>
      <c r="BK424" s="18">
        <v>0</v>
      </c>
      <c r="BL424" s="18">
        <v>0</v>
      </c>
      <c r="BM424" s="18">
        <v>0</v>
      </c>
      <c r="BN424" s="18"/>
      <c r="BO424" s="18"/>
      <c r="BP424" s="18">
        <v>0</v>
      </c>
      <c r="BQ424" s="18">
        <v>39</v>
      </c>
      <c r="BR424" s="18">
        <v>0</v>
      </c>
      <c r="BS424" s="18">
        <v>0</v>
      </c>
      <c r="BT424" s="18">
        <v>0</v>
      </c>
      <c r="BU424" s="18">
        <v>0</v>
      </c>
    </row>
    <row r="425" spans="1:73">
      <c r="A425" s="19">
        <v>46183</v>
      </c>
      <c r="B425" s="18">
        <v>479</v>
      </c>
      <c r="C425" s="18" t="s">
        <v>39</v>
      </c>
      <c r="D425" s="18">
        <v>479</v>
      </c>
      <c r="E425" s="18" t="s">
        <v>39</v>
      </c>
      <c r="F425" s="18">
        <v>34</v>
      </c>
      <c r="G425" s="18">
        <v>12</v>
      </c>
      <c r="H425" s="18">
        <v>12.95</v>
      </c>
      <c r="I425" s="18">
        <v>0.35294</v>
      </c>
      <c r="J425" s="18">
        <v>1.08</v>
      </c>
      <c r="K425" s="18">
        <v>380.81</v>
      </c>
      <c r="L425" s="18">
        <v>0</v>
      </c>
      <c r="M425" s="18">
        <v>0</v>
      </c>
      <c r="N425" s="18">
        <v>0</v>
      </c>
      <c r="O425" s="18">
        <v>0</v>
      </c>
      <c r="P425" s="18">
        <v>0</v>
      </c>
      <c r="Q425" s="18">
        <v>0</v>
      </c>
      <c r="R425" s="18">
        <v>0</v>
      </c>
      <c r="S425" s="18">
        <v>0</v>
      </c>
      <c r="T425" s="18">
        <v>0</v>
      </c>
      <c r="U425" s="18">
        <v>0</v>
      </c>
      <c r="V425" s="18">
        <v>0</v>
      </c>
      <c r="W425" s="18">
        <v>0</v>
      </c>
      <c r="X425" s="18">
        <v>0</v>
      </c>
      <c r="Y425" s="18">
        <v>0</v>
      </c>
      <c r="Z425" s="18">
        <v>0</v>
      </c>
      <c r="AA425" s="18"/>
      <c r="AB425" s="18">
        <v>2</v>
      </c>
      <c r="AC425" s="18">
        <v>0</v>
      </c>
      <c r="AD425" s="18">
        <v>2</v>
      </c>
      <c r="AE425" s="18">
        <v>0.16667</v>
      </c>
      <c r="AF425" s="18">
        <v>0</v>
      </c>
      <c r="AG425" s="18">
        <v>0</v>
      </c>
      <c r="AH425" s="18"/>
      <c r="AI425" s="18">
        <v>2</v>
      </c>
      <c r="AJ425" s="18">
        <v>6.47</v>
      </c>
      <c r="AK425" s="18">
        <v>2</v>
      </c>
      <c r="AL425" s="18">
        <v>6.47</v>
      </c>
      <c r="AM425" s="18">
        <v>0</v>
      </c>
      <c r="AN425" s="18"/>
      <c r="AO425" s="18">
        <v>0</v>
      </c>
      <c r="AP425" s="18">
        <v>6.47</v>
      </c>
      <c r="AQ425" s="18">
        <v>0</v>
      </c>
      <c r="AR425" s="18">
        <v>0</v>
      </c>
      <c r="AS425" s="18">
        <v>0</v>
      </c>
      <c r="AT425" s="18">
        <v>0</v>
      </c>
      <c r="AU425" s="18">
        <v>0</v>
      </c>
      <c r="AV425" s="18">
        <v>0</v>
      </c>
      <c r="AW425" s="18">
        <v>0</v>
      </c>
      <c r="AX425" s="18">
        <v>1</v>
      </c>
      <c r="AY425" s="18">
        <v>140</v>
      </c>
      <c r="AZ425" s="18">
        <v>11</v>
      </c>
      <c r="BA425" s="18">
        <v>6</v>
      </c>
      <c r="BB425" s="18">
        <v>0.54545</v>
      </c>
      <c r="BC425" s="18">
        <v>0</v>
      </c>
      <c r="BD425" s="18">
        <v>0</v>
      </c>
      <c r="BE425" s="18">
        <v>4.11765</v>
      </c>
      <c r="BF425" s="18">
        <v>127</v>
      </c>
      <c r="BG425" s="18">
        <v>13</v>
      </c>
      <c r="BH425" s="18">
        <v>0</v>
      </c>
      <c r="BI425" s="18"/>
      <c r="BJ425" s="18">
        <v>0</v>
      </c>
      <c r="BK425" s="18">
        <v>0</v>
      </c>
      <c r="BL425" s="18">
        <v>0</v>
      </c>
      <c r="BM425" s="18">
        <v>0</v>
      </c>
      <c r="BN425" s="18"/>
      <c r="BO425" s="18"/>
      <c r="BP425" s="18">
        <v>1.43</v>
      </c>
      <c r="BQ425" s="18">
        <v>50</v>
      </c>
      <c r="BR425" s="18">
        <v>0</v>
      </c>
      <c r="BS425" s="18">
        <v>0</v>
      </c>
      <c r="BT425" s="18">
        <v>0</v>
      </c>
      <c r="BU425" s="18">
        <v>0</v>
      </c>
    </row>
    <row r="426" spans="1:73">
      <c r="A426" s="19">
        <v>46183</v>
      </c>
      <c r="B426" s="18">
        <v>436</v>
      </c>
      <c r="C426" s="18" t="s">
        <v>38</v>
      </c>
      <c r="D426" s="18">
        <v>436</v>
      </c>
      <c r="E426" s="18" t="s">
        <v>38</v>
      </c>
      <c r="F426" s="18">
        <v>383</v>
      </c>
      <c r="G426" s="18">
        <v>19</v>
      </c>
      <c r="H426" s="18">
        <v>43.89</v>
      </c>
      <c r="I426" s="18">
        <v>0.04961</v>
      </c>
      <c r="J426" s="18">
        <v>2.31</v>
      </c>
      <c r="K426" s="18">
        <v>114.6</v>
      </c>
      <c r="L426" s="18">
        <v>0</v>
      </c>
      <c r="M426" s="18">
        <v>0</v>
      </c>
      <c r="N426" s="18">
        <v>0</v>
      </c>
      <c r="O426" s="18">
        <v>0</v>
      </c>
      <c r="P426" s="18">
        <v>0</v>
      </c>
      <c r="Q426" s="18">
        <v>0</v>
      </c>
      <c r="R426" s="18">
        <v>0</v>
      </c>
      <c r="S426" s="18">
        <v>0</v>
      </c>
      <c r="T426" s="18">
        <v>0</v>
      </c>
      <c r="U426" s="18">
        <v>0</v>
      </c>
      <c r="V426" s="18">
        <v>0</v>
      </c>
      <c r="W426" s="18">
        <v>0</v>
      </c>
      <c r="X426" s="18">
        <v>0</v>
      </c>
      <c r="Y426" s="18">
        <v>0</v>
      </c>
      <c r="Z426" s="18">
        <v>0</v>
      </c>
      <c r="AA426" s="18"/>
      <c r="AB426" s="18">
        <v>2</v>
      </c>
      <c r="AC426" s="18">
        <v>2</v>
      </c>
      <c r="AD426" s="18">
        <v>0</v>
      </c>
      <c r="AE426" s="18">
        <v>0.10526</v>
      </c>
      <c r="AF426" s="18">
        <v>1</v>
      </c>
      <c r="AG426" s="18">
        <v>2</v>
      </c>
      <c r="AH426" s="18">
        <v>21.95</v>
      </c>
      <c r="AI426" s="18">
        <v>5</v>
      </c>
      <c r="AJ426" s="18">
        <v>8.78</v>
      </c>
      <c r="AK426" s="18">
        <v>3</v>
      </c>
      <c r="AL426" s="18">
        <v>14.63</v>
      </c>
      <c r="AM426" s="18">
        <v>3</v>
      </c>
      <c r="AN426" s="18">
        <v>43.89</v>
      </c>
      <c r="AO426" s="18">
        <v>0.05263</v>
      </c>
      <c r="AP426" s="18">
        <v>21.95</v>
      </c>
      <c r="AQ426" s="18">
        <v>0</v>
      </c>
      <c r="AR426" s="18">
        <v>0</v>
      </c>
      <c r="AS426" s="18">
        <v>0</v>
      </c>
      <c r="AT426" s="18">
        <v>1</v>
      </c>
      <c r="AU426" s="18">
        <v>0</v>
      </c>
      <c r="AV426" s="18">
        <v>0</v>
      </c>
      <c r="AW426" s="18">
        <v>0</v>
      </c>
      <c r="AX426" s="18">
        <v>0</v>
      </c>
      <c r="AY426" s="18">
        <v>83</v>
      </c>
      <c r="AZ426" s="18">
        <v>17</v>
      </c>
      <c r="BA426" s="18">
        <v>9</v>
      </c>
      <c r="BB426" s="18">
        <v>0.52941</v>
      </c>
      <c r="BC426" s="18">
        <v>0</v>
      </c>
      <c r="BD426" s="18">
        <v>0</v>
      </c>
      <c r="BE426" s="18">
        <v>0.21671</v>
      </c>
      <c r="BF426" s="18">
        <v>63</v>
      </c>
      <c r="BG426" s="18">
        <v>5</v>
      </c>
      <c r="BH426" s="18">
        <v>0</v>
      </c>
      <c r="BI426" s="18"/>
      <c r="BJ426" s="18">
        <v>0</v>
      </c>
      <c r="BK426" s="18">
        <v>0</v>
      </c>
      <c r="BL426" s="18">
        <v>0</v>
      </c>
      <c r="BM426" s="18">
        <v>0</v>
      </c>
      <c r="BN426" s="18"/>
      <c r="BO426" s="18"/>
      <c r="BP426" s="18">
        <v>0</v>
      </c>
      <c r="BQ426" s="18">
        <v>371</v>
      </c>
      <c r="BR426" s="18">
        <v>0</v>
      </c>
      <c r="BS426" s="18">
        <v>0</v>
      </c>
      <c r="BT426" s="18">
        <v>0</v>
      </c>
      <c r="BU426" s="18">
        <v>0</v>
      </c>
    </row>
    <row r="427" spans="1:73">
      <c r="A427" s="19">
        <v>46183</v>
      </c>
      <c r="B427" s="18">
        <v>183</v>
      </c>
      <c r="C427" s="18" t="s">
        <v>40</v>
      </c>
      <c r="D427" s="18">
        <v>183</v>
      </c>
      <c r="E427" s="18" t="s">
        <v>40</v>
      </c>
      <c r="F427" s="18">
        <v>1230</v>
      </c>
      <c r="G427" s="18">
        <v>37</v>
      </c>
      <c r="H427" s="18">
        <v>100</v>
      </c>
      <c r="I427" s="18">
        <v>0.03008</v>
      </c>
      <c r="J427" s="18">
        <v>2.7</v>
      </c>
      <c r="K427" s="18">
        <v>81.3</v>
      </c>
      <c r="L427" s="18">
        <v>0</v>
      </c>
      <c r="M427" s="18">
        <v>0</v>
      </c>
      <c r="N427" s="18">
        <v>0</v>
      </c>
      <c r="O427" s="18">
        <v>0</v>
      </c>
      <c r="P427" s="18">
        <v>0</v>
      </c>
      <c r="Q427" s="18">
        <v>0</v>
      </c>
      <c r="R427" s="18">
        <v>0</v>
      </c>
      <c r="S427" s="18">
        <v>0</v>
      </c>
      <c r="T427" s="18">
        <v>0</v>
      </c>
      <c r="U427" s="18">
        <v>0</v>
      </c>
      <c r="V427" s="18">
        <v>0</v>
      </c>
      <c r="W427" s="18">
        <v>0</v>
      </c>
      <c r="X427" s="18">
        <v>0</v>
      </c>
      <c r="Y427" s="18">
        <v>0</v>
      </c>
      <c r="Z427" s="18">
        <v>0</v>
      </c>
      <c r="AA427" s="18"/>
      <c r="AB427" s="18">
        <v>3</v>
      </c>
      <c r="AC427" s="18">
        <v>2</v>
      </c>
      <c r="AD427" s="18">
        <v>1</v>
      </c>
      <c r="AE427" s="18">
        <v>0.08108</v>
      </c>
      <c r="AF427" s="18">
        <v>0</v>
      </c>
      <c r="AG427" s="18">
        <v>0</v>
      </c>
      <c r="AH427" s="18"/>
      <c r="AI427" s="18">
        <v>3</v>
      </c>
      <c r="AJ427" s="18">
        <v>33.33</v>
      </c>
      <c r="AK427" s="18">
        <v>3</v>
      </c>
      <c r="AL427" s="18">
        <v>33.33</v>
      </c>
      <c r="AM427" s="18">
        <v>0</v>
      </c>
      <c r="AN427" s="18"/>
      <c r="AO427" s="18">
        <v>0</v>
      </c>
      <c r="AP427" s="18">
        <v>33.33</v>
      </c>
      <c r="AQ427" s="18">
        <v>2</v>
      </c>
      <c r="AR427" s="18">
        <v>99.8</v>
      </c>
      <c r="AS427" s="18">
        <v>0</v>
      </c>
      <c r="AT427" s="18">
        <v>0</v>
      </c>
      <c r="AU427" s="18">
        <v>0</v>
      </c>
      <c r="AV427" s="18">
        <v>0</v>
      </c>
      <c r="AW427" s="18">
        <v>0</v>
      </c>
      <c r="AX427" s="18">
        <v>4</v>
      </c>
      <c r="AY427" s="18">
        <v>343</v>
      </c>
      <c r="AZ427" s="18">
        <v>107</v>
      </c>
      <c r="BA427" s="18">
        <v>68</v>
      </c>
      <c r="BB427" s="18">
        <v>0.63551</v>
      </c>
      <c r="BC427" s="18">
        <v>0</v>
      </c>
      <c r="BD427" s="18">
        <v>0</v>
      </c>
      <c r="BE427" s="18">
        <v>0.27886</v>
      </c>
      <c r="BF427" s="18">
        <v>137</v>
      </c>
      <c r="BG427" s="18">
        <v>3</v>
      </c>
      <c r="BH427" s="18">
        <v>0</v>
      </c>
      <c r="BI427" s="18"/>
      <c r="BJ427" s="18">
        <v>0</v>
      </c>
      <c r="BK427" s="18">
        <v>0</v>
      </c>
      <c r="BL427" s="18">
        <v>0</v>
      </c>
      <c r="BM427" s="18">
        <v>0</v>
      </c>
      <c r="BN427" s="18"/>
      <c r="BO427" s="18"/>
      <c r="BP427" s="18">
        <v>0</v>
      </c>
      <c r="BQ427" s="18">
        <v>129</v>
      </c>
      <c r="BR427" s="18">
        <v>0</v>
      </c>
      <c r="BS427" s="18">
        <v>0</v>
      </c>
      <c r="BT427" s="18">
        <v>0</v>
      </c>
      <c r="BU427" s="18">
        <v>0</v>
      </c>
    </row>
    <row r="428" spans="1:73">
      <c r="A428" s="19">
        <v>46183</v>
      </c>
      <c r="B428" s="18">
        <v>372</v>
      </c>
      <c r="C428" s="18" t="s">
        <v>37</v>
      </c>
      <c r="D428" s="18">
        <v>372</v>
      </c>
      <c r="E428" s="18" t="s">
        <v>61</v>
      </c>
      <c r="F428" s="18">
        <v>1591</v>
      </c>
      <c r="G428" s="18">
        <v>135</v>
      </c>
      <c r="H428" s="18">
        <v>60.52</v>
      </c>
      <c r="I428" s="18">
        <v>0.08485</v>
      </c>
      <c r="J428" s="18">
        <v>0.45</v>
      </c>
      <c r="K428" s="18">
        <v>38.04</v>
      </c>
      <c r="L428" s="18">
        <v>0</v>
      </c>
      <c r="M428" s="18">
        <v>0</v>
      </c>
      <c r="N428" s="18">
        <v>0</v>
      </c>
      <c r="O428" s="18">
        <v>0</v>
      </c>
      <c r="P428" s="18">
        <v>0</v>
      </c>
      <c r="Q428" s="18">
        <v>0</v>
      </c>
      <c r="R428" s="18">
        <v>0</v>
      </c>
      <c r="S428" s="18">
        <v>0</v>
      </c>
      <c r="T428" s="18">
        <v>0</v>
      </c>
      <c r="U428" s="18">
        <v>0</v>
      </c>
      <c r="V428" s="18">
        <v>0</v>
      </c>
      <c r="W428" s="18">
        <v>0</v>
      </c>
      <c r="X428" s="18">
        <v>0</v>
      </c>
      <c r="Y428" s="18">
        <v>0</v>
      </c>
      <c r="Z428" s="18">
        <v>0</v>
      </c>
      <c r="AA428" s="18"/>
      <c r="AB428" s="18">
        <v>5</v>
      </c>
      <c r="AC428" s="18">
        <v>4</v>
      </c>
      <c r="AD428" s="18">
        <v>1</v>
      </c>
      <c r="AE428" s="18">
        <v>0.03704</v>
      </c>
      <c r="AF428" s="18">
        <v>1</v>
      </c>
      <c r="AG428" s="18">
        <v>0</v>
      </c>
      <c r="AH428" s="18"/>
      <c r="AI428" s="18">
        <v>6</v>
      </c>
      <c r="AJ428" s="18">
        <v>10.09</v>
      </c>
      <c r="AK428" s="18">
        <v>6</v>
      </c>
      <c r="AL428" s="18">
        <v>10.09</v>
      </c>
      <c r="AM428" s="18">
        <v>1</v>
      </c>
      <c r="AN428" s="18">
        <v>60.52</v>
      </c>
      <c r="AO428" s="18">
        <v>0.00741</v>
      </c>
      <c r="AP428" s="18">
        <v>12.1</v>
      </c>
      <c r="AQ428" s="18">
        <v>0</v>
      </c>
      <c r="AR428" s="18">
        <v>0</v>
      </c>
      <c r="AS428" s="18">
        <v>1</v>
      </c>
      <c r="AT428" s="18">
        <v>0</v>
      </c>
      <c r="AU428" s="18">
        <v>0</v>
      </c>
      <c r="AV428" s="18">
        <v>0</v>
      </c>
      <c r="AW428" s="18">
        <v>0</v>
      </c>
      <c r="AX428" s="18">
        <v>0</v>
      </c>
      <c r="AY428" s="18">
        <v>253</v>
      </c>
      <c r="AZ428" s="18">
        <v>127</v>
      </c>
      <c r="BA428" s="18">
        <v>84</v>
      </c>
      <c r="BB428" s="18">
        <v>0.66142</v>
      </c>
      <c r="BC428" s="18">
        <v>0</v>
      </c>
      <c r="BD428" s="18">
        <v>0</v>
      </c>
      <c r="BE428" s="18">
        <v>0.15902</v>
      </c>
      <c r="BF428" s="18">
        <v>80</v>
      </c>
      <c r="BG428" s="18">
        <v>2</v>
      </c>
      <c r="BH428" s="18">
        <v>0</v>
      </c>
      <c r="BI428" s="18"/>
      <c r="BJ428" s="18">
        <v>0</v>
      </c>
      <c r="BK428" s="18">
        <v>0</v>
      </c>
      <c r="BL428" s="18">
        <v>0</v>
      </c>
      <c r="BM428" s="18">
        <v>0</v>
      </c>
      <c r="BN428" s="18"/>
      <c r="BO428" s="18"/>
      <c r="BP428" s="18">
        <v>0.05</v>
      </c>
      <c r="BQ428" s="18">
        <v>296</v>
      </c>
      <c r="BR428" s="18">
        <v>0</v>
      </c>
      <c r="BS428" s="18">
        <v>0</v>
      </c>
      <c r="BT428" s="18">
        <v>0</v>
      </c>
      <c r="BU428" s="18">
        <v>0</v>
      </c>
    </row>
    <row r="429" spans="1:73">
      <c r="A429" s="19">
        <v>46183</v>
      </c>
      <c r="B429" s="18">
        <v>371</v>
      </c>
      <c r="C429" s="18" t="s">
        <v>32</v>
      </c>
      <c r="D429" s="18">
        <v>371</v>
      </c>
      <c r="E429" s="18" t="s">
        <v>32</v>
      </c>
      <c r="F429" s="18">
        <v>4804</v>
      </c>
      <c r="G429" s="18">
        <v>199</v>
      </c>
      <c r="H429" s="18">
        <v>150</v>
      </c>
      <c r="I429" s="18">
        <v>0.04142</v>
      </c>
      <c r="J429" s="18">
        <v>0.75</v>
      </c>
      <c r="K429" s="18">
        <v>31.22</v>
      </c>
      <c r="L429" s="18">
        <v>0</v>
      </c>
      <c r="M429" s="18">
        <v>0</v>
      </c>
      <c r="N429" s="18">
        <v>0</v>
      </c>
      <c r="O429" s="18">
        <v>0</v>
      </c>
      <c r="P429" s="18">
        <v>0</v>
      </c>
      <c r="Q429" s="18">
        <v>0</v>
      </c>
      <c r="R429" s="18">
        <v>37.46</v>
      </c>
      <c r="S429" s="18">
        <v>0</v>
      </c>
      <c r="T429" s="18">
        <v>37.46</v>
      </c>
      <c r="U429" s="18">
        <v>1</v>
      </c>
      <c r="V429" s="18">
        <v>1</v>
      </c>
      <c r="W429" s="18">
        <v>0</v>
      </c>
      <c r="X429" s="18">
        <v>0.00503</v>
      </c>
      <c r="Y429" s="18">
        <v>0.25</v>
      </c>
      <c r="Z429" s="18">
        <v>0.25</v>
      </c>
      <c r="AA429" s="18">
        <v>150</v>
      </c>
      <c r="AB429" s="18">
        <v>3</v>
      </c>
      <c r="AC429" s="18">
        <v>3</v>
      </c>
      <c r="AD429" s="18">
        <v>0</v>
      </c>
      <c r="AE429" s="18">
        <v>0.01508</v>
      </c>
      <c r="AF429" s="18">
        <v>0</v>
      </c>
      <c r="AG429" s="18">
        <v>1</v>
      </c>
      <c r="AH429" s="18">
        <v>150</v>
      </c>
      <c r="AI429" s="18">
        <v>4</v>
      </c>
      <c r="AJ429" s="18">
        <v>37.5</v>
      </c>
      <c r="AK429" s="18">
        <v>3</v>
      </c>
      <c r="AL429" s="18">
        <v>50</v>
      </c>
      <c r="AM429" s="18">
        <v>1</v>
      </c>
      <c r="AN429" s="18"/>
      <c r="AO429" s="18">
        <v>0</v>
      </c>
      <c r="AP429" s="18">
        <v>50</v>
      </c>
      <c r="AQ429" s="18">
        <v>1</v>
      </c>
      <c r="AR429" s="18">
        <v>46.9</v>
      </c>
      <c r="AS429" s="18">
        <v>0</v>
      </c>
      <c r="AT429" s="18">
        <v>0</v>
      </c>
      <c r="AU429" s="18">
        <v>0</v>
      </c>
      <c r="AV429" s="18">
        <v>0</v>
      </c>
      <c r="AW429" s="18">
        <v>0</v>
      </c>
      <c r="AX429" s="18">
        <v>0</v>
      </c>
      <c r="AY429" s="18">
        <v>261</v>
      </c>
      <c r="AZ429" s="18">
        <v>145</v>
      </c>
      <c r="BA429" s="18">
        <v>125</v>
      </c>
      <c r="BB429" s="18">
        <v>0.86207</v>
      </c>
      <c r="BC429" s="18">
        <v>0</v>
      </c>
      <c r="BD429" s="18">
        <v>0</v>
      </c>
      <c r="BE429" s="18">
        <v>0.05433</v>
      </c>
      <c r="BF429" s="18">
        <v>32</v>
      </c>
      <c r="BG429" s="18">
        <v>2</v>
      </c>
      <c r="BH429" s="18">
        <v>1</v>
      </c>
      <c r="BI429" s="18">
        <v>1</v>
      </c>
      <c r="BJ429" s="18">
        <v>0</v>
      </c>
      <c r="BK429" s="18">
        <v>0</v>
      </c>
      <c r="BL429" s="18">
        <v>0</v>
      </c>
      <c r="BM429" s="18">
        <v>1</v>
      </c>
      <c r="BN429" s="18">
        <v>1</v>
      </c>
      <c r="BO429" s="18">
        <v>37.46</v>
      </c>
      <c r="BP429" s="18">
        <v>0.03</v>
      </c>
      <c r="BQ429" s="18">
        <v>281</v>
      </c>
      <c r="BR429" s="18">
        <v>0</v>
      </c>
      <c r="BS429" s="18">
        <v>0</v>
      </c>
      <c r="BT429" s="18">
        <v>0</v>
      </c>
      <c r="BU429" s="18">
        <v>0</v>
      </c>
    </row>
    <row r="430" spans="1:73">
      <c r="A430" s="19">
        <v>46182</v>
      </c>
      <c r="B430" s="18">
        <v>183</v>
      </c>
      <c r="C430" s="18" t="s">
        <v>40</v>
      </c>
      <c r="D430" s="18">
        <v>183</v>
      </c>
      <c r="E430" s="18" t="s">
        <v>40</v>
      </c>
      <c r="F430" s="18">
        <v>957</v>
      </c>
      <c r="G430" s="18">
        <v>42</v>
      </c>
      <c r="H430" s="18">
        <v>100</v>
      </c>
      <c r="I430" s="18">
        <v>0.04389</v>
      </c>
      <c r="J430" s="18">
        <v>2.38</v>
      </c>
      <c r="K430" s="18">
        <v>104.49</v>
      </c>
      <c r="L430" s="18">
        <v>0</v>
      </c>
      <c r="M430" s="18">
        <v>0</v>
      </c>
      <c r="N430" s="18">
        <v>0</v>
      </c>
      <c r="O430" s="18">
        <v>0</v>
      </c>
      <c r="P430" s="18">
        <v>0</v>
      </c>
      <c r="Q430" s="18">
        <v>0</v>
      </c>
      <c r="R430" s="18">
        <v>0</v>
      </c>
      <c r="S430" s="18">
        <v>0</v>
      </c>
      <c r="T430" s="18">
        <v>0</v>
      </c>
      <c r="U430" s="18">
        <v>0</v>
      </c>
      <c r="V430" s="18">
        <v>0</v>
      </c>
      <c r="W430" s="18">
        <v>0</v>
      </c>
      <c r="X430" s="18">
        <v>0</v>
      </c>
      <c r="Y430" s="18">
        <v>0</v>
      </c>
      <c r="Z430" s="18">
        <v>0</v>
      </c>
      <c r="AA430" s="18"/>
      <c r="AB430" s="18">
        <v>1</v>
      </c>
      <c r="AC430" s="18">
        <v>1</v>
      </c>
      <c r="AD430" s="18">
        <v>0</v>
      </c>
      <c r="AE430" s="18">
        <v>0.02381</v>
      </c>
      <c r="AF430" s="18">
        <v>2</v>
      </c>
      <c r="AG430" s="18">
        <v>0</v>
      </c>
      <c r="AH430" s="18"/>
      <c r="AI430" s="18">
        <v>3</v>
      </c>
      <c r="AJ430" s="18">
        <v>33.33</v>
      </c>
      <c r="AK430" s="18">
        <v>3</v>
      </c>
      <c r="AL430" s="18">
        <v>33.33</v>
      </c>
      <c r="AM430" s="18">
        <v>2</v>
      </c>
      <c r="AN430" s="18">
        <v>50</v>
      </c>
      <c r="AO430" s="18">
        <v>0.04762</v>
      </c>
      <c r="AP430" s="18">
        <v>100</v>
      </c>
      <c r="AQ430" s="18">
        <v>0</v>
      </c>
      <c r="AR430" s="18">
        <v>0</v>
      </c>
      <c r="AS430" s="18">
        <v>2</v>
      </c>
      <c r="AT430" s="18">
        <v>0</v>
      </c>
      <c r="AU430" s="18">
        <v>0</v>
      </c>
      <c r="AV430" s="18">
        <v>0</v>
      </c>
      <c r="AW430" s="18">
        <v>0</v>
      </c>
      <c r="AX430" s="18">
        <v>0</v>
      </c>
      <c r="AY430" s="18">
        <v>263</v>
      </c>
      <c r="AZ430" s="18">
        <v>106</v>
      </c>
      <c r="BA430" s="18">
        <v>72</v>
      </c>
      <c r="BB430" s="18">
        <v>0.67925</v>
      </c>
      <c r="BC430" s="18">
        <v>0</v>
      </c>
      <c r="BD430" s="18">
        <v>0</v>
      </c>
      <c r="BE430" s="18">
        <v>0.27482</v>
      </c>
      <c r="BF430" s="18">
        <v>102</v>
      </c>
      <c r="BG430" s="18">
        <v>2</v>
      </c>
      <c r="BH430" s="18">
        <v>0</v>
      </c>
      <c r="BI430" s="18"/>
      <c r="BJ430" s="18">
        <v>0</v>
      </c>
      <c r="BK430" s="18">
        <v>0</v>
      </c>
      <c r="BL430" s="18">
        <v>0</v>
      </c>
      <c r="BM430" s="18">
        <v>0</v>
      </c>
      <c r="BN430" s="18"/>
      <c r="BO430" s="18"/>
      <c r="BP430" s="18">
        <v>0</v>
      </c>
      <c r="BQ430" s="18">
        <v>130</v>
      </c>
      <c r="BR430" s="18">
        <v>0</v>
      </c>
      <c r="BS430" s="18">
        <v>0</v>
      </c>
      <c r="BT430" s="18">
        <v>0</v>
      </c>
      <c r="BU430" s="18">
        <v>0</v>
      </c>
    </row>
    <row r="431" spans="1:73">
      <c r="A431" s="19">
        <v>46182</v>
      </c>
      <c r="B431" s="18">
        <v>479</v>
      </c>
      <c r="C431" s="18" t="s">
        <v>39</v>
      </c>
      <c r="D431" s="18">
        <v>479</v>
      </c>
      <c r="E431" s="18" t="s">
        <v>39</v>
      </c>
      <c r="F431" s="18">
        <v>42</v>
      </c>
      <c r="G431" s="18">
        <v>17</v>
      </c>
      <c r="H431" s="18">
        <v>13.45</v>
      </c>
      <c r="I431" s="18">
        <v>0.40476</v>
      </c>
      <c r="J431" s="18">
        <v>0.79</v>
      </c>
      <c r="K431" s="18">
        <v>320.14</v>
      </c>
      <c r="L431" s="18">
        <v>0</v>
      </c>
      <c r="M431" s="18">
        <v>0</v>
      </c>
      <c r="N431" s="18">
        <v>0</v>
      </c>
      <c r="O431" s="18">
        <v>0</v>
      </c>
      <c r="P431" s="18">
        <v>0</v>
      </c>
      <c r="Q431" s="18">
        <v>0</v>
      </c>
      <c r="R431" s="18">
        <v>0</v>
      </c>
      <c r="S431" s="18">
        <v>0</v>
      </c>
      <c r="T431" s="18">
        <v>0</v>
      </c>
      <c r="U431" s="18">
        <v>0</v>
      </c>
      <c r="V431" s="18">
        <v>0</v>
      </c>
      <c r="W431" s="18">
        <v>0</v>
      </c>
      <c r="X431" s="18">
        <v>0</v>
      </c>
      <c r="Y431" s="18">
        <v>0</v>
      </c>
      <c r="Z431" s="18">
        <v>0</v>
      </c>
      <c r="AA431" s="18"/>
      <c r="AB431" s="18">
        <v>13</v>
      </c>
      <c r="AC431" s="18">
        <v>0</v>
      </c>
      <c r="AD431" s="18">
        <v>13</v>
      </c>
      <c r="AE431" s="18">
        <v>0.76471</v>
      </c>
      <c r="AF431" s="18">
        <v>0</v>
      </c>
      <c r="AG431" s="18">
        <v>1</v>
      </c>
      <c r="AH431" s="18">
        <v>13.45</v>
      </c>
      <c r="AI431" s="18">
        <v>14</v>
      </c>
      <c r="AJ431" s="18">
        <v>0.96</v>
      </c>
      <c r="AK431" s="18">
        <v>13</v>
      </c>
      <c r="AL431" s="18">
        <v>1.03</v>
      </c>
      <c r="AM431" s="18">
        <v>1</v>
      </c>
      <c r="AN431" s="18"/>
      <c r="AO431" s="18">
        <v>0</v>
      </c>
      <c r="AP431" s="18">
        <v>1.03</v>
      </c>
      <c r="AQ431" s="18">
        <v>0</v>
      </c>
      <c r="AR431" s="18">
        <v>0</v>
      </c>
      <c r="AS431" s="18">
        <v>0</v>
      </c>
      <c r="AT431" s="18">
        <v>0</v>
      </c>
      <c r="AU431" s="18">
        <v>0</v>
      </c>
      <c r="AV431" s="18">
        <v>0</v>
      </c>
      <c r="AW431" s="18">
        <v>0</v>
      </c>
      <c r="AX431" s="18">
        <v>0</v>
      </c>
      <c r="AY431" s="18">
        <v>274</v>
      </c>
      <c r="AZ431" s="18">
        <v>16</v>
      </c>
      <c r="BA431" s="18">
        <v>9</v>
      </c>
      <c r="BB431" s="18">
        <v>0.5625</v>
      </c>
      <c r="BC431" s="18">
        <v>0</v>
      </c>
      <c r="BD431" s="18">
        <v>0</v>
      </c>
      <c r="BE431" s="18">
        <v>6.52381</v>
      </c>
      <c r="BF431" s="18">
        <v>256</v>
      </c>
      <c r="BG431" s="18">
        <v>17</v>
      </c>
      <c r="BH431" s="18">
        <v>0</v>
      </c>
      <c r="BI431" s="18"/>
      <c r="BJ431" s="18">
        <v>0</v>
      </c>
      <c r="BK431" s="18">
        <v>0</v>
      </c>
      <c r="BL431" s="18">
        <v>0</v>
      </c>
      <c r="BM431" s="18">
        <v>0</v>
      </c>
      <c r="BN431" s="18"/>
      <c r="BO431" s="18"/>
      <c r="BP431" s="18">
        <v>0.01</v>
      </c>
      <c r="BQ431" s="18">
        <v>152</v>
      </c>
      <c r="BR431" s="18">
        <v>0</v>
      </c>
      <c r="BS431" s="18">
        <v>0</v>
      </c>
      <c r="BT431" s="18">
        <v>0</v>
      </c>
      <c r="BU431" s="18">
        <v>0</v>
      </c>
    </row>
    <row r="432" spans="1:73">
      <c r="A432" s="19">
        <v>46182</v>
      </c>
      <c r="B432" s="18">
        <v>436</v>
      </c>
      <c r="C432" s="18" t="s">
        <v>38</v>
      </c>
      <c r="D432" s="18">
        <v>436</v>
      </c>
      <c r="E432" s="18" t="s">
        <v>38</v>
      </c>
      <c r="F432" s="18">
        <v>869</v>
      </c>
      <c r="G432" s="18">
        <v>26</v>
      </c>
      <c r="H432" s="18">
        <v>50</v>
      </c>
      <c r="I432" s="18">
        <v>0.02992</v>
      </c>
      <c r="J432" s="18">
        <v>1.92</v>
      </c>
      <c r="K432" s="18">
        <v>57.54</v>
      </c>
      <c r="L432" s="18">
        <v>0</v>
      </c>
      <c r="M432" s="18">
        <v>0</v>
      </c>
      <c r="N432" s="18">
        <v>0</v>
      </c>
      <c r="O432" s="18">
        <v>0</v>
      </c>
      <c r="P432" s="18">
        <v>0</v>
      </c>
      <c r="Q432" s="18">
        <v>0</v>
      </c>
      <c r="R432" s="18">
        <v>0</v>
      </c>
      <c r="S432" s="18">
        <v>79.86</v>
      </c>
      <c r="T432" s="18">
        <v>79.86</v>
      </c>
      <c r="U432" s="18">
        <v>2</v>
      </c>
      <c r="V432" s="18">
        <v>0</v>
      </c>
      <c r="W432" s="18">
        <v>2</v>
      </c>
      <c r="X432" s="18">
        <v>0.07692</v>
      </c>
      <c r="Y432" s="18">
        <v>1.6</v>
      </c>
      <c r="Z432" s="18">
        <v>1.6</v>
      </c>
      <c r="AA432" s="18">
        <v>25</v>
      </c>
      <c r="AB432" s="18">
        <v>0</v>
      </c>
      <c r="AC432" s="18">
        <v>0</v>
      </c>
      <c r="AD432" s="18">
        <v>0</v>
      </c>
      <c r="AE432" s="18">
        <v>0</v>
      </c>
      <c r="AF432" s="18">
        <v>0</v>
      </c>
      <c r="AG432" s="18">
        <v>0</v>
      </c>
      <c r="AH432" s="18"/>
      <c r="AI432" s="18">
        <v>0</v>
      </c>
      <c r="AJ432" s="18"/>
      <c r="AK432" s="18">
        <v>0</v>
      </c>
      <c r="AL432" s="18"/>
      <c r="AM432" s="18">
        <v>0</v>
      </c>
      <c r="AN432" s="18"/>
      <c r="AO432" s="18">
        <v>0</v>
      </c>
      <c r="AP432" s="18"/>
      <c r="AQ432" s="18">
        <v>2</v>
      </c>
      <c r="AR432" s="18">
        <v>96.8</v>
      </c>
      <c r="AS432" s="18">
        <v>0</v>
      </c>
      <c r="AT432" s="18">
        <v>0</v>
      </c>
      <c r="AU432" s="18">
        <v>0</v>
      </c>
      <c r="AV432" s="18">
        <v>0</v>
      </c>
      <c r="AW432" s="18">
        <v>0</v>
      </c>
      <c r="AX432" s="18">
        <v>0</v>
      </c>
      <c r="AY432" s="18">
        <v>101</v>
      </c>
      <c r="AZ432" s="18">
        <v>24</v>
      </c>
      <c r="BA432" s="18">
        <v>16</v>
      </c>
      <c r="BB432" s="18">
        <v>0.66667</v>
      </c>
      <c r="BC432" s="18">
        <v>0</v>
      </c>
      <c r="BD432" s="18">
        <v>0</v>
      </c>
      <c r="BE432" s="18">
        <v>0.11623</v>
      </c>
      <c r="BF432" s="18">
        <v>74</v>
      </c>
      <c r="BG432" s="18">
        <v>4</v>
      </c>
      <c r="BH432" s="18">
        <v>2</v>
      </c>
      <c r="BI432" s="18">
        <v>1</v>
      </c>
      <c r="BJ432" s="18">
        <v>0</v>
      </c>
      <c r="BK432" s="18">
        <v>0</v>
      </c>
      <c r="BL432" s="18">
        <v>0</v>
      </c>
      <c r="BM432" s="18">
        <v>2</v>
      </c>
      <c r="BN432" s="18">
        <v>1</v>
      </c>
      <c r="BO432" s="18">
        <v>39.93</v>
      </c>
      <c r="BP432" s="18">
        <v>128.09</v>
      </c>
      <c r="BQ432" s="18">
        <v>290</v>
      </c>
      <c r="BR432" s="18">
        <v>0</v>
      </c>
      <c r="BS432" s="18">
        <v>0</v>
      </c>
      <c r="BT432" s="18">
        <v>0</v>
      </c>
      <c r="BU432" s="18">
        <v>0</v>
      </c>
    </row>
    <row r="433" spans="1:73">
      <c r="A433" s="19">
        <v>46182</v>
      </c>
      <c r="B433" s="18">
        <v>372</v>
      </c>
      <c r="C433" s="18" t="s">
        <v>37</v>
      </c>
      <c r="D433" s="18">
        <v>372</v>
      </c>
      <c r="E433" s="18" t="s">
        <v>61</v>
      </c>
      <c r="F433" s="18">
        <v>1499</v>
      </c>
      <c r="G433" s="18">
        <v>145</v>
      </c>
      <c r="H433" s="18">
        <v>69.02</v>
      </c>
      <c r="I433" s="18">
        <v>0.09673</v>
      </c>
      <c r="J433" s="18">
        <v>0.48</v>
      </c>
      <c r="K433" s="18">
        <v>46.04</v>
      </c>
      <c r="L433" s="18">
        <v>0</v>
      </c>
      <c r="M433" s="18">
        <v>0</v>
      </c>
      <c r="N433" s="18">
        <v>0</v>
      </c>
      <c r="O433" s="18">
        <v>0</v>
      </c>
      <c r="P433" s="18">
        <v>0</v>
      </c>
      <c r="Q433" s="18">
        <v>0</v>
      </c>
      <c r="R433" s="18">
        <v>0</v>
      </c>
      <c r="S433" s="18">
        <v>138.64</v>
      </c>
      <c r="T433" s="18">
        <v>138.64</v>
      </c>
      <c r="U433" s="18">
        <v>1</v>
      </c>
      <c r="V433" s="18">
        <v>0</v>
      </c>
      <c r="W433" s="18">
        <v>1</v>
      </c>
      <c r="X433" s="18">
        <v>0.0069</v>
      </c>
      <c r="Y433" s="18">
        <v>2.01</v>
      </c>
      <c r="Z433" s="18">
        <v>2.01</v>
      </c>
      <c r="AA433" s="18">
        <v>69.02</v>
      </c>
      <c r="AB433" s="18">
        <v>5</v>
      </c>
      <c r="AC433" s="18">
        <v>3</v>
      </c>
      <c r="AD433" s="18">
        <v>2</v>
      </c>
      <c r="AE433" s="18">
        <v>0.03448</v>
      </c>
      <c r="AF433" s="18">
        <v>1</v>
      </c>
      <c r="AG433" s="18">
        <v>0</v>
      </c>
      <c r="AH433" s="18"/>
      <c r="AI433" s="18">
        <v>6</v>
      </c>
      <c r="AJ433" s="18">
        <v>11.5</v>
      </c>
      <c r="AK433" s="18">
        <v>6</v>
      </c>
      <c r="AL433" s="18">
        <v>11.5</v>
      </c>
      <c r="AM433" s="18">
        <v>1</v>
      </c>
      <c r="AN433" s="18">
        <v>69.02</v>
      </c>
      <c r="AO433" s="18">
        <v>0.0069</v>
      </c>
      <c r="AP433" s="18">
        <v>13.8</v>
      </c>
      <c r="AQ433" s="18">
        <v>2</v>
      </c>
      <c r="AR433" s="18">
        <v>217.9</v>
      </c>
      <c r="AS433" s="18">
        <v>1</v>
      </c>
      <c r="AT433" s="18">
        <v>0</v>
      </c>
      <c r="AU433" s="18">
        <v>0</v>
      </c>
      <c r="AV433" s="18">
        <v>0</v>
      </c>
      <c r="AW433" s="18">
        <v>0</v>
      </c>
      <c r="AX433" s="18">
        <v>0</v>
      </c>
      <c r="AY433" s="18">
        <v>241</v>
      </c>
      <c r="AZ433" s="18">
        <v>150</v>
      </c>
      <c r="BA433" s="18">
        <v>106</v>
      </c>
      <c r="BB433" s="18">
        <v>0.70667</v>
      </c>
      <c r="BC433" s="18">
        <v>0</v>
      </c>
      <c r="BD433" s="18">
        <v>0</v>
      </c>
      <c r="BE433" s="18">
        <v>0.16077</v>
      </c>
      <c r="BF433" s="18">
        <v>47</v>
      </c>
      <c r="BG433" s="18">
        <v>2</v>
      </c>
      <c r="BH433" s="18">
        <v>1</v>
      </c>
      <c r="BI433" s="18">
        <v>1</v>
      </c>
      <c r="BJ433" s="18">
        <v>0</v>
      </c>
      <c r="BK433" s="18">
        <v>0</v>
      </c>
      <c r="BL433" s="18">
        <v>0</v>
      </c>
      <c r="BM433" s="18">
        <v>1</v>
      </c>
      <c r="BN433" s="18">
        <v>1</v>
      </c>
      <c r="BO433" s="18">
        <v>138.64</v>
      </c>
      <c r="BP433" s="18">
        <v>9.33</v>
      </c>
      <c r="BQ433" s="18">
        <v>996</v>
      </c>
      <c r="BR433" s="18">
        <v>0</v>
      </c>
      <c r="BS433" s="18">
        <v>0</v>
      </c>
      <c r="BT433" s="18">
        <v>0</v>
      </c>
      <c r="BU433" s="18">
        <v>0</v>
      </c>
    </row>
    <row r="434" spans="1:73">
      <c r="A434" s="19">
        <v>46182</v>
      </c>
      <c r="B434" s="18">
        <v>371</v>
      </c>
      <c r="C434" s="18" t="s">
        <v>32</v>
      </c>
      <c r="D434" s="18">
        <v>371</v>
      </c>
      <c r="E434" s="18" t="s">
        <v>32</v>
      </c>
      <c r="F434" s="18">
        <v>3956</v>
      </c>
      <c r="G434" s="18">
        <v>168</v>
      </c>
      <c r="H434" s="18">
        <v>117.57</v>
      </c>
      <c r="I434" s="18">
        <v>0.04247</v>
      </c>
      <c r="J434" s="18">
        <v>0.7</v>
      </c>
      <c r="K434" s="18">
        <v>29.72</v>
      </c>
      <c r="L434" s="18">
        <v>0</v>
      </c>
      <c r="M434" s="18">
        <v>0</v>
      </c>
      <c r="N434" s="18">
        <v>0</v>
      </c>
      <c r="O434" s="18">
        <v>0</v>
      </c>
      <c r="P434" s="18">
        <v>0</v>
      </c>
      <c r="Q434" s="18">
        <v>0</v>
      </c>
      <c r="R434" s="18">
        <v>125.81</v>
      </c>
      <c r="S434" s="18">
        <v>264.88</v>
      </c>
      <c r="T434" s="18">
        <v>390.69</v>
      </c>
      <c r="U434" s="18">
        <v>3</v>
      </c>
      <c r="V434" s="18">
        <v>2</v>
      </c>
      <c r="W434" s="18">
        <v>1</v>
      </c>
      <c r="X434" s="18">
        <v>0.01786</v>
      </c>
      <c r="Y434" s="18">
        <v>3.32</v>
      </c>
      <c r="Z434" s="18">
        <v>3.32</v>
      </c>
      <c r="AA434" s="18">
        <v>39.19</v>
      </c>
      <c r="AB434" s="18">
        <v>5</v>
      </c>
      <c r="AC434" s="18">
        <v>4</v>
      </c>
      <c r="AD434" s="18">
        <v>1</v>
      </c>
      <c r="AE434" s="18">
        <v>0.02976</v>
      </c>
      <c r="AF434" s="18">
        <v>1</v>
      </c>
      <c r="AG434" s="18">
        <v>0</v>
      </c>
      <c r="AH434" s="18"/>
      <c r="AI434" s="18">
        <v>6</v>
      </c>
      <c r="AJ434" s="18">
        <v>19.6</v>
      </c>
      <c r="AK434" s="18">
        <v>6</v>
      </c>
      <c r="AL434" s="18">
        <v>19.6</v>
      </c>
      <c r="AM434" s="18">
        <v>1</v>
      </c>
      <c r="AN434" s="18">
        <v>117.57</v>
      </c>
      <c r="AO434" s="18">
        <v>0.00595</v>
      </c>
      <c r="AP434" s="18">
        <v>23.51</v>
      </c>
      <c r="AQ434" s="18">
        <v>5</v>
      </c>
      <c r="AR434" s="18">
        <v>580.7</v>
      </c>
      <c r="AS434" s="18">
        <v>0</v>
      </c>
      <c r="AT434" s="18">
        <v>1</v>
      </c>
      <c r="AU434" s="18">
        <v>0</v>
      </c>
      <c r="AV434" s="18">
        <v>0</v>
      </c>
      <c r="AW434" s="18">
        <v>0</v>
      </c>
      <c r="AX434" s="18">
        <v>1</v>
      </c>
      <c r="AY434" s="18">
        <v>331</v>
      </c>
      <c r="AZ434" s="18">
        <v>137</v>
      </c>
      <c r="BA434" s="18">
        <v>110</v>
      </c>
      <c r="BB434" s="18">
        <v>0.80292</v>
      </c>
      <c r="BC434" s="18">
        <v>0</v>
      </c>
      <c r="BD434" s="18">
        <v>0</v>
      </c>
      <c r="BE434" s="18">
        <v>0.08367</v>
      </c>
      <c r="BF434" s="18">
        <v>122</v>
      </c>
      <c r="BG434" s="18">
        <v>2</v>
      </c>
      <c r="BH434" s="18">
        <v>2</v>
      </c>
      <c r="BI434" s="18">
        <v>0.66667</v>
      </c>
      <c r="BJ434" s="18">
        <v>0</v>
      </c>
      <c r="BK434" s="18">
        <v>0</v>
      </c>
      <c r="BL434" s="18">
        <v>0</v>
      </c>
      <c r="BM434" s="18">
        <v>3</v>
      </c>
      <c r="BN434" s="18">
        <v>1</v>
      </c>
      <c r="BO434" s="18">
        <v>130.23</v>
      </c>
      <c r="BP434" s="18">
        <v>1.99</v>
      </c>
      <c r="BQ434" s="18">
        <v>795</v>
      </c>
      <c r="BR434" s="18">
        <v>0</v>
      </c>
      <c r="BS434" s="18">
        <v>0</v>
      </c>
      <c r="BT434" s="18">
        <v>0</v>
      </c>
      <c r="BU434" s="18">
        <v>0</v>
      </c>
    </row>
    <row r="435" spans="1:73">
      <c r="A435" s="19">
        <v>46181</v>
      </c>
      <c r="B435" s="18">
        <v>371</v>
      </c>
      <c r="C435" s="18" t="s">
        <v>32</v>
      </c>
      <c r="D435" s="18">
        <v>371</v>
      </c>
      <c r="E435" s="18" t="s">
        <v>32</v>
      </c>
      <c r="F435" s="18">
        <v>4038</v>
      </c>
      <c r="G435" s="18">
        <v>183</v>
      </c>
      <c r="H435" s="18">
        <v>137.03</v>
      </c>
      <c r="I435" s="18">
        <v>0.04532</v>
      </c>
      <c r="J435" s="18">
        <v>0.75</v>
      </c>
      <c r="K435" s="18">
        <v>33.94</v>
      </c>
      <c r="L435" s="18">
        <v>0</v>
      </c>
      <c r="M435" s="18">
        <v>0</v>
      </c>
      <c r="N435" s="18">
        <v>0</v>
      </c>
      <c r="O435" s="18">
        <v>0</v>
      </c>
      <c r="P435" s="18">
        <v>0</v>
      </c>
      <c r="Q435" s="18">
        <v>0</v>
      </c>
      <c r="R435" s="18">
        <v>77.26</v>
      </c>
      <c r="S435" s="18">
        <v>79.15</v>
      </c>
      <c r="T435" s="18">
        <v>156.41</v>
      </c>
      <c r="U435" s="18">
        <v>3</v>
      </c>
      <c r="V435" s="18">
        <v>2</v>
      </c>
      <c r="W435" s="18">
        <v>1</v>
      </c>
      <c r="X435" s="18">
        <v>0.01639</v>
      </c>
      <c r="Y435" s="18">
        <v>1.14</v>
      </c>
      <c r="Z435" s="18">
        <v>1.14</v>
      </c>
      <c r="AA435" s="18">
        <v>45.68</v>
      </c>
      <c r="AB435" s="18">
        <v>6</v>
      </c>
      <c r="AC435" s="18">
        <v>6</v>
      </c>
      <c r="AD435" s="18">
        <v>0</v>
      </c>
      <c r="AE435" s="18">
        <v>0.03279</v>
      </c>
      <c r="AF435" s="18">
        <v>4</v>
      </c>
      <c r="AG435" s="18">
        <v>1</v>
      </c>
      <c r="AH435" s="18">
        <v>137.03</v>
      </c>
      <c r="AI435" s="18">
        <v>11</v>
      </c>
      <c r="AJ435" s="18">
        <v>12.46</v>
      </c>
      <c r="AK435" s="18">
        <v>10</v>
      </c>
      <c r="AL435" s="18">
        <v>13.7</v>
      </c>
      <c r="AM435" s="18">
        <v>5</v>
      </c>
      <c r="AN435" s="18">
        <v>34.26</v>
      </c>
      <c r="AO435" s="18">
        <v>0.02186</v>
      </c>
      <c r="AP435" s="18">
        <v>22.84</v>
      </c>
      <c r="AQ435" s="18">
        <v>4</v>
      </c>
      <c r="AR435" s="18">
        <v>242.7</v>
      </c>
      <c r="AS435" s="18">
        <v>4</v>
      </c>
      <c r="AT435" s="18">
        <v>0</v>
      </c>
      <c r="AU435" s="18">
        <v>0</v>
      </c>
      <c r="AV435" s="18">
        <v>0</v>
      </c>
      <c r="AW435" s="18">
        <v>0</v>
      </c>
      <c r="AX435" s="18">
        <v>1</v>
      </c>
      <c r="AY435" s="18">
        <v>302</v>
      </c>
      <c r="AZ435" s="18">
        <v>143</v>
      </c>
      <c r="BA435" s="18">
        <v>120</v>
      </c>
      <c r="BB435" s="18">
        <v>0.83916</v>
      </c>
      <c r="BC435" s="18">
        <v>0</v>
      </c>
      <c r="BD435" s="18">
        <v>0</v>
      </c>
      <c r="BE435" s="18">
        <v>0.07479</v>
      </c>
      <c r="BF435" s="18">
        <v>94</v>
      </c>
      <c r="BG435" s="18">
        <v>2</v>
      </c>
      <c r="BH435" s="18">
        <v>2</v>
      </c>
      <c r="BI435" s="18">
        <v>1</v>
      </c>
      <c r="BJ435" s="18">
        <v>0</v>
      </c>
      <c r="BK435" s="18">
        <v>0</v>
      </c>
      <c r="BL435" s="18">
        <v>0</v>
      </c>
      <c r="BM435" s="18">
        <v>2</v>
      </c>
      <c r="BN435" s="18">
        <v>2</v>
      </c>
      <c r="BO435" s="18">
        <v>78.21</v>
      </c>
      <c r="BP435" s="18">
        <v>9.01</v>
      </c>
      <c r="BQ435" s="18">
        <v>857</v>
      </c>
      <c r="BR435" s="18">
        <v>0</v>
      </c>
      <c r="BS435" s="18">
        <v>0</v>
      </c>
      <c r="BT435" s="18">
        <v>0</v>
      </c>
      <c r="BU435" s="18">
        <v>0</v>
      </c>
    </row>
    <row r="436" spans="1:73">
      <c r="A436" s="19">
        <v>46181</v>
      </c>
      <c r="B436" s="18">
        <v>183</v>
      </c>
      <c r="C436" s="18" t="s">
        <v>40</v>
      </c>
      <c r="D436" s="18">
        <v>183</v>
      </c>
      <c r="E436" s="18" t="s">
        <v>40</v>
      </c>
      <c r="F436" s="18">
        <v>744</v>
      </c>
      <c r="G436" s="18">
        <v>42</v>
      </c>
      <c r="H436" s="18">
        <v>100</v>
      </c>
      <c r="I436" s="18">
        <v>0.05645</v>
      </c>
      <c r="J436" s="18">
        <v>2.38</v>
      </c>
      <c r="K436" s="18">
        <v>134.41</v>
      </c>
      <c r="L436" s="18">
        <v>0</v>
      </c>
      <c r="M436" s="18">
        <v>0</v>
      </c>
      <c r="N436" s="18">
        <v>0</v>
      </c>
      <c r="O436" s="18">
        <v>0</v>
      </c>
      <c r="P436" s="18">
        <v>0</v>
      </c>
      <c r="Q436" s="18">
        <v>0</v>
      </c>
      <c r="R436" s="18">
        <v>76.18</v>
      </c>
      <c r="S436" s="18">
        <v>0</v>
      </c>
      <c r="T436" s="18">
        <v>76.18</v>
      </c>
      <c r="U436" s="18">
        <v>1</v>
      </c>
      <c r="V436" s="18">
        <v>1</v>
      </c>
      <c r="W436" s="18">
        <v>0</v>
      </c>
      <c r="X436" s="18">
        <v>0.02381</v>
      </c>
      <c r="Y436" s="18">
        <v>0.76</v>
      </c>
      <c r="Z436" s="18">
        <v>0.76</v>
      </c>
      <c r="AA436" s="18">
        <v>100</v>
      </c>
      <c r="AB436" s="18">
        <v>4</v>
      </c>
      <c r="AC436" s="18">
        <v>4</v>
      </c>
      <c r="AD436" s="18">
        <v>0</v>
      </c>
      <c r="AE436" s="18">
        <v>0.09524</v>
      </c>
      <c r="AF436" s="18">
        <v>1</v>
      </c>
      <c r="AG436" s="18">
        <v>0</v>
      </c>
      <c r="AH436" s="18"/>
      <c r="AI436" s="18">
        <v>5</v>
      </c>
      <c r="AJ436" s="18">
        <v>20</v>
      </c>
      <c r="AK436" s="18">
        <v>5</v>
      </c>
      <c r="AL436" s="18">
        <v>20</v>
      </c>
      <c r="AM436" s="18">
        <v>1</v>
      </c>
      <c r="AN436" s="18">
        <v>100</v>
      </c>
      <c r="AO436" s="18">
        <v>0.02381</v>
      </c>
      <c r="AP436" s="18">
        <v>25</v>
      </c>
      <c r="AQ436" s="18">
        <v>2</v>
      </c>
      <c r="AR436" s="18">
        <v>148.9</v>
      </c>
      <c r="AS436" s="18">
        <v>1</v>
      </c>
      <c r="AT436" s="18">
        <v>0</v>
      </c>
      <c r="AU436" s="18">
        <v>0</v>
      </c>
      <c r="AV436" s="18">
        <v>0</v>
      </c>
      <c r="AW436" s="18">
        <v>0</v>
      </c>
      <c r="AX436" s="18">
        <v>1</v>
      </c>
      <c r="AY436" s="18">
        <v>223</v>
      </c>
      <c r="AZ436" s="18">
        <v>81</v>
      </c>
      <c r="BA436" s="18">
        <v>48</v>
      </c>
      <c r="BB436" s="18">
        <v>0.59259</v>
      </c>
      <c r="BC436" s="18">
        <v>0</v>
      </c>
      <c r="BD436" s="18">
        <v>0</v>
      </c>
      <c r="BE436" s="18">
        <v>0.29973</v>
      </c>
      <c r="BF436" s="18">
        <v>70</v>
      </c>
      <c r="BG436" s="18">
        <v>3</v>
      </c>
      <c r="BH436" s="18">
        <v>1</v>
      </c>
      <c r="BI436" s="18">
        <v>1</v>
      </c>
      <c r="BJ436" s="18">
        <v>0</v>
      </c>
      <c r="BK436" s="18">
        <v>0</v>
      </c>
      <c r="BL436" s="18">
        <v>0</v>
      </c>
      <c r="BM436" s="18">
        <v>1</v>
      </c>
      <c r="BN436" s="18">
        <v>1</v>
      </c>
      <c r="BO436" s="18">
        <v>76.18</v>
      </c>
      <c r="BP436" s="18">
        <v>1.27</v>
      </c>
      <c r="BQ436" s="18">
        <v>237</v>
      </c>
      <c r="BR436" s="18">
        <v>0</v>
      </c>
      <c r="BS436" s="18">
        <v>0</v>
      </c>
      <c r="BT436" s="18">
        <v>0</v>
      </c>
      <c r="BU436" s="18">
        <v>0</v>
      </c>
    </row>
    <row r="437" spans="1:73">
      <c r="A437" s="19">
        <v>46181</v>
      </c>
      <c r="B437" s="18">
        <v>479</v>
      </c>
      <c r="C437" s="18" t="s">
        <v>39</v>
      </c>
      <c r="D437" s="18">
        <v>479</v>
      </c>
      <c r="E437" s="18" t="s">
        <v>39</v>
      </c>
      <c r="F437" s="18">
        <v>37</v>
      </c>
      <c r="G437" s="18">
        <v>21</v>
      </c>
      <c r="H437" s="18">
        <v>12.74</v>
      </c>
      <c r="I437" s="18">
        <v>0.56757</v>
      </c>
      <c r="J437" s="18">
        <v>0.61</v>
      </c>
      <c r="K437" s="18">
        <v>344.24</v>
      </c>
      <c r="L437" s="18">
        <v>0</v>
      </c>
      <c r="M437" s="18">
        <v>0</v>
      </c>
      <c r="N437" s="18">
        <v>0</v>
      </c>
      <c r="O437" s="18">
        <v>0</v>
      </c>
      <c r="P437" s="18">
        <v>0</v>
      </c>
      <c r="Q437" s="18">
        <v>0</v>
      </c>
      <c r="R437" s="18">
        <v>0</v>
      </c>
      <c r="S437" s="18">
        <v>331.73</v>
      </c>
      <c r="T437" s="18">
        <v>331.73</v>
      </c>
      <c r="U437" s="18">
        <v>1</v>
      </c>
      <c r="V437" s="18">
        <v>0</v>
      </c>
      <c r="W437" s="18">
        <v>1</v>
      </c>
      <c r="X437" s="18">
        <v>0.04762</v>
      </c>
      <c r="Y437" s="18">
        <v>26.05</v>
      </c>
      <c r="Z437" s="18">
        <v>26.05</v>
      </c>
      <c r="AA437" s="18">
        <v>12.74</v>
      </c>
      <c r="AB437" s="18">
        <v>7</v>
      </c>
      <c r="AC437" s="18">
        <v>0</v>
      </c>
      <c r="AD437" s="18">
        <v>7</v>
      </c>
      <c r="AE437" s="18">
        <v>0.33333</v>
      </c>
      <c r="AF437" s="18">
        <v>0</v>
      </c>
      <c r="AG437" s="18">
        <v>0</v>
      </c>
      <c r="AH437" s="18"/>
      <c r="AI437" s="18">
        <v>7</v>
      </c>
      <c r="AJ437" s="18">
        <v>1.82</v>
      </c>
      <c r="AK437" s="18">
        <v>7</v>
      </c>
      <c r="AL437" s="18">
        <v>1.82</v>
      </c>
      <c r="AM437" s="18">
        <v>0</v>
      </c>
      <c r="AN437" s="18"/>
      <c r="AO437" s="18">
        <v>0</v>
      </c>
      <c r="AP437" s="18">
        <v>1.82</v>
      </c>
      <c r="AQ437" s="18">
        <v>2</v>
      </c>
      <c r="AR437" s="18">
        <v>444.9</v>
      </c>
      <c r="AS437" s="18">
        <v>0</v>
      </c>
      <c r="AT437" s="18">
        <v>0</v>
      </c>
      <c r="AU437" s="18">
        <v>0</v>
      </c>
      <c r="AV437" s="18">
        <v>0</v>
      </c>
      <c r="AW437" s="18">
        <v>0</v>
      </c>
      <c r="AX437" s="18">
        <v>0</v>
      </c>
      <c r="AY437" s="18">
        <v>164</v>
      </c>
      <c r="AZ437" s="18">
        <v>16</v>
      </c>
      <c r="BA437" s="18">
        <v>12</v>
      </c>
      <c r="BB437" s="18">
        <v>0.75</v>
      </c>
      <c r="BC437" s="18">
        <v>0</v>
      </c>
      <c r="BD437" s="18">
        <v>0</v>
      </c>
      <c r="BE437" s="18">
        <v>4.43243</v>
      </c>
      <c r="BF437" s="18">
        <v>142</v>
      </c>
      <c r="BG437" s="18">
        <v>10</v>
      </c>
      <c r="BH437" s="18">
        <v>1</v>
      </c>
      <c r="BI437" s="18">
        <v>1</v>
      </c>
      <c r="BJ437" s="18">
        <v>0</v>
      </c>
      <c r="BK437" s="18">
        <v>0</v>
      </c>
      <c r="BL437" s="18">
        <v>0</v>
      </c>
      <c r="BM437" s="18">
        <v>1</v>
      </c>
      <c r="BN437" s="18">
        <v>1</v>
      </c>
      <c r="BO437" s="18">
        <v>331.73</v>
      </c>
      <c r="BP437" s="18">
        <v>0.17</v>
      </c>
      <c r="BQ437" s="18">
        <v>281</v>
      </c>
      <c r="BR437" s="18">
        <v>0</v>
      </c>
      <c r="BS437" s="18">
        <v>0</v>
      </c>
      <c r="BT437" s="18">
        <v>0</v>
      </c>
      <c r="BU437" s="18">
        <v>0</v>
      </c>
    </row>
    <row r="438" spans="1:73">
      <c r="A438" s="19">
        <v>46181</v>
      </c>
      <c r="B438" s="18">
        <v>372</v>
      </c>
      <c r="C438" s="18" t="s">
        <v>37</v>
      </c>
      <c r="D438" s="18">
        <v>372</v>
      </c>
      <c r="E438" s="18" t="s">
        <v>61</v>
      </c>
      <c r="F438" s="18">
        <v>1604</v>
      </c>
      <c r="G438" s="18">
        <v>147</v>
      </c>
      <c r="H438" s="18">
        <v>68.12</v>
      </c>
      <c r="I438" s="18">
        <v>0.09165</v>
      </c>
      <c r="J438" s="18">
        <v>0.46</v>
      </c>
      <c r="K438" s="18">
        <v>42.47</v>
      </c>
      <c r="L438" s="18">
        <v>0</v>
      </c>
      <c r="M438" s="18">
        <v>0</v>
      </c>
      <c r="N438" s="18">
        <v>0</v>
      </c>
      <c r="O438" s="18">
        <v>0</v>
      </c>
      <c r="P438" s="18">
        <v>0</v>
      </c>
      <c r="Q438" s="18">
        <v>0</v>
      </c>
      <c r="R438" s="18">
        <v>277.28</v>
      </c>
      <c r="S438" s="18">
        <v>0</v>
      </c>
      <c r="T438" s="18">
        <v>277.28</v>
      </c>
      <c r="U438" s="18">
        <v>2</v>
      </c>
      <c r="V438" s="18">
        <v>2</v>
      </c>
      <c r="W438" s="18">
        <v>0</v>
      </c>
      <c r="X438" s="18">
        <v>0.01361</v>
      </c>
      <c r="Y438" s="18">
        <v>4.07</v>
      </c>
      <c r="Z438" s="18">
        <v>4.07</v>
      </c>
      <c r="AA438" s="18">
        <v>34.06</v>
      </c>
      <c r="AB438" s="18">
        <v>3</v>
      </c>
      <c r="AC438" s="18">
        <v>3</v>
      </c>
      <c r="AD438" s="18">
        <v>0</v>
      </c>
      <c r="AE438" s="18">
        <v>0.02041</v>
      </c>
      <c r="AF438" s="18">
        <v>3</v>
      </c>
      <c r="AG438" s="18">
        <v>0</v>
      </c>
      <c r="AH438" s="18"/>
      <c r="AI438" s="18">
        <v>6</v>
      </c>
      <c r="AJ438" s="18">
        <v>11.35</v>
      </c>
      <c r="AK438" s="18">
        <v>6</v>
      </c>
      <c r="AL438" s="18">
        <v>11.35</v>
      </c>
      <c r="AM438" s="18">
        <v>3</v>
      </c>
      <c r="AN438" s="18">
        <v>22.71</v>
      </c>
      <c r="AO438" s="18">
        <v>0.02041</v>
      </c>
      <c r="AP438" s="18">
        <v>22.71</v>
      </c>
      <c r="AQ438" s="18">
        <v>4</v>
      </c>
      <c r="AR438" s="18">
        <v>435.8</v>
      </c>
      <c r="AS438" s="18">
        <v>3</v>
      </c>
      <c r="AT438" s="18">
        <v>0</v>
      </c>
      <c r="AU438" s="18">
        <v>0</v>
      </c>
      <c r="AV438" s="18">
        <v>0</v>
      </c>
      <c r="AW438" s="18">
        <v>0</v>
      </c>
      <c r="AX438" s="18">
        <v>0</v>
      </c>
      <c r="AY438" s="18">
        <v>264</v>
      </c>
      <c r="AZ438" s="18">
        <v>147</v>
      </c>
      <c r="BA438" s="18">
        <v>102</v>
      </c>
      <c r="BB438" s="18">
        <v>0.69388</v>
      </c>
      <c r="BC438" s="18">
        <v>0</v>
      </c>
      <c r="BD438" s="18">
        <v>0</v>
      </c>
      <c r="BE438" s="18">
        <v>0.16459</v>
      </c>
      <c r="BF438" s="18">
        <v>70</v>
      </c>
      <c r="BG438" s="18">
        <v>2</v>
      </c>
      <c r="BH438" s="18">
        <v>1</v>
      </c>
      <c r="BI438" s="18">
        <v>1</v>
      </c>
      <c r="BJ438" s="18">
        <v>0</v>
      </c>
      <c r="BK438" s="18">
        <v>0</v>
      </c>
      <c r="BL438" s="18">
        <v>0</v>
      </c>
      <c r="BM438" s="18">
        <v>1</v>
      </c>
      <c r="BN438" s="18">
        <v>2</v>
      </c>
      <c r="BO438" s="18">
        <v>277.28</v>
      </c>
      <c r="BP438" s="18">
        <v>3.96</v>
      </c>
      <c r="BQ438" s="18">
        <v>847</v>
      </c>
      <c r="BR438" s="18">
        <v>0</v>
      </c>
      <c r="BS438" s="18">
        <v>0</v>
      </c>
      <c r="BT438" s="18">
        <v>0</v>
      </c>
      <c r="BU438" s="18">
        <v>0</v>
      </c>
    </row>
    <row r="439" spans="1:73">
      <c r="A439" s="19">
        <v>46181</v>
      </c>
      <c r="B439" s="18">
        <v>436</v>
      </c>
      <c r="C439" s="18" t="s">
        <v>38</v>
      </c>
      <c r="D439" s="18">
        <v>436</v>
      </c>
      <c r="E439" s="18" t="s">
        <v>38</v>
      </c>
      <c r="F439" s="18">
        <v>442</v>
      </c>
      <c r="G439" s="18">
        <v>21</v>
      </c>
      <c r="H439" s="18">
        <v>39.75</v>
      </c>
      <c r="I439" s="18">
        <v>0.04751</v>
      </c>
      <c r="J439" s="18">
        <v>1.89</v>
      </c>
      <c r="K439" s="18">
        <v>89.93</v>
      </c>
      <c r="L439" s="18">
        <v>0</v>
      </c>
      <c r="M439" s="18">
        <v>0</v>
      </c>
      <c r="N439" s="18">
        <v>0</v>
      </c>
      <c r="O439" s="18">
        <v>0</v>
      </c>
      <c r="P439" s="18">
        <v>0</v>
      </c>
      <c r="Q439" s="18">
        <v>0</v>
      </c>
      <c r="R439" s="18">
        <v>0</v>
      </c>
      <c r="S439" s="18">
        <v>0</v>
      </c>
      <c r="T439" s="18">
        <v>0</v>
      </c>
      <c r="U439" s="18">
        <v>0</v>
      </c>
      <c r="V439" s="18">
        <v>0</v>
      </c>
      <c r="W439" s="18">
        <v>0</v>
      </c>
      <c r="X439" s="18">
        <v>0</v>
      </c>
      <c r="Y439" s="18">
        <v>0</v>
      </c>
      <c r="Z439" s="18">
        <v>0</v>
      </c>
      <c r="AA439" s="18"/>
      <c r="AB439" s="18">
        <v>3</v>
      </c>
      <c r="AC439" s="18">
        <v>2</v>
      </c>
      <c r="AD439" s="18">
        <v>1</v>
      </c>
      <c r="AE439" s="18">
        <v>0.14286</v>
      </c>
      <c r="AF439" s="18">
        <v>0</v>
      </c>
      <c r="AG439" s="18">
        <v>0</v>
      </c>
      <c r="AH439" s="18"/>
      <c r="AI439" s="18">
        <v>3</v>
      </c>
      <c r="AJ439" s="18">
        <v>13.25</v>
      </c>
      <c r="AK439" s="18">
        <v>3</v>
      </c>
      <c r="AL439" s="18">
        <v>13.25</v>
      </c>
      <c r="AM439" s="18">
        <v>0</v>
      </c>
      <c r="AN439" s="18"/>
      <c r="AO439" s="18">
        <v>0</v>
      </c>
      <c r="AP439" s="18">
        <v>13.25</v>
      </c>
      <c r="AQ439" s="18">
        <v>0</v>
      </c>
      <c r="AR439" s="18">
        <v>0</v>
      </c>
      <c r="AS439" s="18">
        <v>0</v>
      </c>
      <c r="AT439" s="18">
        <v>0</v>
      </c>
      <c r="AU439" s="18">
        <v>0</v>
      </c>
      <c r="AV439" s="18">
        <v>0</v>
      </c>
      <c r="AW439" s="18">
        <v>0</v>
      </c>
      <c r="AX439" s="18">
        <v>2</v>
      </c>
      <c r="AY439" s="18">
        <v>103</v>
      </c>
      <c r="AZ439" s="18">
        <v>19</v>
      </c>
      <c r="BA439" s="18">
        <v>13</v>
      </c>
      <c r="BB439" s="18">
        <v>0.68421</v>
      </c>
      <c r="BC439" s="18">
        <v>0</v>
      </c>
      <c r="BD439" s="18">
        <v>0</v>
      </c>
      <c r="BE439" s="18">
        <v>0.23303</v>
      </c>
      <c r="BF439" s="18">
        <v>78</v>
      </c>
      <c r="BG439" s="18">
        <v>5</v>
      </c>
      <c r="BH439" s="18">
        <v>0</v>
      </c>
      <c r="BI439" s="18"/>
      <c r="BJ439" s="18">
        <v>0</v>
      </c>
      <c r="BK439" s="18">
        <v>0</v>
      </c>
      <c r="BL439" s="18">
        <v>0</v>
      </c>
      <c r="BM439" s="18">
        <v>0</v>
      </c>
      <c r="BN439" s="18"/>
      <c r="BO439" s="18"/>
      <c r="BP439" s="18">
        <v>0</v>
      </c>
      <c r="BQ439" s="18">
        <v>171</v>
      </c>
      <c r="BR439" s="18">
        <v>0</v>
      </c>
      <c r="BS439" s="18">
        <v>0</v>
      </c>
      <c r="BT439" s="18">
        <v>0</v>
      </c>
      <c r="BU439" s="18">
        <v>0</v>
      </c>
    </row>
    <row r="440" spans="1:73">
      <c r="A440" s="19">
        <v>46180</v>
      </c>
      <c r="B440" s="18">
        <v>372</v>
      </c>
      <c r="C440" s="18" t="s">
        <v>37</v>
      </c>
      <c r="D440" s="18">
        <v>372</v>
      </c>
      <c r="E440" s="18" t="s">
        <v>61</v>
      </c>
      <c r="F440" s="18">
        <v>1669</v>
      </c>
      <c r="G440" s="18">
        <v>213</v>
      </c>
      <c r="H440" s="18">
        <v>83.17</v>
      </c>
      <c r="I440" s="18">
        <v>0.12762</v>
      </c>
      <c r="J440" s="18">
        <v>0.39</v>
      </c>
      <c r="K440" s="18">
        <v>49.83</v>
      </c>
      <c r="L440" s="18">
        <v>0</v>
      </c>
      <c r="M440" s="18">
        <v>0</v>
      </c>
      <c r="N440" s="18">
        <v>0</v>
      </c>
      <c r="O440" s="18">
        <v>0</v>
      </c>
      <c r="P440" s="18">
        <v>0</v>
      </c>
      <c r="Q440" s="18">
        <v>0</v>
      </c>
      <c r="R440" s="18">
        <v>0</v>
      </c>
      <c r="S440" s="18">
        <v>0</v>
      </c>
      <c r="T440" s="18">
        <v>0</v>
      </c>
      <c r="U440" s="18">
        <v>0</v>
      </c>
      <c r="V440" s="18">
        <v>0</v>
      </c>
      <c r="W440" s="18">
        <v>0</v>
      </c>
      <c r="X440" s="18">
        <v>0</v>
      </c>
      <c r="Y440" s="18">
        <v>0</v>
      </c>
      <c r="Z440" s="18">
        <v>0</v>
      </c>
      <c r="AA440" s="18"/>
      <c r="AB440" s="18">
        <v>6</v>
      </c>
      <c r="AC440" s="18">
        <v>4</v>
      </c>
      <c r="AD440" s="18">
        <v>2</v>
      </c>
      <c r="AE440" s="18">
        <v>0.02817</v>
      </c>
      <c r="AF440" s="18">
        <v>6</v>
      </c>
      <c r="AG440" s="18">
        <v>0</v>
      </c>
      <c r="AH440" s="18"/>
      <c r="AI440" s="18">
        <v>12</v>
      </c>
      <c r="AJ440" s="18">
        <v>6.93</v>
      </c>
      <c r="AK440" s="18">
        <v>12</v>
      </c>
      <c r="AL440" s="18">
        <v>6.93</v>
      </c>
      <c r="AM440" s="18">
        <v>6</v>
      </c>
      <c r="AN440" s="18">
        <v>13.86</v>
      </c>
      <c r="AO440" s="18">
        <v>0.02817</v>
      </c>
      <c r="AP440" s="18">
        <v>13.86</v>
      </c>
      <c r="AQ440" s="18">
        <v>0</v>
      </c>
      <c r="AR440" s="18">
        <v>0</v>
      </c>
      <c r="AS440" s="18">
        <v>6</v>
      </c>
      <c r="AT440" s="18">
        <v>0</v>
      </c>
      <c r="AU440" s="18">
        <v>0</v>
      </c>
      <c r="AV440" s="18">
        <v>0</v>
      </c>
      <c r="AW440" s="18">
        <v>0</v>
      </c>
      <c r="AX440" s="18">
        <v>0</v>
      </c>
      <c r="AY440" s="18">
        <v>391</v>
      </c>
      <c r="AZ440" s="18">
        <v>216</v>
      </c>
      <c r="BA440" s="18">
        <v>166</v>
      </c>
      <c r="BB440" s="18">
        <v>0.76852</v>
      </c>
      <c r="BC440" s="18">
        <v>0</v>
      </c>
      <c r="BD440" s="18">
        <v>0</v>
      </c>
      <c r="BE440" s="18">
        <v>0.23427</v>
      </c>
      <c r="BF440" s="18">
        <v>105</v>
      </c>
      <c r="BG440" s="18">
        <v>2</v>
      </c>
      <c r="BH440" s="18">
        <v>0</v>
      </c>
      <c r="BI440" s="18"/>
      <c r="BJ440" s="18">
        <v>0</v>
      </c>
      <c r="BK440" s="18">
        <v>0</v>
      </c>
      <c r="BL440" s="18">
        <v>0</v>
      </c>
      <c r="BM440" s="18">
        <v>0</v>
      </c>
      <c r="BN440" s="18"/>
      <c r="BO440" s="18"/>
      <c r="BP440" s="18">
        <v>2.5</v>
      </c>
      <c r="BQ440" s="18">
        <v>271</v>
      </c>
      <c r="BR440" s="18">
        <v>0</v>
      </c>
      <c r="BS440" s="18">
        <v>0</v>
      </c>
      <c r="BT440" s="18">
        <v>0</v>
      </c>
      <c r="BU440" s="18">
        <v>0</v>
      </c>
    </row>
    <row r="441" spans="1:73">
      <c r="A441" s="19">
        <v>46180</v>
      </c>
      <c r="B441" s="18">
        <v>436</v>
      </c>
      <c r="C441" s="18" t="s">
        <v>38</v>
      </c>
      <c r="D441" s="18">
        <v>436</v>
      </c>
      <c r="E441" s="18" t="s">
        <v>38</v>
      </c>
      <c r="F441" s="18">
        <v>1297</v>
      </c>
      <c r="G441" s="18">
        <v>68</v>
      </c>
      <c r="H441" s="18">
        <v>50</v>
      </c>
      <c r="I441" s="18">
        <v>0.05243</v>
      </c>
      <c r="J441" s="18">
        <v>0.74</v>
      </c>
      <c r="K441" s="18">
        <v>38.55</v>
      </c>
      <c r="L441" s="18">
        <v>0</v>
      </c>
      <c r="M441" s="18">
        <v>0</v>
      </c>
      <c r="N441" s="18">
        <v>0</v>
      </c>
      <c r="O441" s="18">
        <v>0</v>
      </c>
      <c r="P441" s="18">
        <v>0</v>
      </c>
      <c r="Q441" s="18">
        <v>0</v>
      </c>
      <c r="R441" s="18">
        <v>0</v>
      </c>
      <c r="S441" s="18">
        <v>0</v>
      </c>
      <c r="T441" s="18">
        <v>0</v>
      </c>
      <c r="U441" s="18">
        <v>0</v>
      </c>
      <c r="V441" s="18">
        <v>0</v>
      </c>
      <c r="W441" s="18">
        <v>0</v>
      </c>
      <c r="X441" s="18">
        <v>0</v>
      </c>
      <c r="Y441" s="18">
        <v>0</v>
      </c>
      <c r="Z441" s="18">
        <v>0</v>
      </c>
      <c r="AA441" s="18"/>
      <c r="AB441" s="18">
        <v>0</v>
      </c>
      <c r="AC441" s="18">
        <v>0</v>
      </c>
      <c r="AD441" s="18">
        <v>0</v>
      </c>
      <c r="AE441" s="18">
        <v>0</v>
      </c>
      <c r="AF441" s="18">
        <v>0</v>
      </c>
      <c r="AG441" s="18">
        <v>0</v>
      </c>
      <c r="AH441" s="18"/>
      <c r="AI441" s="18">
        <v>0</v>
      </c>
      <c r="AJ441" s="18"/>
      <c r="AK441" s="18">
        <v>0</v>
      </c>
      <c r="AL441" s="18"/>
      <c r="AM441" s="18">
        <v>0</v>
      </c>
      <c r="AN441" s="18"/>
      <c r="AO441" s="18">
        <v>0</v>
      </c>
      <c r="AP441" s="18"/>
      <c r="AQ441" s="18">
        <v>0</v>
      </c>
      <c r="AR441" s="18">
        <v>0</v>
      </c>
      <c r="AS441" s="18">
        <v>0</v>
      </c>
      <c r="AT441" s="18">
        <v>0</v>
      </c>
      <c r="AU441" s="18">
        <v>0</v>
      </c>
      <c r="AV441" s="18">
        <v>0</v>
      </c>
      <c r="AW441" s="18">
        <v>0</v>
      </c>
      <c r="AX441" s="18">
        <v>0</v>
      </c>
      <c r="AY441" s="18">
        <v>84</v>
      </c>
      <c r="AZ441" s="18">
        <v>64</v>
      </c>
      <c r="BA441" s="18">
        <v>59</v>
      </c>
      <c r="BB441" s="18">
        <v>0.92188</v>
      </c>
      <c r="BC441" s="18">
        <v>0</v>
      </c>
      <c r="BD441" s="18">
        <v>0</v>
      </c>
      <c r="BE441" s="18">
        <v>0.06476</v>
      </c>
      <c r="BF441" s="18">
        <v>7</v>
      </c>
      <c r="BG441" s="18">
        <v>1</v>
      </c>
      <c r="BH441" s="18">
        <v>0</v>
      </c>
      <c r="BI441" s="18"/>
      <c r="BJ441" s="18">
        <v>0</v>
      </c>
      <c r="BK441" s="18">
        <v>0</v>
      </c>
      <c r="BL441" s="18">
        <v>0</v>
      </c>
      <c r="BM441" s="18">
        <v>0</v>
      </c>
      <c r="BN441" s="18"/>
      <c r="BO441" s="18"/>
      <c r="BP441" s="18">
        <v>0</v>
      </c>
      <c r="BQ441" s="18">
        <v>14</v>
      </c>
      <c r="BR441" s="18">
        <v>0</v>
      </c>
      <c r="BS441" s="18">
        <v>0</v>
      </c>
      <c r="BT441" s="18">
        <v>0</v>
      </c>
      <c r="BU441" s="18">
        <v>0</v>
      </c>
    </row>
    <row r="442" spans="1:73">
      <c r="A442" s="19">
        <v>46180</v>
      </c>
      <c r="B442" s="18">
        <v>479</v>
      </c>
      <c r="C442" s="18" t="s">
        <v>39</v>
      </c>
      <c r="D442" s="18">
        <v>479</v>
      </c>
      <c r="E442" s="18" t="s">
        <v>39</v>
      </c>
      <c r="F442" s="18">
        <v>41</v>
      </c>
      <c r="G442" s="18">
        <v>23</v>
      </c>
      <c r="H442" s="18">
        <v>14.95</v>
      </c>
      <c r="I442" s="18">
        <v>0.56098</v>
      </c>
      <c r="J442" s="18">
        <v>0.65</v>
      </c>
      <c r="K442" s="18">
        <v>364.59</v>
      </c>
      <c r="L442" s="18">
        <v>0</v>
      </c>
      <c r="M442" s="18">
        <v>0</v>
      </c>
      <c r="N442" s="18">
        <v>0</v>
      </c>
      <c r="O442" s="18">
        <v>0</v>
      </c>
      <c r="P442" s="18">
        <v>0</v>
      </c>
      <c r="Q442" s="18">
        <v>0</v>
      </c>
      <c r="R442" s="18">
        <v>0</v>
      </c>
      <c r="S442" s="18">
        <v>414</v>
      </c>
      <c r="T442" s="18">
        <v>414</v>
      </c>
      <c r="U442" s="18">
        <v>1</v>
      </c>
      <c r="V442" s="18">
        <v>0</v>
      </c>
      <c r="W442" s="18">
        <v>1</v>
      </c>
      <c r="X442" s="18">
        <v>0.04348</v>
      </c>
      <c r="Y442" s="18">
        <v>27.7</v>
      </c>
      <c r="Z442" s="18">
        <v>27.7</v>
      </c>
      <c r="AA442" s="18">
        <v>14.95</v>
      </c>
      <c r="AB442" s="18">
        <v>5</v>
      </c>
      <c r="AC442" s="18">
        <v>1</v>
      </c>
      <c r="AD442" s="18">
        <v>4</v>
      </c>
      <c r="AE442" s="18">
        <v>0.21739</v>
      </c>
      <c r="AF442" s="18">
        <v>5</v>
      </c>
      <c r="AG442" s="18">
        <v>0</v>
      </c>
      <c r="AH442" s="18"/>
      <c r="AI442" s="18">
        <v>10</v>
      </c>
      <c r="AJ442" s="18">
        <v>1.49</v>
      </c>
      <c r="AK442" s="18">
        <v>10</v>
      </c>
      <c r="AL442" s="18">
        <v>1.49</v>
      </c>
      <c r="AM442" s="18">
        <v>5</v>
      </c>
      <c r="AN442" s="18">
        <v>2.99</v>
      </c>
      <c r="AO442" s="18">
        <v>0.21739</v>
      </c>
      <c r="AP442" s="18">
        <v>2.99</v>
      </c>
      <c r="AQ442" s="18">
        <v>2</v>
      </c>
      <c r="AR442" s="18">
        <v>1086</v>
      </c>
      <c r="AS442" s="18">
        <v>1</v>
      </c>
      <c r="AT442" s="18">
        <v>4</v>
      </c>
      <c r="AU442" s="18">
        <v>0</v>
      </c>
      <c r="AV442" s="18">
        <v>0</v>
      </c>
      <c r="AW442" s="18">
        <v>0</v>
      </c>
      <c r="AX442" s="18">
        <v>4</v>
      </c>
      <c r="AY442" s="18">
        <v>253</v>
      </c>
      <c r="AZ442" s="18">
        <v>22</v>
      </c>
      <c r="BA442" s="18">
        <v>12</v>
      </c>
      <c r="BB442" s="18">
        <v>0.54545</v>
      </c>
      <c r="BC442" s="18">
        <v>0</v>
      </c>
      <c r="BD442" s="18">
        <v>0</v>
      </c>
      <c r="BE442" s="18">
        <v>6.17073</v>
      </c>
      <c r="BF442" s="18">
        <v>230</v>
      </c>
      <c r="BG442" s="18">
        <v>12</v>
      </c>
      <c r="BH442" s="18">
        <v>1</v>
      </c>
      <c r="BI442" s="18">
        <v>1</v>
      </c>
      <c r="BJ442" s="18">
        <v>0</v>
      </c>
      <c r="BK442" s="18">
        <v>0</v>
      </c>
      <c r="BL442" s="18">
        <v>0</v>
      </c>
      <c r="BM442" s="18">
        <v>1</v>
      </c>
      <c r="BN442" s="18">
        <v>1</v>
      </c>
      <c r="BO442" s="18">
        <v>414</v>
      </c>
      <c r="BP442" s="18">
        <v>0.21</v>
      </c>
      <c r="BQ442" s="18">
        <v>279</v>
      </c>
      <c r="BR442" s="18">
        <v>0</v>
      </c>
      <c r="BS442" s="18">
        <v>0</v>
      </c>
      <c r="BT442" s="18">
        <v>0</v>
      </c>
      <c r="BU442" s="18">
        <v>0</v>
      </c>
    </row>
    <row r="443" spans="1:73">
      <c r="A443" s="19">
        <v>46180</v>
      </c>
      <c r="B443" s="18">
        <v>183</v>
      </c>
      <c r="C443" s="18" t="s">
        <v>40</v>
      </c>
      <c r="D443" s="18">
        <v>183</v>
      </c>
      <c r="E443" s="18" t="s">
        <v>40</v>
      </c>
      <c r="F443" s="18">
        <v>940</v>
      </c>
      <c r="G443" s="18">
        <v>45</v>
      </c>
      <c r="H443" s="18">
        <v>100</v>
      </c>
      <c r="I443" s="18">
        <v>0.04787</v>
      </c>
      <c r="J443" s="18">
        <v>2.22</v>
      </c>
      <c r="K443" s="18">
        <v>106.38</v>
      </c>
      <c r="L443" s="18">
        <v>0</v>
      </c>
      <c r="M443" s="18">
        <v>0</v>
      </c>
      <c r="N443" s="18">
        <v>0</v>
      </c>
      <c r="O443" s="18">
        <v>0</v>
      </c>
      <c r="P443" s="18">
        <v>0</v>
      </c>
      <c r="Q443" s="18">
        <v>0</v>
      </c>
      <c r="R443" s="18">
        <v>227.76</v>
      </c>
      <c r="S443" s="18">
        <v>0</v>
      </c>
      <c r="T443" s="18">
        <v>227.76</v>
      </c>
      <c r="U443" s="18">
        <v>4</v>
      </c>
      <c r="V443" s="18">
        <v>4</v>
      </c>
      <c r="W443" s="18">
        <v>0</v>
      </c>
      <c r="X443" s="18">
        <v>0.08889</v>
      </c>
      <c r="Y443" s="18">
        <v>2.28</v>
      </c>
      <c r="Z443" s="18">
        <v>2.28</v>
      </c>
      <c r="AA443" s="18">
        <v>25</v>
      </c>
      <c r="AB443" s="18">
        <v>11</v>
      </c>
      <c r="AC443" s="18">
        <v>11</v>
      </c>
      <c r="AD443" s="18">
        <v>0</v>
      </c>
      <c r="AE443" s="18">
        <v>0.24444</v>
      </c>
      <c r="AF443" s="18">
        <v>2</v>
      </c>
      <c r="AG443" s="18">
        <v>1</v>
      </c>
      <c r="AH443" s="18">
        <v>100</v>
      </c>
      <c r="AI443" s="18">
        <v>14</v>
      </c>
      <c r="AJ443" s="18">
        <v>7.14</v>
      </c>
      <c r="AK443" s="18">
        <v>13</v>
      </c>
      <c r="AL443" s="18">
        <v>7.69</v>
      </c>
      <c r="AM443" s="18">
        <v>3</v>
      </c>
      <c r="AN443" s="18">
        <v>50</v>
      </c>
      <c r="AO443" s="18">
        <v>0.04444</v>
      </c>
      <c r="AP443" s="18">
        <v>9.09</v>
      </c>
      <c r="AQ443" s="18">
        <v>7</v>
      </c>
      <c r="AR443" s="18">
        <v>612.8</v>
      </c>
      <c r="AS443" s="18">
        <v>2</v>
      </c>
      <c r="AT443" s="18">
        <v>0</v>
      </c>
      <c r="AU443" s="18">
        <v>0</v>
      </c>
      <c r="AV443" s="18">
        <v>0</v>
      </c>
      <c r="AW443" s="18">
        <v>0</v>
      </c>
      <c r="AX443" s="18">
        <v>1</v>
      </c>
      <c r="AY443" s="18">
        <v>241</v>
      </c>
      <c r="AZ443" s="18">
        <v>100</v>
      </c>
      <c r="BA443" s="18">
        <v>62</v>
      </c>
      <c r="BB443" s="18">
        <v>0.62</v>
      </c>
      <c r="BC443" s="18">
        <v>0</v>
      </c>
      <c r="BD443" s="18">
        <v>0</v>
      </c>
      <c r="BE443" s="18">
        <v>0.25638</v>
      </c>
      <c r="BF443" s="18">
        <v>81</v>
      </c>
      <c r="BG443" s="18">
        <v>2</v>
      </c>
      <c r="BH443" s="18">
        <v>1</v>
      </c>
      <c r="BI443" s="18">
        <v>1</v>
      </c>
      <c r="BJ443" s="18">
        <v>0</v>
      </c>
      <c r="BK443" s="18">
        <v>0</v>
      </c>
      <c r="BL443" s="18">
        <v>0</v>
      </c>
      <c r="BM443" s="18">
        <v>1</v>
      </c>
      <c r="BN443" s="18">
        <v>4</v>
      </c>
      <c r="BO443" s="18">
        <v>227.76</v>
      </c>
      <c r="BP443" s="18">
        <v>11.79</v>
      </c>
      <c r="BQ443" s="18">
        <v>747</v>
      </c>
      <c r="BR443" s="18">
        <v>0</v>
      </c>
      <c r="BS443" s="18">
        <v>0</v>
      </c>
      <c r="BT443" s="18">
        <v>0</v>
      </c>
      <c r="BU443" s="18">
        <v>0</v>
      </c>
    </row>
    <row r="444" spans="1:73">
      <c r="A444" s="19">
        <v>46180</v>
      </c>
      <c r="B444" s="18">
        <v>371</v>
      </c>
      <c r="C444" s="18" t="s">
        <v>32</v>
      </c>
      <c r="D444" s="18">
        <v>371</v>
      </c>
      <c r="E444" s="18" t="s">
        <v>32</v>
      </c>
      <c r="F444" s="18">
        <v>2790</v>
      </c>
      <c r="G444" s="18">
        <v>174</v>
      </c>
      <c r="H444" s="18">
        <v>113.8</v>
      </c>
      <c r="I444" s="18">
        <v>0.06237</v>
      </c>
      <c r="J444" s="18">
        <v>0.65</v>
      </c>
      <c r="K444" s="18">
        <v>40.79</v>
      </c>
      <c r="L444" s="18">
        <v>0</v>
      </c>
      <c r="M444" s="18">
        <v>0</v>
      </c>
      <c r="N444" s="18">
        <v>0</v>
      </c>
      <c r="O444" s="18">
        <v>0</v>
      </c>
      <c r="P444" s="18">
        <v>0</v>
      </c>
      <c r="Q444" s="18">
        <v>0</v>
      </c>
      <c r="R444" s="18">
        <v>75.11</v>
      </c>
      <c r="S444" s="18">
        <v>167.71</v>
      </c>
      <c r="T444" s="18">
        <v>242.82</v>
      </c>
      <c r="U444" s="18">
        <v>3</v>
      </c>
      <c r="V444" s="18">
        <v>1</v>
      </c>
      <c r="W444" s="18">
        <v>2</v>
      </c>
      <c r="X444" s="18">
        <v>0.01724</v>
      </c>
      <c r="Y444" s="18">
        <v>2.13</v>
      </c>
      <c r="Z444" s="18">
        <v>2.13</v>
      </c>
      <c r="AA444" s="18">
        <v>37.93</v>
      </c>
      <c r="AB444" s="18">
        <v>10</v>
      </c>
      <c r="AC444" s="18">
        <v>7</v>
      </c>
      <c r="AD444" s="18">
        <v>3</v>
      </c>
      <c r="AE444" s="18">
        <v>0.05747</v>
      </c>
      <c r="AF444" s="18">
        <v>0</v>
      </c>
      <c r="AG444" s="18">
        <v>0</v>
      </c>
      <c r="AH444" s="18"/>
      <c r="AI444" s="18">
        <v>10</v>
      </c>
      <c r="AJ444" s="18">
        <v>11.38</v>
      </c>
      <c r="AK444" s="18">
        <v>10</v>
      </c>
      <c r="AL444" s="18">
        <v>11.38</v>
      </c>
      <c r="AM444" s="18">
        <v>0</v>
      </c>
      <c r="AN444" s="18"/>
      <c r="AO444" s="18">
        <v>0</v>
      </c>
      <c r="AP444" s="18">
        <v>11.38</v>
      </c>
      <c r="AQ444" s="18">
        <v>5</v>
      </c>
      <c r="AR444" s="18">
        <v>398.7</v>
      </c>
      <c r="AS444" s="18">
        <v>0</v>
      </c>
      <c r="AT444" s="18">
        <v>0</v>
      </c>
      <c r="AU444" s="18">
        <v>0</v>
      </c>
      <c r="AV444" s="18">
        <v>0</v>
      </c>
      <c r="AW444" s="18">
        <v>0</v>
      </c>
      <c r="AX444" s="18">
        <v>1</v>
      </c>
      <c r="AY444" s="18">
        <v>321</v>
      </c>
      <c r="AZ444" s="18">
        <v>143</v>
      </c>
      <c r="BA444" s="18">
        <v>126</v>
      </c>
      <c r="BB444" s="18">
        <v>0.88112</v>
      </c>
      <c r="BC444" s="18">
        <v>0</v>
      </c>
      <c r="BD444" s="18">
        <v>0</v>
      </c>
      <c r="BE444" s="18">
        <v>0.11505</v>
      </c>
      <c r="BF444" s="18">
        <v>107</v>
      </c>
      <c r="BG444" s="18">
        <v>2</v>
      </c>
      <c r="BH444" s="18">
        <v>2</v>
      </c>
      <c r="BI444" s="18">
        <v>1</v>
      </c>
      <c r="BJ444" s="18">
        <v>0</v>
      </c>
      <c r="BK444" s="18">
        <v>0</v>
      </c>
      <c r="BL444" s="18">
        <v>0</v>
      </c>
      <c r="BM444" s="18">
        <v>2</v>
      </c>
      <c r="BN444" s="18">
        <v>2</v>
      </c>
      <c r="BO444" s="18">
        <v>121.41</v>
      </c>
      <c r="BP444" s="18">
        <v>13.43</v>
      </c>
      <c r="BQ444" s="18">
        <v>590</v>
      </c>
      <c r="BR444" s="18">
        <v>0</v>
      </c>
      <c r="BS444" s="18">
        <v>0</v>
      </c>
      <c r="BT444" s="18">
        <v>0</v>
      </c>
      <c r="BU444" s="18">
        <v>0</v>
      </c>
    </row>
    <row r="445" spans="1:73">
      <c r="A445" s="19">
        <v>46179</v>
      </c>
      <c r="B445" s="18">
        <v>371</v>
      </c>
      <c r="C445" s="18" t="s">
        <v>32</v>
      </c>
      <c r="D445" s="18">
        <v>371</v>
      </c>
      <c r="E445" s="18" t="s">
        <v>32</v>
      </c>
      <c r="F445" s="18">
        <v>4036</v>
      </c>
      <c r="G445" s="18">
        <v>160</v>
      </c>
      <c r="H445" s="18">
        <v>105.42</v>
      </c>
      <c r="I445" s="18">
        <v>0.03964</v>
      </c>
      <c r="J445" s="18">
        <v>0.66</v>
      </c>
      <c r="K445" s="18">
        <v>26.12</v>
      </c>
      <c r="L445" s="18">
        <v>0</v>
      </c>
      <c r="M445" s="18">
        <v>0</v>
      </c>
      <c r="N445" s="18">
        <v>0</v>
      </c>
      <c r="O445" s="18">
        <v>0</v>
      </c>
      <c r="P445" s="18">
        <v>0</v>
      </c>
      <c r="Q445" s="18">
        <v>0</v>
      </c>
      <c r="R445" s="18">
        <v>161.58</v>
      </c>
      <c r="S445" s="18">
        <v>0</v>
      </c>
      <c r="T445" s="18">
        <v>161.58</v>
      </c>
      <c r="U445" s="18">
        <v>3</v>
      </c>
      <c r="V445" s="18">
        <v>3</v>
      </c>
      <c r="W445" s="18">
        <v>0</v>
      </c>
      <c r="X445" s="18">
        <v>0.01875</v>
      </c>
      <c r="Y445" s="18">
        <v>1.53</v>
      </c>
      <c r="Z445" s="18">
        <v>1.53</v>
      </c>
      <c r="AA445" s="18">
        <v>35.14</v>
      </c>
      <c r="AB445" s="18">
        <v>9</v>
      </c>
      <c r="AC445" s="18">
        <v>8</v>
      </c>
      <c r="AD445" s="18">
        <v>1</v>
      </c>
      <c r="AE445" s="18">
        <v>0.05625</v>
      </c>
      <c r="AF445" s="18">
        <v>1</v>
      </c>
      <c r="AG445" s="18">
        <v>2</v>
      </c>
      <c r="AH445" s="18">
        <v>52.71</v>
      </c>
      <c r="AI445" s="18">
        <v>12</v>
      </c>
      <c r="AJ445" s="18">
        <v>8.79</v>
      </c>
      <c r="AK445" s="18">
        <v>10</v>
      </c>
      <c r="AL445" s="18">
        <v>10.54</v>
      </c>
      <c r="AM445" s="18">
        <v>3</v>
      </c>
      <c r="AN445" s="18">
        <v>105.42</v>
      </c>
      <c r="AO445" s="18">
        <v>0.00625</v>
      </c>
      <c r="AP445" s="18">
        <v>11.71</v>
      </c>
      <c r="AQ445" s="18">
        <v>7</v>
      </c>
      <c r="AR445" s="18">
        <v>514.5</v>
      </c>
      <c r="AS445" s="18">
        <v>0</v>
      </c>
      <c r="AT445" s="18">
        <v>1</v>
      </c>
      <c r="AU445" s="18">
        <v>0</v>
      </c>
      <c r="AV445" s="18">
        <v>0</v>
      </c>
      <c r="AW445" s="18">
        <v>0</v>
      </c>
      <c r="AX445" s="18">
        <v>1</v>
      </c>
      <c r="AY445" s="18">
        <v>394</v>
      </c>
      <c r="AZ445" s="18">
        <v>194</v>
      </c>
      <c r="BA445" s="18">
        <v>178</v>
      </c>
      <c r="BB445" s="18">
        <v>0.91753</v>
      </c>
      <c r="BC445" s="18">
        <v>0</v>
      </c>
      <c r="BD445" s="18">
        <v>0</v>
      </c>
      <c r="BE445" s="18">
        <v>0.09762</v>
      </c>
      <c r="BF445" s="18">
        <v>156</v>
      </c>
      <c r="BG445" s="18">
        <v>2</v>
      </c>
      <c r="BH445" s="18">
        <v>3</v>
      </c>
      <c r="BI445" s="18">
        <v>1</v>
      </c>
      <c r="BJ445" s="18">
        <v>0</v>
      </c>
      <c r="BK445" s="18">
        <v>0</v>
      </c>
      <c r="BL445" s="18">
        <v>0</v>
      </c>
      <c r="BM445" s="18">
        <v>3</v>
      </c>
      <c r="BN445" s="18">
        <v>1</v>
      </c>
      <c r="BO445" s="18">
        <v>53.86</v>
      </c>
      <c r="BP445" s="18">
        <v>35.6</v>
      </c>
      <c r="BQ445" s="18">
        <v>986</v>
      </c>
      <c r="BR445" s="18">
        <v>0</v>
      </c>
      <c r="BS445" s="18">
        <v>0</v>
      </c>
      <c r="BT445" s="18">
        <v>0</v>
      </c>
      <c r="BU445" s="18">
        <v>0</v>
      </c>
    </row>
    <row r="446" spans="1:73">
      <c r="A446" s="19">
        <v>46179</v>
      </c>
      <c r="B446" s="18">
        <v>436</v>
      </c>
      <c r="C446" s="18" t="s">
        <v>38</v>
      </c>
      <c r="D446" s="18">
        <v>436</v>
      </c>
      <c r="E446" s="18" t="s">
        <v>38</v>
      </c>
      <c r="F446" s="18">
        <v>1282</v>
      </c>
      <c r="G446" s="18">
        <v>88</v>
      </c>
      <c r="H446" s="18">
        <v>48.03</v>
      </c>
      <c r="I446" s="18">
        <v>0.06864</v>
      </c>
      <c r="J446" s="18">
        <v>0.55</v>
      </c>
      <c r="K446" s="18">
        <v>37.46</v>
      </c>
      <c r="L446" s="18">
        <v>0</v>
      </c>
      <c r="M446" s="18">
        <v>0</v>
      </c>
      <c r="N446" s="18">
        <v>0</v>
      </c>
      <c r="O446" s="18">
        <v>0</v>
      </c>
      <c r="P446" s="18">
        <v>0</v>
      </c>
      <c r="Q446" s="18">
        <v>0</v>
      </c>
      <c r="R446" s="18">
        <v>0</v>
      </c>
      <c r="S446" s="18">
        <v>40.41</v>
      </c>
      <c r="T446" s="18">
        <v>40.41</v>
      </c>
      <c r="U446" s="18">
        <v>1</v>
      </c>
      <c r="V446" s="18">
        <v>0</v>
      </c>
      <c r="W446" s="18">
        <v>1</v>
      </c>
      <c r="X446" s="18">
        <v>0.01136</v>
      </c>
      <c r="Y446" s="18">
        <v>0.84</v>
      </c>
      <c r="Z446" s="18">
        <v>0.84</v>
      </c>
      <c r="AA446" s="18">
        <v>48.03</v>
      </c>
      <c r="AB446" s="18">
        <v>2</v>
      </c>
      <c r="AC446" s="18">
        <v>1</v>
      </c>
      <c r="AD446" s="18">
        <v>1</v>
      </c>
      <c r="AE446" s="18">
        <v>0.02273</v>
      </c>
      <c r="AF446" s="18">
        <v>2</v>
      </c>
      <c r="AG446" s="18">
        <v>0</v>
      </c>
      <c r="AH446" s="18"/>
      <c r="AI446" s="18">
        <v>4</v>
      </c>
      <c r="AJ446" s="18">
        <v>12.01</v>
      </c>
      <c r="AK446" s="18">
        <v>4</v>
      </c>
      <c r="AL446" s="18">
        <v>12.01</v>
      </c>
      <c r="AM446" s="18">
        <v>2</v>
      </c>
      <c r="AN446" s="18">
        <v>24.02</v>
      </c>
      <c r="AO446" s="18">
        <v>0.02273</v>
      </c>
      <c r="AP446" s="18">
        <v>24.02</v>
      </c>
      <c r="AQ446" s="18">
        <v>1</v>
      </c>
      <c r="AR446" s="18">
        <v>49.9</v>
      </c>
      <c r="AS446" s="18">
        <v>0</v>
      </c>
      <c r="AT446" s="18">
        <v>2</v>
      </c>
      <c r="AU446" s="18">
        <v>0</v>
      </c>
      <c r="AV446" s="18">
        <v>0</v>
      </c>
      <c r="AW446" s="18">
        <v>0</v>
      </c>
      <c r="AX446" s="18">
        <v>1</v>
      </c>
      <c r="AY446" s="18">
        <v>196</v>
      </c>
      <c r="AZ446" s="18">
        <v>77</v>
      </c>
      <c r="BA446" s="18">
        <v>69</v>
      </c>
      <c r="BB446" s="18">
        <v>0.8961</v>
      </c>
      <c r="BC446" s="18">
        <v>0</v>
      </c>
      <c r="BD446" s="18">
        <v>0</v>
      </c>
      <c r="BE446" s="18">
        <v>0.15289</v>
      </c>
      <c r="BF446" s="18">
        <v>102</v>
      </c>
      <c r="BG446" s="18">
        <v>3</v>
      </c>
      <c r="BH446" s="18">
        <v>0</v>
      </c>
      <c r="BI446" s="18">
        <v>0</v>
      </c>
      <c r="BJ446" s="18">
        <v>0</v>
      </c>
      <c r="BK446" s="18">
        <v>0</v>
      </c>
      <c r="BL446" s="18">
        <v>0</v>
      </c>
      <c r="BM446" s="18">
        <v>1</v>
      </c>
      <c r="BN446" s="18">
        <v>1</v>
      </c>
      <c r="BO446" s="18">
        <v>40.41</v>
      </c>
      <c r="BP446" s="18">
        <v>21.18</v>
      </c>
      <c r="BQ446" s="18">
        <v>247</v>
      </c>
      <c r="BR446" s="18">
        <v>0</v>
      </c>
      <c r="BS446" s="18">
        <v>0</v>
      </c>
      <c r="BT446" s="18">
        <v>0</v>
      </c>
      <c r="BU446" s="18">
        <v>0</v>
      </c>
    </row>
    <row r="447" spans="1:73">
      <c r="A447" s="19">
        <v>46179</v>
      </c>
      <c r="B447" s="18">
        <v>372</v>
      </c>
      <c r="C447" s="18" t="s">
        <v>37</v>
      </c>
      <c r="D447" s="18">
        <v>372</v>
      </c>
      <c r="E447" s="18" t="s">
        <v>61</v>
      </c>
      <c r="F447" s="18">
        <v>1612</v>
      </c>
      <c r="G447" s="18">
        <v>159</v>
      </c>
      <c r="H447" s="18">
        <v>73.06</v>
      </c>
      <c r="I447" s="18">
        <v>0.09864</v>
      </c>
      <c r="J447" s="18">
        <v>0.46</v>
      </c>
      <c r="K447" s="18">
        <v>45.32</v>
      </c>
      <c r="L447" s="18">
        <v>0</v>
      </c>
      <c r="M447" s="18">
        <v>0</v>
      </c>
      <c r="N447" s="18">
        <v>0</v>
      </c>
      <c r="O447" s="18">
        <v>0</v>
      </c>
      <c r="P447" s="18">
        <v>0</v>
      </c>
      <c r="Q447" s="18">
        <v>0</v>
      </c>
      <c r="R447" s="18">
        <v>0</v>
      </c>
      <c r="S447" s="18">
        <v>77.4</v>
      </c>
      <c r="T447" s="18">
        <v>77.4</v>
      </c>
      <c r="U447" s="18">
        <v>1</v>
      </c>
      <c r="V447" s="18">
        <v>0</v>
      </c>
      <c r="W447" s="18">
        <v>1</v>
      </c>
      <c r="X447" s="18">
        <v>0.00629</v>
      </c>
      <c r="Y447" s="18">
        <v>1.06</v>
      </c>
      <c r="Z447" s="18">
        <v>1.06</v>
      </c>
      <c r="AA447" s="18">
        <v>73.06</v>
      </c>
      <c r="AB447" s="18">
        <v>6</v>
      </c>
      <c r="AC447" s="18">
        <v>4</v>
      </c>
      <c r="AD447" s="18">
        <v>2</v>
      </c>
      <c r="AE447" s="18">
        <v>0.03774</v>
      </c>
      <c r="AF447" s="18">
        <v>4</v>
      </c>
      <c r="AG447" s="18">
        <v>0</v>
      </c>
      <c r="AH447" s="18"/>
      <c r="AI447" s="18">
        <v>10</v>
      </c>
      <c r="AJ447" s="18">
        <v>7.31</v>
      </c>
      <c r="AK447" s="18">
        <v>10</v>
      </c>
      <c r="AL447" s="18">
        <v>7.31</v>
      </c>
      <c r="AM447" s="18">
        <v>4</v>
      </c>
      <c r="AN447" s="18">
        <v>18.27</v>
      </c>
      <c r="AO447" s="18">
        <v>0.02516</v>
      </c>
      <c r="AP447" s="18">
        <v>12.18</v>
      </c>
      <c r="AQ447" s="18">
        <v>1</v>
      </c>
      <c r="AR447" s="18">
        <v>93.9</v>
      </c>
      <c r="AS447" s="18">
        <v>4</v>
      </c>
      <c r="AT447" s="18">
        <v>0</v>
      </c>
      <c r="AU447" s="18">
        <v>0</v>
      </c>
      <c r="AV447" s="18">
        <v>0</v>
      </c>
      <c r="AW447" s="18">
        <v>0</v>
      </c>
      <c r="AX447" s="18">
        <v>1</v>
      </c>
      <c r="AY447" s="18">
        <v>282</v>
      </c>
      <c r="AZ447" s="18">
        <v>161</v>
      </c>
      <c r="BA447" s="18">
        <v>117</v>
      </c>
      <c r="BB447" s="18">
        <v>0.72671</v>
      </c>
      <c r="BC447" s="18">
        <v>0</v>
      </c>
      <c r="BD447" s="18">
        <v>0</v>
      </c>
      <c r="BE447" s="18">
        <v>0.17494</v>
      </c>
      <c r="BF447" s="18">
        <v>71</v>
      </c>
      <c r="BG447" s="18">
        <v>2</v>
      </c>
      <c r="BH447" s="18">
        <v>1</v>
      </c>
      <c r="BI447" s="18">
        <v>1</v>
      </c>
      <c r="BJ447" s="18">
        <v>0</v>
      </c>
      <c r="BK447" s="18">
        <v>0</v>
      </c>
      <c r="BL447" s="18">
        <v>0</v>
      </c>
      <c r="BM447" s="18">
        <v>1</v>
      </c>
      <c r="BN447" s="18">
        <v>1</v>
      </c>
      <c r="BO447" s="18">
        <v>77.4</v>
      </c>
      <c r="BP447" s="18">
        <v>0.04</v>
      </c>
      <c r="BQ447" s="18">
        <v>526</v>
      </c>
      <c r="BR447" s="18">
        <v>0</v>
      </c>
      <c r="BS447" s="18">
        <v>0</v>
      </c>
      <c r="BT447" s="18">
        <v>0</v>
      </c>
      <c r="BU447" s="18">
        <v>0</v>
      </c>
    </row>
    <row r="448" spans="1:73">
      <c r="A448" s="19">
        <v>46179</v>
      </c>
      <c r="B448" s="18">
        <v>479</v>
      </c>
      <c r="C448" s="18" t="s">
        <v>39</v>
      </c>
      <c r="D448" s="18">
        <v>479</v>
      </c>
      <c r="E448" s="18" t="s">
        <v>39</v>
      </c>
      <c r="F448" s="18">
        <v>29</v>
      </c>
      <c r="G448" s="18">
        <v>16</v>
      </c>
      <c r="H448" s="18">
        <v>10.41</v>
      </c>
      <c r="I448" s="18">
        <v>0.55172</v>
      </c>
      <c r="J448" s="18">
        <v>0.65</v>
      </c>
      <c r="K448" s="18">
        <v>358.81</v>
      </c>
      <c r="L448" s="18">
        <v>0</v>
      </c>
      <c r="M448" s="18">
        <v>0</v>
      </c>
      <c r="N448" s="18">
        <v>0</v>
      </c>
      <c r="O448" s="18">
        <v>0</v>
      </c>
      <c r="P448" s="18">
        <v>0</v>
      </c>
      <c r="Q448" s="18">
        <v>0</v>
      </c>
      <c r="R448" s="18">
        <v>0</v>
      </c>
      <c r="S448" s="18">
        <v>0</v>
      </c>
      <c r="T448" s="18">
        <v>0</v>
      </c>
      <c r="U448" s="18">
        <v>0</v>
      </c>
      <c r="V448" s="18">
        <v>0</v>
      </c>
      <c r="W448" s="18">
        <v>0</v>
      </c>
      <c r="X448" s="18">
        <v>0</v>
      </c>
      <c r="Y448" s="18">
        <v>0</v>
      </c>
      <c r="Z448" s="18">
        <v>0</v>
      </c>
      <c r="AA448" s="18"/>
      <c r="AB448" s="18">
        <v>0</v>
      </c>
      <c r="AC448" s="18">
        <v>0</v>
      </c>
      <c r="AD448" s="18">
        <v>0</v>
      </c>
      <c r="AE448" s="18">
        <v>0</v>
      </c>
      <c r="AF448" s="18">
        <v>0</v>
      </c>
      <c r="AG448" s="18">
        <v>1</v>
      </c>
      <c r="AH448" s="18">
        <v>10.41</v>
      </c>
      <c r="AI448" s="18">
        <v>1</v>
      </c>
      <c r="AJ448" s="18">
        <v>10.41</v>
      </c>
      <c r="AK448" s="18">
        <v>0</v>
      </c>
      <c r="AL448" s="18"/>
      <c r="AM448" s="18">
        <v>1</v>
      </c>
      <c r="AN448" s="18"/>
      <c r="AO448" s="18">
        <v>0</v>
      </c>
      <c r="AP448" s="18"/>
      <c r="AQ448" s="18">
        <v>0</v>
      </c>
      <c r="AR448" s="18">
        <v>0</v>
      </c>
      <c r="AS448" s="18">
        <v>0</v>
      </c>
      <c r="AT448" s="18">
        <v>0</v>
      </c>
      <c r="AU448" s="18">
        <v>0</v>
      </c>
      <c r="AV448" s="18">
        <v>0</v>
      </c>
      <c r="AW448" s="18">
        <v>0</v>
      </c>
      <c r="AX448" s="18">
        <v>0</v>
      </c>
      <c r="AY448" s="18">
        <v>108</v>
      </c>
      <c r="AZ448" s="18">
        <v>16</v>
      </c>
      <c r="BA448" s="18">
        <v>12</v>
      </c>
      <c r="BB448" s="18">
        <v>0.75</v>
      </c>
      <c r="BC448" s="18">
        <v>0</v>
      </c>
      <c r="BD448" s="18">
        <v>0</v>
      </c>
      <c r="BE448" s="18">
        <v>3.72414</v>
      </c>
      <c r="BF448" s="18">
        <v>92</v>
      </c>
      <c r="BG448" s="18">
        <v>7</v>
      </c>
      <c r="BH448" s="18">
        <v>0</v>
      </c>
      <c r="BI448" s="18"/>
      <c r="BJ448" s="18">
        <v>0</v>
      </c>
      <c r="BK448" s="18">
        <v>0</v>
      </c>
      <c r="BL448" s="18">
        <v>0</v>
      </c>
      <c r="BM448" s="18">
        <v>0</v>
      </c>
      <c r="BN448" s="18"/>
      <c r="BO448" s="18"/>
      <c r="BP448" s="18">
        <v>0</v>
      </c>
      <c r="BQ448" s="18">
        <v>19</v>
      </c>
      <c r="BR448" s="18">
        <v>0</v>
      </c>
      <c r="BS448" s="18">
        <v>0</v>
      </c>
      <c r="BT448" s="18">
        <v>0</v>
      </c>
      <c r="BU448" s="18">
        <v>0</v>
      </c>
    </row>
    <row r="449" spans="1:73">
      <c r="A449" s="19">
        <v>46179</v>
      </c>
      <c r="B449" s="18">
        <v>183</v>
      </c>
      <c r="C449" s="18" t="s">
        <v>40</v>
      </c>
      <c r="D449" s="18">
        <v>183</v>
      </c>
      <c r="E449" s="18" t="s">
        <v>40</v>
      </c>
      <c r="F449" s="18">
        <v>1726</v>
      </c>
      <c r="G449" s="18">
        <v>40</v>
      </c>
      <c r="H449" s="18">
        <v>100</v>
      </c>
      <c r="I449" s="18">
        <v>0.02317</v>
      </c>
      <c r="J449" s="18">
        <v>2.5</v>
      </c>
      <c r="K449" s="18">
        <v>57.94</v>
      </c>
      <c r="L449" s="18">
        <v>0</v>
      </c>
      <c r="M449" s="18">
        <v>0</v>
      </c>
      <c r="N449" s="18">
        <v>0</v>
      </c>
      <c r="O449" s="18">
        <v>0</v>
      </c>
      <c r="P449" s="18">
        <v>0</v>
      </c>
      <c r="Q449" s="18">
        <v>0</v>
      </c>
      <c r="R449" s="18">
        <v>0</v>
      </c>
      <c r="S449" s="18">
        <v>144.87</v>
      </c>
      <c r="T449" s="18">
        <v>144.87</v>
      </c>
      <c r="U449" s="18">
        <v>2</v>
      </c>
      <c r="V449" s="18">
        <v>0</v>
      </c>
      <c r="W449" s="18">
        <v>2</v>
      </c>
      <c r="X449" s="18">
        <v>0.05</v>
      </c>
      <c r="Y449" s="18">
        <v>1.45</v>
      </c>
      <c r="Z449" s="18">
        <v>1.45</v>
      </c>
      <c r="AA449" s="18">
        <v>50</v>
      </c>
      <c r="AB449" s="18">
        <v>3</v>
      </c>
      <c r="AC449" s="18">
        <v>0</v>
      </c>
      <c r="AD449" s="18">
        <v>3</v>
      </c>
      <c r="AE449" s="18">
        <v>0.075</v>
      </c>
      <c r="AF449" s="18">
        <v>2</v>
      </c>
      <c r="AG449" s="18">
        <v>0</v>
      </c>
      <c r="AH449" s="18"/>
      <c r="AI449" s="18">
        <v>5</v>
      </c>
      <c r="AJ449" s="18">
        <v>20</v>
      </c>
      <c r="AK449" s="18">
        <v>5</v>
      </c>
      <c r="AL449" s="18">
        <v>20</v>
      </c>
      <c r="AM449" s="18">
        <v>2</v>
      </c>
      <c r="AN449" s="18">
        <v>50</v>
      </c>
      <c r="AO449" s="18">
        <v>0.05</v>
      </c>
      <c r="AP449" s="18">
        <v>33.33</v>
      </c>
      <c r="AQ449" s="18">
        <v>3</v>
      </c>
      <c r="AR449" s="18">
        <v>227.9</v>
      </c>
      <c r="AS449" s="18">
        <v>1</v>
      </c>
      <c r="AT449" s="18">
        <v>1</v>
      </c>
      <c r="AU449" s="18">
        <v>0</v>
      </c>
      <c r="AV449" s="18">
        <v>0</v>
      </c>
      <c r="AW449" s="18">
        <v>0</v>
      </c>
      <c r="AX449" s="18">
        <v>2</v>
      </c>
      <c r="AY449" s="18">
        <v>314</v>
      </c>
      <c r="AZ449" s="18">
        <v>160</v>
      </c>
      <c r="BA449" s="18">
        <v>116</v>
      </c>
      <c r="BB449" s="18">
        <v>0.725</v>
      </c>
      <c r="BC449" s="18">
        <v>0</v>
      </c>
      <c r="BD449" s="18">
        <v>0</v>
      </c>
      <c r="BE449" s="18">
        <v>0.18192</v>
      </c>
      <c r="BF449" s="18">
        <v>52</v>
      </c>
      <c r="BG449" s="18">
        <v>2</v>
      </c>
      <c r="BH449" s="18">
        <v>1</v>
      </c>
      <c r="BI449" s="18">
        <v>1</v>
      </c>
      <c r="BJ449" s="18">
        <v>0</v>
      </c>
      <c r="BK449" s="18">
        <v>0</v>
      </c>
      <c r="BL449" s="18">
        <v>0</v>
      </c>
      <c r="BM449" s="18">
        <v>1</v>
      </c>
      <c r="BN449" s="18">
        <v>2</v>
      </c>
      <c r="BO449" s="18">
        <v>144.87</v>
      </c>
      <c r="BP449" s="18">
        <v>1.93</v>
      </c>
      <c r="BQ449" s="18">
        <v>270</v>
      </c>
      <c r="BR449" s="18">
        <v>0</v>
      </c>
      <c r="BS449" s="18">
        <v>0</v>
      </c>
      <c r="BT449" s="18">
        <v>0</v>
      </c>
      <c r="BU449" s="18">
        <v>0</v>
      </c>
    </row>
    <row r="450" spans="1:73">
      <c r="A450" s="19">
        <v>46178</v>
      </c>
      <c r="B450" s="18">
        <v>372</v>
      </c>
      <c r="C450" s="18" t="s">
        <v>37</v>
      </c>
      <c r="D450" s="18">
        <v>372</v>
      </c>
      <c r="E450" s="18" t="s">
        <v>61</v>
      </c>
      <c r="F450" s="18">
        <v>797</v>
      </c>
      <c r="G450" s="18">
        <v>52</v>
      </c>
      <c r="H450" s="18">
        <v>29.89</v>
      </c>
      <c r="I450" s="18">
        <v>0.06524</v>
      </c>
      <c r="J450" s="18">
        <v>0.57</v>
      </c>
      <c r="K450" s="18">
        <v>37.5</v>
      </c>
      <c r="L450" s="18">
        <v>0</v>
      </c>
      <c r="M450" s="18">
        <v>0</v>
      </c>
      <c r="N450" s="18">
        <v>0</v>
      </c>
      <c r="O450" s="18">
        <v>0</v>
      </c>
      <c r="P450" s="18">
        <v>0</v>
      </c>
      <c r="Q450" s="18">
        <v>0</v>
      </c>
      <c r="R450" s="18">
        <v>0</v>
      </c>
      <c r="S450" s="18">
        <v>0</v>
      </c>
      <c r="T450" s="18">
        <v>0</v>
      </c>
      <c r="U450" s="18">
        <v>0</v>
      </c>
      <c r="V450" s="18">
        <v>0</v>
      </c>
      <c r="W450" s="18">
        <v>0</v>
      </c>
      <c r="X450" s="18">
        <v>0</v>
      </c>
      <c r="Y450" s="18">
        <v>0</v>
      </c>
      <c r="Z450" s="18">
        <v>0</v>
      </c>
      <c r="AA450" s="18"/>
      <c r="AB450" s="18">
        <v>2</v>
      </c>
      <c r="AC450" s="18">
        <v>2</v>
      </c>
      <c r="AD450" s="18">
        <v>0</v>
      </c>
      <c r="AE450" s="18">
        <v>0.03846</v>
      </c>
      <c r="AF450" s="18">
        <v>1</v>
      </c>
      <c r="AG450" s="18">
        <v>0</v>
      </c>
      <c r="AH450" s="18"/>
      <c r="AI450" s="18">
        <v>3</v>
      </c>
      <c r="AJ450" s="18">
        <v>9.96</v>
      </c>
      <c r="AK450" s="18">
        <v>3</v>
      </c>
      <c r="AL450" s="18">
        <v>9.96</v>
      </c>
      <c r="AM450" s="18">
        <v>1</v>
      </c>
      <c r="AN450" s="18">
        <v>29.89</v>
      </c>
      <c r="AO450" s="18">
        <v>0.01923</v>
      </c>
      <c r="AP450" s="18">
        <v>14.95</v>
      </c>
      <c r="AQ450" s="18">
        <v>0</v>
      </c>
      <c r="AR450" s="18">
        <v>0</v>
      </c>
      <c r="AS450" s="18">
        <v>0</v>
      </c>
      <c r="AT450" s="18">
        <v>1</v>
      </c>
      <c r="AU450" s="18">
        <v>0</v>
      </c>
      <c r="AV450" s="18">
        <v>0</v>
      </c>
      <c r="AW450" s="18">
        <v>0</v>
      </c>
      <c r="AX450" s="18">
        <v>0</v>
      </c>
      <c r="AY450" s="18">
        <v>78</v>
      </c>
      <c r="AZ450" s="18">
        <v>47</v>
      </c>
      <c r="BA450" s="18">
        <v>24</v>
      </c>
      <c r="BB450" s="18">
        <v>0.51064</v>
      </c>
      <c r="BC450" s="18">
        <v>0</v>
      </c>
      <c r="BD450" s="18">
        <v>0</v>
      </c>
      <c r="BE450" s="18">
        <v>0.09787</v>
      </c>
      <c r="BF450" s="18">
        <v>12</v>
      </c>
      <c r="BG450" s="18">
        <v>2</v>
      </c>
      <c r="BH450" s="18">
        <v>0</v>
      </c>
      <c r="BI450" s="18"/>
      <c r="BJ450" s="18">
        <v>0</v>
      </c>
      <c r="BK450" s="18">
        <v>0</v>
      </c>
      <c r="BL450" s="18">
        <v>0</v>
      </c>
      <c r="BM450" s="18">
        <v>0</v>
      </c>
      <c r="BN450" s="18"/>
      <c r="BO450" s="18"/>
      <c r="BP450" s="18">
        <v>0</v>
      </c>
      <c r="BQ450" s="18">
        <v>71</v>
      </c>
      <c r="BR450" s="18">
        <v>0</v>
      </c>
      <c r="BS450" s="18">
        <v>0</v>
      </c>
      <c r="BT450" s="18">
        <v>0</v>
      </c>
      <c r="BU450" s="18">
        <v>0</v>
      </c>
    </row>
    <row r="451" spans="1:73">
      <c r="A451" s="19">
        <v>46178</v>
      </c>
      <c r="B451" s="18">
        <v>183</v>
      </c>
      <c r="C451" s="18" t="s">
        <v>40</v>
      </c>
      <c r="D451" s="18">
        <v>183</v>
      </c>
      <c r="E451" s="18" t="s">
        <v>40</v>
      </c>
      <c r="F451" s="18">
        <v>1140</v>
      </c>
      <c r="G451" s="18">
        <v>46</v>
      </c>
      <c r="H451" s="18">
        <v>100</v>
      </c>
      <c r="I451" s="18">
        <v>0.04035</v>
      </c>
      <c r="J451" s="18">
        <v>2.17</v>
      </c>
      <c r="K451" s="18">
        <v>87.72</v>
      </c>
      <c r="L451" s="18">
        <v>0</v>
      </c>
      <c r="M451" s="18">
        <v>0</v>
      </c>
      <c r="N451" s="18">
        <v>0</v>
      </c>
      <c r="O451" s="18">
        <v>0</v>
      </c>
      <c r="P451" s="18">
        <v>0</v>
      </c>
      <c r="Q451" s="18">
        <v>0</v>
      </c>
      <c r="R451" s="18">
        <v>133.6</v>
      </c>
      <c r="S451" s="18">
        <v>0</v>
      </c>
      <c r="T451" s="18">
        <v>133.6</v>
      </c>
      <c r="U451" s="18">
        <v>1</v>
      </c>
      <c r="V451" s="18">
        <v>1</v>
      </c>
      <c r="W451" s="18">
        <v>0</v>
      </c>
      <c r="X451" s="18">
        <v>0.02174</v>
      </c>
      <c r="Y451" s="18">
        <v>1.34</v>
      </c>
      <c r="Z451" s="18">
        <v>1.34</v>
      </c>
      <c r="AA451" s="18">
        <v>100</v>
      </c>
      <c r="AB451" s="18">
        <v>2</v>
      </c>
      <c r="AC451" s="18">
        <v>2</v>
      </c>
      <c r="AD451" s="18">
        <v>0</v>
      </c>
      <c r="AE451" s="18">
        <v>0.04348</v>
      </c>
      <c r="AF451" s="18">
        <v>1</v>
      </c>
      <c r="AG451" s="18">
        <v>1</v>
      </c>
      <c r="AH451" s="18">
        <v>100</v>
      </c>
      <c r="AI451" s="18">
        <v>4</v>
      </c>
      <c r="AJ451" s="18">
        <v>25</v>
      </c>
      <c r="AK451" s="18">
        <v>3</v>
      </c>
      <c r="AL451" s="18">
        <v>33.33</v>
      </c>
      <c r="AM451" s="18">
        <v>2</v>
      </c>
      <c r="AN451" s="18">
        <v>100</v>
      </c>
      <c r="AO451" s="18">
        <v>0.02174</v>
      </c>
      <c r="AP451" s="18">
        <v>50</v>
      </c>
      <c r="AQ451" s="18">
        <v>1</v>
      </c>
      <c r="AR451" s="18">
        <v>168</v>
      </c>
      <c r="AS451" s="18">
        <v>1</v>
      </c>
      <c r="AT451" s="18">
        <v>0</v>
      </c>
      <c r="AU451" s="18">
        <v>0</v>
      </c>
      <c r="AV451" s="18">
        <v>0</v>
      </c>
      <c r="AW451" s="18">
        <v>0</v>
      </c>
      <c r="AX451" s="18">
        <v>0</v>
      </c>
      <c r="AY451" s="18">
        <v>167</v>
      </c>
      <c r="AZ451" s="18">
        <v>83</v>
      </c>
      <c r="BA451" s="18">
        <v>51</v>
      </c>
      <c r="BB451" s="18">
        <v>0.61446</v>
      </c>
      <c r="BC451" s="18">
        <v>0</v>
      </c>
      <c r="BD451" s="18">
        <v>0</v>
      </c>
      <c r="BE451" s="18">
        <v>0.14649</v>
      </c>
      <c r="BF451" s="18">
        <v>42</v>
      </c>
      <c r="BG451" s="18">
        <v>2</v>
      </c>
      <c r="BH451" s="18">
        <v>1</v>
      </c>
      <c r="BI451" s="18">
        <v>1</v>
      </c>
      <c r="BJ451" s="18">
        <v>0</v>
      </c>
      <c r="BK451" s="18">
        <v>0</v>
      </c>
      <c r="BL451" s="18">
        <v>0</v>
      </c>
      <c r="BM451" s="18">
        <v>1</v>
      </c>
      <c r="BN451" s="18">
        <v>1</v>
      </c>
      <c r="BO451" s="18">
        <v>133.6</v>
      </c>
      <c r="BP451" s="18">
        <v>0</v>
      </c>
      <c r="BQ451" s="18">
        <v>535</v>
      </c>
      <c r="BR451" s="18">
        <v>0</v>
      </c>
      <c r="BS451" s="18">
        <v>0</v>
      </c>
      <c r="BT451" s="18">
        <v>0</v>
      </c>
      <c r="BU451" s="18">
        <v>0</v>
      </c>
    </row>
    <row r="452" spans="1:73">
      <c r="A452" s="19">
        <v>46178</v>
      </c>
      <c r="B452" s="18">
        <v>371</v>
      </c>
      <c r="C452" s="18" t="s">
        <v>32</v>
      </c>
      <c r="D452" s="18">
        <v>371</v>
      </c>
      <c r="E452" s="18" t="s">
        <v>32</v>
      </c>
      <c r="F452" s="18">
        <v>3769</v>
      </c>
      <c r="G452" s="18">
        <v>176</v>
      </c>
      <c r="H452" s="18">
        <v>108.79</v>
      </c>
      <c r="I452" s="18">
        <v>0.0467</v>
      </c>
      <c r="J452" s="18">
        <v>0.62</v>
      </c>
      <c r="K452" s="18">
        <v>28.86</v>
      </c>
      <c r="L452" s="18">
        <v>0</v>
      </c>
      <c r="M452" s="18">
        <v>0</v>
      </c>
      <c r="N452" s="18">
        <v>0</v>
      </c>
      <c r="O452" s="18">
        <v>0</v>
      </c>
      <c r="P452" s="18">
        <v>0</v>
      </c>
      <c r="Q452" s="18">
        <v>0</v>
      </c>
      <c r="R452" s="18">
        <v>0</v>
      </c>
      <c r="S452" s="18">
        <v>0</v>
      </c>
      <c r="T452" s="18">
        <v>0</v>
      </c>
      <c r="U452" s="18">
        <v>0</v>
      </c>
      <c r="V452" s="18">
        <v>0</v>
      </c>
      <c r="W452" s="18">
        <v>0</v>
      </c>
      <c r="X452" s="18">
        <v>0</v>
      </c>
      <c r="Y452" s="18">
        <v>0</v>
      </c>
      <c r="Z452" s="18">
        <v>0</v>
      </c>
      <c r="AA452" s="18"/>
      <c r="AB452" s="18">
        <v>1</v>
      </c>
      <c r="AC452" s="18">
        <v>0</v>
      </c>
      <c r="AD452" s="18">
        <v>1</v>
      </c>
      <c r="AE452" s="18">
        <v>0.00568</v>
      </c>
      <c r="AF452" s="18">
        <v>3</v>
      </c>
      <c r="AG452" s="18">
        <v>1</v>
      </c>
      <c r="AH452" s="18">
        <v>108.79</v>
      </c>
      <c r="AI452" s="18">
        <v>5</v>
      </c>
      <c r="AJ452" s="18">
        <v>21.76</v>
      </c>
      <c r="AK452" s="18">
        <v>4</v>
      </c>
      <c r="AL452" s="18">
        <v>27.2</v>
      </c>
      <c r="AM452" s="18">
        <v>4</v>
      </c>
      <c r="AN452" s="18">
        <v>36.26</v>
      </c>
      <c r="AO452" s="18">
        <v>0.01705</v>
      </c>
      <c r="AP452" s="18">
        <v>108.79</v>
      </c>
      <c r="AQ452" s="18">
        <v>0</v>
      </c>
      <c r="AR452" s="18">
        <v>0</v>
      </c>
      <c r="AS452" s="18">
        <v>3</v>
      </c>
      <c r="AT452" s="18">
        <v>0</v>
      </c>
      <c r="AU452" s="18">
        <v>0</v>
      </c>
      <c r="AV452" s="18">
        <v>0</v>
      </c>
      <c r="AW452" s="18">
        <v>0</v>
      </c>
      <c r="AX452" s="18">
        <v>0</v>
      </c>
      <c r="AY452" s="18">
        <v>416</v>
      </c>
      <c r="AZ452" s="18">
        <v>236</v>
      </c>
      <c r="BA452" s="18">
        <v>215</v>
      </c>
      <c r="BB452" s="18">
        <v>0.91102</v>
      </c>
      <c r="BC452" s="18">
        <v>0</v>
      </c>
      <c r="BD452" s="18">
        <v>0</v>
      </c>
      <c r="BE452" s="18">
        <v>0.11037</v>
      </c>
      <c r="BF452" s="18">
        <v>90</v>
      </c>
      <c r="BG452" s="18">
        <v>2</v>
      </c>
      <c r="BH452" s="18">
        <v>0</v>
      </c>
      <c r="BI452" s="18"/>
      <c r="BJ452" s="18">
        <v>0</v>
      </c>
      <c r="BK452" s="18">
        <v>0</v>
      </c>
      <c r="BL452" s="18">
        <v>0</v>
      </c>
      <c r="BM452" s="18">
        <v>0</v>
      </c>
      <c r="BN452" s="18"/>
      <c r="BO452" s="18"/>
      <c r="BP452" s="18">
        <v>0.03</v>
      </c>
      <c r="BQ452" s="18">
        <v>157</v>
      </c>
      <c r="BR452" s="18">
        <v>0</v>
      </c>
      <c r="BS452" s="18">
        <v>0</v>
      </c>
      <c r="BT452" s="18">
        <v>0</v>
      </c>
      <c r="BU452" s="18">
        <v>0</v>
      </c>
    </row>
    <row r="453" spans="1:73">
      <c r="A453" s="19">
        <v>46178</v>
      </c>
      <c r="B453" s="18">
        <v>479</v>
      </c>
      <c r="C453" s="18" t="s">
        <v>39</v>
      </c>
      <c r="D453" s="18">
        <v>479</v>
      </c>
      <c r="E453" s="18" t="s">
        <v>39</v>
      </c>
      <c r="F453" s="18">
        <v>51</v>
      </c>
      <c r="G453" s="18">
        <v>23</v>
      </c>
      <c r="H453" s="18">
        <v>20.6</v>
      </c>
      <c r="I453" s="18">
        <v>0.45098</v>
      </c>
      <c r="J453" s="18">
        <v>0.9</v>
      </c>
      <c r="K453" s="18">
        <v>404</v>
      </c>
      <c r="L453" s="18">
        <v>0</v>
      </c>
      <c r="M453" s="18">
        <v>0</v>
      </c>
      <c r="N453" s="18">
        <v>0</v>
      </c>
      <c r="O453" s="18">
        <v>0</v>
      </c>
      <c r="P453" s="18">
        <v>0</v>
      </c>
      <c r="Q453" s="18">
        <v>0</v>
      </c>
      <c r="R453" s="18">
        <v>0</v>
      </c>
      <c r="S453" s="18">
        <v>245</v>
      </c>
      <c r="T453" s="18">
        <v>245</v>
      </c>
      <c r="U453" s="18">
        <v>1</v>
      </c>
      <c r="V453" s="18">
        <v>0</v>
      </c>
      <c r="W453" s="18">
        <v>1</v>
      </c>
      <c r="X453" s="18">
        <v>0.04348</v>
      </c>
      <c r="Y453" s="18">
        <v>11.89</v>
      </c>
      <c r="Z453" s="18">
        <v>11.89</v>
      </c>
      <c r="AA453" s="18">
        <v>20.6</v>
      </c>
      <c r="AB453" s="18">
        <v>2</v>
      </c>
      <c r="AC453" s="18">
        <v>0</v>
      </c>
      <c r="AD453" s="18">
        <v>2</v>
      </c>
      <c r="AE453" s="18">
        <v>0.08696</v>
      </c>
      <c r="AF453" s="18">
        <v>0</v>
      </c>
      <c r="AG453" s="18">
        <v>2</v>
      </c>
      <c r="AH453" s="18">
        <v>10.3</v>
      </c>
      <c r="AI453" s="18">
        <v>4</v>
      </c>
      <c r="AJ453" s="18">
        <v>5.15</v>
      </c>
      <c r="AK453" s="18">
        <v>2</v>
      </c>
      <c r="AL453" s="18">
        <v>10.3</v>
      </c>
      <c r="AM453" s="18">
        <v>2</v>
      </c>
      <c r="AN453" s="18"/>
      <c r="AO453" s="18">
        <v>0</v>
      </c>
      <c r="AP453" s="18">
        <v>10.3</v>
      </c>
      <c r="AQ453" s="18">
        <v>2</v>
      </c>
      <c r="AR453" s="18">
        <v>338.9</v>
      </c>
      <c r="AS453" s="18">
        <v>0</v>
      </c>
      <c r="AT453" s="18">
        <v>0</v>
      </c>
      <c r="AU453" s="18">
        <v>0</v>
      </c>
      <c r="AV453" s="18">
        <v>0</v>
      </c>
      <c r="AW453" s="18">
        <v>0</v>
      </c>
      <c r="AX453" s="18">
        <v>0</v>
      </c>
      <c r="AY453" s="18">
        <v>187</v>
      </c>
      <c r="AZ453" s="18">
        <v>21</v>
      </c>
      <c r="BA453" s="18">
        <v>17</v>
      </c>
      <c r="BB453" s="18">
        <v>0.80952</v>
      </c>
      <c r="BC453" s="18">
        <v>0</v>
      </c>
      <c r="BD453" s="18">
        <v>0</v>
      </c>
      <c r="BE453" s="18">
        <v>3.66667</v>
      </c>
      <c r="BF453" s="18">
        <v>163</v>
      </c>
      <c r="BG453" s="18">
        <v>9</v>
      </c>
      <c r="BH453" s="18">
        <v>1</v>
      </c>
      <c r="BI453" s="18">
        <v>1</v>
      </c>
      <c r="BJ453" s="18">
        <v>0</v>
      </c>
      <c r="BK453" s="18">
        <v>0</v>
      </c>
      <c r="BL453" s="18">
        <v>0</v>
      </c>
      <c r="BM453" s="18">
        <v>1</v>
      </c>
      <c r="BN453" s="18">
        <v>1</v>
      </c>
      <c r="BO453" s="18">
        <v>245</v>
      </c>
      <c r="BP453" s="18">
        <v>0</v>
      </c>
      <c r="BQ453" s="18">
        <v>174</v>
      </c>
      <c r="BR453" s="18">
        <v>0</v>
      </c>
      <c r="BS453" s="18">
        <v>0</v>
      </c>
      <c r="BT453" s="18">
        <v>0</v>
      </c>
      <c r="BU453" s="18">
        <v>0</v>
      </c>
    </row>
    <row r="454" spans="1:73">
      <c r="A454" s="19">
        <v>46178</v>
      </c>
      <c r="B454" s="18">
        <v>436</v>
      </c>
      <c r="C454" s="18" t="s">
        <v>38</v>
      </c>
      <c r="D454" s="18">
        <v>436</v>
      </c>
      <c r="E454" s="18" t="s">
        <v>38</v>
      </c>
      <c r="F454" s="18">
        <v>900</v>
      </c>
      <c r="G454" s="18">
        <v>59</v>
      </c>
      <c r="H454" s="18">
        <v>42.68</v>
      </c>
      <c r="I454" s="18">
        <v>0.06556</v>
      </c>
      <c r="J454" s="18">
        <v>0.72</v>
      </c>
      <c r="K454" s="18">
        <v>47.42</v>
      </c>
      <c r="L454" s="18">
        <v>0</v>
      </c>
      <c r="M454" s="18">
        <v>0</v>
      </c>
      <c r="N454" s="18">
        <v>0</v>
      </c>
      <c r="O454" s="18">
        <v>0</v>
      </c>
      <c r="P454" s="18">
        <v>0</v>
      </c>
      <c r="Q454" s="18">
        <v>0</v>
      </c>
      <c r="R454" s="18">
        <v>0</v>
      </c>
      <c r="S454" s="18">
        <v>17623.09</v>
      </c>
      <c r="T454" s="18">
        <v>17623.09</v>
      </c>
      <c r="U454" s="18">
        <v>8</v>
      </c>
      <c r="V454" s="18">
        <v>0</v>
      </c>
      <c r="W454" s="18">
        <v>8</v>
      </c>
      <c r="X454" s="18">
        <v>0.13559</v>
      </c>
      <c r="Y454" s="18">
        <v>412.91</v>
      </c>
      <c r="Z454" s="18">
        <v>412.91</v>
      </c>
      <c r="AA454" s="18">
        <v>5.34</v>
      </c>
      <c r="AB454" s="18">
        <v>8</v>
      </c>
      <c r="AC454" s="18">
        <v>0</v>
      </c>
      <c r="AD454" s="18">
        <v>8</v>
      </c>
      <c r="AE454" s="18">
        <v>0.13559</v>
      </c>
      <c r="AF454" s="18">
        <v>1</v>
      </c>
      <c r="AG454" s="18">
        <v>1</v>
      </c>
      <c r="AH454" s="18">
        <v>42.68</v>
      </c>
      <c r="AI454" s="18">
        <v>10</v>
      </c>
      <c r="AJ454" s="18">
        <v>4.27</v>
      </c>
      <c r="AK454" s="18">
        <v>9</v>
      </c>
      <c r="AL454" s="18">
        <v>4.74</v>
      </c>
      <c r="AM454" s="18">
        <v>2</v>
      </c>
      <c r="AN454" s="18">
        <v>42.68</v>
      </c>
      <c r="AO454" s="18">
        <v>0.01695</v>
      </c>
      <c r="AP454" s="18">
        <v>5.34</v>
      </c>
      <c r="AQ454" s="18">
        <v>12</v>
      </c>
      <c r="AR454" s="18">
        <v>18491.46</v>
      </c>
      <c r="AS454" s="18">
        <v>0</v>
      </c>
      <c r="AT454" s="18">
        <v>1</v>
      </c>
      <c r="AU454" s="18">
        <v>0</v>
      </c>
      <c r="AV454" s="18">
        <v>0</v>
      </c>
      <c r="AW454" s="18">
        <v>0</v>
      </c>
      <c r="AX454" s="18">
        <v>1</v>
      </c>
      <c r="AY454" s="18">
        <v>142</v>
      </c>
      <c r="AZ454" s="18">
        <v>54</v>
      </c>
      <c r="BA454" s="18">
        <v>47</v>
      </c>
      <c r="BB454" s="18">
        <v>0.87037</v>
      </c>
      <c r="BC454" s="18">
        <v>0</v>
      </c>
      <c r="BD454" s="18">
        <v>0</v>
      </c>
      <c r="BE454" s="18">
        <v>0.15778</v>
      </c>
      <c r="BF454" s="18">
        <v>77</v>
      </c>
      <c r="BG454" s="18">
        <v>3</v>
      </c>
      <c r="BH454" s="18">
        <v>4</v>
      </c>
      <c r="BI454" s="18">
        <v>1</v>
      </c>
      <c r="BJ454" s="18">
        <v>0</v>
      </c>
      <c r="BK454" s="18">
        <v>0</v>
      </c>
      <c r="BL454" s="18">
        <v>0</v>
      </c>
      <c r="BM454" s="18">
        <v>4</v>
      </c>
      <c r="BN454" s="18">
        <v>2</v>
      </c>
      <c r="BO454" s="18">
        <v>4405.77</v>
      </c>
      <c r="BP454" s="18">
        <v>12.66</v>
      </c>
      <c r="BQ454" s="18">
        <v>830</v>
      </c>
      <c r="BR454" s="18">
        <v>0</v>
      </c>
      <c r="BS454" s="18">
        <v>0</v>
      </c>
      <c r="BT454" s="18">
        <v>0</v>
      </c>
      <c r="BU454" s="18">
        <v>0</v>
      </c>
    </row>
    <row r="455" spans="1:73">
      <c r="A455" s="19">
        <v>46177</v>
      </c>
      <c r="B455" s="18">
        <v>479</v>
      </c>
      <c r="C455" s="18" t="s">
        <v>39</v>
      </c>
      <c r="D455" s="18">
        <v>479</v>
      </c>
      <c r="E455" s="18" t="s">
        <v>39</v>
      </c>
      <c r="F455" s="18">
        <v>46</v>
      </c>
      <c r="G455" s="18">
        <v>22</v>
      </c>
      <c r="H455" s="18">
        <v>16.73</v>
      </c>
      <c r="I455" s="18">
        <v>0.47826</v>
      </c>
      <c r="J455" s="18">
        <v>0.76</v>
      </c>
      <c r="K455" s="18">
        <v>363.77</v>
      </c>
      <c r="L455" s="18">
        <v>0</v>
      </c>
      <c r="M455" s="18">
        <v>0</v>
      </c>
      <c r="N455" s="18">
        <v>0</v>
      </c>
      <c r="O455" s="18">
        <v>0</v>
      </c>
      <c r="P455" s="18">
        <v>0</v>
      </c>
      <c r="Q455" s="18">
        <v>0</v>
      </c>
      <c r="R455" s="18">
        <v>0</v>
      </c>
      <c r="S455" s="18">
        <v>383.64</v>
      </c>
      <c r="T455" s="18">
        <v>383.64</v>
      </c>
      <c r="U455" s="18">
        <v>2</v>
      </c>
      <c r="V455" s="18">
        <v>0</v>
      </c>
      <c r="W455" s="18">
        <v>2</v>
      </c>
      <c r="X455" s="18">
        <v>0.09091</v>
      </c>
      <c r="Y455" s="18">
        <v>22.93</v>
      </c>
      <c r="Z455" s="18">
        <v>22.93</v>
      </c>
      <c r="AA455" s="18">
        <v>8.37</v>
      </c>
      <c r="AB455" s="18">
        <v>7</v>
      </c>
      <c r="AC455" s="18">
        <v>0</v>
      </c>
      <c r="AD455" s="18">
        <v>7</v>
      </c>
      <c r="AE455" s="18">
        <v>0.31818</v>
      </c>
      <c r="AF455" s="18">
        <v>0</v>
      </c>
      <c r="AG455" s="18">
        <v>2</v>
      </c>
      <c r="AH455" s="18">
        <v>8.37</v>
      </c>
      <c r="AI455" s="18">
        <v>9</v>
      </c>
      <c r="AJ455" s="18">
        <v>1.86</v>
      </c>
      <c r="AK455" s="18">
        <v>7</v>
      </c>
      <c r="AL455" s="18">
        <v>2.39</v>
      </c>
      <c r="AM455" s="18">
        <v>2</v>
      </c>
      <c r="AN455" s="18"/>
      <c r="AO455" s="18">
        <v>0</v>
      </c>
      <c r="AP455" s="18">
        <v>2.39</v>
      </c>
      <c r="AQ455" s="18">
        <v>4</v>
      </c>
      <c r="AR455" s="18">
        <v>556.8</v>
      </c>
      <c r="AS455" s="18">
        <v>0</v>
      </c>
      <c r="AT455" s="18">
        <v>0</v>
      </c>
      <c r="AU455" s="18">
        <v>0</v>
      </c>
      <c r="AV455" s="18">
        <v>0</v>
      </c>
      <c r="AW455" s="18">
        <v>0</v>
      </c>
      <c r="AX455" s="18">
        <v>4</v>
      </c>
      <c r="AY455" s="18">
        <v>223</v>
      </c>
      <c r="AZ455" s="18">
        <v>21</v>
      </c>
      <c r="BA455" s="18">
        <v>16</v>
      </c>
      <c r="BB455" s="18">
        <v>0.7619</v>
      </c>
      <c r="BC455" s="18">
        <v>0</v>
      </c>
      <c r="BD455" s="18">
        <v>0</v>
      </c>
      <c r="BE455" s="18">
        <v>4.84783</v>
      </c>
      <c r="BF455" s="18">
        <v>200</v>
      </c>
      <c r="BG455" s="18">
        <v>11</v>
      </c>
      <c r="BH455" s="18">
        <v>2</v>
      </c>
      <c r="BI455" s="18">
        <v>1</v>
      </c>
      <c r="BJ455" s="18">
        <v>0</v>
      </c>
      <c r="BK455" s="18">
        <v>0</v>
      </c>
      <c r="BL455" s="18">
        <v>0</v>
      </c>
      <c r="BM455" s="18">
        <v>2</v>
      </c>
      <c r="BN455" s="18">
        <v>1</v>
      </c>
      <c r="BO455" s="18">
        <v>191.82</v>
      </c>
      <c r="BP455" s="18">
        <v>0</v>
      </c>
      <c r="BQ455" s="18">
        <v>343</v>
      </c>
      <c r="BR455" s="18">
        <v>0</v>
      </c>
      <c r="BS455" s="18">
        <v>0</v>
      </c>
      <c r="BT455" s="18">
        <v>0</v>
      </c>
      <c r="BU455" s="18">
        <v>0</v>
      </c>
    </row>
    <row r="456" spans="1:73">
      <c r="A456" s="19">
        <v>46177</v>
      </c>
      <c r="B456" s="18">
        <v>436</v>
      </c>
      <c r="C456" s="18" t="s">
        <v>38</v>
      </c>
      <c r="D456" s="18">
        <v>436</v>
      </c>
      <c r="E456" s="18" t="s">
        <v>38</v>
      </c>
      <c r="F456" s="18">
        <v>689</v>
      </c>
      <c r="G456" s="18">
        <v>23</v>
      </c>
      <c r="H456" s="18">
        <v>49.95</v>
      </c>
      <c r="I456" s="18">
        <v>0.03338</v>
      </c>
      <c r="J456" s="18">
        <v>2.17</v>
      </c>
      <c r="K456" s="18">
        <v>72.5</v>
      </c>
      <c r="L456" s="18">
        <v>0</v>
      </c>
      <c r="M456" s="18">
        <v>0</v>
      </c>
      <c r="N456" s="18">
        <v>0</v>
      </c>
      <c r="O456" s="18">
        <v>0</v>
      </c>
      <c r="P456" s="18">
        <v>0</v>
      </c>
      <c r="Q456" s="18">
        <v>0</v>
      </c>
      <c r="R456" s="18">
        <v>0</v>
      </c>
      <c r="S456" s="18">
        <v>167.03</v>
      </c>
      <c r="T456" s="18">
        <v>167.03</v>
      </c>
      <c r="U456" s="18">
        <v>2</v>
      </c>
      <c r="V456" s="18">
        <v>0</v>
      </c>
      <c r="W456" s="18">
        <v>2</v>
      </c>
      <c r="X456" s="18">
        <v>0.08696</v>
      </c>
      <c r="Y456" s="18">
        <v>3.34</v>
      </c>
      <c r="Z456" s="18">
        <v>3.34</v>
      </c>
      <c r="AA456" s="18">
        <v>24.98</v>
      </c>
      <c r="AB456" s="18">
        <v>0</v>
      </c>
      <c r="AC456" s="18">
        <v>0</v>
      </c>
      <c r="AD456" s="18">
        <v>0</v>
      </c>
      <c r="AE456" s="18">
        <v>0</v>
      </c>
      <c r="AF456" s="18">
        <v>0</v>
      </c>
      <c r="AG456" s="18">
        <v>0</v>
      </c>
      <c r="AH456" s="18"/>
      <c r="AI456" s="18">
        <v>0</v>
      </c>
      <c r="AJ456" s="18"/>
      <c r="AK456" s="18">
        <v>0</v>
      </c>
      <c r="AL456" s="18"/>
      <c r="AM456" s="18">
        <v>0</v>
      </c>
      <c r="AN456" s="18"/>
      <c r="AO456" s="18">
        <v>0</v>
      </c>
      <c r="AP456" s="18"/>
      <c r="AQ456" s="18">
        <v>4</v>
      </c>
      <c r="AR456" s="18">
        <v>304.8</v>
      </c>
      <c r="AS456" s="18">
        <v>0</v>
      </c>
      <c r="AT456" s="18">
        <v>0</v>
      </c>
      <c r="AU456" s="18">
        <v>0</v>
      </c>
      <c r="AV456" s="18">
        <v>0</v>
      </c>
      <c r="AW456" s="18">
        <v>0</v>
      </c>
      <c r="AX456" s="18">
        <v>1</v>
      </c>
      <c r="AY456" s="18">
        <v>100</v>
      </c>
      <c r="AZ456" s="18">
        <v>22</v>
      </c>
      <c r="BA456" s="18">
        <v>15</v>
      </c>
      <c r="BB456" s="18">
        <v>0.68182</v>
      </c>
      <c r="BC456" s="18">
        <v>0</v>
      </c>
      <c r="BD456" s="18">
        <v>0</v>
      </c>
      <c r="BE456" s="18">
        <v>0.14514</v>
      </c>
      <c r="BF456" s="18">
        <v>75</v>
      </c>
      <c r="BG456" s="18">
        <v>5</v>
      </c>
      <c r="BH456" s="18">
        <v>2</v>
      </c>
      <c r="BI456" s="18">
        <v>1</v>
      </c>
      <c r="BJ456" s="18">
        <v>0</v>
      </c>
      <c r="BK456" s="18">
        <v>0</v>
      </c>
      <c r="BL456" s="18">
        <v>0</v>
      </c>
      <c r="BM456" s="18">
        <v>2</v>
      </c>
      <c r="BN456" s="18">
        <v>1</v>
      </c>
      <c r="BO456" s="18">
        <v>83.52</v>
      </c>
      <c r="BP456" s="18">
        <v>0</v>
      </c>
      <c r="BQ456" s="18">
        <v>296</v>
      </c>
      <c r="BR456" s="18">
        <v>0</v>
      </c>
      <c r="BS456" s="18">
        <v>0</v>
      </c>
      <c r="BT456" s="18">
        <v>0</v>
      </c>
      <c r="BU456" s="18">
        <v>0</v>
      </c>
    </row>
    <row r="457" spans="1:73">
      <c r="A457" s="19">
        <v>46177</v>
      </c>
      <c r="B457" s="18">
        <v>371</v>
      </c>
      <c r="C457" s="18" t="s">
        <v>32</v>
      </c>
      <c r="D457" s="18">
        <v>371</v>
      </c>
      <c r="E457" s="18" t="s">
        <v>32</v>
      </c>
      <c r="F457" s="18">
        <v>3605</v>
      </c>
      <c r="G457" s="18">
        <v>191</v>
      </c>
      <c r="H457" s="18">
        <v>111.06</v>
      </c>
      <c r="I457" s="18">
        <v>0.05298</v>
      </c>
      <c r="J457" s="18">
        <v>0.58</v>
      </c>
      <c r="K457" s="18">
        <v>30.81</v>
      </c>
      <c r="L457" s="18">
        <v>0</v>
      </c>
      <c r="M457" s="18">
        <v>0</v>
      </c>
      <c r="N457" s="18">
        <v>0</v>
      </c>
      <c r="O457" s="18">
        <v>0</v>
      </c>
      <c r="P457" s="18">
        <v>0</v>
      </c>
      <c r="Q457" s="18">
        <v>0</v>
      </c>
      <c r="R457" s="18">
        <v>0</v>
      </c>
      <c r="S457" s="18">
        <v>0</v>
      </c>
      <c r="T457" s="18">
        <v>0</v>
      </c>
      <c r="U457" s="18">
        <v>0</v>
      </c>
      <c r="V457" s="18">
        <v>0</v>
      </c>
      <c r="W457" s="18">
        <v>0</v>
      </c>
      <c r="X457" s="18">
        <v>0</v>
      </c>
      <c r="Y457" s="18">
        <v>0</v>
      </c>
      <c r="Z457" s="18">
        <v>0</v>
      </c>
      <c r="AA457" s="18"/>
      <c r="AB457" s="18">
        <v>2</v>
      </c>
      <c r="AC457" s="18">
        <v>2</v>
      </c>
      <c r="AD457" s="18">
        <v>0</v>
      </c>
      <c r="AE457" s="18">
        <v>0.01047</v>
      </c>
      <c r="AF457" s="18">
        <v>2</v>
      </c>
      <c r="AG457" s="18">
        <v>1</v>
      </c>
      <c r="AH457" s="18">
        <v>111.06</v>
      </c>
      <c r="AI457" s="18">
        <v>5</v>
      </c>
      <c r="AJ457" s="18">
        <v>22.21</v>
      </c>
      <c r="AK457" s="18">
        <v>4</v>
      </c>
      <c r="AL457" s="18">
        <v>27.77</v>
      </c>
      <c r="AM457" s="18">
        <v>3</v>
      </c>
      <c r="AN457" s="18">
        <v>55.53</v>
      </c>
      <c r="AO457" s="18">
        <v>0.01047</v>
      </c>
      <c r="AP457" s="18">
        <v>55.53</v>
      </c>
      <c r="AQ457" s="18">
        <v>0</v>
      </c>
      <c r="AR457" s="18">
        <v>0</v>
      </c>
      <c r="AS457" s="18">
        <v>1</v>
      </c>
      <c r="AT457" s="18">
        <v>1</v>
      </c>
      <c r="AU457" s="18">
        <v>0</v>
      </c>
      <c r="AV457" s="18">
        <v>0</v>
      </c>
      <c r="AW457" s="18">
        <v>0</v>
      </c>
      <c r="AX457" s="18">
        <v>2</v>
      </c>
      <c r="AY457" s="18">
        <v>306</v>
      </c>
      <c r="AZ457" s="18">
        <v>131</v>
      </c>
      <c r="BA457" s="18">
        <v>120</v>
      </c>
      <c r="BB457" s="18">
        <v>0.91603</v>
      </c>
      <c r="BC457" s="18">
        <v>0</v>
      </c>
      <c r="BD457" s="18">
        <v>0</v>
      </c>
      <c r="BE457" s="18">
        <v>0.08488</v>
      </c>
      <c r="BF457" s="18">
        <v>78</v>
      </c>
      <c r="BG457" s="18">
        <v>2</v>
      </c>
      <c r="BH457" s="18">
        <v>0</v>
      </c>
      <c r="BI457" s="18"/>
      <c r="BJ457" s="18">
        <v>0</v>
      </c>
      <c r="BK457" s="18">
        <v>0</v>
      </c>
      <c r="BL457" s="18">
        <v>0</v>
      </c>
      <c r="BM457" s="18">
        <v>0</v>
      </c>
      <c r="BN457" s="18"/>
      <c r="BO457" s="18"/>
      <c r="BP457" s="18">
        <v>0</v>
      </c>
      <c r="BQ457" s="18">
        <v>83</v>
      </c>
      <c r="BR457" s="18">
        <v>0</v>
      </c>
      <c r="BS457" s="18">
        <v>0</v>
      </c>
      <c r="BT457" s="18">
        <v>0</v>
      </c>
      <c r="BU457" s="18">
        <v>0</v>
      </c>
    </row>
    <row r="458" spans="1:73">
      <c r="A458" s="19">
        <v>46177</v>
      </c>
      <c r="B458" s="18">
        <v>372</v>
      </c>
      <c r="C458" s="18" t="s">
        <v>37</v>
      </c>
      <c r="D458" s="18">
        <v>372</v>
      </c>
      <c r="E458" s="18" t="s">
        <v>61</v>
      </c>
      <c r="F458" s="18">
        <v>1236</v>
      </c>
      <c r="G458" s="18">
        <v>96</v>
      </c>
      <c r="H458" s="18">
        <v>54.26</v>
      </c>
      <c r="I458" s="18">
        <v>0.07767</v>
      </c>
      <c r="J458" s="18">
        <v>0.57</v>
      </c>
      <c r="K458" s="18">
        <v>43.9</v>
      </c>
      <c r="L458" s="18">
        <v>0</v>
      </c>
      <c r="M458" s="18">
        <v>0</v>
      </c>
      <c r="N458" s="18">
        <v>0</v>
      </c>
      <c r="O458" s="18">
        <v>0</v>
      </c>
      <c r="P458" s="18">
        <v>0</v>
      </c>
      <c r="Q458" s="18">
        <v>0</v>
      </c>
      <c r="R458" s="18">
        <v>138.64</v>
      </c>
      <c r="S458" s="18">
        <v>0</v>
      </c>
      <c r="T458" s="18">
        <v>138.64</v>
      </c>
      <c r="U458" s="18">
        <v>1</v>
      </c>
      <c r="V458" s="18">
        <v>1</v>
      </c>
      <c r="W458" s="18">
        <v>0</v>
      </c>
      <c r="X458" s="18">
        <v>0.01042</v>
      </c>
      <c r="Y458" s="18">
        <v>2.56</v>
      </c>
      <c r="Z458" s="18">
        <v>2.56</v>
      </c>
      <c r="AA458" s="18">
        <v>54.26</v>
      </c>
      <c r="AB458" s="18">
        <v>3</v>
      </c>
      <c r="AC458" s="18">
        <v>2</v>
      </c>
      <c r="AD458" s="18">
        <v>1</v>
      </c>
      <c r="AE458" s="18">
        <v>0.03125</v>
      </c>
      <c r="AF458" s="18">
        <v>2</v>
      </c>
      <c r="AG458" s="18">
        <v>0</v>
      </c>
      <c r="AH458" s="18"/>
      <c r="AI458" s="18">
        <v>5</v>
      </c>
      <c r="AJ458" s="18">
        <v>10.85</v>
      </c>
      <c r="AK458" s="18">
        <v>5</v>
      </c>
      <c r="AL458" s="18">
        <v>10.85</v>
      </c>
      <c r="AM458" s="18">
        <v>2</v>
      </c>
      <c r="AN458" s="18">
        <v>27.13</v>
      </c>
      <c r="AO458" s="18">
        <v>0.02083</v>
      </c>
      <c r="AP458" s="18">
        <v>18.09</v>
      </c>
      <c r="AQ458" s="18">
        <v>2</v>
      </c>
      <c r="AR458" s="18">
        <v>217.9</v>
      </c>
      <c r="AS458" s="18">
        <v>1</v>
      </c>
      <c r="AT458" s="18">
        <v>1</v>
      </c>
      <c r="AU458" s="18">
        <v>0</v>
      </c>
      <c r="AV458" s="18">
        <v>0</v>
      </c>
      <c r="AW458" s="18">
        <v>0</v>
      </c>
      <c r="AX458" s="18">
        <v>0</v>
      </c>
      <c r="AY458" s="18">
        <v>252</v>
      </c>
      <c r="AZ458" s="18">
        <v>106</v>
      </c>
      <c r="BA458" s="18">
        <v>56</v>
      </c>
      <c r="BB458" s="18">
        <v>0.5283</v>
      </c>
      <c r="BC458" s="18">
        <v>0</v>
      </c>
      <c r="BD458" s="18">
        <v>0</v>
      </c>
      <c r="BE458" s="18">
        <v>0.20388</v>
      </c>
      <c r="BF458" s="18">
        <v>115</v>
      </c>
      <c r="BG458" s="18">
        <v>2</v>
      </c>
      <c r="BH458" s="18">
        <v>1</v>
      </c>
      <c r="BI458" s="18">
        <v>1</v>
      </c>
      <c r="BJ458" s="18">
        <v>0</v>
      </c>
      <c r="BK458" s="18">
        <v>0</v>
      </c>
      <c r="BL458" s="18">
        <v>0</v>
      </c>
      <c r="BM458" s="18">
        <v>1</v>
      </c>
      <c r="BN458" s="18">
        <v>1</v>
      </c>
      <c r="BO458" s="18">
        <v>138.64</v>
      </c>
      <c r="BP458" s="18">
        <v>0.03</v>
      </c>
      <c r="BQ458" s="18">
        <v>379</v>
      </c>
      <c r="BR458" s="18">
        <v>0</v>
      </c>
      <c r="BS458" s="18">
        <v>0</v>
      </c>
      <c r="BT458" s="18">
        <v>0</v>
      </c>
      <c r="BU458" s="18">
        <v>0</v>
      </c>
    </row>
    <row r="459" spans="1:73">
      <c r="A459" s="19">
        <v>46177</v>
      </c>
      <c r="B459" s="18">
        <v>183</v>
      </c>
      <c r="C459" s="18" t="s">
        <v>40</v>
      </c>
      <c r="D459" s="18">
        <v>183</v>
      </c>
      <c r="E459" s="18" t="s">
        <v>40</v>
      </c>
      <c r="F459" s="18">
        <v>846</v>
      </c>
      <c r="G459" s="18">
        <v>38</v>
      </c>
      <c r="H459" s="18">
        <v>100</v>
      </c>
      <c r="I459" s="18">
        <v>0.04492</v>
      </c>
      <c r="J459" s="18">
        <v>2.63</v>
      </c>
      <c r="K459" s="18">
        <v>118.2</v>
      </c>
      <c r="L459" s="18">
        <v>0</v>
      </c>
      <c r="M459" s="18">
        <v>0</v>
      </c>
      <c r="N459" s="18">
        <v>0</v>
      </c>
      <c r="O459" s="18">
        <v>0</v>
      </c>
      <c r="P459" s="18">
        <v>0</v>
      </c>
      <c r="Q459" s="18">
        <v>0</v>
      </c>
      <c r="R459" s="18">
        <v>0</v>
      </c>
      <c r="S459" s="18">
        <v>37.46</v>
      </c>
      <c r="T459" s="18">
        <v>37.46</v>
      </c>
      <c r="U459" s="18">
        <v>1</v>
      </c>
      <c r="V459" s="18">
        <v>0</v>
      </c>
      <c r="W459" s="18">
        <v>1</v>
      </c>
      <c r="X459" s="18">
        <v>0.02632</v>
      </c>
      <c r="Y459" s="18">
        <v>0.37</v>
      </c>
      <c r="Z459" s="18">
        <v>0.37</v>
      </c>
      <c r="AA459" s="18">
        <v>100</v>
      </c>
      <c r="AB459" s="18">
        <v>3</v>
      </c>
      <c r="AC459" s="18">
        <v>1</v>
      </c>
      <c r="AD459" s="18">
        <v>2</v>
      </c>
      <c r="AE459" s="18">
        <v>0.07895</v>
      </c>
      <c r="AF459" s="18">
        <v>1</v>
      </c>
      <c r="AG459" s="18">
        <v>0</v>
      </c>
      <c r="AH459" s="18"/>
      <c r="AI459" s="18">
        <v>4</v>
      </c>
      <c r="AJ459" s="18">
        <v>25</v>
      </c>
      <c r="AK459" s="18">
        <v>4</v>
      </c>
      <c r="AL459" s="18">
        <v>25</v>
      </c>
      <c r="AM459" s="18">
        <v>1</v>
      </c>
      <c r="AN459" s="18">
        <v>100</v>
      </c>
      <c r="AO459" s="18">
        <v>0.02632</v>
      </c>
      <c r="AP459" s="18">
        <v>33.33</v>
      </c>
      <c r="AQ459" s="18">
        <v>1</v>
      </c>
      <c r="AR459" s="18">
        <v>46.9</v>
      </c>
      <c r="AS459" s="18">
        <v>1</v>
      </c>
      <c r="AT459" s="18">
        <v>0</v>
      </c>
      <c r="AU459" s="18">
        <v>0</v>
      </c>
      <c r="AV459" s="18">
        <v>0</v>
      </c>
      <c r="AW459" s="18">
        <v>0</v>
      </c>
      <c r="AX459" s="18">
        <v>0</v>
      </c>
      <c r="AY459" s="18">
        <v>170</v>
      </c>
      <c r="AZ459" s="18">
        <v>59</v>
      </c>
      <c r="BA459" s="18">
        <v>31</v>
      </c>
      <c r="BB459" s="18">
        <v>0.52542</v>
      </c>
      <c r="BC459" s="18">
        <v>0</v>
      </c>
      <c r="BD459" s="18">
        <v>0</v>
      </c>
      <c r="BE459" s="18">
        <v>0.20095</v>
      </c>
      <c r="BF459" s="18">
        <v>79</v>
      </c>
      <c r="BG459" s="18">
        <v>3</v>
      </c>
      <c r="BH459" s="18">
        <v>1</v>
      </c>
      <c r="BI459" s="18">
        <v>1</v>
      </c>
      <c r="BJ459" s="18">
        <v>0</v>
      </c>
      <c r="BK459" s="18">
        <v>0</v>
      </c>
      <c r="BL459" s="18">
        <v>0</v>
      </c>
      <c r="BM459" s="18">
        <v>1</v>
      </c>
      <c r="BN459" s="18">
        <v>1</v>
      </c>
      <c r="BO459" s="18">
        <v>37.46</v>
      </c>
      <c r="BP459" s="18">
        <v>0.51</v>
      </c>
      <c r="BQ459" s="18">
        <v>186</v>
      </c>
      <c r="BR459" s="18">
        <v>0</v>
      </c>
      <c r="BS459" s="18">
        <v>0</v>
      </c>
      <c r="BT459" s="18">
        <v>0</v>
      </c>
      <c r="BU459" s="18">
        <v>0</v>
      </c>
    </row>
    <row r="460" spans="1:73">
      <c r="A460" s="19">
        <v>46176</v>
      </c>
      <c r="B460" s="18">
        <v>183</v>
      </c>
      <c r="C460" s="18" t="s">
        <v>40</v>
      </c>
      <c r="D460" s="18">
        <v>183</v>
      </c>
      <c r="E460" s="18" t="s">
        <v>40</v>
      </c>
      <c r="F460" s="18">
        <v>1589</v>
      </c>
      <c r="G460" s="18">
        <v>51</v>
      </c>
      <c r="H460" s="18">
        <v>100</v>
      </c>
      <c r="I460" s="18">
        <v>0.0321</v>
      </c>
      <c r="J460" s="18">
        <v>1.96</v>
      </c>
      <c r="K460" s="18">
        <v>62.93</v>
      </c>
      <c r="L460" s="18">
        <v>0</v>
      </c>
      <c r="M460" s="18">
        <v>0</v>
      </c>
      <c r="N460" s="18">
        <v>0</v>
      </c>
      <c r="O460" s="18">
        <v>0</v>
      </c>
      <c r="P460" s="18">
        <v>0</v>
      </c>
      <c r="Q460" s="18">
        <v>0</v>
      </c>
      <c r="R460" s="18">
        <v>0</v>
      </c>
      <c r="S460" s="18">
        <v>281.31</v>
      </c>
      <c r="T460" s="18">
        <v>281.31</v>
      </c>
      <c r="U460" s="18">
        <v>1</v>
      </c>
      <c r="V460" s="18">
        <v>0</v>
      </c>
      <c r="W460" s="18">
        <v>1</v>
      </c>
      <c r="X460" s="18">
        <v>0.01961</v>
      </c>
      <c r="Y460" s="18">
        <v>2.81</v>
      </c>
      <c r="Z460" s="18">
        <v>2.81</v>
      </c>
      <c r="AA460" s="18">
        <v>100</v>
      </c>
      <c r="AB460" s="18">
        <v>4</v>
      </c>
      <c r="AC460" s="18">
        <v>1</v>
      </c>
      <c r="AD460" s="18">
        <v>3</v>
      </c>
      <c r="AE460" s="18">
        <v>0.07843</v>
      </c>
      <c r="AF460" s="18">
        <v>1</v>
      </c>
      <c r="AG460" s="18">
        <v>1</v>
      </c>
      <c r="AH460" s="18">
        <v>100</v>
      </c>
      <c r="AI460" s="18">
        <v>6</v>
      </c>
      <c r="AJ460" s="18">
        <v>16.67</v>
      </c>
      <c r="AK460" s="18">
        <v>5</v>
      </c>
      <c r="AL460" s="18">
        <v>20</v>
      </c>
      <c r="AM460" s="18">
        <v>2</v>
      </c>
      <c r="AN460" s="18">
        <v>100</v>
      </c>
      <c r="AO460" s="18">
        <v>0.01961</v>
      </c>
      <c r="AP460" s="18">
        <v>25</v>
      </c>
      <c r="AQ460" s="18">
        <v>2</v>
      </c>
      <c r="AR460" s="18">
        <v>401.8</v>
      </c>
      <c r="AS460" s="18">
        <v>0</v>
      </c>
      <c r="AT460" s="18">
        <v>1</v>
      </c>
      <c r="AU460" s="18">
        <v>0</v>
      </c>
      <c r="AV460" s="18">
        <v>0</v>
      </c>
      <c r="AW460" s="18">
        <v>0</v>
      </c>
      <c r="AX460" s="18">
        <v>2</v>
      </c>
      <c r="AY460" s="18">
        <v>283</v>
      </c>
      <c r="AZ460" s="18">
        <v>99</v>
      </c>
      <c r="BA460" s="18">
        <v>52</v>
      </c>
      <c r="BB460" s="18">
        <v>0.52525</v>
      </c>
      <c r="BC460" s="18">
        <v>0</v>
      </c>
      <c r="BD460" s="18">
        <v>0</v>
      </c>
      <c r="BE460" s="18">
        <v>0.1781</v>
      </c>
      <c r="BF460" s="18">
        <v>122</v>
      </c>
      <c r="BG460" s="18">
        <v>3</v>
      </c>
      <c r="BH460" s="18">
        <v>1</v>
      </c>
      <c r="BI460" s="18">
        <v>1</v>
      </c>
      <c r="BJ460" s="18">
        <v>0</v>
      </c>
      <c r="BK460" s="18">
        <v>0</v>
      </c>
      <c r="BL460" s="18">
        <v>0</v>
      </c>
      <c r="BM460" s="18">
        <v>1</v>
      </c>
      <c r="BN460" s="18">
        <v>1</v>
      </c>
      <c r="BO460" s="18">
        <v>281.31</v>
      </c>
      <c r="BP460" s="18">
        <v>0</v>
      </c>
      <c r="BQ460" s="18">
        <v>353</v>
      </c>
      <c r="BR460" s="18">
        <v>0</v>
      </c>
      <c r="BS460" s="18">
        <v>0</v>
      </c>
      <c r="BT460" s="18">
        <v>0</v>
      </c>
      <c r="BU460" s="18">
        <v>0</v>
      </c>
    </row>
    <row r="461" spans="1:73">
      <c r="A461" s="19">
        <v>46176</v>
      </c>
      <c r="B461" s="18">
        <v>479</v>
      </c>
      <c r="C461" s="18" t="s">
        <v>39</v>
      </c>
      <c r="D461" s="18">
        <v>479</v>
      </c>
      <c r="E461" s="18" t="s">
        <v>39</v>
      </c>
      <c r="F461" s="18">
        <v>55</v>
      </c>
      <c r="G461" s="18">
        <v>25</v>
      </c>
      <c r="H461" s="18">
        <v>21.21</v>
      </c>
      <c r="I461" s="18">
        <v>0.45455</v>
      </c>
      <c r="J461" s="18">
        <v>0.85</v>
      </c>
      <c r="K461" s="18">
        <v>385.56</v>
      </c>
      <c r="L461" s="18">
        <v>0</v>
      </c>
      <c r="M461" s="18">
        <v>0</v>
      </c>
      <c r="N461" s="18">
        <v>0</v>
      </c>
      <c r="O461" s="18">
        <v>0</v>
      </c>
      <c r="P461" s="18">
        <v>0</v>
      </c>
      <c r="Q461" s="18">
        <v>0</v>
      </c>
      <c r="R461" s="18">
        <v>0</v>
      </c>
      <c r="S461" s="18">
        <v>0</v>
      </c>
      <c r="T461" s="18">
        <v>0</v>
      </c>
      <c r="U461" s="18">
        <v>0</v>
      </c>
      <c r="V461" s="18">
        <v>0</v>
      </c>
      <c r="W461" s="18">
        <v>0</v>
      </c>
      <c r="X461" s="18">
        <v>0</v>
      </c>
      <c r="Y461" s="18">
        <v>0</v>
      </c>
      <c r="Z461" s="18">
        <v>0</v>
      </c>
      <c r="AA461" s="18"/>
      <c r="AB461" s="18">
        <v>1</v>
      </c>
      <c r="AC461" s="18">
        <v>0</v>
      </c>
      <c r="AD461" s="18">
        <v>1</v>
      </c>
      <c r="AE461" s="18">
        <v>0.04</v>
      </c>
      <c r="AF461" s="18">
        <v>1</v>
      </c>
      <c r="AG461" s="18">
        <v>1</v>
      </c>
      <c r="AH461" s="18">
        <v>21.21</v>
      </c>
      <c r="AI461" s="18">
        <v>3</v>
      </c>
      <c r="AJ461" s="18">
        <v>7.07</v>
      </c>
      <c r="AK461" s="18">
        <v>2</v>
      </c>
      <c r="AL461" s="18">
        <v>10.6</v>
      </c>
      <c r="AM461" s="18">
        <v>2</v>
      </c>
      <c r="AN461" s="18">
        <v>21.21</v>
      </c>
      <c r="AO461" s="18">
        <v>0.04</v>
      </c>
      <c r="AP461" s="18">
        <v>21.21</v>
      </c>
      <c r="AQ461" s="18">
        <v>0</v>
      </c>
      <c r="AR461" s="18">
        <v>0</v>
      </c>
      <c r="AS461" s="18">
        <v>0</v>
      </c>
      <c r="AT461" s="18">
        <v>1</v>
      </c>
      <c r="AU461" s="18">
        <v>0</v>
      </c>
      <c r="AV461" s="18">
        <v>0</v>
      </c>
      <c r="AW461" s="18">
        <v>0</v>
      </c>
      <c r="AX461" s="18">
        <v>2</v>
      </c>
      <c r="AY461" s="18">
        <v>226</v>
      </c>
      <c r="AZ461" s="18">
        <v>18</v>
      </c>
      <c r="BA461" s="18">
        <v>10</v>
      </c>
      <c r="BB461" s="18">
        <v>0.55556</v>
      </c>
      <c r="BC461" s="18">
        <v>0</v>
      </c>
      <c r="BD461" s="18">
        <v>0</v>
      </c>
      <c r="BE461" s="18">
        <v>4.10909</v>
      </c>
      <c r="BF461" s="18">
        <v>200</v>
      </c>
      <c r="BG461" s="18">
        <v>13</v>
      </c>
      <c r="BH461" s="18">
        <v>0</v>
      </c>
      <c r="BI461" s="18"/>
      <c r="BJ461" s="18">
        <v>0</v>
      </c>
      <c r="BK461" s="18">
        <v>0</v>
      </c>
      <c r="BL461" s="18">
        <v>0</v>
      </c>
      <c r="BM461" s="18">
        <v>0</v>
      </c>
      <c r="BN461" s="18"/>
      <c r="BO461" s="18"/>
      <c r="BP461" s="18">
        <v>0.02</v>
      </c>
      <c r="BQ461" s="18">
        <v>94</v>
      </c>
      <c r="BR461" s="18">
        <v>0</v>
      </c>
      <c r="BS461" s="18">
        <v>0</v>
      </c>
      <c r="BT461" s="18">
        <v>0</v>
      </c>
      <c r="BU461" s="18">
        <v>0</v>
      </c>
    </row>
    <row r="462" spans="1:73">
      <c r="A462" s="19">
        <v>46176</v>
      </c>
      <c r="B462" s="18">
        <v>372</v>
      </c>
      <c r="C462" s="18" t="s">
        <v>37</v>
      </c>
      <c r="D462" s="18">
        <v>372</v>
      </c>
      <c r="E462" s="18" t="s">
        <v>61</v>
      </c>
      <c r="F462" s="18">
        <v>996</v>
      </c>
      <c r="G462" s="18">
        <v>78</v>
      </c>
      <c r="H462" s="18">
        <v>40.39</v>
      </c>
      <c r="I462" s="18">
        <v>0.07831</v>
      </c>
      <c r="J462" s="18">
        <v>0.52</v>
      </c>
      <c r="K462" s="18">
        <v>40.55</v>
      </c>
      <c r="L462" s="18">
        <v>0</v>
      </c>
      <c r="M462" s="18">
        <v>0</v>
      </c>
      <c r="N462" s="18">
        <v>0</v>
      </c>
      <c r="O462" s="18">
        <v>0</v>
      </c>
      <c r="P462" s="18">
        <v>0</v>
      </c>
      <c r="Q462" s="18">
        <v>0</v>
      </c>
      <c r="R462" s="18">
        <v>0</v>
      </c>
      <c r="S462" s="18">
        <v>0</v>
      </c>
      <c r="T462" s="18">
        <v>0</v>
      </c>
      <c r="U462" s="18">
        <v>0</v>
      </c>
      <c r="V462" s="18">
        <v>0</v>
      </c>
      <c r="W462" s="18">
        <v>0</v>
      </c>
      <c r="X462" s="18">
        <v>0</v>
      </c>
      <c r="Y462" s="18">
        <v>0</v>
      </c>
      <c r="Z462" s="18">
        <v>0</v>
      </c>
      <c r="AA462" s="18"/>
      <c r="AB462" s="18">
        <v>2</v>
      </c>
      <c r="AC462" s="18">
        <v>2</v>
      </c>
      <c r="AD462" s="18">
        <v>0</v>
      </c>
      <c r="AE462" s="18">
        <v>0.02564</v>
      </c>
      <c r="AF462" s="18">
        <v>1</v>
      </c>
      <c r="AG462" s="18">
        <v>0</v>
      </c>
      <c r="AH462" s="18"/>
      <c r="AI462" s="18">
        <v>3</v>
      </c>
      <c r="AJ462" s="18">
        <v>13.46</v>
      </c>
      <c r="AK462" s="18">
        <v>3</v>
      </c>
      <c r="AL462" s="18">
        <v>13.46</v>
      </c>
      <c r="AM462" s="18">
        <v>1</v>
      </c>
      <c r="AN462" s="18">
        <v>40.39</v>
      </c>
      <c r="AO462" s="18">
        <v>0.01282</v>
      </c>
      <c r="AP462" s="18">
        <v>20.2</v>
      </c>
      <c r="AQ462" s="18">
        <v>0</v>
      </c>
      <c r="AR462" s="18">
        <v>0</v>
      </c>
      <c r="AS462" s="18">
        <v>1</v>
      </c>
      <c r="AT462" s="18">
        <v>0</v>
      </c>
      <c r="AU462" s="18">
        <v>0</v>
      </c>
      <c r="AV462" s="18">
        <v>0</v>
      </c>
      <c r="AW462" s="18">
        <v>0</v>
      </c>
      <c r="AX462" s="18">
        <v>0</v>
      </c>
      <c r="AY462" s="18">
        <v>156</v>
      </c>
      <c r="AZ462" s="18">
        <v>79</v>
      </c>
      <c r="BA462" s="18">
        <v>45</v>
      </c>
      <c r="BB462" s="18">
        <v>0.56962</v>
      </c>
      <c r="BC462" s="18">
        <v>0</v>
      </c>
      <c r="BD462" s="18">
        <v>0</v>
      </c>
      <c r="BE462" s="18">
        <v>0.15663</v>
      </c>
      <c r="BF462" s="18">
        <v>53</v>
      </c>
      <c r="BG462" s="18">
        <v>2</v>
      </c>
      <c r="BH462" s="18">
        <v>0</v>
      </c>
      <c r="BI462" s="18"/>
      <c r="BJ462" s="18">
        <v>0</v>
      </c>
      <c r="BK462" s="18">
        <v>0</v>
      </c>
      <c r="BL462" s="18">
        <v>0</v>
      </c>
      <c r="BM462" s="18">
        <v>0</v>
      </c>
      <c r="BN462" s="18"/>
      <c r="BO462" s="18"/>
      <c r="BP462" s="18">
        <v>0</v>
      </c>
      <c r="BQ462" s="18">
        <v>205</v>
      </c>
      <c r="BR462" s="18">
        <v>0</v>
      </c>
      <c r="BS462" s="18">
        <v>0</v>
      </c>
      <c r="BT462" s="18">
        <v>0</v>
      </c>
      <c r="BU462" s="18">
        <v>0</v>
      </c>
    </row>
    <row r="463" spans="1:73">
      <c r="A463" s="19">
        <v>46176</v>
      </c>
      <c r="B463" s="18">
        <v>436</v>
      </c>
      <c r="C463" s="18" t="s">
        <v>38</v>
      </c>
      <c r="D463" s="18">
        <v>436</v>
      </c>
      <c r="E463" s="18" t="s">
        <v>38</v>
      </c>
      <c r="F463" s="18">
        <v>555</v>
      </c>
      <c r="G463" s="18">
        <v>39</v>
      </c>
      <c r="H463" s="18">
        <v>50</v>
      </c>
      <c r="I463" s="18">
        <v>0.07027</v>
      </c>
      <c r="J463" s="18">
        <v>1.28</v>
      </c>
      <c r="K463" s="18">
        <v>90.09</v>
      </c>
      <c r="L463" s="18">
        <v>0</v>
      </c>
      <c r="M463" s="18">
        <v>0</v>
      </c>
      <c r="N463" s="18">
        <v>0</v>
      </c>
      <c r="O463" s="18">
        <v>0</v>
      </c>
      <c r="P463" s="18">
        <v>0</v>
      </c>
      <c r="Q463" s="18">
        <v>0</v>
      </c>
      <c r="R463" s="18">
        <v>574.5</v>
      </c>
      <c r="S463" s="18">
        <v>355.62</v>
      </c>
      <c r="T463" s="18">
        <v>930.12</v>
      </c>
      <c r="U463" s="18">
        <v>3</v>
      </c>
      <c r="V463" s="18">
        <v>1</v>
      </c>
      <c r="W463" s="18">
        <v>2</v>
      </c>
      <c r="X463" s="18">
        <v>0.07692</v>
      </c>
      <c r="Y463" s="18">
        <v>18.6</v>
      </c>
      <c r="Z463" s="18">
        <v>18.6</v>
      </c>
      <c r="AA463" s="18">
        <v>16.67</v>
      </c>
      <c r="AB463" s="18">
        <v>4</v>
      </c>
      <c r="AC463" s="18">
        <v>1</v>
      </c>
      <c r="AD463" s="18">
        <v>3</v>
      </c>
      <c r="AE463" s="18">
        <v>0.10256</v>
      </c>
      <c r="AF463" s="18">
        <v>0</v>
      </c>
      <c r="AG463" s="18">
        <v>1</v>
      </c>
      <c r="AH463" s="18">
        <v>50</v>
      </c>
      <c r="AI463" s="18">
        <v>5</v>
      </c>
      <c r="AJ463" s="18">
        <v>10</v>
      </c>
      <c r="AK463" s="18">
        <v>4</v>
      </c>
      <c r="AL463" s="18">
        <v>12.5</v>
      </c>
      <c r="AM463" s="18">
        <v>1</v>
      </c>
      <c r="AN463" s="18"/>
      <c r="AO463" s="18">
        <v>0</v>
      </c>
      <c r="AP463" s="18">
        <v>12.5</v>
      </c>
      <c r="AQ463" s="18">
        <v>5</v>
      </c>
      <c r="AR463" s="18">
        <v>1700.8</v>
      </c>
      <c r="AS463" s="18">
        <v>0</v>
      </c>
      <c r="AT463" s="18">
        <v>0</v>
      </c>
      <c r="AU463" s="18">
        <v>0</v>
      </c>
      <c r="AV463" s="18">
        <v>0</v>
      </c>
      <c r="AW463" s="18">
        <v>0</v>
      </c>
      <c r="AX463" s="18">
        <v>3</v>
      </c>
      <c r="AY463" s="18">
        <v>90</v>
      </c>
      <c r="AZ463" s="18">
        <v>34</v>
      </c>
      <c r="BA463" s="18">
        <v>25</v>
      </c>
      <c r="BB463" s="18">
        <v>0.73529</v>
      </c>
      <c r="BC463" s="18">
        <v>0</v>
      </c>
      <c r="BD463" s="18">
        <v>0</v>
      </c>
      <c r="BE463" s="18">
        <v>0.16216</v>
      </c>
      <c r="BF463" s="18">
        <v>52</v>
      </c>
      <c r="BG463" s="18">
        <v>3</v>
      </c>
      <c r="BH463" s="18">
        <v>3</v>
      </c>
      <c r="BI463" s="18">
        <v>1</v>
      </c>
      <c r="BJ463" s="18">
        <v>0</v>
      </c>
      <c r="BK463" s="18">
        <v>0</v>
      </c>
      <c r="BL463" s="18">
        <v>0</v>
      </c>
      <c r="BM463" s="18">
        <v>3</v>
      </c>
      <c r="BN463" s="18">
        <v>1</v>
      </c>
      <c r="BO463" s="18">
        <v>310.04</v>
      </c>
      <c r="BP463" s="18">
        <v>0.56</v>
      </c>
      <c r="BQ463" s="18">
        <v>743</v>
      </c>
      <c r="BR463" s="18">
        <v>0</v>
      </c>
      <c r="BS463" s="18">
        <v>0</v>
      </c>
      <c r="BT463" s="18">
        <v>0</v>
      </c>
      <c r="BU463" s="18">
        <v>0</v>
      </c>
    </row>
    <row r="464" spans="1:73">
      <c r="A464" s="19">
        <v>46176</v>
      </c>
      <c r="B464" s="18">
        <v>371</v>
      </c>
      <c r="C464" s="18" t="s">
        <v>32</v>
      </c>
      <c r="D464" s="18">
        <v>371</v>
      </c>
      <c r="E464" s="18" t="s">
        <v>32</v>
      </c>
      <c r="F464" s="18">
        <v>2473</v>
      </c>
      <c r="G464" s="18">
        <v>102</v>
      </c>
      <c r="H464" s="18">
        <v>67.72</v>
      </c>
      <c r="I464" s="18">
        <v>0.04125</v>
      </c>
      <c r="J464" s="18">
        <v>0.66</v>
      </c>
      <c r="K464" s="18">
        <v>27.38</v>
      </c>
      <c r="L464" s="18">
        <v>0</v>
      </c>
      <c r="M464" s="18">
        <v>0</v>
      </c>
      <c r="N464" s="18">
        <v>0</v>
      </c>
      <c r="O464" s="18">
        <v>0</v>
      </c>
      <c r="P464" s="18">
        <v>0</v>
      </c>
      <c r="Q464" s="18">
        <v>0</v>
      </c>
      <c r="R464" s="18">
        <v>127.46</v>
      </c>
      <c r="S464" s="18">
        <v>276.15</v>
      </c>
      <c r="T464" s="18">
        <v>403.61</v>
      </c>
      <c r="U464" s="18">
        <v>4</v>
      </c>
      <c r="V464" s="18">
        <v>2</v>
      </c>
      <c r="W464" s="18">
        <v>2</v>
      </c>
      <c r="X464" s="18">
        <v>0.03922</v>
      </c>
      <c r="Y464" s="18">
        <v>5.96</v>
      </c>
      <c r="Z464" s="18">
        <v>5.96</v>
      </c>
      <c r="AA464" s="18">
        <v>16.93</v>
      </c>
      <c r="AB464" s="18">
        <v>9</v>
      </c>
      <c r="AC464" s="18">
        <v>4</v>
      </c>
      <c r="AD464" s="18">
        <v>5</v>
      </c>
      <c r="AE464" s="18">
        <v>0.08824</v>
      </c>
      <c r="AF464" s="18">
        <v>1</v>
      </c>
      <c r="AG464" s="18">
        <v>0</v>
      </c>
      <c r="AH464" s="18"/>
      <c r="AI464" s="18">
        <v>10</v>
      </c>
      <c r="AJ464" s="18">
        <v>6.77</v>
      </c>
      <c r="AK464" s="18">
        <v>10</v>
      </c>
      <c r="AL464" s="18">
        <v>6.77</v>
      </c>
      <c r="AM464" s="18">
        <v>1</v>
      </c>
      <c r="AN464" s="18">
        <v>67.72</v>
      </c>
      <c r="AO464" s="18">
        <v>0.0098</v>
      </c>
      <c r="AP464" s="18">
        <v>7.52</v>
      </c>
      <c r="AQ464" s="18">
        <v>6</v>
      </c>
      <c r="AR464" s="18">
        <v>564.8</v>
      </c>
      <c r="AS464" s="18">
        <v>1</v>
      </c>
      <c r="AT464" s="18">
        <v>0</v>
      </c>
      <c r="AU464" s="18">
        <v>0</v>
      </c>
      <c r="AV464" s="18">
        <v>0</v>
      </c>
      <c r="AW464" s="18">
        <v>0</v>
      </c>
      <c r="AX464" s="18">
        <v>0</v>
      </c>
      <c r="AY464" s="18">
        <v>183</v>
      </c>
      <c r="AZ464" s="18">
        <v>78</v>
      </c>
      <c r="BA464" s="18">
        <v>59</v>
      </c>
      <c r="BB464" s="18">
        <v>0.75641</v>
      </c>
      <c r="BC464" s="18">
        <v>0</v>
      </c>
      <c r="BD464" s="18">
        <v>0</v>
      </c>
      <c r="BE464" s="18">
        <v>0.074</v>
      </c>
      <c r="BF464" s="18">
        <v>65</v>
      </c>
      <c r="BG464" s="18">
        <v>2</v>
      </c>
      <c r="BH464" s="18">
        <v>1</v>
      </c>
      <c r="BI464" s="18">
        <v>0.33333</v>
      </c>
      <c r="BJ464" s="18">
        <v>0</v>
      </c>
      <c r="BK464" s="18">
        <v>0</v>
      </c>
      <c r="BL464" s="18">
        <v>0</v>
      </c>
      <c r="BM464" s="18">
        <v>3</v>
      </c>
      <c r="BN464" s="18">
        <v>1</v>
      </c>
      <c r="BO464" s="18">
        <v>134.54</v>
      </c>
      <c r="BP464" s="18">
        <v>0.87</v>
      </c>
      <c r="BQ464" s="18">
        <v>323</v>
      </c>
      <c r="BR464" s="18">
        <v>0</v>
      </c>
      <c r="BS464" s="18">
        <v>0</v>
      </c>
      <c r="BT464" s="18">
        <v>0</v>
      </c>
      <c r="BU464" s="18">
        <v>0</v>
      </c>
    </row>
    <row r="465" spans="1:73">
      <c r="A465" s="19">
        <v>46175</v>
      </c>
      <c r="B465" s="18">
        <v>183</v>
      </c>
      <c r="C465" s="18" t="s">
        <v>40</v>
      </c>
      <c r="D465" s="18">
        <v>183</v>
      </c>
      <c r="E465" s="18" t="s">
        <v>40</v>
      </c>
      <c r="F465" s="18">
        <v>840</v>
      </c>
      <c r="G465" s="18">
        <v>46</v>
      </c>
      <c r="H465" s="18">
        <v>100</v>
      </c>
      <c r="I465" s="18">
        <v>0.05476</v>
      </c>
      <c r="J465" s="18">
        <v>2.17</v>
      </c>
      <c r="K465" s="18">
        <v>119.05</v>
      </c>
      <c r="L465" s="18">
        <v>0</v>
      </c>
      <c r="M465" s="18">
        <v>0</v>
      </c>
      <c r="N465" s="18">
        <v>0</v>
      </c>
      <c r="O465" s="18">
        <v>0</v>
      </c>
      <c r="P465" s="18">
        <v>0</v>
      </c>
      <c r="Q465" s="18">
        <v>0</v>
      </c>
      <c r="R465" s="18">
        <v>141</v>
      </c>
      <c r="S465" s="18">
        <v>82.92</v>
      </c>
      <c r="T465" s="18">
        <v>223.92</v>
      </c>
      <c r="U465" s="18">
        <v>2</v>
      </c>
      <c r="V465" s="18">
        <v>1</v>
      </c>
      <c r="W465" s="18">
        <v>1</v>
      </c>
      <c r="X465" s="18">
        <v>0.04348</v>
      </c>
      <c r="Y465" s="18">
        <v>2.24</v>
      </c>
      <c r="Z465" s="18">
        <v>2.24</v>
      </c>
      <c r="AA465" s="18">
        <v>50</v>
      </c>
      <c r="AB465" s="18">
        <v>5</v>
      </c>
      <c r="AC465" s="18">
        <v>4</v>
      </c>
      <c r="AD465" s="18">
        <v>1</v>
      </c>
      <c r="AE465" s="18">
        <v>0.1087</v>
      </c>
      <c r="AF465" s="18">
        <v>0</v>
      </c>
      <c r="AG465" s="18">
        <v>1</v>
      </c>
      <c r="AH465" s="18">
        <v>100</v>
      </c>
      <c r="AI465" s="18">
        <v>6</v>
      </c>
      <c r="AJ465" s="18">
        <v>16.67</v>
      </c>
      <c r="AK465" s="18">
        <v>5</v>
      </c>
      <c r="AL465" s="18">
        <v>20</v>
      </c>
      <c r="AM465" s="18">
        <v>1</v>
      </c>
      <c r="AN465" s="18"/>
      <c r="AO465" s="18">
        <v>0</v>
      </c>
      <c r="AP465" s="18">
        <v>20</v>
      </c>
      <c r="AQ465" s="18">
        <v>3</v>
      </c>
      <c r="AR465" s="18">
        <v>316.9</v>
      </c>
      <c r="AS465" s="18">
        <v>0</v>
      </c>
      <c r="AT465" s="18">
        <v>0</v>
      </c>
      <c r="AU465" s="18">
        <v>0</v>
      </c>
      <c r="AV465" s="18">
        <v>0</v>
      </c>
      <c r="AW465" s="18">
        <v>0</v>
      </c>
      <c r="AX465" s="18">
        <v>1</v>
      </c>
      <c r="AY465" s="18">
        <v>249</v>
      </c>
      <c r="AZ465" s="18">
        <v>69</v>
      </c>
      <c r="BA465" s="18">
        <v>39</v>
      </c>
      <c r="BB465" s="18">
        <v>0.56522</v>
      </c>
      <c r="BC465" s="18">
        <v>0</v>
      </c>
      <c r="BD465" s="18">
        <v>0</v>
      </c>
      <c r="BE465" s="18">
        <v>0.29643</v>
      </c>
      <c r="BF465" s="18">
        <v>141</v>
      </c>
      <c r="BG465" s="18">
        <v>4</v>
      </c>
      <c r="BH465" s="18">
        <v>1</v>
      </c>
      <c r="BI465" s="18">
        <v>1</v>
      </c>
      <c r="BJ465" s="18">
        <v>0</v>
      </c>
      <c r="BK465" s="18">
        <v>0</v>
      </c>
      <c r="BL465" s="18">
        <v>0</v>
      </c>
      <c r="BM465" s="18">
        <v>1</v>
      </c>
      <c r="BN465" s="18">
        <v>2</v>
      </c>
      <c r="BO465" s="18">
        <v>223.92</v>
      </c>
      <c r="BP465" s="18">
        <v>12.48</v>
      </c>
      <c r="BQ465" s="18">
        <v>386</v>
      </c>
      <c r="BR465" s="18">
        <v>0</v>
      </c>
      <c r="BS465" s="18">
        <v>0</v>
      </c>
      <c r="BT465" s="18">
        <v>0</v>
      </c>
      <c r="BU465" s="18">
        <v>0</v>
      </c>
    </row>
    <row r="466" spans="1:73">
      <c r="A466" s="19">
        <v>46175</v>
      </c>
      <c r="B466" s="18">
        <v>371</v>
      </c>
      <c r="C466" s="18" t="s">
        <v>32</v>
      </c>
      <c r="D466" s="18">
        <v>371</v>
      </c>
      <c r="E466" s="18" t="s">
        <v>32</v>
      </c>
      <c r="F466" s="18">
        <v>2502</v>
      </c>
      <c r="G466" s="18">
        <v>134</v>
      </c>
      <c r="H466" s="18">
        <v>85.51</v>
      </c>
      <c r="I466" s="18">
        <v>0.05356</v>
      </c>
      <c r="J466" s="18">
        <v>0.64</v>
      </c>
      <c r="K466" s="18">
        <v>34.18</v>
      </c>
      <c r="L466" s="18">
        <v>0</v>
      </c>
      <c r="M466" s="18">
        <v>0</v>
      </c>
      <c r="N466" s="18">
        <v>0</v>
      </c>
      <c r="O466" s="18">
        <v>0</v>
      </c>
      <c r="P466" s="18">
        <v>0</v>
      </c>
      <c r="Q466" s="18">
        <v>0</v>
      </c>
      <c r="R466" s="18">
        <v>75.39</v>
      </c>
      <c r="S466" s="18">
        <v>0</v>
      </c>
      <c r="T466" s="18">
        <v>75.39</v>
      </c>
      <c r="U466" s="18">
        <v>2</v>
      </c>
      <c r="V466" s="18">
        <v>2</v>
      </c>
      <c r="W466" s="18">
        <v>0</v>
      </c>
      <c r="X466" s="18">
        <v>0.01493</v>
      </c>
      <c r="Y466" s="18">
        <v>0.88</v>
      </c>
      <c r="Z466" s="18">
        <v>0.88</v>
      </c>
      <c r="AA466" s="18">
        <v>42.76</v>
      </c>
      <c r="AB466" s="18">
        <v>2</v>
      </c>
      <c r="AC466" s="18">
        <v>2</v>
      </c>
      <c r="AD466" s="18">
        <v>0</v>
      </c>
      <c r="AE466" s="18">
        <v>0.01493</v>
      </c>
      <c r="AF466" s="18">
        <v>0</v>
      </c>
      <c r="AG466" s="18">
        <v>1</v>
      </c>
      <c r="AH466" s="18">
        <v>85.51</v>
      </c>
      <c r="AI466" s="18">
        <v>3</v>
      </c>
      <c r="AJ466" s="18">
        <v>28.5</v>
      </c>
      <c r="AK466" s="18">
        <v>2</v>
      </c>
      <c r="AL466" s="18">
        <v>42.76</v>
      </c>
      <c r="AM466" s="18">
        <v>1</v>
      </c>
      <c r="AN466" s="18"/>
      <c r="AO466" s="18">
        <v>0</v>
      </c>
      <c r="AP466" s="18">
        <v>42.76</v>
      </c>
      <c r="AQ466" s="18">
        <v>2</v>
      </c>
      <c r="AR466" s="18">
        <v>93.8</v>
      </c>
      <c r="AS466" s="18">
        <v>0</v>
      </c>
      <c r="AT466" s="18">
        <v>0</v>
      </c>
      <c r="AU466" s="18">
        <v>0</v>
      </c>
      <c r="AV466" s="18">
        <v>0</v>
      </c>
      <c r="AW466" s="18">
        <v>0</v>
      </c>
      <c r="AX466" s="18">
        <v>0</v>
      </c>
      <c r="AY466" s="18">
        <v>218</v>
      </c>
      <c r="AZ466" s="18">
        <v>101</v>
      </c>
      <c r="BA466" s="18">
        <v>80</v>
      </c>
      <c r="BB466" s="18">
        <v>0.79208</v>
      </c>
      <c r="BC466" s="18">
        <v>0</v>
      </c>
      <c r="BD466" s="18">
        <v>0</v>
      </c>
      <c r="BE466" s="18">
        <v>0.08713</v>
      </c>
      <c r="BF466" s="18">
        <v>86</v>
      </c>
      <c r="BG466" s="18">
        <v>2</v>
      </c>
      <c r="BH466" s="18">
        <v>2</v>
      </c>
      <c r="BI466" s="18">
        <v>1</v>
      </c>
      <c r="BJ466" s="18">
        <v>0</v>
      </c>
      <c r="BK466" s="18">
        <v>0</v>
      </c>
      <c r="BL466" s="18">
        <v>0</v>
      </c>
      <c r="BM466" s="18">
        <v>2</v>
      </c>
      <c r="BN466" s="18">
        <v>1</v>
      </c>
      <c r="BO466" s="18">
        <v>37.7</v>
      </c>
      <c r="BP466" s="18">
        <v>0.41</v>
      </c>
      <c r="BQ466" s="18">
        <v>146</v>
      </c>
      <c r="BR466" s="18">
        <v>0</v>
      </c>
      <c r="BS466" s="18">
        <v>0</v>
      </c>
      <c r="BT466" s="18">
        <v>0</v>
      </c>
      <c r="BU466" s="18">
        <v>0</v>
      </c>
    </row>
    <row r="467" spans="1:73">
      <c r="A467" s="19">
        <v>46175</v>
      </c>
      <c r="B467" s="18">
        <v>436</v>
      </c>
      <c r="C467" s="18" t="s">
        <v>38</v>
      </c>
      <c r="D467" s="18">
        <v>436</v>
      </c>
      <c r="E467" s="18" t="s">
        <v>38</v>
      </c>
      <c r="F467" s="18">
        <v>399</v>
      </c>
      <c r="G467" s="18">
        <v>25</v>
      </c>
      <c r="H467" s="18">
        <v>47.8</v>
      </c>
      <c r="I467" s="18">
        <v>0.06266</v>
      </c>
      <c r="J467" s="18">
        <v>1.91</v>
      </c>
      <c r="K467" s="18">
        <v>119.8</v>
      </c>
      <c r="L467" s="18">
        <v>0</v>
      </c>
      <c r="M467" s="18">
        <v>0</v>
      </c>
      <c r="N467" s="18">
        <v>0</v>
      </c>
      <c r="O467" s="18">
        <v>0</v>
      </c>
      <c r="P467" s="18">
        <v>0</v>
      </c>
      <c r="Q467" s="18">
        <v>0</v>
      </c>
      <c r="R467" s="18">
        <v>0</v>
      </c>
      <c r="S467" s="18">
        <v>0</v>
      </c>
      <c r="T467" s="18">
        <v>0</v>
      </c>
      <c r="U467" s="18">
        <v>0</v>
      </c>
      <c r="V467" s="18">
        <v>0</v>
      </c>
      <c r="W467" s="18">
        <v>0</v>
      </c>
      <c r="X467" s="18">
        <v>0</v>
      </c>
      <c r="Y467" s="18">
        <v>0</v>
      </c>
      <c r="Z467" s="18">
        <v>0</v>
      </c>
      <c r="AA467" s="18"/>
      <c r="AB467" s="18">
        <v>0</v>
      </c>
      <c r="AC467" s="18">
        <v>0</v>
      </c>
      <c r="AD467" s="18">
        <v>0</v>
      </c>
      <c r="AE467" s="18">
        <v>0</v>
      </c>
      <c r="AF467" s="18">
        <v>0</v>
      </c>
      <c r="AG467" s="18">
        <v>0</v>
      </c>
      <c r="AH467" s="18"/>
      <c r="AI467" s="18">
        <v>0</v>
      </c>
      <c r="AJ467" s="18"/>
      <c r="AK467" s="18">
        <v>0</v>
      </c>
      <c r="AL467" s="18"/>
      <c r="AM467" s="18">
        <v>0</v>
      </c>
      <c r="AN467" s="18"/>
      <c r="AO467" s="18">
        <v>0</v>
      </c>
      <c r="AP467" s="18"/>
      <c r="AQ467" s="18">
        <v>0</v>
      </c>
      <c r="AR467" s="18">
        <v>0</v>
      </c>
      <c r="AS467" s="18">
        <v>0</v>
      </c>
      <c r="AT467" s="18">
        <v>0</v>
      </c>
      <c r="AU467" s="18">
        <v>0</v>
      </c>
      <c r="AV467" s="18">
        <v>0</v>
      </c>
      <c r="AW467" s="18">
        <v>0</v>
      </c>
      <c r="AX467" s="18">
        <v>1</v>
      </c>
      <c r="AY467" s="18">
        <v>55</v>
      </c>
      <c r="AZ467" s="18">
        <v>21</v>
      </c>
      <c r="BA467" s="18">
        <v>11</v>
      </c>
      <c r="BB467" s="18">
        <v>0.52381</v>
      </c>
      <c r="BC467" s="18">
        <v>0</v>
      </c>
      <c r="BD467" s="18">
        <v>0</v>
      </c>
      <c r="BE467" s="18">
        <v>0.13784</v>
      </c>
      <c r="BF467" s="18">
        <v>29</v>
      </c>
      <c r="BG467" s="18">
        <v>3</v>
      </c>
      <c r="BH467" s="18">
        <v>0</v>
      </c>
      <c r="BI467" s="18"/>
      <c r="BJ467" s="18">
        <v>0</v>
      </c>
      <c r="BK467" s="18">
        <v>0</v>
      </c>
      <c r="BL467" s="18">
        <v>0</v>
      </c>
      <c r="BM467" s="18">
        <v>0</v>
      </c>
      <c r="BN467" s="18"/>
      <c r="BO467" s="18"/>
      <c r="BP467" s="18">
        <v>0</v>
      </c>
      <c r="BQ467" s="18">
        <v>40</v>
      </c>
      <c r="BR467" s="18">
        <v>0</v>
      </c>
      <c r="BS467" s="18">
        <v>0</v>
      </c>
      <c r="BT467" s="18">
        <v>0</v>
      </c>
      <c r="BU467" s="18">
        <v>0</v>
      </c>
    </row>
    <row r="468" spans="1:73">
      <c r="A468" s="19">
        <v>46175</v>
      </c>
      <c r="B468" s="18">
        <v>372</v>
      </c>
      <c r="C468" s="18" t="s">
        <v>37</v>
      </c>
      <c r="D468" s="18">
        <v>372</v>
      </c>
      <c r="E468" s="18" t="s">
        <v>61</v>
      </c>
      <c r="F468" s="18">
        <v>985</v>
      </c>
      <c r="G468" s="18">
        <v>90</v>
      </c>
      <c r="H468" s="18">
        <v>52.78</v>
      </c>
      <c r="I468" s="18">
        <v>0.09137</v>
      </c>
      <c r="J468" s="18">
        <v>0.59</v>
      </c>
      <c r="K468" s="18">
        <v>53.58</v>
      </c>
      <c r="L468" s="18">
        <v>0</v>
      </c>
      <c r="M468" s="18">
        <v>0</v>
      </c>
      <c r="N468" s="18">
        <v>0</v>
      </c>
      <c r="O468" s="18">
        <v>0</v>
      </c>
      <c r="P468" s="18">
        <v>0</v>
      </c>
      <c r="Q468" s="18">
        <v>0</v>
      </c>
      <c r="R468" s="18">
        <v>90</v>
      </c>
      <c r="S468" s="18">
        <v>0</v>
      </c>
      <c r="T468" s="18">
        <v>90</v>
      </c>
      <c r="U468" s="18">
        <v>1</v>
      </c>
      <c r="V468" s="18">
        <v>1</v>
      </c>
      <c r="W468" s="18">
        <v>0</v>
      </c>
      <c r="X468" s="18">
        <v>0.01111</v>
      </c>
      <c r="Y468" s="18">
        <v>1.71</v>
      </c>
      <c r="Z468" s="18">
        <v>1.71</v>
      </c>
      <c r="AA468" s="18">
        <v>52.78</v>
      </c>
      <c r="AB468" s="18">
        <v>2</v>
      </c>
      <c r="AC468" s="18">
        <v>2</v>
      </c>
      <c r="AD468" s="18">
        <v>0</v>
      </c>
      <c r="AE468" s="18">
        <v>0.02222</v>
      </c>
      <c r="AF468" s="18">
        <v>0</v>
      </c>
      <c r="AG468" s="18">
        <v>0</v>
      </c>
      <c r="AH468" s="18"/>
      <c r="AI468" s="18">
        <v>2</v>
      </c>
      <c r="AJ468" s="18">
        <v>26.39</v>
      </c>
      <c r="AK468" s="18">
        <v>2</v>
      </c>
      <c r="AL468" s="18">
        <v>26.39</v>
      </c>
      <c r="AM468" s="18">
        <v>0</v>
      </c>
      <c r="AN468" s="18"/>
      <c r="AO468" s="18">
        <v>0</v>
      </c>
      <c r="AP468" s="18">
        <v>26.39</v>
      </c>
      <c r="AQ468" s="18">
        <v>2</v>
      </c>
      <c r="AR468" s="18">
        <v>155.9</v>
      </c>
      <c r="AS468" s="18">
        <v>0</v>
      </c>
      <c r="AT468" s="18">
        <v>0</v>
      </c>
      <c r="AU468" s="18">
        <v>0</v>
      </c>
      <c r="AV468" s="18">
        <v>0</v>
      </c>
      <c r="AW468" s="18">
        <v>0</v>
      </c>
      <c r="AX468" s="18">
        <v>1</v>
      </c>
      <c r="AY468" s="18">
        <v>154</v>
      </c>
      <c r="AZ468" s="18">
        <v>95</v>
      </c>
      <c r="BA468" s="18">
        <v>46</v>
      </c>
      <c r="BB468" s="18">
        <v>0.48421</v>
      </c>
      <c r="BC468" s="18">
        <v>0</v>
      </c>
      <c r="BD468" s="18">
        <v>0</v>
      </c>
      <c r="BE468" s="18">
        <v>0.15635</v>
      </c>
      <c r="BF468" s="18">
        <v>36</v>
      </c>
      <c r="BG468" s="18">
        <v>2</v>
      </c>
      <c r="BH468" s="18">
        <v>1</v>
      </c>
      <c r="BI468" s="18">
        <v>1</v>
      </c>
      <c r="BJ468" s="18">
        <v>0</v>
      </c>
      <c r="BK468" s="18">
        <v>0</v>
      </c>
      <c r="BL468" s="18">
        <v>0</v>
      </c>
      <c r="BM468" s="18">
        <v>1</v>
      </c>
      <c r="BN468" s="18">
        <v>1</v>
      </c>
      <c r="BO468" s="18">
        <v>90</v>
      </c>
      <c r="BP468" s="18">
        <v>0.08</v>
      </c>
      <c r="BQ468" s="18">
        <v>408</v>
      </c>
      <c r="BR468" s="18">
        <v>0</v>
      </c>
      <c r="BS468" s="18">
        <v>0</v>
      </c>
      <c r="BT468" s="18">
        <v>0</v>
      </c>
      <c r="BU468" s="18">
        <v>0</v>
      </c>
    </row>
    <row r="469" spans="1:73">
      <c r="A469" s="19">
        <v>46175</v>
      </c>
      <c r="B469" s="18">
        <v>479</v>
      </c>
      <c r="C469" s="18" t="s">
        <v>39</v>
      </c>
      <c r="D469" s="18">
        <v>479</v>
      </c>
      <c r="E469" s="18" t="s">
        <v>39</v>
      </c>
      <c r="F469" s="18">
        <v>36</v>
      </c>
      <c r="G469" s="18">
        <v>20</v>
      </c>
      <c r="H469" s="18">
        <v>14.33</v>
      </c>
      <c r="I469" s="18">
        <v>0.55556</v>
      </c>
      <c r="J469" s="18">
        <v>0.72</v>
      </c>
      <c r="K469" s="18">
        <v>398.04</v>
      </c>
      <c r="L469" s="18">
        <v>0</v>
      </c>
      <c r="M469" s="18">
        <v>0</v>
      </c>
      <c r="N469" s="18">
        <v>0</v>
      </c>
      <c r="O469" s="18">
        <v>0</v>
      </c>
      <c r="P469" s="18">
        <v>0</v>
      </c>
      <c r="Q469" s="18">
        <v>0</v>
      </c>
      <c r="R469" s="18">
        <v>0</v>
      </c>
      <c r="S469" s="18">
        <v>0</v>
      </c>
      <c r="T469" s="18">
        <v>0</v>
      </c>
      <c r="U469" s="18">
        <v>0</v>
      </c>
      <c r="V469" s="18">
        <v>0</v>
      </c>
      <c r="W469" s="18">
        <v>0</v>
      </c>
      <c r="X469" s="18">
        <v>0</v>
      </c>
      <c r="Y469" s="18">
        <v>0</v>
      </c>
      <c r="Z469" s="18">
        <v>0</v>
      </c>
      <c r="AA469" s="18"/>
      <c r="AB469" s="18">
        <v>3</v>
      </c>
      <c r="AC469" s="18">
        <v>0</v>
      </c>
      <c r="AD469" s="18">
        <v>3</v>
      </c>
      <c r="AE469" s="18">
        <v>0.15</v>
      </c>
      <c r="AF469" s="18">
        <v>0</v>
      </c>
      <c r="AG469" s="18">
        <v>1</v>
      </c>
      <c r="AH469" s="18">
        <v>14.33</v>
      </c>
      <c r="AI469" s="18">
        <v>4</v>
      </c>
      <c r="AJ469" s="18">
        <v>3.58</v>
      </c>
      <c r="AK469" s="18">
        <v>3</v>
      </c>
      <c r="AL469" s="18">
        <v>4.78</v>
      </c>
      <c r="AM469" s="18">
        <v>1</v>
      </c>
      <c r="AN469" s="18"/>
      <c r="AO469" s="18">
        <v>0</v>
      </c>
      <c r="AP469" s="18">
        <v>4.78</v>
      </c>
      <c r="AQ469" s="18">
        <v>0</v>
      </c>
      <c r="AR469" s="18">
        <v>0</v>
      </c>
      <c r="AS469" s="18">
        <v>0</v>
      </c>
      <c r="AT469" s="18">
        <v>0</v>
      </c>
      <c r="AU469" s="18">
        <v>0</v>
      </c>
      <c r="AV469" s="18">
        <v>0</v>
      </c>
      <c r="AW469" s="18">
        <v>0</v>
      </c>
      <c r="AX469" s="18">
        <v>1</v>
      </c>
      <c r="AY469" s="18">
        <v>146</v>
      </c>
      <c r="AZ469" s="18">
        <v>14</v>
      </c>
      <c r="BA469" s="18">
        <v>10</v>
      </c>
      <c r="BB469" s="18">
        <v>0.71429</v>
      </c>
      <c r="BC469" s="18">
        <v>0</v>
      </c>
      <c r="BD469" s="18">
        <v>0</v>
      </c>
      <c r="BE469" s="18">
        <v>4.05556</v>
      </c>
      <c r="BF469" s="18">
        <v>125</v>
      </c>
      <c r="BG469" s="18">
        <v>10</v>
      </c>
      <c r="BH469" s="18">
        <v>0</v>
      </c>
      <c r="BI469" s="18"/>
      <c r="BJ469" s="18">
        <v>0</v>
      </c>
      <c r="BK469" s="18">
        <v>0</v>
      </c>
      <c r="BL469" s="18">
        <v>0</v>
      </c>
      <c r="BM469" s="18">
        <v>0</v>
      </c>
      <c r="BN469" s="18"/>
      <c r="BO469" s="18"/>
      <c r="BP469" s="18">
        <v>0</v>
      </c>
      <c r="BQ469" s="18">
        <v>76</v>
      </c>
      <c r="BR469" s="18">
        <v>0</v>
      </c>
      <c r="BS469" s="18">
        <v>0</v>
      </c>
      <c r="BT469" s="18">
        <v>0</v>
      </c>
      <c r="BU469" s="18">
        <v>0</v>
      </c>
    </row>
    <row r="470" spans="1:73">
      <c r="A470" s="19">
        <v>46174</v>
      </c>
      <c r="B470" s="18">
        <v>479</v>
      </c>
      <c r="C470" s="18" t="s">
        <v>39</v>
      </c>
      <c r="D470" s="18">
        <v>479</v>
      </c>
      <c r="E470" s="18" t="s">
        <v>39</v>
      </c>
      <c r="F470" s="18">
        <v>45</v>
      </c>
      <c r="G470" s="18">
        <v>23</v>
      </c>
      <c r="H470" s="18">
        <v>16.38</v>
      </c>
      <c r="I470" s="18">
        <v>0.51111</v>
      </c>
      <c r="J470" s="18">
        <v>0.71</v>
      </c>
      <c r="K470" s="18">
        <v>364.09</v>
      </c>
      <c r="L470" s="18">
        <v>0</v>
      </c>
      <c r="M470" s="18">
        <v>0</v>
      </c>
      <c r="N470" s="18">
        <v>0</v>
      </c>
      <c r="O470" s="18">
        <v>0</v>
      </c>
      <c r="P470" s="18">
        <v>0</v>
      </c>
      <c r="Q470" s="18">
        <v>0</v>
      </c>
      <c r="R470" s="18">
        <v>0</v>
      </c>
      <c r="S470" s="18">
        <v>37.93</v>
      </c>
      <c r="T470" s="18">
        <v>37.93</v>
      </c>
      <c r="U470" s="18">
        <v>1</v>
      </c>
      <c r="V470" s="18">
        <v>0</v>
      </c>
      <c r="W470" s="18">
        <v>1</v>
      </c>
      <c r="X470" s="18">
        <v>0.04348</v>
      </c>
      <c r="Y470" s="18">
        <v>2.32</v>
      </c>
      <c r="Z470" s="18">
        <v>2.32</v>
      </c>
      <c r="AA470" s="18">
        <v>16.38</v>
      </c>
      <c r="AB470" s="18">
        <v>1</v>
      </c>
      <c r="AC470" s="18">
        <v>0</v>
      </c>
      <c r="AD470" s="18">
        <v>1</v>
      </c>
      <c r="AE470" s="18">
        <v>0.04348</v>
      </c>
      <c r="AF470" s="18">
        <v>0</v>
      </c>
      <c r="AG470" s="18">
        <v>2</v>
      </c>
      <c r="AH470" s="18">
        <v>8.19</v>
      </c>
      <c r="AI470" s="18">
        <v>3</v>
      </c>
      <c r="AJ470" s="18">
        <v>5.46</v>
      </c>
      <c r="AK470" s="18">
        <v>1</v>
      </c>
      <c r="AL470" s="18">
        <v>16.38</v>
      </c>
      <c r="AM470" s="18">
        <v>2</v>
      </c>
      <c r="AN470" s="18"/>
      <c r="AO470" s="18">
        <v>0</v>
      </c>
      <c r="AP470" s="18">
        <v>16.38</v>
      </c>
      <c r="AQ470" s="18">
        <v>1</v>
      </c>
      <c r="AR470" s="18">
        <v>46.9</v>
      </c>
      <c r="AS470" s="18">
        <v>0</v>
      </c>
      <c r="AT470" s="18">
        <v>0</v>
      </c>
      <c r="AU470" s="18">
        <v>0</v>
      </c>
      <c r="AV470" s="18">
        <v>0</v>
      </c>
      <c r="AW470" s="18">
        <v>0</v>
      </c>
      <c r="AX470" s="18">
        <v>2</v>
      </c>
      <c r="AY470" s="18">
        <v>139</v>
      </c>
      <c r="AZ470" s="18">
        <v>21</v>
      </c>
      <c r="BA470" s="18">
        <v>16</v>
      </c>
      <c r="BB470" s="18">
        <v>0.7619</v>
      </c>
      <c r="BC470" s="18">
        <v>0</v>
      </c>
      <c r="BD470" s="18">
        <v>0</v>
      </c>
      <c r="BE470" s="18">
        <v>3.08889</v>
      </c>
      <c r="BF470" s="18">
        <v>112</v>
      </c>
      <c r="BG470" s="18">
        <v>7</v>
      </c>
      <c r="BH470" s="18">
        <v>1</v>
      </c>
      <c r="BI470" s="18">
        <v>1</v>
      </c>
      <c r="BJ470" s="18">
        <v>0</v>
      </c>
      <c r="BK470" s="18">
        <v>0</v>
      </c>
      <c r="BL470" s="18">
        <v>0</v>
      </c>
      <c r="BM470" s="18">
        <v>1</v>
      </c>
      <c r="BN470" s="18">
        <v>1</v>
      </c>
      <c r="BO470" s="18">
        <v>37.93</v>
      </c>
      <c r="BP470" s="18">
        <v>0.12</v>
      </c>
      <c r="BQ470" s="18">
        <v>62</v>
      </c>
      <c r="BR470" s="18">
        <v>0</v>
      </c>
      <c r="BS470" s="18">
        <v>0</v>
      </c>
      <c r="BT470" s="18">
        <v>0</v>
      </c>
      <c r="BU470" s="18">
        <v>0</v>
      </c>
    </row>
    <row r="471" spans="1:73">
      <c r="A471" s="19">
        <v>46174</v>
      </c>
      <c r="B471" s="18">
        <v>436</v>
      </c>
      <c r="C471" s="18" t="s">
        <v>38</v>
      </c>
      <c r="D471" s="18">
        <v>436</v>
      </c>
      <c r="E471" s="18" t="s">
        <v>38</v>
      </c>
      <c r="F471" s="18">
        <v>401</v>
      </c>
      <c r="G471" s="18">
        <v>25</v>
      </c>
      <c r="H471" s="18">
        <v>50</v>
      </c>
      <c r="I471" s="18">
        <v>0.06234</v>
      </c>
      <c r="J471" s="18">
        <v>2</v>
      </c>
      <c r="K471" s="18">
        <v>124.69</v>
      </c>
      <c r="L471" s="18">
        <v>0</v>
      </c>
      <c r="M471" s="18">
        <v>0</v>
      </c>
      <c r="N471" s="18">
        <v>0</v>
      </c>
      <c r="O471" s="18">
        <v>0</v>
      </c>
      <c r="P471" s="18">
        <v>0</v>
      </c>
      <c r="Q471" s="18">
        <v>0</v>
      </c>
      <c r="R471" s="18">
        <v>0</v>
      </c>
      <c r="S471" s="18">
        <v>37.93</v>
      </c>
      <c r="T471" s="18">
        <v>37.93</v>
      </c>
      <c r="U471" s="18">
        <v>1</v>
      </c>
      <c r="V471" s="18">
        <v>0</v>
      </c>
      <c r="W471" s="18">
        <v>1</v>
      </c>
      <c r="X471" s="18">
        <v>0.04</v>
      </c>
      <c r="Y471" s="18">
        <v>0.76</v>
      </c>
      <c r="Z471" s="18">
        <v>0.76</v>
      </c>
      <c r="AA471" s="18">
        <v>50</v>
      </c>
      <c r="AB471" s="18">
        <v>4</v>
      </c>
      <c r="AC471" s="18">
        <v>0</v>
      </c>
      <c r="AD471" s="18">
        <v>4</v>
      </c>
      <c r="AE471" s="18">
        <v>0.16</v>
      </c>
      <c r="AF471" s="18">
        <v>0</v>
      </c>
      <c r="AG471" s="18">
        <v>0</v>
      </c>
      <c r="AH471" s="18"/>
      <c r="AI471" s="18">
        <v>4</v>
      </c>
      <c r="AJ471" s="18">
        <v>12.5</v>
      </c>
      <c r="AK471" s="18">
        <v>4</v>
      </c>
      <c r="AL471" s="18">
        <v>12.5</v>
      </c>
      <c r="AM471" s="18">
        <v>0</v>
      </c>
      <c r="AN471" s="18"/>
      <c r="AO471" s="18">
        <v>0</v>
      </c>
      <c r="AP471" s="18">
        <v>12.5</v>
      </c>
      <c r="AQ471" s="18">
        <v>1</v>
      </c>
      <c r="AR471" s="18">
        <v>46.9</v>
      </c>
      <c r="AS471" s="18">
        <v>0</v>
      </c>
      <c r="AT471" s="18">
        <v>0</v>
      </c>
      <c r="AU471" s="18">
        <v>0</v>
      </c>
      <c r="AV471" s="18">
        <v>0</v>
      </c>
      <c r="AW471" s="18">
        <v>0</v>
      </c>
      <c r="AX471" s="18">
        <v>4</v>
      </c>
      <c r="AY471" s="18">
        <v>93</v>
      </c>
      <c r="AZ471" s="18">
        <v>23</v>
      </c>
      <c r="BA471" s="18">
        <v>16</v>
      </c>
      <c r="BB471" s="18">
        <v>0.69565</v>
      </c>
      <c r="BC471" s="18">
        <v>0</v>
      </c>
      <c r="BD471" s="18">
        <v>0</v>
      </c>
      <c r="BE471" s="18">
        <v>0.23192</v>
      </c>
      <c r="BF471" s="18">
        <v>67</v>
      </c>
      <c r="BG471" s="18">
        <v>4</v>
      </c>
      <c r="BH471" s="18">
        <v>1</v>
      </c>
      <c r="BI471" s="18">
        <v>1</v>
      </c>
      <c r="BJ471" s="18">
        <v>0</v>
      </c>
      <c r="BK471" s="18">
        <v>0</v>
      </c>
      <c r="BL471" s="18">
        <v>0</v>
      </c>
      <c r="BM471" s="18">
        <v>1</v>
      </c>
      <c r="BN471" s="18">
        <v>1</v>
      </c>
      <c r="BO471" s="18">
        <v>37.93</v>
      </c>
      <c r="BP471" s="18">
        <v>0.76</v>
      </c>
      <c r="BQ471" s="18">
        <v>166</v>
      </c>
      <c r="BR471" s="18">
        <v>0</v>
      </c>
      <c r="BS471" s="18">
        <v>0</v>
      </c>
      <c r="BT471" s="18">
        <v>0</v>
      </c>
      <c r="BU471" s="18">
        <v>0</v>
      </c>
    </row>
    <row r="472" spans="1:73">
      <c r="A472" s="19">
        <v>46174</v>
      </c>
      <c r="B472" s="18">
        <v>371</v>
      </c>
      <c r="C472" s="18" t="s">
        <v>32</v>
      </c>
      <c r="D472" s="18">
        <v>371</v>
      </c>
      <c r="E472" s="18" t="s">
        <v>32</v>
      </c>
      <c r="F472" s="18">
        <v>3282</v>
      </c>
      <c r="G472" s="18">
        <v>163</v>
      </c>
      <c r="H472" s="18">
        <v>91.6</v>
      </c>
      <c r="I472" s="18">
        <v>0.04966</v>
      </c>
      <c r="J472" s="18">
        <v>0.56</v>
      </c>
      <c r="K472" s="18">
        <v>27.91</v>
      </c>
      <c r="L472" s="18">
        <v>0</v>
      </c>
      <c r="M472" s="18">
        <v>0</v>
      </c>
      <c r="N472" s="18">
        <v>0</v>
      </c>
      <c r="O472" s="18">
        <v>0</v>
      </c>
      <c r="P472" s="18">
        <v>0</v>
      </c>
      <c r="Q472" s="18">
        <v>0</v>
      </c>
      <c r="R472" s="18">
        <v>79.8</v>
      </c>
      <c r="S472" s="18">
        <v>0</v>
      </c>
      <c r="T472" s="18">
        <v>79.8</v>
      </c>
      <c r="U472" s="18">
        <v>1</v>
      </c>
      <c r="V472" s="18">
        <v>1</v>
      </c>
      <c r="W472" s="18">
        <v>0</v>
      </c>
      <c r="X472" s="18">
        <v>0.00613</v>
      </c>
      <c r="Y472" s="18">
        <v>0.87</v>
      </c>
      <c r="Z472" s="18">
        <v>0.87</v>
      </c>
      <c r="AA472" s="18">
        <v>91.6</v>
      </c>
      <c r="AB472" s="18">
        <v>1</v>
      </c>
      <c r="AC472" s="18">
        <v>1</v>
      </c>
      <c r="AD472" s="18">
        <v>0</v>
      </c>
      <c r="AE472" s="18">
        <v>0.00613</v>
      </c>
      <c r="AF472" s="18">
        <v>1</v>
      </c>
      <c r="AG472" s="18">
        <v>0</v>
      </c>
      <c r="AH472" s="18"/>
      <c r="AI472" s="18">
        <v>2</v>
      </c>
      <c r="AJ472" s="18">
        <v>45.8</v>
      </c>
      <c r="AK472" s="18">
        <v>2</v>
      </c>
      <c r="AL472" s="18">
        <v>45.8</v>
      </c>
      <c r="AM472" s="18">
        <v>1</v>
      </c>
      <c r="AN472" s="18">
        <v>91.6</v>
      </c>
      <c r="AO472" s="18">
        <v>0.00613</v>
      </c>
      <c r="AP472" s="18">
        <v>91.6</v>
      </c>
      <c r="AQ472" s="18">
        <v>1</v>
      </c>
      <c r="AR472" s="18">
        <v>93.9</v>
      </c>
      <c r="AS472" s="18">
        <v>0</v>
      </c>
      <c r="AT472" s="18">
        <v>1</v>
      </c>
      <c r="AU472" s="18">
        <v>0</v>
      </c>
      <c r="AV472" s="18">
        <v>0</v>
      </c>
      <c r="AW472" s="18">
        <v>0</v>
      </c>
      <c r="AX472" s="18">
        <v>0</v>
      </c>
      <c r="AY472" s="18">
        <v>287</v>
      </c>
      <c r="AZ472" s="18">
        <v>131</v>
      </c>
      <c r="BA472" s="18">
        <v>107</v>
      </c>
      <c r="BB472" s="18">
        <v>0.81679</v>
      </c>
      <c r="BC472" s="18">
        <v>0</v>
      </c>
      <c r="BD472" s="18">
        <v>0</v>
      </c>
      <c r="BE472" s="18">
        <v>0.08745</v>
      </c>
      <c r="BF472" s="18">
        <v>102</v>
      </c>
      <c r="BG472" s="18">
        <v>2</v>
      </c>
      <c r="BH472" s="18">
        <v>1</v>
      </c>
      <c r="BI472" s="18">
        <v>1</v>
      </c>
      <c r="BJ472" s="18">
        <v>0</v>
      </c>
      <c r="BK472" s="18">
        <v>0</v>
      </c>
      <c r="BL472" s="18">
        <v>0</v>
      </c>
      <c r="BM472" s="18">
        <v>1</v>
      </c>
      <c r="BN472" s="18">
        <v>1</v>
      </c>
      <c r="BO472" s="18">
        <v>79.8</v>
      </c>
      <c r="BP472" s="18">
        <v>0.07</v>
      </c>
      <c r="BQ472" s="18">
        <v>131</v>
      </c>
      <c r="BR472" s="18">
        <v>0</v>
      </c>
      <c r="BS472" s="18">
        <v>0</v>
      </c>
      <c r="BT472" s="18">
        <v>0</v>
      </c>
      <c r="BU472" s="18">
        <v>0</v>
      </c>
    </row>
    <row r="473" spans="1:73">
      <c r="A473" s="19">
        <v>46174</v>
      </c>
      <c r="B473" s="18">
        <v>183</v>
      </c>
      <c r="C473" s="18" t="s">
        <v>40</v>
      </c>
      <c r="D473" s="18">
        <v>183</v>
      </c>
      <c r="E473" s="18" t="s">
        <v>40</v>
      </c>
      <c r="F473" s="18">
        <v>1138</v>
      </c>
      <c r="G473" s="18">
        <v>39</v>
      </c>
      <c r="H473" s="18">
        <v>100</v>
      </c>
      <c r="I473" s="18">
        <v>0.03427</v>
      </c>
      <c r="J473" s="18">
        <v>2.56</v>
      </c>
      <c r="K473" s="18">
        <v>87.87</v>
      </c>
      <c r="L473" s="18">
        <v>0</v>
      </c>
      <c r="M473" s="18">
        <v>0</v>
      </c>
      <c r="N473" s="18">
        <v>0</v>
      </c>
      <c r="O473" s="18">
        <v>0</v>
      </c>
      <c r="P473" s="18">
        <v>0</v>
      </c>
      <c r="Q473" s="18">
        <v>0</v>
      </c>
      <c r="R473" s="18">
        <v>0</v>
      </c>
      <c r="S473" s="18">
        <v>0</v>
      </c>
      <c r="T473" s="18">
        <v>0</v>
      </c>
      <c r="U473" s="18">
        <v>0</v>
      </c>
      <c r="V473" s="18">
        <v>0</v>
      </c>
      <c r="W473" s="18">
        <v>0</v>
      </c>
      <c r="X473" s="18">
        <v>0</v>
      </c>
      <c r="Y473" s="18">
        <v>0</v>
      </c>
      <c r="Z473" s="18">
        <v>0</v>
      </c>
      <c r="AA473" s="18"/>
      <c r="AB473" s="18">
        <v>3</v>
      </c>
      <c r="AC473" s="18">
        <v>2</v>
      </c>
      <c r="AD473" s="18">
        <v>1</v>
      </c>
      <c r="AE473" s="18">
        <v>0.07692</v>
      </c>
      <c r="AF473" s="18">
        <v>0</v>
      </c>
      <c r="AG473" s="18">
        <v>0</v>
      </c>
      <c r="AH473" s="18"/>
      <c r="AI473" s="18">
        <v>3</v>
      </c>
      <c r="AJ473" s="18">
        <v>33.33</v>
      </c>
      <c r="AK473" s="18">
        <v>3</v>
      </c>
      <c r="AL473" s="18">
        <v>33.33</v>
      </c>
      <c r="AM473" s="18">
        <v>0</v>
      </c>
      <c r="AN473" s="18"/>
      <c r="AO473" s="18">
        <v>0</v>
      </c>
      <c r="AP473" s="18">
        <v>33.33</v>
      </c>
      <c r="AQ473" s="18">
        <v>0</v>
      </c>
      <c r="AR473" s="18">
        <v>0</v>
      </c>
      <c r="AS473" s="18">
        <v>0</v>
      </c>
      <c r="AT473" s="18">
        <v>0</v>
      </c>
      <c r="AU473" s="18">
        <v>0</v>
      </c>
      <c r="AV473" s="18">
        <v>0</v>
      </c>
      <c r="AW473" s="18">
        <v>0</v>
      </c>
      <c r="AX473" s="18">
        <v>0</v>
      </c>
      <c r="AY473" s="18">
        <v>272</v>
      </c>
      <c r="AZ473" s="18">
        <v>97</v>
      </c>
      <c r="BA473" s="18">
        <v>62</v>
      </c>
      <c r="BB473" s="18">
        <v>0.63918</v>
      </c>
      <c r="BC473" s="18">
        <v>0</v>
      </c>
      <c r="BD473" s="18">
        <v>0</v>
      </c>
      <c r="BE473" s="18">
        <v>0.23902</v>
      </c>
      <c r="BF473" s="18">
        <v>125</v>
      </c>
      <c r="BG473" s="18">
        <v>3</v>
      </c>
      <c r="BH473" s="18">
        <v>0</v>
      </c>
      <c r="BI473" s="18"/>
      <c r="BJ473" s="18">
        <v>0</v>
      </c>
      <c r="BK473" s="18">
        <v>0</v>
      </c>
      <c r="BL473" s="18">
        <v>0</v>
      </c>
      <c r="BM473" s="18">
        <v>0</v>
      </c>
      <c r="BN473" s="18"/>
      <c r="BO473" s="18"/>
      <c r="BP473" s="18">
        <v>0.01</v>
      </c>
      <c r="BQ473" s="18">
        <v>99</v>
      </c>
      <c r="BR473" s="18">
        <v>0</v>
      </c>
      <c r="BS473" s="18">
        <v>0</v>
      </c>
      <c r="BT473" s="18">
        <v>0</v>
      </c>
      <c r="BU473" s="18">
        <v>0</v>
      </c>
    </row>
    <row r="474" spans="1:73">
      <c r="A474" s="19">
        <v>46174</v>
      </c>
      <c r="B474" s="18">
        <v>372</v>
      </c>
      <c r="C474" s="18" t="s">
        <v>37</v>
      </c>
      <c r="D474" s="18">
        <v>372</v>
      </c>
      <c r="E474" s="18" t="s">
        <v>61</v>
      </c>
      <c r="F474" s="18">
        <v>1582</v>
      </c>
      <c r="G474" s="18">
        <v>111</v>
      </c>
      <c r="H474" s="18">
        <v>54.7</v>
      </c>
      <c r="I474" s="18">
        <v>0.07016</v>
      </c>
      <c r="J474" s="18">
        <v>0.49</v>
      </c>
      <c r="K474" s="18">
        <v>34.58</v>
      </c>
      <c r="L474" s="18">
        <v>0</v>
      </c>
      <c r="M474" s="18">
        <v>0</v>
      </c>
      <c r="N474" s="18">
        <v>0</v>
      </c>
      <c r="O474" s="18">
        <v>0</v>
      </c>
      <c r="P474" s="18">
        <v>0</v>
      </c>
      <c r="Q474" s="18">
        <v>0</v>
      </c>
      <c r="R474" s="18">
        <v>0</v>
      </c>
      <c r="S474" s="18">
        <v>0</v>
      </c>
      <c r="T474" s="18">
        <v>0</v>
      </c>
      <c r="U474" s="18">
        <v>0</v>
      </c>
      <c r="V474" s="18">
        <v>0</v>
      </c>
      <c r="W474" s="18">
        <v>0</v>
      </c>
      <c r="X474" s="18">
        <v>0</v>
      </c>
      <c r="Y474" s="18">
        <v>0</v>
      </c>
      <c r="Z474" s="18">
        <v>0</v>
      </c>
      <c r="AA474" s="18"/>
      <c r="AB474" s="18">
        <v>3</v>
      </c>
      <c r="AC474" s="18">
        <v>3</v>
      </c>
      <c r="AD474" s="18">
        <v>0</v>
      </c>
      <c r="AE474" s="18">
        <v>0.02703</v>
      </c>
      <c r="AF474" s="18">
        <v>0</v>
      </c>
      <c r="AG474" s="18">
        <v>0</v>
      </c>
      <c r="AH474" s="18"/>
      <c r="AI474" s="18">
        <v>3</v>
      </c>
      <c r="AJ474" s="18">
        <v>18.23</v>
      </c>
      <c r="AK474" s="18">
        <v>3</v>
      </c>
      <c r="AL474" s="18">
        <v>18.23</v>
      </c>
      <c r="AM474" s="18">
        <v>0</v>
      </c>
      <c r="AN474" s="18"/>
      <c r="AO474" s="18">
        <v>0</v>
      </c>
      <c r="AP474" s="18">
        <v>18.23</v>
      </c>
      <c r="AQ474" s="18">
        <v>0</v>
      </c>
      <c r="AR474" s="18">
        <v>0</v>
      </c>
      <c r="AS474" s="18">
        <v>0</v>
      </c>
      <c r="AT474" s="18">
        <v>0</v>
      </c>
      <c r="AU474" s="18">
        <v>0</v>
      </c>
      <c r="AV474" s="18">
        <v>0</v>
      </c>
      <c r="AW474" s="18">
        <v>0</v>
      </c>
      <c r="AX474" s="18">
        <v>0</v>
      </c>
      <c r="AY474" s="18">
        <v>175</v>
      </c>
      <c r="AZ474" s="18">
        <v>108</v>
      </c>
      <c r="BA474" s="18">
        <v>74</v>
      </c>
      <c r="BB474" s="18">
        <v>0.68519</v>
      </c>
      <c r="BC474" s="18">
        <v>0</v>
      </c>
      <c r="BD474" s="18">
        <v>0</v>
      </c>
      <c r="BE474" s="18">
        <v>0.11062</v>
      </c>
      <c r="BF474" s="18">
        <v>40</v>
      </c>
      <c r="BG474" s="18">
        <v>2</v>
      </c>
      <c r="BH474" s="18">
        <v>0</v>
      </c>
      <c r="BI474" s="18"/>
      <c r="BJ474" s="18">
        <v>0</v>
      </c>
      <c r="BK474" s="18">
        <v>0</v>
      </c>
      <c r="BL474" s="18">
        <v>0</v>
      </c>
      <c r="BM474" s="18">
        <v>0</v>
      </c>
      <c r="BN474" s="18"/>
      <c r="BO474" s="18"/>
      <c r="BP474" s="18">
        <v>0.01</v>
      </c>
      <c r="BQ474" s="18">
        <v>290</v>
      </c>
      <c r="BR474" s="18">
        <v>0</v>
      </c>
      <c r="BS474" s="18">
        <v>0</v>
      </c>
      <c r="BT474" s="18">
        <v>0</v>
      </c>
      <c r="BU474" s="18">
        <v>0</v>
      </c>
    </row>
    <row r="475" spans="1:73">
      <c r="A475" s="19">
        <v>46173</v>
      </c>
      <c r="B475" s="18">
        <v>436</v>
      </c>
      <c r="C475" s="18" t="s">
        <v>38</v>
      </c>
      <c r="D475" s="18">
        <v>436</v>
      </c>
      <c r="E475" s="18" t="s">
        <v>38</v>
      </c>
      <c r="F475" s="18">
        <v>529</v>
      </c>
      <c r="G475" s="18">
        <v>31</v>
      </c>
      <c r="H475" s="18">
        <v>35.46</v>
      </c>
      <c r="I475" s="18">
        <v>0.0586</v>
      </c>
      <c r="J475" s="18">
        <v>1.14</v>
      </c>
      <c r="K475" s="18">
        <v>67.03</v>
      </c>
      <c r="L475" s="18">
        <v>0</v>
      </c>
      <c r="M475" s="18">
        <v>0</v>
      </c>
      <c r="N475" s="18">
        <v>0</v>
      </c>
      <c r="O475" s="18">
        <v>0</v>
      </c>
      <c r="P475" s="18">
        <v>0</v>
      </c>
      <c r="Q475" s="18">
        <v>0</v>
      </c>
      <c r="R475" s="18">
        <v>0</v>
      </c>
      <c r="S475" s="18">
        <v>42.4</v>
      </c>
      <c r="T475" s="18">
        <v>42.4</v>
      </c>
      <c r="U475" s="18">
        <v>1</v>
      </c>
      <c r="V475" s="18">
        <v>0</v>
      </c>
      <c r="W475" s="18">
        <v>1</v>
      </c>
      <c r="X475" s="18">
        <v>0.03226</v>
      </c>
      <c r="Y475" s="18">
        <v>1.2</v>
      </c>
      <c r="Z475" s="18">
        <v>1.2</v>
      </c>
      <c r="AA475" s="18">
        <v>35.46</v>
      </c>
      <c r="AB475" s="18">
        <v>10</v>
      </c>
      <c r="AC475" s="18">
        <v>0</v>
      </c>
      <c r="AD475" s="18">
        <v>10</v>
      </c>
      <c r="AE475" s="18">
        <v>0.32258</v>
      </c>
      <c r="AF475" s="18">
        <v>0</v>
      </c>
      <c r="AG475" s="18">
        <v>0</v>
      </c>
      <c r="AH475" s="18"/>
      <c r="AI475" s="18">
        <v>10</v>
      </c>
      <c r="AJ475" s="18">
        <v>3.55</v>
      </c>
      <c r="AK475" s="18">
        <v>10</v>
      </c>
      <c r="AL475" s="18">
        <v>3.55</v>
      </c>
      <c r="AM475" s="18">
        <v>0</v>
      </c>
      <c r="AN475" s="18"/>
      <c r="AO475" s="18">
        <v>0</v>
      </c>
      <c r="AP475" s="18">
        <v>3.55</v>
      </c>
      <c r="AQ475" s="18">
        <v>1</v>
      </c>
      <c r="AR475" s="18">
        <v>49.9</v>
      </c>
      <c r="AS475" s="18">
        <v>0</v>
      </c>
      <c r="AT475" s="18">
        <v>0</v>
      </c>
      <c r="AU475" s="18">
        <v>0</v>
      </c>
      <c r="AV475" s="18">
        <v>0</v>
      </c>
      <c r="AW475" s="18">
        <v>0</v>
      </c>
      <c r="AX475" s="18">
        <v>2</v>
      </c>
      <c r="AY475" s="18">
        <v>111</v>
      </c>
      <c r="AZ475" s="18">
        <v>28</v>
      </c>
      <c r="BA475" s="18">
        <v>21</v>
      </c>
      <c r="BB475" s="18">
        <v>0.75</v>
      </c>
      <c r="BC475" s="18">
        <v>0</v>
      </c>
      <c r="BD475" s="18">
        <v>0</v>
      </c>
      <c r="BE475" s="18">
        <v>0.20983</v>
      </c>
      <c r="BF475" s="18">
        <v>78</v>
      </c>
      <c r="BG475" s="18">
        <v>4</v>
      </c>
      <c r="BH475" s="18">
        <v>1</v>
      </c>
      <c r="BI475" s="18">
        <v>1</v>
      </c>
      <c r="BJ475" s="18">
        <v>0</v>
      </c>
      <c r="BK475" s="18">
        <v>0</v>
      </c>
      <c r="BL475" s="18">
        <v>0</v>
      </c>
      <c r="BM475" s="18">
        <v>1</v>
      </c>
      <c r="BN475" s="18">
        <v>1</v>
      </c>
      <c r="BO475" s="18">
        <v>42.4</v>
      </c>
      <c r="BP475" s="18">
        <v>0.01</v>
      </c>
      <c r="BQ475" s="18">
        <v>379</v>
      </c>
      <c r="BR475" s="18">
        <v>0</v>
      </c>
      <c r="BS475" s="18">
        <v>0</v>
      </c>
      <c r="BT475" s="18">
        <v>0</v>
      </c>
      <c r="BU475" s="18">
        <v>0</v>
      </c>
    </row>
    <row r="476" spans="1:73">
      <c r="A476" s="19">
        <v>46173</v>
      </c>
      <c r="B476" s="18">
        <v>183</v>
      </c>
      <c r="C476" s="18" t="s">
        <v>40</v>
      </c>
      <c r="D476" s="18">
        <v>183</v>
      </c>
      <c r="E476" s="18" t="s">
        <v>40</v>
      </c>
      <c r="F476" s="18">
        <v>1456</v>
      </c>
      <c r="G476" s="18">
        <v>40</v>
      </c>
      <c r="H476" s="18">
        <v>100</v>
      </c>
      <c r="I476" s="18">
        <v>0.02747</v>
      </c>
      <c r="J476" s="18">
        <v>2.5</v>
      </c>
      <c r="K476" s="18">
        <v>68.68</v>
      </c>
      <c r="L476" s="18">
        <v>0</v>
      </c>
      <c r="M476" s="18">
        <v>0</v>
      </c>
      <c r="N476" s="18">
        <v>0</v>
      </c>
      <c r="O476" s="18">
        <v>0</v>
      </c>
      <c r="P476" s="18">
        <v>0</v>
      </c>
      <c r="Q476" s="18">
        <v>0</v>
      </c>
      <c r="R476" s="18">
        <v>0</v>
      </c>
      <c r="S476" s="18">
        <v>0</v>
      </c>
      <c r="T476" s="18">
        <v>0</v>
      </c>
      <c r="U476" s="18">
        <v>0</v>
      </c>
      <c r="V476" s="18">
        <v>0</v>
      </c>
      <c r="W476" s="18">
        <v>0</v>
      </c>
      <c r="X476" s="18">
        <v>0</v>
      </c>
      <c r="Y476" s="18">
        <v>0</v>
      </c>
      <c r="Z476" s="18">
        <v>0</v>
      </c>
      <c r="AA476" s="18"/>
      <c r="AB476" s="18">
        <v>3</v>
      </c>
      <c r="AC476" s="18">
        <v>2</v>
      </c>
      <c r="AD476" s="18">
        <v>1</v>
      </c>
      <c r="AE476" s="18">
        <v>0.075</v>
      </c>
      <c r="AF476" s="18">
        <v>0</v>
      </c>
      <c r="AG476" s="18">
        <v>1</v>
      </c>
      <c r="AH476" s="18">
        <v>100</v>
      </c>
      <c r="AI476" s="18">
        <v>4</v>
      </c>
      <c r="AJ476" s="18">
        <v>25</v>
      </c>
      <c r="AK476" s="18">
        <v>3</v>
      </c>
      <c r="AL476" s="18">
        <v>33.33</v>
      </c>
      <c r="AM476" s="18">
        <v>1</v>
      </c>
      <c r="AN476" s="18"/>
      <c r="AO476" s="18">
        <v>0</v>
      </c>
      <c r="AP476" s="18">
        <v>33.33</v>
      </c>
      <c r="AQ476" s="18">
        <v>1</v>
      </c>
      <c r="AR476" s="18">
        <v>93.9</v>
      </c>
      <c r="AS476" s="18">
        <v>0</v>
      </c>
      <c r="AT476" s="18">
        <v>0</v>
      </c>
      <c r="AU476" s="18">
        <v>0</v>
      </c>
      <c r="AV476" s="18">
        <v>0</v>
      </c>
      <c r="AW476" s="18">
        <v>0</v>
      </c>
      <c r="AX476" s="18">
        <v>1</v>
      </c>
      <c r="AY476" s="18">
        <v>308</v>
      </c>
      <c r="AZ476" s="18">
        <v>116</v>
      </c>
      <c r="BA476" s="18">
        <v>82</v>
      </c>
      <c r="BB476" s="18">
        <v>0.7069</v>
      </c>
      <c r="BC476" s="18">
        <v>0</v>
      </c>
      <c r="BD476" s="18">
        <v>0</v>
      </c>
      <c r="BE476" s="18">
        <v>0.21154</v>
      </c>
      <c r="BF476" s="18">
        <v>149</v>
      </c>
      <c r="BG476" s="18">
        <v>3</v>
      </c>
      <c r="BH476" s="18">
        <v>0</v>
      </c>
      <c r="BI476" s="18"/>
      <c r="BJ476" s="18">
        <v>0</v>
      </c>
      <c r="BK476" s="18">
        <v>0</v>
      </c>
      <c r="BL476" s="18">
        <v>0</v>
      </c>
      <c r="BM476" s="18">
        <v>0</v>
      </c>
      <c r="BN476" s="18"/>
      <c r="BO476" s="18"/>
      <c r="BP476" s="18">
        <v>0</v>
      </c>
      <c r="BQ476" s="18">
        <v>109</v>
      </c>
      <c r="BR476" s="18">
        <v>0</v>
      </c>
      <c r="BS476" s="18">
        <v>0</v>
      </c>
      <c r="BT476" s="18">
        <v>0</v>
      </c>
      <c r="BU476" s="18">
        <v>0</v>
      </c>
    </row>
    <row r="477" spans="1:73">
      <c r="A477" s="19">
        <v>46173</v>
      </c>
      <c r="B477" s="18">
        <v>479</v>
      </c>
      <c r="C477" s="18" t="s">
        <v>39</v>
      </c>
      <c r="D477" s="18">
        <v>479</v>
      </c>
      <c r="E477" s="18" t="s">
        <v>39</v>
      </c>
      <c r="F477" s="18">
        <v>32</v>
      </c>
      <c r="G477" s="18">
        <v>15</v>
      </c>
      <c r="H477" s="18">
        <v>10.07</v>
      </c>
      <c r="I477" s="18">
        <v>0.46875</v>
      </c>
      <c r="J477" s="18">
        <v>0.67</v>
      </c>
      <c r="K477" s="18">
        <v>314.59</v>
      </c>
      <c r="L477" s="18">
        <v>0</v>
      </c>
      <c r="M477" s="18">
        <v>0</v>
      </c>
      <c r="N477" s="18">
        <v>0</v>
      </c>
      <c r="O477" s="18">
        <v>0</v>
      </c>
      <c r="P477" s="18">
        <v>0</v>
      </c>
      <c r="Q477" s="18">
        <v>0</v>
      </c>
      <c r="R477" s="18">
        <v>0</v>
      </c>
      <c r="S477" s="18">
        <v>0</v>
      </c>
      <c r="T477" s="18">
        <v>0</v>
      </c>
      <c r="U477" s="18">
        <v>0</v>
      </c>
      <c r="V477" s="18">
        <v>0</v>
      </c>
      <c r="W477" s="18">
        <v>0</v>
      </c>
      <c r="X477" s="18">
        <v>0</v>
      </c>
      <c r="Y477" s="18">
        <v>0</v>
      </c>
      <c r="Z477" s="18">
        <v>0</v>
      </c>
      <c r="AA477" s="18"/>
      <c r="AB477" s="18">
        <v>7</v>
      </c>
      <c r="AC477" s="18">
        <v>0</v>
      </c>
      <c r="AD477" s="18">
        <v>7</v>
      </c>
      <c r="AE477" s="18">
        <v>0.46667</v>
      </c>
      <c r="AF477" s="18">
        <v>0</v>
      </c>
      <c r="AG477" s="18">
        <v>2</v>
      </c>
      <c r="AH477" s="18">
        <v>5.03</v>
      </c>
      <c r="AI477" s="18">
        <v>9</v>
      </c>
      <c r="AJ477" s="18">
        <v>1.12</v>
      </c>
      <c r="AK477" s="18">
        <v>7</v>
      </c>
      <c r="AL477" s="18">
        <v>1.44</v>
      </c>
      <c r="AM477" s="18">
        <v>2</v>
      </c>
      <c r="AN477" s="18"/>
      <c r="AO477" s="18">
        <v>0</v>
      </c>
      <c r="AP477" s="18">
        <v>1.44</v>
      </c>
      <c r="AQ477" s="18">
        <v>0</v>
      </c>
      <c r="AR477" s="18">
        <v>0</v>
      </c>
      <c r="AS477" s="18">
        <v>0</v>
      </c>
      <c r="AT477" s="18">
        <v>0</v>
      </c>
      <c r="AU477" s="18">
        <v>0</v>
      </c>
      <c r="AV477" s="18">
        <v>0</v>
      </c>
      <c r="AW477" s="18">
        <v>0</v>
      </c>
      <c r="AX477" s="18">
        <v>1</v>
      </c>
      <c r="AY477" s="18">
        <v>162</v>
      </c>
      <c r="AZ477" s="18">
        <v>14</v>
      </c>
      <c r="BA477" s="18">
        <v>10</v>
      </c>
      <c r="BB477" s="18">
        <v>0.71429</v>
      </c>
      <c r="BC477" s="18">
        <v>0</v>
      </c>
      <c r="BD477" s="18">
        <v>0</v>
      </c>
      <c r="BE477" s="18">
        <v>5.0625</v>
      </c>
      <c r="BF477" s="18">
        <v>147</v>
      </c>
      <c r="BG477" s="18">
        <v>12</v>
      </c>
      <c r="BH477" s="18">
        <v>0</v>
      </c>
      <c r="BI477" s="18"/>
      <c r="BJ477" s="18">
        <v>0</v>
      </c>
      <c r="BK477" s="18">
        <v>0</v>
      </c>
      <c r="BL477" s="18">
        <v>0</v>
      </c>
      <c r="BM477" s="18">
        <v>0</v>
      </c>
      <c r="BN477" s="18"/>
      <c r="BO477" s="18"/>
      <c r="BP477" s="18">
        <v>0</v>
      </c>
      <c r="BQ477" s="18">
        <v>105</v>
      </c>
      <c r="BR477" s="18">
        <v>0</v>
      </c>
      <c r="BS477" s="18">
        <v>0</v>
      </c>
      <c r="BT477" s="18">
        <v>0</v>
      </c>
      <c r="BU477" s="18">
        <v>0</v>
      </c>
    </row>
    <row r="478" spans="1:73">
      <c r="A478" s="19">
        <v>46173</v>
      </c>
      <c r="B478" s="18">
        <v>372</v>
      </c>
      <c r="C478" s="18" t="s">
        <v>37</v>
      </c>
      <c r="D478" s="18">
        <v>372</v>
      </c>
      <c r="E478" s="18" t="s">
        <v>61</v>
      </c>
      <c r="F478" s="18">
        <v>2039</v>
      </c>
      <c r="G478" s="18">
        <v>196</v>
      </c>
      <c r="H478" s="18">
        <v>79.89</v>
      </c>
      <c r="I478" s="18">
        <v>0.09613</v>
      </c>
      <c r="J478" s="18">
        <v>0.41</v>
      </c>
      <c r="K478" s="18">
        <v>39.18</v>
      </c>
      <c r="L478" s="18">
        <v>0</v>
      </c>
      <c r="M478" s="18">
        <v>0</v>
      </c>
      <c r="N478" s="18">
        <v>0</v>
      </c>
      <c r="O478" s="18">
        <v>0</v>
      </c>
      <c r="P478" s="18">
        <v>0</v>
      </c>
      <c r="Q478" s="18">
        <v>0</v>
      </c>
      <c r="R478" s="18">
        <v>0</v>
      </c>
      <c r="S478" s="18">
        <v>0</v>
      </c>
      <c r="T478" s="18">
        <v>0</v>
      </c>
      <c r="U478" s="18">
        <v>0</v>
      </c>
      <c r="V478" s="18">
        <v>0</v>
      </c>
      <c r="W478" s="18">
        <v>0</v>
      </c>
      <c r="X478" s="18">
        <v>0</v>
      </c>
      <c r="Y478" s="18">
        <v>0</v>
      </c>
      <c r="Z478" s="18">
        <v>0</v>
      </c>
      <c r="AA478" s="18"/>
      <c r="AB478" s="18">
        <v>1</v>
      </c>
      <c r="AC478" s="18">
        <v>1</v>
      </c>
      <c r="AD478" s="18">
        <v>0</v>
      </c>
      <c r="AE478" s="18">
        <v>0.0051</v>
      </c>
      <c r="AF478" s="18">
        <v>2</v>
      </c>
      <c r="AG478" s="18">
        <v>0</v>
      </c>
      <c r="AH478" s="18"/>
      <c r="AI478" s="18">
        <v>3</v>
      </c>
      <c r="AJ478" s="18">
        <v>26.63</v>
      </c>
      <c r="AK478" s="18">
        <v>3</v>
      </c>
      <c r="AL478" s="18">
        <v>26.63</v>
      </c>
      <c r="AM478" s="18">
        <v>2</v>
      </c>
      <c r="AN478" s="18">
        <v>39.95</v>
      </c>
      <c r="AO478" s="18">
        <v>0.0102</v>
      </c>
      <c r="AP478" s="18">
        <v>79.89</v>
      </c>
      <c r="AQ478" s="18">
        <v>2</v>
      </c>
      <c r="AR478" s="18">
        <v>217.9</v>
      </c>
      <c r="AS478" s="18">
        <v>2</v>
      </c>
      <c r="AT478" s="18">
        <v>0</v>
      </c>
      <c r="AU478" s="18">
        <v>0</v>
      </c>
      <c r="AV478" s="18">
        <v>0</v>
      </c>
      <c r="AW478" s="18">
        <v>0</v>
      </c>
      <c r="AX478" s="18">
        <v>0</v>
      </c>
      <c r="AY478" s="18">
        <v>314</v>
      </c>
      <c r="AZ478" s="18">
        <v>189</v>
      </c>
      <c r="BA478" s="18">
        <v>136</v>
      </c>
      <c r="BB478" s="18">
        <v>0.71958</v>
      </c>
      <c r="BC478" s="18">
        <v>0</v>
      </c>
      <c r="BD478" s="18">
        <v>0</v>
      </c>
      <c r="BE478" s="18">
        <v>0.154</v>
      </c>
      <c r="BF478" s="18">
        <v>75</v>
      </c>
      <c r="BG478" s="18">
        <v>2</v>
      </c>
      <c r="BH478" s="18">
        <v>0</v>
      </c>
      <c r="BI478" s="18"/>
      <c r="BJ478" s="18">
        <v>0</v>
      </c>
      <c r="BK478" s="18">
        <v>0</v>
      </c>
      <c r="BL478" s="18">
        <v>0</v>
      </c>
      <c r="BM478" s="18">
        <v>0</v>
      </c>
      <c r="BN478" s="18"/>
      <c r="BO478" s="18"/>
      <c r="BP478" s="18">
        <v>0</v>
      </c>
      <c r="BQ478" s="18">
        <v>217</v>
      </c>
      <c r="BR478" s="18">
        <v>0</v>
      </c>
      <c r="BS478" s="18">
        <v>0</v>
      </c>
      <c r="BT478" s="18">
        <v>0</v>
      </c>
      <c r="BU478" s="18">
        <v>0</v>
      </c>
    </row>
    <row r="479" spans="1:73">
      <c r="A479" s="19">
        <v>46173</v>
      </c>
      <c r="B479" s="18">
        <v>371</v>
      </c>
      <c r="C479" s="18" t="s">
        <v>32</v>
      </c>
      <c r="D479" s="18">
        <v>371</v>
      </c>
      <c r="E479" s="18" t="s">
        <v>32</v>
      </c>
      <c r="F479" s="18">
        <v>4709</v>
      </c>
      <c r="G479" s="18">
        <v>258</v>
      </c>
      <c r="H479" s="18">
        <v>112.12</v>
      </c>
      <c r="I479" s="18">
        <v>0.05479</v>
      </c>
      <c r="J479" s="18">
        <v>0.43</v>
      </c>
      <c r="K479" s="18">
        <v>23.81</v>
      </c>
      <c r="L479" s="18">
        <v>0</v>
      </c>
      <c r="M479" s="18">
        <v>0</v>
      </c>
      <c r="N479" s="18">
        <v>0</v>
      </c>
      <c r="O479" s="18">
        <v>0</v>
      </c>
      <c r="P479" s="18">
        <v>0</v>
      </c>
      <c r="Q479" s="18">
        <v>0</v>
      </c>
      <c r="R479" s="18">
        <v>0</v>
      </c>
      <c r="S479" s="18">
        <v>0</v>
      </c>
      <c r="T479" s="18">
        <v>0</v>
      </c>
      <c r="U479" s="18">
        <v>0</v>
      </c>
      <c r="V479" s="18">
        <v>0</v>
      </c>
      <c r="W479" s="18">
        <v>0</v>
      </c>
      <c r="X479" s="18">
        <v>0</v>
      </c>
      <c r="Y479" s="18">
        <v>0</v>
      </c>
      <c r="Z479" s="18">
        <v>0</v>
      </c>
      <c r="AA479" s="18"/>
      <c r="AB479" s="18">
        <v>2</v>
      </c>
      <c r="AC479" s="18">
        <v>2</v>
      </c>
      <c r="AD479" s="18">
        <v>0</v>
      </c>
      <c r="AE479" s="18">
        <v>0.00775</v>
      </c>
      <c r="AF479" s="18">
        <v>2</v>
      </c>
      <c r="AG479" s="18">
        <v>1</v>
      </c>
      <c r="AH479" s="18">
        <v>112.12</v>
      </c>
      <c r="AI479" s="18">
        <v>5</v>
      </c>
      <c r="AJ479" s="18">
        <v>22.42</v>
      </c>
      <c r="AK479" s="18">
        <v>4</v>
      </c>
      <c r="AL479" s="18">
        <v>28.03</v>
      </c>
      <c r="AM479" s="18">
        <v>3</v>
      </c>
      <c r="AN479" s="18">
        <v>56.06</v>
      </c>
      <c r="AO479" s="18">
        <v>0.00775</v>
      </c>
      <c r="AP479" s="18">
        <v>56.06</v>
      </c>
      <c r="AQ479" s="18">
        <v>0</v>
      </c>
      <c r="AR479" s="18">
        <v>0</v>
      </c>
      <c r="AS479" s="18">
        <v>2</v>
      </c>
      <c r="AT479" s="18">
        <v>0</v>
      </c>
      <c r="AU479" s="18">
        <v>0</v>
      </c>
      <c r="AV479" s="18">
        <v>0</v>
      </c>
      <c r="AW479" s="18">
        <v>0</v>
      </c>
      <c r="AX479" s="18">
        <v>0</v>
      </c>
      <c r="AY479" s="18">
        <v>366</v>
      </c>
      <c r="AZ479" s="18">
        <v>149</v>
      </c>
      <c r="BA479" s="18">
        <v>134</v>
      </c>
      <c r="BB479" s="18">
        <v>0.89933</v>
      </c>
      <c r="BC479" s="18">
        <v>0</v>
      </c>
      <c r="BD479" s="18">
        <v>0</v>
      </c>
      <c r="BE479" s="18">
        <v>0.07772</v>
      </c>
      <c r="BF479" s="18">
        <v>52</v>
      </c>
      <c r="BG479" s="18">
        <v>2</v>
      </c>
      <c r="BH479" s="18">
        <v>0</v>
      </c>
      <c r="BI479" s="18"/>
      <c r="BJ479" s="18">
        <v>0</v>
      </c>
      <c r="BK479" s="18">
        <v>0</v>
      </c>
      <c r="BL479" s="18">
        <v>0</v>
      </c>
      <c r="BM479" s="18">
        <v>0</v>
      </c>
      <c r="BN479" s="18"/>
      <c r="BO479" s="18"/>
      <c r="BP479" s="18">
        <v>0.01</v>
      </c>
      <c r="BQ479" s="18">
        <v>125</v>
      </c>
      <c r="BR479" s="18">
        <v>0</v>
      </c>
      <c r="BS479" s="18">
        <v>0</v>
      </c>
      <c r="BT479" s="18">
        <v>0</v>
      </c>
      <c r="BU479" s="18">
        <v>0</v>
      </c>
    </row>
    <row r="480" spans="1:73">
      <c r="A480" s="19">
        <v>46172</v>
      </c>
      <c r="B480" s="18">
        <v>371</v>
      </c>
      <c r="C480" s="18" t="s">
        <v>32</v>
      </c>
      <c r="D480" s="18">
        <v>371</v>
      </c>
      <c r="E480" s="18" t="s">
        <v>32</v>
      </c>
      <c r="F480" s="18">
        <v>4517</v>
      </c>
      <c r="G480" s="18">
        <v>202</v>
      </c>
      <c r="H480" s="18">
        <v>111.41</v>
      </c>
      <c r="I480" s="18">
        <v>0.04472</v>
      </c>
      <c r="J480" s="18">
        <v>0.55</v>
      </c>
      <c r="K480" s="18">
        <v>24.66</v>
      </c>
      <c r="L480" s="18">
        <v>0</v>
      </c>
      <c r="M480" s="18">
        <v>0</v>
      </c>
      <c r="N480" s="18">
        <v>0</v>
      </c>
      <c r="O480" s="18">
        <v>0</v>
      </c>
      <c r="P480" s="18">
        <v>0</v>
      </c>
      <c r="Q480" s="18">
        <v>0</v>
      </c>
      <c r="R480" s="18">
        <v>0</v>
      </c>
      <c r="S480" s="18">
        <v>0</v>
      </c>
      <c r="T480" s="18">
        <v>0</v>
      </c>
      <c r="U480" s="18">
        <v>0</v>
      </c>
      <c r="V480" s="18">
        <v>0</v>
      </c>
      <c r="W480" s="18">
        <v>0</v>
      </c>
      <c r="X480" s="18">
        <v>0</v>
      </c>
      <c r="Y480" s="18">
        <v>0</v>
      </c>
      <c r="Z480" s="18">
        <v>0</v>
      </c>
      <c r="AA480" s="18"/>
      <c r="AB480" s="18">
        <v>1</v>
      </c>
      <c r="AC480" s="18">
        <v>1</v>
      </c>
      <c r="AD480" s="18">
        <v>0</v>
      </c>
      <c r="AE480" s="18">
        <v>0.00495</v>
      </c>
      <c r="AF480" s="18">
        <v>1</v>
      </c>
      <c r="AG480" s="18">
        <v>0</v>
      </c>
      <c r="AH480" s="18"/>
      <c r="AI480" s="18">
        <v>2</v>
      </c>
      <c r="AJ480" s="18">
        <v>55.71</v>
      </c>
      <c r="AK480" s="18">
        <v>2</v>
      </c>
      <c r="AL480" s="18">
        <v>55.71</v>
      </c>
      <c r="AM480" s="18">
        <v>1</v>
      </c>
      <c r="AN480" s="18">
        <v>111.41</v>
      </c>
      <c r="AO480" s="18">
        <v>0.00495</v>
      </c>
      <c r="AP480" s="18">
        <v>111.41</v>
      </c>
      <c r="AQ480" s="18">
        <v>0</v>
      </c>
      <c r="AR480" s="18">
        <v>0</v>
      </c>
      <c r="AS480" s="18">
        <v>1</v>
      </c>
      <c r="AT480" s="18">
        <v>0</v>
      </c>
      <c r="AU480" s="18">
        <v>0</v>
      </c>
      <c r="AV480" s="18">
        <v>0</v>
      </c>
      <c r="AW480" s="18">
        <v>0</v>
      </c>
      <c r="AX480" s="18">
        <v>0</v>
      </c>
      <c r="AY480" s="18">
        <v>322</v>
      </c>
      <c r="AZ480" s="18">
        <v>140</v>
      </c>
      <c r="BA480" s="18">
        <v>132</v>
      </c>
      <c r="BB480" s="18">
        <v>0.94286</v>
      </c>
      <c r="BC480" s="18">
        <v>0</v>
      </c>
      <c r="BD480" s="18">
        <v>0</v>
      </c>
      <c r="BE480" s="18">
        <v>0.07129</v>
      </c>
      <c r="BF480" s="18">
        <v>60</v>
      </c>
      <c r="BG480" s="18">
        <v>2</v>
      </c>
      <c r="BH480" s="18">
        <v>0</v>
      </c>
      <c r="BI480" s="18"/>
      <c r="BJ480" s="18">
        <v>0</v>
      </c>
      <c r="BK480" s="18">
        <v>0</v>
      </c>
      <c r="BL480" s="18">
        <v>0</v>
      </c>
      <c r="BM480" s="18">
        <v>0</v>
      </c>
      <c r="BN480" s="18"/>
      <c r="BO480" s="18"/>
      <c r="BP480" s="18">
        <v>0</v>
      </c>
      <c r="BQ480" s="18">
        <v>50</v>
      </c>
      <c r="BR480" s="18">
        <v>0</v>
      </c>
      <c r="BS480" s="18">
        <v>0</v>
      </c>
      <c r="BT480" s="18">
        <v>0</v>
      </c>
      <c r="BU480" s="18">
        <v>0</v>
      </c>
    </row>
    <row r="481" spans="1:73">
      <c r="A481" s="19">
        <v>46172</v>
      </c>
      <c r="B481" s="18">
        <v>372</v>
      </c>
      <c r="C481" s="18" t="s">
        <v>37</v>
      </c>
      <c r="D481" s="18">
        <v>372</v>
      </c>
      <c r="E481" s="18" t="s">
        <v>61</v>
      </c>
      <c r="F481" s="18">
        <v>796</v>
      </c>
      <c r="G481" s="18">
        <v>41</v>
      </c>
      <c r="H481" s="18">
        <v>44.54</v>
      </c>
      <c r="I481" s="18">
        <v>0.05151</v>
      </c>
      <c r="J481" s="18">
        <v>1.09</v>
      </c>
      <c r="K481" s="18">
        <v>55.95</v>
      </c>
      <c r="L481" s="18">
        <v>0</v>
      </c>
      <c r="M481" s="18">
        <v>0</v>
      </c>
      <c r="N481" s="18">
        <v>0</v>
      </c>
      <c r="O481" s="18">
        <v>0</v>
      </c>
      <c r="P481" s="18">
        <v>0</v>
      </c>
      <c r="Q481" s="18">
        <v>0</v>
      </c>
      <c r="R481" s="18">
        <v>0</v>
      </c>
      <c r="S481" s="18">
        <v>0</v>
      </c>
      <c r="T481" s="18">
        <v>0</v>
      </c>
      <c r="U481" s="18">
        <v>0</v>
      </c>
      <c r="V481" s="18">
        <v>0</v>
      </c>
      <c r="W481" s="18">
        <v>0</v>
      </c>
      <c r="X481" s="18">
        <v>0</v>
      </c>
      <c r="Y481" s="18">
        <v>0</v>
      </c>
      <c r="Z481" s="18">
        <v>0</v>
      </c>
      <c r="AA481" s="18"/>
      <c r="AB481" s="18">
        <v>0</v>
      </c>
      <c r="AC481" s="18">
        <v>0</v>
      </c>
      <c r="AD481" s="18">
        <v>0</v>
      </c>
      <c r="AE481" s="18">
        <v>0</v>
      </c>
      <c r="AF481" s="18">
        <v>2</v>
      </c>
      <c r="AG481" s="18">
        <v>0</v>
      </c>
      <c r="AH481" s="18"/>
      <c r="AI481" s="18">
        <v>2</v>
      </c>
      <c r="AJ481" s="18">
        <v>22.27</v>
      </c>
      <c r="AK481" s="18">
        <v>2</v>
      </c>
      <c r="AL481" s="18">
        <v>22.27</v>
      </c>
      <c r="AM481" s="18">
        <v>2</v>
      </c>
      <c r="AN481" s="18">
        <v>22.27</v>
      </c>
      <c r="AO481" s="18">
        <v>0.04878</v>
      </c>
      <c r="AP481" s="18"/>
      <c r="AQ481" s="18">
        <v>0</v>
      </c>
      <c r="AR481" s="18">
        <v>0</v>
      </c>
      <c r="AS481" s="18">
        <v>1</v>
      </c>
      <c r="AT481" s="18">
        <v>1</v>
      </c>
      <c r="AU481" s="18">
        <v>0</v>
      </c>
      <c r="AV481" s="18">
        <v>0</v>
      </c>
      <c r="AW481" s="18">
        <v>0</v>
      </c>
      <c r="AX481" s="18">
        <v>0</v>
      </c>
      <c r="AY481" s="18">
        <v>110</v>
      </c>
      <c r="AZ481" s="18">
        <v>38</v>
      </c>
      <c r="BA481" s="18">
        <v>2</v>
      </c>
      <c r="BB481" s="18">
        <v>0.05263</v>
      </c>
      <c r="BC481" s="18">
        <v>0</v>
      </c>
      <c r="BD481" s="18">
        <v>0</v>
      </c>
      <c r="BE481" s="18">
        <v>0.13819</v>
      </c>
      <c r="BF481" s="18">
        <v>52</v>
      </c>
      <c r="BG481" s="18">
        <v>3</v>
      </c>
      <c r="BH481" s="18">
        <v>0</v>
      </c>
      <c r="BI481" s="18"/>
      <c r="BJ481" s="18">
        <v>0</v>
      </c>
      <c r="BK481" s="18">
        <v>0</v>
      </c>
      <c r="BL481" s="18">
        <v>0</v>
      </c>
      <c r="BM481" s="18">
        <v>0</v>
      </c>
      <c r="BN481" s="18"/>
      <c r="BO481" s="18"/>
      <c r="BP481" s="18">
        <v>0</v>
      </c>
      <c r="BQ481" s="18">
        <v>223</v>
      </c>
      <c r="BR481" s="18">
        <v>0</v>
      </c>
      <c r="BS481" s="18">
        <v>0</v>
      </c>
      <c r="BT481" s="18">
        <v>0</v>
      </c>
      <c r="BU481" s="18">
        <v>0</v>
      </c>
    </row>
    <row r="482" spans="1:73">
      <c r="A482" s="19">
        <v>46172</v>
      </c>
      <c r="B482" s="18">
        <v>479</v>
      </c>
      <c r="C482" s="18" t="s">
        <v>39</v>
      </c>
      <c r="D482" s="18">
        <v>479</v>
      </c>
      <c r="E482" s="18" t="s">
        <v>39</v>
      </c>
      <c r="F482" s="18">
        <v>43</v>
      </c>
      <c r="G482" s="18">
        <v>17</v>
      </c>
      <c r="H482" s="18">
        <v>12.95</v>
      </c>
      <c r="I482" s="18">
        <v>0.39535</v>
      </c>
      <c r="J482" s="18">
        <v>0.76</v>
      </c>
      <c r="K482" s="18">
        <v>301.07</v>
      </c>
      <c r="L482" s="18">
        <v>0</v>
      </c>
      <c r="M482" s="18">
        <v>0</v>
      </c>
      <c r="N482" s="18">
        <v>0</v>
      </c>
      <c r="O482" s="18">
        <v>0</v>
      </c>
      <c r="P482" s="18">
        <v>0</v>
      </c>
      <c r="Q482" s="18">
        <v>0</v>
      </c>
      <c r="R482" s="18">
        <v>0</v>
      </c>
      <c r="S482" s="18">
        <v>0</v>
      </c>
      <c r="T482" s="18">
        <v>0</v>
      </c>
      <c r="U482" s="18">
        <v>0</v>
      </c>
      <c r="V482" s="18">
        <v>0</v>
      </c>
      <c r="W482" s="18">
        <v>0</v>
      </c>
      <c r="X482" s="18">
        <v>0</v>
      </c>
      <c r="Y482" s="18">
        <v>0</v>
      </c>
      <c r="Z482" s="18">
        <v>0</v>
      </c>
      <c r="AA482" s="18"/>
      <c r="AB482" s="18">
        <v>4</v>
      </c>
      <c r="AC482" s="18">
        <v>0</v>
      </c>
      <c r="AD482" s="18">
        <v>4</v>
      </c>
      <c r="AE482" s="18">
        <v>0.23529</v>
      </c>
      <c r="AF482" s="18">
        <v>1</v>
      </c>
      <c r="AG482" s="18">
        <v>0</v>
      </c>
      <c r="AH482" s="18"/>
      <c r="AI482" s="18">
        <v>5</v>
      </c>
      <c r="AJ482" s="18">
        <v>2.59</v>
      </c>
      <c r="AK482" s="18">
        <v>5</v>
      </c>
      <c r="AL482" s="18">
        <v>2.59</v>
      </c>
      <c r="AM482" s="18">
        <v>1</v>
      </c>
      <c r="AN482" s="18">
        <v>12.95</v>
      </c>
      <c r="AO482" s="18">
        <v>0.05882</v>
      </c>
      <c r="AP482" s="18">
        <v>3.24</v>
      </c>
      <c r="AQ482" s="18">
        <v>0</v>
      </c>
      <c r="AR482" s="18">
        <v>0</v>
      </c>
      <c r="AS482" s="18">
        <v>0</v>
      </c>
      <c r="AT482" s="18">
        <v>1</v>
      </c>
      <c r="AU482" s="18">
        <v>0</v>
      </c>
      <c r="AV482" s="18">
        <v>0</v>
      </c>
      <c r="AW482" s="18">
        <v>0</v>
      </c>
      <c r="AX482" s="18">
        <v>1</v>
      </c>
      <c r="AY482" s="18">
        <v>158</v>
      </c>
      <c r="AZ482" s="18">
        <v>12</v>
      </c>
      <c r="BA482" s="18">
        <v>9</v>
      </c>
      <c r="BB482" s="18">
        <v>0.75</v>
      </c>
      <c r="BC482" s="18">
        <v>0</v>
      </c>
      <c r="BD482" s="18">
        <v>0</v>
      </c>
      <c r="BE482" s="18">
        <v>3.67442</v>
      </c>
      <c r="BF482" s="18">
        <v>141</v>
      </c>
      <c r="BG482" s="18">
        <v>13</v>
      </c>
      <c r="BH482" s="18">
        <v>0</v>
      </c>
      <c r="BI482" s="18"/>
      <c r="BJ482" s="18">
        <v>0</v>
      </c>
      <c r="BK482" s="18">
        <v>0</v>
      </c>
      <c r="BL482" s="18">
        <v>0</v>
      </c>
      <c r="BM482" s="18">
        <v>0</v>
      </c>
      <c r="BN482" s="18"/>
      <c r="BO482" s="18"/>
      <c r="BP482" s="18">
        <v>0</v>
      </c>
      <c r="BQ482" s="18">
        <v>179</v>
      </c>
      <c r="BR482" s="18">
        <v>0</v>
      </c>
      <c r="BS482" s="18">
        <v>0</v>
      </c>
      <c r="BT482" s="18">
        <v>0</v>
      </c>
      <c r="BU482" s="18">
        <v>0</v>
      </c>
    </row>
    <row r="483" spans="1:73">
      <c r="A483" s="19">
        <v>46172</v>
      </c>
      <c r="B483" s="18">
        <v>183</v>
      </c>
      <c r="C483" s="18" t="s">
        <v>40</v>
      </c>
      <c r="D483" s="18">
        <v>183</v>
      </c>
      <c r="E483" s="18" t="s">
        <v>40</v>
      </c>
      <c r="F483" s="18">
        <v>1700</v>
      </c>
      <c r="G483" s="18">
        <v>61</v>
      </c>
      <c r="H483" s="18">
        <v>100</v>
      </c>
      <c r="I483" s="18">
        <v>0.03588</v>
      </c>
      <c r="J483" s="18">
        <v>1.64</v>
      </c>
      <c r="K483" s="18">
        <v>58.82</v>
      </c>
      <c r="L483" s="18">
        <v>0</v>
      </c>
      <c r="M483" s="18">
        <v>0</v>
      </c>
      <c r="N483" s="18">
        <v>0</v>
      </c>
      <c r="O483" s="18">
        <v>0</v>
      </c>
      <c r="P483" s="18">
        <v>0</v>
      </c>
      <c r="Q483" s="18">
        <v>0</v>
      </c>
      <c r="R483" s="18">
        <v>0</v>
      </c>
      <c r="S483" s="18">
        <v>0</v>
      </c>
      <c r="T483" s="18">
        <v>0</v>
      </c>
      <c r="U483" s="18">
        <v>0</v>
      </c>
      <c r="V483" s="18">
        <v>0</v>
      </c>
      <c r="W483" s="18">
        <v>0</v>
      </c>
      <c r="X483" s="18">
        <v>0</v>
      </c>
      <c r="Y483" s="18">
        <v>0</v>
      </c>
      <c r="Z483" s="18">
        <v>0</v>
      </c>
      <c r="AA483" s="18"/>
      <c r="AB483" s="18">
        <v>2</v>
      </c>
      <c r="AC483" s="18">
        <v>2</v>
      </c>
      <c r="AD483" s="18">
        <v>0</v>
      </c>
      <c r="AE483" s="18">
        <v>0.03279</v>
      </c>
      <c r="AF483" s="18">
        <v>1</v>
      </c>
      <c r="AG483" s="18">
        <v>1</v>
      </c>
      <c r="AH483" s="18">
        <v>100</v>
      </c>
      <c r="AI483" s="18">
        <v>4</v>
      </c>
      <c r="AJ483" s="18">
        <v>25</v>
      </c>
      <c r="AK483" s="18">
        <v>3</v>
      </c>
      <c r="AL483" s="18">
        <v>33.33</v>
      </c>
      <c r="AM483" s="18">
        <v>2</v>
      </c>
      <c r="AN483" s="18">
        <v>100</v>
      </c>
      <c r="AO483" s="18">
        <v>0.01639</v>
      </c>
      <c r="AP483" s="18">
        <v>50</v>
      </c>
      <c r="AQ483" s="18">
        <v>0</v>
      </c>
      <c r="AR483" s="18">
        <v>0</v>
      </c>
      <c r="AS483" s="18">
        <v>1</v>
      </c>
      <c r="AT483" s="18">
        <v>0</v>
      </c>
      <c r="AU483" s="18">
        <v>0</v>
      </c>
      <c r="AV483" s="18">
        <v>0</v>
      </c>
      <c r="AW483" s="18">
        <v>0</v>
      </c>
      <c r="AX483" s="18">
        <v>0</v>
      </c>
      <c r="AY483" s="18">
        <v>650</v>
      </c>
      <c r="AZ483" s="18">
        <v>423</v>
      </c>
      <c r="BA483" s="18">
        <v>374</v>
      </c>
      <c r="BB483" s="18">
        <v>0.88416</v>
      </c>
      <c r="BC483" s="18">
        <v>0</v>
      </c>
      <c r="BD483" s="18">
        <v>0</v>
      </c>
      <c r="BE483" s="18">
        <v>0.38235</v>
      </c>
      <c r="BF483" s="18">
        <v>143</v>
      </c>
      <c r="BG483" s="18">
        <v>2</v>
      </c>
      <c r="BH483" s="18">
        <v>0</v>
      </c>
      <c r="BI483" s="18"/>
      <c r="BJ483" s="18">
        <v>0</v>
      </c>
      <c r="BK483" s="18">
        <v>0</v>
      </c>
      <c r="BL483" s="18">
        <v>0</v>
      </c>
      <c r="BM483" s="18">
        <v>0</v>
      </c>
      <c r="BN483" s="18"/>
      <c r="BO483" s="18"/>
      <c r="BP483" s="18">
        <v>0</v>
      </c>
      <c r="BQ483" s="18">
        <v>112</v>
      </c>
      <c r="BR483" s="18">
        <v>0</v>
      </c>
      <c r="BS483" s="18">
        <v>0</v>
      </c>
      <c r="BT483" s="18">
        <v>0</v>
      </c>
      <c r="BU483" s="18">
        <v>0</v>
      </c>
    </row>
    <row r="484" spans="1:73">
      <c r="A484" s="19">
        <v>46172</v>
      </c>
      <c r="B484" s="18">
        <v>436</v>
      </c>
      <c r="C484" s="18" t="s">
        <v>38</v>
      </c>
      <c r="D484" s="18">
        <v>436</v>
      </c>
      <c r="E484" s="18" t="s">
        <v>38</v>
      </c>
      <c r="F484" s="18">
        <v>359</v>
      </c>
      <c r="G484" s="18">
        <v>29</v>
      </c>
      <c r="H484" s="18">
        <v>43.81</v>
      </c>
      <c r="I484" s="18">
        <v>0.08078</v>
      </c>
      <c r="J484" s="18">
        <v>1.51</v>
      </c>
      <c r="K484" s="18">
        <v>122.03</v>
      </c>
      <c r="L484" s="18">
        <v>0</v>
      </c>
      <c r="M484" s="18">
        <v>0</v>
      </c>
      <c r="N484" s="18">
        <v>0</v>
      </c>
      <c r="O484" s="18">
        <v>0</v>
      </c>
      <c r="P484" s="18">
        <v>0</v>
      </c>
      <c r="Q484" s="18">
        <v>0</v>
      </c>
      <c r="R484" s="18">
        <v>0</v>
      </c>
      <c r="S484" s="18">
        <v>38.96</v>
      </c>
      <c r="T484" s="18">
        <v>38.96</v>
      </c>
      <c r="U484" s="18">
        <v>1</v>
      </c>
      <c r="V484" s="18">
        <v>0</v>
      </c>
      <c r="W484" s="18">
        <v>1</v>
      </c>
      <c r="X484" s="18">
        <v>0.03448</v>
      </c>
      <c r="Y484" s="18">
        <v>0.89</v>
      </c>
      <c r="Z484" s="18">
        <v>0.89</v>
      </c>
      <c r="AA484" s="18">
        <v>43.81</v>
      </c>
      <c r="AB484" s="18">
        <v>7</v>
      </c>
      <c r="AC484" s="18">
        <v>0</v>
      </c>
      <c r="AD484" s="18">
        <v>7</v>
      </c>
      <c r="AE484" s="18">
        <v>0.24138</v>
      </c>
      <c r="AF484" s="18">
        <v>0</v>
      </c>
      <c r="AG484" s="18">
        <v>0</v>
      </c>
      <c r="AH484" s="18"/>
      <c r="AI484" s="18">
        <v>7</v>
      </c>
      <c r="AJ484" s="18">
        <v>6.26</v>
      </c>
      <c r="AK484" s="18">
        <v>7</v>
      </c>
      <c r="AL484" s="18">
        <v>6.26</v>
      </c>
      <c r="AM484" s="18">
        <v>0</v>
      </c>
      <c r="AN484" s="18"/>
      <c r="AO484" s="18">
        <v>0</v>
      </c>
      <c r="AP484" s="18">
        <v>6.26</v>
      </c>
      <c r="AQ484" s="18">
        <v>1</v>
      </c>
      <c r="AR484" s="18">
        <v>79</v>
      </c>
      <c r="AS484" s="18">
        <v>0</v>
      </c>
      <c r="AT484" s="18">
        <v>0</v>
      </c>
      <c r="AU484" s="18">
        <v>0</v>
      </c>
      <c r="AV484" s="18">
        <v>0</v>
      </c>
      <c r="AW484" s="18">
        <v>0</v>
      </c>
      <c r="AX484" s="18">
        <v>1</v>
      </c>
      <c r="AY484" s="18">
        <v>66</v>
      </c>
      <c r="AZ484" s="18">
        <v>23</v>
      </c>
      <c r="BA484" s="18">
        <v>12</v>
      </c>
      <c r="BB484" s="18">
        <v>0.52174</v>
      </c>
      <c r="BC484" s="18">
        <v>0</v>
      </c>
      <c r="BD484" s="18">
        <v>0</v>
      </c>
      <c r="BE484" s="18">
        <v>0.18384</v>
      </c>
      <c r="BF484" s="18">
        <v>38</v>
      </c>
      <c r="BG484" s="18">
        <v>3</v>
      </c>
      <c r="BH484" s="18">
        <v>1</v>
      </c>
      <c r="BI484" s="18">
        <v>1</v>
      </c>
      <c r="BJ484" s="18">
        <v>0</v>
      </c>
      <c r="BK484" s="18">
        <v>0</v>
      </c>
      <c r="BL484" s="18">
        <v>0</v>
      </c>
      <c r="BM484" s="18">
        <v>1</v>
      </c>
      <c r="BN484" s="18">
        <v>1</v>
      </c>
      <c r="BO484" s="18">
        <v>38.96</v>
      </c>
      <c r="BP484" s="18">
        <v>0.32</v>
      </c>
      <c r="BQ484" s="18">
        <v>239</v>
      </c>
      <c r="BR484" s="18">
        <v>0</v>
      </c>
      <c r="BS484" s="18">
        <v>0</v>
      </c>
      <c r="BT484" s="18">
        <v>0</v>
      </c>
      <c r="BU484" s="18">
        <v>0</v>
      </c>
    </row>
    <row r="485" spans="1:73">
      <c r="A485" s="19">
        <v>46171</v>
      </c>
      <c r="B485" s="18">
        <v>479</v>
      </c>
      <c r="C485" s="18" t="s">
        <v>39</v>
      </c>
      <c r="D485" s="18">
        <v>479</v>
      </c>
      <c r="E485" s="18" t="s">
        <v>39</v>
      </c>
      <c r="F485" s="18">
        <v>42</v>
      </c>
      <c r="G485" s="18">
        <v>25</v>
      </c>
      <c r="H485" s="18">
        <v>15.52</v>
      </c>
      <c r="I485" s="18">
        <v>0.59524</v>
      </c>
      <c r="J485" s="18">
        <v>0.62</v>
      </c>
      <c r="K485" s="18">
        <v>369.57</v>
      </c>
      <c r="L485" s="18">
        <v>0</v>
      </c>
      <c r="M485" s="18">
        <v>0</v>
      </c>
      <c r="N485" s="18">
        <v>0</v>
      </c>
      <c r="O485" s="18">
        <v>0</v>
      </c>
      <c r="P485" s="18">
        <v>0</v>
      </c>
      <c r="Q485" s="18">
        <v>0</v>
      </c>
      <c r="R485" s="18">
        <v>0</v>
      </c>
      <c r="S485" s="18">
        <v>24.6</v>
      </c>
      <c r="T485" s="18">
        <v>24.6</v>
      </c>
      <c r="U485" s="18">
        <v>1</v>
      </c>
      <c r="V485" s="18">
        <v>0</v>
      </c>
      <c r="W485" s="18">
        <v>1</v>
      </c>
      <c r="X485" s="18">
        <v>0.04</v>
      </c>
      <c r="Y485" s="18">
        <v>1.58</v>
      </c>
      <c r="Z485" s="18">
        <v>1.58</v>
      </c>
      <c r="AA485" s="18">
        <v>15.52</v>
      </c>
      <c r="AB485" s="18">
        <v>6</v>
      </c>
      <c r="AC485" s="18">
        <v>0</v>
      </c>
      <c r="AD485" s="18">
        <v>6</v>
      </c>
      <c r="AE485" s="18">
        <v>0.24</v>
      </c>
      <c r="AF485" s="18">
        <v>0</v>
      </c>
      <c r="AG485" s="18">
        <v>2</v>
      </c>
      <c r="AH485" s="18">
        <v>7.76</v>
      </c>
      <c r="AI485" s="18">
        <v>8</v>
      </c>
      <c r="AJ485" s="18">
        <v>1.94</v>
      </c>
      <c r="AK485" s="18">
        <v>6</v>
      </c>
      <c r="AL485" s="18">
        <v>2.59</v>
      </c>
      <c r="AM485" s="18">
        <v>2</v>
      </c>
      <c r="AN485" s="18"/>
      <c r="AO485" s="18">
        <v>0</v>
      </c>
      <c r="AP485" s="18">
        <v>2.59</v>
      </c>
      <c r="AQ485" s="18">
        <v>1</v>
      </c>
      <c r="AR485" s="18">
        <v>29</v>
      </c>
      <c r="AS485" s="18">
        <v>0</v>
      </c>
      <c r="AT485" s="18">
        <v>0</v>
      </c>
      <c r="AU485" s="18">
        <v>0</v>
      </c>
      <c r="AV485" s="18">
        <v>0</v>
      </c>
      <c r="AW485" s="18">
        <v>0</v>
      </c>
      <c r="AX485" s="18">
        <v>5</v>
      </c>
      <c r="AY485" s="18">
        <v>263</v>
      </c>
      <c r="AZ485" s="18">
        <v>20</v>
      </c>
      <c r="BA485" s="18">
        <v>14</v>
      </c>
      <c r="BB485" s="18">
        <v>0.7</v>
      </c>
      <c r="BC485" s="18">
        <v>0</v>
      </c>
      <c r="BD485" s="18">
        <v>0</v>
      </c>
      <c r="BE485" s="18">
        <v>6.2619</v>
      </c>
      <c r="BF485" s="18">
        <v>237</v>
      </c>
      <c r="BG485" s="18">
        <v>13</v>
      </c>
      <c r="BH485" s="18">
        <v>1</v>
      </c>
      <c r="BI485" s="18">
        <v>1</v>
      </c>
      <c r="BJ485" s="18">
        <v>0</v>
      </c>
      <c r="BK485" s="18">
        <v>0</v>
      </c>
      <c r="BL485" s="18">
        <v>0</v>
      </c>
      <c r="BM485" s="18">
        <v>1</v>
      </c>
      <c r="BN485" s="18">
        <v>1</v>
      </c>
      <c r="BO485" s="18">
        <v>24.6</v>
      </c>
      <c r="BP485" s="18">
        <v>6.26</v>
      </c>
      <c r="BQ485" s="18">
        <v>206</v>
      </c>
      <c r="BR485" s="18">
        <v>0</v>
      </c>
      <c r="BS485" s="18">
        <v>0</v>
      </c>
      <c r="BT485" s="18">
        <v>0</v>
      </c>
      <c r="BU485" s="18">
        <v>0</v>
      </c>
    </row>
    <row r="486" spans="1:73">
      <c r="A486" s="19">
        <v>46171</v>
      </c>
      <c r="B486" s="18">
        <v>372</v>
      </c>
      <c r="C486" s="18" t="s">
        <v>37</v>
      </c>
      <c r="D486" s="18">
        <v>372</v>
      </c>
      <c r="E486" s="18" t="s">
        <v>61</v>
      </c>
      <c r="F486" s="18">
        <v>901</v>
      </c>
      <c r="G486" s="18">
        <v>65</v>
      </c>
      <c r="H486" s="18">
        <v>49.89</v>
      </c>
      <c r="I486" s="18">
        <v>0.07214</v>
      </c>
      <c r="J486" s="18">
        <v>0.77</v>
      </c>
      <c r="K486" s="18">
        <v>55.37</v>
      </c>
      <c r="L486" s="18">
        <v>0</v>
      </c>
      <c r="M486" s="18">
        <v>0</v>
      </c>
      <c r="N486" s="18">
        <v>0</v>
      </c>
      <c r="O486" s="18">
        <v>0</v>
      </c>
      <c r="P486" s="18">
        <v>0</v>
      </c>
      <c r="Q486" s="18">
        <v>0</v>
      </c>
      <c r="R486" s="18">
        <v>0</v>
      </c>
      <c r="S486" s="18">
        <v>0</v>
      </c>
      <c r="T486" s="18">
        <v>0</v>
      </c>
      <c r="U486" s="18">
        <v>0</v>
      </c>
      <c r="V486" s="18">
        <v>0</v>
      </c>
      <c r="W486" s="18">
        <v>0</v>
      </c>
      <c r="X486" s="18">
        <v>0</v>
      </c>
      <c r="Y486" s="18">
        <v>0</v>
      </c>
      <c r="Z486" s="18">
        <v>0</v>
      </c>
      <c r="AA486" s="18"/>
      <c r="AB486" s="18">
        <v>0</v>
      </c>
      <c r="AC486" s="18">
        <v>0</v>
      </c>
      <c r="AD486" s="18">
        <v>0</v>
      </c>
      <c r="AE486" s="18">
        <v>0</v>
      </c>
      <c r="AF486" s="18">
        <v>0</v>
      </c>
      <c r="AG486" s="18">
        <v>0</v>
      </c>
      <c r="AH486" s="18"/>
      <c r="AI486" s="18">
        <v>0</v>
      </c>
      <c r="AJ486" s="18"/>
      <c r="AK486" s="18">
        <v>0</v>
      </c>
      <c r="AL486" s="18"/>
      <c r="AM486" s="18">
        <v>0</v>
      </c>
      <c r="AN486" s="18"/>
      <c r="AO486" s="18">
        <v>0</v>
      </c>
      <c r="AP486" s="18"/>
      <c r="AQ486" s="18">
        <v>0</v>
      </c>
      <c r="AR486" s="18">
        <v>0</v>
      </c>
      <c r="AS486" s="18">
        <v>0</v>
      </c>
      <c r="AT486" s="18">
        <v>0</v>
      </c>
      <c r="AU486" s="18">
        <v>0</v>
      </c>
      <c r="AV486" s="18">
        <v>0</v>
      </c>
      <c r="AW486" s="18">
        <v>0</v>
      </c>
      <c r="AX486" s="18">
        <v>0</v>
      </c>
      <c r="AY486" s="18">
        <v>111</v>
      </c>
      <c r="AZ486" s="18">
        <v>58</v>
      </c>
      <c r="BA486" s="18">
        <v>22</v>
      </c>
      <c r="BB486" s="18">
        <v>0.37931</v>
      </c>
      <c r="BC486" s="18">
        <v>0</v>
      </c>
      <c r="BD486" s="18">
        <v>0</v>
      </c>
      <c r="BE486" s="18">
        <v>0.1232</v>
      </c>
      <c r="BF486" s="18">
        <v>35</v>
      </c>
      <c r="BG486" s="18">
        <v>2</v>
      </c>
      <c r="BH486" s="18">
        <v>0</v>
      </c>
      <c r="BI486" s="18"/>
      <c r="BJ486" s="18">
        <v>0</v>
      </c>
      <c r="BK486" s="18">
        <v>0</v>
      </c>
      <c r="BL486" s="18">
        <v>0</v>
      </c>
      <c r="BM486" s="18">
        <v>0</v>
      </c>
      <c r="BN486" s="18"/>
      <c r="BO486" s="18"/>
      <c r="BP486" s="18">
        <v>0</v>
      </c>
      <c r="BQ486" s="18">
        <v>174</v>
      </c>
      <c r="BR486" s="18">
        <v>0</v>
      </c>
      <c r="BS486" s="18">
        <v>0</v>
      </c>
      <c r="BT486" s="18">
        <v>0</v>
      </c>
      <c r="BU486" s="18">
        <v>0</v>
      </c>
    </row>
    <row r="487" spans="1:73">
      <c r="A487" s="19">
        <v>46171</v>
      </c>
      <c r="B487" s="18">
        <v>183</v>
      </c>
      <c r="C487" s="18" t="s">
        <v>40</v>
      </c>
      <c r="D487" s="18">
        <v>183</v>
      </c>
      <c r="E487" s="18" t="s">
        <v>40</v>
      </c>
      <c r="F487" s="18">
        <v>1424</v>
      </c>
      <c r="G487" s="18">
        <v>38</v>
      </c>
      <c r="H487" s="18">
        <v>100</v>
      </c>
      <c r="I487" s="18">
        <v>0.02669</v>
      </c>
      <c r="J487" s="18">
        <v>2.63</v>
      </c>
      <c r="K487" s="18">
        <v>70.22</v>
      </c>
      <c r="L487" s="18">
        <v>0</v>
      </c>
      <c r="M487" s="18">
        <v>0</v>
      </c>
      <c r="N487" s="18">
        <v>0</v>
      </c>
      <c r="O487" s="18">
        <v>0</v>
      </c>
      <c r="P487" s="18">
        <v>0</v>
      </c>
      <c r="Q487" s="18">
        <v>0</v>
      </c>
      <c r="R487" s="18">
        <v>0</v>
      </c>
      <c r="S487" s="18">
        <v>0</v>
      </c>
      <c r="T487" s="18">
        <v>0</v>
      </c>
      <c r="U487" s="18">
        <v>0</v>
      </c>
      <c r="V487" s="18">
        <v>0</v>
      </c>
      <c r="W487" s="18">
        <v>0</v>
      </c>
      <c r="X487" s="18">
        <v>0</v>
      </c>
      <c r="Y487" s="18">
        <v>0</v>
      </c>
      <c r="Z487" s="18">
        <v>0</v>
      </c>
      <c r="AA487" s="18"/>
      <c r="AB487" s="18">
        <v>1</v>
      </c>
      <c r="AC487" s="18">
        <v>1</v>
      </c>
      <c r="AD487" s="18">
        <v>0</v>
      </c>
      <c r="AE487" s="18">
        <v>0.02632</v>
      </c>
      <c r="AF487" s="18">
        <v>0</v>
      </c>
      <c r="AG487" s="18">
        <v>1</v>
      </c>
      <c r="AH487" s="18">
        <v>100</v>
      </c>
      <c r="AI487" s="18">
        <v>2</v>
      </c>
      <c r="AJ487" s="18">
        <v>50</v>
      </c>
      <c r="AK487" s="18">
        <v>1</v>
      </c>
      <c r="AL487" s="18">
        <v>100</v>
      </c>
      <c r="AM487" s="18">
        <v>1</v>
      </c>
      <c r="AN487" s="18"/>
      <c r="AO487" s="18">
        <v>0</v>
      </c>
      <c r="AP487" s="18">
        <v>100</v>
      </c>
      <c r="AQ487" s="18">
        <v>0</v>
      </c>
      <c r="AR487" s="18">
        <v>0</v>
      </c>
      <c r="AS487" s="18">
        <v>0</v>
      </c>
      <c r="AT487" s="18">
        <v>0</v>
      </c>
      <c r="AU487" s="18">
        <v>0</v>
      </c>
      <c r="AV487" s="18">
        <v>0</v>
      </c>
      <c r="AW487" s="18">
        <v>0</v>
      </c>
      <c r="AX487" s="18">
        <v>0</v>
      </c>
      <c r="AY487" s="18">
        <v>229</v>
      </c>
      <c r="AZ487" s="18">
        <v>126</v>
      </c>
      <c r="BA487" s="18">
        <v>89</v>
      </c>
      <c r="BB487" s="18">
        <v>0.70635</v>
      </c>
      <c r="BC487" s="18">
        <v>0</v>
      </c>
      <c r="BD487" s="18">
        <v>0</v>
      </c>
      <c r="BE487" s="18">
        <v>0.16081</v>
      </c>
      <c r="BF487" s="18">
        <v>65</v>
      </c>
      <c r="BG487" s="18">
        <v>2</v>
      </c>
      <c r="BH487" s="18">
        <v>0</v>
      </c>
      <c r="BI487" s="18"/>
      <c r="BJ487" s="18">
        <v>0</v>
      </c>
      <c r="BK487" s="18">
        <v>0</v>
      </c>
      <c r="BL487" s="18">
        <v>0</v>
      </c>
      <c r="BM487" s="18">
        <v>0</v>
      </c>
      <c r="BN487" s="18"/>
      <c r="BO487" s="18"/>
      <c r="BP487" s="18">
        <v>0</v>
      </c>
      <c r="BQ487" s="18">
        <v>114</v>
      </c>
      <c r="BR487" s="18">
        <v>0</v>
      </c>
      <c r="BS487" s="18">
        <v>0</v>
      </c>
      <c r="BT487" s="18">
        <v>0</v>
      </c>
      <c r="BU487" s="18">
        <v>0</v>
      </c>
    </row>
    <row r="488" spans="1:73">
      <c r="A488" s="19">
        <v>46171</v>
      </c>
      <c r="B488" s="18">
        <v>371</v>
      </c>
      <c r="C488" s="18" t="s">
        <v>32</v>
      </c>
      <c r="D488" s="18">
        <v>371</v>
      </c>
      <c r="E488" s="18" t="s">
        <v>32</v>
      </c>
      <c r="F488" s="18">
        <v>5050</v>
      </c>
      <c r="G488" s="18">
        <v>196</v>
      </c>
      <c r="H488" s="18">
        <v>120</v>
      </c>
      <c r="I488" s="18">
        <v>0.03881</v>
      </c>
      <c r="J488" s="18">
        <v>0.61</v>
      </c>
      <c r="K488" s="18">
        <v>23.76</v>
      </c>
      <c r="L488" s="18">
        <v>0</v>
      </c>
      <c r="M488" s="18">
        <v>0</v>
      </c>
      <c r="N488" s="18">
        <v>0</v>
      </c>
      <c r="O488" s="18">
        <v>0</v>
      </c>
      <c r="P488" s="18">
        <v>0</v>
      </c>
      <c r="Q488" s="18">
        <v>0</v>
      </c>
      <c r="R488" s="18">
        <v>192.93</v>
      </c>
      <c r="S488" s="18">
        <v>0</v>
      </c>
      <c r="T488" s="18">
        <v>192.93</v>
      </c>
      <c r="U488" s="18">
        <v>1</v>
      </c>
      <c r="V488" s="18">
        <v>1</v>
      </c>
      <c r="W488" s="18">
        <v>0</v>
      </c>
      <c r="X488" s="18">
        <v>0.0051</v>
      </c>
      <c r="Y488" s="18">
        <v>1.61</v>
      </c>
      <c r="Z488" s="18">
        <v>1.61</v>
      </c>
      <c r="AA488" s="18">
        <v>120</v>
      </c>
      <c r="AB488" s="18">
        <v>8</v>
      </c>
      <c r="AC488" s="18">
        <v>6</v>
      </c>
      <c r="AD488" s="18">
        <v>2</v>
      </c>
      <c r="AE488" s="18">
        <v>0.04082</v>
      </c>
      <c r="AF488" s="18">
        <v>2</v>
      </c>
      <c r="AG488" s="18">
        <v>2</v>
      </c>
      <c r="AH488" s="18">
        <v>60</v>
      </c>
      <c r="AI488" s="18">
        <v>12</v>
      </c>
      <c r="AJ488" s="18">
        <v>10</v>
      </c>
      <c r="AK488" s="18">
        <v>10</v>
      </c>
      <c r="AL488" s="18">
        <v>12</v>
      </c>
      <c r="AM488" s="18">
        <v>4</v>
      </c>
      <c r="AN488" s="18">
        <v>60</v>
      </c>
      <c r="AO488" s="18">
        <v>0.0102</v>
      </c>
      <c r="AP488" s="18">
        <v>15</v>
      </c>
      <c r="AQ488" s="18">
        <v>2</v>
      </c>
      <c r="AR488" s="18">
        <v>318.9</v>
      </c>
      <c r="AS488" s="18">
        <v>1</v>
      </c>
      <c r="AT488" s="18">
        <v>1</v>
      </c>
      <c r="AU488" s="18">
        <v>0</v>
      </c>
      <c r="AV488" s="18">
        <v>0</v>
      </c>
      <c r="AW488" s="18">
        <v>0</v>
      </c>
      <c r="AX488" s="18">
        <v>2</v>
      </c>
      <c r="AY488" s="18">
        <v>315</v>
      </c>
      <c r="AZ488" s="18">
        <v>156</v>
      </c>
      <c r="BA488" s="18">
        <v>143</v>
      </c>
      <c r="BB488" s="18">
        <v>0.91667</v>
      </c>
      <c r="BC488" s="18">
        <v>0</v>
      </c>
      <c r="BD488" s="18">
        <v>0</v>
      </c>
      <c r="BE488" s="18">
        <v>0.06238</v>
      </c>
      <c r="BF488" s="18">
        <v>100</v>
      </c>
      <c r="BG488" s="18">
        <v>2</v>
      </c>
      <c r="BH488" s="18">
        <v>1</v>
      </c>
      <c r="BI488" s="18">
        <v>1</v>
      </c>
      <c r="BJ488" s="18">
        <v>0</v>
      </c>
      <c r="BK488" s="18">
        <v>0</v>
      </c>
      <c r="BL488" s="18">
        <v>0</v>
      </c>
      <c r="BM488" s="18">
        <v>1</v>
      </c>
      <c r="BN488" s="18">
        <v>1</v>
      </c>
      <c r="BO488" s="18">
        <v>192.93</v>
      </c>
      <c r="BP488" s="18">
        <v>1.93</v>
      </c>
      <c r="BQ488" s="18">
        <v>952</v>
      </c>
      <c r="BR488" s="18">
        <v>0</v>
      </c>
      <c r="BS488" s="18">
        <v>0</v>
      </c>
      <c r="BT488" s="18">
        <v>0</v>
      </c>
      <c r="BU488" s="18">
        <v>0</v>
      </c>
    </row>
    <row r="489" spans="1:73">
      <c r="A489" s="19">
        <v>46171</v>
      </c>
      <c r="B489" s="18">
        <v>436</v>
      </c>
      <c r="C489" s="18" t="s">
        <v>38</v>
      </c>
      <c r="D489" s="18">
        <v>436</v>
      </c>
      <c r="E489" s="18" t="s">
        <v>38</v>
      </c>
      <c r="F489" s="18">
        <v>240</v>
      </c>
      <c r="G489" s="18">
        <v>19</v>
      </c>
      <c r="H489" s="18">
        <v>37.76</v>
      </c>
      <c r="I489" s="18">
        <v>0.07917</v>
      </c>
      <c r="J489" s="18">
        <v>1.99</v>
      </c>
      <c r="K489" s="18">
        <v>157.33</v>
      </c>
      <c r="L489" s="18">
        <v>0</v>
      </c>
      <c r="M489" s="18">
        <v>0</v>
      </c>
      <c r="N489" s="18">
        <v>0</v>
      </c>
      <c r="O489" s="18">
        <v>0</v>
      </c>
      <c r="P489" s="18">
        <v>0</v>
      </c>
      <c r="Q489" s="18">
        <v>0</v>
      </c>
      <c r="R489" s="18">
        <v>0</v>
      </c>
      <c r="S489" s="18">
        <v>0</v>
      </c>
      <c r="T489" s="18">
        <v>0</v>
      </c>
      <c r="U489" s="18">
        <v>0</v>
      </c>
      <c r="V489" s="18">
        <v>0</v>
      </c>
      <c r="W489" s="18">
        <v>0</v>
      </c>
      <c r="X489" s="18">
        <v>0</v>
      </c>
      <c r="Y489" s="18">
        <v>0</v>
      </c>
      <c r="Z489" s="18">
        <v>0</v>
      </c>
      <c r="AA489" s="18"/>
      <c r="AB489" s="18">
        <v>0</v>
      </c>
      <c r="AC489" s="18">
        <v>0</v>
      </c>
      <c r="AD489" s="18">
        <v>0</v>
      </c>
      <c r="AE489" s="18">
        <v>0</v>
      </c>
      <c r="AF489" s="18">
        <v>0</v>
      </c>
      <c r="AG489" s="18">
        <v>0</v>
      </c>
      <c r="AH489" s="18"/>
      <c r="AI489" s="18">
        <v>0</v>
      </c>
      <c r="AJ489" s="18"/>
      <c r="AK489" s="18">
        <v>0</v>
      </c>
      <c r="AL489" s="18"/>
      <c r="AM489" s="18">
        <v>0</v>
      </c>
      <c r="AN489" s="18"/>
      <c r="AO489" s="18">
        <v>0</v>
      </c>
      <c r="AP489" s="18"/>
      <c r="AQ489" s="18">
        <v>0</v>
      </c>
      <c r="AR489" s="18">
        <v>0</v>
      </c>
      <c r="AS489" s="18">
        <v>0</v>
      </c>
      <c r="AT489" s="18">
        <v>0</v>
      </c>
      <c r="AU489" s="18">
        <v>0</v>
      </c>
      <c r="AV489" s="18">
        <v>0</v>
      </c>
      <c r="AW489" s="18">
        <v>0</v>
      </c>
      <c r="AX489" s="18">
        <v>1</v>
      </c>
      <c r="AY489" s="18">
        <v>59</v>
      </c>
      <c r="AZ489" s="18">
        <v>15</v>
      </c>
      <c r="BA489" s="18">
        <v>8</v>
      </c>
      <c r="BB489" s="18">
        <v>0.53333</v>
      </c>
      <c r="BC489" s="18">
        <v>0</v>
      </c>
      <c r="BD489" s="18">
        <v>0</v>
      </c>
      <c r="BE489" s="18">
        <v>0.24583</v>
      </c>
      <c r="BF489" s="18">
        <v>40</v>
      </c>
      <c r="BG489" s="18">
        <v>4</v>
      </c>
      <c r="BH489" s="18">
        <v>0</v>
      </c>
      <c r="BI489" s="18"/>
      <c r="BJ489" s="18">
        <v>0</v>
      </c>
      <c r="BK489" s="18">
        <v>0</v>
      </c>
      <c r="BL489" s="18">
        <v>0</v>
      </c>
      <c r="BM489" s="18">
        <v>0</v>
      </c>
      <c r="BN489" s="18"/>
      <c r="BO489" s="18"/>
      <c r="BP489" s="18">
        <v>0</v>
      </c>
      <c r="BQ489" s="18">
        <v>39</v>
      </c>
      <c r="BR489" s="18">
        <v>0</v>
      </c>
      <c r="BS489" s="18">
        <v>0</v>
      </c>
      <c r="BT489" s="18">
        <v>0</v>
      </c>
      <c r="BU489" s="18">
        <v>0</v>
      </c>
    </row>
    <row r="490" spans="1:73">
      <c r="A490" s="19">
        <v>46170</v>
      </c>
      <c r="B490" s="18">
        <v>436</v>
      </c>
      <c r="C490" s="18" t="s">
        <v>38</v>
      </c>
      <c r="D490" s="18">
        <v>436</v>
      </c>
      <c r="E490" s="18" t="s">
        <v>38</v>
      </c>
      <c r="F490" s="18">
        <v>329</v>
      </c>
      <c r="G490" s="18">
        <v>22</v>
      </c>
      <c r="H490" s="18">
        <v>50</v>
      </c>
      <c r="I490" s="18">
        <v>0.06687</v>
      </c>
      <c r="J490" s="18">
        <v>2.27</v>
      </c>
      <c r="K490" s="18">
        <v>151.98</v>
      </c>
      <c r="L490" s="18">
        <v>0</v>
      </c>
      <c r="M490" s="18">
        <v>0</v>
      </c>
      <c r="N490" s="18">
        <v>0</v>
      </c>
      <c r="O490" s="18">
        <v>0</v>
      </c>
      <c r="P490" s="18">
        <v>0</v>
      </c>
      <c r="Q490" s="18">
        <v>0</v>
      </c>
      <c r="R490" s="18">
        <v>0</v>
      </c>
      <c r="S490" s="18">
        <v>0</v>
      </c>
      <c r="T490" s="18">
        <v>0</v>
      </c>
      <c r="U490" s="18">
        <v>0</v>
      </c>
      <c r="V490" s="18">
        <v>0</v>
      </c>
      <c r="W490" s="18">
        <v>0</v>
      </c>
      <c r="X490" s="18">
        <v>0</v>
      </c>
      <c r="Y490" s="18">
        <v>0</v>
      </c>
      <c r="Z490" s="18">
        <v>0</v>
      </c>
      <c r="AA490" s="18"/>
      <c r="AB490" s="18">
        <v>2</v>
      </c>
      <c r="AC490" s="18">
        <v>0</v>
      </c>
      <c r="AD490" s="18">
        <v>2</v>
      </c>
      <c r="AE490" s="18">
        <v>0.09091</v>
      </c>
      <c r="AF490" s="18">
        <v>0</v>
      </c>
      <c r="AG490" s="18">
        <v>0</v>
      </c>
      <c r="AH490" s="18"/>
      <c r="AI490" s="18">
        <v>2</v>
      </c>
      <c r="AJ490" s="18">
        <v>25</v>
      </c>
      <c r="AK490" s="18">
        <v>2</v>
      </c>
      <c r="AL490" s="18">
        <v>25</v>
      </c>
      <c r="AM490" s="18">
        <v>0</v>
      </c>
      <c r="AN490" s="18"/>
      <c r="AO490" s="18">
        <v>0</v>
      </c>
      <c r="AP490" s="18">
        <v>25</v>
      </c>
      <c r="AQ490" s="18">
        <v>0</v>
      </c>
      <c r="AR490" s="18">
        <v>0</v>
      </c>
      <c r="AS490" s="18">
        <v>0</v>
      </c>
      <c r="AT490" s="18">
        <v>0</v>
      </c>
      <c r="AU490" s="18">
        <v>0</v>
      </c>
      <c r="AV490" s="18">
        <v>0</v>
      </c>
      <c r="AW490" s="18">
        <v>0</v>
      </c>
      <c r="AX490" s="18">
        <v>1</v>
      </c>
      <c r="AY490" s="18">
        <v>74</v>
      </c>
      <c r="AZ490" s="18">
        <v>17</v>
      </c>
      <c r="BA490" s="18">
        <v>11</v>
      </c>
      <c r="BB490" s="18">
        <v>0.64706</v>
      </c>
      <c r="BC490" s="18">
        <v>0</v>
      </c>
      <c r="BD490" s="18">
        <v>0</v>
      </c>
      <c r="BE490" s="18">
        <v>0.22492</v>
      </c>
      <c r="BF490" s="18">
        <v>55</v>
      </c>
      <c r="BG490" s="18">
        <v>4</v>
      </c>
      <c r="BH490" s="18">
        <v>0</v>
      </c>
      <c r="BI490" s="18"/>
      <c r="BJ490" s="18">
        <v>0</v>
      </c>
      <c r="BK490" s="18">
        <v>0</v>
      </c>
      <c r="BL490" s="18">
        <v>0</v>
      </c>
      <c r="BM490" s="18">
        <v>0</v>
      </c>
      <c r="BN490" s="18"/>
      <c r="BO490" s="18"/>
      <c r="BP490" s="18">
        <v>0</v>
      </c>
      <c r="BQ490" s="18">
        <v>41</v>
      </c>
      <c r="BR490" s="18">
        <v>0</v>
      </c>
      <c r="BS490" s="18">
        <v>0</v>
      </c>
      <c r="BT490" s="18">
        <v>0</v>
      </c>
      <c r="BU490" s="18">
        <v>0</v>
      </c>
    </row>
    <row r="491" spans="1:73">
      <c r="A491" s="19">
        <v>46170</v>
      </c>
      <c r="B491" s="18">
        <v>372</v>
      </c>
      <c r="C491" s="18" t="s">
        <v>37</v>
      </c>
      <c r="D491" s="18">
        <v>372</v>
      </c>
      <c r="E491" s="18" t="s">
        <v>61</v>
      </c>
      <c r="F491" s="18">
        <v>1998</v>
      </c>
      <c r="G491" s="18">
        <v>225</v>
      </c>
      <c r="H491" s="18">
        <v>85.77</v>
      </c>
      <c r="I491" s="18">
        <v>0.11261</v>
      </c>
      <c r="J491" s="18">
        <v>0.38</v>
      </c>
      <c r="K491" s="18">
        <v>42.93</v>
      </c>
      <c r="L491" s="18">
        <v>0</v>
      </c>
      <c r="M491" s="18">
        <v>0</v>
      </c>
      <c r="N491" s="18">
        <v>0</v>
      </c>
      <c r="O491" s="18">
        <v>0</v>
      </c>
      <c r="P491" s="18">
        <v>0</v>
      </c>
      <c r="Q491" s="18">
        <v>0</v>
      </c>
      <c r="R491" s="18">
        <v>192.93</v>
      </c>
      <c r="S491" s="18">
        <v>169.6</v>
      </c>
      <c r="T491" s="18">
        <v>362.53</v>
      </c>
      <c r="U491" s="18">
        <v>4</v>
      </c>
      <c r="V491" s="18">
        <v>1</v>
      </c>
      <c r="W491" s="18">
        <v>3</v>
      </c>
      <c r="X491" s="18">
        <v>0.01778</v>
      </c>
      <c r="Y491" s="18">
        <v>4.23</v>
      </c>
      <c r="Z491" s="18">
        <v>4.23</v>
      </c>
      <c r="AA491" s="18">
        <v>21.44</v>
      </c>
      <c r="AB491" s="18">
        <v>7</v>
      </c>
      <c r="AC491" s="18">
        <v>4</v>
      </c>
      <c r="AD491" s="18">
        <v>3</v>
      </c>
      <c r="AE491" s="18">
        <v>0.03111</v>
      </c>
      <c r="AF491" s="18">
        <v>1</v>
      </c>
      <c r="AG491" s="18">
        <v>0</v>
      </c>
      <c r="AH491" s="18"/>
      <c r="AI491" s="18">
        <v>8</v>
      </c>
      <c r="AJ491" s="18">
        <v>10.72</v>
      </c>
      <c r="AK491" s="18">
        <v>8</v>
      </c>
      <c r="AL491" s="18">
        <v>10.72</v>
      </c>
      <c r="AM491" s="18">
        <v>1</v>
      </c>
      <c r="AN491" s="18">
        <v>85.77</v>
      </c>
      <c r="AO491" s="18">
        <v>0.00444</v>
      </c>
      <c r="AP491" s="18">
        <v>12.25</v>
      </c>
      <c r="AQ491" s="18">
        <v>6</v>
      </c>
      <c r="AR491" s="18">
        <v>568.6</v>
      </c>
      <c r="AS491" s="18">
        <v>1</v>
      </c>
      <c r="AT491" s="18">
        <v>0</v>
      </c>
      <c r="AU491" s="18">
        <v>0</v>
      </c>
      <c r="AV491" s="18">
        <v>0</v>
      </c>
      <c r="AW491" s="18">
        <v>0</v>
      </c>
      <c r="AX491" s="18">
        <v>0</v>
      </c>
      <c r="AY491" s="18">
        <v>424</v>
      </c>
      <c r="AZ491" s="18">
        <v>236</v>
      </c>
      <c r="BA491" s="18">
        <v>189</v>
      </c>
      <c r="BB491" s="18">
        <v>0.80085</v>
      </c>
      <c r="BC491" s="18">
        <v>0</v>
      </c>
      <c r="BD491" s="18">
        <v>0</v>
      </c>
      <c r="BE491" s="18">
        <v>0.21221</v>
      </c>
      <c r="BF491" s="18">
        <v>126</v>
      </c>
      <c r="BG491" s="18">
        <v>2</v>
      </c>
      <c r="BH491" s="18">
        <v>2</v>
      </c>
      <c r="BI491" s="18">
        <v>1</v>
      </c>
      <c r="BJ491" s="18">
        <v>0</v>
      </c>
      <c r="BK491" s="18">
        <v>0</v>
      </c>
      <c r="BL491" s="18">
        <v>0</v>
      </c>
      <c r="BM491" s="18">
        <v>2</v>
      </c>
      <c r="BN491" s="18">
        <v>2</v>
      </c>
      <c r="BO491" s="18">
        <v>181.27</v>
      </c>
      <c r="BP491" s="18">
        <v>9.86</v>
      </c>
      <c r="BQ491" s="18">
        <v>1250</v>
      </c>
      <c r="BR491" s="18">
        <v>0</v>
      </c>
      <c r="BS491" s="18">
        <v>0</v>
      </c>
      <c r="BT491" s="18">
        <v>0</v>
      </c>
      <c r="BU491" s="18">
        <v>0</v>
      </c>
    </row>
    <row r="492" spans="1:73">
      <c r="A492" s="19">
        <v>46170</v>
      </c>
      <c r="B492" s="18">
        <v>371</v>
      </c>
      <c r="C492" s="18" t="s">
        <v>32</v>
      </c>
      <c r="D492" s="18">
        <v>371</v>
      </c>
      <c r="E492" s="18" t="s">
        <v>32</v>
      </c>
      <c r="F492" s="18">
        <v>6033</v>
      </c>
      <c r="G492" s="18">
        <v>193</v>
      </c>
      <c r="H492" s="18">
        <v>117.12</v>
      </c>
      <c r="I492" s="18">
        <v>0.03199</v>
      </c>
      <c r="J492" s="18">
        <v>0.61</v>
      </c>
      <c r="K492" s="18">
        <v>19.41</v>
      </c>
      <c r="L492" s="18">
        <v>0</v>
      </c>
      <c r="M492" s="18">
        <v>0</v>
      </c>
      <c r="N492" s="18">
        <v>0</v>
      </c>
      <c r="O492" s="18">
        <v>0</v>
      </c>
      <c r="P492" s="18">
        <v>0</v>
      </c>
      <c r="Q492" s="18">
        <v>0</v>
      </c>
      <c r="R492" s="18">
        <v>0</v>
      </c>
      <c r="S492" s="18">
        <v>0</v>
      </c>
      <c r="T492" s="18">
        <v>0</v>
      </c>
      <c r="U492" s="18">
        <v>0</v>
      </c>
      <c r="V492" s="18">
        <v>0</v>
      </c>
      <c r="W492" s="18">
        <v>0</v>
      </c>
      <c r="X492" s="18">
        <v>0</v>
      </c>
      <c r="Y492" s="18">
        <v>0</v>
      </c>
      <c r="Z492" s="18">
        <v>0</v>
      </c>
      <c r="AA492" s="18"/>
      <c r="AB492" s="18">
        <v>4</v>
      </c>
      <c r="AC492" s="18">
        <v>3</v>
      </c>
      <c r="AD492" s="18">
        <v>1</v>
      </c>
      <c r="AE492" s="18">
        <v>0.02073</v>
      </c>
      <c r="AF492" s="18">
        <v>3</v>
      </c>
      <c r="AG492" s="18">
        <v>0</v>
      </c>
      <c r="AH492" s="18"/>
      <c r="AI492" s="18">
        <v>7</v>
      </c>
      <c r="AJ492" s="18">
        <v>16.73</v>
      </c>
      <c r="AK492" s="18">
        <v>7</v>
      </c>
      <c r="AL492" s="18">
        <v>16.73</v>
      </c>
      <c r="AM492" s="18">
        <v>3</v>
      </c>
      <c r="AN492" s="18">
        <v>39.04</v>
      </c>
      <c r="AO492" s="18">
        <v>0.01554</v>
      </c>
      <c r="AP492" s="18">
        <v>29.28</v>
      </c>
      <c r="AQ492" s="18">
        <v>0</v>
      </c>
      <c r="AR492" s="18">
        <v>0</v>
      </c>
      <c r="AS492" s="18">
        <v>2</v>
      </c>
      <c r="AT492" s="18">
        <v>1</v>
      </c>
      <c r="AU492" s="18">
        <v>0</v>
      </c>
      <c r="AV492" s="18">
        <v>0</v>
      </c>
      <c r="AW492" s="18">
        <v>0</v>
      </c>
      <c r="AX492" s="18">
        <v>1</v>
      </c>
      <c r="AY492" s="18">
        <v>270</v>
      </c>
      <c r="AZ492" s="18">
        <v>163</v>
      </c>
      <c r="BA492" s="18">
        <v>146</v>
      </c>
      <c r="BB492" s="18">
        <v>0.89571</v>
      </c>
      <c r="BC492" s="18">
        <v>0</v>
      </c>
      <c r="BD492" s="18">
        <v>0</v>
      </c>
      <c r="BE492" s="18">
        <v>0.04475</v>
      </c>
      <c r="BF492" s="18">
        <v>57</v>
      </c>
      <c r="BG492" s="18">
        <v>2</v>
      </c>
      <c r="BH492" s="18">
        <v>0</v>
      </c>
      <c r="BI492" s="18"/>
      <c r="BJ492" s="18">
        <v>0</v>
      </c>
      <c r="BK492" s="18">
        <v>0</v>
      </c>
      <c r="BL492" s="18">
        <v>0</v>
      </c>
      <c r="BM492" s="18">
        <v>0</v>
      </c>
      <c r="BN492" s="18"/>
      <c r="BO492" s="18"/>
      <c r="BP492" s="18">
        <v>0</v>
      </c>
      <c r="BQ492" s="18">
        <v>298</v>
      </c>
      <c r="BR492" s="18">
        <v>0</v>
      </c>
      <c r="BS492" s="18">
        <v>0</v>
      </c>
      <c r="BT492" s="18">
        <v>0</v>
      </c>
      <c r="BU492" s="18">
        <v>0</v>
      </c>
    </row>
    <row r="493" spans="1:73">
      <c r="A493" s="19">
        <v>46170</v>
      </c>
      <c r="B493" s="18">
        <v>183</v>
      </c>
      <c r="C493" s="18" t="s">
        <v>40</v>
      </c>
      <c r="D493" s="18">
        <v>183</v>
      </c>
      <c r="E493" s="18" t="s">
        <v>40</v>
      </c>
      <c r="F493" s="18">
        <v>1796</v>
      </c>
      <c r="G493" s="18">
        <v>49</v>
      </c>
      <c r="H493" s="18">
        <v>100</v>
      </c>
      <c r="I493" s="18">
        <v>0.02728</v>
      </c>
      <c r="J493" s="18">
        <v>2.04</v>
      </c>
      <c r="K493" s="18">
        <v>55.68</v>
      </c>
      <c r="L493" s="18">
        <v>0</v>
      </c>
      <c r="M493" s="18">
        <v>0</v>
      </c>
      <c r="N493" s="18">
        <v>0</v>
      </c>
      <c r="O493" s="18">
        <v>0</v>
      </c>
      <c r="P493" s="18">
        <v>0</v>
      </c>
      <c r="Q493" s="18">
        <v>0</v>
      </c>
      <c r="R493" s="18">
        <v>496.04</v>
      </c>
      <c r="S493" s="18">
        <v>0</v>
      </c>
      <c r="T493" s="18">
        <v>496.04</v>
      </c>
      <c r="U493" s="18">
        <v>1</v>
      </c>
      <c r="V493" s="18">
        <v>1</v>
      </c>
      <c r="W493" s="18">
        <v>0</v>
      </c>
      <c r="X493" s="18">
        <v>0.02041</v>
      </c>
      <c r="Y493" s="18">
        <v>4.96</v>
      </c>
      <c r="Z493" s="18">
        <v>4.96</v>
      </c>
      <c r="AA493" s="18">
        <v>100</v>
      </c>
      <c r="AB493" s="18">
        <v>12</v>
      </c>
      <c r="AC493" s="18">
        <v>4</v>
      </c>
      <c r="AD493" s="18">
        <v>8</v>
      </c>
      <c r="AE493" s="18">
        <v>0.2449</v>
      </c>
      <c r="AF493" s="18">
        <v>1</v>
      </c>
      <c r="AG493" s="18">
        <v>0</v>
      </c>
      <c r="AH493" s="18"/>
      <c r="AI493" s="18">
        <v>13</v>
      </c>
      <c r="AJ493" s="18">
        <v>7.69</v>
      </c>
      <c r="AK493" s="18">
        <v>13</v>
      </c>
      <c r="AL493" s="18">
        <v>7.69</v>
      </c>
      <c r="AM493" s="18">
        <v>1</v>
      </c>
      <c r="AN493" s="18">
        <v>100</v>
      </c>
      <c r="AO493" s="18">
        <v>0.02041</v>
      </c>
      <c r="AP493" s="18">
        <v>8.33</v>
      </c>
      <c r="AQ493" s="18">
        <v>2</v>
      </c>
      <c r="AR493" s="18">
        <v>1196</v>
      </c>
      <c r="AS493" s="18">
        <v>1</v>
      </c>
      <c r="AT493" s="18">
        <v>0</v>
      </c>
      <c r="AU493" s="18">
        <v>0</v>
      </c>
      <c r="AV493" s="18">
        <v>0</v>
      </c>
      <c r="AW493" s="18">
        <v>0</v>
      </c>
      <c r="AX493" s="18">
        <v>1</v>
      </c>
      <c r="AY493" s="18">
        <v>399</v>
      </c>
      <c r="AZ493" s="18">
        <v>153</v>
      </c>
      <c r="BA493" s="18">
        <v>116</v>
      </c>
      <c r="BB493" s="18">
        <v>0.75817</v>
      </c>
      <c r="BC493" s="18">
        <v>0</v>
      </c>
      <c r="BD493" s="18">
        <v>0</v>
      </c>
      <c r="BE493" s="18">
        <v>0.22216</v>
      </c>
      <c r="BF493" s="18">
        <v>185</v>
      </c>
      <c r="BG493" s="18">
        <v>3</v>
      </c>
      <c r="BH493" s="18">
        <v>1</v>
      </c>
      <c r="BI493" s="18">
        <v>1</v>
      </c>
      <c r="BJ493" s="18">
        <v>0</v>
      </c>
      <c r="BK493" s="18">
        <v>0</v>
      </c>
      <c r="BL493" s="18">
        <v>0</v>
      </c>
      <c r="BM493" s="18">
        <v>1</v>
      </c>
      <c r="BN493" s="18">
        <v>1</v>
      </c>
      <c r="BO493" s="18">
        <v>496.04</v>
      </c>
      <c r="BP493" s="18">
        <v>0</v>
      </c>
      <c r="BQ493" s="18">
        <v>478</v>
      </c>
      <c r="BR493" s="18">
        <v>0</v>
      </c>
      <c r="BS493" s="18">
        <v>0</v>
      </c>
      <c r="BT493" s="18">
        <v>0</v>
      </c>
      <c r="BU493" s="18">
        <v>0</v>
      </c>
    </row>
    <row r="494" spans="1:73">
      <c r="A494" s="19">
        <v>46170</v>
      </c>
      <c r="B494" s="18">
        <v>479</v>
      </c>
      <c r="C494" s="18" t="s">
        <v>39</v>
      </c>
      <c r="D494" s="18">
        <v>479</v>
      </c>
      <c r="E494" s="18" t="s">
        <v>39</v>
      </c>
      <c r="F494" s="18">
        <v>35</v>
      </c>
      <c r="G494" s="18">
        <v>11</v>
      </c>
      <c r="H494" s="18">
        <v>12.36</v>
      </c>
      <c r="I494" s="18">
        <v>0.31429</v>
      </c>
      <c r="J494" s="18">
        <v>1.12</v>
      </c>
      <c r="K494" s="18">
        <v>353.14</v>
      </c>
      <c r="L494" s="18">
        <v>0</v>
      </c>
      <c r="M494" s="18">
        <v>0</v>
      </c>
      <c r="N494" s="18">
        <v>0</v>
      </c>
      <c r="O494" s="18">
        <v>0</v>
      </c>
      <c r="P494" s="18">
        <v>0</v>
      </c>
      <c r="Q494" s="18">
        <v>0</v>
      </c>
      <c r="R494" s="18">
        <v>0</v>
      </c>
      <c r="S494" s="18">
        <v>0</v>
      </c>
      <c r="T494" s="18">
        <v>0</v>
      </c>
      <c r="U494" s="18">
        <v>0</v>
      </c>
      <c r="V494" s="18">
        <v>0</v>
      </c>
      <c r="W494" s="18">
        <v>0</v>
      </c>
      <c r="X494" s="18">
        <v>0</v>
      </c>
      <c r="Y494" s="18">
        <v>0</v>
      </c>
      <c r="Z494" s="18">
        <v>0</v>
      </c>
      <c r="AA494" s="18"/>
      <c r="AB494" s="18">
        <v>1</v>
      </c>
      <c r="AC494" s="18">
        <v>0</v>
      </c>
      <c r="AD494" s="18">
        <v>1</v>
      </c>
      <c r="AE494" s="18">
        <v>0.09091</v>
      </c>
      <c r="AF494" s="18">
        <v>0</v>
      </c>
      <c r="AG494" s="18">
        <v>0</v>
      </c>
      <c r="AH494" s="18"/>
      <c r="AI494" s="18">
        <v>1</v>
      </c>
      <c r="AJ494" s="18">
        <v>12.36</v>
      </c>
      <c r="AK494" s="18">
        <v>1</v>
      </c>
      <c r="AL494" s="18">
        <v>12.36</v>
      </c>
      <c r="AM494" s="18">
        <v>0</v>
      </c>
      <c r="AN494" s="18"/>
      <c r="AO494" s="18">
        <v>0</v>
      </c>
      <c r="AP494" s="18">
        <v>12.36</v>
      </c>
      <c r="AQ494" s="18">
        <v>0</v>
      </c>
      <c r="AR494" s="18">
        <v>0</v>
      </c>
      <c r="AS494" s="18">
        <v>0</v>
      </c>
      <c r="AT494" s="18">
        <v>0</v>
      </c>
      <c r="AU494" s="18">
        <v>0</v>
      </c>
      <c r="AV494" s="18">
        <v>0</v>
      </c>
      <c r="AW494" s="18">
        <v>0</v>
      </c>
      <c r="AX494" s="18">
        <v>0</v>
      </c>
      <c r="AY494" s="18">
        <v>77</v>
      </c>
      <c r="AZ494" s="18">
        <v>10</v>
      </c>
      <c r="BA494" s="18">
        <v>5</v>
      </c>
      <c r="BB494" s="18">
        <v>0.5</v>
      </c>
      <c r="BC494" s="18">
        <v>0</v>
      </c>
      <c r="BD494" s="18">
        <v>0</v>
      </c>
      <c r="BE494" s="18">
        <v>2.2</v>
      </c>
      <c r="BF494" s="18">
        <v>65</v>
      </c>
      <c r="BG494" s="18">
        <v>8</v>
      </c>
      <c r="BH494" s="18">
        <v>0</v>
      </c>
      <c r="BI494" s="18"/>
      <c r="BJ494" s="18">
        <v>0</v>
      </c>
      <c r="BK494" s="18">
        <v>0</v>
      </c>
      <c r="BL494" s="18">
        <v>0</v>
      </c>
      <c r="BM494" s="18">
        <v>0</v>
      </c>
      <c r="BN494" s="18"/>
      <c r="BO494" s="18"/>
      <c r="BP494" s="18">
        <v>0</v>
      </c>
      <c r="BQ494" s="18">
        <v>49</v>
      </c>
      <c r="BR494" s="18">
        <v>0</v>
      </c>
      <c r="BS494" s="18">
        <v>0</v>
      </c>
      <c r="BT494" s="18">
        <v>0</v>
      </c>
      <c r="BU494" s="18">
        <v>0</v>
      </c>
    </row>
    <row r="495" spans="1:73">
      <c r="A495" s="19">
        <v>46169</v>
      </c>
      <c r="B495" s="18">
        <v>372</v>
      </c>
      <c r="C495" s="18" t="s">
        <v>37</v>
      </c>
      <c r="D495" s="18">
        <v>372</v>
      </c>
      <c r="E495" s="18" t="s">
        <v>61</v>
      </c>
      <c r="F495" s="18">
        <v>1662</v>
      </c>
      <c r="G495" s="18">
        <v>138</v>
      </c>
      <c r="H495" s="18">
        <v>68.75</v>
      </c>
      <c r="I495" s="18">
        <v>0.08303</v>
      </c>
      <c r="J495" s="18">
        <v>0.5</v>
      </c>
      <c r="K495" s="18">
        <v>41.37</v>
      </c>
      <c r="L495" s="18">
        <v>0</v>
      </c>
      <c r="M495" s="18">
        <v>0</v>
      </c>
      <c r="N495" s="18">
        <v>0</v>
      </c>
      <c r="O495" s="18">
        <v>0</v>
      </c>
      <c r="P495" s="18">
        <v>0</v>
      </c>
      <c r="Q495" s="18">
        <v>0</v>
      </c>
      <c r="R495" s="18">
        <v>0</v>
      </c>
      <c r="S495" s="18">
        <v>0</v>
      </c>
      <c r="T495" s="18">
        <v>0</v>
      </c>
      <c r="U495" s="18">
        <v>0</v>
      </c>
      <c r="V495" s="18">
        <v>0</v>
      </c>
      <c r="W495" s="18">
        <v>0</v>
      </c>
      <c r="X495" s="18">
        <v>0</v>
      </c>
      <c r="Y495" s="18">
        <v>0</v>
      </c>
      <c r="Z495" s="18">
        <v>0</v>
      </c>
      <c r="AA495" s="18"/>
      <c r="AB495" s="18">
        <v>1</v>
      </c>
      <c r="AC495" s="18">
        <v>1</v>
      </c>
      <c r="AD495" s="18">
        <v>0</v>
      </c>
      <c r="AE495" s="18">
        <v>0.00725</v>
      </c>
      <c r="AF495" s="18">
        <v>2</v>
      </c>
      <c r="AG495" s="18">
        <v>0</v>
      </c>
      <c r="AH495" s="18"/>
      <c r="AI495" s="18">
        <v>3</v>
      </c>
      <c r="AJ495" s="18">
        <v>22.92</v>
      </c>
      <c r="AK495" s="18">
        <v>3</v>
      </c>
      <c r="AL495" s="18">
        <v>22.92</v>
      </c>
      <c r="AM495" s="18">
        <v>2</v>
      </c>
      <c r="AN495" s="18">
        <v>34.38</v>
      </c>
      <c r="AO495" s="18">
        <v>0.01449</v>
      </c>
      <c r="AP495" s="18">
        <v>68.75</v>
      </c>
      <c r="AQ495" s="18">
        <v>0</v>
      </c>
      <c r="AR495" s="18">
        <v>0</v>
      </c>
      <c r="AS495" s="18">
        <v>0</v>
      </c>
      <c r="AT495" s="18">
        <v>2</v>
      </c>
      <c r="AU495" s="18">
        <v>0</v>
      </c>
      <c r="AV495" s="18">
        <v>0</v>
      </c>
      <c r="AW495" s="18">
        <v>0</v>
      </c>
      <c r="AX495" s="18">
        <v>0</v>
      </c>
      <c r="AY495" s="18">
        <v>244</v>
      </c>
      <c r="AZ495" s="18">
        <v>137</v>
      </c>
      <c r="BA495" s="18">
        <v>93</v>
      </c>
      <c r="BB495" s="18">
        <v>0.67883</v>
      </c>
      <c r="BC495" s="18">
        <v>0</v>
      </c>
      <c r="BD495" s="18">
        <v>0</v>
      </c>
      <c r="BE495" s="18">
        <v>0.14681</v>
      </c>
      <c r="BF495" s="18">
        <v>75</v>
      </c>
      <c r="BG495" s="18">
        <v>2</v>
      </c>
      <c r="BH495" s="18">
        <v>0</v>
      </c>
      <c r="BI495" s="18"/>
      <c r="BJ495" s="18">
        <v>0</v>
      </c>
      <c r="BK495" s="18">
        <v>0</v>
      </c>
      <c r="BL495" s="18">
        <v>0</v>
      </c>
      <c r="BM495" s="18">
        <v>0</v>
      </c>
      <c r="BN495" s="18"/>
      <c r="BO495" s="18"/>
      <c r="BP495" s="18">
        <v>39.86</v>
      </c>
      <c r="BQ495" s="18">
        <v>303</v>
      </c>
      <c r="BR495" s="18">
        <v>0</v>
      </c>
      <c r="BS495" s="18">
        <v>0</v>
      </c>
      <c r="BT495" s="18">
        <v>0</v>
      </c>
      <c r="BU495" s="18">
        <v>0</v>
      </c>
    </row>
    <row r="496" spans="1:73">
      <c r="A496" s="19">
        <v>46169</v>
      </c>
      <c r="B496" s="18">
        <v>479</v>
      </c>
      <c r="C496" s="18" t="s">
        <v>39</v>
      </c>
      <c r="D496" s="18">
        <v>479</v>
      </c>
      <c r="E496" s="18" t="s">
        <v>39</v>
      </c>
      <c r="F496" s="18">
        <v>46</v>
      </c>
      <c r="G496" s="18">
        <v>18</v>
      </c>
      <c r="H496" s="18">
        <v>15.3</v>
      </c>
      <c r="I496" s="18">
        <v>0.3913</v>
      </c>
      <c r="J496" s="18">
        <v>0.85</v>
      </c>
      <c r="K496" s="18">
        <v>332.53</v>
      </c>
      <c r="L496" s="18">
        <v>0</v>
      </c>
      <c r="M496" s="18">
        <v>0</v>
      </c>
      <c r="N496" s="18">
        <v>0</v>
      </c>
      <c r="O496" s="18">
        <v>0</v>
      </c>
      <c r="P496" s="18">
        <v>0</v>
      </c>
      <c r="Q496" s="18">
        <v>0</v>
      </c>
      <c r="R496" s="18">
        <v>0</v>
      </c>
      <c r="S496" s="18">
        <v>4036</v>
      </c>
      <c r="T496" s="18">
        <v>4036</v>
      </c>
      <c r="U496" s="18">
        <v>1</v>
      </c>
      <c r="V496" s="18">
        <v>0</v>
      </c>
      <c r="W496" s="18">
        <v>1</v>
      </c>
      <c r="X496" s="18">
        <v>0.05556</v>
      </c>
      <c r="Y496" s="18">
        <v>263.85</v>
      </c>
      <c r="Z496" s="18">
        <v>263.85</v>
      </c>
      <c r="AA496" s="18">
        <v>15.3</v>
      </c>
      <c r="AB496" s="18">
        <v>9</v>
      </c>
      <c r="AC496" s="18">
        <v>1</v>
      </c>
      <c r="AD496" s="18">
        <v>8</v>
      </c>
      <c r="AE496" s="18">
        <v>0.5</v>
      </c>
      <c r="AF496" s="18">
        <v>0</v>
      </c>
      <c r="AG496" s="18">
        <v>2</v>
      </c>
      <c r="AH496" s="18">
        <v>7.65</v>
      </c>
      <c r="AI496" s="18">
        <v>11</v>
      </c>
      <c r="AJ496" s="18">
        <v>1.39</v>
      </c>
      <c r="AK496" s="18">
        <v>9</v>
      </c>
      <c r="AL496" s="18">
        <v>1.7</v>
      </c>
      <c r="AM496" s="18">
        <v>2</v>
      </c>
      <c r="AN496" s="18"/>
      <c r="AO496" s="18">
        <v>0</v>
      </c>
      <c r="AP496" s="18">
        <v>1.7</v>
      </c>
      <c r="AQ496" s="18">
        <v>2</v>
      </c>
      <c r="AR496" s="18">
        <v>5048</v>
      </c>
      <c r="AS496" s="18">
        <v>0</v>
      </c>
      <c r="AT496" s="18">
        <v>0</v>
      </c>
      <c r="AU496" s="18">
        <v>0</v>
      </c>
      <c r="AV496" s="18">
        <v>0</v>
      </c>
      <c r="AW496" s="18">
        <v>0</v>
      </c>
      <c r="AX496" s="18">
        <v>0</v>
      </c>
      <c r="AY496" s="18">
        <v>217</v>
      </c>
      <c r="AZ496" s="18">
        <v>14</v>
      </c>
      <c r="BA496" s="18">
        <v>10</v>
      </c>
      <c r="BB496" s="18">
        <v>0.71429</v>
      </c>
      <c r="BC496" s="18">
        <v>0</v>
      </c>
      <c r="BD496" s="18">
        <v>0</v>
      </c>
      <c r="BE496" s="18">
        <v>4.71739</v>
      </c>
      <c r="BF496" s="18">
        <v>199</v>
      </c>
      <c r="BG496" s="18">
        <v>16</v>
      </c>
      <c r="BH496" s="18">
        <v>1</v>
      </c>
      <c r="BI496" s="18">
        <v>1</v>
      </c>
      <c r="BJ496" s="18">
        <v>0</v>
      </c>
      <c r="BK496" s="18">
        <v>0</v>
      </c>
      <c r="BL496" s="18">
        <v>0</v>
      </c>
      <c r="BM496" s="18">
        <v>1</v>
      </c>
      <c r="BN496" s="18">
        <v>1</v>
      </c>
      <c r="BO496" s="18">
        <v>4036</v>
      </c>
      <c r="BP496" s="18">
        <v>1.68</v>
      </c>
      <c r="BQ496" s="18">
        <v>78</v>
      </c>
      <c r="BR496" s="18">
        <v>0</v>
      </c>
      <c r="BS496" s="18">
        <v>0</v>
      </c>
      <c r="BT496" s="18">
        <v>0</v>
      </c>
      <c r="BU496" s="18">
        <v>0</v>
      </c>
    </row>
    <row r="497" spans="1:73">
      <c r="A497" s="19">
        <v>46169</v>
      </c>
      <c r="B497" s="18">
        <v>183</v>
      </c>
      <c r="C497" s="18" t="s">
        <v>40</v>
      </c>
      <c r="D497" s="18">
        <v>183</v>
      </c>
      <c r="E497" s="18" t="s">
        <v>40</v>
      </c>
      <c r="F497" s="18">
        <v>1242</v>
      </c>
      <c r="G497" s="18">
        <v>49</v>
      </c>
      <c r="H497" s="18">
        <v>100</v>
      </c>
      <c r="I497" s="18">
        <v>0.03945</v>
      </c>
      <c r="J497" s="18">
        <v>2.04</v>
      </c>
      <c r="K497" s="18">
        <v>80.52</v>
      </c>
      <c r="L497" s="18">
        <v>0</v>
      </c>
      <c r="M497" s="18">
        <v>0</v>
      </c>
      <c r="N497" s="18">
        <v>0</v>
      </c>
      <c r="O497" s="18">
        <v>0</v>
      </c>
      <c r="P497" s="18">
        <v>0</v>
      </c>
      <c r="Q497" s="18">
        <v>0</v>
      </c>
      <c r="R497" s="18">
        <v>78.02</v>
      </c>
      <c r="S497" s="18">
        <v>0</v>
      </c>
      <c r="T497" s="18">
        <v>78.02</v>
      </c>
      <c r="U497" s="18">
        <v>1</v>
      </c>
      <c r="V497" s="18">
        <v>1</v>
      </c>
      <c r="W497" s="18">
        <v>0</v>
      </c>
      <c r="X497" s="18">
        <v>0.02041</v>
      </c>
      <c r="Y497" s="18">
        <v>0.78</v>
      </c>
      <c r="Z497" s="18">
        <v>0.78</v>
      </c>
      <c r="AA497" s="18">
        <v>100</v>
      </c>
      <c r="AB497" s="18">
        <v>7</v>
      </c>
      <c r="AC497" s="18">
        <v>1</v>
      </c>
      <c r="AD497" s="18">
        <v>6</v>
      </c>
      <c r="AE497" s="18">
        <v>0.14286</v>
      </c>
      <c r="AF497" s="18">
        <v>4</v>
      </c>
      <c r="AG497" s="18">
        <v>0</v>
      </c>
      <c r="AH497" s="18"/>
      <c r="AI497" s="18">
        <v>11</v>
      </c>
      <c r="AJ497" s="18">
        <v>9.09</v>
      </c>
      <c r="AK497" s="18">
        <v>11</v>
      </c>
      <c r="AL497" s="18">
        <v>9.09</v>
      </c>
      <c r="AM497" s="18">
        <v>4</v>
      </c>
      <c r="AN497" s="18">
        <v>25</v>
      </c>
      <c r="AO497" s="18">
        <v>0.08163</v>
      </c>
      <c r="AP497" s="18">
        <v>14.29</v>
      </c>
      <c r="AQ497" s="18">
        <v>2</v>
      </c>
      <c r="AR497" s="18">
        <v>148.9</v>
      </c>
      <c r="AS497" s="18">
        <v>4</v>
      </c>
      <c r="AT497" s="18">
        <v>0</v>
      </c>
      <c r="AU497" s="18">
        <v>0</v>
      </c>
      <c r="AV497" s="18">
        <v>0</v>
      </c>
      <c r="AW497" s="18">
        <v>0</v>
      </c>
      <c r="AX497" s="18">
        <v>1</v>
      </c>
      <c r="AY497" s="18">
        <v>365</v>
      </c>
      <c r="AZ497" s="18">
        <v>89</v>
      </c>
      <c r="BA497" s="18">
        <v>58</v>
      </c>
      <c r="BB497" s="18">
        <v>0.65169</v>
      </c>
      <c r="BC497" s="18">
        <v>0</v>
      </c>
      <c r="BD497" s="18">
        <v>0</v>
      </c>
      <c r="BE497" s="18">
        <v>0.29388</v>
      </c>
      <c r="BF497" s="18">
        <v>228</v>
      </c>
      <c r="BG497" s="18">
        <v>4</v>
      </c>
      <c r="BH497" s="18">
        <v>0</v>
      </c>
      <c r="BI497" s="18">
        <v>0</v>
      </c>
      <c r="BJ497" s="18">
        <v>0</v>
      </c>
      <c r="BK497" s="18">
        <v>0</v>
      </c>
      <c r="BL497" s="18">
        <v>0</v>
      </c>
      <c r="BM497" s="18">
        <v>1</v>
      </c>
      <c r="BN497" s="18">
        <v>1</v>
      </c>
      <c r="BO497" s="18">
        <v>78.02</v>
      </c>
      <c r="BP497" s="18">
        <v>6.19</v>
      </c>
      <c r="BQ497" s="18">
        <v>375</v>
      </c>
      <c r="BR497" s="18">
        <v>0</v>
      </c>
      <c r="BS497" s="18">
        <v>0</v>
      </c>
      <c r="BT497" s="18">
        <v>0</v>
      </c>
      <c r="BU497" s="18">
        <v>0</v>
      </c>
    </row>
    <row r="498" spans="1:73">
      <c r="A498" s="19">
        <v>46169</v>
      </c>
      <c r="B498" s="18">
        <v>371</v>
      </c>
      <c r="C498" s="18" t="s">
        <v>32</v>
      </c>
      <c r="D498" s="18">
        <v>371</v>
      </c>
      <c r="E498" s="18" t="s">
        <v>32</v>
      </c>
      <c r="F498" s="18">
        <v>5608</v>
      </c>
      <c r="G498" s="18">
        <v>204</v>
      </c>
      <c r="H498" s="18">
        <v>120</v>
      </c>
      <c r="I498" s="18">
        <v>0.03638</v>
      </c>
      <c r="J498" s="18">
        <v>0.59</v>
      </c>
      <c r="K498" s="18">
        <v>21.4</v>
      </c>
      <c r="L498" s="18">
        <v>0</v>
      </c>
      <c r="M498" s="18">
        <v>0</v>
      </c>
      <c r="N498" s="18">
        <v>0</v>
      </c>
      <c r="O498" s="18">
        <v>0</v>
      </c>
      <c r="P498" s="18">
        <v>0</v>
      </c>
      <c r="Q498" s="18">
        <v>0</v>
      </c>
      <c r="R498" s="18">
        <v>133.6</v>
      </c>
      <c r="S498" s="18">
        <v>0</v>
      </c>
      <c r="T498" s="18">
        <v>133.6</v>
      </c>
      <c r="U498" s="18">
        <v>1</v>
      </c>
      <c r="V498" s="18">
        <v>1</v>
      </c>
      <c r="W498" s="18">
        <v>0</v>
      </c>
      <c r="X498" s="18">
        <v>0.0049</v>
      </c>
      <c r="Y498" s="18">
        <v>1.11</v>
      </c>
      <c r="Z498" s="18">
        <v>1.11</v>
      </c>
      <c r="AA498" s="18">
        <v>120</v>
      </c>
      <c r="AB498" s="18">
        <v>4</v>
      </c>
      <c r="AC498" s="18">
        <v>4</v>
      </c>
      <c r="AD498" s="18">
        <v>0</v>
      </c>
      <c r="AE498" s="18">
        <v>0.01961</v>
      </c>
      <c r="AF498" s="18">
        <v>0</v>
      </c>
      <c r="AG498" s="18">
        <v>0</v>
      </c>
      <c r="AH498" s="18"/>
      <c r="AI498" s="18">
        <v>4</v>
      </c>
      <c r="AJ498" s="18">
        <v>30</v>
      </c>
      <c r="AK498" s="18">
        <v>4</v>
      </c>
      <c r="AL498" s="18">
        <v>30</v>
      </c>
      <c r="AM498" s="18">
        <v>0</v>
      </c>
      <c r="AN498" s="18"/>
      <c r="AO498" s="18">
        <v>0</v>
      </c>
      <c r="AP498" s="18">
        <v>30</v>
      </c>
      <c r="AQ498" s="18">
        <v>2</v>
      </c>
      <c r="AR498" s="18">
        <v>217.9</v>
      </c>
      <c r="AS498" s="18">
        <v>0</v>
      </c>
      <c r="AT498" s="18">
        <v>0</v>
      </c>
      <c r="AU498" s="18">
        <v>0</v>
      </c>
      <c r="AV498" s="18">
        <v>0</v>
      </c>
      <c r="AW498" s="18">
        <v>0</v>
      </c>
      <c r="AX498" s="18">
        <v>0</v>
      </c>
      <c r="AY498" s="18">
        <v>316</v>
      </c>
      <c r="AZ498" s="18">
        <v>154</v>
      </c>
      <c r="BA498" s="18">
        <v>144</v>
      </c>
      <c r="BB498" s="18">
        <v>0.93506</v>
      </c>
      <c r="BC498" s="18">
        <v>0</v>
      </c>
      <c r="BD498" s="18">
        <v>0</v>
      </c>
      <c r="BE498" s="18">
        <v>0.05635</v>
      </c>
      <c r="BF498" s="18">
        <v>83</v>
      </c>
      <c r="BG498" s="18">
        <v>2</v>
      </c>
      <c r="BH498" s="18">
        <v>1</v>
      </c>
      <c r="BI498" s="18">
        <v>1</v>
      </c>
      <c r="BJ498" s="18">
        <v>0</v>
      </c>
      <c r="BK498" s="18">
        <v>0</v>
      </c>
      <c r="BL498" s="18">
        <v>0</v>
      </c>
      <c r="BM498" s="18">
        <v>1</v>
      </c>
      <c r="BN498" s="18">
        <v>1</v>
      </c>
      <c r="BO498" s="18">
        <v>133.6</v>
      </c>
      <c r="BP498" s="18">
        <v>43.49</v>
      </c>
      <c r="BQ498" s="18">
        <v>399</v>
      </c>
      <c r="BR498" s="18">
        <v>0</v>
      </c>
      <c r="BS498" s="18">
        <v>0</v>
      </c>
      <c r="BT498" s="18">
        <v>0</v>
      </c>
      <c r="BU498" s="18">
        <v>0</v>
      </c>
    </row>
    <row r="499" spans="1:73">
      <c r="A499" s="19">
        <v>46169</v>
      </c>
      <c r="B499" s="18">
        <v>436</v>
      </c>
      <c r="C499" s="18" t="s">
        <v>38</v>
      </c>
      <c r="D499" s="18">
        <v>436</v>
      </c>
      <c r="E499" s="18" t="s">
        <v>38</v>
      </c>
      <c r="F499" s="18">
        <v>435</v>
      </c>
      <c r="G499" s="18">
        <v>24</v>
      </c>
      <c r="H499" s="18">
        <v>50</v>
      </c>
      <c r="I499" s="18">
        <v>0.05517</v>
      </c>
      <c r="J499" s="18">
        <v>2.08</v>
      </c>
      <c r="K499" s="18">
        <v>114.94</v>
      </c>
      <c r="L499" s="18">
        <v>0</v>
      </c>
      <c r="M499" s="18">
        <v>0</v>
      </c>
      <c r="N499" s="18">
        <v>0</v>
      </c>
      <c r="O499" s="18">
        <v>0</v>
      </c>
      <c r="P499" s="18">
        <v>0</v>
      </c>
      <c r="Q499" s="18">
        <v>0</v>
      </c>
      <c r="R499" s="18">
        <v>0</v>
      </c>
      <c r="S499" s="18">
        <v>0</v>
      </c>
      <c r="T499" s="18">
        <v>0</v>
      </c>
      <c r="U499" s="18">
        <v>0</v>
      </c>
      <c r="V499" s="18">
        <v>0</v>
      </c>
      <c r="W499" s="18">
        <v>0</v>
      </c>
      <c r="X499" s="18">
        <v>0</v>
      </c>
      <c r="Y499" s="18">
        <v>0</v>
      </c>
      <c r="Z499" s="18">
        <v>0</v>
      </c>
      <c r="AA499" s="18"/>
      <c r="AB499" s="18">
        <v>1</v>
      </c>
      <c r="AC499" s="18">
        <v>0</v>
      </c>
      <c r="AD499" s="18">
        <v>1</v>
      </c>
      <c r="AE499" s="18">
        <v>0.04167</v>
      </c>
      <c r="AF499" s="18">
        <v>0</v>
      </c>
      <c r="AG499" s="18">
        <v>0</v>
      </c>
      <c r="AH499" s="18"/>
      <c r="AI499" s="18">
        <v>1</v>
      </c>
      <c r="AJ499" s="18">
        <v>50</v>
      </c>
      <c r="AK499" s="18">
        <v>1</v>
      </c>
      <c r="AL499" s="18">
        <v>50</v>
      </c>
      <c r="AM499" s="18">
        <v>0</v>
      </c>
      <c r="AN499" s="18"/>
      <c r="AO499" s="18">
        <v>0</v>
      </c>
      <c r="AP499" s="18">
        <v>50</v>
      </c>
      <c r="AQ499" s="18">
        <v>0</v>
      </c>
      <c r="AR499" s="18">
        <v>0</v>
      </c>
      <c r="AS499" s="18">
        <v>0</v>
      </c>
      <c r="AT499" s="18">
        <v>0</v>
      </c>
      <c r="AU499" s="18">
        <v>0</v>
      </c>
      <c r="AV499" s="18">
        <v>0</v>
      </c>
      <c r="AW499" s="18">
        <v>0</v>
      </c>
      <c r="AX499" s="18">
        <v>0</v>
      </c>
      <c r="AY499" s="18">
        <v>86</v>
      </c>
      <c r="AZ499" s="18">
        <v>20</v>
      </c>
      <c r="BA499" s="18">
        <v>9</v>
      </c>
      <c r="BB499" s="18">
        <v>0.45</v>
      </c>
      <c r="BC499" s="18">
        <v>0</v>
      </c>
      <c r="BD499" s="18">
        <v>0</v>
      </c>
      <c r="BE499" s="18">
        <v>0.1977</v>
      </c>
      <c r="BF499" s="18">
        <v>62</v>
      </c>
      <c r="BG499" s="18">
        <v>4</v>
      </c>
      <c r="BH499" s="18">
        <v>0</v>
      </c>
      <c r="BI499" s="18"/>
      <c r="BJ499" s="18">
        <v>0</v>
      </c>
      <c r="BK499" s="18">
        <v>0</v>
      </c>
      <c r="BL499" s="18">
        <v>0</v>
      </c>
      <c r="BM499" s="18">
        <v>0</v>
      </c>
      <c r="BN499" s="18"/>
      <c r="BO499" s="18"/>
      <c r="BP499" s="18">
        <v>0</v>
      </c>
      <c r="BQ499" s="18">
        <v>62</v>
      </c>
      <c r="BR499" s="18">
        <v>0</v>
      </c>
      <c r="BS499" s="18">
        <v>0</v>
      </c>
      <c r="BT499" s="18">
        <v>0</v>
      </c>
      <c r="BU499" s="18">
        <v>0</v>
      </c>
    </row>
    <row r="500" spans="1:73">
      <c r="A500" s="19">
        <v>46168</v>
      </c>
      <c r="B500" s="18">
        <v>436</v>
      </c>
      <c r="C500" s="18" t="s">
        <v>38</v>
      </c>
      <c r="D500" s="18">
        <v>436</v>
      </c>
      <c r="E500" s="18" t="s">
        <v>38</v>
      </c>
      <c r="F500" s="18">
        <v>632</v>
      </c>
      <c r="G500" s="18">
        <v>32</v>
      </c>
      <c r="H500" s="18">
        <v>41.64</v>
      </c>
      <c r="I500" s="18">
        <v>0.05063</v>
      </c>
      <c r="J500" s="18">
        <v>1.3</v>
      </c>
      <c r="K500" s="18">
        <v>65.89</v>
      </c>
      <c r="L500" s="18">
        <v>0</v>
      </c>
      <c r="M500" s="18">
        <v>0</v>
      </c>
      <c r="N500" s="18">
        <v>0</v>
      </c>
      <c r="O500" s="18">
        <v>0</v>
      </c>
      <c r="P500" s="18">
        <v>0</v>
      </c>
      <c r="Q500" s="18">
        <v>0</v>
      </c>
      <c r="R500" s="18">
        <v>138.64</v>
      </c>
      <c r="S500" s="18">
        <v>0</v>
      </c>
      <c r="T500" s="18">
        <v>138.64</v>
      </c>
      <c r="U500" s="18">
        <v>1</v>
      </c>
      <c r="V500" s="18">
        <v>1</v>
      </c>
      <c r="W500" s="18">
        <v>0</v>
      </c>
      <c r="X500" s="18">
        <v>0.03125</v>
      </c>
      <c r="Y500" s="18">
        <v>3.33</v>
      </c>
      <c r="Z500" s="18">
        <v>3.33</v>
      </c>
      <c r="AA500" s="18">
        <v>41.64</v>
      </c>
      <c r="AB500" s="18">
        <v>2</v>
      </c>
      <c r="AC500" s="18">
        <v>1</v>
      </c>
      <c r="AD500" s="18">
        <v>1</v>
      </c>
      <c r="AE500" s="18">
        <v>0.0625</v>
      </c>
      <c r="AF500" s="18">
        <v>0</v>
      </c>
      <c r="AG500" s="18">
        <v>0</v>
      </c>
      <c r="AH500" s="18"/>
      <c r="AI500" s="18">
        <v>2</v>
      </c>
      <c r="AJ500" s="18">
        <v>20.82</v>
      </c>
      <c r="AK500" s="18">
        <v>2</v>
      </c>
      <c r="AL500" s="18">
        <v>20.82</v>
      </c>
      <c r="AM500" s="18">
        <v>0</v>
      </c>
      <c r="AN500" s="18"/>
      <c r="AO500" s="18">
        <v>0</v>
      </c>
      <c r="AP500" s="18">
        <v>20.82</v>
      </c>
      <c r="AQ500" s="18">
        <v>2</v>
      </c>
      <c r="AR500" s="18">
        <v>217.9</v>
      </c>
      <c r="AS500" s="18">
        <v>0</v>
      </c>
      <c r="AT500" s="18">
        <v>0</v>
      </c>
      <c r="AU500" s="18">
        <v>0</v>
      </c>
      <c r="AV500" s="18">
        <v>0</v>
      </c>
      <c r="AW500" s="18">
        <v>0</v>
      </c>
      <c r="AX500" s="18">
        <v>0</v>
      </c>
      <c r="AY500" s="18">
        <v>85</v>
      </c>
      <c r="AZ500" s="18">
        <v>32</v>
      </c>
      <c r="BA500" s="18">
        <v>22</v>
      </c>
      <c r="BB500" s="18">
        <v>0.6875</v>
      </c>
      <c r="BC500" s="18">
        <v>0</v>
      </c>
      <c r="BD500" s="18">
        <v>0</v>
      </c>
      <c r="BE500" s="18">
        <v>0.13449</v>
      </c>
      <c r="BF500" s="18">
        <v>51</v>
      </c>
      <c r="BG500" s="18">
        <v>3</v>
      </c>
      <c r="BH500" s="18">
        <v>1</v>
      </c>
      <c r="BI500" s="18">
        <v>1</v>
      </c>
      <c r="BJ500" s="18">
        <v>0</v>
      </c>
      <c r="BK500" s="18">
        <v>0</v>
      </c>
      <c r="BL500" s="18">
        <v>0</v>
      </c>
      <c r="BM500" s="18">
        <v>1</v>
      </c>
      <c r="BN500" s="18">
        <v>1</v>
      </c>
      <c r="BO500" s="18">
        <v>138.64</v>
      </c>
      <c r="BP500" s="18">
        <v>8.38</v>
      </c>
      <c r="BQ500" s="18">
        <v>506</v>
      </c>
      <c r="BR500" s="18">
        <v>0</v>
      </c>
      <c r="BS500" s="18">
        <v>0</v>
      </c>
      <c r="BT500" s="18">
        <v>0</v>
      </c>
      <c r="BU500" s="18">
        <v>0</v>
      </c>
    </row>
    <row r="501" spans="1:73">
      <c r="A501" s="19">
        <v>46168</v>
      </c>
      <c r="B501" s="18">
        <v>183</v>
      </c>
      <c r="C501" s="18" t="s">
        <v>40</v>
      </c>
      <c r="D501" s="18">
        <v>183</v>
      </c>
      <c r="E501" s="18" t="s">
        <v>40</v>
      </c>
      <c r="F501" s="18">
        <v>1366</v>
      </c>
      <c r="G501" s="18">
        <v>50</v>
      </c>
      <c r="H501" s="18">
        <v>100</v>
      </c>
      <c r="I501" s="18">
        <v>0.0366</v>
      </c>
      <c r="J501" s="18">
        <v>2</v>
      </c>
      <c r="K501" s="18">
        <v>73.21</v>
      </c>
      <c r="L501" s="18">
        <v>0</v>
      </c>
      <c r="M501" s="18">
        <v>0</v>
      </c>
      <c r="N501" s="18">
        <v>0</v>
      </c>
      <c r="O501" s="18">
        <v>0</v>
      </c>
      <c r="P501" s="18">
        <v>0</v>
      </c>
      <c r="Q501" s="18">
        <v>0</v>
      </c>
      <c r="R501" s="18">
        <v>37.55</v>
      </c>
      <c r="S501" s="18">
        <v>0</v>
      </c>
      <c r="T501" s="18">
        <v>37.55</v>
      </c>
      <c r="U501" s="18">
        <v>1</v>
      </c>
      <c r="V501" s="18">
        <v>1</v>
      </c>
      <c r="W501" s="18">
        <v>0</v>
      </c>
      <c r="X501" s="18">
        <v>0.02</v>
      </c>
      <c r="Y501" s="18">
        <v>0.38</v>
      </c>
      <c r="Z501" s="18">
        <v>0.38</v>
      </c>
      <c r="AA501" s="18">
        <v>100</v>
      </c>
      <c r="AB501" s="18">
        <v>2</v>
      </c>
      <c r="AC501" s="18">
        <v>1</v>
      </c>
      <c r="AD501" s="18">
        <v>1</v>
      </c>
      <c r="AE501" s="18">
        <v>0.04</v>
      </c>
      <c r="AF501" s="18">
        <v>0</v>
      </c>
      <c r="AG501" s="18">
        <v>0</v>
      </c>
      <c r="AH501" s="18"/>
      <c r="AI501" s="18">
        <v>2</v>
      </c>
      <c r="AJ501" s="18">
        <v>50</v>
      </c>
      <c r="AK501" s="18">
        <v>2</v>
      </c>
      <c r="AL501" s="18">
        <v>50</v>
      </c>
      <c r="AM501" s="18">
        <v>0</v>
      </c>
      <c r="AN501" s="18"/>
      <c r="AO501" s="18">
        <v>0</v>
      </c>
      <c r="AP501" s="18">
        <v>50</v>
      </c>
      <c r="AQ501" s="18">
        <v>1</v>
      </c>
      <c r="AR501" s="18">
        <v>79</v>
      </c>
      <c r="AS501" s="18">
        <v>0</v>
      </c>
      <c r="AT501" s="18">
        <v>0</v>
      </c>
      <c r="AU501" s="18">
        <v>0</v>
      </c>
      <c r="AV501" s="18">
        <v>0</v>
      </c>
      <c r="AW501" s="18">
        <v>0</v>
      </c>
      <c r="AX501" s="18">
        <v>2</v>
      </c>
      <c r="AY501" s="18">
        <v>256</v>
      </c>
      <c r="AZ501" s="18">
        <v>95</v>
      </c>
      <c r="BA501" s="18">
        <v>70</v>
      </c>
      <c r="BB501" s="18">
        <v>0.73684</v>
      </c>
      <c r="BC501" s="18">
        <v>0</v>
      </c>
      <c r="BD501" s="18">
        <v>0</v>
      </c>
      <c r="BE501" s="18">
        <v>0.18741</v>
      </c>
      <c r="BF501" s="18">
        <v>117</v>
      </c>
      <c r="BG501" s="18">
        <v>3</v>
      </c>
      <c r="BH501" s="18">
        <v>1</v>
      </c>
      <c r="BI501" s="18">
        <v>1</v>
      </c>
      <c r="BJ501" s="18">
        <v>0</v>
      </c>
      <c r="BK501" s="18">
        <v>0</v>
      </c>
      <c r="BL501" s="18">
        <v>0</v>
      </c>
      <c r="BM501" s="18">
        <v>1</v>
      </c>
      <c r="BN501" s="18">
        <v>1</v>
      </c>
      <c r="BO501" s="18">
        <v>37.55</v>
      </c>
      <c r="BP501" s="18">
        <v>3.49</v>
      </c>
      <c r="BQ501" s="18">
        <v>351</v>
      </c>
      <c r="BR501" s="18">
        <v>0</v>
      </c>
      <c r="BS501" s="18">
        <v>0</v>
      </c>
      <c r="BT501" s="18">
        <v>0</v>
      </c>
      <c r="BU501" s="18">
        <v>0</v>
      </c>
    </row>
    <row r="502" spans="1:73">
      <c r="A502" s="19">
        <v>46168</v>
      </c>
      <c r="B502" s="18">
        <v>479</v>
      </c>
      <c r="C502" s="18" t="s">
        <v>39</v>
      </c>
      <c r="D502" s="18">
        <v>479</v>
      </c>
      <c r="E502" s="18" t="s">
        <v>39</v>
      </c>
      <c r="F502" s="18">
        <v>47</v>
      </c>
      <c r="G502" s="18">
        <v>21</v>
      </c>
      <c r="H502" s="18">
        <v>17.67</v>
      </c>
      <c r="I502" s="18">
        <v>0.44681</v>
      </c>
      <c r="J502" s="18">
        <v>0.84</v>
      </c>
      <c r="K502" s="18">
        <v>375.98</v>
      </c>
      <c r="L502" s="18">
        <v>0</v>
      </c>
      <c r="M502" s="18">
        <v>0</v>
      </c>
      <c r="N502" s="18">
        <v>0</v>
      </c>
      <c r="O502" s="18">
        <v>0</v>
      </c>
      <c r="P502" s="18">
        <v>0</v>
      </c>
      <c r="Q502" s="18">
        <v>0</v>
      </c>
      <c r="R502" s="18">
        <v>0</v>
      </c>
      <c r="S502" s="18">
        <v>0</v>
      </c>
      <c r="T502" s="18">
        <v>0</v>
      </c>
      <c r="U502" s="18">
        <v>0</v>
      </c>
      <c r="V502" s="18">
        <v>0</v>
      </c>
      <c r="W502" s="18">
        <v>0</v>
      </c>
      <c r="X502" s="18">
        <v>0</v>
      </c>
      <c r="Y502" s="18">
        <v>0</v>
      </c>
      <c r="Z502" s="18">
        <v>0</v>
      </c>
      <c r="AA502" s="18"/>
      <c r="AB502" s="18">
        <v>2</v>
      </c>
      <c r="AC502" s="18">
        <v>0</v>
      </c>
      <c r="AD502" s="18">
        <v>2</v>
      </c>
      <c r="AE502" s="18">
        <v>0.09524</v>
      </c>
      <c r="AF502" s="18">
        <v>0</v>
      </c>
      <c r="AG502" s="18">
        <v>0</v>
      </c>
      <c r="AH502" s="18"/>
      <c r="AI502" s="18">
        <v>2</v>
      </c>
      <c r="AJ502" s="18">
        <v>8.84</v>
      </c>
      <c r="AK502" s="18">
        <v>2</v>
      </c>
      <c r="AL502" s="18">
        <v>8.84</v>
      </c>
      <c r="AM502" s="18">
        <v>0</v>
      </c>
      <c r="AN502" s="18"/>
      <c r="AO502" s="18">
        <v>0</v>
      </c>
      <c r="AP502" s="18">
        <v>8.84</v>
      </c>
      <c r="AQ502" s="18">
        <v>0</v>
      </c>
      <c r="AR502" s="18">
        <v>0</v>
      </c>
      <c r="AS502" s="18">
        <v>0</v>
      </c>
      <c r="AT502" s="18">
        <v>0</v>
      </c>
      <c r="AU502" s="18">
        <v>0</v>
      </c>
      <c r="AV502" s="18">
        <v>0</v>
      </c>
      <c r="AW502" s="18">
        <v>0</v>
      </c>
      <c r="AX502" s="18">
        <v>0</v>
      </c>
      <c r="AY502" s="18">
        <v>154</v>
      </c>
      <c r="AZ502" s="18">
        <v>16</v>
      </c>
      <c r="BA502" s="18">
        <v>11</v>
      </c>
      <c r="BB502" s="18">
        <v>0.6875</v>
      </c>
      <c r="BC502" s="18">
        <v>0</v>
      </c>
      <c r="BD502" s="18">
        <v>0</v>
      </c>
      <c r="BE502" s="18">
        <v>3.2766</v>
      </c>
      <c r="BF502" s="18">
        <v>132</v>
      </c>
      <c r="BG502" s="18">
        <v>10</v>
      </c>
      <c r="BH502" s="18">
        <v>0</v>
      </c>
      <c r="BI502" s="18"/>
      <c r="BJ502" s="18">
        <v>0</v>
      </c>
      <c r="BK502" s="18">
        <v>0</v>
      </c>
      <c r="BL502" s="18">
        <v>0</v>
      </c>
      <c r="BM502" s="18">
        <v>0</v>
      </c>
      <c r="BN502" s="18"/>
      <c r="BO502" s="18"/>
      <c r="BP502" s="18">
        <v>0.09</v>
      </c>
      <c r="BQ502" s="18">
        <v>86</v>
      </c>
      <c r="BR502" s="18">
        <v>0</v>
      </c>
      <c r="BS502" s="18">
        <v>0</v>
      </c>
      <c r="BT502" s="18">
        <v>0</v>
      </c>
      <c r="BU502" s="18">
        <v>0</v>
      </c>
    </row>
    <row r="503" spans="1:73">
      <c r="A503" s="19">
        <v>46168</v>
      </c>
      <c r="B503" s="18">
        <v>372</v>
      </c>
      <c r="C503" s="18" t="s">
        <v>37</v>
      </c>
      <c r="D503" s="18">
        <v>372</v>
      </c>
      <c r="E503" s="18" t="s">
        <v>61</v>
      </c>
      <c r="F503" s="18">
        <v>1448</v>
      </c>
      <c r="G503" s="18">
        <v>135</v>
      </c>
      <c r="H503" s="18">
        <v>70.8</v>
      </c>
      <c r="I503" s="18">
        <v>0.09323</v>
      </c>
      <c r="J503" s="18">
        <v>0.52</v>
      </c>
      <c r="K503" s="18">
        <v>48.9</v>
      </c>
      <c r="L503" s="18">
        <v>0</v>
      </c>
      <c r="M503" s="18">
        <v>0</v>
      </c>
      <c r="N503" s="18">
        <v>0</v>
      </c>
      <c r="O503" s="18">
        <v>0</v>
      </c>
      <c r="P503" s="18">
        <v>0</v>
      </c>
      <c r="Q503" s="18">
        <v>0</v>
      </c>
      <c r="R503" s="18">
        <v>0</v>
      </c>
      <c r="S503" s="18">
        <v>0</v>
      </c>
      <c r="T503" s="18">
        <v>0</v>
      </c>
      <c r="U503" s="18">
        <v>0</v>
      </c>
      <c r="V503" s="18">
        <v>0</v>
      </c>
      <c r="W503" s="18">
        <v>0</v>
      </c>
      <c r="X503" s="18">
        <v>0</v>
      </c>
      <c r="Y503" s="18">
        <v>0</v>
      </c>
      <c r="Z503" s="18">
        <v>0</v>
      </c>
      <c r="AA503" s="18"/>
      <c r="AB503" s="18">
        <v>0</v>
      </c>
      <c r="AC503" s="18">
        <v>0</v>
      </c>
      <c r="AD503" s="18">
        <v>0</v>
      </c>
      <c r="AE503" s="18">
        <v>0</v>
      </c>
      <c r="AF503" s="18">
        <v>1</v>
      </c>
      <c r="AG503" s="18">
        <v>1</v>
      </c>
      <c r="AH503" s="18">
        <v>70.8</v>
      </c>
      <c r="AI503" s="18">
        <v>2</v>
      </c>
      <c r="AJ503" s="18">
        <v>35.4</v>
      </c>
      <c r="AK503" s="18">
        <v>1</v>
      </c>
      <c r="AL503" s="18">
        <v>70.8</v>
      </c>
      <c r="AM503" s="18">
        <v>2</v>
      </c>
      <c r="AN503" s="18">
        <v>70.8</v>
      </c>
      <c r="AO503" s="18">
        <v>0.00741</v>
      </c>
      <c r="AP503" s="18"/>
      <c r="AQ503" s="18">
        <v>0</v>
      </c>
      <c r="AR503" s="18">
        <v>0</v>
      </c>
      <c r="AS503" s="18">
        <v>1</v>
      </c>
      <c r="AT503" s="18">
        <v>0</v>
      </c>
      <c r="AU503" s="18">
        <v>0</v>
      </c>
      <c r="AV503" s="18">
        <v>0</v>
      </c>
      <c r="AW503" s="18">
        <v>0</v>
      </c>
      <c r="AX503" s="18">
        <v>0</v>
      </c>
      <c r="AY503" s="18">
        <v>231</v>
      </c>
      <c r="AZ503" s="18">
        <v>133</v>
      </c>
      <c r="BA503" s="18">
        <v>86</v>
      </c>
      <c r="BB503" s="18">
        <v>0.64662</v>
      </c>
      <c r="BC503" s="18">
        <v>0</v>
      </c>
      <c r="BD503" s="18">
        <v>0</v>
      </c>
      <c r="BE503" s="18">
        <v>0.15953</v>
      </c>
      <c r="BF503" s="18">
        <v>59</v>
      </c>
      <c r="BG503" s="18">
        <v>2</v>
      </c>
      <c r="BH503" s="18">
        <v>0</v>
      </c>
      <c r="BI503" s="18"/>
      <c r="BJ503" s="18">
        <v>0</v>
      </c>
      <c r="BK503" s="18">
        <v>0</v>
      </c>
      <c r="BL503" s="18">
        <v>0</v>
      </c>
      <c r="BM503" s="18">
        <v>0</v>
      </c>
      <c r="BN503" s="18"/>
      <c r="BO503" s="18"/>
      <c r="BP503" s="18">
        <v>0.06</v>
      </c>
      <c r="BQ503" s="18">
        <v>188</v>
      </c>
      <c r="BR503" s="18">
        <v>0</v>
      </c>
      <c r="BS503" s="18">
        <v>0</v>
      </c>
      <c r="BT503" s="18">
        <v>0</v>
      </c>
      <c r="BU503" s="18">
        <v>0</v>
      </c>
    </row>
    <row r="504" spans="1:73">
      <c r="A504" s="19">
        <v>46168</v>
      </c>
      <c r="B504" s="18">
        <v>371</v>
      </c>
      <c r="C504" s="18" t="s">
        <v>32</v>
      </c>
      <c r="D504" s="18">
        <v>371</v>
      </c>
      <c r="E504" s="18" t="s">
        <v>32</v>
      </c>
      <c r="F504" s="18">
        <v>6170</v>
      </c>
      <c r="G504" s="18">
        <v>199</v>
      </c>
      <c r="H504" s="18">
        <v>117.14</v>
      </c>
      <c r="I504" s="18">
        <v>0.03225</v>
      </c>
      <c r="J504" s="18">
        <v>0.59</v>
      </c>
      <c r="K504" s="18">
        <v>18.99</v>
      </c>
      <c r="L504" s="18">
        <v>0</v>
      </c>
      <c r="M504" s="18">
        <v>0</v>
      </c>
      <c r="N504" s="18">
        <v>0</v>
      </c>
      <c r="O504" s="18">
        <v>0</v>
      </c>
      <c r="P504" s="18">
        <v>0</v>
      </c>
      <c r="Q504" s="18">
        <v>0</v>
      </c>
      <c r="R504" s="18">
        <v>0</v>
      </c>
      <c r="S504" s="18">
        <v>0</v>
      </c>
      <c r="T504" s="18">
        <v>0</v>
      </c>
      <c r="U504" s="18">
        <v>0</v>
      </c>
      <c r="V504" s="18">
        <v>0</v>
      </c>
      <c r="W504" s="18">
        <v>0</v>
      </c>
      <c r="X504" s="18">
        <v>0</v>
      </c>
      <c r="Y504" s="18">
        <v>0</v>
      </c>
      <c r="Z504" s="18">
        <v>0</v>
      </c>
      <c r="AA504" s="18"/>
      <c r="AB504" s="18">
        <v>7</v>
      </c>
      <c r="AC504" s="18">
        <v>6</v>
      </c>
      <c r="AD504" s="18">
        <v>1</v>
      </c>
      <c r="AE504" s="18">
        <v>0.03518</v>
      </c>
      <c r="AF504" s="18">
        <v>2</v>
      </c>
      <c r="AG504" s="18">
        <v>2</v>
      </c>
      <c r="AH504" s="18">
        <v>58.57</v>
      </c>
      <c r="AI504" s="18">
        <v>11</v>
      </c>
      <c r="AJ504" s="18">
        <v>10.65</v>
      </c>
      <c r="AK504" s="18">
        <v>9</v>
      </c>
      <c r="AL504" s="18">
        <v>13.02</v>
      </c>
      <c r="AM504" s="18">
        <v>4</v>
      </c>
      <c r="AN504" s="18">
        <v>58.57</v>
      </c>
      <c r="AO504" s="18">
        <v>0.01005</v>
      </c>
      <c r="AP504" s="18">
        <v>16.73</v>
      </c>
      <c r="AQ504" s="18">
        <v>0</v>
      </c>
      <c r="AR504" s="18">
        <v>0</v>
      </c>
      <c r="AS504" s="18">
        <v>2</v>
      </c>
      <c r="AT504" s="18">
        <v>0</v>
      </c>
      <c r="AU504" s="18">
        <v>0</v>
      </c>
      <c r="AV504" s="18">
        <v>0</v>
      </c>
      <c r="AW504" s="18">
        <v>0</v>
      </c>
      <c r="AX504" s="18">
        <v>0</v>
      </c>
      <c r="AY504" s="18">
        <v>358</v>
      </c>
      <c r="AZ504" s="18">
        <v>176</v>
      </c>
      <c r="BA504" s="18">
        <v>160</v>
      </c>
      <c r="BB504" s="18">
        <v>0.90909</v>
      </c>
      <c r="BC504" s="18">
        <v>0</v>
      </c>
      <c r="BD504" s="18">
        <v>0</v>
      </c>
      <c r="BE504" s="18">
        <v>0.05802</v>
      </c>
      <c r="BF504" s="18">
        <v>139</v>
      </c>
      <c r="BG504" s="18">
        <v>2</v>
      </c>
      <c r="BH504" s="18">
        <v>0</v>
      </c>
      <c r="BI504" s="18"/>
      <c r="BJ504" s="18">
        <v>0</v>
      </c>
      <c r="BK504" s="18">
        <v>0</v>
      </c>
      <c r="BL504" s="18">
        <v>0</v>
      </c>
      <c r="BM504" s="18">
        <v>0</v>
      </c>
      <c r="BN504" s="18"/>
      <c r="BO504" s="18"/>
      <c r="BP504" s="18">
        <v>0.3</v>
      </c>
      <c r="BQ504" s="18">
        <v>324</v>
      </c>
      <c r="BR504" s="18">
        <v>0</v>
      </c>
      <c r="BS504" s="18">
        <v>0</v>
      </c>
      <c r="BT504" s="18">
        <v>0</v>
      </c>
      <c r="BU504" s="18">
        <v>0</v>
      </c>
    </row>
    <row r="505" spans="1:73">
      <c r="A505" s="19">
        <v>46167</v>
      </c>
      <c r="B505" s="18">
        <v>479</v>
      </c>
      <c r="C505" s="18" t="s">
        <v>39</v>
      </c>
      <c r="D505" s="18">
        <v>479</v>
      </c>
      <c r="E505" s="18" t="s">
        <v>39</v>
      </c>
      <c r="F505" s="18">
        <v>36</v>
      </c>
      <c r="G505" s="18">
        <v>18</v>
      </c>
      <c r="H505" s="18">
        <v>13.7</v>
      </c>
      <c r="I505" s="18">
        <v>0.5</v>
      </c>
      <c r="J505" s="18">
        <v>0.76</v>
      </c>
      <c r="K505" s="18">
        <v>380.65</v>
      </c>
      <c r="L505" s="18">
        <v>0</v>
      </c>
      <c r="M505" s="18">
        <v>0</v>
      </c>
      <c r="N505" s="18">
        <v>0</v>
      </c>
      <c r="O505" s="18">
        <v>0</v>
      </c>
      <c r="P505" s="18">
        <v>0</v>
      </c>
      <c r="Q505" s="18">
        <v>0</v>
      </c>
      <c r="R505" s="18">
        <v>0</v>
      </c>
      <c r="S505" s="18">
        <v>64.73</v>
      </c>
      <c r="T505" s="18">
        <v>64.73</v>
      </c>
      <c r="U505" s="18">
        <v>1</v>
      </c>
      <c r="V505" s="18">
        <v>0</v>
      </c>
      <c r="W505" s="18">
        <v>1</v>
      </c>
      <c r="X505" s="18">
        <v>0.05556</v>
      </c>
      <c r="Y505" s="18">
        <v>4.72</v>
      </c>
      <c r="Z505" s="18">
        <v>4.72</v>
      </c>
      <c r="AA505" s="18">
        <v>13.7</v>
      </c>
      <c r="AB505" s="18">
        <v>6</v>
      </c>
      <c r="AC505" s="18">
        <v>0</v>
      </c>
      <c r="AD505" s="18">
        <v>6</v>
      </c>
      <c r="AE505" s="18">
        <v>0.33333</v>
      </c>
      <c r="AF505" s="18">
        <v>0</v>
      </c>
      <c r="AG505" s="18">
        <v>0</v>
      </c>
      <c r="AH505" s="18"/>
      <c r="AI505" s="18">
        <v>6</v>
      </c>
      <c r="AJ505" s="18">
        <v>2.28</v>
      </c>
      <c r="AK505" s="18">
        <v>6</v>
      </c>
      <c r="AL505" s="18">
        <v>2.28</v>
      </c>
      <c r="AM505" s="18">
        <v>0</v>
      </c>
      <c r="AN505" s="18"/>
      <c r="AO505" s="18">
        <v>0</v>
      </c>
      <c r="AP505" s="18">
        <v>2.28</v>
      </c>
      <c r="AQ505" s="18">
        <v>1</v>
      </c>
      <c r="AR505" s="18">
        <v>79</v>
      </c>
      <c r="AS505" s="18">
        <v>0</v>
      </c>
      <c r="AT505" s="18">
        <v>0</v>
      </c>
      <c r="AU505" s="18">
        <v>0</v>
      </c>
      <c r="AV505" s="18">
        <v>0</v>
      </c>
      <c r="AW505" s="18">
        <v>0</v>
      </c>
      <c r="AX505" s="18">
        <v>1</v>
      </c>
      <c r="AY505" s="18">
        <v>160</v>
      </c>
      <c r="AZ505" s="18">
        <v>15</v>
      </c>
      <c r="BA505" s="18">
        <v>9</v>
      </c>
      <c r="BB505" s="18">
        <v>0.6</v>
      </c>
      <c r="BC505" s="18">
        <v>0</v>
      </c>
      <c r="BD505" s="18">
        <v>0</v>
      </c>
      <c r="BE505" s="18">
        <v>4.44444</v>
      </c>
      <c r="BF505" s="18">
        <v>141</v>
      </c>
      <c r="BG505" s="18">
        <v>11</v>
      </c>
      <c r="BH505" s="18">
        <v>1</v>
      </c>
      <c r="BI505" s="18">
        <v>1</v>
      </c>
      <c r="BJ505" s="18">
        <v>0</v>
      </c>
      <c r="BK505" s="18">
        <v>0</v>
      </c>
      <c r="BL505" s="18">
        <v>0</v>
      </c>
      <c r="BM505" s="18">
        <v>1</v>
      </c>
      <c r="BN505" s="18">
        <v>1</v>
      </c>
      <c r="BO505" s="18">
        <v>64.73</v>
      </c>
      <c r="BP505" s="18">
        <v>2.09</v>
      </c>
      <c r="BQ505" s="18">
        <v>138</v>
      </c>
      <c r="BR505" s="18">
        <v>0</v>
      </c>
      <c r="BS505" s="18">
        <v>0</v>
      </c>
      <c r="BT505" s="18">
        <v>0</v>
      </c>
      <c r="BU505" s="18">
        <v>0</v>
      </c>
    </row>
    <row r="506" spans="1:73">
      <c r="A506" s="19">
        <v>46167</v>
      </c>
      <c r="B506" s="18">
        <v>183</v>
      </c>
      <c r="C506" s="18" t="s">
        <v>40</v>
      </c>
      <c r="D506" s="18">
        <v>183</v>
      </c>
      <c r="E506" s="18" t="s">
        <v>40</v>
      </c>
      <c r="F506" s="18">
        <v>1432</v>
      </c>
      <c r="G506" s="18">
        <v>59</v>
      </c>
      <c r="H506" s="18">
        <v>159</v>
      </c>
      <c r="I506" s="18">
        <v>0.0412</v>
      </c>
      <c r="J506" s="18">
        <v>2.69</v>
      </c>
      <c r="K506" s="18">
        <v>111.03</v>
      </c>
      <c r="L506" s="18">
        <v>0</v>
      </c>
      <c r="M506" s="18">
        <v>0</v>
      </c>
      <c r="N506" s="18">
        <v>0</v>
      </c>
      <c r="O506" s="18">
        <v>0</v>
      </c>
      <c r="P506" s="18">
        <v>0</v>
      </c>
      <c r="Q506" s="18">
        <v>0</v>
      </c>
      <c r="R506" s="18">
        <v>0</v>
      </c>
      <c r="S506" s="18">
        <v>0</v>
      </c>
      <c r="T506" s="18">
        <v>0</v>
      </c>
      <c r="U506" s="18">
        <v>0</v>
      </c>
      <c r="V506" s="18">
        <v>0</v>
      </c>
      <c r="W506" s="18">
        <v>0</v>
      </c>
      <c r="X506" s="18">
        <v>0</v>
      </c>
      <c r="Y506" s="18">
        <v>0</v>
      </c>
      <c r="Z506" s="18">
        <v>0</v>
      </c>
      <c r="AA506" s="18"/>
      <c r="AB506" s="18">
        <v>3</v>
      </c>
      <c r="AC506" s="18">
        <v>3</v>
      </c>
      <c r="AD506" s="18">
        <v>0</v>
      </c>
      <c r="AE506" s="18">
        <v>0.05085</v>
      </c>
      <c r="AF506" s="18">
        <v>2</v>
      </c>
      <c r="AG506" s="18">
        <v>1</v>
      </c>
      <c r="AH506" s="18">
        <v>159</v>
      </c>
      <c r="AI506" s="18">
        <v>6</v>
      </c>
      <c r="AJ506" s="18">
        <v>26.5</v>
      </c>
      <c r="AK506" s="18">
        <v>5</v>
      </c>
      <c r="AL506" s="18">
        <v>31.8</v>
      </c>
      <c r="AM506" s="18">
        <v>3</v>
      </c>
      <c r="AN506" s="18">
        <v>79.5</v>
      </c>
      <c r="AO506" s="18">
        <v>0.0339</v>
      </c>
      <c r="AP506" s="18">
        <v>53</v>
      </c>
      <c r="AQ506" s="18">
        <v>0</v>
      </c>
      <c r="AR506" s="18">
        <v>0</v>
      </c>
      <c r="AS506" s="18">
        <v>2</v>
      </c>
      <c r="AT506" s="18">
        <v>0</v>
      </c>
      <c r="AU506" s="18">
        <v>0</v>
      </c>
      <c r="AV506" s="18">
        <v>0</v>
      </c>
      <c r="AW506" s="18">
        <v>0</v>
      </c>
      <c r="AX506" s="18">
        <v>0</v>
      </c>
      <c r="AY506" s="18">
        <v>345</v>
      </c>
      <c r="AZ506" s="18">
        <v>129</v>
      </c>
      <c r="BA506" s="18">
        <v>91</v>
      </c>
      <c r="BB506" s="18">
        <v>0.70543</v>
      </c>
      <c r="BC506" s="18">
        <v>0</v>
      </c>
      <c r="BD506" s="18">
        <v>0</v>
      </c>
      <c r="BE506" s="18">
        <v>0.24092</v>
      </c>
      <c r="BF506" s="18">
        <v>154</v>
      </c>
      <c r="BG506" s="18">
        <v>3</v>
      </c>
      <c r="BH506" s="18">
        <v>0</v>
      </c>
      <c r="BI506" s="18"/>
      <c r="BJ506" s="18">
        <v>0</v>
      </c>
      <c r="BK506" s="18">
        <v>0</v>
      </c>
      <c r="BL506" s="18">
        <v>0</v>
      </c>
      <c r="BM506" s="18">
        <v>0</v>
      </c>
      <c r="BN506" s="18"/>
      <c r="BO506" s="18"/>
      <c r="BP506" s="18">
        <v>0.06</v>
      </c>
      <c r="BQ506" s="18">
        <v>192</v>
      </c>
      <c r="BR506" s="18">
        <v>0</v>
      </c>
      <c r="BS506" s="18">
        <v>0</v>
      </c>
      <c r="BT506" s="18">
        <v>0</v>
      </c>
      <c r="BU506" s="18">
        <v>0</v>
      </c>
    </row>
    <row r="507" spans="1:73">
      <c r="A507" s="19">
        <v>46167</v>
      </c>
      <c r="B507" s="18">
        <v>372</v>
      </c>
      <c r="C507" s="18" t="s">
        <v>37</v>
      </c>
      <c r="D507" s="18">
        <v>372</v>
      </c>
      <c r="E507" s="18" t="s">
        <v>61</v>
      </c>
      <c r="F507" s="18">
        <v>1540</v>
      </c>
      <c r="G507" s="18">
        <v>133</v>
      </c>
      <c r="H507" s="18">
        <v>61.07</v>
      </c>
      <c r="I507" s="18">
        <v>0.08636</v>
      </c>
      <c r="J507" s="18">
        <v>0.46</v>
      </c>
      <c r="K507" s="18">
        <v>39.66</v>
      </c>
      <c r="L507" s="18">
        <v>0</v>
      </c>
      <c r="M507" s="18">
        <v>0</v>
      </c>
      <c r="N507" s="18">
        <v>0</v>
      </c>
      <c r="O507" s="18">
        <v>0</v>
      </c>
      <c r="P507" s="18">
        <v>0</v>
      </c>
      <c r="Q507" s="18">
        <v>0</v>
      </c>
      <c r="R507" s="18">
        <v>311.2</v>
      </c>
      <c r="S507" s="18">
        <v>0</v>
      </c>
      <c r="T507" s="18">
        <v>311.2</v>
      </c>
      <c r="U507" s="18">
        <v>3</v>
      </c>
      <c r="V507" s="18">
        <v>3</v>
      </c>
      <c r="W507" s="18">
        <v>0</v>
      </c>
      <c r="X507" s="18">
        <v>0.02256</v>
      </c>
      <c r="Y507" s="18">
        <v>5.1</v>
      </c>
      <c r="Z507" s="18">
        <v>5.1</v>
      </c>
      <c r="AA507" s="18">
        <v>20.36</v>
      </c>
      <c r="AB507" s="18">
        <v>6</v>
      </c>
      <c r="AC507" s="18">
        <v>6</v>
      </c>
      <c r="AD507" s="18">
        <v>0</v>
      </c>
      <c r="AE507" s="18">
        <v>0.04511</v>
      </c>
      <c r="AF507" s="18">
        <v>2</v>
      </c>
      <c r="AG507" s="18">
        <v>1</v>
      </c>
      <c r="AH507" s="18">
        <v>61.07</v>
      </c>
      <c r="AI507" s="18">
        <v>9</v>
      </c>
      <c r="AJ507" s="18">
        <v>6.79</v>
      </c>
      <c r="AK507" s="18">
        <v>8</v>
      </c>
      <c r="AL507" s="18">
        <v>7.63</v>
      </c>
      <c r="AM507" s="18">
        <v>3</v>
      </c>
      <c r="AN507" s="18">
        <v>30.54</v>
      </c>
      <c r="AO507" s="18">
        <v>0.01504</v>
      </c>
      <c r="AP507" s="18">
        <v>10.18</v>
      </c>
      <c r="AQ507" s="18">
        <v>5</v>
      </c>
      <c r="AR507" s="18">
        <v>514.8</v>
      </c>
      <c r="AS507" s="18">
        <v>2</v>
      </c>
      <c r="AT507" s="18">
        <v>0</v>
      </c>
      <c r="AU507" s="18">
        <v>0</v>
      </c>
      <c r="AV507" s="18">
        <v>0</v>
      </c>
      <c r="AW507" s="18">
        <v>0</v>
      </c>
      <c r="AX507" s="18">
        <v>2</v>
      </c>
      <c r="AY507" s="18">
        <v>290</v>
      </c>
      <c r="AZ507" s="18">
        <v>131</v>
      </c>
      <c r="BA507" s="18">
        <v>87</v>
      </c>
      <c r="BB507" s="18">
        <v>0.66412</v>
      </c>
      <c r="BC507" s="18">
        <v>0</v>
      </c>
      <c r="BD507" s="18">
        <v>0</v>
      </c>
      <c r="BE507" s="18">
        <v>0.18831</v>
      </c>
      <c r="BF507" s="18">
        <v>100</v>
      </c>
      <c r="BG507" s="18">
        <v>2</v>
      </c>
      <c r="BH507" s="18">
        <v>2</v>
      </c>
      <c r="BI507" s="18">
        <v>0.66667</v>
      </c>
      <c r="BJ507" s="18">
        <v>0</v>
      </c>
      <c r="BK507" s="18">
        <v>0</v>
      </c>
      <c r="BL507" s="18">
        <v>0</v>
      </c>
      <c r="BM507" s="18">
        <v>3</v>
      </c>
      <c r="BN507" s="18">
        <v>1</v>
      </c>
      <c r="BO507" s="18">
        <v>103.73</v>
      </c>
      <c r="BP507" s="18">
        <v>6.04</v>
      </c>
      <c r="BQ507" s="18">
        <v>1140</v>
      </c>
      <c r="BR507" s="18">
        <v>0</v>
      </c>
      <c r="BS507" s="18">
        <v>0</v>
      </c>
      <c r="BT507" s="18">
        <v>0</v>
      </c>
      <c r="BU507" s="18">
        <v>0</v>
      </c>
    </row>
    <row r="508" spans="1:73">
      <c r="A508" s="19">
        <v>46167</v>
      </c>
      <c r="B508" s="18">
        <v>371</v>
      </c>
      <c r="C508" s="18" t="s">
        <v>32</v>
      </c>
      <c r="D508" s="18">
        <v>371</v>
      </c>
      <c r="E508" s="18" t="s">
        <v>32</v>
      </c>
      <c r="F508" s="18">
        <v>4772</v>
      </c>
      <c r="G508" s="18">
        <v>205</v>
      </c>
      <c r="H508" s="18">
        <v>115.3</v>
      </c>
      <c r="I508" s="18">
        <v>0.04296</v>
      </c>
      <c r="J508" s="18">
        <v>0.56</v>
      </c>
      <c r="K508" s="18">
        <v>24.16</v>
      </c>
      <c r="L508" s="18">
        <v>0</v>
      </c>
      <c r="M508" s="18">
        <v>0</v>
      </c>
      <c r="N508" s="18">
        <v>0</v>
      </c>
      <c r="O508" s="18">
        <v>0</v>
      </c>
      <c r="P508" s="18">
        <v>0</v>
      </c>
      <c r="Q508" s="18">
        <v>0</v>
      </c>
      <c r="R508" s="18">
        <v>0</v>
      </c>
      <c r="S508" s="18">
        <v>0</v>
      </c>
      <c r="T508" s="18">
        <v>0</v>
      </c>
      <c r="U508" s="18">
        <v>0</v>
      </c>
      <c r="V508" s="18">
        <v>0</v>
      </c>
      <c r="W508" s="18">
        <v>0</v>
      </c>
      <c r="X508" s="18">
        <v>0</v>
      </c>
      <c r="Y508" s="18">
        <v>0</v>
      </c>
      <c r="Z508" s="18">
        <v>0</v>
      </c>
      <c r="AA508" s="18"/>
      <c r="AB508" s="18">
        <v>5</v>
      </c>
      <c r="AC508" s="18">
        <v>4</v>
      </c>
      <c r="AD508" s="18">
        <v>1</v>
      </c>
      <c r="AE508" s="18">
        <v>0.02439</v>
      </c>
      <c r="AF508" s="18">
        <v>3</v>
      </c>
      <c r="AG508" s="18">
        <v>2</v>
      </c>
      <c r="AH508" s="18">
        <v>57.65</v>
      </c>
      <c r="AI508" s="18">
        <v>10</v>
      </c>
      <c r="AJ508" s="18">
        <v>11.53</v>
      </c>
      <c r="AK508" s="18">
        <v>8</v>
      </c>
      <c r="AL508" s="18">
        <v>14.41</v>
      </c>
      <c r="AM508" s="18">
        <v>5</v>
      </c>
      <c r="AN508" s="18">
        <v>38.43</v>
      </c>
      <c r="AO508" s="18">
        <v>0.01463</v>
      </c>
      <c r="AP508" s="18">
        <v>23.06</v>
      </c>
      <c r="AQ508" s="18">
        <v>0</v>
      </c>
      <c r="AR508" s="18">
        <v>0</v>
      </c>
      <c r="AS508" s="18">
        <v>3</v>
      </c>
      <c r="AT508" s="18">
        <v>0</v>
      </c>
      <c r="AU508" s="18">
        <v>0</v>
      </c>
      <c r="AV508" s="18">
        <v>0</v>
      </c>
      <c r="AW508" s="18">
        <v>0</v>
      </c>
      <c r="AX508" s="18">
        <v>3</v>
      </c>
      <c r="AY508" s="18">
        <v>416</v>
      </c>
      <c r="AZ508" s="18">
        <v>158</v>
      </c>
      <c r="BA508" s="18">
        <v>140</v>
      </c>
      <c r="BB508" s="18">
        <v>0.88608</v>
      </c>
      <c r="BC508" s="18">
        <v>0</v>
      </c>
      <c r="BD508" s="18">
        <v>0</v>
      </c>
      <c r="BE508" s="18">
        <v>0.08718</v>
      </c>
      <c r="BF508" s="18">
        <v>161</v>
      </c>
      <c r="BG508" s="18">
        <v>3</v>
      </c>
      <c r="BH508" s="18">
        <v>0</v>
      </c>
      <c r="BI508" s="18"/>
      <c r="BJ508" s="18">
        <v>0</v>
      </c>
      <c r="BK508" s="18">
        <v>0</v>
      </c>
      <c r="BL508" s="18">
        <v>0</v>
      </c>
      <c r="BM508" s="18">
        <v>0</v>
      </c>
      <c r="BN508" s="18"/>
      <c r="BO508" s="18"/>
      <c r="BP508" s="18">
        <v>4.25</v>
      </c>
      <c r="BQ508" s="18">
        <v>258</v>
      </c>
      <c r="BR508" s="18">
        <v>0</v>
      </c>
      <c r="BS508" s="18">
        <v>0</v>
      </c>
      <c r="BT508" s="18">
        <v>0</v>
      </c>
      <c r="BU508" s="18">
        <v>0</v>
      </c>
    </row>
    <row r="509" spans="1:73">
      <c r="A509" s="19">
        <v>46167</v>
      </c>
      <c r="B509" s="18">
        <v>436</v>
      </c>
      <c r="C509" s="18" t="s">
        <v>38</v>
      </c>
      <c r="D509" s="18">
        <v>436</v>
      </c>
      <c r="E509" s="18" t="s">
        <v>38</v>
      </c>
      <c r="F509" s="18">
        <v>429</v>
      </c>
      <c r="G509" s="18">
        <v>22</v>
      </c>
      <c r="H509" s="18">
        <v>40.57</v>
      </c>
      <c r="I509" s="18">
        <v>0.05128</v>
      </c>
      <c r="J509" s="18">
        <v>1.84</v>
      </c>
      <c r="K509" s="18">
        <v>94.57</v>
      </c>
      <c r="L509" s="18">
        <v>0</v>
      </c>
      <c r="M509" s="18">
        <v>0</v>
      </c>
      <c r="N509" s="18">
        <v>0</v>
      </c>
      <c r="O509" s="18">
        <v>0</v>
      </c>
      <c r="P509" s="18">
        <v>0</v>
      </c>
      <c r="Q509" s="18">
        <v>0</v>
      </c>
      <c r="R509" s="18">
        <v>0</v>
      </c>
      <c r="S509" s="18">
        <v>0</v>
      </c>
      <c r="T509" s="18">
        <v>0</v>
      </c>
      <c r="U509" s="18">
        <v>0</v>
      </c>
      <c r="V509" s="18">
        <v>0</v>
      </c>
      <c r="W509" s="18">
        <v>0</v>
      </c>
      <c r="X509" s="18">
        <v>0</v>
      </c>
      <c r="Y509" s="18">
        <v>0</v>
      </c>
      <c r="Z509" s="18">
        <v>0</v>
      </c>
      <c r="AA509" s="18"/>
      <c r="AB509" s="18">
        <v>4</v>
      </c>
      <c r="AC509" s="18">
        <v>1</v>
      </c>
      <c r="AD509" s="18">
        <v>3</v>
      </c>
      <c r="AE509" s="18">
        <v>0.18182</v>
      </c>
      <c r="AF509" s="18">
        <v>0</v>
      </c>
      <c r="AG509" s="18">
        <v>0</v>
      </c>
      <c r="AH509" s="18"/>
      <c r="AI509" s="18">
        <v>4</v>
      </c>
      <c r="AJ509" s="18">
        <v>10.14</v>
      </c>
      <c r="AK509" s="18">
        <v>4</v>
      </c>
      <c r="AL509" s="18">
        <v>10.14</v>
      </c>
      <c r="AM509" s="18">
        <v>0</v>
      </c>
      <c r="AN509" s="18"/>
      <c r="AO509" s="18">
        <v>0</v>
      </c>
      <c r="AP509" s="18">
        <v>10.14</v>
      </c>
      <c r="AQ509" s="18">
        <v>0</v>
      </c>
      <c r="AR509" s="18">
        <v>0</v>
      </c>
      <c r="AS509" s="18">
        <v>0</v>
      </c>
      <c r="AT509" s="18">
        <v>0</v>
      </c>
      <c r="AU509" s="18">
        <v>0</v>
      </c>
      <c r="AV509" s="18">
        <v>0</v>
      </c>
      <c r="AW509" s="18">
        <v>0</v>
      </c>
      <c r="AX509" s="18">
        <v>0</v>
      </c>
      <c r="AY509" s="18">
        <v>79</v>
      </c>
      <c r="AZ509" s="18">
        <v>21</v>
      </c>
      <c r="BA509" s="18">
        <v>14</v>
      </c>
      <c r="BB509" s="18">
        <v>0.66667</v>
      </c>
      <c r="BC509" s="18">
        <v>0</v>
      </c>
      <c r="BD509" s="18">
        <v>0</v>
      </c>
      <c r="BE509" s="18">
        <v>0.18415</v>
      </c>
      <c r="BF509" s="18">
        <v>55</v>
      </c>
      <c r="BG509" s="18">
        <v>4</v>
      </c>
      <c r="BH509" s="18">
        <v>0</v>
      </c>
      <c r="BI509" s="18"/>
      <c r="BJ509" s="18">
        <v>0</v>
      </c>
      <c r="BK509" s="18">
        <v>0</v>
      </c>
      <c r="BL509" s="18">
        <v>0</v>
      </c>
      <c r="BM509" s="18">
        <v>0</v>
      </c>
      <c r="BN509" s="18"/>
      <c r="BO509" s="18"/>
      <c r="BP509" s="18">
        <v>3.58</v>
      </c>
      <c r="BQ509" s="18">
        <v>110</v>
      </c>
      <c r="BR509" s="18">
        <v>0</v>
      </c>
      <c r="BS509" s="18">
        <v>0</v>
      </c>
      <c r="BT509" s="18">
        <v>0</v>
      </c>
      <c r="BU509" s="18">
        <v>0</v>
      </c>
    </row>
    <row r="510" spans="1:73">
      <c r="A510" s="19">
        <v>46166</v>
      </c>
      <c r="B510" s="18">
        <v>372</v>
      </c>
      <c r="C510" s="18" t="s">
        <v>37</v>
      </c>
      <c r="D510" s="18">
        <v>372</v>
      </c>
      <c r="E510" s="18" t="s">
        <v>61</v>
      </c>
      <c r="F510" s="18">
        <v>1944</v>
      </c>
      <c r="G510" s="18">
        <v>221</v>
      </c>
      <c r="H510" s="18">
        <v>80.27</v>
      </c>
      <c r="I510" s="18">
        <v>0.11368</v>
      </c>
      <c r="J510" s="18">
        <v>0.36</v>
      </c>
      <c r="K510" s="18">
        <v>41.29</v>
      </c>
      <c r="L510" s="18">
        <v>0</v>
      </c>
      <c r="M510" s="18">
        <v>0</v>
      </c>
      <c r="N510" s="18">
        <v>0</v>
      </c>
      <c r="O510" s="18">
        <v>0</v>
      </c>
      <c r="P510" s="18">
        <v>0</v>
      </c>
      <c r="Q510" s="18">
        <v>0</v>
      </c>
      <c r="R510" s="18">
        <v>0</v>
      </c>
      <c r="S510" s="18">
        <v>0</v>
      </c>
      <c r="T510" s="18">
        <v>0</v>
      </c>
      <c r="U510" s="18">
        <v>0</v>
      </c>
      <c r="V510" s="18">
        <v>0</v>
      </c>
      <c r="W510" s="18">
        <v>0</v>
      </c>
      <c r="X510" s="18">
        <v>0</v>
      </c>
      <c r="Y510" s="18">
        <v>0</v>
      </c>
      <c r="Z510" s="18">
        <v>0</v>
      </c>
      <c r="AA510" s="18"/>
      <c r="AB510" s="18">
        <v>6</v>
      </c>
      <c r="AC510" s="18">
        <v>3</v>
      </c>
      <c r="AD510" s="18">
        <v>3</v>
      </c>
      <c r="AE510" s="18">
        <v>0.02715</v>
      </c>
      <c r="AF510" s="18">
        <v>4</v>
      </c>
      <c r="AG510" s="18">
        <v>0</v>
      </c>
      <c r="AH510" s="18"/>
      <c r="AI510" s="18">
        <v>10</v>
      </c>
      <c r="AJ510" s="18">
        <v>8.03</v>
      </c>
      <c r="AK510" s="18">
        <v>10</v>
      </c>
      <c r="AL510" s="18">
        <v>8.03</v>
      </c>
      <c r="AM510" s="18">
        <v>4</v>
      </c>
      <c r="AN510" s="18">
        <v>20.07</v>
      </c>
      <c r="AO510" s="18">
        <v>0.0181</v>
      </c>
      <c r="AP510" s="18">
        <v>13.38</v>
      </c>
      <c r="AQ510" s="18">
        <v>0</v>
      </c>
      <c r="AR510" s="18">
        <v>0</v>
      </c>
      <c r="AS510" s="18">
        <v>3</v>
      </c>
      <c r="AT510" s="18">
        <v>1</v>
      </c>
      <c r="AU510" s="18">
        <v>0</v>
      </c>
      <c r="AV510" s="18">
        <v>0</v>
      </c>
      <c r="AW510" s="18">
        <v>0</v>
      </c>
      <c r="AX510" s="18">
        <v>0</v>
      </c>
      <c r="AY510" s="18">
        <v>420</v>
      </c>
      <c r="AZ510" s="18">
        <v>218</v>
      </c>
      <c r="BA510" s="18">
        <v>174</v>
      </c>
      <c r="BB510" s="18">
        <v>0.79817</v>
      </c>
      <c r="BC510" s="18">
        <v>0</v>
      </c>
      <c r="BD510" s="18">
        <v>0</v>
      </c>
      <c r="BE510" s="18">
        <v>0.21605</v>
      </c>
      <c r="BF510" s="18">
        <v>120</v>
      </c>
      <c r="BG510" s="18">
        <v>2</v>
      </c>
      <c r="BH510" s="18">
        <v>0</v>
      </c>
      <c r="BI510" s="18"/>
      <c r="BJ510" s="18">
        <v>0</v>
      </c>
      <c r="BK510" s="18">
        <v>0</v>
      </c>
      <c r="BL510" s="18">
        <v>0</v>
      </c>
      <c r="BM510" s="18">
        <v>0</v>
      </c>
      <c r="BN510" s="18"/>
      <c r="BO510" s="18"/>
      <c r="BP510" s="18">
        <v>1.8</v>
      </c>
      <c r="BQ510" s="18">
        <v>349</v>
      </c>
      <c r="BR510" s="18">
        <v>0</v>
      </c>
      <c r="BS510" s="18">
        <v>0</v>
      </c>
      <c r="BT510" s="18">
        <v>0</v>
      </c>
      <c r="BU510" s="18">
        <v>0</v>
      </c>
    </row>
    <row r="511" spans="1:73">
      <c r="A511" s="19">
        <v>46166</v>
      </c>
      <c r="B511" s="18">
        <v>371</v>
      </c>
      <c r="C511" s="18" t="s">
        <v>32</v>
      </c>
      <c r="D511" s="18">
        <v>371</v>
      </c>
      <c r="E511" s="18" t="s">
        <v>32</v>
      </c>
      <c r="F511" s="18">
        <v>5743</v>
      </c>
      <c r="G511" s="18">
        <v>238</v>
      </c>
      <c r="H511" s="18">
        <v>120</v>
      </c>
      <c r="I511" s="18">
        <v>0.04144</v>
      </c>
      <c r="J511" s="18">
        <v>0.5</v>
      </c>
      <c r="K511" s="18">
        <v>20.9</v>
      </c>
      <c r="L511" s="18">
        <v>0</v>
      </c>
      <c r="M511" s="18">
        <v>0</v>
      </c>
      <c r="N511" s="18">
        <v>0</v>
      </c>
      <c r="O511" s="18">
        <v>0</v>
      </c>
      <c r="P511" s="18">
        <v>0</v>
      </c>
      <c r="Q511" s="18">
        <v>0</v>
      </c>
      <c r="R511" s="18">
        <v>0</v>
      </c>
      <c r="S511" s="18">
        <v>0</v>
      </c>
      <c r="T511" s="18">
        <v>0</v>
      </c>
      <c r="U511" s="18">
        <v>0</v>
      </c>
      <c r="V511" s="18">
        <v>0</v>
      </c>
      <c r="W511" s="18">
        <v>0</v>
      </c>
      <c r="X511" s="18">
        <v>0</v>
      </c>
      <c r="Y511" s="18">
        <v>0</v>
      </c>
      <c r="Z511" s="18">
        <v>0</v>
      </c>
      <c r="AA511" s="18"/>
      <c r="AB511" s="18">
        <v>1</v>
      </c>
      <c r="AC511" s="18">
        <v>0</v>
      </c>
      <c r="AD511" s="18">
        <v>1</v>
      </c>
      <c r="AE511" s="18">
        <v>0.0042</v>
      </c>
      <c r="AF511" s="18">
        <v>3</v>
      </c>
      <c r="AG511" s="18">
        <v>1</v>
      </c>
      <c r="AH511" s="18">
        <v>120</v>
      </c>
      <c r="AI511" s="18">
        <v>5</v>
      </c>
      <c r="AJ511" s="18">
        <v>24</v>
      </c>
      <c r="AK511" s="18">
        <v>4</v>
      </c>
      <c r="AL511" s="18">
        <v>30</v>
      </c>
      <c r="AM511" s="18">
        <v>4</v>
      </c>
      <c r="AN511" s="18">
        <v>40</v>
      </c>
      <c r="AO511" s="18">
        <v>0.01261</v>
      </c>
      <c r="AP511" s="18">
        <v>120</v>
      </c>
      <c r="AQ511" s="18">
        <v>0</v>
      </c>
      <c r="AR511" s="18">
        <v>0</v>
      </c>
      <c r="AS511" s="18">
        <v>3</v>
      </c>
      <c r="AT511" s="18">
        <v>0</v>
      </c>
      <c r="AU511" s="18">
        <v>0</v>
      </c>
      <c r="AV511" s="18">
        <v>0</v>
      </c>
      <c r="AW511" s="18">
        <v>0</v>
      </c>
      <c r="AX511" s="18">
        <v>0</v>
      </c>
      <c r="AY511" s="18">
        <v>391</v>
      </c>
      <c r="AZ511" s="18">
        <v>182</v>
      </c>
      <c r="BA511" s="18">
        <v>158</v>
      </c>
      <c r="BB511" s="18">
        <v>0.86813</v>
      </c>
      <c r="BC511" s="18">
        <v>0</v>
      </c>
      <c r="BD511" s="18">
        <v>0</v>
      </c>
      <c r="BE511" s="18">
        <v>0.06808</v>
      </c>
      <c r="BF511" s="18">
        <v>104</v>
      </c>
      <c r="BG511" s="18">
        <v>2</v>
      </c>
      <c r="BH511" s="18">
        <v>0</v>
      </c>
      <c r="BI511" s="18"/>
      <c r="BJ511" s="18">
        <v>0</v>
      </c>
      <c r="BK511" s="18">
        <v>0</v>
      </c>
      <c r="BL511" s="18">
        <v>0</v>
      </c>
      <c r="BM511" s="18">
        <v>0</v>
      </c>
      <c r="BN511" s="18"/>
      <c r="BO511" s="18"/>
      <c r="BP511" s="18">
        <v>0.86</v>
      </c>
      <c r="BQ511" s="18">
        <v>340</v>
      </c>
      <c r="BR511" s="18">
        <v>0</v>
      </c>
      <c r="BS511" s="18">
        <v>0</v>
      </c>
      <c r="BT511" s="18">
        <v>0</v>
      </c>
      <c r="BU511" s="18">
        <v>0</v>
      </c>
    </row>
    <row r="512" spans="1:73">
      <c r="A512" s="19">
        <v>46166</v>
      </c>
      <c r="B512" s="18">
        <v>183</v>
      </c>
      <c r="C512" s="18" t="s">
        <v>40</v>
      </c>
      <c r="D512" s="18">
        <v>183</v>
      </c>
      <c r="E512" s="18" t="s">
        <v>40</v>
      </c>
      <c r="F512" s="18">
        <v>1224</v>
      </c>
      <c r="G512" s="18">
        <v>65</v>
      </c>
      <c r="H512" s="18">
        <v>159</v>
      </c>
      <c r="I512" s="18">
        <v>0.0531</v>
      </c>
      <c r="J512" s="18">
        <v>2.45</v>
      </c>
      <c r="K512" s="18">
        <v>129.9</v>
      </c>
      <c r="L512" s="18">
        <v>0</v>
      </c>
      <c r="M512" s="18">
        <v>0</v>
      </c>
      <c r="N512" s="18">
        <v>0</v>
      </c>
      <c r="O512" s="18">
        <v>0</v>
      </c>
      <c r="P512" s="18">
        <v>0</v>
      </c>
      <c r="Q512" s="18">
        <v>0</v>
      </c>
      <c r="R512" s="18">
        <v>138.64</v>
      </c>
      <c r="S512" s="18">
        <v>163.95</v>
      </c>
      <c r="T512" s="18">
        <v>302.59</v>
      </c>
      <c r="U512" s="18">
        <v>4</v>
      </c>
      <c r="V512" s="18">
        <v>1</v>
      </c>
      <c r="W512" s="18">
        <v>3</v>
      </c>
      <c r="X512" s="18">
        <v>0.06154</v>
      </c>
      <c r="Y512" s="18">
        <v>1.9</v>
      </c>
      <c r="Z512" s="18">
        <v>1.9</v>
      </c>
      <c r="AA512" s="18">
        <v>39.75</v>
      </c>
      <c r="AB512" s="18">
        <v>15</v>
      </c>
      <c r="AC512" s="18">
        <v>9</v>
      </c>
      <c r="AD512" s="18">
        <v>6</v>
      </c>
      <c r="AE512" s="18">
        <v>0.23077</v>
      </c>
      <c r="AF512" s="18">
        <v>0</v>
      </c>
      <c r="AG512" s="18">
        <v>0</v>
      </c>
      <c r="AH512" s="18"/>
      <c r="AI512" s="18">
        <v>15</v>
      </c>
      <c r="AJ512" s="18">
        <v>10.6</v>
      </c>
      <c r="AK512" s="18">
        <v>15</v>
      </c>
      <c r="AL512" s="18">
        <v>10.6</v>
      </c>
      <c r="AM512" s="18">
        <v>0</v>
      </c>
      <c r="AN512" s="18"/>
      <c r="AO512" s="18">
        <v>0</v>
      </c>
      <c r="AP512" s="18">
        <v>10.6</v>
      </c>
      <c r="AQ512" s="18">
        <v>5</v>
      </c>
      <c r="AR512" s="18">
        <v>416.7</v>
      </c>
      <c r="AS512" s="18">
        <v>0</v>
      </c>
      <c r="AT512" s="18">
        <v>0</v>
      </c>
      <c r="AU512" s="18">
        <v>0</v>
      </c>
      <c r="AV512" s="18">
        <v>0</v>
      </c>
      <c r="AW512" s="18">
        <v>0</v>
      </c>
      <c r="AX512" s="18">
        <v>1</v>
      </c>
      <c r="AY512" s="18">
        <v>356</v>
      </c>
      <c r="AZ512" s="18">
        <v>110</v>
      </c>
      <c r="BA512" s="18">
        <v>77</v>
      </c>
      <c r="BB512" s="18">
        <v>0.7</v>
      </c>
      <c r="BC512" s="18">
        <v>0</v>
      </c>
      <c r="BD512" s="18">
        <v>0</v>
      </c>
      <c r="BE512" s="18">
        <v>0.29085</v>
      </c>
      <c r="BF512" s="18">
        <v>184</v>
      </c>
      <c r="BG512" s="18">
        <v>3</v>
      </c>
      <c r="BH512" s="18">
        <v>1</v>
      </c>
      <c r="BI512" s="18">
        <v>1</v>
      </c>
      <c r="BJ512" s="18">
        <v>0</v>
      </c>
      <c r="BK512" s="18">
        <v>0</v>
      </c>
      <c r="BL512" s="18">
        <v>0</v>
      </c>
      <c r="BM512" s="18">
        <v>1</v>
      </c>
      <c r="BN512" s="18">
        <v>4</v>
      </c>
      <c r="BO512" s="18">
        <v>302.59</v>
      </c>
      <c r="BP512" s="18">
        <v>28.97</v>
      </c>
      <c r="BQ512" s="18">
        <v>525</v>
      </c>
      <c r="BR512" s="18">
        <v>0</v>
      </c>
      <c r="BS512" s="18">
        <v>0</v>
      </c>
      <c r="BT512" s="18">
        <v>0</v>
      </c>
      <c r="BU512" s="18">
        <v>0</v>
      </c>
    </row>
    <row r="513" spans="1:73">
      <c r="A513" s="19">
        <v>46166</v>
      </c>
      <c r="B513" s="18">
        <v>436</v>
      </c>
      <c r="C513" s="18" t="s">
        <v>38</v>
      </c>
      <c r="D513" s="18">
        <v>436</v>
      </c>
      <c r="E513" s="18" t="s">
        <v>38</v>
      </c>
      <c r="F513" s="18">
        <v>430</v>
      </c>
      <c r="G513" s="18">
        <v>21</v>
      </c>
      <c r="H513" s="18">
        <v>44.55</v>
      </c>
      <c r="I513" s="18">
        <v>0.04884</v>
      </c>
      <c r="J513" s="18">
        <v>2.12</v>
      </c>
      <c r="K513" s="18">
        <v>103.6</v>
      </c>
      <c r="L513" s="18">
        <v>0</v>
      </c>
      <c r="M513" s="18">
        <v>0</v>
      </c>
      <c r="N513" s="18">
        <v>0</v>
      </c>
      <c r="O513" s="18">
        <v>0</v>
      </c>
      <c r="P513" s="18">
        <v>0</v>
      </c>
      <c r="Q513" s="18">
        <v>0</v>
      </c>
      <c r="R513" s="18">
        <v>0</v>
      </c>
      <c r="S513" s="18">
        <v>39.9</v>
      </c>
      <c r="T513" s="18">
        <v>39.9</v>
      </c>
      <c r="U513" s="18">
        <v>1</v>
      </c>
      <c r="V513" s="18">
        <v>0</v>
      </c>
      <c r="W513" s="18">
        <v>1</v>
      </c>
      <c r="X513" s="18">
        <v>0.04762</v>
      </c>
      <c r="Y513" s="18">
        <v>0.9</v>
      </c>
      <c r="Z513" s="18">
        <v>0.9</v>
      </c>
      <c r="AA513" s="18">
        <v>44.55</v>
      </c>
      <c r="AB513" s="18">
        <v>2</v>
      </c>
      <c r="AC513" s="18">
        <v>2</v>
      </c>
      <c r="AD513" s="18">
        <v>0</v>
      </c>
      <c r="AE513" s="18">
        <v>0.09524</v>
      </c>
      <c r="AF513" s="18">
        <v>0</v>
      </c>
      <c r="AG513" s="18">
        <v>1</v>
      </c>
      <c r="AH513" s="18">
        <v>44.55</v>
      </c>
      <c r="AI513" s="18">
        <v>3</v>
      </c>
      <c r="AJ513" s="18">
        <v>14.85</v>
      </c>
      <c r="AK513" s="18">
        <v>2</v>
      </c>
      <c r="AL513" s="18">
        <v>22.28</v>
      </c>
      <c r="AM513" s="18">
        <v>1</v>
      </c>
      <c r="AN513" s="18"/>
      <c r="AO513" s="18">
        <v>0</v>
      </c>
      <c r="AP513" s="18">
        <v>22.28</v>
      </c>
      <c r="AQ513" s="18">
        <v>1</v>
      </c>
      <c r="AR513" s="18">
        <v>79</v>
      </c>
      <c r="AS513" s="18">
        <v>0</v>
      </c>
      <c r="AT513" s="18">
        <v>0</v>
      </c>
      <c r="AU513" s="18">
        <v>0</v>
      </c>
      <c r="AV513" s="18">
        <v>0</v>
      </c>
      <c r="AW513" s="18">
        <v>0</v>
      </c>
      <c r="AX513" s="18">
        <v>2</v>
      </c>
      <c r="AY513" s="18">
        <v>60</v>
      </c>
      <c r="AZ513" s="18">
        <v>17</v>
      </c>
      <c r="BA513" s="18">
        <v>9</v>
      </c>
      <c r="BB513" s="18">
        <v>0.52941</v>
      </c>
      <c r="BC513" s="18">
        <v>0</v>
      </c>
      <c r="BD513" s="18">
        <v>0</v>
      </c>
      <c r="BE513" s="18">
        <v>0.13953</v>
      </c>
      <c r="BF513" s="18">
        <v>38</v>
      </c>
      <c r="BG513" s="18">
        <v>4</v>
      </c>
      <c r="BH513" s="18">
        <v>1</v>
      </c>
      <c r="BI513" s="18">
        <v>1</v>
      </c>
      <c r="BJ513" s="18">
        <v>0</v>
      </c>
      <c r="BK513" s="18">
        <v>0</v>
      </c>
      <c r="BL513" s="18">
        <v>0</v>
      </c>
      <c r="BM513" s="18">
        <v>1</v>
      </c>
      <c r="BN513" s="18">
        <v>1</v>
      </c>
      <c r="BO513" s="18">
        <v>39.9</v>
      </c>
      <c r="BP513" s="18">
        <v>27.95</v>
      </c>
      <c r="BQ513" s="18">
        <v>280</v>
      </c>
      <c r="BR513" s="18">
        <v>0</v>
      </c>
      <c r="BS513" s="18">
        <v>0</v>
      </c>
      <c r="BT513" s="18">
        <v>0</v>
      </c>
      <c r="BU513" s="18">
        <v>0</v>
      </c>
    </row>
    <row r="514" spans="1:73">
      <c r="A514" s="19">
        <v>46166</v>
      </c>
      <c r="B514" s="18">
        <v>479</v>
      </c>
      <c r="C514" s="18" t="s">
        <v>39</v>
      </c>
      <c r="D514" s="18">
        <v>479</v>
      </c>
      <c r="E514" s="18" t="s">
        <v>39</v>
      </c>
      <c r="F514" s="18">
        <v>35</v>
      </c>
      <c r="G514" s="18">
        <v>15</v>
      </c>
      <c r="H514" s="18">
        <v>12.72</v>
      </c>
      <c r="I514" s="18">
        <v>0.42857</v>
      </c>
      <c r="J514" s="18">
        <v>0.85</v>
      </c>
      <c r="K514" s="18">
        <v>363.32</v>
      </c>
      <c r="L514" s="18">
        <v>0</v>
      </c>
      <c r="M514" s="18">
        <v>0</v>
      </c>
      <c r="N514" s="18">
        <v>0</v>
      </c>
      <c r="O514" s="18">
        <v>0</v>
      </c>
      <c r="P514" s="18">
        <v>0</v>
      </c>
      <c r="Q514" s="18">
        <v>0</v>
      </c>
      <c r="R514" s="18">
        <v>0</v>
      </c>
      <c r="S514" s="18">
        <v>0</v>
      </c>
      <c r="T514" s="18">
        <v>0</v>
      </c>
      <c r="U514" s="18">
        <v>0</v>
      </c>
      <c r="V514" s="18">
        <v>0</v>
      </c>
      <c r="W514" s="18">
        <v>0</v>
      </c>
      <c r="X514" s="18">
        <v>0</v>
      </c>
      <c r="Y514" s="18">
        <v>0</v>
      </c>
      <c r="Z514" s="18">
        <v>0</v>
      </c>
      <c r="AA514" s="18"/>
      <c r="AB514" s="18">
        <v>0</v>
      </c>
      <c r="AC514" s="18">
        <v>0</v>
      </c>
      <c r="AD514" s="18">
        <v>0</v>
      </c>
      <c r="AE514" s="18">
        <v>0</v>
      </c>
      <c r="AF514" s="18">
        <v>0</v>
      </c>
      <c r="AG514" s="18">
        <v>1</v>
      </c>
      <c r="AH514" s="18">
        <v>12.72</v>
      </c>
      <c r="AI514" s="18">
        <v>1</v>
      </c>
      <c r="AJ514" s="18">
        <v>12.72</v>
      </c>
      <c r="AK514" s="18">
        <v>0</v>
      </c>
      <c r="AL514" s="18"/>
      <c r="AM514" s="18">
        <v>1</v>
      </c>
      <c r="AN514" s="18"/>
      <c r="AO514" s="18">
        <v>0</v>
      </c>
      <c r="AP514" s="18"/>
      <c r="AQ514" s="18">
        <v>0</v>
      </c>
      <c r="AR514" s="18">
        <v>0</v>
      </c>
      <c r="AS514" s="18">
        <v>0</v>
      </c>
      <c r="AT514" s="18">
        <v>0</v>
      </c>
      <c r="AU514" s="18">
        <v>0</v>
      </c>
      <c r="AV514" s="18">
        <v>0</v>
      </c>
      <c r="AW514" s="18">
        <v>0</v>
      </c>
      <c r="AX514" s="18">
        <v>2</v>
      </c>
      <c r="AY514" s="18">
        <v>113</v>
      </c>
      <c r="AZ514" s="18">
        <v>15</v>
      </c>
      <c r="BA514" s="18">
        <v>10</v>
      </c>
      <c r="BB514" s="18">
        <v>0.66667</v>
      </c>
      <c r="BC514" s="18">
        <v>0</v>
      </c>
      <c r="BD514" s="18">
        <v>0</v>
      </c>
      <c r="BE514" s="18">
        <v>3.22857</v>
      </c>
      <c r="BF514" s="18">
        <v>98</v>
      </c>
      <c r="BG514" s="18">
        <v>8</v>
      </c>
      <c r="BH514" s="18">
        <v>0</v>
      </c>
      <c r="BI514" s="18"/>
      <c r="BJ514" s="18">
        <v>0</v>
      </c>
      <c r="BK514" s="18">
        <v>0</v>
      </c>
      <c r="BL514" s="18">
        <v>0</v>
      </c>
      <c r="BM514" s="18">
        <v>0</v>
      </c>
      <c r="BN514" s="18"/>
      <c r="BO514" s="18"/>
      <c r="BP514" s="18">
        <v>0</v>
      </c>
      <c r="BQ514" s="18">
        <v>10</v>
      </c>
      <c r="BR514" s="18">
        <v>0</v>
      </c>
      <c r="BS514" s="18">
        <v>0</v>
      </c>
      <c r="BT514" s="18">
        <v>0</v>
      </c>
      <c r="BU514" s="18">
        <v>0</v>
      </c>
    </row>
    <row r="515" spans="1:73">
      <c r="A515" s="19">
        <v>46165</v>
      </c>
      <c r="B515" s="18">
        <v>371</v>
      </c>
      <c r="C515" s="18" t="s">
        <v>32</v>
      </c>
      <c r="D515" s="18">
        <v>371</v>
      </c>
      <c r="E515" s="18" t="s">
        <v>32</v>
      </c>
      <c r="F515" s="18">
        <v>4614</v>
      </c>
      <c r="G515" s="18">
        <v>200</v>
      </c>
      <c r="H515" s="18">
        <v>113.57</v>
      </c>
      <c r="I515" s="18">
        <v>0.04335</v>
      </c>
      <c r="J515" s="18">
        <v>0.57</v>
      </c>
      <c r="K515" s="18">
        <v>24.61</v>
      </c>
      <c r="L515" s="18">
        <v>0</v>
      </c>
      <c r="M515" s="18">
        <v>0</v>
      </c>
      <c r="N515" s="18">
        <v>0</v>
      </c>
      <c r="O515" s="18">
        <v>0</v>
      </c>
      <c r="P515" s="18">
        <v>0</v>
      </c>
      <c r="Q515" s="18">
        <v>0</v>
      </c>
      <c r="R515" s="18">
        <v>75.2</v>
      </c>
      <c r="S515" s="18">
        <v>142</v>
      </c>
      <c r="T515" s="18">
        <v>217.2</v>
      </c>
      <c r="U515" s="18">
        <v>2</v>
      </c>
      <c r="V515" s="18">
        <v>1</v>
      </c>
      <c r="W515" s="18">
        <v>1</v>
      </c>
      <c r="X515" s="18">
        <v>0.01</v>
      </c>
      <c r="Y515" s="18">
        <v>1.91</v>
      </c>
      <c r="Z515" s="18">
        <v>1.91</v>
      </c>
      <c r="AA515" s="18">
        <v>56.79</v>
      </c>
      <c r="AB515" s="18">
        <v>12</v>
      </c>
      <c r="AC515" s="18">
        <v>8</v>
      </c>
      <c r="AD515" s="18">
        <v>4</v>
      </c>
      <c r="AE515" s="18">
        <v>0.06</v>
      </c>
      <c r="AF515" s="18">
        <v>1</v>
      </c>
      <c r="AG515" s="18">
        <v>1</v>
      </c>
      <c r="AH515" s="18">
        <v>113.57</v>
      </c>
      <c r="AI515" s="18">
        <v>14</v>
      </c>
      <c r="AJ515" s="18">
        <v>8.11</v>
      </c>
      <c r="AK515" s="18">
        <v>13</v>
      </c>
      <c r="AL515" s="18">
        <v>8.74</v>
      </c>
      <c r="AM515" s="18">
        <v>2</v>
      </c>
      <c r="AN515" s="18">
        <v>113.57</v>
      </c>
      <c r="AO515" s="18">
        <v>0.005</v>
      </c>
      <c r="AP515" s="18">
        <v>9.46</v>
      </c>
      <c r="AQ515" s="18">
        <v>5</v>
      </c>
      <c r="AR515" s="18">
        <v>655.8</v>
      </c>
      <c r="AS515" s="18">
        <v>1</v>
      </c>
      <c r="AT515" s="18">
        <v>0</v>
      </c>
      <c r="AU515" s="18">
        <v>0</v>
      </c>
      <c r="AV515" s="18">
        <v>0</v>
      </c>
      <c r="AW515" s="18">
        <v>0</v>
      </c>
      <c r="AX515" s="18">
        <v>0</v>
      </c>
      <c r="AY515" s="18">
        <v>407</v>
      </c>
      <c r="AZ515" s="18">
        <v>166</v>
      </c>
      <c r="BA515" s="18">
        <v>147</v>
      </c>
      <c r="BB515" s="18">
        <v>0.88554</v>
      </c>
      <c r="BC515" s="18">
        <v>0</v>
      </c>
      <c r="BD515" s="18">
        <v>0</v>
      </c>
      <c r="BE515" s="18">
        <v>0.08821</v>
      </c>
      <c r="BF515" s="18">
        <v>184</v>
      </c>
      <c r="BG515" s="18">
        <v>2</v>
      </c>
      <c r="BH515" s="18">
        <v>2</v>
      </c>
      <c r="BI515" s="18">
        <v>1</v>
      </c>
      <c r="BJ515" s="18">
        <v>0</v>
      </c>
      <c r="BK515" s="18">
        <v>0</v>
      </c>
      <c r="BL515" s="18">
        <v>0</v>
      </c>
      <c r="BM515" s="18">
        <v>2</v>
      </c>
      <c r="BN515" s="18">
        <v>1</v>
      </c>
      <c r="BO515" s="18">
        <v>108.6</v>
      </c>
      <c r="BP515" s="18">
        <v>36.97</v>
      </c>
      <c r="BQ515" s="18">
        <v>781</v>
      </c>
      <c r="BR515" s="18">
        <v>0</v>
      </c>
      <c r="BS515" s="18">
        <v>0</v>
      </c>
      <c r="BT515" s="18">
        <v>0</v>
      </c>
      <c r="BU515" s="18">
        <v>0</v>
      </c>
    </row>
    <row r="516" spans="1:73">
      <c r="A516" s="19">
        <v>46165</v>
      </c>
      <c r="B516" s="18">
        <v>183</v>
      </c>
      <c r="C516" s="18" t="s">
        <v>40</v>
      </c>
      <c r="D516" s="18">
        <v>183</v>
      </c>
      <c r="E516" s="18" t="s">
        <v>40</v>
      </c>
      <c r="F516" s="18">
        <v>1219</v>
      </c>
      <c r="G516" s="18">
        <v>61</v>
      </c>
      <c r="H516" s="18">
        <v>159</v>
      </c>
      <c r="I516" s="18">
        <v>0.05004</v>
      </c>
      <c r="J516" s="18">
        <v>2.61</v>
      </c>
      <c r="K516" s="18">
        <v>130.43</v>
      </c>
      <c r="L516" s="18">
        <v>0</v>
      </c>
      <c r="M516" s="18">
        <v>0</v>
      </c>
      <c r="N516" s="18">
        <v>0</v>
      </c>
      <c r="O516" s="18">
        <v>0</v>
      </c>
      <c r="P516" s="18">
        <v>0</v>
      </c>
      <c r="Q516" s="18">
        <v>0</v>
      </c>
      <c r="R516" s="18">
        <v>142</v>
      </c>
      <c r="S516" s="18">
        <v>0</v>
      </c>
      <c r="T516" s="18">
        <v>142</v>
      </c>
      <c r="U516" s="18">
        <v>1</v>
      </c>
      <c r="V516" s="18">
        <v>1</v>
      </c>
      <c r="W516" s="18">
        <v>0</v>
      </c>
      <c r="X516" s="18">
        <v>0.01639</v>
      </c>
      <c r="Y516" s="18">
        <v>0.89</v>
      </c>
      <c r="Z516" s="18">
        <v>0.89</v>
      </c>
      <c r="AA516" s="18">
        <v>159</v>
      </c>
      <c r="AB516" s="18">
        <v>9</v>
      </c>
      <c r="AC516" s="18">
        <v>5</v>
      </c>
      <c r="AD516" s="18">
        <v>4</v>
      </c>
      <c r="AE516" s="18">
        <v>0.14754</v>
      </c>
      <c r="AF516" s="18">
        <v>1</v>
      </c>
      <c r="AG516" s="18">
        <v>1</v>
      </c>
      <c r="AH516" s="18">
        <v>159</v>
      </c>
      <c r="AI516" s="18">
        <v>11</v>
      </c>
      <c r="AJ516" s="18">
        <v>14.45</v>
      </c>
      <c r="AK516" s="18">
        <v>10</v>
      </c>
      <c r="AL516" s="18">
        <v>15.9</v>
      </c>
      <c r="AM516" s="18">
        <v>2</v>
      </c>
      <c r="AN516" s="18">
        <v>159</v>
      </c>
      <c r="AO516" s="18">
        <v>0.01639</v>
      </c>
      <c r="AP516" s="18">
        <v>17.67</v>
      </c>
      <c r="AQ516" s="18">
        <v>2</v>
      </c>
      <c r="AR516" s="18">
        <v>217.9</v>
      </c>
      <c r="AS516" s="18">
        <v>1</v>
      </c>
      <c r="AT516" s="18">
        <v>0</v>
      </c>
      <c r="AU516" s="18">
        <v>0</v>
      </c>
      <c r="AV516" s="18">
        <v>0</v>
      </c>
      <c r="AW516" s="18">
        <v>0</v>
      </c>
      <c r="AX516" s="18">
        <v>0</v>
      </c>
      <c r="AY516" s="18">
        <v>347</v>
      </c>
      <c r="AZ516" s="18">
        <v>116</v>
      </c>
      <c r="BA516" s="18">
        <v>77</v>
      </c>
      <c r="BB516" s="18">
        <v>0.66379</v>
      </c>
      <c r="BC516" s="18">
        <v>0</v>
      </c>
      <c r="BD516" s="18">
        <v>0</v>
      </c>
      <c r="BE516" s="18">
        <v>0.28466</v>
      </c>
      <c r="BF516" s="18">
        <v>160</v>
      </c>
      <c r="BG516" s="18">
        <v>3</v>
      </c>
      <c r="BH516" s="18">
        <v>0</v>
      </c>
      <c r="BI516" s="18">
        <v>0</v>
      </c>
      <c r="BJ516" s="18">
        <v>0</v>
      </c>
      <c r="BK516" s="18">
        <v>0</v>
      </c>
      <c r="BL516" s="18">
        <v>0</v>
      </c>
      <c r="BM516" s="18">
        <v>1</v>
      </c>
      <c r="BN516" s="18">
        <v>1</v>
      </c>
      <c r="BO516" s="18">
        <v>142</v>
      </c>
      <c r="BP516" s="18">
        <v>3.53</v>
      </c>
      <c r="BQ516" s="18">
        <v>465</v>
      </c>
      <c r="BR516" s="18">
        <v>0</v>
      </c>
      <c r="BS516" s="18">
        <v>0</v>
      </c>
      <c r="BT516" s="18">
        <v>0</v>
      </c>
      <c r="BU516" s="18">
        <v>0</v>
      </c>
    </row>
    <row r="517" spans="1:73">
      <c r="A517" s="19">
        <v>46165</v>
      </c>
      <c r="B517" s="18">
        <v>372</v>
      </c>
      <c r="C517" s="18" t="s">
        <v>37</v>
      </c>
      <c r="D517" s="18">
        <v>372</v>
      </c>
      <c r="E517" s="18" t="s">
        <v>61</v>
      </c>
      <c r="F517" s="18">
        <v>1701</v>
      </c>
      <c r="G517" s="18">
        <v>162</v>
      </c>
      <c r="H517" s="18">
        <v>65.05</v>
      </c>
      <c r="I517" s="18">
        <v>0.09524</v>
      </c>
      <c r="J517" s="18">
        <v>0.4</v>
      </c>
      <c r="K517" s="18">
        <v>38.24</v>
      </c>
      <c r="L517" s="18">
        <v>0</v>
      </c>
      <c r="M517" s="18">
        <v>0</v>
      </c>
      <c r="N517" s="18">
        <v>0</v>
      </c>
      <c r="O517" s="18">
        <v>0</v>
      </c>
      <c r="P517" s="18">
        <v>0</v>
      </c>
      <c r="Q517" s="18">
        <v>0</v>
      </c>
      <c r="R517" s="18">
        <v>0</v>
      </c>
      <c r="S517" s="18">
        <v>40.91</v>
      </c>
      <c r="T517" s="18">
        <v>40.91</v>
      </c>
      <c r="U517" s="18">
        <v>1</v>
      </c>
      <c r="V517" s="18">
        <v>0</v>
      </c>
      <c r="W517" s="18">
        <v>1</v>
      </c>
      <c r="X517" s="18">
        <v>0.00617</v>
      </c>
      <c r="Y517" s="18">
        <v>0.63</v>
      </c>
      <c r="Z517" s="18">
        <v>0.63</v>
      </c>
      <c r="AA517" s="18">
        <v>65.05</v>
      </c>
      <c r="AB517" s="18">
        <v>1</v>
      </c>
      <c r="AC517" s="18">
        <v>0</v>
      </c>
      <c r="AD517" s="18">
        <v>1</v>
      </c>
      <c r="AE517" s="18">
        <v>0.00617</v>
      </c>
      <c r="AF517" s="18">
        <v>2</v>
      </c>
      <c r="AG517" s="18">
        <v>1</v>
      </c>
      <c r="AH517" s="18">
        <v>65.05</v>
      </c>
      <c r="AI517" s="18">
        <v>4</v>
      </c>
      <c r="AJ517" s="18">
        <v>16.26</v>
      </c>
      <c r="AK517" s="18">
        <v>3</v>
      </c>
      <c r="AL517" s="18">
        <v>21.68</v>
      </c>
      <c r="AM517" s="18">
        <v>3</v>
      </c>
      <c r="AN517" s="18">
        <v>32.53</v>
      </c>
      <c r="AO517" s="18">
        <v>0.01235</v>
      </c>
      <c r="AP517" s="18">
        <v>65.05</v>
      </c>
      <c r="AQ517" s="18">
        <v>1</v>
      </c>
      <c r="AR517" s="18">
        <v>49.9</v>
      </c>
      <c r="AS517" s="18">
        <v>2</v>
      </c>
      <c r="AT517" s="18">
        <v>0</v>
      </c>
      <c r="AU517" s="18">
        <v>0</v>
      </c>
      <c r="AV517" s="18">
        <v>0</v>
      </c>
      <c r="AW517" s="18">
        <v>0</v>
      </c>
      <c r="AX517" s="18">
        <v>2</v>
      </c>
      <c r="AY517" s="18">
        <v>307</v>
      </c>
      <c r="AZ517" s="18">
        <v>146</v>
      </c>
      <c r="BA517" s="18">
        <v>109</v>
      </c>
      <c r="BB517" s="18">
        <v>0.74658</v>
      </c>
      <c r="BC517" s="18">
        <v>0</v>
      </c>
      <c r="BD517" s="18">
        <v>0</v>
      </c>
      <c r="BE517" s="18">
        <v>0.18048</v>
      </c>
      <c r="BF517" s="18">
        <v>95</v>
      </c>
      <c r="BG517" s="18">
        <v>2</v>
      </c>
      <c r="BH517" s="18">
        <v>1</v>
      </c>
      <c r="BI517" s="18">
        <v>1</v>
      </c>
      <c r="BJ517" s="18">
        <v>0</v>
      </c>
      <c r="BK517" s="18">
        <v>0</v>
      </c>
      <c r="BL517" s="18">
        <v>0</v>
      </c>
      <c r="BM517" s="18">
        <v>1</v>
      </c>
      <c r="BN517" s="18">
        <v>1</v>
      </c>
      <c r="BO517" s="18">
        <v>40.91</v>
      </c>
      <c r="BP517" s="18">
        <v>2.79</v>
      </c>
      <c r="BQ517" s="18">
        <v>234</v>
      </c>
      <c r="BR517" s="18">
        <v>0</v>
      </c>
      <c r="BS517" s="18">
        <v>0</v>
      </c>
      <c r="BT517" s="18">
        <v>0</v>
      </c>
      <c r="BU517" s="18">
        <v>0</v>
      </c>
    </row>
    <row r="518" spans="1:73">
      <c r="A518" s="19">
        <v>46165</v>
      </c>
      <c r="B518" s="18">
        <v>436</v>
      </c>
      <c r="C518" s="18" t="s">
        <v>38</v>
      </c>
      <c r="D518" s="18">
        <v>436</v>
      </c>
      <c r="E518" s="18" t="s">
        <v>38</v>
      </c>
      <c r="F518" s="18">
        <v>704</v>
      </c>
      <c r="G518" s="18">
        <v>21</v>
      </c>
      <c r="H518" s="18">
        <v>27.16</v>
      </c>
      <c r="I518" s="18">
        <v>0.02983</v>
      </c>
      <c r="J518" s="18">
        <v>1.29</v>
      </c>
      <c r="K518" s="18">
        <v>38.58</v>
      </c>
      <c r="L518" s="18">
        <v>0</v>
      </c>
      <c r="M518" s="18">
        <v>0</v>
      </c>
      <c r="N518" s="18">
        <v>0</v>
      </c>
      <c r="O518" s="18">
        <v>0</v>
      </c>
      <c r="P518" s="18">
        <v>0</v>
      </c>
      <c r="Q518" s="18">
        <v>0</v>
      </c>
      <c r="R518" s="18">
        <v>0</v>
      </c>
      <c r="S518" s="18">
        <v>0</v>
      </c>
      <c r="T518" s="18">
        <v>0</v>
      </c>
      <c r="U518" s="18">
        <v>0</v>
      </c>
      <c r="V518" s="18">
        <v>0</v>
      </c>
      <c r="W518" s="18">
        <v>0</v>
      </c>
      <c r="X518" s="18">
        <v>0</v>
      </c>
      <c r="Y518" s="18">
        <v>0</v>
      </c>
      <c r="Z518" s="18">
        <v>0</v>
      </c>
      <c r="AA518" s="18"/>
      <c r="AB518" s="18">
        <v>0</v>
      </c>
      <c r="AC518" s="18">
        <v>0</v>
      </c>
      <c r="AD518" s="18">
        <v>0</v>
      </c>
      <c r="AE518" s="18">
        <v>0</v>
      </c>
      <c r="AF518" s="18">
        <v>0</v>
      </c>
      <c r="AG518" s="18">
        <v>0</v>
      </c>
      <c r="AH518" s="18"/>
      <c r="AI518" s="18">
        <v>0</v>
      </c>
      <c r="AJ518" s="18"/>
      <c r="AK518" s="18">
        <v>0</v>
      </c>
      <c r="AL518" s="18"/>
      <c r="AM518" s="18">
        <v>0</v>
      </c>
      <c r="AN518" s="18"/>
      <c r="AO518" s="18">
        <v>0</v>
      </c>
      <c r="AP518" s="18"/>
      <c r="AQ518" s="18">
        <v>0</v>
      </c>
      <c r="AR518" s="18">
        <v>0</v>
      </c>
      <c r="AS518" s="18">
        <v>0</v>
      </c>
      <c r="AT518" s="18">
        <v>0</v>
      </c>
      <c r="AU518" s="18">
        <v>0</v>
      </c>
      <c r="AV518" s="18">
        <v>0</v>
      </c>
      <c r="AW518" s="18">
        <v>0</v>
      </c>
      <c r="AX518" s="18">
        <v>0</v>
      </c>
      <c r="AY518" s="18">
        <v>51</v>
      </c>
      <c r="AZ518" s="18">
        <v>20</v>
      </c>
      <c r="BA518" s="18">
        <v>13</v>
      </c>
      <c r="BB518" s="18">
        <v>0.65</v>
      </c>
      <c r="BC518" s="18">
        <v>0</v>
      </c>
      <c r="BD518" s="18">
        <v>0</v>
      </c>
      <c r="BE518" s="18">
        <v>0.07244</v>
      </c>
      <c r="BF518" s="18">
        <v>29</v>
      </c>
      <c r="BG518" s="18">
        <v>3</v>
      </c>
      <c r="BH518" s="18">
        <v>0</v>
      </c>
      <c r="BI518" s="18"/>
      <c r="BJ518" s="18">
        <v>0</v>
      </c>
      <c r="BK518" s="18">
        <v>0</v>
      </c>
      <c r="BL518" s="18">
        <v>0</v>
      </c>
      <c r="BM518" s="18">
        <v>0</v>
      </c>
      <c r="BN518" s="18"/>
      <c r="BO518" s="18"/>
      <c r="BP518" s="18">
        <v>0</v>
      </c>
      <c r="BQ518" s="18">
        <v>55</v>
      </c>
      <c r="BR518" s="18">
        <v>0</v>
      </c>
      <c r="BS518" s="18">
        <v>0</v>
      </c>
      <c r="BT518" s="18">
        <v>0</v>
      </c>
      <c r="BU518" s="18">
        <v>0</v>
      </c>
    </row>
    <row r="519" spans="1:73">
      <c r="A519" s="19">
        <v>46165</v>
      </c>
      <c r="B519" s="18">
        <v>479</v>
      </c>
      <c r="C519" s="18" t="s">
        <v>39</v>
      </c>
      <c r="D519" s="18">
        <v>479</v>
      </c>
      <c r="E519" s="18" t="s">
        <v>39</v>
      </c>
      <c r="F519" s="18">
        <v>41</v>
      </c>
      <c r="G519" s="18">
        <v>18</v>
      </c>
      <c r="H519" s="18">
        <v>15.31</v>
      </c>
      <c r="I519" s="18">
        <v>0.43902</v>
      </c>
      <c r="J519" s="18">
        <v>0.85</v>
      </c>
      <c r="K519" s="18">
        <v>373.51</v>
      </c>
      <c r="L519" s="18">
        <v>0</v>
      </c>
      <c r="M519" s="18">
        <v>0</v>
      </c>
      <c r="N519" s="18">
        <v>0</v>
      </c>
      <c r="O519" s="18">
        <v>0</v>
      </c>
      <c r="P519" s="18">
        <v>0</v>
      </c>
      <c r="Q519" s="18">
        <v>0</v>
      </c>
      <c r="R519" s="18">
        <v>0</v>
      </c>
      <c r="S519" s="18">
        <v>466.54</v>
      </c>
      <c r="T519" s="18">
        <v>466.54</v>
      </c>
      <c r="U519" s="18">
        <v>7</v>
      </c>
      <c r="V519" s="18">
        <v>0</v>
      </c>
      <c r="W519" s="18">
        <v>7</v>
      </c>
      <c r="X519" s="18">
        <v>0.38889</v>
      </c>
      <c r="Y519" s="18">
        <v>30.47</v>
      </c>
      <c r="Z519" s="18">
        <v>30.47</v>
      </c>
      <c r="AA519" s="18">
        <v>2.19</v>
      </c>
      <c r="AB519" s="18">
        <v>7</v>
      </c>
      <c r="AC519" s="18">
        <v>0</v>
      </c>
      <c r="AD519" s="18">
        <v>7</v>
      </c>
      <c r="AE519" s="18">
        <v>0.38889</v>
      </c>
      <c r="AF519" s="18">
        <v>0</v>
      </c>
      <c r="AG519" s="18">
        <v>0</v>
      </c>
      <c r="AH519" s="18"/>
      <c r="AI519" s="18">
        <v>7</v>
      </c>
      <c r="AJ519" s="18">
        <v>2.19</v>
      </c>
      <c r="AK519" s="18">
        <v>7</v>
      </c>
      <c r="AL519" s="18">
        <v>2.19</v>
      </c>
      <c r="AM519" s="18">
        <v>0</v>
      </c>
      <c r="AN519" s="18"/>
      <c r="AO519" s="18">
        <v>0</v>
      </c>
      <c r="AP519" s="18">
        <v>2.19</v>
      </c>
      <c r="AQ519" s="18">
        <v>10</v>
      </c>
      <c r="AR519" s="18">
        <v>715.3</v>
      </c>
      <c r="AS519" s="18">
        <v>0</v>
      </c>
      <c r="AT519" s="18">
        <v>0</v>
      </c>
      <c r="AU519" s="18">
        <v>0</v>
      </c>
      <c r="AV519" s="18">
        <v>0</v>
      </c>
      <c r="AW519" s="18">
        <v>0</v>
      </c>
      <c r="AX519" s="18">
        <v>1</v>
      </c>
      <c r="AY519" s="18">
        <v>133</v>
      </c>
      <c r="AZ519" s="18">
        <v>16</v>
      </c>
      <c r="BA519" s="18">
        <v>13</v>
      </c>
      <c r="BB519" s="18">
        <v>0.8125</v>
      </c>
      <c r="BC519" s="18">
        <v>0</v>
      </c>
      <c r="BD519" s="18">
        <v>0</v>
      </c>
      <c r="BE519" s="18">
        <v>3.2439</v>
      </c>
      <c r="BF519" s="18">
        <v>113</v>
      </c>
      <c r="BG519" s="18">
        <v>8</v>
      </c>
      <c r="BH519" s="18">
        <v>3</v>
      </c>
      <c r="BI519" s="18">
        <v>1</v>
      </c>
      <c r="BJ519" s="18">
        <v>0</v>
      </c>
      <c r="BK519" s="18">
        <v>0</v>
      </c>
      <c r="BL519" s="18">
        <v>0</v>
      </c>
      <c r="BM519" s="18">
        <v>3</v>
      </c>
      <c r="BN519" s="18">
        <v>2</v>
      </c>
      <c r="BO519" s="18">
        <v>155.51</v>
      </c>
      <c r="BP519" s="18">
        <v>2.24</v>
      </c>
      <c r="BQ519" s="18">
        <v>564</v>
      </c>
      <c r="BR519" s="18">
        <v>0</v>
      </c>
      <c r="BS519" s="18">
        <v>0</v>
      </c>
      <c r="BT519" s="18">
        <v>0</v>
      </c>
      <c r="BU519" s="18">
        <v>0</v>
      </c>
    </row>
    <row r="520" spans="1:73">
      <c r="A520" s="19">
        <v>46164</v>
      </c>
      <c r="B520" s="18">
        <v>372</v>
      </c>
      <c r="C520" s="18" t="s">
        <v>37</v>
      </c>
      <c r="D520" s="18">
        <v>372</v>
      </c>
      <c r="E520" s="18" t="s">
        <v>61</v>
      </c>
      <c r="F520" s="18">
        <v>1099</v>
      </c>
      <c r="G520" s="18">
        <v>115</v>
      </c>
      <c r="H520" s="18">
        <v>59.48</v>
      </c>
      <c r="I520" s="18">
        <v>0.10464</v>
      </c>
      <c r="J520" s="18">
        <v>0.52</v>
      </c>
      <c r="K520" s="18">
        <v>54.12</v>
      </c>
      <c r="L520" s="18">
        <v>0</v>
      </c>
      <c r="M520" s="18">
        <v>0</v>
      </c>
      <c r="N520" s="18">
        <v>0</v>
      </c>
      <c r="O520" s="18">
        <v>0</v>
      </c>
      <c r="P520" s="18">
        <v>0</v>
      </c>
      <c r="Q520" s="18">
        <v>0</v>
      </c>
      <c r="R520" s="18">
        <v>0</v>
      </c>
      <c r="S520" s="18">
        <v>0</v>
      </c>
      <c r="T520" s="18">
        <v>0</v>
      </c>
      <c r="U520" s="18">
        <v>0</v>
      </c>
      <c r="V520" s="18">
        <v>0</v>
      </c>
      <c r="W520" s="18">
        <v>0</v>
      </c>
      <c r="X520" s="18">
        <v>0</v>
      </c>
      <c r="Y520" s="18">
        <v>0</v>
      </c>
      <c r="Z520" s="18">
        <v>0</v>
      </c>
      <c r="AA520" s="18"/>
      <c r="AB520" s="18">
        <v>2</v>
      </c>
      <c r="AC520" s="18">
        <v>2</v>
      </c>
      <c r="AD520" s="18">
        <v>0</v>
      </c>
      <c r="AE520" s="18">
        <v>0.01739</v>
      </c>
      <c r="AF520" s="18">
        <v>1</v>
      </c>
      <c r="AG520" s="18">
        <v>0</v>
      </c>
      <c r="AH520" s="18"/>
      <c r="AI520" s="18">
        <v>3</v>
      </c>
      <c r="AJ520" s="18">
        <v>19.83</v>
      </c>
      <c r="AK520" s="18">
        <v>3</v>
      </c>
      <c r="AL520" s="18">
        <v>19.83</v>
      </c>
      <c r="AM520" s="18">
        <v>1</v>
      </c>
      <c r="AN520" s="18">
        <v>59.48</v>
      </c>
      <c r="AO520" s="18">
        <v>0.0087</v>
      </c>
      <c r="AP520" s="18">
        <v>29.74</v>
      </c>
      <c r="AQ520" s="18">
        <v>0</v>
      </c>
      <c r="AR520" s="18">
        <v>0</v>
      </c>
      <c r="AS520" s="18">
        <v>0</v>
      </c>
      <c r="AT520" s="18">
        <v>1</v>
      </c>
      <c r="AU520" s="18">
        <v>0</v>
      </c>
      <c r="AV520" s="18">
        <v>0</v>
      </c>
      <c r="AW520" s="18">
        <v>0</v>
      </c>
      <c r="AX520" s="18">
        <v>0</v>
      </c>
      <c r="AY520" s="18">
        <v>214</v>
      </c>
      <c r="AZ520" s="18">
        <v>105</v>
      </c>
      <c r="BA520" s="18">
        <v>63</v>
      </c>
      <c r="BB520" s="18">
        <v>0.6</v>
      </c>
      <c r="BC520" s="18">
        <v>0</v>
      </c>
      <c r="BD520" s="18">
        <v>0</v>
      </c>
      <c r="BE520" s="18">
        <v>0.19472</v>
      </c>
      <c r="BF520" s="18">
        <v>49</v>
      </c>
      <c r="BG520" s="18">
        <v>2</v>
      </c>
      <c r="BH520" s="18">
        <v>0</v>
      </c>
      <c r="BI520" s="18"/>
      <c r="BJ520" s="18">
        <v>0</v>
      </c>
      <c r="BK520" s="18">
        <v>0</v>
      </c>
      <c r="BL520" s="18">
        <v>0</v>
      </c>
      <c r="BM520" s="18">
        <v>0</v>
      </c>
      <c r="BN520" s="18"/>
      <c r="BO520" s="18"/>
      <c r="BP520" s="18">
        <v>6.34</v>
      </c>
      <c r="BQ520" s="18">
        <v>190</v>
      </c>
      <c r="BR520" s="18">
        <v>0</v>
      </c>
      <c r="BS520" s="18">
        <v>0</v>
      </c>
      <c r="BT520" s="18">
        <v>0</v>
      </c>
      <c r="BU520" s="18">
        <v>0</v>
      </c>
    </row>
    <row r="521" spans="1:73">
      <c r="A521" s="19">
        <v>46164</v>
      </c>
      <c r="B521" s="18">
        <v>436</v>
      </c>
      <c r="C521" s="18" t="s">
        <v>38</v>
      </c>
      <c r="D521" s="18">
        <v>436</v>
      </c>
      <c r="E521" s="18" t="s">
        <v>38</v>
      </c>
      <c r="F521" s="18">
        <v>511</v>
      </c>
      <c r="G521" s="18">
        <v>24</v>
      </c>
      <c r="H521" s="18">
        <v>42.59</v>
      </c>
      <c r="I521" s="18">
        <v>0.04697</v>
      </c>
      <c r="J521" s="18">
        <v>1.77</v>
      </c>
      <c r="K521" s="18">
        <v>83.35</v>
      </c>
      <c r="L521" s="18">
        <v>0</v>
      </c>
      <c r="M521" s="18">
        <v>0</v>
      </c>
      <c r="N521" s="18">
        <v>0</v>
      </c>
      <c r="O521" s="18">
        <v>0</v>
      </c>
      <c r="P521" s="18">
        <v>0</v>
      </c>
      <c r="Q521" s="18">
        <v>0</v>
      </c>
      <c r="R521" s="18">
        <v>0</v>
      </c>
      <c r="S521" s="18">
        <v>0</v>
      </c>
      <c r="T521" s="18">
        <v>0</v>
      </c>
      <c r="U521" s="18">
        <v>0</v>
      </c>
      <c r="V521" s="18">
        <v>0</v>
      </c>
      <c r="W521" s="18">
        <v>0</v>
      </c>
      <c r="X521" s="18">
        <v>0</v>
      </c>
      <c r="Y521" s="18">
        <v>0</v>
      </c>
      <c r="Z521" s="18">
        <v>0</v>
      </c>
      <c r="AA521" s="18"/>
      <c r="AB521" s="18">
        <v>1</v>
      </c>
      <c r="AC521" s="18">
        <v>1</v>
      </c>
      <c r="AD521" s="18">
        <v>0</v>
      </c>
      <c r="AE521" s="18">
        <v>0.04167</v>
      </c>
      <c r="AF521" s="18">
        <v>0</v>
      </c>
      <c r="AG521" s="18">
        <v>0</v>
      </c>
      <c r="AH521" s="18"/>
      <c r="AI521" s="18">
        <v>1</v>
      </c>
      <c r="AJ521" s="18">
        <v>42.59</v>
      </c>
      <c r="AK521" s="18">
        <v>1</v>
      </c>
      <c r="AL521" s="18">
        <v>42.59</v>
      </c>
      <c r="AM521" s="18">
        <v>0</v>
      </c>
      <c r="AN521" s="18"/>
      <c r="AO521" s="18">
        <v>0</v>
      </c>
      <c r="AP521" s="18">
        <v>42.59</v>
      </c>
      <c r="AQ521" s="18">
        <v>0</v>
      </c>
      <c r="AR521" s="18">
        <v>0</v>
      </c>
      <c r="AS521" s="18">
        <v>0</v>
      </c>
      <c r="AT521" s="18">
        <v>0</v>
      </c>
      <c r="AU521" s="18">
        <v>0</v>
      </c>
      <c r="AV521" s="18">
        <v>0</v>
      </c>
      <c r="AW521" s="18">
        <v>0</v>
      </c>
      <c r="AX521" s="18">
        <v>0</v>
      </c>
      <c r="AY521" s="18">
        <v>67</v>
      </c>
      <c r="AZ521" s="18">
        <v>21</v>
      </c>
      <c r="BA521" s="18">
        <v>16</v>
      </c>
      <c r="BB521" s="18">
        <v>0.7619</v>
      </c>
      <c r="BC521" s="18">
        <v>0</v>
      </c>
      <c r="BD521" s="18">
        <v>0</v>
      </c>
      <c r="BE521" s="18">
        <v>0.13112</v>
      </c>
      <c r="BF521" s="18">
        <v>40</v>
      </c>
      <c r="BG521" s="18">
        <v>3</v>
      </c>
      <c r="BH521" s="18">
        <v>0</v>
      </c>
      <c r="BI521" s="18"/>
      <c r="BJ521" s="18">
        <v>0</v>
      </c>
      <c r="BK521" s="18">
        <v>0</v>
      </c>
      <c r="BL521" s="18">
        <v>0</v>
      </c>
      <c r="BM521" s="18">
        <v>0</v>
      </c>
      <c r="BN521" s="18"/>
      <c r="BO521" s="18"/>
      <c r="BP521" s="18">
        <v>0</v>
      </c>
      <c r="BQ521" s="18">
        <v>54</v>
      </c>
      <c r="BR521" s="18">
        <v>0</v>
      </c>
      <c r="BS521" s="18">
        <v>0</v>
      </c>
      <c r="BT521" s="18">
        <v>0</v>
      </c>
      <c r="BU521" s="18">
        <v>0</v>
      </c>
    </row>
    <row r="522" spans="1:73">
      <c r="A522" s="19">
        <v>46164</v>
      </c>
      <c r="B522" s="18">
        <v>183</v>
      </c>
      <c r="C522" s="18" t="s">
        <v>40</v>
      </c>
      <c r="D522" s="18">
        <v>183</v>
      </c>
      <c r="E522" s="18" t="s">
        <v>40</v>
      </c>
      <c r="F522" s="18">
        <v>1996</v>
      </c>
      <c r="G522" s="18">
        <v>76</v>
      </c>
      <c r="H522" s="18">
        <v>159</v>
      </c>
      <c r="I522" s="18">
        <v>0.03808</v>
      </c>
      <c r="J522" s="18">
        <v>2.09</v>
      </c>
      <c r="K522" s="18">
        <v>79.66</v>
      </c>
      <c r="L522" s="18">
        <v>0</v>
      </c>
      <c r="M522" s="18">
        <v>0</v>
      </c>
      <c r="N522" s="18">
        <v>0</v>
      </c>
      <c r="O522" s="18">
        <v>0</v>
      </c>
      <c r="P522" s="18">
        <v>0</v>
      </c>
      <c r="Q522" s="18">
        <v>0</v>
      </c>
      <c r="R522" s="18">
        <v>79.15</v>
      </c>
      <c r="S522" s="18">
        <v>0</v>
      </c>
      <c r="T522" s="18">
        <v>79.15</v>
      </c>
      <c r="U522" s="18">
        <v>1</v>
      </c>
      <c r="V522" s="18">
        <v>1</v>
      </c>
      <c r="W522" s="18">
        <v>0</v>
      </c>
      <c r="X522" s="18">
        <v>0.01316</v>
      </c>
      <c r="Y522" s="18">
        <v>0.5</v>
      </c>
      <c r="Z522" s="18">
        <v>0.5</v>
      </c>
      <c r="AA522" s="18">
        <v>159</v>
      </c>
      <c r="AB522" s="18">
        <v>9</v>
      </c>
      <c r="AC522" s="18">
        <v>6</v>
      </c>
      <c r="AD522" s="18">
        <v>3</v>
      </c>
      <c r="AE522" s="18">
        <v>0.11842</v>
      </c>
      <c r="AF522" s="18">
        <v>0</v>
      </c>
      <c r="AG522" s="18">
        <v>0</v>
      </c>
      <c r="AH522" s="18"/>
      <c r="AI522" s="18">
        <v>9</v>
      </c>
      <c r="AJ522" s="18">
        <v>17.67</v>
      </c>
      <c r="AK522" s="18">
        <v>9</v>
      </c>
      <c r="AL522" s="18">
        <v>17.67</v>
      </c>
      <c r="AM522" s="18">
        <v>0</v>
      </c>
      <c r="AN522" s="18"/>
      <c r="AO522" s="18">
        <v>0</v>
      </c>
      <c r="AP522" s="18">
        <v>17.67</v>
      </c>
      <c r="AQ522" s="18">
        <v>2</v>
      </c>
      <c r="AR522" s="18">
        <v>148.9</v>
      </c>
      <c r="AS522" s="18">
        <v>0</v>
      </c>
      <c r="AT522" s="18">
        <v>0</v>
      </c>
      <c r="AU522" s="18">
        <v>0</v>
      </c>
      <c r="AV522" s="18">
        <v>0</v>
      </c>
      <c r="AW522" s="18">
        <v>0</v>
      </c>
      <c r="AX522" s="18">
        <v>1</v>
      </c>
      <c r="AY522" s="18">
        <v>317</v>
      </c>
      <c r="AZ522" s="18">
        <v>157</v>
      </c>
      <c r="BA522" s="18">
        <v>101</v>
      </c>
      <c r="BB522" s="18">
        <v>0.64331</v>
      </c>
      <c r="BC522" s="18">
        <v>0</v>
      </c>
      <c r="BD522" s="18">
        <v>0</v>
      </c>
      <c r="BE522" s="18">
        <v>0.15882</v>
      </c>
      <c r="BF522" s="18">
        <v>102</v>
      </c>
      <c r="BG522" s="18">
        <v>2</v>
      </c>
      <c r="BH522" s="18">
        <v>1</v>
      </c>
      <c r="BI522" s="18">
        <v>1</v>
      </c>
      <c r="BJ522" s="18">
        <v>0</v>
      </c>
      <c r="BK522" s="18">
        <v>0</v>
      </c>
      <c r="BL522" s="18">
        <v>0</v>
      </c>
      <c r="BM522" s="18">
        <v>1</v>
      </c>
      <c r="BN522" s="18">
        <v>1</v>
      </c>
      <c r="BO522" s="18">
        <v>79.15</v>
      </c>
      <c r="BP522" s="18">
        <v>10.75</v>
      </c>
      <c r="BQ522" s="18">
        <v>376</v>
      </c>
      <c r="BR522" s="18">
        <v>0</v>
      </c>
      <c r="BS522" s="18">
        <v>0</v>
      </c>
      <c r="BT522" s="18">
        <v>0</v>
      </c>
      <c r="BU522" s="18">
        <v>0</v>
      </c>
    </row>
    <row r="523" spans="1:73">
      <c r="A523" s="19">
        <v>46164</v>
      </c>
      <c r="B523" s="18">
        <v>371</v>
      </c>
      <c r="C523" s="18" t="s">
        <v>32</v>
      </c>
      <c r="D523" s="18">
        <v>371</v>
      </c>
      <c r="E523" s="18" t="s">
        <v>32</v>
      </c>
      <c r="F523" s="18">
        <v>3565</v>
      </c>
      <c r="G523" s="18">
        <v>156</v>
      </c>
      <c r="H523" s="18">
        <v>99.73</v>
      </c>
      <c r="I523" s="18">
        <v>0.04376</v>
      </c>
      <c r="J523" s="18">
        <v>0.64</v>
      </c>
      <c r="K523" s="18">
        <v>27.97</v>
      </c>
      <c r="L523" s="18">
        <v>0</v>
      </c>
      <c r="M523" s="18">
        <v>0</v>
      </c>
      <c r="N523" s="18">
        <v>0</v>
      </c>
      <c r="O523" s="18">
        <v>0</v>
      </c>
      <c r="P523" s="18">
        <v>0</v>
      </c>
      <c r="Q523" s="18">
        <v>0</v>
      </c>
      <c r="R523" s="18">
        <v>133.6</v>
      </c>
      <c r="S523" s="18">
        <v>335</v>
      </c>
      <c r="T523" s="18">
        <v>468.6</v>
      </c>
      <c r="U523" s="18">
        <v>2</v>
      </c>
      <c r="V523" s="18">
        <v>1</v>
      </c>
      <c r="W523" s="18">
        <v>1</v>
      </c>
      <c r="X523" s="18">
        <v>0.01282</v>
      </c>
      <c r="Y523" s="18">
        <v>4.7</v>
      </c>
      <c r="Z523" s="18">
        <v>4.7</v>
      </c>
      <c r="AA523" s="18">
        <v>49.87</v>
      </c>
      <c r="AB523" s="18">
        <v>4</v>
      </c>
      <c r="AC523" s="18">
        <v>4</v>
      </c>
      <c r="AD523" s="18">
        <v>0</v>
      </c>
      <c r="AE523" s="18">
        <v>0.02564</v>
      </c>
      <c r="AF523" s="18">
        <v>1</v>
      </c>
      <c r="AG523" s="18">
        <v>0</v>
      </c>
      <c r="AH523" s="18"/>
      <c r="AI523" s="18">
        <v>5</v>
      </c>
      <c r="AJ523" s="18">
        <v>19.95</v>
      </c>
      <c r="AK523" s="18">
        <v>5</v>
      </c>
      <c r="AL523" s="18">
        <v>19.95</v>
      </c>
      <c r="AM523" s="18">
        <v>1</v>
      </c>
      <c r="AN523" s="18">
        <v>99.73</v>
      </c>
      <c r="AO523" s="18">
        <v>0.00641</v>
      </c>
      <c r="AP523" s="18">
        <v>24.93</v>
      </c>
      <c r="AQ523" s="18">
        <v>4</v>
      </c>
      <c r="AR523" s="18">
        <v>662.8</v>
      </c>
      <c r="AS523" s="18">
        <v>1</v>
      </c>
      <c r="AT523" s="18">
        <v>0</v>
      </c>
      <c r="AU523" s="18">
        <v>0</v>
      </c>
      <c r="AV523" s="18">
        <v>0</v>
      </c>
      <c r="AW523" s="18">
        <v>0</v>
      </c>
      <c r="AX523" s="18">
        <v>0</v>
      </c>
      <c r="AY523" s="18">
        <v>218</v>
      </c>
      <c r="AZ523" s="18">
        <v>114</v>
      </c>
      <c r="BA523" s="18">
        <v>97</v>
      </c>
      <c r="BB523" s="18">
        <v>0.85088</v>
      </c>
      <c r="BC523" s="18">
        <v>0</v>
      </c>
      <c r="BD523" s="18">
        <v>0</v>
      </c>
      <c r="BE523" s="18">
        <v>0.06115</v>
      </c>
      <c r="BF523" s="18">
        <v>46</v>
      </c>
      <c r="BG523" s="18">
        <v>2</v>
      </c>
      <c r="BH523" s="18">
        <v>2</v>
      </c>
      <c r="BI523" s="18">
        <v>1</v>
      </c>
      <c r="BJ523" s="18">
        <v>0</v>
      </c>
      <c r="BK523" s="18">
        <v>0</v>
      </c>
      <c r="BL523" s="18">
        <v>0</v>
      </c>
      <c r="BM523" s="18">
        <v>2</v>
      </c>
      <c r="BN523" s="18">
        <v>1</v>
      </c>
      <c r="BO523" s="18">
        <v>234.3</v>
      </c>
      <c r="BP523" s="18">
        <v>8.13</v>
      </c>
      <c r="BQ523" s="18">
        <v>551</v>
      </c>
      <c r="BR523" s="18">
        <v>0</v>
      </c>
      <c r="BS523" s="18">
        <v>0</v>
      </c>
      <c r="BT523" s="18">
        <v>0</v>
      </c>
      <c r="BU523" s="18">
        <v>0</v>
      </c>
    </row>
    <row r="524" spans="1:73">
      <c r="A524" s="19">
        <v>46164</v>
      </c>
      <c r="B524" s="18">
        <v>479</v>
      </c>
      <c r="C524" s="18" t="s">
        <v>39</v>
      </c>
      <c r="D524" s="18">
        <v>479</v>
      </c>
      <c r="E524" s="18" t="s">
        <v>39</v>
      </c>
      <c r="F524" s="18">
        <v>44</v>
      </c>
      <c r="G524" s="18">
        <v>24</v>
      </c>
      <c r="H524" s="18">
        <v>15.6</v>
      </c>
      <c r="I524" s="18">
        <v>0.54545</v>
      </c>
      <c r="J524" s="18">
        <v>0.65</v>
      </c>
      <c r="K524" s="18">
        <v>354.48</v>
      </c>
      <c r="L524" s="18">
        <v>0</v>
      </c>
      <c r="M524" s="18">
        <v>0</v>
      </c>
      <c r="N524" s="18">
        <v>0</v>
      </c>
      <c r="O524" s="18">
        <v>0</v>
      </c>
      <c r="P524" s="18">
        <v>0</v>
      </c>
      <c r="Q524" s="18">
        <v>0</v>
      </c>
      <c r="R524" s="18">
        <v>0</v>
      </c>
      <c r="S524" s="18">
        <v>0</v>
      </c>
      <c r="T524" s="18">
        <v>0</v>
      </c>
      <c r="U524" s="18">
        <v>0</v>
      </c>
      <c r="V524" s="18">
        <v>0</v>
      </c>
      <c r="W524" s="18">
        <v>0</v>
      </c>
      <c r="X524" s="18">
        <v>0</v>
      </c>
      <c r="Y524" s="18">
        <v>0</v>
      </c>
      <c r="Z524" s="18">
        <v>0</v>
      </c>
      <c r="AA524" s="18"/>
      <c r="AB524" s="18">
        <v>4</v>
      </c>
      <c r="AC524" s="18">
        <v>0</v>
      </c>
      <c r="AD524" s="18">
        <v>4</v>
      </c>
      <c r="AE524" s="18">
        <v>0.16667</v>
      </c>
      <c r="AF524" s="18">
        <v>0</v>
      </c>
      <c r="AG524" s="18">
        <v>1</v>
      </c>
      <c r="AH524" s="18">
        <v>15.6</v>
      </c>
      <c r="AI524" s="18">
        <v>5</v>
      </c>
      <c r="AJ524" s="18">
        <v>3.12</v>
      </c>
      <c r="AK524" s="18">
        <v>4</v>
      </c>
      <c r="AL524" s="18">
        <v>3.9</v>
      </c>
      <c r="AM524" s="18">
        <v>1</v>
      </c>
      <c r="AN524" s="18"/>
      <c r="AO524" s="18">
        <v>0</v>
      </c>
      <c r="AP524" s="18">
        <v>3.9</v>
      </c>
      <c r="AQ524" s="18">
        <v>0</v>
      </c>
      <c r="AR524" s="18">
        <v>0</v>
      </c>
      <c r="AS524" s="18">
        <v>0</v>
      </c>
      <c r="AT524" s="18">
        <v>0</v>
      </c>
      <c r="AU524" s="18">
        <v>0</v>
      </c>
      <c r="AV524" s="18">
        <v>0</v>
      </c>
      <c r="AW524" s="18">
        <v>0</v>
      </c>
      <c r="AX524" s="18">
        <v>1</v>
      </c>
      <c r="AY524" s="18">
        <v>149</v>
      </c>
      <c r="AZ524" s="18">
        <v>19</v>
      </c>
      <c r="BA524" s="18">
        <v>13</v>
      </c>
      <c r="BB524" s="18">
        <v>0.68421</v>
      </c>
      <c r="BC524" s="18">
        <v>0</v>
      </c>
      <c r="BD524" s="18">
        <v>0</v>
      </c>
      <c r="BE524" s="18">
        <v>3.38636</v>
      </c>
      <c r="BF524" s="18">
        <v>123</v>
      </c>
      <c r="BG524" s="18">
        <v>8</v>
      </c>
      <c r="BH524" s="18">
        <v>0</v>
      </c>
      <c r="BI524" s="18"/>
      <c r="BJ524" s="18">
        <v>0</v>
      </c>
      <c r="BK524" s="18">
        <v>0</v>
      </c>
      <c r="BL524" s="18">
        <v>0</v>
      </c>
      <c r="BM524" s="18">
        <v>0</v>
      </c>
      <c r="BN524" s="18"/>
      <c r="BO524" s="18"/>
      <c r="BP524" s="18">
        <v>3.35</v>
      </c>
      <c r="BQ524" s="18">
        <v>57</v>
      </c>
      <c r="BR524" s="18">
        <v>0</v>
      </c>
      <c r="BS524" s="18">
        <v>0</v>
      </c>
      <c r="BT524" s="18">
        <v>0</v>
      </c>
      <c r="BU524" s="18">
        <v>0</v>
      </c>
    </row>
    <row r="525" spans="1:73">
      <c r="A525" s="19">
        <v>46163</v>
      </c>
      <c r="B525" s="18">
        <v>183</v>
      </c>
      <c r="C525" s="18" t="s">
        <v>40</v>
      </c>
      <c r="D525" s="18">
        <v>183</v>
      </c>
      <c r="E525" s="18" t="s">
        <v>40</v>
      </c>
      <c r="F525" s="18">
        <v>1281</v>
      </c>
      <c r="G525" s="18">
        <v>55</v>
      </c>
      <c r="H525" s="18">
        <v>159</v>
      </c>
      <c r="I525" s="18">
        <v>0.04294</v>
      </c>
      <c r="J525" s="18">
        <v>2.89</v>
      </c>
      <c r="K525" s="18">
        <v>124.12</v>
      </c>
      <c r="L525" s="18">
        <v>0</v>
      </c>
      <c r="M525" s="18">
        <v>0</v>
      </c>
      <c r="N525" s="18">
        <v>0</v>
      </c>
      <c r="O525" s="18">
        <v>0</v>
      </c>
      <c r="P525" s="18">
        <v>0</v>
      </c>
      <c r="Q525" s="18">
        <v>0</v>
      </c>
      <c r="R525" s="18">
        <v>0</v>
      </c>
      <c r="S525" s="18">
        <v>0</v>
      </c>
      <c r="T525" s="18">
        <v>0</v>
      </c>
      <c r="U525" s="18">
        <v>0</v>
      </c>
      <c r="V525" s="18">
        <v>0</v>
      </c>
      <c r="W525" s="18">
        <v>0</v>
      </c>
      <c r="X525" s="18">
        <v>0</v>
      </c>
      <c r="Y525" s="18">
        <v>0</v>
      </c>
      <c r="Z525" s="18">
        <v>0</v>
      </c>
      <c r="AA525" s="18"/>
      <c r="AB525" s="18">
        <v>4</v>
      </c>
      <c r="AC525" s="18">
        <v>4</v>
      </c>
      <c r="AD525" s="18">
        <v>0</v>
      </c>
      <c r="AE525" s="18">
        <v>0.07273</v>
      </c>
      <c r="AF525" s="18">
        <v>0</v>
      </c>
      <c r="AG525" s="18">
        <v>1</v>
      </c>
      <c r="AH525" s="18">
        <v>159</v>
      </c>
      <c r="AI525" s="18">
        <v>5</v>
      </c>
      <c r="AJ525" s="18">
        <v>31.8</v>
      </c>
      <c r="AK525" s="18">
        <v>4</v>
      </c>
      <c r="AL525" s="18">
        <v>39.75</v>
      </c>
      <c r="AM525" s="18">
        <v>1</v>
      </c>
      <c r="AN525" s="18"/>
      <c r="AO525" s="18">
        <v>0</v>
      </c>
      <c r="AP525" s="18">
        <v>39.75</v>
      </c>
      <c r="AQ525" s="18">
        <v>0</v>
      </c>
      <c r="AR525" s="18">
        <v>0</v>
      </c>
      <c r="AS525" s="18">
        <v>0</v>
      </c>
      <c r="AT525" s="18">
        <v>0</v>
      </c>
      <c r="AU525" s="18">
        <v>0</v>
      </c>
      <c r="AV525" s="18">
        <v>0</v>
      </c>
      <c r="AW525" s="18">
        <v>0</v>
      </c>
      <c r="AX525" s="18">
        <v>0</v>
      </c>
      <c r="AY525" s="18">
        <v>248</v>
      </c>
      <c r="AZ525" s="18">
        <v>118</v>
      </c>
      <c r="BA525" s="18">
        <v>77</v>
      </c>
      <c r="BB525" s="18">
        <v>0.65254</v>
      </c>
      <c r="BC525" s="18">
        <v>0</v>
      </c>
      <c r="BD525" s="18">
        <v>0</v>
      </c>
      <c r="BE525" s="18">
        <v>0.1936</v>
      </c>
      <c r="BF525" s="18">
        <v>89</v>
      </c>
      <c r="BG525" s="18">
        <v>2</v>
      </c>
      <c r="BH525" s="18">
        <v>0</v>
      </c>
      <c r="BI525" s="18"/>
      <c r="BJ525" s="18">
        <v>0</v>
      </c>
      <c r="BK525" s="18">
        <v>0</v>
      </c>
      <c r="BL525" s="18">
        <v>0</v>
      </c>
      <c r="BM525" s="18">
        <v>0</v>
      </c>
      <c r="BN525" s="18"/>
      <c r="BO525" s="18"/>
      <c r="BP525" s="18">
        <v>1.18</v>
      </c>
      <c r="BQ525" s="18">
        <v>149</v>
      </c>
      <c r="BR525" s="18">
        <v>0</v>
      </c>
      <c r="BS525" s="18">
        <v>0</v>
      </c>
      <c r="BT525" s="18">
        <v>0</v>
      </c>
      <c r="BU525" s="18">
        <v>0</v>
      </c>
    </row>
    <row r="526" spans="1:73">
      <c r="A526" s="19">
        <v>46163</v>
      </c>
      <c r="B526" s="18">
        <v>479</v>
      </c>
      <c r="C526" s="18" t="s">
        <v>39</v>
      </c>
      <c r="D526" s="18">
        <v>479</v>
      </c>
      <c r="E526" s="18" t="s">
        <v>39</v>
      </c>
      <c r="F526" s="18">
        <v>44</v>
      </c>
      <c r="G526" s="18">
        <v>16</v>
      </c>
      <c r="H526" s="18">
        <v>17.46</v>
      </c>
      <c r="I526" s="18">
        <v>0.36364</v>
      </c>
      <c r="J526" s="18">
        <v>1.09</v>
      </c>
      <c r="K526" s="18">
        <v>396.79</v>
      </c>
      <c r="L526" s="18">
        <v>0</v>
      </c>
      <c r="M526" s="18">
        <v>0</v>
      </c>
      <c r="N526" s="18">
        <v>0</v>
      </c>
      <c r="O526" s="18">
        <v>0</v>
      </c>
      <c r="P526" s="18">
        <v>0</v>
      </c>
      <c r="Q526" s="18">
        <v>0</v>
      </c>
      <c r="R526" s="18">
        <v>0</v>
      </c>
      <c r="S526" s="18">
        <v>8074</v>
      </c>
      <c r="T526" s="18">
        <v>8074</v>
      </c>
      <c r="U526" s="18">
        <v>1</v>
      </c>
      <c r="V526" s="18">
        <v>0</v>
      </c>
      <c r="W526" s="18">
        <v>1</v>
      </c>
      <c r="X526" s="18">
        <v>0.0625</v>
      </c>
      <c r="Y526" s="18">
        <v>462.46</v>
      </c>
      <c r="Z526" s="18">
        <v>462.46</v>
      </c>
      <c r="AA526" s="18">
        <v>17.46</v>
      </c>
      <c r="AB526" s="18">
        <v>4</v>
      </c>
      <c r="AC526" s="18">
        <v>1</v>
      </c>
      <c r="AD526" s="18">
        <v>3</v>
      </c>
      <c r="AE526" s="18">
        <v>0.25</v>
      </c>
      <c r="AF526" s="18">
        <v>0</v>
      </c>
      <c r="AG526" s="18">
        <v>0</v>
      </c>
      <c r="AH526" s="18"/>
      <c r="AI526" s="18">
        <v>4</v>
      </c>
      <c r="AJ526" s="18">
        <v>4.36</v>
      </c>
      <c r="AK526" s="18">
        <v>4</v>
      </c>
      <c r="AL526" s="18">
        <v>4.36</v>
      </c>
      <c r="AM526" s="18">
        <v>0</v>
      </c>
      <c r="AN526" s="18"/>
      <c r="AO526" s="18">
        <v>0</v>
      </c>
      <c r="AP526" s="18">
        <v>4.36</v>
      </c>
      <c r="AQ526" s="18">
        <v>4</v>
      </c>
      <c r="AR526" s="18">
        <v>20596</v>
      </c>
      <c r="AS526" s="18">
        <v>0</v>
      </c>
      <c r="AT526" s="18">
        <v>0</v>
      </c>
      <c r="AU526" s="18">
        <v>0</v>
      </c>
      <c r="AV526" s="18">
        <v>0</v>
      </c>
      <c r="AW526" s="18">
        <v>0</v>
      </c>
      <c r="AX526" s="18">
        <v>2</v>
      </c>
      <c r="AY526" s="18">
        <v>128</v>
      </c>
      <c r="AZ526" s="18">
        <v>15</v>
      </c>
      <c r="BA526" s="18">
        <v>13</v>
      </c>
      <c r="BB526" s="18">
        <v>0.86667</v>
      </c>
      <c r="BC526" s="18">
        <v>0</v>
      </c>
      <c r="BD526" s="18">
        <v>0</v>
      </c>
      <c r="BE526" s="18">
        <v>2.90909</v>
      </c>
      <c r="BF526" s="18">
        <v>111</v>
      </c>
      <c r="BG526" s="18">
        <v>9</v>
      </c>
      <c r="BH526" s="18">
        <v>1</v>
      </c>
      <c r="BI526" s="18">
        <v>1</v>
      </c>
      <c r="BJ526" s="18">
        <v>0</v>
      </c>
      <c r="BK526" s="18">
        <v>0</v>
      </c>
      <c r="BL526" s="18">
        <v>0</v>
      </c>
      <c r="BM526" s="18">
        <v>1</v>
      </c>
      <c r="BN526" s="18">
        <v>1</v>
      </c>
      <c r="BO526" s="18">
        <v>8074</v>
      </c>
      <c r="BP526" s="18">
        <v>2.47</v>
      </c>
      <c r="BQ526" s="18">
        <v>89</v>
      </c>
      <c r="BR526" s="18">
        <v>0</v>
      </c>
      <c r="BS526" s="18">
        <v>0</v>
      </c>
      <c r="BT526" s="18">
        <v>0</v>
      </c>
      <c r="BU526" s="18">
        <v>0</v>
      </c>
    </row>
    <row r="527" spans="1:73">
      <c r="A527" s="19">
        <v>46163</v>
      </c>
      <c r="B527" s="18">
        <v>436</v>
      </c>
      <c r="C527" s="18" t="s">
        <v>38</v>
      </c>
      <c r="D527" s="18">
        <v>436</v>
      </c>
      <c r="E527" s="18" t="s">
        <v>38</v>
      </c>
      <c r="F527" s="18">
        <v>379</v>
      </c>
      <c r="G527" s="18">
        <v>27</v>
      </c>
      <c r="H527" s="18">
        <v>49.19</v>
      </c>
      <c r="I527" s="18">
        <v>0.07124</v>
      </c>
      <c r="J527" s="18">
        <v>1.82</v>
      </c>
      <c r="K527" s="18">
        <v>129.79</v>
      </c>
      <c r="L527" s="18">
        <v>0</v>
      </c>
      <c r="M527" s="18">
        <v>0</v>
      </c>
      <c r="N527" s="18">
        <v>0</v>
      </c>
      <c r="O527" s="18">
        <v>0</v>
      </c>
      <c r="P527" s="18">
        <v>0</v>
      </c>
      <c r="Q527" s="18">
        <v>0</v>
      </c>
      <c r="R527" s="18">
        <v>0</v>
      </c>
      <c r="S527" s="18">
        <v>0</v>
      </c>
      <c r="T527" s="18">
        <v>0</v>
      </c>
      <c r="U527" s="18">
        <v>0</v>
      </c>
      <c r="V527" s="18">
        <v>0</v>
      </c>
      <c r="W527" s="18">
        <v>0</v>
      </c>
      <c r="X527" s="18">
        <v>0</v>
      </c>
      <c r="Y527" s="18">
        <v>0</v>
      </c>
      <c r="Z527" s="18">
        <v>0</v>
      </c>
      <c r="AA527" s="18"/>
      <c r="AB527" s="18">
        <v>1</v>
      </c>
      <c r="AC527" s="18">
        <v>0</v>
      </c>
      <c r="AD527" s="18">
        <v>1</v>
      </c>
      <c r="AE527" s="18">
        <v>0.03704</v>
      </c>
      <c r="AF527" s="18">
        <v>0</v>
      </c>
      <c r="AG527" s="18">
        <v>1</v>
      </c>
      <c r="AH527" s="18">
        <v>49.19</v>
      </c>
      <c r="AI527" s="18">
        <v>2</v>
      </c>
      <c r="AJ527" s="18">
        <v>24.6</v>
      </c>
      <c r="AK527" s="18">
        <v>1</v>
      </c>
      <c r="AL527" s="18">
        <v>49.19</v>
      </c>
      <c r="AM527" s="18">
        <v>1</v>
      </c>
      <c r="AN527" s="18"/>
      <c r="AO527" s="18">
        <v>0</v>
      </c>
      <c r="AP527" s="18">
        <v>49.19</v>
      </c>
      <c r="AQ527" s="18">
        <v>0</v>
      </c>
      <c r="AR527" s="18">
        <v>0</v>
      </c>
      <c r="AS527" s="18">
        <v>0</v>
      </c>
      <c r="AT527" s="18">
        <v>0</v>
      </c>
      <c r="AU527" s="18">
        <v>0</v>
      </c>
      <c r="AV527" s="18">
        <v>0</v>
      </c>
      <c r="AW527" s="18">
        <v>0</v>
      </c>
      <c r="AX527" s="18">
        <v>2</v>
      </c>
      <c r="AY527" s="18">
        <v>127</v>
      </c>
      <c r="AZ527" s="18">
        <v>23</v>
      </c>
      <c r="BA527" s="18">
        <v>12</v>
      </c>
      <c r="BB527" s="18">
        <v>0.52174</v>
      </c>
      <c r="BC527" s="18">
        <v>0</v>
      </c>
      <c r="BD527" s="18">
        <v>0</v>
      </c>
      <c r="BE527" s="18">
        <v>0.33509</v>
      </c>
      <c r="BF527" s="18">
        <v>101</v>
      </c>
      <c r="BG527" s="18">
        <v>6</v>
      </c>
      <c r="BH527" s="18">
        <v>0</v>
      </c>
      <c r="BI527" s="18"/>
      <c r="BJ527" s="18">
        <v>0</v>
      </c>
      <c r="BK527" s="18">
        <v>0</v>
      </c>
      <c r="BL527" s="18">
        <v>0</v>
      </c>
      <c r="BM527" s="18">
        <v>0</v>
      </c>
      <c r="BN527" s="18"/>
      <c r="BO527" s="18"/>
      <c r="BP527" s="18">
        <v>0</v>
      </c>
      <c r="BQ527" s="18">
        <v>100</v>
      </c>
      <c r="BR527" s="18">
        <v>0</v>
      </c>
      <c r="BS527" s="18">
        <v>0</v>
      </c>
      <c r="BT527" s="18">
        <v>0</v>
      </c>
      <c r="BU527" s="18">
        <v>0</v>
      </c>
    </row>
    <row r="528" spans="1:73">
      <c r="A528" s="19">
        <v>46163</v>
      </c>
      <c r="B528" s="18">
        <v>372</v>
      </c>
      <c r="C528" s="18" t="s">
        <v>37</v>
      </c>
      <c r="D528" s="18">
        <v>372</v>
      </c>
      <c r="E528" s="18" t="s">
        <v>61</v>
      </c>
      <c r="F528" s="18">
        <v>985</v>
      </c>
      <c r="G528" s="18">
        <v>92</v>
      </c>
      <c r="H528" s="18">
        <v>61.46</v>
      </c>
      <c r="I528" s="18">
        <v>0.0934</v>
      </c>
      <c r="J528" s="18">
        <v>0.67</v>
      </c>
      <c r="K528" s="18">
        <v>62.4</v>
      </c>
      <c r="L528" s="18">
        <v>0</v>
      </c>
      <c r="M528" s="18">
        <v>0</v>
      </c>
      <c r="N528" s="18">
        <v>0</v>
      </c>
      <c r="O528" s="18">
        <v>0</v>
      </c>
      <c r="P528" s="18">
        <v>0</v>
      </c>
      <c r="Q528" s="18">
        <v>0</v>
      </c>
      <c r="R528" s="18">
        <v>0</v>
      </c>
      <c r="S528" s="18">
        <v>0</v>
      </c>
      <c r="T528" s="18">
        <v>0</v>
      </c>
      <c r="U528" s="18">
        <v>0</v>
      </c>
      <c r="V528" s="18">
        <v>0</v>
      </c>
      <c r="W528" s="18">
        <v>0</v>
      </c>
      <c r="X528" s="18">
        <v>0</v>
      </c>
      <c r="Y528" s="18">
        <v>0</v>
      </c>
      <c r="Z528" s="18">
        <v>0</v>
      </c>
      <c r="AA528" s="18"/>
      <c r="AB528" s="18">
        <v>5</v>
      </c>
      <c r="AC528" s="18">
        <v>5</v>
      </c>
      <c r="AD528" s="18">
        <v>0</v>
      </c>
      <c r="AE528" s="18">
        <v>0.05435</v>
      </c>
      <c r="AF528" s="18">
        <v>1</v>
      </c>
      <c r="AG528" s="18">
        <v>0</v>
      </c>
      <c r="AH528" s="18"/>
      <c r="AI528" s="18">
        <v>6</v>
      </c>
      <c r="AJ528" s="18">
        <v>10.24</v>
      </c>
      <c r="AK528" s="18">
        <v>6</v>
      </c>
      <c r="AL528" s="18">
        <v>10.24</v>
      </c>
      <c r="AM528" s="18">
        <v>1</v>
      </c>
      <c r="AN528" s="18">
        <v>61.46</v>
      </c>
      <c r="AO528" s="18">
        <v>0.01087</v>
      </c>
      <c r="AP528" s="18">
        <v>12.29</v>
      </c>
      <c r="AQ528" s="18">
        <v>0</v>
      </c>
      <c r="AR528" s="18">
        <v>0</v>
      </c>
      <c r="AS528" s="18">
        <v>1</v>
      </c>
      <c r="AT528" s="18">
        <v>0</v>
      </c>
      <c r="AU528" s="18">
        <v>0</v>
      </c>
      <c r="AV528" s="18">
        <v>0</v>
      </c>
      <c r="AW528" s="18">
        <v>0</v>
      </c>
      <c r="AX528" s="18">
        <v>0</v>
      </c>
      <c r="AY528" s="18">
        <v>179</v>
      </c>
      <c r="AZ528" s="18">
        <v>96</v>
      </c>
      <c r="BA528" s="18">
        <v>51</v>
      </c>
      <c r="BB528" s="18">
        <v>0.53125</v>
      </c>
      <c r="BC528" s="18">
        <v>0</v>
      </c>
      <c r="BD528" s="18">
        <v>0</v>
      </c>
      <c r="BE528" s="18">
        <v>0.18173</v>
      </c>
      <c r="BF528" s="18">
        <v>48</v>
      </c>
      <c r="BG528" s="18">
        <v>2</v>
      </c>
      <c r="BH528" s="18">
        <v>0</v>
      </c>
      <c r="BI528" s="18"/>
      <c r="BJ528" s="18">
        <v>0</v>
      </c>
      <c r="BK528" s="18">
        <v>0</v>
      </c>
      <c r="BL528" s="18">
        <v>0</v>
      </c>
      <c r="BM528" s="18">
        <v>0</v>
      </c>
      <c r="BN528" s="18"/>
      <c r="BO528" s="18"/>
      <c r="BP528" s="18">
        <v>7.43</v>
      </c>
      <c r="BQ528" s="18">
        <v>251</v>
      </c>
      <c r="BR528" s="18">
        <v>0</v>
      </c>
      <c r="BS528" s="18">
        <v>0</v>
      </c>
      <c r="BT528" s="18">
        <v>0</v>
      </c>
      <c r="BU528" s="18">
        <v>0</v>
      </c>
    </row>
    <row r="529" spans="1:73">
      <c r="A529" s="19">
        <v>46163</v>
      </c>
      <c r="B529" s="18">
        <v>371</v>
      </c>
      <c r="C529" s="18" t="s">
        <v>32</v>
      </c>
      <c r="D529" s="18">
        <v>371</v>
      </c>
      <c r="E529" s="18" t="s">
        <v>32</v>
      </c>
      <c r="F529" s="18">
        <v>3389</v>
      </c>
      <c r="G529" s="18">
        <v>178</v>
      </c>
      <c r="H529" s="18">
        <v>97.41</v>
      </c>
      <c r="I529" s="18">
        <v>0.05252</v>
      </c>
      <c r="J529" s="18">
        <v>0.55</v>
      </c>
      <c r="K529" s="18">
        <v>28.74</v>
      </c>
      <c r="L529" s="18">
        <v>0</v>
      </c>
      <c r="M529" s="18">
        <v>0</v>
      </c>
      <c r="N529" s="18">
        <v>0</v>
      </c>
      <c r="O529" s="18">
        <v>0</v>
      </c>
      <c r="P529" s="18">
        <v>0</v>
      </c>
      <c r="Q529" s="18">
        <v>0</v>
      </c>
      <c r="R529" s="18">
        <v>39.9</v>
      </c>
      <c r="S529" s="18">
        <v>39.91</v>
      </c>
      <c r="T529" s="18">
        <v>79.81</v>
      </c>
      <c r="U529" s="18">
        <v>2</v>
      </c>
      <c r="V529" s="18">
        <v>1</v>
      </c>
      <c r="W529" s="18">
        <v>1</v>
      </c>
      <c r="X529" s="18">
        <v>0.01124</v>
      </c>
      <c r="Y529" s="18">
        <v>0.82</v>
      </c>
      <c r="Z529" s="18">
        <v>0.82</v>
      </c>
      <c r="AA529" s="18">
        <v>48.71</v>
      </c>
      <c r="AB529" s="18">
        <v>1</v>
      </c>
      <c r="AC529" s="18">
        <v>1</v>
      </c>
      <c r="AD529" s="18">
        <v>0</v>
      </c>
      <c r="AE529" s="18">
        <v>0.00562</v>
      </c>
      <c r="AF529" s="18">
        <v>1</v>
      </c>
      <c r="AG529" s="18">
        <v>0</v>
      </c>
      <c r="AH529" s="18"/>
      <c r="AI529" s="18">
        <v>2</v>
      </c>
      <c r="AJ529" s="18">
        <v>48.71</v>
      </c>
      <c r="AK529" s="18">
        <v>2</v>
      </c>
      <c r="AL529" s="18">
        <v>48.71</v>
      </c>
      <c r="AM529" s="18">
        <v>1</v>
      </c>
      <c r="AN529" s="18">
        <v>97.41</v>
      </c>
      <c r="AO529" s="18">
        <v>0.00562</v>
      </c>
      <c r="AP529" s="18">
        <v>97.41</v>
      </c>
      <c r="AQ529" s="18">
        <v>2</v>
      </c>
      <c r="AR529" s="18">
        <v>128.9</v>
      </c>
      <c r="AS529" s="18">
        <v>1</v>
      </c>
      <c r="AT529" s="18">
        <v>0</v>
      </c>
      <c r="AU529" s="18">
        <v>0</v>
      </c>
      <c r="AV529" s="18">
        <v>0</v>
      </c>
      <c r="AW529" s="18">
        <v>0</v>
      </c>
      <c r="AX529" s="18">
        <v>0</v>
      </c>
      <c r="AY529" s="18">
        <v>368</v>
      </c>
      <c r="AZ529" s="18">
        <v>131</v>
      </c>
      <c r="BA529" s="18">
        <v>110</v>
      </c>
      <c r="BB529" s="18">
        <v>0.83969</v>
      </c>
      <c r="BC529" s="18">
        <v>0</v>
      </c>
      <c r="BD529" s="18">
        <v>0</v>
      </c>
      <c r="BE529" s="18">
        <v>0.10859</v>
      </c>
      <c r="BF529" s="18">
        <v>164</v>
      </c>
      <c r="BG529" s="18">
        <v>3</v>
      </c>
      <c r="BH529" s="18">
        <v>2</v>
      </c>
      <c r="BI529" s="18">
        <v>1</v>
      </c>
      <c r="BJ529" s="18">
        <v>0</v>
      </c>
      <c r="BK529" s="18">
        <v>0</v>
      </c>
      <c r="BL529" s="18">
        <v>0</v>
      </c>
      <c r="BM529" s="18">
        <v>2</v>
      </c>
      <c r="BN529" s="18">
        <v>1</v>
      </c>
      <c r="BO529" s="18">
        <v>39.91</v>
      </c>
      <c r="BP529" s="18">
        <v>84.46</v>
      </c>
      <c r="BQ529" s="18">
        <v>527</v>
      </c>
      <c r="BR529" s="18">
        <v>0</v>
      </c>
      <c r="BS529" s="18">
        <v>0</v>
      </c>
      <c r="BT529" s="18">
        <v>0</v>
      </c>
      <c r="BU529" s="18">
        <v>0</v>
      </c>
    </row>
    <row r="530" spans="1:73">
      <c r="A530" s="19">
        <v>46162</v>
      </c>
      <c r="B530" s="18">
        <v>479</v>
      </c>
      <c r="C530" s="18" t="s">
        <v>39</v>
      </c>
      <c r="D530" s="18">
        <v>479</v>
      </c>
      <c r="E530" s="18" t="s">
        <v>39</v>
      </c>
      <c r="F530" s="18">
        <v>37</v>
      </c>
      <c r="G530" s="18">
        <v>15</v>
      </c>
      <c r="H530" s="18">
        <v>13.11</v>
      </c>
      <c r="I530" s="18">
        <v>0.40541</v>
      </c>
      <c r="J530" s="18">
        <v>0.87</v>
      </c>
      <c r="K530" s="18">
        <v>354.42</v>
      </c>
      <c r="L530" s="18">
        <v>0</v>
      </c>
      <c r="M530" s="18">
        <v>0</v>
      </c>
      <c r="N530" s="18">
        <v>0</v>
      </c>
      <c r="O530" s="18">
        <v>0</v>
      </c>
      <c r="P530" s="18">
        <v>0</v>
      </c>
      <c r="Q530" s="18">
        <v>0</v>
      </c>
      <c r="R530" s="18">
        <v>0</v>
      </c>
      <c r="S530" s="18">
        <v>142</v>
      </c>
      <c r="T530" s="18">
        <v>142</v>
      </c>
      <c r="U530" s="18">
        <v>1</v>
      </c>
      <c r="V530" s="18">
        <v>0</v>
      </c>
      <c r="W530" s="18">
        <v>1</v>
      </c>
      <c r="X530" s="18">
        <v>0.06667</v>
      </c>
      <c r="Y530" s="18">
        <v>10.83</v>
      </c>
      <c r="Z530" s="18">
        <v>10.83</v>
      </c>
      <c r="AA530" s="18">
        <v>13.11</v>
      </c>
      <c r="AB530" s="18">
        <v>0</v>
      </c>
      <c r="AC530" s="18">
        <v>0</v>
      </c>
      <c r="AD530" s="18">
        <v>0</v>
      </c>
      <c r="AE530" s="18">
        <v>0</v>
      </c>
      <c r="AF530" s="18">
        <v>0</v>
      </c>
      <c r="AG530" s="18">
        <v>0</v>
      </c>
      <c r="AH530" s="18"/>
      <c r="AI530" s="18">
        <v>0</v>
      </c>
      <c r="AJ530" s="18"/>
      <c r="AK530" s="18">
        <v>0</v>
      </c>
      <c r="AL530" s="18"/>
      <c r="AM530" s="18">
        <v>0</v>
      </c>
      <c r="AN530" s="18"/>
      <c r="AO530" s="18">
        <v>0</v>
      </c>
      <c r="AP530" s="18"/>
      <c r="AQ530" s="18">
        <v>4</v>
      </c>
      <c r="AR530" s="18">
        <v>317.7</v>
      </c>
      <c r="AS530" s="18">
        <v>0</v>
      </c>
      <c r="AT530" s="18">
        <v>0</v>
      </c>
      <c r="AU530" s="18">
        <v>0</v>
      </c>
      <c r="AV530" s="18">
        <v>0</v>
      </c>
      <c r="AW530" s="18">
        <v>0</v>
      </c>
      <c r="AX530" s="18">
        <v>2</v>
      </c>
      <c r="AY530" s="18">
        <v>140</v>
      </c>
      <c r="AZ530" s="18">
        <v>13</v>
      </c>
      <c r="BA530" s="18">
        <v>8</v>
      </c>
      <c r="BB530" s="18">
        <v>0.61538</v>
      </c>
      <c r="BC530" s="18">
        <v>0</v>
      </c>
      <c r="BD530" s="18">
        <v>0</v>
      </c>
      <c r="BE530" s="18">
        <v>3.78378</v>
      </c>
      <c r="BF530" s="18">
        <v>121</v>
      </c>
      <c r="BG530" s="18">
        <v>11</v>
      </c>
      <c r="BH530" s="18">
        <v>1</v>
      </c>
      <c r="BI530" s="18">
        <v>1</v>
      </c>
      <c r="BJ530" s="18">
        <v>0</v>
      </c>
      <c r="BK530" s="18">
        <v>0</v>
      </c>
      <c r="BL530" s="18">
        <v>0</v>
      </c>
      <c r="BM530" s="18">
        <v>1</v>
      </c>
      <c r="BN530" s="18">
        <v>1</v>
      </c>
      <c r="BO530" s="18">
        <v>142</v>
      </c>
      <c r="BP530" s="18">
        <v>11.44</v>
      </c>
      <c r="BQ530" s="18">
        <v>276</v>
      </c>
      <c r="BR530" s="18">
        <v>0</v>
      </c>
      <c r="BS530" s="18">
        <v>0</v>
      </c>
      <c r="BT530" s="18">
        <v>0</v>
      </c>
      <c r="BU530" s="18">
        <v>0</v>
      </c>
    </row>
    <row r="531" spans="1:73">
      <c r="A531" s="19">
        <v>46162</v>
      </c>
      <c r="B531" s="18">
        <v>436</v>
      </c>
      <c r="C531" s="18" t="s">
        <v>38</v>
      </c>
      <c r="D531" s="18">
        <v>436</v>
      </c>
      <c r="E531" s="18" t="s">
        <v>38</v>
      </c>
      <c r="F531" s="18">
        <v>415</v>
      </c>
      <c r="G531" s="18">
        <v>26</v>
      </c>
      <c r="H531" s="18">
        <v>50</v>
      </c>
      <c r="I531" s="18">
        <v>0.06265</v>
      </c>
      <c r="J531" s="18">
        <v>1.92</v>
      </c>
      <c r="K531" s="18">
        <v>120.48</v>
      </c>
      <c r="L531" s="18">
        <v>0</v>
      </c>
      <c r="M531" s="18">
        <v>0</v>
      </c>
      <c r="N531" s="18">
        <v>0</v>
      </c>
      <c r="O531" s="18">
        <v>0</v>
      </c>
      <c r="P531" s="18">
        <v>0</v>
      </c>
      <c r="Q531" s="18">
        <v>0</v>
      </c>
      <c r="R531" s="18">
        <v>0</v>
      </c>
      <c r="S531" s="18">
        <v>245</v>
      </c>
      <c r="T531" s="18">
        <v>245</v>
      </c>
      <c r="U531" s="18">
        <v>1</v>
      </c>
      <c r="V531" s="18">
        <v>0</v>
      </c>
      <c r="W531" s="18">
        <v>1</v>
      </c>
      <c r="X531" s="18">
        <v>0.03846</v>
      </c>
      <c r="Y531" s="18">
        <v>4.9</v>
      </c>
      <c r="Z531" s="18">
        <v>4.9</v>
      </c>
      <c r="AA531" s="18">
        <v>50</v>
      </c>
      <c r="AB531" s="18">
        <v>1</v>
      </c>
      <c r="AC531" s="18">
        <v>1</v>
      </c>
      <c r="AD531" s="18">
        <v>0</v>
      </c>
      <c r="AE531" s="18">
        <v>0.03846</v>
      </c>
      <c r="AF531" s="18">
        <v>1</v>
      </c>
      <c r="AG531" s="18">
        <v>1</v>
      </c>
      <c r="AH531" s="18">
        <v>50</v>
      </c>
      <c r="AI531" s="18">
        <v>3</v>
      </c>
      <c r="AJ531" s="18">
        <v>16.67</v>
      </c>
      <c r="AK531" s="18">
        <v>2</v>
      </c>
      <c r="AL531" s="18">
        <v>25</v>
      </c>
      <c r="AM531" s="18">
        <v>2</v>
      </c>
      <c r="AN531" s="18">
        <v>50</v>
      </c>
      <c r="AO531" s="18">
        <v>0.03846</v>
      </c>
      <c r="AP531" s="18">
        <v>50</v>
      </c>
      <c r="AQ531" s="18">
        <v>2</v>
      </c>
      <c r="AR531" s="18">
        <v>338.9</v>
      </c>
      <c r="AS531" s="18">
        <v>1</v>
      </c>
      <c r="AT531" s="18">
        <v>0</v>
      </c>
      <c r="AU531" s="18">
        <v>0</v>
      </c>
      <c r="AV531" s="18">
        <v>0</v>
      </c>
      <c r="AW531" s="18">
        <v>0</v>
      </c>
      <c r="AX531" s="18">
        <v>0</v>
      </c>
      <c r="AY531" s="18">
        <v>73</v>
      </c>
      <c r="AZ531" s="18">
        <v>21</v>
      </c>
      <c r="BA531" s="18">
        <v>13</v>
      </c>
      <c r="BB531" s="18">
        <v>0.61905</v>
      </c>
      <c r="BC531" s="18">
        <v>0</v>
      </c>
      <c r="BD531" s="18">
        <v>0</v>
      </c>
      <c r="BE531" s="18">
        <v>0.1759</v>
      </c>
      <c r="BF531" s="18">
        <v>46</v>
      </c>
      <c r="BG531" s="18">
        <v>3</v>
      </c>
      <c r="BH531" s="18">
        <v>1</v>
      </c>
      <c r="BI531" s="18">
        <v>1</v>
      </c>
      <c r="BJ531" s="18">
        <v>0</v>
      </c>
      <c r="BK531" s="18">
        <v>0</v>
      </c>
      <c r="BL531" s="18">
        <v>0</v>
      </c>
      <c r="BM531" s="18">
        <v>1</v>
      </c>
      <c r="BN531" s="18">
        <v>1</v>
      </c>
      <c r="BO531" s="18">
        <v>245</v>
      </c>
      <c r="BP531" s="18">
        <v>0</v>
      </c>
      <c r="BQ531" s="18">
        <v>120</v>
      </c>
      <c r="BR531" s="18">
        <v>0</v>
      </c>
      <c r="BS531" s="18">
        <v>0</v>
      </c>
      <c r="BT531" s="18">
        <v>0</v>
      </c>
      <c r="BU531" s="18">
        <v>0</v>
      </c>
    </row>
    <row r="532" spans="1:73">
      <c r="A532" s="19">
        <v>46162</v>
      </c>
      <c r="B532" s="18">
        <v>372</v>
      </c>
      <c r="C532" s="18" t="s">
        <v>37</v>
      </c>
      <c r="D532" s="18">
        <v>372</v>
      </c>
      <c r="E532" s="18" t="s">
        <v>61</v>
      </c>
      <c r="F532" s="18">
        <v>1971</v>
      </c>
      <c r="G532" s="18">
        <v>192</v>
      </c>
      <c r="H532" s="18">
        <v>76.23</v>
      </c>
      <c r="I532" s="18">
        <v>0.09741</v>
      </c>
      <c r="J532" s="18">
        <v>0.4</v>
      </c>
      <c r="K532" s="18">
        <v>38.68</v>
      </c>
      <c r="L532" s="18">
        <v>0</v>
      </c>
      <c r="M532" s="18">
        <v>0</v>
      </c>
      <c r="N532" s="18">
        <v>0</v>
      </c>
      <c r="O532" s="18">
        <v>0</v>
      </c>
      <c r="P532" s="18">
        <v>0</v>
      </c>
      <c r="Q532" s="18">
        <v>0</v>
      </c>
      <c r="R532" s="18">
        <v>219.93</v>
      </c>
      <c r="S532" s="18">
        <v>205.55</v>
      </c>
      <c r="T532" s="18">
        <v>425.48</v>
      </c>
      <c r="U532" s="18">
        <v>4</v>
      </c>
      <c r="V532" s="18">
        <v>1</v>
      </c>
      <c r="W532" s="18">
        <v>3</v>
      </c>
      <c r="X532" s="18">
        <v>0.02083</v>
      </c>
      <c r="Y532" s="18">
        <v>5.58</v>
      </c>
      <c r="Z532" s="18">
        <v>5.58</v>
      </c>
      <c r="AA532" s="18">
        <v>19.06</v>
      </c>
      <c r="AB532" s="18">
        <v>9</v>
      </c>
      <c r="AC532" s="18">
        <v>4</v>
      </c>
      <c r="AD532" s="18">
        <v>5</v>
      </c>
      <c r="AE532" s="18">
        <v>0.04688</v>
      </c>
      <c r="AF532" s="18">
        <v>3</v>
      </c>
      <c r="AG532" s="18">
        <v>0</v>
      </c>
      <c r="AH532" s="18"/>
      <c r="AI532" s="18">
        <v>12</v>
      </c>
      <c r="AJ532" s="18">
        <v>6.35</v>
      </c>
      <c r="AK532" s="18">
        <v>12</v>
      </c>
      <c r="AL532" s="18">
        <v>6.35</v>
      </c>
      <c r="AM532" s="18">
        <v>3</v>
      </c>
      <c r="AN532" s="18">
        <v>25.41</v>
      </c>
      <c r="AO532" s="18">
        <v>0.01563</v>
      </c>
      <c r="AP532" s="18">
        <v>8.47</v>
      </c>
      <c r="AQ532" s="18">
        <v>5</v>
      </c>
      <c r="AR532" s="18">
        <v>1114.9</v>
      </c>
      <c r="AS532" s="18">
        <v>3</v>
      </c>
      <c r="AT532" s="18">
        <v>0</v>
      </c>
      <c r="AU532" s="18">
        <v>0</v>
      </c>
      <c r="AV532" s="18">
        <v>0</v>
      </c>
      <c r="AW532" s="18">
        <v>0</v>
      </c>
      <c r="AX532" s="18">
        <v>0</v>
      </c>
      <c r="AY532" s="18">
        <v>370</v>
      </c>
      <c r="AZ532" s="18">
        <v>177</v>
      </c>
      <c r="BA532" s="18">
        <v>144</v>
      </c>
      <c r="BB532" s="18">
        <v>0.81356</v>
      </c>
      <c r="BC532" s="18">
        <v>0</v>
      </c>
      <c r="BD532" s="18">
        <v>0</v>
      </c>
      <c r="BE532" s="18">
        <v>0.18772</v>
      </c>
      <c r="BF532" s="18">
        <v>120</v>
      </c>
      <c r="BG532" s="18">
        <v>2</v>
      </c>
      <c r="BH532" s="18">
        <v>1</v>
      </c>
      <c r="BI532" s="18">
        <v>1</v>
      </c>
      <c r="BJ532" s="18">
        <v>0</v>
      </c>
      <c r="BK532" s="18">
        <v>0</v>
      </c>
      <c r="BL532" s="18">
        <v>0</v>
      </c>
      <c r="BM532" s="18">
        <v>1</v>
      </c>
      <c r="BN532" s="18">
        <v>4</v>
      </c>
      <c r="BO532" s="18">
        <v>425.48</v>
      </c>
      <c r="BP532" s="18">
        <v>14.21</v>
      </c>
      <c r="BQ532" s="18">
        <v>914</v>
      </c>
      <c r="BR532" s="18">
        <v>0</v>
      </c>
      <c r="BS532" s="18">
        <v>0</v>
      </c>
      <c r="BT532" s="18">
        <v>0</v>
      </c>
      <c r="BU532" s="18">
        <v>0</v>
      </c>
    </row>
    <row r="533" spans="1:73">
      <c r="A533" s="19">
        <v>46162</v>
      </c>
      <c r="B533" s="18">
        <v>371</v>
      </c>
      <c r="C533" s="18" t="s">
        <v>32</v>
      </c>
      <c r="D533" s="18">
        <v>371</v>
      </c>
      <c r="E533" s="18" t="s">
        <v>32</v>
      </c>
      <c r="F533" s="18">
        <v>3152</v>
      </c>
      <c r="G533" s="18">
        <v>162</v>
      </c>
      <c r="H533" s="18">
        <v>76.08</v>
      </c>
      <c r="I533" s="18">
        <v>0.0514</v>
      </c>
      <c r="J533" s="18">
        <v>0.47</v>
      </c>
      <c r="K533" s="18">
        <v>24.14</v>
      </c>
      <c r="L533" s="18">
        <v>0</v>
      </c>
      <c r="M533" s="18">
        <v>0</v>
      </c>
      <c r="N533" s="18">
        <v>0</v>
      </c>
      <c r="O533" s="18">
        <v>0</v>
      </c>
      <c r="P533" s="18">
        <v>0</v>
      </c>
      <c r="Q533" s="18">
        <v>0</v>
      </c>
      <c r="R533" s="18">
        <v>307</v>
      </c>
      <c r="S533" s="18">
        <v>0</v>
      </c>
      <c r="T533" s="18">
        <v>307</v>
      </c>
      <c r="U533" s="18">
        <v>3</v>
      </c>
      <c r="V533" s="18">
        <v>3</v>
      </c>
      <c r="W533" s="18">
        <v>0</v>
      </c>
      <c r="X533" s="18">
        <v>0.01852</v>
      </c>
      <c r="Y533" s="18">
        <v>4.04</v>
      </c>
      <c r="Z533" s="18">
        <v>4.04</v>
      </c>
      <c r="AA533" s="18">
        <v>25.36</v>
      </c>
      <c r="AB533" s="18">
        <v>2</v>
      </c>
      <c r="AC533" s="18">
        <v>1</v>
      </c>
      <c r="AD533" s="18">
        <v>1</v>
      </c>
      <c r="AE533" s="18">
        <v>0.01235</v>
      </c>
      <c r="AF533" s="18">
        <v>3</v>
      </c>
      <c r="AG533" s="18">
        <v>0</v>
      </c>
      <c r="AH533" s="18"/>
      <c r="AI533" s="18">
        <v>5</v>
      </c>
      <c r="AJ533" s="18">
        <v>15.22</v>
      </c>
      <c r="AK533" s="18">
        <v>5</v>
      </c>
      <c r="AL533" s="18">
        <v>15.22</v>
      </c>
      <c r="AM533" s="18">
        <v>3</v>
      </c>
      <c r="AN533" s="18">
        <v>25.36</v>
      </c>
      <c r="AO533" s="18">
        <v>0.01852</v>
      </c>
      <c r="AP533" s="18">
        <v>38.04</v>
      </c>
      <c r="AQ533" s="18">
        <v>3</v>
      </c>
      <c r="AR533" s="18">
        <v>382.9</v>
      </c>
      <c r="AS533" s="18">
        <v>3</v>
      </c>
      <c r="AT533" s="18">
        <v>0</v>
      </c>
      <c r="AU533" s="18">
        <v>0</v>
      </c>
      <c r="AV533" s="18">
        <v>0</v>
      </c>
      <c r="AW533" s="18">
        <v>0</v>
      </c>
      <c r="AX533" s="18">
        <v>1</v>
      </c>
      <c r="AY533" s="18">
        <v>339</v>
      </c>
      <c r="AZ533" s="18">
        <v>113</v>
      </c>
      <c r="BA533" s="18">
        <v>94</v>
      </c>
      <c r="BB533" s="18">
        <v>0.83186</v>
      </c>
      <c r="BC533" s="18">
        <v>0</v>
      </c>
      <c r="BD533" s="18">
        <v>0</v>
      </c>
      <c r="BE533" s="18">
        <v>0.10755</v>
      </c>
      <c r="BF533" s="18">
        <v>110</v>
      </c>
      <c r="BG533" s="18">
        <v>3</v>
      </c>
      <c r="BH533" s="18">
        <v>1</v>
      </c>
      <c r="BI533" s="18">
        <v>0.5</v>
      </c>
      <c r="BJ533" s="18">
        <v>0</v>
      </c>
      <c r="BK533" s="18">
        <v>0</v>
      </c>
      <c r="BL533" s="18">
        <v>0</v>
      </c>
      <c r="BM533" s="18">
        <v>2</v>
      </c>
      <c r="BN533" s="18">
        <v>2</v>
      </c>
      <c r="BO533" s="18">
        <v>153.5</v>
      </c>
      <c r="BP533" s="18">
        <v>111.17</v>
      </c>
      <c r="BQ533" s="18">
        <v>1012</v>
      </c>
      <c r="BR533" s="18">
        <v>0</v>
      </c>
      <c r="BS533" s="18">
        <v>0</v>
      </c>
      <c r="BT533" s="18">
        <v>0</v>
      </c>
      <c r="BU533" s="18">
        <v>0</v>
      </c>
    </row>
    <row r="534" spans="1:73">
      <c r="A534" s="19">
        <v>46162</v>
      </c>
      <c r="B534" s="18">
        <v>183</v>
      </c>
      <c r="C534" s="18" t="s">
        <v>40</v>
      </c>
      <c r="D534" s="18">
        <v>183</v>
      </c>
      <c r="E534" s="18" t="s">
        <v>40</v>
      </c>
      <c r="F534" s="18">
        <v>1646</v>
      </c>
      <c r="G534" s="18">
        <v>63</v>
      </c>
      <c r="H534" s="18">
        <v>159</v>
      </c>
      <c r="I534" s="18">
        <v>0.03827</v>
      </c>
      <c r="J534" s="18">
        <v>2.52</v>
      </c>
      <c r="K534" s="18">
        <v>96.6</v>
      </c>
      <c r="L534" s="18">
        <v>0</v>
      </c>
      <c r="M534" s="18">
        <v>0</v>
      </c>
      <c r="N534" s="18">
        <v>0</v>
      </c>
      <c r="O534" s="18">
        <v>0</v>
      </c>
      <c r="P534" s="18">
        <v>0</v>
      </c>
      <c r="Q534" s="18">
        <v>0</v>
      </c>
      <c r="R534" s="18">
        <v>0</v>
      </c>
      <c r="S534" s="18">
        <v>0</v>
      </c>
      <c r="T534" s="18">
        <v>0</v>
      </c>
      <c r="U534" s="18">
        <v>0</v>
      </c>
      <c r="V534" s="18">
        <v>0</v>
      </c>
      <c r="W534" s="18">
        <v>0</v>
      </c>
      <c r="X534" s="18">
        <v>0</v>
      </c>
      <c r="Y534" s="18">
        <v>0</v>
      </c>
      <c r="Z534" s="18">
        <v>0</v>
      </c>
      <c r="AA534" s="18"/>
      <c r="AB534" s="18">
        <v>8</v>
      </c>
      <c r="AC534" s="18">
        <v>4</v>
      </c>
      <c r="AD534" s="18">
        <v>4</v>
      </c>
      <c r="AE534" s="18">
        <v>0.12698</v>
      </c>
      <c r="AF534" s="18">
        <v>2</v>
      </c>
      <c r="AG534" s="18">
        <v>1</v>
      </c>
      <c r="AH534" s="18">
        <v>159</v>
      </c>
      <c r="AI534" s="18">
        <v>11</v>
      </c>
      <c r="AJ534" s="18">
        <v>14.45</v>
      </c>
      <c r="AK534" s="18">
        <v>10</v>
      </c>
      <c r="AL534" s="18">
        <v>15.9</v>
      </c>
      <c r="AM534" s="18">
        <v>3</v>
      </c>
      <c r="AN534" s="18">
        <v>79.5</v>
      </c>
      <c r="AO534" s="18">
        <v>0.03175</v>
      </c>
      <c r="AP534" s="18">
        <v>19.88</v>
      </c>
      <c r="AQ534" s="18">
        <v>0</v>
      </c>
      <c r="AR534" s="18">
        <v>0</v>
      </c>
      <c r="AS534" s="18">
        <v>0</v>
      </c>
      <c r="AT534" s="18">
        <v>2</v>
      </c>
      <c r="AU534" s="18">
        <v>0</v>
      </c>
      <c r="AV534" s="18">
        <v>0</v>
      </c>
      <c r="AW534" s="18">
        <v>0</v>
      </c>
      <c r="AX534" s="18">
        <v>0</v>
      </c>
      <c r="AY534" s="18">
        <v>298</v>
      </c>
      <c r="AZ534" s="18">
        <v>145</v>
      </c>
      <c r="BA534" s="18">
        <v>110</v>
      </c>
      <c r="BB534" s="18">
        <v>0.75862</v>
      </c>
      <c r="BC534" s="18">
        <v>0</v>
      </c>
      <c r="BD534" s="18">
        <v>0</v>
      </c>
      <c r="BE534" s="18">
        <v>0.18104</v>
      </c>
      <c r="BF534" s="18">
        <v>98</v>
      </c>
      <c r="BG534" s="18">
        <v>2</v>
      </c>
      <c r="BH534" s="18">
        <v>0</v>
      </c>
      <c r="BI534" s="18"/>
      <c r="BJ534" s="18">
        <v>0</v>
      </c>
      <c r="BK534" s="18">
        <v>0</v>
      </c>
      <c r="BL534" s="18">
        <v>0</v>
      </c>
      <c r="BM534" s="18">
        <v>0</v>
      </c>
      <c r="BN534" s="18"/>
      <c r="BO534" s="18"/>
      <c r="BP534" s="18">
        <v>0.27</v>
      </c>
      <c r="BQ534" s="18">
        <v>226</v>
      </c>
      <c r="BR534" s="18">
        <v>0</v>
      </c>
      <c r="BS534" s="18">
        <v>0</v>
      </c>
      <c r="BT534" s="18">
        <v>0</v>
      </c>
      <c r="BU534" s="18">
        <v>0</v>
      </c>
    </row>
    <row r="535" spans="1:73">
      <c r="A535" s="19">
        <v>46161</v>
      </c>
      <c r="B535" s="18">
        <v>479</v>
      </c>
      <c r="C535" s="18" t="s">
        <v>39</v>
      </c>
      <c r="D535" s="18">
        <v>479</v>
      </c>
      <c r="E535" s="18" t="s">
        <v>39</v>
      </c>
      <c r="F535" s="18">
        <v>35</v>
      </c>
      <c r="G535" s="18">
        <v>18</v>
      </c>
      <c r="H535" s="18">
        <v>10.95</v>
      </c>
      <c r="I535" s="18">
        <v>0.51429</v>
      </c>
      <c r="J535" s="18">
        <v>0.61</v>
      </c>
      <c r="K535" s="18">
        <v>312.96</v>
      </c>
      <c r="L535" s="18">
        <v>0</v>
      </c>
      <c r="M535" s="18">
        <v>0</v>
      </c>
      <c r="N535" s="18">
        <v>0</v>
      </c>
      <c r="O535" s="18">
        <v>0</v>
      </c>
      <c r="P535" s="18">
        <v>0</v>
      </c>
      <c r="Q535" s="18">
        <v>0</v>
      </c>
      <c r="R535" s="18">
        <v>0</v>
      </c>
      <c r="S535" s="18">
        <v>38.87</v>
      </c>
      <c r="T535" s="18">
        <v>38.87</v>
      </c>
      <c r="U535" s="18">
        <v>1</v>
      </c>
      <c r="V535" s="18">
        <v>0</v>
      </c>
      <c r="W535" s="18">
        <v>1</v>
      </c>
      <c r="X535" s="18">
        <v>0.05556</v>
      </c>
      <c r="Y535" s="18">
        <v>3.55</v>
      </c>
      <c r="Z535" s="18">
        <v>3.55</v>
      </c>
      <c r="AA535" s="18">
        <v>10.95</v>
      </c>
      <c r="AB535" s="18">
        <v>1</v>
      </c>
      <c r="AC535" s="18">
        <v>0</v>
      </c>
      <c r="AD535" s="18">
        <v>1</v>
      </c>
      <c r="AE535" s="18">
        <v>0.05556</v>
      </c>
      <c r="AF535" s="18">
        <v>0</v>
      </c>
      <c r="AG535" s="18">
        <v>0</v>
      </c>
      <c r="AH535" s="18"/>
      <c r="AI535" s="18">
        <v>1</v>
      </c>
      <c r="AJ535" s="18">
        <v>10.95</v>
      </c>
      <c r="AK535" s="18">
        <v>1</v>
      </c>
      <c r="AL535" s="18">
        <v>10.95</v>
      </c>
      <c r="AM535" s="18">
        <v>0</v>
      </c>
      <c r="AN535" s="18"/>
      <c r="AO535" s="18">
        <v>0</v>
      </c>
      <c r="AP535" s="18">
        <v>10.95</v>
      </c>
      <c r="AQ535" s="18">
        <v>2</v>
      </c>
      <c r="AR535" s="18">
        <v>96.8</v>
      </c>
      <c r="AS535" s="18">
        <v>0</v>
      </c>
      <c r="AT535" s="18">
        <v>0</v>
      </c>
      <c r="AU535" s="18">
        <v>0</v>
      </c>
      <c r="AV535" s="18">
        <v>0</v>
      </c>
      <c r="AW535" s="18">
        <v>0</v>
      </c>
      <c r="AX535" s="18">
        <v>0</v>
      </c>
      <c r="AY535" s="18">
        <v>109</v>
      </c>
      <c r="AZ535" s="18">
        <v>16</v>
      </c>
      <c r="BA535" s="18">
        <v>10</v>
      </c>
      <c r="BB535" s="18">
        <v>0.625</v>
      </c>
      <c r="BC535" s="18">
        <v>0</v>
      </c>
      <c r="BD535" s="18">
        <v>0</v>
      </c>
      <c r="BE535" s="18">
        <v>3.11429</v>
      </c>
      <c r="BF535" s="18">
        <v>89</v>
      </c>
      <c r="BG535" s="18">
        <v>7</v>
      </c>
      <c r="BH535" s="18">
        <v>0</v>
      </c>
      <c r="BI535" s="18">
        <v>0</v>
      </c>
      <c r="BJ535" s="18">
        <v>0</v>
      </c>
      <c r="BK535" s="18">
        <v>0</v>
      </c>
      <c r="BL535" s="18">
        <v>0</v>
      </c>
      <c r="BM535" s="18">
        <v>1</v>
      </c>
      <c r="BN535" s="18">
        <v>1</v>
      </c>
      <c r="BO535" s="18">
        <v>38.87</v>
      </c>
      <c r="BP535" s="18">
        <v>5.14</v>
      </c>
      <c r="BQ535" s="18">
        <v>255</v>
      </c>
      <c r="BR535" s="18">
        <v>0</v>
      </c>
      <c r="BS535" s="18">
        <v>0</v>
      </c>
      <c r="BT535" s="18">
        <v>0</v>
      </c>
      <c r="BU535" s="18">
        <v>0</v>
      </c>
    </row>
    <row r="536" spans="1:73">
      <c r="A536" s="19">
        <v>46161</v>
      </c>
      <c r="B536" s="18">
        <v>183</v>
      </c>
      <c r="C536" s="18" t="s">
        <v>40</v>
      </c>
      <c r="D536" s="18">
        <v>183</v>
      </c>
      <c r="E536" s="18" t="s">
        <v>40</v>
      </c>
      <c r="F536" s="18">
        <v>1606</v>
      </c>
      <c r="G536" s="18">
        <v>59</v>
      </c>
      <c r="H536" s="18">
        <v>100</v>
      </c>
      <c r="I536" s="18">
        <v>0.03674</v>
      </c>
      <c r="J536" s="18">
        <v>1.69</v>
      </c>
      <c r="K536" s="18">
        <v>62.27</v>
      </c>
      <c r="L536" s="18">
        <v>0</v>
      </c>
      <c r="M536" s="18">
        <v>0</v>
      </c>
      <c r="N536" s="18">
        <v>0</v>
      </c>
      <c r="O536" s="18">
        <v>0</v>
      </c>
      <c r="P536" s="18">
        <v>0</v>
      </c>
      <c r="Q536" s="18">
        <v>0</v>
      </c>
      <c r="R536" s="18">
        <v>0</v>
      </c>
      <c r="S536" s="18">
        <v>0</v>
      </c>
      <c r="T536" s="18">
        <v>0</v>
      </c>
      <c r="U536" s="18">
        <v>0</v>
      </c>
      <c r="V536" s="18">
        <v>0</v>
      </c>
      <c r="W536" s="18">
        <v>0</v>
      </c>
      <c r="X536" s="18">
        <v>0</v>
      </c>
      <c r="Y536" s="18">
        <v>0</v>
      </c>
      <c r="Z536" s="18">
        <v>0</v>
      </c>
      <c r="AA536" s="18"/>
      <c r="AB536" s="18">
        <v>3</v>
      </c>
      <c r="AC536" s="18">
        <v>2</v>
      </c>
      <c r="AD536" s="18">
        <v>1</v>
      </c>
      <c r="AE536" s="18">
        <v>0.05085</v>
      </c>
      <c r="AF536" s="18">
        <v>2</v>
      </c>
      <c r="AG536" s="18">
        <v>0</v>
      </c>
      <c r="AH536" s="18"/>
      <c r="AI536" s="18">
        <v>5</v>
      </c>
      <c r="AJ536" s="18">
        <v>20</v>
      </c>
      <c r="AK536" s="18">
        <v>5</v>
      </c>
      <c r="AL536" s="18">
        <v>20</v>
      </c>
      <c r="AM536" s="18">
        <v>2</v>
      </c>
      <c r="AN536" s="18">
        <v>50</v>
      </c>
      <c r="AO536" s="18">
        <v>0.0339</v>
      </c>
      <c r="AP536" s="18">
        <v>33.33</v>
      </c>
      <c r="AQ536" s="18">
        <v>0</v>
      </c>
      <c r="AR536" s="18">
        <v>0</v>
      </c>
      <c r="AS536" s="18">
        <v>2</v>
      </c>
      <c r="AT536" s="18">
        <v>0</v>
      </c>
      <c r="AU536" s="18">
        <v>0</v>
      </c>
      <c r="AV536" s="18">
        <v>0</v>
      </c>
      <c r="AW536" s="18">
        <v>0</v>
      </c>
      <c r="AX536" s="18">
        <v>0</v>
      </c>
      <c r="AY536" s="18">
        <v>248</v>
      </c>
      <c r="AZ536" s="18">
        <v>124</v>
      </c>
      <c r="BA536" s="18">
        <v>94</v>
      </c>
      <c r="BB536" s="18">
        <v>0.75806</v>
      </c>
      <c r="BC536" s="18">
        <v>0</v>
      </c>
      <c r="BD536" s="18">
        <v>0</v>
      </c>
      <c r="BE536" s="18">
        <v>0.15442</v>
      </c>
      <c r="BF536" s="18">
        <v>57</v>
      </c>
      <c r="BG536" s="18">
        <v>2</v>
      </c>
      <c r="BH536" s="18">
        <v>0</v>
      </c>
      <c r="BI536" s="18"/>
      <c r="BJ536" s="18">
        <v>0</v>
      </c>
      <c r="BK536" s="18">
        <v>0</v>
      </c>
      <c r="BL536" s="18">
        <v>0</v>
      </c>
      <c r="BM536" s="18">
        <v>0</v>
      </c>
      <c r="BN536" s="18"/>
      <c r="BO536" s="18"/>
      <c r="BP536" s="18">
        <v>0.08</v>
      </c>
      <c r="BQ536" s="18">
        <v>95</v>
      </c>
      <c r="BR536" s="18">
        <v>0</v>
      </c>
      <c r="BS536" s="18">
        <v>0</v>
      </c>
      <c r="BT536" s="18">
        <v>0</v>
      </c>
      <c r="BU536" s="18">
        <v>0</v>
      </c>
    </row>
    <row r="537" spans="1:73">
      <c r="A537" s="19">
        <v>46161</v>
      </c>
      <c r="B537" s="18">
        <v>371</v>
      </c>
      <c r="C537" s="18" t="s">
        <v>32</v>
      </c>
      <c r="D537" s="18">
        <v>371</v>
      </c>
      <c r="E537" s="18" t="s">
        <v>32</v>
      </c>
      <c r="F537" s="18">
        <v>2681</v>
      </c>
      <c r="G537" s="18">
        <v>150</v>
      </c>
      <c r="H537" s="18">
        <v>69.02</v>
      </c>
      <c r="I537" s="18">
        <v>0.05595</v>
      </c>
      <c r="J537" s="18">
        <v>0.46</v>
      </c>
      <c r="K537" s="18">
        <v>25.74</v>
      </c>
      <c r="L537" s="18">
        <v>0</v>
      </c>
      <c r="M537" s="18">
        <v>0</v>
      </c>
      <c r="N537" s="18">
        <v>0</v>
      </c>
      <c r="O537" s="18">
        <v>0</v>
      </c>
      <c r="P537" s="18">
        <v>0</v>
      </c>
      <c r="Q537" s="18">
        <v>0</v>
      </c>
      <c r="R537" s="18">
        <v>177.51</v>
      </c>
      <c r="S537" s="18">
        <v>0</v>
      </c>
      <c r="T537" s="18">
        <v>177.51</v>
      </c>
      <c r="U537" s="18">
        <v>2</v>
      </c>
      <c r="V537" s="18">
        <v>2</v>
      </c>
      <c r="W537" s="18">
        <v>0</v>
      </c>
      <c r="X537" s="18">
        <v>0.01333</v>
      </c>
      <c r="Y537" s="18">
        <v>2.57</v>
      </c>
      <c r="Z537" s="18">
        <v>2.57</v>
      </c>
      <c r="AA537" s="18">
        <v>34.51</v>
      </c>
      <c r="AB537" s="18">
        <v>2</v>
      </c>
      <c r="AC537" s="18">
        <v>2</v>
      </c>
      <c r="AD537" s="18">
        <v>0</v>
      </c>
      <c r="AE537" s="18">
        <v>0.01333</v>
      </c>
      <c r="AF537" s="18">
        <v>0</v>
      </c>
      <c r="AG537" s="18">
        <v>1</v>
      </c>
      <c r="AH537" s="18">
        <v>69.02</v>
      </c>
      <c r="AI537" s="18">
        <v>3</v>
      </c>
      <c r="AJ537" s="18">
        <v>23.01</v>
      </c>
      <c r="AK537" s="18">
        <v>2</v>
      </c>
      <c r="AL537" s="18">
        <v>34.51</v>
      </c>
      <c r="AM537" s="18">
        <v>1</v>
      </c>
      <c r="AN537" s="18"/>
      <c r="AO537" s="18">
        <v>0</v>
      </c>
      <c r="AP537" s="18">
        <v>34.51</v>
      </c>
      <c r="AQ537" s="18">
        <v>3</v>
      </c>
      <c r="AR537" s="18">
        <v>264.8</v>
      </c>
      <c r="AS537" s="18">
        <v>0</v>
      </c>
      <c r="AT537" s="18">
        <v>0</v>
      </c>
      <c r="AU537" s="18">
        <v>0</v>
      </c>
      <c r="AV537" s="18">
        <v>0</v>
      </c>
      <c r="AW537" s="18">
        <v>0</v>
      </c>
      <c r="AX537" s="18">
        <v>0</v>
      </c>
      <c r="AY537" s="18">
        <v>245</v>
      </c>
      <c r="AZ537" s="18">
        <v>108</v>
      </c>
      <c r="BA537" s="18">
        <v>97</v>
      </c>
      <c r="BB537" s="18">
        <v>0.89815</v>
      </c>
      <c r="BC537" s="18">
        <v>0</v>
      </c>
      <c r="BD537" s="18">
        <v>0</v>
      </c>
      <c r="BE537" s="18">
        <v>0.09138</v>
      </c>
      <c r="BF537" s="18">
        <v>83</v>
      </c>
      <c r="BG537" s="18">
        <v>2</v>
      </c>
      <c r="BH537" s="18">
        <v>2</v>
      </c>
      <c r="BI537" s="18">
        <v>1</v>
      </c>
      <c r="BJ537" s="18">
        <v>0</v>
      </c>
      <c r="BK537" s="18">
        <v>0</v>
      </c>
      <c r="BL537" s="18">
        <v>0</v>
      </c>
      <c r="BM537" s="18">
        <v>2</v>
      </c>
      <c r="BN537" s="18">
        <v>1</v>
      </c>
      <c r="BO537" s="18">
        <v>88.76</v>
      </c>
      <c r="BP537" s="18">
        <v>10.36</v>
      </c>
      <c r="BQ537" s="18">
        <v>517</v>
      </c>
      <c r="BR537" s="18">
        <v>0</v>
      </c>
      <c r="BS537" s="18">
        <v>0</v>
      </c>
      <c r="BT537" s="18">
        <v>0</v>
      </c>
      <c r="BU537" s="18">
        <v>0</v>
      </c>
    </row>
    <row r="538" spans="1:73">
      <c r="A538" s="19">
        <v>46161</v>
      </c>
      <c r="B538" s="18">
        <v>372</v>
      </c>
      <c r="C538" s="18" t="s">
        <v>37</v>
      </c>
      <c r="D538" s="18">
        <v>372</v>
      </c>
      <c r="E538" s="18" t="s">
        <v>61</v>
      </c>
      <c r="F538" s="18">
        <v>1712</v>
      </c>
      <c r="G538" s="18">
        <v>190</v>
      </c>
      <c r="H538" s="18">
        <v>60.39</v>
      </c>
      <c r="I538" s="18">
        <v>0.11098</v>
      </c>
      <c r="J538" s="18">
        <v>0.32</v>
      </c>
      <c r="K538" s="18">
        <v>35.27</v>
      </c>
      <c r="L538" s="18">
        <v>0</v>
      </c>
      <c r="M538" s="18">
        <v>0</v>
      </c>
      <c r="N538" s="18">
        <v>0</v>
      </c>
      <c r="O538" s="18">
        <v>0</v>
      </c>
      <c r="P538" s="18">
        <v>0</v>
      </c>
      <c r="Q538" s="18">
        <v>0</v>
      </c>
      <c r="R538" s="18">
        <v>0</v>
      </c>
      <c r="S538" s="18">
        <v>15.72</v>
      </c>
      <c r="T538" s="18">
        <v>15.72</v>
      </c>
      <c r="U538" s="18">
        <v>1</v>
      </c>
      <c r="V538" s="18">
        <v>0</v>
      </c>
      <c r="W538" s="18">
        <v>1</v>
      </c>
      <c r="X538" s="18">
        <v>0.00526</v>
      </c>
      <c r="Y538" s="18">
        <v>0.26</v>
      </c>
      <c r="Z538" s="18">
        <v>0.26</v>
      </c>
      <c r="AA538" s="18">
        <v>60.39</v>
      </c>
      <c r="AB538" s="18">
        <v>2</v>
      </c>
      <c r="AC538" s="18">
        <v>1</v>
      </c>
      <c r="AD538" s="18">
        <v>1</v>
      </c>
      <c r="AE538" s="18">
        <v>0.01053</v>
      </c>
      <c r="AF538" s="18">
        <v>1</v>
      </c>
      <c r="AG538" s="18">
        <v>0</v>
      </c>
      <c r="AH538" s="18"/>
      <c r="AI538" s="18">
        <v>3</v>
      </c>
      <c r="AJ538" s="18">
        <v>20.13</v>
      </c>
      <c r="AK538" s="18">
        <v>3</v>
      </c>
      <c r="AL538" s="18">
        <v>20.13</v>
      </c>
      <c r="AM538" s="18">
        <v>1</v>
      </c>
      <c r="AN538" s="18">
        <v>60.39</v>
      </c>
      <c r="AO538" s="18">
        <v>0.00526</v>
      </c>
      <c r="AP538" s="18">
        <v>30.2</v>
      </c>
      <c r="AQ538" s="18">
        <v>1</v>
      </c>
      <c r="AR538" s="18">
        <v>19</v>
      </c>
      <c r="AS538" s="18">
        <v>1</v>
      </c>
      <c r="AT538" s="18">
        <v>0</v>
      </c>
      <c r="AU538" s="18">
        <v>0</v>
      </c>
      <c r="AV538" s="18">
        <v>0</v>
      </c>
      <c r="AW538" s="18">
        <v>0</v>
      </c>
      <c r="AX538" s="18">
        <v>0</v>
      </c>
      <c r="AY538" s="18">
        <v>320</v>
      </c>
      <c r="AZ538" s="18">
        <v>174</v>
      </c>
      <c r="BA538" s="18">
        <v>145</v>
      </c>
      <c r="BB538" s="18">
        <v>0.83333</v>
      </c>
      <c r="BC538" s="18">
        <v>0</v>
      </c>
      <c r="BD538" s="18">
        <v>0</v>
      </c>
      <c r="BE538" s="18">
        <v>0.18692</v>
      </c>
      <c r="BF538" s="18">
        <v>79</v>
      </c>
      <c r="BG538" s="18">
        <v>2</v>
      </c>
      <c r="BH538" s="18">
        <v>1</v>
      </c>
      <c r="BI538" s="18">
        <v>1</v>
      </c>
      <c r="BJ538" s="18">
        <v>0</v>
      </c>
      <c r="BK538" s="18">
        <v>0</v>
      </c>
      <c r="BL538" s="18">
        <v>0</v>
      </c>
      <c r="BM538" s="18">
        <v>1</v>
      </c>
      <c r="BN538" s="18">
        <v>1</v>
      </c>
      <c r="BO538" s="18">
        <v>15.72</v>
      </c>
      <c r="BP538" s="18">
        <v>14.48</v>
      </c>
      <c r="BQ538" s="18">
        <v>249</v>
      </c>
      <c r="BR538" s="18">
        <v>0</v>
      </c>
      <c r="BS538" s="18">
        <v>0</v>
      </c>
      <c r="BT538" s="18">
        <v>0</v>
      </c>
      <c r="BU538" s="18">
        <v>0</v>
      </c>
    </row>
    <row r="539" spans="1:73">
      <c r="A539" s="19">
        <v>46161</v>
      </c>
      <c r="B539" s="18">
        <v>436</v>
      </c>
      <c r="C539" s="18" t="s">
        <v>38</v>
      </c>
      <c r="D539" s="18">
        <v>436</v>
      </c>
      <c r="E539" s="18" t="s">
        <v>38</v>
      </c>
      <c r="F539" s="18">
        <v>548</v>
      </c>
      <c r="G539" s="18">
        <v>18</v>
      </c>
      <c r="H539" s="18">
        <v>37.45</v>
      </c>
      <c r="I539" s="18">
        <v>0.03285</v>
      </c>
      <c r="J539" s="18">
        <v>2.08</v>
      </c>
      <c r="K539" s="18">
        <v>68.34</v>
      </c>
      <c r="L539" s="18">
        <v>0</v>
      </c>
      <c r="M539" s="18">
        <v>0</v>
      </c>
      <c r="N539" s="18">
        <v>0</v>
      </c>
      <c r="O539" s="18">
        <v>0</v>
      </c>
      <c r="P539" s="18">
        <v>0</v>
      </c>
      <c r="Q539" s="18">
        <v>0</v>
      </c>
      <c r="R539" s="18">
        <v>0</v>
      </c>
      <c r="S539" s="18">
        <v>0</v>
      </c>
      <c r="T539" s="18">
        <v>0</v>
      </c>
      <c r="U539" s="18">
        <v>0</v>
      </c>
      <c r="V539" s="18">
        <v>0</v>
      </c>
      <c r="W539" s="18">
        <v>0</v>
      </c>
      <c r="X539" s="18">
        <v>0</v>
      </c>
      <c r="Y539" s="18">
        <v>0</v>
      </c>
      <c r="Z539" s="18">
        <v>0</v>
      </c>
      <c r="AA539" s="18"/>
      <c r="AB539" s="18">
        <v>1</v>
      </c>
      <c r="AC539" s="18">
        <v>1</v>
      </c>
      <c r="AD539" s="18">
        <v>0</v>
      </c>
      <c r="AE539" s="18">
        <v>0.05556</v>
      </c>
      <c r="AF539" s="18">
        <v>0</v>
      </c>
      <c r="AG539" s="18">
        <v>1</v>
      </c>
      <c r="AH539" s="18">
        <v>37.45</v>
      </c>
      <c r="AI539" s="18">
        <v>2</v>
      </c>
      <c r="AJ539" s="18">
        <v>18.73</v>
      </c>
      <c r="AK539" s="18">
        <v>1</v>
      </c>
      <c r="AL539" s="18">
        <v>37.45</v>
      </c>
      <c r="AM539" s="18">
        <v>1</v>
      </c>
      <c r="AN539" s="18"/>
      <c r="AO539" s="18">
        <v>0</v>
      </c>
      <c r="AP539" s="18">
        <v>37.45</v>
      </c>
      <c r="AQ539" s="18">
        <v>0</v>
      </c>
      <c r="AR539" s="18">
        <v>0</v>
      </c>
      <c r="AS539" s="18">
        <v>0</v>
      </c>
      <c r="AT539" s="18">
        <v>0</v>
      </c>
      <c r="AU539" s="18">
        <v>0</v>
      </c>
      <c r="AV539" s="18">
        <v>0</v>
      </c>
      <c r="AW539" s="18">
        <v>0</v>
      </c>
      <c r="AX539" s="18">
        <v>1</v>
      </c>
      <c r="AY539" s="18">
        <v>82</v>
      </c>
      <c r="AZ539" s="18">
        <v>17</v>
      </c>
      <c r="BA539" s="18">
        <v>9</v>
      </c>
      <c r="BB539" s="18">
        <v>0.52941</v>
      </c>
      <c r="BC539" s="18">
        <v>0</v>
      </c>
      <c r="BD539" s="18">
        <v>0</v>
      </c>
      <c r="BE539" s="18">
        <v>0.14964</v>
      </c>
      <c r="BF539" s="18">
        <v>64</v>
      </c>
      <c r="BG539" s="18">
        <v>5</v>
      </c>
      <c r="BH539" s="18">
        <v>0</v>
      </c>
      <c r="BI539" s="18"/>
      <c r="BJ539" s="18">
        <v>0</v>
      </c>
      <c r="BK539" s="18">
        <v>0</v>
      </c>
      <c r="BL539" s="18">
        <v>0</v>
      </c>
      <c r="BM539" s="18">
        <v>0</v>
      </c>
      <c r="BN539" s="18"/>
      <c r="BO539" s="18"/>
      <c r="BP539" s="18">
        <v>0</v>
      </c>
      <c r="BQ539" s="18">
        <v>32</v>
      </c>
      <c r="BR539" s="18">
        <v>0</v>
      </c>
      <c r="BS539" s="18">
        <v>0</v>
      </c>
      <c r="BT539" s="18">
        <v>0</v>
      </c>
      <c r="BU539" s="18">
        <v>0</v>
      </c>
    </row>
    <row r="540" spans="1:73">
      <c r="A540" s="19">
        <v>46160</v>
      </c>
      <c r="B540" s="18">
        <v>371</v>
      </c>
      <c r="C540" s="18" t="s">
        <v>32</v>
      </c>
      <c r="D540" s="18">
        <v>371</v>
      </c>
      <c r="E540" s="18" t="s">
        <v>32</v>
      </c>
      <c r="F540" s="18">
        <v>2327</v>
      </c>
      <c r="G540" s="18">
        <v>96</v>
      </c>
      <c r="H540" s="18">
        <v>47.93</v>
      </c>
      <c r="I540" s="18">
        <v>0.04125</v>
      </c>
      <c r="J540" s="18">
        <v>0.5</v>
      </c>
      <c r="K540" s="18">
        <v>20.6</v>
      </c>
      <c r="L540" s="18">
        <v>0</v>
      </c>
      <c r="M540" s="18">
        <v>0</v>
      </c>
      <c r="N540" s="18">
        <v>0</v>
      </c>
      <c r="O540" s="18">
        <v>0</v>
      </c>
      <c r="P540" s="18">
        <v>0</v>
      </c>
      <c r="Q540" s="18">
        <v>0</v>
      </c>
      <c r="R540" s="18">
        <v>0</v>
      </c>
      <c r="S540" s="18">
        <v>0</v>
      </c>
      <c r="T540" s="18">
        <v>0</v>
      </c>
      <c r="U540" s="18">
        <v>0</v>
      </c>
      <c r="V540" s="18">
        <v>0</v>
      </c>
      <c r="W540" s="18">
        <v>0</v>
      </c>
      <c r="X540" s="18">
        <v>0</v>
      </c>
      <c r="Y540" s="18">
        <v>0</v>
      </c>
      <c r="Z540" s="18">
        <v>0</v>
      </c>
      <c r="AA540" s="18"/>
      <c r="AB540" s="18">
        <v>3</v>
      </c>
      <c r="AC540" s="18">
        <v>3</v>
      </c>
      <c r="AD540" s="18">
        <v>0</v>
      </c>
      <c r="AE540" s="18">
        <v>0.03125</v>
      </c>
      <c r="AF540" s="18">
        <v>0</v>
      </c>
      <c r="AG540" s="18">
        <v>0</v>
      </c>
      <c r="AH540" s="18"/>
      <c r="AI540" s="18">
        <v>3</v>
      </c>
      <c r="AJ540" s="18">
        <v>15.98</v>
      </c>
      <c r="AK540" s="18">
        <v>3</v>
      </c>
      <c r="AL540" s="18">
        <v>15.98</v>
      </c>
      <c r="AM540" s="18">
        <v>0</v>
      </c>
      <c r="AN540" s="18"/>
      <c r="AO540" s="18">
        <v>0</v>
      </c>
      <c r="AP540" s="18">
        <v>15.98</v>
      </c>
      <c r="AQ540" s="18">
        <v>0</v>
      </c>
      <c r="AR540" s="18">
        <v>0</v>
      </c>
      <c r="AS540" s="18">
        <v>0</v>
      </c>
      <c r="AT540" s="18">
        <v>0</v>
      </c>
      <c r="AU540" s="18">
        <v>0</v>
      </c>
      <c r="AV540" s="18">
        <v>0</v>
      </c>
      <c r="AW540" s="18">
        <v>0</v>
      </c>
      <c r="AX540" s="18">
        <v>0</v>
      </c>
      <c r="AY540" s="18">
        <v>188</v>
      </c>
      <c r="AZ540" s="18">
        <v>84</v>
      </c>
      <c r="BA540" s="18">
        <v>73</v>
      </c>
      <c r="BB540" s="18">
        <v>0.86905</v>
      </c>
      <c r="BC540" s="18">
        <v>0</v>
      </c>
      <c r="BD540" s="18">
        <v>0</v>
      </c>
      <c r="BE540" s="18">
        <v>0.08079</v>
      </c>
      <c r="BF540" s="18">
        <v>62</v>
      </c>
      <c r="BG540" s="18">
        <v>2</v>
      </c>
      <c r="BH540" s="18">
        <v>0</v>
      </c>
      <c r="BI540" s="18"/>
      <c r="BJ540" s="18">
        <v>0</v>
      </c>
      <c r="BK540" s="18">
        <v>0</v>
      </c>
      <c r="BL540" s="18">
        <v>0</v>
      </c>
      <c r="BM540" s="18">
        <v>0</v>
      </c>
      <c r="BN540" s="18"/>
      <c r="BO540" s="18"/>
      <c r="BP540" s="18">
        <v>0.04</v>
      </c>
      <c r="BQ540" s="18">
        <v>215</v>
      </c>
      <c r="BR540" s="18">
        <v>0</v>
      </c>
      <c r="BS540" s="18">
        <v>0</v>
      </c>
      <c r="BT540" s="18">
        <v>0</v>
      </c>
      <c r="BU540" s="18">
        <v>0</v>
      </c>
    </row>
    <row r="541" spans="1:73">
      <c r="A541" s="19">
        <v>46160</v>
      </c>
      <c r="B541" s="18">
        <v>183</v>
      </c>
      <c r="C541" s="18" t="s">
        <v>40</v>
      </c>
      <c r="D541" s="18">
        <v>183</v>
      </c>
      <c r="E541" s="18" t="s">
        <v>40</v>
      </c>
      <c r="F541" s="18">
        <v>820</v>
      </c>
      <c r="G541" s="18">
        <v>40</v>
      </c>
      <c r="H541" s="18">
        <v>100</v>
      </c>
      <c r="I541" s="18">
        <v>0.04878</v>
      </c>
      <c r="J541" s="18">
        <v>2.5</v>
      </c>
      <c r="K541" s="18">
        <v>121.95</v>
      </c>
      <c r="L541" s="18">
        <v>0</v>
      </c>
      <c r="M541" s="18">
        <v>0</v>
      </c>
      <c r="N541" s="18">
        <v>0</v>
      </c>
      <c r="O541" s="18">
        <v>0</v>
      </c>
      <c r="P541" s="18">
        <v>0</v>
      </c>
      <c r="Q541" s="18">
        <v>0</v>
      </c>
      <c r="R541" s="18">
        <v>0</v>
      </c>
      <c r="S541" s="18">
        <v>327.1</v>
      </c>
      <c r="T541" s="18">
        <v>327.1</v>
      </c>
      <c r="U541" s="18">
        <v>1</v>
      </c>
      <c r="V541" s="18">
        <v>0</v>
      </c>
      <c r="W541" s="18">
        <v>1</v>
      </c>
      <c r="X541" s="18">
        <v>0.025</v>
      </c>
      <c r="Y541" s="18">
        <v>3.27</v>
      </c>
      <c r="Z541" s="18">
        <v>3.27</v>
      </c>
      <c r="AA541" s="18">
        <v>100</v>
      </c>
      <c r="AB541" s="18">
        <v>3</v>
      </c>
      <c r="AC541" s="18">
        <v>1</v>
      </c>
      <c r="AD541" s="18">
        <v>2</v>
      </c>
      <c r="AE541" s="18">
        <v>0.075</v>
      </c>
      <c r="AF541" s="18">
        <v>0</v>
      </c>
      <c r="AG541" s="18">
        <v>0</v>
      </c>
      <c r="AH541" s="18"/>
      <c r="AI541" s="18">
        <v>3</v>
      </c>
      <c r="AJ541" s="18">
        <v>33.33</v>
      </c>
      <c r="AK541" s="18">
        <v>3</v>
      </c>
      <c r="AL541" s="18">
        <v>33.33</v>
      </c>
      <c r="AM541" s="18">
        <v>0</v>
      </c>
      <c r="AN541" s="18"/>
      <c r="AO541" s="18">
        <v>0</v>
      </c>
      <c r="AP541" s="18">
        <v>33.33</v>
      </c>
      <c r="AQ541" s="18">
        <v>2</v>
      </c>
      <c r="AR541" s="18">
        <v>993</v>
      </c>
      <c r="AS541" s="18">
        <v>0</v>
      </c>
      <c r="AT541" s="18">
        <v>0</v>
      </c>
      <c r="AU541" s="18">
        <v>0</v>
      </c>
      <c r="AV541" s="18">
        <v>0</v>
      </c>
      <c r="AW541" s="18">
        <v>0</v>
      </c>
      <c r="AX541" s="18">
        <v>1</v>
      </c>
      <c r="AY541" s="18">
        <v>216</v>
      </c>
      <c r="AZ541" s="18">
        <v>92</v>
      </c>
      <c r="BA541" s="18">
        <v>58</v>
      </c>
      <c r="BB541" s="18">
        <v>0.63043</v>
      </c>
      <c r="BC541" s="18">
        <v>0</v>
      </c>
      <c r="BD541" s="18">
        <v>0</v>
      </c>
      <c r="BE541" s="18">
        <v>0.26341</v>
      </c>
      <c r="BF541" s="18">
        <v>85</v>
      </c>
      <c r="BG541" s="18">
        <v>2</v>
      </c>
      <c r="BH541" s="18">
        <v>1</v>
      </c>
      <c r="BI541" s="18">
        <v>1</v>
      </c>
      <c r="BJ541" s="18">
        <v>0</v>
      </c>
      <c r="BK541" s="18">
        <v>0</v>
      </c>
      <c r="BL541" s="18">
        <v>0</v>
      </c>
      <c r="BM541" s="18">
        <v>1</v>
      </c>
      <c r="BN541" s="18">
        <v>1</v>
      </c>
      <c r="BO541" s="18">
        <v>327.1</v>
      </c>
      <c r="BP541" s="18">
        <v>0</v>
      </c>
      <c r="BQ541" s="18">
        <v>277</v>
      </c>
      <c r="BR541" s="18">
        <v>0</v>
      </c>
      <c r="BS541" s="18">
        <v>0</v>
      </c>
      <c r="BT541" s="18">
        <v>0</v>
      </c>
      <c r="BU541" s="18">
        <v>0</v>
      </c>
    </row>
    <row r="542" spans="1:73">
      <c r="A542" s="19">
        <v>46160</v>
      </c>
      <c r="B542" s="18">
        <v>372</v>
      </c>
      <c r="C542" s="18" t="s">
        <v>37</v>
      </c>
      <c r="D542" s="18">
        <v>372</v>
      </c>
      <c r="E542" s="18" t="s">
        <v>61</v>
      </c>
      <c r="F542" s="18">
        <v>1451</v>
      </c>
      <c r="G542" s="18">
        <v>131</v>
      </c>
      <c r="H542" s="18">
        <v>48.99</v>
      </c>
      <c r="I542" s="18">
        <v>0.09028</v>
      </c>
      <c r="J542" s="18">
        <v>0.37</v>
      </c>
      <c r="K542" s="18">
        <v>33.76</v>
      </c>
      <c r="L542" s="18">
        <v>0</v>
      </c>
      <c r="M542" s="18">
        <v>0</v>
      </c>
      <c r="N542" s="18">
        <v>0</v>
      </c>
      <c r="O542" s="18">
        <v>0</v>
      </c>
      <c r="P542" s="18">
        <v>0</v>
      </c>
      <c r="Q542" s="18">
        <v>0</v>
      </c>
      <c r="R542" s="18">
        <v>192.93</v>
      </c>
      <c r="S542" s="18">
        <v>0</v>
      </c>
      <c r="T542" s="18">
        <v>192.93</v>
      </c>
      <c r="U542" s="18">
        <v>1</v>
      </c>
      <c r="V542" s="18">
        <v>1</v>
      </c>
      <c r="W542" s="18">
        <v>0</v>
      </c>
      <c r="X542" s="18">
        <v>0.00763</v>
      </c>
      <c r="Y542" s="18">
        <v>3.94</v>
      </c>
      <c r="Z542" s="18">
        <v>3.94</v>
      </c>
      <c r="AA542" s="18">
        <v>48.99</v>
      </c>
      <c r="AB542" s="18">
        <v>1</v>
      </c>
      <c r="AC542" s="18">
        <v>1</v>
      </c>
      <c r="AD542" s="18">
        <v>0</v>
      </c>
      <c r="AE542" s="18">
        <v>0.00763</v>
      </c>
      <c r="AF542" s="18">
        <v>1</v>
      </c>
      <c r="AG542" s="18">
        <v>0</v>
      </c>
      <c r="AH542" s="18"/>
      <c r="AI542" s="18">
        <v>2</v>
      </c>
      <c r="AJ542" s="18">
        <v>24.5</v>
      </c>
      <c r="AK542" s="18">
        <v>2</v>
      </c>
      <c r="AL542" s="18">
        <v>24.5</v>
      </c>
      <c r="AM542" s="18">
        <v>1</v>
      </c>
      <c r="AN542" s="18">
        <v>48.99</v>
      </c>
      <c r="AO542" s="18">
        <v>0.00763</v>
      </c>
      <c r="AP542" s="18">
        <v>48.99</v>
      </c>
      <c r="AQ542" s="18">
        <v>1</v>
      </c>
      <c r="AR542" s="18">
        <v>269</v>
      </c>
      <c r="AS542" s="18">
        <v>1</v>
      </c>
      <c r="AT542" s="18">
        <v>0</v>
      </c>
      <c r="AU542" s="18">
        <v>0</v>
      </c>
      <c r="AV542" s="18">
        <v>0</v>
      </c>
      <c r="AW542" s="18">
        <v>0</v>
      </c>
      <c r="AX542" s="18">
        <v>1</v>
      </c>
      <c r="AY542" s="18">
        <v>234</v>
      </c>
      <c r="AZ542" s="18">
        <v>126</v>
      </c>
      <c r="BA542" s="18">
        <v>93</v>
      </c>
      <c r="BB542" s="18">
        <v>0.7381</v>
      </c>
      <c r="BC542" s="18">
        <v>0</v>
      </c>
      <c r="BD542" s="18">
        <v>0</v>
      </c>
      <c r="BE542" s="18">
        <v>0.16127</v>
      </c>
      <c r="BF542" s="18">
        <v>62</v>
      </c>
      <c r="BG542" s="18">
        <v>2</v>
      </c>
      <c r="BH542" s="18">
        <v>1</v>
      </c>
      <c r="BI542" s="18">
        <v>1</v>
      </c>
      <c r="BJ542" s="18">
        <v>0</v>
      </c>
      <c r="BK542" s="18">
        <v>0</v>
      </c>
      <c r="BL542" s="18">
        <v>0</v>
      </c>
      <c r="BM542" s="18">
        <v>1</v>
      </c>
      <c r="BN542" s="18">
        <v>1</v>
      </c>
      <c r="BO542" s="18">
        <v>192.93</v>
      </c>
      <c r="BP542" s="18">
        <v>0.04</v>
      </c>
      <c r="BQ542" s="18">
        <v>860</v>
      </c>
      <c r="BR542" s="18">
        <v>0</v>
      </c>
      <c r="BS542" s="18">
        <v>0</v>
      </c>
      <c r="BT542" s="18">
        <v>0</v>
      </c>
      <c r="BU542" s="18">
        <v>0</v>
      </c>
    </row>
    <row r="543" spans="1:73">
      <c r="A543" s="19">
        <v>46160</v>
      </c>
      <c r="B543" s="18">
        <v>436</v>
      </c>
      <c r="C543" s="18" t="s">
        <v>38</v>
      </c>
      <c r="D543" s="18">
        <v>436</v>
      </c>
      <c r="E543" s="18" t="s">
        <v>38</v>
      </c>
      <c r="F543" s="18">
        <v>615</v>
      </c>
      <c r="G543" s="18">
        <v>28</v>
      </c>
      <c r="H543" s="18">
        <v>36.84</v>
      </c>
      <c r="I543" s="18">
        <v>0.04553</v>
      </c>
      <c r="J543" s="18">
        <v>1.32</v>
      </c>
      <c r="K543" s="18">
        <v>59.9</v>
      </c>
      <c r="L543" s="18">
        <v>0</v>
      </c>
      <c r="M543" s="18">
        <v>0</v>
      </c>
      <c r="N543" s="18">
        <v>0</v>
      </c>
      <c r="O543" s="18">
        <v>0</v>
      </c>
      <c r="P543" s="18">
        <v>0</v>
      </c>
      <c r="Q543" s="18">
        <v>0</v>
      </c>
      <c r="R543" s="18">
        <v>142</v>
      </c>
      <c r="S543" s="18">
        <v>0</v>
      </c>
      <c r="T543" s="18">
        <v>142</v>
      </c>
      <c r="U543" s="18">
        <v>1</v>
      </c>
      <c r="V543" s="18">
        <v>1</v>
      </c>
      <c r="W543" s="18">
        <v>0</v>
      </c>
      <c r="X543" s="18">
        <v>0.03571</v>
      </c>
      <c r="Y543" s="18">
        <v>3.85</v>
      </c>
      <c r="Z543" s="18">
        <v>3.85</v>
      </c>
      <c r="AA543" s="18">
        <v>36.84</v>
      </c>
      <c r="AB543" s="18">
        <v>3</v>
      </c>
      <c r="AC543" s="18">
        <v>3</v>
      </c>
      <c r="AD543" s="18">
        <v>0</v>
      </c>
      <c r="AE543" s="18">
        <v>0.10714</v>
      </c>
      <c r="AF543" s="18">
        <v>0</v>
      </c>
      <c r="AG543" s="18">
        <v>1</v>
      </c>
      <c r="AH543" s="18">
        <v>36.84</v>
      </c>
      <c r="AI543" s="18">
        <v>4</v>
      </c>
      <c r="AJ543" s="18">
        <v>9.21</v>
      </c>
      <c r="AK543" s="18">
        <v>3</v>
      </c>
      <c r="AL543" s="18">
        <v>12.28</v>
      </c>
      <c r="AM543" s="18">
        <v>1</v>
      </c>
      <c r="AN543" s="18"/>
      <c r="AO543" s="18">
        <v>0</v>
      </c>
      <c r="AP543" s="18">
        <v>12.28</v>
      </c>
      <c r="AQ543" s="18">
        <v>2</v>
      </c>
      <c r="AR543" s="18">
        <v>217.9</v>
      </c>
      <c r="AS543" s="18">
        <v>0</v>
      </c>
      <c r="AT543" s="18">
        <v>0</v>
      </c>
      <c r="AU543" s="18">
        <v>0</v>
      </c>
      <c r="AV543" s="18">
        <v>0</v>
      </c>
      <c r="AW543" s="18">
        <v>0</v>
      </c>
      <c r="AX543" s="18">
        <v>1</v>
      </c>
      <c r="AY543" s="18">
        <v>143</v>
      </c>
      <c r="AZ543" s="18">
        <v>28</v>
      </c>
      <c r="BA543" s="18">
        <v>17</v>
      </c>
      <c r="BB543" s="18">
        <v>0.60714</v>
      </c>
      <c r="BC543" s="18">
        <v>0</v>
      </c>
      <c r="BD543" s="18">
        <v>0</v>
      </c>
      <c r="BE543" s="18">
        <v>0.23252</v>
      </c>
      <c r="BF543" s="18">
        <v>115</v>
      </c>
      <c r="BG543" s="18">
        <v>5</v>
      </c>
      <c r="BH543" s="18">
        <v>1</v>
      </c>
      <c r="BI543" s="18">
        <v>1</v>
      </c>
      <c r="BJ543" s="18">
        <v>0</v>
      </c>
      <c r="BK543" s="18">
        <v>0</v>
      </c>
      <c r="BL543" s="18">
        <v>0</v>
      </c>
      <c r="BM543" s="18">
        <v>1</v>
      </c>
      <c r="BN543" s="18">
        <v>1</v>
      </c>
      <c r="BO543" s="18">
        <v>142</v>
      </c>
      <c r="BP543" s="18">
        <v>0</v>
      </c>
      <c r="BQ543" s="18">
        <v>555</v>
      </c>
      <c r="BR543" s="18">
        <v>22</v>
      </c>
      <c r="BS543" s="18">
        <v>142</v>
      </c>
      <c r="BT543" s="18">
        <v>1</v>
      </c>
      <c r="BU543" s="18">
        <v>1</v>
      </c>
    </row>
    <row r="544" spans="1:73">
      <c r="A544" s="19">
        <v>46160</v>
      </c>
      <c r="B544" s="18">
        <v>479</v>
      </c>
      <c r="C544" s="18" t="s">
        <v>39</v>
      </c>
      <c r="D544" s="18">
        <v>479</v>
      </c>
      <c r="E544" s="18" t="s">
        <v>39</v>
      </c>
      <c r="F544" s="18">
        <v>67</v>
      </c>
      <c r="G544" s="18">
        <v>27</v>
      </c>
      <c r="H544" s="18">
        <v>21.51</v>
      </c>
      <c r="I544" s="18">
        <v>0.40299</v>
      </c>
      <c r="J544" s="18">
        <v>0.8</v>
      </c>
      <c r="K544" s="18">
        <v>320.97</v>
      </c>
      <c r="L544" s="18">
        <v>0</v>
      </c>
      <c r="M544" s="18">
        <v>0</v>
      </c>
      <c r="N544" s="18">
        <v>0</v>
      </c>
      <c r="O544" s="18">
        <v>0</v>
      </c>
      <c r="P544" s="18">
        <v>0</v>
      </c>
      <c r="Q544" s="18">
        <v>0</v>
      </c>
      <c r="R544" s="18">
        <v>0</v>
      </c>
      <c r="S544" s="18">
        <v>0</v>
      </c>
      <c r="T544" s="18">
        <v>0</v>
      </c>
      <c r="U544" s="18">
        <v>0</v>
      </c>
      <c r="V544" s="18">
        <v>0</v>
      </c>
      <c r="W544" s="18">
        <v>0</v>
      </c>
      <c r="X544" s="18">
        <v>0</v>
      </c>
      <c r="Y544" s="18">
        <v>0</v>
      </c>
      <c r="Z544" s="18">
        <v>0</v>
      </c>
      <c r="AA544" s="18"/>
      <c r="AB544" s="18">
        <v>10</v>
      </c>
      <c r="AC544" s="18">
        <v>0</v>
      </c>
      <c r="AD544" s="18">
        <v>10</v>
      </c>
      <c r="AE544" s="18">
        <v>0.37037</v>
      </c>
      <c r="AF544" s="18">
        <v>0</v>
      </c>
      <c r="AG544" s="18">
        <v>2</v>
      </c>
      <c r="AH544" s="18">
        <v>10.75</v>
      </c>
      <c r="AI544" s="18">
        <v>12</v>
      </c>
      <c r="AJ544" s="18">
        <v>1.79</v>
      </c>
      <c r="AK544" s="18">
        <v>10</v>
      </c>
      <c r="AL544" s="18">
        <v>2.15</v>
      </c>
      <c r="AM544" s="18">
        <v>2</v>
      </c>
      <c r="AN544" s="18"/>
      <c r="AO544" s="18">
        <v>0</v>
      </c>
      <c r="AP544" s="18">
        <v>2.15</v>
      </c>
      <c r="AQ544" s="18">
        <v>0</v>
      </c>
      <c r="AR544" s="18">
        <v>0</v>
      </c>
      <c r="AS544" s="18">
        <v>0</v>
      </c>
      <c r="AT544" s="18">
        <v>0</v>
      </c>
      <c r="AU544" s="18">
        <v>0</v>
      </c>
      <c r="AV544" s="18">
        <v>0</v>
      </c>
      <c r="AW544" s="18">
        <v>0</v>
      </c>
      <c r="AX544" s="18">
        <v>0</v>
      </c>
      <c r="AY544" s="18">
        <v>337</v>
      </c>
      <c r="AZ544" s="18">
        <v>24</v>
      </c>
      <c r="BA544" s="18">
        <v>18</v>
      </c>
      <c r="BB544" s="18">
        <v>0.75</v>
      </c>
      <c r="BC544" s="18">
        <v>0</v>
      </c>
      <c r="BD544" s="18">
        <v>0</v>
      </c>
      <c r="BE544" s="18">
        <v>5.02985</v>
      </c>
      <c r="BF544" s="18">
        <v>303</v>
      </c>
      <c r="BG544" s="18">
        <v>14</v>
      </c>
      <c r="BH544" s="18">
        <v>0</v>
      </c>
      <c r="BI544" s="18"/>
      <c r="BJ544" s="18">
        <v>0</v>
      </c>
      <c r="BK544" s="18">
        <v>0</v>
      </c>
      <c r="BL544" s="18">
        <v>0</v>
      </c>
      <c r="BM544" s="18">
        <v>0</v>
      </c>
      <c r="BN544" s="18"/>
      <c r="BO544" s="18"/>
      <c r="BP544" s="18">
        <v>0.02</v>
      </c>
      <c r="BQ544" s="18">
        <v>365</v>
      </c>
      <c r="BR544" s="18">
        <v>0</v>
      </c>
      <c r="BS544" s="18">
        <v>0</v>
      </c>
      <c r="BT544" s="18">
        <v>0</v>
      </c>
      <c r="BU544" s="18">
        <v>0</v>
      </c>
    </row>
    <row r="545" spans="1:73">
      <c r="A545" s="19">
        <v>46159</v>
      </c>
      <c r="B545" s="18">
        <v>371</v>
      </c>
      <c r="C545" s="18" t="s">
        <v>32</v>
      </c>
      <c r="D545" s="18">
        <v>371</v>
      </c>
      <c r="E545" s="18" t="s">
        <v>32</v>
      </c>
      <c r="F545" s="18">
        <v>3298</v>
      </c>
      <c r="G545" s="18">
        <v>123</v>
      </c>
      <c r="H545" s="18">
        <v>61.53</v>
      </c>
      <c r="I545" s="18">
        <v>0.0373</v>
      </c>
      <c r="J545" s="18">
        <v>0.5</v>
      </c>
      <c r="K545" s="18">
        <v>18.66</v>
      </c>
      <c r="L545" s="18">
        <v>0</v>
      </c>
      <c r="M545" s="18">
        <v>0</v>
      </c>
      <c r="N545" s="18">
        <v>0</v>
      </c>
      <c r="O545" s="18">
        <v>0</v>
      </c>
      <c r="P545" s="18">
        <v>0</v>
      </c>
      <c r="Q545" s="18">
        <v>0</v>
      </c>
      <c r="R545" s="18">
        <v>192.93</v>
      </c>
      <c r="S545" s="18">
        <v>0</v>
      </c>
      <c r="T545" s="18">
        <v>192.93</v>
      </c>
      <c r="U545" s="18">
        <v>1</v>
      </c>
      <c r="V545" s="18">
        <v>1</v>
      </c>
      <c r="W545" s="18">
        <v>0</v>
      </c>
      <c r="X545" s="18">
        <v>0.00813</v>
      </c>
      <c r="Y545" s="18">
        <v>3.14</v>
      </c>
      <c r="Z545" s="18">
        <v>3.14</v>
      </c>
      <c r="AA545" s="18">
        <v>61.53</v>
      </c>
      <c r="AB545" s="18">
        <v>3</v>
      </c>
      <c r="AC545" s="18">
        <v>3</v>
      </c>
      <c r="AD545" s="18">
        <v>0</v>
      </c>
      <c r="AE545" s="18">
        <v>0.02439</v>
      </c>
      <c r="AF545" s="18">
        <v>2</v>
      </c>
      <c r="AG545" s="18">
        <v>0</v>
      </c>
      <c r="AH545" s="18"/>
      <c r="AI545" s="18">
        <v>5</v>
      </c>
      <c r="AJ545" s="18">
        <v>12.31</v>
      </c>
      <c r="AK545" s="18">
        <v>5</v>
      </c>
      <c r="AL545" s="18">
        <v>12.31</v>
      </c>
      <c r="AM545" s="18">
        <v>2</v>
      </c>
      <c r="AN545" s="18">
        <v>30.77</v>
      </c>
      <c r="AO545" s="18">
        <v>0.01626</v>
      </c>
      <c r="AP545" s="18">
        <v>20.51</v>
      </c>
      <c r="AQ545" s="18">
        <v>3</v>
      </c>
      <c r="AR545" s="18">
        <v>368.8</v>
      </c>
      <c r="AS545" s="18">
        <v>2</v>
      </c>
      <c r="AT545" s="18">
        <v>0</v>
      </c>
      <c r="AU545" s="18">
        <v>0</v>
      </c>
      <c r="AV545" s="18">
        <v>0</v>
      </c>
      <c r="AW545" s="18">
        <v>0</v>
      </c>
      <c r="AX545" s="18">
        <v>0</v>
      </c>
      <c r="AY545" s="18">
        <v>241</v>
      </c>
      <c r="AZ545" s="18">
        <v>113</v>
      </c>
      <c r="BA545" s="18">
        <v>101</v>
      </c>
      <c r="BB545" s="18">
        <v>0.89381</v>
      </c>
      <c r="BC545" s="18">
        <v>0</v>
      </c>
      <c r="BD545" s="18">
        <v>0</v>
      </c>
      <c r="BE545" s="18">
        <v>0.07307</v>
      </c>
      <c r="BF545" s="18">
        <v>102</v>
      </c>
      <c r="BG545" s="18">
        <v>2</v>
      </c>
      <c r="BH545" s="18">
        <v>0</v>
      </c>
      <c r="BI545" s="18">
        <v>0</v>
      </c>
      <c r="BJ545" s="18">
        <v>0</v>
      </c>
      <c r="BK545" s="18">
        <v>0</v>
      </c>
      <c r="BL545" s="18">
        <v>0</v>
      </c>
      <c r="BM545" s="18">
        <v>1</v>
      </c>
      <c r="BN545" s="18">
        <v>1</v>
      </c>
      <c r="BO545" s="18">
        <v>192.93</v>
      </c>
      <c r="BP545" s="18">
        <v>0.02</v>
      </c>
      <c r="BQ545" s="18">
        <v>547</v>
      </c>
      <c r="BR545" s="18">
        <v>0</v>
      </c>
      <c r="BS545" s="18">
        <v>0</v>
      </c>
      <c r="BT545" s="18">
        <v>0</v>
      </c>
      <c r="BU545" s="18">
        <v>0</v>
      </c>
    </row>
    <row r="546" spans="1:73">
      <c r="A546" s="19">
        <v>46159</v>
      </c>
      <c r="B546" s="18">
        <v>436</v>
      </c>
      <c r="C546" s="18" t="s">
        <v>38</v>
      </c>
      <c r="D546" s="18">
        <v>436</v>
      </c>
      <c r="E546" s="18" t="s">
        <v>38</v>
      </c>
      <c r="F546" s="18">
        <v>495</v>
      </c>
      <c r="G546" s="18">
        <v>20</v>
      </c>
      <c r="H546" s="18">
        <v>36.03</v>
      </c>
      <c r="I546" s="18">
        <v>0.0404</v>
      </c>
      <c r="J546" s="18">
        <v>1.8</v>
      </c>
      <c r="K546" s="18">
        <v>72.79</v>
      </c>
      <c r="L546" s="18">
        <v>0</v>
      </c>
      <c r="M546" s="18">
        <v>0</v>
      </c>
      <c r="N546" s="18">
        <v>0</v>
      </c>
      <c r="O546" s="18">
        <v>0</v>
      </c>
      <c r="P546" s="18">
        <v>0</v>
      </c>
      <c r="Q546" s="18">
        <v>0</v>
      </c>
      <c r="R546" s="18">
        <v>0</v>
      </c>
      <c r="S546" s="18">
        <v>0</v>
      </c>
      <c r="T546" s="18">
        <v>0</v>
      </c>
      <c r="U546" s="18">
        <v>0</v>
      </c>
      <c r="V546" s="18">
        <v>0</v>
      </c>
      <c r="W546" s="18">
        <v>0</v>
      </c>
      <c r="X546" s="18">
        <v>0</v>
      </c>
      <c r="Y546" s="18">
        <v>0</v>
      </c>
      <c r="Z546" s="18">
        <v>0</v>
      </c>
      <c r="AA546" s="18"/>
      <c r="AB546" s="18">
        <v>1</v>
      </c>
      <c r="AC546" s="18">
        <v>1</v>
      </c>
      <c r="AD546" s="18">
        <v>0</v>
      </c>
      <c r="AE546" s="18">
        <v>0.05</v>
      </c>
      <c r="AF546" s="18">
        <v>1</v>
      </c>
      <c r="AG546" s="18">
        <v>0</v>
      </c>
      <c r="AH546" s="18"/>
      <c r="AI546" s="18">
        <v>2</v>
      </c>
      <c r="AJ546" s="18">
        <v>18.02</v>
      </c>
      <c r="AK546" s="18">
        <v>2</v>
      </c>
      <c r="AL546" s="18">
        <v>18.02</v>
      </c>
      <c r="AM546" s="18">
        <v>1</v>
      </c>
      <c r="AN546" s="18">
        <v>36.03</v>
      </c>
      <c r="AO546" s="18">
        <v>0.05</v>
      </c>
      <c r="AP546" s="18">
        <v>36.03</v>
      </c>
      <c r="AQ546" s="18">
        <v>0</v>
      </c>
      <c r="AR546" s="18">
        <v>0</v>
      </c>
      <c r="AS546" s="18">
        <v>1</v>
      </c>
      <c r="AT546" s="18">
        <v>0</v>
      </c>
      <c r="AU546" s="18">
        <v>0</v>
      </c>
      <c r="AV546" s="18">
        <v>0</v>
      </c>
      <c r="AW546" s="18">
        <v>0</v>
      </c>
      <c r="AX546" s="18">
        <v>1</v>
      </c>
      <c r="AY546" s="18">
        <v>59</v>
      </c>
      <c r="AZ546" s="18">
        <v>19</v>
      </c>
      <c r="BA546" s="18">
        <v>12</v>
      </c>
      <c r="BB546" s="18">
        <v>0.63158</v>
      </c>
      <c r="BC546" s="18">
        <v>0</v>
      </c>
      <c r="BD546" s="18">
        <v>0</v>
      </c>
      <c r="BE546" s="18">
        <v>0.11919</v>
      </c>
      <c r="BF546" s="18">
        <v>32</v>
      </c>
      <c r="BG546" s="18">
        <v>3</v>
      </c>
      <c r="BH546" s="18">
        <v>0</v>
      </c>
      <c r="BI546" s="18"/>
      <c r="BJ546" s="18">
        <v>0</v>
      </c>
      <c r="BK546" s="18">
        <v>0</v>
      </c>
      <c r="BL546" s="18">
        <v>0</v>
      </c>
      <c r="BM546" s="18">
        <v>0</v>
      </c>
      <c r="BN546" s="18"/>
      <c r="BO546" s="18"/>
      <c r="BP546" s="18">
        <v>0</v>
      </c>
      <c r="BQ546" s="18">
        <v>43</v>
      </c>
      <c r="BR546" s="18">
        <v>0</v>
      </c>
      <c r="BS546" s="18">
        <v>0</v>
      </c>
      <c r="BT546" s="18">
        <v>0</v>
      </c>
      <c r="BU546" s="18">
        <v>0</v>
      </c>
    </row>
    <row r="547" spans="1:73">
      <c r="A547" s="19">
        <v>46159</v>
      </c>
      <c r="B547" s="18">
        <v>372</v>
      </c>
      <c r="C547" s="18" t="s">
        <v>37</v>
      </c>
      <c r="D547" s="18">
        <v>372</v>
      </c>
      <c r="E547" s="18" t="s">
        <v>61</v>
      </c>
      <c r="F547" s="18">
        <v>1757</v>
      </c>
      <c r="G547" s="18">
        <v>197</v>
      </c>
      <c r="H547" s="18">
        <v>72.02</v>
      </c>
      <c r="I547" s="18">
        <v>0.11212</v>
      </c>
      <c r="J547" s="18">
        <v>0.37</v>
      </c>
      <c r="K547" s="18">
        <v>40.99</v>
      </c>
      <c r="L547" s="18">
        <v>0</v>
      </c>
      <c r="M547" s="18">
        <v>0</v>
      </c>
      <c r="N547" s="18">
        <v>0</v>
      </c>
      <c r="O547" s="18">
        <v>0</v>
      </c>
      <c r="P547" s="18">
        <v>0</v>
      </c>
      <c r="Q547" s="18">
        <v>0</v>
      </c>
      <c r="R547" s="18">
        <v>0</v>
      </c>
      <c r="S547" s="18">
        <v>0</v>
      </c>
      <c r="T547" s="18">
        <v>0</v>
      </c>
      <c r="U547" s="18">
        <v>0</v>
      </c>
      <c r="V547" s="18">
        <v>0</v>
      </c>
      <c r="W547" s="18">
        <v>0</v>
      </c>
      <c r="X547" s="18">
        <v>0</v>
      </c>
      <c r="Y547" s="18">
        <v>0</v>
      </c>
      <c r="Z547" s="18">
        <v>0</v>
      </c>
      <c r="AA547" s="18"/>
      <c r="AB547" s="18">
        <v>3</v>
      </c>
      <c r="AC547" s="18">
        <v>2</v>
      </c>
      <c r="AD547" s="18">
        <v>1</v>
      </c>
      <c r="AE547" s="18">
        <v>0.01523</v>
      </c>
      <c r="AF547" s="18">
        <v>3</v>
      </c>
      <c r="AG547" s="18">
        <v>1</v>
      </c>
      <c r="AH547" s="18">
        <v>72.02</v>
      </c>
      <c r="AI547" s="18">
        <v>7</v>
      </c>
      <c r="AJ547" s="18">
        <v>10.29</v>
      </c>
      <c r="AK547" s="18">
        <v>6</v>
      </c>
      <c r="AL547" s="18">
        <v>12</v>
      </c>
      <c r="AM547" s="18">
        <v>4</v>
      </c>
      <c r="AN547" s="18">
        <v>24.01</v>
      </c>
      <c r="AO547" s="18">
        <v>0.01523</v>
      </c>
      <c r="AP547" s="18">
        <v>24.01</v>
      </c>
      <c r="AQ547" s="18">
        <v>0</v>
      </c>
      <c r="AR547" s="18">
        <v>0</v>
      </c>
      <c r="AS547" s="18">
        <v>3</v>
      </c>
      <c r="AT547" s="18">
        <v>0</v>
      </c>
      <c r="AU547" s="18">
        <v>0</v>
      </c>
      <c r="AV547" s="18">
        <v>0</v>
      </c>
      <c r="AW547" s="18">
        <v>0</v>
      </c>
      <c r="AX547" s="18">
        <v>0</v>
      </c>
      <c r="AY547" s="18">
        <v>396</v>
      </c>
      <c r="AZ547" s="18">
        <v>186</v>
      </c>
      <c r="BA547" s="18">
        <v>147</v>
      </c>
      <c r="BB547" s="18">
        <v>0.79032</v>
      </c>
      <c r="BC547" s="18">
        <v>0</v>
      </c>
      <c r="BD547" s="18">
        <v>0</v>
      </c>
      <c r="BE547" s="18">
        <v>0.22538</v>
      </c>
      <c r="BF547" s="18">
        <v>121</v>
      </c>
      <c r="BG547" s="18">
        <v>2</v>
      </c>
      <c r="BH547" s="18">
        <v>0</v>
      </c>
      <c r="BI547" s="18"/>
      <c r="BJ547" s="18">
        <v>0</v>
      </c>
      <c r="BK547" s="18">
        <v>0</v>
      </c>
      <c r="BL547" s="18">
        <v>0</v>
      </c>
      <c r="BM547" s="18">
        <v>0</v>
      </c>
      <c r="BN547" s="18"/>
      <c r="BO547" s="18"/>
      <c r="BP547" s="18">
        <v>0.02</v>
      </c>
      <c r="BQ547" s="18">
        <v>248</v>
      </c>
      <c r="BR547" s="18">
        <v>0</v>
      </c>
      <c r="BS547" s="18">
        <v>0</v>
      </c>
      <c r="BT547" s="18">
        <v>0</v>
      </c>
      <c r="BU547" s="18">
        <v>0</v>
      </c>
    </row>
    <row r="548" spans="1:73">
      <c r="A548" s="19">
        <v>46159</v>
      </c>
      <c r="B548" s="18">
        <v>479</v>
      </c>
      <c r="C548" s="18" t="s">
        <v>39</v>
      </c>
      <c r="D548" s="18">
        <v>479</v>
      </c>
      <c r="E548" s="18" t="s">
        <v>39</v>
      </c>
      <c r="F548" s="18">
        <v>39</v>
      </c>
      <c r="G548" s="18">
        <v>20</v>
      </c>
      <c r="H548" s="18">
        <v>13.39</v>
      </c>
      <c r="I548" s="18">
        <v>0.51282</v>
      </c>
      <c r="J548" s="18">
        <v>0.67</v>
      </c>
      <c r="K548" s="18">
        <v>343.45</v>
      </c>
      <c r="L548" s="18">
        <v>0</v>
      </c>
      <c r="M548" s="18">
        <v>0</v>
      </c>
      <c r="N548" s="18">
        <v>0</v>
      </c>
      <c r="O548" s="18">
        <v>0</v>
      </c>
      <c r="P548" s="18">
        <v>0</v>
      </c>
      <c r="Q548" s="18">
        <v>0</v>
      </c>
      <c r="R548" s="18">
        <v>0</v>
      </c>
      <c r="S548" s="18">
        <v>0</v>
      </c>
      <c r="T548" s="18">
        <v>0</v>
      </c>
      <c r="U548" s="18">
        <v>0</v>
      </c>
      <c r="V548" s="18">
        <v>0</v>
      </c>
      <c r="W548" s="18">
        <v>0</v>
      </c>
      <c r="X548" s="18">
        <v>0</v>
      </c>
      <c r="Y548" s="18">
        <v>0</v>
      </c>
      <c r="Z548" s="18">
        <v>0</v>
      </c>
      <c r="AA548" s="18"/>
      <c r="AB548" s="18">
        <v>2</v>
      </c>
      <c r="AC548" s="18">
        <v>0</v>
      </c>
      <c r="AD548" s="18">
        <v>2</v>
      </c>
      <c r="AE548" s="18">
        <v>0.1</v>
      </c>
      <c r="AF548" s="18">
        <v>0</v>
      </c>
      <c r="AG548" s="18">
        <v>0</v>
      </c>
      <c r="AH548" s="18"/>
      <c r="AI548" s="18">
        <v>2</v>
      </c>
      <c r="AJ548" s="18">
        <v>6.7</v>
      </c>
      <c r="AK548" s="18">
        <v>2</v>
      </c>
      <c r="AL548" s="18">
        <v>6.7</v>
      </c>
      <c r="AM548" s="18">
        <v>0</v>
      </c>
      <c r="AN548" s="18"/>
      <c r="AO548" s="18">
        <v>0</v>
      </c>
      <c r="AP548" s="18">
        <v>6.7</v>
      </c>
      <c r="AQ548" s="18">
        <v>0</v>
      </c>
      <c r="AR548" s="18">
        <v>0</v>
      </c>
      <c r="AS548" s="18">
        <v>0</v>
      </c>
      <c r="AT548" s="18">
        <v>0</v>
      </c>
      <c r="AU548" s="18">
        <v>0</v>
      </c>
      <c r="AV548" s="18">
        <v>0</v>
      </c>
      <c r="AW548" s="18">
        <v>0</v>
      </c>
      <c r="AX548" s="18">
        <v>0</v>
      </c>
      <c r="AY548" s="18">
        <v>228</v>
      </c>
      <c r="AZ548" s="18">
        <v>15</v>
      </c>
      <c r="BA548" s="18">
        <v>8</v>
      </c>
      <c r="BB548" s="18">
        <v>0.53333</v>
      </c>
      <c r="BC548" s="18">
        <v>0</v>
      </c>
      <c r="BD548" s="18">
        <v>0</v>
      </c>
      <c r="BE548" s="18">
        <v>5.84615</v>
      </c>
      <c r="BF548" s="18">
        <v>204</v>
      </c>
      <c r="BG548" s="18">
        <v>15</v>
      </c>
      <c r="BH548" s="18">
        <v>0</v>
      </c>
      <c r="BI548" s="18"/>
      <c r="BJ548" s="18">
        <v>0</v>
      </c>
      <c r="BK548" s="18">
        <v>0</v>
      </c>
      <c r="BL548" s="18">
        <v>0</v>
      </c>
      <c r="BM548" s="18">
        <v>0</v>
      </c>
      <c r="BN548" s="18"/>
      <c r="BO548" s="18"/>
      <c r="BP548" s="18">
        <v>0</v>
      </c>
      <c r="BQ548" s="18">
        <v>69</v>
      </c>
      <c r="BR548" s="18">
        <v>0</v>
      </c>
      <c r="BS548" s="18">
        <v>0</v>
      </c>
      <c r="BT548" s="18">
        <v>0</v>
      </c>
      <c r="BU548" s="18">
        <v>0</v>
      </c>
    </row>
    <row r="549" spans="1:73">
      <c r="A549" s="19">
        <v>46159</v>
      </c>
      <c r="B549" s="18">
        <v>183</v>
      </c>
      <c r="C549" s="18" t="s">
        <v>40</v>
      </c>
      <c r="D549" s="18">
        <v>183</v>
      </c>
      <c r="E549" s="18" t="s">
        <v>40</v>
      </c>
      <c r="F549" s="18">
        <v>707</v>
      </c>
      <c r="G549" s="18">
        <v>58</v>
      </c>
      <c r="H549" s="18">
        <v>100</v>
      </c>
      <c r="I549" s="18">
        <v>0.08204</v>
      </c>
      <c r="J549" s="18">
        <v>1.72</v>
      </c>
      <c r="K549" s="18">
        <v>141.44</v>
      </c>
      <c r="L549" s="18">
        <v>0</v>
      </c>
      <c r="M549" s="18">
        <v>0</v>
      </c>
      <c r="N549" s="18">
        <v>0</v>
      </c>
      <c r="O549" s="18">
        <v>0</v>
      </c>
      <c r="P549" s="18">
        <v>0</v>
      </c>
      <c r="Q549" s="18">
        <v>0</v>
      </c>
      <c r="R549" s="18">
        <v>0</v>
      </c>
      <c r="S549" s="18">
        <v>134.3</v>
      </c>
      <c r="T549" s="18">
        <v>134.3</v>
      </c>
      <c r="U549" s="18">
        <v>2</v>
      </c>
      <c r="V549" s="18">
        <v>0</v>
      </c>
      <c r="W549" s="18">
        <v>2</v>
      </c>
      <c r="X549" s="18">
        <v>0.03448</v>
      </c>
      <c r="Y549" s="18">
        <v>1.34</v>
      </c>
      <c r="Z549" s="18">
        <v>1.34</v>
      </c>
      <c r="AA549" s="18">
        <v>50</v>
      </c>
      <c r="AB549" s="18">
        <v>8</v>
      </c>
      <c r="AC549" s="18">
        <v>6</v>
      </c>
      <c r="AD549" s="18">
        <v>2</v>
      </c>
      <c r="AE549" s="18">
        <v>0.13793</v>
      </c>
      <c r="AF549" s="18">
        <v>0</v>
      </c>
      <c r="AG549" s="18">
        <v>0</v>
      </c>
      <c r="AH549" s="18"/>
      <c r="AI549" s="18">
        <v>8</v>
      </c>
      <c r="AJ549" s="18">
        <v>12.5</v>
      </c>
      <c r="AK549" s="18">
        <v>8</v>
      </c>
      <c r="AL549" s="18">
        <v>12.5</v>
      </c>
      <c r="AM549" s="18">
        <v>0</v>
      </c>
      <c r="AN549" s="18"/>
      <c r="AO549" s="18">
        <v>0</v>
      </c>
      <c r="AP549" s="18">
        <v>12.5</v>
      </c>
      <c r="AQ549" s="18">
        <v>3</v>
      </c>
      <c r="AR549" s="18">
        <v>217.9</v>
      </c>
      <c r="AS549" s="18">
        <v>0</v>
      </c>
      <c r="AT549" s="18">
        <v>0</v>
      </c>
      <c r="AU549" s="18">
        <v>0</v>
      </c>
      <c r="AV549" s="18">
        <v>0</v>
      </c>
      <c r="AW549" s="18">
        <v>0</v>
      </c>
      <c r="AX549" s="18">
        <v>3</v>
      </c>
      <c r="AY549" s="18">
        <v>245</v>
      </c>
      <c r="AZ549" s="18">
        <v>93</v>
      </c>
      <c r="BA549" s="18">
        <v>60</v>
      </c>
      <c r="BB549" s="18">
        <v>0.64516</v>
      </c>
      <c r="BC549" s="18">
        <v>0</v>
      </c>
      <c r="BD549" s="18">
        <v>0</v>
      </c>
      <c r="BE549" s="18">
        <v>0.34653</v>
      </c>
      <c r="BF549" s="18">
        <v>116</v>
      </c>
      <c r="BG549" s="18">
        <v>3</v>
      </c>
      <c r="BH549" s="18">
        <v>1</v>
      </c>
      <c r="BI549" s="18">
        <v>1</v>
      </c>
      <c r="BJ549" s="18">
        <v>0</v>
      </c>
      <c r="BK549" s="18">
        <v>0</v>
      </c>
      <c r="BL549" s="18">
        <v>0</v>
      </c>
      <c r="BM549" s="18">
        <v>1</v>
      </c>
      <c r="BN549" s="18">
        <v>2</v>
      </c>
      <c r="BO549" s="18">
        <v>134.3</v>
      </c>
      <c r="BP549" s="18">
        <v>0.04</v>
      </c>
      <c r="BQ549" s="18">
        <v>244</v>
      </c>
      <c r="BR549" s="18">
        <v>0</v>
      </c>
      <c r="BS549" s="18">
        <v>0</v>
      </c>
      <c r="BT549" s="18">
        <v>0</v>
      </c>
      <c r="BU549" s="18">
        <v>0</v>
      </c>
    </row>
    <row r="550" spans="1:73">
      <c r="A550" s="19">
        <v>46158</v>
      </c>
      <c r="B550" s="18">
        <v>372</v>
      </c>
      <c r="C550" s="18" t="s">
        <v>37</v>
      </c>
      <c r="D550" s="18">
        <v>372</v>
      </c>
      <c r="E550" s="18" t="s">
        <v>61</v>
      </c>
      <c r="F550" s="18">
        <v>2133</v>
      </c>
      <c r="G550" s="18">
        <v>229</v>
      </c>
      <c r="H550" s="18">
        <v>73.82</v>
      </c>
      <c r="I550" s="18">
        <v>0.10736</v>
      </c>
      <c r="J550" s="18">
        <v>0.32</v>
      </c>
      <c r="K550" s="18">
        <v>34.61</v>
      </c>
      <c r="L550" s="18">
        <v>0</v>
      </c>
      <c r="M550" s="18">
        <v>0</v>
      </c>
      <c r="N550" s="18">
        <v>0</v>
      </c>
      <c r="O550" s="18">
        <v>0</v>
      </c>
      <c r="P550" s="18">
        <v>0</v>
      </c>
      <c r="Q550" s="18">
        <v>0</v>
      </c>
      <c r="R550" s="18">
        <v>0</v>
      </c>
      <c r="S550" s="18">
        <v>0</v>
      </c>
      <c r="T550" s="18">
        <v>0</v>
      </c>
      <c r="U550" s="18">
        <v>0</v>
      </c>
      <c r="V550" s="18">
        <v>0</v>
      </c>
      <c r="W550" s="18">
        <v>0</v>
      </c>
      <c r="X550" s="18">
        <v>0</v>
      </c>
      <c r="Y550" s="18">
        <v>0</v>
      </c>
      <c r="Z550" s="18">
        <v>0</v>
      </c>
      <c r="AA550" s="18"/>
      <c r="AB550" s="18">
        <v>7</v>
      </c>
      <c r="AC550" s="18">
        <v>5</v>
      </c>
      <c r="AD550" s="18">
        <v>2</v>
      </c>
      <c r="AE550" s="18">
        <v>0.03057</v>
      </c>
      <c r="AF550" s="18">
        <v>3</v>
      </c>
      <c r="AG550" s="18">
        <v>1</v>
      </c>
      <c r="AH550" s="18">
        <v>73.82</v>
      </c>
      <c r="AI550" s="18">
        <v>11</v>
      </c>
      <c r="AJ550" s="18">
        <v>6.71</v>
      </c>
      <c r="AK550" s="18">
        <v>10</v>
      </c>
      <c r="AL550" s="18">
        <v>7.38</v>
      </c>
      <c r="AM550" s="18">
        <v>4</v>
      </c>
      <c r="AN550" s="18">
        <v>24.61</v>
      </c>
      <c r="AO550" s="18">
        <v>0.0131</v>
      </c>
      <c r="AP550" s="18">
        <v>10.55</v>
      </c>
      <c r="AQ550" s="18">
        <v>0</v>
      </c>
      <c r="AR550" s="18">
        <v>0</v>
      </c>
      <c r="AS550" s="18">
        <v>3</v>
      </c>
      <c r="AT550" s="18">
        <v>0</v>
      </c>
      <c r="AU550" s="18">
        <v>0</v>
      </c>
      <c r="AV550" s="18">
        <v>0</v>
      </c>
      <c r="AW550" s="18">
        <v>0</v>
      </c>
      <c r="AX550" s="18">
        <v>0</v>
      </c>
      <c r="AY550" s="18">
        <v>392</v>
      </c>
      <c r="AZ550" s="18">
        <v>218</v>
      </c>
      <c r="BA550" s="18">
        <v>177</v>
      </c>
      <c r="BB550" s="18">
        <v>0.81193</v>
      </c>
      <c r="BC550" s="18">
        <v>0</v>
      </c>
      <c r="BD550" s="18">
        <v>0</v>
      </c>
      <c r="BE550" s="18">
        <v>0.18378</v>
      </c>
      <c r="BF550" s="18">
        <v>92</v>
      </c>
      <c r="BG550" s="18">
        <v>2</v>
      </c>
      <c r="BH550" s="18">
        <v>0</v>
      </c>
      <c r="BI550" s="18"/>
      <c r="BJ550" s="18">
        <v>0</v>
      </c>
      <c r="BK550" s="18">
        <v>0</v>
      </c>
      <c r="BL550" s="18">
        <v>0</v>
      </c>
      <c r="BM550" s="18">
        <v>0</v>
      </c>
      <c r="BN550" s="18"/>
      <c r="BO550" s="18"/>
      <c r="BP550" s="18">
        <v>1.64</v>
      </c>
      <c r="BQ550" s="18">
        <v>152</v>
      </c>
      <c r="BR550" s="18">
        <v>0</v>
      </c>
      <c r="BS550" s="18">
        <v>0</v>
      </c>
      <c r="BT550" s="18">
        <v>0</v>
      </c>
      <c r="BU550" s="18">
        <v>0</v>
      </c>
    </row>
    <row r="551" spans="1:73">
      <c r="A551" s="19">
        <v>46158</v>
      </c>
      <c r="B551" s="18">
        <v>479</v>
      </c>
      <c r="C551" s="18" t="s">
        <v>39</v>
      </c>
      <c r="D551" s="18">
        <v>479</v>
      </c>
      <c r="E551" s="18" t="s">
        <v>39</v>
      </c>
      <c r="F551" s="18">
        <v>38</v>
      </c>
      <c r="G551" s="18">
        <v>11</v>
      </c>
      <c r="H551" s="18">
        <v>11.79</v>
      </c>
      <c r="I551" s="18">
        <v>0.28947</v>
      </c>
      <c r="J551" s="18">
        <v>1.07</v>
      </c>
      <c r="K551" s="18">
        <v>310.17</v>
      </c>
      <c r="L551" s="18">
        <v>0</v>
      </c>
      <c r="M551" s="18">
        <v>0</v>
      </c>
      <c r="N551" s="18">
        <v>0</v>
      </c>
      <c r="O551" s="18">
        <v>0</v>
      </c>
      <c r="P551" s="18">
        <v>0</v>
      </c>
      <c r="Q551" s="18">
        <v>0</v>
      </c>
      <c r="R551" s="18">
        <v>0</v>
      </c>
      <c r="S551" s="18">
        <v>0</v>
      </c>
      <c r="T551" s="18">
        <v>0</v>
      </c>
      <c r="U551" s="18">
        <v>0</v>
      </c>
      <c r="V551" s="18">
        <v>0</v>
      </c>
      <c r="W551" s="18">
        <v>0</v>
      </c>
      <c r="X551" s="18">
        <v>0</v>
      </c>
      <c r="Y551" s="18">
        <v>0</v>
      </c>
      <c r="Z551" s="18">
        <v>0</v>
      </c>
      <c r="AA551" s="18"/>
      <c r="AB551" s="18">
        <v>0</v>
      </c>
      <c r="AC551" s="18">
        <v>0</v>
      </c>
      <c r="AD551" s="18">
        <v>0</v>
      </c>
      <c r="AE551" s="18">
        <v>0</v>
      </c>
      <c r="AF551" s="18">
        <v>0</v>
      </c>
      <c r="AG551" s="18">
        <v>0</v>
      </c>
      <c r="AH551" s="18"/>
      <c r="AI551" s="18">
        <v>0</v>
      </c>
      <c r="AJ551" s="18"/>
      <c r="AK551" s="18">
        <v>0</v>
      </c>
      <c r="AL551" s="18"/>
      <c r="AM551" s="18">
        <v>0</v>
      </c>
      <c r="AN551" s="18"/>
      <c r="AO551" s="18">
        <v>0</v>
      </c>
      <c r="AP551" s="18"/>
      <c r="AQ551" s="18">
        <v>0</v>
      </c>
      <c r="AR551" s="18">
        <v>0</v>
      </c>
      <c r="AS551" s="18">
        <v>0</v>
      </c>
      <c r="AT551" s="18">
        <v>0</v>
      </c>
      <c r="AU551" s="18">
        <v>0</v>
      </c>
      <c r="AV551" s="18">
        <v>0</v>
      </c>
      <c r="AW551" s="18">
        <v>0</v>
      </c>
      <c r="AX551" s="18">
        <v>0</v>
      </c>
      <c r="AY551" s="18">
        <v>142</v>
      </c>
      <c r="AZ551" s="18">
        <v>10</v>
      </c>
      <c r="BA551" s="18">
        <v>7</v>
      </c>
      <c r="BB551" s="18">
        <v>0.7</v>
      </c>
      <c r="BC551" s="18">
        <v>0</v>
      </c>
      <c r="BD551" s="18">
        <v>0</v>
      </c>
      <c r="BE551" s="18">
        <v>3.73684</v>
      </c>
      <c r="BF551" s="18">
        <v>131</v>
      </c>
      <c r="BG551" s="18">
        <v>14</v>
      </c>
      <c r="BH551" s="18">
        <v>0</v>
      </c>
      <c r="BI551" s="18"/>
      <c r="BJ551" s="18">
        <v>0</v>
      </c>
      <c r="BK551" s="18">
        <v>0</v>
      </c>
      <c r="BL551" s="18">
        <v>0</v>
      </c>
      <c r="BM551" s="18">
        <v>0</v>
      </c>
      <c r="BN551" s="18"/>
      <c r="BO551" s="18"/>
      <c r="BP551" s="18">
        <v>0</v>
      </c>
      <c r="BQ551" s="18">
        <v>29</v>
      </c>
      <c r="BR551" s="18">
        <v>0</v>
      </c>
      <c r="BS551" s="18">
        <v>0</v>
      </c>
      <c r="BT551" s="18">
        <v>0</v>
      </c>
      <c r="BU551" s="18">
        <v>0</v>
      </c>
    </row>
    <row r="552" spans="1:73">
      <c r="A552" s="19">
        <v>46158</v>
      </c>
      <c r="B552" s="18">
        <v>371</v>
      </c>
      <c r="C552" s="18" t="s">
        <v>32</v>
      </c>
      <c r="D552" s="18">
        <v>371</v>
      </c>
      <c r="E552" s="18" t="s">
        <v>32</v>
      </c>
      <c r="F552" s="18">
        <v>2877</v>
      </c>
      <c r="G552" s="18">
        <v>121</v>
      </c>
      <c r="H552" s="18">
        <v>57.6</v>
      </c>
      <c r="I552" s="18">
        <v>0.04206</v>
      </c>
      <c r="J552" s="18">
        <v>0.48</v>
      </c>
      <c r="K552" s="18">
        <v>20.02</v>
      </c>
      <c r="L552" s="18">
        <v>0</v>
      </c>
      <c r="M552" s="18">
        <v>0</v>
      </c>
      <c r="N552" s="18">
        <v>0</v>
      </c>
      <c r="O552" s="18">
        <v>0</v>
      </c>
      <c r="P552" s="18">
        <v>0</v>
      </c>
      <c r="Q552" s="18">
        <v>0</v>
      </c>
      <c r="R552" s="18">
        <v>201</v>
      </c>
      <c r="S552" s="18">
        <v>0</v>
      </c>
      <c r="T552" s="18">
        <v>201</v>
      </c>
      <c r="U552" s="18">
        <v>1</v>
      </c>
      <c r="V552" s="18">
        <v>1</v>
      </c>
      <c r="W552" s="18">
        <v>0</v>
      </c>
      <c r="X552" s="18">
        <v>0.00826</v>
      </c>
      <c r="Y552" s="18">
        <v>3.49</v>
      </c>
      <c r="Z552" s="18">
        <v>3.49</v>
      </c>
      <c r="AA552" s="18">
        <v>57.6</v>
      </c>
      <c r="AB552" s="18">
        <v>5</v>
      </c>
      <c r="AC552" s="18">
        <v>2</v>
      </c>
      <c r="AD552" s="18">
        <v>3</v>
      </c>
      <c r="AE552" s="18">
        <v>0.04132</v>
      </c>
      <c r="AF552" s="18">
        <v>1</v>
      </c>
      <c r="AG552" s="18">
        <v>1</v>
      </c>
      <c r="AH552" s="18">
        <v>57.6</v>
      </c>
      <c r="AI552" s="18">
        <v>7</v>
      </c>
      <c r="AJ552" s="18">
        <v>8.23</v>
      </c>
      <c r="AK552" s="18">
        <v>6</v>
      </c>
      <c r="AL552" s="18">
        <v>9.6</v>
      </c>
      <c r="AM552" s="18">
        <v>2</v>
      </c>
      <c r="AN552" s="18">
        <v>57.6</v>
      </c>
      <c r="AO552" s="18">
        <v>0.00826</v>
      </c>
      <c r="AP552" s="18">
        <v>11.52</v>
      </c>
      <c r="AQ552" s="18">
        <v>2</v>
      </c>
      <c r="AR552" s="18">
        <v>318.9</v>
      </c>
      <c r="AS552" s="18">
        <v>1</v>
      </c>
      <c r="AT552" s="18">
        <v>0</v>
      </c>
      <c r="AU552" s="18">
        <v>0</v>
      </c>
      <c r="AV552" s="18">
        <v>0</v>
      </c>
      <c r="AW552" s="18">
        <v>0</v>
      </c>
      <c r="AX552" s="18">
        <v>0</v>
      </c>
      <c r="AY552" s="18">
        <v>218</v>
      </c>
      <c r="AZ552" s="18">
        <v>98</v>
      </c>
      <c r="BA552" s="18">
        <v>87</v>
      </c>
      <c r="BB552" s="18">
        <v>0.88776</v>
      </c>
      <c r="BC552" s="18">
        <v>0</v>
      </c>
      <c r="BD552" s="18">
        <v>0</v>
      </c>
      <c r="BE552" s="18">
        <v>0.07577</v>
      </c>
      <c r="BF552" s="18">
        <v>94</v>
      </c>
      <c r="BG552" s="18">
        <v>2</v>
      </c>
      <c r="BH552" s="18">
        <v>1</v>
      </c>
      <c r="BI552" s="18">
        <v>1</v>
      </c>
      <c r="BJ552" s="18">
        <v>0</v>
      </c>
      <c r="BK552" s="18">
        <v>0</v>
      </c>
      <c r="BL552" s="18">
        <v>0</v>
      </c>
      <c r="BM552" s="18">
        <v>1</v>
      </c>
      <c r="BN552" s="18">
        <v>1</v>
      </c>
      <c r="BO552" s="18">
        <v>201</v>
      </c>
      <c r="BP552" s="18">
        <v>1.06</v>
      </c>
      <c r="BQ552" s="18">
        <v>370</v>
      </c>
      <c r="BR552" s="18">
        <v>0</v>
      </c>
      <c r="BS552" s="18">
        <v>0</v>
      </c>
      <c r="BT552" s="18">
        <v>0</v>
      </c>
      <c r="BU552" s="18">
        <v>0</v>
      </c>
    </row>
    <row r="553" spans="1:73">
      <c r="A553" s="19">
        <v>46158</v>
      </c>
      <c r="B553" s="18">
        <v>436</v>
      </c>
      <c r="C553" s="18" t="s">
        <v>38</v>
      </c>
      <c r="D553" s="18">
        <v>436</v>
      </c>
      <c r="E553" s="18" t="s">
        <v>38</v>
      </c>
      <c r="F553" s="18">
        <v>460</v>
      </c>
      <c r="G553" s="18">
        <v>20</v>
      </c>
      <c r="H553" s="18">
        <v>36.53</v>
      </c>
      <c r="I553" s="18">
        <v>0.04348</v>
      </c>
      <c r="J553" s="18">
        <v>1.83</v>
      </c>
      <c r="K553" s="18">
        <v>79.41</v>
      </c>
      <c r="L553" s="18">
        <v>0</v>
      </c>
      <c r="M553" s="18">
        <v>0</v>
      </c>
      <c r="N553" s="18">
        <v>0</v>
      </c>
      <c r="O553" s="18">
        <v>0</v>
      </c>
      <c r="P553" s="18">
        <v>0</v>
      </c>
      <c r="Q553" s="18">
        <v>0</v>
      </c>
      <c r="R553" s="18">
        <v>0</v>
      </c>
      <c r="S553" s="18">
        <v>0</v>
      </c>
      <c r="T553" s="18">
        <v>0</v>
      </c>
      <c r="U553" s="18">
        <v>0</v>
      </c>
      <c r="V553" s="18">
        <v>0</v>
      </c>
      <c r="W553" s="18">
        <v>0</v>
      </c>
      <c r="X553" s="18">
        <v>0</v>
      </c>
      <c r="Y553" s="18">
        <v>0</v>
      </c>
      <c r="Z553" s="18">
        <v>0</v>
      </c>
      <c r="AA553" s="18"/>
      <c r="AB553" s="18">
        <v>0</v>
      </c>
      <c r="AC553" s="18">
        <v>0</v>
      </c>
      <c r="AD553" s="18">
        <v>0</v>
      </c>
      <c r="AE553" s="18">
        <v>0</v>
      </c>
      <c r="AF553" s="18">
        <v>0</v>
      </c>
      <c r="AG553" s="18">
        <v>1</v>
      </c>
      <c r="AH553" s="18">
        <v>36.53</v>
      </c>
      <c r="AI553" s="18">
        <v>1</v>
      </c>
      <c r="AJ553" s="18">
        <v>36.53</v>
      </c>
      <c r="AK553" s="18">
        <v>0</v>
      </c>
      <c r="AL553" s="18"/>
      <c r="AM553" s="18">
        <v>1</v>
      </c>
      <c r="AN553" s="18"/>
      <c r="AO553" s="18">
        <v>0</v>
      </c>
      <c r="AP553" s="18"/>
      <c r="AQ553" s="18">
        <v>0</v>
      </c>
      <c r="AR553" s="18">
        <v>0</v>
      </c>
      <c r="AS553" s="18">
        <v>0</v>
      </c>
      <c r="AT553" s="18">
        <v>0</v>
      </c>
      <c r="AU553" s="18">
        <v>0</v>
      </c>
      <c r="AV553" s="18">
        <v>0</v>
      </c>
      <c r="AW553" s="18">
        <v>0</v>
      </c>
      <c r="AX553" s="18">
        <v>0</v>
      </c>
      <c r="AY553" s="18">
        <v>49</v>
      </c>
      <c r="AZ553" s="18">
        <v>18</v>
      </c>
      <c r="BA553" s="18">
        <v>12</v>
      </c>
      <c r="BB553" s="18">
        <v>0.66667</v>
      </c>
      <c r="BC553" s="18">
        <v>0</v>
      </c>
      <c r="BD553" s="18">
        <v>0</v>
      </c>
      <c r="BE553" s="18">
        <v>0.10652</v>
      </c>
      <c r="BF553" s="18">
        <v>29</v>
      </c>
      <c r="BG553" s="18">
        <v>3</v>
      </c>
      <c r="BH553" s="18">
        <v>0</v>
      </c>
      <c r="BI553" s="18"/>
      <c r="BJ553" s="18">
        <v>0</v>
      </c>
      <c r="BK553" s="18">
        <v>0</v>
      </c>
      <c r="BL553" s="18">
        <v>0</v>
      </c>
      <c r="BM553" s="18">
        <v>0</v>
      </c>
      <c r="BN553" s="18"/>
      <c r="BO553" s="18"/>
      <c r="BP553" s="18">
        <v>0</v>
      </c>
      <c r="BQ553" s="18">
        <v>91</v>
      </c>
      <c r="BR553" s="18">
        <v>0</v>
      </c>
      <c r="BS553" s="18">
        <v>0</v>
      </c>
      <c r="BT553" s="18">
        <v>0</v>
      </c>
      <c r="BU553" s="18">
        <v>0</v>
      </c>
    </row>
    <row r="554" spans="1:73">
      <c r="A554" s="19">
        <v>46158</v>
      </c>
      <c r="B554" s="18">
        <v>183</v>
      </c>
      <c r="C554" s="18" t="s">
        <v>40</v>
      </c>
      <c r="D554" s="18">
        <v>183</v>
      </c>
      <c r="E554" s="18" t="s">
        <v>40</v>
      </c>
      <c r="F554" s="18">
        <v>1145</v>
      </c>
      <c r="G554" s="18">
        <v>51</v>
      </c>
      <c r="H554" s="18">
        <v>100</v>
      </c>
      <c r="I554" s="18">
        <v>0.04454</v>
      </c>
      <c r="J554" s="18">
        <v>1.96</v>
      </c>
      <c r="K554" s="18">
        <v>87.34</v>
      </c>
      <c r="L554" s="18">
        <v>0</v>
      </c>
      <c r="M554" s="18">
        <v>0</v>
      </c>
      <c r="N554" s="18">
        <v>0</v>
      </c>
      <c r="O554" s="18">
        <v>0</v>
      </c>
      <c r="P554" s="18">
        <v>0</v>
      </c>
      <c r="Q554" s="18">
        <v>0</v>
      </c>
      <c r="R554" s="18">
        <v>66.31</v>
      </c>
      <c r="S554" s="18">
        <v>0</v>
      </c>
      <c r="T554" s="18">
        <v>66.31</v>
      </c>
      <c r="U554" s="18">
        <v>1</v>
      </c>
      <c r="V554" s="18">
        <v>1</v>
      </c>
      <c r="W554" s="18">
        <v>0</v>
      </c>
      <c r="X554" s="18">
        <v>0.01961</v>
      </c>
      <c r="Y554" s="18">
        <v>0.66</v>
      </c>
      <c r="Z554" s="18">
        <v>0.66</v>
      </c>
      <c r="AA554" s="18">
        <v>100</v>
      </c>
      <c r="AB554" s="18">
        <v>5</v>
      </c>
      <c r="AC554" s="18">
        <v>2</v>
      </c>
      <c r="AD554" s="18">
        <v>3</v>
      </c>
      <c r="AE554" s="18">
        <v>0.09804</v>
      </c>
      <c r="AF554" s="18">
        <v>0</v>
      </c>
      <c r="AG554" s="18">
        <v>1</v>
      </c>
      <c r="AH554" s="18">
        <v>100</v>
      </c>
      <c r="AI554" s="18">
        <v>6</v>
      </c>
      <c r="AJ554" s="18">
        <v>16.67</v>
      </c>
      <c r="AK554" s="18">
        <v>5</v>
      </c>
      <c r="AL554" s="18">
        <v>20</v>
      </c>
      <c r="AM554" s="18">
        <v>1</v>
      </c>
      <c r="AN554" s="18"/>
      <c r="AO554" s="18">
        <v>0</v>
      </c>
      <c r="AP554" s="18">
        <v>20</v>
      </c>
      <c r="AQ554" s="18">
        <v>1</v>
      </c>
      <c r="AR554" s="18">
        <v>79.9</v>
      </c>
      <c r="AS554" s="18">
        <v>0</v>
      </c>
      <c r="AT554" s="18">
        <v>0</v>
      </c>
      <c r="AU554" s="18">
        <v>0</v>
      </c>
      <c r="AV554" s="18">
        <v>0</v>
      </c>
      <c r="AW554" s="18">
        <v>0</v>
      </c>
      <c r="AX554" s="18">
        <v>0</v>
      </c>
      <c r="AY554" s="18">
        <v>365</v>
      </c>
      <c r="AZ554" s="18">
        <v>128</v>
      </c>
      <c r="BA554" s="18">
        <v>87</v>
      </c>
      <c r="BB554" s="18">
        <v>0.67969</v>
      </c>
      <c r="BC554" s="18">
        <v>0</v>
      </c>
      <c r="BD554" s="18">
        <v>0</v>
      </c>
      <c r="BE554" s="18">
        <v>0.31878</v>
      </c>
      <c r="BF554" s="18">
        <v>138</v>
      </c>
      <c r="BG554" s="18">
        <v>3</v>
      </c>
      <c r="BH554" s="18">
        <v>1</v>
      </c>
      <c r="BI554" s="18">
        <v>1</v>
      </c>
      <c r="BJ554" s="18">
        <v>0</v>
      </c>
      <c r="BK554" s="18">
        <v>0</v>
      </c>
      <c r="BL554" s="18">
        <v>0</v>
      </c>
      <c r="BM554" s="18">
        <v>1</v>
      </c>
      <c r="BN554" s="18">
        <v>1</v>
      </c>
      <c r="BO554" s="18">
        <v>66.31</v>
      </c>
      <c r="BP554" s="18">
        <v>66.41</v>
      </c>
      <c r="BQ554" s="18">
        <v>658</v>
      </c>
      <c r="BR554" s="18">
        <v>0</v>
      </c>
      <c r="BS554" s="18">
        <v>0</v>
      </c>
      <c r="BT554" s="18">
        <v>0</v>
      </c>
      <c r="BU554" s="18">
        <v>0</v>
      </c>
    </row>
    <row r="555" spans="1:73">
      <c r="A555" s="19">
        <v>46157</v>
      </c>
      <c r="B555" s="18">
        <v>479</v>
      </c>
      <c r="C555" s="18" t="s">
        <v>39</v>
      </c>
      <c r="D555" s="18">
        <v>479</v>
      </c>
      <c r="E555" s="18" t="s">
        <v>39</v>
      </c>
      <c r="F555" s="18">
        <v>42</v>
      </c>
      <c r="G555" s="18">
        <v>20</v>
      </c>
      <c r="H555" s="18">
        <v>16.2</v>
      </c>
      <c r="I555" s="18">
        <v>0.47619</v>
      </c>
      <c r="J555" s="18">
        <v>0.81</v>
      </c>
      <c r="K555" s="18">
        <v>385.81</v>
      </c>
      <c r="L555" s="18">
        <v>0</v>
      </c>
      <c r="M555" s="18">
        <v>0</v>
      </c>
      <c r="N555" s="18">
        <v>0</v>
      </c>
      <c r="O555" s="18">
        <v>0</v>
      </c>
      <c r="P555" s="18">
        <v>0</v>
      </c>
      <c r="Q555" s="18">
        <v>0</v>
      </c>
      <c r="R555" s="18">
        <v>0</v>
      </c>
      <c r="S555" s="18">
        <v>4717</v>
      </c>
      <c r="T555" s="18">
        <v>4717</v>
      </c>
      <c r="U555" s="18">
        <v>3</v>
      </c>
      <c r="V555" s="18">
        <v>0</v>
      </c>
      <c r="W555" s="18">
        <v>3</v>
      </c>
      <c r="X555" s="18">
        <v>0.15</v>
      </c>
      <c r="Y555" s="18">
        <v>291.1</v>
      </c>
      <c r="Z555" s="18">
        <v>291.1</v>
      </c>
      <c r="AA555" s="18">
        <v>5.4</v>
      </c>
      <c r="AB555" s="18">
        <v>3</v>
      </c>
      <c r="AC555" s="18">
        <v>0</v>
      </c>
      <c r="AD555" s="18">
        <v>3</v>
      </c>
      <c r="AE555" s="18">
        <v>0.15</v>
      </c>
      <c r="AF555" s="18">
        <v>1</v>
      </c>
      <c r="AG555" s="18">
        <v>1</v>
      </c>
      <c r="AH555" s="18">
        <v>16.2</v>
      </c>
      <c r="AI555" s="18">
        <v>5</v>
      </c>
      <c r="AJ555" s="18">
        <v>3.24</v>
      </c>
      <c r="AK555" s="18">
        <v>4</v>
      </c>
      <c r="AL555" s="18">
        <v>4.05</v>
      </c>
      <c r="AM555" s="18">
        <v>2</v>
      </c>
      <c r="AN555" s="18">
        <v>16.2</v>
      </c>
      <c r="AO555" s="18">
        <v>0.05</v>
      </c>
      <c r="AP555" s="18">
        <v>5.4</v>
      </c>
      <c r="AQ555" s="18">
        <v>5</v>
      </c>
      <c r="AR555" s="18">
        <v>6363.9</v>
      </c>
      <c r="AS555" s="18">
        <v>0</v>
      </c>
      <c r="AT555" s="18">
        <v>1</v>
      </c>
      <c r="AU555" s="18">
        <v>0</v>
      </c>
      <c r="AV555" s="18">
        <v>0</v>
      </c>
      <c r="AW555" s="18">
        <v>0</v>
      </c>
      <c r="AX555" s="18">
        <v>2</v>
      </c>
      <c r="AY555" s="18">
        <v>136</v>
      </c>
      <c r="AZ555" s="18">
        <v>16</v>
      </c>
      <c r="BA555" s="18">
        <v>10</v>
      </c>
      <c r="BB555" s="18">
        <v>0.625</v>
      </c>
      <c r="BC555" s="18">
        <v>0</v>
      </c>
      <c r="BD555" s="18">
        <v>0</v>
      </c>
      <c r="BE555" s="18">
        <v>3.2381</v>
      </c>
      <c r="BF555" s="18">
        <v>109</v>
      </c>
      <c r="BG555" s="18">
        <v>9</v>
      </c>
      <c r="BH555" s="18">
        <v>2</v>
      </c>
      <c r="BI555" s="18">
        <v>1</v>
      </c>
      <c r="BJ555" s="18">
        <v>0</v>
      </c>
      <c r="BK555" s="18">
        <v>0</v>
      </c>
      <c r="BL555" s="18">
        <v>0</v>
      </c>
      <c r="BM555" s="18">
        <v>2</v>
      </c>
      <c r="BN555" s="18">
        <v>2</v>
      </c>
      <c r="BO555" s="18">
        <v>2358.5</v>
      </c>
      <c r="BP555" s="18">
        <v>65.78</v>
      </c>
      <c r="BQ555" s="18">
        <v>751</v>
      </c>
      <c r="BR555" s="18">
        <v>0</v>
      </c>
      <c r="BS555" s="18">
        <v>0</v>
      </c>
      <c r="BT555" s="18">
        <v>0</v>
      </c>
      <c r="BU555" s="18">
        <v>0</v>
      </c>
    </row>
    <row r="556" spans="1:73">
      <c r="A556" s="19">
        <v>46157</v>
      </c>
      <c r="B556" s="18">
        <v>372</v>
      </c>
      <c r="C556" s="18" t="s">
        <v>37</v>
      </c>
      <c r="D556" s="18">
        <v>372</v>
      </c>
      <c r="E556" s="18" t="s">
        <v>61</v>
      </c>
      <c r="F556" s="18">
        <v>1394</v>
      </c>
      <c r="G556" s="18">
        <v>118</v>
      </c>
      <c r="H556" s="18">
        <v>40.94</v>
      </c>
      <c r="I556" s="18">
        <v>0.08465</v>
      </c>
      <c r="J556" s="18">
        <v>0.35</v>
      </c>
      <c r="K556" s="18">
        <v>29.37</v>
      </c>
      <c r="L556" s="18">
        <v>0</v>
      </c>
      <c r="M556" s="18">
        <v>0</v>
      </c>
      <c r="N556" s="18">
        <v>0</v>
      </c>
      <c r="O556" s="18">
        <v>0</v>
      </c>
      <c r="P556" s="18">
        <v>0</v>
      </c>
      <c r="Q556" s="18">
        <v>0</v>
      </c>
      <c r="R556" s="18">
        <v>0</v>
      </c>
      <c r="S556" s="18">
        <v>0</v>
      </c>
      <c r="T556" s="18">
        <v>0</v>
      </c>
      <c r="U556" s="18">
        <v>0</v>
      </c>
      <c r="V556" s="18">
        <v>0</v>
      </c>
      <c r="W556" s="18">
        <v>0</v>
      </c>
      <c r="X556" s="18">
        <v>0</v>
      </c>
      <c r="Y556" s="18">
        <v>0</v>
      </c>
      <c r="Z556" s="18">
        <v>0</v>
      </c>
      <c r="AA556" s="18"/>
      <c r="AB556" s="18">
        <v>5</v>
      </c>
      <c r="AC556" s="18">
        <v>2</v>
      </c>
      <c r="AD556" s="18">
        <v>3</v>
      </c>
      <c r="AE556" s="18">
        <v>0.04237</v>
      </c>
      <c r="AF556" s="18">
        <v>1</v>
      </c>
      <c r="AG556" s="18">
        <v>0</v>
      </c>
      <c r="AH556" s="18"/>
      <c r="AI556" s="18">
        <v>6</v>
      </c>
      <c r="AJ556" s="18">
        <v>6.82</v>
      </c>
      <c r="AK556" s="18">
        <v>6</v>
      </c>
      <c r="AL556" s="18">
        <v>6.82</v>
      </c>
      <c r="AM556" s="18">
        <v>1</v>
      </c>
      <c r="AN556" s="18">
        <v>40.94</v>
      </c>
      <c r="AO556" s="18">
        <v>0.00847</v>
      </c>
      <c r="AP556" s="18">
        <v>8.19</v>
      </c>
      <c r="AQ556" s="18">
        <v>0</v>
      </c>
      <c r="AR556" s="18">
        <v>0</v>
      </c>
      <c r="AS556" s="18">
        <v>0</v>
      </c>
      <c r="AT556" s="18">
        <v>1</v>
      </c>
      <c r="AU556" s="18">
        <v>0</v>
      </c>
      <c r="AV556" s="18">
        <v>0</v>
      </c>
      <c r="AW556" s="18">
        <v>0</v>
      </c>
      <c r="AX556" s="18">
        <v>0</v>
      </c>
      <c r="AY556" s="18">
        <v>259</v>
      </c>
      <c r="AZ556" s="18">
        <v>113</v>
      </c>
      <c r="BA556" s="18">
        <v>80</v>
      </c>
      <c r="BB556" s="18">
        <v>0.70796</v>
      </c>
      <c r="BC556" s="18">
        <v>0</v>
      </c>
      <c r="BD556" s="18">
        <v>0</v>
      </c>
      <c r="BE556" s="18">
        <v>0.1858</v>
      </c>
      <c r="BF556" s="18">
        <v>82</v>
      </c>
      <c r="BG556" s="18">
        <v>2</v>
      </c>
      <c r="BH556" s="18">
        <v>0</v>
      </c>
      <c r="BI556" s="18"/>
      <c r="BJ556" s="18">
        <v>0</v>
      </c>
      <c r="BK556" s="18">
        <v>0</v>
      </c>
      <c r="BL556" s="18">
        <v>0</v>
      </c>
      <c r="BM556" s="18">
        <v>0</v>
      </c>
      <c r="BN556" s="18"/>
      <c r="BO556" s="18"/>
      <c r="BP556" s="18">
        <v>105.69</v>
      </c>
      <c r="BQ556" s="18">
        <v>318</v>
      </c>
      <c r="BR556" s="18">
        <v>0</v>
      </c>
      <c r="BS556" s="18">
        <v>0</v>
      </c>
      <c r="BT556" s="18">
        <v>0</v>
      </c>
      <c r="BU556" s="18">
        <v>0</v>
      </c>
    </row>
    <row r="557" spans="1:73">
      <c r="A557" s="19">
        <v>46157</v>
      </c>
      <c r="B557" s="18">
        <v>183</v>
      </c>
      <c r="C557" s="18" t="s">
        <v>40</v>
      </c>
      <c r="D557" s="18">
        <v>183</v>
      </c>
      <c r="E557" s="18" t="s">
        <v>40</v>
      </c>
      <c r="F557" s="18">
        <v>998</v>
      </c>
      <c r="G557" s="18">
        <v>45</v>
      </c>
      <c r="H557" s="18">
        <v>100</v>
      </c>
      <c r="I557" s="18">
        <v>0.04509</v>
      </c>
      <c r="J557" s="18">
        <v>2.22</v>
      </c>
      <c r="K557" s="18">
        <v>100.2</v>
      </c>
      <c r="L557" s="18">
        <v>0</v>
      </c>
      <c r="M557" s="18">
        <v>0</v>
      </c>
      <c r="N557" s="18">
        <v>0</v>
      </c>
      <c r="O557" s="18">
        <v>0</v>
      </c>
      <c r="P557" s="18">
        <v>0</v>
      </c>
      <c r="Q557" s="18">
        <v>0</v>
      </c>
      <c r="R557" s="18">
        <v>82.12</v>
      </c>
      <c r="S557" s="18">
        <v>0</v>
      </c>
      <c r="T557" s="18">
        <v>82.12</v>
      </c>
      <c r="U557" s="18">
        <v>1</v>
      </c>
      <c r="V557" s="18">
        <v>1</v>
      </c>
      <c r="W557" s="18">
        <v>0</v>
      </c>
      <c r="X557" s="18">
        <v>0.02222</v>
      </c>
      <c r="Y557" s="18">
        <v>0.82</v>
      </c>
      <c r="Z557" s="18">
        <v>0.82</v>
      </c>
      <c r="AA557" s="18">
        <v>100</v>
      </c>
      <c r="AB557" s="18">
        <v>5</v>
      </c>
      <c r="AC557" s="18">
        <v>3</v>
      </c>
      <c r="AD557" s="18">
        <v>2</v>
      </c>
      <c r="AE557" s="18">
        <v>0.11111</v>
      </c>
      <c r="AF557" s="18">
        <v>0</v>
      </c>
      <c r="AG557" s="18">
        <v>0</v>
      </c>
      <c r="AH557" s="18"/>
      <c r="AI557" s="18">
        <v>5</v>
      </c>
      <c r="AJ557" s="18">
        <v>20</v>
      </c>
      <c r="AK557" s="18">
        <v>5</v>
      </c>
      <c r="AL557" s="18">
        <v>20</v>
      </c>
      <c r="AM557" s="18">
        <v>0</v>
      </c>
      <c r="AN557" s="18"/>
      <c r="AO557" s="18">
        <v>0</v>
      </c>
      <c r="AP557" s="18">
        <v>20</v>
      </c>
      <c r="AQ557" s="18">
        <v>1</v>
      </c>
      <c r="AR557" s="18">
        <v>99</v>
      </c>
      <c r="AS557" s="18">
        <v>0</v>
      </c>
      <c r="AT557" s="18">
        <v>0</v>
      </c>
      <c r="AU557" s="18">
        <v>0</v>
      </c>
      <c r="AV557" s="18">
        <v>0</v>
      </c>
      <c r="AW557" s="18">
        <v>0</v>
      </c>
      <c r="AX557" s="18">
        <v>0</v>
      </c>
      <c r="AY557" s="18">
        <v>258</v>
      </c>
      <c r="AZ557" s="18">
        <v>85</v>
      </c>
      <c r="BA557" s="18">
        <v>54</v>
      </c>
      <c r="BB557" s="18">
        <v>0.63529</v>
      </c>
      <c r="BC557" s="18">
        <v>0</v>
      </c>
      <c r="BD557" s="18">
        <v>0</v>
      </c>
      <c r="BE557" s="18">
        <v>0.25852</v>
      </c>
      <c r="BF557" s="18">
        <v>109</v>
      </c>
      <c r="BG557" s="18">
        <v>3</v>
      </c>
      <c r="BH557" s="18">
        <v>1</v>
      </c>
      <c r="BI557" s="18">
        <v>1</v>
      </c>
      <c r="BJ557" s="18">
        <v>0</v>
      </c>
      <c r="BK557" s="18">
        <v>0</v>
      </c>
      <c r="BL557" s="18">
        <v>0</v>
      </c>
      <c r="BM557" s="18">
        <v>1</v>
      </c>
      <c r="BN557" s="18">
        <v>1</v>
      </c>
      <c r="BO557" s="18">
        <v>82.12</v>
      </c>
      <c r="BP557" s="18">
        <v>0.03</v>
      </c>
      <c r="BQ557" s="18">
        <v>153</v>
      </c>
      <c r="BR557" s="18">
        <v>0</v>
      </c>
      <c r="BS557" s="18">
        <v>0</v>
      </c>
      <c r="BT557" s="18">
        <v>0</v>
      </c>
      <c r="BU557" s="18">
        <v>0</v>
      </c>
    </row>
    <row r="558" spans="1:73">
      <c r="A558" s="19">
        <v>46157</v>
      </c>
      <c r="B558" s="18">
        <v>436</v>
      </c>
      <c r="C558" s="18" t="s">
        <v>38</v>
      </c>
      <c r="D558" s="18">
        <v>436</v>
      </c>
      <c r="E558" s="18" t="s">
        <v>38</v>
      </c>
      <c r="F558" s="18">
        <v>475</v>
      </c>
      <c r="G558" s="18">
        <v>27</v>
      </c>
      <c r="H558" s="18">
        <v>40.47</v>
      </c>
      <c r="I558" s="18">
        <v>0.05684</v>
      </c>
      <c r="J558" s="18">
        <v>1.5</v>
      </c>
      <c r="K558" s="18">
        <v>85.2</v>
      </c>
      <c r="L558" s="18">
        <v>0</v>
      </c>
      <c r="M558" s="18">
        <v>0</v>
      </c>
      <c r="N558" s="18">
        <v>0</v>
      </c>
      <c r="O558" s="18">
        <v>0</v>
      </c>
      <c r="P558" s="18">
        <v>0</v>
      </c>
      <c r="Q558" s="18">
        <v>0</v>
      </c>
      <c r="R558" s="18">
        <v>0</v>
      </c>
      <c r="S558" s="18">
        <v>0</v>
      </c>
      <c r="T558" s="18">
        <v>0</v>
      </c>
      <c r="U558" s="18">
        <v>0</v>
      </c>
      <c r="V558" s="18">
        <v>0</v>
      </c>
      <c r="W558" s="18">
        <v>0</v>
      </c>
      <c r="X558" s="18">
        <v>0</v>
      </c>
      <c r="Y558" s="18">
        <v>0</v>
      </c>
      <c r="Z558" s="18">
        <v>0</v>
      </c>
      <c r="AA558" s="18"/>
      <c r="AB558" s="18">
        <v>3</v>
      </c>
      <c r="AC558" s="18">
        <v>0</v>
      </c>
      <c r="AD558" s="18">
        <v>3</v>
      </c>
      <c r="AE558" s="18">
        <v>0.11111</v>
      </c>
      <c r="AF558" s="18">
        <v>1</v>
      </c>
      <c r="AG558" s="18">
        <v>0</v>
      </c>
      <c r="AH558" s="18"/>
      <c r="AI558" s="18">
        <v>4</v>
      </c>
      <c r="AJ558" s="18">
        <v>10.12</v>
      </c>
      <c r="AK558" s="18">
        <v>4</v>
      </c>
      <c r="AL558" s="18">
        <v>10.12</v>
      </c>
      <c r="AM558" s="18">
        <v>1</v>
      </c>
      <c r="AN558" s="18">
        <v>40.47</v>
      </c>
      <c r="AO558" s="18">
        <v>0.03704</v>
      </c>
      <c r="AP558" s="18">
        <v>13.49</v>
      </c>
      <c r="AQ558" s="18">
        <v>0</v>
      </c>
      <c r="AR558" s="18">
        <v>0</v>
      </c>
      <c r="AS558" s="18">
        <v>1</v>
      </c>
      <c r="AT558" s="18">
        <v>0</v>
      </c>
      <c r="AU558" s="18">
        <v>0</v>
      </c>
      <c r="AV558" s="18">
        <v>0</v>
      </c>
      <c r="AW558" s="18">
        <v>0</v>
      </c>
      <c r="AX558" s="18">
        <v>0</v>
      </c>
      <c r="AY558" s="18">
        <v>104</v>
      </c>
      <c r="AZ558" s="18">
        <v>23</v>
      </c>
      <c r="BA558" s="18">
        <v>16</v>
      </c>
      <c r="BB558" s="18">
        <v>0.69565</v>
      </c>
      <c r="BC558" s="18">
        <v>0</v>
      </c>
      <c r="BD558" s="18">
        <v>0</v>
      </c>
      <c r="BE558" s="18">
        <v>0.21895</v>
      </c>
      <c r="BF558" s="18">
        <v>77</v>
      </c>
      <c r="BG558" s="18">
        <v>5</v>
      </c>
      <c r="BH558" s="18">
        <v>0</v>
      </c>
      <c r="BI558" s="18"/>
      <c r="BJ558" s="18">
        <v>0</v>
      </c>
      <c r="BK558" s="18">
        <v>0</v>
      </c>
      <c r="BL558" s="18">
        <v>0</v>
      </c>
      <c r="BM558" s="18">
        <v>0</v>
      </c>
      <c r="BN558" s="18"/>
      <c r="BO558" s="18"/>
      <c r="BP558" s="18">
        <v>86.57</v>
      </c>
      <c r="BQ558" s="18">
        <v>176</v>
      </c>
      <c r="BR558" s="18">
        <v>0</v>
      </c>
      <c r="BS558" s="18">
        <v>0</v>
      </c>
      <c r="BT558" s="18">
        <v>0</v>
      </c>
      <c r="BU558" s="18">
        <v>0</v>
      </c>
    </row>
    <row r="559" spans="1:73">
      <c r="A559" s="19">
        <v>46157</v>
      </c>
      <c r="B559" s="18">
        <v>371</v>
      </c>
      <c r="C559" s="18" t="s">
        <v>32</v>
      </c>
      <c r="D559" s="18">
        <v>371</v>
      </c>
      <c r="E559" s="18" t="s">
        <v>32</v>
      </c>
      <c r="F559" s="18">
        <v>2583</v>
      </c>
      <c r="G559" s="18">
        <v>88</v>
      </c>
      <c r="H559" s="18">
        <v>51.02</v>
      </c>
      <c r="I559" s="18">
        <v>0.03407</v>
      </c>
      <c r="J559" s="18">
        <v>0.58</v>
      </c>
      <c r="K559" s="18">
        <v>19.75</v>
      </c>
      <c r="L559" s="18">
        <v>0</v>
      </c>
      <c r="M559" s="18">
        <v>0</v>
      </c>
      <c r="N559" s="18">
        <v>0</v>
      </c>
      <c r="O559" s="18">
        <v>0</v>
      </c>
      <c r="P559" s="18">
        <v>0</v>
      </c>
      <c r="Q559" s="18">
        <v>0</v>
      </c>
      <c r="R559" s="18">
        <v>415.55</v>
      </c>
      <c r="S559" s="18">
        <v>0</v>
      </c>
      <c r="T559" s="18">
        <v>415.55</v>
      </c>
      <c r="U559" s="18">
        <v>2</v>
      </c>
      <c r="V559" s="18">
        <v>2</v>
      </c>
      <c r="W559" s="18">
        <v>0</v>
      </c>
      <c r="X559" s="18">
        <v>0.02273</v>
      </c>
      <c r="Y559" s="18">
        <v>8.14</v>
      </c>
      <c r="Z559" s="18">
        <v>8.14</v>
      </c>
      <c r="AA559" s="18">
        <v>25.51</v>
      </c>
      <c r="AB559" s="18">
        <v>5</v>
      </c>
      <c r="AC559" s="18">
        <v>3</v>
      </c>
      <c r="AD559" s="18">
        <v>2</v>
      </c>
      <c r="AE559" s="18">
        <v>0.05682</v>
      </c>
      <c r="AF559" s="18">
        <v>1</v>
      </c>
      <c r="AG559" s="18">
        <v>3</v>
      </c>
      <c r="AH559" s="18">
        <v>17.01</v>
      </c>
      <c r="AI559" s="18">
        <v>9</v>
      </c>
      <c r="AJ559" s="18">
        <v>5.67</v>
      </c>
      <c r="AK559" s="18">
        <v>6</v>
      </c>
      <c r="AL559" s="18">
        <v>8.5</v>
      </c>
      <c r="AM559" s="18">
        <v>4</v>
      </c>
      <c r="AN559" s="18">
        <v>51.02</v>
      </c>
      <c r="AO559" s="18">
        <v>0.01136</v>
      </c>
      <c r="AP559" s="18">
        <v>10.2</v>
      </c>
      <c r="AQ559" s="18">
        <v>5</v>
      </c>
      <c r="AR559" s="18">
        <v>936.8</v>
      </c>
      <c r="AS559" s="18">
        <v>1</v>
      </c>
      <c r="AT559" s="18">
        <v>0</v>
      </c>
      <c r="AU559" s="18">
        <v>0</v>
      </c>
      <c r="AV559" s="18">
        <v>0</v>
      </c>
      <c r="AW559" s="18">
        <v>0</v>
      </c>
      <c r="AX559" s="18">
        <v>1</v>
      </c>
      <c r="AY559" s="18">
        <v>187</v>
      </c>
      <c r="AZ559" s="18">
        <v>87</v>
      </c>
      <c r="BA559" s="18">
        <v>72</v>
      </c>
      <c r="BB559" s="18">
        <v>0.82759</v>
      </c>
      <c r="BC559" s="18">
        <v>0</v>
      </c>
      <c r="BD559" s="18">
        <v>0</v>
      </c>
      <c r="BE559" s="18">
        <v>0.0724</v>
      </c>
      <c r="BF559" s="18">
        <v>73</v>
      </c>
      <c r="BG559" s="18">
        <v>2</v>
      </c>
      <c r="BH559" s="18">
        <v>2</v>
      </c>
      <c r="BI559" s="18">
        <v>1</v>
      </c>
      <c r="BJ559" s="18">
        <v>0</v>
      </c>
      <c r="BK559" s="18">
        <v>0</v>
      </c>
      <c r="BL559" s="18">
        <v>0</v>
      </c>
      <c r="BM559" s="18">
        <v>2</v>
      </c>
      <c r="BN559" s="18">
        <v>1</v>
      </c>
      <c r="BO559" s="18">
        <v>207.78</v>
      </c>
      <c r="BP559" s="18">
        <v>0.04</v>
      </c>
      <c r="BQ559" s="18">
        <v>461</v>
      </c>
      <c r="BR559" s="18">
        <v>0</v>
      </c>
      <c r="BS559" s="18">
        <v>0</v>
      </c>
      <c r="BT559" s="18">
        <v>0</v>
      </c>
      <c r="BU559" s="18">
        <v>0</v>
      </c>
    </row>
    <row r="560" spans="1:73">
      <c r="A560" s="19">
        <v>46156</v>
      </c>
      <c r="B560" s="18">
        <v>479</v>
      </c>
      <c r="C560" s="18" t="s">
        <v>39</v>
      </c>
      <c r="D560" s="18">
        <v>479</v>
      </c>
      <c r="E560" s="18" t="s">
        <v>39</v>
      </c>
      <c r="F560" s="18">
        <v>42</v>
      </c>
      <c r="G560" s="18">
        <v>21</v>
      </c>
      <c r="H560" s="18">
        <v>12.6</v>
      </c>
      <c r="I560" s="18">
        <v>0.5</v>
      </c>
      <c r="J560" s="18">
        <v>0.6</v>
      </c>
      <c r="K560" s="18">
        <v>299.95</v>
      </c>
      <c r="L560" s="18">
        <v>0</v>
      </c>
      <c r="M560" s="18">
        <v>0</v>
      </c>
      <c r="N560" s="18">
        <v>0</v>
      </c>
      <c r="O560" s="18">
        <v>0</v>
      </c>
      <c r="P560" s="18">
        <v>0</v>
      </c>
      <c r="Q560" s="18">
        <v>0</v>
      </c>
      <c r="R560" s="18">
        <v>0</v>
      </c>
      <c r="S560" s="18">
        <v>338</v>
      </c>
      <c r="T560" s="18">
        <v>338</v>
      </c>
      <c r="U560" s="18">
        <v>1</v>
      </c>
      <c r="V560" s="18">
        <v>0</v>
      </c>
      <c r="W560" s="18">
        <v>1</v>
      </c>
      <c r="X560" s="18">
        <v>0.04762</v>
      </c>
      <c r="Y560" s="18">
        <v>26.83</v>
      </c>
      <c r="Z560" s="18">
        <v>26.83</v>
      </c>
      <c r="AA560" s="18">
        <v>12.6</v>
      </c>
      <c r="AB560" s="18">
        <v>1</v>
      </c>
      <c r="AC560" s="18">
        <v>0</v>
      </c>
      <c r="AD560" s="18">
        <v>1</v>
      </c>
      <c r="AE560" s="18">
        <v>0.04762</v>
      </c>
      <c r="AF560" s="18">
        <v>0</v>
      </c>
      <c r="AG560" s="18">
        <v>0</v>
      </c>
      <c r="AH560" s="18"/>
      <c r="AI560" s="18">
        <v>1</v>
      </c>
      <c r="AJ560" s="18">
        <v>12.6</v>
      </c>
      <c r="AK560" s="18">
        <v>1</v>
      </c>
      <c r="AL560" s="18">
        <v>12.6</v>
      </c>
      <c r="AM560" s="18">
        <v>0</v>
      </c>
      <c r="AN560" s="18"/>
      <c r="AO560" s="18">
        <v>0</v>
      </c>
      <c r="AP560" s="18">
        <v>12.6</v>
      </c>
      <c r="AQ560" s="18">
        <v>2</v>
      </c>
      <c r="AR560" s="18">
        <v>447.9</v>
      </c>
      <c r="AS560" s="18">
        <v>0</v>
      </c>
      <c r="AT560" s="18">
        <v>0</v>
      </c>
      <c r="AU560" s="18">
        <v>0</v>
      </c>
      <c r="AV560" s="18">
        <v>0</v>
      </c>
      <c r="AW560" s="18">
        <v>0</v>
      </c>
      <c r="AX560" s="18">
        <v>1</v>
      </c>
      <c r="AY560" s="18">
        <v>135</v>
      </c>
      <c r="AZ560" s="18">
        <v>19</v>
      </c>
      <c r="BA560" s="18">
        <v>13</v>
      </c>
      <c r="BB560" s="18">
        <v>0.68421</v>
      </c>
      <c r="BC560" s="18">
        <v>0</v>
      </c>
      <c r="BD560" s="18">
        <v>0</v>
      </c>
      <c r="BE560" s="18">
        <v>3.21429</v>
      </c>
      <c r="BF560" s="18">
        <v>112</v>
      </c>
      <c r="BG560" s="18">
        <v>7</v>
      </c>
      <c r="BH560" s="18">
        <v>1</v>
      </c>
      <c r="BI560" s="18">
        <v>1</v>
      </c>
      <c r="BJ560" s="18">
        <v>0</v>
      </c>
      <c r="BK560" s="18">
        <v>0</v>
      </c>
      <c r="BL560" s="18">
        <v>0</v>
      </c>
      <c r="BM560" s="18">
        <v>1</v>
      </c>
      <c r="BN560" s="18">
        <v>1</v>
      </c>
      <c r="BO560" s="18">
        <v>338</v>
      </c>
      <c r="BP560" s="18">
        <v>0</v>
      </c>
      <c r="BQ560" s="18">
        <v>75</v>
      </c>
      <c r="BR560" s="18">
        <v>0</v>
      </c>
      <c r="BS560" s="18">
        <v>0</v>
      </c>
      <c r="BT560" s="18">
        <v>0</v>
      </c>
      <c r="BU560" s="18">
        <v>0</v>
      </c>
    </row>
    <row r="561" spans="1:73">
      <c r="A561" s="19">
        <v>46156</v>
      </c>
      <c r="B561" s="18">
        <v>371</v>
      </c>
      <c r="C561" s="18" t="s">
        <v>32</v>
      </c>
      <c r="D561" s="18">
        <v>371</v>
      </c>
      <c r="E561" s="18" t="s">
        <v>32</v>
      </c>
      <c r="F561" s="18">
        <v>4579</v>
      </c>
      <c r="G561" s="18">
        <v>157</v>
      </c>
      <c r="H561" s="18">
        <v>89.71</v>
      </c>
      <c r="I561" s="18">
        <v>0.03429</v>
      </c>
      <c r="J561" s="18">
        <v>0.57</v>
      </c>
      <c r="K561" s="18">
        <v>19.59</v>
      </c>
      <c r="L561" s="18">
        <v>0</v>
      </c>
      <c r="M561" s="18">
        <v>0</v>
      </c>
      <c r="N561" s="18">
        <v>0</v>
      </c>
      <c r="O561" s="18">
        <v>0</v>
      </c>
      <c r="P561" s="18">
        <v>0</v>
      </c>
      <c r="Q561" s="18">
        <v>0</v>
      </c>
      <c r="R561" s="18">
        <v>278</v>
      </c>
      <c r="S561" s="18">
        <v>0</v>
      </c>
      <c r="T561" s="18">
        <v>278</v>
      </c>
      <c r="U561" s="18">
        <v>1</v>
      </c>
      <c r="V561" s="18">
        <v>1</v>
      </c>
      <c r="W561" s="18">
        <v>0</v>
      </c>
      <c r="X561" s="18">
        <v>0.00637</v>
      </c>
      <c r="Y561" s="18">
        <v>3.1</v>
      </c>
      <c r="Z561" s="18">
        <v>3.1</v>
      </c>
      <c r="AA561" s="18">
        <v>89.71</v>
      </c>
      <c r="AB561" s="18">
        <v>11</v>
      </c>
      <c r="AC561" s="18">
        <v>5</v>
      </c>
      <c r="AD561" s="18">
        <v>6</v>
      </c>
      <c r="AE561" s="18">
        <v>0.07006</v>
      </c>
      <c r="AF561" s="18">
        <v>1</v>
      </c>
      <c r="AG561" s="18">
        <v>1</v>
      </c>
      <c r="AH561" s="18">
        <v>89.71</v>
      </c>
      <c r="AI561" s="18">
        <v>13</v>
      </c>
      <c r="AJ561" s="18">
        <v>6.9</v>
      </c>
      <c r="AK561" s="18">
        <v>12</v>
      </c>
      <c r="AL561" s="18">
        <v>7.48</v>
      </c>
      <c r="AM561" s="18">
        <v>2</v>
      </c>
      <c r="AN561" s="18">
        <v>89.71</v>
      </c>
      <c r="AO561" s="18">
        <v>0.00637</v>
      </c>
      <c r="AP561" s="18">
        <v>8.16</v>
      </c>
      <c r="AQ561" s="18">
        <v>2</v>
      </c>
      <c r="AR561" s="18">
        <v>377.9</v>
      </c>
      <c r="AS561" s="18">
        <v>1</v>
      </c>
      <c r="AT561" s="18">
        <v>0</v>
      </c>
      <c r="AU561" s="18">
        <v>0</v>
      </c>
      <c r="AV561" s="18">
        <v>0</v>
      </c>
      <c r="AW561" s="18">
        <v>0</v>
      </c>
      <c r="AX561" s="18">
        <v>0</v>
      </c>
      <c r="AY561" s="18">
        <v>286</v>
      </c>
      <c r="AZ561" s="18">
        <v>138</v>
      </c>
      <c r="BA561" s="18">
        <v>122</v>
      </c>
      <c r="BB561" s="18">
        <v>0.88406</v>
      </c>
      <c r="BC561" s="18">
        <v>0</v>
      </c>
      <c r="BD561" s="18">
        <v>0</v>
      </c>
      <c r="BE561" s="18">
        <v>0.06246</v>
      </c>
      <c r="BF561" s="18">
        <v>118</v>
      </c>
      <c r="BG561" s="18">
        <v>2</v>
      </c>
      <c r="BH561" s="18">
        <v>1</v>
      </c>
      <c r="BI561" s="18">
        <v>1</v>
      </c>
      <c r="BJ561" s="18">
        <v>0</v>
      </c>
      <c r="BK561" s="18">
        <v>0</v>
      </c>
      <c r="BL561" s="18">
        <v>0</v>
      </c>
      <c r="BM561" s="18">
        <v>1</v>
      </c>
      <c r="BN561" s="18">
        <v>1</v>
      </c>
      <c r="BO561" s="18">
        <v>278</v>
      </c>
      <c r="BP561" s="18">
        <v>7.1</v>
      </c>
      <c r="BQ561" s="18">
        <v>770</v>
      </c>
      <c r="BR561" s="18">
        <v>14</v>
      </c>
      <c r="BS561" s="18">
        <v>278</v>
      </c>
      <c r="BT561" s="18">
        <v>1</v>
      </c>
      <c r="BU561" s="18">
        <v>1</v>
      </c>
    </row>
    <row r="562" spans="1:73">
      <c r="A562" s="19">
        <v>46156</v>
      </c>
      <c r="B562" s="18">
        <v>183</v>
      </c>
      <c r="C562" s="18" t="s">
        <v>40</v>
      </c>
      <c r="D562" s="18">
        <v>183</v>
      </c>
      <c r="E562" s="18" t="s">
        <v>40</v>
      </c>
      <c r="F562" s="18">
        <v>1409</v>
      </c>
      <c r="G562" s="18">
        <v>39</v>
      </c>
      <c r="H562" s="18">
        <v>100</v>
      </c>
      <c r="I562" s="18">
        <v>0.02768</v>
      </c>
      <c r="J562" s="18">
        <v>2.56</v>
      </c>
      <c r="K562" s="18">
        <v>70.97</v>
      </c>
      <c r="L562" s="18">
        <v>0</v>
      </c>
      <c r="M562" s="18">
        <v>0</v>
      </c>
      <c r="N562" s="18">
        <v>0</v>
      </c>
      <c r="O562" s="18">
        <v>0</v>
      </c>
      <c r="P562" s="18">
        <v>0</v>
      </c>
      <c r="Q562" s="18">
        <v>0</v>
      </c>
      <c r="R562" s="18">
        <v>0</v>
      </c>
      <c r="S562" s="18">
        <v>107.72</v>
      </c>
      <c r="T562" s="18">
        <v>107.72</v>
      </c>
      <c r="U562" s="18">
        <v>2</v>
      </c>
      <c r="V562" s="18">
        <v>0</v>
      </c>
      <c r="W562" s="18">
        <v>2</v>
      </c>
      <c r="X562" s="18">
        <v>0.05128</v>
      </c>
      <c r="Y562" s="18">
        <v>1.08</v>
      </c>
      <c r="Z562" s="18">
        <v>1.08</v>
      </c>
      <c r="AA562" s="18">
        <v>50</v>
      </c>
      <c r="AB562" s="18">
        <v>5</v>
      </c>
      <c r="AC562" s="18">
        <v>1</v>
      </c>
      <c r="AD562" s="18">
        <v>4</v>
      </c>
      <c r="AE562" s="18">
        <v>0.12821</v>
      </c>
      <c r="AF562" s="18">
        <v>0</v>
      </c>
      <c r="AG562" s="18">
        <v>2</v>
      </c>
      <c r="AH562" s="18">
        <v>50</v>
      </c>
      <c r="AI562" s="18">
        <v>7</v>
      </c>
      <c r="AJ562" s="18">
        <v>14.29</v>
      </c>
      <c r="AK562" s="18">
        <v>5</v>
      </c>
      <c r="AL562" s="18">
        <v>20</v>
      </c>
      <c r="AM562" s="18">
        <v>2</v>
      </c>
      <c r="AN562" s="18"/>
      <c r="AO562" s="18">
        <v>0</v>
      </c>
      <c r="AP562" s="18">
        <v>20</v>
      </c>
      <c r="AQ562" s="18">
        <v>3</v>
      </c>
      <c r="AR562" s="18">
        <v>179.7</v>
      </c>
      <c r="AS562" s="18">
        <v>0</v>
      </c>
      <c r="AT562" s="18">
        <v>0</v>
      </c>
      <c r="AU562" s="18">
        <v>0</v>
      </c>
      <c r="AV562" s="18">
        <v>0</v>
      </c>
      <c r="AW562" s="18">
        <v>0</v>
      </c>
      <c r="AX562" s="18">
        <v>0</v>
      </c>
      <c r="AY562" s="18">
        <v>231</v>
      </c>
      <c r="AZ562" s="18">
        <v>92</v>
      </c>
      <c r="BA562" s="18">
        <v>57</v>
      </c>
      <c r="BB562" s="18">
        <v>0.61957</v>
      </c>
      <c r="BC562" s="18">
        <v>0</v>
      </c>
      <c r="BD562" s="18">
        <v>0</v>
      </c>
      <c r="BE562" s="18">
        <v>0.16395</v>
      </c>
      <c r="BF562" s="18">
        <v>83</v>
      </c>
      <c r="BG562" s="18">
        <v>3</v>
      </c>
      <c r="BH562" s="18">
        <v>1</v>
      </c>
      <c r="BI562" s="18">
        <v>1</v>
      </c>
      <c r="BJ562" s="18">
        <v>0</v>
      </c>
      <c r="BK562" s="18">
        <v>0</v>
      </c>
      <c r="BL562" s="18">
        <v>0</v>
      </c>
      <c r="BM562" s="18">
        <v>1</v>
      </c>
      <c r="BN562" s="18">
        <v>2</v>
      </c>
      <c r="BO562" s="18">
        <v>107.72</v>
      </c>
      <c r="BP562" s="18">
        <v>0.63</v>
      </c>
      <c r="BQ562" s="18">
        <v>636</v>
      </c>
      <c r="BR562" s="18">
        <v>0</v>
      </c>
      <c r="BS562" s="18">
        <v>0</v>
      </c>
      <c r="BT562" s="18">
        <v>0</v>
      </c>
      <c r="BU562" s="18">
        <v>0</v>
      </c>
    </row>
    <row r="563" spans="1:73">
      <c r="A563" s="19">
        <v>46156</v>
      </c>
      <c r="B563" s="18">
        <v>372</v>
      </c>
      <c r="C563" s="18" t="s">
        <v>37</v>
      </c>
      <c r="D563" s="18">
        <v>372</v>
      </c>
      <c r="E563" s="18" t="s">
        <v>61</v>
      </c>
      <c r="F563" s="18">
        <v>1716</v>
      </c>
      <c r="G563" s="18">
        <v>187</v>
      </c>
      <c r="H563" s="18">
        <v>69.85</v>
      </c>
      <c r="I563" s="18">
        <v>0.10897</v>
      </c>
      <c r="J563" s="18">
        <v>0.37</v>
      </c>
      <c r="K563" s="18">
        <v>40.71</v>
      </c>
      <c r="L563" s="18">
        <v>0</v>
      </c>
      <c r="M563" s="18">
        <v>0</v>
      </c>
      <c r="N563" s="18">
        <v>0</v>
      </c>
      <c r="O563" s="18">
        <v>0</v>
      </c>
      <c r="P563" s="18">
        <v>0</v>
      </c>
      <c r="Q563" s="18">
        <v>0</v>
      </c>
      <c r="R563" s="18">
        <v>0</v>
      </c>
      <c r="S563" s="18">
        <v>0</v>
      </c>
      <c r="T563" s="18">
        <v>0</v>
      </c>
      <c r="U563" s="18">
        <v>0</v>
      </c>
      <c r="V563" s="18">
        <v>0</v>
      </c>
      <c r="W563" s="18">
        <v>0</v>
      </c>
      <c r="X563" s="18">
        <v>0</v>
      </c>
      <c r="Y563" s="18">
        <v>0</v>
      </c>
      <c r="Z563" s="18">
        <v>0</v>
      </c>
      <c r="AA563" s="18"/>
      <c r="AB563" s="18">
        <v>2</v>
      </c>
      <c r="AC563" s="18">
        <v>1</v>
      </c>
      <c r="AD563" s="18">
        <v>1</v>
      </c>
      <c r="AE563" s="18">
        <v>0.0107</v>
      </c>
      <c r="AF563" s="18">
        <v>0</v>
      </c>
      <c r="AG563" s="18">
        <v>0</v>
      </c>
      <c r="AH563" s="18"/>
      <c r="AI563" s="18">
        <v>2</v>
      </c>
      <c r="AJ563" s="18">
        <v>34.93</v>
      </c>
      <c r="AK563" s="18">
        <v>2</v>
      </c>
      <c r="AL563" s="18">
        <v>34.93</v>
      </c>
      <c r="AM563" s="18">
        <v>0</v>
      </c>
      <c r="AN563" s="18"/>
      <c r="AO563" s="18">
        <v>0</v>
      </c>
      <c r="AP563" s="18">
        <v>34.93</v>
      </c>
      <c r="AQ563" s="18">
        <v>0</v>
      </c>
      <c r="AR563" s="18">
        <v>0</v>
      </c>
      <c r="AS563" s="18">
        <v>0</v>
      </c>
      <c r="AT563" s="18">
        <v>0</v>
      </c>
      <c r="AU563" s="18">
        <v>0</v>
      </c>
      <c r="AV563" s="18">
        <v>0</v>
      </c>
      <c r="AW563" s="18">
        <v>0</v>
      </c>
      <c r="AX563" s="18">
        <v>0</v>
      </c>
      <c r="AY563" s="18">
        <v>348</v>
      </c>
      <c r="AZ563" s="18">
        <v>169</v>
      </c>
      <c r="BA563" s="18">
        <v>127</v>
      </c>
      <c r="BB563" s="18">
        <v>0.75148</v>
      </c>
      <c r="BC563" s="18">
        <v>0</v>
      </c>
      <c r="BD563" s="18">
        <v>0</v>
      </c>
      <c r="BE563" s="18">
        <v>0.2028</v>
      </c>
      <c r="BF563" s="18">
        <v>111</v>
      </c>
      <c r="BG563" s="18">
        <v>2</v>
      </c>
      <c r="BH563" s="18">
        <v>0</v>
      </c>
      <c r="BI563" s="18"/>
      <c r="BJ563" s="18">
        <v>0</v>
      </c>
      <c r="BK563" s="18">
        <v>0</v>
      </c>
      <c r="BL563" s="18">
        <v>0</v>
      </c>
      <c r="BM563" s="18">
        <v>0</v>
      </c>
      <c r="BN563" s="18"/>
      <c r="BO563" s="18"/>
      <c r="BP563" s="18">
        <v>0</v>
      </c>
      <c r="BQ563" s="18">
        <v>146</v>
      </c>
      <c r="BR563" s="18">
        <v>0</v>
      </c>
      <c r="BS563" s="18">
        <v>0</v>
      </c>
      <c r="BT563" s="18">
        <v>0</v>
      </c>
      <c r="BU563" s="18">
        <v>0</v>
      </c>
    </row>
    <row r="564" spans="1:73">
      <c r="A564" s="19">
        <v>46156</v>
      </c>
      <c r="B564" s="18">
        <v>436</v>
      </c>
      <c r="C564" s="18" t="s">
        <v>38</v>
      </c>
      <c r="D564" s="18">
        <v>436</v>
      </c>
      <c r="E564" s="18" t="s">
        <v>38</v>
      </c>
      <c r="F564" s="18">
        <v>372</v>
      </c>
      <c r="G564" s="18">
        <v>23</v>
      </c>
      <c r="H564" s="18">
        <v>50</v>
      </c>
      <c r="I564" s="18">
        <v>0.06183</v>
      </c>
      <c r="J564" s="18">
        <v>2.17</v>
      </c>
      <c r="K564" s="18">
        <v>134.41</v>
      </c>
      <c r="L564" s="18">
        <v>0</v>
      </c>
      <c r="M564" s="18">
        <v>0</v>
      </c>
      <c r="N564" s="18">
        <v>0</v>
      </c>
      <c r="O564" s="18">
        <v>0</v>
      </c>
      <c r="P564" s="18">
        <v>0</v>
      </c>
      <c r="Q564" s="18">
        <v>0</v>
      </c>
      <c r="R564" s="18">
        <v>0</v>
      </c>
      <c r="S564" s="18">
        <v>0</v>
      </c>
      <c r="T564" s="18">
        <v>0</v>
      </c>
      <c r="U564" s="18">
        <v>0</v>
      </c>
      <c r="V564" s="18">
        <v>0</v>
      </c>
      <c r="W564" s="18">
        <v>0</v>
      </c>
      <c r="X564" s="18">
        <v>0</v>
      </c>
      <c r="Y564" s="18">
        <v>0</v>
      </c>
      <c r="Z564" s="18">
        <v>0</v>
      </c>
      <c r="AA564" s="18"/>
      <c r="AB564" s="18">
        <v>2</v>
      </c>
      <c r="AC564" s="18">
        <v>1</v>
      </c>
      <c r="AD564" s="18">
        <v>1</v>
      </c>
      <c r="AE564" s="18">
        <v>0.08696</v>
      </c>
      <c r="AF564" s="18">
        <v>0</v>
      </c>
      <c r="AG564" s="18">
        <v>0</v>
      </c>
      <c r="AH564" s="18"/>
      <c r="AI564" s="18">
        <v>2</v>
      </c>
      <c r="AJ564" s="18">
        <v>25</v>
      </c>
      <c r="AK564" s="18">
        <v>2</v>
      </c>
      <c r="AL564" s="18">
        <v>25</v>
      </c>
      <c r="AM564" s="18">
        <v>0</v>
      </c>
      <c r="AN564" s="18"/>
      <c r="AO564" s="18">
        <v>0</v>
      </c>
      <c r="AP564" s="18">
        <v>25</v>
      </c>
      <c r="AQ564" s="18">
        <v>0</v>
      </c>
      <c r="AR564" s="18">
        <v>0</v>
      </c>
      <c r="AS564" s="18">
        <v>0</v>
      </c>
      <c r="AT564" s="18">
        <v>0</v>
      </c>
      <c r="AU564" s="18">
        <v>0</v>
      </c>
      <c r="AV564" s="18">
        <v>0</v>
      </c>
      <c r="AW564" s="18">
        <v>0</v>
      </c>
      <c r="AX564" s="18">
        <v>0</v>
      </c>
      <c r="AY564" s="18">
        <v>78</v>
      </c>
      <c r="AZ564" s="18">
        <v>19</v>
      </c>
      <c r="BA564" s="18">
        <v>10</v>
      </c>
      <c r="BB564" s="18">
        <v>0.52632</v>
      </c>
      <c r="BC564" s="18">
        <v>0</v>
      </c>
      <c r="BD564" s="18">
        <v>0</v>
      </c>
      <c r="BE564" s="18">
        <v>0.20968</v>
      </c>
      <c r="BF564" s="18">
        <v>55</v>
      </c>
      <c r="BG564" s="18">
        <v>4</v>
      </c>
      <c r="BH564" s="18">
        <v>0</v>
      </c>
      <c r="BI564" s="18"/>
      <c r="BJ564" s="18">
        <v>0</v>
      </c>
      <c r="BK564" s="18">
        <v>0</v>
      </c>
      <c r="BL564" s="18">
        <v>0</v>
      </c>
      <c r="BM564" s="18">
        <v>0</v>
      </c>
      <c r="BN564" s="18"/>
      <c r="BO564" s="18"/>
      <c r="BP564" s="18">
        <v>0</v>
      </c>
      <c r="BQ564" s="18">
        <v>52</v>
      </c>
      <c r="BR564" s="18">
        <v>0</v>
      </c>
      <c r="BS564" s="18">
        <v>0</v>
      </c>
      <c r="BT564" s="18">
        <v>0</v>
      </c>
      <c r="BU564" s="18">
        <v>0</v>
      </c>
    </row>
    <row r="565" spans="1:73">
      <c r="A565" s="19">
        <v>46155</v>
      </c>
      <c r="B565" s="18">
        <v>372</v>
      </c>
      <c r="C565" s="18" t="s">
        <v>37</v>
      </c>
      <c r="D565" s="18">
        <v>372</v>
      </c>
      <c r="E565" s="18" t="s">
        <v>61</v>
      </c>
      <c r="F565" s="18">
        <v>1464</v>
      </c>
      <c r="G565" s="18">
        <v>154</v>
      </c>
      <c r="H565" s="18">
        <v>50.35</v>
      </c>
      <c r="I565" s="18">
        <v>0.10519</v>
      </c>
      <c r="J565" s="18">
        <v>0.33</v>
      </c>
      <c r="K565" s="18">
        <v>34.39</v>
      </c>
      <c r="L565" s="18">
        <v>0</v>
      </c>
      <c r="M565" s="18">
        <v>0</v>
      </c>
      <c r="N565" s="18">
        <v>0</v>
      </c>
      <c r="O565" s="18">
        <v>0</v>
      </c>
      <c r="P565" s="18">
        <v>0</v>
      </c>
      <c r="Q565" s="18">
        <v>0</v>
      </c>
      <c r="R565" s="18">
        <v>0</v>
      </c>
      <c r="S565" s="18">
        <v>0</v>
      </c>
      <c r="T565" s="18">
        <v>0</v>
      </c>
      <c r="U565" s="18">
        <v>0</v>
      </c>
      <c r="V565" s="18">
        <v>0</v>
      </c>
      <c r="W565" s="18">
        <v>0</v>
      </c>
      <c r="X565" s="18">
        <v>0</v>
      </c>
      <c r="Y565" s="18">
        <v>0</v>
      </c>
      <c r="Z565" s="18">
        <v>0</v>
      </c>
      <c r="AA565" s="18"/>
      <c r="AB565" s="18">
        <v>3</v>
      </c>
      <c r="AC565" s="18">
        <v>3</v>
      </c>
      <c r="AD565" s="18">
        <v>0</v>
      </c>
      <c r="AE565" s="18">
        <v>0.01948</v>
      </c>
      <c r="AF565" s="18">
        <v>1</v>
      </c>
      <c r="AG565" s="18">
        <v>0</v>
      </c>
      <c r="AH565" s="18"/>
      <c r="AI565" s="18">
        <v>4</v>
      </c>
      <c r="AJ565" s="18">
        <v>12.59</v>
      </c>
      <c r="AK565" s="18">
        <v>4</v>
      </c>
      <c r="AL565" s="18">
        <v>12.59</v>
      </c>
      <c r="AM565" s="18">
        <v>1</v>
      </c>
      <c r="AN565" s="18">
        <v>50.35</v>
      </c>
      <c r="AO565" s="18">
        <v>0.00649</v>
      </c>
      <c r="AP565" s="18">
        <v>16.78</v>
      </c>
      <c r="AQ565" s="18">
        <v>0</v>
      </c>
      <c r="AR565" s="18">
        <v>0</v>
      </c>
      <c r="AS565" s="18">
        <v>0</v>
      </c>
      <c r="AT565" s="18">
        <v>1</v>
      </c>
      <c r="AU565" s="18">
        <v>0</v>
      </c>
      <c r="AV565" s="18">
        <v>0</v>
      </c>
      <c r="AW565" s="18">
        <v>0</v>
      </c>
      <c r="AX565" s="18">
        <v>0</v>
      </c>
      <c r="AY565" s="18">
        <v>392</v>
      </c>
      <c r="AZ565" s="18">
        <v>149</v>
      </c>
      <c r="BA565" s="18">
        <v>116</v>
      </c>
      <c r="BB565" s="18">
        <v>0.77852</v>
      </c>
      <c r="BC565" s="18">
        <v>0</v>
      </c>
      <c r="BD565" s="18">
        <v>0</v>
      </c>
      <c r="BE565" s="18">
        <v>0.26776</v>
      </c>
      <c r="BF565" s="18">
        <v>184</v>
      </c>
      <c r="BG565" s="18">
        <v>3</v>
      </c>
      <c r="BH565" s="18">
        <v>0</v>
      </c>
      <c r="BI565" s="18"/>
      <c r="BJ565" s="18">
        <v>0</v>
      </c>
      <c r="BK565" s="18">
        <v>0</v>
      </c>
      <c r="BL565" s="18">
        <v>0</v>
      </c>
      <c r="BM565" s="18">
        <v>0</v>
      </c>
      <c r="BN565" s="18"/>
      <c r="BO565" s="18"/>
      <c r="BP565" s="18">
        <v>0</v>
      </c>
      <c r="BQ565" s="18">
        <v>202</v>
      </c>
      <c r="BR565" s="18">
        <v>0</v>
      </c>
      <c r="BS565" s="18">
        <v>0</v>
      </c>
      <c r="BT565" s="18">
        <v>0</v>
      </c>
      <c r="BU565" s="18">
        <v>0</v>
      </c>
    </row>
    <row r="566" spans="1:73">
      <c r="A566" s="19">
        <v>46155</v>
      </c>
      <c r="B566" s="18">
        <v>183</v>
      </c>
      <c r="C566" s="18" t="s">
        <v>40</v>
      </c>
      <c r="D566" s="18">
        <v>183</v>
      </c>
      <c r="E566" s="18" t="s">
        <v>40</v>
      </c>
      <c r="F566" s="18">
        <v>1591</v>
      </c>
      <c r="G566" s="18">
        <v>47</v>
      </c>
      <c r="H566" s="18">
        <v>100</v>
      </c>
      <c r="I566" s="18">
        <v>0.02954</v>
      </c>
      <c r="J566" s="18">
        <v>2.13</v>
      </c>
      <c r="K566" s="18">
        <v>62.85</v>
      </c>
      <c r="L566" s="18">
        <v>0</v>
      </c>
      <c r="M566" s="18">
        <v>0</v>
      </c>
      <c r="N566" s="18">
        <v>0</v>
      </c>
      <c r="O566" s="18">
        <v>0</v>
      </c>
      <c r="P566" s="18">
        <v>0</v>
      </c>
      <c r="Q566" s="18">
        <v>0</v>
      </c>
      <c r="R566" s="18">
        <v>0</v>
      </c>
      <c r="S566" s="18">
        <v>630.02</v>
      </c>
      <c r="T566" s="18">
        <v>630.02</v>
      </c>
      <c r="U566" s="18">
        <v>3</v>
      </c>
      <c r="V566" s="18">
        <v>0</v>
      </c>
      <c r="W566" s="18">
        <v>3</v>
      </c>
      <c r="X566" s="18">
        <v>0.06383</v>
      </c>
      <c r="Y566" s="18">
        <v>6.3</v>
      </c>
      <c r="Z566" s="18">
        <v>6.3</v>
      </c>
      <c r="AA566" s="18">
        <v>33.33</v>
      </c>
      <c r="AB566" s="18">
        <v>7</v>
      </c>
      <c r="AC566" s="18">
        <v>4</v>
      </c>
      <c r="AD566" s="18">
        <v>3</v>
      </c>
      <c r="AE566" s="18">
        <v>0.14894</v>
      </c>
      <c r="AF566" s="18">
        <v>0</v>
      </c>
      <c r="AG566" s="18">
        <v>2</v>
      </c>
      <c r="AH566" s="18">
        <v>50</v>
      </c>
      <c r="AI566" s="18">
        <v>9</v>
      </c>
      <c r="AJ566" s="18">
        <v>11.11</v>
      </c>
      <c r="AK566" s="18">
        <v>7</v>
      </c>
      <c r="AL566" s="18">
        <v>14.29</v>
      </c>
      <c r="AM566" s="18">
        <v>2</v>
      </c>
      <c r="AN566" s="18"/>
      <c r="AO566" s="18">
        <v>0</v>
      </c>
      <c r="AP566" s="18">
        <v>14.29</v>
      </c>
      <c r="AQ566" s="18">
        <v>4</v>
      </c>
      <c r="AR566" s="18">
        <v>1283</v>
      </c>
      <c r="AS566" s="18">
        <v>0</v>
      </c>
      <c r="AT566" s="18">
        <v>0</v>
      </c>
      <c r="AU566" s="18">
        <v>0</v>
      </c>
      <c r="AV566" s="18">
        <v>0</v>
      </c>
      <c r="AW566" s="18">
        <v>0</v>
      </c>
      <c r="AX566" s="18">
        <v>0</v>
      </c>
      <c r="AY566" s="18">
        <v>268</v>
      </c>
      <c r="AZ566" s="18">
        <v>94</v>
      </c>
      <c r="BA566" s="18">
        <v>58</v>
      </c>
      <c r="BB566" s="18">
        <v>0.61702</v>
      </c>
      <c r="BC566" s="18">
        <v>0</v>
      </c>
      <c r="BD566" s="18">
        <v>0</v>
      </c>
      <c r="BE566" s="18">
        <v>0.16845</v>
      </c>
      <c r="BF566" s="18">
        <v>139</v>
      </c>
      <c r="BG566" s="18">
        <v>3</v>
      </c>
      <c r="BH566" s="18">
        <v>2</v>
      </c>
      <c r="BI566" s="18">
        <v>1</v>
      </c>
      <c r="BJ566" s="18">
        <v>0</v>
      </c>
      <c r="BK566" s="18">
        <v>0</v>
      </c>
      <c r="BL566" s="18">
        <v>0</v>
      </c>
      <c r="BM566" s="18">
        <v>2</v>
      </c>
      <c r="BN566" s="18">
        <v>2</v>
      </c>
      <c r="BO566" s="18">
        <v>315.01</v>
      </c>
      <c r="BP566" s="18">
        <v>6.01</v>
      </c>
      <c r="BQ566" s="18">
        <v>532</v>
      </c>
      <c r="BR566" s="18">
        <v>0</v>
      </c>
      <c r="BS566" s="18">
        <v>0</v>
      </c>
      <c r="BT566" s="18">
        <v>0</v>
      </c>
      <c r="BU566" s="18">
        <v>0</v>
      </c>
    </row>
    <row r="567" spans="1:73">
      <c r="A567" s="19">
        <v>46155</v>
      </c>
      <c r="B567" s="18">
        <v>479</v>
      </c>
      <c r="C567" s="18" t="s">
        <v>39</v>
      </c>
      <c r="D567" s="18">
        <v>479</v>
      </c>
      <c r="E567" s="18" t="s">
        <v>39</v>
      </c>
      <c r="F567" s="18">
        <v>39</v>
      </c>
      <c r="G567" s="18">
        <v>19</v>
      </c>
      <c r="H567" s="18">
        <v>11.15</v>
      </c>
      <c r="I567" s="18">
        <v>0.48718</v>
      </c>
      <c r="J567" s="18">
        <v>0.59</v>
      </c>
      <c r="K567" s="18">
        <v>285.97</v>
      </c>
      <c r="L567" s="18">
        <v>0</v>
      </c>
      <c r="M567" s="18">
        <v>0</v>
      </c>
      <c r="N567" s="18">
        <v>0</v>
      </c>
      <c r="O567" s="18">
        <v>0</v>
      </c>
      <c r="P567" s="18">
        <v>0</v>
      </c>
      <c r="Q567" s="18">
        <v>0</v>
      </c>
      <c r="R567" s="18">
        <v>0</v>
      </c>
      <c r="S567" s="18">
        <v>42.4</v>
      </c>
      <c r="T567" s="18">
        <v>42.4</v>
      </c>
      <c r="U567" s="18">
        <v>1</v>
      </c>
      <c r="V567" s="18">
        <v>0</v>
      </c>
      <c r="W567" s="18">
        <v>1</v>
      </c>
      <c r="X567" s="18">
        <v>0.05263</v>
      </c>
      <c r="Y567" s="18">
        <v>3.8</v>
      </c>
      <c r="Z567" s="18">
        <v>3.8</v>
      </c>
      <c r="AA567" s="18">
        <v>11.15</v>
      </c>
      <c r="AB567" s="18">
        <v>7</v>
      </c>
      <c r="AC567" s="18">
        <v>0</v>
      </c>
      <c r="AD567" s="18">
        <v>7</v>
      </c>
      <c r="AE567" s="18">
        <v>0.36842</v>
      </c>
      <c r="AF567" s="18">
        <v>0</v>
      </c>
      <c r="AG567" s="18">
        <v>0</v>
      </c>
      <c r="AH567" s="18"/>
      <c r="AI567" s="18">
        <v>7</v>
      </c>
      <c r="AJ567" s="18">
        <v>1.59</v>
      </c>
      <c r="AK567" s="18">
        <v>7</v>
      </c>
      <c r="AL567" s="18">
        <v>1.59</v>
      </c>
      <c r="AM567" s="18">
        <v>0</v>
      </c>
      <c r="AN567" s="18"/>
      <c r="AO567" s="18">
        <v>0</v>
      </c>
      <c r="AP567" s="18">
        <v>1.59</v>
      </c>
      <c r="AQ567" s="18">
        <v>1</v>
      </c>
      <c r="AR567" s="18">
        <v>49.9</v>
      </c>
      <c r="AS567" s="18">
        <v>0</v>
      </c>
      <c r="AT567" s="18">
        <v>0</v>
      </c>
      <c r="AU567" s="18">
        <v>0</v>
      </c>
      <c r="AV567" s="18">
        <v>0</v>
      </c>
      <c r="AW567" s="18">
        <v>0</v>
      </c>
      <c r="AX567" s="18">
        <v>1</v>
      </c>
      <c r="AY567" s="18">
        <v>169</v>
      </c>
      <c r="AZ567" s="18">
        <v>15</v>
      </c>
      <c r="BA567" s="18">
        <v>8</v>
      </c>
      <c r="BB567" s="18">
        <v>0.53333</v>
      </c>
      <c r="BC567" s="18">
        <v>0</v>
      </c>
      <c r="BD567" s="18">
        <v>0</v>
      </c>
      <c r="BE567" s="18">
        <v>4.33333</v>
      </c>
      <c r="BF567" s="18">
        <v>145</v>
      </c>
      <c r="BG567" s="18">
        <v>11</v>
      </c>
      <c r="BH567" s="18">
        <v>1</v>
      </c>
      <c r="BI567" s="18">
        <v>1</v>
      </c>
      <c r="BJ567" s="18">
        <v>0</v>
      </c>
      <c r="BK567" s="18">
        <v>0</v>
      </c>
      <c r="BL567" s="18">
        <v>0</v>
      </c>
      <c r="BM567" s="18">
        <v>1</v>
      </c>
      <c r="BN567" s="18">
        <v>1</v>
      </c>
      <c r="BO567" s="18">
        <v>42.4</v>
      </c>
      <c r="BP567" s="18">
        <v>42.55</v>
      </c>
      <c r="BQ567" s="18">
        <v>208</v>
      </c>
      <c r="BR567" s="18">
        <v>0</v>
      </c>
      <c r="BS567" s="18">
        <v>0</v>
      </c>
      <c r="BT567" s="18">
        <v>0</v>
      </c>
      <c r="BU567" s="18">
        <v>0</v>
      </c>
    </row>
    <row r="568" spans="1:73">
      <c r="A568" s="19">
        <v>46155</v>
      </c>
      <c r="B568" s="18">
        <v>436</v>
      </c>
      <c r="C568" s="18" t="s">
        <v>38</v>
      </c>
      <c r="D568" s="18">
        <v>436</v>
      </c>
      <c r="E568" s="18" t="s">
        <v>38</v>
      </c>
      <c r="F568" s="18">
        <v>378</v>
      </c>
      <c r="G568" s="18">
        <v>20</v>
      </c>
      <c r="H568" s="18">
        <v>33.62</v>
      </c>
      <c r="I568" s="18">
        <v>0.05291</v>
      </c>
      <c r="J568" s="18">
        <v>1.68</v>
      </c>
      <c r="K568" s="18">
        <v>88.94</v>
      </c>
      <c r="L568" s="18">
        <v>0</v>
      </c>
      <c r="M568" s="18">
        <v>0</v>
      </c>
      <c r="N568" s="18">
        <v>0</v>
      </c>
      <c r="O568" s="18">
        <v>0</v>
      </c>
      <c r="P568" s="18">
        <v>0</v>
      </c>
      <c r="Q568" s="18">
        <v>0</v>
      </c>
      <c r="R568" s="18">
        <v>0</v>
      </c>
      <c r="S568" s="18">
        <v>0</v>
      </c>
      <c r="T568" s="18">
        <v>0</v>
      </c>
      <c r="U568" s="18">
        <v>0</v>
      </c>
      <c r="V568" s="18">
        <v>0</v>
      </c>
      <c r="W568" s="18">
        <v>0</v>
      </c>
      <c r="X568" s="18">
        <v>0</v>
      </c>
      <c r="Y568" s="18">
        <v>0</v>
      </c>
      <c r="Z568" s="18">
        <v>0</v>
      </c>
      <c r="AA568" s="18"/>
      <c r="AB568" s="18">
        <v>2</v>
      </c>
      <c r="AC568" s="18">
        <v>1</v>
      </c>
      <c r="AD568" s="18">
        <v>1</v>
      </c>
      <c r="AE568" s="18">
        <v>0.1</v>
      </c>
      <c r="AF568" s="18">
        <v>0</v>
      </c>
      <c r="AG568" s="18">
        <v>0</v>
      </c>
      <c r="AH568" s="18"/>
      <c r="AI568" s="18">
        <v>2</v>
      </c>
      <c r="AJ568" s="18">
        <v>16.81</v>
      </c>
      <c r="AK568" s="18">
        <v>2</v>
      </c>
      <c r="AL568" s="18">
        <v>16.81</v>
      </c>
      <c r="AM568" s="18">
        <v>0</v>
      </c>
      <c r="AN568" s="18"/>
      <c r="AO568" s="18">
        <v>0</v>
      </c>
      <c r="AP568" s="18">
        <v>16.81</v>
      </c>
      <c r="AQ568" s="18">
        <v>0</v>
      </c>
      <c r="AR568" s="18">
        <v>0</v>
      </c>
      <c r="AS568" s="18">
        <v>0</v>
      </c>
      <c r="AT568" s="18">
        <v>0</v>
      </c>
      <c r="AU568" s="18">
        <v>0</v>
      </c>
      <c r="AV568" s="18">
        <v>0</v>
      </c>
      <c r="AW568" s="18">
        <v>0</v>
      </c>
      <c r="AX568" s="18">
        <v>2</v>
      </c>
      <c r="AY568" s="18">
        <v>56</v>
      </c>
      <c r="AZ568" s="18">
        <v>17</v>
      </c>
      <c r="BA568" s="18">
        <v>12</v>
      </c>
      <c r="BB568" s="18">
        <v>0.70588</v>
      </c>
      <c r="BC568" s="18">
        <v>0</v>
      </c>
      <c r="BD568" s="18">
        <v>0</v>
      </c>
      <c r="BE568" s="18">
        <v>0.14815</v>
      </c>
      <c r="BF568" s="18">
        <v>34</v>
      </c>
      <c r="BG568" s="18">
        <v>3</v>
      </c>
      <c r="BH568" s="18">
        <v>0</v>
      </c>
      <c r="BI568" s="18"/>
      <c r="BJ568" s="18">
        <v>0</v>
      </c>
      <c r="BK568" s="18">
        <v>0</v>
      </c>
      <c r="BL568" s="18">
        <v>0</v>
      </c>
      <c r="BM568" s="18">
        <v>0</v>
      </c>
      <c r="BN568" s="18"/>
      <c r="BO568" s="18"/>
      <c r="BP568" s="18">
        <v>0</v>
      </c>
      <c r="BQ568" s="18">
        <v>54</v>
      </c>
      <c r="BR568" s="18">
        <v>0</v>
      </c>
      <c r="BS568" s="18">
        <v>0</v>
      </c>
      <c r="BT568" s="18">
        <v>0</v>
      </c>
      <c r="BU568" s="18">
        <v>0</v>
      </c>
    </row>
    <row r="569" spans="1:73">
      <c r="A569" s="19">
        <v>46155</v>
      </c>
      <c r="B569" s="18">
        <v>371</v>
      </c>
      <c r="C569" s="18" t="s">
        <v>32</v>
      </c>
      <c r="D569" s="18">
        <v>371</v>
      </c>
      <c r="E569" s="18" t="s">
        <v>32</v>
      </c>
      <c r="F569" s="18">
        <v>5894</v>
      </c>
      <c r="G569" s="18">
        <v>216</v>
      </c>
      <c r="H569" s="18">
        <v>145.79</v>
      </c>
      <c r="I569" s="18">
        <v>0.03665</v>
      </c>
      <c r="J569" s="18">
        <v>0.67</v>
      </c>
      <c r="K569" s="18">
        <v>24.74</v>
      </c>
      <c r="L569" s="18">
        <v>0</v>
      </c>
      <c r="M569" s="18">
        <v>0</v>
      </c>
      <c r="N569" s="18">
        <v>0</v>
      </c>
      <c r="O569" s="18">
        <v>0</v>
      </c>
      <c r="P569" s="18">
        <v>0</v>
      </c>
      <c r="Q569" s="18">
        <v>0</v>
      </c>
      <c r="R569" s="18">
        <v>29.6</v>
      </c>
      <c r="S569" s="18">
        <v>0</v>
      </c>
      <c r="T569" s="18">
        <v>29.6</v>
      </c>
      <c r="U569" s="18">
        <v>1</v>
      </c>
      <c r="V569" s="18">
        <v>1</v>
      </c>
      <c r="W569" s="18">
        <v>0</v>
      </c>
      <c r="X569" s="18">
        <v>0.00463</v>
      </c>
      <c r="Y569" s="18">
        <v>0.2</v>
      </c>
      <c r="Z569" s="18">
        <v>0.2</v>
      </c>
      <c r="AA569" s="18">
        <v>145.79</v>
      </c>
      <c r="AB569" s="18">
        <v>5</v>
      </c>
      <c r="AC569" s="18">
        <v>5</v>
      </c>
      <c r="AD569" s="18">
        <v>0</v>
      </c>
      <c r="AE569" s="18">
        <v>0.02315</v>
      </c>
      <c r="AF569" s="18">
        <v>3</v>
      </c>
      <c r="AG569" s="18">
        <v>1</v>
      </c>
      <c r="AH569" s="18">
        <v>145.79</v>
      </c>
      <c r="AI569" s="18">
        <v>9</v>
      </c>
      <c r="AJ569" s="18">
        <v>16.2</v>
      </c>
      <c r="AK569" s="18">
        <v>8</v>
      </c>
      <c r="AL569" s="18">
        <v>18.22</v>
      </c>
      <c r="AM569" s="18">
        <v>4</v>
      </c>
      <c r="AN569" s="18">
        <v>48.6</v>
      </c>
      <c r="AO569" s="18">
        <v>0.01389</v>
      </c>
      <c r="AP569" s="18">
        <v>29.16</v>
      </c>
      <c r="AQ569" s="18">
        <v>1</v>
      </c>
      <c r="AR569" s="18">
        <v>79.9</v>
      </c>
      <c r="AS569" s="18">
        <v>3</v>
      </c>
      <c r="AT569" s="18">
        <v>0</v>
      </c>
      <c r="AU569" s="18">
        <v>0</v>
      </c>
      <c r="AV569" s="18">
        <v>0</v>
      </c>
      <c r="AW569" s="18">
        <v>0</v>
      </c>
      <c r="AX569" s="18">
        <v>2</v>
      </c>
      <c r="AY569" s="18">
        <v>395</v>
      </c>
      <c r="AZ569" s="18">
        <v>195</v>
      </c>
      <c r="BA569" s="18">
        <v>177</v>
      </c>
      <c r="BB569" s="18">
        <v>0.90769</v>
      </c>
      <c r="BC569" s="18">
        <v>0</v>
      </c>
      <c r="BD569" s="18">
        <v>0</v>
      </c>
      <c r="BE569" s="18">
        <v>0.06702</v>
      </c>
      <c r="BF569" s="18">
        <v>160</v>
      </c>
      <c r="BG569" s="18">
        <v>2</v>
      </c>
      <c r="BH569" s="18">
        <v>1</v>
      </c>
      <c r="BI569" s="18">
        <v>1</v>
      </c>
      <c r="BJ569" s="18">
        <v>0</v>
      </c>
      <c r="BK569" s="18">
        <v>0</v>
      </c>
      <c r="BL569" s="18">
        <v>0</v>
      </c>
      <c r="BM569" s="18">
        <v>1</v>
      </c>
      <c r="BN569" s="18">
        <v>1</v>
      </c>
      <c r="BO569" s="18">
        <v>29.6</v>
      </c>
      <c r="BP569" s="18">
        <v>0.01</v>
      </c>
      <c r="BQ569" s="18">
        <v>581</v>
      </c>
      <c r="BR569" s="18">
        <v>0</v>
      </c>
      <c r="BS569" s="18">
        <v>0</v>
      </c>
      <c r="BT569" s="18">
        <v>0</v>
      </c>
      <c r="BU569" s="18">
        <v>0</v>
      </c>
    </row>
    <row r="570" spans="1:73">
      <c r="A570" s="19">
        <v>46154</v>
      </c>
      <c r="B570" s="18">
        <v>183</v>
      </c>
      <c r="C570" s="18" t="s">
        <v>40</v>
      </c>
      <c r="D570" s="18">
        <v>183</v>
      </c>
      <c r="E570" s="18" t="s">
        <v>40</v>
      </c>
      <c r="F570" s="18">
        <v>3739</v>
      </c>
      <c r="G570" s="18">
        <v>78</v>
      </c>
      <c r="H570" s="18">
        <v>127.7</v>
      </c>
      <c r="I570" s="18">
        <v>0.02086</v>
      </c>
      <c r="J570" s="18">
        <v>1.64</v>
      </c>
      <c r="K570" s="18">
        <v>34.15</v>
      </c>
      <c r="L570" s="18">
        <v>0</v>
      </c>
      <c r="M570" s="18">
        <v>0</v>
      </c>
      <c r="N570" s="18">
        <v>0</v>
      </c>
      <c r="O570" s="18">
        <v>0</v>
      </c>
      <c r="P570" s="18">
        <v>0</v>
      </c>
      <c r="Q570" s="18">
        <v>0</v>
      </c>
      <c r="R570" s="18">
        <v>0</v>
      </c>
      <c r="S570" s="18">
        <v>496.04</v>
      </c>
      <c r="T570" s="18">
        <v>496.04</v>
      </c>
      <c r="U570" s="18">
        <v>1</v>
      </c>
      <c r="V570" s="18">
        <v>0</v>
      </c>
      <c r="W570" s="18">
        <v>1</v>
      </c>
      <c r="X570" s="18">
        <v>0.01282</v>
      </c>
      <c r="Y570" s="18">
        <v>3.88</v>
      </c>
      <c r="Z570" s="18">
        <v>3.88</v>
      </c>
      <c r="AA570" s="18">
        <v>127.7</v>
      </c>
      <c r="AB570" s="18">
        <v>9</v>
      </c>
      <c r="AC570" s="18">
        <v>5</v>
      </c>
      <c r="AD570" s="18">
        <v>4</v>
      </c>
      <c r="AE570" s="18">
        <v>0.11538</v>
      </c>
      <c r="AF570" s="18">
        <v>0</v>
      </c>
      <c r="AG570" s="18">
        <v>1</v>
      </c>
      <c r="AH570" s="18">
        <v>127.7</v>
      </c>
      <c r="AI570" s="18">
        <v>10</v>
      </c>
      <c r="AJ570" s="18">
        <v>12.77</v>
      </c>
      <c r="AK570" s="18">
        <v>9</v>
      </c>
      <c r="AL570" s="18">
        <v>14.19</v>
      </c>
      <c r="AM570" s="18">
        <v>1</v>
      </c>
      <c r="AN570" s="18"/>
      <c r="AO570" s="18">
        <v>0</v>
      </c>
      <c r="AP570" s="18">
        <v>14.19</v>
      </c>
      <c r="AQ570" s="18">
        <v>2</v>
      </c>
      <c r="AR570" s="18">
        <v>1196</v>
      </c>
      <c r="AS570" s="18">
        <v>0</v>
      </c>
      <c r="AT570" s="18">
        <v>0</v>
      </c>
      <c r="AU570" s="18">
        <v>0</v>
      </c>
      <c r="AV570" s="18">
        <v>0</v>
      </c>
      <c r="AW570" s="18">
        <v>0</v>
      </c>
      <c r="AX570" s="18">
        <v>2</v>
      </c>
      <c r="AY570" s="18">
        <v>352</v>
      </c>
      <c r="AZ570" s="18">
        <v>120</v>
      </c>
      <c r="BA570" s="18">
        <v>74</v>
      </c>
      <c r="BB570" s="18">
        <v>0.61667</v>
      </c>
      <c r="BC570" s="18">
        <v>0</v>
      </c>
      <c r="BD570" s="18">
        <v>0</v>
      </c>
      <c r="BE570" s="18">
        <v>0.09414</v>
      </c>
      <c r="BF570" s="18">
        <v>136</v>
      </c>
      <c r="BG570" s="18">
        <v>3</v>
      </c>
      <c r="BH570" s="18">
        <v>1</v>
      </c>
      <c r="BI570" s="18">
        <v>1</v>
      </c>
      <c r="BJ570" s="18">
        <v>0</v>
      </c>
      <c r="BK570" s="18">
        <v>0</v>
      </c>
      <c r="BL570" s="18">
        <v>0</v>
      </c>
      <c r="BM570" s="18">
        <v>1</v>
      </c>
      <c r="BN570" s="18">
        <v>1</v>
      </c>
      <c r="BO570" s="18">
        <v>496.04</v>
      </c>
      <c r="BP570" s="18">
        <v>0</v>
      </c>
      <c r="BQ570" s="18">
        <v>308</v>
      </c>
      <c r="BR570" s="18">
        <v>0</v>
      </c>
      <c r="BS570" s="18">
        <v>0</v>
      </c>
      <c r="BT570" s="18">
        <v>0</v>
      </c>
      <c r="BU570" s="18">
        <v>0</v>
      </c>
    </row>
    <row r="571" spans="1:73">
      <c r="A571" s="19">
        <v>46154</v>
      </c>
      <c r="B571" s="18">
        <v>436</v>
      </c>
      <c r="C571" s="18" t="s">
        <v>38</v>
      </c>
      <c r="D571" s="18">
        <v>436</v>
      </c>
      <c r="E571" s="18" t="s">
        <v>38</v>
      </c>
      <c r="F571" s="18">
        <v>452</v>
      </c>
      <c r="G571" s="18">
        <v>32</v>
      </c>
      <c r="H571" s="18">
        <v>50</v>
      </c>
      <c r="I571" s="18">
        <v>0.0708</v>
      </c>
      <c r="J571" s="18">
        <v>1.56</v>
      </c>
      <c r="K571" s="18">
        <v>110.62</v>
      </c>
      <c r="L571" s="18">
        <v>0</v>
      </c>
      <c r="M571" s="18">
        <v>0</v>
      </c>
      <c r="N571" s="18">
        <v>0</v>
      </c>
      <c r="O571" s="18">
        <v>0</v>
      </c>
      <c r="P571" s="18">
        <v>0</v>
      </c>
      <c r="Q571" s="18">
        <v>0</v>
      </c>
      <c r="R571" s="18">
        <v>0</v>
      </c>
      <c r="S571" s="18">
        <v>0</v>
      </c>
      <c r="T571" s="18">
        <v>0</v>
      </c>
      <c r="U571" s="18">
        <v>0</v>
      </c>
      <c r="V571" s="18">
        <v>0</v>
      </c>
      <c r="W571" s="18">
        <v>0</v>
      </c>
      <c r="X571" s="18">
        <v>0</v>
      </c>
      <c r="Y571" s="18">
        <v>0</v>
      </c>
      <c r="Z571" s="18">
        <v>0</v>
      </c>
      <c r="AA571" s="18"/>
      <c r="AB571" s="18">
        <v>0</v>
      </c>
      <c r="AC571" s="18">
        <v>0</v>
      </c>
      <c r="AD571" s="18">
        <v>0</v>
      </c>
      <c r="AE571" s="18">
        <v>0</v>
      </c>
      <c r="AF571" s="18">
        <v>0</v>
      </c>
      <c r="AG571" s="18">
        <v>0</v>
      </c>
      <c r="AH571" s="18"/>
      <c r="AI571" s="18">
        <v>0</v>
      </c>
      <c r="AJ571" s="18"/>
      <c r="AK571" s="18">
        <v>0</v>
      </c>
      <c r="AL571" s="18"/>
      <c r="AM571" s="18">
        <v>0</v>
      </c>
      <c r="AN571" s="18"/>
      <c r="AO571" s="18">
        <v>0</v>
      </c>
      <c r="AP571" s="18"/>
      <c r="AQ571" s="18">
        <v>0</v>
      </c>
      <c r="AR571" s="18">
        <v>0</v>
      </c>
      <c r="AS571" s="18">
        <v>0</v>
      </c>
      <c r="AT571" s="18">
        <v>0</v>
      </c>
      <c r="AU571" s="18">
        <v>0</v>
      </c>
      <c r="AV571" s="18">
        <v>0</v>
      </c>
      <c r="AW571" s="18">
        <v>0</v>
      </c>
      <c r="AX571" s="18">
        <v>1</v>
      </c>
      <c r="AY571" s="18">
        <v>60</v>
      </c>
      <c r="AZ571" s="18">
        <v>27</v>
      </c>
      <c r="BA571" s="18">
        <v>15</v>
      </c>
      <c r="BB571" s="18">
        <v>0.55556</v>
      </c>
      <c r="BC571" s="18">
        <v>0</v>
      </c>
      <c r="BD571" s="18">
        <v>0</v>
      </c>
      <c r="BE571" s="18">
        <v>0.13274</v>
      </c>
      <c r="BF571" s="18">
        <v>25</v>
      </c>
      <c r="BG571" s="18">
        <v>2</v>
      </c>
      <c r="BH571" s="18">
        <v>0</v>
      </c>
      <c r="BI571" s="18"/>
      <c r="BJ571" s="18">
        <v>0</v>
      </c>
      <c r="BK571" s="18">
        <v>0</v>
      </c>
      <c r="BL571" s="18">
        <v>0</v>
      </c>
      <c r="BM571" s="18">
        <v>0</v>
      </c>
      <c r="BN571" s="18"/>
      <c r="BO571" s="18"/>
      <c r="BP571" s="18">
        <v>0</v>
      </c>
      <c r="BQ571" s="18">
        <v>37</v>
      </c>
      <c r="BR571" s="18">
        <v>0</v>
      </c>
      <c r="BS571" s="18">
        <v>0</v>
      </c>
      <c r="BT571" s="18">
        <v>0</v>
      </c>
      <c r="BU571" s="18">
        <v>0</v>
      </c>
    </row>
    <row r="572" spans="1:73">
      <c r="A572" s="19">
        <v>46154</v>
      </c>
      <c r="B572" s="18">
        <v>372</v>
      </c>
      <c r="C572" s="18" t="s">
        <v>37</v>
      </c>
      <c r="D572" s="18">
        <v>372</v>
      </c>
      <c r="E572" s="18" t="s">
        <v>61</v>
      </c>
      <c r="F572" s="18">
        <v>3430</v>
      </c>
      <c r="G572" s="18">
        <v>284</v>
      </c>
      <c r="H572" s="18">
        <v>95.11</v>
      </c>
      <c r="I572" s="18">
        <v>0.0828</v>
      </c>
      <c r="J572" s="18">
        <v>0.33</v>
      </c>
      <c r="K572" s="18">
        <v>27.73</v>
      </c>
      <c r="L572" s="18">
        <v>0</v>
      </c>
      <c r="M572" s="18">
        <v>0</v>
      </c>
      <c r="N572" s="18">
        <v>0</v>
      </c>
      <c r="O572" s="18">
        <v>0</v>
      </c>
      <c r="P572" s="18">
        <v>0</v>
      </c>
      <c r="Q572" s="18">
        <v>0</v>
      </c>
      <c r="R572" s="18">
        <v>0</v>
      </c>
      <c r="S572" s="18">
        <v>0</v>
      </c>
      <c r="T572" s="18">
        <v>0</v>
      </c>
      <c r="U572" s="18">
        <v>0</v>
      </c>
      <c r="V572" s="18">
        <v>0</v>
      </c>
      <c r="W572" s="18">
        <v>0</v>
      </c>
      <c r="X572" s="18">
        <v>0</v>
      </c>
      <c r="Y572" s="18">
        <v>0</v>
      </c>
      <c r="Z572" s="18">
        <v>0</v>
      </c>
      <c r="AA572" s="18"/>
      <c r="AB572" s="18">
        <v>10</v>
      </c>
      <c r="AC572" s="18">
        <v>6</v>
      </c>
      <c r="AD572" s="18">
        <v>4</v>
      </c>
      <c r="AE572" s="18">
        <v>0.03521</v>
      </c>
      <c r="AF572" s="18">
        <v>2</v>
      </c>
      <c r="AG572" s="18">
        <v>2</v>
      </c>
      <c r="AH572" s="18">
        <v>47.56</v>
      </c>
      <c r="AI572" s="18">
        <v>14</v>
      </c>
      <c r="AJ572" s="18">
        <v>6.79</v>
      </c>
      <c r="AK572" s="18">
        <v>12</v>
      </c>
      <c r="AL572" s="18">
        <v>7.93</v>
      </c>
      <c r="AM572" s="18">
        <v>4</v>
      </c>
      <c r="AN572" s="18">
        <v>47.56</v>
      </c>
      <c r="AO572" s="18">
        <v>0.00704</v>
      </c>
      <c r="AP572" s="18">
        <v>9.51</v>
      </c>
      <c r="AQ572" s="18">
        <v>0</v>
      </c>
      <c r="AR572" s="18">
        <v>0</v>
      </c>
      <c r="AS572" s="18">
        <v>2</v>
      </c>
      <c r="AT572" s="18">
        <v>0</v>
      </c>
      <c r="AU572" s="18">
        <v>0</v>
      </c>
      <c r="AV572" s="18">
        <v>0</v>
      </c>
      <c r="AW572" s="18">
        <v>0</v>
      </c>
      <c r="AX572" s="18">
        <v>0</v>
      </c>
      <c r="AY572" s="18">
        <v>505</v>
      </c>
      <c r="AZ572" s="18">
        <v>280</v>
      </c>
      <c r="BA572" s="18">
        <v>230</v>
      </c>
      <c r="BB572" s="18">
        <v>0.82143</v>
      </c>
      <c r="BC572" s="18">
        <v>0</v>
      </c>
      <c r="BD572" s="18">
        <v>0</v>
      </c>
      <c r="BE572" s="18">
        <v>0.14723</v>
      </c>
      <c r="BF572" s="18">
        <v>154</v>
      </c>
      <c r="BG572" s="18">
        <v>2</v>
      </c>
      <c r="BH572" s="18">
        <v>0</v>
      </c>
      <c r="BI572" s="18"/>
      <c r="BJ572" s="18">
        <v>0</v>
      </c>
      <c r="BK572" s="18">
        <v>0</v>
      </c>
      <c r="BL572" s="18">
        <v>0</v>
      </c>
      <c r="BM572" s="18">
        <v>0</v>
      </c>
      <c r="BN572" s="18"/>
      <c r="BO572" s="18"/>
      <c r="BP572" s="18">
        <v>0.01</v>
      </c>
      <c r="BQ572" s="18">
        <v>434</v>
      </c>
      <c r="BR572" s="18">
        <v>0</v>
      </c>
      <c r="BS572" s="18">
        <v>0</v>
      </c>
      <c r="BT572" s="18">
        <v>0</v>
      </c>
      <c r="BU572" s="18">
        <v>0</v>
      </c>
    </row>
    <row r="573" spans="1:73">
      <c r="A573" s="19">
        <v>46154</v>
      </c>
      <c r="B573" s="18">
        <v>371</v>
      </c>
      <c r="C573" s="18" t="s">
        <v>32</v>
      </c>
      <c r="D573" s="18">
        <v>371</v>
      </c>
      <c r="E573" s="18" t="s">
        <v>32</v>
      </c>
      <c r="F573" s="18">
        <v>6536</v>
      </c>
      <c r="G573" s="18">
        <v>211</v>
      </c>
      <c r="H573" s="18">
        <v>151.96</v>
      </c>
      <c r="I573" s="18">
        <v>0.03228</v>
      </c>
      <c r="J573" s="18">
        <v>0.72</v>
      </c>
      <c r="K573" s="18">
        <v>23.25</v>
      </c>
      <c r="L573" s="18">
        <v>0</v>
      </c>
      <c r="M573" s="18">
        <v>0</v>
      </c>
      <c r="N573" s="18">
        <v>0</v>
      </c>
      <c r="O573" s="18">
        <v>0</v>
      </c>
      <c r="P573" s="18">
        <v>0</v>
      </c>
      <c r="Q573" s="18">
        <v>0</v>
      </c>
      <c r="R573" s="18">
        <v>0</v>
      </c>
      <c r="S573" s="18">
        <v>42.4</v>
      </c>
      <c r="T573" s="18">
        <v>42.4</v>
      </c>
      <c r="U573" s="18">
        <v>1</v>
      </c>
      <c r="V573" s="18">
        <v>0</v>
      </c>
      <c r="W573" s="18">
        <v>1</v>
      </c>
      <c r="X573" s="18">
        <v>0.00474</v>
      </c>
      <c r="Y573" s="18">
        <v>0.28</v>
      </c>
      <c r="Z573" s="18">
        <v>0.28</v>
      </c>
      <c r="AA573" s="18">
        <v>151.96</v>
      </c>
      <c r="AB573" s="18">
        <v>11</v>
      </c>
      <c r="AC573" s="18">
        <v>8</v>
      </c>
      <c r="AD573" s="18">
        <v>3</v>
      </c>
      <c r="AE573" s="18">
        <v>0.05213</v>
      </c>
      <c r="AF573" s="18">
        <v>5</v>
      </c>
      <c r="AG573" s="18">
        <v>2</v>
      </c>
      <c r="AH573" s="18">
        <v>75.98</v>
      </c>
      <c r="AI573" s="18">
        <v>18</v>
      </c>
      <c r="AJ573" s="18">
        <v>8.44</v>
      </c>
      <c r="AK573" s="18">
        <v>16</v>
      </c>
      <c r="AL573" s="18">
        <v>9.5</v>
      </c>
      <c r="AM573" s="18">
        <v>7</v>
      </c>
      <c r="AN573" s="18">
        <v>30.39</v>
      </c>
      <c r="AO573" s="18">
        <v>0.0237</v>
      </c>
      <c r="AP573" s="18">
        <v>13.81</v>
      </c>
      <c r="AQ573" s="18">
        <v>1</v>
      </c>
      <c r="AR573" s="18">
        <v>49.9</v>
      </c>
      <c r="AS573" s="18">
        <v>2</v>
      </c>
      <c r="AT573" s="18">
        <v>3</v>
      </c>
      <c r="AU573" s="18">
        <v>0</v>
      </c>
      <c r="AV573" s="18">
        <v>0</v>
      </c>
      <c r="AW573" s="18">
        <v>0</v>
      </c>
      <c r="AX573" s="18">
        <v>1</v>
      </c>
      <c r="AY573" s="18">
        <v>451</v>
      </c>
      <c r="AZ573" s="18">
        <v>178</v>
      </c>
      <c r="BA573" s="18">
        <v>161</v>
      </c>
      <c r="BB573" s="18">
        <v>0.90449</v>
      </c>
      <c r="BC573" s="18">
        <v>0</v>
      </c>
      <c r="BD573" s="18">
        <v>0</v>
      </c>
      <c r="BE573" s="18">
        <v>0.069</v>
      </c>
      <c r="BF573" s="18">
        <v>229</v>
      </c>
      <c r="BG573" s="18">
        <v>3</v>
      </c>
      <c r="BH573" s="18">
        <v>1</v>
      </c>
      <c r="BI573" s="18">
        <v>1</v>
      </c>
      <c r="BJ573" s="18">
        <v>0</v>
      </c>
      <c r="BK573" s="18">
        <v>0</v>
      </c>
      <c r="BL573" s="18">
        <v>0</v>
      </c>
      <c r="BM573" s="18">
        <v>1</v>
      </c>
      <c r="BN573" s="18">
        <v>1</v>
      </c>
      <c r="BO573" s="18">
        <v>42.4</v>
      </c>
      <c r="BP573" s="18">
        <v>0</v>
      </c>
      <c r="BQ573" s="18">
        <v>631</v>
      </c>
      <c r="BR573" s="18">
        <v>0</v>
      </c>
      <c r="BS573" s="18">
        <v>0</v>
      </c>
      <c r="BT573" s="18">
        <v>0</v>
      </c>
      <c r="BU573" s="18">
        <v>0</v>
      </c>
    </row>
    <row r="574" spans="1:73">
      <c r="A574" s="19">
        <v>46154</v>
      </c>
      <c r="B574" s="18">
        <v>479</v>
      </c>
      <c r="C574" s="18" t="s">
        <v>39</v>
      </c>
      <c r="D574" s="18">
        <v>479</v>
      </c>
      <c r="E574" s="18" t="s">
        <v>39</v>
      </c>
      <c r="F574" s="18">
        <v>47</v>
      </c>
      <c r="G574" s="18">
        <v>21</v>
      </c>
      <c r="H574" s="18">
        <v>14.03</v>
      </c>
      <c r="I574" s="18">
        <v>0.44681</v>
      </c>
      <c r="J574" s="18">
        <v>0.67</v>
      </c>
      <c r="K574" s="18">
        <v>298.61</v>
      </c>
      <c r="L574" s="18">
        <v>0</v>
      </c>
      <c r="M574" s="18">
        <v>0</v>
      </c>
      <c r="N574" s="18">
        <v>0</v>
      </c>
      <c r="O574" s="18">
        <v>0</v>
      </c>
      <c r="P574" s="18">
        <v>0</v>
      </c>
      <c r="Q574" s="18">
        <v>0</v>
      </c>
      <c r="R574" s="18">
        <v>0</v>
      </c>
      <c r="S574" s="18">
        <v>0</v>
      </c>
      <c r="T574" s="18">
        <v>0</v>
      </c>
      <c r="U574" s="18">
        <v>0</v>
      </c>
      <c r="V574" s="18">
        <v>0</v>
      </c>
      <c r="W574" s="18">
        <v>0</v>
      </c>
      <c r="X574" s="18">
        <v>0</v>
      </c>
      <c r="Y574" s="18">
        <v>0</v>
      </c>
      <c r="Z574" s="18">
        <v>0</v>
      </c>
      <c r="AA574" s="18"/>
      <c r="AB574" s="18">
        <v>0</v>
      </c>
      <c r="AC574" s="18">
        <v>0</v>
      </c>
      <c r="AD574" s="18">
        <v>0</v>
      </c>
      <c r="AE574" s="18">
        <v>0</v>
      </c>
      <c r="AF574" s="18">
        <v>0</v>
      </c>
      <c r="AG574" s="18">
        <v>0</v>
      </c>
      <c r="AH574" s="18"/>
      <c r="AI574" s="18">
        <v>0</v>
      </c>
      <c r="AJ574" s="18"/>
      <c r="AK574" s="18">
        <v>0</v>
      </c>
      <c r="AL574" s="18"/>
      <c r="AM574" s="18">
        <v>0</v>
      </c>
      <c r="AN574" s="18"/>
      <c r="AO574" s="18">
        <v>0</v>
      </c>
      <c r="AP574" s="18"/>
      <c r="AQ574" s="18">
        <v>0</v>
      </c>
      <c r="AR574" s="18">
        <v>0</v>
      </c>
      <c r="AS574" s="18">
        <v>0</v>
      </c>
      <c r="AT574" s="18">
        <v>0</v>
      </c>
      <c r="AU574" s="18">
        <v>0</v>
      </c>
      <c r="AV574" s="18">
        <v>0</v>
      </c>
      <c r="AW574" s="18">
        <v>0</v>
      </c>
      <c r="AX574" s="18">
        <v>3</v>
      </c>
      <c r="AY574" s="18">
        <v>94</v>
      </c>
      <c r="AZ574" s="18">
        <v>18</v>
      </c>
      <c r="BA574" s="18">
        <v>11</v>
      </c>
      <c r="BB574" s="18">
        <v>0.61111</v>
      </c>
      <c r="BC574" s="18">
        <v>0</v>
      </c>
      <c r="BD574" s="18">
        <v>0</v>
      </c>
      <c r="BE574" s="18">
        <v>2</v>
      </c>
      <c r="BF574" s="18">
        <v>70</v>
      </c>
      <c r="BG574" s="18">
        <v>5</v>
      </c>
      <c r="BH574" s="18">
        <v>0</v>
      </c>
      <c r="BI574" s="18"/>
      <c r="BJ574" s="18">
        <v>0</v>
      </c>
      <c r="BK574" s="18">
        <v>0</v>
      </c>
      <c r="BL574" s="18">
        <v>0</v>
      </c>
      <c r="BM574" s="18">
        <v>0</v>
      </c>
      <c r="BN574" s="18"/>
      <c r="BO574" s="18"/>
      <c r="BP574" s="18">
        <v>0</v>
      </c>
      <c r="BQ574" s="18">
        <v>47</v>
      </c>
      <c r="BR574" s="18">
        <v>0</v>
      </c>
      <c r="BS574" s="18">
        <v>0</v>
      </c>
      <c r="BT574" s="18">
        <v>0</v>
      </c>
      <c r="BU574" s="18">
        <v>0</v>
      </c>
    </row>
    <row r="575" spans="1:73">
      <c r="A575" s="19">
        <v>46153</v>
      </c>
      <c r="B575" s="18">
        <v>372</v>
      </c>
      <c r="C575" s="18" t="s">
        <v>37</v>
      </c>
      <c r="D575" s="18">
        <v>372</v>
      </c>
      <c r="E575" s="18" t="s">
        <v>61</v>
      </c>
      <c r="F575" s="18">
        <v>3398</v>
      </c>
      <c r="G575" s="18">
        <v>306</v>
      </c>
      <c r="H575" s="18">
        <v>101.25</v>
      </c>
      <c r="I575" s="18">
        <v>0.09005</v>
      </c>
      <c r="J575" s="18">
        <v>0.33</v>
      </c>
      <c r="K575" s="18">
        <v>29.8</v>
      </c>
      <c r="L575" s="18">
        <v>0</v>
      </c>
      <c r="M575" s="18">
        <v>0</v>
      </c>
      <c r="N575" s="18">
        <v>0</v>
      </c>
      <c r="O575" s="18">
        <v>0</v>
      </c>
      <c r="P575" s="18">
        <v>0</v>
      </c>
      <c r="Q575" s="18">
        <v>0</v>
      </c>
      <c r="R575" s="18">
        <v>0</v>
      </c>
      <c r="S575" s="18">
        <v>0</v>
      </c>
      <c r="T575" s="18">
        <v>0</v>
      </c>
      <c r="U575" s="18">
        <v>0</v>
      </c>
      <c r="V575" s="18">
        <v>0</v>
      </c>
      <c r="W575" s="18">
        <v>0</v>
      </c>
      <c r="X575" s="18">
        <v>0</v>
      </c>
      <c r="Y575" s="18">
        <v>0</v>
      </c>
      <c r="Z575" s="18">
        <v>0</v>
      </c>
      <c r="AA575" s="18"/>
      <c r="AB575" s="18">
        <v>6</v>
      </c>
      <c r="AC575" s="18">
        <v>6</v>
      </c>
      <c r="AD575" s="18">
        <v>0</v>
      </c>
      <c r="AE575" s="18">
        <v>0.01961</v>
      </c>
      <c r="AF575" s="18">
        <v>2</v>
      </c>
      <c r="AG575" s="18">
        <v>0</v>
      </c>
      <c r="AH575" s="18"/>
      <c r="AI575" s="18">
        <v>8</v>
      </c>
      <c r="AJ575" s="18">
        <v>12.66</v>
      </c>
      <c r="AK575" s="18">
        <v>8</v>
      </c>
      <c r="AL575" s="18">
        <v>12.66</v>
      </c>
      <c r="AM575" s="18">
        <v>2</v>
      </c>
      <c r="AN575" s="18">
        <v>50.63</v>
      </c>
      <c r="AO575" s="18">
        <v>0.00654</v>
      </c>
      <c r="AP575" s="18">
        <v>16.88</v>
      </c>
      <c r="AQ575" s="18">
        <v>0</v>
      </c>
      <c r="AR575" s="18">
        <v>0</v>
      </c>
      <c r="AS575" s="18">
        <v>2</v>
      </c>
      <c r="AT575" s="18">
        <v>0</v>
      </c>
      <c r="AU575" s="18">
        <v>0</v>
      </c>
      <c r="AV575" s="18">
        <v>0</v>
      </c>
      <c r="AW575" s="18">
        <v>0</v>
      </c>
      <c r="AX575" s="18">
        <v>0</v>
      </c>
      <c r="AY575" s="18">
        <v>507</v>
      </c>
      <c r="AZ575" s="18">
        <v>284</v>
      </c>
      <c r="BA575" s="18">
        <v>236</v>
      </c>
      <c r="BB575" s="18">
        <v>0.83099</v>
      </c>
      <c r="BC575" s="18">
        <v>0</v>
      </c>
      <c r="BD575" s="18">
        <v>0</v>
      </c>
      <c r="BE575" s="18">
        <v>0.14921</v>
      </c>
      <c r="BF575" s="18">
        <v>148</v>
      </c>
      <c r="BG575" s="18">
        <v>2</v>
      </c>
      <c r="BH575" s="18">
        <v>0</v>
      </c>
      <c r="BI575" s="18"/>
      <c r="BJ575" s="18">
        <v>0</v>
      </c>
      <c r="BK575" s="18">
        <v>0</v>
      </c>
      <c r="BL575" s="18">
        <v>0</v>
      </c>
      <c r="BM575" s="18">
        <v>0</v>
      </c>
      <c r="BN575" s="18"/>
      <c r="BO575" s="18"/>
      <c r="BP575" s="18">
        <v>2.24</v>
      </c>
      <c r="BQ575" s="18">
        <v>245</v>
      </c>
      <c r="BR575" s="18">
        <v>0</v>
      </c>
      <c r="BS575" s="18">
        <v>0</v>
      </c>
      <c r="BT575" s="18">
        <v>0</v>
      </c>
      <c r="BU575" s="18">
        <v>0</v>
      </c>
    </row>
    <row r="576" spans="1:73">
      <c r="A576" s="19">
        <v>46153</v>
      </c>
      <c r="B576" s="18">
        <v>436</v>
      </c>
      <c r="C576" s="18" t="s">
        <v>38</v>
      </c>
      <c r="D576" s="18">
        <v>436</v>
      </c>
      <c r="E576" s="18" t="s">
        <v>38</v>
      </c>
      <c r="F576" s="18">
        <v>439</v>
      </c>
      <c r="G576" s="18">
        <v>24</v>
      </c>
      <c r="H576" s="18">
        <v>38.02</v>
      </c>
      <c r="I576" s="18">
        <v>0.05467</v>
      </c>
      <c r="J576" s="18">
        <v>1.58</v>
      </c>
      <c r="K576" s="18">
        <v>86.61</v>
      </c>
      <c r="L576" s="18">
        <v>0</v>
      </c>
      <c r="M576" s="18">
        <v>0</v>
      </c>
      <c r="N576" s="18">
        <v>0</v>
      </c>
      <c r="O576" s="18">
        <v>0</v>
      </c>
      <c r="P576" s="18">
        <v>0</v>
      </c>
      <c r="Q576" s="18">
        <v>0</v>
      </c>
      <c r="R576" s="18">
        <v>0</v>
      </c>
      <c r="S576" s="18">
        <v>0</v>
      </c>
      <c r="T576" s="18">
        <v>0</v>
      </c>
      <c r="U576" s="18">
        <v>0</v>
      </c>
      <c r="V576" s="18">
        <v>0</v>
      </c>
      <c r="W576" s="18">
        <v>0</v>
      </c>
      <c r="X576" s="18">
        <v>0</v>
      </c>
      <c r="Y576" s="18">
        <v>0</v>
      </c>
      <c r="Z576" s="18">
        <v>0</v>
      </c>
      <c r="AA576" s="18"/>
      <c r="AB576" s="18">
        <v>2</v>
      </c>
      <c r="AC576" s="18">
        <v>1</v>
      </c>
      <c r="AD576" s="18">
        <v>1</v>
      </c>
      <c r="AE576" s="18">
        <v>0.08333</v>
      </c>
      <c r="AF576" s="18">
        <v>0</v>
      </c>
      <c r="AG576" s="18">
        <v>0</v>
      </c>
      <c r="AH576" s="18"/>
      <c r="AI576" s="18">
        <v>2</v>
      </c>
      <c r="AJ576" s="18">
        <v>19.01</v>
      </c>
      <c r="AK576" s="18">
        <v>2</v>
      </c>
      <c r="AL576" s="18">
        <v>19.01</v>
      </c>
      <c r="AM576" s="18">
        <v>0</v>
      </c>
      <c r="AN576" s="18"/>
      <c r="AO576" s="18">
        <v>0</v>
      </c>
      <c r="AP576" s="18">
        <v>19.01</v>
      </c>
      <c r="AQ576" s="18">
        <v>0</v>
      </c>
      <c r="AR576" s="18">
        <v>0</v>
      </c>
      <c r="AS576" s="18">
        <v>0</v>
      </c>
      <c r="AT576" s="18">
        <v>0</v>
      </c>
      <c r="AU576" s="18">
        <v>0</v>
      </c>
      <c r="AV576" s="18">
        <v>0</v>
      </c>
      <c r="AW576" s="18">
        <v>0</v>
      </c>
      <c r="AX576" s="18">
        <v>0</v>
      </c>
      <c r="AY576" s="18">
        <v>52</v>
      </c>
      <c r="AZ576" s="18">
        <v>23</v>
      </c>
      <c r="BA576" s="18">
        <v>20</v>
      </c>
      <c r="BB576" s="18">
        <v>0.86957</v>
      </c>
      <c r="BC576" s="18">
        <v>0</v>
      </c>
      <c r="BD576" s="18">
        <v>0</v>
      </c>
      <c r="BE576" s="18">
        <v>0.11845</v>
      </c>
      <c r="BF576" s="18">
        <v>25</v>
      </c>
      <c r="BG576" s="18">
        <v>2</v>
      </c>
      <c r="BH576" s="18">
        <v>0</v>
      </c>
      <c r="BI576" s="18"/>
      <c r="BJ576" s="18">
        <v>0</v>
      </c>
      <c r="BK576" s="18">
        <v>0</v>
      </c>
      <c r="BL576" s="18">
        <v>0</v>
      </c>
      <c r="BM576" s="18">
        <v>0</v>
      </c>
      <c r="BN576" s="18"/>
      <c r="BO576" s="18"/>
      <c r="BP576" s="18">
        <v>0</v>
      </c>
      <c r="BQ576" s="18">
        <v>49</v>
      </c>
      <c r="BR576" s="18">
        <v>0</v>
      </c>
      <c r="BS576" s="18">
        <v>0</v>
      </c>
      <c r="BT576" s="18">
        <v>0</v>
      </c>
      <c r="BU576" s="18">
        <v>0</v>
      </c>
    </row>
    <row r="577" spans="1:73">
      <c r="A577" s="19">
        <v>46153</v>
      </c>
      <c r="B577" s="18">
        <v>479</v>
      </c>
      <c r="C577" s="18" t="s">
        <v>39</v>
      </c>
      <c r="D577" s="18">
        <v>479</v>
      </c>
      <c r="E577" s="18" t="s">
        <v>39</v>
      </c>
      <c r="F577" s="18">
        <v>33</v>
      </c>
      <c r="G577" s="18">
        <v>17</v>
      </c>
      <c r="H577" s="18">
        <v>9.9</v>
      </c>
      <c r="I577" s="18">
        <v>0.51515</v>
      </c>
      <c r="J577" s="18">
        <v>0.58</v>
      </c>
      <c r="K577" s="18">
        <v>300.05</v>
      </c>
      <c r="L577" s="18">
        <v>0</v>
      </c>
      <c r="M577" s="18">
        <v>0</v>
      </c>
      <c r="N577" s="18">
        <v>0</v>
      </c>
      <c r="O577" s="18">
        <v>0</v>
      </c>
      <c r="P577" s="18">
        <v>0</v>
      </c>
      <c r="Q577" s="18">
        <v>0</v>
      </c>
      <c r="R577" s="18">
        <v>0</v>
      </c>
      <c r="S577" s="18">
        <v>0</v>
      </c>
      <c r="T577" s="18">
        <v>0</v>
      </c>
      <c r="U577" s="18">
        <v>0</v>
      </c>
      <c r="V577" s="18">
        <v>0</v>
      </c>
      <c r="W577" s="18">
        <v>0</v>
      </c>
      <c r="X577" s="18">
        <v>0</v>
      </c>
      <c r="Y577" s="18">
        <v>0</v>
      </c>
      <c r="Z577" s="18">
        <v>0</v>
      </c>
      <c r="AA577" s="18"/>
      <c r="AB577" s="18">
        <v>2</v>
      </c>
      <c r="AC577" s="18">
        <v>0</v>
      </c>
      <c r="AD577" s="18">
        <v>2</v>
      </c>
      <c r="AE577" s="18">
        <v>0.11765</v>
      </c>
      <c r="AF577" s="18">
        <v>0</v>
      </c>
      <c r="AG577" s="18">
        <v>1</v>
      </c>
      <c r="AH577" s="18">
        <v>9.9</v>
      </c>
      <c r="AI577" s="18">
        <v>3</v>
      </c>
      <c r="AJ577" s="18">
        <v>3.3</v>
      </c>
      <c r="AK577" s="18">
        <v>2</v>
      </c>
      <c r="AL577" s="18">
        <v>4.95</v>
      </c>
      <c r="AM577" s="18">
        <v>1</v>
      </c>
      <c r="AN577" s="18"/>
      <c r="AO577" s="18">
        <v>0</v>
      </c>
      <c r="AP577" s="18">
        <v>4.95</v>
      </c>
      <c r="AQ577" s="18">
        <v>0</v>
      </c>
      <c r="AR577" s="18">
        <v>0</v>
      </c>
      <c r="AS577" s="18">
        <v>0</v>
      </c>
      <c r="AT577" s="18">
        <v>0</v>
      </c>
      <c r="AU577" s="18">
        <v>0</v>
      </c>
      <c r="AV577" s="18">
        <v>0</v>
      </c>
      <c r="AW577" s="18">
        <v>0</v>
      </c>
      <c r="AX577" s="18">
        <v>0</v>
      </c>
      <c r="AY577" s="18">
        <v>126</v>
      </c>
      <c r="AZ577" s="18">
        <v>17</v>
      </c>
      <c r="BA577" s="18">
        <v>11</v>
      </c>
      <c r="BB577" s="18">
        <v>0.64706</v>
      </c>
      <c r="BC577" s="18">
        <v>0</v>
      </c>
      <c r="BD577" s="18">
        <v>0</v>
      </c>
      <c r="BE577" s="18">
        <v>3.81818</v>
      </c>
      <c r="BF577" s="18">
        <v>109</v>
      </c>
      <c r="BG577" s="18">
        <v>7</v>
      </c>
      <c r="BH577" s="18">
        <v>0</v>
      </c>
      <c r="BI577" s="18"/>
      <c r="BJ577" s="18">
        <v>0</v>
      </c>
      <c r="BK577" s="18">
        <v>0</v>
      </c>
      <c r="BL577" s="18">
        <v>0</v>
      </c>
      <c r="BM577" s="18">
        <v>0</v>
      </c>
      <c r="BN577" s="18"/>
      <c r="BO577" s="18"/>
      <c r="BP577" s="18">
        <v>2.23</v>
      </c>
      <c r="BQ577" s="18">
        <v>124</v>
      </c>
      <c r="BR577" s="18">
        <v>0</v>
      </c>
      <c r="BS577" s="18">
        <v>0</v>
      </c>
      <c r="BT577" s="18">
        <v>0</v>
      </c>
      <c r="BU577" s="18">
        <v>0</v>
      </c>
    </row>
    <row r="578" spans="1:73">
      <c r="A578" s="19">
        <v>46153</v>
      </c>
      <c r="B578" s="18">
        <v>183</v>
      </c>
      <c r="C578" s="18" t="s">
        <v>40</v>
      </c>
      <c r="D578" s="18">
        <v>183</v>
      </c>
      <c r="E578" s="18" t="s">
        <v>40</v>
      </c>
      <c r="F578" s="18">
        <v>15420</v>
      </c>
      <c r="G578" s="18">
        <v>225</v>
      </c>
      <c r="H578" s="18">
        <v>195.87</v>
      </c>
      <c r="I578" s="18">
        <v>0.01459</v>
      </c>
      <c r="J578" s="18">
        <v>0.87</v>
      </c>
      <c r="K578" s="18">
        <v>12.7</v>
      </c>
      <c r="L578" s="18">
        <v>0</v>
      </c>
      <c r="M578" s="18">
        <v>0</v>
      </c>
      <c r="N578" s="18">
        <v>0</v>
      </c>
      <c r="O578" s="18">
        <v>0</v>
      </c>
      <c r="P578" s="18">
        <v>0</v>
      </c>
      <c r="Q578" s="18">
        <v>0</v>
      </c>
      <c r="R578" s="18">
        <v>89.46</v>
      </c>
      <c r="S578" s="18">
        <v>23.15</v>
      </c>
      <c r="T578" s="18">
        <v>112.61</v>
      </c>
      <c r="U578" s="18">
        <v>3</v>
      </c>
      <c r="V578" s="18">
        <v>2</v>
      </c>
      <c r="W578" s="18">
        <v>1</v>
      </c>
      <c r="X578" s="18">
        <v>0.01333</v>
      </c>
      <c r="Y578" s="18">
        <v>0.57</v>
      </c>
      <c r="Z578" s="18">
        <v>0.57</v>
      </c>
      <c r="AA578" s="18">
        <v>65.29</v>
      </c>
      <c r="AB578" s="18">
        <v>9</v>
      </c>
      <c r="AC578" s="18">
        <v>7</v>
      </c>
      <c r="AD578" s="18">
        <v>2</v>
      </c>
      <c r="AE578" s="18">
        <v>0.04</v>
      </c>
      <c r="AF578" s="18">
        <v>3</v>
      </c>
      <c r="AG578" s="18">
        <v>2</v>
      </c>
      <c r="AH578" s="18">
        <v>97.94</v>
      </c>
      <c r="AI578" s="18">
        <v>14</v>
      </c>
      <c r="AJ578" s="18">
        <v>13.99</v>
      </c>
      <c r="AK578" s="18">
        <v>12</v>
      </c>
      <c r="AL578" s="18">
        <v>16.32</v>
      </c>
      <c r="AM578" s="18">
        <v>5</v>
      </c>
      <c r="AN578" s="18">
        <v>65.29</v>
      </c>
      <c r="AO578" s="18">
        <v>0.01333</v>
      </c>
      <c r="AP578" s="18">
        <v>21.76</v>
      </c>
      <c r="AQ578" s="18">
        <v>4</v>
      </c>
      <c r="AR578" s="18">
        <v>237.8</v>
      </c>
      <c r="AS578" s="18">
        <v>3</v>
      </c>
      <c r="AT578" s="18">
        <v>0</v>
      </c>
      <c r="AU578" s="18">
        <v>0</v>
      </c>
      <c r="AV578" s="18">
        <v>0</v>
      </c>
      <c r="AW578" s="18">
        <v>0</v>
      </c>
      <c r="AX578" s="18">
        <v>1</v>
      </c>
      <c r="AY578" s="18">
        <v>728</v>
      </c>
      <c r="AZ578" s="18">
        <v>241</v>
      </c>
      <c r="BA578" s="18">
        <v>149</v>
      </c>
      <c r="BB578" s="18">
        <v>0.61826</v>
      </c>
      <c r="BC578" s="18">
        <v>0</v>
      </c>
      <c r="BD578" s="18">
        <v>0</v>
      </c>
      <c r="BE578" s="18">
        <v>0.04721</v>
      </c>
      <c r="BF578" s="18">
        <v>268</v>
      </c>
      <c r="BG578" s="18">
        <v>3</v>
      </c>
      <c r="BH578" s="18">
        <v>2</v>
      </c>
      <c r="BI578" s="18">
        <v>1</v>
      </c>
      <c r="BJ578" s="18">
        <v>0</v>
      </c>
      <c r="BK578" s="18">
        <v>0</v>
      </c>
      <c r="BL578" s="18">
        <v>0</v>
      </c>
      <c r="BM578" s="18">
        <v>2</v>
      </c>
      <c r="BN578" s="18">
        <v>2</v>
      </c>
      <c r="BO578" s="18">
        <v>56.31</v>
      </c>
      <c r="BP578" s="18">
        <v>20.86</v>
      </c>
      <c r="BQ578" s="18">
        <v>1924</v>
      </c>
      <c r="BR578" s="18">
        <v>0</v>
      </c>
      <c r="BS578" s="18">
        <v>0</v>
      </c>
      <c r="BT578" s="18">
        <v>0</v>
      </c>
      <c r="BU578" s="18">
        <v>0</v>
      </c>
    </row>
    <row r="579" spans="1:73">
      <c r="A579" s="19">
        <v>46153</v>
      </c>
      <c r="B579" s="18">
        <v>371</v>
      </c>
      <c r="C579" s="18" t="s">
        <v>32</v>
      </c>
      <c r="D579" s="18">
        <v>371</v>
      </c>
      <c r="E579" s="18" t="s">
        <v>32</v>
      </c>
      <c r="F579" s="18">
        <v>4154</v>
      </c>
      <c r="G579" s="18">
        <v>126</v>
      </c>
      <c r="H579" s="18">
        <v>106.76</v>
      </c>
      <c r="I579" s="18">
        <v>0.03033</v>
      </c>
      <c r="J579" s="18">
        <v>0.85</v>
      </c>
      <c r="K579" s="18">
        <v>25.7</v>
      </c>
      <c r="L579" s="18">
        <v>0</v>
      </c>
      <c r="M579" s="18">
        <v>0</v>
      </c>
      <c r="N579" s="18">
        <v>0</v>
      </c>
      <c r="O579" s="18">
        <v>0</v>
      </c>
      <c r="P579" s="18">
        <v>0</v>
      </c>
      <c r="Q579" s="18">
        <v>0</v>
      </c>
      <c r="R579" s="18">
        <v>66.31</v>
      </c>
      <c r="S579" s="18">
        <v>0</v>
      </c>
      <c r="T579" s="18">
        <v>66.31</v>
      </c>
      <c r="U579" s="18">
        <v>1</v>
      </c>
      <c r="V579" s="18">
        <v>1</v>
      </c>
      <c r="W579" s="18">
        <v>0</v>
      </c>
      <c r="X579" s="18">
        <v>0.00794</v>
      </c>
      <c r="Y579" s="18">
        <v>0.62</v>
      </c>
      <c r="Z579" s="18">
        <v>0.62</v>
      </c>
      <c r="AA579" s="18">
        <v>106.76</v>
      </c>
      <c r="AB579" s="18">
        <v>5</v>
      </c>
      <c r="AC579" s="18">
        <v>5</v>
      </c>
      <c r="AD579" s="18">
        <v>0</v>
      </c>
      <c r="AE579" s="18">
        <v>0.03968</v>
      </c>
      <c r="AF579" s="18">
        <v>2</v>
      </c>
      <c r="AG579" s="18">
        <v>0</v>
      </c>
      <c r="AH579" s="18"/>
      <c r="AI579" s="18">
        <v>7</v>
      </c>
      <c r="AJ579" s="18">
        <v>15.25</v>
      </c>
      <c r="AK579" s="18">
        <v>7</v>
      </c>
      <c r="AL579" s="18">
        <v>15.25</v>
      </c>
      <c r="AM579" s="18">
        <v>2</v>
      </c>
      <c r="AN579" s="18">
        <v>53.38</v>
      </c>
      <c r="AO579" s="18">
        <v>0.01587</v>
      </c>
      <c r="AP579" s="18">
        <v>21.35</v>
      </c>
      <c r="AQ579" s="18">
        <v>1</v>
      </c>
      <c r="AR579" s="18">
        <v>79.9</v>
      </c>
      <c r="AS579" s="18">
        <v>2</v>
      </c>
      <c r="AT579" s="18">
        <v>0</v>
      </c>
      <c r="AU579" s="18">
        <v>0</v>
      </c>
      <c r="AV579" s="18">
        <v>0</v>
      </c>
      <c r="AW579" s="18">
        <v>0</v>
      </c>
      <c r="AX579" s="18">
        <v>0</v>
      </c>
      <c r="AY579" s="18">
        <v>223</v>
      </c>
      <c r="AZ579" s="18">
        <v>107</v>
      </c>
      <c r="BA579" s="18">
        <v>90</v>
      </c>
      <c r="BB579" s="18">
        <v>0.84112</v>
      </c>
      <c r="BC579" s="18">
        <v>0</v>
      </c>
      <c r="BD579" s="18">
        <v>0</v>
      </c>
      <c r="BE579" s="18">
        <v>0.05368</v>
      </c>
      <c r="BF579" s="18">
        <v>65</v>
      </c>
      <c r="BG579" s="18">
        <v>2</v>
      </c>
      <c r="BH579" s="18">
        <v>1</v>
      </c>
      <c r="BI579" s="18">
        <v>1</v>
      </c>
      <c r="BJ579" s="18">
        <v>0</v>
      </c>
      <c r="BK579" s="18">
        <v>0</v>
      </c>
      <c r="BL579" s="18">
        <v>0</v>
      </c>
      <c r="BM579" s="18">
        <v>1</v>
      </c>
      <c r="BN579" s="18">
        <v>1</v>
      </c>
      <c r="BO579" s="18">
        <v>66.31</v>
      </c>
      <c r="BP579" s="18">
        <v>0.32</v>
      </c>
      <c r="BQ579" s="18">
        <v>421</v>
      </c>
      <c r="BR579" s="18">
        <v>0</v>
      </c>
      <c r="BS579" s="18">
        <v>0</v>
      </c>
      <c r="BT579" s="18">
        <v>0</v>
      </c>
      <c r="BU579" s="18">
        <v>0</v>
      </c>
    </row>
    <row r="580" spans="1:73">
      <c r="A580" s="19">
        <v>46152</v>
      </c>
      <c r="B580" s="18">
        <v>479</v>
      </c>
      <c r="C580" s="18" t="s">
        <v>39</v>
      </c>
      <c r="D580" s="18">
        <v>479</v>
      </c>
      <c r="E580" s="18" t="s">
        <v>39</v>
      </c>
      <c r="F580" s="18">
        <v>28</v>
      </c>
      <c r="G580" s="18">
        <v>12</v>
      </c>
      <c r="H580" s="18">
        <v>8.79</v>
      </c>
      <c r="I580" s="18">
        <v>0.42857</v>
      </c>
      <c r="J580" s="18">
        <v>0.73</v>
      </c>
      <c r="K580" s="18">
        <v>313.77</v>
      </c>
      <c r="L580" s="18">
        <v>0</v>
      </c>
      <c r="M580" s="18">
        <v>0</v>
      </c>
      <c r="N580" s="18">
        <v>0</v>
      </c>
      <c r="O580" s="18">
        <v>0</v>
      </c>
      <c r="P580" s="18">
        <v>0</v>
      </c>
      <c r="Q580" s="18">
        <v>0</v>
      </c>
      <c r="R580" s="18">
        <v>0</v>
      </c>
      <c r="S580" s="18">
        <v>277.7</v>
      </c>
      <c r="T580" s="18">
        <v>277.7</v>
      </c>
      <c r="U580" s="18">
        <v>4</v>
      </c>
      <c r="V580" s="18">
        <v>0</v>
      </c>
      <c r="W580" s="18">
        <v>4</v>
      </c>
      <c r="X580" s="18">
        <v>0.33333</v>
      </c>
      <c r="Y580" s="18">
        <v>31.61</v>
      </c>
      <c r="Z580" s="18">
        <v>31.61</v>
      </c>
      <c r="AA580" s="18">
        <v>2.2</v>
      </c>
      <c r="AB580" s="18">
        <v>4</v>
      </c>
      <c r="AC580" s="18">
        <v>0</v>
      </c>
      <c r="AD580" s="18">
        <v>4</v>
      </c>
      <c r="AE580" s="18">
        <v>0.33333</v>
      </c>
      <c r="AF580" s="18">
        <v>0</v>
      </c>
      <c r="AG580" s="18">
        <v>1</v>
      </c>
      <c r="AH580" s="18">
        <v>8.79</v>
      </c>
      <c r="AI580" s="18">
        <v>5</v>
      </c>
      <c r="AJ580" s="18">
        <v>1.76</v>
      </c>
      <c r="AK580" s="18">
        <v>4</v>
      </c>
      <c r="AL580" s="18">
        <v>2.2</v>
      </c>
      <c r="AM580" s="18">
        <v>1</v>
      </c>
      <c r="AN580" s="18"/>
      <c r="AO580" s="18">
        <v>0</v>
      </c>
      <c r="AP580" s="18">
        <v>2.2</v>
      </c>
      <c r="AQ580" s="18">
        <v>5</v>
      </c>
      <c r="AR580" s="18">
        <v>377.6</v>
      </c>
      <c r="AS580" s="18">
        <v>0</v>
      </c>
      <c r="AT580" s="18">
        <v>0</v>
      </c>
      <c r="AU580" s="18">
        <v>0</v>
      </c>
      <c r="AV580" s="18">
        <v>0</v>
      </c>
      <c r="AW580" s="18">
        <v>0</v>
      </c>
      <c r="AX580" s="18">
        <v>0</v>
      </c>
      <c r="AY580" s="18">
        <v>94</v>
      </c>
      <c r="AZ580" s="18">
        <v>11</v>
      </c>
      <c r="BA580" s="18">
        <v>10</v>
      </c>
      <c r="BB580" s="18">
        <v>0.90909</v>
      </c>
      <c r="BC580" s="18">
        <v>0</v>
      </c>
      <c r="BD580" s="18">
        <v>0</v>
      </c>
      <c r="BE580" s="18">
        <v>3.35714</v>
      </c>
      <c r="BF580" s="18">
        <v>81</v>
      </c>
      <c r="BG580" s="18">
        <v>9</v>
      </c>
      <c r="BH580" s="18">
        <v>1</v>
      </c>
      <c r="BI580" s="18">
        <v>1</v>
      </c>
      <c r="BJ580" s="18">
        <v>0</v>
      </c>
      <c r="BK580" s="18">
        <v>0</v>
      </c>
      <c r="BL580" s="18">
        <v>0</v>
      </c>
      <c r="BM580" s="18">
        <v>1</v>
      </c>
      <c r="BN580" s="18">
        <v>4</v>
      </c>
      <c r="BO580" s="18">
        <v>277.7</v>
      </c>
      <c r="BP580" s="18">
        <v>0.04</v>
      </c>
      <c r="BQ580" s="18">
        <v>182</v>
      </c>
      <c r="BR580" s="18">
        <v>0</v>
      </c>
      <c r="BS580" s="18">
        <v>0</v>
      </c>
      <c r="BT580" s="18">
        <v>0</v>
      </c>
      <c r="BU580" s="18">
        <v>0</v>
      </c>
    </row>
    <row r="581" spans="1:73">
      <c r="A581" s="19">
        <v>46152</v>
      </c>
      <c r="B581" s="18">
        <v>436</v>
      </c>
      <c r="C581" s="18" t="s">
        <v>38</v>
      </c>
      <c r="D581" s="18">
        <v>436</v>
      </c>
      <c r="E581" s="18" t="s">
        <v>38</v>
      </c>
      <c r="F581" s="18">
        <v>673</v>
      </c>
      <c r="G581" s="18">
        <v>37</v>
      </c>
      <c r="H581" s="18">
        <v>36.99</v>
      </c>
      <c r="I581" s="18">
        <v>0.05498</v>
      </c>
      <c r="J581" s="18">
        <v>1</v>
      </c>
      <c r="K581" s="18">
        <v>54.96</v>
      </c>
      <c r="L581" s="18">
        <v>0</v>
      </c>
      <c r="M581" s="18">
        <v>0</v>
      </c>
      <c r="N581" s="18">
        <v>0</v>
      </c>
      <c r="O581" s="18">
        <v>0</v>
      </c>
      <c r="P581" s="18">
        <v>0</v>
      </c>
      <c r="Q581" s="18">
        <v>0</v>
      </c>
      <c r="R581" s="18">
        <v>0</v>
      </c>
      <c r="S581" s="18">
        <v>0</v>
      </c>
      <c r="T581" s="18">
        <v>0</v>
      </c>
      <c r="U581" s="18">
        <v>0</v>
      </c>
      <c r="V581" s="18">
        <v>0</v>
      </c>
      <c r="W581" s="18">
        <v>0</v>
      </c>
      <c r="X581" s="18">
        <v>0</v>
      </c>
      <c r="Y581" s="18">
        <v>0</v>
      </c>
      <c r="Z581" s="18">
        <v>0</v>
      </c>
      <c r="AA581" s="18"/>
      <c r="AB581" s="18">
        <v>1</v>
      </c>
      <c r="AC581" s="18">
        <v>1</v>
      </c>
      <c r="AD581" s="18">
        <v>0</v>
      </c>
      <c r="AE581" s="18">
        <v>0.02703</v>
      </c>
      <c r="AF581" s="18">
        <v>0</v>
      </c>
      <c r="AG581" s="18">
        <v>0</v>
      </c>
      <c r="AH581" s="18"/>
      <c r="AI581" s="18">
        <v>1</v>
      </c>
      <c r="AJ581" s="18">
        <v>36.99</v>
      </c>
      <c r="AK581" s="18">
        <v>1</v>
      </c>
      <c r="AL581" s="18">
        <v>36.99</v>
      </c>
      <c r="AM581" s="18">
        <v>0</v>
      </c>
      <c r="AN581" s="18"/>
      <c r="AO581" s="18">
        <v>0</v>
      </c>
      <c r="AP581" s="18">
        <v>36.99</v>
      </c>
      <c r="AQ581" s="18">
        <v>0</v>
      </c>
      <c r="AR581" s="18">
        <v>0</v>
      </c>
      <c r="AS581" s="18">
        <v>0</v>
      </c>
      <c r="AT581" s="18">
        <v>0</v>
      </c>
      <c r="AU581" s="18">
        <v>0</v>
      </c>
      <c r="AV581" s="18">
        <v>0</v>
      </c>
      <c r="AW581" s="18">
        <v>0</v>
      </c>
      <c r="AX581" s="18">
        <v>0</v>
      </c>
      <c r="AY581" s="18">
        <v>53</v>
      </c>
      <c r="AZ581" s="18">
        <v>33</v>
      </c>
      <c r="BA581" s="18">
        <v>25</v>
      </c>
      <c r="BB581" s="18">
        <v>0.75758</v>
      </c>
      <c r="BC581" s="18">
        <v>0</v>
      </c>
      <c r="BD581" s="18">
        <v>0</v>
      </c>
      <c r="BE581" s="18">
        <v>0.07875</v>
      </c>
      <c r="BF581" s="18">
        <v>14</v>
      </c>
      <c r="BG581" s="18">
        <v>2</v>
      </c>
      <c r="BH581" s="18">
        <v>0</v>
      </c>
      <c r="BI581" s="18"/>
      <c r="BJ581" s="18">
        <v>0</v>
      </c>
      <c r="BK581" s="18">
        <v>0</v>
      </c>
      <c r="BL581" s="18">
        <v>0</v>
      </c>
      <c r="BM581" s="18">
        <v>0</v>
      </c>
      <c r="BN581" s="18"/>
      <c r="BO581" s="18"/>
      <c r="BP581" s="18">
        <v>4.47</v>
      </c>
      <c r="BQ581" s="18">
        <v>89</v>
      </c>
      <c r="BR581" s="18">
        <v>0</v>
      </c>
      <c r="BS581" s="18">
        <v>0</v>
      </c>
      <c r="BT581" s="18">
        <v>0</v>
      </c>
      <c r="BU581" s="18">
        <v>0</v>
      </c>
    </row>
    <row r="582" spans="1:73">
      <c r="A582" s="19">
        <v>46152</v>
      </c>
      <c r="B582" s="18">
        <v>371</v>
      </c>
      <c r="C582" s="18" t="s">
        <v>32</v>
      </c>
      <c r="D582" s="18">
        <v>371</v>
      </c>
      <c r="E582" s="18" t="s">
        <v>32</v>
      </c>
      <c r="F582" s="18">
        <v>2046</v>
      </c>
      <c r="G582" s="18">
        <v>136</v>
      </c>
      <c r="H582" s="18">
        <v>64.69</v>
      </c>
      <c r="I582" s="18">
        <v>0.06647</v>
      </c>
      <c r="J582" s="18">
        <v>0.48</v>
      </c>
      <c r="K582" s="18">
        <v>31.62</v>
      </c>
      <c r="L582" s="18">
        <v>0</v>
      </c>
      <c r="M582" s="18">
        <v>0</v>
      </c>
      <c r="N582" s="18">
        <v>0</v>
      </c>
      <c r="O582" s="18">
        <v>0</v>
      </c>
      <c r="P582" s="18">
        <v>0</v>
      </c>
      <c r="Q582" s="18">
        <v>0</v>
      </c>
      <c r="R582" s="18">
        <v>61.36</v>
      </c>
      <c r="S582" s="18">
        <v>0</v>
      </c>
      <c r="T582" s="18">
        <v>61.36</v>
      </c>
      <c r="U582" s="18">
        <v>1</v>
      </c>
      <c r="V582" s="18">
        <v>1</v>
      </c>
      <c r="W582" s="18">
        <v>0</v>
      </c>
      <c r="X582" s="18">
        <v>0.00735</v>
      </c>
      <c r="Y582" s="18">
        <v>0.95</v>
      </c>
      <c r="Z582" s="18">
        <v>0.95</v>
      </c>
      <c r="AA582" s="18">
        <v>64.69</v>
      </c>
      <c r="AB582" s="18">
        <v>3</v>
      </c>
      <c r="AC582" s="18">
        <v>3</v>
      </c>
      <c r="AD582" s="18">
        <v>0</v>
      </c>
      <c r="AE582" s="18">
        <v>0.02206</v>
      </c>
      <c r="AF582" s="18">
        <v>2</v>
      </c>
      <c r="AG582" s="18">
        <v>0</v>
      </c>
      <c r="AH582" s="18"/>
      <c r="AI582" s="18">
        <v>5</v>
      </c>
      <c r="AJ582" s="18">
        <v>12.94</v>
      </c>
      <c r="AK582" s="18">
        <v>5</v>
      </c>
      <c r="AL582" s="18">
        <v>12.94</v>
      </c>
      <c r="AM582" s="18">
        <v>2</v>
      </c>
      <c r="AN582" s="18">
        <v>32.35</v>
      </c>
      <c r="AO582" s="18">
        <v>0.01471</v>
      </c>
      <c r="AP582" s="18">
        <v>21.56</v>
      </c>
      <c r="AQ582" s="18">
        <v>1</v>
      </c>
      <c r="AR582" s="18">
        <v>119</v>
      </c>
      <c r="AS582" s="18">
        <v>2</v>
      </c>
      <c r="AT582" s="18">
        <v>0</v>
      </c>
      <c r="AU582" s="18">
        <v>0</v>
      </c>
      <c r="AV582" s="18">
        <v>0</v>
      </c>
      <c r="AW582" s="18">
        <v>0</v>
      </c>
      <c r="AX582" s="18">
        <v>0</v>
      </c>
      <c r="AY582" s="18">
        <v>222</v>
      </c>
      <c r="AZ582" s="18">
        <v>72</v>
      </c>
      <c r="BA582" s="18">
        <v>59</v>
      </c>
      <c r="BB582" s="18">
        <v>0.81944</v>
      </c>
      <c r="BC582" s="18">
        <v>0</v>
      </c>
      <c r="BD582" s="18">
        <v>0</v>
      </c>
      <c r="BE582" s="18">
        <v>0.1085</v>
      </c>
      <c r="BF582" s="18">
        <v>77</v>
      </c>
      <c r="BG582" s="18">
        <v>3</v>
      </c>
      <c r="BH582" s="18">
        <v>0</v>
      </c>
      <c r="BI582" s="18">
        <v>0</v>
      </c>
      <c r="BJ582" s="18">
        <v>0</v>
      </c>
      <c r="BK582" s="18">
        <v>0</v>
      </c>
      <c r="BL582" s="18">
        <v>0</v>
      </c>
      <c r="BM582" s="18">
        <v>1</v>
      </c>
      <c r="BN582" s="18">
        <v>1</v>
      </c>
      <c r="BO582" s="18">
        <v>61.36</v>
      </c>
      <c r="BP582" s="18">
        <v>2.24</v>
      </c>
      <c r="BQ582" s="18">
        <v>370</v>
      </c>
      <c r="BR582" s="18">
        <v>0</v>
      </c>
      <c r="BS582" s="18">
        <v>0</v>
      </c>
      <c r="BT582" s="18">
        <v>0</v>
      </c>
      <c r="BU582" s="18">
        <v>0</v>
      </c>
    </row>
    <row r="583" spans="1:73">
      <c r="A583" s="19">
        <v>46152</v>
      </c>
      <c r="B583" s="18">
        <v>372</v>
      </c>
      <c r="C583" s="18" t="s">
        <v>37</v>
      </c>
      <c r="D583" s="18">
        <v>372</v>
      </c>
      <c r="E583" s="18" t="s">
        <v>61</v>
      </c>
      <c r="F583" s="18">
        <v>3821</v>
      </c>
      <c r="G583" s="18">
        <v>328</v>
      </c>
      <c r="H583" s="18">
        <v>109.48</v>
      </c>
      <c r="I583" s="18">
        <v>0.08584</v>
      </c>
      <c r="J583" s="18">
        <v>0.33</v>
      </c>
      <c r="K583" s="18">
        <v>28.65</v>
      </c>
      <c r="L583" s="18">
        <v>0</v>
      </c>
      <c r="M583" s="18">
        <v>0</v>
      </c>
      <c r="N583" s="18">
        <v>0</v>
      </c>
      <c r="O583" s="18">
        <v>0</v>
      </c>
      <c r="P583" s="18">
        <v>0</v>
      </c>
      <c r="Q583" s="18">
        <v>0</v>
      </c>
      <c r="R583" s="18">
        <v>0</v>
      </c>
      <c r="S583" s="18">
        <v>0</v>
      </c>
      <c r="T583" s="18">
        <v>0</v>
      </c>
      <c r="U583" s="18">
        <v>0</v>
      </c>
      <c r="V583" s="18">
        <v>0</v>
      </c>
      <c r="W583" s="18">
        <v>0</v>
      </c>
      <c r="X583" s="18">
        <v>0</v>
      </c>
      <c r="Y583" s="18">
        <v>0</v>
      </c>
      <c r="Z583" s="18">
        <v>0</v>
      </c>
      <c r="AA583" s="18"/>
      <c r="AB583" s="18">
        <v>5</v>
      </c>
      <c r="AC583" s="18">
        <v>4</v>
      </c>
      <c r="AD583" s="18">
        <v>1</v>
      </c>
      <c r="AE583" s="18">
        <v>0.01524</v>
      </c>
      <c r="AF583" s="18">
        <v>2</v>
      </c>
      <c r="AG583" s="18">
        <v>1</v>
      </c>
      <c r="AH583" s="18">
        <v>109.48</v>
      </c>
      <c r="AI583" s="18">
        <v>8</v>
      </c>
      <c r="AJ583" s="18">
        <v>13.69</v>
      </c>
      <c r="AK583" s="18">
        <v>7</v>
      </c>
      <c r="AL583" s="18">
        <v>15.64</v>
      </c>
      <c r="AM583" s="18">
        <v>3</v>
      </c>
      <c r="AN583" s="18">
        <v>54.74</v>
      </c>
      <c r="AO583" s="18">
        <v>0.0061</v>
      </c>
      <c r="AP583" s="18">
        <v>21.9</v>
      </c>
      <c r="AQ583" s="18">
        <v>0</v>
      </c>
      <c r="AR583" s="18">
        <v>0</v>
      </c>
      <c r="AS583" s="18">
        <v>2</v>
      </c>
      <c r="AT583" s="18">
        <v>0</v>
      </c>
      <c r="AU583" s="18">
        <v>0</v>
      </c>
      <c r="AV583" s="18">
        <v>0</v>
      </c>
      <c r="AW583" s="18">
        <v>0</v>
      </c>
      <c r="AX583" s="18">
        <v>0</v>
      </c>
      <c r="AY583" s="18">
        <v>540</v>
      </c>
      <c r="AZ583" s="18">
        <v>322</v>
      </c>
      <c r="BA583" s="18">
        <v>271</v>
      </c>
      <c r="BB583" s="18">
        <v>0.84161</v>
      </c>
      <c r="BC583" s="18">
        <v>0</v>
      </c>
      <c r="BD583" s="18">
        <v>0</v>
      </c>
      <c r="BE583" s="18">
        <v>0.14132</v>
      </c>
      <c r="BF583" s="18">
        <v>146</v>
      </c>
      <c r="BG583" s="18">
        <v>2</v>
      </c>
      <c r="BH583" s="18">
        <v>0</v>
      </c>
      <c r="BI583" s="18"/>
      <c r="BJ583" s="18">
        <v>0</v>
      </c>
      <c r="BK583" s="18">
        <v>0</v>
      </c>
      <c r="BL583" s="18">
        <v>0</v>
      </c>
      <c r="BM583" s="18">
        <v>0</v>
      </c>
      <c r="BN583" s="18"/>
      <c r="BO583" s="18"/>
      <c r="BP583" s="18">
        <v>6.71</v>
      </c>
      <c r="BQ583" s="18">
        <v>346</v>
      </c>
      <c r="BR583" s="18">
        <v>0</v>
      </c>
      <c r="BS583" s="18">
        <v>0</v>
      </c>
      <c r="BT583" s="18">
        <v>0</v>
      </c>
      <c r="BU583" s="18">
        <v>0</v>
      </c>
    </row>
    <row r="584" spans="1:73">
      <c r="A584" s="19">
        <v>46152</v>
      </c>
      <c r="B584" s="18">
        <v>183</v>
      </c>
      <c r="C584" s="18" t="s">
        <v>40</v>
      </c>
      <c r="D584" s="18">
        <v>183</v>
      </c>
      <c r="E584" s="18" t="s">
        <v>40</v>
      </c>
      <c r="F584" s="18">
        <v>13251</v>
      </c>
      <c r="G584" s="18">
        <v>234</v>
      </c>
      <c r="H584" s="18">
        <v>200</v>
      </c>
      <c r="I584" s="18">
        <v>0.01766</v>
      </c>
      <c r="J584" s="18">
        <v>0.85</v>
      </c>
      <c r="K584" s="18">
        <v>15.09</v>
      </c>
      <c r="L584" s="18">
        <v>0</v>
      </c>
      <c r="M584" s="18">
        <v>0</v>
      </c>
      <c r="N584" s="18">
        <v>0</v>
      </c>
      <c r="O584" s="18">
        <v>0</v>
      </c>
      <c r="P584" s="18">
        <v>0</v>
      </c>
      <c r="Q584" s="18">
        <v>0</v>
      </c>
      <c r="R584" s="18">
        <v>29.25</v>
      </c>
      <c r="S584" s="18">
        <v>0</v>
      </c>
      <c r="T584" s="18">
        <v>29.25</v>
      </c>
      <c r="U584" s="18">
        <v>1</v>
      </c>
      <c r="V584" s="18">
        <v>1</v>
      </c>
      <c r="W584" s="18">
        <v>0</v>
      </c>
      <c r="X584" s="18">
        <v>0.00427</v>
      </c>
      <c r="Y584" s="18">
        <v>0.15</v>
      </c>
      <c r="Z584" s="18">
        <v>0.15</v>
      </c>
      <c r="AA584" s="18">
        <v>200</v>
      </c>
      <c r="AB584" s="18">
        <v>10</v>
      </c>
      <c r="AC584" s="18">
        <v>8</v>
      </c>
      <c r="AD584" s="18">
        <v>2</v>
      </c>
      <c r="AE584" s="18">
        <v>0.04274</v>
      </c>
      <c r="AF584" s="18">
        <v>3</v>
      </c>
      <c r="AG584" s="18">
        <v>1</v>
      </c>
      <c r="AH584" s="18">
        <v>200</v>
      </c>
      <c r="AI584" s="18">
        <v>14</v>
      </c>
      <c r="AJ584" s="18">
        <v>14.29</v>
      </c>
      <c r="AK584" s="18">
        <v>13</v>
      </c>
      <c r="AL584" s="18">
        <v>15.38</v>
      </c>
      <c r="AM584" s="18">
        <v>4</v>
      </c>
      <c r="AN584" s="18">
        <v>66.67</v>
      </c>
      <c r="AO584" s="18">
        <v>0.01282</v>
      </c>
      <c r="AP584" s="18">
        <v>20</v>
      </c>
      <c r="AQ584" s="18">
        <v>1</v>
      </c>
      <c r="AR584" s="18">
        <v>39.9</v>
      </c>
      <c r="AS584" s="18">
        <v>2</v>
      </c>
      <c r="AT584" s="18">
        <v>1</v>
      </c>
      <c r="AU584" s="18">
        <v>0</v>
      </c>
      <c r="AV584" s="18">
        <v>0</v>
      </c>
      <c r="AW584" s="18">
        <v>0</v>
      </c>
      <c r="AX584" s="18">
        <v>3</v>
      </c>
      <c r="AY584" s="18">
        <v>507</v>
      </c>
      <c r="AZ584" s="18">
        <v>192</v>
      </c>
      <c r="BA584" s="18">
        <v>108</v>
      </c>
      <c r="BB584" s="18">
        <v>0.5625</v>
      </c>
      <c r="BC584" s="18">
        <v>0</v>
      </c>
      <c r="BD584" s="18">
        <v>0</v>
      </c>
      <c r="BE584" s="18">
        <v>0.03826</v>
      </c>
      <c r="BF584" s="18">
        <v>167</v>
      </c>
      <c r="BG584" s="18">
        <v>3</v>
      </c>
      <c r="BH584" s="18">
        <v>0</v>
      </c>
      <c r="BI584" s="18">
        <v>0</v>
      </c>
      <c r="BJ584" s="18">
        <v>0</v>
      </c>
      <c r="BK584" s="18">
        <v>0</v>
      </c>
      <c r="BL584" s="18">
        <v>0</v>
      </c>
      <c r="BM584" s="18">
        <v>1</v>
      </c>
      <c r="BN584" s="18">
        <v>1</v>
      </c>
      <c r="BO584" s="18">
        <v>29.25</v>
      </c>
      <c r="BP584" s="18">
        <v>4.87</v>
      </c>
      <c r="BQ584" s="18">
        <v>731</v>
      </c>
      <c r="BR584" s="18">
        <v>0</v>
      </c>
      <c r="BS584" s="18">
        <v>0</v>
      </c>
      <c r="BT584" s="18">
        <v>0</v>
      </c>
      <c r="BU584" s="18">
        <v>0</v>
      </c>
    </row>
    <row r="585" spans="1:73">
      <c r="A585" s="19">
        <v>46151</v>
      </c>
      <c r="B585" s="18">
        <v>372</v>
      </c>
      <c r="C585" s="18" t="s">
        <v>37</v>
      </c>
      <c r="D585" s="18">
        <v>372</v>
      </c>
      <c r="E585" s="18" t="s">
        <v>61</v>
      </c>
      <c r="F585" s="18">
        <v>3462</v>
      </c>
      <c r="G585" s="18">
        <v>324</v>
      </c>
      <c r="H585" s="18">
        <v>101.5</v>
      </c>
      <c r="I585" s="18">
        <v>0.09359</v>
      </c>
      <c r="J585" s="18">
        <v>0.31</v>
      </c>
      <c r="K585" s="18">
        <v>29.32</v>
      </c>
      <c r="L585" s="18">
        <v>0</v>
      </c>
      <c r="M585" s="18">
        <v>0</v>
      </c>
      <c r="N585" s="18">
        <v>0</v>
      </c>
      <c r="O585" s="18">
        <v>0</v>
      </c>
      <c r="P585" s="18">
        <v>0</v>
      </c>
      <c r="Q585" s="18">
        <v>0</v>
      </c>
      <c r="R585" s="18">
        <v>0</v>
      </c>
      <c r="S585" s="18">
        <v>0</v>
      </c>
      <c r="T585" s="18">
        <v>0</v>
      </c>
      <c r="U585" s="18">
        <v>0</v>
      </c>
      <c r="V585" s="18">
        <v>0</v>
      </c>
      <c r="W585" s="18">
        <v>0</v>
      </c>
      <c r="X585" s="18">
        <v>0</v>
      </c>
      <c r="Y585" s="18">
        <v>0</v>
      </c>
      <c r="Z585" s="18">
        <v>0</v>
      </c>
      <c r="AA585" s="18"/>
      <c r="AB585" s="18">
        <v>8</v>
      </c>
      <c r="AC585" s="18">
        <v>5</v>
      </c>
      <c r="AD585" s="18">
        <v>3</v>
      </c>
      <c r="AE585" s="18">
        <v>0.02469</v>
      </c>
      <c r="AF585" s="18">
        <v>6</v>
      </c>
      <c r="AG585" s="18">
        <v>0</v>
      </c>
      <c r="AH585" s="18"/>
      <c r="AI585" s="18">
        <v>14</v>
      </c>
      <c r="AJ585" s="18">
        <v>7.25</v>
      </c>
      <c r="AK585" s="18">
        <v>14</v>
      </c>
      <c r="AL585" s="18">
        <v>7.25</v>
      </c>
      <c r="AM585" s="18">
        <v>6</v>
      </c>
      <c r="AN585" s="18">
        <v>16.92</v>
      </c>
      <c r="AO585" s="18">
        <v>0.01852</v>
      </c>
      <c r="AP585" s="18">
        <v>12.69</v>
      </c>
      <c r="AQ585" s="18">
        <v>1</v>
      </c>
      <c r="AR585" s="18">
        <v>79.9</v>
      </c>
      <c r="AS585" s="18">
        <v>5</v>
      </c>
      <c r="AT585" s="18">
        <v>1</v>
      </c>
      <c r="AU585" s="18">
        <v>0</v>
      </c>
      <c r="AV585" s="18">
        <v>0</v>
      </c>
      <c r="AW585" s="18">
        <v>0</v>
      </c>
      <c r="AX585" s="18">
        <v>0</v>
      </c>
      <c r="AY585" s="18">
        <v>581</v>
      </c>
      <c r="AZ585" s="18">
        <v>306</v>
      </c>
      <c r="BA585" s="18">
        <v>254</v>
      </c>
      <c r="BB585" s="18">
        <v>0.83007</v>
      </c>
      <c r="BC585" s="18">
        <v>0</v>
      </c>
      <c r="BD585" s="18">
        <v>0</v>
      </c>
      <c r="BE585" s="18">
        <v>0.16782</v>
      </c>
      <c r="BF585" s="18">
        <v>170</v>
      </c>
      <c r="BG585" s="18">
        <v>2</v>
      </c>
      <c r="BH585" s="18">
        <v>0</v>
      </c>
      <c r="BI585" s="18"/>
      <c r="BJ585" s="18">
        <v>0</v>
      </c>
      <c r="BK585" s="18">
        <v>0</v>
      </c>
      <c r="BL585" s="18">
        <v>0</v>
      </c>
      <c r="BM585" s="18">
        <v>0</v>
      </c>
      <c r="BN585" s="18"/>
      <c r="BO585" s="18"/>
      <c r="BP585" s="18">
        <v>2.4</v>
      </c>
      <c r="BQ585" s="18">
        <v>278</v>
      </c>
      <c r="BR585" s="18">
        <v>0</v>
      </c>
      <c r="BS585" s="18">
        <v>0</v>
      </c>
      <c r="BT585" s="18">
        <v>0</v>
      </c>
      <c r="BU585" s="18">
        <v>0</v>
      </c>
    </row>
    <row r="586" spans="1:73">
      <c r="A586" s="19">
        <v>46151</v>
      </c>
      <c r="B586" s="18">
        <v>183</v>
      </c>
      <c r="C586" s="18" t="s">
        <v>40</v>
      </c>
      <c r="D586" s="18">
        <v>183</v>
      </c>
      <c r="E586" s="18" t="s">
        <v>40</v>
      </c>
      <c r="F586" s="18">
        <v>30391</v>
      </c>
      <c r="G586" s="18">
        <v>402</v>
      </c>
      <c r="H586" s="18">
        <v>227.42</v>
      </c>
      <c r="I586" s="18">
        <v>0.01323</v>
      </c>
      <c r="J586" s="18">
        <v>0.57</v>
      </c>
      <c r="K586" s="18">
        <v>7.48</v>
      </c>
      <c r="L586" s="18">
        <v>0</v>
      </c>
      <c r="M586" s="18">
        <v>0</v>
      </c>
      <c r="N586" s="18">
        <v>0</v>
      </c>
      <c r="O586" s="18">
        <v>0</v>
      </c>
      <c r="P586" s="18">
        <v>0</v>
      </c>
      <c r="Q586" s="18">
        <v>0</v>
      </c>
      <c r="R586" s="18">
        <v>193</v>
      </c>
      <c r="S586" s="18">
        <v>1472.67</v>
      </c>
      <c r="T586" s="18">
        <v>1665.67</v>
      </c>
      <c r="U586" s="18">
        <v>6</v>
      </c>
      <c r="V586" s="18">
        <v>1</v>
      </c>
      <c r="W586" s="18">
        <v>5</v>
      </c>
      <c r="X586" s="18">
        <v>0.01493</v>
      </c>
      <c r="Y586" s="18">
        <v>7.32</v>
      </c>
      <c r="Z586" s="18">
        <v>7.32</v>
      </c>
      <c r="AA586" s="18">
        <v>37.9</v>
      </c>
      <c r="AB586" s="18">
        <v>14</v>
      </c>
      <c r="AC586" s="18">
        <v>7</v>
      </c>
      <c r="AD586" s="18">
        <v>7</v>
      </c>
      <c r="AE586" s="18">
        <v>0.03483</v>
      </c>
      <c r="AF586" s="18">
        <v>1</v>
      </c>
      <c r="AG586" s="18">
        <v>1</v>
      </c>
      <c r="AH586" s="18">
        <v>227.42</v>
      </c>
      <c r="AI586" s="18">
        <v>16</v>
      </c>
      <c r="AJ586" s="18">
        <v>14.21</v>
      </c>
      <c r="AK586" s="18">
        <v>15</v>
      </c>
      <c r="AL586" s="18">
        <v>15.16</v>
      </c>
      <c r="AM586" s="18">
        <v>2</v>
      </c>
      <c r="AN586" s="18">
        <v>227.42</v>
      </c>
      <c r="AO586" s="18">
        <v>0.00249</v>
      </c>
      <c r="AP586" s="18">
        <v>16.24</v>
      </c>
      <c r="AQ586" s="18">
        <v>8</v>
      </c>
      <c r="AR586" s="18">
        <v>2625</v>
      </c>
      <c r="AS586" s="18">
        <v>1</v>
      </c>
      <c r="AT586" s="18">
        <v>0</v>
      </c>
      <c r="AU586" s="18">
        <v>0</v>
      </c>
      <c r="AV586" s="18">
        <v>0</v>
      </c>
      <c r="AW586" s="18">
        <v>0</v>
      </c>
      <c r="AX586" s="18">
        <v>1</v>
      </c>
      <c r="AY586" s="18">
        <v>1924</v>
      </c>
      <c r="AZ586" s="18">
        <v>921</v>
      </c>
      <c r="BA586" s="18">
        <v>819</v>
      </c>
      <c r="BB586" s="18">
        <v>0.88925</v>
      </c>
      <c r="BC586" s="18">
        <v>0</v>
      </c>
      <c r="BD586" s="18">
        <v>0</v>
      </c>
      <c r="BE586" s="18">
        <v>0.06331</v>
      </c>
      <c r="BF586" s="18">
        <v>552</v>
      </c>
      <c r="BG586" s="18">
        <v>2</v>
      </c>
      <c r="BH586" s="18">
        <v>2</v>
      </c>
      <c r="BI586" s="18">
        <v>1</v>
      </c>
      <c r="BJ586" s="18">
        <v>0</v>
      </c>
      <c r="BK586" s="18">
        <v>0</v>
      </c>
      <c r="BL586" s="18">
        <v>0</v>
      </c>
      <c r="BM586" s="18">
        <v>2</v>
      </c>
      <c r="BN586" s="18">
        <v>3</v>
      </c>
      <c r="BO586" s="18">
        <v>832.84</v>
      </c>
      <c r="BP586" s="18">
        <v>186.71</v>
      </c>
      <c r="BQ586" s="18">
        <v>1352</v>
      </c>
      <c r="BR586" s="18">
        <v>0</v>
      </c>
      <c r="BS586" s="18">
        <v>0</v>
      </c>
      <c r="BT586" s="18">
        <v>0</v>
      </c>
      <c r="BU586" s="18">
        <v>0</v>
      </c>
    </row>
    <row r="587" spans="1:73">
      <c r="A587" s="19">
        <v>46151</v>
      </c>
      <c r="B587" s="18">
        <v>371</v>
      </c>
      <c r="C587" s="18" t="s">
        <v>32</v>
      </c>
      <c r="D587" s="18">
        <v>371</v>
      </c>
      <c r="E587" s="18" t="s">
        <v>32</v>
      </c>
      <c r="F587" s="18">
        <v>1578</v>
      </c>
      <c r="G587" s="18">
        <v>56</v>
      </c>
      <c r="H587" s="18">
        <v>32.9</v>
      </c>
      <c r="I587" s="18">
        <v>0.03549</v>
      </c>
      <c r="J587" s="18">
        <v>0.59</v>
      </c>
      <c r="K587" s="18">
        <v>20.85</v>
      </c>
      <c r="L587" s="18">
        <v>0</v>
      </c>
      <c r="M587" s="18">
        <v>0</v>
      </c>
      <c r="N587" s="18">
        <v>0</v>
      </c>
      <c r="O587" s="18">
        <v>0</v>
      </c>
      <c r="P587" s="18">
        <v>0</v>
      </c>
      <c r="Q587" s="18">
        <v>0</v>
      </c>
      <c r="R587" s="18">
        <v>0</v>
      </c>
      <c r="S587" s="18">
        <v>0</v>
      </c>
      <c r="T587" s="18">
        <v>0</v>
      </c>
      <c r="U587" s="18">
        <v>0</v>
      </c>
      <c r="V587" s="18">
        <v>0</v>
      </c>
      <c r="W587" s="18">
        <v>0</v>
      </c>
      <c r="X587" s="18">
        <v>0</v>
      </c>
      <c r="Y587" s="18">
        <v>0</v>
      </c>
      <c r="Z587" s="18">
        <v>0</v>
      </c>
      <c r="AA587" s="18"/>
      <c r="AB587" s="18">
        <v>1</v>
      </c>
      <c r="AC587" s="18">
        <v>0</v>
      </c>
      <c r="AD587" s="18">
        <v>1</v>
      </c>
      <c r="AE587" s="18">
        <v>0.01786</v>
      </c>
      <c r="AF587" s="18">
        <v>0</v>
      </c>
      <c r="AG587" s="18">
        <v>1</v>
      </c>
      <c r="AH587" s="18">
        <v>32.9</v>
      </c>
      <c r="AI587" s="18">
        <v>2</v>
      </c>
      <c r="AJ587" s="18">
        <v>16.45</v>
      </c>
      <c r="AK587" s="18">
        <v>1</v>
      </c>
      <c r="AL587" s="18">
        <v>32.9</v>
      </c>
      <c r="AM587" s="18">
        <v>1</v>
      </c>
      <c r="AN587" s="18"/>
      <c r="AO587" s="18">
        <v>0</v>
      </c>
      <c r="AP587" s="18">
        <v>32.9</v>
      </c>
      <c r="AQ587" s="18">
        <v>1</v>
      </c>
      <c r="AR587" s="18">
        <v>79.9</v>
      </c>
      <c r="AS587" s="18">
        <v>0</v>
      </c>
      <c r="AT587" s="18">
        <v>0</v>
      </c>
      <c r="AU587" s="18">
        <v>0</v>
      </c>
      <c r="AV587" s="18">
        <v>0</v>
      </c>
      <c r="AW587" s="18">
        <v>0</v>
      </c>
      <c r="AX587" s="18">
        <v>0</v>
      </c>
      <c r="AY587" s="18">
        <v>235</v>
      </c>
      <c r="AZ587" s="18">
        <v>58</v>
      </c>
      <c r="BA587" s="18">
        <v>48</v>
      </c>
      <c r="BB587" s="18">
        <v>0.82759</v>
      </c>
      <c r="BC587" s="18">
        <v>0</v>
      </c>
      <c r="BD587" s="18">
        <v>0</v>
      </c>
      <c r="BE587" s="18">
        <v>0.14892</v>
      </c>
      <c r="BF587" s="18">
        <v>87</v>
      </c>
      <c r="BG587" s="18">
        <v>4</v>
      </c>
      <c r="BH587" s="18">
        <v>0</v>
      </c>
      <c r="BI587" s="18"/>
      <c r="BJ587" s="18">
        <v>0</v>
      </c>
      <c r="BK587" s="18">
        <v>0</v>
      </c>
      <c r="BL587" s="18">
        <v>0</v>
      </c>
      <c r="BM587" s="18">
        <v>0</v>
      </c>
      <c r="BN587" s="18"/>
      <c r="BO587" s="18"/>
      <c r="BP587" s="18">
        <v>0</v>
      </c>
      <c r="BQ587" s="18">
        <v>44</v>
      </c>
      <c r="BR587" s="18">
        <v>0</v>
      </c>
      <c r="BS587" s="18">
        <v>0</v>
      </c>
      <c r="BT587" s="18">
        <v>0</v>
      </c>
      <c r="BU587" s="18">
        <v>0</v>
      </c>
    </row>
    <row r="588" spans="1:73">
      <c r="A588" s="19">
        <v>46151</v>
      </c>
      <c r="B588" s="18">
        <v>479</v>
      </c>
      <c r="C588" s="18" t="s">
        <v>39</v>
      </c>
      <c r="D588" s="18">
        <v>479</v>
      </c>
      <c r="E588" s="18" t="s">
        <v>39</v>
      </c>
      <c r="F588" s="18">
        <v>39</v>
      </c>
      <c r="G588" s="18">
        <v>17</v>
      </c>
      <c r="H588" s="18">
        <v>11.88</v>
      </c>
      <c r="I588" s="18">
        <v>0.4359</v>
      </c>
      <c r="J588" s="18">
        <v>0.7</v>
      </c>
      <c r="K588" s="18">
        <v>304.74</v>
      </c>
      <c r="L588" s="18">
        <v>0</v>
      </c>
      <c r="M588" s="18">
        <v>0</v>
      </c>
      <c r="N588" s="18">
        <v>0</v>
      </c>
      <c r="O588" s="18">
        <v>0</v>
      </c>
      <c r="P588" s="18">
        <v>0</v>
      </c>
      <c r="Q588" s="18">
        <v>0</v>
      </c>
      <c r="R588" s="18">
        <v>0</v>
      </c>
      <c r="S588" s="18">
        <v>0</v>
      </c>
      <c r="T588" s="18">
        <v>0</v>
      </c>
      <c r="U588" s="18">
        <v>0</v>
      </c>
      <c r="V588" s="18">
        <v>0</v>
      </c>
      <c r="W588" s="18">
        <v>0</v>
      </c>
      <c r="X588" s="18">
        <v>0</v>
      </c>
      <c r="Y588" s="18">
        <v>0</v>
      </c>
      <c r="Z588" s="18">
        <v>0</v>
      </c>
      <c r="AA588" s="18"/>
      <c r="AB588" s="18">
        <v>0</v>
      </c>
      <c r="AC588" s="18">
        <v>0</v>
      </c>
      <c r="AD588" s="18">
        <v>0</v>
      </c>
      <c r="AE588" s="18">
        <v>0</v>
      </c>
      <c r="AF588" s="18">
        <v>0</v>
      </c>
      <c r="AG588" s="18">
        <v>0</v>
      </c>
      <c r="AH588" s="18"/>
      <c r="AI588" s="18">
        <v>0</v>
      </c>
      <c r="AJ588" s="18"/>
      <c r="AK588" s="18">
        <v>0</v>
      </c>
      <c r="AL588" s="18"/>
      <c r="AM588" s="18">
        <v>0</v>
      </c>
      <c r="AN588" s="18"/>
      <c r="AO588" s="18">
        <v>0</v>
      </c>
      <c r="AP588" s="18"/>
      <c r="AQ588" s="18">
        <v>0</v>
      </c>
      <c r="AR588" s="18">
        <v>0</v>
      </c>
      <c r="AS588" s="18">
        <v>0</v>
      </c>
      <c r="AT588" s="18">
        <v>0</v>
      </c>
      <c r="AU588" s="18">
        <v>0</v>
      </c>
      <c r="AV588" s="18">
        <v>0</v>
      </c>
      <c r="AW588" s="18">
        <v>0</v>
      </c>
      <c r="AX588" s="18">
        <v>0</v>
      </c>
      <c r="AY588" s="18">
        <v>105</v>
      </c>
      <c r="AZ588" s="18">
        <v>16</v>
      </c>
      <c r="BA588" s="18">
        <v>12</v>
      </c>
      <c r="BB588" s="18">
        <v>0.75</v>
      </c>
      <c r="BC588" s="18">
        <v>0</v>
      </c>
      <c r="BD588" s="18">
        <v>0</v>
      </c>
      <c r="BE588" s="18">
        <v>2.69231</v>
      </c>
      <c r="BF588" s="18">
        <v>87</v>
      </c>
      <c r="BG588" s="18">
        <v>7</v>
      </c>
      <c r="BH588" s="18">
        <v>0</v>
      </c>
      <c r="BI588" s="18"/>
      <c r="BJ588" s="18">
        <v>0</v>
      </c>
      <c r="BK588" s="18">
        <v>0</v>
      </c>
      <c r="BL588" s="18">
        <v>0</v>
      </c>
      <c r="BM588" s="18">
        <v>0</v>
      </c>
      <c r="BN588" s="18"/>
      <c r="BO588" s="18"/>
      <c r="BP588" s="18">
        <v>0</v>
      </c>
      <c r="BQ588" s="18">
        <v>30</v>
      </c>
      <c r="BR588" s="18">
        <v>0</v>
      </c>
      <c r="BS588" s="18">
        <v>0</v>
      </c>
      <c r="BT588" s="18">
        <v>0</v>
      </c>
      <c r="BU588" s="18">
        <v>0</v>
      </c>
    </row>
    <row r="589" spans="1:73">
      <c r="A589" s="19">
        <v>46151</v>
      </c>
      <c r="B589" s="18">
        <v>436</v>
      </c>
      <c r="C589" s="18" t="s">
        <v>38</v>
      </c>
      <c r="D589" s="18">
        <v>436</v>
      </c>
      <c r="E589" s="18" t="s">
        <v>38</v>
      </c>
      <c r="F589" s="18">
        <v>551</v>
      </c>
      <c r="G589" s="18">
        <v>34</v>
      </c>
      <c r="H589" s="18">
        <v>50</v>
      </c>
      <c r="I589" s="18">
        <v>0.06171</v>
      </c>
      <c r="J589" s="18">
        <v>1.47</v>
      </c>
      <c r="K589" s="18">
        <v>90.74</v>
      </c>
      <c r="L589" s="18">
        <v>0</v>
      </c>
      <c r="M589" s="18">
        <v>0</v>
      </c>
      <c r="N589" s="18">
        <v>0</v>
      </c>
      <c r="O589" s="18">
        <v>0</v>
      </c>
      <c r="P589" s="18">
        <v>0</v>
      </c>
      <c r="Q589" s="18">
        <v>0</v>
      </c>
      <c r="R589" s="18">
        <v>0</v>
      </c>
      <c r="S589" s="18">
        <v>33.9</v>
      </c>
      <c r="T589" s="18">
        <v>33.9</v>
      </c>
      <c r="U589" s="18">
        <v>1</v>
      </c>
      <c r="V589" s="18">
        <v>0</v>
      </c>
      <c r="W589" s="18">
        <v>1</v>
      </c>
      <c r="X589" s="18">
        <v>0.02941</v>
      </c>
      <c r="Y589" s="18">
        <v>0.68</v>
      </c>
      <c r="Z589" s="18">
        <v>0.68</v>
      </c>
      <c r="AA589" s="18">
        <v>50</v>
      </c>
      <c r="AB589" s="18">
        <v>1</v>
      </c>
      <c r="AC589" s="18">
        <v>0</v>
      </c>
      <c r="AD589" s="18">
        <v>1</v>
      </c>
      <c r="AE589" s="18">
        <v>0.02941</v>
      </c>
      <c r="AF589" s="18">
        <v>0</v>
      </c>
      <c r="AG589" s="18">
        <v>0</v>
      </c>
      <c r="AH589" s="18"/>
      <c r="AI589" s="18">
        <v>1</v>
      </c>
      <c r="AJ589" s="18">
        <v>50</v>
      </c>
      <c r="AK589" s="18">
        <v>1</v>
      </c>
      <c r="AL589" s="18">
        <v>50</v>
      </c>
      <c r="AM589" s="18">
        <v>0</v>
      </c>
      <c r="AN589" s="18"/>
      <c r="AO589" s="18">
        <v>0</v>
      </c>
      <c r="AP589" s="18">
        <v>50</v>
      </c>
      <c r="AQ589" s="18">
        <v>1</v>
      </c>
      <c r="AR589" s="18">
        <v>39.9</v>
      </c>
      <c r="AS589" s="18">
        <v>0</v>
      </c>
      <c r="AT589" s="18">
        <v>0</v>
      </c>
      <c r="AU589" s="18">
        <v>0</v>
      </c>
      <c r="AV589" s="18">
        <v>0</v>
      </c>
      <c r="AW589" s="18">
        <v>0</v>
      </c>
      <c r="AX589" s="18">
        <v>0</v>
      </c>
      <c r="AY589" s="18">
        <v>101</v>
      </c>
      <c r="AZ589" s="18">
        <v>31</v>
      </c>
      <c r="BA589" s="18">
        <v>25</v>
      </c>
      <c r="BB589" s="18">
        <v>0.80645</v>
      </c>
      <c r="BC589" s="18">
        <v>0</v>
      </c>
      <c r="BD589" s="18">
        <v>0</v>
      </c>
      <c r="BE589" s="18">
        <v>0.1833</v>
      </c>
      <c r="BF589" s="18">
        <v>67</v>
      </c>
      <c r="BG589" s="18">
        <v>3</v>
      </c>
      <c r="BH589" s="18">
        <v>1</v>
      </c>
      <c r="BI589" s="18">
        <v>1</v>
      </c>
      <c r="BJ589" s="18">
        <v>0</v>
      </c>
      <c r="BK589" s="18">
        <v>0</v>
      </c>
      <c r="BL589" s="18">
        <v>0</v>
      </c>
      <c r="BM589" s="18">
        <v>1</v>
      </c>
      <c r="BN589" s="18">
        <v>1</v>
      </c>
      <c r="BO589" s="18">
        <v>33.9</v>
      </c>
      <c r="BP589" s="18">
        <v>0</v>
      </c>
      <c r="BQ589" s="18">
        <v>162</v>
      </c>
      <c r="BR589" s="18">
        <v>0</v>
      </c>
      <c r="BS589" s="18">
        <v>0</v>
      </c>
      <c r="BT589" s="18">
        <v>0</v>
      </c>
      <c r="BU589" s="18">
        <v>0</v>
      </c>
    </row>
    <row r="590" spans="1:73">
      <c r="A590" s="19">
        <v>46150</v>
      </c>
      <c r="B590" s="18">
        <v>371</v>
      </c>
      <c r="C590" s="18" t="s">
        <v>32</v>
      </c>
      <c r="D590" s="18">
        <v>371</v>
      </c>
      <c r="E590" s="18" t="s">
        <v>32</v>
      </c>
      <c r="F590" s="18">
        <v>1183</v>
      </c>
      <c r="G590" s="18">
        <v>39</v>
      </c>
      <c r="H590" s="18">
        <v>19.64</v>
      </c>
      <c r="I590" s="18">
        <v>0.03297</v>
      </c>
      <c r="J590" s="18">
        <v>0.5</v>
      </c>
      <c r="K590" s="18">
        <v>16.6</v>
      </c>
      <c r="L590" s="18">
        <v>0</v>
      </c>
      <c r="M590" s="18">
        <v>0</v>
      </c>
      <c r="N590" s="18">
        <v>0</v>
      </c>
      <c r="O590" s="18">
        <v>0</v>
      </c>
      <c r="P590" s="18">
        <v>0</v>
      </c>
      <c r="Q590" s="18">
        <v>0</v>
      </c>
      <c r="R590" s="18">
        <v>0</v>
      </c>
      <c r="S590" s="18">
        <v>0</v>
      </c>
      <c r="T590" s="18">
        <v>0</v>
      </c>
      <c r="U590" s="18">
        <v>0</v>
      </c>
      <c r="V590" s="18">
        <v>0</v>
      </c>
      <c r="W590" s="18">
        <v>0</v>
      </c>
      <c r="X590" s="18">
        <v>0</v>
      </c>
      <c r="Y590" s="18">
        <v>0</v>
      </c>
      <c r="Z590" s="18">
        <v>0</v>
      </c>
      <c r="AA590" s="18"/>
      <c r="AB590" s="18">
        <v>2</v>
      </c>
      <c r="AC590" s="18">
        <v>1</v>
      </c>
      <c r="AD590" s="18">
        <v>1</v>
      </c>
      <c r="AE590" s="18">
        <v>0.05128</v>
      </c>
      <c r="AF590" s="18">
        <v>0</v>
      </c>
      <c r="AG590" s="18">
        <v>0</v>
      </c>
      <c r="AH590" s="18"/>
      <c r="AI590" s="18">
        <v>2</v>
      </c>
      <c r="AJ590" s="18">
        <v>9.82</v>
      </c>
      <c r="AK590" s="18">
        <v>2</v>
      </c>
      <c r="AL590" s="18">
        <v>9.82</v>
      </c>
      <c r="AM590" s="18">
        <v>0</v>
      </c>
      <c r="AN590" s="18"/>
      <c r="AO590" s="18">
        <v>0</v>
      </c>
      <c r="AP590" s="18">
        <v>9.82</v>
      </c>
      <c r="AQ590" s="18">
        <v>0</v>
      </c>
      <c r="AR590" s="18">
        <v>0</v>
      </c>
      <c r="AS590" s="18">
        <v>0</v>
      </c>
      <c r="AT590" s="18">
        <v>0</v>
      </c>
      <c r="AU590" s="18">
        <v>0</v>
      </c>
      <c r="AV590" s="18">
        <v>0</v>
      </c>
      <c r="AW590" s="18">
        <v>0</v>
      </c>
      <c r="AX590" s="18">
        <v>0</v>
      </c>
      <c r="AY590" s="18">
        <v>157</v>
      </c>
      <c r="AZ590" s="18">
        <v>45</v>
      </c>
      <c r="BA590" s="18">
        <v>37</v>
      </c>
      <c r="BB590" s="18">
        <v>0.82222</v>
      </c>
      <c r="BC590" s="18">
        <v>0</v>
      </c>
      <c r="BD590" s="18">
        <v>0</v>
      </c>
      <c r="BE590" s="18">
        <v>0.13271</v>
      </c>
      <c r="BF590" s="18">
        <v>17</v>
      </c>
      <c r="BG590" s="18">
        <v>3</v>
      </c>
      <c r="BH590" s="18">
        <v>0</v>
      </c>
      <c r="BI590" s="18"/>
      <c r="BJ590" s="18">
        <v>0</v>
      </c>
      <c r="BK590" s="18">
        <v>0</v>
      </c>
      <c r="BL590" s="18">
        <v>0</v>
      </c>
      <c r="BM590" s="18">
        <v>0</v>
      </c>
      <c r="BN590" s="18"/>
      <c r="BO590" s="18"/>
      <c r="BP590" s="18">
        <v>0</v>
      </c>
      <c r="BQ590" s="18">
        <v>67</v>
      </c>
      <c r="BR590" s="18">
        <v>0</v>
      </c>
      <c r="BS590" s="18">
        <v>0</v>
      </c>
      <c r="BT590" s="18">
        <v>0</v>
      </c>
      <c r="BU590" s="18">
        <v>0</v>
      </c>
    </row>
    <row r="591" spans="1:73">
      <c r="A591" s="19">
        <v>46150</v>
      </c>
      <c r="B591" s="18">
        <v>436</v>
      </c>
      <c r="C591" s="18" t="s">
        <v>38</v>
      </c>
      <c r="D591" s="18">
        <v>436</v>
      </c>
      <c r="E591" s="18" t="s">
        <v>38</v>
      </c>
      <c r="F591" s="18">
        <v>500</v>
      </c>
      <c r="G591" s="18">
        <v>24</v>
      </c>
      <c r="H591" s="18">
        <v>34.16</v>
      </c>
      <c r="I591" s="18">
        <v>0.048</v>
      </c>
      <c r="J591" s="18">
        <v>1.42</v>
      </c>
      <c r="K591" s="18">
        <v>68.32</v>
      </c>
      <c r="L591" s="18">
        <v>0</v>
      </c>
      <c r="M591" s="18">
        <v>0</v>
      </c>
      <c r="N591" s="18">
        <v>0</v>
      </c>
      <c r="O591" s="18">
        <v>0</v>
      </c>
      <c r="P591" s="18">
        <v>0</v>
      </c>
      <c r="Q591" s="18">
        <v>0</v>
      </c>
      <c r="R591" s="18">
        <v>0</v>
      </c>
      <c r="S591" s="18">
        <v>0</v>
      </c>
      <c r="T591" s="18">
        <v>0</v>
      </c>
      <c r="U591" s="18">
        <v>0</v>
      </c>
      <c r="V591" s="18">
        <v>0</v>
      </c>
      <c r="W591" s="18">
        <v>0</v>
      </c>
      <c r="X591" s="18">
        <v>0</v>
      </c>
      <c r="Y591" s="18">
        <v>0</v>
      </c>
      <c r="Z591" s="18">
        <v>0</v>
      </c>
      <c r="AA591" s="18"/>
      <c r="AB591" s="18">
        <v>0</v>
      </c>
      <c r="AC591" s="18">
        <v>0</v>
      </c>
      <c r="AD591" s="18">
        <v>0</v>
      </c>
      <c r="AE591" s="18">
        <v>0</v>
      </c>
      <c r="AF591" s="18">
        <v>0</v>
      </c>
      <c r="AG591" s="18">
        <v>0</v>
      </c>
      <c r="AH591" s="18"/>
      <c r="AI591" s="18">
        <v>0</v>
      </c>
      <c r="AJ591" s="18"/>
      <c r="AK591" s="18">
        <v>0</v>
      </c>
      <c r="AL591" s="18"/>
      <c r="AM591" s="18">
        <v>0</v>
      </c>
      <c r="AN591" s="18"/>
      <c r="AO591" s="18">
        <v>0</v>
      </c>
      <c r="AP591" s="18"/>
      <c r="AQ591" s="18">
        <v>0</v>
      </c>
      <c r="AR591" s="18">
        <v>0</v>
      </c>
      <c r="AS591" s="18">
        <v>0</v>
      </c>
      <c r="AT591" s="18">
        <v>0</v>
      </c>
      <c r="AU591" s="18">
        <v>0</v>
      </c>
      <c r="AV591" s="18">
        <v>0</v>
      </c>
      <c r="AW591" s="18">
        <v>0</v>
      </c>
      <c r="AX591" s="18">
        <v>0</v>
      </c>
      <c r="AY591" s="18">
        <v>48</v>
      </c>
      <c r="AZ591" s="18">
        <v>21</v>
      </c>
      <c r="BA591" s="18">
        <v>19</v>
      </c>
      <c r="BB591" s="18">
        <v>0.90476</v>
      </c>
      <c r="BC591" s="18">
        <v>0</v>
      </c>
      <c r="BD591" s="18">
        <v>0</v>
      </c>
      <c r="BE591" s="18">
        <v>0.096</v>
      </c>
      <c r="BF591" s="18">
        <v>21</v>
      </c>
      <c r="BG591" s="18">
        <v>2</v>
      </c>
      <c r="BH591" s="18">
        <v>0</v>
      </c>
      <c r="BI591" s="18"/>
      <c r="BJ591" s="18">
        <v>0</v>
      </c>
      <c r="BK591" s="18">
        <v>0</v>
      </c>
      <c r="BL591" s="18">
        <v>0</v>
      </c>
      <c r="BM591" s="18">
        <v>0</v>
      </c>
      <c r="BN591" s="18"/>
      <c r="BO591" s="18"/>
      <c r="BP591" s="18">
        <v>0</v>
      </c>
      <c r="BQ591" s="18">
        <v>29</v>
      </c>
      <c r="BR591" s="18">
        <v>0</v>
      </c>
      <c r="BS591" s="18">
        <v>0</v>
      </c>
      <c r="BT591" s="18">
        <v>0</v>
      </c>
      <c r="BU591" s="18">
        <v>0</v>
      </c>
    </row>
    <row r="592" spans="1:73">
      <c r="A592" s="19">
        <v>46150</v>
      </c>
      <c r="B592" s="18">
        <v>372</v>
      </c>
      <c r="C592" s="18" t="s">
        <v>37</v>
      </c>
      <c r="D592" s="18">
        <v>372</v>
      </c>
      <c r="E592" s="18" t="s">
        <v>61</v>
      </c>
      <c r="F592" s="18">
        <v>3012</v>
      </c>
      <c r="G592" s="18">
        <v>282</v>
      </c>
      <c r="H592" s="18">
        <v>94.72</v>
      </c>
      <c r="I592" s="18">
        <v>0.09363</v>
      </c>
      <c r="J592" s="18">
        <v>0.34</v>
      </c>
      <c r="K592" s="18">
        <v>31.45</v>
      </c>
      <c r="L592" s="18">
        <v>0</v>
      </c>
      <c r="M592" s="18">
        <v>0</v>
      </c>
      <c r="N592" s="18">
        <v>0</v>
      </c>
      <c r="O592" s="18">
        <v>0</v>
      </c>
      <c r="P592" s="18">
        <v>0</v>
      </c>
      <c r="Q592" s="18">
        <v>0</v>
      </c>
      <c r="R592" s="18">
        <v>0</v>
      </c>
      <c r="S592" s="18">
        <v>0</v>
      </c>
      <c r="T592" s="18">
        <v>0</v>
      </c>
      <c r="U592" s="18">
        <v>0</v>
      </c>
      <c r="V592" s="18">
        <v>0</v>
      </c>
      <c r="W592" s="18">
        <v>0</v>
      </c>
      <c r="X592" s="18">
        <v>0</v>
      </c>
      <c r="Y592" s="18">
        <v>0</v>
      </c>
      <c r="Z592" s="18">
        <v>0</v>
      </c>
      <c r="AA592" s="18"/>
      <c r="AB592" s="18">
        <v>8</v>
      </c>
      <c r="AC592" s="18">
        <v>6</v>
      </c>
      <c r="AD592" s="18">
        <v>2</v>
      </c>
      <c r="AE592" s="18">
        <v>0.02837</v>
      </c>
      <c r="AF592" s="18">
        <v>5</v>
      </c>
      <c r="AG592" s="18">
        <v>1</v>
      </c>
      <c r="AH592" s="18">
        <v>94.72</v>
      </c>
      <c r="AI592" s="18">
        <v>14</v>
      </c>
      <c r="AJ592" s="18">
        <v>6.77</v>
      </c>
      <c r="AK592" s="18">
        <v>13</v>
      </c>
      <c r="AL592" s="18">
        <v>7.29</v>
      </c>
      <c r="AM592" s="18">
        <v>6</v>
      </c>
      <c r="AN592" s="18">
        <v>18.94</v>
      </c>
      <c r="AO592" s="18">
        <v>0.01773</v>
      </c>
      <c r="AP592" s="18">
        <v>11.84</v>
      </c>
      <c r="AQ592" s="18">
        <v>0</v>
      </c>
      <c r="AR592" s="18">
        <v>0</v>
      </c>
      <c r="AS592" s="18">
        <v>5</v>
      </c>
      <c r="AT592" s="18">
        <v>0</v>
      </c>
      <c r="AU592" s="18">
        <v>0</v>
      </c>
      <c r="AV592" s="18">
        <v>0</v>
      </c>
      <c r="AW592" s="18">
        <v>0</v>
      </c>
      <c r="AX592" s="18">
        <v>0</v>
      </c>
      <c r="AY592" s="18">
        <v>488</v>
      </c>
      <c r="AZ592" s="18">
        <v>272</v>
      </c>
      <c r="BA592" s="18">
        <v>221</v>
      </c>
      <c r="BB592" s="18">
        <v>0.8125</v>
      </c>
      <c r="BC592" s="18">
        <v>0</v>
      </c>
      <c r="BD592" s="18">
        <v>0</v>
      </c>
      <c r="BE592" s="18">
        <v>0.16202</v>
      </c>
      <c r="BF592" s="18">
        <v>143</v>
      </c>
      <c r="BG592" s="18">
        <v>2</v>
      </c>
      <c r="BH592" s="18">
        <v>0</v>
      </c>
      <c r="BI592" s="18"/>
      <c r="BJ592" s="18">
        <v>0</v>
      </c>
      <c r="BK592" s="18">
        <v>0</v>
      </c>
      <c r="BL592" s="18">
        <v>0</v>
      </c>
      <c r="BM592" s="18">
        <v>0</v>
      </c>
      <c r="BN592" s="18"/>
      <c r="BO592" s="18"/>
      <c r="BP592" s="18">
        <v>2.23</v>
      </c>
      <c r="BQ592" s="18">
        <v>435</v>
      </c>
      <c r="BR592" s="18">
        <v>0</v>
      </c>
      <c r="BS592" s="18">
        <v>0</v>
      </c>
      <c r="BT592" s="18">
        <v>0</v>
      </c>
      <c r="BU592" s="18">
        <v>0</v>
      </c>
    </row>
    <row r="593" spans="1:73">
      <c r="A593" s="19">
        <v>46150</v>
      </c>
      <c r="B593" s="18">
        <v>479</v>
      </c>
      <c r="C593" s="18" t="s">
        <v>39</v>
      </c>
      <c r="D593" s="18">
        <v>479</v>
      </c>
      <c r="E593" s="18" t="s">
        <v>39</v>
      </c>
      <c r="F593" s="18">
        <v>40</v>
      </c>
      <c r="G593" s="18">
        <v>22</v>
      </c>
      <c r="H593" s="18">
        <v>11.94</v>
      </c>
      <c r="I593" s="18">
        <v>0.55</v>
      </c>
      <c r="J593" s="18">
        <v>0.54</v>
      </c>
      <c r="K593" s="18">
        <v>298.52</v>
      </c>
      <c r="L593" s="18">
        <v>0</v>
      </c>
      <c r="M593" s="18">
        <v>0</v>
      </c>
      <c r="N593" s="18">
        <v>0</v>
      </c>
      <c r="O593" s="18">
        <v>0</v>
      </c>
      <c r="P593" s="18">
        <v>0</v>
      </c>
      <c r="Q593" s="18">
        <v>0</v>
      </c>
      <c r="R593" s="18">
        <v>0</v>
      </c>
      <c r="S593" s="18">
        <v>81.13</v>
      </c>
      <c r="T593" s="18">
        <v>81.13</v>
      </c>
      <c r="U593" s="18">
        <v>1</v>
      </c>
      <c r="V593" s="18">
        <v>0</v>
      </c>
      <c r="W593" s="18">
        <v>1</v>
      </c>
      <c r="X593" s="18">
        <v>0.04545</v>
      </c>
      <c r="Y593" s="18">
        <v>6.79</v>
      </c>
      <c r="Z593" s="18">
        <v>6.79</v>
      </c>
      <c r="AA593" s="18">
        <v>11.94</v>
      </c>
      <c r="AB593" s="18">
        <v>1</v>
      </c>
      <c r="AC593" s="18">
        <v>0</v>
      </c>
      <c r="AD593" s="18">
        <v>1</v>
      </c>
      <c r="AE593" s="18">
        <v>0.04545</v>
      </c>
      <c r="AF593" s="18">
        <v>0</v>
      </c>
      <c r="AG593" s="18">
        <v>1</v>
      </c>
      <c r="AH593" s="18">
        <v>11.94</v>
      </c>
      <c r="AI593" s="18">
        <v>2</v>
      </c>
      <c r="AJ593" s="18">
        <v>5.97</v>
      </c>
      <c r="AK593" s="18">
        <v>1</v>
      </c>
      <c r="AL593" s="18">
        <v>11.94</v>
      </c>
      <c r="AM593" s="18">
        <v>1</v>
      </c>
      <c r="AN593" s="18"/>
      <c r="AO593" s="18">
        <v>0</v>
      </c>
      <c r="AP593" s="18">
        <v>11.94</v>
      </c>
      <c r="AQ593" s="18">
        <v>2</v>
      </c>
      <c r="AR593" s="18">
        <v>148.9</v>
      </c>
      <c r="AS593" s="18">
        <v>0</v>
      </c>
      <c r="AT593" s="18">
        <v>0</v>
      </c>
      <c r="AU593" s="18">
        <v>0</v>
      </c>
      <c r="AV593" s="18">
        <v>0</v>
      </c>
      <c r="AW593" s="18">
        <v>0</v>
      </c>
      <c r="AX593" s="18">
        <v>0</v>
      </c>
      <c r="AY593" s="18">
        <v>192</v>
      </c>
      <c r="AZ593" s="18">
        <v>22</v>
      </c>
      <c r="BA593" s="18">
        <v>10</v>
      </c>
      <c r="BB593" s="18">
        <v>0.45455</v>
      </c>
      <c r="BC593" s="18">
        <v>0</v>
      </c>
      <c r="BD593" s="18">
        <v>0</v>
      </c>
      <c r="BE593" s="18">
        <v>4.8</v>
      </c>
      <c r="BF593" s="18">
        <v>164</v>
      </c>
      <c r="BG593" s="18">
        <v>9</v>
      </c>
      <c r="BH593" s="18">
        <v>0</v>
      </c>
      <c r="BI593" s="18">
        <v>0</v>
      </c>
      <c r="BJ593" s="18">
        <v>0</v>
      </c>
      <c r="BK593" s="18">
        <v>0</v>
      </c>
      <c r="BL593" s="18">
        <v>0</v>
      </c>
      <c r="BM593" s="18">
        <v>1</v>
      </c>
      <c r="BN593" s="18">
        <v>1</v>
      </c>
      <c r="BO593" s="18">
        <v>81.13</v>
      </c>
      <c r="BP593" s="18">
        <v>6.33</v>
      </c>
      <c r="BQ593" s="18">
        <v>168</v>
      </c>
      <c r="BR593" s="18">
        <v>0</v>
      </c>
      <c r="BS593" s="18">
        <v>0</v>
      </c>
      <c r="BT593" s="18">
        <v>0</v>
      </c>
      <c r="BU593" s="18">
        <v>0</v>
      </c>
    </row>
    <row r="594" spans="1:73">
      <c r="A594" s="19">
        <v>46150</v>
      </c>
      <c r="B594" s="18">
        <v>183</v>
      </c>
      <c r="C594" s="18" t="s">
        <v>40</v>
      </c>
      <c r="D594" s="18">
        <v>183</v>
      </c>
      <c r="E594" s="18" t="s">
        <v>40</v>
      </c>
      <c r="F594" s="18">
        <v>15240</v>
      </c>
      <c r="G594" s="18">
        <v>320</v>
      </c>
      <c r="H594" s="18">
        <v>277.77</v>
      </c>
      <c r="I594" s="18">
        <v>0.021</v>
      </c>
      <c r="J594" s="18">
        <v>0.87</v>
      </c>
      <c r="K594" s="18">
        <v>18.23</v>
      </c>
      <c r="L594" s="18">
        <v>0</v>
      </c>
      <c r="M594" s="18">
        <v>0</v>
      </c>
      <c r="N594" s="18">
        <v>0</v>
      </c>
      <c r="O594" s="18">
        <v>0</v>
      </c>
      <c r="P594" s="18">
        <v>0</v>
      </c>
      <c r="Q594" s="18">
        <v>0</v>
      </c>
      <c r="R594" s="18">
        <v>0</v>
      </c>
      <c r="S594" s="18">
        <v>0</v>
      </c>
      <c r="T594" s="18">
        <v>0</v>
      </c>
      <c r="U594" s="18">
        <v>0</v>
      </c>
      <c r="V594" s="18">
        <v>0</v>
      </c>
      <c r="W594" s="18">
        <v>0</v>
      </c>
      <c r="X594" s="18">
        <v>0</v>
      </c>
      <c r="Y594" s="18">
        <v>0</v>
      </c>
      <c r="Z594" s="18">
        <v>0</v>
      </c>
      <c r="AA594" s="18"/>
      <c r="AB594" s="18">
        <v>4</v>
      </c>
      <c r="AC594" s="18">
        <v>4</v>
      </c>
      <c r="AD594" s="18">
        <v>0</v>
      </c>
      <c r="AE594" s="18">
        <v>0.0125</v>
      </c>
      <c r="AF594" s="18">
        <v>2</v>
      </c>
      <c r="AG594" s="18">
        <v>2</v>
      </c>
      <c r="AH594" s="18">
        <v>138.89</v>
      </c>
      <c r="AI594" s="18">
        <v>8</v>
      </c>
      <c r="AJ594" s="18">
        <v>34.72</v>
      </c>
      <c r="AK594" s="18">
        <v>6</v>
      </c>
      <c r="AL594" s="18">
        <v>46.3</v>
      </c>
      <c r="AM594" s="18">
        <v>4</v>
      </c>
      <c r="AN594" s="18">
        <v>138.89</v>
      </c>
      <c r="AO594" s="18">
        <v>0.00625</v>
      </c>
      <c r="AP594" s="18">
        <v>69.44</v>
      </c>
      <c r="AQ594" s="18">
        <v>1</v>
      </c>
      <c r="AR594" s="18">
        <v>49.9</v>
      </c>
      <c r="AS594" s="18">
        <v>1</v>
      </c>
      <c r="AT594" s="18">
        <v>1</v>
      </c>
      <c r="AU594" s="18">
        <v>0</v>
      </c>
      <c r="AV594" s="18">
        <v>0</v>
      </c>
      <c r="AW594" s="18">
        <v>0</v>
      </c>
      <c r="AX594" s="18">
        <v>1</v>
      </c>
      <c r="AY594" s="18">
        <v>1554</v>
      </c>
      <c r="AZ594" s="18">
        <v>800</v>
      </c>
      <c r="BA594" s="18">
        <v>723</v>
      </c>
      <c r="BB594" s="18">
        <v>0.90375</v>
      </c>
      <c r="BC594" s="18">
        <v>0</v>
      </c>
      <c r="BD594" s="18">
        <v>0</v>
      </c>
      <c r="BE594" s="18">
        <v>0.10197</v>
      </c>
      <c r="BF594" s="18">
        <v>325</v>
      </c>
      <c r="BG594" s="18">
        <v>2</v>
      </c>
      <c r="BH594" s="18">
        <v>0</v>
      </c>
      <c r="BI594" s="18"/>
      <c r="BJ594" s="18">
        <v>0</v>
      </c>
      <c r="BK594" s="18">
        <v>0</v>
      </c>
      <c r="BL594" s="18">
        <v>0</v>
      </c>
      <c r="BM594" s="18">
        <v>0</v>
      </c>
      <c r="BN594" s="18"/>
      <c r="BO594" s="18"/>
      <c r="BP594" s="18">
        <v>8.19</v>
      </c>
      <c r="BQ594" s="18">
        <v>287</v>
      </c>
      <c r="BR594" s="18">
        <v>0</v>
      </c>
      <c r="BS594" s="18">
        <v>0</v>
      </c>
      <c r="BT594" s="18">
        <v>0</v>
      </c>
      <c r="BU594" s="18">
        <v>0</v>
      </c>
    </row>
    <row r="595" spans="1:73">
      <c r="A595" s="19">
        <v>46149</v>
      </c>
      <c r="B595" s="18">
        <v>372</v>
      </c>
      <c r="C595" s="18" t="s">
        <v>37</v>
      </c>
      <c r="D595" s="18">
        <v>372</v>
      </c>
      <c r="E595" s="18" t="s">
        <v>61</v>
      </c>
      <c r="F595" s="18">
        <v>2906</v>
      </c>
      <c r="G595" s="18">
        <v>214</v>
      </c>
      <c r="H595" s="18">
        <v>72.05</v>
      </c>
      <c r="I595" s="18">
        <v>0.07364</v>
      </c>
      <c r="J595" s="18">
        <v>0.34</v>
      </c>
      <c r="K595" s="18">
        <v>24.79</v>
      </c>
      <c r="L595" s="18">
        <v>0</v>
      </c>
      <c r="M595" s="18">
        <v>0</v>
      </c>
      <c r="N595" s="18">
        <v>0</v>
      </c>
      <c r="O595" s="18">
        <v>0</v>
      </c>
      <c r="P595" s="18">
        <v>0</v>
      </c>
      <c r="Q595" s="18">
        <v>0</v>
      </c>
      <c r="R595" s="18">
        <v>0</v>
      </c>
      <c r="S595" s="18">
        <v>0</v>
      </c>
      <c r="T595" s="18">
        <v>0</v>
      </c>
      <c r="U595" s="18">
        <v>0</v>
      </c>
      <c r="V595" s="18">
        <v>0</v>
      </c>
      <c r="W595" s="18">
        <v>0</v>
      </c>
      <c r="X595" s="18">
        <v>0</v>
      </c>
      <c r="Y595" s="18">
        <v>0</v>
      </c>
      <c r="Z595" s="18">
        <v>0</v>
      </c>
      <c r="AA595" s="18"/>
      <c r="AB595" s="18">
        <v>15</v>
      </c>
      <c r="AC595" s="18">
        <v>9</v>
      </c>
      <c r="AD595" s="18">
        <v>6</v>
      </c>
      <c r="AE595" s="18">
        <v>0.07009</v>
      </c>
      <c r="AF595" s="18">
        <v>2</v>
      </c>
      <c r="AG595" s="18">
        <v>0</v>
      </c>
      <c r="AH595" s="18"/>
      <c r="AI595" s="18">
        <v>17</v>
      </c>
      <c r="AJ595" s="18">
        <v>4.24</v>
      </c>
      <c r="AK595" s="18">
        <v>17</v>
      </c>
      <c r="AL595" s="18">
        <v>4.24</v>
      </c>
      <c r="AM595" s="18">
        <v>2</v>
      </c>
      <c r="AN595" s="18">
        <v>36.03</v>
      </c>
      <c r="AO595" s="18">
        <v>0.00935</v>
      </c>
      <c r="AP595" s="18">
        <v>4.8</v>
      </c>
      <c r="AQ595" s="18">
        <v>0</v>
      </c>
      <c r="AR595" s="18">
        <v>0</v>
      </c>
      <c r="AS595" s="18">
        <v>2</v>
      </c>
      <c r="AT595" s="18">
        <v>0</v>
      </c>
      <c r="AU595" s="18">
        <v>0</v>
      </c>
      <c r="AV595" s="18">
        <v>0</v>
      </c>
      <c r="AW595" s="18">
        <v>0</v>
      </c>
      <c r="AX595" s="18">
        <v>1</v>
      </c>
      <c r="AY595" s="18">
        <v>387</v>
      </c>
      <c r="AZ595" s="18">
        <v>195</v>
      </c>
      <c r="BA595" s="18">
        <v>148</v>
      </c>
      <c r="BB595" s="18">
        <v>0.75897</v>
      </c>
      <c r="BC595" s="18">
        <v>0</v>
      </c>
      <c r="BD595" s="18">
        <v>0</v>
      </c>
      <c r="BE595" s="18">
        <v>0.13317</v>
      </c>
      <c r="BF595" s="18">
        <v>120</v>
      </c>
      <c r="BG595" s="18">
        <v>2</v>
      </c>
      <c r="BH595" s="18">
        <v>0</v>
      </c>
      <c r="BI595" s="18"/>
      <c r="BJ595" s="18">
        <v>0</v>
      </c>
      <c r="BK595" s="18">
        <v>0</v>
      </c>
      <c r="BL595" s="18">
        <v>0</v>
      </c>
      <c r="BM595" s="18">
        <v>0</v>
      </c>
      <c r="BN595" s="18"/>
      <c r="BO595" s="18"/>
      <c r="BP595" s="18">
        <v>6.52</v>
      </c>
      <c r="BQ595" s="18">
        <v>351</v>
      </c>
      <c r="BR595" s="18">
        <v>0</v>
      </c>
      <c r="BS595" s="18">
        <v>0</v>
      </c>
      <c r="BT595" s="18">
        <v>0</v>
      </c>
      <c r="BU595" s="18">
        <v>0</v>
      </c>
    </row>
    <row r="596" spans="1:73">
      <c r="A596" s="19">
        <v>46149</v>
      </c>
      <c r="B596" s="18">
        <v>436</v>
      </c>
      <c r="C596" s="18" t="s">
        <v>38</v>
      </c>
      <c r="D596" s="18">
        <v>436</v>
      </c>
      <c r="E596" s="18" t="s">
        <v>38</v>
      </c>
      <c r="F596" s="18">
        <v>933</v>
      </c>
      <c r="G596" s="18">
        <v>21</v>
      </c>
      <c r="H596" s="18">
        <v>35.96</v>
      </c>
      <c r="I596" s="18">
        <v>0.02251</v>
      </c>
      <c r="J596" s="18">
        <v>1.71</v>
      </c>
      <c r="K596" s="18">
        <v>38.54</v>
      </c>
      <c r="L596" s="18">
        <v>0</v>
      </c>
      <c r="M596" s="18">
        <v>0</v>
      </c>
      <c r="N596" s="18">
        <v>0</v>
      </c>
      <c r="O596" s="18">
        <v>0</v>
      </c>
      <c r="P596" s="18">
        <v>0</v>
      </c>
      <c r="Q596" s="18">
        <v>0</v>
      </c>
      <c r="R596" s="18">
        <v>0</v>
      </c>
      <c r="S596" s="18">
        <v>0</v>
      </c>
      <c r="T596" s="18">
        <v>0</v>
      </c>
      <c r="U596" s="18">
        <v>0</v>
      </c>
      <c r="V596" s="18">
        <v>0</v>
      </c>
      <c r="W596" s="18">
        <v>0</v>
      </c>
      <c r="X596" s="18">
        <v>0</v>
      </c>
      <c r="Y596" s="18">
        <v>0</v>
      </c>
      <c r="Z596" s="18">
        <v>0</v>
      </c>
      <c r="AA596" s="18"/>
      <c r="AB596" s="18">
        <v>1</v>
      </c>
      <c r="AC596" s="18">
        <v>1</v>
      </c>
      <c r="AD596" s="18">
        <v>0</v>
      </c>
      <c r="AE596" s="18">
        <v>0.04762</v>
      </c>
      <c r="AF596" s="18">
        <v>0</v>
      </c>
      <c r="AG596" s="18">
        <v>0</v>
      </c>
      <c r="AH596" s="18"/>
      <c r="AI596" s="18">
        <v>1</v>
      </c>
      <c r="AJ596" s="18">
        <v>35.96</v>
      </c>
      <c r="AK596" s="18">
        <v>1</v>
      </c>
      <c r="AL596" s="18">
        <v>35.96</v>
      </c>
      <c r="AM596" s="18">
        <v>0</v>
      </c>
      <c r="AN596" s="18"/>
      <c r="AO596" s="18">
        <v>0</v>
      </c>
      <c r="AP596" s="18">
        <v>35.96</v>
      </c>
      <c r="AQ596" s="18">
        <v>0</v>
      </c>
      <c r="AR596" s="18">
        <v>0</v>
      </c>
      <c r="AS596" s="18">
        <v>0</v>
      </c>
      <c r="AT596" s="18">
        <v>0</v>
      </c>
      <c r="AU596" s="18">
        <v>0</v>
      </c>
      <c r="AV596" s="18">
        <v>0</v>
      </c>
      <c r="AW596" s="18">
        <v>0</v>
      </c>
      <c r="AX596" s="18">
        <v>1</v>
      </c>
      <c r="AY596" s="18">
        <v>52</v>
      </c>
      <c r="AZ596" s="18">
        <v>19</v>
      </c>
      <c r="BA596" s="18">
        <v>17</v>
      </c>
      <c r="BB596" s="18">
        <v>0.89474</v>
      </c>
      <c r="BC596" s="18">
        <v>0</v>
      </c>
      <c r="BD596" s="18">
        <v>0</v>
      </c>
      <c r="BE596" s="18">
        <v>0.05573</v>
      </c>
      <c r="BF596" s="18">
        <v>30</v>
      </c>
      <c r="BG596" s="18">
        <v>3</v>
      </c>
      <c r="BH596" s="18">
        <v>0</v>
      </c>
      <c r="BI596" s="18"/>
      <c r="BJ596" s="18">
        <v>0</v>
      </c>
      <c r="BK596" s="18">
        <v>0</v>
      </c>
      <c r="BL596" s="18">
        <v>0</v>
      </c>
      <c r="BM596" s="18">
        <v>0</v>
      </c>
      <c r="BN596" s="18"/>
      <c r="BO596" s="18"/>
      <c r="BP596" s="18">
        <v>0</v>
      </c>
      <c r="BQ596" s="18">
        <v>144</v>
      </c>
      <c r="BR596" s="18">
        <v>0</v>
      </c>
      <c r="BS596" s="18">
        <v>0</v>
      </c>
      <c r="BT596" s="18">
        <v>0</v>
      </c>
      <c r="BU596" s="18">
        <v>0</v>
      </c>
    </row>
    <row r="597" spans="1:73">
      <c r="A597" s="19">
        <v>46149</v>
      </c>
      <c r="B597" s="18">
        <v>479</v>
      </c>
      <c r="C597" s="18" t="s">
        <v>39</v>
      </c>
      <c r="D597" s="18">
        <v>479</v>
      </c>
      <c r="E597" s="18" t="s">
        <v>39</v>
      </c>
      <c r="F597" s="18">
        <v>44</v>
      </c>
      <c r="G597" s="18">
        <v>18</v>
      </c>
      <c r="H597" s="18">
        <v>13.63</v>
      </c>
      <c r="I597" s="18">
        <v>0.40909</v>
      </c>
      <c r="J597" s="18">
        <v>0.76</v>
      </c>
      <c r="K597" s="18">
        <v>309.72</v>
      </c>
      <c r="L597" s="18">
        <v>0</v>
      </c>
      <c r="M597" s="18">
        <v>0</v>
      </c>
      <c r="N597" s="18">
        <v>0</v>
      </c>
      <c r="O597" s="18">
        <v>0</v>
      </c>
      <c r="P597" s="18">
        <v>0</v>
      </c>
      <c r="Q597" s="18">
        <v>0</v>
      </c>
      <c r="R597" s="18">
        <v>0</v>
      </c>
      <c r="S597" s="18">
        <v>0</v>
      </c>
      <c r="T597" s="18">
        <v>0</v>
      </c>
      <c r="U597" s="18">
        <v>0</v>
      </c>
      <c r="V597" s="18">
        <v>0</v>
      </c>
      <c r="W597" s="18">
        <v>0</v>
      </c>
      <c r="X597" s="18">
        <v>0</v>
      </c>
      <c r="Y597" s="18">
        <v>0</v>
      </c>
      <c r="Z597" s="18">
        <v>0</v>
      </c>
      <c r="AA597" s="18"/>
      <c r="AB597" s="18">
        <v>2</v>
      </c>
      <c r="AC597" s="18">
        <v>0</v>
      </c>
      <c r="AD597" s="18">
        <v>2</v>
      </c>
      <c r="AE597" s="18">
        <v>0.11111</v>
      </c>
      <c r="AF597" s="18">
        <v>0</v>
      </c>
      <c r="AG597" s="18">
        <v>0</v>
      </c>
      <c r="AH597" s="18"/>
      <c r="AI597" s="18">
        <v>2</v>
      </c>
      <c r="AJ597" s="18">
        <v>6.81</v>
      </c>
      <c r="AK597" s="18">
        <v>2</v>
      </c>
      <c r="AL597" s="18">
        <v>6.81</v>
      </c>
      <c r="AM597" s="18">
        <v>0</v>
      </c>
      <c r="AN597" s="18"/>
      <c r="AO597" s="18">
        <v>0</v>
      </c>
      <c r="AP597" s="18">
        <v>6.81</v>
      </c>
      <c r="AQ597" s="18">
        <v>1</v>
      </c>
      <c r="AR597" s="18">
        <v>698</v>
      </c>
      <c r="AS597" s="18">
        <v>0</v>
      </c>
      <c r="AT597" s="18">
        <v>0</v>
      </c>
      <c r="AU597" s="18">
        <v>0</v>
      </c>
      <c r="AV597" s="18">
        <v>0</v>
      </c>
      <c r="AW597" s="18">
        <v>0</v>
      </c>
      <c r="AX597" s="18">
        <v>0</v>
      </c>
      <c r="AY597" s="18">
        <v>135</v>
      </c>
      <c r="AZ597" s="18">
        <v>15</v>
      </c>
      <c r="BA597" s="18">
        <v>10</v>
      </c>
      <c r="BB597" s="18">
        <v>0.66667</v>
      </c>
      <c r="BC597" s="18">
        <v>0</v>
      </c>
      <c r="BD597" s="18">
        <v>0</v>
      </c>
      <c r="BE597" s="18">
        <v>3.06818</v>
      </c>
      <c r="BF597" s="18">
        <v>117</v>
      </c>
      <c r="BG597" s="18">
        <v>9</v>
      </c>
      <c r="BH597" s="18">
        <v>0</v>
      </c>
      <c r="BI597" s="18"/>
      <c r="BJ597" s="18">
        <v>0</v>
      </c>
      <c r="BK597" s="18">
        <v>0</v>
      </c>
      <c r="BL597" s="18">
        <v>0</v>
      </c>
      <c r="BM597" s="18">
        <v>0</v>
      </c>
      <c r="BN597" s="18"/>
      <c r="BO597" s="18"/>
      <c r="BP597" s="18">
        <v>0</v>
      </c>
      <c r="BQ597" s="18">
        <v>37</v>
      </c>
      <c r="BR597" s="18">
        <v>0</v>
      </c>
      <c r="BS597" s="18">
        <v>0</v>
      </c>
      <c r="BT597" s="18">
        <v>0</v>
      </c>
      <c r="BU597" s="18">
        <v>0</v>
      </c>
    </row>
    <row r="598" spans="1:73">
      <c r="A598" s="19">
        <v>46149</v>
      </c>
      <c r="B598" s="18">
        <v>183</v>
      </c>
      <c r="C598" s="18" t="s">
        <v>40</v>
      </c>
      <c r="D598" s="18">
        <v>183</v>
      </c>
      <c r="E598" s="18" t="s">
        <v>40</v>
      </c>
      <c r="F598" s="18">
        <v>1254</v>
      </c>
      <c r="G598" s="18">
        <v>42</v>
      </c>
      <c r="H598" s="18">
        <v>100</v>
      </c>
      <c r="I598" s="18">
        <v>0.03349</v>
      </c>
      <c r="J598" s="18">
        <v>2.38</v>
      </c>
      <c r="K598" s="18">
        <v>79.74</v>
      </c>
      <c r="L598" s="18">
        <v>0</v>
      </c>
      <c r="M598" s="18">
        <v>0</v>
      </c>
      <c r="N598" s="18">
        <v>0</v>
      </c>
      <c r="O598" s="18">
        <v>0</v>
      </c>
      <c r="P598" s="18">
        <v>0</v>
      </c>
      <c r="Q598" s="18">
        <v>0</v>
      </c>
      <c r="R598" s="18">
        <v>82.9</v>
      </c>
      <c r="S598" s="18">
        <v>0</v>
      </c>
      <c r="T598" s="18">
        <v>82.9</v>
      </c>
      <c r="U598" s="18">
        <v>1</v>
      </c>
      <c r="V598" s="18">
        <v>1</v>
      </c>
      <c r="W598" s="18">
        <v>0</v>
      </c>
      <c r="X598" s="18">
        <v>0.02381</v>
      </c>
      <c r="Y598" s="18">
        <v>0.83</v>
      </c>
      <c r="Z598" s="18">
        <v>0.83</v>
      </c>
      <c r="AA598" s="18">
        <v>100</v>
      </c>
      <c r="AB598" s="18">
        <v>4</v>
      </c>
      <c r="AC598" s="18">
        <v>3</v>
      </c>
      <c r="AD598" s="18">
        <v>1</v>
      </c>
      <c r="AE598" s="18">
        <v>0.09524</v>
      </c>
      <c r="AF598" s="18">
        <v>1</v>
      </c>
      <c r="AG598" s="18">
        <v>0</v>
      </c>
      <c r="AH598" s="18"/>
      <c r="AI598" s="18">
        <v>5</v>
      </c>
      <c r="AJ598" s="18">
        <v>20</v>
      </c>
      <c r="AK598" s="18">
        <v>5</v>
      </c>
      <c r="AL598" s="18">
        <v>20</v>
      </c>
      <c r="AM598" s="18">
        <v>1</v>
      </c>
      <c r="AN598" s="18">
        <v>100</v>
      </c>
      <c r="AO598" s="18">
        <v>0.02381</v>
      </c>
      <c r="AP598" s="18">
        <v>25</v>
      </c>
      <c r="AQ598" s="18">
        <v>2</v>
      </c>
      <c r="AR598" s="18">
        <v>148.9</v>
      </c>
      <c r="AS598" s="18">
        <v>1</v>
      </c>
      <c r="AT598" s="18">
        <v>0</v>
      </c>
      <c r="AU598" s="18">
        <v>0</v>
      </c>
      <c r="AV598" s="18">
        <v>0</v>
      </c>
      <c r="AW598" s="18">
        <v>0</v>
      </c>
      <c r="AX598" s="18">
        <v>0</v>
      </c>
      <c r="AY598" s="18">
        <v>332</v>
      </c>
      <c r="AZ598" s="18">
        <v>123</v>
      </c>
      <c r="BA598" s="18">
        <v>77</v>
      </c>
      <c r="BB598" s="18">
        <v>0.62602</v>
      </c>
      <c r="BC598" s="18">
        <v>0</v>
      </c>
      <c r="BD598" s="18">
        <v>0</v>
      </c>
      <c r="BE598" s="18">
        <v>0.26475</v>
      </c>
      <c r="BF598" s="18">
        <v>107</v>
      </c>
      <c r="BG598" s="18">
        <v>3</v>
      </c>
      <c r="BH598" s="18">
        <v>1</v>
      </c>
      <c r="BI598" s="18">
        <v>1</v>
      </c>
      <c r="BJ598" s="18">
        <v>0</v>
      </c>
      <c r="BK598" s="18">
        <v>0</v>
      </c>
      <c r="BL598" s="18">
        <v>0</v>
      </c>
      <c r="BM598" s="18">
        <v>1</v>
      </c>
      <c r="BN598" s="18">
        <v>1</v>
      </c>
      <c r="BO598" s="18">
        <v>82.9</v>
      </c>
      <c r="BP598" s="18">
        <v>25.09</v>
      </c>
      <c r="BQ598" s="18">
        <v>276</v>
      </c>
      <c r="BR598" s="18">
        <v>0</v>
      </c>
      <c r="BS598" s="18">
        <v>0</v>
      </c>
      <c r="BT598" s="18">
        <v>0</v>
      </c>
      <c r="BU598" s="18">
        <v>0</v>
      </c>
    </row>
    <row r="599" spans="1:73">
      <c r="A599" s="19">
        <v>46149</v>
      </c>
      <c r="B599" s="18">
        <v>371</v>
      </c>
      <c r="C599" s="18" t="s">
        <v>32</v>
      </c>
      <c r="D599" s="18">
        <v>371</v>
      </c>
      <c r="E599" s="18" t="s">
        <v>32</v>
      </c>
      <c r="F599" s="18">
        <v>1310</v>
      </c>
      <c r="G599" s="18">
        <v>53</v>
      </c>
      <c r="H599" s="18">
        <v>21.81</v>
      </c>
      <c r="I599" s="18">
        <v>0.04046</v>
      </c>
      <c r="J599" s="18">
        <v>0.41</v>
      </c>
      <c r="K599" s="18">
        <v>16.65</v>
      </c>
      <c r="L599" s="18">
        <v>0</v>
      </c>
      <c r="M599" s="18">
        <v>0</v>
      </c>
      <c r="N599" s="18">
        <v>0</v>
      </c>
      <c r="O599" s="18">
        <v>0</v>
      </c>
      <c r="P599" s="18">
        <v>0</v>
      </c>
      <c r="Q599" s="18">
        <v>0</v>
      </c>
      <c r="R599" s="18">
        <v>0</v>
      </c>
      <c r="S599" s="18">
        <v>8074</v>
      </c>
      <c r="T599" s="18">
        <v>8074</v>
      </c>
      <c r="U599" s="18">
        <v>1</v>
      </c>
      <c r="V599" s="18">
        <v>0</v>
      </c>
      <c r="W599" s="18">
        <v>1</v>
      </c>
      <c r="X599" s="18">
        <v>0.01887</v>
      </c>
      <c r="Y599" s="18">
        <v>370.2</v>
      </c>
      <c r="Z599" s="18">
        <v>370.2</v>
      </c>
      <c r="AA599" s="18">
        <v>21.81</v>
      </c>
      <c r="AB599" s="18">
        <v>6</v>
      </c>
      <c r="AC599" s="18">
        <v>3</v>
      </c>
      <c r="AD599" s="18">
        <v>3</v>
      </c>
      <c r="AE599" s="18">
        <v>0.11321</v>
      </c>
      <c r="AF599" s="18">
        <v>0</v>
      </c>
      <c r="AG599" s="18">
        <v>0</v>
      </c>
      <c r="AH599" s="18"/>
      <c r="AI599" s="18">
        <v>6</v>
      </c>
      <c r="AJ599" s="18">
        <v>3.64</v>
      </c>
      <c r="AK599" s="18">
        <v>6</v>
      </c>
      <c r="AL599" s="18">
        <v>3.64</v>
      </c>
      <c r="AM599" s="18">
        <v>0</v>
      </c>
      <c r="AN599" s="18"/>
      <c r="AO599" s="18">
        <v>0</v>
      </c>
      <c r="AP599" s="18">
        <v>3.64</v>
      </c>
      <c r="AQ599" s="18">
        <v>3</v>
      </c>
      <c r="AR599" s="18">
        <v>13458</v>
      </c>
      <c r="AS599" s="18">
        <v>0</v>
      </c>
      <c r="AT599" s="18">
        <v>0</v>
      </c>
      <c r="AU599" s="18">
        <v>0</v>
      </c>
      <c r="AV599" s="18">
        <v>0</v>
      </c>
      <c r="AW599" s="18">
        <v>0</v>
      </c>
      <c r="AX599" s="18">
        <v>2</v>
      </c>
      <c r="AY599" s="18">
        <v>198</v>
      </c>
      <c r="AZ599" s="18">
        <v>55</v>
      </c>
      <c r="BA599" s="18">
        <v>47</v>
      </c>
      <c r="BB599" s="18">
        <v>0.85455</v>
      </c>
      <c r="BC599" s="18">
        <v>0</v>
      </c>
      <c r="BD599" s="18">
        <v>0</v>
      </c>
      <c r="BE599" s="18">
        <v>0.15115</v>
      </c>
      <c r="BF599" s="18">
        <v>66</v>
      </c>
      <c r="BG599" s="18">
        <v>4</v>
      </c>
      <c r="BH599" s="18">
        <v>0</v>
      </c>
      <c r="BI599" s="18">
        <v>0</v>
      </c>
      <c r="BJ599" s="18">
        <v>0</v>
      </c>
      <c r="BK599" s="18">
        <v>0</v>
      </c>
      <c r="BL599" s="18">
        <v>0</v>
      </c>
      <c r="BM599" s="18">
        <v>1</v>
      </c>
      <c r="BN599" s="18">
        <v>1</v>
      </c>
      <c r="BO599" s="18">
        <v>8074</v>
      </c>
      <c r="BP599" s="18">
        <v>18.83</v>
      </c>
      <c r="BQ599" s="18">
        <v>125</v>
      </c>
      <c r="BR599" s="18">
        <v>0</v>
      </c>
      <c r="BS599" s="18">
        <v>0</v>
      </c>
      <c r="BT599" s="18">
        <v>0</v>
      </c>
      <c r="BU599" s="18">
        <v>0</v>
      </c>
    </row>
    <row r="600" spans="1:73">
      <c r="A600" s="19">
        <v>46148</v>
      </c>
      <c r="B600" s="18">
        <v>371</v>
      </c>
      <c r="C600" s="18" t="s">
        <v>32</v>
      </c>
      <c r="D600" s="18">
        <v>371</v>
      </c>
      <c r="E600" s="18" t="s">
        <v>32</v>
      </c>
      <c r="F600" s="18">
        <v>1020</v>
      </c>
      <c r="G600" s="18">
        <v>48</v>
      </c>
      <c r="H600" s="18">
        <v>20.71</v>
      </c>
      <c r="I600" s="18">
        <v>0.04706</v>
      </c>
      <c r="J600" s="18">
        <v>0.43</v>
      </c>
      <c r="K600" s="18">
        <v>20.3</v>
      </c>
      <c r="L600" s="18">
        <v>0</v>
      </c>
      <c r="M600" s="18">
        <v>0</v>
      </c>
      <c r="N600" s="18">
        <v>0</v>
      </c>
      <c r="O600" s="18">
        <v>0</v>
      </c>
      <c r="P600" s="18">
        <v>0</v>
      </c>
      <c r="Q600" s="18">
        <v>0</v>
      </c>
      <c r="R600" s="18">
        <v>33.9</v>
      </c>
      <c r="S600" s="18">
        <v>0</v>
      </c>
      <c r="T600" s="18">
        <v>33.9</v>
      </c>
      <c r="U600" s="18">
        <v>1</v>
      </c>
      <c r="V600" s="18">
        <v>1</v>
      </c>
      <c r="W600" s="18">
        <v>0</v>
      </c>
      <c r="X600" s="18">
        <v>0.02083</v>
      </c>
      <c r="Y600" s="18">
        <v>1.64</v>
      </c>
      <c r="Z600" s="18">
        <v>1.64</v>
      </c>
      <c r="AA600" s="18">
        <v>20.71</v>
      </c>
      <c r="AB600" s="18">
        <v>4</v>
      </c>
      <c r="AC600" s="18">
        <v>1</v>
      </c>
      <c r="AD600" s="18">
        <v>3</v>
      </c>
      <c r="AE600" s="18">
        <v>0.08333</v>
      </c>
      <c r="AF600" s="18">
        <v>0</v>
      </c>
      <c r="AG600" s="18">
        <v>2</v>
      </c>
      <c r="AH600" s="18">
        <v>10.36</v>
      </c>
      <c r="AI600" s="18">
        <v>6</v>
      </c>
      <c r="AJ600" s="18">
        <v>3.45</v>
      </c>
      <c r="AK600" s="18">
        <v>4</v>
      </c>
      <c r="AL600" s="18">
        <v>5.18</v>
      </c>
      <c r="AM600" s="18">
        <v>2</v>
      </c>
      <c r="AN600" s="18"/>
      <c r="AO600" s="18">
        <v>0</v>
      </c>
      <c r="AP600" s="18">
        <v>5.18</v>
      </c>
      <c r="AQ600" s="18">
        <v>1</v>
      </c>
      <c r="AR600" s="18">
        <v>39.9</v>
      </c>
      <c r="AS600" s="18">
        <v>0</v>
      </c>
      <c r="AT600" s="18">
        <v>0</v>
      </c>
      <c r="AU600" s="18">
        <v>0</v>
      </c>
      <c r="AV600" s="18">
        <v>0</v>
      </c>
      <c r="AW600" s="18">
        <v>0</v>
      </c>
      <c r="AX600" s="18">
        <v>1</v>
      </c>
      <c r="AY600" s="18">
        <v>201</v>
      </c>
      <c r="AZ600" s="18">
        <v>41</v>
      </c>
      <c r="BA600" s="18">
        <v>38</v>
      </c>
      <c r="BB600" s="18">
        <v>0.92683</v>
      </c>
      <c r="BC600" s="18">
        <v>0</v>
      </c>
      <c r="BD600" s="18">
        <v>0</v>
      </c>
      <c r="BE600" s="18">
        <v>0.19706</v>
      </c>
      <c r="BF600" s="18">
        <v>52</v>
      </c>
      <c r="BG600" s="18">
        <v>5</v>
      </c>
      <c r="BH600" s="18">
        <v>1</v>
      </c>
      <c r="BI600" s="18">
        <v>1</v>
      </c>
      <c r="BJ600" s="18">
        <v>0</v>
      </c>
      <c r="BK600" s="18">
        <v>0</v>
      </c>
      <c r="BL600" s="18">
        <v>0</v>
      </c>
      <c r="BM600" s="18">
        <v>1</v>
      </c>
      <c r="BN600" s="18">
        <v>1</v>
      </c>
      <c r="BO600" s="18">
        <v>33.9</v>
      </c>
      <c r="BP600" s="18">
        <v>0</v>
      </c>
      <c r="BQ600" s="18">
        <v>371</v>
      </c>
      <c r="BR600" s="18">
        <v>0</v>
      </c>
      <c r="BS600" s="18">
        <v>0</v>
      </c>
      <c r="BT600" s="18">
        <v>0</v>
      </c>
      <c r="BU600" s="18">
        <v>0</v>
      </c>
    </row>
    <row r="601" spans="1:73">
      <c r="A601" s="19">
        <v>46148</v>
      </c>
      <c r="B601" s="18">
        <v>183</v>
      </c>
      <c r="C601" s="18" t="s">
        <v>40</v>
      </c>
      <c r="D601" s="18">
        <v>183</v>
      </c>
      <c r="E601" s="18" t="s">
        <v>40</v>
      </c>
      <c r="F601" s="18">
        <v>1213</v>
      </c>
      <c r="G601" s="18">
        <v>40</v>
      </c>
      <c r="H601" s="18">
        <v>100</v>
      </c>
      <c r="I601" s="18">
        <v>0.03298</v>
      </c>
      <c r="J601" s="18">
        <v>2.5</v>
      </c>
      <c r="K601" s="18">
        <v>82.44</v>
      </c>
      <c r="L601" s="18">
        <v>0</v>
      </c>
      <c r="M601" s="18">
        <v>0</v>
      </c>
      <c r="N601" s="18">
        <v>0</v>
      </c>
      <c r="O601" s="18">
        <v>0</v>
      </c>
      <c r="P601" s="18">
        <v>0</v>
      </c>
      <c r="Q601" s="18">
        <v>0</v>
      </c>
      <c r="R601" s="18">
        <v>0</v>
      </c>
      <c r="S601" s="18">
        <v>0</v>
      </c>
      <c r="T601" s="18">
        <v>0</v>
      </c>
      <c r="U601" s="18">
        <v>0</v>
      </c>
      <c r="V601" s="18">
        <v>0</v>
      </c>
      <c r="W601" s="18">
        <v>0</v>
      </c>
      <c r="X601" s="18">
        <v>0</v>
      </c>
      <c r="Y601" s="18">
        <v>0</v>
      </c>
      <c r="Z601" s="18">
        <v>0</v>
      </c>
      <c r="AA601" s="18"/>
      <c r="AB601" s="18">
        <v>1</v>
      </c>
      <c r="AC601" s="18">
        <v>1</v>
      </c>
      <c r="AD601" s="18">
        <v>0</v>
      </c>
      <c r="AE601" s="18">
        <v>0.025</v>
      </c>
      <c r="AF601" s="18">
        <v>0</v>
      </c>
      <c r="AG601" s="18">
        <v>0</v>
      </c>
      <c r="AH601" s="18"/>
      <c r="AI601" s="18">
        <v>1</v>
      </c>
      <c r="AJ601" s="18">
        <v>100</v>
      </c>
      <c r="AK601" s="18">
        <v>1</v>
      </c>
      <c r="AL601" s="18">
        <v>100</v>
      </c>
      <c r="AM601" s="18">
        <v>0</v>
      </c>
      <c r="AN601" s="18"/>
      <c r="AO601" s="18">
        <v>0</v>
      </c>
      <c r="AP601" s="18">
        <v>100</v>
      </c>
      <c r="AQ601" s="18">
        <v>0</v>
      </c>
      <c r="AR601" s="18">
        <v>0</v>
      </c>
      <c r="AS601" s="18">
        <v>0</v>
      </c>
      <c r="AT601" s="18">
        <v>0</v>
      </c>
      <c r="AU601" s="18">
        <v>0</v>
      </c>
      <c r="AV601" s="18">
        <v>0</v>
      </c>
      <c r="AW601" s="18">
        <v>0</v>
      </c>
      <c r="AX601" s="18">
        <v>0</v>
      </c>
      <c r="AY601" s="18">
        <v>256</v>
      </c>
      <c r="AZ601" s="18">
        <v>101</v>
      </c>
      <c r="BA601" s="18">
        <v>59</v>
      </c>
      <c r="BB601" s="18">
        <v>0.58416</v>
      </c>
      <c r="BC601" s="18">
        <v>0</v>
      </c>
      <c r="BD601" s="18">
        <v>0</v>
      </c>
      <c r="BE601" s="18">
        <v>0.21105</v>
      </c>
      <c r="BF601" s="18">
        <v>105</v>
      </c>
      <c r="BG601" s="18">
        <v>3</v>
      </c>
      <c r="BH601" s="18">
        <v>0</v>
      </c>
      <c r="BI601" s="18"/>
      <c r="BJ601" s="18">
        <v>0</v>
      </c>
      <c r="BK601" s="18">
        <v>0</v>
      </c>
      <c r="BL601" s="18">
        <v>0</v>
      </c>
      <c r="BM601" s="18">
        <v>0</v>
      </c>
      <c r="BN601" s="18"/>
      <c r="BO601" s="18"/>
      <c r="BP601" s="18">
        <v>0</v>
      </c>
      <c r="BQ601" s="18">
        <v>110</v>
      </c>
      <c r="BR601" s="18">
        <v>0</v>
      </c>
      <c r="BS601" s="18">
        <v>0</v>
      </c>
      <c r="BT601" s="18">
        <v>0</v>
      </c>
      <c r="BU601" s="18">
        <v>0</v>
      </c>
    </row>
    <row r="602" spans="1:73">
      <c r="A602" s="19">
        <v>46148</v>
      </c>
      <c r="B602" s="18">
        <v>479</v>
      </c>
      <c r="C602" s="18" t="s">
        <v>39</v>
      </c>
      <c r="D602" s="18">
        <v>479</v>
      </c>
      <c r="E602" s="18" t="s">
        <v>39</v>
      </c>
      <c r="F602" s="18">
        <v>40</v>
      </c>
      <c r="G602" s="18">
        <v>21</v>
      </c>
      <c r="H602" s="18">
        <v>12.56</v>
      </c>
      <c r="I602" s="18">
        <v>0.525</v>
      </c>
      <c r="J602" s="18">
        <v>0.6</v>
      </c>
      <c r="K602" s="18">
        <v>314</v>
      </c>
      <c r="L602" s="18">
        <v>0</v>
      </c>
      <c r="M602" s="18">
        <v>0</v>
      </c>
      <c r="N602" s="18">
        <v>0</v>
      </c>
      <c r="O602" s="18">
        <v>0</v>
      </c>
      <c r="P602" s="18">
        <v>0</v>
      </c>
      <c r="Q602" s="18">
        <v>0</v>
      </c>
      <c r="R602" s="18">
        <v>0</v>
      </c>
      <c r="S602" s="18">
        <v>0</v>
      </c>
      <c r="T602" s="18">
        <v>0</v>
      </c>
      <c r="U602" s="18">
        <v>0</v>
      </c>
      <c r="V602" s="18">
        <v>0</v>
      </c>
      <c r="W602" s="18">
        <v>0</v>
      </c>
      <c r="X602" s="18">
        <v>0</v>
      </c>
      <c r="Y602" s="18">
        <v>0</v>
      </c>
      <c r="Z602" s="18">
        <v>0</v>
      </c>
      <c r="AA602" s="18"/>
      <c r="AB602" s="18">
        <v>3</v>
      </c>
      <c r="AC602" s="18">
        <v>0</v>
      </c>
      <c r="AD602" s="18">
        <v>3</v>
      </c>
      <c r="AE602" s="18">
        <v>0.14286</v>
      </c>
      <c r="AF602" s="18">
        <v>0</v>
      </c>
      <c r="AG602" s="18">
        <v>1</v>
      </c>
      <c r="AH602" s="18">
        <v>12.56</v>
      </c>
      <c r="AI602" s="18">
        <v>4</v>
      </c>
      <c r="AJ602" s="18">
        <v>3.14</v>
      </c>
      <c r="AK602" s="18">
        <v>3</v>
      </c>
      <c r="AL602" s="18">
        <v>4.19</v>
      </c>
      <c r="AM602" s="18">
        <v>1</v>
      </c>
      <c r="AN602" s="18"/>
      <c r="AO602" s="18">
        <v>0</v>
      </c>
      <c r="AP602" s="18">
        <v>4.19</v>
      </c>
      <c r="AQ602" s="18">
        <v>0</v>
      </c>
      <c r="AR602" s="18">
        <v>0</v>
      </c>
      <c r="AS602" s="18">
        <v>0</v>
      </c>
      <c r="AT602" s="18">
        <v>0</v>
      </c>
      <c r="AU602" s="18">
        <v>0</v>
      </c>
      <c r="AV602" s="18">
        <v>0</v>
      </c>
      <c r="AW602" s="18">
        <v>0</v>
      </c>
      <c r="AX602" s="18">
        <v>1</v>
      </c>
      <c r="AY602" s="18">
        <v>164</v>
      </c>
      <c r="AZ602" s="18">
        <v>16</v>
      </c>
      <c r="BA602" s="18">
        <v>9</v>
      </c>
      <c r="BB602" s="18">
        <v>0.5625</v>
      </c>
      <c r="BC602" s="18">
        <v>0</v>
      </c>
      <c r="BD602" s="18">
        <v>0</v>
      </c>
      <c r="BE602" s="18">
        <v>4.1</v>
      </c>
      <c r="BF602" s="18">
        <v>141</v>
      </c>
      <c r="BG602" s="18">
        <v>10</v>
      </c>
      <c r="BH602" s="18">
        <v>0</v>
      </c>
      <c r="BI602" s="18"/>
      <c r="BJ602" s="18">
        <v>0</v>
      </c>
      <c r="BK602" s="18">
        <v>0</v>
      </c>
      <c r="BL602" s="18">
        <v>0</v>
      </c>
      <c r="BM602" s="18">
        <v>0</v>
      </c>
      <c r="BN602" s="18"/>
      <c r="BO602" s="18"/>
      <c r="BP602" s="18">
        <v>0.01</v>
      </c>
      <c r="BQ602" s="18">
        <v>34</v>
      </c>
      <c r="BR602" s="18">
        <v>0</v>
      </c>
      <c r="BS602" s="18">
        <v>0</v>
      </c>
      <c r="BT602" s="18">
        <v>0</v>
      </c>
      <c r="BU602" s="18">
        <v>0</v>
      </c>
    </row>
    <row r="603" spans="1:73">
      <c r="A603" s="19">
        <v>46148</v>
      </c>
      <c r="B603" s="18">
        <v>372</v>
      </c>
      <c r="C603" s="18" t="s">
        <v>37</v>
      </c>
      <c r="D603" s="18">
        <v>372</v>
      </c>
      <c r="E603" s="18" t="s">
        <v>61</v>
      </c>
      <c r="F603" s="18">
        <v>2812</v>
      </c>
      <c r="G603" s="18">
        <v>239</v>
      </c>
      <c r="H603" s="18">
        <v>77.37</v>
      </c>
      <c r="I603" s="18">
        <v>0.08499</v>
      </c>
      <c r="J603" s="18">
        <v>0.32</v>
      </c>
      <c r="K603" s="18">
        <v>27.51</v>
      </c>
      <c r="L603" s="18">
        <v>0</v>
      </c>
      <c r="M603" s="18">
        <v>0</v>
      </c>
      <c r="N603" s="18">
        <v>0</v>
      </c>
      <c r="O603" s="18">
        <v>0</v>
      </c>
      <c r="P603" s="18">
        <v>0</v>
      </c>
      <c r="Q603" s="18">
        <v>0</v>
      </c>
      <c r="R603" s="18">
        <v>355.38</v>
      </c>
      <c r="S603" s="18">
        <v>0</v>
      </c>
      <c r="T603" s="18">
        <v>355.38</v>
      </c>
      <c r="U603" s="18">
        <v>2</v>
      </c>
      <c r="V603" s="18">
        <v>2</v>
      </c>
      <c r="W603" s="18">
        <v>0</v>
      </c>
      <c r="X603" s="18">
        <v>0.00837</v>
      </c>
      <c r="Y603" s="18">
        <v>4.59</v>
      </c>
      <c r="Z603" s="18">
        <v>4.59</v>
      </c>
      <c r="AA603" s="18">
        <v>38.69</v>
      </c>
      <c r="AB603" s="18">
        <v>4</v>
      </c>
      <c r="AC603" s="18">
        <v>3</v>
      </c>
      <c r="AD603" s="18">
        <v>1</v>
      </c>
      <c r="AE603" s="18">
        <v>0.01674</v>
      </c>
      <c r="AF603" s="18">
        <v>2</v>
      </c>
      <c r="AG603" s="18">
        <v>1</v>
      </c>
      <c r="AH603" s="18">
        <v>77.37</v>
      </c>
      <c r="AI603" s="18">
        <v>7</v>
      </c>
      <c r="AJ603" s="18">
        <v>11.05</v>
      </c>
      <c r="AK603" s="18">
        <v>6</v>
      </c>
      <c r="AL603" s="18">
        <v>12.9</v>
      </c>
      <c r="AM603" s="18">
        <v>3</v>
      </c>
      <c r="AN603" s="18">
        <v>38.69</v>
      </c>
      <c r="AO603" s="18">
        <v>0.00837</v>
      </c>
      <c r="AP603" s="18">
        <v>19.34</v>
      </c>
      <c r="AQ603" s="18">
        <v>3</v>
      </c>
      <c r="AR603" s="18">
        <v>486.9</v>
      </c>
      <c r="AS603" s="18">
        <v>2</v>
      </c>
      <c r="AT603" s="18">
        <v>0</v>
      </c>
      <c r="AU603" s="18">
        <v>0</v>
      </c>
      <c r="AV603" s="18">
        <v>0</v>
      </c>
      <c r="AW603" s="18">
        <v>0</v>
      </c>
      <c r="AX603" s="18">
        <v>1</v>
      </c>
      <c r="AY603" s="18">
        <v>403</v>
      </c>
      <c r="AZ603" s="18">
        <v>223</v>
      </c>
      <c r="BA603" s="18">
        <v>177</v>
      </c>
      <c r="BB603" s="18">
        <v>0.79372</v>
      </c>
      <c r="BC603" s="18">
        <v>0</v>
      </c>
      <c r="BD603" s="18">
        <v>0</v>
      </c>
      <c r="BE603" s="18">
        <v>0.14331</v>
      </c>
      <c r="BF603" s="18">
        <v>114</v>
      </c>
      <c r="BG603" s="18">
        <v>2</v>
      </c>
      <c r="BH603" s="18">
        <v>2</v>
      </c>
      <c r="BI603" s="18">
        <v>1</v>
      </c>
      <c r="BJ603" s="18">
        <v>0</v>
      </c>
      <c r="BK603" s="18">
        <v>0</v>
      </c>
      <c r="BL603" s="18">
        <v>0</v>
      </c>
      <c r="BM603" s="18">
        <v>2</v>
      </c>
      <c r="BN603" s="18">
        <v>1</v>
      </c>
      <c r="BO603" s="18">
        <v>177.69</v>
      </c>
      <c r="BP603" s="18">
        <v>8.19</v>
      </c>
      <c r="BQ603" s="18">
        <v>1013</v>
      </c>
      <c r="BR603" s="18">
        <v>0</v>
      </c>
      <c r="BS603" s="18">
        <v>0</v>
      </c>
      <c r="BT603" s="18">
        <v>0</v>
      </c>
      <c r="BU603" s="18">
        <v>0</v>
      </c>
    </row>
    <row r="604" spans="1:73">
      <c r="A604" s="19">
        <v>46148</v>
      </c>
      <c r="B604" s="18">
        <v>436</v>
      </c>
      <c r="C604" s="18" t="s">
        <v>38</v>
      </c>
      <c r="D604" s="18">
        <v>436</v>
      </c>
      <c r="E604" s="18" t="s">
        <v>38</v>
      </c>
      <c r="F604" s="18">
        <v>601</v>
      </c>
      <c r="G604" s="18">
        <v>23</v>
      </c>
      <c r="H604" s="18">
        <v>41</v>
      </c>
      <c r="I604" s="18">
        <v>0.03827</v>
      </c>
      <c r="J604" s="18">
        <v>1.78</v>
      </c>
      <c r="K604" s="18">
        <v>68.22</v>
      </c>
      <c r="L604" s="18">
        <v>0</v>
      </c>
      <c r="M604" s="18">
        <v>0</v>
      </c>
      <c r="N604" s="18">
        <v>0</v>
      </c>
      <c r="O604" s="18">
        <v>0</v>
      </c>
      <c r="P604" s="18">
        <v>0</v>
      </c>
      <c r="Q604" s="18">
        <v>0</v>
      </c>
      <c r="R604" s="18">
        <v>0</v>
      </c>
      <c r="S604" s="18">
        <v>732.28</v>
      </c>
      <c r="T604" s="18">
        <v>732.28</v>
      </c>
      <c r="U604" s="18">
        <v>1</v>
      </c>
      <c r="V604" s="18">
        <v>0</v>
      </c>
      <c r="W604" s="18">
        <v>1</v>
      </c>
      <c r="X604" s="18">
        <v>0.04348</v>
      </c>
      <c r="Y604" s="18">
        <v>17.86</v>
      </c>
      <c r="Z604" s="18">
        <v>17.86</v>
      </c>
      <c r="AA604" s="18">
        <v>41</v>
      </c>
      <c r="AB604" s="18">
        <v>7</v>
      </c>
      <c r="AC604" s="18">
        <v>2</v>
      </c>
      <c r="AD604" s="18">
        <v>5</v>
      </c>
      <c r="AE604" s="18">
        <v>0.30435</v>
      </c>
      <c r="AF604" s="18">
        <v>1</v>
      </c>
      <c r="AG604" s="18">
        <v>1</v>
      </c>
      <c r="AH604" s="18">
        <v>41</v>
      </c>
      <c r="AI604" s="18">
        <v>9</v>
      </c>
      <c r="AJ604" s="18">
        <v>4.56</v>
      </c>
      <c r="AK604" s="18">
        <v>8</v>
      </c>
      <c r="AL604" s="18">
        <v>5.13</v>
      </c>
      <c r="AM604" s="18">
        <v>2</v>
      </c>
      <c r="AN604" s="18">
        <v>41</v>
      </c>
      <c r="AO604" s="18">
        <v>0.04348</v>
      </c>
      <c r="AP604" s="18">
        <v>5.86</v>
      </c>
      <c r="AQ604" s="18">
        <v>2</v>
      </c>
      <c r="AR604" s="18">
        <v>1116</v>
      </c>
      <c r="AS604" s="18">
        <v>0</v>
      </c>
      <c r="AT604" s="18">
        <v>1</v>
      </c>
      <c r="AU604" s="18">
        <v>0</v>
      </c>
      <c r="AV604" s="18">
        <v>0</v>
      </c>
      <c r="AW604" s="18">
        <v>0</v>
      </c>
      <c r="AX604" s="18">
        <v>2</v>
      </c>
      <c r="AY604" s="18">
        <v>97</v>
      </c>
      <c r="AZ604" s="18">
        <v>22</v>
      </c>
      <c r="BA604" s="18">
        <v>15</v>
      </c>
      <c r="BB604" s="18">
        <v>0.68182</v>
      </c>
      <c r="BC604" s="18">
        <v>0</v>
      </c>
      <c r="BD604" s="18">
        <v>0</v>
      </c>
      <c r="BE604" s="18">
        <v>0.1614</v>
      </c>
      <c r="BF604" s="18">
        <v>73</v>
      </c>
      <c r="BG604" s="18">
        <v>4</v>
      </c>
      <c r="BH604" s="18">
        <v>1</v>
      </c>
      <c r="BI604" s="18">
        <v>1</v>
      </c>
      <c r="BJ604" s="18">
        <v>0</v>
      </c>
      <c r="BK604" s="18">
        <v>0</v>
      </c>
      <c r="BL604" s="18">
        <v>0</v>
      </c>
      <c r="BM604" s="18">
        <v>1</v>
      </c>
      <c r="BN604" s="18">
        <v>1</v>
      </c>
      <c r="BO604" s="18">
        <v>732.28</v>
      </c>
      <c r="BP604" s="18">
        <v>0</v>
      </c>
      <c r="BQ604" s="18">
        <v>252</v>
      </c>
      <c r="BR604" s="18">
        <v>0</v>
      </c>
      <c r="BS604" s="18">
        <v>0</v>
      </c>
      <c r="BT604" s="18">
        <v>0</v>
      </c>
      <c r="BU604" s="18">
        <v>0</v>
      </c>
    </row>
    <row r="605" spans="1:73">
      <c r="A605" s="19">
        <v>46147</v>
      </c>
      <c r="B605" s="18">
        <v>183</v>
      </c>
      <c r="C605" s="18" t="s">
        <v>40</v>
      </c>
      <c r="D605" s="18">
        <v>183</v>
      </c>
      <c r="E605" s="18" t="s">
        <v>40</v>
      </c>
      <c r="F605" s="18">
        <v>1259</v>
      </c>
      <c r="G605" s="18">
        <v>52</v>
      </c>
      <c r="H605" s="18">
        <v>100</v>
      </c>
      <c r="I605" s="18">
        <v>0.0413</v>
      </c>
      <c r="J605" s="18">
        <v>1.92</v>
      </c>
      <c r="K605" s="18">
        <v>79.43</v>
      </c>
      <c r="L605" s="18">
        <v>0</v>
      </c>
      <c r="M605" s="18">
        <v>0</v>
      </c>
      <c r="N605" s="18">
        <v>0</v>
      </c>
      <c r="O605" s="18">
        <v>0</v>
      </c>
      <c r="P605" s="18">
        <v>0</v>
      </c>
      <c r="Q605" s="18">
        <v>0</v>
      </c>
      <c r="R605" s="18">
        <v>0</v>
      </c>
      <c r="S605" s="18">
        <v>0</v>
      </c>
      <c r="T605" s="18">
        <v>0</v>
      </c>
      <c r="U605" s="18">
        <v>0</v>
      </c>
      <c r="V605" s="18">
        <v>0</v>
      </c>
      <c r="W605" s="18">
        <v>0</v>
      </c>
      <c r="X605" s="18">
        <v>0</v>
      </c>
      <c r="Y605" s="18">
        <v>0</v>
      </c>
      <c r="Z605" s="18">
        <v>0</v>
      </c>
      <c r="AA605" s="18"/>
      <c r="AB605" s="18">
        <v>2</v>
      </c>
      <c r="AC605" s="18">
        <v>2</v>
      </c>
      <c r="AD605" s="18">
        <v>0</v>
      </c>
      <c r="AE605" s="18">
        <v>0.03846</v>
      </c>
      <c r="AF605" s="18">
        <v>0</v>
      </c>
      <c r="AG605" s="18">
        <v>0</v>
      </c>
      <c r="AH605" s="18"/>
      <c r="AI605" s="18">
        <v>2</v>
      </c>
      <c r="AJ605" s="18">
        <v>50</v>
      </c>
      <c r="AK605" s="18">
        <v>2</v>
      </c>
      <c r="AL605" s="18">
        <v>50</v>
      </c>
      <c r="AM605" s="18">
        <v>0</v>
      </c>
      <c r="AN605" s="18"/>
      <c r="AO605" s="18">
        <v>0</v>
      </c>
      <c r="AP605" s="18">
        <v>50</v>
      </c>
      <c r="AQ605" s="18">
        <v>0</v>
      </c>
      <c r="AR605" s="18">
        <v>0</v>
      </c>
      <c r="AS605" s="18">
        <v>0</v>
      </c>
      <c r="AT605" s="18">
        <v>0</v>
      </c>
      <c r="AU605" s="18">
        <v>0</v>
      </c>
      <c r="AV605" s="18">
        <v>0</v>
      </c>
      <c r="AW605" s="18">
        <v>0</v>
      </c>
      <c r="AX605" s="18">
        <v>0</v>
      </c>
      <c r="AY605" s="18">
        <v>255</v>
      </c>
      <c r="AZ605" s="18">
        <v>126</v>
      </c>
      <c r="BA605" s="18">
        <v>93</v>
      </c>
      <c r="BB605" s="18">
        <v>0.7381</v>
      </c>
      <c r="BC605" s="18">
        <v>0</v>
      </c>
      <c r="BD605" s="18">
        <v>0</v>
      </c>
      <c r="BE605" s="18">
        <v>0.20254</v>
      </c>
      <c r="BF605" s="18">
        <v>68</v>
      </c>
      <c r="BG605" s="18">
        <v>2</v>
      </c>
      <c r="BH605" s="18">
        <v>0</v>
      </c>
      <c r="BI605" s="18"/>
      <c r="BJ605" s="18">
        <v>0</v>
      </c>
      <c r="BK605" s="18">
        <v>0</v>
      </c>
      <c r="BL605" s="18">
        <v>0</v>
      </c>
      <c r="BM605" s="18">
        <v>0</v>
      </c>
      <c r="BN605" s="18"/>
      <c r="BO605" s="18"/>
      <c r="BP605" s="18">
        <v>15.24</v>
      </c>
      <c r="BQ605" s="18">
        <v>121</v>
      </c>
      <c r="BR605" s="18">
        <v>0</v>
      </c>
      <c r="BS605" s="18">
        <v>0</v>
      </c>
      <c r="BT605" s="18">
        <v>0</v>
      </c>
      <c r="BU605" s="18">
        <v>0</v>
      </c>
    </row>
    <row r="606" spans="1:73">
      <c r="A606" s="19">
        <v>46147</v>
      </c>
      <c r="B606" s="18">
        <v>479</v>
      </c>
      <c r="C606" s="18" t="s">
        <v>39</v>
      </c>
      <c r="D606" s="18">
        <v>479</v>
      </c>
      <c r="E606" s="18" t="s">
        <v>39</v>
      </c>
      <c r="F606" s="18">
        <v>43</v>
      </c>
      <c r="G606" s="18">
        <v>21</v>
      </c>
      <c r="H606" s="18">
        <v>13.43</v>
      </c>
      <c r="I606" s="18">
        <v>0.48837</v>
      </c>
      <c r="J606" s="18">
        <v>0.64</v>
      </c>
      <c r="K606" s="18">
        <v>312.23</v>
      </c>
      <c r="L606" s="18">
        <v>0</v>
      </c>
      <c r="M606" s="18">
        <v>0</v>
      </c>
      <c r="N606" s="18">
        <v>0</v>
      </c>
      <c r="O606" s="18">
        <v>0</v>
      </c>
      <c r="P606" s="18">
        <v>0</v>
      </c>
      <c r="Q606" s="18">
        <v>0</v>
      </c>
      <c r="R606" s="18">
        <v>0</v>
      </c>
      <c r="S606" s="18">
        <v>4537.75</v>
      </c>
      <c r="T606" s="18">
        <v>4537.75</v>
      </c>
      <c r="U606" s="18">
        <v>19</v>
      </c>
      <c r="V606" s="18">
        <v>0</v>
      </c>
      <c r="W606" s="18">
        <v>19</v>
      </c>
      <c r="X606" s="18">
        <v>0.90476</v>
      </c>
      <c r="Y606" s="18">
        <v>337.98</v>
      </c>
      <c r="Z606" s="18">
        <v>337.98</v>
      </c>
      <c r="AA606" s="18">
        <v>0.71</v>
      </c>
      <c r="AB606" s="18">
        <v>21</v>
      </c>
      <c r="AC606" s="18">
        <v>0</v>
      </c>
      <c r="AD606" s="18">
        <v>21</v>
      </c>
      <c r="AE606" s="18">
        <v>1</v>
      </c>
      <c r="AF606" s="18">
        <v>0</v>
      </c>
      <c r="AG606" s="18">
        <v>1</v>
      </c>
      <c r="AH606" s="18">
        <v>13.43</v>
      </c>
      <c r="AI606" s="18">
        <v>22</v>
      </c>
      <c r="AJ606" s="18">
        <v>0.61</v>
      </c>
      <c r="AK606" s="18">
        <v>21</v>
      </c>
      <c r="AL606" s="18">
        <v>0.64</v>
      </c>
      <c r="AM606" s="18">
        <v>1</v>
      </c>
      <c r="AN606" s="18"/>
      <c r="AO606" s="18">
        <v>0</v>
      </c>
      <c r="AP606" s="18">
        <v>0.64</v>
      </c>
      <c r="AQ606" s="18">
        <v>23</v>
      </c>
      <c r="AR606" s="18">
        <v>6031.5</v>
      </c>
      <c r="AS606" s="18">
        <v>0</v>
      </c>
      <c r="AT606" s="18">
        <v>0</v>
      </c>
      <c r="AU606" s="18">
        <v>0</v>
      </c>
      <c r="AV606" s="18">
        <v>0</v>
      </c>
      <c r="AW606" s="18">
        <v>0</v>
      </c>
      <c r="AX606" s="18">
        <v>3</v>
      </c>
      <c r="AY606" s="18">
        <v>270</v>
      </c>
      <c r="AZ606" s="18">
        <v>17</v>
      </c>
      <c r="BA606" s="18">
        <v>11</v>
      </c>
      <c r="BB606" s="18">
        <v>0.64706</v>
      </c>
      <c r="BC606" s="18">
        <v>0</v>
      </c>
      <c r="BD606" s="18">
        <v>0</v>
      </c>
      <c r="BE606" s="18">
        <v>6.27907</v>
      </c>
      <c r="BF606" s="18">
        <v>249</v>
      </c>
      <c r="BG606" s="18">
        <v>16</v>
      </c>
      <c r="BH606" s="18">
        <v>2</v>
      </c>
      <c r="BI606" s="18">
        <v>1</v>
      </c>
      <c r="BJ606" s="18">
        <v>0</v>
      </c>
      <c r="BK606" s="18">
        <v>0</v>
      </c>
      <c r="BL606" s="18">
        <v>0</v>
      </c>
      <c r="BM606" s="18">
        <v>2</v>
      </c>
      <c r="BN606" s="18">
        <v>10</v>
      </c>
      <c r="BO606" s="18">
        <v>2268.88</v>
      </c>
      <c r="BP606" s="18">
        <v>81</v>
      </c>
      <c r="BQ606" s="18">
        <v>1027</v>
      </c>
      <c r="BR606" s="18">
        <v>0</v>
      </c>
      <c r="BS606" s="18">
        <v>0</v>
      </c>
      <c r="BT606" s="18">
        <v>0</v>
      </c>
      <c r="BU606" s="18">
        <v>0</v>
      </c>
    </row>
    <row r="607" spans="1:73">
      <c r="A607" s="19">
        <v>46147</v>
      </c>
      <c r="B607" s="18">
        <v>436</v>
      </c>
      <c r="C607" s="18" t="s">
        <v>38</v>
      </c>
      <c r="D607" s="18">
        <v>436</v>
      </c>
      <c r="E607" s="18" t="s">
        <v>38</v>
      </c>
      <c r="F607" s="18">
        <v>762</v>
      </c>
      <c r="G607" s="18">
        <v>28</v>
      </c>
      <c r="H607" s="18">
        <v>38.06</v>
      </c>
      <c r="I607" s="18">
        <v>0.03675</v>
      </c>
      <c r="J607" s="18">
        <v>1.36</v>
      </c>
      <c r="K607" s="18">
        <v>49.95</v>
      </c>
      <c r="L607" s="18">
        <v>0</v>
      </c>
      <c r="M607" s="18">
        <v>0</v>
      </c>
      <c r="N607" s="18">
        <v>0</v>
      </c>
      <c r="O607" s="18">
        <v>0</v>
      </c>
      <c r="P607" s="18">
        <v>0</v>
      </c>
      <c r="Q607" s="18">
        <v>0</v>
      </c>
      <c r="R607" s="18">
        <v>0</v>
      </c>
      <c r="S607" s="18">
        <v>138.64</v>
      </c>
      <c r="T607" s="18">
        <v>138.64</v>
      </c>
      <c r="U607" s="18">
        <v>1</v>
      </c>
      <c r="V607" s="18">
        <v>0</v>
      </c>
      <c r="W607" s="18">
        <v>1</v>
      </c>
      <c r="X607" s="18">
        <v>0.03571</v>
      </c>
      <c r="Y607" s="18">
        <v>3.64</v>
      </c>
      <c r="Z607" s="18">
        <v>3.64</v>
      </c>
      <c r="AA607" s="18">
        <v>38.06</v>
      </c>
      <c r="AB607" s="18">
        <v>2</v>
      </c>
      <c r="AC607" s="18">
        <v>0</v>
      </c>
      <c r="AD607" s="18">
        <v>2</v>
      </c>
      <c r="AE607" s="18">
        <v>0.07143</v>
      </c>
      <c r="AF607" s="18">
        <v>0</v>
      </c>
      <c r="AG607" s="18">
        <v>0</v>
      </c>
      <c r="AH607" s="18"/>
      <c r="AI607" s="18">
        <v>2</v>
      </c>
      <c r="AJ607" s="18">
        <v>19.03</v>
      </c>
      <c r="AK607" s="18">
        <v>2</v>
      </c>
      <c r="AL607" s="18">
        <v>19.03</v>
      </c>
      <c r="AM607" s="18">
        <v>0</v>
      </c>
      <c r="AN607" s="18"/>
      <c r="AO607" s="18">
        <v>0</v>
      </c>
      <c r="AP607" s="18">
        <v>19.03</v>
      </c>
      <c r="AQ607" s="18">
        <v>1</v>
      </c>
      <c r="AR607" s="18">
        <v>168</v>
      </c>
      <c r="AS607" s="18">
        <v>0</v>
      </c>
      <c r="AT607" s="18">
        <v>0</v>
      </c>
      <c r="AU607" s="18">
        <v>0</v>
      </c>
      <c r="AV607" s="18">
        <v>0</v>
      </c>
      <c r="AW607" s="18">
        <v>0</v>
      </c>
      <c r="AX607" s="18">
        <v>2</v>
      </c>
      <c r="AY607" s="18">
        <v>84</v>
      </c>
      <c r="AZ607" s="18">
        <v>22</v>
      </c>
      <c r="BA607" s="18">
        <v>15</v>
      </c>
      <c r="BB607" s="18">
        <v>0.68182</v>
      </c>
      <c r="BC607" s="18">
        <v>0</v>
      </c>
      <c r="BD607" s="18">
        <v>0</v>
      </c>
      <c r="BE607" s="18">
        <v>0.11024</v>
      </c>
      <c r="BF607" s="18">
        <v>57</v>
      </c>
      <c r="BG607" s="18">
        <v>4</v>
      </c>
      <c r="BH607" s="18">
        <v>1</v>
      </c>
      <c r="BI607" s="18">
        <v>1</v>
      </c>
      <c r="BJ607" s="18">
        <v>0</v>
      </c>
      <c r="BK607" s="18">
        <v>0</v>
      </c>
      <c r="BL607" s="18">
        <v>0</v>
      </c>
      <c r="BM607" s="18">
        <v>1</v>
      </c>
      <c r="BN607" s="18">
        <v>1</v>
      </c>
      <c r="BO607" s="18">
        <v>138.64</v>
      </c>
      <c r="BP607" s="18">
        <v>9.61</v>
      </c>
      <c r="BQ607" s="18">
        <v>244</v>
      </c>
      <c r="BR607" s="18">
        <v>0</v>
      </c>
      <c r="BS607" s="18">
        <v>0</v>
      </c>
      <c r="BT607" s="18">
        <v>0</v>
      </c>
      <c r="BU607" s="18">
        <v>0</v>
      </c>
    </row>
    <row r="608" spans="1:73">
      <c r="A608" s="19">
        <v>46147</v>
      </c>
      <c r="B608" s="18">
        <v>372</v>
      </c>
      <c r="C608" s="18" t="s">
        <v>37</v>
      </c>
      <c r="D608" s="18">
        <v>372</v>
      </c>
      <c r="E608" s="18" t="s">
        <v>61</v>
      </c>
      <c r="F608" s="18">
        <v>3598</v>
      </c>
      <c r="G608" s="18">
        <v>300</v>
      </c>
      <c r="H608" s="18">
        <v>101.66</v>
      </c>
      <c r="I608" s="18">
        <v>0.08338</v>
      </c>
      <c r="J608" s="18">
        <v>0.34</v>
      </c>
      <c r="K608" s="18">
        <v>28.25</v>
      </c>
      <c r="L608" s="18">
        <v>0</v>
      </c>
      <c r="M608" s="18">
        <v>0</v>
      </c>
      <c r="N608" s="18">
        <v>0</v>
      </c>
      <c r="O608" s="18">
        <v>0</v>
      </c>
      <c r="P608" s="18">
        <v>0</v>
      </c>
      <c r="Q608" s="18">
        <v>0</v>
      </c>
      <c r="R608" s="18">
        <v>0</v>
      </c>
      <c r="S608" s="18">
        <v>0</v>
      </c>
      <c r="T608" s="18">
        <v>0</v>
      </c>
      <c r="U608" s="18">
        <v>0</v>
      </c>
      <c r="V608" s="18">
        <v>0</v>
      </c>
      <c r="W608" s="18">
        <v>0</v>
      </c>
      <c r="X608" s="18">
        <v>0</v>
      </c>
      <c r="Y608" s="18">
        <v>0</v>
      </c>
      <c r="Z608" s="18">
        <v>0</v>
      </c>
      <c r="AA608" s="18"/>
      <c r="AB608" s="18">
        <v>7</v>
      </c>
      <c r="AC608" s="18">
        <v>6</v>
      </c>
      <c r="AD608" s="18">
        <v>1</v>
      </c>
      <c r="AE608" s="18">
        <v>0.02333</v>
      </c>
      <c r="AF608" s="18">
        <v>3</v>
      </c>
      <c r="AG608" s="18">
        <v>0</v>
      </c>
      <c r="AH608" s="18"/>
      <c r="AI608" s="18">
        <v>10</v>
      </c>
      <c r="AJ608" s="18">
        <v>10.17</v>
      </c>
      <c r="AK608" s="18">
        <v>10</v>
      </c>
      <c r="AL608" s="18">
        <v>10.17</v>
      </c>
      <c r="AM608" s="18">
        <v>3</v>
      </c>
      <c r="AN608" s="18">
        <v>33.89</v>
      </c>
      <c r="AO608" s="18">
        <v>0.01</v>
      </c>
      <c r="AP608" s="18">
        <v>14.52</v>
      </c>
      <c r="AQ608" s="18">
        <v>1</v>
      </c>
      <c r="AR608" s="18">
        <v>69</v>
      </c>
      <c r="AS608" s="18">
        <v>3</v>
      </c>
      <c r="AT608" s="18">
        <v>0</v>
      </c>
      <c r="AU608" s="18">
        <v>0</v>
      </c>
      <c r="AV608" s="18">
        <v>0</v>
      </c>
      <c r="AW608" s="18">
        <v>0</v>
      </c>
      <c r="AX608" s="18">
        <v>0</v>
      </c>
      <c r="AY608" s="18">
        <v>561</v>
      </c>
      <c r="AZ608" s="18">
        <v>281</v>
      </c>
      <c r="BA608" s="18">
        <v>211</v>
      </c>
      <c r="BB608" s="18">
        <v>0.75089</v>
      </c>
      <c r="BC608" s="18">
        <v>0</v>
      </c>
      <c r="BD608" s="18">
        <v>0</v>
      </c>
      <c r="BE608" s="18">
        <v>0.15592</v>
      </c>
      <c r="BF608" s="18">
        <v>185</v>
      </c>
      <c r="BG608" s="18">
        <v>2</v>
      </c>
      <c r="BH608" s="18">
        <v>0</v>
      </c>
      <c r="BI608" s="18"/>
      <c r="BJ608" s="18">
        <v>0</v>
      </c>
      <c r="BK608" s="18">
        <v>0</v>
      </c>
      <c r="BL608" s="18">
        <v>0</v>
      </c>
      <c r="BM608" s="18">
        <v>0</v>
      </c>
      <c r="BN608" s="18"/>
      <c r="BO608" s="18"/>
      <c r="BP608" s="18">
        <v>6.92</v>
      </c>
      <c r="BQ608" s="18">
        <v>473</v>
      </c>
      <c r="BR608" s="18">
        <v>0</v>
      </c>
      <c r="BS608" s="18">
        <v>0</v>
      </c>
      <c r="BT608" s="18">
        <v>0</v>
      </c>
      <c r="BU608" s="18">
        <v>0</v>
      </c>
    </row>
    <row r="609" spans="1:73">
      <c r="A609" s="19">
        <v>46147</v>
      </c>
      <c r="B609" s="18">
        <v>371</v>
      </c>
      <c r="C609" s="18" t="s">
        <v>32</v>
      </c>
      <c r="D609" s="18">
        <v>371</v>
      </c>
      <c r="E609" s="18" t="s">
        <v>32</v>
      </c>
      <c r="F609" s="18">
        <v>748</v>
      </c>
      <c r="G609" s="18">
        <v>31</v>
      </c>
      <c r="H609" s="18">
        <v>10.14</v>
      </c>
      <c r="I609" s="18">
        <v>0.04144</v>
      </c>
      <c r="J609" s="18">
        <v>0.33</v>
      </c>
      <c r="K609" s="18">
        <v>13.56</v>
      </c>
      <c r="L609" s="18">
        <v>0</v>
      </c>
      <c r="M609" s="18">
        <v>0</v>
      </c>
      <c r="N609" s="18">
        <v>0</v>
      </c>
      <c r="O609" s="18">
        <v>0</v>
      </c>
      <c r="P609" s="18">
        <v>0</v>
      </c>
      <c r="Q609" s="18">
        <v>0</v>
      </c>
      <c r="R609" s="18">
        <v>0</v>
      </c>
      <c r="S609" s="18">
        <v>0</v>
      </c>
      <c r="T609" s="18">
        <v>0</v>
      </c>
      <c r="U609" s="18">
        <v>0</v>
      </c>
      <c r="V609" s="18">
        <v>0</v>
      </c>
      <c r="W609" s="18">
        <v>0</v>
      </c>
      <c r="X609" s="18">
        <v>0</v>
      </c>
      <c r="Y609" s="18">
        <v>0</v>
      </c>
      <c r="Z609" s="18">
        <v>0</v>
      </c>
      <c r="AA609" s="18"/>
      <c r="AB609" s="18">
        <v>3</v>
      </c>
      <c r="AC609" s="18">
        <v>2</v>
      </c>
      <c r="AD609" s="18">
        <v>1</v>
      </c>
      <c r="AE609" s="18">
        <v>0.09677</v>
      </c>
      <c r="AF609" s="18">
        <v>0</v>
      </c>
      <c r="AG609" s="18">
        <v>0</v>
      </c>
      <c r="AH609" s="18"/>
      <c r="AI609" s="18">
        <v>3</v>
      </c>
      <c r="AJ609" s="18">
        <v>3.38</v>
      </c>
      <c r="AK609" s="18">
        <v>3</v>
      </c>
      <c r="AL609" s="18">
        <v>3.38</v>
      </c>
      <c r="AM609" s="18">
        <v>0</v>
      </c>
      <c r="AN609" s="18"/>
      <c r="AO609" s="18">
        <v>0</v>
      </c>
      <c r="AP609" s="18">
        <v>3.38</v>
      </c>
      <c r="AQ609" s="18">
        <v>0</v>
      </c>
      <c r="AR609" s="18">
        <v>0</v>
      </c>
      <c r="AS609" s="18">
        <v>0</v>
      </c>
      <c r="AT609" s="18">
        <v>0</v>
      </c>
      <c r="AU609" s="18">
        <v>0</v>
      </c>
      <c r="AV609" s="18">
        <v>0</v>
      </c>
      <c r="AW609" s="18">
        <v>0</v>
      </c>
      <c r="AX609" s="18">
        <v>1</v>
      </c>
      <c r="AY609" s="18">
        <v>236</v>
      </c>
      <c r="AZ609" s="18">
        <v>35</v>
      </c>
      <c r="BA609" s="18">
        <v>28</v>
      </c>
      <c r="BB609" s="18">
        <v>0.8</v>
      </c>
      <c r="BC609" s="18">
        <v>0</v>
      </c>
      <c r="BD609" s="18">
        <v>0</v>
      </c>
      <c r="BE609" s="18">
        <v>0.31551</v>
      </c>
      <c r="BF609" s="18">
        <v>66</v>
      </c>
      <c r="BG609" s="18">
        <v>7</v>
      </c>
      <c r="BH609" s="18">
        <v>0</v>
      </c>
      <c r="BI609" s="18"/>
      <c r="BJ609" s="18">
        <v>0</v>
      </c>
      <c r="BK609" s="18">
        <v>0</v>
      </c>
      <c r="BL609" s="18">
        <v>0</v>
      </c>
      <c r="BM609" s="18">
        <v>0</v>
      </c>
      <c r="BN609" s="18"/>
      <c r="BO609" s="18"/>
      <c r="BP609" s="18">
        <v>0.33</v>
      </c>
      <c r="BQ609" s="18">
        <v>51</v>
      </c>
      <c r="BR609" s="18">
        <v>0</v>
      </c>
      <c r="BS609" s="18">
        <v>0</v>
      </c>
      <c r="BT609" s="18">
        <v>0</v>
      </c>
      <c r="BU609" s="18">
        <v>0</v>
      </c>
    </row>
    <row r="610" spans="1:73">
      <c r="A610" s="19">
        <v>46146</v>
      </c>
      <c r="B610" s="18">
        <v>479</v>
      </c>
      <c r="C610" s="18" t="s">
        <v>39</v>
      </c>
      <c r="D610" s="18">
        <v>479</v>
      </c>
      <c r="E610" s="18" t="s">
        <v>39</v>
      </c>
      <c r="F610" s="18">
        <v>33</v>
      </c>
      <c r="G610" s="18">
        <v>13</v>
      </c>
      <c r="H610" s="18">
        <v>9.32</v>
      </c>
      <c r="I610" s="18">
        <v>0.39394</v>
      </c>
      <c r="J610" s="18">
        <v>0.72</v>
      </c>
      <c r="K610" s="18">
        <v>282.35</v>
      </c>
      <c r="L610" s="18">
        <v>0</v>
      </c>
      <c r="M610" s="18">
        <v>0</v>
      </c>
      <c r="N610" s="18">
        <v>0</v>
      </c>
      <c r="O610" s="18">
        <v>0</v>
      </c>
      <c r="P610" s="18">
        <v>0</v>
      </c>
      <c r="Q610" s="18">
        <v>0</v>
      </c>
      <c r="R610" s="18">
        <v>0</v>
      </c>
      <c r="S610" s="18">
        <v>0</v>
      </c>
      <c r="T610" s="18">
        <v>0</v>
      </c>
      <c r="U610" s="18">
        <v>0</v>
      </c>
      <c r="V610" s="18">
        <v>0</v>
      </c>
      <c r="W610" s="18">
        <v>0</v>
      </c>
      <c r="X610" s="18">
        <v>0</v>
      </c>
      <c r="Y610" s="18">
        <v>0</v>
      </c>
      <c r="Z610" s="18">
        <v>0</v>
      </c>
      <c r="AA610" s="18"/>
      <c r="AB610" s="18">
        <v>1</v>
      </c>
      <c r="AC610" s="18">
        <v>0</v>
      </c>
      <c r="AD610" s="18">
        <v>1</v>
      </c>
      <c r="AE610" s="18">
        <v>0.07692</v>
      </c>
      <c r="AF610" s="18">
        <v>2</v>
      </c>
      <c r="AG610" s="18">
        <v>1</v>
      </c>
      <c r="AH610" s="18">
        <v>9.32</v>
      </c>
      <c r="AI610" s="18">
        <v>4</v>
      </c>
      <c r="AJ610" s="18">
        <v>2.33</v>
      </c>
      <c r="AK610" s="18">
        <v>3</v>
      </c>
      <c r="AL610" s="18">
        <v>3.11</v>
      </c>
      <c r="AM610" s="18">
        <v>3</v>
      </c>
      <c r="AN610" s="18">
        <v>4.66</v>
      </c>
      <c r="AO610" s="18">
        <v>0.15385</v>
      </c>
      <c r="AP610" s="18">
        <v>9.32</v>
      </c>
      <c r="AQ610" s="18">
        <v>0</v>
      </c>
      <c r="AR610" s="18">
        <v>0</v>
      </c>
      <c r="AS610" s="18">
        <v>0</v>
      </c>
      <c r="AT610" s="18">
        <v>2</v>
      </c>
      <c r="AU610" s="18">
        <v>0</v>
      </c>
      <c r="AV610" s="18">
        <v>0</v>
      </c>
      <c r="AW610" s="18">
        <v>0</v>
      </c>
      <c r="AX610" s="18">
        <v>2</v>
      </c>
      <c r="AY610" s="18">
        <v>128</v>
      </c>
      <c r="AZ610" s="18">
        <v>13</v>
      </c>
      <c r="BA610" s="18">
        <v>10</v>
      </c>
      <c r="BB610" s="18">
        <v>0.76923</v>
      </c>
      <c r="BC610" s="18">
        <v>0</v>
      </c>
      <c r="BD610" s="18">
        <v>0</v>
      </c>
      <c r="BE610" s="18">
        <v>3.87879</v>
      </c>
      <c r="BF610" s="18">
        <v>114</v>
      </c>
      <c r="BG610" s="18">
        <v>10</v>
      </c>
      <c r="BH610" s="18">
        <v>0</v>
      </c>
      <c r="BI610" s="18"/>
      <c r="BJ610" s="18">
        <v>0</v>
      </c>
      <c r="BK610" s="18">
        <v>0</v>
      </c>
      <c r="BL610" s="18">
        <v>0</v>
      </c>
      <c r="BM610" s="18">
        <v>0</v>
      </c>
      <c r="BN610" s="18"/>
      <c r="BO610" s="18"/>
      <c r="BP610" s="18">
        <v>10.66</v>
      </c>
      <c r="BQ610" s="18">
        <v>48</v>
      </c>
      <c r="BR610" s="18">
        <v>0</v>
      </c>
      <c r="BS610" s="18">
        <v>0</v>
      </c>
      <c r="BT610" s="18">
        <v>0</v>
      </c>
      <c r="BU610" s="18">
        <v>0</v>
      </c>
    </row>
    <row r="611" spans="1:73">
      <c r="A611" s="19">
        <v>46146</v>
      </c>
      <c r="B611" s="18">
        <v>436</v>
      </c>
      <c r="C611" s="18" t="s">
        <v>38</v>
      </c>
      <c r="D611" s="18">
        <v>436</v>
      </c>
      <c r="E611" s="18" t="s">
        <v>38</v>
      </c>
      <c r="F611" s="18">
        <v>779</v>
      </c>
      <c r="G611" s="18">
        <v>27</v>
      </c>
      <c r="H611" s="18">
        <v>34.43</v>
      </c>
      <c r="I611" s="18">
        <v>0.03466</v>
      </c>
      <c r="J611" s="18">
        <v>1.28</v>
      </c>
      <c r="K611" s="18">
        <v>44.2</v>
      </c>
      <c r="L611" s="18">
        <v>0</v>
      </c>
      <c r="M611" s="18">
        <v>0</v>
      </c>
      <c r="N611" s="18">
        <v>0</v>
      </c>
      <c r="O611" s="18">
        <v>0</v>
      </c>
      <c r="P611" s="18">
        <v>0</v>
      </c>
      <c r="Q611" s="18">
        <v>0</v>
      </c>
      <c r="R611" s="18">
        <v>0</v>
      </c>
      <c r="S611" s="18">
        <v>0</v>
      </c>
      <c r="T611" s="18">
        <v>0</v>
      </c>
      <c r="U611" s="18">
        <v>0</v>
      </c>
      <c r="V611" s="18">
        <v>0</v>
      </c>
      <c r="W611" s="18">
        <v>0</v>
      </c>
      <c r="X611" s="18">
        <v>0</v>
      </c>
      <c r="Y611" s="18">
        <v>0</v>
      </c>
      <c r="Z611" s="18">
        <v>0</v>
      </c>
      <c r="AA611" s="18"/>
      <c r="AB611" s="18">
        <v>1</v>
      </c>
      <c r="AC611" s="18">
        <v>0</v>
      </c>
      <c r="AD611" s="18">
        <v>1</v>
      </c>
      <c r="AE611" s="18">
        <v>0.03704</v>
      </c>
      <c r="AF611" s="18">
        <v>0</v>
      </c>
      <c r="AG611" s="18">
        <v>1</v>
      </c>
      <c r="AH611" s="18">
        <v>34.43</v>
      </c>
      <c r="AI611" s="18">
        <v>2</v>
      </c>
      <c r="AJ611" s="18">
        <v>17.22</v>
      </c>
      <c r="AK611" s="18">
        <v>1</v>
      </c>
      <c r="AL611" s="18">
        <v>34.43</v>
      </c>
      <c r="AM611" s="18">
        <v>1</v>
      </c>
      <c r="AN611" s="18"/>
      <c r="AO611" s="18">
        <v>0</v>
      </c>
      <c r="AP611" s="18">
        <v>34.43</v>
      </c>
      <c r="AQ611" s="18">
        <v>0</v>
      </c>
      <c r="AR611" s="18">
        <v>0</v>
      </c>
      <c r="AS611" s="18">
        <v>0</v>
      </c>
      <c r="AT611" s="18">
        <v>0</v>
      </c>
      <c r="AU611" s="18">
        <v>0</v>
      </c>
      <c r="AV611" s="18">
        <v>0</v>
      </c>
      <c r="AW611" s="18">
        <v>0</v>
      </c>
      <c r="AX611" s="18">
        <v>1</v>
      </c>
      <c r="AY611" s="18">
        <v>116</v>
      </c>
      <c r="AZ611" s="18">
        <v>24</v>
      </c>
      <c r="BA611" s="18">
        <v>19</v>
      </c>
      <c r="BB611" s="18">
        <v>0.79167</v>
      </c>
      <c r="BC611" s="18">
        <v>0</v>
      </c>
      <c r="BD611" s="18">
        <v>0</v>
      </c>
      <c r="BE611" s="18">
        <v>0.14891</v>
      </c>
      <c r="BF611" s="18">
        <v>89</v>
      </c>
      <c r="BG611" s="18">
        <v>5</v>
      </c>
      <c r="BH611" s="18">
        <v>0</v>
      </c>
      <c r="BI611" s="18"/>
      <c r="BJ611" s="18">
        <v>0</v>
      </c>
      <c r="BK611" s="18">
        <v>0</v>
      </c>
      <c r="BL611" s="18">
        <v>0</v>
      </c>
      <c r="BM611" s="18">
        <v>0</v>
      </c>
      <c r="BN611" s="18"/>
      <c r="BO611" s="18"/>
      <c r="BP611" s="18">
        <v>2.23</v>
      </c>
      <c r="BQ611" s="18">
        <v>92</v>
      </c>
      <c r="BR611" s="18">
        <v>0</v>
      </c>
      <c r="BS611" s="18">
        <v>0</v>
      </c>
      <c r="BT611" s="18">
        <v>0</v>
      </c>
      <c r="BU611" s="18">
        <v>0</v>
      </c>
    </row>
    <row r="612" spans="1:73">
      <c r="A612" s="19">
        <v>46146</v>
      </c>
      <c r="B612" s="18">
        <v>183</v>
      </c>
      <c r="C612" s="18" t="s">
        <v>40</v>
      </c>
      <c r="D612" s="18">
        <v>183</v>
      </c>
      <c r="E612" s="18" t="s">
        <v>40</v>
      </c>
      <c r="F612" s="18">
        <v>1603</v>
      </c>
      <c r="G612" s="18">
        <v>58</v>
      </c>
      <c r="H612" s="18">
        <v>100</v>
      </c>
      <c r="I612" s="18">
        <v>0.03618</v>
      </c>
      <c r="J612" s="18">
        <v>1.72</v>
      </c>
      <c r="K612" s="18">
        <v>62.38</v>
      </c>
      <c r="L612" s="18">
        <v>0</v>
      </c>
      <c r="M612" s="18">
        <v>0</v>
      </c>
      <c r="N612" s="18">
        <v>0</v>
      </c>
      <c r="O612" s="18">
        <v>0</v>
      </c>
      <c r="P612" s="18">
        <v>0</v>
      </c>
      <c r="Q612" s="18">
        <v>0</v>
      </c>
      <c r="R612" s="18">
        <v>0</v>
      </c>
      <c r="S612" s="18">
        <v>0</v>
      </c>
      <c r="T612" s="18">
        <v>0</v>
      </c>
      <c r="U612" s="18">
        <v>0</v>
      </c>
      <c r="V612" s="18">
        <v>0</v>
      </c>
      <c r="W612" s="18">
        <v>0</v>
      </c>
      <c r="X612" s="18">
        <v>0</v>
      </c>
      <c r="Y612" s="18">
        <v>0</v>
      </c>
      <c r="Z612" s="18">
        <v>0</v>
      </c>
      <c r="AA612" s="18"/>
      <c r="AB612" s="18">
        <v>4</v>
      </c>
      <c r="AC612" s="18">
        <v>4</v>
      </c>
      <c r="AD612" s="18">
        <v>0</v>
      </c>
      <c r="AE612" s="18">
        <v>0.06897</v>
      </c>
      <c r="AF612" s="18">
        <v>2</v>
      </c>
      <c r="AG612" s="18">
        <v>0</v>
      </c>
      <c r="AH612" s="18"/>
      <c r="AI612" s="18">
        <v>6</v>
      </c>
      <c r="AJ612" s="18">
        <v>16.67</v>
      </c>
      <c r="AK612" s="18">
        <v>6</v>
      </c>
      <c r="AL612" s="18">
        <v>16.67</v>
      </c>
      <c r="AM612" s="18">
        <v>2</v>
      </c>
      <c r="AN612" s="18">
        <v>50</v>
      </c>
      <c r="AO612" s="18">
        <v>0.03448</v>
      </c>
      <c r="AP612" s="18">
        <v>25</v>
      </c>
      <c r="AQ612" s="18">
        <v>0</v>
      </c>
      <c r="AR612" s="18">
        <v>0</v>
      </c>
      <c r="AS612" s="18">
        <v>2</v>
      </c>
      <c r="AT612" s="18">
        <v>0</v>
      </c>
      <c r="AU612" s="18">
        <v>0</v>
      </c>
      <c r="AV612" s="18">
        <v>0</v>
      </c>
      <c r="AW612" s="18">
        <v>0</v>
      </c>
      <c r="AX612" s="18">
        <v>0</v>
      </c>
      <c r="AY612" s="18">
        <v>308</v>
      </c>
      <c r="AZ612" s="18">
        <v>145</v>
      </c>
      <c r="BA612" s="18">
        <v>95</v>
      </c>
      <c r="BB612" s="18">
        <v>0.65517</v>
      </c>
      <c r="BC612" s="18">
        <v>0</v>
      </c>
      <c r="BD612" s="18">
        <v>0</v>
      </c>
      <c r="BE612" s="18">
        <v>0.19214</v>
      </c>
      <c r="BF612" s="18">
        <v>101</v>
      </c>
      <c r="BG612" s="18">
        <v>2</v>
      </c>
      <c r="BH612" s="18">
        <v>0</v>
      </c>
      <c r="BI612" s="18"/>
      <c r="BJ612" s="18">
        <v>0</v>
      </c>
      <c r="BK612" s="18">
        <v>0</v>
      </c>
      <c r="BL612" s="18">
        <v>0</v>
      </c>
      <c r="BM612" s="18">
        <v>0</v>
      </c>
      <c r="BN612" s="18"/>
      <c r="BO612" s="18"/>
      <c r="BP612" s="18">
        <v>4.93</v>
      </c>
      <c r="BQ612" s="18">
        <v>290</v>
      </c>
      <c r="BR612" s="18">
        <v>0</v>
      </c>
      <c r="BS612" s="18">
        <v>0</v>
      </c>
      <c r="BT612" s="18">
        <v>0</v>
      </c>
      <c r="BU612" s="18">
        <v>0</v>
      </c>
    </row>
    <row r="613" spans="1:73">
      <c r="A613" s="19">
        <v>46146</v>
      </c>
      <c r="B613" s="18">
        <v>372</v>
      </c>
      <c r="C613" s="18" t="s">
        <v>37</v>
      </c>
      <c r="D613" s="18">
        <v>372</v>
      </c>
      <c r="E613" s="18" t="s">
        <v>61</v>
      </c>
      <c r="F613" s="18">
        <v>3276</v>
      </c>
      <c r="G613" s="18">
        <v>277</v>
      </c>
      <c r="H613" s="18">
        <v>90.27</v>
      </c>
      <c r="I613" s="18">
        <v>0.08455</v>
      </c>
      <c r="J613" s="18">
        <v>0.33</v>
      </c>
      <c r="K613" s="18">
        <v>27.55</v>
      </c>
      <c r="L613" s="18">
        <v>0</v>
      </c>
      <c r="M613" s="18">
        <v>0</v>
      </c>
      <c r="N613" s="18">
        <v>0</v>
      </c>
      <c r="O613" s="18">
        <v>0</v>
      </c>
      <c r="P613" s="18">
        <v>0</v>
      </c>
      <c r="Q613" s="18">
        <v>0</v>
      </c>
      <c r="R613" s="18">
        <v>0</v>
      </c>
      <c r="S613" s="18">
        <v>0</v>
      </c>
      <c r="T613" s="18">
        <v>0</v>
      </c>
      <c r="U613" s="18">
        <v>0</v>
      </c>
      <c r="V613" s="18">
        <v>0</v>
      </c>
      <c r="W613" s="18">
        <v>0</v>
      </c>
      <c r="X613" s="18">
        <v>0</v>
      </c>
      <c r="Y613" s="18">
        <v>0</v>
      </c>
      <c r="Z613" s="18">
        <v>0</v>
      </c>
      <c r="AA613" s="18"/>
      <c r="AB613" s="18">
        <v>7</v>
      </c>
      <c r="AC613" s="18">
        <v>6</v>
      </c>
      <c r="AD613" s="18">
        <v>1</v>
      </c>
      <c r="AE613" s="18">
        <v>0.02527</v>
      </c>
      <c r="AF613" s="18">
        <v>1</v>
      </c>
      <c r="AG613" s="18">
        <v>0</v>
      </c>
      <c r="AH613" s="18"/>
      <c r="AI613" s="18">
        <v>8</v>
      </c>
      <c r="AJ613" s="18">
        <v>11.28</v>
      </c>
      <c r="AK613" s="18">
        <v>8</v>
      </c>
      <c r="AL613" s="18">
        <v>11.28</v>
      </c>
      <c r="AM613" s="18">
        <v>1</v>
      </c>
      <c r="AN613" s="18">
        <v>90.27</v>
      </c>
      <c r="AO613" s="18">
        <v>0.00361</v>
      </c>
      <c r="AP613" s="18">
        <v>12.9</v>
      </c>
      <c r="AQ613" s="18">
        <v>0</v>
      </c>
      <c r="AR613" s="18">
        <v>0</v>
      </c>
      <c r="AS613" s="18">
        <v>1</v>
      </c>
      <c r="AT613" s="18">
        <v>0</v>
      </c>
      <c r="AU613" s="18">
        <v>0</v>
      </c>
      <c r="AV613" s="18">
        <v>0</v>
      </c>
      <c r="AW613" s="18">
        <v>0</v>
      </c>
      <c r="AX613" s="18">
        <v>0</v>
      </c>
      <c r="AY613" s="18">
        <v>488</v>
      </c>
      <c r="AZ613" s="18">
        <v>263</v>
      </c>
      <c r="BA613" s="18">
        <v>217</v>
      </c>
      <c r="BB613" s="18">
        <v>0.8251</v>
      </c>
      <c r="BC613" s="18">
        <v>0</v>
      </c>
      <c r="BD613" s="18">
        <v>0</v>
      </c>
      <c r="BE613" s="18">
        <v>0.14896</v>
      </c>
      <c r="BF613" s="18">
        <v>148</v>
      </c>
      <c r="BG613" s="18">
        <v>2</v>
      </c>
      <c r="BH613" s="18">
        <v>0</v>
      </c>
      <c r="BI613" s="18"/>
      <c r="BJ613" s="18">
        <v>0</v>
      </c>
      <c r="BK613" s="18">
        <v>0</v>
      </c>
      <c r="BL613" s="18">
        <v>0</v>
      </c>
      <c r="BM613" s="18">
        <v>0</v>
      </c>
      <c r="BN613" s="18"/>
      <c r="BO613" s="18"/>
      <c r="BP613" s="18">
        <v>4.38</v>
      </c>
      <c r="BQ613" s="18">
        <v>405</v>
      </c>
      <c r="BR613" s="18">
        <v>0</v>
      </c>
      <c r="BS613" s="18">
        <v>0</v>
      </c>
      <c r="BT613" s="18">
        <v>0</v>
      </c>
      <c r="BU613" s="18">
        <v>0</v>
      </c>
    </row>
    <row r="614" spans="1:73">
      <c r="A614" s="19">
        <v>46146</v>
      </c>
      <c r="B614" s="18">
        <v>371</v>
      </c>
      <c r="C614" s="18" t="s">
        <v>32</v>
      </c>
      <c r="D614" s="18">
        <v>371</v>
      </c>
      <c r="E614" s="18" t="s">
        <v>32</v>
      </c>
      <c r="F614" s="18">
        <v>1163</v>
      </c>
      <c r="G614" s="18">
        <v>33</v>
      </c>
      <c r="H614" s="18">
        <v>12.16</v>
      </c>
      <c r="I614" s="18">
        <v>0.02837</v>
      </c>
      <c r="J614" s="18">
        <v>0.37</v>
      </c>
      <c r="K614" s="18">
        <v>10.46</v>
      </c>
      <c r="L614" s="18">
        <v>0</v>
      </c>
      <c r="M614" s="18">
        <v>0</v>
      </c>
      <c r="N614" s="18">
        <v>0</v>
      </c>
      <c r="O614" s="18">
        <v>0</v>
      </c>
      <c r="P614" s="18">
        <v>0</v>
      </c>
      <c r="Q614" s="18">
        <v>0</v>
      </c>
      <c r="R614" s="18">
        <v>0</v>
      </c>
      <c r="S614" s="18">
        <v>0</v>
      </c>
      <c r="T614" s="18">
        <v>0</v>
      </c>
      <c r="U614" s="18">
        <v>0</v>
      </c>
      <c r="V614" s="18">
        <v>0</v>
      </c>
      <c r="W614" s="18">
        <v>0</v>
      </c>
      <c r="X614" s="18">
        <v>0</v>
      </c>
      <c r="Y614" s="18">
        <v>0</v>
      </c>
      <c r="Z614" s="18">
        <v>0</v>
      </c>
      <c r="AA614" s="18"/>
      <c r="AB614" s="18">
        <v>2</v>
      </c>
      <c r="AC614" s="18">
        <v>0</v>
      </c>
      <c r="AD614" s="18">
        <v>2</v>
      </c>
      <c r="AE614" s="18">
        <v>0.06061</v>
      </c>
      <c r="AF614" s="18">
        <v>1</v>
      </c>
      <c r="AG614" s="18">
        <v>1</v>
      </c>
      <c r="AH614" s="18">
        <v>12.16</v>
      </c>
      <c r="AI614" s="18">
        <v>4</v>
      </c>
      <c r="AJ614" s="18">
        <v>3.04</v>
      </c>
      <c r="AK614" s="18">
        <v>3</v>
      </c>
      <c r="AL614" s="18">
        <v>4.05</v>
      </c>
      <c r="AM614" s="18">
        <v>2</v>
      </c>
      <c r="AN614" s="18">
        <v>12.16</v>
      </c>
      <c r="AO614" s="18">
        <v>0.0303</v>
      </c>
      <c r="AP614" s="18">
        <v>6.08</v>
      </c>
      <c r="AQ614" s="18">
        <v>0</v>
      </c>
      <c r="AR614" s="18">
        <v>0</v>
      </c>
      <c r="AS614" s="18">
        <v>1</v>
      </c>
      <c r="AT614" s="18">
        <v>0</v>
      </c>
      <c r="AU614" s="18">
        <v>0</v>
      </c>
      <c r="AV614" s="18">
        <v>0</v>
      </c>
      <c r="AW614" s="18">
        <v>0</v>
      </c>
      <c r="AX614" s="18">
        <v>1</v>
      </c>
      <c r="AY614" s="18">
        <v>148</v>
      </c>
      <c r="AZ614" s="18">
        <v>37</v>
      </c>
      <c r="BA614" s="18">
        <v>36</v>
      </c>
      <c r="BB614" s="18">
        <v>0.97297</v>
      </c>
      <c r="BC614" s="18">
        <v>0</v>
      </c>
      <c r="BD614" s="18">
        <v>0</v>
      </c>
      <c r="BE614" s="18">
        <v>0.12726</v>
      </c>
      <c r="BF614" s="18">
        <v>21</v>
      </c>
      <c r="BG614" s="18">
        <v>4</v>
      </c>
      <c r="BH614" s="18">
        <v>0</v>
      </c>
      <c r="BI614" s="18"/>
      <c r="BJ614" s="18">
        <v>0</v>
      </c>
      <c r="BK614" s="18">
        <v>0</v>
      </c>
      <c r="BL614" s="18">
        <v>0</v>
      </c>
      <c r="BM614" s="18">
        <v>0</v>
      </c>
      <c r="BN614" s="18"/>
      <c r="BO614" s="18"/>
      <c r="BP614" s="18">
        <v>0</v>
      </c>
      <c r="BQ614" s="18">
        <v>48</v>
      </c>
      <c r="BR614" s="18">
        <v>0</v>
      </c>
      <c r="BS614" s="18">
        <v>0</v>
      </c>
      <c r="BT614" s="18">
        <v>0</v>
      </c>
      <c r="BU614" s="18">
        <v>0</v>
      </c>
    </row>
    <row r="615" spans="1:73">
      <c r="A615" s="19">
        <v>46145</v>
      </c>
      <c r="B615" s="18">
        <v>183</v>
      </c>
      <c r="C615" s="18" t="s">
        <v>40</v>
      </c>
      <c r="D615" s="18">
        <v>183</v>
      </c>
      <c r="E615" s="18" t="s">
        <v>40</v>
      </c>
      <c r="F615" s="18">
        <v>1533</v>
      </c>
      <c r="G615" s="18">
        <v>52</v>
      </c>
      <c r="H615" s="18">
        <v>100</v>
      </c>
      <c r="I615" s="18">
        <v>0.03392</v>
      </c>
      <c r="J615" s="18">
        <v>1.92</v>
      </c>
      <c r="K615" s="18">
        <v>65.23</v>
      </c>
      <c r="L615" s="18">
        <v>0</v>
      </c>
      <c r="M615" s="18">
        <v>0</v>
      </c>
      <c r="N615" s="18">
        <v>0</v>
      </c>
      <c r="O615" s="18">
        <v>0</v>
      </c>
      <c r="P615" s="18">
        <v>0</v>
      </c>
      <c r="Q615" s="18">
        <v>0</v>
      </c>
      <c r="R615" s="18">
        <v>0</v>
      </c>
      <c r="S615" s="18">
        <v>0</v>
      </c>
      <c r="T615" s="18">
        <v>0</v>
      </c>
      <c r="U615" s="18">
        <v>0</v>
      </c>
      <c r="V615" s="18">
        <v>0</v>
      </c>
      <c r="W615" s="18">
        <v>0</v>
      </c>
      <c r="X615" s="18">
        <v>0</v>
      </c>
      <c r="Y615" s="18">
        <v>0</v>
      </c>
      <c r="Z615" s="18">
        <v>0</v>
      </c>
      <c r="AA615" s="18"/>
      <c r="AB615" s="18">
        <v>4</v>
      </c>
      <c r="AC615" s="18">
        <v>2</v>
      </c>
      <c r="AD615" s="18">
        <v>2</v>
      </c>
      <c r="AE615" s="18">
        <v>0.07692</v>
      </c>
      <c r="AF615" s="18">
        <v>2</v>
      </c>
      <c r="AG615" s="18">
        <v>1</v>
      </c>
      <c r="AH615" s="18">
        <v>100</v>
      </c>
      <c r="AI615" s="18">
        <v>7</v>
      </c>
      <c r="AJ615" s="18">
        <v>14.29</v>
      </c>
      <c r="AK615" s="18">
        <v>6</v>
      </c>
      <c r="AL615" s="18">
        <v>16.67</v>
      </c>
      <c r="AM615" s="18">
        <v>3</v>
      </c>
      <c r="AN615" s="18">
        <v>50</v>
      </c>
      <c r="AO615" s="18">
        <v>0.03846</v>
      </c>
      <c r="AP615" s="18">
        <v>25</v>
      </c>
      <c r="AQ615" s="18">
        <v>0</v>
      </c>
      <c r="AR615" s="18">
        <v>0</v>
      </c>
      <c r="AS615" s="18">
        <v>2</v>
      </c>
      <c r="AT615" s="18">
        <v>0</v>
      </c>
      <c r="AU615" s="18">
        <v>0</v>
      </c>
      <c r="AV615" s="18">
        <v>0</v>
      </c>
      <c r="AW615" s="18">
        <v>0</v>
      </c>
      <c r="AX615" s="18">
        <v>0</v>
      </c>
      <c r="AY615" s="18">
        <v>245</v>
      </c>
      <c r="AZ615" s="18">
        <v>116</v>
      </c>
      <c r="BA615" s="18">
        <v>78</v>
      </c>
      <c r="BB615" s="18">
        <v>0.67241</v>
      </c>
      <c r="BC615" s="18">
        <v>0</v>
      </c>
      <c r="BD615" s="18">
        <v>0</v>
      </c>
      <c r="BE615" s="18">
        <v>0.15982</v>
      </c>
      <c r="BF615" s="18">
        <v>72</v>
      </c>
      <c r="BG615" s="18">
        <v>2</v>
      </c>
      <c r="BH615" s="18">
        <v>0</v>
      </c>
      <c r="BI615" s="18"/>
      <c r="BJ615" s="18">
        <v>0</v>
      </c>
      <c r="BK615" s="18">
        <v>0</v>
      </c>
      <c r="BL615" s="18">
        <v>0</v>
      </c>
      <c r="BM615" s="18">
        <v>0</v>
      </c>
      <c r="BN615" s="18"/>
      <c r="BO615" s="18"/>
      <c r="BP615" s="18">
        <v>2.35</v>
      </c>
      <c r="BQ615" s="18">
        <v>375</v>
      </c>
      <c r="BR615" s="18">
        <v>0</v>
      </c>
      <c r="BS615" s="18">
        <v>0</v>
      </c>
      <c r="BT615" s="18">
        <v>0</v>
      </c>
      <c r="BU615" s="18">
        <v>0</v>
      </c>
    </row>
    <row r="616" spans="1:73">
      <c r="A616" s="19">
        <v>46145</v>
      </c>
      <c r="B616" s="18">
        <v>371</v>
      </c>
      <c r="C616" s="18" t="s">
        <v>32</v>
      </c>
      <c r="D616" s="18">
        <v>371</v>
      </c>
      <c r="E616" s="18" t="s">
        <v>32</v>
      </c>
      <c r="F616" s="18">
        <v>853</v>
      </c>
      <c r="G616" s="18">
        <v>32</v>
      </c>
      <c r="H616" s="18">
        <v>12.37</v>
      </c>
      <c r="I616" s="18">
        <v>0.03751</v>
      </c>
      <c r="J616" s="18">
        <v>0.39</v>
      </c>
      <c r="K616" s="18">
        <v>14.5</v>
      </c>
      <c r="L616" s="18">
        <v>0</v>
      </c>
      <c r="M616" s="18">
        <v>0</v>
      </c>
      <c r="N616" s="18">
        <v>0</v>
      </c>
      <c r="O616" s="18">
        <v>0</v>
      </c>
      <c r="P616" s="18">
        <v>0</v>
      </c>
      <c r="Q616" s="18">
        <v>0</v>
      </c>
      <c r="R616" s="18">
        <v>0</v>
      </c>
      <c r="S616" s="18">
        <v>0</v>
      </c>
      <c r="T616" s="18">
        <v>0</v>
      </c>
      <c r="U616" s="18">
        <v>0</v>
      </c>
      <c r="V616" s="18">
        <v>0</v>
      </c>
      <c r="W616" s="18">
        <v>0</v>
      </c>
      <c r="X616" s="18">
        <v>0</v>
      </c>
      <c r="Y616" s="18">
        <v>0</v>
      </c>
      <c r="Z616" s="18">
        <v>0</v>
      </c>
      <c r="AA616" s="18"/>
      <c r="AB616" s="18">
        <v>1</v>
      </c>
      <c r="AC616" s="18">
        <v>1</v>
      </c>
      <c r="AD616" s="18">
        <v>0</v>
      </c>
      <c r="AE616" s="18">
        <v>0.03125</v>
      </c>
      <c r="AF616" s="18">
        <v>0</v>
      </c>
      <c r="AG616" s="18">
        <v>0</v>
      </c>
      <c r="AH616" s="18"/>
      <c r="AI616" s="18">
        <v>1</v>
      </c>
      <c r="AJ616" s="18">
        <v>12.37</v>
      </c>
      <c r="AK616" s="18">
        <v>1</v>
      </c>
      <c r="AL616" s="18">
        <v>12.37</v>
      </c>
      <c r="AM616" s="18">
        <v>0</v>
      </c>
      <c r="AN616" s="18"/>
      <c r="AO616" s="18">
        <v>0</v>
      </c>
      <c r="AP616" s="18">
        <v>12.37</v>
      </c>
      <c r="AQ616" s="18">
        <v>0</v>
      </c>
      <c r="AR616" s="18">
        <v>0</v>
      </c>
      <c r="AS616" s="18">
        <v>0</v>
      </c>
      <c r="AT616" s="18">
        <v>0</v>
      </c>
      <c r="AU616" s="18">
        <v>0</v>
      </c>
      <c r="AV616" s="18">
        <v>0</v>
      </c>
      <c r="AW616" s="18">
        <v>0</v>
      </c>
      <c r="AX616" s="18">
        <v>0</v>
      </c>
      <c r="AY616" s="18">
        <v>185</v>
      </c>
      <c r="AZ616" s="18">
        <v>42</v>
      </c>
      <c r="BA616" s="18">
        <v>38</v>
      </c>
      <c r="BB616" s="18">
        <v>0.90476</v>
      </c>
      <c r="BC616" s="18">
        <v>0</v>
      </c>
      <c r="BD616" s="18">
        <v>0</v>
      </c>
      <c r="BE616" s="18">
        <v>0.21688</v>
      </c>
      <c r="BF616" s="18">
        <v>22</v>
      </c>
      <c r="BG616" s="18">
        <v>4</v>
      </c>
      <c r="BH616" s="18">
        <v>0</v>
      </c>
      <c r="BI616" s="18"/>
      <c r="BJ616" s="18">
        <v>0</v>
      </c>
      <c r="BK616" s="18">
        <v>0</v>
      </c>
      <c r="BL616" s="18">
        <v>0</v>
      </c>
      <c r="BM616" s="18">
        <v>0</v>
      </c>
      <c r="BN616" s="18"/>
      <c r="BO616" s="18"/>
      <c r="BP616" s="18">
        <v>0.01</v>
      </c>
      <c r="BQ616" s="18">
        <v>48</v>
      </c>
      <c r="BR616" s="18">
        <v>0</v>
      </c>
      <c r="BS616" s="18">
        <v>0</v>
      </c>
      <c r="BT616" s="18">
        <v>0</v>
      </c>
      <c r="BU616" s="18">
        <v>0</v>
      </c>
    </row>
    <row r="617" spans="1:73">
      <c r="A617" s="19">
        <v>46145</v>
      </c>
      <c r="B617" s="18">
        <v>372</v>
      </c>
      <c r="C617" s="18" t="s">
        <v>37</v>
      </c>
      <c r="D617" s="18">
        <v>372</v>
      </c>
      <c r="E617" s="18" t="s">
        <v>61</v>
      </c>
      <c r="F617" s="18">
        <v>3126</v>
      </c>
      <c r="G617" s="18">
        <v>290</v>
      </c>
      <c r="H617" s="18">
        <v>100.4</v>
      </c>
      <c r="I617" s="18">
        <v>0.09277</v>
      </c>
      <c r="J617" s="18">
        <v>0.35</v>
      </c>
      <c r="K617" s="18">
        <v>32.12</v>
      </c>
      <c r="L617" s="18">
        <v>0</v>
      </c>
      <c r="M617" s="18">
        <v>0</v>
      </c>
      <c r="N617" s="18">
        <v>0</v>
      </c>
      <c r="O617" s="18">
        <v>0</v>
      </c>
      <c r="P617" s="18">
        <v>0</v>
      </c>
      <c r="Q617" s="18">
        <v>0</v>
      </c>
      <c r="R617" s="18">
        <v>0</v>
      </c>
      <c r="S617" s="18">
        <v>0</v>
      </c>
      <c r="T617" s="18">
        <v>0</v>
      </c>
      <c r="U617" s="18">
        <v>0</v>
      </c>
      <c r="V617" s="18">
        <v>0</v>
      </c>
      <c r="W617" s="18">
        <v>0</v>
      </c>
      <c r="X617" s="18">
        <v>0</v>
      </c>
      <c r="Y617" s="18">
        <v>0</v>
      </c>
      <c r="Z617" s="18">
        <v>0</v>
      </c>
      <c r="AA617" s="18"/>
      <c r="AB617" s="18">
        <v>4</v>
      </c>
      <c r="AC617" s="18">
        <v>2</v>
      </c>
      <c r="AD617" s="18">
        <v>2</v>
      </c>
      <c r="AE617" s="18">
        <v>0.01379</v>
      </c>
      <c r="AF617" s="18">
        <v>1</v>
      </c>
      <c r="AG617" s="18">
        <v>0</v>
      </c>
      <c r="AH617" s="18"/>
      <c r="AI617" s="18">
        <v>5</v>
      </c>
      <c r="AJ617" s="18">
        <v>20.08</v>
      </c>
      <c r="AK617" s="18">
        <v>5</v>
      </c>
      <c r="AL617" s="18">
        <v>20.08</v>
      </c>
      <c r="AM617" s="18">
        <v>1</v>
      </c>
      <c r="AN617" s="18">
        <v>100.4</v>
      </c>
      <c r="AO617" s="18">
        <v>0.00345</v>
      </c>
      <c r="AP617" s="18">
        <v>25.1</v>
      </c>
      <c r="AQ617" s="18">
        <v>0</v>
      </c>
      <c r="AR617" s="18">
        <v>0</v>
      </c>
      <c r="AS617" s="18">
        <v>1</v>
      </c>
      <c r="AT617" s="18">
        <v>0</v>
      </c>
      <c r="AU617" s="18">
        <v>0</v>
      </c>
      <c r="AV617" s="18">
        <v>0</v>
      </c>
      <c r="AW617" s="18">
        <v>0</v>
      </c>
      <c r="AX617" s="18">
        <v>0</v>
      </c>
      <c r="AY617" s="18">
        <v>497</v>
      </c>
      <c r="AZ617" s="18">
        <v>275</v>
      </c>
      <c r="BA617" s="18">
        <v>221</v>
      </c>
      <c r="BB617" s="18">
        <v>0.80364</v>
      </c>
      <c r="BC617" s="18">
        <v>0</v>
      </c>
      <c r="BD617" s="18">
        <v>0</v>
      </c>
      <c r="BE617" s="18">
        <v>0.15899</v>
      </c>
      <c r="BF617" s="18">
        <v>131</v>
      </c>
      <c r="BG617" s="18">
        <v>2</v>
      </c>
      <c r="BH617" s="18">
        <v>0</v>
      </c>
      <c r="BI617" s="18"/>
      <c r="BJ617" s="18">
        <v>0</v>
      </c>
      <c r="BK617" s="18">
        <v>0</v>
      </c>
      <c r="BL617" s="18">
        <v>0</v>
      </c>
      <c r="BM617" s="18">
        <v>0</v>
      </c>
      <c r="BN617" s="18"/>
      <c r="BO617" s="18"/>
      <c r="BP617" s="18">
        <v>4.78</v>
      </c>
      <c r="BQ617" s="18">
        <v>386</v>
      </c>
      <c r="BR617" s="18">
        <v>0</v>
      </c>
      <c r="BS617" s="18">
        <v>0</v>
      </c>
      <c r="BT617" s="18">
        <v>0</v>
      </c>
      <c r="BU617" s="18">
        <v>0</v>
      </c>
    </row>
    <row r="618" spans="1:73">
      <c r="A618" s="19">
        <v>46145</v>
      </c>
      <c r="B618" s="18">
        <v>436</v>
      </c>
      <c r="C618" s="18" t="s">
        <v>38</v>
      </c>
      <c r="D618" s="18">
        <v>436</v>
      </c>
      <c r="E618" s="18" t="s">
        <v>38</v>
      </c>
      <c r="F618" s="18">
        <v>750</v>
      </c>
      <c r="G618" s="18">
        <v>28</v>
      </c>
      <c r="H618" s="18">
        <v>35.22</v>
      </c>
      <c r="I618" s="18">
        <v>0.03733</v>
      </c>
      <c r="J618" s="18">
        <v>1.26</v>
      </c>
      <c r="K618" s="18">
        <v>46.96</v>
      </c>
      <c r="L618" s="18">
        <v>0</v>
      </c>
      <c r="M618" s="18">
        <v>0</v>
      </c>
      <c r="N618" s="18">
        <v>0</v>
      </c>
      <c r="O618" s="18">
        <v>0</v>
      </c>
      <c r="P618" s="18">
        <v>0</v>
      </c>
      <c r="Q618" s="18">
        <v>0</v>
      </c>
      <c r="R618" s="18">
        <v>0</v>
      </c>
      <c r="S618" s="18">
        <v>125.1</v>
      </c>
      <c r="T618" s="18">
        <v>125.1</v>
      </c>
      <c r="U618" s="18">
        <v>2</v>
      </c>
      <c r="V618" s="18">
        <v>0</v>
      </c>
      <c r="W618" s="18">
        <v>2</v>
      </c>
      <c r="X618" s="18">
        <v>0.07143</v>
      </c>
      <c r="Y618" s="18">
        <v>3.55</v>
      </c>
      <c r="Z618" s="18">
        <v>3.55</v>
      </c>
      <c r="AA618" s="18">
        <v>17.61</v>
      </c>
      <c r="AB618" s="18">
        <v>1</v>
      </c>
      <c r="AC618" s="18">
        <v>0</v>
      </c>
      <c r="AD618" s="18">
        <v>1</v>
      </c>
      <c r="AE618" s="18">
        <v>0.03571</v>
      </c>
      <c r="AF618" s="18">
        <v>0</v>
      </c>
      <c r="AG618" s="18">
        <v>2</v>
      </c>
      <c r="AH618" s="18">
        <v>17.61</v>
      </c>
      <c r="AI618" s="18">
        <v>3</v>
      </c>
      <c r="AJ618" s="18">
        <v>11.74</v>
      </c>
      <c r="AK618" s="18">
        <v>1</v>
      </c>
      <c r="AL618" s="18">
        <v>35.22</v>
      </c>
      <c r="AM618" s="18">
        <v>2</v>
      </c>
      <c r="AN618" s="18"/>
      <c r="AO618" s="18">
        <v>0</v>
      </c>
      <c r="AP618" s="18">
        <v>35.22</v>
      </c>
      <c r="AQ618" s="18">
        <v>3</v>
      </c>
      <c r="AR618" s="18">
        <v>176.9</v>
      </c>
      <c r="AS618" s="18">
        <v>0</v>
      </c>
      <c r="AT618" s="18">
        <v>0</v>
      </c>
      <c r="AU618" s="18">
        <v>0</v>
      </c>
      <c r="AV618" s="18">
        <v>0</v>
      </c>
      <c r="AW618" s="18">
        <v>0</v>
      </c>
      <c r="AX618" s="18">
        <v>1</v>
      </c>
      <c r="AY618" s="18">
        <v>125</v>
      </c>
      <c r="AZ618" s="18">
        <v>21</v>
      </c>
      <c r="BA618" s="18">
        <v>15</v>
      </c>
      <c r="BB618" s="18">
        <v>0.71429</v>
      </c>
      <c r="BC618" s="18">
        <v>0</v>
      </c>
      <c r="BD618" s="18">
        <v>0</v>
      </c>
      <c r="BE618" s="18">
        <v>0.16667</v>
      </c>
      <c r="BF618" s="18">
        <v>98</v>
      </c>
      <c r="BG618" s="18">
        <v>6</v>
      </c>
      <c r="BH618" s="18">
        <v>1</v>
      </c>
      <c r="BI618" s="18">
        <v>1</v>
      </c>
      <c r="BJ618" s="18">
        <v>0</v>
      </c>
      <c r="BK618" s="18">
        <v>0</v>
      </c>
      <c r="BL618" s="18">
        <v>0</v>
      </c>
      <c r="BM618" s="18">
        <v>1</v>
      </c>
      <c r="BN618" s="18">
        <v>2</v>
      </c>
      <c r="BO618" s="18">
        <v>125.1</v>
      </c>
      <c r="BP618" s="18">
        <v>0</v>
      </c>
      <c r="BQ618" s="18">
        <v>129</v>
      </c>
      <c r="BR618" s="18">
        <v>0</v>
      </c>
      <c r="BS618" s="18">
        <v>0</v>
      </c>
      <c r="BT618" s="18">
        <v>0</v>
      </c>
      <c r="BU618" s="18">
        <v>0</v>
      </c>
    </row>
    <row r="619" spans="1:73">
      <c r="A619" s="19">
        <v>46145</v>
      </c>
      <c r="B619" s="18">
        <v>479</v>
      </c>
      <c r="C619" s="18" t="s">
        <v>39</v>
      </c>
      <c r="D619" s="18">
        <v>479</v>
      </c>
      <c r="E619" s="18" t="s">
        <v>39</v>
      </c>
      <c r="F619" s="18">
        <v>34</v>
      </c>
      <c r="G619" s="18">
        <v>12</v>
      </c>
      <c r="H619" s="18">
        <v>9.05</v>
      </c>
      <c r="I619" s="18">
        <v>0.35294</v>
      </c>
      <c r="J619" s="18">
        <v>0.75</v>
      </c>
      <c r="K619" s="18">
        <v>266.18</v>
      </c>
      <c r="L619" s="18">
        <v>0</v>
      </c>
      <c r="M619" s="18">
        <v>0</v>
      </c>
      <c r="N619" s="18">
        <v>0</v>
      </c>
      <c r="O619" s="18">
        <v>0</v>
      </c>
      <c r="P619" s="18">
        <v>0</v>
      </c>
      <c r="Q619" s="18">
        <v>0</v>
      </c>
      <c r="R619" s="18">
        <v>0</v>
      </c>
      <c r="S619" s="18">
        <v>0</v>
      </c>
      <c r="T619" s="18">
        <v>0</v>
      </c>
      <c r="U619" s="18">
        <v>0</v>
      </c>
      <c r="V619" s="18">
        <v>0</v>
      </c>
      <c r="W619" s="18">
        <v>0</v>
      </c>
      <c r="X619" s="18">
        <v>0</v>
      </c>
      <c r="Y619" s="18">
        <v>0</v>
      </c>
      <c r="Z619" s="18">
        <v>0</v>
      </c>
      <c r="AA619" s="18"/>
      <c r="AB619" s="18">
        <v>3</v>
      </c>
      <c r="AC619" s="18">
        <v>0</v>
      </c>
      <c r="AD619" s="18">
        <v>3</v>
      </c>
      <c r="AE619" s="18">
        <v>0.25</v>
      </c>
      <c r="AF619" s="18">
        <v>0</v>
      </c>
      <c r="AG619" s="18">
        <v>0</v>
      </c>
      <c r="AH619" s="18"/>
      <c r="AI619" s="18">
        <v>3</v>
      </c>
      <c r="AJ619" s="18">
        <v>3.02</v>
      </c>
      <c r="AK619" s="18">
        <v>3</v>
      </c>
      <c r="AL619" s="18">
        <v>3.02</v>
      </c>
      <c r="AM619" s="18">
        <v>0</v>
      </c>
      <c r="AN619" s="18"/>
      <c r="AO619" s="18">
        <v>0</v>
      </c>
      <c r="AP619" s="18">
        <v>3.02</v>
      </c>
      <c r="AQ619" s="18">
        <v>0</v>
      </c>
      <c r="AR619" s="18">
        <v>0</v>
      </c>
      <c r="AS619" s="18">
        <v>0</v>
      </c>
      <c r="AT619" s="18">
        <v>0</v>
      </c>
      <c r="AU619" s="18">
        <v>0</v>
      </c>
      <c r="AV619" s="18">
        <v>0</v>
      </c>
      <c r="AW619" s="18">
        <v>0</v>
      </c>
      <c r="AX619" s="18">
        <v>1</v>
      </c>
      <c r="AY619" s="18">
        <v>101</v>
      </c>
      <c r="AZ619" s="18">
        <v>12</v>
      </c>
      <c r="BA619" s="18">
        <v>8</v>
      </c>
      <c r="BB619" s="18">
        <v>0.66667</v>
      </c>
      <c r="BC619" s="18">
        <v>0</v>
      </c>
      <c r="BD619" s="18">
        <v>0</v>
      </c>
      <c r="BE619" s="18">
        <v>2.97059</v>
      </c>
      <c r="BF619" s="18">
        <v>89</v>
      </c>
      <c r="BG619" s="18">
        <v>8</v>
      </c>
      <c r="BH619" s="18">
        <v>0</v>
      </c>
      <c r="BI619" s="18"/>
      <c r="BJ619" s="18">
        <v>0</v>
      </c>
      <c r="BK619" s="18">
        <v>0</v>
      </c>
      <c r="BL619" s="18">
        <v>0</v>
      </c>
      <c r="BM619" s="18">
        <v>0</v>
      </c>
      <c r="BN619" s="18"/>
      <c r="BO619" s="18"/>
      <c r="BP619" s="18">
        <v>108.51</v>
      </c>
      <c r="BQ619" s="18">
        <v>173</v>
      </c>
      <c r="BR619" s="18">
        <v>0</v>
      </c>
      <c r="BS619" s="18">
        <v>0</v>
      </c>
      <c r="BT619" s="18">
        <v>0</v>
      </c>
      <c r="BU619" s="18">
        <v>0</v>
      </c>
    </row>
    <row r="620" spans="1:73">
      <c r="A620" s="19">
        <v>46144</v>
      </c>
      <c r="B620" s="18">
        <v>372</v>
      </c>
      <c r="C620" s="18" t="s">
        <v>37</v>
      </c>
      <c r="D620" s="18">
        <v>372</v>
      </c>
      <c r="E620" s="18" t="s">
        <v>61</v>
      </c>
      <c r="F620" s="18">
        <v>3503</v>
      </c>
      <c r="G620" s="18">
        <v>268</v>
      </c>
      <c r="H620" s="18">
        <v>83.83</v>
      </c>
      <c r="I620" s="18">
        <v>0.07651</v>
      </c>
      <c r="J620" s="18">
        <v>0.31</v>
      </c>
      <c r="K620" s="18">
        <v>23.93</v>
      </c>
      <c r="L620" s="18">
        <v>0</v>
      </c>
      <c r="M620" s="18">
        <v>0</v>
      </c>
      <c r="N620" s="18">
        <v>0</v>
      </c>
      <c r="O620" s="18">
        <v>0</v>
      </c>
      <c r="P620" s="18">
        <v>0</v>
      </c>
      <c r="Q620" s="18">
        <v>0</v>
      </c>
      <c r="R620" s="18">
        <v>0</v>
      </c>
      <c r="S620" s="18">
        <v>0</v>
      </c>
      <c r="T620" s="18">
        <v>0</v>
      </c>
      <c r="U620" s="18">
        <v>0</v>
      </c>
      <c r="V620" s="18">
        <v>0</v>
      </c>
      <c r="W620" s="18">
        <v>0</v>
      </c>
      <c r="X620" s="18">
        <v>0</v>
      </c>
      <c r="Y620" s="18">
        <v>0</v>
      </c>
      <c r="Z620" s="18">
        <v>0</v>
      </c>
      <c r="AA620" s="18"/>
      <c r="AB620" s="18">
        <v>4</v>
      </c>
      <c r="AC620" s="18">
        <v>4</v>
      </c>
      <c r="AD620" s="18">
        <v>0</v>
      </c>
      <c r="AE620" s="18">
        <v>0.01493</v>
      </c>
      <c r="AF620" s="18">
        <v>1</v>
      </c>
      <c r="AG620" s="18">
        <v>2</v>
      </c>
      <c r="AH620" s="18">
        <v>41.92</v>
      </c>
      <c r="AI620" s="18">
        <v>7</v>
      </c>
      <c r="AJ620" s="18">
        <v>11.98</v>
      </c>
      <c r="AK620" s="18">
        <v>5</v>
      </c>
      <c r="AL620" s="18">
        <v>16.77</v>
      </c>
      <c r="AM620" s="18">
        <v>3</v>
      </c>
      <c r="AN620" s="18">
        <v>83.83</v>
      </c>
      <c r="AO620" s="18">
        <v>0.00373</v>
      </c>
      <c r="AP620" s="18">
        <v>20.96</v>
      </c>
      <c r="AQ620" s="18">
        <v>0</v>
      </c>
      <c r="AR620" s="18">
        <v>0</v>
      </c>
      <c r="AS620" s="18">
        <v>1</v>
      </c>
      <c r="AT620" s="18">
        <v>0</v>
      </c>
      <c r="AU620" s="18">
        <v>0</v>
      </c>
      <c r="AV620" s="18">
        <v>0</v>
      </c>
      <c r="AW620" s="18">
        <v>0</v>
      </c>
      <c r="AX620" s="18">
        <v>0</v>
      </c>
      <c r="AY620" s="18">
        <v>481</v>
      </c>
      <c r="AZ620" s="18">
        <v>252</v>
      </c>
      <c r="BA620" s="18">
        <v>208</v>
      </c>
      <c r="BB620" s="18">
        <v>0.8254</v>
      </c>
      <c r="BC620" s="18">
        <v>0</v>
      </c>
      <c r="BD620" s="18">
        <v>0</v>
      </c>
      <c r="BE620" s="18">
        <v>0.13731</v>
      </c>
      <c r="BF620" s="18">
        <v>136</v>
      </c>
      <c r="BG620" s="18">
        <v>2</v>
      </c>
      <c r="BH620" s="18">
        <v>0</v>
      </c>
      <c r="BI620" s="18"/>
      <c r="BJ620" s="18">
        <v>0</v>
      </c>
      <c r="BK620" s="18">
        <v>0</v>
      </c>
      <c r="BL620" s="18">
        <v>0</v>
      </c>
      <c r="BM620" s="18">
        <v>0</v>
      </c>
      <c r="BN620" s="18"/>
      <c r="BO620" s="18"/>
      <c r="BP620" s="18">
        <v>2.25</v>
      </c>
      <c r="BQ620" s="18">
        <v>357</v>
      </c>
      <c r="BR620" s="18">
        <v>0</v>
      </c>
      <c r="BS620" s="18">
        <v>0</v>
      </c>
      <c r="BT620" s="18">
        <v>0</v>
      </c>
      <c r="BU620" s="18">
        <v>0</v>
      </c>
    </row>
    <row r="621" spans="1:73">
      <c r="A621" s="19">
        <v>46144</v>
      </c>
      <c r="B621" s="18">
        <v>183</v>
      </c>
      <c r="C621" s="18" t="s">
        <v>40</v>
      </c>
      <c r="D621" s="18">
        <v>183</v>
      </c>
      <c r="E621" s="18" t="s">
        <v>40</v>
      </c>
      <c r="F621" s="18">
        <v>1321</v>
      </c>
      <c r="G621" s="18">
        <v>49</v>
      </c>
      <c r="H621" s="18">
        <v>100</v>
      </c>
      <c r="I621" s="18">
        <v>0.03709</v>
      </c>
      <c r="J621" s="18">
        <v>2.04</v>
      </c>
      <c r="K621" s="18">
        <v>75.7</v>
      </c>
      <c r="L621" s="18">
        <v>0</v>
      </c>
      <c r="M621" s="18">
        <v>0</v>
      </c>
      <c r="N621" s="18">
        <v>0</v>
      </c>
      <c r="O621" s="18">
        <v>0</v>
      </c>
      <c r="P621" s="18">
        <v>0</v>
      </c>
      <c r="Q621" s="18">
        <v>0</v>
      </c>
      <c r="R621" s="18">
        <v>0</v>
      </c>
      <c r="S621" s="18">
        <v>0</v>
      </c>
      <c r="T621" s="18">
        <v>0</v>
      </c>
      <c r="U621" s="18">
        <v>0</v>
      </c>
      <c r="V621" s="18">
        <v>0</v>
      </c>
      <c r="W621" s="18">
        <v>0</v>
      </c>
      <c r="X621" s="18">
        <v>0</v>
      </c>
      <c r="Y621" s="18">
        <v>0</v>
      </c>
      <c r="Z621" s="18">
        <v>0</v>
      </c>
      <c r="AA621" s="18"/>
      <c r="AB621" s="18">
        <v>1</v>
      </c>
      <c r="AC621" s="18">
        <v>1</v>
      </c>
      <c r="AD621" s="18">
        <v>0</v>
      </c>
      <c r="AE621" s="18">
        <v>0.02041</v>
      </c>
      <c r="AF621" s="18">
        <v>0</v>
      </c>
      <c r="AG621" s="18">
        <v>1</v>
      </c>
      <c r="AH621" s="18">
        <v>100</v>
      </c>
      <c r="AI621" s="18">
        <v>2</v>
      </c>
      <c r="AJ621" s="18">
        <v>50</v>
      </c>
      <c r="AK621" s="18">
        <v>1</v>
      </c>
      <c r="AL621" s="18">
        <v>100</v>
      </c>
      <c r="AM621" s="18">
        <v>1</v>
      </c>
      <c r="AN621" s="18"/>
      <c r="AO621" s="18">
        <v>0</v>
      </c>
      <c r="AP621" s="18">
        <v>100</v>
      </c>
      <c r="AQ621" s="18">
        <v>0</v>
      </c>
      <c r="AR621" s="18">
        <v>0</v>
      </c>
      <c r="AS621" s="18">
        <v>0</v>
      </c>
      <c r="AT621" s="18">
        <v>0</v>
      </c>
      <c r="AU621" s="18">
        <v>0</v>
      </c>
      <c r="AV621" s="18">
        <v>0</v>
      </c>
      <c r="AW621" s="18">
        <v>0</v>
      </c>
      <c r="AX621" s="18">
        <v>0</v>
      </c>
      <c r="AY621" s="18">
        <v>314</v>
      </c>
      <c r="AZ621" s="18">
        <v>114</v>
      </c>
      <c r="BA621" s="18">
        <v>86</v>
      </c>
      <c r="BB621" s="18">
        <v>0.75439</v>
      </c>
      <c r="BC621" s="18">
        <v>0</v>
      </c>
      <c r="BD621" s="18">
        <v>0</v>
      </c>
      <c r="BE621" s="18">
        <v>0.2377</v>
      </c>
      <c r="BF621" s="18">
        <v>114</v>
      </c>
      <c r="BG621" s="18">
        <v>3</v>
      </c>
      <c r="BH621" s="18">
        <v>0</v>
      </c>
      <c r="BI621" s="18"/>
      <c r="BJ621" s="18">
        <v>0</v>
      </c>
      <c r="BK621" s="18">
        <v>0</v>
      </c>
      <c r="BL621" s="18">
        <v>0</v>
      </c>
      <c r="BM621" s="18">
        <v>0</v>
      </c>
      <c r="BN621" s="18"/>
      <c r="BO621" s="18"/>
      <c r="BP621" s="18">
        <v>0</v>
      </c>
      <c r="BQ621" s="18">
        <v>136</v>
      </c>
      <c r="BR621" s="18">
        <v>0</v>
      </c>
      <c r="BS621" s="18">
        <v>0</v>
      </c>
      <c r="BT621" s="18">
        <v>0</v>
      </c>
      <c r="BU621" s="18">
        <v>0</v>
      </c>
    </row>
    <row r="622" spans="1:73">
      <c r="A622" s="19">
        <v>46144</v>
      </c>
      <c r="B622" s="18">
        <v>479</v>
      </c>
      <c r="C622" s="18" t="s">
        <v>39</v>
      </c>
      <c r="D622" s="18">
        <v>479</v>
      </c>
      <c r="E622" s="18" t="s">
        <v>39</v>
      </c>
      <c r="F622" s="18">
        <v>35</v>
      </c>
      <c r="G622" s="18">
        <v>14</v>
      </c>
      <c r="H622" s="18">
        <v>9.56</v>
      </c>
      <c r="I622" s="18">
        <v>0.4</v>
      </c>
      <c r="J622" s="18">
        <v>0.68</v>
      </c>
      <c r="K622" s="18">
        <v>273.29</v>
      </c>
      <c r="L622" s="18">
        <v>0</v>
      </c>
      <c r="M622" s="18">
        <v>0</v>
      </c>
      <c r="N622" s="18">
        <v>0</v>
      </c>
      <c r="O622" s="18">
        <v>0</v>
      </c>
      <c r="P622" s="18">
        <v>0</v>
      </c>
      <c r="Q622" s="18">
        <v>0</v>
      </c>
      <c r="R622" s="18">
        <v>0</v>
      </c>
      <c r="S622" s="18">
        <v>0</v>
      </c>
      <c r="T622" s="18">
        <v>0</v>
      </c>
      <c r="U622" s="18">
        <v>0</v>
      </c>
      <c r="V622" s="18">
        <v>0</v>
      </c>
      <c r="W622" s="18">
        <v>0</v>
      </c>
      <c r="X622" s="18">
        <v>0</v>
      </c>
      <c r="Y622" s="18">
        <v>0</v>
      </c>
      <c r="Z622" s="18">
        <v>0</v>
      </c>
      <c r="AA622" s="18"/>
      <c r="AB622" s="18">
        <v>2</v>
      </c>
      <c r="AC622" s="18">
        <v>0</v>
      </c>
      <c r="AD622" s="18">
        <v>2</v>
      </c>
      <c r="AE622" s="18">
        <v>0.14286</v>
      </c>
      <c r="AF622" s="18">
        <v>0</v>
      </c>
      <c r="AG622" s="18">
        <v>1</v>
      </c>
      <c r="AH622" s="18">
        <v>9.56</v>
      </c>
      <c r="AI622" s="18">
        <v>3</v>
      </c>
      <c r="AJ622" s="18">
        <v>3.19</v>
      </c>
      <c r="AK622" s="18">
        <v>2</v>
      </c>
      <c r="AL622" s="18">
        <v>4.78</v>
      </c>
      <c r="AM622" s="18">
        <v>1</v>
      </c>
      <c r="AN622" s="18"/>
      <c r="AO622" s="18">
        <v>0</v>
      </c>
      <c r="AP622" s="18">
        <v>4.78</v>
      </c>
      <c r="AQ622" s="18">
        <v>0</v>
      </c>
      <c r="AR622" s="18">
        <v>0</v>
      </c>
      <c r="AS622" s="18">
        <v>0</v>
      </c>
      <c r="AT622" s="18">
        <v>0</v>
      </c>
      <c r="AU622" s="18">
        <v>0</v>
      </c>
      <c r="AV622" s="18">
        <v>0</v>
      </c>
      <c r="AW622" s="18">
        <v>0</v>
      </c>
      <c r="AX622" s="18">
        <v>1</v>
      </c>
      <c r="AY622" s="18">
        <v>96</v>
      </c>
      <c r="AZ622" s="18">
        <v>12</v>
      </c>
      <c r="BA622" s="18">
        <v>5</v>
      </c>
      <c r="BB622" s="18">
        <v>0.41667</v>
      </c>
      <c r="BC622" s="18">
        <v>0</v>
      </c>
      <c r="BD622" s="18">
        <v>0</v>
      </c>
      <c r="BE622" s="18">
        <v>2.74286</v>
      </c>
      <c r="BF622" s="18">
        <v>82</v>
      </c>
      <c r="BG622" s="18">
        <v>8</v>
      </c>
      <c r="BH622" s="18">
        <v>0</v>
      </c>
      <c r="BI622" s="18"/>
      <c r="BJ622" s="18">
        <v>0</v>
      </c>
      <c r="BK622" s="18">
        <v>0</v>
      </c>
      <c r="BL622" s="18">
        <v>0</v>
      </c>
      <c r="BM622" s="18">
        <v>0</v>
      </c>
      <c r="BN622" s="18"/>
      <c r="BO622" s="18"/>
      <c r="BP622" s="18">
        <v>0</v>
      </c>
      <c r="BQ622" s="18">
        <v>24</v>
      </c>
      <c r="BR622" s="18">
        <v>0</v>
      </c>
      <c r="BS622" s="18">
        <v>0</v>
      </c>
      <c r="BT622" s="18">
        <v>0</v>
      </c>
      <c r="BU622" s="18">
        <v>0</v>
      </c>
    </row>
    <row r="623" spans="1:73">
      <c r="A623" s="19">
        <v>46144</v>
      </c>
      <c r="B623" s="18">
        <v>436</v>
      </c>
      <c r="C623" s="18" t="s">
        <v>38</v>
      </c>
      <c r="D623" s="18">
        <v>436</v>
      </c>
      <c r="E623" s="18" t="s">
        <v>38</v>
      </c>
      <c r="F623" s="18">
        <v>1119</v>
      </c>
      <c r="G623" s="18">
        <v>30</v>
      </c>
      <c r="H623" s="18">
        <v>32.63</v>
      </c>
      <c r="I623" s="18">
        <v>0.02681</v>
      </c>
      <c r="J623" s="18">
        <v>1.09</v>
      </c>
      <c r="K623" s="18">
        <v>29.16</v>
      </c>
      <c r="L623" s="18">
        <v>0</v>
      </c>
      <c r="M623" s="18">
        <v>0</v>
      </c>
      <c r="N623" s="18">
        <v>0</v>
      </c>
      <c r="O623" s="18">
        <v>0</v>
      </c>
      <c r="P623" s="18">
        <v>0</v>
      </c>
      <c r="Q623" s="18">
        <v>0</v>
      </c>
      <c r="R623" s="18">
        <v>0</v>
      </c>
      <c r="S623" s="18">
        <v>0</v>
      </c>
      <c r="T623" s="18">
        <v>0</v>
      </c>
      <c r="U623" s="18">
        <v>0</v>
      </c>
      <c r="V623" s="18">
        <v>0</v>
      </c>
      <c r="W623" s="18">
        <v>0</v>
      </c>
      <c r="X623" s="18">
        <v>0</v>
      </c>
      <c r="Y623" s="18">
        <v>0</v>
      </c>
      <c r="Z623" s="18">
        <v>0</v>
      </c>
      <c r="AA623" s="18"/>
      <c r="AB623" s="18">
        <v>0</v>
      </c>
      <c r="AC623" s="18">
        <v>0</v>
      </c>
      <c r="AD623" s="18">
        <v>0</v>
      </c>
      <c r="AE623" s="18">
        <v>0</v>
      </c>
      <c r="AF623" s="18">
        <v>0</v>
      </c>
      <c r="AG623" s="18">
        <v>1</v>
      </c>
      <c r="AH623" s="18">
        <v>32.63</v>
      </c>
      <c r="AI623" s="18">
        <v>1</v>
      </c>
      <c r="AJ623" s="18">
        <v>32.63</v>
      </c>
      <c r="AK623" s="18">
        <v>0</v>
      </c>
      <c r="AL623" s="18"/>
      <c r="AM623" s="18">
        <v>1</v>
      </c>
      <c r="AN623" s="18"/>
      <c r="AO623" s="18">
        <v>0</v>
      </c>
      <c r="AP623" s="18"/>
      <c r="AQ623" s="18">
        <v>0</v>
      </c>
      <c r="AR623" s="18">
        <v>0</v>
      </c>
      <c r="AS623" s="18">
        <v>0</v>
      </c>
      <c r="AT623" s="18">
        <v>0</v>
      </c>
      <c r="AU623" s="18">
        <v>0</v>
      </c>
      <c r="AV623" s="18">
        <v>0</v>
      </c>
      <c r="AW623" s="18">
        <v>0</v>
      </c>
      <c r="AX623" s="18">
        <v>0</v>
      </c>
      <c r="AY623" s="18">
        <v>75</v>
      </c>
      <c r="AZ623" s="18">
        <v>24</v>
      </c>
      <c r="BA623" s="18">
        <v>17</v>
      </c>
      <c r="BB623" s="18">
        <v>0.70833</v>
      </c>
      <c r="BC623" s="18">
        <v>0</v>
      </c>
      <c r="BD623" s="18">
        <v>0</v>
      </c>
      <c r="BE623" s="18">
        <v>0.06702</v>
      </c>
      <c r="BF623" s="18">
        <v>45</v>
      </c>
      <c r="BG623" s="18">
        <v>3</v>
      </c>
      <c r="BH623" s="18">
        <v>0</v>
      </c>
      <c r="BI623" s="18"/>
      <c r="BJ623" s="18">
        <v>0</v>
      </c>
      <c r="BK623" s="18">
        <v>0</v>
      </c>
      <c r="BL623" s="18">
        <v>0</v>
      </c>
      <c r="BM623" s="18">
        <v>0</v>
      </c>
      <c r="BN623" s="18"/>
      <c r="BO623" s="18"/>
      <c r="BP623" s="18">
        <v>0</v>
      </c>
      <c r="BQ623" s="18">
        <v>33</v>
      </c>
      <c r="BR623" s="18">
        <v>0</v>
      </c>
      <c r="BS623" s="18">
        <v>0</v>
      </c>
      <c r="BT623" s="18">
        <v>0</v>
      </c>
      <c r="BU623" s="18">
        <v>0</v>
      </c>
    </row>
    <row r="624" spans="1:73">
      <c r="A624" s="19">
        <v>46144</v>
      </c>
      <c r="B624" s="18">
        <v>371</v>
      </c>
      <c r="C624" s="18" t="s">
        <v>32</v>
      </c>
      <c r="D624" s="18">
        <v>371</v>
      </c>
      <c r="E624" s="18" t="s">
        <v>32</v>
      </c>
      <c r="F624" s="18">
        <v>1117</v>
      </c>
      <c r="G624" s="18">
        <v>35</v>
      </c>
      <c r="H624" s="18">
        <v>11.76</v>
      </c>
      <c r="I624" s="18">
        <v>0.03133</v>
      </c>
      <c r="J624" s="18">
        <v>0.34</v>
      </c>
      <c r="K624" s="18">
        <v>10.53</v>
      </c>
      <c r="L624" s="18">
        <v>0</v>
      </c>
      <c r="M624" s="18">
        <v>0</v>
      </c>
      <c r="N624" s="18">
        <v>0</v>
      </c>
      <c r="O624" s="18">
        <v>0</v>
      </c>
      <c r="P624" s="18">
        <v>0</v>
      </c>
      <c r="Q624" s="18">
        <v>0</v>
      </c>
      <c r="R624" s="18">
        <v>151</v>
      </c>
      <c r="S624" s="18">
        <v>0</v>
      </c>
      <c r="T624" s="18">
        <v>151</v>
      </c>
      <c r="U624" s="18">
        <v>1</v>
      </c>
      <c r="V624" s="18">
        <v>1</v>
      </c>
      <c r="W624" s="18">
        <v>0</v>
      </c>
      <c r="X624" s="18">
        <v>0.02857</v>
      </c>
      <c r="Y624" s="18">
        <v>12.84</v>
      </c>
      <c r="Z624" s="18">
        <v>12.84</v>
      </c>
      <c r="AA624" s="18">
        <v>11.76</v>
      </c>
      <c r="AB624" s="18">
        <v>2</v>
      </c>
      <c r="AC624" s="18">
        <v>2</v>
      </c>
      <c r="AD624" s="18">
        <v>0</v>
      </c>
      <c r="AE624" s="18">
        <v>0.05714</v>
      </c>
      <c r="AF624" s="18">
        <v>2</v>
      </c>
      <c r="AG624" s="18">
        <v>1</v>
      </c>
      <c r="AH624" s="18">
        <v>11.76</v>
      </c>
      <c r="AI624" s="18">
        <v>5</v>
      </c>
      <c r="AJ624" s="18">
        <v>2.35</v>
      </c>
      <c r="AK624" s="18">
        <v>4</v>
      </c>
      <c r="AL624" s="18">
        <v>2.94</v>
      </c>
      <c r="AM624" s="18">
        <v>3</v>
      </c>
      <c r="AN624" s="18">
        <v>5.88</v>
      </c>
      <c r="AO624" s="18">
        <v>0.05714</v>
      </c>
      <c r="AP624" s="18">
        <v>5.88</v>
      </c>
      <c r="AQ624" s="18">
        <v>2</v>
      </c>
      <c r="AR624" s="18">
        <v>217.9</v>
      </c>
      <c r="AS624" s="18">
        <v>2</v>
      </c>
      <c r="AT624" s="18">
        <v>0</v>
      </c>
      <c r="AU624" s="18">
        <v>0</v>
      </c>
      <c r="AV624" s="18">
        <v>0</v>
      </c>
      <c r="AW624" s="18">
        <v>0</v>
      </c>
      <c r="AX624" s="18">
        <v>0</v>
      </c>
      <c r="AY624" s="18">
        <v>178</v>
      </c>
      <c r="AZ624" s="18">
        <v>41</v>
      </c>
      <c r="BA624" s="18">
        <v>31</v>
      </c>
      <c r="BB624" s="18">
        <v>0.7561</v>
      </c>
      <c r="BC624" s="18">
        <v>0</v>
      </c>
      <c r="BD624" s="18">
        <v>0</v>
      </c>
      <c r="BE624" s="18">
        <v>0.15936</v>
      </c>
      <c r="BF624" s="18">
        <v>44</v>
      </c>
      <c r="BG624" s="18">
        <v>4</v>
      </c>
      <c r="BH624" s="18">
        <v>1</v>
      </c>
      <c r="BI624" s="18">
        <v>1</v>
      </c>
      <c r="BJ624" s="18">
        <v>0</v>
      </c>
      <c r="BK624" s="18">
        <v>0</v>
      </c>
      <c r="BL624" s="18">
        <v>0</v>
      </c>
      <c r="BM624" s="18">
        <v>1</v>
      </c>
      <c r="BN624" s="18">
        <v>1</v>
      </c>
      <c r="BO624" s="18">
        <v>151</v>
      </c>
      <c r="BP624" s="18">
        <v>2.89</v>
      </c>
      <c r="BQ624" s="18">
        <v>396</v>
      </c>
      <c r="BR624" s="18">
        <v>0</v>
      </c>
      <c r="BS624" s="18">
        <v>0</v>
      </c>
      <c r="BT624" s="18">
        <v>0</v>
      </c>
      <c r="BU624" s="18">
        <v>0</v>
      </c>
    </row>
    <row r="625" spans="1:73">
      <c r="A625" s="19">
        <v>46143</v>
      </c>
      <c r="B625" s="18">
        <v>436</v>
      </c>
      <c r="C625" s="18" t="s">
        <v>38</v>
      </c>
      <c r="D625" s="18">
        <v>436</v>
      </c>
      <c r="E625" s="18" t="s">
        <v>38</v>
      </c>
      <c r="F625" s="18">
        <v>845</v>
      </c>
      <c r="G625" s="18">
        <v>34</v>
      </c>
      <c r="H625" s="18">
        <v>36.33</v>
      </c>
      <c r="I625" s="18">
        <v>0.04024</v>
      </c>
      <c r="J625" s="18">
        <v>1.07</v>
      </c>
      <c r="K625" s="18">
        <v>42.99</v>
      </c>
      <c r="L625" s="18">
        <v>0</v>
      </c>
      <c r="M625" s="18">
        <v>0</v>
      </c>
      <c r="N625" s="18">
        <v>0</v>
      </c>
      <c r="O625" s="18">
        <v>0</v>
      </c>
      <c r="P625" s="18">
        <v>0</v>
      </c>
      <c r="Q625" s="18">
        <v>0</v>
      </c>
      <c r="R625" s="18">
        <v>70.2</v>
      </c>
      <c r="S625" s="18">
        <v>0</v>
      </c>
      <c r="T625" s="18">
        <v>70.2</v>
      </c>
      <c r="U625" s="18">
        <v>1</v>
      </c>
      <c r="V625" s="18">
        <v>1</v>
      </c>
      <c r="W625" s="18">
        <v>0</v>
      </c>
      <c r="X625" s="18">
        <v>0.02941</v>
      </c>
      <c r="Y625" s="18">
        <v>1.93</v>
      </c>
      <c r="Z625" s="18">
        <v>1.93</v>
      </c>
      <c r="AA625" s="18">
        <v>36.33</v>
      </c>
      <c r="AB625" s="18">
        <v>1</v>
      </c>
      <c r="AC625" s="18">
        <v>1</v>
      </c>
      <c r="AD625" s="18">
        <v>0</v>
      </c>
      <c r="AE625" s="18">
        <v>0.02941</v>
      </c>
      <c r="AF625" s="18">
        <v>0</v>
      </c>
      <c r="AG625" s="18">
        <v>0</v>
      </c>
      <c r="AH625" s="18"/>
      <c r="AI625" s="18">
        <v>1</v>
      </c>
      <c r="AJ625" s="18">
        <v>36.33</v>
      </c>
      <c r="AK625" s="18">
        <v>1</v>
      </c>
      <c r="AL625" s="18">
        <v>36.33</v>
      </c>
      <c r="AM625" s="18">
        <v>0</v>
      </c>
      <c r="AN625" s="18"/>
      <c r="AO625" s="18">
        <v>0</v>
      </c>
      <c r="AP625" s="18">
        <v>36.33</v>
      </c>
      <c r="AQ625" s="18">
        <v>1</v>
      </c>
      <c r="AR625" s="18">
        <v>78</v>
      </c>
      <c r="AS625" s="18">
        <v>0</v>
      </c>
      <c r="AT625" s="18">
        <v>0</v>
      </c>
      <c r="AU625" s="18">
        <v>0</v>
      </c>
      <c r="AV625" s="18">
        <v>0</v>
      </c>
      <c r="AW625" s="18">
        <v>0</v>
      </c>
      <c r="AX625" s="18">
        <v>0</v>
      </c>
      <c r="AY625" s="18">
        <v>106</v>
      </c>
      <c r="AZ625" s="18">
        <v>31</v>
      </c>
      <c r="BA625" s="18">
        <v>15</v>
      </c>
      <c r="BB625" s="18">
        <v>0.48387</v>
      </c>
      <c r="BC625" s="18">
        <v>0</v>
      </c>
      <c r="BD625" s="18">
        <v>0</v>
      </c>
      <c r="BE625" s="18">
        <v>0.12544</v>
      </c>
      <c r="BF625" s="18">
        <v>71</v>
      </c>
      <c r="BG625" s="18">
        <v>3</v>
      </c>
      <c r="BH625" s="18">
        <v>1</v>
      </c>
      <c r="BI625" s="18">
        <v>1</v>
      </c>
      <c r="BJ625" s="18">
        <v>0</v>
      </c>
      <c r="BK625" s="18">
        <v>0</v>
      </c>
      <c r="BL625" s="18">
        <v>0</v>
      </c>
      <c r="BM625" s="18">
        <v>1</v>
      </c>
      <c r="BN625" s="18">
        <v>1</v>
      </c>
      <c r="BO625" s="18">
        <v>70.2</v>
      </c>
      <c r="BP625" s="18">
        <v>0</v>
      </c>
      <c r="BQ625" s="18">
        <v>499</v>
      </c>
      <c r="BR625" s="18">
        <v>4</v>
      </c>
      <c r="BS625" s="18">
        <v>70.2</v>
      </c>
      <c r="BT625" s="18">
        <v>1</v>
      </c>
      <c r="BU625" s="18">
        <v>1</v>
      </c>
    </row>
    <row r="626" spans="1:73">
      <c r="A626" s="19">
        <v>46143</v>
      </c>
      <c r="B626" s="18">
        <v>372</v>
      </c>
      <c r="C626" s="18" t="s">
        <v>37</v>
      </c>
      <c r="D626" s="18">
        <v>372</v>
      </c>
      <c r="E626" s="18" t="s">
        <v>61</v>
      </c>
      <c r="F626" s="18">
        <v>3405</v>
      </c>
      <c r="G626" s="18">
        <v>287</v>
      </c>
      <c r="H626" s="18">
        <v>90.15</v>
      </c>
      <c r="I626" s="18">
        <v>0.08429</v>
      </c>
      <c r="J626" s="18">
        <v>0.31</v>
      </c>
      <c r="K626" s="18">
        <v>26.48</v>
      </c>
      <c r="L626" s="18">
        <v>0</v>
      </c>
      <c r="M626" s="18">
        <v>0</v>
      </c>
      <c r="N626" s="18">
        <v>0</v>
      </c>
      <c r="O626" s="18">
        <v>0</v>
      </c>
      <c r="P626" s="18">
        <v>0</v>
      </c>
      <c r="Q626" s="18">
        <v>0</v>
      </c>
      <c r="R626" s="18">
        <v>0</v>
      </c>
      <c r="S626" s="18">
        <v>0</v>
      </c>
      <c r="T626" s="18">
        <v>0</v>
      </c>
      <c r="U626" s="18">
        <v>0</v>
      </c>
      <c r="V626" s="18">
        <v>0</v>
      </c>
      <c r="W626" s="18">
        <v>0</v>
      </c>
      <c r="X626" s="18">
        <v>0</v>
      </c>
      <c r="Y626" s="18">
        <v>0</v>
      </c>
      <c r="Z626" s="18">
        <v>0</v>
      </c>
      <c r="AA626" s="18"/>
      <c r="AB626" s="18">
        <v>8</v>
      </c>
      <c r="AC626" s="18">
        <v>5</v>
      </c>
      <c r="AD626" s="18">
        <v>3</v>
      </c>
      <c r="AE626" s="18">
        <v>0.02787</v>
      </c>
      <c r="AF626" s="18">
        <v>2</v>
      </c>
      <c r="AG626" s="18">
        <v>0</v>
      </c>
      <c r="AH626" s="18"/>
      <c r="AI626" s="18">
        <v>10</v>
      </c>
      <c r="AJ626" s="18">
        <v>9.02</v>
      </c>
      <c r="AK626" s="18">
        <v>10</v>
      </c>
      <c r="AL626" s="18">
        <v>9.02</v>
      </c>
      <c r="AM626" s="18">
        <v>2</v>
      </c>
      <c r="AN626" s="18">
        <v>45.08</v>
      </c>
      <c r="AO626" s="18">
        <v>0.00697</v>
      </c>
      <c r="AP626" s="18">
        <v>11.27</v>
      </c>
      <c r="AQ626" s="18">
        <v>0</v>
      </c>
      <c r="AR626" s="18">
        <v>0</v>
      </c>
      <c r="AS626" s="18">
        <v>2</v>
      </c>
      <c r="AT626" s="18">
        <v>0</v>
      </c>
      <c r="AU626" s="18">
        <v>0</v>
      </c>
      <c r="AV626" s="18">
        <v>0</v>
      </c>
      <c r="AW626" s="18">
        <v>0</v>
      </c>
      <c r="AX626" s="18">
        <v>0</v>
      </c>
      <c r="AY626" s="18">
        <v>570</v>
      </c>
      <c r="AZ626" s="18">
        <v>268</v>
      </c>
      <c r="BA626" s="18">
        <v>227</v>
      </c>
      <c r="BB626" s="18">
        <v>0.84701</v>
      </c>
      <c r="BC626" s="18">
        <v>0</v>
      </c>
      <c r="BD626" s="18">
        <v>0</v>
      </c>
      <c r="BE626" s="18">
        <v>0.1674</v>
      </c>
      <c r="BF626" s="18">
        <v>196</v>
      </c>
      <c r="BG626" s="18">
        <v>2</v>
      </c>
      <c r="BH626" s="18">
        <v>0</v>
      </c>
      <c r="BI626" s="18"/>
      <c r="BJ626" s="18">
        <v>0</v>
      </c>
      <c r="BK626" s="18">
        <v>0</v>
      </c>
      <c r="BL626" s="18">
        <v>0</v>
      </c>
      <c r="BM626" s="18">
        <v>0</v>
      </c>
      <c r="BN626" s="18"/>
      <c r="BO626" s="18"/>
      <c r="BP626" s="18">
        <v>2.12</v>
      </c>
      <c r="BQ626" s="18">
        <v>469</v>
      </c>
      <c r="BR626" s="18">
        <v>0</v>
      </c>
      <c r="BS626" s="18">
        <v>0</v>
      </c>
      <c r="BT626" s="18">
        <v>0</v>
      </c>
      <c r="BU626" s="18">
        <v>0</v>
      </c>
    </row>
    <row r="627" spans="1:73">
      <c r="A627" s="19">
        <v>46143</v>
      </c>
      <c r="B627" s="18">
        <v>479</v>
      </c>
      <c r="C627" s="18" t="s">
        <v>39</v>
      </c>
      <c r="D627" s="18">
        <v>479</v>
      </c>
      <c r="E627" s="18" t="s">
        <v>39</v>
      </c>
      <c r="F627" s="18">
        <v>41</v>
      </c>
      <c r="G627" s="18">
        <v>18</v>
      </c>
      <c r="H627" s="18">
        <v>12.83</v>
      </c>
      <c r="I627" s="18">
        <v>0.43902</v>
      </c>
      <c r="J627" s="18">
        <v>0.71</v>
      </c>
      <c r="K627" s="18">
        <v>312.86</v>
      </c>
      <c r="L627" s="18">
        <v>0</v>
      </c>
      <c r="M627" s="18">
        <v>0</v>
      </c>
      <c r="N627" s="18">
        <v>0</v>
      </c>
      <c r="O627" s="18">
        <v>0</v>
      </c>
      <c r="P627" s="18">
        <v>0</v>
      </c>
      <c r="Q627" s="18">
        <v>0</v>
      </c>
      <c r="R627" s="18">
        <v>0</v>
      </c>
      <c r="S627" s="18">
        <v>189.05</v>
      </c>
      <c r="T627" s="18">
        <v>189.05</v>
      </c>
      <c r="U627" s="18">
        <v>2</v>
      </c>
      <c r="V627" s="18">
        <v>0</v>
      </c>
      <c r="W627" s="18">
        <v>2</v>
      </c>
      <c r="X627" s="18">
        <v>0.11111</v>
      </c>
      <c r="Y627" s="18">
        <v>14.74</v>
      </c>
      <c r="Z627" s="18">
        <v>14.74</v>
      </c>
      <c r="AA627" s="18">
        <v>6.41</v>
      </c>
      <c r="AB627" s="18">
        <v>0</v>
      </c>
      <c r="AC627" s="18">
        <v>0</v>
      </c>
      <c r="AD627" s="18">
        <v>0</v>
      </c>
      <c r="AE627" s="18">
        <v>0</v>
      </c>
      <c r="AF627" s="18">
        <v>0</v>
      </c>
      <c r="AG627" s="18">
        <v>1</v>
      </c>
      <c r="AH627" s="18">
        <v>12.83</v>
      </c>
      <c r="AI627" s="18">
        <v>1</v>
      </c>
      <c r="AJ627" s="18">
        <v>12.83</v>
      </c>
      <c r="AK627" s="18">
        <v>0</v>
      </c>
      <c r="AL627" s="18"/>
      <c r="AM627" s="18">
        <v>1</v>
      </c>
      <c r="AN627" s="18"/>
      <c r="AO627" s="18">
        <v>0</v>
      </c>
      <c r="AP627" s="18"/>
      <c r="AQ627" s="18">
        <v>3</v>
      </c>
      <c r="AR627" s="18">
        <v>267.8</v>
      </c>
      <c r="AS627" s="18">
        <v>0</v>
      </c>
      <c r="AT627" s="18">
        <v>0</v>
      </c>
      <c r="AU627" s="18">
        <v>0</v>
      </c>
      <c r="AV627" s="18">
        <v>0</v>
      </c>
      <c r="AW627" s="18">
        <v>0</v>
      </c>
      <c r="AX627" s="18">
        <v>0</v>
      </c>
      <c r="AY627" s="18">
        <v>125</v>
      </c>
      <c r="AZ627" s="18">
        <v>16</v>
      </c>
      <c r="BA627" s="18">
        <v>8</v>
      </c>
      <c r="BB627" s="18">
        <v>0.5</v>
      </c>
      <c r="BC627" s="18">
        <v>0</v>
      </c>
      <c r="BD627" s="18">
        <v>0</v>
      </c>
      <c r="BE627" s="18">
        <v>3.04878</v>
      </c>
      <c r="BF627" s="18">
        <v>107</v>
      </c>
      <c r="BG627" s="18">
        <v>8</v>
      </c>
      <c r="BH627" s="18">
        <v>1</v>
      </c>
      <c r="BI627" s="18">
        <v>1</v>
      </c>
      <c r="BJ627" s="18">
        <v>0</v>
      </c>
      <c r="BK627" s="18">
        <v>0</v>
      </c>
      <c r="BL627" s="18">
        <v>0</v>
      </c>
      <c r="BM627" s="18">
        <v>1</v>
      </c>
      <c r="BN627" s="18">
        <v>2</v>
      </c>
      <c r="BO627" s="18">
        <v>189.05</v>
      </c>
      <c r="BP627" s="18">
        <v>0.22</v>
      </c>
      <c r="BQ627" s="18">
        <v>283</v>
      </c>
      <c r="BR627" s="18">
        <v>0</v>
      </c>
      <c r="BS627" s="18">
        <v>0</v>
      </c>
      <c r="BT627" s="18">
        <v>0</v>
      </c>
      <c r="BU627" s="18">
        <v>0</v>
      </c>
    </row>
    <row r="628" spans="1:73">
      <c r="A628" s="19">
        <v>46143</v>
      </c>
      <c r="B628" s="18">
        <v>371</v>
      </c>
      <c r="C628" s="18" t="s">
        <v>32</v>
      </c>
      <c r="D628" s="18">
        <v>371</v>
      </c>
      <c r="E628" s="18" t="s">
        <v>32</v>
      </c>
      <c r="F628" s="18">
        <v>1199</v>
      </c>
      <c r="G628" s="18">
        <v>38</v>
      </c>
      <c r="H628" s="18">
        <v>12.04</v>
      </c>
      <c r="I628" s="18">
        <v>0.03169</v>
      </c>
      <c r="J628" s="18">
        <v>0.32</v>
      </c>
      <c r="K628" s="18">
        <v>10.04</v>
      </c>
      <c r="L628" s="18">
        <v>0</v>
      </c>
      <c r="M628" s="18">
        <v>0</v>
      </c>
      <c r="N628" s="18">
        <v>0</v>
      </c>
      <c r="O628" s="18">
        <v>0</v>
      </c>
      <c r="P628" s="18">
        <v>0</v>
      </c>
      <c r="Q628" s="18">
        <v>0</v>
      </c>
      <c r="R628" s="18">
        <v>0</v>
      </c>
      <c r="S628" s="18">
        <v>0</v>
      </c>
      <c r="T628" s="18">
        <v>0</v>
      </c>
      <c r="U628" s="18">
        <v>0</v>
      </c>
      <c r="V628" s="18">
        <v>0</v>
      </c>
      <c r="W628" s="18">
        <v>0</v>
      </c>
      <c r="X628" s="18">
        <v>0</v>
      </c>
      <c r="Y628" s="18">
        <v>0</v>
      </c>
      <c r="Z628" s="18">
        <v>0</v>
      </c>
      <c r="AA628" s="18"/>
      <c r="AB628" s="18">
        <v>3</v>
      </c>
      <c r="AC628" s="18">
        <v>3</v>
      </c>
      <c r="AD628" s="18">
        <v>0</v>
      </c>
      <c r="AE628" s="18">
        <v>0.07895</v>
      </c>
      <c r="AF628" s="18">
        <v>0</v>
      </c>
      <c r="AG628" s="18">
        <v>0</v>
      </c>
      <c r="AH628" s="18"/>
      <c r="AI628" s="18">
        <v>3</v>
      </c>
      <c r="AJ628" s="18">
        <v>4.01</v>
      </c>
      <c r="AK628" s="18">
        <v>3</v>
      </c>
      <c r="AL628" s="18">
        <v>4.01</v>
      </c>
      <c r="AM628" s="18">
        <v>0</v>
      </c>
      <c r="AN628" s="18"/>
      <c r="AO628" s="18">
        <v>0</v>
      </c>
      <c r="AP628" s="18">
        <v>4.01</v>
      </c>
      <c r="AQ628" s="18">
        <v>0</v>
      </c>
      <c r="AR628" s="18">
        <v>0</v>
      </c>
      <c r="AS628" s="18">
        <v>0</v>
      </c>
      <c r="AT628" s="18">
        <v>0</v>
      </c>
      <c r="AU628" s="18">
        <v>0</v>
      </c>
      <c r="AV628" s="18">
        <v>0</v>
      </c>
      <c r="AW628" s="18">
        <v>0</v>
      </c>
      <c r="AX628" s="18">
        <v>0</v>
      </c>
      <c r="AY628" s="18">
        <v>50</v>
      </c>
      <c r="AZ628" s="18">
        <v>31</v>
      </c>
      <c r="BA628" s="18">
        <v>26</v>
      </c>
      <c r="BB628" s="18">
        <v>0.83871</v>
      </c>
      <c r="BC628" s="18">
        <v>0</v>
      </c>
      <c r="BD628" s="18">
        <v>0</v>
      </c>
      <c r="BE628" s="18">
        <v>0.0417</v>
      </c>
      <c r="BF628" s="18">
        <v>11</v>
      </c>
      <c r="BG628" s="18">
        <v>2</v>
      </c>
      <c r="BH628" s="18">
        <v>0</v>
      </c>
      <c r="BI628" s="18"/>
      <c r="BJ628" s="18">
        <v>0</v>
      </c>
      <c r="BK628" s="18">
        <v>0</v>
      </c>
      <c r="BL628" s="18">
        <v>0</v>
      </c>
      <c r="BM628" s="18">
        <v>0</v>
      </c>
      <c r="BN628" s="18"/>
      <c r="BO628" s="18"/>
      <c r="BP628" s="18">
        <v>0</v>
      </c>
      <c r="BQ628" s="18">
        <v>44</v>
      </c>
      <c r="BR628" s="18">
        <v>0</v>
      </c>
      <c r="BS628" s="18">
        <v>0</v>
      </c>
      <c r="BT628" s="18">
        <v>0</v>
      </c>
      <c r="BU628" s="18">
        <v>0</v>
      </c>
    </row>
    <row r="629" spans="1:73">
      <c r="A629" s="19">
        <v>46143</v>
      </c>
      <c r="B629" s="18">
        <v>183</v>
      </c>
      <c r="C629" s="18" t="s">
        <v>40</v>
      </c>
      <c r="D629" s="18">
        <v>183</v>
      </c>
      <c r="E629" s="18" t="s">
        <v>40</v>
      </c>
      <c r="F629" s="18">
        <v>891</v>
      </c>
      <c r="G629" s="18">
        <v>50</v>
      </c>
      <c r="H629" s="18">
        <v>100</v>
      </c>
      <c r="I629" s="18">
        <v>0.05612</v>
      </c>
      <c r="J629" s="18">
        <v>2</v>
      </c>
      <c r="K629" s="18">
        <v>112.23</v>
      </c>
      <c r="L629" s="18">
        <v>0</v>
      </c>
      <c r="M629" s="18">
        <v>0</v>
      </c>
      <c r="N629" s="18">
        <v>0</v>
      </c>
      <c r="O629" s="18">
        <v>0</v>
      </c>
      <c r="P629" s="18">
        <v>0</v>
      </c>
      <c r="Q629" s="18">
        <v>0</v>
      </c>
      <c r="R629" s="18">
        <v>0</v>
      </c>
      <c r="S629" s="18">
        <v>0</v>
      </c>
      <c r="T629" s="18">
        <v>0</v>
      </c>
      <c r="U629" s="18">
        <v>0</v>
      </c>
      <c r="V629" s="18">
        <v>0</v>
      </c>
      <c r="W629" s="18">
        <v>0</v>
      </c>
      <c r="X629" s="18">
        <v>0</v>
      </c>
      <c r="Y629" s="18">
        <v>0</v>
      </c>
      <c r="Z629" s="18">
        <v>0</v>
      </c>
      <c r="AA629" s="18"/>
      <c r="AB629" s="18">
        <v>6</v>
      </c>
      <c r="AC629" s="18">
        <v>6</v>
      </c>
      <c r="AD629" s="18">
        <v>0</v>
      </c>
      <c r="AE629" s="18">
        <v>0.12</v>
      </c>
      <c r="AF629" s="18">
        <v>0</v>
      </c>
      <c r="AG629" s="18">
        <v>0</v>
      </c>
      <c r="AH629" s="18"/>
      <c r="AI629" s="18">
        <v>6</v>
      </c>
      <c r="AJ629" s="18">
        <v>16.67</v>
      </c>
      <c r="AK629" s="18">
        <v>6</v>
      </c>
      <c r="AL629" s="18">
        <v>16.67</v>
      </c>
      <c r="AM629" s="18">
        <v>0</v>
      </c>
      <c r="AN629" s="18"/>
      <c r="AO629" s="18">
        <v>0</v>
      </c>
      <c r="AP629" s="18">
        <v>16.67</v>
      </c>
      <c r="AQ629" s="18">
        <v>0</v>
      </c>
      <c r="AR629" s="18">
        <v>0</v>
      </c>
      <c r="AS629" s="18">
        <v>0</v>
      </c>
      <c r="AT629" s="18">
        <v>0</v>
      </c>
      <c r="AU629" s="18">
        <v>0</v>
      </c>
      <c r="AV629" s="18">
        <v>0</v>
      </c>
      <c r="AW629" s="18">
        <v>0</v>
      </c>
      <c r="AX629" s="18">
        <v>1</v>
      </c>
      <c r="AY629" s="18">
        <v>205</v>
      </c>
      <c r="AZ629" s="18">
        <v>69</v>
      </c>
      <c r="BA629" s="18">
        <v>40</v>
      </c>
      <c r="BB629" s="18">
        <v>0.57971</v>
      </c>
      <c r="BC629" s="18">
        <v>0</v>
      </c>
      <c r="BD629" s="18">
        <v>0</v>
      </c>
      <c r="BE629" s="18">
        <v>0.23008</v>
      </c>
      <c r="BF629" s="18">
        <v>75</v>
      </c>
      <c r="BG629" s="18">
        <v>3</v>
      </c>
      <c r="BH629" s="18">
        <v>0</v>
      </c>
      <c r="BI629" s="18"/>
      <c r="BJ629" s="18">
        <v>0</v>
      </c>
      <c r="BK629" s="18">
        <v>0</v>
      </c>
      <c r="BL629" s="18">
        <v>0</v>
      </c>
      <c r="BM629" s="18">
        <v>0</v>
      </c>
      <c r="BN629" s="18"/>
      <c r="BO629" s="18"/>
      <c r="BP629" s="18">
        <v>0.07</v>
      </c>
      <c r="BQ629" s="18">
        <v>152</v>
      </c>
      <c r="BR629" s="18">
        <v>0</v>
      </c>
      <c r="BS629" s="18">
        <v>0</v>
      </c>
      <c r="BT629" s="18">
        <v>0</v>
      </c>
      <c r="BU629" s="18">
        <v>0</v>
      </c>
    </row>
    <row r="630" spans="1:73">
      <c r="A630" s="19">
        <v>46142</v>
      </c>
      <c r="B630" s="18">
        <v>183</v>
      </c>
      <c r="C630" s="18" t="s">
        <v>40</v>
      </c>
      <c r="D630" s="18">
        <v>183</v>
      </c>
      <c r="E630" s="18" t="s">
        <v>40</v>
      </c>
      <c r="F630" s="18">
        <v>1493</v>
      </c>
      <c r="G630" s="18">
        <v>52</v>
      </c>
      <c r="H630" s="18">
        <v>100</v>
      </c>
      <c r="I630" s="18">
        <v>0.03483</v>
      </c>
      <c r="J630" s="18">
        <v>1.92</v>
      </c>
      <c r="K630" s="18">
        <v>66.98</v>
      </c>
      <c r="L630" s="18">
        <v>0</v>
      </c>
      <c r="M630" s="18">
        <v>0</v>
      </c>
      <c r="N630" s="18">
        <v>0</v>
      </c>
      <c r="O630" s="18">
        <v>0</v>
      </c>
      <c r="P630" s="18">
        <v>0</v>
      </c>
      <c r="Q630" s="18">
        <v>0</v>
      </c>
      <c r="R630" s="18">
        <v>85.12</v>
      </c>
      <c r="S630" s="18">
        <v>0</v>
      </c>
      <c r="T630" s="18">
        <v>85.12</v>
      </c>
      <c r="U630" s="18">
        <v>1</v>
      </c>
      <c r="V630" s="18">
        <v>1</v>
      </c>
      <c r="W630" s="18">
        <v>0</v>
      </c>
      <c r="X630" s="18">
        <v>0.01923</v>
      </c>
      <c r="Y630" s="18">
        <v>0.85</v>
      </c>
      <c r="Z630" s="18">
        <v>0.85</v>
      </c>
      <c r="AA630" s="18">
        <v>100</v>
      </c>
      <c r="AB630" s="18">
        <v>2</v>
      </c>
      <c r="AC630" s="18">
        <v>2</v>
      </c>
      <c r="AD630" s="18">
        <v>0</v>
      </c>
      <c r="AE630" s="18">
        <v>0.03846</v>
      </c>
      <c r="AF630" s="18">
        <v>3</v>
      </c>
      <c r="AG630" s="18">
        <v>0</v>
      </c>
      <c r="AH630" s="18"/>
      <c r="AI630" s="18">
        <v>5</v>
      </c>
      <c r="AJ630" s="18">
        <v>20</v>
      </c>
      <c r="AK630" s="18">
        <v>5</v>
      </c>
      <c r="AL630" s="18">
        <v>20</v>
      </c>
      <c r="AM630" s="18">
        <v>3</v>
      </c>
      <c r="AN630" s="18">
        <v>33.33</v>
      </c>
      <c r="AO630" s="18">
        <v>0.05769</v>
      </c>
      <c r="AP630" s="18">
        <v>50</v>
      </c>
      <c r="AQ630" s="18">
        <v>2</v>
      </c>
      <c r="AR630" s="18">
        <v>148.9</v>
      </c>
      <c r="AS630" s="18">
        <v>3</v>
      </c>
      <c r="AT630" s="18">
        <v>0</v>
      </c>
      <c r="AU630" s="18">
        <v>0</v>
      </c>
      <c r="AV630" s="18">
        <v>0</v>
      </c>
      <c r="AW630" s="18">
        <v>0</v>
      </c>
      <c r="AX630" s="18">
        <v>1</v>
      </c>
      <c r="AY630" s="18">
        <v>219</v>
      </c>
      <c r="AZ630" s="18">
        <v>112</v>
      </c>
      <c r="BA630" s="18">
        <v>78</v>
      </c>
      <c r="BB630" s="18">
        <v>0.69643</v>
      </c>
      <c r="BC630" s="18">
        <v>0</v>
      </c>
      <c r="BD630" s="18">
        <v>0</v>
      </c>
      <c r="BE630" s="18">
        <v>0.14668</v>
      </c>
      <c r="BF630" s="18">
        <v>61</v>
      </c>
      <c r="BG630" s="18">
        <v>2</v>
      </c>
      <c r="BH630" s="18">
        <v>1</v>
      </c>
      <c r="BI630" s="18">
        <v>1</v>
      </c>
      <c r="BJ630" s="18">
        <v>0</v>
      </c>
      <c r="BK630" s="18">
        <v>0</v>
      </c>
      <c r="BL630" s="18">
        <v>0</v>
      </c>
      <c r="BM630" s="18">
        <v>1</v>
      </c>
      <c r="BN630" s="18">
        <v>1</v>
      </c>
      <c r="BO630" s="18">
        <v>85.12</v>
      </c>
      <c r="BP630" s="18">
        <v>2.41</v>
      </c>
      <c r="BQ630" s="18">
        <v>302</v>
      </c>
      <c r="BR630" s="18">
        <v>0</v>
      </c>
      <c r="BS630" s="18">
        <v>0</v>
      </c>
      <c r="BT630" s="18">
        <v>0</v>
      </c>
      <c r="BU630" s="18">
        <v>0</v>
      </c>
    </row>
    <row r="631" spans="1:73">
      <c r="A631" s="19">
        <v>46142</v>
      </c>
      <c r="B631" s="18">
        <v>479</v>
      </c>
      <c r="C631" s="18" t="s">
        <v>39</v>
      </c>
      <c r="D631" s="18">
        <v>479</v>
      </c>
      <c r="E631" s="18" t="s">
        <v>39</v>
      </c>
      <c r="F631" s="18">
        <v>49</v>
      </c>
      <c r="G631" s="18">
        <v>22</v>
      </c>
      <c r="H631" s="18">
        <v>14.68</v>
      </c>
      <c r="I631" s="18">
        <v>0.44898</v>
      </c>
      <c r="J631" s="18">
        <v>0.67</v>
      </c>
      <c r="K631" s="18">
        <v>299.5</v>
      </c>
      <c r="L631" s="18">
        <v>0</v>
      </c>
      <c r="M631" s="18">
        <v>0</v>
      </c>
      <c r="N631" s="18">
        <v>0</v>
      </c>
      <c r="O631" s="18">
        <v>0</v>
      </c>
      <c r="P631" s="18">
        <v>0</v>
      </c>
      <c r="Q631" s="18">
        <v>0</v>
      </c>
      <c r="R631" s="18">
        <v>0</v>
      </c>
      <c r="S631" s="18">
        <v>0</v>
      </c>
      <c r="T631" s="18">
        <v>0</v>
      </c>
      <c r="U631" s="18">
        <v>0</v>
      </c>
      <c r="V631" s="18">
        <v>0</v>
      </c>
      <c r="W631" s="18">
        <v>0</v>
      </c>
      <c r="X631" s="18">
        <v>0</v>
      </c>
      <c r="Y631" s="18">
        <v>0</v>
      </c>
      <c r="Z631" s="18">
        <v>0</v>
      </c>
      <c r="AA631" s="18"/>
      <c r="AB631" s="18">
        <v>9</v>
      </c>
      <c r="AC631" s="18">
        <v>0</v>
      </c>
      <c r="AD631" s="18">
        <v>9</v>
      </c>
      <c r="AE631" s="18">
        <v>0.40909</v>
      </c>
      <c r="AF631" s="18">
        <v>1</v>
      </c>
      <c r="AG631" s="18">
        <v>0</v>
      </c>
      <c r="AH631" s="18"/>
      <c r="AI631" s="18">
        <v>10</v>
      </c>
      <c r="AJ631" s="18">
        <v>1.47</v>
      </c>
      <c r="AK631" s="18">
        <v>10</v>
      </c>
      <c r="AL631" s="18">
        <v>1.47</v>
      </c>
      <c r="AM631" s="18">
        <v>1</v>
      </c>
      <c r="AN631" s="18">
        <v>14.68</v>
      </c>
      <c r="AO631" s="18">
        <v>0.04545</v>
      </c>
      <c r="AP631" s="18">
        <v>1.63</v>
      </c>
      <c r="AQ631" s="18">
        <v>0</v>
      </c>
      <c r="AR631" s="18">
        <v>0</v>
      </c>
      <c r="AS631" s="18">
        <v>0</v>
      </c>
      <c r="AT631" s="18">
        <v>1</v>
      </c>
      <c r="AU631" s="18">
        <v>0</v>
      </c>
      <c r="AV631" s="18">
        <v>0</v>
      </c>
      <c r="AW631" s="18">
        <v>0</v>
      </c>
      <c r="AX631" s="18">
        <v>0</v>
      </c>
      <c r="AY631" s="18">
        <v>211</v>
      </c>
      <c r="AZ631" s="18">
        <v>17</v>
      </c>
      <c r="BA631" s="18">
        <v>12</v>
      </c>
      <c r="BB631" s="18">
        <v>0.70588</v>
      </c>
      <c r="BC631" s="18">
        <v>0</v>
      </c>
      <c r="BD631" s="18">
        <v>0</v>
      </c>
      <c r="BE631" s="18">
        <v>4.30612</v>
      </c>
      <c r="BF631" s="18">
        <v>188</v>
      </c>
      <c r="BG631" s="18">
        <v>12</v>
      </c>
      <c r="BH631" s="18">
        <v>0</v>
      </c>
      <c r="BI631" s="18"/>
      <c r="BJ631" s="18">
        <v>0</v>
      </c>
      <c r="BK631" s="18">
        <v>0</v>
      </c>
      <c r="BL631" s="18">
        <v>0</v>
      </c>
      <c r="BM631" s="18">
        <v>0</v>
      </c>
      <c r="BN631" s="18"/>
      <c r="BO631" s="18"/>
      <c r="BP631" s="18">
        <v>0</v>
      </c>
      <c r="BQ631" s="18">
        <v>283</v>
      </c>
      <c r="BR631" s="18">
        <v>0</v>
      </c>
      <c r="BS631" s="18">
        <v>0</v>
      </c>
      <c r="BT631" s="18">
        <v>0</v>
      </c>
      <c r="BU631" s="18">
        <v>0</v>
      </c>
    </row>
    <row r="632" spans="1:73">
      <c r="A632" s="19">
        <v>46142</v>
      </c>
      <c r="B632" s="18">
        <v>371</v>
      </c>
      <c r="C632" s="18" t="s">
        <v>32</v>
      </c>
      <c r="D632" s="18">
        <v>371</v>
      </c>
      <c r="E632" s="18" t="s">
        <v>32</v>
      </c>
      <c r="F632" s="18">
        <v>1098</v>
      </c>
      <c r="G632" s="18">
        <v>71</v>
      </c>
      <c r="H632" s="18">
        <v>21.1</v>
      </c>
      <c r="I632" s="18">
        <v>0.06466</v>
      </c>
      <c r="J632" s="18">
        <v>0.3</v>
      </c>
      <c r="K632" s="18">
        <v>19.22</v>
      </c>
      <c r="L632" s="18">
        <v>0</v>
      </c>
      <c r="M632" s="18">
        <v>0</v>
      </c>
      <c r="N632" s="18">
        <v>0</v>
      </c>
      <c r="O632" s="18">
        <v>0</v>
      </c>
      <c r="P632" s="18">
        <v>0</v>
      </c>
      <c r="Q632" s="18">
        <v>0</v>
      </c>
      <c r="R632" s="18">
        <v>0</v>
      </c>
      <c r="S632" s="18">
        <v>0</v>
      </c>
      <c r="T632" s="18">
        <v>0</v>
      </c>
      <c r="U632" s="18">
        <v>0</v>
      </c>
      <c r="V632" s="18">
        <v>0</v>
      </c>
      <c r="W632" s="18">
        <v>0</v>
      </c>
      <c r="X632" s="18">
        <v>0</v>
      </c>
      <c r="Y632" s="18">
        <v>0</v>
      </c>
      <c r="Z632" s="18">
        <v>0</v>
      </c>
      <c r="AA632" s="18"/>
      <c r="AB632" s="18">
        <v>1</v>
      </c>
      <c r="AC632" s="18">
        <v>1</v>
      </c>
      <c r="AD632" s="18">
        <v>0</v>
      </c>
      <c r="AE632" s="18">
        <v>0.01408</v>
      </c>
      <c r="AF632" s="18">
        <v>0</v>
      </c>
      <c r="AG632" s="18">
        <v>0</v>
      </c>
      <c r="AH632" s="18"/>
      <c r="AI632" s="18">
        <v>1</v>
      </c>
      <c r="AJ632" s="18">
        <v>21.1</v>
      </c>
      <c r="AK632" s="18">
        <v>1</v>
      </c>
      <c r="AL632" s="18">
        <v>21.1</v>
      </c>
      <c r="AM632" s="18">
        <v>0</v>
      </c>
      <c r="AN632" s="18"/>
      <c r="AO632" s="18">
        <v>0</v>
      </c>
      <c r="AP632" s="18">
        <v>21.1</v>
      </c>
      <c r="AQ632" s="18">
        <v>0</v>
      </c>
      <c r="AR632" s="18">
        <v>0</v>
      </c>
      <c r="AS632" s="18">
        <v>0</v>
      </c>
      <c r="AT632" s="18">
        <v>0</v>
      </c>
      <c r="AU632" s="18">
        <v>0</v>
      </c>
      <c r="AV632" s="18">
        <v>0</v>
      </c>
      <c r="AW632" s="18">
        <v>0</v>
      </c>
      <c r="AX632" s="18">
        <v>0</v>
      </c>
      <c r="AY632" s="18">
        <v>160</v>
      </c>
      <c r="AZ632" s="18">
        <v>49</v>
      </c>
      <c r="BA632" s="18">
        <v>41</v>
      </c>
      <c r="BB632" s="18">
        <v>0.83673</v>
      </c>
      <c r="BC632" s="18">
        <v>0</v>
      </c>
      <c r="BD632" s="18">
        <v>0</v>
      </c>
      <c r="BE632" s="18">
        <v>0.14572</v>
      </c>
      <c r="BF632" s="18">
        <v>22</v>
      </c>
      <c r="BG632" s="18">
        <v>3</v>
      </c>
      <c r="BH632" s="18">
        <v>0</v>
      </c>
      <c r="BI632" s="18"/>
      <c r="BJ632" s="18">
        <v>0</v>
      </c>
      <c r="BK632" s="18">
        <v>0</v>
      </c>
      <c r="BL632" s="18">
        <v>0</v>
      </c>
      <c r="BM632" s="18">
        <v>0</v>
      </c>
      <c r="BN632" s="18"/>
      <c r="BO632" s="18"/>
      <c r="BP632" s="18">
        <v>0</v>
      </c>
      <c r="BQ632" s="18">
        <v>78</v>
      </c>
      <c r="BR632" s="18">
        <v>0</v>
      </c>
      <c r="BS632" s="18">
        <v>0</v>
      </c>
      <c r="BT632" s="18">
        <v>0</v>
      </c>
      <c r="BU632" s="18">
        <v>0</v>
      </c>
    </row>
    <row r="633" spans="1:73">
      <c r="A633" s="19">
        <v>46142</v>
      </c>
      <c r="B633" s="18">
        <v>436</v>
      </c>
      <c r="C633" s="18" t="s">
        <v>38</v>
      </c>
      <c r="D633" s="18">
        <v>436</v>
      </c>
      <c r="E633" s="18" t="s">
        <v>38</v>
      </c>
      <c r="F633" s="18">
        <v>879</v>
      </c>
      <c r="G633" s="18">
        <v>33</v>
      </c>
      <c r="H633" s="18">
        <v>40.19</v>
      </c>
      <c r="I633" s="18">
        <v>0.03754</v>
      </c>
      <c r="J633" s="18">
        <v>1.22</v>
      </c>
      <c r="K633" s="18">
        <v>45.72</v>
      </c>
      <c r="L633" s="18">
        <v>0</v>
      </c>
      <c r="M633" s="18">
        <v>0</v>
      </c>
      <c r="N633" s="18">
        <v>0</v>
      </c>
      <c r="O633" s="18">
        <v>0</v>
      </c>
      <c r="P633" s="18">
        <v>0</v>
      </c>
      <c r="Q633" s="18">
        <v>0</v>
      </c>
      <c r="R633" s="18">
        <v>0</v>
      </c>
      <c r="S633" s="18">
        <v>0</v>
      </c>
      <c r="T633" s="18">
        <v>0</v>
      </c>
      <c r="U633" s="18">
        <v>0</v>
      </c>
      <c r="V633" s="18">
        <v>0</v>
      </c>
      <c r="W633" s="18">
        <v>0</v>
      </c>
      <c r="X633" s="18">
        <v>0</v>
      </c>
      <c r="Y633" s="18">
        <v>0</v>
      </c>
      <c r="Z633" s="18">
        <v>0</v>
      </c>
      <c r="AA633" s="18"/>
      <c r="AB633" s="18">
        <v>1</v>
      </c>
      <c r="AC633" s="18">
        <v>1</v>
      </c>
      <c r="AD633" s="18">
        <v>0</v>
      </c>
      <c r="AE633" s="18">
        <v>0.0303</v>
      </c>
      <c r="AF633" s="18">
        <v>0</v>
      </c>
      <c r="AG633" s="18">
        <v>1</v>
      </c>
      <c r="AH633" s="18">
        <v>40.19</v>
      </c>
      <c r="AI633" s="18">
        <v>2</v>
      </c>
      <c r="AJ633" s="18">
        <v>20.1</v>
      </c>
      <c r="AK633" s="18">
        <v>1</v>
      </c>
      <c r="AL633" s="18">
        <v>40.19</v>
      </c>
      <c r="AM633" s="18">
        <v>1</v>
      </c>
      <c r="AN633" s="18"/>
      <c r="AO633" s="18">
        <v>0</v>
      </c>
      <c r="AP633" s="18">
        <v>40.19</v>
      </c>
      <c r="AQ633" s="18">
        <v>0</v>
      </c>
      <c r="AR633" s="18">
        <v>0</v>
      </c>
      <c r="AS633" s="18">
        <v>0</v>
      </c>
      <c r="AT633" s="18">
        <v>0</v>
      </c>
      <c r="AU633" s="18">
        <v>0</v>
      </c>
      <c r="AV633" s="18">
        <v>0</v>
      </c>
      <c r="AW633" s="18">
        <v>0</v>
      </c>
      <c r="AX633" s="18">
        <v>1</v>
      </c>
      <c r="AY633" s="18">
        <v>84</v>
      </c>
      <c r="AZ633" s="18">
        <v>26</v>
      </c>
      <c r="BA633" s="18">
        <v>15</v>
      </c>
      <c r="BB633" s="18">
        <v>0.57692</v>
      </c>
      <c r="BC633" s="18">
        <v>0</v>
      </c>
      <c r="BD633" s="18">
        <v>0</v>
      </c>
      <c r="BE633" s="18">
        <v>0.09556</v>
      </c>
      <c r="BF633" s="18">
        <v>52</v>
      </c>
      <c r="BG633" s="18">
        <v>3</v>
      </c>
      <c r="BH633" s="18">
        <v>0</v>
      </c>
      <c r="BI633" s="18"/>
      <c r="BJ633" s="18">
        <v>0</v>
      </c>
      <c r="BK633" s="18">
        <v>0</v>
      </c>
      <c r="BL633" s="18">
        <v>0</v>
      </c>
      <c r="BM633" s="18">
        <v>0</v>
      </c>
      <c r="BN633" s="18"/>
      <c r="BO633" s="18"/>
      <c r="BP633" s="18">
        <v>0</v>
      </c>
      <c r="BQ633" s="18">
        <v>53</v>
      </c>
      <c r="BR633" s="18">
        <v>0</v>
      </c>
      <c r="BS633" s="18">
        <v>0</v>
      </c>
      <c r="BT633" s="18">
        <v>0</v>
      </c>
      <c r="BU633" s="18">
        <v>0</v>
      </c>
    </row>
    <row r="634" spans="1:73">
      <c r="A634" s="19">
        <v>46142</v>
      </c>
      <c r="B634" s="18">
        <v>372</v>
      </c>
      <c r="C634" s="18" t="s">
        <v>37</v>
      </c>
      <c r="D634" s="18">
        <v>372</v>
      </c>
      <c r="E634" s="18" t="s">
        <v>61</v>
      </c>
      <c r="F634" s="18">
        <v>2317</v>
      </c>
      <c r="G634" s="18">
        <v>221</v>
      </c>
      <c r="H634" s="18">
        <v>70.03</v>
      </c>
      <c r="I634" s="18">
        <v>0.09538</v>
      </c>
      <c r="J634" s="18">
        <v>0.32</v>
      </c>
      <c r="K634" s="18">
        <v>30.22</v>
      </c>
      <c r="L634" s="18">
        <v>0</v>
      </c>
      <c r="M634" s="18">
        <v>0</v>
      </c>
      <c r="N634" s="18">
        <v>0</v>
      </c>
      <c r="O634" s="18">
        <v>0</v>
      </c>
      <c r="P634" s="18">
        <v>0</v>
      </c>
      <c r="Q634" s="18">
        <v>0</v>
      </c>
      <c r="R634" s="18">
        <v>0</v>
      </c>
      <c r="S634" s="18">
        <v>0</v>
      </c>
      <c r="T634" s="18">
        <v>0</v>
      </c>
      <c r="U634" s="18">
        <v>0</v>
      </c>
      <c r="V634" s="18">
        <v>0</v>
      </c>
      <c r="W634" s="18">
        <v>0</v>
      </c>
      <c r="X634" s="18">
        <v>0</v>
      </c>
      <c r="Y634" s="18">
        <v>0</v>
      </c>
      <c r="Z634" s="18">
        <v>0</v>
      </c>
      <c r="AA634" s="18"/>
      <c r="AB634" s="18">
        <v>2</v>
      </c>
      <c r="AC634" s="18">
        <v>2</v>
      </c>
      <c r="AD634" s="18">
        <v>0</v>
      </c>
      <c r="AE634" s="18">
        <v>0.00905</v>
      </c>
      <c r="AF634" s="18">
        <v>0</v>
      </c>
      <c r="AG634" s="18">
        <v>0</v>
      </c>
      <c r="AH634" s="18"/>
      <c r="AI634" s="18">
        <v>2</v>
      </c>
      <c r="AJ634" s="18">
        <v>35.02</v>
      </c>
      <c r="AK634" s="18">
        <v>2</v>
      </c>
      <c r="AL634" s="18">
        <v>35.02</v>
      </c>
      <c r="AM634" s="18">
        <v>0</v>
      </c>
      <c r="AN634" s="18"/>
      <c r="AO634" s="18">
        <v>0</v>
      </c>
      <c r="AP634" s="18">
        <v>35.02</v>
      </c>
      <c r="AQ634" s="18">
        <v>0</v>
      </c>
      <c r="AR634" s="18">
        <v>0</v>
      </c>
      <c r="AS634" s="18">
        <v>0</v>
      </c>
      <c r="AT634" s="18">
        <v>0</v>
      </c>
      <c r="AU634" s="18">
        <v>0</v>
      </c>
      <c r="AV634" s="18">
        <v>0</v>
      </c>
      <c r="AW634" s="18">
        <v>0</v>
      </c>
      <c r="AX634" s="18">
        <v>0</v>
      </c>
      <c r="AY634" s="18">
        <v>344</v>
      </c>
      <c r="AZ634" s="18">
        <v>210</v>
      </c>
      <c r="BA634" s="18">
        <v>177</v>
      </c>
      <c r="BB634" s="18">
        <v>0.84286</v>
      </c>
      <c r="BC634" s="18">
        <v>0</v>
      </c>
      <c r="BD634" s="18">
        <v>0</v>
      </c>
      <c r="BE634" s="18">
        <v>0.14847</v>
      </c>
      <c r="BF634" s="18">
        <v>68</v>
      </c>
      <c r="BG634" s="18">
        <v>2</v>
      </c>
      <c r="BH634" s="18">
        <v>0</v>
      </c>
      <c r="BI634" s="18"/>
      <c r="BJ634" s="18">
        <v>0</v>
      </c>
      <c r="BK634" s="18">
        <v>0</v>
      </c>
      <c r="BL634" s="18">
        <v>0</v>
      </c>
      <c r="BM634" s="18">
        <v>0</v>
      </c>
      <c r="BN634" s="18"/>
      <c r="BO634" s="18"/>
      <c r="BP634" s="18">
        <v>2.05</v>
      </c>
      <c r="BQ634" s="18">
        <v>283</v>
      </c>
      <c r="BR634" s="18">
        <v>0</v>
      </c>
      <c r="BS634" s="18">
        <v>0</v>
      </c>
      <c r="BT634" s="18">
        <v>0</v>
      </c>
      <c r="BU634" s="18">
        <v>0</v>
      </c>
    </row>
    <row r="635" spans="1:73">
      <c r="A635" s="19">
        <v>46141</v>
      </c>
      <c r="B635" s="18">
        <v>479</v>
      </c>
      <c r="C635" s="18" t="s">
        <v>39</v>
      </c>
      <c r="D635" s="18">
        <v>479</v>
      </c>
      <c r="E635" s="18" t="s">
        <v>39</v>
      </c>
      <c r="F635" s="18">
        <v>52</v>
      </c>
      <c r="G635" s="18">
        <v>22</v>
      </c>
      <c r="H635" s="18">
        <v>17.9</v>
      </c>
      <c r="I635" s="18">
        <v>0.42308</v>
      </c>
      <c r="J635" s="18">
        <v>0.81</v>
      </c>
      <c r="K635" s="18">
        <v>344.27</v>
      </c>
      <c r="L635" s="18">
        <v>0</v>
      </c>
      <c r="M635" s="18">
        <v>0</v>
      </c>
      <c r="N635" s="18">
        <v>0</v>
      </c>
      <c r="O635" s="18">
        <v>0</v>
      </c>
      <c r="P635" s="18">
        <v>0</v>
      </c>
      <c r="Q635" s="18">
        <v>0</v>
      </c>
      <c r="R635" s="18">
        <v>0</v>
      </c>
      <c r="S635" s="18">
        <v>0</v>
      </c>
      <c r="T635" s="18">
        <v>0</v>
      </c>
      <c r="U635" s="18">
        <v>0</v>
      </c>
      <c r="V635" s="18">
        <v>0</v>
      </c>
      <c r="W635" s="18">
        <v>0</v>
      </c>
      <c r="X635" s="18">
        <v>0</v>
      </c>
      <c r="Y635" s="18">
        <v>0</v>
      </c>
      <c r="Z635" s="18">
        <v>0</v>
      </c>
      <c r="AA635" s="18"/>
      <c r="AB635" s="18">
        <v>5</v>
      </c>
      <c r="AC635" s="18">
        <v>0</v>
      </c>
      <c r="AD635" s="18">
        <v>5</v>
      </c>
      <c r="AE635" s="18">
        <v>0.22727</v>
      </c>
      <c r="AF635" s="18">
        <v>1</v>
      </c>
      <c r="AG635" s="18">
        <v>1</v>
      </c>
      <c r="AH635" s="18">
        <v>17.9</v>
      </c>
      <c r="AI635" s="18">
        <v>7</v>
      </c>
      <c r="AJ635" s="18">
        <v>2.56</v>
      </c>
      <c r="AK635" s="18">
        <v>6</v>
      </c>
      <c r="AL635" s="18">
        <v>2.98</v>
      </c>
      <c r="AM635" s="18">
        <v>2</v>
      </c>
      <c r="AN635" s="18">
        <v>17.9</v>
      </c>
      <c r="AO635" s="18">
        <v>0.04545</v>
      </c>
      <c r="AP635" s="18">
        <v>3.58</v>
      </c>
      <c r="AQ635" s="18">
        <v>0</v>
      </c>
      <c r="AR635" s="18">
        <v>0</v>
      </c>
      <c r="AS635" s="18">
        <v>0</v>
      </c>
      <c r="AT635" s="18">
        <v>1</v>
      </c>
      <c r="AU635" s="18">
        <v>0</v>
      </c>
      <c r="AV635" s="18">
        <v>0</v>
      </c>
      <c r="AW635" s="18">
        <v>0</v>
      </c>
      <c r="AX635" s="18">
        <v>0</v>
      </c>
      <c r="AY635" s="18">
        <v>189</v>
      </c>
      <c r="AZ635" s="18">
        <v>17</v>
      </c>
      <c r="BA635" s="18">
        <v>10</v>
      </c>
      <c r="BB635" s="18">
        <v>0.58824</v>
      </c>
      <c r="BC635" s="18">
        <v>0</v>
      </c>
      <c r="BD635" s="18">
        <v>0</v>
      </c>
      <c r="BE635" s="18">
        <v>3.63462</v>
      </c>
      <c r="BF635" s="18">
        <v>156</v>
      </c>
      <c r="BG635" s="18">
        <v>11</v>
      </c>
      <c r="BH635" s="18">
        <v>0</v>
      </c>
      <c r="BI635" s="18"/>
      <c r="BJ635" s="18">
        <v>0</v>
      </c>
      <c r="BK635" s="18">
        <v>0</v>
      </c>
      <c r="BL635" s="18">
        <v>0</v>
      </c>
      <c r="BM635" s="18">
        <v>0</v>
      </c>
      <c r="BN635" s="18"/>
      <c r="BO635" s="18"/>
      <c r="BP635" s="18">
        <v>3.16</v>
      </c>
      <c r="BQ635" s="18">
        <v>77</v>
      </c>
      <c r="BR635" s="18">
        <v>0</v>
      </c>
      <c r="BS635" s="18">
        <v>0</v>
      </c>
      <c r="BT635" s="18">
        <v>0</v>
      </c>
      <c r="BU635" s="18">
        <v>0</v>
      </c>
    </row>
    <row r="636" spans="1:73">
      <c r="A636" s="19">
        <v>46141</v>
      </c>
      <c r="B636" s="18">
        <v>372</v>
      </c>
      <c r="C636" s="18" t="s">
        <v>37</v>
      </c>
      <c r="D636" s="18">
        <v>372</v>
      </c>
      <c r="E636" s="18" t="s">
        <v>61</v>
      </c>
      <c r="F636" s="18">
        <v>3270</v>
      </c>
      <c r="G636" s="18">
        <v>257</v>
      </c>
      <c r="H636" s="18">
        <v>93.44</v>
      </c>
      <c r="I636" s="18">
        <v>0.07859</v>
      </c>
      <c r="J636" s="18">
        <v>0.36</v>
      </c>
      <c r="K636" s="18">
        <v>28.57</v>
      </c>
      <c r="L636" s="18">
        <v>0</v>
      </c>
      <c r="M636" s="18">
        <v>0</v>
      </c>
      <c r="N636" s="18">
        <v>0</v>
      </c>
      <c r="O636" s="18">
        <v>0</v>
      </c>
      <c r="P636" s="18">
        <v>0</v>
      </c>
      <c r="Q636" s="18">
        <v>0</v>
      </c>
      <c r="R636" s="18">
        <v>146.18</v>
      </c>
      <c r="S636" s="18">
        <v>600.89</v>
      </c>
      <c r="T636" s="18">
        <v>747.07</v>
      </c>
      <c r="U636" s="18">
        <v>5</v>
      </c>
      <c r="V636" s="18">
        <v>1</v>
      </c>
      <c r="W636" s="18">
        <v>4</v>
      </c>
      <c r="X636" s="18">
        <v>0.01946</v>
      </c>
      <c r="Y636" s="18">
        <v>8</v>
      </c>
      <c r="Z636" s="18">
        <v>8</v>
      </c>
      <c r="AA636" s="18">
        <v>18.69</v>
      </c>
      <c r="AB636" s="18">
        <v>12</v>
      </c>
      <c r="AC636" s="18">
        <v>5</v>
      </c>
      <c r="AD636" s="18">
        <v>7</v>
      </c>
      <c r="AE636" s="18">
        <v>0.04669</v>
      </c>
      <c r="AF636" s="18">
        <v>3</v>
      </c>
      <c r="AG636" s="18">
        <v>1</v>
      </c>
      <c r="AH636" s="18">
        <v>93.44</v>
      </c>
      <c r="AI636" s="18">
        <v>16</v>
      </c>
      <c r="AJ636" s="18">
        <v>5.84</v>
      </c>
      <c r="AK636" s="18">
        <v>15</v>
      </c>
      <c r="AL636" s="18">
        <v>6.23</v>
      </c>
      <c r="AM636" s="18">
        <v>4</v>
      </c>
      <c r="AN636" s="18">
        <v>31.15</v>
      </c>
      <c r="AO636" s="18">
        <v>0.01167</v>
      </c>
      <c r="AP636" s="18">
        <v>7.79</v>
      </c>
      <c r="AQ636" s="18">
        <v>7</v>
      </c>
      <c r="AR636" s="18">
        <v>1162.7</v>
      </c>
      <c r="AS636" s="18">
        <v>2</v>
      </c>
      <c r="AT636" s="18">
        <v>1</v>
      </c>
      <c r="AU636" s="18">
        <v>0</v>
      </c>
      <c r="AV636" s="18">
        <v>0</v>
      </c>
      <c r="AW636" s="18">
        <v>0</v>
      </c>
      <c r="AX636" s="18">
        <v>1</v>
      </c>
      <c r="AY636" s="18">
        <v>493</v>
      </c>
      <c r="AZ636" s="18">
        <v>244</v>
      </c>
      <c r="BA636" s="18">
        <v>189</v>
      </c>
      <c r="BB636" s="18">
        <v>0.77459</v>
      </c>
      <c r="BC636" s="18">
        <v>0</v>
      </c>
      <c r="BD636" s="18">
        <v>0</v>
      </c>
      <c r="BE636" s="18">
        <v>0.15076</v>
      </c>
      <c r="BF636" s="18">
        <v>169</v>
      </c>
      <c r="BG636" s="18">
        <v>2</v>
      </c>
      <c r="BH636" s="18">
        <v>3</v>
      </c>
      <c r="BI636" s="18">
        <v>1</v>
      </c>
      <c r="BJ636" s="18">
        <v>0</v>
      </c>
      <c r="BK636" s="18">
        <v>0</v>
      </c>
      <c r="BL636" s="18">
        <v>0</v>
      </c>
      <c r="BM636" s="18">
        <v>3</v>
      </c>
      <c r="BN636" s="18">
        <v>2</v>
      </c>
      <c r="BO636" s="18">
        <v>249.02</v>
      </c>
      <c r="BP636" s="18">
        <v>3.18</v>
      </c>
      <c r="BQ636" s="18">
        <v>1034</v>
      </c>
      <c r="BR636" s="18">
        <v>0</v>
      </c>
      <c r="BS636" s="18">
        <v>0</v>
      </c>
      <c r="BT636" s="18">
        <v>0</v>
      </c>
      <c r="BU636" s="18">
        <v>0</v>
      </c>
    </row>
    <row r="637" spans="1:73">
      <c r="A637" s="19">
        <v>46141</v>
      </c>
      <c r="B637" s="18">
        <v>436</v>
      </c>
      <c r="C637" s="18" t="s">
        <v>38</v>
      </c>
      <c r="D637" s="18">
        <v>436</v>
      </c>
      <c r="E637" s="18" t="s">
        <v>38</v>
      </c>
      <c r="F637" s="18">
        <v>805</v>
      </c>
      <c r="G637" s="18">
        <v>27</v>
      </c>
      <c r="H637" s="18">
        <v>35.75</v>
      </c>
      <c r="I637" s="18">
        <v>0.03354</v>
      </c>
      <c r="J637" s="18">
        <v>1.32</v>
      </c>
      <c r="K637" s="18">
        <v>44.41</v>
      </c>
      <c r="L637" s="18">
        <v>0</v>
      </c>
      <c r="M637" s="18">
        <v>0</v>
      </c>
      <c r="N637" s="18">
        <v>0</v>
      </c>
      <c r="O637" s="18">
        <v>0</v>
      </c>
      <c r="P637" s="18">
        <v>0</v>
      </c>
      <c r="Q637" s="18">
        <v>0</v>
      </c>
      <c r="R637" s="18">
        <v>0</v>
      </c>
      <c r="S637" s="18">
        <v>123.05</v>
      </c>
      <c r="T637" s="18">
        <v>123.05</v>
      </c>
      <c r="U637" s="18">
        <v>2</v>
      </c>
      <c r="V637" s="18">
        <v>0</v>
      </c>
      <c r="W637" s="18">
        <v>2</v>
      </c>
      <c r="X637" s="18">
        <v>0.07407</v>
      </c>
      <c r="Y637" s="18">
        <v>3.44</v>
      </c>
      <c r="Z637" s="18">
        <v>3.44</v>
      </c>
      <c r="AA637" s="18">
        <v>17.88</v>
      </c>
      <c r="AB637" s="18">
        <v>2</v>
      </c>
      <c r="AC637" s="18">
        <v>0</v>
      </c>
      <c r="AD637" s="18">
        <v>2</v>
      </c>
      <c r="AE637" s="18">
        <v>0.07407</v>
      </c>
      <c r="AF637" s="18">
        <v>0</v>
      </c>
      <c r="AG637" s="18">
        <v>0</v>
      </c>
      <c r="AH637" s="18"/>
      <c r="AI637" s="18">
        <v>2</v>
      </c>
      <c r="AJ637" s="18">
        <v>17.88</v>
      </c>
      <c r="AK637" s="18">
        <v>2</v>
      </c>
      <c r="AL637" s="18">
        <v>17.88</v>
      </c>
      <c r="AM637" s="18">
        <v>0</v>
      </c>
      <c r="AN637" s="18"/>
      <c r="AO637" s="18">
        <v>0</v>
      </c>
      <c r="AP637" s="18">
        <v>17.88</v>
      </c>
      <c r="AQ637" s="18">
        <v>3</v>
      </c>
      <c r="AR637" s="18">
        <v>198.8</v>
      </c>
      <c r="AS637" s="18">
        <v>0</v>
      </c>
      <c r="AT637" s="18">
        <v>0</v>
      </c>
      <c r="AU637" s="18">
        <v>0</v>
      </c>
      <c r="AV637" s="18">
        <v>0</v>
      </c>
      <c r="AW637" s="18">
        <v>0</v>
      </c>
      <c r="AX637" s="18">
        <v>2</v>
      </c>
      <c r="AY637" s="18">
        <v>74</v>
      </c>
      <c r="AZ637" s="18">
        <v>20</v>
      </c>
      <c r="BA637" s="18">
        <v>14</v>
      </c>
      <c r="BB637" s="18">
        <v>0.7</v>
      </c>
      <c r="BC637" s="18">
        <v>0</v>
      </c>
      <c r="BD637" s="18">
        <v>0</v>
      </c>
      <c r="BE637" s="18">
        <v>0.09193</v>
      </c>
      <c r="BF637" s="18">
        <v>47</v>
      </c>
      <c r="BG637" s="18">
        <v>4</v>
      </c>
      <c r="BH637" s="18">
        <v>1</v>
      </c>
      <c r="BI637" s="18">
        <v>1</v>
      </c>
      <c r="BJ637" s="18">
        <v>0</v>
      </c>
      <c r="BK637" s="18">
        <v>0</v>
      </c>
      <c r="BL637" s="18">
        <v>0</v>
      </c>
      <c r="BM637" s="18">
        <v>1</v>
      </c>
      <c r="BN637" s="18">
        <v>2</v>
      </c>
      <c r="BO637" s="18">
        <v>123.05</v>
      </c>
      <c r="BP637" s="18">
        <v>45.62</v>
      </c>
      <c r="BQ637" s="18">
        <v>312</v>
      </c>
      <c r="BR637" s="18">
        <v>0</v>
      </c>
      <c r="BS637" s="18">
        <v>0</v>
      </c>
      <c r="BT637" s="18">
        <v>0</v>
      </c>
      <c r="BU637" s="18">
        <v>0</v>
      </c>
    </row>
    <row r="638" spans="1:73">
      <c r="A638" s="19">
        <v>46141</v>
      </c>
      <c r="B638" s="18">
        <v>371</v>
      </c>
      <c r="C638" s="18" t="s">
        <v>32</v>
      </c>
      <c r="D638" s="18">
        <v>371</v>
      </c>
      <c r="E638" s="18" t="s">
        <v>32</v>
      </c>
      <c r="F638" s="18">
        <v>1076</v>
      </c>
      <c r="G638" s="18">
        <v>64</v>
      </c>
      <c r="H638" s="18">
        <v>20.34</v>
      </c>
      <c r="I638" s="18">
        <v>0.05948</v>
      </c>
      <c r="J638" s="18">
        <v>0.32</v>
      </c>
      <c r="K638" s="18">
        <v>18.9</v>
      </c>
      <c r="L638" s="18">
        <v>0</v>
      </c>
      <c r="M638" s="18">
        <v>0</v>
      </c>
      <c r="N638" s="18">
        <v>0</v>
      </c>
      <c r="O638" s="18">
        <v>0</v>
      </c>
      <c r="P638" s="18">
        <v>0</v>
      </c>
      <c r="Q638" s="18">
        <v>0</v>
      </c>
      <c r="R638" s="18">
        <v>0</v>
      </c>
      <c r="S638" s="18">
        <v>0</v>
      </c>
      <c r="T638" s="18">
        <v>0</v>
      </c>
      <c r="U638" s="18">
        <v>0</v>
      </c>
      <c r="V638" s="18">
        <v>0</v>
      </c>
      <c r="W638" s="18">
        <v>0</v>
      </c>
      <c r="X638" s="18">
        <v>0</v>
      </c>
      <c r="Y638" s="18">
        <v>0</v>
      </c>
      <c r="Z638" s="18">
        <v>0</v>
      </c>
      <c r="AA638" s="18"/>
      <c r="AB638" s="18">
        <v>2</v>
      </c>
      <c r="AC638" s="18">
        <v>2</v>
      </c>
      <c r="AD638" s="18">
        <v>0</v>
      </c>
      <c r="AE638" s="18">
        <v>0.03125</v>
      </c>
      <c r="AF638" s="18">
        <v>1</v>
      </c>
      <c r="AG638" s="18">
        <v>0</v>
      </c>
      <c r="AH638" s="18"/>
      <c r="AI638" s="18">
        <v>3</v>
      </c>
      <c r="AJ638" s="18">
        <v>6.78</v>
      </c>
      <c r="AK638" s="18">
        <v>3</v>
      </c>
      <c r="AL638" s="18">
        <v>6.78</v>
      </c>
      <c r="AM638" s="18">
        <v>1</v>
      </c>
      <c r="AN638" s="18">
        <v>20.34</v>
      </c>
      <c r="AO638" s="18">
        <v>0.01563</v>
      </c>
      <c r="AP638" s="18">
        <v>10.17</v>
      </c>
      <c r="AQ638" s="18">
        <v>0</v>
      </c>
      <c r="AR638" s="18">
        <v>0</v>
      </c>
      <c r="AS638" s="18">
        <v>1</v>
      </c>
      <c r="AT638" s="18">
        <v>0</v>
      </c>
      <c r="AU638" s="18">
        <v>0</v>
      </c>
      <c r="AV638" s="18">
        <v>0</v>
      </c>
      <c r="AW638" s="18">
        <v>0</v>
      </c>
      <c r="AX638" s="18">
        <v>1</v>
      </c>
      <c r="AY638" s="18">
        <v>131</v>
      </c>
      <c r="AZ638" s="18">
        <v>48</v>
      </c>
      <c r="BA638" s="18">
        <v>46</v>
      </c>
      <c r="BB638" s="18">
        <v>0.95833</v>
      </c>
      <c r="BC638" s="18">
        <v>0</v>
      </c>
      <c r="BD638" s="18">
        <v>0</v>
      </c>
      <c r="BE638" s="18">
        <v>0.12175</v>
      </c>
      <c r="BF638" s="18">
        <v>33</v>
      </c>
      <c r="BG638" s="18">
        <v>3</v>
      </c>
      <c r="BH638" s="18">
        <v>0</v>
      </c>
      <c r="BI638" s="18"/>
      <c r="BJ638" s="18">
        <v>0</v>
      </c>
      <c r="BK638" s="18">
        <v>0</v>
      </c>
      <c r="BL638" s="18">
        <v>0</v>
      </c>
      <c r="BM638" s="18">
        <v>0</v>
      </c>
      <c r="BN638" s="18"/>
      <c r="BO638" s="18"/>
      <c r="BP638" s="18">
        <v>2.05</v>
      </c>
      <c r="BQ638" s="18">
        <v>77</v>
      </c>
      <c r="BR638" s="18">
        <v>0</v>
      </c>
      <c r="BS638" s="18">
        <v>0</v>
      </c>
      <c r="BT638" s="18">
        <v>0</v>
      </c>
      <c r="BU638" s="18">
        <v>0</v>
      </c>
    </row>
    <row r="639" spans="1:73">
      <c r="A639" s="19">
        <v>46141</v>
      </c>
      <c r="B639" s="18">
        <v>183</v>
      </c>
      <c r="C639" s="18" t="s">
        <v>40</v>
      </c>
      <c r="D639" s="18">
        <v>183</v>
      </c>
      <c r="E639" s="18" t="s">
        <v>40</v>
      </c>
      <c r="F639" s="18">
        <v>1404</v>
      </c>
      <c r="G639" s="18">
        <v>52</v>
      </c>
      <c r="H639" s="18">
        <v>100</v>
      </c>
      <c r="I639" s="18">
        <v>0.03704</v>
      </c>
      <c r="J639" s="18">
        <v>1.92</v>
      </c>
      <c r="K639" s="18">
        <v>71.23</v>
      </c>
      <c r="L639" s="18">
        <v>0</v>
      </c>
      <c r="M639" s="18">
        <v>0</v>
      </c>
      <c r="N639" s="18">
        <v>0</v>
      </c>
      <c r="O639" s="18">
        <v>0</v>
      </c>
      <c r="P639" s="18">
        <v>0</v>
      </c>
      <c r="Q639" s="18">
        <v>0</v>
      </c>
      <c r="R639" s="18">
        <v>133.6</v>
      </c>
      <c r="S639" s="18">
        <v>0</v>
      </c>
      <c r="T639" s="18">
        <v>133.6</v>
      </c>
      <c r="U639" s="18">
        <v>1</v>
      </c>
      <c r="V639" s="18">
        <v>1</v>
      </c>
      <c r="W639" s="18">
        <v>0</v>
      </c>
      <c r="X639" s="18">
        <v>0.01923</v>
      </c>
      <c r="Y639" s="18">
        <v>1.34</v>
      </c>
      <c r="Z639" s="18">
        <v>1.34</v>
      </c>
      <c r="AA639" s="18">
        <v>100</v>
      </c>
      <c r="AB639" s="18">
        <v>2</v>
      </c>
      <c r="AC639" s="18">
        <v>2</v>
      </c>
      <c r="AD639" s="18">
        <v>0</v>
      </c>
      <c r="AE639" s="18">
        <v>0.03846</v>
      </c>
      <c r="AF639" s="18">
        <v>2</v>
      </c>
      <c r="AG639" s="18">
        <v>1</v>
      </c>
      <c r="AH639" s="18">
        <v>100</v>
      </c>
      <c r="AI639" s="18">
        <v>5</v>
      </c>
      <c r="AJ639" s="18">
        <v>20</v>
      </c>
      <c r="AK639" s="18">
        <v>4</v>
      </c>
      <c r="AL639" s="18">
        <v>25</v>
      </c>
      <c r="AM639" s="18">
        <v>3</v>
      </c>
      <c r="AN639" s="18">
        <v>50</v>
      </c>
      <c r="AO639" s="18">
        <v>0.03846</v>
      </c>
      <c r="AP639" s="18">
        <v>50</v>
      </c>
      <c r="AQ639" s="18">
        <v>1</v>
      </c>
      <c r="AR639" s="18">
        <v>168</v>
      </c>
      <c r="AS639" s="18">
        <v>2</v>
      </c>
      <c r="AT639" s="18">
        <v>0</v>
      </c>
      <c r="AU639" s="18">
        <v>0</v>
      </c>
      <c r="AV639" s="18">
        <v>0</v>
      </c>
      <c r="AW639" s="18">
        <v>0</v>
      </c>
      <c r="AX639" s="18">
        <v>0</v>
      </c>
      <c r="AY639" s="18">
        <v>260</v>
      </c>
      <c r="AZ639" s="18">
        <v>99</v>
      </c>
      <c r="BA639" s="18">
        <v>61</v>
      </c>
      <c r="BB639" s="18">
        <v>0.61616</v>
      </c>
      <c r="BC639" s="18">
        <v>0</v>
      </c>
      <c r="BD639" s="18">
        <v>0</v>
      </c>
      <c r="BE639" s="18">
        <v>0.18519</v>
      </c>
      <c r="BF639" s="18">
        <v>82</v>
      </c>
      <c r="BG639" s="18">
        <v>3</v>
      </c>
      <c r="BH639" s="18">
        <v>1</v>
      </c>
      <c r="BI639" s="18">
        <v>1</v>
      </c>
      <c r="BJ639" s="18">
        <v>0</v>
      </c>
      <c r="BK639" s="18">
        <v>0</v>
      </c>
      <c r="BL639" s="18">
        <v>0</v>
      </c>
      <c r="BM639" s="18">
        <v>1</v>
      </c>
      <c r="BN639" s="18">
        <v>1</v>
      </c>
      <c r="BO639" s="18">
        <v>133.6</v>
      </c>
      <c r="BP639" s="18">
        <v>0</v>
      </c>
      <c r="BQ639" s="18">
        <v>236</v>
      </c>
      <c r="BR639" s="18">
        <v>0</v>
      </c>
      <c r="BS639" s="18">
        <v>0</v>
      </c>
      <c r="BT639" s="18">
        <v>0</v>
      </c>
      <c r="BU639" s="18">
        <v>0</v>
      </c>
    </row>
    <row r="640" spans="1:73">
      <c r="A640" s="19">
        <v>46140</v>
      </c>
      <c r="B640" s="18">
        <v>183</v>
      </c>
      <c r="C640" s="18" t="s">
        <v>40</v>
      </c>
      <c r="D640" s="18">
        <v>183</v>
      </c>
      <c r="E640" s="18" t="s">
        <v>40</v>
      </c>
      <c r="F640" s="18">
        <v>1770</v>
      </c>
      <c r="G640" s="18">
        <v>77</v>
      </c>
      <c r="H640" s="18">
        <v>148</v>
      </c>
      <c r="I640" s="18">
        <v>0.0435</v>
      </c>
      <c r="J640" s="18">
        <v>1.92</v>
      </c>
      <c r="K640" s="18">
        <v>83.62</v>
      </c>
      <c r="L640" s="18">
        <v>0</v>
      </c>
      <c r="M640" s="18">
        <v>0</v>
      </c>
      <c r="N640" s="18">
        <v>0</v>
      </c>
      <c r="O640" s="18">
        <v>0</v>
      </c>
      <c r="P640" s="18">
        <v>0</v>
      </c>
      <c r="Q640" s="18">
        <v>0</v>
      </c>
      <c r="R640" s="18">
        <v>147</v>
      </c>
      <c r="S640" s="18">
        <v>82.12</v>
      </c>
      <c r="T640" s="18">
        <v>229.12</v>
      </c>
      <c r="U640" s="18">
        <v>2</v>
      </c>
      <c r="V640" s="18">
        <v>1</v>
      </c>
      <c r="W640" s="18">
        <v>1</v>
      </c>
      <c r="X640" s="18">
        <v>0.02597</v>
      </c>
      <c r="Y640" s="18">
        <v>1.55</v>
      </c>
      <c r="Z640" s="18">
        <v>1.55</v>
      </c>
      <c r="AA640" s="18">
        <v>74</v>
      </c>
      <c r="AB640" s="18">
        <v>2</v>
      </c>
      <c r="AC640" s="18">
        <v>2</v>
      </c>
      <c r="AD640" s="18">
        <v>0</v>
      </c>
      <c r="AE640" s="18">
        <v>0.02597</v>
      </c>
      <c r="AF640" s="18">
        <v>0</v>
      </c>
      <c r="AG640" s="18">
        <v>1</v>
      </c>
      <c r="AH640" s="18">
        <v>148</v>
      </c>
      <c r="AI640" s="18">
        <v>3</v>
      </c>
      <c r="AJ640" s="18">
        <v>49.33</v>
      </c>
      <c r="AK640" s="18">
        <v>2</v>
      </c>
      <c r="AL640" s="18">
        <v>74</v>
      </c>
      <c r="AM640" s="18">
        <v>1</v>
      </c>
      <c r="AN640" s="18"/>
      <c r="AO640" s="18">
        <v>0</v>
      </c>
      <c r="AP640" s="18">
        <v>74</v>
      </c>
      <c r="AQ640" s="18">
        <v>4</v>
      </c>
      <c r="AR640" s="18">
        <v>366.8</v>
      </c>
      <c r="AS640" s="18">
        <v>0</v>
      </c>
      <c r="AT640" s="18">
        <v>0</v>
      </c>
      <c r="AU640" s="18">
        <v>0</v>
      </c>
      <c r="AV640" s="18">
        <v>0</v>
      </c>
      <c r="AW640" s="18">
        <v>0</v>
      </c>
      <c r="AX640" s="18">
        <v>1</v>
      </c>
      <c r="AY640" s="18">
        <v>292</v>
      </c>
      <c r="AZ640" s="18">
        <v>119</v>
      </c>
      <c r="BA640" s="18">
        <v>79</v>
      </c>
      <c r="BB640" s="18">
        <v>0.66387</v>
      </c>
      <c r="BC640" s="18">
        <v>0</v>
      </c>
      <c r="BD640" s="18">
        <v>0</v>
      </c>
      <c r="BE640" s="18">
        <v>0.16497</v>
      </c>
      <c r="BF640" s="18">
        <v>107</v>
      </c>
      <c r="BG640" s="18">
        <v>2</v>
      </c>
      <c r="BH640" s="18">
        <v>0</v>
      </c>
      <c r="BI640" s="18">
        <v>0</v>
      </c>
      <c r="BJ640" s="18">
        <v>0</v>
      </c>
      <c r="BK640" s="18">
        <v>0</v>
      </c>
      <c r="BL640" s="18">
        <v>0</v>
      </c>
      <c r="BM640" s="18">
        <v>2</v>
      </c>
      <c r="BN640" s="18">
        <v>1</v>
      </c>
      <c r="BO640" s="18">
        <v>114.56</v>
      </c>
      <c r="BP640" s="18">
        <v>14.92</v>
      </c>
      <c r="BQ640" s="18">
        <v>270</v>
      </c>
      <c r="BR640" s="18">
        <v>0</v>
      </c>
      <c r="BS640" s="18">
        <v>0</v>
      </c>
      <c r="BT640" s="18">
        <v>0</v>
      </c>
      <c r="BU640" s="18">
        <v>0</v>
      </c>
    </row>
    <row r="641" spans="1:73">
      <c r="A641" s="19">
        <v>46140</v>
      </c>
      <c r="B641" s="18">
        <v>371</v>
      </c>
      <c r="C641" s="18" t="s">
        <v>32</v>
      </c>
      <c r="D641" s="18">
        <v>371</v>
      </c>
      <c r="E641" s="18" t="s">
        <v>32</v>
      </c>
      <c r="F641" s="18">
        <v>1109</v>
      </c>
      <c r="G641" s="18">
        <v>65</v>
      </c>
      <c r="H641" s="18">
        <v>22.06</v>
      </c>
      <c r="I641" s="18">
        <v>0.05861</v>
      </c>
      <c r="J641" s="18">
        <v>0.34</v>
      </c>
      <c r="K641" s="18">
        <v>19.89</v>
      </c>
      <c r="L641" s="18">
        <v>0</v>
      </c>
      <c r="M641" s="18">
        <v>0</v>
      </c>
      <c r="N641" s="18">
        <v>0</v>
      </c>
      <c r="O641" s="18">
        <v>0</v>
      </c>
      <c r="P641" s="18">
        <v>0</v>
      </c>
      <c r="Q641" s="18">
        <v>0</v>
      </c>
      <c r="R641" s="18">
        <v>0</v>
      </c>
      <c r="S641" s="18">
        <v>0</v>
      </c>
      <c r="T641" s="18">
        <v>0</v>
      </c>
      <c r="U641" s="18">
        <v>0</v>
      </c>
      <c r="V641" s="18">
        <v>0</v>
      </c>
      <c r="W641" s="18">
        <v>0</v>
      </c>
      <c r="X641" s="18">
        <v>0</v>
      </c>
      <c r="Y641" s="18">
        <v>0</v>
      </c>
      <c r="Z641" s="18">
        <v>0</v>
      </c>
      <c r="AA641" s="18"/>
      <c r="AB641" s="18">
        <v>3</v>
      </c>
      <c r="AC641" s="18">
        <v>0</v>
      </c>
      <c r="AD641" s="18">
        <v>3</v>
      </c>
      <c r="AE641" s="18">
        <v>0.04615</v>
      </c>
      <c r="AF641" s="18">
        <v>0</v>
      </c>
      <c r="AG641" s="18">
        <v>0</v>
      </c>
      <c r="AH641" s="18"/>
      <c r="AI641" s="18">
        <v>3</v>
      </c>
      <c r="AJ641" s="18">
        <v>7.35</v>
      </c>
      <c r="AK641" s="18">
        <v>3</v>
      </c>
      <c r="AL641" s="18">
        <v>7.35</v>
      </c>
      <c r="AM641" s="18">
        <v>0</v>
      </c>
      <c r="AN641" s="18"/>
      <c r="AO641" s="18">
        <v>0</v>
      </c>
      <c r="AP641" s="18">
        <v>7.35</v>
      </c>
      <c r="AQ641" s="18">
        <v>0</v>
      </c>
      <c r="AR641" s="18">
        <v>0</v>
      </c>
      <c r="AS641" s="18">
        <v>0</v>
      </c>
      <c r="AT641" s="18">
        <v>0</v>
      </c>
      <c r="AU641" s="18">
        <v>0</v>
      </c>
      <c r="AV641" s="18">
        <v>0</v>
      </c>
      <c r="AW641" s="18">
        <v>0</v>
      </c>
      <c r="AX641" s="18">
        <v>0</v>
      </c>
      <c r="AY641" s="18">
        <v>100</v>
      </c>
      <c r="AZ641" s="18">
        <v>39</v>
      </c>
      <c r="BA641" s="18">
        <v>33</v>
      </c>
      <c r="BB641" s="18">
        <v>0.84615</v>
      </c>
      <c r="BC641" s="18">
        <v>0</v>
      </c>
      <c r="BD641" s="18">
        <v>0</v>
      </c>
      <c r="BE641" s="18">
        <v>0.09017</v>
      </c>
      <c r="BF641" s="18">
        <v>28</v>
      </c>
      <c r="BG641" s="18">
        <v>3</v>
      </c>
      <c r="BH641" s="18">
        <v>0</v>
      </c>
      <c r="BI641" s="18"/>
      <c r="BJ641" s="18">
        <v>0</v>
      </c>
      <c r="BK641" s="18">
        <v>0</v>
      </c>
      <c r="BL641" s="18">
        <v>0</v>
      </c>
      <c r="BM641" s="18">
        <v>0</v>
      </c>
      <c r="BN641" s="18"/>
      <c r="BO641" s="18"/>
      <c r="BP641" s="18">
        <v>0</v>
      </c>
      <c r="BQ641" s="18">
        <v>56</v>
      </c>
      <c r="BR641" s="18">
        <v>0</v>
      </c>
      <c r="BS641" s="18">
        <v>0</v>
      </c>
      <c r="BT641" s="18">
        <v>0</v>
      </c>
      <c r="BU641" s="18">
        <v>0</v>
      </c>
    </row>
    <row r="642" spans="1:73">
      <c r="A642" s="19">
        <v>46140</v>
      </c>
      <c r="B642" s="18">
        <v>436</v>
      </c>
      <c r="C642" s="18" t="s">
        <v>38</v>
      </c>
      <c r="D642" s="18">
        <v>436</v>
      </c>
      <c r="E642" s="18" t="s">
        <v>38</v>
      </c>
      <c r="F642" s="18">
        <v>173</v>
      </c>
      <c r="G642" s="18">
        <v>11</v>
      </c>
      <c r="H642" s="18">
        <v>50</v>
      </c>
      <c r="I642" s="18">
        <v>0.06358</v>
      </c>
      <c r="J642" s="18">
        <v>4.55</v>
      </c>
      <c r="K642" s="18">
        <v>289.02</v>
      </c>
      <c r="L642" s="18">
        <v>0</v>
      </c>
      <c r="M642" s="18">
        <v>0</v>
      </c>
      <c r="N642" s="18">
        <v>0</v>
      </c>
      <c r="O642" s="18">
        <v>0</v>
      </c>
      <c r="P642" s="18">
        <v>0</v>
      </c>
      <c r="Q642" s="18">
        <v>0</v>
      </c>
      <c r="R642" s="18">
        <v>596</v>
      </c>
      <c r="S642" s="18">
        <v>0</v>
      </c>
      <c r="T642" s="18">
        <v>596</v>
      </c>
      <c r="U642" s="18">
        <v>1</v>
      </c>
      <c r="V642" s="18">
        <v>1</v>
      </c>
      <c r="W642" s="18">
        <v>0</v>
      </c>
      <c r="X642" s="18">
        <v>0.09091</v>
      </c>
      <c r="Y642" s="18">
        <v>11.92</v>
      </c>
      <c r="Z642" s="18">
        <v>11.92</v>
      </c>
      <c r="AA642" s="18">
        <v>50</v>
      </c>
      <c r="AB642" s="18">
        <v>1</v>
      </c>
      <c r="AC642" s="18">
        <v>1</v>
      </c>
      <c r="AD642" s="18">
        <v>0</v>
      </c>
      <c r="AE642" s="18">
        <v>0.09091</v>
      </c>
      <c r="AF642" s="18">
        <v>0</v>
      </c>
      <c r="AG642" s="18">
        <v>0</v>
      </c>
      <c r="AH642" s="18"/>
      <c r="AI642" s="18">
        <v>1</v>
      </c>
      <c r="AJ642" s="18">
        <v>50</v>
      </c>
      <c r="AK642" s="18">
        <v>1</v>
      </c>
      <c r="AL642" s="18">
        <v>50</v>
      </c>
      <c r="AM642" s="18">
        <v>0</v>
      </c>
      <c r="AN642" s="18"/>
      <c r="AO642" s="18">
        <v>0</v>
      </c>
      <c r="AP642" s="18">
        <v>50</v>
      </c>
      <c r="AQ642" s="18">
        <v>2</v>
      </c>
      <c r="AR642" s="18">
        <v>846</v>
      </c>
      <c r="AS642" s="18">
        <v>0</v>
      </c>
      <c r="AT642" s="18">
        <v>0</v>
      </c>
      <c r="AU642" s="18">
        <v>0</v>
      </c>
      <c r="AV642" s="18">
        <v>0</v>
      </c>
      <c r="AW642" s="18">
        <v>0</v>
      </c>
      <c r="AX642" s="18">
        <v>0</v>
      </c>
      <c r="AY642" s="18">
        <v>43</v>
      </c>
      <c r="AZ642" s="18">
        <v>10</v>
      </c>
      <c r="BA642" s="18">
        <v>10</v>
      </c>
      <c r="BB642" s="18">
        <v>1</v>
      </c>
      <c r="BC642" s="18">
        <v>0</v>
      </c>
      <c r="BD642" s="18">
        <v>0</v>
      </c>
      <c r="BE642" s="18">
        <v>0.24855</v>
      </c>
      <c r="BF642" s="18">
        <v>32</v>
      </c>
      <c r="BG642" s="18">
        <v>4</v>
      </c>
      <c r="BH642" s="18">
        <v>1</v>
      </c>
      <c r="BI642" s="18">
        <v>1</v>
      </c>
      <c r="BJ642" s="18">
        <v>0</v>
      </c>
      <c r="BK642" s="18">
        <v>0</v>
      </c>
      <c r="BL642" s="18">
        <v>0</v>
      </c>
      <c r="BM642" s="18">
        <v>1</v>
      </c>
      <c r="BN642" s="18">
        <v>1</v>
      </c>
      <c r="BO642" s="18">
        <v>596</v>
      </c>
      <c r="BP642" s="18">
        <v>0</v>
      </c>
      <c r="BQ642" s="18">
        <v>192</v>
      </c>
      <c r="BR642" s="18">
        <v>0</v>
      </c>
      <c r="BS642" s="18">
        <v>0</v>
      </c>
      <c r="BT642" s="18">
        <v>0</v>
      </c>
      <c r="BU642" s="18">
        <v>0</v>
      </c>
    </row>
    <row r="643" spans="1:73">
      <c r="A643" s="19">
        <v>46140</v>
      </c>
      <c r="B643" s="18">
        <v>479</v>
      </c>
      <c r="C643" s="18" t="s">
        <v>39</v>
      </c>
      <c r="D643" s="18">
        <v>479</v>
      </c>
      <c r="E643" s="18" t="s">
        <v>39</v>
      </c>
      <c r="F643" s="18">
        <v>37</v>
      </c>
      <c r="G643" s="18">
        <v>15</v>
      </c>
      <c r="H643" s="18">
        <v>11.08</v>
      </c>
      <c r="I643" s="18">
        <v>0.40541</v>
      </c>
      <c r="J643" s="18">
        <v>0.74</v>
      </c>
      <c r="K643" s="18">
        <v>299.59</v>
      </c>
      <c r="L643" s="18">
        <v>0</v>
      </c>
      <c r="M643" s="18">
        <v>0</v>
      </c>
      <c r="N643" s="18">
        <v>0</v>
      </c>
      <c r="O643" s="18">
        <v>0</v>
      </c>
      <c r="P643" s="18">
        <v>0</v>
      </c>
      <c r="Q643" s="18">
        <v>0</v>
      </c>
      <c r="R643" s="18">
        <v>0</v>
      </c>
      <c r="S643" s="18">
        <v>0</v>
      </c>
      <c r="T643" s="18">
        <v>0</v>
      </c>
      <c r="U643" s="18">
        <v>0</v>
      </c>
      <c r="V643" s="18">
        <v>0</v>
      </c>
      <c r="W643" s="18">
        <v>0</v>
      </c>
      <c r="X643" s="18">
        <v>0</v>
      </c>
      <c r="Y643" s="18">
        <v>0</v>
      </c>
      <c r="Z643" s="18">
        <v>0</v>
      </c>
      <c r="AA643" s="18"/>
      <c r="AB643" s="18">
        <v>0</v>
      </c>
      <c r="AC643" s="18">
        <v>0</v>
      </c>
      <c r="AD643" s="18">
        <v>0</v>
      </c>
      <c r="AE643" s="18">
        <v>0</v>
      </c>
      <c r="AF643" s="18">
        <v>0</v>
      </c>
      <c r="AG643" s="18">
        <v>0</v>
      </c>
      <c r="AH643" s="18"/>
      <c r="AI643" s="18">
        <v>0</v>
      </c>
      <c r="AJ643" s="18"/>
      <c r="AK643" s="18">
        <v>0</v>
      </c>
      <c r="AL643" s="18"/>
      <c r="AM643" s="18">
        <v>0</v>
      </c>
      <c r="AN643" s="18"/>
      <c r="AO643" s="18">
        <v>0</v>
      </c>
      <c r="AP643" s="18"/>
      <c r="AQ643" s="18">
        <v>0</v>
      </c>
      <c r="AR643" s="18">
        <v>0</v>
      </c>
      <c r="AS643" s="18">
        <v>0</v>
      </c>
      <c r="AT643" s="18">
        <v>0</v>
      </c>
      <c r="AU643" s="18">
        <v>0</v>
      </c>
      <c r="AV643" s="18">
        <v>0</v>
      </c>
      <c r="AW643" s="18">
        <v>0</v>
      </c>
      <c r="AX643" s="18">
        <v>1</v>
      </c>
      <c r="AY643" s="18">
        <v>104</v>
      </c>
      <c r="AZ643" s="18">
        <v>12</v>
      </c>
      <c r="BA643" s="18">
        <v>8</v>
      </c>
      <c r="BB643" s="18">
        <v>0.66667</v>
      </c>
      <c r="BC643" s="18">
        <v>0</v>
      </c>
      <c r="BD643" s="18">
        <v>0</v>
      </c>
      <c r="BE643" s="18">
        <v>2.81081</v>
      </c>
      <c r="BF643" s="18">
        <v>88</v>
      </c>
      <c r="BG643" s="18">
        <v>9</v>
      </c>
      <c r="BH643" s="18">
        <v>0</v>
      </c>
      <c r="BI643" s="18"/>
      <c r="BJ643" s="18">
        <v>0</v>
      </c>
      <c r="BK643" s="18">
        <v>0</v>
      </c>
      <c r="BL643" s="18">
        <v>0</v>
      </c>
      <c r="BM643" s="18">
        <v>0</v>
      </c>
      <c r="BN643" s="18"/>
      <c r="BO643" s="18"/>
      <c r="BP643" s="18">
        <v>0</v>
      </c>
      <c r="BQ643" s="18">
        <v>29</v>
      </c>
      <c r="BR643" s="18">
        <v>0</v>
      </c>
      <c r="BS643" s="18">
        <v>0</v>
      </c>
      <c r="BT643" s="18">
        <v>0</v>
      </c>
      <c r="BU643" s="18">
        <v>0</v>
      </c>
    </row>
    <row r="644" spans="1:73">
      <c r="A644" s="19">
        <v>46140</v>
      </c>
      <c r="B644" s="18">
        <v>372</v>
      </c>
      <c r="C644" s="18" t="s">
        <v>37</v>
      </c>
      <c r="D644" s="18">
        <v>372</v>
      </c>
      <c r="E644" s="18" t="s">
        <v>61</v>
      </c>
      <c r="F644" s="18">
        <v>3444</v>
      </c>
      <c r="G644" s="18">
        <v>308</v>
      </c>
      <c r="H644" s="18">
        <v>118.16</v>
      </c>
      <c r="I644" s="18">
        <v>0.08943</v>
      </c>
      <c r="J644" s="18">
        <v>0.38</v>
      </c>
      <c r="K644" s="18">
        <v>34.31</v>
      </c>
      <c r="L644" s="18">
        <v>0</v>
      </c>
      <c r="M644" s="18">
        <v>0</v>
      </c>
      <c r="N644" s="18">
        <v>0</v>
      </c>
      <c r="O644" s="18">
        <v>0</v>
      </c>
      <c r="P644" s="18">
        <v>0</v>
      </c>
      <c r="Q644" s="18">
        <v>0</v>
      </c>
      <c r="R644" s="18">
        <v>281.44</v>
      </c>
      <c r="S644" s="18">
        <v>24.92</v>
      </c>
      <c r="T644" s="18">
        <v>306.36</v>
      </c>
      <c r="U644" s="18">
        <v>2</v>
      </c>
      <c r="V644" s="18">
        <v>1</v>
      </c>
      <c r="W644" s="18">
        <v>1</v>
      </c>
      <c r="X644" s="18">
        <v>0.00649</v>
      </c>
      <c r="Y644" s="18">
        <v>2.59</v>
      </c>
      <c r="Z644" s="18">
        <v>2.59</v>
      </c>
      <c r="AA644" s="18">
        <v>59.08</v>
      </c>
      <c r="AB644" s="18">
        <v>8</v>
      </c>
      <c r="AC644" s="18">
        <v>7</v>
      </c>
      <c r="AD644" s="18">
        <v>1</v>
      </c>
      <c r="AE644" s="18">
        <v>0.02597</v>
      </c>
      <c r="AF644" s="18">
        <v>4</v>
      </c>
      <c r="AG644" s="18">
        <v>1</v>
      </c>
      <c r="AH644" s="18">
        <v>118.16</v>
      </c>
      <c r="AI644" s="18">
        <v>13</v>
      </c>
      <c r="AJ644" s="18">
        <v>9.09</v>
      </c>
      <c r="AK644" s="18">
        <v>12</v>
      </c>
      <c r="AL644" s="18">
        <v>9.85</v>
      </c>
      <c r="AM644" s="18">
        <v>5</v>
      </c>
      <c r="AN644" s="18">
        <v>29.54</v>
      </c>
      <c r="AO644" s="18">
        <v>0.01299</v>
      </c>
      <c r="AP644" s="18">
        <v>14.77</v>
      </c>
      <c r="AQ644" s="18">
        <v>3</v>
      </c>
      <c r="AR644" s="18">
        <v>426</v>
      </c>
      <c r="AS644" s="18">
        <v>4</v>
      </c>
      <c r="AT644" s="18">
        <v>0</v>
      </c>
      <c r="AU644" s="18">
        <v>0</v>
      </c>
      <c r="AV644" s="18">
        <v>0</v>
      </c>
      <c r="AW644" s="18">
        <v>0</v>
      </c>
      <c r="AX644" s="18">
        <v>0</v>
      </c>
      <c r="AY644" s="18">
        <v>626</v>
      </c>
      <c r="AZ644" s="18">
        <v>296</v>
      </c>
      <c r="BA644" s="18">
        <v>243</v>
      </c>
      <c r="BB644" s="18">
        <v>0.82095</v>
      </c>
      <c r="BC644" s="18">
        <v>0</v>
      </c>
      <c r="BD644" s="18">
        <v>0</v>
      </c>
      <c r="BE644" s="18">
        <v>0.18177</v>
      </c>
      <c r="BF644" s="18">
        <v>204</v>
      </c>
      <c r="BG644" s="18">
        <v>2</v>
      </c>
      <c r="BH644" s="18">
        <v>2</v>
      </c>
      <c r="BI644" s="18">
        <v>1</v>
      </c>
      <c r="BJ644" s="18">
        <v>0</v>
      </c>
      <c r="BK644" s="18">
        <v>0</v>
      </c>
      <c r="BL644" s="18">
        <v>0</v>
      </c>
      <c r="BM644" s="18">
        <v>2</v>
      </c>
      <c r="BN644" s="18">
        <v>1</v>
      </c>
      <c r="BO644" s="18">
        <v>153.18</v>
      </c>
      <c r="BP644" s="18">
        <v>2.26</v>
      </c>
      <c r="BQ644" s="18">
        <v>624</v>
      </c>
      <c r="BR644" s="18">
        <v>0</v>
      </c>
      <c r="BS644" s="18">
        <v>0</v>
      </c>
      <c r="BT644" s="18">
        <v>0</v>
      </c>
      <c r="BU644" s="18">
        <v>0</v>
      </c>
    </row>
    <row r="645" spans="1:73">
      <c r="A645" s="19">
        <v>46139</v>
      </c>
      <c r="B645" s="18">
        <v>479</v>
      </c>
      <c r="C645" s="18" t="s">
        <v>39</v>
      </c>
      <c r="D645" s="18">
        <v>479</v>
      </c>
      <c r="E645" s="18" t="s">
        <v>39</v>
      </c>
      <c r="F645" s="18">
        <v>43</v>
      </c>
      <c r="G645" s="18">
        <v>12</v>
      </c>
      <c r="H645" s="18">
        <v>12.16</v>
      </c>
      <c r="I645" s="18">
        <v>0.27907</v>
      </c>
      <c r="J645" s="18">
        <v>1.01</v>
      </c>
      <c r="K645" s="18">
        <v>282.88</v>
      </c>
      <c r="L645" s="18">
        <v>0</v>
      </c>
      <c r="M645" s="18">
        <v>0</v>
      </c>
      <c r="N645" s="18">
        <v>0</v>
      </c>
      <c r="O645" s="18">
        <v>0</v>
      </c>
      <c r="P645" s="18">
        <v>0</v>
      </c>
      <c r="Q645" s="18">
        <v>0</v>
      </c>
      <c r="R645" s="18">
        <v>0</v>
      </c>
      <c r="S645" s="18">
        <v>0</v>
      </c>
      <c r="T645" s="18">
        <v>0</v>
      </c>
      <c r="U645" s="18">
        <v>0</v>
      </c>
      <c r="V645" s="18">
        <v>0</v>
      </c>
      <c r="W645" s="18">
        <v>0</v>
      </c>
      <c r="X645" s="18">
        <v>0</v>
      </c>
      <c r="Y645" s="18">
        <v>0</v>
      </c>
      <c r="Z645" s="18">
        <v>0</v>
      </c>
      <c r="AA645" s="18"/>
      <c r="AB645" s="18">
        <v>1</v>
      </c>
      <c r="AC645" s="18">
        <v>0</v>
      </c>
      <c r="AD645" s="18">
        <v>1</v>
      </c>
      <c r="AE645" s="18">
        <v>0.08333</v>
      </c>
      <c r="AF645" s="18">
        <v>0</v>
      </c>
      <c r="AG645" s="18">
        <v>0</v>
      </c>
      <c r="AH645" s="18"/>
      <c r="AI645" s="18">
        <v>1</v>
      </c>
      <c r="AJ645" s="18">
        <v>12.16</v>
      </c>
      <c r="AK645" s="18">
        <v>1</v>
      </c>
      <c r="AL645" s="18">
        <v>12.16</v>
      </c>
      <c r="AM645" s="18">
        <v>0</v>
      </c>
      <c r="AN645" s="18"/>
      <c r="AO645" s="18">
        <v>0</v>
      </c>
      <c r="AP645" s="18">
        <v>12.16</v>
      </c>
      <c r="AQ645" s="18">
        <v>0</v>
      </c>
      <c r="AR645" s="18">
        <v>0</v>
      </c>
      <c r="AS645" s="18">
        <v>0</v>
      </c>
      <c r="AT645" s="18">
        <v>0</v>
      </c>
      <c r="AU645" s="18">
        <v>0</v>
      </c>
      <c r="AV645" s="18">
        <v>0</v>
      </c>
      <c r="AW645" s="18">
        <v>0</v>
      </c>
      <c r="AX645" s="18">
        <v>0</v>
      </c>
      <c r="AY645" s="18">
        <v>124</v>
      </c>
      <c r="AZ645" s="18">
        <v>12</v>
      </c>
      <c r="BA645" s="18">
        <v>6</v>
      </c>
      <c r="BB645" s="18">
        <v>0.5</v>
      </c>
      <c r="BC645" s="18">
        <v>0</v>
      </c>
      <c r="BD645" s="18">
        <v>0</v>
      </c>
      <c r="BE645" s="18">
        <v>2.88372</v>
      </c>
      <c r="BF645" s="18">
        <v>112</v>
      </c>
      <c r="BG645" s="18">
        <v>10</v>
      </c>
      <c r="BH645" s="18">
        <v>0</v>
      </c>
      <c r="BI645" s="18"/>
      <c r="BJ645" s="18">
        <v>0</v>
      </c>
      <c r="BK645" s="18">
        <v>0</v>
      </c>
      <c r="BL645" s="18">
        <v>0</v>
      </c>
      <c r="BM645" s="18">
        <v>0</v>
      </c>
      <c r="BN645" s="18"/>
      <c r="BO645" s="18"/>
      <c r="BP645" s="18">
        <v>0</v>
      </c>
      <c r="BQ645" s="18">
        <v>75</v>
      </c>
      <c r="BR645" s="18">
        <v>0</v>
      </c>
      <c r="BS645" s="18">
        <v>0</v>
      </c>
      <c r="BT645" s="18">
        <v>0</v>
      </c>
      <c r="BU645" s="18">
        <v>0</v>
      </c>
    </row>
    <row r="646" spans="1:73">
      <c r="A646" s="19">
        <v>46139</v>
      </c>
      <c r="B646" s="18">
        <v>372</v>
      </c>
      <c r="C646" s="18" t="s">
        <v>37</v>
      </c>
      <c r="D646" s="18">
        <v>372</v>
      </c>
      <c r="E646" s="18" t="s">
        <v>61</v>
      </c>
      <c r="F646" s="18">
        <v>3147</v>
      </c>
      <c r="G646" s="18">
        <v>331</v>
      </c>
      <c r="H646" s="18">
        <v>133.59</v>
      </c>
      <c r="I646" s="18">
        <v>0.10518</v>
      </c>
      <c r="J646" s="18">
        <v>0.4</v>
      </c>
      <c r="K646" s="18">
        <v>42.45</v>
      </c>
      <c r="L646" s="18">
        <v>0</v>
      </c>
      <c r="M646" s="18">
        <v>0</v>
      </c>
      <c r="N646" s="18">
        <v>0</v>
      </c>
      <c r="O646" s="18">
        <v>0</v>
      </c>
      <c r="P646" s="18">
        <v>0</v>
      </c>
      <c r="Q646" s="18">
        <v>0</v>
      </c>
      <c r="R646" s="18">
        <v>0</v>
      </c>
      <c r="S646" s="18">
        <v>0</v>
      </c>
      <c r="T646" s="18">
        <v>0</v>
      </c>
      <c r="U646" s="18">
        <v>0</v>
      </c>
      <c r="V646" s="18">
        <v>0</v>
      </c>
      <c r="W646" s="18">
        <v>0</v>
      </c>
      <c r="X646" s="18">
        <v>0</v>
      </c>
      <c r="Y646" s="18">
        <v>0</v>
      </c>
      <c r="Z646" s="18">
        <v>0</v>
      </c>
      <c r="AA646" s="18"/>
      <c r="AB646" s="18">
        <v>6</v>
      </c>
      <c r="AC646" s="18">
        <v>5</v>
      </c>
      <c r="AD646" s="18">
        <v>1</v>
      </c>
      <c r="AE646" s="18">
        <v>0.01813</v>
      </c>
      <c r="AF646" s="18">
        <v>6</v>
      </c>
      <c r="AG646" s="18">
        <v>1</v>
      </c>
      <c r="AH646" s="18">
        <v>133.59</v>
      </c>
      <c r="AI646" s="18">
        <v>13</v>
      </c>
      <c r="AJ646" s="18">
        <v>10.28</v>
      </c>
      <c r="AK646" s="18">
        <v>12</v>
      </c>
      <c r="AL646" s="18">
        <v>11.13</v>
      </c>
      <c r="AM646" s="18">
        <v>7</v>
      </c>
      <c r="AN646" s="18">
        <v>22.27</v>
      </c>
      <c r="AO646" s="18">
        <v>0.01813</v>
      </c>
      <c r="AP646" s="18">
        <v>22.27</v>
      </c>
      <c r="AQ646" s="18">
        <v>0</v>
      </c>
      <c r="AR646" s="18">
        <v>0</v>
      </c>
      <c r="AS646" s="18">
        <v>5</v>
      </c>
      <c r="AT646" s="18">
        <v>1</v>
      </c>
      <c r="AU646" s="18">
        <v>0</v>
      </c>
      <c r="AV646" s="18">
        <v>0</v>
      </c>
      <c r="AW646" s="18">
        <v>0</v>
      </c>
      <c r="AX646" s="18">
        <v>0</v>
      </c>
      <c r="AY646" s="18">
        <v>648</v>
      </c>
      <c r="AZ646" s="18">
        <v>321</v>
      </c>
      <c r="BA646" s="18">
        <v>271</v>
      </c>
      <c r="BB646" s="18">
        <v>0.84424</v>
      </c>
      <c r="BC646" s="18">
        <v>0</v>
      </c>
      <c r="BD646" s="18">
        <v>0</v>
      </c>
      <c r="BE646" s="18">
        <v>0.20591</v>
      </c>
      <c r="BF646" s="18">
        <v>199</v>
      </c>
      <c r="BG646" s="18">
        <v>2</v>
      </c>
      <c r="BH646" s="18">
        <v>0</v>
      </c>
      <c r="BI646" s="18"/>
      <c r="BJ646" s="18">
        <v>0</v>
      </c>
      <c r="BK646" s="18">
        <v>0</v>
      </c>
      <c r="BL646" s="18">
        <v>0</v>
      </c>
      <c r="BM646" s="18">
        <v>0</v>
      </c>
      <c r="BN646" s="18"/>
      <c r="BO646" s="18"/>
      <c r="BP646" s="18">
        <v>2.12</v>
      </c>
      <c r="BQ646" s="18">
        <v>474</v>
      </c>
      <c r="BR646" s="18">
        <v>0</v>
      </c>
      <c r="BS646" s="18">
        <v>0</v>
      </c>
      <c r="BT646" s="18">
        <v>0</v>
      </c>
      <c r="BU646" s="18">
        <v>0</v>
      </c>
    </row>
    <row r="647" spans="1:73">
      <c r="A647" s="19">
        <v>46139</v>
      </c>
      <c r="B647" s="18">
        <v>183</v>
      </c>
      <c r="C647" s="18" t="s">
        <v>40</v>
      </c>
      <c r="D647" s="18">
        <v>183</v>
      </c>
      <c r="E647" s="18" t="s">
        <v>40</v>
      </c>
      <c r="F647" s="18">
        <v>1589</v>
      </c>
      <c r="G647" s="18">
        <v>70</v>
      </c>
      <c r="H647" s="18">
        <v>195</v>
      </c>
      <c r="I647" s="18">
        <v>0.04405</v>
      </c>
      <c r="J647" s="18">
        <v>2.79</v>
      </c>
      <c r="K647" s="18">
        <v>122.72</v>
      </c>
      <c r="L647" s="18">
        <v>0</v>
      </c>
      <c r="M647" s="18">
        <v>0</v>
      </c>
      <c r="N647" s="18">
        <v>0</v>
      </c>
      <c r="O647" s="18">
        <v>0</v>
      </c>
      <c r="P647" s="18">
        <v>0</v>
      </c>
      <c r="Q647" s="18">
        <v>0</v>
      </c>
      <c r="R647" s="18">
        <v>0</v>
      </c>
      <c r="S647" s="18">
        <v>0</v>
      </c>
      <c r="T647" s="18">
        <v>0</v>
      </c>
      <c r="U647" s="18">
        <v>0</v>
      </c>
      <c r="V647" s="18">
        <v>0</v>
      </c>
      <c r="W647" s="18">
        <v>0</v>
      </c>
      <c r="X647" s="18">
        <v>0</v>
      </c>
      <c r="Y647" s="18">
        <v>0</v>
      </c>
      <c r="Z647" s="18">
        <v>0</v>
      </c>
      <c r="AA647" s="18"/>
      <c r="AB647" s="18">
        <v>2</v>
      </c>
      <c r="AC647" s="18">
        <v>1</v>
      </c>
      <c r="AD647" s="18">
        <v>1</v>
      </c>
      <c r="AE647" s="18">
        <v>0.02857</v>
      </c>
      <c r="AF647" s="18">
        <v>0</v>
      </c>
      <c r="AG647" s="18">
        <v>0</v>
      </c>
      <c r="AH647" s="18"/>
      <c r="AI647" s="18">
        <v>2</v>
      </c>
      <c r="AJ647" s="18">
        <v>97.5</v>
      </c>
      <c r="AK647" s="18">
        <v>2</v>
      </c>
      <c r="AL647" s="18">
        <v>97.5</v>
      </c>
      <c r="AM647" s="18">
        <v>0</v>
      </c>
      <c r="AN647" s="18"/>
      <c r="AO647" s="18">
        <v>0</v>
      </c>
      <c r="AP647" s="18">
        <v>97.5</v>
      </c>
      <c r="AQ647" s="18">
        <v>0</v>
      </c>
      <c r="AR647" s="18">
        <v>0</v>
      </c>
      <c r="AS647" s="18">
        <v>0</v>
      </c>
      <c r="AT647" s="18">
        <v>0</v>
      </c>
      <c r="AU647" s="18">
        <v>0</v>
      </c>
      <c r="AV647" s="18">
        <v>0</v>
      </c>
      <c r="AW647" s="18">
        <v>0</v>
      </c>
      <c r="AX647" s="18">
        <v>2</v>
      </c>
      <c r="AY647" s="18">
        <v>275</v>
      </c>
      <c r="AZ647" s="18">
        <v>110</v>
      </c>
      <c r="BA647" s="18">
        <v>66</v>
      </c>
      <c r="BB647" s="18">
        <v>0.6</v>
      </c>
      <c r="BC647" s="18">
        <v>0</v>
      </c>
      <c r="BD647" s="18">
        <v>0</v>
      </c>
      <c r="BE647" s="18">
        <v>0.17306</v>
      </c>
      <c r="BF647" s="18">
        <v>102</v>
      </c>
      <c r="BG647" s="18">
        <v>3</v>
      </c>
      <c r="BH647" s="18">
        <v>0</v>
      </c>
      <c r="BI647" s="18"/>
      <c r="BJ647" s="18">
        <v>0</v>
      </c>
      <c r="BK647" s="18">
        <v>0</v>
      </c>
      <c r="BL647" s="18">
        <v>0</v>
      </c>
      <c r="BM647" s="18">
        <v>0</v>
      </c>
      <c r="BN647" s="18"/>
      <c r="BO647" s="18"/>
      <c r="BP647" s="18">
        <v>2.23</v>
      </c>
      <c r="BQ647" s="18">
        <v>166</v>
      </c>
      <c r="BR647" s="18">
        <v>0</v>
      </c>
      <c r="BS647" s="18">
        <v>0</v>
      </c>
      <c r="BT647" s="18">
        <v>0</v>
      </c>
      <c r="BU647" s="18">
        <v>0</v>
      </c>
    </row>
    <row r="648" spans="1:73">
      <c r="A648" s="19">
        <v>46139</v>
      </c>
      <c r="B648" s="18">
        <v>436</v>
      </c>
      <c r="C648" s="18" t="s">
        <v>38</v>
      </c>
      <c r="D648" s="18">
        <v>436</v>
      </c>
      <c r="E648" s="18" t="s">
        <v>38</v>
      </c>
      <c r="F648" s="18">
        <v>658</v>
      </c>
      <c r="G648" s="18">
        <v>34</v>
      </c>
      <c r="H648" s="18">
        <v>44.18</v>
      </c>
      <c r="I648" s="18">
        <v>0.05167</v>
      </c>
      <c r="J648" s="18">
        <v>1.3</v>
      </c>
      <c r="K648" s="18">
        <v>67.14</v>
      </c>
      <c r="L648" s="18">
        <v>0</v>
      </c>
      <c r="M648" s="18">
        <v>0</v>
      </c>
      <c r="N648" s="18">
        <v>0</v>
      </c>
      <c r="O648" s="18">
        <v>0</v>
      </c>
      <c r="P648" s="18">
        <v>0</v>
      </c>
      <c r="Q648" s="18">
        <v>0</v>
      </c>
      <c r="R648" s="18">
        <v>0</v>
      </c>
      <c r="S648" s="18">
        <v>0</v>
      </c>
      <c r="T648" s="18">
        <v>0</v>
      </c>
      <c r="U648" s="18">
        <v>0</v>
      </c>
      <c r="V648" s="18">
        <v>0</v>
      </c>
      <c r="W648" s="18">
        <v>0</v>
      </c>
      <c r="X648" s="18">
        <v>0</v>
      </c>
      <c r="Y648" s="18">
        <v>0</v>
      </c>
      <c r="Z648" s="18">
        <v>0</v>
      </c>
      <c r="AA648" s="18"/>
      <c r="AB648" s="18">
        <v>2</v>
      </c>
      <c r="AC648" s="18">
        <v>0</v>
      </c>
      <c r="AD648" s="18">
        <v>2</v>
      </c>
      <c r="AE648" s="18">
        <v>0.05882</v>
      </c>
      <c r="AF648" s="18">
        <v>0</v>
      </c>
      <c r="AG648" s="18">
        <v>1</v>
      </c>
      <c r="AH648" s="18">
        <v>44.18</v>
      </c>
      <c r="AI648" s="18">
        <v>3</v>
      </c>
      <c r="AJ648" s="18">
        <v>14.73</v>
      </c>
      <c r="AK648" s="18">
        <v>2</v>
      </c>
      <c r="AL648" s="18">
        <v>22.09</v>
      </c>
      <c r="AM648" s="18">
        <v>1</v>
      </c>
      <c r="AN648" s="18"/>
      <c r="AO648" s="18">
        <v>0</v>
      </c>
      <c r="AP648" s="18">
        <v>22.09</v>
      </c>
      <c r="AQ648" s="18">
        <v>0</v>
      </c>
      <c r="AR648" s="18">
        <v>0</v>
      </c>
      <c r="AS648" s="18">
        <v>0</v>
      </c>
      <c r="AT648" s="18">
        <v>0</v>
      </c>
      <c r="AU648" s="18">
        <v>0</v>
      </c>
      <c r="AV648" s="18">
        <v>0</v>
      </c>
      <c r="AW648" s="18">
        <v>0</v>
      </c>
      <c r="AX648" s="18">
        <v>0</v>
      </c>
      <c r="AY648" s="18">
        <v>84</v>
      </c>
      <c r="AZ648" s="18">
        <v>24</v>
      </c>
      <c r="BA648" s="18">
        <v>17</v>
      </c>
      <c r="BB648" s="18">
        <v>0.70833</v>
      </c>
      <c r="BC648" s="18">
        <v>0</v>
      </c>
      <c r="BD648" s="18">
        <v>0</v>
      </c>
      <c r="BE648" s="18">
        <v>0.12766</v>
      </c>
      <c r="BF648" s="18">
        <v>46</v>
      </c>
      <c r="BG648" s="18">
        <v>4</v>
      </c>
      <c r="BH648" s="18">
        <v>0</v>
      </c>
      <c r="BI648" s="18"/>
      <c r="BJ648" s="18">
        <v>0</v>
      </c>
      <c r="BK648" s="18">
        <v>0</v>
      </c>
      <c r="BL648" s="18">
        <v>0</v>
      </c>
      <c r="BM648" s="18">
        <v>0</v>
      </c>
      <c r="BN648" s="18"/>
      <c r="BO648" s="18"/>
      <c r="BP648" s="18">
        <v>2.05</v>
      </c>
      <c r="BQ648" s="18">
        <v>35</v>
      </c>
      <c r="BR648" s="18">
        <v>0</v>
      </c>
      <c r="BS648" s="18">
        <v>0</v>
      </c>
      <c r="BT648" s="18">
        <v>0</v>
      </c>
      <c r="BU648" s="18">
        <v>0</v>
      </c>
    </row>
    <row r="649" spans="1:73">
      <c r="A649" s="19">
        <v>46139</v>
      </c>
      <c r="B649" s="18">
        <v>371</v>
      </c>
      <c r="C649" s="18" t="s">
        <v>32</v>
      </c>
      <c r="D649" s="18">
        <v>371</v>
      </c>
      <c r="E649" s="18" t="s">
        <v>32</v>
      </c>
      <c r="F649" s="18">
        <v>1830</v>
      </c>
      <c r="G649" s="18">
        <v>62</v>
      </c>
      <c r="H649" s="18">
        <v>28.32</v>
      </c>
      <c r="I649" s="18">
        <v>0.03388</v>
      </c>
      <c r="J649" s="18">
        <v>0.46</v>
      </c>
      <c r="K649" s="18">
        <v>15.48</v>
      </c>
      <c r="L649" s="18">
        <v>0</v>
      </c>
      <c r="M649" s="18">
        <v>0</v>
      </c>
      <c r="N649" s="18">
        <v>0</v>
      </c>
      <c r="O649" s="18">
        <v>0</v>
      </c>
      <c r="P649" s="18">
        <v>0</v>
      </c>
      <c r="Q649" s="18">
        <v>0</v>
      </c>
      <c r="R649" s="18">
        <v>0</v>
      </c>
      <c r="S649" s="18">
        <v>0</v>
      </c>
      <c r="T649" s="18">
        <v>0</v>
      </c>
      <c r="U649" s="18">
        <v>0</v>
      </c>
      <c r="V649" s="18">
        <v>0</v>
      </c>
      <c r="W649" s="18">
        <v>0</v>
      </c>
      <c r="X649" s="18">
        <v>0</v>
      </c>
      <c r="Y649" s="18">
        <v>0</v>
      </c>
      <c r="Z649" s="18">
        <v>0</v>
      </c>
      <c r="AA649" s="18"/>
      <c r="AB649" s="18">
        <v>3</v>
      </c>
      <c r="AC649" s="18">
        <v>1</v>
      </c>
      <c r="AD649" s="18">
        <v>2</v>
      </c>
      <c r="AE649" s="18">
        <v>0.04839</v>
      </c>
      <c r="AF649" s="18">
        <v>1</v>
      </c>
      <c r="AG649" s="18">
        <v>0</v>
      </c>
      <c r="AH649" s="18"/>
      <c r="AI649" s="18">
        <v>4</v>
      </c>
      <c r="AJ649" s="18">
        <v>7.08</v>
      </c>
      <c r="AK649" s="18">
        <v>4</v>
      </c>
      <c r="AL649" s="18">
        <v>7.08</v>
      </c>
      <c r="AM649" s="18">
        <v>1</v>
      </c>
      <c r="AN649" s="18">
        <v>28.32</v>
      </c>
      <c r="AO649" s="18">
        <v>0.01613</v>
      </c>
      <c r="AP649" s="18">
        <v>9.44</v>
      </c>
      <c r="AQ649" s="18">
        <v>0</v>
      </c>
      <c r="AR649" s="18">
        <v>0</v>
      </c>
      <c r="AS649" s="18">
        <v>1</v>
      </c>
      <c r="AT649" s="18">
        <v>0</v>
      </c>
      <c r="AU649" s="18">
        <v>0</v>
      </c>
      <c r="AV649" s="18">
        <v>0</v>
      </c>
      <c r="AW649" s="18">
        <v>0</v>
      </c>
      <c r="AX649" s="18">
        <v>0</v>
      </c>
      <c r="AY649" s="18">
        <v>140</v>
      </c>
      <c r="AZ649" s="18">
        <v>62</v>
      </c>
      <c r="BA649" s="18">
        <v>56</v>
      </c>
      <c r="BB649" s="18">
        <v>0.90323</v>
      </c>
      <c r="BC649" s="18">
        <v>0</v>
      </c>
      <c r="BD649" s="18">
        <v>0</v>
      </c>
      <c r="BE649" s="18">
        <v>0.0765</v>
      </c>
      <c r="BF649" s="18">
        <v>50</v>
      </c>
      <c r="BG649" s="18">
        <v>2</v>
      </c>
      <c r="BH649" s="18">
        <v>0</v>
      </c>
      <c r="BI649" s="18"/>
      <c r="BJ649" s="18">
        <v>0</v>
      </c>
      <c r="BK649" s="18">
        <v>0</v>
      </c>
      <c r="BL649" s="18">
        <v>0</v>
      </c>
      <c r="BM649" s="18">
        <v>0</v>
      </c>
      <c r="BN649" s="18"/>
      <c r="BO649" s="18"/>
      <c r="BP649" s="18">
        <v>0</v>
      </c>
      <c r="BQ649" s="18">
        <v>159</v>
      </c>
      <c r="BR649" s="18">
        <v>0</v>
      </c>
      <c r="BS649" s="18">
        <v>0</v>
      </c>
      <c r="BT649" s="18">
        <v>0</v>
      </c>
      <c r="BU649" s="18">
        <v>0</v>
      </c>
    </row>
    <row r="650" spans="1:73">
      <c r="A650" s="19">
        <v>46138</v>
      </c>
      <c r="B650" s="18">
        <v>371</v>
      </c>
      <c r="C650" s="18" t="s">
        <v>32</v>
      </c>
      <c r="D650" s="18">
        <v>371</v>
      </c>
      <c r="E650" s="18" t="s">
        <v>32</v>
      </c>
      <c r="F650" s="18">
        <v>3340</v>
      </c>
      <c r="G650" s="18">
        <v>105</v>
      </c>
      <c r="H650" s="18">
        <v>50</v>
      </c>
      <c r="I650" s="18">
        <v>0.03144</v>
      </c>
      <c r="J650" s="18">
        <v>0.48</v>
      </c>
      <c r="K650" s="18">
        <v>14.97</v>
      </c>
      <c r="L650" s="18">
        <v>0</v>
      </c>
      <c r="M650" s="18">
        <v>0</v>
      </c>
      <c r="N650" s="18">
        <v>0</v>
      </c>
      <c r="O650" s="18">
        <v>0</v>
      </c>
      <c r="P650" s="18">
        <v>0</v>
      </c>
      <c r="Q650" s="18">
        <v>0</v>
      </c>
      <c r="R650" s="18">
        <v>0</v>
      </c>
      <c r="S650" s="18">
        <v>0</v>
      </c>
      <c r="T650" s="18">
        <v>0</v>
      </c>
      <c r="U650" s="18">
        <v>0</v>
      </c>
      <c r="V650" s="18">
        <v>0</v>
      </c>
      <c r="W650" s="18">
        <v>0</v>
      </c>
      <c r="X650" s="18">
        <v>0</v>
      </c>
      <c r="Y650" s="18">
        <v>0</v>
      </c>
      <c r="Z650" s="18">
        <v>0</v>
      </c>
      <c r="AA650" s="18"/>
      <c r="AB650" s="18">
        <v>3</v>
      </c>
      <c r="AC650" s="18">
        <v>2</v>
      </c>
      <c r="AD650" s="18">
        <v>1</v>
      </c>
      <c r="AE650" s="18">
        <v>0.02857</v>
      </c>
      <c r="AF650" s="18">
        <v>1</v>
      </c>
      <c r="AG650" s="18">
        <v>0</v>
      </c>
      <c r="AH650" s="18"/>
      <c r="AI650" s="18">
        <v>4</v>
      </c>
      <c r="AJ650" s="18">
        <v>12.5</v>
      </c>
      <c r="AK650" s="18">
        <v>4</v>
      </c>
      <c r="AL650" s="18">
        <v>12.5</v>
      </c>
      <c r="AM650" s="18">
        <v>1</v>
      </c>
      <c r="AN650" s="18">
        <v>50</v>
      </c>
      <c r="AO650" s="18">
        <v>0.00952</v>
      </c>
      <c r="AP650" s="18">
        <v>16.67</v>
      </c>
      <c r="AQ650" s="18">
        <v>0</v>
      </c>
      <c r="AR650" s="18">
        <v>0</v>
      </c>
      <c r="AS650" s="18">
        <v>0</v>
      </c>
      <c r="AT650" s="18">
        <v>1</v>
      </c>
      <c r="AU650" s="18">
        <v>0</v>
      </c>
      <c r="AV650" s="18">
        <v>0</v>
      </c>
      <c r="AW650" s="18">
        <v>0</v>
      </c>
      <c r="AX650" s="18">
        <v>0</v>
      </c>
      <c r="AY650" s="18">
        <v>223</v>
      </c>
      <c r="AZ650" s="18">
        <v>97</v>
      </c>
      <c r="BA650" s="18">
        <v>86</v>
      </c>
      <c r="BB650" s="18">
        <v>0.8866</v>
      </c>
      <c r="BC650" s="18">
        <v>0</v>
      </c>
      <c r="BD650" s="18">
        <v>0</v>
      </c>
      <c r="BE650" s="18">
        <v>0.06677</v>
      </c>
      <c r="BF650" s="18">
        <v>106</v>
      </c>
      <c r="BG650" s="18">
        <v>2</v>
      </c>
      <c r="BH650" s="18">
        <v>0</v>
      </c>
      <c r="BI650" s="18"/>
      <c r="BJ650" s="18">
        <v>0</v>
      </c>
      <c r="BK650" s="18">
        <v>0</v>
      </c>
      <c r="BL650" s="18">
        <v>0</v>
      </c>
      <c r="BM650" s="18">
        <v>0</v>
      </c>
      <c r="BN650" s="18"/>
      <c r="BO650" s="18"/>
      <c r="BP650" s="18">
        <v>0.37</v>
      </c>
      <c r="BQ650" s="18">
        <v>129</v>
      </c>
      <c r="BR650" s="18">
        <v>0</v>
      </c>
      <c r="BS650" s="18">
        <v>0</v>
      </c>
      <c r="BT650" s="18">
        <v>0</v>
      </c>
      <c r="BU650" s="18">
        <v>0</v>
      </c>
    </row>
    <row r="651" spans="1:73">
      <c r="A651" s="19">
        <v>46138</v>
      </c>
      <c r="B651" s="18">
        <v>183</v>
      </c>
      <c r="C651" s="18" t="s">
        <v>40</v>
      </c>
      <c r="D651" s="18">
        <v>183</v>
      </c>
      <c r="E651" s="18" t="s">
        <v>40</v>
      </c>
      <c r="F651" s="18">
        <v>1275</v>
      </c>
      <c r="G651" s="18">
        <v>48</v>
      </c>
      <c r="H651" s="18">
        <v>148</v>
      </c>
      <c r="I651" s="18">
        <v>0.03765</v>
      </c>
      <c r="J651" s="18">
        <v>3.08</v>
      </c>
      <c r="K651" s="18">
        <v>116.08</v>
      </c>
      <c r="L651" s="18">
        <v>0</v>
      </c>
      <c r="M651" s="18">
        <v>0</v>
      </c>
      <c r="N651" s="18">
        <v>0</v>
      </c>
      <c r="O651" s="18">
        <v>0</v>
      </c>
      <c r="P651" s="18">
        <v>0</v>
      </c>
      <c r="Q651" s="18">
        <v>0</v>
      </c>
      <c r="R651" s="18">
        <v>138.6</v>
      </c>
      <c r="S651" s="18">
        <v>74.2</v>
      </c>
      <c r="T651" s="18">
        <v>212.8</v>
      </c>
      <c r="U651" s="18">
        <v>2</v>
      </c>
      <c r="V651" s="18">
        <v>1</v>
      </c>
      <c r="W651" s="18">
        <v>1</v>
      </c>
      <c r="X651" s="18">
        <v>0.04167</v>
      </c>
      <c r="Y651" s="18">
        <v>1.44</v>
      </c>
      <c r="Z651" s="18">
        <v>1.44</v>
      </c>
      <c r="AA651" s="18">
        <v>74</v>
      </c>
      <c r="AB651" s="18">
        <v>4</v>
      </c>
      <c r="AC651" s="18">
        <v>3</v>
      </c>
      <c r="AD651" s="18">
        <v>1</v>
      </c>
      <c r="AE651" s="18">
        <v>0.08333</v>
      </c>
      <c r="AF651" s="18">
        <v>2</v>
      </c>
      <c r="AG651" s="18">
        <v>0</v>
      </c>
      <c r="AH651" s="18"/>
      <c r="AI651" s="18">
        <v>6</v>
      </c>
      <c r="AJ651" s="18">
        <v>24.67</v>
      </c>
      <c r="AK651" s="18">
        <v>6</v>
      </c>
      <c r="AL651" s="18">
        <v>24.67</v>
      </c>
      <c r="AM651" s="18">
        <v>2</v>
      </c>
      <c r="AN651" s="18">
        <v>74</v>
      </c>
      <c r="AO651" s="18">
        <v>0.04167</v>
      </c>
      <c r="AP651" s="18">
        <v>37</v>
      </c>
      <c r="AQ651" s="18">
        <v>3</v>
      </c>
      <c r="AR651" s="18">
        <v>366</v>
      </c>
      <c r="AS651" s="18">
        <v>2</v>
      </c>
      <c r="AT651" s="18">
        <v>0</v>
      </c>
      <c r="AU651" s="18">
        <v>0</v>
      </c>
      <c r="AV651" s="18">
        <v>0</v>
      </c>
      <c r="AW651" s="18">
        <v>0</v>
      </c>
      <c r="AX651" s="18">
        <v>0</v>
      </c>
      <c r="AY651" s="18">
        <v>293</v>
      </c>
      <c r="AZ651" s="18">
        <v>101</v>
      </c>
      <c r="BA651" s="18">
        <v>60</v>
      </c>
      <c r="BB651" s="18">
        <v>0.59406</v>
      </c>
      <c r="BC651" s="18">
        <v>0</v>
      </c>
      <c r="BD651" s="18">
        <v>0</v>
      </c>
      <c r="BE651" s="18">
        <v>0.2298</v>
      </c>
      <c r="BF651" s="18">
        <v>133</v>
      </c>
      <c r="BG651" s="18">
        <v>3</v>
      </c>
      <c r="BH651" s="18">
        <v>1</v>
      </c>
      <c r="BI651" s="18">
        <v>1</v>
      </c>
      <c r="BJ651" s="18">
        <v>0</v>
      </c>
      <c r="BK651" s="18">
        <v>0</v>
      </c>
      <c r="BL651" s="18">
        <v>0</v>
      </c>
      <c r="BM651" s="18">
        <v>1</v>
      </c>
      <c r="BN651" s="18">
        <v>2</v>
      </c>
      <c r="BO651" s="18">
        <v>212.8</v>
      </c>
      <c r="BP651" s="18">
        <v>34.34</v>
      </c>
      <c r="BQ651" s="18">
        <v>503</v>
      </c>
      <c r="BR651" s="18">
        <v>0</v>
      </c>
      <c r="BS651" s="18">
        <v>0</v>
      </c>
      <c r="BT651" s="18">
        <v>0</v>
      </c>
      <c r="BU651" s="18">
        <v>0</v>
      </c>
    </row>
    <row r="652" spans="1:73">
      <c r="A652" s="19">
        <v>46138</v>
      </c>
      <c r="B652" s="18">
        <v>436</v>
      </c>
      <c r="C652" s="18" t="s">
        <v>38</v>
      </c>
      <c r="D652" s="18">
        <v>436</v>
      </c>
      <c r="E652" s="18" t="s">
        <v>38</v>
      </c>
      <c r="F652" s="18">
        <v>745</v>
      </c>
      <c r="G652" s="18">
        <v>26</v>
      </c>
      <c r="H652" s="18">
        <v>50</v>
      </c>
      <c r="I652" s="18">
        <v>0.0349</v>
      </c>
      <c r="J652" s="18">
        <v>1.92</v>
      </c>
      <c r="K652" s="18">
        <v>67.11</v>
      </c>
      <c r="L652" s="18">
        <v>0</v>
      </c>
      <c r="M652" s="18">
        <v>0</v>
      </c>
      <c r="N652" s="18">
        <v>0</v>
      </c>
      <c r="O652" s="18">
        <v>0</v>
      </c>
      <c r="P652" s="18">
        <v>0</v>
      </c>
      <c r="Q652" s="18">
        <v>0</v>
      </c>
      <c r="R652" s="18">
        <v>0</v>
      </c>
      <c r="S652" s="18">
        <v>143.64</v>
      </c>
      <c r="T652" s="18">
        <v>143.64</v>
      </c>
      <c r="U652" s="18">
        <v>1</v>
      </c>
      <c r="V652" s="18">
        <v>0</v>
      </c>
      <c r="W652" s="18">
        <v>1</v>
      </c>
      <c r="X652" s="18">
        <v>0.03846</v>
      </c>
      <c r="Y652" s="18">
        <v>2.87</v>
      </c>
      <c r="Z652" s="18">
        <v>2.87</v>
      </c>
      <c r="AA652" s="18">
        <v>50</v>
      </c>
      <c r="AB652" s="18">
        <v>1</v>
      </c>
      <c r="AC652" s="18">
        <v>0</v>
      </c>
      <c r="AD652" s="18">
        <v>1</v>
      </c>
      <c r="AE652" s="18">
        <v>0.03846</v>
      </c>
      <c r="AF652" s="18">
        <v>0</v>
      </c>
      <c r="AG652" s="18">
        <v>1</v>
      </c>
      <c r="AH652" s="18">
        <v>50</v>
      </c>
      <c r="AI652" s="18">
        <v>2</v>
      </c>
      <c r="AJ652" s="18">
        <v>25</v>
      </c>
      <c r="AK652" s="18">
        <v>1</v>
      </c>
      <c r="AL652" s="18">
        <v>50</v>
      </c>
      <c r="AM652" s="18">
        <v>1</v>
      </c>
      <c r="AN652" s="18"/>
      <c r="AO652" s="18">
        <v>0</v>
      </c>
      <c r="AP652" s="18">
        <v>50</v>
      </c>
      <c r="AQ652" s="18">
        <v>2</v>
      </c>
      <c r="AR652" s="18">
        <v>217.9</v>
      </c>
      <c r="AS652" s="18">
        <v>0</v>
      </c>
      <c r="AT652" s="18">
        <v>0</v>
      </c>
      <c r="AU652" s="18">
        <v>0</v>
      </c>
      <c r="AV652" s="18">
        <v>0</v>
      </c>
      <c r="AW652" s="18">
        <v>0</v>
      </c>
      <c r="AX652" s="18">
        <v>2</v>
      </c>
      <c r="AY652" s="18">
        <v>91</v>
      </c>
      <c r="AZ652" s="18">
        <v>24</v>
      </c>
      <c r="BA652" s="18">
        <v>19</v>
      </c>
      <c r="BB652" s="18">
        <v>0.79167</v>
      </c>
      <c r="BC652" s="18">
        <v>0</v>
      </c>
      <c r="BD652" s="18">
        <v>0</v>
      </c>
      <c r="BE652" s="18">
        <v>0.12215</v>
      </c>
      <c r="BF652" s="18">
        <v>62</v>
      </c>
      <c r="BG652" s="18">
        <v>4</v>
      </c>
      <c r="BH652" s="18">
        <v>1</v>
      </c>
      <c r="BI652" s="18">
        <v>1</v>
      </c>
      <c r="BJ652" s="18">
        <v>0</v>
      </c>
      <c r="BK652" s="18">
        <v>0</v>
      </c>
      <c r="BL652" s="18">
        <v>0</v>
      </c>
      <c r="BM652" s="18">
        <v>1</v>
      </c>
      <c r="BN652" s="18">
        <v>1</v>
      </c>
      <c r="BO652" s="18">
        <v>143.64</v>
      </c>
      <c r="BP652" s="18">
        <v>32.29</v>
      </c>
      <c r="BQ652" s="18">
        <v>186</v>
      </c>
      <c r="BR652" s="18">
        <v>0</v>
      </c>
      <c r="BS652" s="18">
        <v>0</v>
      </c>
      <c r="BT652" s="18">
        <v>0</v>
      </c>
      <c r="BU652" s="18">
        <v>0</v>
      </c>
    </row>
    <row r="653" spans="1:73">
      <c r="A653" s="19">
        <v>46138</v>
      </c>
      <c r="B653" s="18">
        <v>372</v>
      </c>
      <c r="C653" s="18" t="s">
        <v>37</v>
      </c>
      <c r="D653" s="18">
        <v>372</v>
      </c>
      <c r="E653" s="18" t="s">
        <v>61</v>
      </c>
      <c r="F653" s="18">
        <v>3098</v>
      </c>
      <c r="G653" s="18">
        <v>290</v>
      </c>
      <c r="H653" s="18">
        <v>96.2</v>
      </c>
      <c r="I653" s="18">
        <v>0.09361</v>
      </c>
      <c r="J653" s="18">
        <v>0.33</v>
      </c>
      <c r="K653" s="18">
        <v>31.05</v>
      </c>
      <c r="L653" s="18">
        <v>0</v>
      </c>
      <c r="M653" s="18">
        <v>0</v>
      </c>
      <c r="N653" s="18">
        <v>0</v>
      </c>
      <c r="O653" s="18">
        <v>0</v>
      </c>
      <c r="P653" s="18">
        <v>0</v>
      </c>
      <c r="Q653" s="18">
        <v>0</v>
      </c>
      <c r="R653" s="18">
        <v>0</v>
      </c>
      <c r="S653" s="18">
        <v>0</v>
      </c>
      <c r="T653" s="18">
        <v>0</v>
      </c>
      <c r="U653" s="18">
        <v>0</v>
      </c>
      <c r="V653" s="18">
        <v>0</v>
      </c>
      <c r="W653" s="18">
        <v>0</v>
      </c>
      <c r="X653" s="18">
        <v>0</v>
      </c>
      <c r="Y653" s="18">
        <v>0</v>
      </c>
      <c r="Z653" s="18">
        <v>0</v>
      </c>
      <c r="AA653" s="18"/>
      <c r="AB653" s="18">
        <v>3</v>
      </c>
      <c r="AC653" s="18">
        <v>3</v>
      </c>
      <c r="AD653" s="18">
        <v>0</v>
      </c>
      <c r="AE653" s="18">
        <v>0.01034</v>
      </c>
      <c r="AF653" s="18">
        <v>4</v>
      </c>
      <c r="AG653" s="18">
        <v>0</v>
      </c>
      <c r="AH653" s="18"/>
      <c r="AI653" s="18">
        <v>7</v>
      </c>
      <c r="AJ653" s="18">
        <v>13.74</v>
      </c>
      <c r="AK653" s="18">
        <v>7</v>
      </c>
      <c r="AL653" s="18">
        <v>13.74</v>
      </c>
      <c r="AM653" s="18">
        <v>4</v>
      </c>
      <c r="AN653" s="18">
        <v>24.05</v>
      </c>
      <c r="AO653" s="18">
        <v>0.01379</v>
      </c>
      <c r="AP653" s="18">
        <v>32.07</v>
      </c>
      <c r="AQ653" s="18">
        <v>0</v>
      </c>
      <c r="AR653" s="18">
        <v>0</v>
      </c>
      <c r="AS653" s="18">
        <v>3</v>
      </c>
      <c r="AT653" s="18">
        <v>1</v>
      </c>
      <c r="AU653" s="18">
        <v>0</v>
      </c>
      <c r="AV653" s="18">
        <v>0</v>
      </c>
      <c r="AW653" s="18">
        <v>0</v>
      </c>
      <c r="AX653" s="18">
        <v>0</v>
      </c>
      <c r="AY653" s="18">
        <v>497</v>
      </c>
      <c r="AZ653" s="18">
        <v>280</v>
      </c>
      <c r="BA653" s="18">
        <v>266</v>
      </c>
      <c r="BB653" s="18">
        <v>0.95</v>
      </c>
      <c r="BC653" s="18">
        <v>0</v>
      </c>
      <c r="BD653" s="18">
        <v>0</v>
      </c>
      <c r="BE653" s="18">
        <v>0.16043</v>
      </c>
      <c r="BF653" s="18">
        <v>134</v>
      </c>
      <c r="BG653" s="18">
        <v>2</v>
      </c>
      <c r="BH653" s="18">
        <v>0</v>
      </c>
      <c r="BI653" s="18"/>
      <c r="BJ653" s="18">
        <v>0</v>
      </c>
      <c r="BK653" s="18">
        <v>0</v>
      </c>
      <c r="BL653" s="18">
        <v>0</v>
      </c>
      <c r="BM653" s="18">
        <v>0</v>
      </c>
      <c r="BN653" s="18"/>
      <c r="BO653" s="18"/>
      <c r="BP653" s="18">
        <v>3.7</v>
      </c>
      <c r="BQ653" s="18">
        <v>257</v>
      </c>
      <c r="BR653" s="18">
        <v>0</v>
      </c>
      <c r="BS653" s="18">
        <v>0</v>
      </c>
      <c r="BT653" s="18">
        <v>0</v>
      </c>
      <c r="BU653" s="18">
        <v>0</v>
      </c>
    </row>
    <row r="654" spans="1:73">
      <c r="A654" s="19">
        <v>46138</v>
      </c>
      <c r="B654" s="18">
        <v>479</v>
      </c>
      <c r="C654" s="18" t="s">
        <v>39</v>
      </c>
      <c r="D654" s="18">
        <v>479</v>
      </c>
      <c r="E654" s="18" t="s">
        <v>39</v>
      </c>
      <c r="F654" s="18">
        <v>31</v>
      </c>
      <c r="G654" s="18">
        <v>17</v>
      </c>
      <c r="H654" s="18">
        <v>9.11</v>
      </c>
      <c r="I654" s="18">
        <v>0.54839</v>
      </c>
      <c r="J654" s="18">
        <v>0.54</v>
      </c>
      <c r="K654" s="18">
        <v>294.03</v>
      </c>
      <c r="L654" s="18">
        <v>0</v>
      </c>
      <c r="M654" s="18">
        <v>0</v>
      </c>
      <c r="N654" s="18">
        <v>0</v>
      </c>
      <c r="O654" s="18">
        <v>0</v>
      </c>
      <c r="P654" s="18">
        <v>0</v>
      </c>
      <c r="Q654" s="18">
        <v>0</v>
      </c>
      <c r="R654" s="18">
        <v>0</v>
      </c>
      <c r="S654" s="18">
        <v>0</v>
      </c>
      <c r="T654" s="18">
        <v>0</v>
      </c>
      <c r="U654" s="18">
        <v>0</v>
      </c>
      <c r="V654" s="18">
        <v>0</v>
      </c>
      <c r="W654" s="18">
        <v>0</v>
      </c>
      <c r="X654" s="18">
        <v>0</v>
      </c>
      <c r="Y654" s="18">
        <v>0</v>
      </c>
      <c r="Z654" s="18">
        <v>0</v>
      </c>
      <c r="AA654" s="18"/>
      <c r="AB654" s="18">
        <v>6</v>
      </c>
      <c r="AC654" s="18">
        <v>0</v>
      </c>
      <c r="AD654" s="18">
        <v>6</v>
      </c>
      <c r="AE654" s="18">
        <v>0.35294</v>
      </c>
      <c r="AF654" s="18">
        <v>0</v>
      </c>
      <c r="AG654" s="18">
        <v>0</v>
      </c>
      <c r="AH654" s="18"/>
      <c r="AI654" s="18">
        <v>6</v>
      </c>
      <c r="AJ654" s="18">
        <v>1.52</v>
      </c>
      <c r="AK654" s="18">
        <v>6</v>
      </c>
      <c r="AL654" s="18">
        <v>1.52</v>
      </c>
      <c r="AM654" s="18">
        <v>0</v>
      </c>
      <c r="AN654" s="18"/>
      <c r="AO654" s="18">
        <v>0</v>
      </c>
      <c r="AP654" s="18">
        <v>1.52</v>
      </c>
      <c r="AQ654" s="18">
        <v>0</v>
      </c>
      <c r="AR654" s="18">
        <v>0</v>
      </c>
      <c r="AS654" s="18">
        <v>0</v>
      </c>
      <c r="AT654" s="18">
        <v>0</v>
      </c>
      <c r="AU654" s="18">
        <v>0</v>
      </c>
      <c r="AV654" s="18">
        <v>0</v>
      </c>
      <c r="AW654" s="18">
        <v>0</v>
      </c>
      <c r="AX654" s="18">
        <v>0</v>
      </c>
      <c r="AY654" s="18">
        <v>118</v>
      </c>
      <c r="AZ654" s="18">
        <v>14</v>
      </c>
      <c r="BA654" s="18">
        <v>10</v>
      </c>
      <c r="BB654" s="18">
        <v>0.71429</v>
      </c>
      <c r="BC654" s="18">
        <v>0</v>
      </c>
      <c r="BD654" s="18">
        <v>0</v>
      </c>
      <c r="BE654" s="18">
        <v>3.80645</v>
      </c>
      <c r="BF654" s="18">
        <v>101</v>
      </c>
      <c r="BG654" s="18">
        <v>8</v>
      </c>
      <c r="BH654" s="18">
        <v>0</v>
      </c>
      <c r="BI654" s="18"/>
      <c r="BJ654" s="18">
        <v>0</v>
      </c>
      <c r="BK654" s="18">
        <v>0</v>
      </c>
      <c r="BL654" s="18">
        <v>0</v>
      </c>
      <c r="BM654" s="18">
        <v>0</v>
      </c>
      <c r="BN654" s="18"/>
      <c r="BO654" s="18"/>
      <c r="BP654" s="18">
        <v>0.09</v>
      </c>
      <c r="BQ654" s="18">
        <v>52</v>
      </c>
      <c r="BR654" s="18">
        <v>0</v>
      </c>
      <c r="BS654" s="18">
        <v>0</v>
      </c>
      <c r="BT654" s="18">
        <v>0</v>
      </c>
      <c r="BU654" s="18">
        <v>0</v>
      </c>
    </row>
    <row r="655" spans="1:73">
      <c r="A655" s="19">
        <v>46137</v>
      </c>
      <c r="B655" s="18">
        <v>371</v>
      </c>
      <c r="C655" s="18" t="s">
        <v>32</v>
      </c>
      <c r="D655" s="18">
        <v>371</v>
      </c>
      <c r="E655" s="18" t="s">
        <v>32</v>
      </c>
      <c r="F655" s="18">
        <v>12561</v>
      </c>
      <c r="G655" s="18">
        <v>363</v>
      </c>
      <c r="H655" s="18">
        <v>155.2</v>
      </c>
      <c r="I655" s="18">
        <v>0.0289</v>
      </c>
      <c r="J655" s="18">
        <v>0.43</v>
      </c>
      <c r="K655" s="18">
        <v>12.36</v>
      </c>
      <c r="L655" s="18">
        <v>0</v>
      </c>
      <c r="M655" s="18">
        <v>0</v>
      </c>
      <c r="N655" s="18">
        <v>0</v>
      </c>
      <c r="O655" s="18">
        <v>0</v>
      </c>
      <c r="P655" s="18">
        <v>0</v>
      </c>
      <c r="Q655" s="18">
        <v>0</v>
      </c>
      <c r="R655" s="18">
        <v>143.64</v>
      </c>
      <c r="S655" s="18">
        <v>138.6</v>
      </c>
      <c r="T655" s="18">
        <v>282.24</v>
      </c>
      <c r="U655" s="18">
        <v>2</v>
      </c>
      <c r="V655" s="18">
        <v>1</v>
      </c>
      <c r="W655" s="18">
        <v>1</v>
      </c>
      <c r="X655" s="18">
        <v>0.00551</v>
      </c>
      <c r="Y655" s="18">
        <v>1.82</v>
      </c>
      <c r="Z655" s="18">
        <v>1.82</v>
      </c>
      <c r="AA655" s="18">
        <v>77.6</v>
      </c>
      <c r="AB655" s="18">
        <v>13</v>
      </c>
      <c r="AC655" s="18">
        <v>11</v>
      </c>
      <c r="AD655" s="18">
        <v>2</v>
      </c>
      <c r="AE655" s="18">
        <v>0.03581</v>
      </c>
      <c r="AF655" s="18">
        <v>1</v>
      </c>
      <c r="AG655" s="18">
        <v>4</v>
      </c>
      <c r="AH655" s="18">
        <v>38.8</v>
      </c>
      <c r="AI655" s="18">
        <v>18</v>
      </c>
      <c r="AJ655" s="18">
        <v>8.62</v>
      </c>
      <c r="AK655" s="18">
        <v>14</v>
      </c>
      <c r="AL655" s="18">
        <v>11.09</v>
      </c>
      <c r="AM655" s="18">
        <v>5</v>
      </c>
      <c r="AN655" s="18">
        <v>155.2</v>
      </c>
      <c r="AO655" s="18">
        <v>0.00275</v>
      </c>
      <c r="AP655" s="18">
        <v>11.94</v>
      </c>
      <c r="AQ655" s="18">
        <v>4</v>
      </c>
      <c r="AR655" s="18">
        <v>435.8</v>
      </c>
      <c r="AS655" s="18">
        <v>1</v>
      </c>
      <c r="AT655" s="18">
        <v>0</v>
      </c>
      <c r="AU655" s="18">
        <v>0</v>
      </c>
      <c r="AV655" s="18">
        <v>0</v>
      </c>
      <c r="AW655" s="18">
        <v>0</v>
      </c>
      <c r="AX655" s="18">
        <v>1</v>
      </c>
      <c r="AY655" s="18">
        <v>692</v>
      </c>
      <c r="AZ655" s="18">
        <v>339</v>
      </c>
      <c r="BA655" s="18">
        <v>326</v>
      </c>
      <c r="BB655" s="18">
        <v>0.96165</v>
      </c>
      <c r="BC655" s="18">
        <v>0</v>
      </c>
      <c r="BD655" s="18">
        <v>0</v>
      </c>
      <c r="BE655" s="18">
        <v>0.05509</v>
      </c>
      <c r="BF655" s="18">
        <v>280</v>
      </c>
      <c r="BG655" s="18">
        <v>2</v>
      </c>
      <c r="BH655" s="18">
        <v>1</v>
      </c>
      <c r="BI655" s="18">
        <v>1</v>
      </c>
      <c r="BJ655" s="18">
        <v>0</v>
      </c>
      <c r="BK655" s="18">
        <v>0</v>
      </c>
      <c r="BL655" s="18">
        <v>0</v>
      </c>
      <c r="BM655" s="18">
        <v>1</v>
      </c>
      <c r="BN655" s="18">
        <v>2</v>
      </c>
      <c r="BO655" s="18">
        <v>282.24</v>
      </c>
      <c r="BP655" s="18">
        <v>2.71</v>
      </c>
      <c r="BQ655" s="18">
        <v>805</v>
      </c>
      <c r="BR655" s="18">
        <v>0</v>
      </c>
      <c r="BS655" s="18">
        <v>0</v>
      </c>
      <c r="BT655" s="18">
        <v>0</v>
      </c>
      <c r="BU655" s="18">
        <v>0</v>
      </c>
    </row>
    <row r="656" spans="1:73">
      <c r="A656" s="19">
        <v>46137</v>
      </c>
      <c r="B656" s="18">
        <v>372</v>
      </c>
      <c r="C656" s="18" t="s">
        <v>37</v>
      </c>
      <c r="D656" s="18">
        <v>372</v>
      </c>
      <c r="E656" s="18" t="s">
        <v>61</v>
      </c>
      <c r="F656" s="18">
        <v>4166</v>
      </c>
      <c r="G656" s="18">
        <v>362</v>
      </c>
      <c r="H656" s="18">
        <v>133.07</v>
      </c>
      <c r="I656" s="18">
        <v>0.08689</v>
      </c>
      <c r="J656" s="18">
        <v>0.37</v>
      </c>
      <c r="K656" s="18">
        <v>31.94</v>
      </c>
      <c r="L656" s="18">
        <v>0</v>
      </c>
      <c r="M656" s="18">
        <v>0</v>
      </c>
      <c r="N656" s="18">
        <v>0</v>
      </c>
      <c r="O656" s="18">
        <v>0</v>
      </c>
      <c r="P656" s="18">
        <v>0</v>
      </c>
      <c r="Q656" s="18">
        <v>0</v>
      </c>
      <c r="R656" s="18">
        <v>143.64</v>
      </c>
      <c r="S656" s="18">
        <v>0</v>
      </c>
      <c r="T656" s="18">
        <v>143.64</v>
      </c>
      <c r="U656" s="18">
        <v>1</v>
      </c>
      <c r="V656" s="18">
        <v>1</v>
      </c>
      <c r="W656" s="18">
        <v>0</v>
      </c>
      <c r="X656" s="18">
        <v>0.00276</v>
      </c>
      <c r="Y656" s="18">
        <v>1.08</v>
      </c>
      <c r="Z656" s="18">
        <v>1.08</v>
      </c>
      <c r="AA656" s="18">
        <v>133.07</v>
      </c>
      <c r="AB656" s="18">
        <v>6</v>
      </c>
      <c r="AC656" s="18">
        <v>4</v>
      </c>
      <c r="AD656" s="18">
        <v>2</v>
      </c>
      <c r="AE656" s="18">
        <v>0.01657</v>
      </c>
      <c r="AF656" s="18">
        <v>8</v>
      </c>
      <c r="AG656" s="18">
        <v>2</v>
      </c>
      <c r="AH656" s="18">
        <v>66.54</v>
      </c>
      <c r="AI656" s="18">
        <v>16</v>
      </c>
      <c r="AJ656" s="18">
        <v>8.32</v>
      </c>
      <c r="AK656" s="18">
        <v>14</v>
      </c>
      <c r="AL656" s="18">
        <v>9.51</v>
      </c>
      <c r="AM656" s="18">
        <v>10</v>
      </c>
      <c r="AN656" s="18">
        <v>16.63</v>
      </c>
      <c r="AO656" s="18">
        <v>0.0221</v>
      </c>
      <c r="AP656" s="18">
        <v>22.18</v>
      </c>
      <c r="AQ656" s="18">
        <v>2</v>
      </c>
      <c r="AR656" s="18">
        <v>217.9</v>
      </c>
      <c r="AS656" s="18">
        <v>7</v>
      </c>
      <c r="AT656" s="18">
        <v>1</v>
      </c>
      <c r="AU656" s="18">
        <v>0</v>
      </c>
      <c r="AV656" s="18">
        <v>0</v>
      </c>
      <c r="AW656" s="18">
        <v>0</v>
      </c>
      <c r="AX656" s="18">
        <v>1</v>
      </c>
      <c r="AY656" s="18">
        <v>750</v>
      </c>
      <c r="AZ656" s="18">
        <v>351</v>
      </c>
      <c r="BA656" s="18">
        <v>341</v>
      </c>
      <c r="BB656" s="18">
        <v>0.97151</v>
      </c>
      <c r="BC656" s="18">
        <v>0</v>
      </c>
      <c r="BD656" s="18">
        <v>0</v>
      </c>
      <c r="BE656" s="18">
        <v>0.18003</v>
      </c>
      <c r="BF656" s="18">
        <v>251</v>
      </c>
      <c r="BG656" s="18">
        <v>2</v>
      </c>
      <c r="BH656" s="18">
        <v>1</v>
      </c>
      <c r="BI656" s="18">
        <v>1</v>
      </c>
      <c r="BJ656" s="18">
        <v>0</v>
      </c>
      <c r="BK656" s="18">
        <v>0</v>
      </c>
      <c r="BL656" s="18">
        <v>0</v>
      </c>
      <c r="BM656" s="18">
        <v>1</v>
      </c>
      <c r="BN656" s="18">
        <v>1</v>
      </c>
      <c r="BO656" s="18">
        <v>143.64</v>
      </c>
      <c r="BP656" s="18">
        <v>2.32</v>
      </c>
      <c r="BQ656" s="18">
        <v>617</v>
      </c>
      <c r="BR656" s="18">
        <v>0</v>
      </c>
      <c r="BS656" s="18">
        <v>0</v>
      </c>
      <c r="BT656" s="18">
        <v>0</v>
      </c>
      <c r="BU656" s="18">
        <v>0</v>
      </c>
    </row>
    <row r="657" spans="1:73">
      <c r="A657" s="19">
        <v>46137</v>
      </c>
      <c r="B657" s="18">
        <v>436</v>
      </c>
      <c r="C657" s="18" t="s">
        <v>38</v>
      </c>
      <c r="D657" s="18">
        <v>436</v>
      </c>
      <c r="E657" s="18" t="s">
        <v>38</v>
      </c>
      <c r="F657" s="18">
        <v>648</v>
      </c>
      <c r="G657" s="18">
        <v>23</v>
      </c>
      <c r="H657" s="18">
        <v>38.42</v>
      </c>
      <c r="I657" s="18">
        <v>0.03549</v>
      </c>
      <c r="J657" s="18">
        <v>1.67</v>
      </c>
      <c r="K657" s="18">
        <v>59.29</v>
      </c>
      <c r="L657" s="18">
        <v>0</v>
      </c>
      <c r="M657" s="18">
        <v>0</v>
      </c>
      <c r="N657" s="18">
        <v>0</v>
      </c>
      <c r="O657" s="18">
        <v>0</v>
      </c>
      <c r="P657" s="18">
        <v>0</v>
      </c>
      <c r="Q657" s="18">
        <v>0</v>
      </c>
      <c r="R657" s="18">
        <v>0</v>
      </c>
      <c r="S657" s="18">
        <v>0</v>
      </c>
      <c r="T657" s="18">
        <v>0</v>
      </c>
      <c r="U657" s="18">
        <v>0</v>
      </c>
      <c r="V657" s="18">
        <v>0</v>
      </c>
      <c r="W657" s="18">
        <v>0</v>
      </c>
      <c r="X657" s="18">
        <v>0</v>
      </c>
      <c r="Y657" s="18">
        <v>0</v>
      </c>
      <c r="Z657" s="18">
        <v>0</v>
      </c>
      <c r="AA657" s="18"/>
      <c r="AB657" s="18">
        <v>1</v>
      </c>
      <c r="AC657" s="18">
        <v>1</v>
      </c>
      <c r="AD657" s="18">
        <v>0</v>
      </c>
      <c r="AE657" s="18">
        <v>0.04348</v>
      </c>
      <c r="AF657" s="18">
        <v>0</v>
      </c>
      <c r="AG657" s="18">
        <v>0</v>
      </c>
      <c r="AH657" s="18"/>
      <c r="AI657" s="18">
        <v>1</v>
      </c>
      <c r="AJ657" s="18">
        <v>38.42</v>
      </c>
      <c r="AK657" s="18">
        <v>1</v>
      </c>
      <c r="AL657" s="18">
        <v>38.42</v>
      </c>
      <c r="AM657" s="18">
        <v>0</v>
      </c>
      <c r="AN657" s="18"/>
      <c r="AO657" s="18">
        <v>0</v>
      </c>
      <c r="AP657" s="18">
        <v>38.42</v>
      </c>
      <c r="AQ657" s="18">
        <v>0</v>
      </c>
      <c r="AR657" s="18">
        <v>0</v>
      </c>
      <c r="AS657" s="18">
        <v>0</v>
      </c>
      <c r="AT657" s="18">
        <v>0</v>
      </c>
      <c r="AU657" s="18">
        <v>0</v>
      </c>
      <c r="AV657" s="18">
        <v>0</v>
      </c>
      <c r="AW657" s="18">
        <v>0</v>
      </c>
      <c r="AX657" s="18">
        <v>0</v>
      </c>
      <c r="AY657" s="18">
        <v>52</v>
      </c>
      <c r="AZ657" s="18">
        <v>21</v>
      </c>
      <c r="BA657" s="18">
        <v>17</v>
      </c>
      <c r="BB657" s="18">
        <v>0.80952</v>
      </c>
      <c r="BC657" s="18">
        <v>0</v>
      </c>
      <c r="BD657" s="18">
        <v>0</v>
      </c>
      <c r="BE657" s="18">
        <v>0.08025</v>
      </c>
      <c r="BF657" s="18">
        <v>26</v>
      </c>
      <c r="BG657" s="18">
        <v>2</v>
      </c>
      <c r="BH657" s="18">
        <v>0</v>
      </c>
      <c r="BI657" s="18"/>
      <c r="BJ657" s="18">
        <v>0</v>
      </c>
      <c r="BK657" s="18">
        <v>0</v>
      </c>
      <c r="BL657" s="18">
        <v>0</v>
      </c>
      <c r="BM657" s="18">
        <v>0</v>
      </c>
      <c r="BN657" s="18"/>
      <c r="BO657" s="18"/>
      <c r="BP657" s="18">
        <v>0</v>
      </c>
      <c r="BQ657" s="18">
        <v>55</v>
      </c>
      <c r="BR657" s="18">
        <v>0</v>
      </c>
      <c r="BS657" s="18">
        <v>0</v>
      </c>
      <c r="BT657" s="18">
        <v>0</v>
      </c>
      <c r="BU657" s="18">
        <v>0</v>
      </c>
    </row>
    <row r="658" spans="1:73">
      <c r="A658" s="19">
        <v>46137</v>
      </c>
      <c r="B658" s="18">
        <v>479</v>
      </c>
      <c r="C658" s="18" t="s">
        <v>39</v>
      </c>
      <c r="D658" s="18">
        <v>479</v>
      </c>
      <c r="E658" s="18" t="s">
        <v>39</v>
      </c>
      <c r="F658" s="18">
        <v>62</v>
      </c>
      <c r="G658" s="18">
        <v>19</v>
      </c>
      <c r="H658" s="18">
        <v>18</v>
      </c>
      <c r="I658" s="18">
        <v>0.30645</v>
      </c>
      <c r="J658" s="18">
        <v>0.95</v>
      </c>
      <c r="K658" s="18">
        <v>290.33</v>
      </c>
      <c r="L658" s="18">
        <v>0</v>
      </c>
      <c r="M658" s="18">
        <v>0</v>
      </c>
      <c r="N658" s="18">
        <v>0</v>
      </c>
      <c r="O658" s="18">
        <v>0</v>
      </c>
      <c r="P658" s="18">
        <v>0</v>
      </c>
      <c r="Q658" s="18">
        <v>0</v>
      </c>
      <c r="R658" s="18">
        <v>0</v>
      </c>
      <c r="S658" s="18">
        <v>0</v>
      </c>
      <c r="T658" s="18">
        <v>0</v>
      </c>
      <c r="U658" s="18">
        <v>0</v>
      </c>
      <c r="V658" s="18">
        <v>0</v>
      </c>
      <c r="W658" s="18">
        <v>0</v>
      </c>
      <c r="X658" s="18">
        <v>0</v>
      </c>
      <c r="Y658" s="18">
        <v>0</v>
      </c>
      <c r="Z658" s="18">
        <v>0</v>
      </c>
      <c r="AA658" s="18"/>
      <c r="AB658" s="18">
        <v>1</v>
      </c>
      <c r="AC658" s="18">
        <v>0</v>
      </c>
      <c r="AD658" s="18">
        <v>1</v>
      </c>
      <c r="AE658" s="18">
        <v>0.05263</v>
      </c>
      <c r="AF658" s="18">
        <v>0</v>
      </c>
      <c r="AG658" s="18">
        <v>1</v>
      </c>
      <c r="AH658" s="18">
        <v>18</v>
      </c>
      <c r="AI658" s="18">
        <v>2</v>
      </c>
      <c r="AJ658" s="18">
        <v>9</v>
      </c>
      <c r="AK658" s="18">
        <v>1</v>
      </c>
      <c r="AL658" s="18">
        <v>18</v>
      </c>
      <c r="AM658" s="18">
        <v>1</v>
      </c>
      <c r="AN658" s="18"/>
      <c r="AO658" s="18">
        <v>0</v>
      </c>
      <c r="AP658" s="18">
        <v>18</v>
      </c>
      <c r="AQ658" s="18">
        <v>0</v>
      </c>
      <c r="AR658" s="18">
        <v>0</v>
      </c>
      <c r="AS658" s="18">
        <v>0</v>
      </c>
      <c r="AT658" s="18">
        <v>0</v>
      </c>
      <c r="AU658" s="18">
        <v>0</v>
      </c>
      <c r="AV658" s="18">
        <v>0</v>
      </c>
      <c r="AW658" s="18">
        <v>0</v>
      </c>
      <c r="AX658" s="18">
        <v>0</v>
      </c>
      <c r="AY658" s="18">
        <v>155</v>
      </c>
      <c r="AZ658" s="18">
        <v>17</v>
      </c>
      <c r="BA658" s="18">
        <v>13</v>
      </c>
      <c r="BB658" s="18">
        <v>0.76471</v>
      </c>
      <c r="BC658" s="18">
        <v>0</v>
      </c>
      <c r="BD658" s="18">
        <v>0</v>
      </c>
      <c r="BE658" s="18">
        <v>2.5</v>
      </c>
      <c r="BF658" s="18">
        <v>134</v>
      </c>
      <c r="BG658" s="18">
        <v>9</v>
      </c>
      <c r="BH658" s="18">
        <v>0</v>
      </c>
      <c r="BI658" s="18"/>
      <c r="BJ658" s="18">
        <v>0</v>
      </c>
      <c r="BK658" s="18">
        <v>0</v>
      </c>
      <c r="BL658" s="18">
        <v>0</v>
      </c>
      <c r="BM658" s="18">
        <v>0</v>
      </c>
      <c r="BN658" s="18"/>
      <c r="BO658" s="18"/>
      <c r="BP658" s="18">
        <v>0</v>
      </c>
      <c r="BQ658" s="18">
        <v>63</v>
      </c>
      <c r="BR658" s="18">
        <v>0</v>
      </c>
      <c r="BS658" s="18">
        <v>0</v>
      </c>
      <c r="BT658" s="18">
        <v>0</v>
      </c>
      <c r="BU658" s="18">
        <v>0</v>
      </c>
    </row>
    <row r="659" spans="1:73">
      <c r="A659" s="19">
        <v>46137</v>
      </c>
      <c r="B659" s="18">
        <v>183</v>
      </c>
      <c r="C659" s="18" t="s">
        <v>40</v>
      </c>
      <c r="D659" s="18">
        <v>183</v>
      </c>
      <c r="E659" s="18" t="s">
        <v>40</v>
      </c>
      <c r="F659" s="18">
        <v>1285</v>
      </c>
      <c r="G659" s="18">
        <v>52</v>
      </c>
      <c r="H659" s="18">
        <v>148</v>
      </c>
      <c r="I659" s="18">
        <v>0.04047</v>
      </c>
      <c r="J659" s="18">
        <v>2.85</v>
      </c>
      <c r="K659" s="18">
        <v>115.18</v>
      </c>
      <c r="L659" s="18">
        <v>0</v>
      </c>
      <c r="M659" s="18">
        <v>0</v>
      </c>
      <c r="N659" s="18">
        <v>0</v>
      </c>
      <c r="O659" s="18">
        <v>0</v>
      </c>
      <c r="P659" s="18">
        <v>0</v>
      </c>
      <c r="Q659" s="18">
        <v>0</v>
      </c>
      <c r="R659" s="18">
        <v>0</v>
      </c>
      <c r="S659" s="18">
        <v>0</v>
      </c>
      <c r="T659" s="18">
        <v>0</v>
      </c>
      <c r="U659" s="18">
        <v>0</v>
      </c>
      <c r="V659" s="18">
        <v>0</v>
      </c>
      <c r="W659" s="18">
        <v>0</v>
      </c>
      <c r="X659" s="18">
        <v>0</v>
      </c>
      <c r="Y659" s="18">
        <v>0</v>
      </c>
      <c r="Z659" s="18">
        <v>0</v>
      </c>
      <c r="AA659" s="18"/>
      <c r="AB659" s="18">
        <v>1</v>
      </c>
      <c r="AC659" s="18">
        <v>1</v>
      </c>
      <c r="AD659" s="18">
        <v>0</v>
      </c>
      <c r="AE659" s="18">
        <v>0.01923</v>
      </c>
      <c r="AF659" s="18">
        <v>0</v>
      </c>
      <c r="AG659" s="18">
        <v>3</v>
      </c>
      <c r="AH659" s="18">
        <v>49.33</v>
      </c>
      <c r="AI659" s="18">
        <v>4</v>
      </c>
      <c r="AJ659" s="18">
        <v>37</v>
      </c>
      <c r="AK659" s="18">
        <v>1</v>
      </c>
      <c r="AL659" s="18">
        <v>148</v>
      </c>
      <c r="AM659" s="18">
        <v>3</v>
      </c>
      <c r="AN659" s="18"/>
      <c r="AO659" s="18">
        <v>0</v>
      </c>
      <c r="AP659" s="18">
        <v>148</v>
      </c>
      <c r="AQ659" s="18">
        <v>0</v>
      </c>
      <c r="AR659" s="18">
        <v>0</v>
      </c>
      <c r="AS659" s="18">
        <v>0</v>
      </c>
      <c r="AT659" s="18">
        <v>0</v>
      </c>
      <c r="AU659" s="18">
        <v>0</v>
      </c>
      <c r="AV659" s="18">
        <v>0</v>
      </c>
      <c r="AW659" s="18">
        <v>0</v>
      </c>
      <c r="AX659" s="18">
        <v>0</v>
      </c>
      <c r="AY659" s="18">
        <v>334</v>
      </c>
      <c r="AZ659" s="18">
        <v>105</v>
      </c>
      <c r="BA659" s="18">
        <v>70</v>
      </c>
      <c r="BB659" s="18">
        <v>0.66667</v>
      </c>
      <c r="BC659" s="18">
        <v>0</v>
      </c>
      <c r="BD659" s="18">
        <v>0</v>
      </c>
      <c r="BE659" s="18">
        <v>0.25992</v>
      </c>
      <c r="BF659" s="18">
        <v>170</v>
      </c>
      <c r="BG659" s="18">
        <v>3</v>
      </c>
      <c r="BH659" s="18">
        <v>0</v>
      </c>
      <c r="BI659" s="18"/>
      <c r="BJ659" s="18">
        <v>0</v>
      </c>
      <c r="BK659" s="18">
        <v>0</v>
      </c>
      <c r="BL659" s="18">
        <v>0</v>
      </c>
      <c r="BM659" s="18">
        <v>0</v>
      </c>
      <c r="BN659" s="18"/>
      <c r="BO659" s="18"/>
      <c r="BP659" s="18">
        <v>0</v>
      </c>
      <c r="BQ659" s="18">
        <v>155</v>
      </c>
      <c r="BR659" s="18">
        <v>0</v>
      </c>
      <c r="BS659" s="18">
        <v>0</v>
      </c>
      <c r="BT659" s="18">
        <v>0</v>
      </c>
      <c r="BU659" s="18">
        <v>0</v>
      </c>
    </row>
    <row r="660" spans="1:73">
      <c r="A660" s="19">
        <v>46136</v>
      </c>
      <c r="B660" s="18">
        <v>479</v>
      </c>
      <c r="C660" s="18" t="s">
        <v>39</v>
      </c>
      <c r="D660" s="18">
        <v>479</v>
      </c>
      <c r="E660" s="18" t="s">
        <v>39</v>
      </c>
      <c r="F660" s="18">
        <v>53</v>
      </c>
      <c r="G660" s="18">
        <v>23</v>
      </c>
      <c r="H660" s="18">
        <v>16.41</v>
      </c>
      <c r="I660" s="18">
        <v>0.43396</v>
      </c>
      <c r="J660" s="18">
        <v>0.71</v>
      </c>
      <c r="K660" s="18">
        <v>309.7</v>
      </c>
      <c r="L660" s="18">
        <v>0</v>
      </c>
      <c r="M660" s="18">
        <v>0</v>
      </c>
      <c r="N660" s="18">
        <v>0</v>
      </c>
      <c r="O660" s="18">
        <v>0</v>
      </c>
      <c r="P660" s="18">
        <v>0</v>
      </c>
      <c r="Q660" s="18">
        <v>0</v>
      </c>
      <c r="R660" s="18">
        <v>0</v>
      </c>
      <c r="S660" s="18">
        <v>0</v>
      </c>
      <c r="T660" s="18">
        <v>0</v>
      </c>
      <c r="U660" s="18">
        <v>0</v>
      </c>
      <c r="V660" s="18">
        <v>0</v>
      </c>
      <c r="W660" s="18">
        <v>0</v>
      </c>
      <c r="X660" s="18">
        <v>0</v>
      </c>
      <c r="Y660" s="18">
        <v>0</v>
      </c>
      <c r="Z660" s="18">
        <v>0</v>
      </c>
      <c r="AA660" s="18"/>
      <c r="AB660" s="18">
        <v>1</v>
      </c>
      <c r="AC660" s="18">
        <v>0</v>
      </c>
      <c r="AD660" s="18">
        <v>1</v>
      </c>
      <c r="AE660" s="18">
        <v>0.04348</v>
      </c>
      <c r="AF660" s="18">
        <v>1</v>
      </c>
      <c r="AG660" s="18">
        <v>0</v>
      </c>
      <c r="AH660" s="18"/>
      <c r="AI660" s="18">
        <v>2</v>
      </c>
      <c r="AJ660" s="18">
        <v>8.21</v>
      </c>
      <c r="AK660" s="18">
        <v>2</v>
      </c>
      <c r="AL660" s="18">
        <v>8.21</v>
      </c>
      <c r="AM660" s="18">
        <v>1</v>
      </c>
      <c r="AN660" s="18">
        <v>16.41</v>
      </c>
      <c r="AO660" s="18">
        <v>0.04348</v>
      </c>
      <c r="AP660" s="18">
        <v>16.41</v>
      </c>
      <c r="AQ660" s="18">
        <v>0</v>
      </c>
      <c r="AR660" s="18">
        <v>0</v>
      </c>
      <c r="AS660" s="18">
        <v>0</v>
      </c>
      <c r="AT660" s="18">
        <v>1</v>
      </c>
      <c r="AU660" s="18">
        <v>0</v>
      </c>
      <c r="AV660" s="18">
        <v>0</v>
      </c>
      <c r="AW660" s="18">
        <v>0</v>
      </c>
      <c r="AX660" s="18">
        <v>0</v>
      </c>
      <c r="AY660" s="18">
        <v>250</v>
      </c>
      <c r="AZ660" s="18">
        <v>21</v>
      </c>
      <c r="BA660" s="18">
        <v>12</v>
      </c>
      <c r="BB660" s="18">
        <v>0.57143</v>
      </c>
      <c r="BC660" s="18">
        <v>0</v>
      </c>
      <c r="BD660" s="18">
        <v>0</v>
      </c>
      <c r="BE660" s="18">
        <v>4.71698</v>
      </c>
      <c r="BF660" s="18">
        <v>226</v>
      </c>
      <c r="BG660" s="18">
        <v>12</v>
      </c>
      <c r="BH660" s="18">
        <v>0</v>
      </c>
      <c r="BI660" s="18"/>
      <c r="BJ660" s="18">
        <v>0</v>
      </c>
      <c r="BK660" s="18">
        <v>0</v>
      </c>
      <c r="BL660" s="18">
        <v>0</v>
      </c>
      <c r="BM660" s="18">
        <v>0</v>
      </c>
      <c r="BN660" s="18"/>
      <c r="BO660" s="18"/>
      <c r="BP660" s="18">
        <v>0</v>
      </c>
      <c r="BQ660" s="18">
        <v>54</v>
      </c>
      <c r="BR660" s="18">
        <v>0</v>
      </c>
      <c r="BS660" s="18">
        <v>0</v>
      </c>
      <c r="BT660" s="18">
        <v>0</v>
      </c>
      <c r="BU660" s="18">
        <v>0</v>
      </c>
    </row>
    <row r="661" spans="1:73">
      <c r="A661" s="19">
        <v>46136</v>
      </c>
      <c r="B661" s="18">
        <v>183</v>
      </c>
      <c r="C661" s="18" t="s">
        <v>40</v>
      </c>
      <c r="D661" s="18">
        <v>183</v>
      </c>
      <c r="E661" s="18" t="s">
        <v>40</v>
      </c>
      <c r="F661" s="18">
        <v>1388</v>
      </c>
      <c r="G661" s="18">
        <v>64</v>
      </c>
      <c r="H661" s="18">
        <v>203</v>
      </c>
      <c r="I661" s="18">
        <v>0.04611</v>
      </c>
      <c r="J661" s="18">
        <v>3.17</v>
      </c>
      <c r="K661" s="18">
        <v>146.25</v>
      </c>
      <c r="L661" s="18">
        <v>0</v>
      </c>
      <c r="M661" s="18">
        <v>0</v>
      </c>
      <c r="N661" s="18">
        <v>0</v>
      </c>
      <c r="O661" s="18">
        <v>0</v>
      </c>
      <c r="P661" s="18">
        <v>0</v>
      </c>
      <c r="Q661" s="18">
        <v>0</v>
      </c>
      <c r="R661" s="18">
        <v>1120.87</v>
      </c>
      <c r="S661" s="18">
        <v>2598.6</v>
      </c>
      <c r="T661" s="18">
        <v>3719.47</v>
      </c>
      <c r="U661" s="18">
        <v>7</v>
      </c>
      <c r="V661" s="18">
        <v>3</v>
      </c>
      <c r="W661" s="18">
        <v>4</v>
      </c>
      <c r="X661" s="18">
        <v>0.10938</v>
      </c>
      <c r="Y661" s="18">
        <v>18.32</v>
      </c>
      <c r="Z661" s="18">
        <v>18.32</v>
      </c>
      <c r="AA661" s="18">
        <v>29</v>
      </c>
      <c r="AB661" s="18">
        <v>16</v>
      </c>
      <c r="AC661" s="18">
        <v>4</v>
      </c>
      <c r="AD661" s="18">
        <v>12</v>
      </c>
      <c r="AE661" s="18">
        <v>0.25</v>
      </c>
      <c r="AF661" s="18">
        <v>3</v>
      </c>
      <c r="AG661" s="18">
        <v>1</v>
      </c>
      <c r="AH661" s="18">
        <v>203</v>
      </c>
      <c r="AI661" s="18">
        <v>20</v>
      </c>
      <c r="AJ661" s="18">
        <v>10.15</v>
      </c>
      <c r="AK661" s="18">
        <v>19</v>
      </c>
      <c r="AL661" s="18">
        <v>10.68</v>
      </c>
      <c r="AM661" s="18">
        <v>4</v>
      </c>
      <c r="AN661" s="18">
        <v>67.67</v>
      </c>
      <c r="AO661" s="18">
        <v>0.04688</v>
      </c>
      <c r="AP661" s="18">
        <v>12.69</v>
      </c>
      <c r="AQ661" s="18">
        <v>11</v>
      </c>
      <c r="AR661" s="18">
        <v>4934.8</v>
      </c>
      <c r="AS661" s="18">
        <v>3</v>
      </c>
      <c r="AT661" s="18">
        <v>0</v>
      </c>
      <c r="AU661" s="18">
        <v>0</v>
      </c>
      <c r="AV661" s="18">
        <v>0</v>
      </c>
      <c r="AW661" s="18">
        <v>0</v>
      </c>
      <c r="AX661" s="18">
        <v>2</v>
      </c>
      <c r="AY661" s="18">
        <v>409</v>
      </c>
      <c r="AZ661" s="18">
        <v>104</v>
      </c>
      <c r="BA661" s="18">
        <v>63</v>
      </c>
      <c r="BB661" s="18">
        <v>0.60577</v>
      </c>
      <c r="BC661" s="18">
        <v>0</v>
      </c>
      <c r="BD661" s="18">
        <v>0</v>
      </c>
      <c r="BE661" s="18">
        <v>0.29467</v>
      </c>
      <c r="BF661" s="18">
        <v>166</v>
      </c>
      <c r="BG661" s="18">
        <v>4</v>
      </c>
      <c r="BH661" s="18">
        <v>3</v>
      </c>
      <c r="BI661" s="18">
        <v>1</v>
      </c>
      <c r="BJ661" s="18">
        <v>0</v>
      </c>
      <c r="BK661" s="18">
        <v>0</v>
      </c>
      <c r="BL661" s="18">
        <v>0</v>
      </c>
      <c r="BM661" s="18">
        <v>3</v>
      </c>
      <c r="BN661" s="18">
        <v>2</v>
      </c>
      <c r="BO661" s="18">
        <v>1239.82</v>
      </c>
      <c r="BP661" s="18">
        <v>421.45</v>
      </c>
      <c r="BQ661" s="18">
        <v>974</v>
      </c>
      <c r="BR661" s="18">
        <v>0</v>
      </c>
      <c r="BS661" s="18">
        <v>0</v>
      </c>
      <c r="BT661" s="18">
        <v>0</v>
      </c>
      <c r="BU661" s="18">
        <v>0</v>
      </c>
    </row>
    <row r="662" spans="1:73">
      <c r="A662" s="19">
        <v>46136</v>
      </c>
      <c r="B662" s="18">
        <v>371</v>
      </c>
      <c r="C662" s="18" t="s">
        <v>32</v>
      </c>
      <c r="D662" s="18">
        <v>371</v>
      </c>
      <c r="E662" s="18" t="s">
        <v>32</v>
      </c>
      <c r="F662" s="18">
        <v>5375</v>
      </c>
      <c r="G662" s="18">
        <v>200</v>
      </c>
      <c r="H662" s="18">
        <v>91.61</v>
      </c>
      <c r="I662" s="18">
        <v>0.03721</v>
      </c>
      <c r="J662" s="18">
        <v>0.46</v>
      </c>
      <c r="K662" s="18">
        <v>17.04</v>
      </c>
      <c r="L662" s="18">
        <v>0</v>
      </c>
      <c r="M662" s="18">
        <v>0</v>
      </c>
      <c r="N662" s="18">
        <v>0</v>
      </c>
      <c r="O662" s="18">
        <v>0</v>
      </c>
      <c r="P662" s="18">
        <v>0</v>
      </c>
      <c r="Q662" s="18">
        <v>0</v>
      </c>
      <c r="R662" s="18">
        <v>0</v>
      </c>
      <c r="S662" s="18">
        <v>218.8</v>
      </c>
      <c r="T662" s="18">
        <v>218.8</v>
      </c>
      <c r="U662" s="18">
        <v>4</v>
      </c>
      <c r="V662" s="18">
        <v>0</v>
      </c>
      <c r="W662" s="18">
        <v>4</v>
      </c>
      <c r="X662" s="18">
        <v>0.02</v>
      </c>
      <c r="Y662" s="18">
        <v>2.39</v>
      </c>
      <c r="Z662" s="18">
        <v>2.39</v>
      </c>
      <c r="AA662" s="18">
        <v>22.9</v>
      </c>
      <c r="AB662" s="18">
        <v>7</v>
      </c>
      <c r="AC662" s="18">
        <v>1</v>
      </c>
      <c r="AD662" s="18">
        <v>6</v>
      </c>
      <c r="AE662" s="18">
        <v>0.035</v>
      </c>
      <c r="AF662" s="18">
        <v>0</v>
      </c>
      <c r="AG662" s="18">
        <v>2</v>
      </c>
      <c r="AH662" s="18">
        <v>45.81</v>
      </c>
      <c r="AI662" s="18">
        <v>9</v>
      </c>
      <c r="AJ662" s="18">
        <v>10.18</v>
      </c>
      <c r="AK662" s="18">
        <v>7</v>
      </c>
      <c r="AL662" s="18">
        <v>13.09</v>
      </c>
      <c r="AM662" s="18">
        <v>2</v>
      </c>
      <c r="AN662" s="18"/>
      <c r="AO662" s="18">
        <v>0</v>
      </c>
      <c r="AP662" s="18">
        <v>13.09</v>
      </c>
      <c r="AQ662" s="18">
        <v>5</v>
      </c>
      <c r="AR662" s="18">
        <v>347.7</v>
      </c>
      <c r="AS662" s="18">
        <v>0</v>
      </c>
      <c r="AT662" s="18">
        <v>0</v>
      </c>
      <c r="AU662" s="18">
        <v>0</v>
      </c>
      <c r="AV662" s="18">
        <v>0</v>
      </c>
      <c r="AW662" s="18">
        <v>0</v>
      </c>
      <c r="AX662" s="18">
        <v>0</v>
      </c>
      <c r="AY662" s="18">
        <v>360</v>
      </c>
      <c r="AZ662" s="18">
        <v>158</v>
      </c>
      <c r="BA662" s="18">
        <v>148</v>
      </c>
      <c r="BB662" s="18">
        <v>0.93671</v>
      </c>
      <c r="BC662" s="18">
        <v>0</v>
      </c>
      <c r="BD662" s="18">
        <v>0</v>
      </c>
      <c r="BE662" s="18">
        <v>0.06698</v>
      </c>
      <c r="BF662" s="18">
        <v>155</v>
      </c>
      <c r="BG662" s="18">
        <v>2</v>
      </c>
      <c r="BH662" s="18">
        <v>1</v>
      </c>
      <c r="BI662" s="18">
        <v>1</v>
      </c>
      <c r="BJ662" s="18">
        <v>0</v>
      </c>
      <c r="BK662" s="18">
        <v>0</v>
      </c>
      <c r="BL662" s="18">
        <v>0</v>
      </c>
      <c r="BM662" s="18">
        <v>1</v>
      </c>
      <c r="BN662" s="18">
        <v>4</v>
      </c>
      <c r="BO662" s="18">
        <v>218.8</v>
      </c>
      <c r="BP662" s="18">
        <v>69.73</v>
      </c>
      <c r="BQ662" s="18">
        <v>493</v>
      </c>
      <c r="BR662" s="18">
        <v>0</v>
      </c>
      <c r="BS662" s="18">
        <v>0</v>
      </c>
      <c r="BT662" s="18">
        <v>0</v>
      </c>
      <c r="BU662" s="18">
        <v>0</v>
      </c>
    </row>
    <row r="663" spans="1:73">
      <c r="A663" s="19">
        <v>46136</v>
      </c>
      <c r="B663" s="18">
        <v>372</v>
      </c>
      <c r="C663" s="18" t="s">
        <v>37</v>
      </c>
      <c r="D663" s="18">
        <v>372</v>
      </c>
      <c r="E663" s="18" t="s">
        <v>61</v>
      </c>
      <c r="F663" s="18">
        <v>2929</v>
      </c>
      <c r="G663" s="18">
        <v>276</v>
      </c>
      <c r="H663" s="18">
        <v>100.56</v>
      </c>
      <c r="I663" s="18">
        <v>0.09423</v>
      </c>
      <c r="J663" s="18">
        <v>0.36</v>
      </c>
      <c r="K663" s="18">
        <v>34.33</v>
      </c>
      <c r="L663" s="18">
        <v>0</v>
      </c>
      <c r="M663" s="18">
        <v>0</v>
      </c>
      <c r="N663" s="18">
        <v>0</v>
      </c>
      <c r="O663" s="18">
        <v>0</v>
      </c>
      <c r="P663" s="18">
        <v>0</v>
      </c>
      <c r="Q663" s="18">
        <v>0</v>
      </c>
      <c r="R663" s="18">
        <v>0</v>
      </c>
      <c r="S663" s="18">
        <v>0</v>
      </c>
      <c r="T663" s="18">
        <v>0</v>
      </c>
      <c r="U663" s="18">
        <v>0</v>
      </c>
      <c r="V663" s="18">
        <v>0</v>
      </c>
      <c r="W663" s="18">
        <v>0</v>
      </c>
      <c r="X663" s="18">
        <v>0</v>
      </c>
      <c r="Y663" s="18">
        <v>0</v>
      </c>
      <c r="Z663" s="18">
        <v>0</v>
      </c>
      <c r="AA663" s="18"/>
      <c r="AB663" s="18">
        <v>3</v>
      </c>
      <c r="AC663" s="18">
        <v>3</v>
      </c>
      <c r="AD663" s="18">
        <v>0</v>
      </c>
      <c r="AE663" s="18">
        <v>0.01087</v>
      </c>
      <c r="AF663" s="18">
        <v>3</v>
      </c>
      <c r="AG663" s="18">
        <v>0</v>
      </c>
      <c r="AH663" s="18"/>
      <c r="AI663" s="18">
        <v>6</v>
      </c>
      <c r="AJ663" s="18">
        <v>16.76</v>
      </c>
      <c r="AK663" s="18">
        <v>6</v>
      </c>
      <c r="AL663" s="18">
        <v>16.76</v>
      </c>
      <c r="AM663" s="18">
        <v>3</v>
      </c>
      <c r="AN663" s="18">
        <v>33.52</v>
      </c>
      <c r="AO663" s="18">
        <v>0.01087</v>
      </c>
      <c r="AP663" s="18">
        <v>33.52</v>
      </c>
      <c r="AQ663" s="18">
        <v>0</v>
      </c>
      <c r="AR663" s="18">
        <v>0</v>
      </c>
      <c r="AS663" s="18">
        <v>1</v>
      </c>
      <c r="AT663" s="18">
        <v>2</v>
      </c>
      <c r="AU663" s="18">
        <v>0</v>
      </c>
      <c r="AV663" s="18">
        <v>0</v>
      </c>
      <c r="AW663" s="18">
        <v>0</v>
      </c>
      <c r="AX663" s="18">
        <v>0</v>
      </c>
      <c r="AY663" s="18">
        <v>481</v>
      </c>
      <c r="AZ663" s="18">
        <v>269</v>
      </c>
      <c r="BA663" s="18">
        <v>253</v>
      </c>
      <c r="BB663" s="18">
        <v>0.94052</v>
      </c>
      <c r="BC663" s="18">
        <v>0</v>
      </c>
      <c r="BD663" s="18">
        <v>0</v>
      </c>
      <c r="BE663" s="18">
        <v>0.16422</v>
      </c>
      <c r="BF663" s="18">
        <v>135</v>
      </c>
      <c r="BG663" s="18">
        <v>2</v>
      </c>
      <c r="BH663" s="18">
        <v>0</v>
      </c>
      <c r="BI663" s="18"/>
      <c r="BJ663" s="18">
        <v>0</v>
      </c>
      <c r="BK663" s="18">
        <v>0</v>
      </c>
      <c r="BL663" s="18">
        <v>0</v>
      </c>
      <c r="BM663" s="18">
        <v>0</v>
      </c>
      <c r="BN663" s="18"/>
      <c r="BO663" s="18"/>
      <c r="BP663" s="18">
        <v>4.27</v>
      </c>
      <c r="BQ663" s="18">
        <v>234</v>
      </c>
      <c r="BR663" s="18">
        <v>0</v>
      </c>
      <c r="BS663" s="18">
        <v>0</v>
      </c>
      <c r="BT663" s="18">
        <v>0</v>
      </c>
      <c r="BU663" s="18">
        <v>0</v>
      </c>
    </row>
    <row r="664" spans="1:73">
      <c r="A664" s="19">
        <v>46136</v>
      </c>
      <c r="B664" s="18">
        <v>436</v>
      </c>
      <c r="C664" s="18" t="s">
        <v>38</v>
      </c>
      <c r="D664" s="18">
        <v>436</v>
      </c>
      <c r="E664" s="18" t="s">
        <v>38</v>
      </c>
      <c r="F664" s="18">
        <v>593</v>
      </c>
      <c r="G664" s="18">
        <v>33</v>
      </c>
      <c r="H664" s="18">
        <v>50</v>
      </c>
      <c r="I664" s="18">
        <v>0.05565</v>
      </c>
      <c r="J664" s="18">
        <v>1.52</v>
      </c>
      <c r="K664" s="18">
        <v>84.32</v>
      </c>
      <c r="L664" s="18">
        <v>0</v>
      </c>
      <c r="M664" s="18">
        <v>0</v>
      </c>
      <c r="N664" s="18">
        <v>0</v>
      </c>
      <c r="O664" s="18">
        <v>0</v>
      </c>
      <c r="P664" s="18">
        <v>0</v>
      </c>
      <c r="Q664" s="18">
        <v>0</v>
      </c>
      <c r="R664" s="18">
        <v>0</v>
      </c>
      <c r="S664" s="18">
        <v>0</v>
      </c>
      <c r="T664" s="18">
        <v>0</v>
      </c>
      <c r="U664" s="18">
        <v>0</v>
      </c>
      <c r="V664" s="18">
        <v>0</v>
      </c>
      <c r="W664" s="18">
        <v>0</v>
      </c>
      <c r="X664" s="18">
        <v>0</v>
      </c>
      <c r="Y664" s="18">
        <v>0</v>
      </c>
      <c r="Z664" s="18">
        <v>0</v>
      </c>
      <c r="AA664" s="18"/>
      <c r="AB664" s="18">
        <v>1</v>
      </c>
      <c r="AC664" s="18">
        <v>0</v>
      </c>
      <c r="AD664" s="18">
        <v>1</v>
      </c>
      <c r="AE664" s="18">
        <v>0.0303</v>
      </c>
      <c r="AF664" s="18">
        <v>0</v>
      </c>
      <c r="AG664" s="18">
        <v>0</v>
      </c>
      <c r="AH664" s="18"/>
      <c r="AI664" s="18">
        <v>1</v>
      </c>
      <c r="AJ664" s="18">
        <v>50</v>
      </c>
      <c r="AK664" s="18">
        <v>1</v>
      </c>
      <c r="AL664" s="18">
        <v>50</v>
      </c>
      <c r="AM664" s="18">
        <v>0</v>
      </c>
      <c r="AN664" s="18"/>
      <c r="AO664" s="18">
        <v>0</v>
      </c>
      <c r="AP664" s="18">
        <v>50</v>
      </c>
      <c r="AQ664" s="18">
        <v>0</v>
      </c>
      <c r="AR664" s="18">
        <v>0</v>
      </c>
      <c r="AS664" s="18">
        <v>0</v>
      </c>
      <c r="AT664" s="18">
        <v>0</v>
      </c>
      <c r="AU664" s="18">
        <v>0</v>
      </c>
      <c r="AV664" s="18">
        <v>0</v>
      </c>
      <c r="AW664" s="18">
        <v>0</v>
      </c>
      <c r="AX664" s="18">
        <v>0</v>
      </c>
      <c r="AY664" s="18">
        <v>96</v>
      </c>
      <c r="AZ664" s="18">
        <v>24</v>
      </c>
      <c r="BA664" s="18">
        <v>16</v>
      </c>
      <c r="BB664" s="18">
        <v>0.66667</v>
      </c>
      <c r="BC664" s="18">
        <v>0</v>
      </c>
      <c r="BD664" s="18">
        <v>0</v>
      </c>
      <c r="BE664" s="18">
        <v>0.16189</v>
      </c>
      <c r="BF664" s="18">
        <v>59</v>
      </c>
      <c r="BG664" s="18">
        <v>4</v>
      </c>
      <c r="BH664" s="18">
        <v>0</v>
      </c>
      <c r="BI664" s="18"/>
      <c r="BJ664" s="18">
        <v>0</v>
      </c>
      <c r="BK664" s="18">
        <v>0</v>
      </c>
      <c r="BL664" s="18">
        <v>0</v>
      </c>
      <c r="BM664" s="18">
        <v>0</v>
      </c>
      <c r="BN664" s="18"/>
      <c r="BO664" s="18"/>
      <c r="BP664" s="18">
        <v>0</v>
      </c>
      <c r="BQ664" s="18">
        <v>71</v>
      </c>
      <c r="BR664" s="18">
        <v>0</v>
      </c>
      <c r="BS664" s="18">
        <v>0</v>
      </c>
      <c r="BT664" s="18">
        <v>0</v>
      </c>
      <c r="BU664" s="18">
        <v>0</v>
      </c>
    </row>
    <row r="665" spans="1:73">
      <c r="A665" s="19">
        <v>46135</v>
      </c>
      <c r="B665" s="18">
        <v>371</v>
      </c>
      <c r="C665" s="18" t="s">
        <v>32</v>
      </c>
      <c r="D665" s="18">
        <v>371</v>
      </c>
      <c r="E665" s="18" t="s">
        <v>32</v>
      </c>
      <c r="F665" s="18">
        <v>3157</v>
      </c>
      <c r="G665" s="18">
        <v>120</v>
      </c>
      <c r="H665" s="18">
        <v>49.85</v>
      </c>
      <c r="I665" s="18">
        <v>0.03801</v>
      </c>
      <c r="J665" s="18">
        <v>0.42</v>
      </c>
      <c r="K665" s="18">
        <v>15.79</v>
      </c>
      <c r="L665" s="18">
        <v>0</v>
      </c>
      <c r="M665" s="18">
        <v>0</v>
      </c>
      <c r="N665" s="18">
        <v>0</v>
      </c>
      <c r="O665" s="18">
        <v>0</v>
      </c>
      <c r="P665" s="18">
        <v>0</v>
      </c>
      <c r="Q665" s="18">
        <v>0</v>
      </c>
      <c r="R665" s="18">
        <v>0</v>
      </c>
      <c r="S665" s="18">
        <v>0</v>
      </c>
      <c r="T665" s="18">
        <v>0</v>
      </c>
      <c r="U665" s="18">
        <v>0</v>
      </c>
      <c r="V665" s="18">
        <v>0</v>
      </c>
      <c r="W665" s="18">
        <v>0</v>
      </c>
      <c r="X665" s="18">
        <v>0</v>
      </c>
      <c r="Y665" s="18">
        <v>0</v>
      </c>
      <c r="Z665" s="18">
        <v>0</v>
      </c>
      <c r="AA665" s="18"/>
      <c r="AB665" s="18">
        <v>1</v>
      </c>
      <c r="AC665" s="18">
        <v>0</v>
      </c>
      <c r="AD665" s="18">
        <v>1</v>
      </c>
      <c r="AE665" s="18">
        <v>0.00833</v>
      </c>
      <c r="AF665" s="18">
        <v>0</v>
      </c>
      <c r="AG665" s="18">
        <v>0</v>
      </c>
      <c r="AH665" s="18"/>
      <c r="AI665" s="18">
        <v>1</v>
      </c>
      <c r="AJ665" s="18">
        <v>49.85</v>
      </c>
      <c r="AK665" s="18">
        <v>1</v>
      </c>
      <c r="AL665" s="18">
        <v>49.85</v>
      </c>
      <c r="AM665" s="18">
        <v>0</v>
      </c>
      <c r="AN665" s="18"/>
      <c r="AO665" s="18">
        <v>0</v>
      </c>
      <c r="AP665" s="18">
        <v>49.85</v>
      </c>
      <c r="AQ665" s="18">
        <v>0</v>
      </c>
      <c r="AR665" s="18">
        <v>0</v>
      </c>
      <c r="AS665" s="18">
        <v>0</v>
      </c>
      <c r="AT665" s="18">
        <v>0</v>
      </c>
      <c r="AU665" s="18">
        <v>0</v>
      </c>
      <c r="AV665" s="18">
        <v>0</v>
      </c>
      <c r="AW665" s="18">
        <v>0</v>
      </c>
      <c r="AX665" s="18">
        <v>0</v>
      </c>
      <c r="AY665" s="18">
        <v>248</v>
      </c>
      <c r="AZ665" s="18">
        <v>95</v>
      </c>
      <c r="BA665" s="18">
        <v>87</v>
      </c>
      <c r="BB665" s="18">
        <v>0.91579</v>
      </c>
      <c r="BC665" s="18">
        <v>0</v>
      </c>
      <c r="BD665" s="18">
        <v>0</v>
      </c>
      <c r="BE665" s="18">
        <v>0.07856</v>
      </c>
      <c r="BF665" s="18">
        <v>77</v>
      </c>
      <c r="BG665" s="18">
        <v>3</v>
      </c>
      <c r="BH665" s="18">
        <v>0</v>
      </c>
      <c r="BI665" s="18"/>
      <c r="BJ665" s="18">
        <v>0</v>
      </c>
      <c r="BK665" s="18">
        <v>0</v>
      </c>
      <c r="BL665" s="18">
        <v>0</v>
      </c>
      <c r="BM665" s="18">
        <v>0</v>
      </c>
      <c r="BN665" s="18"/>
      <c r="BO665" s="18"/>
      <c r="BP665" s="18">
        <v>0</v>
      </c>
      <c r="BQ665" s="18">
        <v>110</v>
      </c>
      <c r="BR665" s="18">
        <v>0</v>
      </c>
      <c r="BS665" s="18">
        <v>0</v>
      </c>
      <c r="BT665" s="18">
        <v>0</v>
      </c>
      <c r="BU665" s="18">
        <v>0</v>
      </c>
    </row>
    <row r="666" spans="1:73">
      <c r="A666" s="19">
        <v>46135</v>
      </c>
      <c r="B666" s="18">
        <v>183</v>
      </c>
      <c r="C666" s="18" t="s">
        <v>40</v>
      </c>
      <c r="D666" s="18">
        <v>183</v>
      </c>
      <c r="E666" s="18" t="s">
        <v>40</v>
      </c>
      <c r="F666" s="18">
        <v>2521</v>
      </c>
      <c r="G666" s="18">
        <v>74</v>
      </c>
      <c r="H666" s="18">
        <v>222</v>
      </c>
      <c r="I666" s="18">
        <v>0.02935</v>
      </c>
      <c r="J666" s="18">
        <v>3</v>
      </c>
      <c r="K666" s="18">
        <v>88.06</v>
      </c>
      <c r="L666" s="18">
        <v>0</v>
      </c>
      <c r="M666" s="18">
        <v>0</v>
      </c>
      <c r="N666" s="18">
        <v>0</v>
      </c>
      <c r="O666" s="18">
        <v>0</v>
      </c>
      <c r="P666" s="18">
        <v>0</v>
      </c>
      <c r="Q666" s="18">
        <v>0</v>
      </c>
      <c r="R666" s="18">
        <v>224.17</v>
      </c>
      <c r="S666" s="18">
        <v>187.54</v>
      </c>
      <c r="T666" s="18">
        <v>411.71</v>
      </c>
      <c r="U666" s="18">
        <v>4</v>
      </c>
      <c r="V666" s="18">
        <v>2</v>
      </c>
      <c r="W666" s="18">
        <v>2</v>
      </c>
      <c r="X666" s="18">
        <v>0.05405</v>
      </c>
      <c r="Y666" s="18">
        <v>1.85</v>
      </c>
      <c r="Z666" s="18">
        <v>1.85</v>
      </c>
      <c r="AA666" s="18">
        <v>55.5</v>
      </c>
      <c r="AB666" s="18">
        <v>13</v>
      </c>
      <c r="AC666" s="18">
        <v>4</v>
      </c>
      <c r="AD666" s="18">
        <v>9</v>
      </c>
      <c r="AE666" s="18">
        <v>0.17568</v>
      </c>
      <c r="AF666" s="18">
        <v>2</v>
      </c>
      <c r="AG666" s="18">
        <v>1</v>
      </c>
      <c r="AH666" s="18">
        <v>222</v>
      </c>
      <c r="AI666" s="18">
        <v>16</v>
      </c>
      <c r="AJ666" s="18">
        <v>13.88</v>
      </c>
      <c r="AK666" s="18">
        <v>15</v>
      </c>
      <c r="AL666" s="18">
        <v>14.8</v>
      </c>
      <c r="AM666" s="18">
        <v>3</v>
      </c>
      <c r="AN666" s="18">
        <v>111</v>
      </c>
      <c r="AO666" s="18">
        <v>0.02703</v>
      </c>
      <c r="AP666" s="18">
        <v>17.08</v>
      </c>
      <c r="AQ666" s="18">
        <v>6</v>
      </c>
      <c r="AR666" s="18">
        <v>682.9</v>
      </c>
      <c r="AS666" s="18">
        <v>0</v>
      </c>
      <c r="AT666" s="18">
        <v>2</v>
      </c>
      <c r="AU666" s="18">
        <v>0</v>
      </c>
      <c r="AV666" s="18">
        <v>0</v>
      </c>
      <c r="AW666" s="18">
        <v>0</v>
      </c>
      <c r="AX666" s="18">
        <v>2</v>
      </c>
      <c r="AY666" s="18">
        <v>467</v>
      </c>
      <c r="AZ666" s="18">
        <v>157</v>
      </c>
      <c r="BA666" s="18">
        <v>119</v>
      </c>
      <c r="BB666" s="18">
        <v>0.75796</v>
      </c>
      <c r="BC666" s="18">
        <v>0</v>
      </c>
      <c r="BD666" s="18">
        <v>0</v>
      </c>
      <c r="BE666" s="18">
        <v>0.18524</v>
      </c>
      <c r="BF666" s="18">
        <v>238</v>
      </c>
      <c r="BG666" s="18">
        <v>3</v>
      </c>
      <c r="BH666" s="18">
        <v>2</v>
      </c>
      <c r="BI666" s="18">
        <v>1</v>
      </c>
      <c r="BJ666" s="18">
        <v>0</v>
      </c>
      <c r="BK666" s="18">
        <v>0</v>
      </c>
      <c r="BL666" s="18">
        <v>0</v>
      </c>
      <c r="BM666" s="18">
        <v>2</v>
      </c>
      <c r="BN666" s="18">
        <v>2</v>
      </c>
      <c r="BO666" s="18">
        <v>205.86</v>
      </c>
      <c r="BP666" s="18">
        <v>15.45</v>
      </c>
      <c r="BQ666" s="18">
        <v>716</v>
      </c>
      <c r="BR666" s="18">
        <v>0</v>
      </c>
      <c r="BS666" s="18">
        <v>0</v>
      </c>
      <c r="BT666" s="18">
        <v>0</v>
      </c>
      <c r="BU666" s="18">
        <v>0</v>
      </c>
    </row>
    <row r="667" spans="1:73">
      <c r="A667" s="19">
        <v>46135</v>
      </c>
      <c r="B667" s="18">
        <v>436</v>
      </c>
      <c r="C667" s="18" t="s">
        <v>38</v>
      </c>
      <c r="D667" s="18">
        <v>436</v>
      </c>
      <c r="E667" s="18" t="s">
        <v>38</v>
      </c>
      <c r="F667" s="18">
        <v>620</v>
      </c>
      <c r="G667" s="18">
        <v>32</v>
      </c>
      <c r="H667" s="18">
        <v>59.97</v>
      </c>
      <c r="I667" s="18">
        <v>0.05161</v>
      </c>
      <c r="J667" s="18">
        <v>1.87</v>
      </c>
      <c r="K667" s="18">
        <v>96.73</v>
      </c>
      <c r="L667" s="18">
        <v>0</v>
      </c>
      <c r="M667" s="18">
        <v>0</v>
      </c>
      <c r="N667" s="18">
        <v>0</v>
      </c>
      <c r="O667" s="18">
        <v>0</v>
      </c>
      <c r="P667" s="18">
        <v>0</v>
      </c>
      <c r="Q667" s="18">
        <v>0</v>
      </c>
      <c r="R667" s="18">
        <v>0</v>
      </c>
      <c r="S667" s="18">
        <v>0</v>
      </c>
      <c r="T667" s="18">
        <v>0</v>
      </c>
      <c r="U667" s="18">
        <v>0</v>
      </c>
      <c r="V667" s="18">
        <v>0</v>
      </c>
      <c r="W667" s="18">
        <v>0</v>
      </c>
      <c r="X667" s="18">
        <v>0</v>
      </c>
      <c r="Y667" s="18">
        <v>0</v>
      </c>
      <c r="Z667" s="18">
        <v>0</v>
      </c>
      <c r="AA667" s="18"/>
      <c r="AB667" s="18">
        <v>5</v>
      </c>
      <c r="AC667" s="18">
        <v>1</v>
      </c>
      <c r="AD667" s="18">
        <v>4</v>
      </c>
      <c r="AE667" s="18">
        <v>0.15625</v>
      </c>
      <c r="AF667" s="18">
        <v>0</v>
      </c>
      <c r="AG667" s="18">
        <v>1</v>
      </c>
      <c r="AH667" s="18">
        <v>59.97</v>
      </c>
      <c r="AI667" s="18">
        <v>6</v>
      </c>
      <c r="AJ667" s="18">
        <v>10</v>
      </c>
      <c r="AK667" s="18">
        <v>5</v>
      </c>
      <c r="AL667" s="18">
        <v>11.99</v>
      </c>
      <c r="AM667" s="18">
        <v>1</v>
      </c>
      <c r="AN667" s="18"/>
      <c r="AO667" s="18">
        <v>0</v>
      </c>
      <c r="AP667" s="18">
        <v>11.99</v>
      </c>
      <c r="AQ667" s="18">
        <v>0</v>
      </c>
      <c r="AR667" s="18">
        <v>0</v>
      </c>
      <c r="AS667" s="18">
        <v>0</v>
      </c>
      <c r="AT667" s="18">
        <v>0</v>
      </c>
      <c r="AU667" s="18">
        <v>0</v>
      </c>
      <c r="AV667" s="18">
        <v>0</v>
      </c>
      <c r="AW667" s="18">
        <v>0</v>
      </c>
      <c r="AX667" s="18">
        <v>1</v>
      </c>
      <c r="AY667" s="18">
        <v>257</v>
      </c>
      <c r="AZ667" s="18">
        <v>22</v>
      </c>
      <c r="BA667" s="18">
        <v>17</v>
      </c>
      <c r="BB667" s="18">
        <v>0.77273</v>
      </c>
      <c r="BC667" s="18">
        <v>0</v>
      </c>
      <c r="BD667" s="18">
        <v>0</v>
      </c>
      <c r="BE667" s="18">
        <v>0.41452</v>
      </c>
      <c r="BF667" s="18">
        <v>224</v>
      </c>
      <c r="BG667" s="18">
        <v>12</v>
      </c>
      <c r="BH667" s="18">
        <v>0</v>
      </c>
      <c r="BI667" s="18"/>
      <c r="BJ667" s="18">
        <v>0</v>
      </c>
      <c r="BK667" s="18">
        <v>0</v>
      </c>
      <c r="BL667" s="18">
        <v>0</v>
      </c>
      <c r="BM667" s="18">
        <v>0</v>
      </c>
      <c r="BN667" s="18"/>
      <c r="BO667" s="18"/>
      <c r="BP667" s="18">
        <v>0.3</v>
      </c>
      <c r="BQ667" s="18">
        <v>221</v>
      </c>
      <c r="BR667" s="18">
        <v>0</v>
      </c>
      <c r="BS667" s="18">
        <v>0</v>
      </c>
      <c r="BT667" s="18">
        <v>0</v>
      </c>
      <c r="BU667" s="18">
        <v>0</v>
      </c>
    </row>
    <row r="668" spans="1:73">
      <c r="A668" s="19">
        <v>46135</v>
      </c>
      <c r="B668" s="18">
        <v>372</v>
      </c>
      <c r="C668" s="18" t="s">
        <v>37</v>
      </c>
      <c r="D668" s="18">
        <v>372</v>
      </c>
      <c r="E668" s="18" t="s">
        <v>61</v>
      </c>
      <c r="F668" s="18">
        <v>3417</v>
      </c>
      <c r="G668" s="18">
        <v>246</v>
      </c>
      <c r="H668" s="18">
        <v>126.61</v>
      </c>
      <c r="I668" s="18">
        <v>0.07199</v>
      </c>
      <c r="J668" s="18">
        <v>0.51</v>
      </c>
      <c r="K668" s="18">
        <v>37.05</v>
      </c>
      <c r="L668" s="18">
        <v>0</v>
      </c>
      <c r="M668" s="18">
        <v>0</v>
      </c>
      <c r="N668" s="18">
        <v>0</v>
      </c>
      <c r="O668" s="18">
        <v>0</v>
      </c>
      <c r="P668" s="18">
        <v>0</v>
      </c>
      <c r="Q668" s="18">
        <v>0</v>
      </c>
      <c r="R668" s="18">
        <v>287.28</v>
      </c>
      <c r="S668" s="18">
        <v>42.91</v>
      </c>
      <c r="T668" s="18">
        <v>330.19</v>
      </c>
      <c r="U668" s="18">
        <v>3</v>
      </c>
      <c r="V668" s="18">
        <v>2</v>
      </c>
      <c r="W668" s="18">
        <v>1</v>
      </c>
      <c r="X668" s="18">
        <v>0.0122</v>
      </c>
      <c r="Y668" s="18">
        <v>2.61</v>
      </c>
      <c r="Z668" s="18">
        <v>2.61</v>
      </c>
      <c r="AA668" s="18">
        <v>42.2</v>
      </c>
      <c r="AB668" s="18">
        <v>5</v>
      </c>
      <c r="AC668" s="18">
        <v>4</v>
      </c>
      <c r="AD668" s="18">
        <v>1</v>
      </c>
      <c r="AE668" s="18">
        <v>0.02033</v>
      </c>
      <c r="AF668" s="18">
        <v>1</v>
      </c>
      <c r="AG668" s="18">
        <v>0</v>
      </c>
      <c r="AH668" s="18"/>
      <c r="AI668" s="18">
        <v>6</v>
      </c>
      <c r="AJ668" s="18">
        <v>21.1</v>
      </c>
      <c r="AK668" s="18">
        <v>6</v>
      </c>
      <c r="AL668" s="18">
        <v>21.1</v>
      </c>
      <c r="AM668" s="18">
        <v>1</v>
      </c>
      <c r="AN668" s="18">
        <v>126.61</v>
      </c>
      <c r="AO668" s="18">
        <v>0.00407</v>
      </c>
      <c r="AP668" s="18">
        <v>25.32</v>
      </c>
      <c r="AQ668" s="18">
        <v>5</v>
      </c>
      <c r="AR668" s="18">
        <v>485.7</v>
      </c>
      <c r="AS668" s="18">
        <v>1</v>
      </c>
      <c r="AT668" s="18">
        <v>0</v>
      </c>
      <c r="AU668" s="18">
        <v>0</v>
      </c>
      <c r="AV668" s="18">
        <v>0</v>
      </c>
      <c r="AW668" s="18">
        <v>0</v>
      </c>
      <c r="AX668" s="18">
        <v>0</v>
      </c>
      <c r="AY668" s="18">
        <v>403</v>
      </c>
      <c r="AZ668" s="18">
        <v>236</v>
      </c>
      <c r="BA668" s="18">
        <v>201</v>
      </c>
      <c r="BB668" s="18">
        <v>0.85169</v>
      </c>
      <c r="BC668" s="18">
        <v>0</v>
      </c>
      <c r="BD668" s="18">
        <v>0</v>
      </c>
      <c r="BE668" s="18">
        <v>0.11794</v>
      </c>
      <c r="BF668" s="18">
        <v>115</v>
      </c>
      <c r="BG668" s="18">
        <v>2</v>
      </c>
      <c r="BH668" s="18">
        <v>3</v>
      </c>
      <c r="BI668" s="18">
        <v>1</v>
      </c>
      <c r="BJ668" s="18">
        <v>0</v>
      </c>
      <c r="BK668" s="18">
        <v>0</v>
      </c>
      <c r="BL668" s="18">
        <v>0</v>
      </c>
      <c r="BM668" s="18">
        <v>3</v>
      </c>
      <c r="BN668" s="18">
        <v>1</v>
      </c>
      <c r="BO668" s="18">
        <v>110.06</v>
      </c>
      <c r="BP668" s="18">
        <v>59.16</v>
      </c>
      <c r="BQ668" s="18">
        <v>772</v>
      </c>
      <c r="BR668" s="18">
        <v>0</v>
      </c>
      <c r="BS668" s="18">
        <v>0</v>
      </c>
      <c r="BT668" s="18">
        <v>0</v>
      </c>
      <c r="BU668" s="18">
        <v>0</v>
      </c>
    </row>
    <row r="669" spans="1:73">
      <c r="A669" s="19">
        <v>46135</v>
      </c>
      <c r="B669" s="18">
        <v>479</v>
      </c>
      <c r="C669" s="18" t="s">
        <v>39</v>
      </c>
      <c r="D669" s="18">
        <v>479</v>
      </c>
      <c r="E669" s="18" t="s">
        <v>39</v>
      </c>
      <c r="F669" s="18">
        <v>49</v>
      </c>
      <c r="G669" s="18">
        <v>22</v>
      </c>
      <c r="H669" s="18">
        <v>15.78</v>
      </c>
      <c r="I669" s="18">
        <v>0.44898</v>
      </c>
      <c r="J669" s="18">
        <v>0.72</v>
      </c>
      <c r="K669" s="18">
        <v>322</v>
      </c>
      <c r="L669" s="18">
        <v>0</v>
      </c>
      <c r="M669" s="18">
        <v>0</v>
      </c>
      <c r="N669" s="18">
        <v>0</v>
      </c>
      <c r="O669" s="18">
        <v>0</v>
      </c>
      <c r="P669" s="18">
        <v>0</v>
      </c>
      <c r="Q669" s="18">
        <v>0</v>
      </c>
      <c r="R669" s="18">
        <v>0</v>
      </c>
      <c r="S669" s="18">
        <v>0</v>
      </c>
      <c r="T669" s="18">
        <v>0</v>
      </c>
      <c r="U669" s="18">
        <v>0</v>
      </c>
      <c r="V669" s="18">
        <v>0</v>
      </c>
      <c r="W669" s="18">
        <v>0</v>
      </c>
      <c r="X669" s="18">
        <v>0</v>
      </c>
      <c r="Y669" s="18">
        <v>0</v>
      </c>
      <c r="Z669" s="18">
        <v>0</v>
      </c>
      <c r="AA669" s="18"/>
      <c r="AB669" s="18">
        <v>4</v>
      </c>
      <c r="AC669" s="18">
        <v>0</v>
      </c>
      <c r="AD669" s="18">
        <v>4</v>
      </c>
      <c r="AE669" s="18">
        <v>0.18182</v>
      </c>
      <c r="AF669" s="18">
        <v>1</v>
      </c>
      <c r="AG669" s="18">
        <v>2</v>
      </c>
      <c r="AH669" s="18">
        <v>7.89</v>
      </c>
      <c r="AI669" s="18">
        <v>7</v>
      </c>
      <c r="AJ669" s="18">
        <v>2.25</v>
      </c>
      <c r="AK669" s="18">
        <v>5</v>
      </c>
      <c r="AL669" s="18">
        <v>3.16</v>
      </c>
      <c r="AM669" s="18">
        <v>3</v>
      </c>
      <c r="AN669" s="18">
        <v>15.78</v>
      </c>
      <c r="AO669" s="18">
        <v>0.04545</v>
      </c>
      <c r="AP669" s="18">
        <v>3.94</v>
      </c>
      <c r="AQ669" s="18">
        <v>0</v>
      </c>
      <c r="AR669" s="18">
        <v>0</v>
      </c>
      <c r="AS669" s="18">
        <v>0</v>
      </c>
      <c r="AT669" s="18">
        <v>1</v>
      </c>
      <c r="AU669" s="18">
        <v>0</v>
      </c>
      <c r="AV669" s="18">
        <v>0</v>
      </c>
      <c r="AW669" s="18">
        <v>0</v>
      </c>
      <c r="AX669" s="18">
        <v>0</v>
      </c>
      <c r="AY669" s="18">
        <v>243</v>
      </c>
      <c r="AZ669" s="18">
        <v>19</v>
      </c>
      <c r="BA669" s="18">
        <v>15</v>
      </c>
      <c r="BB669" s="18">
        <v>0.78947</v>
      </c>
      <c r="BC669" s="18">
        <v>0</v>
      </c>
      <c r="BD669" s="18">
        <v>0</v>
      </c>
      <c r="BE669" s="18">
        <v>4.95918</v>
      </c>
      <c r="BF669" s="18">
        <v>218</v>
      </c>
      <c r="BG669" s="18">
        <v>13</v>
      </c>
      <c r="BH669" s="18">
        <v>0</v>
      </c>
      <c r="BI669" s="18"/>
      <c r="BJ669" s="18">
        <v>0</v>
      </c>
      <c r="BK669" s="18">
        <v>0</v>
      </c>
      <c r="BL669" s="18">
        <v>0</v>
      </c>
      <c r="BM669" s="18">
        <v>0</v>
      </c>
      <c r="BN669" s="18"/>
      <c r="BO669" s="18"/>
      <c r="BP669" s="18">
        <v>0.13</v>
      </c>
      <c r="BQ669" s="18">
        <v>53</v>
      </c>
      <c r="BR669" s="18">
        <v>0</v>
      </c>
      <c r="BS669" s="18">
        <v>0</v>
      </c>
      <c r="BT669" s="18">
        <v>0</v>
      </c>
      <c r="BU669" s="18">
        <v>0</v>
      </c>
    </row>
    <row r="670" spans="1:73">
      <c r="A670" s="19">
        <v>46134</v>
      </c>
      <c r="B670" s="18">
        <v>183</v>
      </c>
      <c r="C670" s="18" t="s">
        <v>40</v>
      </c>
      <c r="D670" s="18">
        <v>183</v>
      </c>
      <c r="E670" s="18" t="s">
        <v>40</v>
      </c>
      <c r="F670" s="18">
        <v>1136</v>
      </c>
      <c r="G670" s="18">
        <v>54</v>
      </c>
      <c r="H670" s="18">
        <v>148</v>
      </c>
      <c r="I670" s="18">
        <v>0.04754</v>
      </c>
      <c r="J670" s="18">
        <v>2.74</v>
      </c>
      <c r="K670" s="18">
        <v>130.28</v>
      </c>
      <c r="L670" s="18">
        <v>0</v>
      </c>
      <c r="M670" s="18">
        <v>0</v>
      </c>
      <c r="N670" s="18">
        <v>0</v>
      </c>
      <c r="O670" s="18">
        <v>0</v>
      </c>
      <c r="P670" s="18">
        <v>0</v>
      </c>
      <c r="Q670" s="18">
        <v>0</v>
      </c>
      <c r="R670" s="18">
        <v>510.23</v>
      </c>
      <c r="S670" s="18">
        <v>0</v>
      </c>
      <c r="T670" s="18">
        <v>510.23</v>
      </c>
      <c r="U670" s="18">
        <v>3</v>
      </c>
      <c r="V670" s="18">
        <v>3</v>
      </c>
      <c r="W670" s="18">
        <v>0</v>
      </c>
      <c r="X670" s="18">
        <v>0.05556</v>
      </c>
      <c r="Y670" s="18">
        <v>3.45</v>
      </c>
      <c r="Z670" s="18">
        <v>3.45</v>
      </c>
      <c r="AA670" s="18">
        <v>49.33</v>
      </c>
      <c r="AB670" s="18">
        <v>8</v>
      </c>
      <c r="AC670" s="18">
        <v>5</v>
      </c>
      <c r="AD670" s="18">
        <v>3</v>
      </c>
      <c r="AE670" s="18">
        <v>0.14815</v>
      </c>
      <c r="AF670" s="18">
        <v>0</v>
      </c>
      <c r="AG670" s="18">
        <v>0</v>
      </c>
      <c r="AH670" s="18"/>
      <c r="AI670" s="18">
        <v>8</v>
      </c>
      <c r="AJ670" s="18">
        <v>18.5</v>
      </c>
      <c r="AK670" s="18">
        <v>8</v>
      </c>
      <c r="AL670" s="18">
        <v>18.5</v>
      </c>
      <c r="AM670" s="18">
        <v>0</v>
      </c>
      <c r="AN670" s="18"/>
      <c r="AO670" s="18">
        <v>0</v>
      </c>
      <c r="AP670" s="18">
        <v>18.5</v>
      </c>
      <c r="AQ670" s="18">
        <v>5</v>
      </c>
      <c r="AR670" s="18">
        <v>745.9</v>
      </c>
      <c r="AS670" s="18">
        <v>0</v>
      </c>
      <c r="AT670" s="18">
        <v>0</v>
      </c>
      <c r="AU670" s="18">
        <v>0</v>
      </c>
      <c r="AV670" s="18">
        <v>0</v>
      </c>
      <c r="AW670" s="18">
        <v>0</v>
      </c>
      <c r="AX670" s="18">
        <v>2</v>
      </c>
      <c r="AY670" s="18">
        <v>325</v>
      </c>
      <c r="AZ670" s="18">
        <v>98</v>
      </c>
      <c r="BA670" s="18">
        <v>62</v>
      </c>
      <c r="BB670" s="18">
        <v>0.63265</v>
      </c>
      <c r="BC670" s="18">
        <v>0</v>
      </c>
      <c r="BD670" s="18">
        <v>0</v>
      </c>
      <c r="BE670" s="18">
        <v>0.28609</v>
      </c>
      <c r="BF670" s="18">
        <v>163</v>
      </c>
      <c r="BG670" s="18">
        <v>3</v>
      </c>
      <c r="BH670" s="18">
        <v>2</v>
      </c>
      <c r="BI670" s="18">
        <v>1</v>
      </c>
      <c r="BJ670" s="18">
        <v>0</v>
      </c>
      <c r="BK670" s="18">
        <v>0</v>
      </c>
      <c r="BL670" s="18">
        <v>0</v>
      </c>
      <c r="BM670" s="18">
        <v>2</v>
      </c>
      <c r="BN670" s="18">
        <v>2</v>
      </c>
      <c r="BO670" s="18">
        <v>255.12</v>
      </c>
      <c r="BP670" s="18">
        <v>0.01</v>
      </c>
      <c r="BQ670" s="18">
        <v>521</v>
      </c>
      <c r="BR670" s="18">
        <v>0</v>
      </c>
      <c r="BS670" s="18">
        <v>0</v>
      </c>
      <c r="BT670" s="18">
        <v>0</v>
      </c>
      <c r="BU670" s="18">
        <v>0</v>
      </c>
    </row>
    <row r="671" spans="1:73">
      <c r="A671" s="19">
        <v>46134</v>
      </c>
      <c r="B671" s="18">
        <v>372</v>
      </c>
      <c r="C671" s="18" t="s">
        <v>37</v>
      </c>
      <c r="D671" s="18">
        <v>372</v>
      </c>
      <c r="E671" s="18" t="s">
        <v>61</v>
      </c>
      <c r="F671" s="18">
        <v>4569</v>
      </c>
      <c r="G671" s="18">
        <v>217</v>
      </c>
      <c r="H671" s="18">
        <v>129.74</v>
      </c>
      <c r="I671" s="18">
        <v>0.04749</v>
      </c>
      <c r="J671" s="18">
        <v>0.6</v>
      </c>
      <c r="K671" s="18">
        <v>28.4</v>
      </c>
      <c r="L671" s="18">
        <v>0</v>
      </c>
      <c r="M671" s="18">
        <v>0</v>
      </c>
      <c r="N671" s="18">
        <v>0</v>
      </c>
      <c r="O671" s="18">
        <v>0</v>
      </c>
      <c r="P671" s="18">
        <v>0</v>
      </c>
      <c r="Q671" s="18">
        <v>0</v>
      </c>
      <c r="R671" s="18">
        <v>143.64</v>
      </c>
      <c r="S671" s="18">
        <v>1131.06</v>
      </c>
      <c r="T671" s="18">
        <v>1274.7</v>
      </c>
      <c r="U671" s="18">
        <v>5</v>
      </c>
      <c r="V671" s="18">
        <v>1</v>
      </c>
      <c r="W671" s="18">
        <v>4</v>
      </c>
      <c r="X671" s="18">
        <v>0.02304</v>
      </c>
      <c r="Y671" s="18">
        <v>9.83</v>
      </c>
      <c r="Z671" s="18">
        <v>9.83</v>
      </c>
      <c r="AA671" s="18">
        <v>25.95</v>
      </c>
      <c r="AB671" s="18">
        <v>15</v>
      </c>
      <c r="AC671" s="18">
        <v>4</v>
      </c>
      <c r="AD671" s="18">
        <v>11</v>
      </c>
      <c r="AE671" s="18">
        <v>0.06912</v>
      </c>
      <c r="AF671" s="18">
        <v>6</v>
      </c>
      <c r="AG671" s="18">
        <v>1</v>
      </c>
      <c r="AH671" s="18">
        <v>129.74</v>
      </c>
      <c r="AI671" s="18">
        <v>22</v>
      </c>
      <c r="AJ671" s="18">
        <v>5.9</v>
      </c>
      <c r="AK671" s="18">
        <v>21</v>
      </c>
      <c r="AL671" s="18">
        <v>6.18</v>
      </c>
      <c r="AM671" s="18">
        <v>7</v>
      </c>
      <c r="AN671" s="18">
        <v>21.62</v>
      </c>
      <c r="AO671" s="18">
        <v>0.02765</v>
      </c>
      <c r="AP671" s="18">
        <v>8.65</v>
      </c>
      <c r="AQ671" s="18">
        <v>9</v>
      </c>
      <c r="AR671" s="18">
        <v>1885</v>
      </c>
      <c r="AS671" s="18">
        <v>5</v>
      </c>
      <c r="AT671" s="18">
        <v>1</v>
      </c>
      <c r="AU671" s="18">
        <v>0</v>
      </c>
      <c r="AV671" s="18">
        <v>0</v>
      </c>
      <c r="AW671" s="18">
        <v>0</v>
      </c>
      <c r="AX671" s="18">
        <v>2</v>
      </c>
      <c r="AY671" s="18">
        <v>573</v>
      </c>
      <c r="AZ671" s="18">
        <v>211</v>
      </c>
      <c r="BA671" s="18">
        <v>195</v>
      </c>
      <c r="BB671" s="18">
        <v>0.92417</v>
      </c>
      <c r="BC671" s="18">
        <v>0</v>
      </c>
      <c r="BD671" s="18">
        <v>0</v>
      </c>
      <c r="BE671" s="18">
        <v>0.12541</v>
      </c>
      <c r="BF671" s="18">
        <v>292</v>
      </c>
      <c r="BG671" s="18">
        <v>3</v>
      </c>
      <c r="BH671" s="18">
        <v>3</v>
      </c>
      <c r="BI671" s="18">
        <v>1</v>
      </c>
      <c r="BJ671" s="18">
        <v>0</v>
      </c>
      <c r="BK671" s="18">
        <v>0</v>
      </c>
      <c r="BL671" s="18">
        <v>0</v>
      </c>
      <c r="BM671" s="18">
        <v>3</v>
      </c>
      <c r="BN671" s="18">
        <v>2</v>
      </c>
      <c r="BO671" s="18">
        <v>424.9</v>
      </c>
      <c r="BP671" s="18">
        <v>6.43</v>
      </c>
      <c r="BQ671" s="18">
        <v>1121</v>
      </c>
      <c r="BR671" s="18">
        <v>0</v>
      </c>
      <c r="BS671" s="18">
        <v>0</v>
      </c>
      <c r="BT671" s="18">
        <v>0</v>
      </c>
      <c r="BU671" s="18">
        <v>0</v>
      </c>
    </row>
    <row r="672" spans="1:73">
      <c r="A672" s="19">
        <v>46134</v>
      </c>
      <c r="B672" s="18">
        <v>371</v>
      </c>
      <c r="C672" s="18" t="s">
        <v>32</v>
      </c>
      <c r="D672" s="18">
        <v>371</v>
      </c>
      <c r="E672" s="18" t="s">
        <v>32</v>
      </c>
      <c r="F672" s="18">
        <v>2570</v>
      </c>
      <c r="G672" s="18">
        <v>96</v>
      </c>
      <c r="H672" s="18">
        <v>37.02</v>
      </c>
      <c r="I672" s="18">
        <v>0.03735</v>
      </c>
      <c r="J672" s="18">
        <v>0.39</v>
      </c>
      <c r="K672" s="18">
        <v>14.4</v>
      </c>
      <c r="L672" s="18">
        <v>0</v>
      </c>
      <c r="M672" s="18">
        <v>0</v>
      </c>
      <c r="N672" s="18">
        <v>0</v>
      </c>
      <c r="O672" s="18">
        <v>0</v>
      </c>
      <c r="P672" s="18">
        <v>0</v>
      </c>
      <c r="Q672" s="18">
        <v>0</v>
      </c>
      <c r="R672" s="18">
        <v>0</v>
      </c>
      <c r="S672" s="18">
        <v>1234.6</v>
      </c>
      <c r="T672" s="18">
        <v>1234.6</v>
      </c>
      <c r="U672" s="18">
        <v>4</v>
      </c>
      <c r="V672" s="18">
        <v>0</v>
      </c>
      <c r="W672" s="18">
        <v>4</v>
      </c>
      <c r="X672" s="18">
        <v>0.04167</v>
      </c>
      <c r="Y672" s="18">
        <v>33.35</v>
      </c>
      <c r="Z672" s="18">
        <v>33.35</v>
      </c>
      <c r="AA672" s="18">
        <v>9.26</v>
      </c>
      <c r="AB672" s="18">
        <v>13</v>
      </c>
      <c r="AC672" s="18">
        <v>1</v>
      </c>
      <c r="AD672" s="18">
        <v>12</v>
      </c>
      <c r="AE672" s="18">
        <v>0.13542</v>
      </c>
      <c r="AF672" s="18">
        <v>0</v>
      </c>
      <c r="AG672" s="18">
        <v>0</v>
      </c>
      <c r="AH672" s="18"/>
      <c r="AI672" s="18">
        <v>13</v>
      </c>
      <c r="AJ672" s="18">
        <v>2.85</v>
      </c>
      <c r="AK672" s="18">
        <v>13</v>
      </c>
      <c r="AL672" s="18">
        <v>2.85</v>
      </c>
      <c r="AM672" s="18">
        <v>0</v>
      </c>
      <c r="AN672" s="18"/>
      <c r="AO672" s="18">
        <v>0</v>
      </c>
      <c r="AP672" s="18">
        <v>2.85</v>
      </c>
      <c r="AQ672" s="18">
        <v>7</v>
      </c>
      <c r="AR672" s="18">
        <v>1815</v>
      </c>
      <c r="AS672" s="18">
        <v>0</v>
      </c>
      <c r="AT672" s="18">
        <v>0</v>
      </c>
      <c r="AU672" s="18">
        <v>0</v>
      </c>
      <c r="AV672" s="18">
        <v>0</v>
      </c>
      <c r="AW672" s="18">
        <v>0</v>
      </c>
      <c r="AX672" s="18">
        <v>8</v>
      </c>
      <c r="AY672" s="18">
        <v>180</v>
      </c>
      <c r="AZ672" s="18">
        <v>73</v>
      </c>
      <c r="BA672" s="18">
        <v>69</v>
      </c>
      <c r="BB672" s="18">
        <v>0.94521</v>
      </c>
      <c r="BC672" s="18">
        <v>0</v>
      </c>
      <c r="BD672" s="18">
        <v>0</v>
      </c>
      <c r="BE672" s="18">
        <v>0.07004</v>
      </c>
      <c r="BF672" s="18">
        <v>80</v>
      </c>
      <c r="BG672" s="18">
        <v>2</v>
      </c>
      <c r="BH672" s="18">
        <v>1</v>
      </c>
      <c r="BI672" s="18">
        <v>1</v>
      </c>
      <c r="BJ672" s="18">
        <v>0</v>
      </c>
      <c r="BK672" s="18">
        <v>0</v>
      </c>
      <c r="BL672" s="18">
        <v>0</v>
      </c>
      <c r="BM672" s="18">
        <v>1</v>
      </c>
      <c r="BN672" s="18">
        <v>4</v>
      </c>
      <c r="BO672" s="18">
        <v>1234.6</v>
      </c>
      <c r="BP672" s="18">
        <v>0.83</v>
      </c>
      <c r="BQ672" s="18">
        <v>834</v>
      </c>
      <c r="BR672" s="18">
        <v>0</v>
      </c>
      <c r="BS672" s="18">
        <v>0</v>
      </c>
      <c r="BT672" s="18">
        <v>0</v>
      </c>
      <c r="BU672" s="18">
        <v>0</v>
      </c>
    </row>
    <row r="673" spans="1:73">
      <c r="A673" s="19">
        <v>46134</v>
      </c>
      <c r="B673" s="18">
        <v>479</v>
      </c>
      <c r="C673" s="18" t="s">
        <v>39</v>
      </c>
      <c r="D673" s="18">
        <v>479</v>
      </c>
      <c r="E673" s="18" t="s">
        <v>39</v>
      </c>
      <c r="F673" s="18">
        <v>36</v>
      </c>
      <c r="G673" s="18">
        <v>19</v>
      </c>
      <c r="H673" s="18">
        <v>10.36</v>
      </c>
      <c r="I673" s="18">
        <v>0.52778</v>
      </c>
      <c r="J673" s="18">
        <v>0.55</v>
      </c>
      <c r="K673" s="18">
        <v>287.89</v>
      </c>
      <c r="L673" s="18">
        <v>0</v>
      </c>
      <c r="M673" s="18">
        <v>0</v>
      </c>
      <c r="N673" s="18">
        <v>0</v>
      </c>
      <c r="O673" s="18">
        <v>0</v>
      </c>
      <c r="P673" s="18">
        <v>0</v>
      </c>
      <c r="Q673" s="18">
        <v>0</v>
      </c>
      <c r="R673" s="18">
        <v>0</v>
      </c>
      <c r="S673" s="18">
        <v>228.76</v>
      </c>
      <c r="T673" s="18">
        <v>228.76</v>
      </c>
      <c r="U673" s="18">
        <v>2</v>
      </c>
      <c r="V673" s="18">
        <v>0</v>
      </c>
      <c r="W673" s="18">
        <v>2</v>
      </c>
      <c r="X673" s="18">
        <v>0.10526</v>
      </c>
      <c r="Y673" s="18">
        <v>22.07</v>
      </c>
      <c r="Z673" s="18">
        <v>22.07</v>
      </c>
      <c r="AA673" s="18">
        <v>5.18</v>
      </c>
      <c r="AB673" s="18">
        <v>2</v>
      </c>
      <c r="AC673" s="18">
        <v>0</v>
      </c>
      <c r="AD673" s="18">
        <v>2</v>
      </c>
      <c r="AE673" s="18">
        <v>0.10526</v>
      </c>
      <c r="AF673" s="18">
        <v>0</v>
      </c>
      <c r="AG673" s="18">
        <v>0</v>
      </c>
      <c r="AH673" s="18"/>
      <c r="AI673" s="18">
        <v>2</v>
      </c>
      <c r="AJ673" s="18">
        <v>5.18</v>
      </c>
      <c r="AK673" s="18">
        <v>2</v>
      </c>
      <c r="AL673" s="18">
        <v>5.18</v>
      </c>
      <c r="AM673" s="18">
        <v>0</v>
      </c>
      <c r="AN673" s="18"/>
      <c r="AO673" s="18">
        <v>0</v>
      </c>
      <c r="AP673" s="18">
        <v>5.18</v>
      </c>
      <c r="AQ673" s="18">
        <v>3</v>
      </c>
      <c r="AR673" s="18">
        <v>366</v>
      </c>
      <c r="AS673" s="18">
        <v>0</v>
      </c>
      <c r="AT673" s="18">
        <v>0</v>
      </c>
      <c r="AU673" s="18">
        <v>0</v>
      </c>
      <c r="AV673" s="18">
        <v>0</v>
      </c>
      <c r="AW673" s="18">
        <v>0</v>
      </c>
      <c r="AX673" s="18">
        <v>1</v>
      </c>
      <c r="AY673" s="18">
        <v>169</v>
      </c>
      <c r="AZ673" s="18">
        <v>18</v>
      </c>
      <c r="BA673" s="18">
        <v>7</v>
      </c>
      <c r="BB673" s="18">
        <v>0.38889</v>
      </c>
      <c r="BC673" s="18">
        <v>0</v>
      </c>
      <c r="BD673" s="18">
        <v>0</v>
      </c>
      <c r="BE673" s="18">
        <v>4.69444</v>
      </c>
      <c r="BF673" s="18">
        <v>150</v>
      </c>
      <c r="BG673" s="18">
        <v>9</v>
      </c>
      <c r="BH673" s="18">
        <v>1</v>
      </c>
      <c r="BI673" s="18">
        <v>1</v>
      </c>
      <c r="BJ673" s="18">
        <v>0</v>
      </c>
      <c r="BK673" s="18">
        <v>0</v>
      </c>
      <c r="BL673" s="18">
        <v>0</v>
      </c>
      <c r="BM673" s="18">
        <v>1</v>
      </c>
      <c r="BN673" s="18">
        <v>2</v>
      </c>
      <c r="BO673" s="18">
        <v>228.76</v>
      </c>
      <c r="BP673" s="18">
        <v>7.63</v>
      </c>
      <c r="BQ673" s="18">
        <v>157</v>
      </c>
      <c r="BR673" s="18">
        <v>0</v>
      </c>
      <c r="BS673" s="18">
        <v>0</v>
      </c>
      <c r="BT673" s="18">
        <v>0</v>
      </c>
      <c r="BU673" s="18">
        <v>0</v>
      </c>
    </row>
    <row r="674" spans="1:73">
      <c r="A674" s="19">
        <v>46134</v>
      </c>
      <c r="B674" s="18">
        <v>436</v>
      </c>
      <c r="C674" s="18" t="s">
        <v>38</v>
      </c>
      <c r="D674" s="18">
        <v>436</v>
      </c>
      <c r="E674" s="18" t="s">
        <v>38</v>
      </c>
      <c r="F674" s="18">
        <v>585</v>
      </c>
      <c r="G674" s="18">
        <v>33</v>
      </c>
      <c r="H674" s="18">
        <v>58.18</v>
      </c>
      <c r="I674" s="18">
        <v>0.05641</v>
      </c>
      <c r="J674" s="18">
        <v>1.76</v>
      </c>
      <c r="K674" s="18">
        <v>99.45</v>
      </c>
      <c r="L674" s="18">
        <v>0</v>
      </c>
      <c r="M674" s="18">
        <v>0</v>
      </c>
      <c r="N674" s="18">
        <v>0</v>
      </c>
      <c r="O674" s="18">
        <v>0</v>
      </c>
      <c r="P674" s="18">
        <v>0</v>
      </c>
      <c r="Q674" s="18">
        <v>0</v>
      </c>
      <c r="R674" s="18">
        <v>0</v>
      </c>
      <c r="S674" s="18">
        <v>0</v>
      </c>
      <c r="T674" s="18">
        <v>0</v>
      </c>
      <c r="U674" s="18">
        <v>0</v>
      </c>
      <c r="V674" s="18">
        <v>0</v>
      </c>
      <c r="W674" s="18">
        <v>0</v>
      </c>
      <c r="X674" s="18">
        <v>0</v>
      </c>
      <c r="Y674" s="18">
        <v>0</v>
      </c>
      <c r="Z674" s="18">
        <v>0</v>
      </c>
      <c r="AA674" s="18"/>
      <c r="AB674" s="18">
        <v>1</v>
      </c>
      <c r="AC674" s="18">
        <v>0</v>
      </c>
      <c r="AD674" s="18">
        <v>1</v>
      </c>
      <c r="AE674" s="18">
        <v>0.0303</v>
      </c>
      <c r="AF674" s="18">
        <v>0</v>
      </c>
      <c r="AG674" s="18">
        <v>1</v>
      </c>
      <c r="AH674" s="18">
        <v>58.18</v>
      </c>
      <c r="AI674" s="18">
        <v>2</v>
      </c>
      <c r="AJ674" s="18">
        <v>29.09</v>
      </c>
      <c r="AK674" s="18">
        <v>1</v>
      </c>
      <c r="AL674" s="18">
        <v>58.18</v>
      </c>
      <c r="AM674" s="18">
        <v>1</v>
      </c>
      <c r="AN674" s="18"/>
      <c r="AO674" s="18">
        <v>0</v>
      </c>
      <c r="AP674" s="18">
        <v>58.18</v>
      </c>
      <c r="AQ674" s="18">
        <v>0</v>
      </c>
      <c r="AR674" s="18">
        <v>0</v>
      </c>
      <c r="AS674" s="18">
        <v>0</v>
      </c>
      <c r="AT674" s="18">
        <v>0</v>
      </c>
      <c r="AU674" s="18">
        <v>0</v>
      </c>
      <c r="AV674" s="18">
        <v>0</v>
      </c>
      <c r="AW674" s="18">
        <v>0</v>
      </c>
      <c r="AX674" s="18">
        <v>0</v>
      </c>
      <c r="AY674" s="18">
        <v>97</v>
      </c>
      <c r="AZ674" s="18">
        <v>21</v>
      </c>
      <c r="BA674" s="18">
        <v>14</v>
      </c>
      <c r="BB674" s="18">
        <v>0.66667</v>
      </c>
      <c r="BC674" s="18">
        <v>0</v>
      </c>
      <c r="BD674" s="18">
        <v>0</v>
      </c>
      <c r="BE674" s="18">
        <v>0.16581</v>
      </c>
      <c r="BF674" s="18">
        <v>62</v>
      </c>
      <c r="BG674" s="18">
        <v>5</v>
      </c>
      <c r="BH674" s="18">
        <v>0</v>
      </c>
      <c r="BI674" s="18"/>
      <c r="BJ674" s="18">
        <v>0</v>
      </c>
      <c r="BK674" s="18">
        <v>0</v>
      </c>
      <c r="BL674" s="18">
        <v>0</v>
      </c>
      <c r="BM674" s="18">
        <v>0</v>
      </c>
      <c r="BN674" s="18"/>
      <c r="BO674" s="18"/>
      <c r="BP674" s="18">
        <v>0</v>
      </c>
      <c r="BQ674" s="18">
        <v>80</v>
      </c>
      <c r="BR674" s="18">
        <v>0</v>
      </c>
      <c r="BS674" s="18">
        <v>0</v>
      </c>
      <c r="BT674" s="18">
        <v>0</v>
      </c>
      <c r="BU674" s="18">
        <v>0</v>
      </c>
    </row>
    <row r="675" spans="1:73">
      <c r="A675" s="19">
        <v>46133</v>
      </c>
      <c r="B675" s="18">
        <v>436</v>
      </c>
      <c r="C675" s="18" t="s">
        <v>38</v>
      </c>
      <c r="D675" s="18">
        <v>436</v>
      </c>
      <c r="E675" s="18" t="s">
        <v>38</v>
      </c>
      <c r="F675" s="18">
        <v>610</v>
      </c>
      <c r="G675" s="18">
        <v>28</v>
      </c>
      <c r="H675" s="18">
        <v>52.22</v>
      </c>
      <c r="I675" s="18">
        <v>0.0459</v>
      </c>
      <c r="J675" s="18">
        <v>1.87</v>
      </c>
      <c r="K675" s="18">
        <v>85.61</v>
      </c>
      <c r="L675" s="18">
        <v>0</v>
      </c>
      <c r="M675" s="18">
        <v>0</v>
      </c>
      <c r="N675" s="18">
        <v>0</v>
      </c>
      <c r="O675" s="18">
        <v>0</v>
      </c>
      <c r="P675" s="18">
        <v>0</v>
      </c>
      <c r="Q675" s="18">
        <v>0</v>
      </c>
      <c r="R675" s="18">
        <v>168.08</v>
      </c>
      <c r="S675" s="18">
        <v>68.6</v>
      </c>
      <c r="T675" s="18">
        <v>236.68</v>
      </c>
      <c r="U675" s="18">
        <v>2</v>
      </c>
      <c r="V675" s="18">
        <v>1</v>
      </c>
      <c r="W675" s="18">
        <v>1</v>
      </c>
      <c r="X675" s="18">
        <v>0.07143</v>
      </c>
      <c r="Y675" s="18">
        <v>4.53</v>
      </c>
      <c r="Z675" s="18">
        <v>4.53</v>
      </c>
      <c r="AA675" s="18">
        <v>26.11</v>
      </c>
      <c r="AB675" s="18">
        <v>5</v>
      </c>
      <c r="AC675" s="18">
        <v>4</v>
      </c>
      <c r="AD675" s="18">
        <v>1</v>
      </c>
      <c r="AE675" s="18">
        <v>0.17857</v>
      </c>
      <c r="AF675" s="18">
        <v>1</v>
      </c>
      <c r="AG675" s="18">
        <v>2</v>
      </c>
      <c r="AH675" s="18">
        <v>26.11</v>
      </c>
      <c r="AI675" s="18">
        <v>8</v>
      </c>
      <c r="AJ675" s="18">
        <v>6.53</v>
      </c>
      <c r="AK675" s="18">
        <v>6</v>
      </c>
      <c r="AL675" s="18">
        <v>8.7</v>
      </c>
      <c r="AM675" s="18">
        <v>3</v>
      </c>
      <c r="AN675" s="18">
        <v>52.22</v>
      </c>
      <c r="AO675" s="18">
        <v>0.03571</v>
      </c>
      <c r="AP675" s="18">
        <v>10.44</v>
      </c>
      <c r="AQ675" s="18">
        <v>3</v>
      </c>
      <c r="AR675" s="18">
        <v>373</v>
      </c>
      <c r="AS675" s="18">
        <v>0</v>
      </c>
      <c r="AT675" s="18">
        <v>1</v>
      </c>
      <c r="AU675" s="18">
        <v>0</v>
      </c>
      <c r="AV675" s="18">
        <v>0</v>
      </c>
      <c r="AW675" s="18">
        <v>0</v>
      </c>
      <c r="AX675" s="18">
        <v>0</v>
      </c>
      <c r="AY675" s="18">
        <v>81</v>
      </c>
      <c r="AZ675" s="18">
        <v>22</v>
      </c>
      <c r="BA675" s="18">
        <v>18</v>
      </c>
      <c r="BB675" s="18">
        <v>0.81818</v>
      </c>
      <c r="BC675" s="18">
        <v>0</v>
      </c>
      <c r="BD675" s="18">
        <v>0</v>
      </c>
      <c r="BE675" s="18">
        <v>0.13279</v>
      </c>
      <c r="BF675" s="18">
        <v>51</v>
      </c>
      <c r="BG675" s="18">
        <v>4</v>
      </c>
      <c r="BH675" s="18">
        <v>1</v>
      </c>
      <c r="BI675" s="18">
        <v>1</v>
      </c>
      <c r="BJ675" s="18">
        <v>0</v>
      </c>
      <c r="BK675" s="18">
        <v>0</v>
      </c>
      <c r="BL675" s="18">
        <v>0</v>
      </c>
      <c r="BM675" s="18">
        <v>1</v>
      </c>
      <c r="BN675" s="18">
        <v>2</v>
      </c>
      <c r="BO675" s="18">
        <v>236.68</v>
      </c>
      <c r="BP675" s="18">
        <v>0</v>
      </c>
      <c r="BQ675" s="18">
        <v>495</v>
      </c>
      <c r="BR675" s="18">
        <v>0</v>
      </c>
      <c r="BS675" s="18">
        <v>0</v>
      </c>
      <c r="BT675" s="18">
        <v>0</v>
      </c>
      <c r="BU675" s="18">
        <v>0</v>
      </c>
    </row>
    <row r="676" spans="1:73">
      <c r="A676" s="19">
        <v>46133</v>
      </c>
      <c r="B676" s="18">
        <v>479</v>
      </c>
      <c r="C676" s="18" t="s">
        <v>39</v>
      </c>
      <c r="D676" s="18">
        <v>479</v>
      </c>
      <c r="E676" s="18" t="s">
        <v>39</v>
      </c>
      <c r="F676" s="18">
        <v>39</v>
      </c>
      <c r="G676" s="18">
        <v>16</v>
      </c>
      <c r="H676" s="18">
        <v>10.53</v>
      </c>
      <c r="I676" s="18">
        <v>0.41026</v>
      </c>
      <c r="J676" s="18">
        <v>0.66</v>
      </c>
      <c r="K676" s="18">
        <v>269.9</v>
      </c>
      <c r="L676" s="18">
        <v>0</v>
      </c>
      <c r="M676" s="18">
        <v>0</v>
      </c>
      <c r="N676" s="18">
        <v>0</v>
      </c>
      <c r="O676" s="18">
        <v>0</v>
      </c>
      <c r="P676" s="18">
        <v>0</v>
      </c>
      <c r="Q676" s="18">
        <v>0</v>
      </c>
      <c r="R676" s="18">
        <v>0</v>
      </c>
      <c r="S676" s="18">
        <v>0</v>
      </c>
      <c r="T676" s="18">
        <v>0</v>
      </c>
      <c r="U676" s="18">
        <v>0</v>
      </c>
      <c r="V676" s="18">
        <v>0</v>
      </c>
      <c r="W676" s="18">
        <v>0</v>
      </c>
      <c r="X676" s="18">
        <v>0</v>
      </c>
      <c r="Y676" s="18">
        <v>0</v>
      </c>
      <c r="Z676" s="18">
        <v>0</v>
      </c>
      <c r="AA676" s="18"/>
      <c r="AB676" s="18">
        <v>0</v>
      </c>
      <c r="AC676" s="18">
        <v>0</v>
      </c>
      <c r="AD676" s="18">
        <v>0</v>
      </c>
      <c r="AE676" s="18">
        <v>0</v>
      </c>
      <c r="AF676" s="18">
        <v>1</v>
      </c>
      <c r="AG676" s="18">
        <v>1</v>
      </c>
      <c r="AH676" s="18">
        <v>10.53</v>
      </c>
      <c r="AI676" s="18">
        <v>2</v>
      </c>
      <c r="AJ676" s="18">
        <v>5.26</v>
      </c>
      <c r="AK676" s="18">
        <v>1</v>
      </c>
      <c r="AL676" s="18">
        <v>10.53</v>
      </c>
      <c r="AM676" s="18">
        <v>2</v>
      </c>
      <c r="AN676" s="18">
        <v>10.53</v>
      </c>
      <c r="AO676" s="18">
        <v>0.0625</v>
      </c>
      <c r="AP676" s="18"/>
      <c r="AQ676" s="18">
        <v>0</v>
      </c>
      <c r="AR676" s="18">
        <v>0</v>
      </c>
      <c r="AS676" s="18">
        <v>0</v>
      </c>
      <c r="AT676" s="18">
        <v>1</v>
      </c>
      <c r="AU676" s="18">
        <v>0</v>
      </c>
      <c r="AV676" s="18">
        <v>0</v>
      </c>
      <c r="AW676" s="18">
        <v>0</v>
      </c>
      <c r="AX676" s="18">
        <v>0</v>
      </c>
      <c r="AY676" s="18">
        <v>146</v>
      </c>
      <c r="AZ676" s="18">
        <v>12</v>
      </c>
      <c r="BA676" s="18">
        <v>7</v>
      </c>
      <c r="BB676" s="18">
        <v>0.58333</v>
      </c>
      <c r="BC676" s="18">
        <v>0</v>
      </c>
      <c r="BD676" s="18">
        <v>0</v>
      </c>
      <c r="BE676" s="18">
        <v>3.74359</v>
      </c>
      <c r="BF676" s="18">
        <v>128</v>
      </c>
      <c r="BG676" s="18">
        <v>12</v>
      </c>
      <c r="BH676" s="18">
        <v>0</v>
      </c>
      <c r="BI676" s="18"/>
      <c r="BJ676" s="18">
        <v>0</v>
      </c>
      <c r="BK676" s="18">
        <v>0</v>
      </c>
      <c r="BL676" s="18">
        <v>0</v>
      </c>
      <c r="BM676" s="18">
        <v>0</v>
      </c>
      <c r="BN676" s="18"/>
      <c r="BO676" s="18"/>
      <c r="BP676" s="18">
        <v>0</v>
      </c>
      <c r="BQ676" s="18">
        <v>65</v>
      </c>
      <c r="BR676" s="18">
        <v>0</v>
      </c>
      <c r="BS676" s="18">
        <v>0</v>
      </c>
      <c r="BT676" s="18">
        <v>0</v>
      </c>
      <c r="BU676" s="18">
        <v>0</v>
      </c>
    </row>
    <row r="677" spans="1:73">
      <c r="A677" s="19">
        <v>46133</v>
      </c>
      <c r="B677" s="18">
        <v>371</v>
      </c>
      <c r="C677" s="18" t="s">
        <v>32</v>
      </c>
      <c r="D677" s="18">
        <v>371</v>
      </c>
      <c r="E677" s="18" t="s">
        <v>32</v>
      </c>
      <c r="F677" s="18">
        <v>3794</v>
      </c>
      <c r="G677" s="18">
        <v>118</v>
      </c>
      <c r="H677" s="18">
        <v>54.48</v>
      </c>
      <c r="I677" s="18">
        <v>0.0311</v>
      </c>
      <c r="J677" s="18">
        <v>0.46</v>
      </c>
      <c r="K677" s="18">
        <v>14.36</v>
      </c>
      <c r="L677" s="18">
        <v>0</v>
      </c>
      <c r="M677" s="18">
        <v>0</v>
      </c>
      <c r="N677" s="18">
        <v>0</v>
      </c>
      <c r="O677" s="18">
        <v>0</v>
      </c>
      <c r="P677" s="18">
        <v>0</v>
      </c>
      <c r="Q677" s="18">
        <v>0</v>
      </c>
      <c r="R677" s="18">
        <v>0</v>
      </c>
      <c r="S677" s="18">
        <v>0</v>
      </c>
      <c r="T677" s="18">
        <v>0</v>
      </c>
      <c r="U677" s="18">
        <v>0</v>
      </c>
      <c r="V677" s="18">
        <v>0</v>
      </c>
      <c r="W677" s="18">
        <v>0</v>
      </c>
      <c r="X677" s="18">
        <v>0</v>
      </c>
      <c r="Y677" s="18">
        <v>0</v>
      </c>
      <c r="Z677" s="18">
        <v>0</v>
      </c>
      <c r="AA677" s="18"/>
      <c r="AB677" s="18">
        <v>2</v>
      </c>
      <c r="AC677" s="18">
        <v>1</v>
      </c>
      <c r="AD677" s="18">
        <v>1</v>
      </c>
      <c r="AE677" s="18">
        <v>0.01695</v>
      </c>
      <c r="AF677" s="18">
        <v>2</v>
      </c>
      <c r="AG677" s="18">
        <v>0</v>
      </c>
      <c r="AH677" s="18"/>
      <c r="AI677" s="18">
        <v>4</v>
      </c>
      <c r="AJ677" s="18">
        <v>13.62</v>
      </c>
      <c r="AK677" s="18">
        <v>4</v>
      </c>
      <c r="AL677" s="18">
        <v>13.62</v>
      </c>
      <c r="AM677" s="18">
        <v>2</v>
      </c>
      <c r="AN677" s="18">
        <v>27.24</v>
      </c>
      <c r="AO677" s="18">
        <v>0.01695</v>
      </c>
      <c r="AP677" s="18">
        <v>27.24</v>
      </c>
      <c r="AQ677" s="18">
        <v>0</v>
      </c>
      <c r="AR677" s="18">
        <v>0</v>
      </c>
      <c r="AS677" s="18">
        <v>2</v>
      </c>
      <c r="AT677" s="18">
        <v>0</v>
      </c>
      <c r="AU677" s="18">
        <v>0</v>
      </c>
      <c r="AV677" s="18">
        <v>0</v>
      </c>
      <c r="AW677" s="18">
        <v>0</v>
      </c>
      <c r="AX677" s="18">
        <v>0</v>
      </c>
      <c r="AY677" s="18">
        <v>280</v>
      </c>
      <c r="AZ677" s="18">
        <v>103</v>
      </c>
      <c r="BA677" s="18">
        <v>95</v>
      </c>
      <c r="BB677" s="18">
        <v>0.92233</v>
      </c>
      <c r="BC677" s="18">
        <v>0</v>
      </c>
      <c r="BD677" s="18">
        <v>0</v>
      </c>
      <c r="BE677" s="18">
        <v>0.0738</v>
      </c>
      <c r="BF677" s="18">
        <v>138</v>
      </c>
      <c r="BG677" s="18">
        <v>3</v>
      </c>
      <c r="BH677" s="18">
        <v>0</v>
      </c>
      <c r="BI677" s="18"/>
      <c r="BJ677" s="18">
        <v>0</v>
      </c>
      <c r="BK677" s="18">
        <v>0</v>
      </c>
      <c r="BL677" s="18">
        <v>0</v>
      </c>
      <c r="BM677" s="18">
        <v>0</v>
      </c>
      <c r="BN677" s="18"/>
      <c r="BO677" s="18"/>
      <c r="BP677" s="18">
        <v>0.01</v>
      </c>
      <c r="BQ677" s="18">
        <v>265</v>
      </c>
      <c r="BR677" s="18">
        <v>0</v>
      </c>
      <c r="BS677" s="18">
        <v>0</v>
      </c>
      <c r="BT677" s="18">
        <v>0</v>
      </c>
      <c r="BU677" s="18">
        <v>0</v>
      </c>
    </row>
    <row r="678" spans="1:73">
      <c r="A678" s="19">
        <v>46133</v>
      </c>
      <c r="B678" s="18">
        <v>183</v>
      </c>
      <c r="C678" s="18" t="s">
        <v>40</v>
      </c>
      <c r="D678" s="18">
        <v>183</v>
      </c>
      <c r="E678" s="18" t="s">
        <v>40</v>
      </c>
      <c r="F678" s="18">
        <v>1328</v>
      </c>
      <c r="G678" s="18">
        <v>51</v>
      </c>
      <c r="H678" s="18">
        <v>100</v>
      </c>
      <c r="I678" s="18">
        <v>0.0384</v>
      </c>
      <c r="J678" s="18">
        <v>1.96</v>
      </c>
      <c r="K678" s="18">
        <v>75.3</v>
      </c>
      <c r="L678" s="18">
        <v>0</v>
      </c>
      <c r="M678" s="18">
        <v>0</v>
      </c>
      <c r="N678" s="18">
        <v>0</v>
      </c>
      <c r="O678" s="18">
        <v>0</v>
      </c>
      <c r="P678" s="18">
        <v>0</v>
      </c>
      <c r="Q678" s="18">
        <v>0</v>
      </c>
      <c r="R678" s="18">
        <v>0</v>
      </c>
      <c r="S678" s="18">
        <v>0</v>
      </c>
      <c r="T678" s="18">
        <v>0</v>
      </c>
      <c r="U678" s="18">
        <v>0</v>
      </c>
      <c r="V678" s="18">
        <v>0</v>
      </c>
      <c r="W678" s="18">
        <v>0</v>
      </c>
      <c r="X678" s="18">
        <v>0</v>
      </c>
      <c r="Y678" s="18">
        <v>0</v>
      </c>
      <c r="Z678" s="18">
        <v>0</v>
      </c>
      <c r="AA678" s="18"/>
      <c r="AB678" s="18">
        <v>4</v>
      </c>
      <c r="AC678" s="18">
        <v>1</v>
      </c>
      <c r="AD678" s="18">
        <v>3</v>
      </c>
      <c r="AE678" s="18">
        <v>0.07843</v>
      </c>
      <c r="AF678" s="18">
        <v>0</v>
      </c>
      <c r="AG678" s="18">
        <v>1</v>
      </c>
      <c r="AH678" s="18">
        <v>100</v>
      </c>
      <c r="AI678" s="18">
        <v>5</v>
      </c>
      <c r="AJ678" s="18">
        <v>20</v>
      </c>
      <c r="AK678" s="18">
        <v>4</v>
      </c>
      <c r="AL678" s="18">
        <v>25</v>
      </c>
      <c r="AM678" s="18">
        <v>1</v>
      </c>
      <c r="AN678" s="18"/>
      <c r="AO678" s="18">
        <v>0</v>
      </c>
      <c r="AP678" s="18">
        <v>25</v>
      </c>
      <c r="AQ678" s="18">
        <v>0</v>
      </c>
      <c r="AR678" s="18">
        <v>0</v>
      </c>
      <c r="AS678" s="18">
        <v>0</v>
      </c>
      <c r="AT678" s="18">
        <v>0</v>
      </c>
      <c r="AU678" s="18">
        <v>0</v>
      </c>
      <c r="AV678" s="18">
        <v>0</v>
      </c>
      <c r="AW678" s="18">
        <v>0</v>
      </c>
      <c r="AX678" s="18">
        <v>1</v>
      </c>
      <c r="AY678" s="18">
        <v>459</v>
      </c>
      <c r="AZ678" s="18">
        <v>126</v>
      </c>
      <c r="BA678" s="18">
        <v>93</v>
      </c>
      <c r="BB678" s="18">
        <v>0.7381</v>
      </c>
      <c r="BC678" s="18">
        <v>0</v>
      </c>
      <c r="BD678" s="18">
        <v>0</v>
      </c>
      <c r="BE678" s="18">
        <v>0.34563</v>
      </c>
      <c r="BF678" s="18">
        <v>250</v>
      </c>
      <c r="BG678" s="18">
        <v>4</v>
      </c>
      <c r="BH678" s="18">
        <v>0</v>
      </c>
      <c r="BI678" s="18"/>
      <c r="BJ678" s="18">
        <v>0</v>
      </c>
      <c r="BK678" s="18">
        <v>0</v>
      </c>
      <c r="BL678" s="18">
        <v>0</v>
      </c>
      <c r="BM678" s="18">
        <v>0</v>
      </c>
      <c r="BN678" s="18"/>
      <c r="BO678" s="18"/>
      <c r="BP678" s="18">
        <v>0</v>
      </c>
      <c r="BQ678" s="18">
        <v>176</v>
      </c>
      <c r="BR678" s="18">
        <v>0</v>
      </c>
      <c r="BS678" s="18">
        <v>0</v>
      </c>
      <c r="BT678" s="18">
        <v>0</v>
      </c>
      <c r="BU678" s="18">
        <v>0</v>
      </c>
    </row>
    <row r="679" spans="1:73">
      <c r="A679" s="19">
        <v>46132</v>
      </c>
      <c r="B679" s="18">
        <v>371</v>
      </c>
      <c r="C679" s="18" t="s">
        <v>32</v>
      </c>
      <c r="D679" s="18">
        <v>371</v>
      </c>
      <c r="E679" s="18" t="s">
        <v>32</v>
      </c>
      <c r="F679" s="18">
        <v>4931</v>
      </c>
      <c r="G679" s="18">
        <v>136</v>
      </c>
      <c r="H679" s="18">
        <v>58.07</v>
      </c>
      <c r="I679" s="18">
        <v>0.02758</v>
      </c>
      <c r="J679" s="18">
        <v>0.43</v>
      </c>
      <c r="K679" s="18">
        <v>11.78</v>
      </c>
      <c r="L679" s="18">
        <v>0</v>
      </c>
      <c r="M679" s="18">
        <v>0</v>
      </c>
      <c r="N679" s="18">
        <v>0</v>
      </c>
      <c r="O679" s="18">
        <v>0</v>
      </c>
      <c r="P679" s="18">
        <v>0</v>
      </c>
      <c r="Q679" s="18">
        <v>0</v>
      </c>
      <c r="R679" s="18">
        <v>0</v>
      </c>
      <c r="S679" s="18">
        <v>0</v>
      </c>
      <c r="T679" s="18">
        <v>0</v>
      </c>
      <c r="U679" s="18">
        <v>0</v>
      </c>
      <c r="V679" s="18">
        <v>0</v>
      </c>
      <c r="W679" s="18">
        <v>0</v>
      </c>
      <c r="X679" s="18">
        <v>0</v>
      </c>
      <c r="Y679" s="18">
        <v>0</v>
      </c>
      <c r="Z679" s="18">
        <v>0</v>
      </c>
      <c r="AA679" s="18"/>
      <c r="AB679" s="18">
        <v>2</v>
      </c>
      <c r="AC679" s="18">
        <v>1</v>
      </c>
      <c r="AD679" s="18">
        <v>1</v>
      </c>
      <c r="AE679" s="18">
        <v>0.01471</v>
      </c>
      <c r="AF679" s="18">
        <v>1</v>
      </c>
      <c r="AG679" s="18">
        <v>1</v>
      </c>
      <c r="AH679" s="18">
        <v>58.07</v>
      </c>
      <c r="AI679" s="18">
        <v>4</v>
      </c>
      <c r="AJ679" s="18">
        <v>14.52</v>
      </c>
      <c r="AK679" s="18">
        <v>3</v>
      </c>
      <c r="AL679" s="18">
        <v>19.36</v>
      </c>
      <c r="AM679" s="18">
        <v>2</v>
      </c>
      <c r="AN679" s="18">
        <v>58.07</v>
      </c>
      <c r="AO679" s="18">
        <v>0.00735</v>
      </c>
      <c r="AP679" s="18">
        <v>29.04</v>
      </c>
      <c r="AQ679" s="18">
        <v>0</v>
      </c>
      <c r="AR679" s="18">
        <v>0</v>
      </c>
      <c r="AS679" s="18">
        <v>1</v>
      </c>
      <c r="AT679" s="18">
        <v>0</v>
      </c>
      <c r="AU679" s="18">
        <v>0</v>
      </c>
      <c r="AV679" s="18">
        <v>0</v>
      </c>
      <c r="AW679" s="18">
        <v>0</v>
      </c>
      <c r="AX679" s="18">
        <v>0</v>
      </c>
      <c r="AY679" s="18">
        <v>270</v>
      </c>
      <c r="AZ679" s="18">
        <v>129</v>
      </c>
      <c r="BA679" s="18">
        <v>122</v>
      </c>
      <c r="BB679" s="18">
        <v>0.94574</v>
      </c>
      <c r="BC679" s="18">
        <v>0</v>
      </c>
      <c r="BD679" s="18">
        <v>0</v>
      </c>
      <c r="BE679" s="18">
        <v>0.05476</v>
      </c>
      <c r="BF679" s="18">
        <v>126</v>
      </c>
      <c r="BG679" s="18">
        <v>2</v>
      </c>
      <c r="BH679" s="18">
        <v>0</v>
      </c>
      <c r="BI679" s="18"/>
      <c r="BJ679" s="18">
        <v>0</v>
      </c>
      <c r="BK679" s="18">
        <v>0</v>
      </c>
      <c r="BL679" s="18">
        <v>0</v>
      </c>
      <c r="BM679" s="18">
        <v>0</v>
      </c>
      <c r="BN679" s="18"/>
      <c r="BO679" s="18"/>
      <c r="BP679" s="18">
        <v>3.78</v>
      </c>
      <c r="BQ679" s="18">
        <v>261</v>
      </c>
      <c r="BR679" s="18">
        <v>0</v>
      </c>
      <c r="BS679" s="18">
        <v>0</v>
      </c>
      <c r="BT679" s="18">
        <v>0</v>
      </c>
      <c r="BU679" s="18">
        <v>0</v>
      </c>
    </row>
    <row r="680" spans="1:73">
      <c r="A680" s="19">
        <v>46132</v>
      </c>
      <c r="B680" s="18">
        <v>436</v>
      </c>
      <c r="C680" s="18" t="s">
        <v>38</v>
      </c>
      <c r="D680" s="18">
        <v>436</v>
      </c>
      <c r="E680" s="18" t="s">
        <v>38</v>
      </c>
      <c r="F680" s="18">
        <v>717</v>
      </c>
      <c r="G680" s="18">
        <v>37</v>
      </c>
      <c r="H680" s="18">
        <v>74.87</v>
      </c>
      <c r="I680" s="18">
        <v>0.0516</v>
      </c>
      <c r="J680" s="18">
        <v>2.02</v>
      </c>
      <c r="K680" s="18">
        <v>104.42</v>
      </c>
      <c r="L680" s="18">
        <v>0</v>
      </c>
      <c r="M680" s="18">
        <v>0</v>
      </c>
      <c r="N680" s="18">
        <v>0</v>
      </c>
      <c r="O680" s="18">
        <v>0</v>
      </c>
      <c r="P680" s="18">
        <v>0</v>
      </c>
      <c r="Q680" s="18">
        <v>0</v>
      </c>
      <c r="R680" s="18">
        <v>0</v>
      </c>
      <c r="S680" s="18">
        <v>0</v>
      </c>
      <c r="T680" s="18">
        <v>0</v>
      </c>
      <c r="U680" s="18">
        <v>0</v>
      </c>
      <c r="V680" s="18">
        <v>0</v>
      </c>
      <c r="W680" s="18">
        <v>0</v>
      </c>
      <c r="X680" s="18">
        <v>0</v>
      </c>
      <c r="Y680" s="18">
        <v>0</v>
      </c>
      <c r="Z680" s="18">
        <v>0</v>
      </c>
      <c r="AA680" s="18"/>
      <c r="AB680" s="18">
        <v>1</v>
      </c>
      <c r="AC680" s="18">
        <v>0</v>
      </c>
      <c r="AD680" s="18">
        <v>1</v>
      </c>
      <c r="AE680" s="18">
        <v>0.02703</v>
      </c>
      <c r="AF680" s="18">
        <v>0</v>
      </c>
      <c r="AG680" s="18">
        <v>0</v>
      </c>
      <c r="AH680" s="18"/>
      <c r="AI680" s="18">
        <v>1</v>
      </c>
      <c r="AJ680" s="18">
        <v>74.87</v>
      </c>
      <c r="AK680" s="18">
        <v>1</v>
      </c>
      <c r="AL680" s="18">
        <v>74.87</v>
      </c>
      <c r="AM680" s="18">
        <v>0</v>
      </c>
      <c r="AN680" s="18"/>
      <c r="AO680" s="18">
        <v>0</v>
      </c>
      <c r="AP680" s="18">
        <v>74.87</v>
      </c>
      <c r="AQ680" s="18">
        <v>0</v>
      </c>
      <c r="AR680" s="18">
        <v>0</v>
      </c>
      <c r="AS680" s="18">
        <v>0</v>
      </c>
      <c r="AT680" s="18">
        <v>0</v>
      </c>
      <c r="AU680" s="18">
        <v>0</v>
      </c>
      <c r="AV680" s="18">
        <v>0</v>
      </c>
      <c r="AW680" s="18">
        <v>0</v>
      </c>
      <c r="AX680" s="18">
        <v>0</v>
      </c>
      <c r="AY680" s="18">
        <v>180</v>
      </c>
      <c r="AZ680" s="18">
        <v>31</v>
      </c>
      <c r="BA680" s="18">
        <v>25</v>
      </c>
      <c r="BB680" s="18">
        <v>0.80645</v>
      </c>
      <c r="BC680" s="18">
        <v>0</v>
      </c>
      <c r="BD680" s="18">
        <v>0</v>
      </c>
      <c r="BE680" s="18">
        <v>0.25105</v>
      </c>
      <c r="BF680" s="18">
        <v>142</v>
      </c>
      <c r="BG680" s="18">
        <v>6</v>
      </c>
      <c r="BH680" s="18">
        <v>0</v>
      </c>
      <c r="BI680" s="18"/>
      <c r="BJ680" s="18">
        <v>0</v>
      </c>
      <c r="BK680" s="18">
        <v>0</v>
      </c>
      <c r="BL680" s="18">
        <v>0</v>
      </c>
      <c r="BM680" s="18">
        <v>0</v>
      </c>
      <c r="BN680" s="18"/>
      <c r="BO680" s="18"/>
      <c r="BP680" s="18">
        <v>0</v>
      </c>
      <c r="BQ680" s="18">
        <v>66</v>
      </c>
      <c r="BR680" s="18">
        <v>0</v>
      </c>
      <c r="BS680" s="18">
        <v>0</v>
      </c>
      <c r="BT680" s="18">
        <v>0</v>
      </c>
      <c r="BU680" s="18">
        <v>0</v>
      </c>
    </row>
    <row r="681" spans="1:73">
      <c r="A681" s="19">
        <v>46132</v>
      </c>
      <c r="B681" s="18">
        <v>479</v>
      </c>
      <c r="C681" s="18" t="s">
        <v>39</v>
      </c>
      <c r="D681" s="18">
        <v>479</v>
      </c>
      <c r="E681" s="18" t="s">
        <v>39</v>
      </c>
      <c r="F681" s="18">
        <v>51</v>
      </c>
      <c r="G681" s="18">
        <v>21</v>
      </c>
      <c r="H681" s="18">
        <v>14.91</v>
      </c>
      <c r="I681" s="18">
        <v>0.41176</v>
      </c>
      <c r="J681" s="18">
        <v>0.71</v>
      </c>
      <c r="K681" s="18">
        <v>292.29</v>
      </c>
      <c r="L681" s="18">
        <v>0</v>
      </c>
      <c r="M681" s="18">
        <v>0</v>
      </c>
      <c r="N681" s="18">
        <v>0</v>
      </c>
      <c r="O681" s="18">
        <v>0</v>
      </c>
      <c r="P681" s="18">
        <v>0</v>
      </c>
      <c r="Q681" s="18">
        <v>0</v>
      </c>
      <c r="R681" s="18">
        <v>0</v>
      </c>
      <c r="S681" s="18">
        <v>0</v>
      </c>
      <c r="T681" s="18">
        <v>0</v>
      </c>
      <c r="U681" s="18">
        <v>0</v>
      </c>
      <c r="V681" s="18">
        <v>0</v>
      </c>
      <c r="W681" s="18">
        <v>0</v>
      </c>
      <c r="X681" s="18">
        <v>0</v>
      </c>
      <c r="Y681" s="18">
        <v>0</v>
      </c>
      <c r="Z681" s="18">
        <v>0</v>
      </c>
      <c r="AA681" s="18"/>
      <c r="AB681" s="18">
        <v>2</v>
      </c>
      <c r="AC681" s="18">
        <v>0</v>
      </c>
      <c r="AD681" s="18">
        <v>2</v>
      </c>
      <c r="AE681" s="18">
        <v>0.09524</v>
      </c>
      <c r="AF681" s="18">
        <v>0</v>
      </c>
      <c r="AG681" s="18">
        <v>1</v>
      </c>
      <c r="AH681" s="18">
        <v>14.91</v>
      </c>
      <c r="AI681" s="18">
        <v>3</v>
      </c>
      <c r="AJ681" s="18">
        <v>4.97</v>
      </c>
      <c r="AK681" s="18">
        <v>2</v>
      </c>
      <c r="AL681" s="18">
        <v>7.45</v>
      </c>
      <c r="AM681" s="18">
        <v>1</v>
      </c>
      <c r="AN681" s="18"/>
      <c r="AO681" s="18">
        <v>0</v>
      </c>
      <c r="AP681" s="18">
        <v>7.45</v>
      </c>
      <c r="AQ681" s="18">
        <v>0</v>
      </c>
      <c r="AR681" s="18">
        <v>0</v>
      </c>
      <c r="AS681" s="18">
        <v>0</v>
      </c>
      <c r="AT681" s="18">
        <v>0</v>
      </c>
      <c r="AU681" s="18">
        <v>0</v>
      </c>
      <c r="AV681" s="18">
        <v>0</v>
      </c>
      <c r="AW681" s="18">
        <v>0</v>
      </c>
      <c r="AX681" s="18">
        <v>0</v>
      </c>
      <c r="AY681" s="18">
        <v>255</v>
      </c>
      <c r="AZ681" s="18">
        <v>19</v>
      </c>
      <c r="BA681" s="18">
        <v>14</v>
      </c>
      <c r="BB681" s="18">
        <v>0.73684</v>
      </c>
      <c r="BC681" s="18">
        <v>0</v>
      </c>
      <c r="BD681" s="18">
        <v>0</v>
      </c>
      <c r="BE681" s="18">
        <v>5</v>
      </c>
      <c r="BF681" s="18">
        <v>231</v>
      </c>
      <c r="BG681" s="18">
        <v>13</v>
      </c>
      <c r="BH681" s="18">
        <v>0</v>
      </c>
      <c r="BI681" s="18"/>
      <c r="BJ681" s="18">
        <v>0</v>
      </c>
      <c r="BK681" s="18">
        <v>0</v>
      </c>
      <c r="BL681" s="18">
        <v>0</v>
      </c>
      <c r="BM681" s="18">
        <v>0</v>
      </c>
      <c r="BN681" s="18"/>
      <c r="BO681" s="18"/>
      <c r="BP681" s="18">
        <v>0</v>
      </c>
      <c r="BQ681" s="18">
        <v>92</v>
      </c>
      <c r="BR681" s="18">
        <v>0</v>
      </c>
      <c r="BS681" s="18">
        <v>0</v>
      </c>
      <c r="BT681" s="18">
        <v>0</v>
      </c>
      <c r="BU681" s="18">
        <v>0</v>
      </c>
    </row>
    <row r="682" spans="1:73">
      <c r="A682" s="19">
        <v>46132</v>
      </c>
      <c r="B682" s="18">
        <v>183</v>
      </c>
      <c r="C682" s="18" t="s">
        <v>40</v>
      </c>
      <c r="D682" s="18">
        <v>183</v>
      </c>
      <c r="E682" s="18" t="s">
        <v>40</v>
      </c>
      <c r="F682" s="18">
        <v>648</v>
      </c>
      <c r="G682" s="18">
        <v>32</v>
      </c>
      <c r="H682" s="18">
        <v>100</v>
      </c>
      <c r="I682" s="18">
        <v>0.04938</v>
      </c>
      <c r="J682" s="18">
        <v>3.13</v>
      </c>
      <c r="K682" s="18">
        <v>154.32</v>
      </c>
      <c r="L682" s="18">
        <v>0</v>
      </c>
      <c r="M682" s="18">
        <v>0</v>
      </c>
      <c r="N682" s="18">
        <v>0</v>
      </c>
      <c r="O682" s="18">
        <v>0</v>
      </c>
      <c r="P682" s="18">
        <v>0</v>
      </c>
      <c r="Q682" s="18">
        <v>0</v>
      </c>
      <c r="R682" s="18">
        <v>0</v>
      </c>
      <c r="S682" s="18">
        <v>0</v>
      </c>
      <c r="T682" s="18">
        <v>0</v>
      </c>
      <c r="U682" s="18">
        <v>0</v>
      </c>
      <c r="V682" s="18">
        <v>0</v>
      </c>
      <c r="W682" s="18">
        <v>0</v>
      </c>
      <c r="X682" s="18">
        <v>0</v>
      </c>
      <c r="Y682" s="18">
        <v>0</v>
      </c>
      <c r="Z682" s="18">
        <v>0</v>
      </c>
      <c r="AA682" s="18"/>
      <c r="AB682" s="18">
        <v>2</v>
      </c>
      <c r="AC682" s="18">
        <v>1</v>
      </c>
      <c r="AD682" s="18">
        <v>1</v>
      </c>
      <c r="AE682" s="18">
        <v>0.0625</v>
      </c>
      <c r="AF682" s="18">
        <v>2</v>
      </c>
      <c r="AG682" s="18">
        <v>0</v>
      </c>
      <c r="AH682" s="18"/>
      <c r="AI682" s="18">
        <v>4</v>
      </c>
      <c r="AJ682" s="18">
        <v>25</v>
      </c>
      <c r="AK682" s="18">
        <v>4</v>
      </c>
      <c r="AL682" s="18">
        <v>25</v>
      </c>
      <c r="AM682" s="18">
        <v>2</v>
      </c>
      <c r="AN682" s="18">
        <v>50</v>
      </c>
      <c r="AO682" s="18">
        <v>0.0625</v>
      </c>
      <c r="AP682" s="18">
        <v>50</v>
      </c>
      <c r="AQ682" s="18">
        <v>0</v>
      </c>
      <c r="AR682" s="18">
        <v>0</v>
      </c>
      <c r="AS682" s="18">
        <v>1</v>
      </c>
      <c r="AT682" s="18">
        <v>1</v>
      </c>
      <c r="AU682" s="18">
        <v>0</v>
      </c>
      <c r="AV682" s="18">
        <v>0</v>
      </c>
      <c r="AW682" s="18">
        <v>0</v>
      </c>
      <c r="AX682" s="18">
        <v>0</v>
      </c>
      <c r="AY682" s="18">
        <v>178</v>
      </c>
      <c r="AZ682" s="18">
        <v>65</v>
      </c>
      <c r="BA682" s="18">
        <v>36</v>
      </c>
      <c r="BB682" s="18">
        <v>0.55385</v>
      </c>
      <c r="BC682" s="18">
        <v>0</v>
      </c>
      <c r="BD682" s="18">
        <v>0</v>
      </c>
      <c r="BE682" s="18">
        <v>0.27469</v>
      </c>
      <c r="BF682" s="18">
        <v>60</v>
      </c>
      <c r="BG682" s="18">
        <v>3</v>
      </c>
      <c r="BH682" s="18">
        <v>0</v>
      </c>
      <c r="BI682" s="18"/>
      <c r="BJ682" s="18">
        <v>0</v>
      </c>
      <c r="BK682" s="18">
        <v>0</v>
      </c>
      <c r="BL682" s="18">
        <v>0</v>
      </c>
      <c r="BM682" s="18">
        <v>0</v>
      </c>
      <c r="BN682" s="18"/>
      <c r="BO682" s="18"/>
      <c r="BP682" s="18">
        <v>0</v>
      </c>
      <c r="BQ682" s="18">
        <v>181</v>
      </c>
      <c r="BR682" s="18">
        <v>0</v>
      </c>
      <c r="BS682" s="18">
        <v>0</v>
      </c>
      <c r="BT682" s="18">
        <v>0</v>
      </c>
      <c r="BU682" s="18">
        <v>0</v>
      </c>
    </row>
    <row r="683" spans="1:73">
      <c r="A683" s="19">
        <v>46131</v>
      </c>
      <c r="B683" s="18">
        <v>183</v>
      </c>
      <c r="C683" s="18" t="s">
        <v>40</v>
      </c>
      <c r="D683" s="18">
        <v>183</v>
      </c>
      <c r="E683" s="18" t="s">
        <v>40</v>
      </c>
      <c r="F683" s="18">
        <v>1167</v>
      </c>
      <c r="G683" s="18">
        <v>58</v>
      </c>
      <c r="H683" s="18">
        <v>146</v>
      </c>
      <c r="I683" s="18">
        <v>0.0497</v>
      </c>
      <c r="J683" s="18">
        <v>2.52</v>
      </c>
      <c r="K683" s="18">
        <v>125.11</v>
      </c>
      <c r="L683" s="18">
        <v>0</v>
      </c>
      <c r="M683" s="18">
        <v>0</v>
      </c>
      <c r="N683" s="18">
        <v>0</v>
      </c>
      <c r="O683" s="18">
        <v>0</v>
      </c>
      <c r="P683" s="18">
        <v>0</v>
      </c>
      <c r="Q683" s="18">
        <v>0</v>
      </c>
      <c r="R683" s="18">
        <v>0</v>
      </c>
      <c r="S683" s="18">
        <v>0</v>
      </c>
      <c r="T683" s="18">
        <v>0</v>
      </c>
      <c r="U683" s="18">
        <v>0</v>
      </c>
      <c r="V683" s="18">
        <v>0</v>
      </c>
      <c r="W683" s="18">
        <v>0</v>
      </c>
      <c r="X683" s="18">
        <v>0</v>
      </c>
      <c r="Y683" s="18">
        <v>0</v>
      </c>
      <c r="Z683" s="18">
        <v>0</v>
      </c>
      <c r="AA683" s="18"/>
      <c r="AB683" s="18">
        <v>2</v>
      </c>
      <c r="AC683" s="18">
        <v>1</v>
      </c>
      <c r="AD683" s="18">
        <v>1</v>
      </c>
      <c r="AE683" s="18">
        <v>0.03448</v>
      </c>
      <c r="AF683" s="18">
        <v>0</v>
      </c>
      <c r="AG683" s="18">
        <v>1</v>
      </c>
      <c r="AH683" s="18">
        <v>146</v>
      </c>
      <c r="AI683" s="18">
        <v>3</v>
      </c>
      <c r="AJ683" s="18">
        <v>48.67</v>
      </c>
      <c r="AK683" s="18">
        <v>2</v>
      </c>
      <c r="AL683" s="18">
        <v>73</v>
      </c>
      <c r="AM683" s="18">
        <v>1</v>
      </c>
      <c r="AN683" s="18"/>
      <c r="AO683" s="18">
        <v>0</v>
      </c>
      <c r="AP683" s="18">
        <v>73</v>
      </c>
      <c r="AQ683" s="18">
        <v>0</v>
      </c>
      <c r="AR683" s="18">
        <v>0</v>
      </c>
      <c r="AS683" s="18">
        <v>0</v>
      </c>
      <c r="AT683" s="18">
        <v>0</v>
      </c>
      <c r="AU683" s="18">
        <v>0</v>
      </c>
      <c r="AV683" s="18">
        <v>0</v>
      </c>
      <c r="AW683" s="18">
        <v>0</v>
      </c>
      <c r="AX683" s="18">
        <v>0</v>
      </c>
      <c r="AY683" s="18">
        <v>225</v>
      </c>
      <c r="AZ683" s="18">
        <v>101</v>
      </c>
      <c r="BA683" s="18">
        <v>77</v>
      </c>
      <c r="BB683" s="18">
        <v>0.76238</v>
      </c>
      <c r="BC683" s="18">
        <v>0</v>
      </c>
      <c r="BD683" s="18">
        <v>0</v>
      </c>
      <c r="BE683" s="18">
        <v>0.1928</v>
      </c>
      <c r="BF683" s="18">
        <v>47</v>
      </c>
      <c r="BG683" s="18">
        <v>2</v>
      </c>
      <c r="BH683" s="18">
        <v>0</v>
      </c>
      <c r="BI683" s="18"/>
      <c r="BJ683" s="18">
        <v>0</v>
      </c>
      <c r="BK683" s="18">
        <v>0</v>
      </c>
      <c r="BL683" s="18">
        <v>0</v>
      </c>
      <c r="BM683" s="18">
        <v>0</v>
      </c>
      <c r="BN683" s="18"/>
      <c r="BO683" s="18"/>
      <c r="BP683" s="18">
        <v>0</v>
      </c>
      <c r="BQ683" s="18">
        <v>129</v>
      </c>
      <c r="BR683" s="18">
        <v>0</v>
      </c>
      <c r="BS683" s="18">
        <v>0</v>
      </c>
      <c r="BT683" s="18">
        <v>0</v>
      </c>
      <c r="BU683" s="18">
        <v>0</v>
      </c>
    </row>
    <row r="684" spans="1:73">
      <c r="A684" s="19">
        <v>46131</v>
      </c>
      <c r="B684" s="18">
        <v>436</v>
      </c>
      <c r="C684" s="18" t="s">
        <v>38</v>
      </c>
      <c r="D684" s="18">
        <v>436</v>
      </c>
      <c r="E684" s="18" t="s">
        <v>38</v>
      </c>
      <c r="F684" s="18">
        <v>862</v>
      </c>
      <c r="G684" s="18">
        <v>50</v>
      </c>
      <c r="H684" s="18">
        <v>64.1</v>
      </c>
      <c r="I684" s="18">
        <v>0.058</v>
      </c>
      <c r="J684" s="18">
        <v>1.28</v>
      </c>
      <c r="K684" s="18">
        <v>74.36</v>
      </c>
      <c r="L684" s="18">
        <v>0</v>
      </c>
      <c r="M684" s="18">
        <v>0</v>
      </c>
      <c r="N684" s="18">
        <v>0</v>
      </c>
      <c r="O684" s="18">
        <v>0</v>
      </c>
      <c r="P684" s="18">
        <v>0</v>
      </c>
      <c r="Q684" s="18">
        <v>0</v>
      </c>
      <c r="R684" s="18">
        <v>0</v>
      </c>
      <c r="S684" s="18">
        <v>0</v>
      </c>
      <c r="T684" s="18">
        <v>0</v>
      </c>
      <c r="U684" s="18">
        <v>0</v>
      </c>
      <c r="V684" s="18">
        <v>0</v>
      </c>
      <c r="W684" s="18">
        <v>0</v>
      </c>
      <c r="X684" s="18">
        <v>0</v>
      </c>
      <c r="Y684" s="18">
        <v>0</v>
      </c>
      <c r="Z684" s="18">
        <v>0</v>
      </c>
      <c r="AA684" s="18"/>
      <c r="AB684" s="18">
        <v>5</v>
      </c>
      <c r="AC684" s="18">
        <v>0</v>
      </c>
      <c r="AD684" s="18">
        <v>5</v>
      </c>
      <c r="AE684" s="18">
        <v>0.1</v>
      </c>
      <c r="AF684" s="18">
        <v>1</v>
      </c>
      <c r="AG684" s="18">
        <v>1</v>
      </c>
      <c r="AH684" s="18">
        <v>64.1</v>
      </c>
      <c r="AI684" s="18">
        <v>7</v>
      </c>
      <c r="AJ684" s="18">
        <v>9.16</v>
      </c>
      <c r="AK684" s="18">
        <v>6</v>
      </c>
      <c r="AL684" s="18">
        <v>10.68</v>
      </c>
      <c r="AM684" s="18">
        <v>2</v>
      </c>
      <c r="AN684" s="18">
        <v>64.1</v>
      </c>
      <c r="AO684" s="18">
        <v>0.02</v>
      </c>
      <c r="AP684" s="18">
        <v>12.82</v>
      </c>
      <c r="AQ684" s="18">
        <v>0</v>
      </c>
      <c r="AR684" s="18">
        <v>0</v>
      </c>
      <c r="AS684" s="18">
        <v>0</v>
      </c>
      <c r="AT684" s="18">
        <v>1</v>
      </c>
      <c r="AU684" s="18">
        <v>0</v>
      </c>
      <c r="AV684" s="18">
        <v>0</v>
      </c>
      <c r="AW684" s="18">
        <v>0</v>
      </c>
      <c r="AX684" s="18">
        <v>0</v>
      </c>
      <c r="AY684" s="18">
        <v>122</v>
      </c>
      <c r="AZ684" s="18">
        <v>41</v>
      </c>
      <c r="BA684" s="18">
        <v>28</v>
      </c>
      <c r="BB684" s="18">
        <v>0.68293</v>
      </c>
      <c r="BC684" s="18">
        <v>0</v>
      </c>
      <c r="BD684" s="18">
        <v>0</v>
      </c>
      <c r="BE684" s="18">
        <v>0.14153</v>
      </c>
      <c r="BF684" s="18">
        <v>69</v>
      </c>
      <c r="BG684" s="18">
        <v>3</v>
      </c>
      <c r="BH684" s="18">
        <v>0</v>
      </c>
      <c r="BI684" s="18"/>
      <c r="BJ684" s="18">
        <v>0</v>
      </c>
      <c r="BK684" s="18">
        <v>0</v>
      </c>
      <c r="BL684" s="18">
        <v>0</v>
      </c>
      <c r="BM684" s="18">
        <v>0</v>
      </c>
      <c r="BN684" s="18"/>
      <c r="BO684" s="18"/>
      <c r="BP684" s="18">
        <v>3.06</v>
      </c>
      <c r="BQ684" s="18">
        <v>239</v>
      </c>
      <c r="BR684" s="18">
        <v>0</v>
      </c>
      <c r="BS684" s="18">
        <v>0</v>
      </c>
      <c r="BT684" s="18">
        <v>0</v>
      </c>
      <c r="BU684" s="18">
        <v>0</v>
      </c>
    </row>
    <row r="685" spans="1:73">
      <c r="A685" s="19">
        <v>46131</v>
      </c>
      <c r="B685" s="18">
        <v>479</v>
      </c>
      <c r="C685" s="18" t="s">
        <v>39</v>
      </c>
      <c r="D685" s="18">
        <v>479</v>
      </c>
      <c r="E685" s="18" t="s">
        <v>39</v>
      </c>
      <c r="F685" s="18">
        <v>37</v>
      </c>
      <c r="G685" s="18">
        <v>17</v>
      </c>
      <c r="H685" s="18">
        <v>11.85</v>
      </c>
      <c r="I685" s="18">
        <v>0.45946</v>
      </c>
      <c r="J685" s="18">
        <v>0.7</v>
      </c>
      <c r="K685" s="18">
        <v>320.18</v>
      </c>
      <c r="L685" s="18">
        <v>0</v>
      </c>
      <c r="M685" s="18">
        <v>0</v>
      </c>
      <c r="N685" s="18">
        <v>0</v>
      </c>
      <c r="O685" s="18">
        <v>0</v>
      </c>
      <c r="P685" s="18">
        <v>0</v>
      </c>
      <c r="Q685" s="18">
        <v>0</v>
      </c>
      <c r="R685" s="18">
        <v>0</v>
      </c>
      <c r="S685" s="18">
        <v>0</v>
      </c>
      <c r="T685" s="18">
        <v>0</v>
      </c>
      <c r="U685" s="18">
        <v>0</v>
      </c>
      <c r="V685" s="18">
        <v>0</v>
      </c>
      <c r="W685" s="18">
        <v>0</v>
      </c>
      <c r="X685" s="18">
        <v>0</v>
      </c>
      <c r="Y685" s="18">
        <v>0</v>
      </c>
      <c r="Z685" s="18">
        <v>0</v>
      </c>
      <c r="AA685" s="18"/>
      <c r="AB685" s="18">
        <v>7</v>
      </c>
      <c r="AC685" s="18">
        <v>0</v>
      </c>
      <c r="AD685" s="18">
        <v>7</v>
      </c>
      <c r="AE685" s="18">
        <v>0.41176</v>
      </c>
      <c r="AF685" s="18">
        <v>2</v>
      </c>
      <c r="AG685" s="18">
        <v>2</v>
      </c>
      <c r="AH685" s="18">
        <v>5.92</v>
      </c>
      <c r="AI685" s="18">
        <v>11</v>
      </c>
      <c r="AJ685" s="18">
        <v>1.08</v>
      </c>
      <c r="AK685" s="18">
        <v>9</v>
      </c>
      <c r="AL685" s="18">
        <v>1.32</v>
      </c>
      <c r="AM685" s="18">
        <v>4</v>
      </c>
      <c r="AN685" s="18">
        <v>5.92</v>
      </c>
      <c r="AO685" s="18">
        <v>0.11765</v>
      </c>
      <c r="AP685" s="18">
        <v>1.69</v>
      </c>
      <c r="AQ685" s="18">
        <v>0</v>
      </c>
      <c r="AR685" s="18">
        <v>0</v>
      </c>
      <c r="AS685" s="18">
        <v>0</v>
      </c>
      <c r="AT685" s="18">
        <v>2</v>
      </c>
      <c r="AU685" s="18">
        <v>0</v>
      </c>
      <c r="AV685" s="18">
        <v>0</v>
      </c>
      <c r="AW685" s="18">
        <v>0</v>
      </c>
      <c r="AX685" s="18">
        <v>0</v>
      </c>
      <c r="AY685" s="18">
        <v>161</v>
      </c>
      <c r="AZ685" s="18">
        <v>17</v>
      </c>
      <c r="BA685" s="18">
        <v>11</v>
      </c>
      <c r="BB685" s="18">
        <v>0.64706</v>
      </c>
      <c r="BC685" s="18">
        <v>0</v>
      </c>
      <c r="BD685" s="18">
        <v>0</v>
      </c>
      <c r="BE685" s="18">
        <v>4.35135</v>
      </c>
      <c r="BF685" s="18">
        <v>143</v>
      </c>
      <c r="BG685" s="18">
        <v>9</v>
      </c>
      <c r="BH685" s="18">
        <v>0</v>
      </c>
      <c r="BI685" s="18"/>
      <c r="BJ685" s="18">
        <v>0</v>
      </c>
      <c r="BK685" s="18">
        <v>0</v>
      </c>
      <c r="BL685" s="18">
        <v>0</v>
      </c>
      <c r="BM685" s="18">
        <v>0</v>
      </c>
      <c r="BN685" s="18"/>
      <c r="BO685" s="18"/>
      <c r="BP685" s="18">
        <v>0.28</v>
      </c>
      <c r="BQ685" s="18">
        <v>357</v>
      </c>
      <c r="BR685" s="18">
        <v>0</v>
      </c>
      <c r="BS685" s="18">
        <v>0</v>
      </c>
      <c r="BT685" s="18">
        <v>0</v>
      </c>
      <c r="BU685" s="18">
        <v>0</v>
      </c>
    </row>
    <row r="686" spans="1:73">
      <c r="A686" s="19">
        <v>46131</v>
      </c>
      <c r="B686" s="18">
        <v>371</v>
      </c>
      <c r="C686" s="18" t="s">
        <v>32</v>
      </c>
      <c r="D686" s="18">
        <v>371</v>
      </c>
      <c r="E686" s="18" t="s">
        <v>32</v>
      </c>
      <c r="F686" s="18">
        <v>6999</v>
      </c>
      <c r="G686" s="18">
        <v>215</v>
      </c>
      <c r="H686" s="18">
        <v>98.49</v>
      </c>
      <c r="I686" s="18">
        <v>0.03072</v>
      </c>
      <c r="J686" s="18">
        <v>0.46</v>
      </c>
      <c r="K686" s="18">
        <v>14.07</v>
      </c>
      <c r="L686" s="18">
        <v>0</v>
      </c>
      <c r="M686" s="18">
        <v>0</v>
      </c>
      <c r="N686" s="18">
        <v>0</v>
      </c>
      <c r="O686" s="18">
        <v>0</v>
      </c>
      <c r="P686" s="18">
        <v>0</v>
      </c>
      <c r="Q686" s="18">
        <v>0</v>
      </c>
      <c r="R686" s="18">
        <v>138.6</v>
      </c>
      <c r="S686" s="18">
        <v>0</v>
      </c>
      <c r="T686" s="18">
        <v>138.6</v>
      </c>
      <c r="U686" s="18">
        <v>1</v>
      </c>
      <c r="V686" s="18">
        <v>1</v>
      </c>
      <c r="W686" s="18">
        <v>0</v>
      </c>
      <c r="X686" s="18">
        <v>0.00465</v>
      </c>
      <c r="Y686" s="18">
        <v>1.41</v>
      </c>
      <c r="Z686" s="18">
        <v>1.41</v>
      </c>
      <c r="AA686" s="18">
        <v>98.49</v>
      </c>
      <c r="AB686" s="18">
        <v>4</v>
      </c>
      <c r="AC686" s="18">
        <v>3</v>
      </c>
      <c r="AD686" s="18">
        <v>1</v>
      </c>
      <c r="AE686" s="18">
        <v>0.0186</v>
      </c>
      <c r="AF686" s="18">
        <v>1</v>
      </c>
      <c r="AG686" s="18">
        <v>1</v>
      </c>
      <c r="AH686" s="18">
        <v>98.49</v>
      </c>
      <c r="AI686" s="18">
        <v>6</v>
      </c>
      <c r="AJ686" s="18">
        <v>16.42</v>
      </c>
      <c r="AK686" s="18">
        <v>5</v>
      </c>
      <c r="AL686" s="18">
        <v>19.7</v>
      </c>
      <c r="AM686" s="18">
        <v>2</v>
      </c>
      <c r="AN686" s="18">
        <v>98.49</v>
      </c>
      <c r="AO686" s="18">
        <v>0.00465</v>
      </c>
      <c r="AP686" s="18">
        <v>24.62</v>
      </c>
      <c r="AQ686" s="18">
        <v>2</v>
      </c>
      <c r="AR686" s="18">
        <v>217.9</v>
      </c>
      <c r="AS686" s="18">
        <v>1</v>
      </c>
      <c r="AT686" s="18">
        <v>0</v>
      </c>
      <c r="AU686" s="18">
        <v>0</v>
      </c>
      <c r="AV686" s="18">
        <v>0</v>
      </c>
      <c r="AW686" s="18">
        <v>0</v>
      </c>
      <c r="AX686" s="18">
        <v>0</v>
      </c>
      <c r="AY686" s="18">
        <v>372</v>
      </c>
      <c r="AZ686" s="18">
        <v>200</v>
      </c>
      <c r="BA686" s="18">
        <v>190</v>
      </c>
      <c r="BB686" s="18">
        <v>0.95</v>
      </c>
      <c r="BC686" s="18">
        <v>0</v>
      </c>
      <c r="BD686" s="18">
        <v>0</v>
      </c>
      <c r="BE686" s="18">
        <v>0.05315</v>
      </c>
      <c r="BF686" s="18">
        <v>138</v>
      </c>
      <c r="BG686" s="18">
        <v>2</v>
      </c>
      <c r="BH686" s="18">
        <v>1</v>
      </c>
      <c r="BI686" s="18">
        <v>1</v>
      </c>
      <c r="BJ686" s="18">
        <v>0</v>
      </c>
      <c r="BK686" s="18">
        <v>0</v>
      </c>
      <c r="BL686" s="18">
        <v>0</v>
      </c>
      <c r="BM686" s="18">
        <v>1</v>
      </c>
      <c r="BN686" s="18">
        <v>1</v>
      </c>
      <c r="BO686" s="18">
        <v>138.6</v>
      </c>
      <c r="BP686" s="18">
        <v>21.56</v>
      </c>
      <c r="BQ686" s="18">
        <v>865</v>
      </c>
      <c r="BR686" s="18">
        <v>0</v>
      </c>
      <c r="BS686" s="18">
        <v>0</v>
      </c>
      <c r="BT686" s="18">
        <v>0</v>
      </c>
      <c r="BU686" s="18">
        <v>0</v>
      </c>
    </row>
    <row r="687" spans="1:73">
      <c r="A687" s="19">
        <v>46130</v>
      </c>
      <c r="B687" s="18">
        <v>479</v>
      </c>
      <c r="C687" s="18" t="s">
        <v>39</v>
      </c>
      <c r="D687" s="18">
        <v>479</v>
      </c>
      <c r="E687" s="18" t="s">
        <v>39</v>
      </c>
      <c r="F687" s="18">
        <v>43</v>
      </c>
      <c r="G687" s="18">
        <v>24</v>
      </c>
      <c r="H687" s="18">
        <v>13.33</v>
      </c>
      <c r="I687" s="18">
        <v>0.55814</v>
      </c>
      <c r="J687" s="18">
        <v>0.56</v>
      </c>
      <c r="K687" s="18">
        <v>309.94</v>
      </c>
      <c r="L687" s="18">
        <v>0</v>
      </c>
      <c r="M687" s="18">
        <v>0</v>
      </c>
      <c r="N687" s="18">
        <v>0</v>
      </c>
      <c r="O687" s="18">
        <v>0</v>
      </c>
      <c r="P687" s="18">
        <v>0</v>
      </c>
      <c r="Q687" s="18">
        <v>0</v>
      </c>
      <c r="R687" s="18">
        <v>0</v>
      </c>
      <c r="S687" s="18">
        <v>0</v>
      </c>
      <c r="T687" s="18">
        <v>0</v>
      </c>
      <c r="U687" s="18">
        <v>0</v>
      </c>
      <c r="V687" s="18">
        <v>0</v>
      </c>
      <c r="W687" s="18">
        <v>0</v>
      </c>
      <c r="X687" s="18">
        <v>0</v>
      </c>
      <c r="Y687" s="18">
        <v>0</v>
      </c>
      <c r="Z687" s="18">
        <v>0</v>
      </c>
      <c r="AA687" s="18"/>
      <c r="AB687" s="18">
        <v>3</v>
      </c>
      <c r="AC687" s="18">
        <v>0</v>
      </c>
      <c r="AD687" s="18">
        <v>3</v>
      </c>
      <c r="AE687" s="18">
        <v>0.125</v>
      </c>
      <c r="AF687" s="18">
        <v>0</v>
      </c>
      <c r="AG687" s="18">
        <v>2</v>
      </c>
      <c r="AH687" s="18">
        <v>6.66</v>
      </c>
      <c r="AI687" s="18">
        <v>5</v>
      </c>
      <c r="AJ687" s="18">
        <v>2.67</v>
      </c>
      <c r="AK687" s="18">
        <v>3</v>
      </c>
      <c r="AL687" s="18">
        <v>4.44</v>
      </c>
      <c r="AM687" s="18">
        <v>2</v>
      </c>
      <c r="AN687" s="18"/>
      <c r="AO687" s="18">
        <v>0</v>
      </c>
      <c r="AP687" s="18">
        <v>4.44</v>
      </c>
      <c r="AQ687" s="18">
        <v>0</v>
      </c>
      <c r="AR687" s="18">
        <v>0</v>
      </c>
      <c r="AS687" s="18">
        <v>0</v>
      </c>
      <c r="AT687" s="18">
        <v>0</v>
      </c>
      <c r="AU687" s="18">
        <v>0</v>
      </c>
      <c r="AV687" s="18">
        <v>0</v>
      </c>
      <c r="AW687" s="18">
        <v>0</v>
      </c>
      <c r="AX687" s="18">
        <v>1</v>
      </c>
      <c r="AY687" s="18">
        <v>201</v>
      </c>
      <c r="AZ687" s="18">
        <v>22</v>
      </c>
      <c r="BA687" s="18">
        <v>16</v>
      </c>
      <c r="BB687" s="18">
        <v>0.72727</v>
      </c>
      <c r="BC687" s="18">
        <v>0</v>
      </c>
      <c r="BD687" s="18">
        <v>0</v>
      </c>
      <c r="BE687" s="18">
        <v>4.67442</v>
      </c>
      <c r="BF687" s="18">
        <v>177</v>
      </c>
      <c r="BG687" s="18">
        <v>9</v>
      </c>
      <c r="BH687" s="18">
        <v>0</v>
      </c>
      <c r="BI687" s="18"/>
      <c r="BJ687" s="18">
        <v>0</v>
      </c>
      <c r="BK687" s="18">
        <v>0</v>
      </c>
      <c r="BL687" s="18">
        <v>0</v>
      </c>
      <c r="BM687" s="18">
        <v>0</v>
      </c>
      <c r="BN687" s="18"/>
      <c r="BO687" s="18"/>
      <c r="BP687" s="18">
        <v>3.02</v>
      </c>
      <c r="BQ687" s="18">
        <v>97</v>
      </c>
      <c r="BR687" s="18">
        <v>0</v>
      </c>
      <c r="BS687" s="18">
        <v>0</v>
      </c>
      <c r="BT687" s="18">
        <v>0</v>
      </c>
      <c r="BU687" s="18">
        <v>0</v>
      </c>
    </row>
    <row r="688" spans="1:73">
      <c r="A688" s="19">
        <v>46130</v>
      </c>
      <c r="B688" s="18">
        <v>436</v>
      </c>
      <c r="C688" s="18" t="s">
        <v>38</v>
      </c>
      <c r="D688" s="18">
        <v>436</v>
      </c>
      <c r="E688" s="18" t="s">
        <v>38</v>
      </c>
      <c r="F688" s="18">
        <v>1073</v>
      </c>
      <c r="G688" s="18">
        <v>39</v>
      </c>
      <c r="H688" s="18">
        <v>68.38</v>
      </c>
      <c r="I688" s="18">
        <v>0.03635</v>
      </c>
      <c r="J688" s="18">
        <v>1.75</v>
      </c>
      <c r="K688" s="18">
        <v>63.73</v>
      </c>
      <c r="L688" s="18">
        <v>0</v>
      </c>
      <c r="M688" s="18">
        <v>0</v>
      </c>
      <c r="N688" s="18">
        <v>0</v>
      </c>
      <c r="O688" s="18">
        <v>0</v>
      </c>
      <c r="P688" s="18">
        <v>0</v>
      </c>
      <c r="Q688" s="18">
        <v>0</v>
      </c>
      <c r="R688" s="18">
        <v>0</v>
      </c>
      <c r="S688" s="18">
        <v>190.9</v>
      </c>
      <c r="T688" s="18">
        <v>190.9</v>
      </c>
      <c r="U688" s="18">
        <v>2</v>
      </c>
      <c r="V688" s="18">
        <v>0</v>
      </c>
      <c r="W688" s="18">
        <v>2</v>
      </c>
      <c r="X688" s="18">
        <v>0.05128</v>
      </c>
      <c r="Y688" s="18">
        <v>2.79</v>
      </c>
      <c r="Z688" s="18">
        <v>2.79</v>
      </c>
      <c r="AA688" s="18">
        <v>34.19</v>
      </c>
      <c r="AB688" s="18">
        <v>6</v>
      </c>
      <c r="AC688" s="18">
        <v>1</v>
      </c>
      <c r="AD688" s="18">
        <v>5</v>
      </c>
      <c r="AE688" s="18">
        <v>0.15385</v>
      </c>
      <c r="AF688" s="18">
        <v>1</v>
      </c>
      <c r="AG688" s="18">
        <v>0</v>
      </c>
      <c r="AH688" s="18"/>
      <c r="AI688" s="18">
        <v>7</v>
      </c>
      <c r="AJ688" s="18">
        <v>9.77</v>
      </c>
      <c r="AK688" s="18">
        <v>7</v>
      </c>
      <c r="AL688" s="18">
        <v>9.77</v>
      </c>
      <c r="AM688" s="18">
        <v>1</v>
      </c>
      <c r="AN688" s="18">
        <v>68.38</v>
      </c>
      <c r="AO688" s="18">
        <v>0.02564</v>
      </c>
      <c r="AP688" s="18">
        <v>11.4</v>
      </c>
      <c r="AQ688" s="18">
        <v>3</v>
      </c>
      <c r="AR688" s="18">
        <v>316.9</v>
      </c>
      <c r="AS688" s="18">
        <v>0</v>
      </c>
      <c r="AT688" s="18">
        <v>1</v>
      </c>
      <c r="AU688" s="18">
        <v>0</v>
      </c>
      <c r="AV688" s="18">
        <v>0</v>
      </c>
      <c r="AW688" s="18">
        <v>0</v>
      </c>
      <c r="AX688" s="18">
        <v>1</v>
      </c>
      <c r="AY688" s="18">
        <v>124</v>
      </c>
      <c r="AZ688" s="18">
        <v>35</v>
      </c>
      <c r="BA688" s="18">
        <v>23</v>
      </c>
      <c r="BB688" s="18">
        <v>0.65714</v>
      </c>
      <c r="BC688" s="18">
        <v>0</v>
      </c>
      <c r="BD688" s="18">
        <v>0</v>
      </c>
      <c r="BE688" s="18">
        <v>0.11556</v>
      </c>
      <c r="BF688" s="18">
        <v>83</v>
      </c>
      <c r="BG688" s="18">
        <v>4</v>
      </c>
      <c r="BH688" s="18">
        <v>1</v>
      </c>
      <c r="BI688" s="18">
        <v>1</v>
      </c>
      <c r="BJ688" s="18">
        <v>0</v>
      </c>
      <c r="BK688" s="18">
        <v>0</v>
      </c>
      <c r="BL688" s="18">
        <v>0</v>
      </c>
      <c r="BM688" s="18">
        <v>1</v>
      </c>
      <c r="BN688" s="18">
        <v>2</v>
      </c>
      <c r="BO688" s="18">
        <v>190.9</v>
      </c>
      <c r="BP688" s="18">
        <v>18.5</v>
      </c>
      <c r="BQ688" s="18">
        <v>603</v>
      </c>
      <c r="BR688" s="18">
        <v>0</v>
      </c>
      <c r="BS688" s="18">
        <v>0</v>
      </c>
      <c r="BT688" s="18">
        <v>0</v>
      </c>
      <c r="BU688" s="18">
        <v>0</v>
      </c>
    </row>
    <row r="689" spans="1:73">
      <c r="A689" s="19">
        <v>46130</v>
      </c>
      <c r="B689" s="18">
        <v>371</v>
      </c>
      <c r="C689" s="18" t="s">
        <v>32</v>
      </c>
      <c r="D689" s="18">
        <v>371</v>
      </c>
      <c r="E689" s="18" t="s">
        <v>32</v>
      </c>
      <c r="F689" s="18">
        <v>4046</v>
      </c>
      <c r="G689" s="18">
        <v>120</v>
      </c>
      <c r="H689" s="18">
        <v>59.06</v>
      </c>
      <c r="I689" s="18">
        <v>0.02966</v>
      </c>
      <c r="J689" s="18">
        <v>0.49</v>
      </c>
      <c r="K689" s="18">
        <v>14.6</v>
      </c>
      <c r="L689" s="18">
        <v>0</v>
      </c>
      <c r="M689" s="18">
        <v>0</v>
      </c>
      <c r="N689" s="18">
        <v>0</v>
      </c>
      <c r="O689" s="18">
        <v>0</v>
      </c>
      <c r="P689" s="18">
        <v>0</v>
      </c>
      <c r="Q689" s="18">
        <v>0</v>
      </c>
      <c r="R689" s="18">
        <v>0</v>
      </c>
      <c r="S689" s="18">
        <v>0</v>
      </c>
      <c r="T689" s="18">
        <v>0</v>
      </c>
      <c r="U689" s="18">
        <v>0</v>
      </c>
      <c r="V689" s="18">
        <v>0</v>
      </c>
      <c r="W689" s="18">
        <v>0</v>
      </c>
      <c r="X689" s="18">
        <v>0</v>
      </c>
      <c r="Y689" s="18">
        <v>0</v>
      </c>
      <c r="Z689" s="18">
        <v>0</v>
      </c>
      <c r="AA689" s="18"/>
      <c r="AB689" s="18">
        <v>2</v>
      </c>
      <c r="AC689" s="18">
        <v>2</v>
      </c>
      <c r="AD689" s="18">
        <v>0</v>
      </c>
      <c r="AE689" s="18">
        <v>0.01667</v>
      </c>
      <c r="AF689" s="18">
        <v>3</v>
      </c>
      <c r="AG689" s="18">
        <v>0</v>
      </c>
      <c r="AH689" s="18"/>
      <c r="AI689" s="18">
        <v>5</v>
      </c>
      <c r="AJ689" s="18">
        <v>11.81</v>
      </c>
      <c r="AK689" s="18">
        <v>5</v>
      </c>
      <c r="AL689" s="18">
        <v>11.81</v>
      </c>
      <c r="AM689" s="18">
        <v>3</v>
      </c>
      <c r="AN689" s="18">
        <v>19.69</v>
      </c>
      <c r="AO689" s="18">
        <v>0.025</v>
      </c>
      <c r="AP689" s="18">
        <v>29.53</v>
      </c>
      <c r="AQ689" s="18">
        <v>0</v>
      </c>
      <c r="AR689" s="18">
        <v>0</v>
      </c>
      <c r="AS689" s="18">
        <v>3</v>
      </c>
      <c r="AT689" s="18">
        <v>0</v>
      </c>
      <c r="AU689" s="18">
        <v>0</v>
      </c>
      <c r="AV689" s="18">
        <v>0</v>
      </c>
      <c r="AW689" s="18">
        <v>0</v>
      </c>
      <c r="AX689" s="18">
        <v>1</v>
      </c>
      <c r="AY689" s="18">
        <v>238</v>
      </c>
      <c r="AZ689" s="18">
        <v>122</v>
      </c>
      <c r="BA689" s="18">
        <v>118</v>
      </c>
      <c r="BB689" s="18">
        <v>0.96721</v>
      </c>
      <c r="BC689" s="18">
        <v>0</v>
      </c>
      <c r="BD689" s="18">
        <v>0</v>
      </c>
      <c r="BE689" s="18">
        <v>0.05882</v>
      </c>
      <c r="BF689" s="18">
        <v>101</v>
      </c>
      <c r="BG689" s="18">
        <v>2</v>
      </c>
      <c r="BH689" s="18">
        <v>0</v>
      </c>
      <c r="BI689" s="18"/>
      <c r="BJ689" s="18">
        <v>0</v>
      </c>
      <c r="BK689" s="18">
        <v>0</v>
      </c>
      <c r="BL689" s="18">
        <v>0</v>
      </c>
      <c r="BM689" s="18">
        <v>0</v>
      </c>
      <c r="BN689" s="18"/>
      <c r="BO689" s="18"/>
      <c r="BP689" s="18">
        <v>57.58</v>
      </c>
      <c r="BQ689" s="18">
        <v>265</v>
      </c>
      <c r="BR689" s="18">
        <v>0</v>
      </c>
      <c r="BS689" s="18">
        <v>0</v>
      </c>
      <c r="BT689" s="18">
        <v>0</v>
      </c>
      <c r="BU689" s="18">
        <v>0</v>
      </c>
    </row>
    <row r="690" spans="1:73">
      <c r="A690" s="19">
        <v>46130</v>
      </c>
      <c r="B690" s="18">
        <v>372</v>
      </c>
      <c r="C690" s="18" t="s">
        <v>37</v>
      </c>
      <c r="D690" s="18">
        <v>372</v>
      </c>
      <c r="E690" s="18" t="s">
        <v>61</v>
      </c>
      <c r="F690" s="18">
        <v>1</v>
      </c>
      <c r="G690" s="18">
        <v>1</v>
      </c>
      <c r="H690" s="18">
        <v>0.07</v>
      </c>
      <c r="I690" s="18">
        <v>1</v>
      </c>
      <c r="J690" s="18">
        <v>0.07</v>
      </c>
      <c r="K690" s="18">
        <v>70</v>
      </c>
      <c r="L690" s="18">
        <v>0</v>
      </c>
      <c r="M690" s="18">
        <v>0</v>
      </c>
      <c r="N690" s="18">
        <v>0</v>
      </c>
      <c r="O690" s="18">
        <v>0</v>
      </c>
      <c r="P690" s="18">
        <v>0</v>
      </c>
      <c r="Q690" s="18">
        <v>0</v>
      </c>
      <c r="R690" s="18">
        <v>0</v>
      </c>
      <c r="S690" s="18">
        <v>0</v>
      </c>
      <c r="T690" s="18">
        <v>0</v>
      </c>
      <c r="U690" s="18">
        <v>0</v>
      </c>
      <c r="V690" s="18">
        <v>0</v>
      </c>
      <c r="W690" s="18">
        <v>0</v>
      </c>
      <c r="X690" s="18">
        <v>0</v>
      </c>
      <c r="Y690" s="18">
        <v>0</v>
      </c>
      <c r="Z690" s="18">
        <v>0</v>
      </c>
      <c r="AA690" s="18"/>
      <c r="AB690" s="18">
        <v>0</v>
      </c>
      <c r="AC690" s="18">
        <v>0</v>
      </c>
      <c r="AD690" s="18">
        <v>0</v>
      </c>
      <c r="AE690" s="18">
        <v>0</v>
      </c>
      <c r="AF690" s="18">
        <v>0</v>
      </c>
      <c r="AG690" s="18">
        <v>0</v>
      </c>
      <c r="AH690" s="18"/>
      <c r="AI690" s="18">
        <v>0</v>
      </c>
      <c r="AJ690" s="18"/>
      <c r="AK690" s="18">
        <v>0</v>
      </c>
      <c r="AL690" s="18"/>
      <c r="AM690" s="18">
        <v>0</v>
      </c>
      <c r="AN690" s="18"/>
      <c r="AO690" s="18">
        <v>0</v>
      </c>
      <c r="AP690" s="18"/>
      <c r="AQ690" s="18">
        <v>0</v>
      </c>
      <c r="AR690" s="18">
        <v>0</v>
      </c>
      <c r="AS690" s="18">
        <v>0</v>
      </c>
      <c r="AT690" s="18">
        <v>0</v>
      </c>
      <c r="AU690" s="18">
        <v>0</v>
      </c>
      <c r="AV690" s="18">
        <v>0</v>
      </c>
      <c r="AW690" s="18">
        <v>0</v>
      </c>
      <c r="AX690" s="18">
        <v>0</v>
      </c>
      <c r="AY690" s="18">
        <v>1</v>
      </c>
      <c r="AZ690" s="18">
        <v>1</v>
      </c>
      <c r="BA690" s="18">
        <v>1</v>
      </c>
      <c r="BB690" s="18">
        <v>1</v>
      </c>
      <c r="BC690" s="18">
        <v>0</v>
      </c>
      <c r="BD690" s="18">
        <v>0</v>
      </c>
      <c r="BE690" s="18">
        <v>1</v>
      </c>
      <c r="BF690" s="18">
        <v>0</v>
      </c>
      <c r="BG690" s="18">
        <v>1</v>
      </c>
      <c r="BH690" s="18">
        <v>0</v>
      </c>
      <c r="BI690" s="18"/>
      <c r="BJ690" s="18">
        <v>0</v>
      </c>
      <c r="BK690" s="18">
        <v>0</v>
      </c>
      <c r="BL690" s="18">
        <v>0</v>
      </c>
      <c r="BM690" s="18">
        <v>0</v>
      </c>
      <c r="BN690" s="18"/>
      <c r="BO690" s="18"/>
      <c r="BP690" s="18">
        <v>0</v>
      </c>
      <c r="BQ690" s="18">
        <v>0</v>
      </c>
      <c r="BR690" s="18">
        <v>0</v>
      </c>
      <c r="BS690" s="18">
        <v>0</v>
      </c>
      <c r="BT690" s="18">
        <v>0</v>
      </c>
      <c r="BU690" s="18">
        <v>0</v>
      </c>
    </row>
    <row r="691" spans="1:73">
      <c r="A691" s="19">
        <v>46130</v>
      </c>
      <c r="B691" s="18">
        <v>183</v>
      </c>
      <c r="C691" s="18" t="s">
        <v>40</v>
      </c>
      <c r="D691" s="18">
        <v>183</v>
      </c>
      <c r="E691" s="18" t="s">
        <v>40</v>
      </c>
      <c r="F691" s="18">
        <v>1539</v>
      </c>
      <c r="G691" s="18">
        <v>54</v>
      </c>
      <c r="H691" s="18">
        <v>146</v>
      </c>
      <c r="I691" s="18">
        <v>0.03509</v>
      </c>
      <c r="J691" s="18">
        <v>2.7</v>
      </c>
      <c r="K691" s="18">
        <v>94.87</v>
      </c>
      <c r="L691" s="18">
        <v>0</v>
      </c>
      <c r="M691" s="18">
        <v>0</v>
      </c>
      <c r="N691" s="18">
        <v>0</v>
      </c>
      <c r="O691" s="18">
        <v>0</v>
      </c>
      <c r="P691" s="18">
        <v>0</v>
      </c>
      <c r="Q691" s="18">
        <v>0</v>
      </c>
      <c r="R691" s="18">
        <v>0</v>
      </c>
      <c r="S691" s="18">
        <v>0</v>
      </c>
      <c r="T691" s="18">
        <v>0</v>
      </c>
      <c r="U691" s="18">
        <v>0</v>
      </c>
      <c r="V691" s="18">
        <v>0</v>
      </c>
      <c r="W691" s="18">
        <v>0</v>
      </c>
      <c r="X691" s="18">
        <v>0</v>
      </c>
      <c r="Y691" s="18">
        <v>0</v>
      </c>
      <c r="Z691" s="18">
        <v>0</v>
      </c>
      <c r="AA691" s="18"/>
      <c r="AB691" s="18">
        <v>3</v>
      </c>
      <c r="AC691" s="18">
        <v>1</v>
      </c>
      <c r="AD691" s="18">
        <v>2</v>
      </c>
      <c r="AE691" s="18">
        <v>0.05556</v>
      </c>
      <c r="AF691" s="18">
        <v>0</v>
      </c>
      <c r="AG691" s="18">
        <v>1</v>
      </c>
      <c r="AH691" s="18">
        <v>146</v>
      </c>
      <c r="AI691" s="18">
        <v>4</v>
      </c>
      <c r="AJ691" s="18">
        <v>36.5</v>
      </c>
      <c r="AK691" s="18">
        <v>3</v>
      </c>
      <c r="AL691" s="18">
        <v>48.67</v>
      </c>
      <c r="AM691" s="18">
        <v>1</v>
      </c>
      <c r="AN691" s="18"/>
      <c r="AO691" s="18">
        <v>0</v>
      </c>
      <c r="AP691" s="18">
        <v>48.67</v>
      </c>
      <c r="AQ691" s="18">
        <v>0</v>
      </c>
      <c r="AR691" s="18">
        <v>0</v>
      </c>
      <c r="AS691" s="18">
        <v>0</v>
      </c>
      <c r="AT691" s="18">
        <v>0</v>
      </c>
      <c r="AU691" s="18">
        <v>0</v>
      </c>
      <c r="AV691" s="18">
        <v>0</v>
      </c>
      <c r="AW691" s="18">
        <v>0</v>
      </c>
      <c r="AX691" s="18">
        <v>0</v>
      </c>
      <c r="AY691" s="18">
        <v>340</v>
      </c>
      <c r="AZ691" s="18">
        <v>137</v>
      </c>
      <c r="BA691" s="18">
        <v>109</v>
      </c>
      <c r="BB691" s="18">
        <v>0.79562</v>
      </c>
      <c r="BC691" s="18">
        <v>0</v>
      </c>
      <c r="BD691" s="18">
        <v>0</v>
      </c>
      <c r="BE691" s="18">
        <v>0.22092</v>
      </c>
      <c r="BF691" s="18">
        <v>134</v>
      </c>
      <c r="BG691" s="18">
        <v>2</v>
      </c>
      <c r="BH691" s="18">
        <v>0</v>
      </c>
      <c r="BI691" s="18"/>
      <c r="BJ691" s="18">
        <v>0</v>
      </c>
      <c r="BK691" s="18">
        <v>0</v>
      </c>
      <c r="BL691" s="18">
        <v>0</v>
      </c>
      <c r="BM691" s="18">
        <v>0</v>
      </c>
      <c r="BN691" s="18"/>
      <c r="BO691" s="18"/>
      <c r="BP691" s="18">
        <v>0.97</v>
      </c>
      <c r="BQ691" s="18">
        <v>115</v>
      </c>
      <c r="BR691" s="18">
        <v>0</v>
      </c>
      <c r="BS691" s="18">
        <v>0</v>
      </c>
      <c r="BT691" s="18">
        <v>0</v>
      </c>
      <c r="BU691" s="18">
        <v>0</v>
      </c>
    </row>
    <row r="692" spans="1:73">
      <c r="A692" s="19">
        <v>46129</v>
      </c>
      <c r="B692" s="18">
        <v>183</v>
      </c>
      <c r="C692" s="18" t="s">
        <v>40</v>
      </c>
      <c r="D692" s="18">
        <v>183</v>
      </c>
      <c r="E692" s="18" t="s">
        <v>40</v>
      </c>
      <c r="F692" s="18">
        <v>2391</v>
      </c>
      <c r="G692" s="18">
        <v>70</v>
      </c>
      <c r="H692" s="18">
        <v>146</v>
      </c>
      <c r="I692" s="18">
        <v>0.02928</v>
      </c>
      <c r="J692" s="18">
        <v>2.09</v>
      </c>
      <c r="K692" s="18">
        <v>61.06</v>
      </c>
      <c r="L692" s="18">
        <v>0</v>
      </c>
      <c r="M692" s="18">
        <v>0</v>
      </c>
      <c r="N692" s="18">
        <v>0</v>
      </c>
      <c r="O692" s="18">
        <v>0</v>
      </c>
      <c r="P692" s="18">
        <v>0</v>
      </c>
      <c r="Q692" s="18">
        <v>0</v>
      </c>
      <c r="R692" s="18">
        <v>211.53</v>
      </c>
      <c r="S692" s="18">
        <v>172.52</v>
      </c>
      <c r="T692" s="18">
        <v>384.05</v>
      </c>
      <c r="U692" s="18">
        <v>3</v>
      </c>
      <c r="V692" s="18">
        <v>1</v>
      </c>
      <c r="W692" s="18">
        <v>2</v>
      </c>
      <c r="X692" s="18">
        <v>0.04286</v>
      </c>
      <c r="Y692" s="18">
        <v>2.63</v>
      </c>
      <c r="Z692" s="18">
        <v>2.63</v>
      </c>
      <c r="AA692" s="18">
        <v>48.67</v>
      </c>
      <c r="AB692" s="18">
        <v>8</v>
      </c>
      <c r="AC692" s="18">
        <v>3</v>
      </c>
      <c r="AD692" s="18">
        <v>5</v>
      </c>
      <c r="AE692" s="18">
        <v>0.11429</v>
      </c>
      <c r="AF692" s="18">
        <v>0</v>
      </c>
      <c r="AG692" s="18">
        <v>0</v>
      </c>
      <c r="AH692" s="18"/>
      <c r="AI692" s="18">
        <v>8</v>
      </c>
      <c r="AJ692" s="18">
        <v>18.25</v>
      </c>
      <c r="AK692" s="18">
        <v>8</v>
      </c>
      <c r="AL692" s="18">
        <v>18.25</v>
      </c>
      <c r="AM692" s="18">
        <v>0</v>
      </c>
      <c r="AN692" s="18"/>
      <c r="AO692" s="18">
        <v>0</v>
      </c>
      <c r="AP692" s="18">
        <v>18.25</v>
      </c>
      <c r="AQ692" s="18">
        <v>6</v>
      </c>
      <c r="AR692" s="18">
        <v>644.8</v>
      </c>
      <c r="AS692" s="18">
        <v>0</v>
      </c>
      <c r="AT692" s="18">
        <v>0</v>
      </c>
      <c r="AU692" s="18">
        <v>0</v>
      </c>
      <c r="AV692" s="18">
        <v>0</v>
      </c>
      <c r="AW692" s="18">
        <v>0</v>
      </c>
      <c r="AX692" s="18">
        <v>1</v>
      </c>
      <c r="AY692" s="18">
        <v>267</v>
      </c>
      <c r="AZ692" s="18">
        <v>102</v>
      </c>
      <c r="BA692" s="18">
        <v>71</v>
      </c>
      <c r="BB692" s="18">
        <v>0.69608</v>
      </c>
      <c r="BC692" s="18">
        <v>0</v>
      </c>
      <c r="BD692" s="18">
        <v>0</v>
      </c>
      <c r="BE692" s="18">
        <v>0.11167</v>
      </c>
      <c r="BF692" s="18">
        <v>107</v>
      </c>
      <c r="BG692" s="18">
        <v>3</v>
      </c>
      <c r="BH692" s="18">
        <v>3</v>
      </c>
      <c r="BI692" s="18">
        <v>1</v>
      </c>
      <c r="BJ692" s="18">
        <v>0</v>
      </c>
      <c r="BK692" s="18">
        <v>0</v>
      </c>
      <c r="BL692" s="18">
        <v>0</v>
      </c>
      <c r="BM692" s="18">
        <v>3</v>
      </c>
      <c r="BN692" s="18">
        <v>1</v>
      </c>
      <c r="BO692" s="18">
        <v>128.02</v>
      </c>
      <c r="BP692" s="18">
        <v>22.69</v>
      </c>
      <c r="BQ692" s="18">
        <v>876</v>
      </c>
      <c r="BR692" s="18">
        <v>0</v>
      </c>
      <c r="BS692" s="18">
        <v>0</v>
      </c>
      <c r="BT692" s="18">
        <v>0</v>
      </c>
      <c r="BU692" s="18">
        <v>0</v>
      </c>
    </row>
    <row r="693" spans="1:73">
      <c r="A693" s="19">
        <v>46129</v>
      </c>
      <c r="B693" s="18">
        <v>436</v>
      </c>
      <c r="C693" s="18" t="s">
        <v>38</v>
      </c>
      <c r="D693" s="18">
        <v>436</v>
      </c>
      <c r="E693" s="18" t="s">
        <v>38</v>
      </c>
      <c r="F693" s="18">
        <v>1320</v>
      </c>
      <c r="G693" s="18">
        <v>33</v>
      </c>
      <c r="H693" s="18">
        <v>61.95</v>
      </c>
      <c r="I693" s="18">
        <v>0.025</v>
      </c>
      <c r="J693" s="18">
        <v>1.88</v>
      </c>
      <c r="K693" s="18">
        <v>46.93</v>
      </c>
      <c r="L693" s="18">
        <v>0</v>
      </c>
      <c r="M693" s="18">
        <v>0</v>
      </c>
      <c r="N693" s="18">
        <v>0</v>
      </c>
      <c r="O693" s="18">
        <v>0</v>
      </c>
      <c r="P693" s="18">
        <v>0</v>
      </c>
      <c r="Q693" s="18">
        <v>0</v>
      </c>
      <c r="R693" s="18">
        <v>0</v>
      </c>
      <c r="S693" s="18">
        <v>0</v>
      </c>
      <c r="T693" s="18">
        <v>0</v>
      </c>
      <c r="U693" s="18">
        <v>0</v>
      </c>
      <c r="V693" s="18">
        <v>0</v>
      </c>
      <c r="W693" s="18">
        <v>0</v>
      </c>
      <c r="X693" s="18">
        <v>0</v>
      </c>
      <c r="Y693" s="18">
        <v>0</v>
      </c>
      <c r="Z693" s="18">
        <v>0</v>
      </c>
      <c r="AA693" s="18"/>
      <c r="AB693" s="18">
        <v>2</v>
      </c>
      <c r="AC693" s="18">
        <v>0</v>
      </c>
      <c r="AD693" s="18">
        <v>2</v>
      </c>
      <c r="AE693" s="18">
        <v>0.06061</v>
      </c>
      <c r="AF693" s="18">
        <v>0</v>
      </c>
      <c r="AG693" s="18">
        <v>0</v>
      </c>
      <c r="AH693" s="18"/>
      <c r="AI693" s="18">
        <v>2</v>
      </c>
      <c r="AJ693" s="18">
        <v>30.98</v>
      </c>
      <c r="AK693" s="18">
        <v>2</v>
      </c>
      <c r="AL693" s="18">
        <v>30.98</v>
      </c>
      <c r="AM693" s="18">
        <v>0</v>
      </c>
      <c r="AN693" s="18"/>
      <c r="AO693" s="18">
        <v>0</v>
      </c>
      <c r="AP693" s="18">
        <v>30.98</v>
      </c>
      <c r="AQ693" s="18">
        <v>0</v>
      </c>
      <c r="AR693" s="18">
        <v>0</v>
      </c>
      <c r="AS693" s="18">
        <v>0</v>
      </c>
      <c r="AT693" s="18">
        <v>0</v>
      </c>
      <c r="AU693" s="18">
        <v>0</v>
      </c>
      <c r="AV693" s="18">
        <v>0</v>
      </c>
      <c r="AW693" s="18">
        <v>0</v>
      </c>
      <c r="AX693" s="18">
        <v>0</v>
      </c>
      <c r="AY693" s="18">
        <v>67</v>
      </c>
      <c r="AZ693" s="18">
        <v>30</v>
      </c>
      <c r="BA693" s="18">
        <v>20</v>
      </c>
      <c r="BB693" s="18">
        <v>0.66667</v>
      </c>
      <c r="BC693" s="18">
        <v>0</v>
      </c>
      <c r="BD693" s="18">
        <v>0</v>
      </c>
      <c r="BE693" s="18">
        <v>0.05076</v>
      </c>
      <c r="BF693" s="18">
        <v>34</v>
      </c>
      <c r="BG693" s="18">
        <v>2</v>
      </c>
      <c r="BH693" s="18">
        <v>0</v>
      </c>
      <c r="BI693" s="18"/>
      <c r="BJ693" s="18">
        <v>0</v>
      </c>
      <c r="BK693" s="18">
        <v>0</v>
      </c>
      <c r="BL693" s="18">
        <v>0</v>
      </c>
      <c r="BM693" s="18">
        <v>0</v>
      </c>
      <c r="BN693" s="18"/>
      <c r="BO693" s="18"/>
      <c r="BP693" s="18">
        <v>0.05</v>
      </c>
      <c r="BQ693" s="18">
        <v>36</v>
      </c>
      <c r="BR693" s="18">
        <v>0</v>
      </c>
      <c r="BS693" s="18">
        <v>0</v>
      </c>
      <c r="BT693" s="18">
        <v>0</v>
      </c>
      <c r="BU693" s="18">
        <v>0</v>
      </c>
    </row>
    <row r="694" spans="1:73">
      <c r="A694" s="19">
        <v>46129</v>
      </c>
      <c r="B694" s="18">
        <v>479</v>
      </c>
      <c r="C694" s="18" t="s">
        <v>39</v>
      </c>
      <c r="D694" s="18">
        <v>479</v>
      </c>
      <c r="E694" s="18" t="s">
        <v>39</v>
      </c>
      <c r="F694" s="18">
        <v>48</v>
      </c>
      <c r="G694" s="18">
        <v>21</v>
      </c>
      <c r="H694" s="18">
        <v>16.34</v>
      </c>
      <c r="I694" s="18">
        <v>0.4375</v>
      </c>
      <c r="J694" s="18">
        <v>0.78</v>
      </c>
      <c r="K694" s="18">
        <v>340.41</v>
      </c>
      <c r="L694" s="18">
        <v>0</v>
      </c>
      <c r="M694" s="18">
        <v>0</v>
      </c>
      <c r="N694" s="18">
        <v>0</v>
      </c>
      <c r="O694" s="18">
        <v>0</v>
      </c>
      <c r="P694" s="18">
        <v>0</v>
      </c>
      <c r="Q694" s="18">
        <v>0</v>
      </c>
      <c r="R694" s="18">
        <v>0</v>
      </c>
      <c r="S694" s="18">
        <v>0</v>
      </c>
      <c r="T694" s="18">
        <v>0</v>
      </c>
      <c r="U694" s="18">
        <v>0</v>
      </c>
      <c r="V694" s="18">
        <v>0</v>
      </c>
      <c r="W694" s="18">
        <v>0</v>
      </c>
      <c r="X694" s="18">
        <v>0</v>
      </c>
      <c r="Y694" s="18">
        <v>0</v>
      </c>
      <c r="Z694" s="18">
        <v>0</v>
      </c>
      <c r="AA694" s="18"/>
      <c r="AB694" s="18">
        <v>5</v>
      </c>
      <c r="AC694" s="18">
        <v>0</v>
      </c>
      <c r="AD694" s="18">
        <v>5</v>
      </c>
      <c r="AE694" s="18">
        <v>0.2381</v>
      </c>
      <c r="AF694" s="18">
        <v>0</v>
      </c>
      <c r="AG694" s="18">
        <v>0</v>
      </c>
      <c r="AH694" s="18"/>
      <c r="AI694" s="18">
        <v>5</v>
      </c>
      <c r="AJ694" s="18">
        <v>3.27</v>
      </c>
      <c r="AK694" s="18">
        <v>5</v>
      </c>
      <c r="AL694" s="18">
        <v>3.27</v>
      </c>
      <c r="AM694" s="18">
        <v>0</v>
      </c>
      <c r="AN694" s="18"/>
      <c r="AO694" s="18">
        <v>0</v>
      </c>
      <c r="AP694" s="18">
        <v>3.27</v>
      </c>
      <c r="AQ694" s="18">
        <v>0</v>
      </c>
      <c r="AR694" s="18">
        <v>0</v>
      </c>
      <c r="AS694" s="18">
        <v>0</v>
      </c>
      <c r="AT694" s="18">
        <v>0</v>
      </c>
      <c r="AU694" s="18">
        <v>0</v>
      </c>
      <c r="AV694" s="18">
        <v>0</v>
      </c>
      <c r="AW694" s="18">
        <v>0</v>
      </c>
      <c r="AX694" s="18">
        <v>0</v>
      </c>
      <c r="AY694" s="18">
        <v>220</v>
      </c>
      <c r="AZ694" s="18">
        <v>14</v>
      </c>
      <c r="BA694" s="18">
        <v>7</v>
      </c>
      <c r="BB694" s="18">
        <v>0.5</v>
      </c>
      <c r="BC694" s="18">
        <v>0</v>
      </c>
      <c r="BD694" s="18">
        <v>0</v>
      </c>
      <c r="BE694" s="18">
        <v>4.58333</v>
      </c>
      <c r="BF694" s="18">
        <v>197</v>
      </c>
      <c r="BG694" s="18">
        <v>16</v>
      </c>
      <c r="BH694" s="18">
        <v>0</v>
      </c>
      <c r="BI694" s="18"/>
      <c r="BJ694" s="18">
        <v>0</v>
      </c>
      <c r="BK694" s="18">
        <v>0</v>
      </c>
      <c r="BL694" s="18">
        <v>0</v>
      </c>
      <c r="BM694" s="18">
        <v>0</v>
      </c>
      <c r="BN694" s="18"/>
      <c r="BO694" s="18"/>
      <c r="BP694" s="18">
        <v>4.5</v>
      </c>
      <c r="BQ694" s="18">
        <v>66</v>
      </c>
      <c r="BR694" s="18">
        <v>0</v>
      </c>
      <c r="BS694" s="18">
        <v>0</v>
      </c>
      <c r="BT694" s="18">
        <v>0</v>
      </c>
      <c r="BU694" s="18">
        <v>0</v>
      </c>
    </row>
    <row r="695" spans="1:73">
      <c r="A695" s="19">
        <v>46129</v>
      </c>
      <c r="B695" s="18">
        <v>371</v>
      </c>
      <c r="C695" s="18" t="s">
        <v>32</v>
      </c>
      <c r="D695" s="18">
        <v>371</v>
      </c>
      <c r="E695" s="18" t="s">
        <v>32</v>
      </c>
      <c r="F695" s="18">
        <v>3813</v>
      </c>
      <c r="G695" s="18">
        <v>108</v>
      </c>
      <c r="H695" s="18">
        <v>58.47</v>
      </c>
      <c r="I695" s="18">
        <v>0.02832</v>
      </c>
      <c r="J695" s="18">
        <v>0.54</v>
      </c>
      <c r="K695" s="18">
        <v>15.33</v>
      </c>
      <c r="L695" s="18">
        <v>0</v>
      </c>
      <c r="M695" s="18">
        <v>0</v>
      </c>
      <c r="N695" s="18">
        <v>0</v>
      </c>
      <c r="O695" s="18">
        <v>0</v>
      </c>
      <c r="P695" s="18">
        <v>0</v>
      </c>
      <c r="Q695" s="18">
        <v>0</v>
      </c>
      <c r="R695" s="18">
        <v>0</v>
      </c>
      <c r="S695" s="18">
        <v>0</v>
      </c>
      <c r="T695" s="18">
        <v>0</v>
      </c>
      <c r="U695" s="18">
        <v>0</v>
      </c>
      <c r="V695" s="18">
        <v>0</v>
      </c>
      <c r="W695" s="18">
        <v>0</v>
      </c>
      <c r="X695" s="18">
        <v>0</v>
      </c>
      <c r="Y695" s="18">
        <v>0</v>
      </c>
      <c r="Z695" s="18">
        <v>0</v>
      </c>
      <c r="AA695" s="18"/>
      <c r="AB695" s="18">
        <v>0</v>
      </c>
      <c r="AC695" s="18">
        <v>0</v>
      </c>
      <c r="AD695" s="18">
        <v>0</v>
      </c>
      <c r="AE695" s="18">
        <v>0</v>
      </c>
      <c r="AF695" s="18">
        <v>1</v>
      </c>
      <c r="AG695" s="18">
        <v>0</v>
      </c>
      <c r="AH695" s="18"/>
      <c r="AI695" s="18">
        <v>1</v>
      </c>
      <c r="AJ695" s="18">
        <v>58.47</v>
      </c>
      <c r="AK695" s="18">
        <v>1</v>
      </c>
      <c r="AL695" s="18">
        <v>58.47</v>
      </c>
      <c r="AM695" s="18">
        <v>1</v>
      </c>
      <c r="AN695" s="18">
        <v>58.47</v>
      </c>
      <c r="AO695" s="18">
        <v>0.00926</v>
      </c>
      <c r="AP695" s="18"/>
      <c r="AQ695" s="18">
        <v>0</v>
      </c>
      <c r="AR695" s="18">
        <v>0</v>
      </c>
      <c r="AS695" s="18">
        <v>1</v>
      </c>
      <c r="AT695" s="18">
        <v>0</v>
      </c>
      <c r="AU695" s="18">
        <v>0</v>
      </c>
      <c r="AV695" s="18">
        <v>0</v>
      </c>
      <c r="AW695" s="18">
        <v>0</v>
      </c>
      <c r="AX695" s="18">
        <v>1</v>
      </c>
      <c r="AY695" s="18">
        <v>213</v>
      </c>
      <c r="AZ695" s="18">
        <v>107</v>
      </c>
      <c r="BA695" s="18">
        <v>97</v>
      </c>
      <c r="BB695" s="18">
        <v>0.90654</v>
      </c>
      <c r="BC695" s="18">
        <v>0</v>
      </c>
      <c r="BD695" s="18">
        <v>0</v>
      </c>
      <c r="BE695" s="18">
        <v>0.05586</v>
      </c>
      <c r="BF695" s="18">
        <v>96</v>
      </c>
      <c r="BG695" s="18">
        <v>2</v>
      </c>
      <c r="BH695" s="18">
        <v>0</v>
      </c>
      <c r="BI695" s="18"/>
      <c r="BJ695" s="18">
        <v>0</v>
      </c>
      <c r="BK695" s="18">
        <v>0</v>
      </c>
      <c r="BL695" s="18">
        <v>0</v>
      </c>
      <c r="BM695" s="18">
        <v>0</v>
      </c>
      <c r="BN695" s="18"/>
      <c r="BO695" s="18"/>
      <c r="BP695" s="18">
        <v>18.5</v>
      </c>
      <c r="BQ695" s="18">
        <v>271</v>
      </c>
      <c r="BR695" s="18">
        <v>0</v>
      </c>
      <c r="BS695" s="18">
        <v>0</v>
      </c>
      <c r="BT695" s="18">
        <v>0</v>
      </c>
      <c r="BU695" s="18">
        <v>0</v>
      </c>
    </row>
    <row r="696" spans="1:73">
      <c r="A696" s="19">
        <v>46129</v>
      </c>
      <c r="B696" s="18">
        <v>372</v>
      </c>
      <c r="C696" s="18" t="s">
        <v>37</v>
      </c>
      <c r="D696" s="18">
        <v>372</v>
      </c>
      <c r="E696" s="18" t="s">
        <v>61</v>
      </c>
      <c r="F696" s="18">
        <v>1153</v>
      </c>
      <c r="G696" s="18">
        <v>40</v>
      </c>
      <c r="H696" s="18">
        <v>23</v>
      </c>
      <c r="I696" s="18">
        <v>0.03469</v>
      </c>
      <c r="J696" s="18">
        <v>0.58</v>
      </c>
      <c r="K696" s="18">
        <v>19.95</v>
      </c>
      <c r="L696" s="18">
        <v>0</v>
      </c>
      <c r="M696" s="18">
        <v>0</v>
      </c>
      <c r="N696" s="18">
        <v>0</v>
      </c>
      <c r="O696" s="18">
        <v>0</v>
      </c>
      <c r="P696" s="18">
        <v>0</v>
      </c>
      <c r="Q696" s="18">
        <v>0</v>
      </c>
      <c r="R696" s="18">
        <v>143.64</v>
      </c>
      <c r="S696" s="18">
        <v>371.57</v>
      </c>
      <c r="T696" s="18">
        <v>515.21</v>
      </c>
      <c r="U696" s="18">
        <v>3</v>
      </c>
      <c r="V696" s="18">
        <v>1</v>
      </c>
      <c r="W696" s="18">
        <v>2</v>
      </c>
      <c r="X696" s="18">
        <v>0.075</v>
      </c>
      <c r="Y696" s="18">
        <v>22.4</v>
      </c>
      <c r="Z696" s="18">
        <v>22.4</v>
      </c>
      <c r="AA696" s="18">
        <v>7.67</v>
      </c>
      <c r="AB696" s="18">
        <v>3</v>
      </c>
      <c r="AC696" s="18">
        <v>1</v>
      </c>
      <c r="AD696" s="18">
        <v>2</v>
      </c>
      <c r="AE696" s="18">
        <v>0.075</v>
      </c>
      <c r="AF696" s="18">
        <v>0</v>
      </c>
      <c r="AG696" s="18">
        <v>0</v>
      </c>
      <c r="AH696" s="18"/>
      <c r="AI696" s="18">
        <v>3</v>
      </c>
      <c r="AJ696" s="18">
        <v>7.67</v>
      </c>
      <c r="AK696" s="18">
        <v>3</v>
      </c>
      <c r="AL696" s="18">
        <v>7.67</v>
      </c>
      <c r="AM696" s="18">
        <v>0</v>
      </c>
      <c r="AN696" s="18"/>
      <c r="AO696" s="18">
        <v>0</v>
      </c>
      <c r="AP696" s="18">
        <v>7.67</v>
      </c>
      <c r="AQ696" s="18">
        <v>5</v>
      </c>
      <c r="AR696" s="18">
        <v>803</v>
      </c>
      <c r="AS696" s="18">
        <v>0</v>
      </c>
      <c r="AT696" s="18">
        <v>0</v>
      </c>
      <c r="AU696" s="18">
        <v>0</v>
      </c>
      <c r="AV696" s="18">
        <v>0</v>
      </c>
      <c r="AW696" s="18">
        <v>0</v>
      </c>
      <c r="AX696" s="18">
        <v>0</v>
      </c>
      <c r="AY696" s="18">
        <v>55</v>
      </c>
      <c r="AZ696" s="18">
        <v>39</v>
      </c>
      <c r="BA696" s="18">
        <v>27</v>
      </c>
      <c r="BB696" s="18">
        <v>0.69231</v>
      </c>
      <c r="BC696" s="18">
        <v>0</v>
      </c>
      <c r="BD696" s="18">
        <v>0</v>
      </c>
      <c r="BE696" s="18">
        <v>0.0477</v>
      </c>
      <c r="BF696" s="18">
        <v>6</v>
      </c>
      <c r="BG696" s="18">
        <v>1</v>
      </c>
      <c r="BH696" s="18">
        <v>1</v>
      </c>
      <c r="BI696" s="18">
        <v>1</v>
      </c>
      <c r="BJ696" s="18">
        <v>0</v>
      </c>
      <c r="BK696" s="18">
        <v>0</v>
      </c>
      <c r="BL696" s="18">
        <v>0</v>
      </c>
      <c r="BM696" s="18">
        <v>1</v>
      </c>
      <c r="BN696" s="18">
        <v>3</v>
      </c>
      <c r="BO696" s="18">
        <v>515.21</v>
      </c>
      <c r="BP696" s="18">
        <v>5.3</v>
      </c>
      <c r="BQ696" s="18">
        <v>860</v>
      </c>
      <c r="BR696" s="18">
        <v>0</v>
      </c>
      <c r="BS696" s="18">
        <v>0</v>
      </c>
      <c r="BT696" s="18">
        <v>0</v>
      </c>
      <c r="BU696" s="18">
        <v>0</v>
      </c>
    </row>
    <row r="697" spans="1:73">
      <c r="A697" s="19">
        <v>46128</v>
      </c>
      <c r="B697" s="18">
        <v>372</v>
      </c>
      <c r="C697" s="18" t="s">
        <v>37</v>
      </c>
      <c r="D697" s="18">
        <v>372</v>
      </c>
      <c r="E697" s="18" t="s">
        <v>61</v>
      </c>
      <c r="F697" s="18">
        <v>5278</v>
      </c>
      <c r="G697" s="18">
        <v>137</v>
      </c>
      <c r="H697" s="18">
        <v>107.77</v>
      </c>
      <c r="I697" s="18">
        <v>0.02596</v>
      </c>
      <c r="J697" s="18">
        <v>0.79</v>
      </c>
      <c r="K697" s="18">
        <v>20.42</v>
      </c>
      <c r="L697" s="18">
        <v>0</v>
      </c>
      <c r="M697" s="18">
        <v>0</v>
      </c>
      <c r="N697" s="18">
        <v>0</v>
      </c>
      <c r="O697" s="18">
        <v>0</v>
      </c>
      <c r="P697" s="18">
        <v>0</v>
      </c>
      <c r="Q697" s="18">
        <v>0</v>
      </c>
      <c r="R697" s="18">
        <v>421.32</v>
      </c>
      <c r="S697" s="18">
        <v>24.05</v>
      </c>
      <c r="T697" s="18">
        <v>445.37</v>
      </c>
      <c r="U697" s="18">
        <v>4</v>
      </c>
      <c r="V697" s="18">
        <v>3</v>
      </c>
      <c r="W697" s="18">
        <v>1</v>
      </c>
      <c r="X697" s="18">
        <v>0.0292</v>
      </c>
      <c r="Y697" s="18">
        <v>4.13</v>
      </c>
      <c r="Z697" s="18">
        <v>4.13</v>
      </c>
      <c r="AA697" s="18">
        <v>26.94</v>
      </c>
      <c r="AB697" s="18">
        <v>7</v>
      </c>
      <c r="AC697" s="18">
        <v>5</v>
      </c>
      <c r="AD697" s="18">
        <v>2</v>
      </c>
      <c r="AE697" s="18">
        <v>0.05109</v>
      </c>
      <c r="AF697" s="18">
        <v>2</v>
      </c>
      <c r="AG697" s="18">
        <v>0</v>
      </c>
      <c r="AH697" s="18"/>
      <c r="AI697" s="18">
        <v>9</v>
      </c>
      <c r="AJ697" s="18">
        <v>11.97</v>
      </c>
      <c r="AK697" s="18">
        <v>9</v>
      </c>
      <c r="AL697" s="18">
        <v>11.97</v>
      </c>
      <c r="AM697" s="18">
        <v>2</v>
      </c>
      <c r="AN697" s="18">
        <v>53.89</v>
      </c>
      <c r="AO697" s="18">
        <v>0.0146</v>
      </c>
      <c r="AP697" s="18">
        <v>15.4</v>
      </c>
      <c r="AQ697" s="18">
        <v>6</v>
      </c>
      <c r="AR697" s="18">
        <v>632.8</v>
      </c>
      <c r="AS697" s="18">
        <v>1</v>
      </c>
      <c r="AT697" s="18">
        <v>1</v>
      </c>
      <c r="AU697" s="18">
        <v>0</v>
      </c>
      <c r="AV697" s="18">
        <v>0</v>
      </c>
      <c r="AW697" s="18">
        <v>0</v>
      </c>
      <c r="AX697" s="18">
        <v>0</v>
      </c>
      <c r="AY697" s="18">
        <v>174</v>
      </c>
      <c r="AZ697" s="18">
        <v>133</v>
      </c>
      <c r="BA697" s="18">
        <v>115</v>
      </c>
      <c r="BB697" s="18">
        <v>0.86466</v>
      </c>
      <c r="BC697" s="18">
        <v>0</v>
      </c>
      <c r="BD697" s="18">
        <v>0</v>
      </c>
      <c r="BE697" s="18">
        <v>0.03297</v>
      </c>
      <c r="BF697" s="18">
        <v>28</v>
      </c>
      <c r="BG697" s="18">
        <v>1</v>
      </c>
      <c r="BH697" s="18">
        <v>4</v>
      </c>
      <c r="BI697" s="18">
        <v>1</v>
      </c>
      <c r="BJ697" s="18">
        <v>0</v>
      </c>
      <c r="BK697" s="18">
        <v>0</v>
      </c>
      <c r="BL697" s="18">
        <v>0</v>
      </c>
      <c r="BM697" s="18">
        <v>4</v>
      </c>
      <c r="BN697" s="18">
        <v>1</v>
      </c>
      <c r="BO697" s="18">
        <v>111.34</v>
      </c>
      <c r="BP697" s="18">
        <v>31.78</v>
      </c>
      <c r="BQ697" s="18">
        <v>1388</v>
      </c>
      <c r="BR697" s="18">
        <v>0</v>
      </c>
      <c r="BS697" s="18">
        <v>0</v>
      </c>
      <c r="BT697" s="18">
        <v>0</v>
      </c>
      <c r="BU697" s="18">
        <v>0</v>
      </c>
    </row>
    <row r="698" spans="1:73">
      <c r="A698" s="19">
        <v>46128</v>
      </c>
      <c r="B698" s="18">
        <v>183</v>
      </c>
      <c r="C698" s="18" t="s">
        <v>40</v>
      </c>
      <c r="D698" s="18">
        <v>183</v>
      </c>
      <c r="E698" s="18" t="s">
        <v>40</v>
      </c>
      <c r="F698" s="18">
        <v>6576</v>
      </c>
      <c r="G698" s="18">
        <v>157</v>
      </c>
      <c r="H698" s="18">
        <v>146</v>
      </c>
      <c r="I698" s="18">
        <v>0.02387</v>
      </c>
      <c r="J698" s="18">
        <v>0.93</v>
      </c>
      <c r="K698" s="18">
        <v>22.2</v>
      </c>
      <c r="L698" s="18">
        <v>0</v>
      </c>
      <c r="M698" s="18">
        <v>0</v>
      </c>
      <c r="N698" s="18">
        <v>0</v>
      </c>
      <c r="O698" s="18">
        <v>0</v>
      </c>
      <c r="P698" s="18">
        <v>0</v>
      </c>
      <c r="Q698" s="18">
        <v>0</v>
      </c>
      <c r="R698" s="18">
        <v>0</v>
      </c>
      <c r="S698" s="18">
        <v>247.81</v>
      </c>
      <c r="T698" s="18">
        <v>247.81</v>
      </c>
      <c r="U698" s="18">
        <v>3</v>
      </c>
      <c r="V698" s="18">
        <v>0</v>
      </c>
      <c r="W698" s="18">
        <v>3</v>
      </c>
      <c r="X698" s="18">
        <v>0.01911</v>
      </c>
      <c r="Y698" s="18">
        <v>1.7</v>
      </c>
      <c r="Z698" s="18">
        <v>1.7</v>
      </c>
      <c r="AA698" s="18">
        <v>48.67</v>
      </c>
      <c r="AB698" s="18">
        <v>11</v>
      </c>
      <c r="AC698" s="18">
        <v>5</v>
      </c>
      <c r="AD698" s="18">
        <v>6</v>
      </c>
      <c r="AE698" s="18">
        <v>0.07006</v>
      </c>
      <c r="AF698" s="18">
        <v>1</v>
      </c>
      <c r="AG698" s="18">
        <v>2</v>
      </c>
      <c r="AH698" s="18">
        <v>73</v>
      </c>
      <c r="AI698" s="18">
        <v>14</v>
      </c>
      <c r="AJ698" s="18">
        <v>10.43</v>
      </c>
      <c r="AK698" s="18">
        <v>12</v>
      </c>
      <c r="AL698" s="18">
        <v>12.17</v>
      </c>
      <c r="AM698" s="18">
        <v>3</v>
      </c>
      <c r="AN698" s="18">
        <v>146</v>
      </c>
      <c r="AO698" s="18">
        <v>0.00637</v>
      </c>
      <c r="AP698" s="18">
        <v>13.27</v>
      </c>
      <c r="AQ698" s="18">
        <v>4</v>
      </c>
      <c r="AR698" s="18">
        <v>384</v>
      </c>
      <c r="AS698" s="18">
        <v>1</v>
      </c>
      <c r="AT698" s="18">
        <v>0</v>
      </c>
      <c r="AU698" s="18">
        <v>0</v>
      </c>
      <c r="AV698" s="18">
        <v>0</v>
      </c>
      <c r="AW698" s="18">
        <v>0</v>
      </c>
      <c r="AX698" s="18">
        <v>2</v>
      </c>
      <c r="AY698" s="18">
        <v>426</v>
      </c>
      <c r="AZ698" s="18">
        <v>206</v>
      </c>
      <c r="BA698" s="18">
        <v>179</v>
      </c>
      <c r="BB698" s="18">
        <v>0.86893</v>
      </c>
      <c r="BC698" s="18">
        <v>0</v>
      </c>
      <c r="BD698" s="18">
        <v>0</v>
      </c>
      <c r="BE698" s="18">
        <v>0.06478</v>
      </c>
      <c r="BF698" s="18">
        <v>138</v>
      </c>
      <c r="BG698" s="18">
        <v>2</v>
      </c>
      <c r="BH698" s="18">
        <v>3</v>
      </c>
      <c r="BI698" s="18">
        <v>1</v>
      </c>
      <c r="BJ698" s="18">
        <v>0</v>
      </c>
      <c r="BK698" s="18">
        <v>0</v>
      </c>
      <c r="BL698" s="18">
        <v>0</v>
      </c>
      <c r="BM698" s="18">
        <v>3</v>
      </c>
      <c r="BN698" s="18">
        <v>1</v>
      </c>
      <c r="BO698" s="18">
        <v>82.6</v>
      </c>
      <c r="BP698" s="18">
        <v>11.28</v>
      </c>
      <c r="BQ698" s="18">
        <v>554</v>
      </c>
      <c r="BR698" s="18">
        <v>0</v>
      </c>
      <c r="BS698" s="18">
        <v>0</v>
      </c>
      <c r="BT698" s="18">
        <v>0</v>
      </c>
      <c r="BU698" s="18">
        <v>0</v>
      </c>
    </row>
    <row r="699" spans="1:73">
      <c r="A699" s="19">
        <v>46128</v>
      </c>
      <c r="B699" s="18">
        <v>436</v>
      </c>
      <c r="C699" s="18" t="s">
        <v>38</v>
      </c>
      <c r="D699" s="18">
        <v>436</v>
      </c>
      <c r="E699" s="18" t="s">
        <v>38</v>
      </c>
      <c r="F699" s="18">
        <v>1525</v>
      </c>
      <c r="G699" s="18">
        <v>50</v>
      </c>
      <c r="H699" s="18">
        <v>52.68</v>
      </c>
      <c r="I699" s="18">
        <v>0.03279</v>
      </c>
      <c r="J699" s="18">
        <v>1.05</v>
      </c>
      <c r="K699" s="18">
        <v>34.54</v>
      </c>
      <c r="L699" s="18">
        <v>0</v>
      </c>
      <c r="M699" s="18">
        <v>0</v>
      </c>
      <c r="N699" s="18">
        <v>0</v>
      </c>
      <c r="O699" s="18">
        <v>0</v>
      </c>
      <c r="P699" s="18">
        <v>0</v>
      </c>
      <c r="Q699" s="18">
        <v>0</v>
      </c>
      <c r="R699" s="18">
        <v>0</v>
      </c>
      <c r="S699" s="18">
        <v>42.91</v>
      </c>
      <c r="T699" s="18">
        <v>42.91</v>
      </c>
      <c r="U699" s="18">
        <v>1</v>
      </c>
      <c r="V699" s="18">
        <v>0</v>
      </c>
      <c r="W699" s="18">
        <v>1</v>
      </c>
      <c r="X699" s="18">
        <v>0.02</v>
      </c>
      <c r="Y699" s="18">
        <v>0.81</v>
      </c>
      <c r="Z699" s="18">
        <v>0.81</v>
      </c>
      <c r="AA699" s="18">
        <v>52.68</v>
      </c>
      <c r="AB699" s="18">
        <v>4</v>
      </c>
      <c r="AC699" s="18">
        <v>1</v>
      </c>
      <c r="AD699" s="18">
        <v>3</v>
      </c>
      <c r="AE699" s="18">
        <v>0.08</v>
      </c>
      <c r="AF699" s="18">
        <v>0</v>
      </c>
      <c r="AG699" s="18">
        <v>0</v>
      </c>
      <c r="AH699" s="18"/>
      <c r="AI699" s="18">
        <v>4</v>
      </c>
      <c r="AJ699" s="18">
        <v>13.17</v>
      </c>
      <c r="AK699" s="18">
        <v>4</v>
      </c>
      <c r="AL699" s="18">
        <v>13.17</v>
      </c>
      <c r="AM699" s="18">
        <v>0</v>
      </c>
      <c r="AN699" s="18"/>
      <c r="AO699" s="18">
        <v>0</v>
      </c>
      <c r="AP699" s="18">
        <v>13.17</v>
      </c>
      <c r="AQ699" s="18">
        <v>1</v>
      </c>
      <c r="AR699" s="18">
        <v>49.9</v>
      </c>
      <c r="AS699" s="18">
        <v>0</v>
      </c>
      <c r="AT699" s="18">
        <v>0</v>
      </c>
      <c r="AU699" s="18">
        <v>0</v>
      </c>
      <c r="AV699" s="18">
        <v>0</v>
      </c>
      <c r="AW699" s="18">
        <v>0</v>
      </c>
      <c r="AX699" s="18">
        <v>2</v>
      </c>
      <c r="AY699" s="18">
        <v>111</v>
      </c>
      <c r="AZ699" s="18">
        <v>41</v>
      </c>
      <c r="BA699" s="18">
        <v>31</v>
      </c>
      <c r="BB699" s="18">
        <v>0.7561</v>
      </c>
      <c r="BC699" s="18">
        <v>0</v>
      </c>
      <c r="BD699" s="18">
        <v>0</v>
      </c>
      <c r="BE699" s="18">
        <v>0.07279</v>
      </c>
      <c r="BF699" s="18">
        <v>57</v>
      </c>
      <c r="BG699" s="18">
        <v>3</v>
      </c>
      <c r="BH699" s="18">
        <v>1</v>
      </c>
      <c r="BI699" s="18">
        <v>1</v>
      </c>
      <c r="BJ699" s="18">
        <v>0</v>
      </c>
      <c r="BK699" s="18">
        <v>0</v>
      </c>
      <c r="BL699" s="18">
        <v>0</v>
      </c>
      <c r="BM699" s="18">
        <v>1</v>
      </c>
      <c r="BN699" s="18">
        <v>1</v>
      </c>
      <c r="BO699" s="18">
        <v>42.91</v>
      </c>
      <c r="BP699" s="18">
        <v>0.1</v>
      </c>
      <c r="BQ699" s="18">
        <v>128</v>
      </c>
      <c r="BR699" s="18">
        <v>0</v>
      </c>
      <c r="BS699" s="18">
        <v>0</v>
      </c>
      <c r="BT699" s="18">
        <v>0</v>
      </c>
      <c r="BU699" s="18">
        <v>0</v>
      </c>
    </row>
    <row r="700" spans="1:73">
      <c r="A700" s="19">
        <v>46128</v>
      </c>
      <c r="B700" s="18">
        <v>371</v>
      </c>
      <c r="C700" s="18" t="s">
        <v>32</v>
      </c>
      <c r="D700" s="18">
        <v>371</v>
      </c>
      <c r="E700" s="18" t="s">
        <v>32</v>
      </c>
      <c r="F700" s="18">
        <v>3750</v>
      </c>
      <c r="G700" s="18">
        <v>100</v>
      </c>
      <c r="H700" s="18">
        <v>57.09</v>
      </c>
      <c r="I700" s="18">
        <v>0.02667</v>
      </c>
      <c r="J700" s="18">
        <v>0.57</v>
      </c>
      <c r="K700" s="18">
        <v>15.22</v>
      </c>
      <c r="L700" s="18">
        <v>0</v>
      </c>
      <c r="M700" s="18">
        <v>0</v>
      </c>
      <c r="N700" s="18">
        <v>0</v>
      </c>
      <c r="O700" s="18">
        <v>0</v>
      </c>
      <c r="P700" s="18">
        <v>0</v>
      </c>
      <c r="Q700" s="18">
        <v>0</v>
      </c>
      <c r="R700" s="18">
        <v>0</v>
      </c>
      <c r="S700" s="18">
        <v>0</v>
      </c>
      <c r="T700" s="18">
        <v>0</v>
      </c>
      <c r="U700" s="18">
        <v>0</v>
      </c>
      <c r="V700" s="18">
        <v>0</v>
      </c>
      <c r="W700" s="18">
        <v>0</v>
      </c>
      <c r="X700" s="18">
        <v>0</v>
      </c>
      <c r="Y700" s="18">
        <v>0</v>
      </c>
      <c r="Z700" s="18">
        <v>0</v>
      </c>
      <c r="AA700" s="18"/>
      <c r="AB700" s="18">
        <v>0</v>
      </c>
      <c r="AC700" s="18">
        <v>0</v>
      </c>
      <c r="AD700" s="18">
        <v>0</v>
      </c>
      <c r="AE700" s="18">
        <v>0</v>
      </c>
      <c r="AF700" s="18">
        <v>1</v>
      </c>
      <c r="AG700" s="18">
        <v>2</v>
      </c>
      <c r="AH700" s="18">
        <v>28.55</v>
      </c>
      <c r="AI700" s="18">
        <v>3</v>
      </c>
      <c r="AJ700" s="18">
        <v>19.03</v>
      </c>
      <c r="AK700" s="18">
        <v>1</v>
      </c>
      <c r="AL700" s="18">
        <v>57.09</v>
      </c>
      <c r="AM700" s="18">
        <v>3</v>
      </c>
      <c r="AN700" s="18">
        <v>57.09</v>
      </c>
      <c r="AO700" s="18">
        <v>0.01</v>
      </c>
      <c r="AP700" s="18"/>
      <c r="AQ700" s="18">
        <v>0</v>
      </c>
      <c r="AR700" s="18">
        <v>0</v>
      </c>
      <c r="AS700" s="18">
        <v>1</v>
      </c>
      <c r="AT700" s="18">
        <v>0</v>
      </c>
      <c r="AU700" s="18">
        <v>0</v>
      </c>
      <c r="AV700" s="18">
        <v>0</v>
      </c>
      <c r="AW700" s="18">
        <v>0</v>
      </c>
      <c r="AX700" s="18">
        <v>0</v>
      </c>
      <c r="AY700" s="18">
        <v>170</v>
      </c>
      <c r="AZ700" s="18">
        <v>95</v>
      </c>
      <c r="BA700" s="18">
        <v>86</v>
      </c>
      <c r="BB700" s="18">
        <v>0.90526</v>
      </c>
      <c r="BC700" s="18">
        <v>0</v>
      </c>
      <c r="BD700" s="18">
        <v>0</v>
      </c>
      <c r="BE700" s="18">
        <v>0.04533</v>
      </c>
      <c r="BF700" s="18">
        <v>63</v>
      </c>
      <c r="BG700" s="18">
        <v>2</v>
      </c>
      <c r="BH700" s="18">
        <v>0</v>
      </c>
      <c r="BI700" s="18"/>
      <c r="BJ700" s="18">
        <v>0</v>
      </c>
      <c r="BK700" s="18">
        <v>0</v>
      </c>
      <c r="BL700" s="18">
        <v>0</v>
      </c>
      <c r="BM700" s="18">
        <v>0</v>
      </c>
      <c r="BN700" s="18"/>
      <c r="BO700" s="18"/>
      <c r="BP700" s="18">
        <v>18.49</v>
      </c>
      <c r="BQ700" s="18">
        <v>193</v>
      </c>
      <c r="BR700" s="18">
        <v>0</v>
      </c>
      <c r="BS700" s="18">
        <v>0</v>
      </c>
      <c r="BT700" s="18">
        <v>0</v>
      </c>
      <c r="BU700" s="18">
        <v>0</v>
      </c>
    </row>
    <row r="701" spans="1:73">
      <c r="A701" s="19">
        <v>46128</v>
      </c>
      <c r="B701" s="18">
        <v>479</v>
      </c>
      <c r="C701" s="18" t="s">
        <v>39</v>
      </c>
      <c r="D701" s="18">
        <v>479</v>
      </c>
      <c r="E701" s="18" t="s">
        <v>39</v>
      </c>
      <c r="F701" s="18">
        <v>49</v>
      </c>
      <c r="G701" s="18">
        <v>24</v>
      </c>
      <c r="H701" s="18">
        <v>13.22</v>
      </c>
      <c r="I701" s="18">
        <v>0.4898</v>
      </c>
      <c r="J701" s="18">
        <v>0.55</v>
      </c>
      <c r="K701" s="18">
        <v>269.81</v>
      </c>
      <c r="L701" s="18">
        <v>0</v>
      </c>
      <c r="M701" s="18">
        <v>0</v>
      </c>
      <c r="N701" s="18">
        <v>0</v>
      </c>
      <c r="O701" s="18">
        <v>0</v>
      </c>
      <c r="P701" s="18">
        <v>0</v>
      </c>
      <c r="Q701" s="18">
        <v>0</v>
      </c>
      <c r="R701" s="18">
        <v>0</v>
      </c>
      <c r="S701" s="18">
        <v>571.56</v>
      </c>
      <c r="T701" s="18">
        <v>571.56</v>
      </c>
      <c r="U701" s="18">
        <v>1</v>
      </c>
      <c r="V701" s="18">
        <v>0</v>
      </c>
      <c r="W701" s="18">
        <v>1</v>
      </c>
      <c r="X701" s="18">
        <v>0.04167</v>
      </c>
      <c r="Y701" s="18">
        <v>43.23</v>
      </c>
      <c r="Z701" s="18">
        <v>43.23</v>
      </c>
      <c r="AA701" s="18">
        <v>13.22</v>
      </c>
      <c r="AB701" s="18">
        <v>9</v>
      </c>
      <c r="AC701" s="18">
        <v>0</v>
      </c>
      <c r="AD701" s="18">
        <v>9</v>
      </c>
      <c r="AE701" s="18">
        <v>0.375</v>
      </c>
      <c r="AF701" s="18">
        <v>0</v>
      </c>
      <c r="AG701" s="18">
        <v>0</v>
      </c>
      <c r="AH701" s="18"/>
      <c r="AI701" s="18">
        <v>9</v>
      </c>
      <c r="AJ701" s="18">
        <v>1.47</v>
      </c>
      <c r="AK701" s="18">
        <v>9</v>
      </c>
      <c r="AL701" s="18">
        <v>1.47</v>
      </c>
      <c r="AM701" s="18">
        <v>0</v>
      </c>
      <c r="AN701" s="18"/>
      <c r="AO701" s="18">
        <v>0</v>
      </c>
      <c r="AP701" s="18">
        <v>1.47</v>
      </c>
      <c r="AQ701" s="18">
        <v>6</v>
      </c>
      <c r="AR701" s="18">
        <v>2159</v>
      </c>
      <c r="AS701" s="18">
        <v>0</v>
      </c>
      <c r="AT701" s="18">
        <v>0</v>
      </c>
      <c r="AU701" s="18">
        <v>0</v>
      </c>
      <c r="AV701" s="18">
        <v>0</v>
      </c>
      <c r="AW701" s="18">
        <v>0</v>
      </c>
      <c r="AX701" s="18">
        <v>3</v>
      </c>
      <c r="AY701" s="18">
        <v>164</v>
      </c>
      <c r="AZ701" s="18">
        <v>21</v>
      </c>
      <c r="BA701" s="18">
        <v>15</v>
      </c>
      <c r="BB701" s="18">
        <v>0.71429</v>
      </c>
      <c r="BC701" s="18">
        <v>0</v>
      </c>
      <c r="BD701" s="18">
        <v>0</v>
      </c>
      <c r="BE701" s="18">
        <v>3.34694</v>
      </c>
      <c r="BF701" s="18">
        <v>140</v>
      </c>
      <c r="BG701" s="18">
        <v>8</v>
      </c>
      <c r="BH701" s="18">
        <v>1</v>
      </c>
      <c r="BI701" s="18">
        <v>1</v>
      </c>
      <c r="BJ701" s="18">
        <v>0</v>
      </c>
      <c r="BK701" s="18">
        <v>0</v>
      </c>
      <c r="BL701" s="18">
        <v>0</v>
      </c>
      <c r="BM701" s="18">
        <v>1</v>
      </c>
      <c r="BN701" s="18">
        <v>1</v>
      </c>
      <c r="BO701" s="18">
        <v>571.56</v>
      </c>
      <c r="BP701" s="18">
        <v>0</v>
      </c>
      <c r="BQ701" s="18">
        <v>254</v>
      </c>
      <c r="BR701" s="18">
        <v>0</v>
      </c>
      <c r="BS701" s="18">
        <v>0</v>
      </c>
      <c r="BT701" s="18">
        <v>0</v>
      </c>
      <c r="BU701" s="18">
        <v>0</v>
      </c>
    </row>
    <row r="702" spans="1:73">
      <c r="A702" s="19">
        <v>46127</v>
      </c>
      <c r="B702" s="18">
        <v>479</v>
      </c>
      <c r="C702" s="18" t="s">
        <v>39</v>
      </c>
      <c r="D702" s="18">
        <v>479</v>
      </c>
      <c r="E702" s="18" t="s">
        <v>39</v>
      </c>
      <c r="F702" s="18">
        <v>54</v>
      </c>
      <c r="G702" s="18">
        <v>23</v>
      </c>
      <c r="H702" s="18">
        <v>16.15</v>
      </c>
      <c r="I702" s="18">
        <v>0.42593</v>
      </c>
      <c r="J702" s="18">
        <v>0.7</v>
      </c>
      <c r="K702" s="18">
        <v>299.02</v>
      </c>
      <c r="L702" s="18">
        <v>0</v>
      </c>
      <c r="M702" s="18">
        <v>0</v>
      </c>
      <c r="N702" s="18">
        <v>0</v>
      </c>
      <c r="O702" s="18">
        <v>0</v>
      </c>
      <c r="P702" s="18">
        <v>0</v>
      </c>
      <c r="Q702" s="18">
        <v>0</v>
      </c>
      <c r="R702" s="18">
        <v>0</v>
      </c>
      <c r="S702" s="18">
        <v>0</v>
      </c>
      <c r="T702" s="18">
        <v>0</v>
      </c>
      <c r="U702" s="18">
        <v>0</v>
      </c>
      <c r="V702" s="18">
        <v>0</v>
      </c>
      <c r="W702" s="18">
        <v>0</v>
      </c>
      <c r="X702" s="18">
        <v>0</v>
      </c>
      <c r="Y702" s="18">
        <v>0</v>
      </c>
      <c r="Z702" s="18">
        <v>0</v>
      </c>
      <c r="AA702" s="18"/>
      <c r="AB702" s="18">
        <v>1</v>
      </c>
      <c r="AC702" s="18">
        <v>0</v>
      </c>
      <c r="AD702" s="18">
        <v>1</v>
      </c>
      <c r="AE702" s="18">
        <v>0.04348</v>
      </c>
      <c r="AF702" s="18">
        <v>1</v>
      </c>
      <c r="AG702" s="18">
        <v>1</v>
      </c>
      <c r="AH702" s="18">
        <v>16.15</v>
      </c>
      <c r="AI702" s="18">
        <v>3</v>
      </c>
      <c r="AJ702" s="18">
        <v>5.38</v>
      </c>
      <c r="AK702" s="18">
        <v>2</v>
      </c>
      <c r="AL702" s="18">
        <v>8.07</v>
      </c>
      <c r="AM702" s="18">
        <v>2</v>
      </c>
      <c r="AN702" s="18">
        <v>16.15</v>
      </c>
      <c r="AO702" s="18">
        <v>0.04348</v>
      </c>
      <c r="AP702" s="18">
        <v>16.15</v>
      </c>
      <c r="AQ702" s="18">
        <v>0</v>
      </c>
      <c r="AR702" s="18">
        <v>0</v>
      </c>
      <c r="AS702" s="18">
        <v>0</v>
      </c>
      <c r="AT702" s="18">
        <v>1</v>
      </c>
      <c r="AU702" s="18">
        <v>0</v>
      </c>
      <c r="AV702" s="18">
        <v>0</v>
      </c>
      <c r="AW702" s="18">
        <v>0</v>
      </c>
      <c r="AX702" s="18">
        <v>1</v>
      </c>
      <c r="AY702" s="18">
        <v>235</v>
      </c>
      <c r="AZ702" s="18">
        <v>20</v>
      </c>
      <c r="BA702" s="18">
        <v>13</v>
      </c>
      <c r="BB702" s="18">
        <v>0.65</v>
      </c>
      <c r="BC702" s="18">
        <v>0</v>
      </c>
      <c r="BD702" s="18">
        <v>0</v>
      </c>
      <c r="BE702" s="18">
        <v>4.35185</v>
      </c>
      <c r="BF702" s="18">
        <v>211</v>
      </c>
      <c r="BG702" s="18">
        <v>12</v>
      </c>
      <c r="BH702" s="18">
        <v>0</v>
      </c>
      <c r="BI702" s="18"/>
      <c r="BJ702" s="18">
        <v>0</v>
      </c>
      <c r="BK702" s="18">
        <v>0</v>
      </c>
      <c r="BL702" s="18">
        <v>0</v>
      </c>
      <c r="BM702" s="18">
        <v>0</v>
      </c>
      <c r="BN702" s="18"/>
      <c r="BO702" s="18"/>
      <c r="BP702" s="18">
        <v>0.01</v>
      </c>
      <c r="BQ702" s="18">
        <v>43</v>
      </c>
      <c r="BR702" s="18">
        <v>0</v>
      </c>
      <c r="BS702" s="18">
        <v>0</v>
      </c>
      <c r="BT702" s="18">
        <v>0</v>
      </c>
      <c r="BU702" s="18">
        <v>0</v>
      </c>
    </row>
    <row r="703" spans="1:73">
      <c r="A703" s="19">
        <v>46127</v>
      </c>
      <c r="B703" s="18">
        <v>183</v>
      </c>
      <c r="C703" s="18" t="s">
        <v>40</v>
      </c>
      <c r="D703" s="18">
        <v>183</v>
      </c>
      <c r="E703" s="18" t="s">
        <v>40</v>
      </c>
      <c r="F703" s="18">
        <v>1768</v>
      </c>
      <c r="G703" s="18">
        <v>45</v>
      </c>
      <c r="H703" s="18">
        <v>100</v>
      </c>
      <c r="I703" s="18">
        <v>0.02545</v>
      </c>
      <c r="J703" s="18">
        <v>2.22</v>
      </c>
      <c r="K703" s="18">
        <v>56.56</v>
      </c>
      <c r="L703" s="18">
        <v>0</v>
      </c>
      <c r="M703" s="18">
        <v>0</v>
      </c>
      <c r="N703" s="18">
        <v>0</v>
      </c>
      <c r="O703" s="18">
        <v>0</v>
      </c>
      <c r="P703" s="18">
        <v>0</v>
      </c>
      <c r="Q703" s="18">
        <v>0</v>
      </c>
      <c r="R703" s="18">
        <v>0</v>
      </c>
      <c r="S703" s="18">
        <v>278.4</v>
      </c>
      <c r="T703" s="18">
        <v>278.4</v>
      </c>
      <c r="U703" s="18">
        <v>4</v>
      </c>
      <c r="V703" s="18">
        <v>0</v>
      </c>
      <c r="W703" s="18">
        <v>4</v>
      </c>
      <c r="X703" s="18">
        <v>0.08889</v>
      </c>
      <c r="Y703" s="18">
        <v>2.78</v>
      </c>
      <c r="Z703" s="18">
        <v>2.78</v>
      </c>
      <c r="AA703" s="18">
        <v>25</v>
      </c>
      <c r="AB703" s="18">
        <v>1</v>
      </c>
      <c r="AC703" s="18">
        <v>0</v>
      </c>
      <c r="AD703" s="18">
        <v>1</v>
      </c>
      <c r="AE703" s="18">
        <v>0.02222</v>
      </c>
      <c r="AF703" s="18">
        <v>0</v>
      </c>
      <c r="AG703" s="18">
        <v>0</v>
      </c>
      <c r="AH703" s="18"/>
      <c r="AI703" s="18">
        <v>1</v>
      </c>
      <c r="AJ703" s="18">
        <v>100</v>
      </c>
      <c r="AK703" s="18">
        <v>1</v>
      </c>
      <c r="AL703" s="18">
        <v>100</v>
      </c>
      <c r="AM703" s="18">
        <v>0</v>
      </c>
      <c r="AN703" s="18"/>
      <c r="AO703" s="18">
        <v>0</v>
      </c>
      <c r="AP703" s="18">
        <v>100</v>
      </c>
      <c r="AQ703" s="18">
        <v>6</v>
      </c>
      <c r="AR703" s="18">
        <v>474.8</v>
      </c>
      <c r="AS703" s="18">
        <v>0</v>
      </c>
      <c r="AT703" s="18">
        <v>0</v>
      </c>
      <c r="AU703" s="18">
        <v>0</v>
      </c>
      <c r="AV703" s="18">
        <v>0</v>
      </c>
      <c r="AW703" s="18">
        <v>0</v>
      </c>
      <c r="AX703" s="18">
        <v>0</v>
      </c>
      <c r="AY703" s="18">
        <v>231</v>
      </c>
      <c r="AZ703" s="18">
        <v>73</v>
      </c>
      <c r="BA703" s="18">
        <v>44</v>
      </c>
      <c r="BB703" s="18">
        <v>0.60274</v>
      </c>
      <c r="BC703" s="18">
        <v>0</v>
      </c>
      <c r="BD703" s="18">
        <v>0</v>
      </c>
      <c r="BE703" s="18">
        <v>0.13066</v>
      </c>
      <c r="BF703" s="18">
        <v>102</v>
      </c>
      <c r="BG703" s="18">
        <v>3</v>
      </c>
      <c r="BH703" s="18">
        <v>1</v>
      </c>
      <c r="BI703" s="18">
        <v>0.5</v>
      </c>
      <c r="BJ703" s="18">
        <v>0</v>
      </c>
      <c r="BK703" s="18">
        <v>0</v>
      </c>
      <c r="BL703" s="18">
        <v>0</v>
      </c>
      <c r="BM703" s="18">
        <v>2</v>
      </c>
      <c r="BN703" s="18">
        <v>2</v>
      </c>
      <c r="BO703" s="18">
        <v>139.2</v>
      </c>
      <c r="BP703" s="18">
        <v>0</v>
      </c>
      <c r="BQ703" s="18">
        <v>620</v>
      </c>
      <c r="BR703" s="18">
        <v>0</v>
      </c>
      <c r="BS703" s="18">
        <v>0</v>
      </c>
      <c r="BT703" s="18">
        <v>0</v>
      </c>
      <c r="BU703" s="18">
        <v>0</v>
      </c>
    </row>
    <row r="704" spans="1:73">
      <c r="A704" s="19">
        <v>46127</v>
      </c>
      <c r="B704" s="18">
        <v>371</v>
      </c>
      <c r="C704" s="18" t="s">
        <v>32</v>
      </c>
      <c r="D704" s="18">
        <v>371</v>
      </c>
      <c r="E704" s="18" t="s">
        <v>32</v>
      </c>
      <c r="F704" s="18">
        <v>3259</v>
      </c>
      <c r="G704" s="18">
        <v>100</v>
      </c>
      <c r="H704" s="18">
        <v>49.26</v>
      </c>
      <c r="I704" s="18">
        <v>0.03068</v>
      </c>
      <c r="J704" s="18">
        <v>0.49</v>
      </c>
      <c r="K704" s="18">
        <v>15.12</v>
      </c>
      <c r="L704" s="18">
        <v>0</v>
      </c>
      <c r="M704" s="18">
        <v>0</v>
      </c>
      <c r="N704" s="18">
        <v>0</v>
      </c>
      <c r="O704" s="18">
        <v>0</v>
      </c>
      <c r="P704" s="18">
        <v>0</v>
      </c>
      <c r="Q704" s="18">
        <v>0</v>
      </c>
      <c r="R704" s="18">
        <v>0</v>
      </c>
      <c r="S704" s="18">
        <v>0</v>
      </c>
      <c r="T704" s="18">
        <v>0</v>
      </c>
      <c r="U704" s="18">
        <v>0</v>
      </c>
      <c r="V704" s="18">
        <v>0</v>
      </c>
      <c r="W704" s="18">
        <v>0</v>
      </c>
      <c r="X704" s="18">
        <v>0</v>
      </c>
      <c r="Y704" s="18">
        <v>0</v>
      </c>
      <c r="Z704" s="18">
        <v>0</v>
      </c>
      <c r="AA704" s="18"/>
      <c r="AB704" s="18">
        <v>6</v>
      </c>
      <c r="AC704" s="18">
        <v>5</v>
      </c>
      <c r="AD704" s="18">
        <v>1</v>
      </c>
      <c r="AE704" s="18">
        <v>0.06</v>
      </c>
      <c r="AF704" s="18">
        <v>2</v>
      </c>
      <c r="AG704" s="18">
        <v>0</v>
      </c>
      <c r="AH704" s="18"/>
      <c r="AI704" s="18">
        <v>8</v>
      </c>
      <c r="AJ704" s="18">
        <v>6.16</v>
      </c>
      <c r="AK704" s="18">
        <v>8</v>
      </c>
      <c r="AL704" s="18">
        <v>6.16</v>
      </c>
      <c r="AM704" s="18">
        <v>2</v>
      </c>
      <c r="AN704" s="18">
        <v>24.63</v>
      </c>
      <c r="AO704" s="18">
        <v>0.02</v>
      </c>
      <c r="AP704" s="18">
        <v>8.21</v>
      </c>
      <c r="AQ704" s="18">
        <v>0</v>
      </c>
      <c r="AR704" s="18">
        <v>0</v>
      </c>
      <c r="AS704" s="18">
        <v>2</v>
      </c>
      <c r="AT704" s="18">
        <v>0</v>
      </c>
      <c r="AU704" s="18">
        <v>0</v>
      </c>
      <c r="AV704" s="18">
        <v>0</v>
      </c>
      <c r="AW704" s="18">
        <v>0</v>
      </c>
      <c r="AX704" s="18">
        <v>0</v>
      </c>
      <c r="AY704" s="18">
        <v>157</v>
      </c>
      <c r="AZ704" s="18">
        <v>95</v>
      </c>
      <c r="BA704" s="18">
        <v>89</v>
      </c>
      <c r="BB704" s="18">
        <v>0.93684</v>
      </c>
      <c r="BC704" s="18">
        <v>0</v>
      </c>
      <c r="BD704" s="18">
        <v>0</v>
      </c>
      <c r="BE704" s="18">
        <v>0.04817</v>
      </c>
      <c r="BF704" s="18">
        <v>52</v>
      </c>
      <c r="BG704" s="18">
        <v>2</v>
      </c>
      <c r="BH704" s="18">
        <v>0</v>
      </c>
      <c r="BI704" s="18"/>
      <c r="BJ704" s="18">
        <v>0</v>
      </c>
      <c r="BK704" s="18">
        <v>0</v>
      </c>
      <c r="BL704" s="18">
        <v>0</v>
      </c>
      <c r="BM704" s="18">
        <v>0</v>
      </c>
      <c r="BN704" s="18"/>
      <c r="BO704" s="18"/>
      <c r="BP704" s="18">
        <v>15.61</v>
      </c>
      <c r="BQ704" s="18">
        <v>230</v>
      </c>
      <c r="BR704" s="18">
        <v>0</v>
      </c>
      <c r="BS704" s="18">
        <v>0</v>
      </c>
      <c r="BT704" s="18">
        <v>0</v>
      </c>
      <c r="BU704" s="18">
        <v>0</v>
      </c>
    </row>
    <row r="705" spans="1:73">
      <c r="A705" s="19">
        <v>46127</v>
      </c>
      <c r="B705" s="18">
        <v>436</v>
      </c>
      <c r="C705" s="18" t="s">
        <v>38</v>
      </c>
      <c r="D705" s="18">
        <v>436</v>
      </c>
      <c r="E705" s="18" t="s">
        <v>38</v>
      </c>
      <c r="F705" s="18">
        <v>1329</v>
      </c>
      <c r="G705" s="18">
        <v>41</v>
      </c>
      <c r="H705" s="18">
        <v>64.03</v>
      </c>
      <c r="I705" s="18">
        <v>0.03085</v>
      </c>
      <c r="J705" s="18">
        <v>1.56</v>
      </c>
      <c r="K705" s="18">
        <v>48.18</v>
      </c>
      <c r="L705" s="18">
        <v>0</v>
      </c>
      <c r="M705" s="18">
        <v>0</v>
      </c>
      <c r="N705" s="18">
        <v>0</v>
      </c>
      <c r="O705" s="18">
        <v>0</v>
      </c>
      <c r="P705" s="18">
        <v>0</v>
      </c>
      <c r="Q705" s="18">
        <v>0</v>
      </c>
      <c r="R705" s="18">
        <v>0</v>
      </c>
      <c r="S705" s="18">
        <v>24.92</v>
      </c>
      <c r="T705" s="18">
        <v>24.92</v>
      </c>
      <c r="U705" s="18">
        <v>1</v>
      </c>
      <c r="V705" s="18">
        <v>0</v>
      </c>
      <c r="W705" s="18">
        <v>1</v>
      </c>
      <c r="X705" s="18">
        <v>0.02439</v>
      </c>
      <c r="Y705" s="18">
        <v>0.39</v>
      </c>
      <c r="Z705" s="18">
        <v>0.39</v>
      </c>
      <c r="AA705" s="18">
        <v>64.03</v>
      </c>
      <c r="AB705" s="18">
        <v>7</v>
      </c>
      <c r="AC705" s="18">
        <v>0</v>
      </c>
      <c r="AD705" s="18">
        <v>7</v>
      </c>
      <c r="AE705" s="18">
        <v>0.17073</v>
      </c>
      <c r="AF705" s="18">
        <v>0</v>
      </c>
      <c r="AG705" s="18">
        <v>0</v>
      </c>
      <c r="AH705" s="18"/>
      <c r="AI705" s="18">
        <v>7</v>
      </c>
      <c r="AJ705" s="18">
        <v>9.15</v>
      </c>
      <c r="AK705" s="18">
        <v>7</v>
      </c>
      <c r="AL705" s="18">
        <v>9.15</v>
      </c>
      <c r="AM705" s="18">
        <v>0</v>
      </c>
      <c r="AN705" s="18"/>
      <c r="AO705" s="18">
        <v>0</v>
      </c>
      <c r="AP705" s="18">
        <v>9.15</v>
      </c>
      <c r="AQ705" s="18">
        <v>1</v>
      </c>
      <c r="AR705" s="18">
        <v>29</v>
      </c>
      <c r="AS705" s="18">
        <v>0</v>
      </c>
      <c r="AT705" s="18">
        <v>0</v>
      </c>
      <c r="AU705" s="18">
        <v>0</v>
      </c>
      <c r="AV705" s="18">
        <v>0</v>
      </c>
      <c r="AW705" s="18">
        <v>0</v>
      </c>
      <c r="AX705" s="18">
        <v>4</v>
      </c>
      <c r="AY705" s="18">
        <v>171</v>
      </c>
      <c r="AZ705" s="18">
        <v>36</v>
      </c>
      <c r="BA705" s="18">
        <v>20</v>
      </c>
      <c r="BB705" s="18">
        <v>0.55556</v>
      </c>
      <c r="BC705" s="18">
        <v>0</v>
      </c>
      <c r="BD705" s="18">
        <v>0</v>
      </c>
      <c r="BE705" s="18">
        <v>0.12867</v>
      </c>
      <c r="BF705" s="18">
        <v>131</v>
      </c>
      <c r="BG705" s="18">
        <v>5</v>
      </c>
      <c r="BH705" s="18">
        <v>1</v>
      </c>
      <c r="BI705" s="18">
        <v>1</v>
      </c>
      <c r="BJ705" s="18">
        <v>0</v>
      </c>
      <c r="BK705" s="18">
        <v>0</v>
      </c>
      <c r="BL705" s="18">
        <v>0</v>
      </c>
      <c r="BM705" s="18">
        <v>1</v>
      </c>
      <c r="BN705" s="18">
        <v>1</v>
      </c>
      <c r="BO705" s="18">
        <v>24.92</v>
      </c>
      <c r="BP705" s="18">
        <v>0.67</v>
      </c>
      <c r="BQ705" s="18">
        <v>282</v>
      </c>
      <c r="BR705" s="18">
        <v>0</v>
      </c>
      <c r="BS705" s="18">
        <v>0</v>
      </c>
      <c r="BT705" s="18">
        <v>0</v>
      </c>
      <c r="BU705" s="18">
        <v>0</v>
      </c>
    </row>
    <row r="706" spans="1:73">
      <c r="A706" s="19">
        <v>46127</v>
      </c>
      <c r="B706" s="18">
        <v>372</v>
      </c>
      <c r="C706" s="18" t="s">
        <v>37</v>
      </c>
      <c r="D706" s="18">
        <v>372</v>
      </c>
      <c r="E706" s="18" t="s">
        <v>61</v>
      </c>
      <c r="F706" s="18">
        <v>1972</v>
      </c>
      <c r="G706" s="18">
        <v>60</v>
      </c>
      <c r="H706" s="18">
        <v>74.6</v>
      </c>
      <c r="I706" s="18">
        <v>0.03043</v>
      </c>
      <c r="J706" s="18">
        <v>1.24</v>
      </c>
      <c r="K706" s="18">
        <v>37.83</v>
      </c>
      <c r="L706" s="18">
        <v>0</v>
      </c>
      <c r="M706" s="18">
        <v>0</v>
      </c>
      <c r="N706" s="18">
        <v>0</v>
      </c>
      <c r="O706" s="18">
        <v>0</v>
      </c>
      <c r="P706" s="18">
        <v>0</v>
      </c>
      <c r="Q706" s="18">
        <v>0</v>
      </c>
      <c r="R706" s="18">
        <v>138.6</v>
      </c>
      <c r="S706" s="18">
        <v>0</v>
      </c>
      <c r="T706" s="18">
        <v>138.6</v>
      </c>
      <c r="U706" s="18">
        <v>1</v>
      </c>
      <c r="V706" s="18">
        <v>1</v>
      </c>
      <c r="W706" s="18">
        <v>0</v>
      </c>
      <c r="X706" s="18">
        <v>0.01667</v>
      </c>
      <c r="Y706" s="18">
        <v>1.86</v>
      </c>
      <c r="Z706" s="18">
        <v>1.86</v>
      </c>
      <c r="AA706" s="18">
        <v>74.6</v>
      </c>
      <c r="AB706" s="18">
        <v>2</v>
      </c>
      <c r="AC706" s="18">
        <v>2</v>
      </c>
      <c r="AD706" s="18">
        <v>0</v>
      </c>
      <c r="AE706" s="18">
        <v>0.03333</v>
      </c>
      <c r="AF706" s="18">
        <v>0</v>
      </c>
      <c r="AG706" s="18">
        <v>0</v>
      </c>
      <c r="AH706" s="18"/>
      <c r="AI706" s="18">
        <v>2</v>
      </c>
      <c r="AJ706" s="18">
        <v>37.3</v>
      </c>
      <c r="AK706" s="18">
        <v>2</v>
      </c>
      <c r="AL706" s="18">
        <v>37.3</v>
      </c>
      <c r="AM706" s="18">
        <v>0</v>
      </c>
      <c r="AN706" s="18"/>
      <c r="AO706" s="18">
        <v>0</v>
      </c>
      <c r="AP706" s="18">
        <v>37.3</v>
      </c>
      <c r="AQ706" s="18">
        <v>4</v>
      </c>
      <c r="AR706" s="18">
        <v>435.8</v>
      </c>
      <c r="AS706" s="18">
        <v>0</v>
      </c>
      <c r="AT706" s="18">
        <v>0</v>
      </c>
      <c r="AU706" s="18">
        <v>0</v>
      </c>
      <c r="AV706" s="18">
        <v>0</v>
      </c>
      <c r="AW706" s="18">
        <v>0</v>
      </c>
      <c r="AX706" s="18">
        <v>0</v>
      </c>
      <c r="AY706" s="18">
        <v>122</v>
      </c>
      <c r="AZ706" s="18">
        <v>56</v>
      </c>
      <c r="BA706" s="18">
        <v>47</v>
      </c>
      <c r="BB706" s="18">
        <v>0.83929</v>
      </c>
      <c r="BC706" s="18">
        <v>0</v>
      </c>
      <c r="BD706" s="18">
        <v>0</v>
      </c>
      <c r="BE706" s="18">
        <v>0.06187</v>
      </c>
      <c r="BF706" s="18">
        <v>48</v>
      </c>
      <c r="BG706" s="18">
        <v>2</v>
      </c>
      <c r="BH706" s="18">
        <v>1</v>
      </c>
      <c r="BI706" s="18">
        <v>1</v>
      </c>
      <c r="BJ706" s="18">
        <v>0</v>
      </c>
      <c r="BK706" s="18">
        <v>0</v>
      </c>
      <c r="BL706" s="18">
        <v>0</v>
      </c>
      <c r="BM706" s="18">
        <v>1</v>
      </c>
      <c r="BN706" s="18">
        <v>1</v>
      </c>
      <c r="BO706" s="18">
        <v>138.6</v>
      </c>
      <c r="BP706" s="18">
        <v>0.7</v>
      </c>
      <c r="BQ706" s="18">
        <v>247</v>
      </c>
      <c r="BR706" s="18">
        <v>0</v>
      </c>
      <c r="BS706" s="18">
        <v>0</v>
      </c>
      <c r="BT706" s="18">
        <v>0</v>
      </c>
      <c r="BU706" s="18">
        <v>0</v>
      </c>
    </row>
    <row r="707" spans="1:73">
      <c r="A707" s="19">
        <v>46126</v>
      </c>
      <c r="B707" s="18">
        <v>371</v>
      </c>
      <c r="C707" s="18" t="s">
        <v>32</v>
      </c>
      <c r="D707" s="18">
        <v>371</v>
      </c>
      <c r="E707" s="18" t="s">
        <v>32</v>
      </c>
      <c r="F707" s="18">
        <v>4795</v>
      </c>
      <c r="G707" s="18">
        <v>94</v>
      </c>
      <c r="H707" s="18">
        <v>42.45</v>
      </c>
      <c r="I707" s="18">
        <v>0.0196</v>
      </c>
      <c r="J707" s="18">
        <v>0.45</v>
      </c>
      <c r="K707" s="18">
        <v>8.85</v>
      </c>
      <c r="L707" s="18">
        <v>0</v>
      </c>
      <c r="M707" s="18">
        <v>0</v>
      </c>
      <c r="N707" s="18">
        <v>0</v>
      </c>
      <c r="O707" s="18">
        <v>0</v>
      </c>
      <c r="P707" s="18">
        <v>0</v>
      </c>
      <c r="Q707" s="18">
        <v>0</v>
      </c>
      <c r="R707" s="18">
        <v>0</v>
      </c>
      <c r="S707" s="18">
        <v>0</v>
      </c>
      <c r="T707" s="18">
        <v>0</v>
      </c>
      <c r="U707" s="18">
        <v>0</v>
      </c>
      <c r="V707" s="18">
        <v>0</v>
      </c>
      <c r="W707" s="18">
        <v>0</v>
      </c>
      <c r="X707" s="18">
        <v>0</v>
      </c>
      <c r="Y707" s="18">
        <v>0</v>
      </c>
      <c r="Z707" s="18">
        <v>0</v>
      </c>
      <c r="AA707" s="18"/>
      <c r="AB707" s="18">
        <v>6</v>
      </c>
      <c r="AC707" s="18">
        <v>3</v>
      </c>
      <c r="AD707" s="18">
        <v>3</v>
      </c>
      <c r="AE707" s="18">
        <v>0.06383</v>
      </c>
      <c r="AF707" s="18">
        <v>0</v>
      </c>
      <c r="AG707" s="18">
        <v>0</v>
      </c>
      <c r="AH707" s="18"/>
      <c r="AI707" s="18">
        <v>6</v>
      </c>
      <c r="AJ707" s="18">
        <v>7.08</v>
      </c>
      <c r="AK707" s="18">
        <v>6</v>
      </c>
      <c r="AL707" s="18">
        <v>7.08</v>
      </c>
      <c r="AM707" s="18">
        <v>0</v>
      </c>
      <c r="AN707" s="18"/>
      <c r="AO707" s="18">
        <v>0</v>
      </c>
      <c r="AP707" s="18">
        <v>7.08</v>
      </c>
      <c r="AQ707" s="18">
        <v>0</v>
      </c>
      <c r="AR707" s="18">
        <v>0</v>
      </c>
      <c r="AS707" s="18">
        <v>0</v>
      </c>
      <c r="AT707" s="18">
        <v>0</v>
      </c>
      <c r="AU707" s="18">
        <v>0</v>
      </c>
      <c r="AV707" s="18">
        <v>0</v>
      </c>
      <c r="AW707" s="18">
        <v>0</v>
      </c>
      <c r="AX707" s="18">
        <v>0</v>
      </c>
      <c r="AY707" s="18">
        <v>191</v>
      </c>
      <c r="AZ707" s="18">
        <v>94</v>
      </c>
      <c r="BA707" s="18">
        <v>81</v>
      </c>
      <c r="BB707" s="18">
        <v>0.8617</v>
      </c>
      <c r="BC707" s="18">
        <v>0</v>
      </c>
      <c r="BD707" s="18">
        <v>0</v>
      </c>
      <c r="BE707" s="18">
        <v>0.03983</v>
      </c>
      <c r="BF707" s="18">
        <v>82</v>
      </c>
      <c r="BG707" s="18">
        <v>2</v>
      </c>
      <c r="BH707" s="18">
        <v>0</v>
      </c>
      <c r="BI707" s="18"/>
      <c r="BJ707" s="18">
        <v>0</v>
      </c>
      <c r="BK707" s="18">
        <v>0</v>
      </c>
      <c r="BL707" s="18">
        <v>0</v>
      </c>
      <c r="BM707" s="18">
        <v>0</v>
      </c>
      <c r="BN707" s="18"/>
      <c r="BO707" s="18"/>
      <c r="BP707" s="18">
        <v>19.47</v>
      </c>
      <c r="BQ707" s="18">
        <v>339</v>
      </c>
      <c r="BR707" s="18">
        <v>0</v>
      </c>
      <c r="BS707" s="18">
        <v>0</v>
      </c>
      <c r="BT707" s="18">
        <v>0</v>
      </c>
      <c r="BU707" s="18">
        <v>0</v>
      </c>
    </row>
    <row r="708" spans="1:73">
      <c r="A708" s="19">
        <v>46126</v>
      </c>
      <c r="B708" s="18">
        <v>479</v>
      </c>
      <c r="C708" s="18" t="s">
        <v>39</v>
      </c>
      <c r="D708" s="18">
        <v>479</v>
      </c>
      <c r="E708" s="18" t="s">
        <v>39</v>
      </c>
      <c r="F708" s="18">
        <v>50</v>
      </c>
      <c r="G708" s="18">
        <v>21</v>
      </c>
      <c r="H708" s="18">
        <v>14.11</v>
      </c>
      <c r="I708" s="18">
        <v>0.42</v>
      </c>
      <c r="J708" s="18">
        <v>0.67</v>
      </c>
      <c r="K708" s="18">
        <v>282.22</v>
      </c>
      <c r="L708" s="18">
        <v>0</v>
      </c>
      <c r="M708" s="18">
        <v>0</v>
      </c>
      <c r="N708" s="18">
        <v>0</v>
      </c>
      <c r="O708" s="18">
        <v>0</v>
      </c>
      <c r="P708" s="18">
        <v>0</v>
      </c>
      <c r="Q708" s="18">
        <v>0</v>
      </c>
      <c r="R708" s="18">
        <v>0</v>
      </c>
      <c r="S708" s="18">
        <v>684.04</v>
      </c>
      <c r="T708" s="18">
        <v>684.04</v>
      </c>
      <c r="U708" s="18">
        <v>1</v>
      </c>
      <c r="V708" s="18">
        <v>0</v>
      </c>
      <c r="W708" s="18">
        <v>1</v>
      </c>
      <c r="X708" s="18">
        <v>0.04762</v>
      </c>
      <c r="Y708" s="18">
        <v>48.48</v>
      </c>
      <c r="Z708" s="18">
        <v>48.48</v>
      </c>
      <c r="AA708" s="18">
        <v>14.11</v>
      </c>
      <c r="AB708" s="18">
        <v>0</v>
      </c>
      <c r="AC708" s="18">
        <v>0</v>
      </c>
      <c r="AD708" s="18">
        <v>0</v>
      </c>
      <c r="AE708" s="18">
        <v>0</v>
      </c>
      <c r="AF708" s="18">
        <v>0</v>
      </c>
      <c r="AG708" s="18">
        <v>0</v>
      </c>
      <c r="AH708" s="18"/>
      <c r="AI708" s="18">
        <v>0</v>
      </c>
      <c r="AJ708" s="18"/>
      <c r="AK708" s="18">
        <v>0</v>
      </c>
      <c r="AL708" s="18"/>
      <c r="AM708" s="18">
        <v>0</v>
      </c>
      <c r="AN708" s="18"/>
      <c r="AO708" s="18">
        <v>0</v>
      </c>
      <c r="AP708" s="18"/>
      <c r="AQ708" s="18">
        <v>4</v>
      </c>
      <c r="AR708" s="18">
        <v>1732</v>
      </c>
      <c r="AS708" s="18">
        <v>0</v>
      </c>
      <c r="AT708" s="18">
        <v>0</v>
      </c>
      <c r="AU708" s="18">
        <v>0</v>
      </c>
      <c r="AV708" s="18">
        <v>0</v>
      </c>
      <c r="AW708" s="18">
        <v>0</v>
      </c>
      <c r="AX708" s="18">
        <v>0</v>
      </c>
      <c r="AY708" s="18">
        <v>134</v>
      </c>
      <c r="AZ708" s="18">
        <v>19</v>
      </c>
      <c r="BA708" s="18">
        <v>15</v>
      </c>
      <c r="BB708" s="18">
        <v>0.78947</v>
      </c>
      <c r="BC708" s="18">
        <v>0</v>
      </c>
      <c r="BD708" s="18">
        <v>0</v>
      </c>
      <c r="BE708" s="18">
        <v>2.68</v>
      </c>
      <c r="BF708" s="18">
        <v>109</v>
      </c>
      <c r="BG708" s="18">
        <v>7</v>
      </c>
      <c r="BH708" s="18">
        <v>1</v>
      </c>
      <c r="BI708" s="18">
        <v>1</v>
      </c>
      <c r="BJ708" s="18">
        <v>0</v>
      </c>
      <c r="BK708" s="18">
        <v>0</v>
      </c>
      <c r="BL708" s="18">
        <v>0</v>
      </c>
      <c r="BM708" s="18">
        <v>1</v>
      </c>
      <c r="BN708" s="18">
        <v>1</v>
      </c>
      <c r="BO708" s="18">
        <v>684.04</v>
      </c>
      <c r="BP708" s="18">
        <v>0</v>
      </c>
      <c r="BQ708" s="18">
        <v>92</v>
      </c>
      <c r="BR708" s="18">
        <v>0</v>
      </c>
      <c r="BS708" s="18">
        <v>0</v>
      </c>
      <c r="BT708" s="18">
        <v>0</v>
      </c>
      <c r="BU708" s="18">
        <v>0</v>
      </c>
    </row>
    <row r="709" spans="1:73">
      <c r="A709" s="19">
        <v>46126</v>
      </c>
      <c r="B709" s="18">
        <v>436</v>
      </c>
      <c r="C709" s="18" t="s">
        <v>38</v>
      </c>
      <c r="D709" s="18">
        <v>436</v>
      </c>
      <c r="E709" s="18" t="s">
        <v>38</v>
      </c>
      <c r="F709" s="18">
        <v>800</v>
      </c>
      <c r="G709" s="18">
        <v>27</v>
      </c>
      <c r="H709" s="18">
        <v>70.22</v>
      </c>
      <c r="I709" s="18">
        <v>0.03375</v>
      </c>
      <c r="J709" s="18">
        <v>2.6</v>
      </c>
      <c r="K709" s="18">
        <v>87.78</v>
      </c>
      <c r="L709" s="18">
        <v>0</v>
      </c>
      <c r="M709" s="18">
        <v>0</v>
      </c>
      <c r="N709" s="18">
        <v>0</v>
      </c>
      <c r="O709" s="18">
        <v>0</v>
      </c>
      <c r="P709" s="18">
        <v>0</v>
      </c>
      <c r="Q709" s="18">
        <v>0</v>
      </c>
      <c r="R709" s="18">
        <v>0</v>
      </c>
      <c r="S709" s="18">
        <v>143.64</v>
      </c>
      <c r="T709" s="18">
        <v>143.64</v>
      </c>
      <c r="U709" s="18">
        <v>1</v>
      </c>
      <c r="V709" s="18">
        <v>0</v>
      </c>
      <c r="W709" s="18">
        <v>1</v>
      </c>
      <c r="X709" s="18">
        <v>0.03704</v>
      </c>
      <c r="Y709" s="18">
        <v>2.05</v>
      </c>
      <c r="Z709" s="18">
        <v>2.05</v>
      </c>
      <c r="AA709" s="18">
        <v>70.22</v>
      </c>
      <c r="AB709" s="18">
        <v>1</v>
      </c>
      <c r="AC709" s="18">
        <v>0</v>
      </c>
      <c r="AD709" s="18">
        <v>1</v>
      </c>
      <c r="AE709" s="18">
        <v>0.03704</v>
      </c>
      <c r="AF709" s="18">
        <v>0</v>
      </c>
      <c r="AG709" s="18">
        <v>0</v>
      </c>
      <c r="AH709" s="18"/>
      <c r="AI709" s="18">
        <v>1</v>
      </c>
      <c r="AJ709" s="18">
        <v>70.22</v>
      </c>
      <c r="AK709" s="18">
        <v>1</v>
      </c>
      <c r="AL709" s="18">
        <v>70.22</v>
      </c>
      <c r="AM709" s="18">
        <v>0</v>
      </c>
      <c r="AN709" s="18"/>
      <c r="AO709" s="18">
        <v>0</v>
      </c>
      <c r="AP709" s="18">
        <v>70.22</v>
      </c>
      <c r="AQ709" s="18">
        <v>2</v>
      </c>
      <c r="AR709" s="18">
        <v>217.9</v>
      </c>
      <c r="AS709" s="18">
        <v>0</v>
      </c>
      <c r="AT709" s="18">
        <v>0</v>
      </c>
      <c r="AU709" s="18">
        <v>0</v>
      </c>
      <c r="AV709" s="18">
        <v>0</v>
      </c>
      <c r="AW709" s="18">
        <v>0</v>
      </c>
      <c r="AX709" s="18">
        <v>1</v>
      </c>
      <c r="AY709" s="18">
        <v>88</v>
      </c>
      <c r="AZ709" s="18">
        <v>26</v>
      </c>
      <c r="BA709" s="18">
        <v>14</v>
      </c>
      <c r="BB709" s="18">
        <v>0.53846</v>
      </c>
      <c r="BC709" s="18">
        <v>0</v>
      </c>
      <c r="BD709" s="18">
        <v>0</v>
      </c>
      <c r="BE709" s="18">
        <v>0.11</v>
      </c>
      <c r="BF709" s="18">
        <v>61</v>
      </c>
      <c r="BG709" s="18">
        <v>3</v>
      </c>
      <c r="BH709" s="18">
        <v>1</v>
      </c>
      <c r="BI709" s="18">
        <v>1</v>
      </c>
      <c r="BJ709" s="18">
        <v>0</v>
      </c>
      <c r="BK709" s="18">
        <v>0</v>
      </c>
      <c r="BL709" s="18">
        <v>0</v>
      </c>
      <c r="BM709" s="18">
        <v>1</v>
      </c>
      <c r="BN709" s="18">
        <v>1</v>
      </c>
      <c r="BO709" s="18">
        <v>143.64</v>
      </c>
      <c r="BP709" s="18">
        <v>7.16</v>
      </c>
      <c r="BQ709" s="18">
        <v>284</v>
      </c>
      <c r="BR709" s="18">
        <v>0</v>
      </c>
      <c r="BS709" s="18">
        <v>0</v>
      </c>
      <c r="BT709" s="18">
        <v>0</v>
      </c>
      <c r="BU709" s="18">
        <v>0</v>
      </c>
    </row>
    <row r="710" spans="1:73">
      <c r="A710" s="19">
        <v>46126</v>
      </c>
      <c r="B710" s="18">
        <v>372</v>
      </c>
      <c r="C710" s="18" t="s">
        <v>37</v>
      </c>
      <c r="D710" s="18">
        <v>372</v>
      </c>
      <c r="E710" s="18" t="s">
        <v>61</v>
      </c>
      <c r="F710" s="18">
        <v>2427</v>
      </c>
      <c r="G710" s="18">
        <v>47</v>
      </c>
      <c r="H710" s="18">
        <v>47.49</v>
      </c>
      <c r="I710" s="18">
        <v>0.01937</v>
      </c>
      <c r="J710" s="18">
        <v>1.01</v>
      </c>
      <c r="K710" s="18">
        <v>19.57</v>
      </c>
      <c r="L710" s="18">
        <v>0</v>
      </c>
      <c r="M710" s="18">
        <v>0</v>
      </c>
      <c r="N710" s="18">
        <v>0</v>
      </c>
      <c r="O710" s="18">
        <v>0</v>
      </c>
      <c r="P710" s="18">
        <v>0</v>
      </c>
      <c r="Q710" s="18">
        <v>0</v>
      </c>
      <c r="R710" s="18">
        <v>0</v>
      </c>
      <c r="S710" s="18">
        <v>0</v>
      </c>
      <c r="T710" s="18">
        <v>0</v>
      </c>
      <c r="U710" s="18">
        <v>0</v>
      </c>
      <c r="V710" s="18">
        <v>0</v>
      </c>
      <c r="W710" s="18">
        <v>0</v>
      </c>
      <c r="X710" s="18">
        <v>0</v>
      </c>
      <c r="Y710" s="18">
        <v>0</v>
      </c>
      <c r="Z710" s="18">
        <v>0</v>
      </c>
      <c r="AA710" s="18"/>
      <c r="AB710" s="18">
        <v>3</v>
      </c>
      <c r="AC710" s="18">
        <v>2</v>
      </c>
      <c r="AD710" s="18">
        <v>1</v>
      </c>
      <c r="AE710" s="18">
        <v>0.06383</v>
      </c>
      <c r="AF710" s="18">
        <v>0</v>
      </c>
      <c r="AG710" s="18">
        <v>0</v>
      </c>
      <c r="AH710" s="18"/>
      <c r="AI710" s="18">
        <v>3</v>
      </c>
      <c r="AJ710" s="18">
        <v>15.83</v>
      </c>
      <c r="AK710" s="18">
        <v>3</v>
      </c>
      <c r="AL710" s="18">
        <v>15.83</v>
      </c>
      <c r="AM710" s="18">
        <v>0</v>
      </c>
      <c r="AN710" s="18"/>
      <c r="AO710" s="18">
        <v>0</v>
      </c>
      <c r="AP710" s="18">
        <v>15.83</v>
      </c>
      <c r="AQ710" s="18">
        <v>0</v>
      </c>
      <c r="AR710" s="18">
        <v>0</v>
      </c>
      <c r="AS710" s="18">
        <v>0</v>
      </c>
      <c r="AT710" s="18">
        <v>0</v>
      </c>
      <c r="AU710" s="18">
        <v>0</v>
      </c>
      <c r="AV710" s="18">
        <v>0</v>
      </c>
      <c r="AW710" s="18">
        <v>0</v>
      </c>
      <c r="AX710" s="18">
        <v>0</v>
      </c>
      <c r="AY710" s="18">
        <v>85</v>
      </c>
      <c r="AZ710" s="18">
        <v>46</v>
      </c>
      <c r="BA710" s="18">
        <v>38</v>
      </c>
      <c r="BB710" s="18">
        <v>0.82609</v>
      </c>
      <c r="BC710" s="18">
        <v>0</v>
      </c>
      <c r="BD710" s="18">
        <v>0</v>
      </c>
      <c r="BE710" s="18">
        <v>0.03502</v>
      </c>
      <c r="BF710" s="18">
        <v>36</v>
      </c>
      <c r="BG710" s="18">
        <v>2</v>
      </c>
      <c r="BH710" s="18">
        <v>0</v>
      </c>
      <c r="BI710" s="18"/>
      <c r="BJ710" s="18">
        <v>0</v>
      </c>
      <c r="BK710" s="18">
        <v>0</v>
      </c>
      <c r="BL710" s="18">
        <v>0</v>
      </c>
      <c r="BM710" s="18">
        <v>0</v>
      </c>
      <c r="BN710" s="18"/>
      <c r="BO710" s="18"/>
      <c r="BP710" s="18">
        <v>34.19</v>
      </c>
      <c r="BQ710" s="18">
        <v>139</v>
      </c>
      <c r="BR710" s="18">
        <v>0</v>
      </c>
      <c r="BS710" s="18">
        <v>0</v>
      </c>
      <c r="BT710" s="18">
        <v>0</v>
      </c>
      <c r="BU710" s="18">
        <v>0</v>
      </c>
    </row>
    <row r="711" spans="1:73">
      <c r="A711" s="19">
        <v>46126</v>
      </c>
      <c r="B711" s="18">
        <v>183</v>
      </c>
      <c r="C711" s="18" t="s">
        <v>40</v>
      </c>
      <c r="D711" s="18">
        <v>183</v>
      </c>
      <c r="E711" s="18" t="s">
        <v>40</v>
      </c>
      <c r="F711" s="18">
        <v>1826</v>
      </c>
      <c r="G711" s="18">
        <v>63</v>
      </c>
      <c r="H711" s="18">
        <v>100</v>
      </c>
      <c r="I711" s="18">
        <v>0.0345</v>
      </c>
      <c r="J711" s="18">
        <v>1.59</v>
      </c>
      <c r="K711" s="18">
        <v>54.76</v>
      </c>
      <c r="L711" s="18">
        <v>0</v>
      </c>
      <c r="M711" s="18">
        <v>0</v>
      </c>
      <c r="N711" s="18">
        <v>0</v>
      </c>
      <c r="O711" s="18">
        <v>0</v>
      </c>
      <c r="P711" s="18">
        <v>0</v>
      </c>
      <c r="Q711" s="18">
        <v>0</v>
      </c>
      <c r="R711" s="18">
        <v>207.26</v>
      </c>
      <c r="S711" s="18">
        <v>89.21</v>
      </c>
      <c r="T711" s="18">
        <v>296.47</v>
      </c>
      <c r="U711" s="18">
        <v>4</v>
      </c>
      <c r="V711" s="18">
        <v>2</v>
      </c>
      <c r="W711" s="18">
        <v>2</v>
      </c>
      <c r="X711" s="18">
        <v>0.06349</v>
      </c>
      <c r="Y711" s="18">
        <v>2.96</v>
      </c>
      <c r="Z711" s="18">
        <v>2.96</v>
      </c>
      <c r="AA711" s="18">
        <v>25</v>
      </c>
      <c r="AB711" s="18">
        <v>10</v>
      </c>
      <c r="AC711" s="18">
        <v>3</v>
      </c>
      <c r="AD711" s="18">
        <v>7</v>
      </c>
      <c r="AE711" s="18">
        <v>0.15873</v>
      </c>
      <c r="AF711" s="18">
        <v>2</v>
      </c>
      <c r="AG711" s="18">
        <v>1</v>
      </c>
      <c r="AH711" s="18">
        <v>100</v>
      </c>
      <c r="AI711" s="18">
        <v>13</v>
      </c>
      <c r="AJ711" s="18">
        <v>7.69</v>
      </c>
      <c r="AK711" s="18">
        <v>12</v>
      </c>
      <c r="AL711" s="18">
        <v>8.33</v>
      </c>
      <c r="AM711" s="18">
        <v>3</v>
      </c>
      <c r="AN711" s="18">
        <v>50</v>
      </c>
      <c r="AO711" s="18">
        <v>0.03175</v>
      </c>
      <c r="AP711" s="18">
        <v>10</v>
      </c>
      <c r="AQ711" s="18">
        <v>5</v>
      </c>
      <c r="AR711" s="18">
        <v>435.8</v>
      </c>
      <c r="AS711" s="18">
        <v>2</v>
      </c>
      <c r="AT711" s="18">
        <v>0</v>
      </c>
      <c r="AU711" s="18">
        <v>0</v>
      </c>
      <c r="AV711" s="18">
        <v>0</v>
      </c>
      <c r="AW711" s="18">
        <v>0</v>
      </c>
      <c r="AX711" s="18">
        <v>0</v>
      </c>
      <c r="AY711" s="18">
        <v>421</v>
      </c>
      <c r="AZ711" s="18">
        <v>88</v>
      </c>
      <c r="BA711" s="18">
        <v>53</v>
      </c>
      <c r="BB711" s="18">
        <v>0.60227</v>
      </c>
      <c r="BC711" s="18">
        <v>0</v>
      </c>
      <c r="BD711" s="18">
        <v>0</v>
      </c>
      <c r="BE711" s="18">
        <v>0.23056</v>
      </c>
      <c r="BF711" s="18">
        <v>210</v>
      </c>
      <c r="BG711" s="18">
        <v>5</v>
      </c>
      <c r="BH711" s="18">
        <v>2</v>
      </c>
      <c r="BI711" s="18">
        <v>1</v>
      </c>
      <c r="BJ711" s="18">
        <v>0</v>
      </c>
      <c r="BK711" s="18">
        <v>0</v>
      </c>
      <c r="BL711" s="18">
        <v>0</v>
      </c>
      <c r="BM711" s="18">
        <v>2</v>
      </c>
      <c r="BN711" s="18">
        <v>2</v>
      </c>
      <c r="BO711" s="18">
        <v>148.24</v>
      </c>
      <c r="BP711" s="18">
        <v>0.03</v>
      </c>
      <c r="BQ711" s="18">
        <v>658</v>
      </c>
      <c r="BR711" s="18">
        <v>9</v>
      </c>
      <c r="BS711" s="18">
        <v>149.99</v>
      </c>
      <c r="BT711" s="18">
        <v>1</v>
      </c>
      <c r="BU711" s="18">
        <v>1</v>
      </c>
    </row>
    <row r="712" spans="1:73">
      <c r="A712" s="19">
        <v>46125</v>
      </c>
      <c r="B712" s="18">
        <v>479</v>
      </c>
      <c r="C712" s="18" t="s">
        <v>39</v>
      </c>
      <c r="D712" s="18">
        <v>479</v>
      </c>
      <c r="E712" s="18" t="s">
        <v>39</v>
      </c>
      <c r="F712" s="18">
        <v>38</v>
      </c>
      <c r="G712" s="18">
        <v>20</v>
      </c>
      <c r="H712" s="18">
        <v>12.57</v>
      </c>
      <c r="I712" s="18">
        <v>0.52632</v>
      </c>
      <c r="J712" s="18">
        <v>0.63</v>
      </c>
      <c r="K712" s="18">
        <v>330.76</v>
      </c>
      <c r="L712" s="18">
        <v>0</v>
      </c>
      <c r="M712" s="18">
        <v>0</v>
      </c>
      <c r="N712" s="18">
        <v>0</v>
      </c>
      <c r="O712" s="18">
        <v>0</v>
      </c>
      <c r="P712" s="18">
        <v>0</v>
      </c>
      <c r="Q712" s="18">
        <v>0</v>
      </c>
      <c r="R712" s="18">
        <v>0</v>
      </c>
      <c r="S712" s="18">
        <v>0</v>
      </c>
      <c r="T712" s="18">
        <v>0</v>
      </c>
      <c r="U712" s="18">
        <v>0</v>
      </c>
      <c r="V712" s="18">
        <v>0</v>
      </c>
      <c r="W712" s="18">
        <v>0</v>
      </c>
      <c r="X712" s="18">
        <v>0</v>
      </c>
      <c r="Y712" s="18">
        <v>0</v>
      </c>
      <c r="Z712" s="18">
        <v>0</v>
      </c>
      <c r="AA712" s="18"/>
      <c r="AB712" s="18">
        <v>0</v>
      </c>
      <c r="AC712" s="18">
        <v>0</v>
      </c>
      <c r="AD712" s="18">
        <v>0</v>
      </c>
      <c r="AE712" s="18">
        <v>0</v>
      </c>
      <c r="AF712" s="18">
        <v>0</v>
      </c>
      <c r="AG712" s="18">
        <v>1</v>
      </c>
      <c r="AH712" s="18">
        <v>12.57</v>
      </c>
      <c r="AI712" s="18">
        <v>1</v>
      </c>
      <c r="AJ712" s="18">
        <v>12.57</v>
      </c>
      <c r="AK712" s="18">
        <v>0</v>
      </c>
      <c r="AL712" s="18"/>
      <c r="AM712" s="18">
        <v>1</v>
      </c>
      <c r="AN712" s="18"/>
      <c r="AO712" s="18">
        <v>0</v>
      </c>
      <c r="AP712" s="18"/>
      <c r="AQ712" s="18">
        <v>0</v>
      </c>
      <c r="AR712" s="18">
        <v>0</v>
      </c>
      <c r="AS712" s="18">
        <v>0</v>
      </c>
      <c r="AT712" s="18">
        <v>0</v>
      </c>
      <c r="AU712" s="18">
        <v>0</v>
      </c>
      <c r="AV712" s="18">
        <v>0</v>
      </c>
      <c r="AW712" s="18">
        <v>0</v>
      </c>
      <c r="AX712" s="18">
        <v>0</v>
      </c>
      <c r="AY712" s="18">
        <v>155</v>
      </c>
      <c r="AZ712" s="18">
        <v>18</v>
      </c>
      <c r="BA712" s="18">
        <v>6</v>
      </c>
      <c r="BB712" s="18">
        <v>0.33333</v>
      </c>
      <c r="BC712" s="18">
        <v>0</v>
      </c>
      <c r="BD712" s="18">
        <v>0</v>
      </c>
      <c r="BE712" s="18">
        <v>4.07895</v>
      </c>
      <c r="BF712" s="18">
        <v>133</v>
      </c>
      <c r="BG712" s="18">
        <v>9</v>
      </c>
      <c r="BH712" s="18">
        <v>0</v>
      </c>
      <c r="BI712" s="18"/>
      <c r="BJ712" s="18">
        <v>0</v>
      </c>
      <c r="BK712" s="18">
        <v>0</v>
      </c>
      <c r="BL712" s="18">
        <v>0</v>
      </c>
      <c r="BM712" s="18">
        <v>0</v>
      </c>
      <c r="BN712" s="18"/>
      <c r="BO712" s="18"/>
      <c r="BP712" s="18">
        <v>0.97</v>
      </c>
      <c r="BQ712" s="18">
        <v>53</v>
      </c>
      <c r="BR712" s="18">
        <v>0</v>
      </c>
      <c r="BS712" s="18">
        <v>0</v>
      </c>
      <c r="BT712" s="18">
        <v>0</v>
      </c>
      <c r="BU712" s="18">
        <v>0</v>
      </c>
    </row>
    <row r="713" spans="1:73">
      <c r="A713" s="19">
        <v>46125</v>
      </c>
      <c r="B713" s="18">
        <v>372</v>
      </c>
      <c r="C713" s="18" t="s">
        <v>37</v>
      </c>
      <c r="D713" s="18">
        <v>372</v>
      </c>
      <c r="E713" s="18" t="s">
        <v>61</v>
      </c>
      <c r="F713" s="18">
        <v>3984</v>
      </c>
      <c r="G713" s="18">
        <v>67</v>
      </c>
      <c r="H713" s="18">
        <v>48.82</v>
      </c>
      <c r="I713" s="18">
        <v>0.01682</v>
      </c>
      <c r="J713" s="18">
        <v>0.73</v>
      </c>
      <c r="K713" s="18">
        <v>12.25</v>
      </c>
      <c r="L713" s="18">
        <v>0</v>
      </c>
      <c r="M713" s="18">
        <v>0</v>
      </c>
      <c r="N713" s="18">
        <v>0</v>
      </c>
      <c r="O713" s="18">
        <v>0</v>
      </c>
      <c r="P713" s="18">
        <v>0</v>
      </c>
      <c r="Q713" s="18">
        <v>0</v>
      </c>
      <c r="R713" s="18">
        <v>0</v>
      </c>
      <c r="S713" s="18">
        <v>0</v>
      </c>
      <c r="T713" s="18">
        <v>0</v>
      </c>
      <c r="U713" s="18">
        <v>0</v>
      </c>
      <c r="V713" s="18">
        <v>0</v>
      </c>
      <c r="W713" s="18">
        <v>0</v>
      </c>
      <c r="X713" s="18">
        <v>0</v>
      </c>
      <c r="Y713" s="18">
        <v>0</v>
      </c>
      <c r="Z713" s="18">
        <v>0</v>
      </c>
      <c r="AA713" s="18"/>
      <c r="AB713" s="18">
        <v>1</v>
      </c>
      <c r="AC713" s="18">
        <v>1</v>
      </c>
      <c r="AD713" s="18">
        <v>0</v>
      </c>
      <c r="AE713" s="18">
        <v>0.01493</v>
      </c>
      <c r="AF713" s="18">
        <v>0</v>
      </c>
      <c r="AG713" s="18">
        <v>0</v>
      </c>
      <c r="AH713" s="18"/>
      <c r="AI713" s="18">
        <v>1</v>
      </c>
      <c r="AJ713" s="18">
        <v>48.82</v>
      </c>
      <c r="AK713" s="18">
        <v>1</v>
      </c>
      <c r="AL713" s="18">
        <v>48.82</v>
      </c>
      <c r="AM713" s="18">
        <v>0</v>
      </c>
      <c r="AN713" s="18"/>
      <c r="AO713" s="18">
        <v>0</v>
      </c>
      <c r="AP713" s="18">
        <v>48.82</v>
      </c>
      <c r="AQ713" s="18">
        <v>0</v>
      </c>
      <c r="AR713" s="18">
        <v>0</v>
      </c>
      <c r="AS713" s="18">
        <v>0</v>
      </c>
      <c r="AT713" s="18">
        <v>0</v>
      </c>
      <c r="AU713" s="18">
        <v>0</v>
      </c>
      <c r="AV713" s="18">
        <v>0</v>
      </c>
      <c r="AW713" s="18">
        <v>0</v>
      </c>
      <c r="AX713" s="18">
        <v>0</v>
      </c>
      <c r="AY713" s="18">
        <v>93</v>
      </c>
      <c r="AZ713" s="18">
        <v>64</v>
      </c>
      <c r="BA713" s="18">
        <v>56</v>
      </c>
      <c r="BB713" s="18">
        <v>0.875</v>
      </c>
      <c r="BC713" s="18">
        <v>0</v>
      </c>
      <c r="BD713" s="18">
        <v>0</v>
      </c>
      <c r="BE713" s="18">
        <v>0.02334</v>
      </c>
      <c r="BF713" s="18">
        <v>22</v>
      </c>
      <c r="BG713" s="18">
        <v>1</v>
      </c>
      <c r="BH713" s="18">
        <v>0</v>
      </c>
      <c r="BI713" s="18"/>
      <c r="BJ713" s="18">
        <v>0</v>
      </c>
      <c r="BK713" s="18">
        <v>0</v>
      </c>
      <c r="BL713" s="18">
        <v>0</v>
      </c>
      <c r="BM713" s="18">
        <v>0</v>
      </c>
      <c r="BN713" s="18"/>
      <c r="BO713" s="18"/>
      <c r="BP713" s="18">
        <v>11.12</v>
      </c>
      <c r="BQ713" s="18">
        <v>84</v>
      </c>
      <c r="BR713" s="18">
        <v>0</v>
      </c>
      <c r="BS713" s="18">
        <v>0</v>
      </c>
      <c r="BT713" s="18">
        <v>0</v>
      </c>
      <c r="BU713" s="18">
        <v>0</v>
      </c>
    </row>
    <row r="714" spans="1:73">
      <c r="A714" s="19">
        <v>46125</v>
      </c>
      <c r="B714" s="18">
        <v>436</v>
      </c>
      <c r="C714" s="18" t="s">
        <v>38</v>
      </c>
      <c r="D714" s="18">
        <v>436</v>
      </c>
      <c r="E714" s="18" t="s">
        <v>38</v>
      </c>
      <c r="F714" s="18">
        <v>1301</v>
      </c>
      <c r="G714" s="18">
        <v>45</v>
      </c>
      <c r="H714" s="18">
        <v>64.98</v>
      </c>
      <c r="I714" s="18">
        <v>0.03459</v>
      </c>
      <c r="J714" s="18">
        <v>1.44</v>
      </c>
      <c r="K714" s="18">
        <v>49.95</v>
      </c>
      <c r="L714" s="18">
        <v>0</v>
      </c>
      <c r="M714" s="18">
        <v>0</v>
      </c>
      <c r="N714" s="18">
        <v>0</v>
      </c>
      <c r="O714" s="18">
        <v>0</v>
      </c>
      <c r="P714" s="18">
        <v>0</v>
      </c>
      <c r="Q714" s="18">
        <v>0</v>
      </c>
      <c r="R714" s="18">
        <v>0</v>
      </c>
      <c r="S714" s="18">
        <v>150.91</v>
      </c>
      <c r="T714" s="18">
        <v>150.91</v>
      </c>
      <c r="U714" s="18">
        <v>1</v>
      </c>
      <c r="V714" s="18">
        <v>0</v>
      </c>
      <c r="W714" s="18">
        <v>1</v>
      </c>
      <c r="X714" s="18">
        <v>0.02222</v>
      </c>
      <c r="Y714" s="18">
        <v>2.32</v>
      </c>
      <c r="Z714" s="18">
        <v>2.32</v>
      </c>
      <c r="AA714" s="18">
        <v>64.98</v>
      </c>
      <c r="AB714" s="18">
        <v>3</v>
      </c>
      <c r="AC714" s="18">
        <v>1</v>
      </c>
      <c r="AD714" s="18">
        <v>2</v>
      </c>
      <c r="AE714" s="18">
        <v>0.06667</v>
      </c>
      <c r="AF714" s="18">
        <v>0</v>
      </c>
      <c r="AG714" s="18">
        <v>1</v>
      </c>
      <c r="AH714" s="18">
        <v>64.98</v>
      </c>
      <c r="AI714" s="18">
        <v>4</v>
      </c>
      <c r="AJ714" s="18">
        <v>16.25</v>
      </c>
      <c r="AK714" s="18">
        <v>3</v>
      </c>
      <c r="AL714" s="18">
        <v>21.66</v>
      </c>
      <c r="AM714" s="18">
        <v>1</v>
      </c>
      <c r="AN714" s="18"/>
      <c r="AO714" s="18">
        <v>0</v>
      </c>
      <c r="AP714" s="18">
        <v>21.66</v>
      </c>
      <c r="AQ714" s="18">
        <v>2</v>
      </c>
      <c r="AR714" s="18">
        <v>217.9</v>
      </c>
      <c r="AS714" s="18">
        <v>0</v>
      </c>
      <c r="AT714" s="18">
        <v>0</v>
      </c>
      <c r="AU714" s="18">
        <v>0</v>
      </c>
      <c r="AV714" s="18">
        <v>0</v>
      </c>
      <c r="AW714" s="18">
        <v>0</v>
      </c>
      <c r="AX714" s="18">
        <v>5</v>
      </c>
      <c r="AY714" s="18">
        <v>315</v>
      </c>
      <c r="AZ714" s="18">
        <v>42</v>
      </c>
      <c r="BA714" s="18">
        <v>32</v>
      </c>
      <c r="BB714" s="18">
        <v>0.7619</v>
      </c>
      <c r="BC714" s="18">
        <v>0</v>
      </c>
      <c r="BD714" s="18">
        <v>0</v>
      </c>
      <c r="BE714" s="18">
        <v>0.24212</v>
      </c>
      <c r="BF714" s="18">
        <v>264</v>
      </c>
      <c r="BG714" s="18">
        <v>8</v>
      </c>
      <c r="BH714" s="18">
        <v>1</v>
      </c>
      <c r="BI714" s="18">
        <v>1</v>
      </c>
      <c r="BJ714" s="18">
        <v>0</v>
      </c>
      <c r="BK714" s="18">
        <v>0</v>
      </c>
      <c r="BL714" s="18">
        <v>0</v>
      </c>
      <c r="BM714" s="18">
        <v>1</v>
      </c>
      <c r="BN714" s="18">
        <v>1</v>
      </c>
      <c r="BO714" s="18">
        <v>150.91</v>
      </c>
      <c r="BP714" s="18">
        <v>80.8</v>
      </c>
      <c r="BQ714" s="18">
        <v>381</v>
      </c>
      <c r="BR714" s="18">
        <v>0</v>
      </c>
      <c r="BS714" s="18">
        <v>0</v>
      </c>
      <c r="BT714" s="18">
        <v>0</v>
      </c>
      <c r="BU714" s="18">
        <v>0</v>
      </c>
    </row>
    <row r="715" spans="1:73">
      <c r="A715" s="19">
        <v>46125</v>
      </c>
      <c r="B715" s="18">
        <v>371</v>
      </c>
      <c r="C715" s="18" t="s">
        <v>32</v>
      </c>
      <c r="D715" s="18">
        <v>371</v>
      </c>
      <c r="E715" s="18" t="s">
        <v>32</v>
      </c>
      <c r="F715" s="18">
        <v>7731</v>
      </c>
      <c r="G715" s="18">
        <v>274</v>
      </c>
      <c r="H715" s="18">
        <v>71</v>
      </c>
      <c r="I715" s="18">
        <v>0.03544</v>
      </c>
      <c r="J715" s="18">
        <v>0.26</v>
      </c>
      <c r="K715" s="18">
        <v>9.18</v>
      </c>
      <c r="L715" s="18">
        <v>0</v>
      </c>
      <c r="M715" s="18">
        <v>0</v>
      </c>
      <c r="N715" s="18">
        <v>0</v>
      </c>
      <c r="O715" s="18">
        <v>0</v>
      </c>
      <c r="P715" s="18">
        <v>0</v>
      </c>
      <c r="Q715" s="18">
        <v>0</v>
      </c>
      <c r="R715" s="18">
        <v>147.64</v>
      </c>
      <c r="S715" s="18">
        <v>0</v>
      </c>
      <c r="T715" s="18">
        <v>147.64</v>
      </c>
      <c r="U715" s="18">
        <v>1</v>
      </c>
      <c r="V715" s="18">
        <v>1</v>
      </c>
      <c r="W715" s="18">
        <v>0</v>
      </c>
      <c r="X715" s="18">
        <v>0.00365</v>
      </c>
      <c r="Y715" s="18">
        <v>2.08</v>
      </c>
      <c r="Z715" s="18">
        <v>2.08</v>
      </c>
      <c r="AA715" s="18">
        <v>71</v>
      </c>
      <c r="AB715" s="18">
        <v>3</v>
      </c>
      <c r="AC715" s="18">
        <v>2</v>
      </c>
      <c r="AD715" s="18">
        <v>1</v>
      </c>
      <c r="AE715" s="18">
        <v>0.01095</v>
      </c>
      <c r="AF715" s="18">
        <v>1</v>
      </c>
      <c r="AG715" s="18">
        <v>1</v>
      </c>
      <c r="AH715" s="18">
        <v>71</v>
      </c>
      <c r="AI715" s="18">
        <v>5</v>
      </c>
      <c r="AJ715" s="18">
        <v>14.2</v>
      </c>
      <c r="AK715" s="18">
        <v>4</v>
      </c>
      <c r="AL715" s="18">
        <v>17.75</v>
      </c>
      <c r="AM715" s="18">
        <v>2</v>
      </c>
      <c r="AN715" s="18">
        <v>71</v>
      </c>
      <c r="AO715" s="18">
        <v>0.00365</v>
      </c>
      <c r="AP715" s="18">
        <v>23.67</v>
      </c>
      <c r="AQ715" s="18">
        <v>4</v>
      </c>
      <c r="AR715" s="18">
        <v>2085.9</v>
      </c>
      <c r="AS715" s="18">
        <v>1</v>
      </c>
      <c r="AT715" s="18">
        <v>0</v>
      </c>
      <c r="AU715" s="18">
        <v>0</v>
      </c>
      <c r="AV715" s="18">
        <v>0</v>
      </c>
      <c r="AW715" s="18">
        <v>0</v>
      </c>
      <c r="AX715" s="18">
        <v>0</v>
      </c>
      <c r="AY715" s="18">
        <v>526</v>
      </c>
      <c r="AZ715" s="18">
        <v>283</v>
      </c>
      <c r="BA715" s="18">
        <v>264</v>
      </c>
      <c r="BB715" s="18">
        <v>0.93286</v>
      </c>
      <c r="BC715" s="18">
        <v>0</v>
      </c>
      <c r="BD715" s="18">
        <v>0</v>
      </c>
      <c r="BE715" s="18">
        <v>0.06804</v>
      </c>
      <c r="BF715" s="18">
        <v>196</v>
      </c>
      <c r="BG715" s="18">
        <v>2</v>
      </c>
      <c r="BH715" s="18">
        <v>1</v>
      </c>
      <c r="BI715" s="18">
        <v>1</v>
      </c>
      <c r="BJ715" s="18">
        <v>0</v>
      </c>
      <c r="BK715" s="18">
        <v>0</v>
      </c>
      <c r="BL715" s="18">
        <v>0</v>
      </c>
      <c r="BM715" s="18">
        <v>1</v>
      </c>
      <c r="BN715" s="18">
        <v>1</v>
      </c>
      <c r="BO715" s="18">
        <v>147.64</v>
      </c>
      <c r="BP715" s="18">
        <v>65.37</v>
      </c>
      <c r="BQ715" s="18">
        <v>397</v>
      </c>
      <c r="BR715" s="18">
        <v>0</v>
      </c>
      <c r="BS715" s="18">
        <v>0</v>
      </c>
      <c r="BT715" s="18">
        <v>0</v>
      </c>
      <c r="BU715" s="18">
        <v>0</v>
      </c>
    </row>
    <row r="716" spans="1:73">
      <c r="A716" s="19">
        <v>46125</v>
      </c>
      <c r="B716" s="18">
        <v>183</v>
      </c>
      <c r="C716" s="18" t="s">
        <v>40</v>
      </c>
      <c r="D716" s="18">
        <v>183</v>
      </c>
      <c r="E716" s="18" t="s">
        <v>40</v>
      </c>
      <c r="F716" s="18">
        <v>1333</v>
      </c>
      <c r="G716" s="18">
        <v>61</v>
      </c>
      <c r="H716" s="18">
        <v>100</v>
      </c>
      <c r="I716" s="18">
        <v>0.04576</v>
      </c>
      <c r="J716" s="18">
        <v>1.64</v>
      </c>
      <c r="K716" s="18">
        <v>75.02</v>
      </c>
      <c r="L716" s="18">
        <v>0</v>
      </c>
      <c r="M716" s="18">
        <v>0</v>
      </c>
      <c r="N716" s="18">
        <v>0</v>
      </c>
      <c r="O716" s="18">
        <v>0</v>
      </c>
      <c r="P716" s="18">
        <v>0</v>
      </c>
      <c r="Q716" s="18">
        <v>0</v>
      </c>
      <c r="R716" s="18">
        <v>0</v>
      </c>
      <c r="S716" s="18">
        <v>147.64</v>
      </c>
      <c r="T716" s="18">
        <v>147.64</v>
      </c>
      <c r="U716" s="18">
        <v>1</v>
      </c>
      <c r="V716" s="18">
        <v>0</v>
      </c>
      <c r="W716" s="18">
        <v>1</v>
      </c>
      <c r="X716" s="18">
        <v>0.01639</v>
      </c>
      <c r="Y716" s="18">
        <v>1.48</v>
      </c>
      <c r="Z716" s="18">
        <v>1.48</v>
      </c>
      <c r="AA716" s="18">
        <v>100</v>
      </c>
      <c r="AB716" s="18">
        <v>3</v>
      </c>
      <c r="AC716" s="18">
        <v>0</v>
      </c>
      <c r="AD716" s="18">
        <v>3</v>
      </c>
      <c r="AE716" s="18">
        <v>0.04918</v>
      </c>
      <c r="AF716" s="18">
        <v>0</v>
      </c>
      <c r="AG716" s="18">
        <v>1</v>
      </c>
      <c r="AH716" s="18">
        <v>100</v>
      </c>
      <c r="AI716" s="18">
        <v>4</v>
      </c>
      <c r="AJ716" s="18">
        <v>25</v>
      </c>
      <c r="AK716" s="18">
        <v>3</v>
      </c>
      <c r="AL716" s="18">
        <v>33.33</v>
      </c>
      <c r="AM716" s="18">
        <v>1</v>
      </c>
      <c r="AN716" s="18"/>
      <c r="AO716" s="18">
        <v>0</v>
      </c>
      <c r="AP716" s="18">
        <v>33.33</v>
      </c>
      <c r="AQ716" s="18">
        <v>2</v>
      </c>
      <c r="AR716" s="18">
        <v>217.9</v>
      </c>
      <c r="AS716" s="18">
        <v>0</v>
      </c>
      <c r="AT716" s="18">
        <v>0</v>
      </c>
      <c r="AU716" s="18">
        <v>0</v>
      </c>
      <c r="AV716" s="18">
        <v>0</v>
      </c>
      <c r="AW716" s="18">
        <v>0</v>
      </c>
      <c r="AX716" s="18">
        <v>0</v>
      </c>
      <c r="AY716" s="18">
        <v>322</v>
      </c>
      <c r="AZ716" s="18">
        <v>60</v>
      </c>
      <c r="BA716" s="18">
        <v>28</v>
      </c>
      <c r="BB716" s="18">
        <v>0.46667</v>
      </c>
      <c r="BC716" s="18">
        <v>0</v>
      </c>
      <c r="BD716" s="18">
        <v>0</v>
      </c>
      <c r="BE716" s="18">
        <v>0.24156</v>
      </c>
      <c r="BF716" s="18">
        <v>222</v>
      </c>
      <c r="BG716" s="18">
        <v>5</v>
      </c>
      <c r="BH716" s="18">
        <v>1</v>
      </c>
      <c r="BI716" s="18">
        <v>1</v>
      </c>
      <c r="BJ716" s="18">
        <v>0</v>
      </c>
      <c r="BK716" s="18">
        <v>0</v>
      </c>
      <c r="BL716" s="18">
        <v>0</v>
      </c>
      <c r="BM716" s="18">
        <v>1</v>
      </c>
      <c r="BN716" s="18">
        <v>1</v>
      </c>
      <c r="BO716" s="18">
        <v>147.64</v>
      </c>
      <c r="BP716" s="18">
        <v>64.13</v>
      </c>
      <c r="BQ716" s="18">
        <v>299</v>
      </c>
      <c r="BR716" s="18">
        <v>0</v>
      </c>
      <c r="BS716" s="18">
        <v>0</v>
      </c>
      <c r="BT716" s="18">
        <v>0</v>
      </c>
      <c r="BU716" s="18">
        <v>0</v>
      </c>
    </row>
    <row r="717" spans="1:73">
      <c r="A717" s="19">
        <v>46124</v>
      </c>
      <c r="B717" s="18">
        <v>371</v>
      </c>
      <c r="C717" s="18" t="s">
        <v>32</v>
      </c>
      <c r="D717" s="18">
        <v>371</v>
      </c>
      <c r="E717" s="18" t="s">
        <v>32</v>
      </c>
      <c r="F717" s="18">
        <v>6234</v>
      </c>
      <c r="G717" s="18">
        <v>235</v>
      </c>
      <c r="H717" s="18">
        <v>53.5</v>
      </c>
      <c r="I717" s="18">
        <v>0.0377</v>
      </c>
      <c r="J717" s="18">
        <v>0.23</v>
      </c>
      <c r="K717" s="18">
        <v>8.58</v>
      </c>
      <c r="L717" s="18">
        <v>0</v>
      </c>
      <c r="M717" s="18">
        <v>0</v>
      </c>
      <c r="N717" s="18">
        <v>0</v>
      </c>
      <c r="O717" s="18">
        <v>0</v>
      </c>
      <c r="P717" s="18">
        <v>0</v>
      </c>
      <c r="Q717" s="18">
        <v>0</v>
      </c>
      <c r="R717" s="18">
        <v>0</v>
      </c>
      <c r="S717" s="18">
        <v>0</v>
      </c>
      <c r="T717" s="18">
        <v>0</v>
      </c>
      <c r="U717" s="18">
        <v>0</v>
      </c>
      <c r="V717" s="18">
        <v>0</v>
      </c>
      <c r="W717" s="18">
        <v>0</v>
      </c>
      <c r="X717" s="18">
        <v>0</v>
      </c>
      <c r="Y717" s="18">
        <v>0</v>
      </c>
      <c r="Z717" s="18">
        <v>0</v>
      </c>
      <c r="AA717" s="18"/>
      <c r="AB717" s="18">
        <v>2</v>
      </c>
      <c r="AC717" s="18">
        <v>2</v>
      </c>
      <c r="AD717" s="18">
        <v>0</v>
      </c>
      <c r="AE717" s="18">
        <v>0.00851</v>
      </c>
      <c r="AF717" s="18">
        <v>1</v>
      </c>
      <c r="AG717" s="18">
        <v>0</v>
      </c>
      <c r="AH717" s="18"/>
      <c r="AI717" s="18">
        <v>3</v>
      </c>
      <c r="AJ717" s="18">
        <v>17.83</v>
      </c>
      <c r="AK717" s="18">
        <v>3</v>
      </c>
      <c r="AL717" s="18">
        <v>17.83</v>
      </c>
      <c r="AM717" s="18">
        <v>1</v>
      </c>
      <c r="AN717" s="18">
        <v>53.5</v>
      </c>
      <c r="AO717" s="18">
        <v>0.00426</v>
      </c>
      <c r="AP717" s="18">
        <v>26.75</v>
      </c>
      <c r="AQ717" s="18">
        <v>0</v>
      </c>
      <c r="AR717" s="18">
        <v>0</v>
      </c>
      <c r="AS717" s="18">
        <v>0</v>
      </c>
      <c r="AT717" s="18">
        <v>1</v>
      </c>
      <c r="AU717" s="18">
        <v>0</v>
      </c>
      <c r="AV717" s="18">
        <v>0</v>
      </c>
      <c r="AW717" s="18">
        <v>0</v>
      </c>
      <c r="AX717" s="18">
        <v>0</v>
      </c>
      <c r="AY717" s="18">
        <v>342</v>
      </c>
      <c r="AZ717" s="18">
        <v>249</v>
      </c>
      <c r="BA717" s="18">
        <v>236</v>
      </c>
      <c r="BB717" s="18">
        <v>0.94779</v>
      </c>
      <c r="BC717" s="18">
        <v>0</v>
      </c>
      <c r="BD717" s="18">
        <v>0</v>
      </c>
      <c r="BE717" s="18">
        <v>0.05486</v>
      </c>
      <c r="BF717" s="18">
        <v>63</v>
      </c>
      <c r="BG717" s="18">
        <v>1</v>
      </c>
      <c r="BH717" s="18">
        <v>0</v>
      </c>
      <c r="BI717" s="18"/>
      <c r="BJ717" s="18">
        <v>0</v>
      </c>
      <c r="BK717" s="18">
        <v>0</v>
      </c>
      <c r="BL717" s="18">
        <v>0</v>
      </c>
      <c r="BM717" s="18">
        <v>0</v>
      </c>
      <c r="BN717" s="18"/>
      <c r="BO717" s="18"/>
      <c r="BP717" s="18">
        <v>0.23</v>
      </c>
      <c r="BQ717" s="18">
        <v>87</v>
      </c>
      <c r="BR717" s="18">
        <v>0</v>
      </c>
      <c r="BS717" s="18">
        <v>0</v>
      </c>
      <c r="BT717" s="18">
        <v>0</v>
      </c>
      <c r="BU717" s="18">
        <v>0</v>
      </c>
    </row>
    <row r="718" spans="1:73">
      <c r="A718" s="19">
        <v>46124</v>
      </c>
      <c r="B718" s="18">
        <v>436</v>
      </c>
      <c r="C718" s="18" t="s">
        <v>38</v>
      </c>
      <c r="D718" s="18">
        <v>436</v>
      </c>
      <c r="E718" s="18" t="s">
        <v>38</v>
      </c>
      <c r="F718" s="18">
        <v>994</v>
      </c>
      <c r="G718" s="18">
        <v>43</v>
      </c>
      <c r="H718" s="18">
        <v>51.22</v>
      </c>
      <c r="I718" s="18">
        <v>0.04326</v>
      </c>
      <c r="J718" s="18">
        <v>1.19</v>
      </c>
      <c r="K718" s="18">
        <v>51.53</v>
      </c>
      <c r="L718" s="18">
        <v>0</v>
      </c>
      <c r="M718" s="18">
        <v>0</v>
      </c>
      <c r="N718" s="18">
        <v>0</v>
      </c>
      <c r="O718" s="18">
        <v>0</v>
      </c>
      <c r="P718" s="18">
        <v>0</v>
      </c>
      <c r="Q718" s="18">
        <v>0</v>
      </c>
      <c r="R718" s="18">
        <v>0</v>
      </c>
      <c r="S718" s="18">
        <v>195.9</v>
      </c>
      <c r="T718" s="18">
        <v>195.9</v>
      </c>
      <c r="U718" s="18">
        <v>2</v>
      </c>
      <c r="V718" s="18">
        <v>0</v>
      </c>
      <c r="W718" s="18">
        <v>2</v>
      </c>
      <c r="X718" s="18">
        <v>0.04651</v>
      </c>
      <c r="Y718" s="18">
        <v>3.82</v>
      </c>
      <c r="Z718" s="18">
        <v>3.82</v>
      </c>
      <c r="AA718" s="18">
        <v>25.61</v>
      </c>
      <c r="AB718" s="18">
        <v>4</v>
      </c>
      <c r="AC718" s="18">
        <v>0</v>
      </c>
      <c r="AD718" s="18">
        <v>4</v>
      </c>
      <c r="AE718" s="18">
        <v>0.09302</v>
      </c>
      <c r="AF718" s="18">
        <v>3</v>
      </c>
      <c r="AG718" s="18">
        <v>0</v>
      </c>
      <c r="AH718" s="18"/>
      <c r="AI718" s="18">
        <v>7</v>
      </c>
      <c r="AJ718" s="18">
        <v>7.32</v>
      </c>
      <c r="AK718" s="18">
        <v>7</v>
      </c>
      <c r="AL718" s="18">
        <v>7.32</v>
      </c>
      <c r="AM718" s="18">
        <v>3</v>
      </c>
      <c r="AN718" s="18">
        <v>17.07</v>
      </c>
      <c r="AO718" s="18">
        <v>0.06977</v>
      </c>
      <c r="AP718" s="18">
        <v>12.81</v>
      </c>
      <c r="AQ718" s="18">
        <v>3</v>
      </c>
      <c r="AR718" s="18">
        <v>267.8</v>
      </c>
      <c r="AS718" s="18">
        <v>2</v>
      </c>
      <c r="AT718" s="18">
        <v>1</v>
      </c>
      <c r="AU718" s="18">
        <v>0</v>
      </c>
      <c r="AV718" s="18">
        <v>0</v>
      </c>
      <c r="AW718" s="18">
        <v>0</v>
      </c>
      <c r="AX718" s="18">
        <v>3</v>
      </c>
      <c r="AY718" s="18">
        <v>122</v>
      </c>
      <c r="AZ718" s="18">
        <v>38</v>
      </c>
      <c r="BA718" s="18">
        <v>24</v>
      </c>
      <c r="BB718" s="18">
        <v>0.63158</v>
      </c>
      <c r="BC718" s="18">
        <v>0</v>
      </c>
      <c r="BD718" s="18">
        <v>0</v>
      </c>
      <c r="BE718" s="18">
        <v>0.12274</v>
      </c>
      <c r="BF718" s="18">
        <v>75</v>
      </c>
      <c r="BG718" s="18">
        <v>3</v>
      </c>
      <c r="BH718" s="18">
        <v>2</v>
      </c>
      <c r="BI718" s="18">
        <v>1</v>
      </c>
      <c r="BJ718" s="18">
        <v>0</v>
      </c>
      <c r="BK718" s="18">
        <v>0</v>
      </c>
      <c r="BL718" s="18">
        <v>0</v>
      </c>
      <c r="BM718" s="18">
        <v>2</v>
      </c>
      <c r="BN718" s="18">
        <v>1</v>
      </c>
      <c r="BO718" s="18">
        <v>97.95</v>
      </c>
      <c r="BP718" s="18">
        <v>7.86</v>
      </c>
      <c r="BQ718" s="18">
        <v>334</v>
      </c>
      <c r="BR718" s="18">
        <v>0</v>
      </c>
      <c r="BS718" s="18">
        <v>0</v>
      </c>
      <c r="BT718" s="18">
        <v>0</v>
      </c>
      <c r="BU718" s="18">
        <v>0</v>
      </c>
    </row>
    <row r="719" spans="1:73">
      <c r="A719" s="19">
        <v>46124</v>
      </c>
      <c r="B719" s="18">
        <v>183</v>
      </c>
      <c r="C719" s="18" t="s">
        <v>40</v>
      </c>
      <c r="D719" s="18">
        <v>183</v>
      </c>
      <c r="E719" s="18" t="s">
        <v>40</v>
      </c>
      <c r="F719" s="18">
        <v>2067</v>
      </c>
      <c r="G719" s="18">
        <v>63</v>
      </c>
      <c r="H719" s="18">
        <v>120</v>
      </c>
      <c r="I719" s="18">
        <v>0.03048</v>
      </c>
      <c r="J719" s="18">
        <v>1.9</v>
      </c>
      <c r="K719" s="18">
        <v>58.06</v>
      </c>
      <c r="L719" s="18">
        <v>0</v>
      </c>
      <c r="M719" s="18">
        <v>0</v>
      </c>
      <c r="N719" s="18">
        <v>0</v>
      </c>
      <c r="O719" s="18">
        <v>0</v>
      </c>
      <c r="P719" s="18">
        <v>0</v>
      </c>
      <c r="Q719" s="18">
        <v>0</v>
      </c>
      <c r="R719" s="18">
        <v>0</v>
      </c>
      <c r="S719" s="18">
        <v>102.67</v>
      </c>
      <c r="T719" s="18">
        <v>102.67</v>
      </c>
      <c r="U719" s="18">
        <v>2</v>
      </c>
      <c r="V719" s="18">
        <v>0</v>
      </c>
      <c r="W719" s="18">
        <v>2</v>
      </c>
      <c r="X719" s="18">
        <v>0.03175</v>
      </c>
      <c r="Y719" s="18">
        <v>0.86</v>
      </c>
      <c r="Z719" s="18">
        <v>0.86</v>
      </c>
      <c r="AA719" s="18">
        <v>60</v>
      </c>
      <c r="AB719" s="18">
        <v>3</v>
      </c>
      <c r="AC719" s="18">
        <v>1</v>
      </c>
      <c r="AD719" s="18">
        <v>2</v>
      </c>
      <c r="AE719" s="18">
        <v>0.04762</v>
      </c>
      <c r="AF719" s="18">
        <v>3</v>
      </c>
      <c r="AG719" s="18">
        <v>0</v>
      </c>
      <c r="AH719" s="18"/>
      <c r="AI719" s="18">
        <v>6</v>
      </c>
      <c r="AJ719" s="18">
        <v>20</v>
      </c>
      <c r="AK719" s="18">
        <v>6</v>
      </c>
      <c r="AL719" s="18">
        <v>20</v>
      </c>
      <c r="AM719" s="18">
        <v>3</v>
      </c>
      <c r="AN719" s="18">
        <v>40</v>
      </c>
      <c r="AO719" s="18">
        <v>0.04762</v>
      </c>
      <c r="AP719" s="18">
        <v>40</v>
      </c>
      <c r="AQ719" s="18">
        <v>3</v>
      </c>
      <c r="AR719" s="18">
        <v>177.9</v>
      </c>
      <c r="AS719" s="18">
        <v>1</v>
      </c>
      <c r="AT719" s="18">
        <v>2</v>
      </c>
      <c r="AU719" s="18">
        <v>0</v>
      </c>
      <c r="AV719" s="18">
        <v>0</v>
      </c>
      <c r="AW719" s="18">
        <v>0</v>
      </c>
      <c r="AX719" s="18">
        <v>1</v>
      </c>
      <c r="AY719" s="18">
        <v>311</v>
      </c>
      <c r="AZ719" s="18">
        <v>94</v>
      </c>
      <c r="BA719" s="18">
        <v>63</v>
      </c>
      <c r="BB719" s="18">
        <v>0.67021</v>
      </c>
      <c r="BC719" s="18">
        <v>0</v>
      </c>
      <c r="BD719" s="18">
        <v>0</v>
      </c>
      <c r="BE719" s="18">
        <v>0.15046</v>
      </c>
      <c r="BF719" s="18">
        <v>163</v>
      </c>
      <c r="BG719" s="18">
        <v>3</v>
      </c>
      <c r="BH719" s="18">
        <v>1</v>
      </c>
      <c r="BI719" s="18">
        <v>0.5</v>
      </c>
      <c r="BJ719" s="18">
        <v>0</v>
      </c>
      <c r="BK719" s="18">
        <v>0</v>
      </c>
      <c r="BL719" s="18">
        <v>0</v>
      </c>
      <c r="BM719" s="18">
        <v>2</v>
      </c>
      <c r="BN719" s="18">
        <v>1</v>
      </c>
      <c r="BO719" s="18">
        <v>51.34</v>
      </c>
      <c r="BP719" s="18">
        <v>3.33</v>
      </c>
      <c r="BQ719" s="18">
        <v>249</v>
      </c>
      <c r="BR719" s="18">
        <v>0</v>
      </c>
      <c r="BS719" s="18">
        <v>0</v>
      </c>
      <c r="BT719" s="18">
        <v>0</v>
      </c>
      <c r="BU719" s="18">
        <v>0</v>
      </c>
    </row>
    <row r="720" spans="1:73">
      <c r="A720" s="19">
        <v>46124</v>
      </c>
      <c r="B720" s="18">
        <v>372</v>
      </c>
      <c r="C720" s="18" t="s">
        <v>37</v>
      </c>
      <c r="D720" s="18">
        <v>372</v>
      </c>
      <c r="E720" s="18" t="s">
        <v>61</v>
      </c>
      <c r="F720" s="18">
        <v>9786</v>
      </c>
      <c r="G720" s="18">
        <v>180</v>
      </c>
      <c r="H720" s="18">
        <v>74.47</v>
      </c>
      <c r="I720" s="18">
        <v>0.01839</v>
      </c>
      <c r="J720" s="18">
        <v>0.41</v>
      </c>
      <c r="K720" s="18">
        <v>7.61</v>
      </c>
      <c r="L720" s="18">
        <v>0</v>
      </c>
      <c r="M720" s="18">
        <v>0</v>
      </c>
      <c r="N720" s="18">
        <v>0</v>
      </c>
      <c r="O720" s="18">
        <v>0</v>
      </c>
      <c r="P720" s="18">
        <v>0</v>
      </c>
      <c r="Q720" s="18">
        <v>0</v>
      </c>
      <c r="R720" s="18">
        <v>0</v>
      </c>
      <c r="S720" s="18">
        <v>0</v>
      </c>
      <c r="T720" s="18">
        <v>0</v>
      </c>
      <c r="U720" s="18">
        <v>0</v>
      </c>
      <c r="V720" s="18">
        <v>0</v>
      </c>
      <c r="W720" s="18">
        <v>0</v>
      </c>
      <c r="X720" s="18">
        <v>0</v>
      </c>
      <c r="Y720" s="18">
        <v>0</v>
      </c>
      <c r="Z720" s="18">
        <v>0</v>
      </c>
      <c r="AA720" s="18"/>
      <c r="AB720" s="18">
        <v>4</v>
      </c>
      <c r="AC720" s="18">
        <v>1</v>
      </c>
      <c r="AD720" s="18">
        <v>3</v>
      </c>
      <c r="AE720" s="18">
        <v>0.02222</v>
      </c>
      <c r="AF720" s="18">
        <v>1</v>
      </c>
      <c r="AG720" s="18">
        <v>1</v>
      </c>
      <c r="AH720" s="18">
        <v>74.47</v>
      </c>
      <c r="AI720" s="18">
        <v>6</v>
      </c>
      <c r="AJ720" s="18">
        <v>12.41</v>
      </c>
      <c r="AK720" s="18">
        <v>5</v>
      </c>
      <c r="AL720" s="18">
        <v>14.89</v>
      </c>
      <c r="AM720" s="18">
        <v>2</v>
      </c>
      <c r="AN720" s="18">
        <v>74.47</v>
      </c>
      <c r="AO720" s="18">
        <v>0.00556</v>
      </c>
      <c r="AP720" s="18">
        <v>18.62</v>
      </c>
      <c r="AQ720" s="18">
        <v>0</v>
      </c>
      <c r="AR720" s="18">
        <v>0</v>
      </c>
      <c r="AS720" s="18">
        <v>1</v>
      </c>
      <c r="AT720" s="18">
        <v>0</v>
      </c>
      <c r="AU720" s="18">
        <v>0</v>
      </c>
      <c r="AV720" s="18">
        <v>0</v>
      </c>
      <c r="AW720" s="18">
        <v>0</v>
      </c>
      <c r="AX720" s="18">
        <v>0</v>
      </c>
      <c r="AY720" s="18">
        <v>238</v>
      </c>
      <c r="AZ720" s="18">
        <v>177</v>
      </c>
      <c r="BA720" s="18">
        <v>166</v>
      </c>
      <c r="BB720" s="18">
        <v>0.93785</v>
      </c>
      <c r="BC720" s="18">
        <v>0</v>
      </c>
      <c r="BD720" s="18">
        <v>0</v>
      </c>
      <c r="BE720" s="18">
        <v>0.02432</v>
      </c>
      <c r="BF720" s="18">
        <v>49</v>
      </c>
      <c r="BG720" s="18">
        <v>1</v>
      </c>
      <c r="BH720" s="18">
        <v>0</v>
      </c>
      <c r="BI720" s="18"/>
      <c r="BJ720" s="18">
        <v>0</v>
      </c>
      <c r="BK720" s="18">
        <v>0</v>
      </c>
      <c r="BL720" s="18">
        <v>0</v>
      </c>
      <c r="BM720" s="18">
        <v>0</v>
      </c>
      <c r="BN720" s="18"/>
      <c r="BO720" s="18"/>
      <c r="BP720" s="18">
        <v>11.55</v>
      </c>
      <c r="BQ720" s="18">
        <v>128</v>
      </c>
      <c r="BR720" s="18">
        <v>0</v>
      </c>
      <c r="BS720" s="18">
        <v>0</v>
      </c>
      <c r="BT720" s="18">
        <v>0</v>
      </c>
      <c r="BU720" s="18">
        <v>0</v>
      </c>
    </row>
    <row r="721" spans="1:73">
      <c r="A721" s="19">
        <v>46124</v>
      </c>
      <c r="B721" s="18">
        <v>479</v>
      </c>
      <c r="C721" s="18" t="s">
        <v>39</v>
      </c>
      <c r="D721" s="18">
        <v>479</v>
      </c>
      <c r="E721" s="18" t="s">
        <v>39</v>
      </c>
      <c r="F721" s="18">
        <v>32</v>
      </c>
      <c r="G721" s="18">
        <v>13</v>
      </c>
      <c r="H721" s="18">
        <v>8.52</v>
      </c>
      <c r="I721" s="18">
        <v>0.40625</v>
      </c>
      <c r="J721" s="18">
        <v>0.66</v>
      </c>
      <c r="K721" s="18">
        <v>266.29</v>
      </c>
      <c r="L721" s="18">
        <v>0</v>
      </c>
      <c r="M721" s="18">
        <v>0</v>
      </c>
      <c r="N721" s="18">
        <v>0</v>
      </c>
      <c r="O721" s="18">
        <v>0</v>
      </c>
      <c r="P721" s="18">
        <v>0</v>
      </c>
      <c r="Q721" s="18">
        <v>0</v>
      </c>
      <c r="R721" s="18">
        <v>0</v>
      </c>
      <c r="S721" s="18">
        <v>0</v>
      </c>
      <c r="T721" s="18">
        <v>0</v>
      </c>
      <c r="U721" s="18">
        <v>0</v>
      </c>
      <c r="V721" s="18">
        <v>0</v>
      </c>
      <c r="W721" s="18">
        <v>0</v>
      </c>
      <c r="X721" s="18">
        <v>0</v>
      </c>
      <c r="Y721" s="18">
        <v>0</v>
      </c>
      <c r="Z721" s="18">
        <v>0</v>
      </c>
      <c r="AA721" s="18"/>
      <c r="AB721" s="18">
        <v>3</v>
      </c>
      <c r="AC721" s="18">
        <v>0</v>
      </c>
      <c r="AD721" s="18">
        <v>3</v>
      </c>
      <c r="AE721" s="18">
        <v>0.23077</v>
      </c>
      <c r="AF721" s="18">
        <v>0</v>
      </c>
      <c r="AG721" s="18">
        <v>1</v>
      </c>
      <c r="AH721" s="18">
        <v>8.52</v>
      </c>
      <c r="AI721" s="18">
        <v>4</v>
      </c>
      <c r="AJ721" s="18">
        <v>2.13</v>
      </c>
      <c r="AK721" s="18">
        <v>3</v>
      </c>
      <c r="AL721" s="18">
        <v>2.84</v>
      </c>
      <c r="AM721" s="18">
        <v>1</v>
      </c>
      <c r="AN721" s="18"/>
      <c r="AO721" s="18">
        <v>0</v>
      </c>
      <c r="AP721" s="18">
        <v>2.84</v>
      </c>
      <c r="AQ721" s="18">
        <v>0</v>
      </c>
      <c r="AR721" s="18">
        <v>0</v>
      </c>
      <c r="AS721" s="18">
        <v>0</v>
      </c>
      <c r="AT721" s="18">
        <v>0</v>
      </c>
      <c r="AU721" s="18">
        <v>0</v>
      </c>
      <c r="AV721" s="18">
        <v>0</v>
      </c>
      <c r="AW721" s="18">
        <v>0</v>
      </c>
      <c r="AX721" s="18">
        <v>0</v>
      </c>
      <c r="AY721" s="18">
        <v>146</v>
      </c>
      <c r="AZ721" s="18">
        <v>12</v>
      </c>
      <c r="BA721" s="18">
        <v>10</v>
      </c>
      <c r="BB721" s="18">
        <v>0.83333</v>
      </c>
      <c r="BC721" s="18">
        <v>0</v>
      </c>
      <c r="BD721" s="18">
        <v>0</v>
      </c>
      <c r="BE721" s="18">
        <v>4.5625</v>
      </c>
      <c r="BF721" s="18">
        <v>130</v>
      </c>
      <c r="BG721" s="18">
        <v>12</v>
      </c>
      <c r="BH721" s="18">
        <v>0</v>
      </c>
      <c r="BI721" s="18"/>
      <c r="BJ721" s="18">
        <v>0</v>
      </c>
      <c r="BK721" s="18">
        <v>0</v>
      </c>
      <c r="BL721" s="18">
        <v>0</v>
      </c>
      <c r="BM721" s="18">
        <v>0</v>
      </c>
      <c r="BN721" s="18"/>
      <c r="BO721" s="18"/>
      <c r="BP721" s="18">
        <v>0</v>
      </c>
      <c r="BQ721" s="18">
        <v>83</v>
      </c>
      <c r="BR721" s="18">
        <v>0</v>
      </c>
      <c r="BS721" s="18">
        <v>0</v>
      </c>
      <c r="BT721" s="18">
        <v>0</v>
      </c>
      <c r="BU721" s="18">
        <v>0</v>
      </c>
    </row>
    <row r="722" spans="1:73">
      <c r="A722" s="19">
        <v>46123</v>
      </c>
      <c r="B722" s="18">
        <v>436</v>
      </c>
      <c r="C722" s="18" t="s">
        <v>38</v>
      </c>
      <c r="D722" s="18">
        <v>436</v>
      </c>
      <c r="E722" s="18" t="s">
        <v>38</v>
      </c>
      <c r="F722" s="18">
        <v>1567</v>
      </c>
      <c r="G722" s="18">
        <v>49</v>
      </c>
      <c r="H722" s="18">
        <v>59.63</v>
      </c>
      <c r="I722" s="18">
        <v>0.03127</v>
      </c>
      <c r="J722" s="18">
        <v>1.22</v>
      </c>
      <c r="K722" s="18">
        <v>38.05</v>
      </c>
      <c r="L722" s="18">
        <v>0</v>
      </c>
      <c r="M722" s="18">
        <v>0</v>
      </c>
      <c r="N722" s="18">
        <v>0</v>
      </c>
      <c r="O722" s="18">
        <v>0</v>
      </c>
      <c r="P722" s="18">
        <v>0</v>
      </c>
      <c r="Q722" s="18">
        <v>0</v>
      </c>
      <c r="R722" s="18">
        <v>0</v>
      </c>
      <c r="S722" s="18">
        <v>142.6</v>
      </c>
      <c r="T722" s="18">
        <v>142.6</v>
      </c>
      <c r="U722" s="18">
        <v>1</v>
      </c>
      <c r="V722" s="18">
        <v>0</v>
      </c>
      <c r="W722" s="18">
        <v>1</v>
      </c>
      <c r="X722" s="18">
        <v>0.02041</v>
      </c>
      <c r="Y722" s="18">
        <v>2.39</v>
      </c>
      <c r="Z722" s="18">
        <v>2.39</v>
      </c>
      <c r="AA722" s="18">
        <v>59.63</v>
      </c>
      <c r="AB722" s="18">
        <v>2</v>
      </c>
      <c r="AC722" s="18">
        <v>2</v>
      </c>
      <c r="AD722" s="18">
        <v>0</v>
      </c>
      <c r="AE722" s="18">
        <v>0.04082</v>
      </c>
      <c r="AF722" s="18">
        <v>1</v>
      </c>
      <c r="AG722" s="18">
        <v>1</v>
      </c>
      <c r="AH722" s="18">
        <v>59.63</v>
      </c>
      <c r="AI722" s="18">
        <v>4</v>
      </c>
      <c r="AJ722" s="18">
        <v>14.91</v>
      </c>
      <c r="AK722" s="18">
        <v>3</v>
      </c>
      <c r="AL722" s="18">
        <v>19.88</v>
      </c>
      <c r="AM722" s="18">
        <v>2</v>
      </c>
      <c r="AN722" s="18">
        <v>59.63</v>
      </c>
      <c r="AO722" s="18">
        <v>0.02041</v>
      </c>
      <c r="AP722" s="18">
        <v>29.82</v>
      </c>
      <c r="AQ722" s="18">
        <v>6</v>
      </c>
      <c r="AR722" s="18">
        <v>730.8</v>
      </c>
      <c r="AS722" s="18">
        <v>0</v>
      </c>
      <c r="AT722" s="18">
        <v>1</v>
      </c>
      <c r="AU722" s="18">
        <v>0</v>
      </c>
      <c r="AV722" s="18">
        <v>0</v>
      </c>
      <c r="AW722" s="18">
        <v>0</v>
      </c>
      <c r="AX722" s="18">
        <v>3</v>
      </c>
      <c r="AY722" s="18">
        <v>116</v>
      </c>
      <c r="AZ722" s="18">
        <v>47</v>
      </c>
      <c r="BA722" s="18">
        <v>32</v>
      </c>
      <c r="BB722" s="18">
        <v>0.68085</v>
      </c>
      <c r="BC722" s="18">
        <v>0</v>
      </c>
      <c r="BD722" s="18">
        <v>0</v>
      </c>
      <c r="BE722" s="18">
        <v>0.07403</v>
      </c>
      <c r="BF722" s="18">
        <v>62</v>
      </c>
      <c r="BG722" s="18">
        <v>2</v>
      </c>
      <c r="BH722" s="18">
        <v>1</v>
      </c>
      <c r="BI722" s="18">
        <v>1</v>
      </c>
      <c r="BJ722" s="18">
        <v>0</v>
      </c>
      <c r="BK722" s="18">
        <v>0</v>
      </c>
      <c r="BL722" s="18">
        <v>0</v>
      </c>
      <c r="BM722" s="18">
        <v>1</v>
      </c>
      <c r="BN722" s="18">
        <v>1</v>
      </c>
      <c r="BO722" s="18">
        <v>142.6</v>
      </c>
      <c r="BP722" s="18">
        <v>63.96</v>
      </c>
      <c r="BQ722" s="18">
        <v>304</v>
      </c>
      <c r="BR722" s="18">
        <v>0</v>
      </c>
      <c r="BS722" s="18">
        <v>0</v>
      </c>
      <c r="BT722" s="18">
        <v>0</v>
      </c>
      <c r="BU722" s="18">
        <v>0</v>
      </c>
    </row>
    <row r="723" spans="1:73">
      <c r="A723" s="19">
        <v>46123</v>
      </c>
      <c r="B723" s="18">
        <v>372</v>
      </c>
      <c r="C723" s="18" t="s">
        <v>37</v>
      </c>
      <c r="D723" s="18">
        <v>372</v>
      </c>
      <c r="E723" s="18" t="s">
        <v>61</v>
      </c>
      <c r="F723" s="18">
        <v>2328</v>
      </c>
      <c r="G723" s="18">
        <v>41</v>
      </c>
      <c r="H723" s="18">
        <v>74.87</v>
      </c>
      <c r="I723" s="18">
        <v>0.01761</v>
      </c>
      <c r="J723" s="18">
        <v>1.83</v>
      </c>
      <c r="K723" s="18">
        <v>32.16</v>
      </c>
      <c r="L723" s="18">
        <v>0</v>
      </c>
      <c r="M723" s="18">
        <v>0</v>
      </c>
      <c r="N723" s="18">
        <v>0</v>
      </c>
      <c r="O723" s="18">
        <v>0</v>
      </c>
      <c r="P723" s="18">
        <v>0</v>
      </c>
      <c r="Q723" s="18">
        <v>0</v>
      </c>
      <c r="R723" s="18">
        <v>0</v>
      </c>
      <c r="S723" s="18">
        <v>202.4</v>
      </c>
      <c r="T723" s="18">
        <v>202.4</v>
      </c>
      <c r="U723" s="18">
        <v>1</v>
      </c>
      <c r="V723" s="18">
        <v>0</v>
      </c>
      <c r="W723" s="18">
        <v>1</v>
      </c>
      <c r="X723" s="18">
        <v>0.02439</v>
      </c>
      <c r="Y723" s="18">
        <v>2.7</v>
      </c>
      <c r="Z723" s="18">
        <v>2.7</v>
      </c>
      <c r="AA723" s="18">
        <v>74.87</v>
      </c>
      <c r="AB723" s="18">
        <v>1</v>
      </c>
      <c r="AC723" s="18">
        <v>1</v>
      </c>
      <c r="AD723" s="18">
        <v>0</v>
      </c>
      <c r="AE723" s="18">
        <v>0.02439</v>
      </c>
      <c r="AF723" s="18">
        <v>0</v>
      </c>
      <c r="AG723" s="18">
        <v>1</v>
      </c>
      <c r="AH723" s="18">
        <v>74.87</v>
      </c>
      <c r="AI723" s="18">
        <v>2</v>
      </c>
      <c r="AJ723" s="18">
        <v>37.44</v>
      </c>
      <c r="AK723" s="18">
        <v>1</v>
      </c>
      <c r="AL723" s="18">
        <v>74.87</v>
      </c>
      <c r="AM723" s="18">
        <v>1</v>
      </c>
      <c r="AN723" s="18"/>
      <c r="AO723" s="18">
        <v>0</v>
      </c>
      <c r="AP723" s="18">
        <v>74.87</v>
      </c>
      <c r="AQ723" s="18">
        <v>2</v>
      </c>
      <c r="AR723" s="18">
        <v>329</v>
      </c>
      <c r="AS723" s="18">
        <v>0</v>
      </c>
      <c r="AT723" s="18">
        <v>0</v>
      </c>
      <c r="AU723" s="18">
        <v>0</v>
      </c>
      <c r="AV723" s="18">
        <v>0</v>
      </c>
      <c r="AW723" s="18">
        <v>0</v>
      </c>
      <c r="AX723" s="18">
        <v>1</v>
      </c>
      <c r="AY723" s="18">
        <v>71</v>
      </c>
      <c r="AZ723" s="18">
        <v>41</v>
      </c>
      <c r="BA723" s="18">
        <v>30</v>
      </c>
      <c r="BB723" s="18">
        <v>0.73171</v>
      </c>
      <c r="BC723" s="18">
        <v>0</v>
      </c>
      <c r="BD723" s="18">
        <v>0</v>
      </c>
      <c r="BE723" s="18">
        <v>0.0305</v>
      </c>
      <c r="BF723" s="18">
        <v>29</v>
      </c>
      <c r="BG723" s="18">
        <v>2</v>
      </c>
      <c r="BH723" s="18">
        <v>1</v>
      </c>
      <c r="BI723" s="18">
        <v>1</v>
      </c>
      <c r="BJ723" s="18">
        <v>0</v>
      </c>
      <c r="BK723" s="18">
        <v>0</v>
      </c>
      <c r="BL723" s="18">
        <v>0</v>
      </c>
      <c r="BM723" s="18">
        <v>1</v>
      </c>
      <c r="BN723" s="18">
        <v>1</v>
      </c>
      <c r="BO723" s="18">
        <v>202.4</v>
      </c>
      <c r="BP723" s="18">
        <v>2.64</v>
      </c>
      <c r="BQ723" s="18">
        <v>497</v>
      </c>
      <c r="BR723" s="18">
        <v>0</v>
      </c>
      <c r="BS723" s="18">
        <v>0</v>
      </c>
      <c r="BT723" s="18">
        <v>0</v>
      </c>
      <c r="BU723" s="18">
        <v>0</v>
      </c>
    </row>
    <row r="724" spans="1:73">
      <c r="A724" s="19">
        <v>46123</v>
      </c>
      <c r="B724" s="18">
        <v>371</v>
      </c>
      <c r="C724" s="18" t="s">
        <v>32</v>
      </c>
      <c r="D724" s="18">
        <v>371</v>
      </c>
      <c r="E724" s="18" t="s">
        <v>32</v>
      </c>
      <c r="F724" s="18">
        <v>6306</v>
      </c>
      <c r="G724" s="18">
        <v>241</v>
      </c>
      <c r="H724" s="18">
        <v>52.25</v>
      </c>
      <c r="I724" s="18">
        <v>0.03822</v>
      </c>
      <c r="J724" s="18">
        <v>0.22</v>
      </c>
      <c r="K724" s="18">
        <v>8.29</v>
      </c>
      <c r="L724" s="18">
        <v>0</v>
      </c>
      <c r="M724" s="18">
        <v>0</v>
      </c>
      <c r="N724" s="18">
        <v>0</v>
      </c>
      <c r="O724" s="18">
        <v>0</v>
      </c>
      <c r="P724" s="18">
        <v>0</v>
      </c>
      <c r="Q724" s="18">
        <v>0</v>
      </c>
      <c r="R724" s="18">
        <v>289.6</v>
      </c>
      <c r="S724" s="18">
        <v>0</v>
      </c>
      <c r="T724" s="18">
        <v>289.6</v>
      </c>
      <c r="U724" s="18">
        <v>2</v>
      </c>
      <c r="V724" s="18">
        <v>2</v>
      </c>
      <c r="W724" s="18">
        <v>0</v>
      </c>
      <c r="X724" s="18">
        <v>0.0083</v>
      </c>
      <c r="Y724" s="18">
        <v>5.54</v>
      </c>
      <c r="Z724" s="18">
        <v>5.54</v>
      </c>
      <c r="AA724" s="18">
        <v>26.13</v>
      </c>
      <c r="AB724" s="18">
        <v>5</v>
      </c>
      <c r="AC724" s="18">
        <v>5</v>
      </c>
      <c r="AD724" s="18">
        <v>0</v>
      </c>
      <c r="AE724" s="18">
        <v>0.02075</v>
      </c>
      <c r="AF724" s="18">
        <v>1</v>
      </c>
      <c r="AG724" s="18">
        <v>1</v>
      </c>
      <c r="AH724" s="18">
        <v>52.25</v>
      </c>
      <c r="AI724" s="18">
        <v>7</v>
      </c>
      <c r="AJ724" s="18">
        <v>7.46</v>
      </c>
      <c r="AK724" s="18">
        <v>6</v>
      </c>
      <c r="AL724" s="18">
        <v>8.71</v>
      </c>
      <c r="AM724" s="18">
        <v>2</v>
      </c>
      <c r="AN724" s="18">
        <v>52.25</v>
      </c>
      <c r="AO724" s="18">
        <v>0.00415</v>
      </c>
      <c r="AP724" s="18">
        <v>10.45</v>
      </c>
      <c r="AQ724" s="18">
        <v>4</v>
      </c>
      <c r="AR724" s="18">
        <v>435.8</v>
      </c>
      <c r="AS724" s="18">
        <v>1</v>
      </c>
      <c r="AT724" s="18">
        <v>0</v>
      </c>
      <c r="AU724" s="18">
        <v>0</v>
      </c>
      <c r="AV724" s="18">
        <v>0</v>
      </c>
      <c r="AW724" s="18">
        <v>0</v>
      </c>
      <c r="AX724" s="18">
        <v>0</v>
      </c>
      <c r="AY724" s="18">
        <v>460</v>
      </c>
      <c r="AZ724" s="18">
        <v>247</v>
      </c>
      <c r="BA724" s="18">
        <v>231</v>
      </c>
      <c r="BB724" s="18">
        <v>0.93522</v>
      </c>
      <c r="BC724" s="18">
        <v>0</v>
      </c>
      <c r="BD724" s="18">
        <v>0</v>
      </c>
      <c r="BE724" s="18">
        <v>0.07295</v>
      </c>
      <c r="BF724" s="18">
        <v>174</v>
      </c>
      <c r="BG724" s="18">
        <v>2</v>
      </c>
      <c r="BH724" s="18">
        <v>1</v>
      </c>
      <c r="BI724" s="18">
        <v>0.5</v>
      </c>
      <c r="BJ724" s="18">
        <v>0</v>
      </c>
      <c r="BK724" s="18">
        <v>0</v>
      </c>
      <c r="BL724" s="18">
        <v>0</v>
      </c>
      <c r="BM724" s="18">
        <v>2</v>
      </c>
      <c r="BN724" s="18">
        <v>1</v>
      </c>
      <c r="BO724" s="18">
        <v>144.8</v>
      </c>
      <c r="BP724" s="18">
        <v>4.07</v>
      </c>
      <c r="BQ724" s="18">
        <v>3635</v>
      </c>
      <c r="BR724" s="18">
        <v>0</v>
      </c>
      <c r="BS724" s="18">
        <v>0</v>
      </c>
      <c r="BT724" s="18">
        <v>0</v>
      </c>
      <c r="BU724" s="18">
        <v>0</v>
      </c>
    </row>
    <row r="725" spans="1:73">
      <c r="A725" s="19">
        <v>46123</v>
      </c>
      <c r="B725" s="18">
        <v>479</v>
      </c>
      <c r="C725" s="18" t="s">
        <v>39</v>
      </c>
      <c r="D725" s="18">
        <v>479</v>
      </c>
      <c r="E725" s="18" t="s">
        <v>39</v>
      </c>
      <c r="F725" s="18">
        <v>40</v>
      </c>
      <c r="G725" s="18">
        <v>24</v>
      </c>
      <c r="H725" s="18">
        <v>10.53</v>
      </c>
      <c r="I725" s="18">
        <v>0.6</v>
      </c>
      <c r="J725" s="18">
        <v>0.44</v>
      </c>
      <c r="K725" s="18">
        <v>263.22</v>
      </c>
      <c r="L725" s="18">
        <v>0</v>
      </c>
      <c r="M725" s="18">
        <v>0</v>
      </c>
      <c r="N725" s="18">
        <v>0</v>
      </c>
      <c r="O725" s="18">
        <v>0</v>
      </c>
      <c r="P725" s="18">
        <v>0</v>
      </c>
      <c r="Q725" s="18">
        <v>0</v>
      </c>
      <c r="R725" s="18">
        <v>0</v>
      </c>
      <c r="S725" s="18">
        <v>0</v>
      </c>
      <c r="T725" s="18">
        <v>0</v>
      </c>
      <c r="U725" s="18">
        <v>0</v>
      </c>
      <c r="V725" s="18">
        <v>0</v>
      </c>
      <c r="W725" s="18">
        <v>0</v>
      </c>
      <c r="X725" s="18">
        <v>0</v>
      </c>
      <c r="Y725" s="18">
        <v>0</v>
      </c>
      <c r="Z725" s="18">
        <v>0</v>
      </c>
      <c r="AA725" s="18"/>
      <c r="AB725" s="18">
        <v>3</v>
      </c>
      <c r="AC725" s="18">
        <v>0</v>
      </c>
      <c r="AD725" s="18">
        <v>3</v>
      </c>
      <c r="AE725" s="18">
        <v>0.125</v>
      </c>
      <c r="AF725" s="18">
        <v>1</v>
      </c>
      <c r="AG725" s="18">
        <v>2</v>
      </c>
      <c r="AH725" s="18">
        <v>5.26</v>
      </c>
      <c r="AI725" s="18">
        <v>6</v>
      </c>
      <c r="AJ725" s="18">
        <v>1.75</v>
      </c>
      <c r="AK725" s="18">
        <v>4</v>
      </c>
      <c r="AL725" s="18">
        <v>2.63</v>
      </c>
      <c r="AM725" s="18">
        <v>3</v>
      </c>
      <c r="AN725" s="18">
        <v>10.53</v>
      </c>
      <c r="AO725" s="18">
        <v>0.04167</v>
      </c>
      <c r="AP725" s="18">
        <v>3.51</v>
      </c>
      <c r="AQ725" s="18">
        <v>0</v>
      </c>
      <c r="AR725" s="18">
        <v>0</v>
      </c>
      <c r="AS725" s="18">
        <v>0</v>
      </c>
      <c r="AT725" s="18">
        <v>1</v>
      </c>
      <c r="AU725" s="18">
        <v>0</v>
      </c>
      <c r="AV725" s="18">
        <v>0</v>
      </c>
      <c r="AW725" s="18">
        <v>0</v>
      </c>
      <c r="AX725" s="18">
        <v>1</v>
      </c>
      <c r="AY725" s="18">
        <v>151</v>
      </c>
      <c r="AZ725" s="18">
        <v>21</v>
      </c>
      <c r="BA725" s="18">
        <v>19</v>
      </c>
      <c r="BB725" s="18">
        <v>0.90476</v>
      </c>
      <c r="BC725" s="18">
        <v>0</v>
      </c>
      <c r="BD725" s="18">
        <v>0</v>
      </c>
      <c r="BE725" s="18">
        <v>3.775</v>
      </c>
      <c r="BF725" s="18">
        <v>126</v>
      </c>
      <c r="BG725" s="18">
        <v>7</v>
      </c>
      <c r="BH725" s="18">
        <v>0</v>
      </c>
      <c r="BI725" s="18"/>
      <c r="BJ725" s="18">
        <v>0</v>
      </c>
      <c r="BK725" s="18">
        <v>0</v>
      </c>
      <c r="BL725" s="18">
        <v>0</v>
      </c>
      <c r="BM725" s="18">
        <v>0</v>
      </c>
      <c r="BN725" s="18"/>
      <c r="BO725" s="18"/>
      <c r="BP725" s="18">
        <v>0</v>
      </c>
      <c r="BQ725" s="18">
        <v>98</v>
      </c>
      <c r="BR725" s="18">
        <v>0</v>
      </c>
      <c r="BS725" s="18">
        <v>0</v>
      </c>
      <c r="BT725" s="18">
        <v>0</v>
      </c>
      <c r="BU725" s="18">
        <v>0</v>
      </c>
    </row>
    <row r="726" spans="1:73">
      <c r="A726" s="19">
        <v>46123</v>
      </c>
      <c r="B726" s="18">
        <v>183</v>
      </c>
      <c r="C726" s="18" t="s">
        <v>40</v>
      </c>
      <c r="D726" s="18">
        <v>183</v>
      </c>
      <c r="E726" s="18" t="s">
        <v>40</v>
      </c>
      <c r="F726" s="18">
        <v>1523</v>
      </c>
      <c r="G726" s="18">
        <v>64</v>
      </c>
      <c r="H726" s="18">
        <v>120</v>
      </c>
      <c r="I726" s="18">
        <v>0.04202</v>
      </c>
      <c r="J726" s="18">
        <v>1.88</v>
      </c>
      <c r="K726" s="18">
        <v>78.79</v>
      </c>
      <c r="L726" s="18">
        <v>0</v>
      </c>
      <c r="M726" s="18">
        <v>0</v>
      </c>
      <c r="N726" s="18">
        <v>0</v>
      </c>
      <c r="O726" s="18">
        <v>0</v>
      </c>
      <c r="P726" s="18">
        <v>0</v>
      </c>
      <c r="Q726" s="18">
        <v>0</v>
      </c>
      <c r="R726" s="18">
        <v>0</v>
      </c>
      <c r="S726" s="18">
        <v>537.6</v>
      </c>
      <c r="T726" s="18">
        <v>537.6</v>
      </c>
      <c r="U726" s="18">
        <v>1</v>
      </c>
      <c r="V726" s="18">
        <v>0</v>
      </c>
      <c r="W726" s="18">
        <v>1</v>
      </c>
      <c r="X726" s="18">
        <v>0.01563</v>
      </c>
      <c r="Y726" s="18">
        <v>4.48</v>
      </c>
      <c r="Z726" s="18">
        <v>4.48</v>
      </c>
      <c r="AA726" s="18">
        <v>120</v>
      </c>
      <c r="AB726" s="18">
        <v>9</v>
      </c>
      <c r="AC726" s="18">
        <v>1</v>
      </c>
      <c r="AD726" s="18">
        <v>8</v>
      </c>
      <c r="AE726" s="18">
        <v>0.14063</v>
      </c>
      <c r="AF726" s="18">
        <v>1</v>
      </c>
      <c r="AG726" s="18">
        <v>0</v>
      </c>
      <c r="AH726" s="18"/>
      <c r="AI726" s="18">
        <v>10</v>
      </c>
      <c r="AJ726" s="18">
        <v>12</v>
      </c>
      <c r="AK726" s="18">
        <v>10</v>
      </c>
      <c r="AL726" s="18">
        <v>12</v>
      </c>
      <c r="AM726" s="18">
        <v>1</v>
      </c>
      <c r="AN726" s="18">
        <v>120</v>
      </c>
      <c r="AO726" s="18">
        <v>0.01563</v>
      </c>
      <c r="AP726" s="18">
        <v>13.33</v>
      </c>
      <c r="AQ726" s="18">
        <v>1</v>
      </c>
      <c r="AR726" s="18">
        <v>656</v>
      </c>
      <c r="AS726" s="18">
        <v>1</v>
      </c>
      <c r="AT726" s="18">
        <v>0</v>
      </c>
      <c r="AU726" s="18">
        <v>0</v>
      </c>
      <c r="AV726" s="18">
        <v>0</v>
      </c>
      <c r="AW726" s="18">
        <v>0</v>
      </c>
      <c r="AX726" s="18">
        <v>3</v>
      </c>
      <c r="AY726" s="18">
        <v>363</v>
      </c>
      <c r="AZ726" s="18">
        <v>108</v>
      </c>
      <c r="BA726" s="18">
        <v>65</v>
      </c>
      <c r="BB726" s="18">
        <v>0.60185</v>
      </c>
      <c r="BC726" s="18">
        <v>0</v>
      </c>
      <c r="BD726" s="18">
        <v>0</v>
      </c>
      <c r="BE726" s="18">
        <v>0.23835</v>
      </c>
      <c r="BF726" s="18">
        <v>196</v>
      </c>
      <c r="BG726" s="18">
        <v>3</v>
      </c>
      <c r="BH726" s="18">
        <v>0</v>
      </c>
      <c r="BI726" s="18">
        <v>0</v>
      </c>
      <c r="BJ726" s="18">
        <v>0</v>
      </c>
      <c r="BK726" s="18">
        <v>0</v>
      </c>
      <c r="BL726" s="18">
        <v>0</v>
      </c>
      <c r="BM726" s="18">
        <v>1</v>
      </c>
      <c r="BN726" s="18">
        <v>1</v>
      </c>
      <c r="BO726" s="18">
        <v>537.6</v>
      </c>
      <c r="BP726" s="18">
        <v>3.61</v>
      </c>
      <c r="BQ726" s="18">
        <v>386</v>
      </c>
      <c r="BR726" s="18">
        <v>0</v>
      </c>
      <c r="BS726" s="18">
        <v>0</v>
      </c>
      <c r="BT726" s="18">
        <v>0</v>
      </c>
      <c r="BU726" s="18">
        <v>0</v>
      </c>
    </row>
    <row r="727" spans="1:73">
      <c r="A727" s="19">
        <v>46122</v>
      </c>
      <c r="B727" s="18">
        <v>183</v>
      </c>
      <c r="C727" s="18" t="s">
        <v>40</v>
      </c>
      <c r="D727" s="18">
        <v>183</v>
      </c>
      <c r="E727" s="18" t="s">
        <v>40</v>
      </c>
      <c r="F727" s="18">
        <v>2031</v>
      </c>
      <c r="G727" s="18">
        <v>84</v>
      </c>
      <c r="H727" s="18">
        <v>230</v>
      </c>
      <c r="I727" s="18">
        <v>0.04136</v>
      </c>
      <c r="J727" s="18">
        <v>2.74</v>
      </c>
      <c r="K727" s="18">
        <v>113.24</v>
      </c>
      <c r="L727" s="18">
        <v>0</v>
      </c>
      <c r="M727" s="18">
        <v>0</v>
      </c>
      <c r="N727" s="18">
        <v>0</v>
      </c>
      <c r="O727" s="18">
        <v>0</v>
      </c>
      <c r="P727" s="18">
        <v>0</v>
      </c>
      <c r="Q727" s="18">
        <v>0</v>
      </c>
      <c r="R727" s="18">
        <v>509.03</v>
      </c>
      <c r="S727" s="18">
        <v>0</v>
      </c>
      <c r="T727" s="18">
        <v>509.03</v>
      </c>
      <c r="U727" s="18">
        <v>1</v>
      </c>
      <c r="V727" s="18">
        <v>1</v>
      </c>
      <c r="W727" s="18">
        <v>0</v>
      </c>
      <c r="X727" s="18">
        <v>0.0119</v>
      </c>
      <c r="Y727" s="18">
        <v>2.21</v>
      </c>
      <c r="Z727" s="18">
        <v>2.21</v>
      </c>
      <c r="AA727" s="18">
        <v>230</v>
      </c>
      <c r="AB727" s="18">
        <v>3</v>
      </c>
      <c r="AC727" s="18">
        <v>2</v>
      </c>
      <c r="AD727" s="18">
        <v>1</v>
      </c>
      <c r="AE727" s="18">
        <v>0.03571</v>
      </c>
      <c r="AF727" s="18">
        <v>0</v>
      </c>
      <c r="AG727" s="18">
        <v>1</v>
      </c>
      <c r="AH727" s="18">
        <v>230</v>
      </c>
      <c r="AI727" s="18">
        <v>4</v>
      </c>
      <c r="AJ727" s="18">
        <v>57.5</v>
      </c>
      <c r="AK727" s="18">
        <v>3</v>
      </c>
      <c r="AL727" s="18">
        <v>76.67</v>
      </c>
      <c r="AM727" s="18">
        <v>1</v>
      </c>
      <c r="AN727" s="18"/>
      <c r="AO727" s="18">
        <v>0</v>
      </c>
      <c r="AP727" s="18">
        <v>76.67</v>
      </c>
      <c r="AQ727" s="18">
        <v>2</v>
      </c>
      <c r="AR727" s="18">
        <v>767</v>
      </c>
      <c r="AS727" s="18">
        <v>0</v>
      </c>
      <c r="AT727" s="18">
        <v>0</v>
      </c>
      <c r="AU727" s="18">
        <v>0</v>
      </c>
      <c r="AV727" s="18">
        <v>0</v>
      </c>
      <c r="AW727" s="18">
        <v>0</v>
      </c>
      <c r="AX727" s="18">
        <v>3</v>
      </c>
      <c r="AY727" s="18">
        <v>498</v>
      </c>
      <c r="AZ727" s="18">
        <v>204</v>
      </c>
      <c r="BA727" s="18">
        <v>154</v>
      </c>
      <c r="BB727" s="18">
        <v>0.7549</v>
      </c>
      <c r="BC727" s="18">
        <v>0</v>
      </c>
      <c r="BD727" s="18">
        <v>0</v>
      </c>
      <c r="BE727" s="18">
        <v>0.2452</v>
      </c>
      <c r="BF727" s="18">
        <v>193</v>
      </c>
      <c r="BG727" s="18">
        <v>2</v>
      </c>
      <c r="BH727" s="18">
        <v>1</v>
      </c>
      <c r="BI727" s="18">
        <v>1</v>
      </c>
      <c r="BJ727" s="18">
        <v>0</v>
      </c>
      <c r="BK727" s="18">
        <v>0</v>
      </c>
      <c r="BL727" s="18">
        <v>0</v>
      </c>
      <c r="BM727" s="18">
        <v>1</v>
      </c>
      <c r="BN727" s="18">
        <v>1</v>
      </c>
      <c r="BO727" s="18">
        <v>509.03</v>
      </c>
      <c r="BP727" s="18">
        <v>29.84</v>
      </c>
      <c r="BQ727" s="18">
        <v>304</v>
      </c>
      <c r="BR727" s="18">
        <v>0</v>
      </c>
      <c r="BS727" s="18">
        <v>0</v>
      </c>
      <c r="BT727" s="18">
        <v>0</v>
      </c>
      <c r="BU727" s="18">
        <v>0</v>
      </c>
    </row>
    <row r="728" spans="1:73">
      <c r="A728" s="19">
        <v>46122</v>
      </c>
      <c r="B728" s="18">
        <v>479</v>
      </c>
      <c r="C728" s="18" t="s">
        <v>39</v>
      </c>
      <c r="D728" s="18">
        <v>479</v>
      </c>
      <c r="E728" s="18" t="s">
        <v>39</v>
      </c>
      <c r="F728" s="18">
        <v>42</v>
      </c>
      <c r="G728" s="18">
        <v>22</v>
      </c>
      <c r="H728" s="18">
        <v>12.46</v>
      </c>
      <c r="I728" s="18">
        <v>0.52381</v>
      </c>
      <c r="J728" s="18">
        <v>0.57</v>
      </c>
      <c r="K728" s="18">
        <v>296.65</v>
      </c>
      <c r="L728" s="18">
        <v>0</v>
      </c>
      <c r="M728" s="18">
        <v>0</v>
      </c>
      <c r="N728" s="18">
        <v>0</v>
      </c>
      <c r="O728" s="18">
        <v>0</v>
      </c>
      <c r="P728" s="18">
        <v>0</v>
      </c>
      <c r="Q728" s="18">
        <v>0</v>
      </c>
      <c r="R728" s="18">
        <v>0</v>
      </c>
      <c r="S728" s="18">
        <v>42.91</v>
      </c>
      <c r="T728" s="18">
        <v>42.91</v>
      </c>
      <c r="U728" s="18">
        <v>1</v>
      </c>
      <c r="V728" s="18">
        <v>0</v>
      </c>
      <c r="W728" s="18">
        <v>1</v>
      </c>
      <c r="X728" s="18">
        <v>0.04545</v>
      </c>
      <c r="Y728" s="18">
        <v>3.44</v>
      </c>
      <c r="Z728" s="18">
        <v>3.44</v>
      </c>
      <c r="AA728" s="18">
        <v>12.46</v>
      </c>
      <c r="AB728" s="18">
        <v>0</v>
      </c>
      <c r="AC728" s="18">
        <v>0</v>
      </c>
      <c r="AD728" s="18">
        <v>0</v>
      </c>
      <c r="AE728" s="18">
        <v>0</v>
      </c>
      <c r="AF728" s="18">
        <v>0</v>
      </c>
      <c r="AG728" s="18">
        <v>0</v>
      </c>
      <c r="AH728" s="18"/>
      <c r="AI728" s="18">
        <v>0</v>
      </c>
      <c r="AJ728" s="18"/>
      <c r="AK728" s="18">
        <v>0</v>
      </c>
      <c r="AL728" s="18"/>
      <c r="AM728" s="18">
        <v>0</v>
      </c>
      <c r="AN728" s="18"/>
      <c r="AO728" s="18">
        <v>0</v>
      </c>
      <c r="AP728" s="18"/>
      <c r="AQ728" s="18">
        <v>1</v>
      </c>
      <c r="AR728" s="18">
        <v>49.9</v>
      </c>
      <c r="AS728" s="18">
        <v>0</v>
      </c>
      <c r="AT728" s="18">
        <v>0</v>
      </c>
      <c r="AU728" s="18">
        <v>0</v>
      </c>
      <c r="AV728" s="18">
        <v>0</v>
      </c>
      <c r="AW728" s="18">
        <v>0</v>
      </c>
      <c r="AX728" s="18">
        <v>0</v>
      </c>
      <c r="AY728" s="18">
        <v>297</v>
      </c>
      <c r="AZ728" s="18">
        <v>19</v>
      </c>
      <c r="BA728" s="18">
        <v>11</v>
      </c>
      <c r="BB728" s="18">
        <v>0.57895</v>
      </c>
      <c r="BC728" s="18">
        <v>0</v>
      </c>
      <c r="BD728" s="18">
        <v>0</v>
      </c>
      <c r="BE728" s="18">
        <v>7.07143</v>
      </c>
      <c r="BF728" s="18">
        <v>273</v>
      </c>
      <c r="BG728" s="18">
        <v>16</v>
      </c>
      <c r="BH728" s="18">
        <v>1</v>
      </c>
      <c r="BI728" s="18">
        <v>1</v>
      </c>
      <c r="BJ728" s="18">
        <v>0</v>
      </c>
      <c r="BK728" s="18">
        <v>0</v>
      </c>
      <c r="BL728" s="18">
        <v>0</v>
      </c>
      <c r="BM728" s="18">
        <v>1</v>
      </c>
      <c r="BN728" s="18">
        <v>1</v>
      </c>
      <c r="BO728" s="18">
        <v>42.91</v>
      </c>
      <c r="BP728" s="18">
        <v>2.42</v>
      </c>
      <c r="BQ728" s="18">
        <v>89</v>
      </c>
      <c r="BR728" s="18">
        <v>0</v>
      </c>
      <c r="BS728" s="18">
        <v>0</v>
      </c>
      <c r="BT728" s="18">
        <v>0</v>
      </c>
      <c r="BU728" s="18">
        <v>0</v>
      </c>
    </row>
    <row r="729" spans="1:73">
      <c r="A729" s="19">
        <v>46122</v>
      </c>
      <c r="B729" s="18">
        <v>436</v>
      </c>
      <c r="C729" s="18" t="s">
        <v>38</v>
      </c>
      <c r="D729" s="18">
        <v>436</v>
      </c>
      <c r="E729" s="18" t="s">
        <v>38</v>
      </c>
      <c r="F729" s="18">
        <v>1055</v>
      </c>
      <c r="G729" s="18">
        <v>33</v>
      </c>
      <c r="H729" s="18">
        <v>86.07</v>
      </c>
      <c r="I729" s="18">
        <v>0.03128</v>
      </c>
      <c r="J729" s="18">
        <v>2.61</v>
      </c>
      <c r="K729" s="18">
        <v>81.58</v>
      </c>
      <c r="L729" s="18">
        <v>0</v>
      </c>
      <c r="M729" s="18">
        <v>0</v>
      </c>
      <c r="N729" s="18">
        <v>0</v>
      </c>
      <c r="O729" s="18">
        <v>0</v>
      </c>
      <c r="P729" s="18">
        <v>0</v>
      </c>
      <c r="Q729" s="18">
        <v>0</v>
      </c>
      <c r="R729" s="18">
        <v>0</v>
      </c>
      <c r="S729" s="18">
        <v>42.91</v>
      </c>
      <c r="T729" s="18">
        <v>42.91</v>
      </c>
      <c r="U729" s="18">
        <v>1</v>
      </c>
      <c r="V729" s="18">
        <v>0</v>
      </c>
      <c r="W729" s="18">
        <v>1</v>
      </c>
      <c r="X729" s="18">
        <v>0.0303</v>
      </c>
      <c r="Y729" s="18">
        <v>0.5</v>
      </c>
      <c r="Z729" s="18">
        <v>0.5</v>
      </c>
      <c r="AA729" s="18">
        <v>86.07</v>
      </c>
      <c r="AB729" s="18">
        <v>1</v>
      </c>
      <c r="AC729" s="18">
        <v>0</v>
      </c>
      <c r="AD729" s="18">
        <v>1</v>
      </c>
      <c r="AE729" s="18">
        <v>0.0303</v>
      </c>
      <c r="AF729" s="18">
        <v>1</v>
      </c>
      <c r="AG729" s="18">
        <v>1</v>
      </c>
      <c r="AH729" s="18">
        <v>86.07</v>
      </c>
      <c r="AI729" s="18">
        <v>3</v>
      </c>
      <c r="AJ729" s="18">
        <v>28.69</v>
      </c>
      <c r="AK729" s="18">
        <v>2</v>
      </c>
      <c r="AL729" s="18">
        <v>43.04</v>
      </c>
      <c r="AM729" s="18">
        <v>2</v>
      </c>
      <c r="AN729" s="18">
        <v>86.07</v>
      </c>
      <c r="AO729" s="18">
        <v>0.0303</v>
      </c>
      <c r="AP729" s="18">
        <v>86.07</v>
      </c>
      <c r="AQ729" s="18">
        <v>1</v>
      </c>
      <c r="AR729" s="18">
        <v>49.9</v>
      </c>
      <c r="AS729" s="18">
        <v>1</v>
      </c>
      <c r="AT729" s="18">
        <v>0</v>
      </c>
      <c r="AU729" s="18">
        <v>0</v>
      </c>
      <c r="AV729" s="18">
        <v>0</v>
      </c>
      <c r="AW729" s="18">
        <v>0</v>
      </c>
      <c r="AX729" s="18">
        <v>1</v>
      </c>
      <c r="AY729" s="18">
        <v>116</v>
      </c>
      <c r="AZ729" s="18">
        <v>27</v>
      </c>
      <c r="BA729" s="18">
        <v>21</v>
      </c>
      <c r="BB729" s="18">
        <v>0.77778</v>
      </c>
      <c r="BC729" s="18">
        <v>0</v>
      </c>
      <c r="BD729" s="18">
        <v>0</v>
      </c>
      <c r="BE729" s="18">
        <v>0.10995</v>
      </c>
      <c r="BF729" s="18">
        <v>86</v>
      </c>
      <c r="BG729" s="18">
        <v>4</v>
      </c>
      <c r="BH729" s="18">
        <v>1</v>
      </c>
      <c r="BI729" s="18">
        <v>1</v>
      </c>
      <c r="BJ729" s="18">
        <v>0</v>
      </c>
      <c r="BK729" s="18">
        <v>0</v>
      </c>
      <c r="BL729" s="18">
        <v>0</v>
      </c>
      <c r="BM729" s="18">
        <v>1</v>
      </c>
      <c r="BN729" s="18">
        <v>1</v>
      </c>
      <c r="BO729" s="18">
        <v>42.91</v>
      </c>
      <c r="BP729" s="18">
        <v>0</v>
      </c>
      <c r="BQ729" s="18">
        <v>102</v>
      </c>
      <c r="BR729" s="18">
        <v>0</v>
      </c>
      <c r="BS729" s="18">
        <v>0</v>
      </c>
      <c r="BT729" s="18">
        <v>0</v>
      </c>
      <c r="BU729" s="18">
        <v>0</v>
      </c>
    </row>
    <row r="730" spans="1:73">
      <c r="A730" s="19">
        <v>46122</v>
      </c>
      <c r="B730" s="18">
        <v>372</v>
      </c>
      <c r="C730" s="18" t="s">
        <v>37</v>
      </c>
      <c r="D730" s="18">
        <v>372</v>
      </c>
      <c r="E730" s="18" t="s">
        <v>61</v>
      </c>
      <c r="F730" s="18">
        <v>4941</v>
      </c>
      <c r="G730" s="18">
        <v>76</v>
      </c>
      <c r="H730" s="18">
        <v>71.51</v>
      </c>
      <c r="I730" s="18">
        <v>0.01538</v>
      </c>
      <c r="J730" s="18">
        <v>0.94</v>
      </c>
      <c r="K730" s="18">
        <v>14.47</v>
      </c>
      <c r="L730" s="18">
        <v>0</v>
      </c>
      <c r="M730" s="18">
        <v>0</v>
      </c>
      <c r="N730" s="18">
        <v>0</v>
      </c>
      <c r="O730" s="18">
        <v>0</v>
      </c>
      <c r="P730" s="18">
        <v>0</v>
      </c>
      <c r="Q730" s="18">
        <v>0</v>
      </c>
      <c r="R730" s="18">
        <v>0</v>
      </c>
      <c r="S730" s="18">
        <v>0</v>
      </c>
      <c r="T730" s="18">
        <v>0</v>
      </c>
      <c r="U730" s="18">
        <v>0</v>
      </c>
      <c r="V730" s="18">
        <v>0</v>
      </c>
      <c r="W730" s="18">
        <v>0</v>
      </c>
      <c r="X730" s="18">
        <v>0</v>
      </c>
      <c r="Y730" s="18">
        <v>0</v>
      </c>
      <c r="Z730" s="18">
        <v>0</v>
      </c>
      <c r="AA730" s="18"/>
      <c r="AB730" s="18">
        <v>1</v>
      </c>
      <c r="AC730" s="18">
        <v>1</v>
      </c>
      <c r="AD730" s="18">
        <v>0</v>
      </c>
      <c r="AE730" s="18">
        <v>0.01316</v>
      </c>
      <c r="AF730" s="18">
        <v>0</v>
      </c>
      <c r="AG730" s="18">
        <v>0</v>
      </c>
      <c r="AH730" s="18"/>
      <c r="AI730" s="18">
        <v>1</v>
      </c>
      <c r="AJ730" s="18">
        <v>71.51</v>
      </c>
      <c r="AK730" s="18">
        <v>1</v>
      </c>
      <c r="AL730" s="18">
        <v>71.51</v>
      </c>
      <c r="AM730" s="18">
        <v>0</v>
      </c>
      <c r="AN730" s="18"/>
      <c r="AO730" s="18">
        <v>0</v>
      </c>
      <c r="AP730" s="18">
        <v>71.51</v>
      </c>
      <c r="AQ730" s="18">
        <v>0</v>
      </c>
      <c r="AR730" s="18">
        <v>0</v>
      </c>
      <c r="AS730" s="18">
        <v>0</v>
      </c>
      <c r="AT730" s="18">
        <v>0</v>
      </c>
      <c r="AU730" s="18">
        <v>0</v>
      </c>
      <c r="AV730" s="18">
        <v>0</v>
      </c>
      <c r="AW730" s="18">
        <v>0</v>
      </c>
      <c r="AX730" s="18">
        <v>0</v>
      </c>
      <c r="AY730" s="18">
        <v>114</v>
      </c>
      <c r="AZ730" s="18">
        <v>74</v>
      </c>
      <c r="BA730" s="18">
        <v>65</v>
      </c>
      <c r="BB730" s="18">
        <v>0.87838</v>
      </c>
      <c r="BC730" s="18">
        <v>0</v>
      </c>
      <c r="BD730" s="18">
        <v>0</v>
      </c>
      <c r="BE730" s="18">
        <v>0.02307</v>
      </c>
      <c r="BF730" s="18">
        <v>36</v>
      </c>
      <c r="BG730" s="18">
        <v>2</v>
      </c>
      <c r="BH730" s="18">
        <v>0</v>
      </c>
      <c r="BI730" s="18"/>
      <c r="BJ730" s="18">
        <v>0</v>
      </c>
      <c r="BK730" s="18">
        <v>0</v>
      </c>
      <c r="BL730" s="18">
        <v>0</v>
      </c>
      <c r="BM730" s="18">
        <v>0</v>
      </c>
      <c r="BN730" s="18"/>
      <c r="BO730" s="18"/>
      <c r="BP730" s="18">
        <v>113.79</v>
      </c>
      <c r="BQ730" s="18">
        <v>84</v>
      </c>
      <c r="BR730" s="18">
        <v>0</v>
      </c>
      <c r="BS730" s="18">
        <v>0</v>
      </c>
      <c r="BT730" s="18">
        <v>0</v>
      </c>
      <c r="BU730" s="18">
        <v>0</v>
      </c>
    </row>
    <row r="731" spans="1:73">
      <c r="A731" s="19">
        <v>46122</v>
      </c>
      <c r="B731" s="18">
        <v>371</v>
      </c>
      <c r="C731" s="18" t="s">
        <v>32</v>
      </c>
      <c r="D731" s="18">
        <v>371</v>
      </c>
      <c r="E731" s="18" t="s">
        <v>32</v>
      </c>
      <c r="F731" s="18">
        <v>6053</v>
      </c>
      <c r="G731" s="18">
        <v>191</v>
      </c>
      <c r="H731" s="18">
        <v>43.54</v>
      </c>
      <c r="I731" s="18">
        <v>0.03155</v>
      </c>
      <c r="J731" s="18">
        <v>0.23</v>
      </c>
      <c r="K731" s="18">
        <v>7.19</v>
      </c>
      <c r="L731" s="18">
        <v>0</v>
      </c>
      <c r="M731" s="18">
        <v>0</v>
      </c>
      <c r="N731" s="18">
        <v>0</v>
      </c>
      <c r="O731" s="18">
        <v>0</v>
      </c>
      <c r="P731" s="18">
        <v>0</v>
      </c>
      <c r="Q731" s="18">
        <v>0</v>
      </c>
      <c r="R731" s="18">
        <v>0</v>
      </c>
      <c r="S731" s="18">
        <v>0</v>
      </c>
      <c r="T731" s="18">
        <v>0</v>
      </c>
      <c r="U731" s="18">
        <v>0</v>
      </c>
      <c r="V731" s="18">
        <v>0</v>
      </c>
      <c r="W731" s="18">
        <v>0</v>
      </c>
      <c r="X731" s="18">
        <v>0</v>
      </c>
      <c r="Y731" s="18">
        <v>0</v>
      </c>
      <c r="Z731" s="18">
        <v>0</v>
      </c>
      <c r="AA731" s="18"/>
      <c r="AB731" s="18">
        <v>1</v>
      </c>
      <c r="AC731" s="18">
        <v>0</v>
      </c>
      <c r="AD731" s="18">
        <v>1</v>
      </c>
      <c r="AE731" s="18">
        <v>0.00524</v>
      </c>
      <c r="AF731" s="18">
        <v>1</v>
      </c>
      <c r="AG731" s="18">
        <v>1</v>
      </c>
      <c r="AH731" s="18">
        <v>43.54</v>
      </c>
      <c r="AI731" s="18">
        <v>3</v>
      </c>
      <c r="AJ731" s="18">
        <v>14.51</v>
      </c>
      <c r="AK731" s="18">
        <v>2</v>
      </c>
      <c r="AL731" s="18">
        <v>21.77</v>
      </c>
      <c r="AM731" s="18">
        <v>2</v>
      </c>
      <c r="AN731" s="18">
        <v>43.54</v>
      </c>
      <c r="AO731" s="18">
        <v>0.00524</v>
      </c>
      <c r="AP731" s="18">
        <v>43.54</v>
      </c>
      <c r="AQ731" s="18">
        <v>0</v>
      </c>
      <c r="AR731" s="18">
        <v>0</v>
      </c>
      <c r="AS731" s="18">
        <v>0</v>
      </c>
      <c r="AT731" s="18">
        <v>1</v>
      </c>
      <c r="AU731" s="18">
        <v>0</v>
      </c>
      <c r="AV731" s="18">
        <v>0</v>
      </c>
      <c r="AW731" s="18">
        <v>0</v>
      </c>
      <c r="AX731" s="18">
        <v>1</v>
      </c>
      <c r="AY731" s="18">
        <v>384</v>
      </c>
      <c r="AZ731" s="18">
        <v>201</v>
      </c>
      <c r="BA731" s="18">
        <v>191</v>
      </c>
      <c r="BB731" s="18">
        <v>0.95025</v>
      </c>
      <c r="BC731" s="18">
        <v>0</v>
      </c>
      <c r="BD731" s="18">
        <v>0</v>
      </c>
      <c r="BE731" s="18">
        <v>0.06344</v>
      </c>
      <c r="BF731" s="18">
        <v>145</v>
      </c>
      <c r="BG731" s="18">
        <v>2</v>
      </c>
      <c r="BH731" s="18">
        <v>0</v>
      </c>
      <c r="BI731" s="18"/>
      <c r="BJ731" s="18">
        <v>0</v>
      </c>
      <c r="BK731" s="18">
        <v>0</v>
      </c>
      <c r="BL731" s="18">
        <v>0</v>
      </c>
      <c r="BM731" s="18">
        <v>0</v>
      </c>
      <c r="BN731" s="18"/>
      <c r="BO731" s="18"/>
      <c r="BP731" s="18">
        <v>1.95</v>
      </c>
      <c r="BQ731" s="18">
        <v>66</v>
      </c>
      <c r="BR731" s="18">
        <v>0</v>
      </c>
      <c r="BS731" s="18">
        <v>0</v>
      </c>
      <c r="BT731" s="18">
        <v>0</v>
      </c>
      <c r="BU731" s="18">
        <v>0</v>
      </c>
    </row>
    <row r="732" spans="1:73">
      <c r="A732" s="19">
        <v>46121</v>
      </c>
      <c r="B732" s="18">
        <v>372</v>
      </c>
      <c r="C732" s="18" t="s">
        <v>37</v>
      </c>
      <c r="D732" s="18">
        <v>372</v>
      </c>
      <c r="E732" s="18" t="s">
        <v>61</v>
      </c>
      <c r="F732" s="18">
        <v>9087</v>
      </c>
      <c r="G732" s="18">
        <v>201</v>
      </c>
      <c r="H732" s="18">
        <v>215</v>
      </c>
      <c r="I732" s="18">
        <v>0.02212</v>
      </c>
      <c r="J732" s="18">
        <v>1.07</v>
      </c>
      <c r="K732" s="18">
        <v>23.66</v>
      </c>
      <c r="L732" s="18">
        <v>0</v>
      </c>
      <c r="M732" s="18">
        <v>0</v>
      </c>
      <c r="N732" s="18">
        <v>0</v>
      </c>
      <c r="O732" s="18">
        <v>0</v>
      </c>
      <c r="P732" s="18">
        <v>0</v>
      </c>
      <c r="Q732" s="18">
        <v>0</v>
      </c>
      <c r="R732" s="18">
        <v>233.93</v>
      </c>
      <c r="S732" s="18">
        <v>0</v>
      </c>
      <c r="T732" s="18">
        <v>233.93</v>
      </c>
      <c r="U732" s="18">
        <v>1</v>
      </c>
      <c r="V732" s="18">
        <v>1</v>
      </c>
      <c r="W732" s="18">
        <v>0</v>
      </c>
      <c r="X732" s="18">
        <v>0.00498</v>
      </c>
      <c r="Y732" s="18">
        <v>1.09</v>
      </c>
      <c r="Z732" s="18">
        <v>1.09</v>
      </c>
      <c r="AA732" s="18">
        <v>215</v>
      </c>
      <c r="AB732" s="18">
        <v>2</v>
      </c>
      <c r="AC732" s="18">
        <v>2</v>
      </c>
      <c r="AD732" s="18">
        <v>0</v>
      </c>
      <c r="AE732" s="18">
        <v>0.00995</v>
      </c>
      <c r="AF732" s="18">
        <v>2</v>
      </c>
      <c r="AG732" s="18">
        <v>0</v>
      </c>
      <c r="AH732" s="18"/>
      <c r="AI732" s="18">
        <v>4</v>
      </c>
      <c r="AJ732" s="18">
        <v>53.75</v>
      </c>
      <c r="AK732" s="18">
        <v>4</v>
      </c>
      <c r="AL732" s="18">
        <v>53.75</v>
      </c>
      <c r="AM732" s="18">
        <v>2</v>
      </c>
      <c r="AN732" s="18">
        <v>107.5</v>
      </c>
      <c r="AO732" s="18">
        <v>0.00995</v>
      </c>
      <c r="AP732" s="18">
        <v>107.5</v>
      </c>
      <c r="AQ732" s="18">
        <v>2</v>
      </c>
      <c r="AR732" s="18">
        <v>368</v>
      </c>
      <c r="AS732" s="18">
        <v>1</v>
      </c>
      <c r="AT732" s="18">
        <v>1</v>
      </c>
      <c r="AU732" s="18">
        <v>0</v>
      </c>
      <c r="AV732" s="18">
        <v>0</v>
      </c>
      <c r="AW732" s="18">
        <v>0</v>
      </c>
      <c r="AX732" s="18">
        <v>0</v>
      </c>
      <c r="AY732" s="18">
        <v>335</v>
      </c>
      <c r="AZ732" s="18">
        <v>194</v>
      </c>
      <c r="BA732" s="18">
        <v>183</v>
      </c>
      <c r="BB732" s="18">
        <v>0.9433</v>
      </c>
      <c r="BC732" s="18">
        <v>0</v>
      </c>
      <c r="BD732" s="18">
        <v>0</v>
      </c>
      <c r="BE732" s="18">
        <v>0.03687</v>
      </c>
      <c r="BF732" s="18">
        <v>121</v>
      </c>
      <c r="BG732" s="18">
        <v>2</v>
      </c>
      <c r="BH732" s="18">
        <v>1</v>
      </c>
      <c r="BI732" s="18">
        <v>1</v>
      </c>
      <c r="BJ732" s="18">
        <v>0</v>
      </c>
      <c r="BK732" s="18">
        <v>0</v>
      </c>
      <c r="BL732" s="18">
        <v>0</v>
      </c>
      <c r="BM732" s="18">
        <v>1</v>
      </c>
      <c r="BN732" s="18">
        <v>1</v>
      </c>
      <c r="BO732" s="18">
        <v>233.93</v>
      </c>
      <c r="BP732" s="18">
        <v>556.94</v>
      </c>
      <c r="BQ732" s="18">
        <v>504</v>
      </c>
      <c r="BR732" s="18">
        <v>0</v>
      </c>
      <c r="BS732" s="18">
        <v>0</v>
      </c>
      <c r="BT732" s="18">
        <v>0</v>
      </c>
      <c r="BU732" s="18">
        <v>0</v>
      </c>
    </row>
    <row r="733" spans="1:73">
      <c r="A733" s="19">
        <v>46121</v>
      </c>
      <c r="B733" s="18">
        <v>183</v>
      </c>
      <c r="C733" s="18" t="s">
        <v>40</v>
      </c>
      <c r="D733" s="18">
        <v>183</v>
      </c>
      <c r="E733" s="18" t="s">
        <v>40</v>
      </c>
      <c r="F733" s="18">
        <v>3844</v>
      </c>
      <c r="G733" s="18">
        <v>100</v>
      </c>
      <c r="H733" s="18">
        <v>300</v>
      </c>
      <c r="I733" s="18">
        <v>0.02601</v>
      </c>
      <c r="J733" s="18">
        <v>3</v>
      </c>
      <c r="K733" s="18">
        <v>78.04</v>
      </c>
      <c r="L733" s="18">
        <v>0</v>
      </c>
      <c r="M733" s="18">
        <v>0</v>
      </c>
      <c r="N733" s="18">
        <v>0</v>
      </c>
      <c r="O733" s="18">
        <v>0</v>
      </c>
      <c r="P733" s="18">
        <v>0</v>
      </c>
      <c r="Q733" s="18">
        <v>0</v>
      </c>
      <c r="R733" s="18">
        <v>207</v>
      </c>
      <c r="S733" s="18">
        <v>620.24</v>
      </c>
      <c r="T733" s="18">
        <v>827.24</v>
      </c>
      <c r="U733" s="18">
        <v>3</v>
      </c>
      <c r="V733" s="18">
        <v>1</v>
      </c>
      <c r="W733" s="18">
        <v>2</v>
      </c>
      <c r="X733" s="18">
        <v>0.03</v>
      </c>
      <c r="Y733" s="18">
        <v>2.76</v>
      </c>
      <c r="Z733" s="18">
        <v>2.76</v>
      </c>
      <c r="AA733" s="18">
        <v>100</v>
      </c>
      <c r="AB733" s="18">
        <v>10</v>
      </c>
      <c r="AC733" s="18">
        <v>6</v>
      </c>
      <c r="AD733" s="18">
        <v>4</v>
      </c>
      <c r="AE733" s="18">
        <v>0.1</v>
      </c>
      <c r="AF733" s="18">
        <v>3</v>
      </c>
      <c r="AG733" s="18">
        <v>0</v>
      </c>
      <c r="AH733" s="18"/>
      <c r="AI733" s="18">
        <v>13</v>
      </c>
      <c r="AJ733" s="18">
        <v>23.08</v>
      </c>
      <c r="AK733" s="18">
        <v>13</v>
      </c>
      <c r="AL733" s="18">
        <v>23.08</v>
      </c>
      <c r="AM733" s="18">
        <v>3</v>
      </c>
      <c r="AN733" s="18">
        <v>100</v>
      </c>
      <c r="AO733" s="18">
        <v>0.03</v>
      </c>
      <c r="AP733" s="18">
        <v>30</v>
      </c>
      <c r="AQ733" s="18">
        <v>5</v>
      </c>
      <c r="AR733" s="18">
        <v>1154</v>
      </c>
      <c r="AS733" s="18">
        <v>3</v>
      </c>
      <c r="AT733" s="18">
        <v>0</v>
      </c>
      <c r="AU733" s="18">
        <v>0</v>
      </c>
      <c r="AV733" s="18">
        <v>0</v>
      </c>
      <c r="AW733" s="18">
        <v>0</v>
      </c>
      <c r="AX733" s="18">
        <v>2</v>
      </c>
      <c r="AY733" s="18">
        <v>511</v>
      </c>
      <c r="AZ733" s="18">
        <v>176</v>
      </c>
      <c r="BA733" s="18">
        <v>130</v>
      </c>
      <c r="BB733" s="18">
        <v>0.73864</v>
      </c>
      <c r="BC733" s="18">
        <v>0</v>
      </c>
      <c r="BD733" s="18">
        <v>0</v>
      </c>
      <c r="BE733" s="18">
        <v>0.13293</v>
      </c>
      <c r="BF733" s="18">
        <v>238</v>
      </c>
      <c r="BG733" s="18">
        <v>3</v>
      </c>
      <c r="BH733" s="18">
        <v>2</v>
      </c>
      <c r="BI733" s="18">
        <v>1</v>
      </c>
      <c r="BJ733" s="18">
        <v>0</v>
      </c>
      <c r="BK733" s="18">
        <v>0</v>
      </c>
      <c r="BL733" s="18">
        <v>0</v>
      </c>
      <c r="BM733" s="18">
        <v>2</v>
      </c>
      <c r="BN733" s="18">
        <v>2</v>
      </c>
      <c r="BO733" s="18">
        <v>413.62</v>
      </c>
      <c r="BP733" s="18">
        <v>23.89</v>
      </c>
      <c r="BQ733" s="18">
        <v>886</v>
      </c>
      <c r="BR733" s="18">
        <v>0</v>
      </c>
      <c r="BS733" s="18">
        <v>0</v>
      </c>
      <c r="BT733" s="18">
        <v>0</v>
      </c>
      <c r="BU733" s="18">
        <v>0</v>
      </c>
    </row>
    <row r="734" spans="1:73">
      <c r="A734" s="19">
        <v>46121</v>
      </c>
      <c r="B734" s="18">
        <v>479</v>
      </c>
      <c r="C734" s="18" t="s">
        <v>39</v>
      </c>
      <c r="D734" s="18">
        <v>479</v>
      </c>
      <c r="E734" s="18" t="s">
        <v>39</v>
      </c>
      <c r="F734" s="18">
        <v>65</v>
      </c>
      <c r="G734" s="18">
        <v>28</v>
      </c>
      <c r="H734" s="18">
        <v>18.76</v>
      </c>
      <c r="I734" s="18">
        <v>0.43077</v>
      </c>
      <c r="J734" s="18">
        <v>0.67</v>
      </c>
      <c r="K734" s="18">
        <v>288.68</v>
      </c>
      <c r="L734" s="18">
        <v>0</v>
      </c>
      <c r="M734" s="18">
        <v>0</v>
      </c>
      <c r="N734" s="18">
        <v>0</v>
      </c>
      <c r="O734" s="18">
        <v>0</v>
      </c>
      <c r="P734" s="18">
        <v>0</v>
      </c>
      <c r="Q734" s="18">
        <v>0</v>
      </c>
      <c r="R734" s="18">
        <v>0</v>
      </c>
      <c r="S734" s="18">
        <v>0</v>
      </c>
      <c r="T734" s="18">
        <v>0</v>
      </c>
      <c r="U734" s="18">
        <v>0</v>
      </c>
      <c r="V734" s="18">
        <v>0</v>
      </c>
      <c r="W734" s="18">
        <v>0</v>
      </c>
      <c r="X734" s="18">
        <v>0</v>
      </c>
      <c r="Y734" s="18">
        <v>0</v>
      </c>
      <c r="Z734" s="18">
        <v>0</v>
      </c>
      <c r="AA734" s="18"/>
      <c r="AB734" s="18">
        <v>5</v>
      </c>
      <c r="AC734" s="18">
        <v>0</v>
      </c>
      <c r="AD734" s="18">
        <v>5</v>
      </c>
      <c r="AE734" s="18">
        <v>0.17857</v>
      </c>
      <c r="AF734" s="18">
        <v>0</v>
      </c>
      <c r="AG734" s="18">
        <v>0</v>
      </c>
      <c r="AH734" s="18"/>
      <c r="AI734" s="18">
        <v>5</v>
      </c>
      <c r="AJ734" s="18">
        <v>3.75</v>
      </c>
      <c r="AK734" s="18">
        <v>5</v>
      </c>
      <c r="AL734" s="18">
        <v>3.75</v>
      </c>
      <c r="AM734" s="18">
        <v>0</v>
      </c>
      <c r="AN734" s="18"/>
      <c r="AO734" s="18">
        <v>0</v>
      </c>
      <c r="AP734" s="18">
        <v>3.75</v>
      </c>
      <c r="AQ734" s="18">
        <v>0</v>
      </c>
      <c r="AR734" s="18">
        <v>0</v>
      </c>
      <c r="AS734" s="18">
        <v>0</v>
      </c>
      <c r="AT734" s="18">
        <v>0</v>
      </c>
      <c r="AU734" s="18">
        <v>0</v>
      </c>
      <c r="AV734" s="18">
        <v>0</v>
      </c>
      <c r="AW734" s="18">
        <v>0</v>
      </c>
      <c r="AX734" s="18">
        <v>1</v>
      </c>
      <c r="AY734" s="18">
        <v>282</v>
      </c>
      <c r="AZ734" s="18">
        <v>22</v>
      </c>
      <c r="BA734" s="18">
        <v>13</v>
      </c>
      <c r="BB734" s="18">
        <v>0.59091</v>
      </c>
      <c r="BC734" s="18">
        <v>0</v>
      </c>
      <c r="BD734" s="18">
        <v>0</v>
      </c>
      <c r="BE734" s="18">
        <v>4.33846</v>
      </c>
      <c r="BF734" s="18">
        <v>253</v>
      </c>
      <c r="BG734" s="18">
        <v>13</v>
      </c>
      <c r="BH734" s="18">
        <v>0</v>
      </c>
      <c r="BI734" s="18"/>
      <c r="BJ734" s="18">
        <v>0</v>
      </c>
      <c r="BK734" s="18">
        <v>0</v>
      </c>
      <c r="BL734" s="18">
        <v>0</v>
      </c>
      <c r="BM734" s="18">
        <v>0</v>
      </c>
      <c r="BN734" s="18"/>
      <c r="BO734" s="18"/>
      <c r="BP734" s="18">
        <v>0.03</v>
      </c>
      <c r="BQ734" s="18">
        <v>79</v>
      </c>
      <c r="BR734" s="18">
        <v>0</v>
      </c>
      <c r="BS734" s="18">
        <v>0</v>
      </c>
      <c r="BT734" s="18">
        <v>0</v>
      </c>
      <c r="BU734" s="18">
        <v>0</v>
      </c>
    </row>
    <row r="735" spans="1:73">
      <c r="A735" s="19">
        <v>46121</v>
      </c>
      <c r="B735" s="18">
        <v>371</v>
      </c>
      <c r="C735" s="18" t="s">
        <v>32</v>
      </c>
      <c r="D735" s="18">
        <v>371</v>
      </c>
      <c r="E735" s="18" t="s">
        <v>32</v>
      </c>
      <c r="F735" s="18">
        <v>3920</v>
      </c>
      <c r="G735" s="18">
        <v>184</v>
      </c>
      <c r="H735" s="18">
        <v>47.14</v>
      </c>
      <c r="I735" s="18">
        <v>0.04694</v>
      </c>
      <c r="J735" s="18">
        <v>0.26</v>
      </c>
      <c r="K735" s="18">
        <v>12.03</v>
      </c>
      <c r="L735" s="18">
        <v>0</v>
      </c>
      <c r="M735" s="18">
        <v>0</v>
      </c>
      <c r="N735" s="18">
        <v>0</v>
      </c>
      <c r="O735" s="18">
        <v>0</v>
      </c>
      <c r="P735" s="18">
        <v>0</v>
      </c>
      <c r="Q735" s="18">
        <v>0</v>
      </c>
      <c r="R735" s="18">
        <v>0</v>
      </c>
      <c r="S735" s="18">
        <v>0</v>
      </c>
      <c r="T735" s="18">
        <v>0</v>
      </c>
      <c r="U735" s="18">
        <v>0</v>
      </c>
      <c r="V735" s="18">
        <v>0</v>
      </c>
      <c r="W735" s="18">
        <v>0</v>
      </c>
      <c r="X735" s="18">
        <v>0</v>
      </c>
      <c r="Y735" s="18">
        <v>0</v>
      </c>
      <c r="Z735" s="18">
        <v>0</v>
      </c>
      <c r="AA735" s="18"/>
      <c r="AB735" s="18">
        <v>3</v>
      </c>
      <c r="AC735" s="18">
        <v>1</v>
      </c>
      <c r="AD735" s="18">
        <v>2</v>
      </c>
      <c r="AE735" s="18">
        <v>0.0163</v>
      </c>
      <c r="AF735" s="18">
        <v>1</v>
      </c>
      <c r="AG735" s="18">
        <v>1</v>
      </c>
      <c r="AH735" s="18">
        <v>47.14</v>
      </c>
      <c r="AI735" s="18">
        <v>5</v>
      </c>
      <c r="AJ735" s="18">
        <v>9.43</v>
      </c>
      <c r="AK735" s="18">
        <v>4</v>
      </c>
      <c r="AL735" s="18">
        <v>11.79</v>
      </c>
      <c r="AM735" s="18">
        <v>2</v>
      </c>
      <c r="AN735" s="18">
        <v>47.14</v>
      </c>
      <c r="AO735" s="18">
        <v>0.00543</v>
      </c>
      <c r="AP735" s="18">
        <v>15.71</v>
      </c>
      <c r="AQ735" s="18">
        <v>0</v>
      </c>
      <c r="AR735" s="18">
        <v>0</v>
      </c>
      <c r="AS735" s="18">
        <v>1</v>
      </c>
      <c r="AT735" s="18">
        <v>0</v>
      </c>
      <c r="AU735" s="18">
        <v>0</v>
      </c>
      <c r="AV735" s="18">
        <v>0</v>
      </c>
      <c r="AW735" s="18">
        <v>0</v>
      </c>
      <c r="AX735" s="18">
        <v>0</v>
      </c>
      <c r="AY735" s="18">
        <v>375</v>
      </c>
      <c r="AZ735" s="18">
        <v>180</v>
      </c>
      <c r="BA735" s="18">
        <v>160</v>
      </c>
      <c r="BB735" s="18">
        <v>0.88889</v>
      </c>
      <c r="BC735" s="18">
        <v>0</v>
      </c>
      <c r="BD735" s="18">
        <v>0</v>
      </c>
      <c r="BE735" s="18">
        <v>0.09566</v>
      </c>
      <c r="BF735" s="18">
        <v>152</v>
      </c>
      <c r="BG735" s="18">
        <v>2</v>
      </c>
      <c r="BH735" s="18">
        <v>0</v>
      </c>
      <c r="BI735" s="18"/>
      <c r="BJ735" s="18">
        <v>0</v>
      </c>
      <c r="BK735" s="18">
        <v>0</v>
      </c>
      <c r="BL735" s="18">
        <v>0</v>
      </c>
      <c r="BM735" s="18">
        <v>0</v>
      </c>
      <c r="BN735" s="18"/>
      <c r="BO735" s="18"/>
      <c r="BP735" s="18">
        <v>10.44</v>
      </c>
      <c r="BQ735" s="18">
        <v>2467</v>
      </c>
      <c r="BR735" s="18">
        <v>0</v>
      </c>
      <c r="BS735" s="18">
        <v>0</v>
      </c>
      <c r="BT735" s="18">
        <v>0</v>
      </c>
      <c r="BU735" s="18">
        <v>0</v>
      </c>
    </row>
    <row r="736" spans="1:73">
      <c r="A736" s="19">
        <v>46121</v>
      </c>
      <c r="B736" s="18">
        <v>436</v>
      </c>
      <c r="C736" s="18" t="s">
        <v>38</v>
      </c>
      <c r="D736" s="18">
        <v>436</v>
      </c>
      <c r="E736" s="18" t="s">
        <v>38</v>
      </c>
      <c r="F736" s="18">
        <v>730</v>
      </c>
      <c r="G736" s="18">
        <v>36</v>
      </c>
      <c r="H736" s="18">
        <v>180</v>
      </c>
      <c r="I736" s="18">
        <v>0.04932</v>
      </c>
      <c r="J736" s="18">
        <v>5</v>
      </c>
      <c r="K736" s="18">
        <v>246.58</v>
      </c>
      <c r="L736" s="18">
        <v>0</v>
      </c>
      <c r="M736" s="18">
        <v>0</v>
      </c>
      <c r="N736" s="18">
        <v>0</v>
      </c>
      <c r="O736" s="18">
        <v>0</v>
      </c>
      <c r="P736" s="18">
        <v>0</v>
      </c>
      <c r="Q736" s="18">
        <v>0</v>
      </c>
      <c r="R736" s="18">
        <v>0</v>
      </c>
      <c r="S736" s="18">
        <v>2574</v>
      </c>
      <c r="T736" s="18">
        <v>2574</v>
      </c>
      <c r="U736" s="18">
        <v>3</v>
      </c>
      <c r="V736" s="18">
        <v>0</v>
      </c>
      <c r="W736" s="18">
        <v>3</v>
      </c>
      <c r="X736" s="18">
        <v>0.08333</v>
      </c>
      <c r="Y736" s="18">
        <v>14.3</v>
      </c>
      <c r="Z736" s="18">
        <v>14.3</v>
      </c>
      <c r="AA736" s="18">
        <v>60</v>
      </c>
      <c r="AB736" s="18">
        <v>3</v>
      </c>
      <c r="AC736" s="18">
        <v>0</v>
      </c>
      <c r="AD736" s="18">
        <v>3</v>
      </c>
      <c r="AE736" s="18">
        <v>0.08333</v>
      </c>
      <c r="AF736" s="18">
        <v>0</v>
      </c>
      <c r="AG736" s="18">
        <v>1</v>
      </c>
      <c r="AH736" s="18">
        <v>180</v>
      </c>
      <c r="AI736" s="18">
        <v>4</v>
      </c>
      <c r="AJ736" s="18">
        <v>45</v>
      </c>
      <c r="AK736" s="18">
        <v>3</v>
      </c>
      <c r="AL736" s="18">
        <v>60</v>
      </c>
      <c r="AM736" s="18">
        <v>1</v>
      </c>
      <c r="AN736" s="18"/>
      <c r="AO736" s="18">
        <v>0</v>
      </c>
      <c r="AP736" s="18">
        <v>60</v>
      </c>
      <c r="AQ736" s="18">
        <v>4</v>
      </c>
      <c r="AR736" s="18">
        <v>3336.9</v>
      </c>
      <c r="AS736" s="18">
        <v>0</v>
      </c>
      <c r="AT736" s="18">
        <v>0</v>
      </c>
      <c r="AU736" s="18">
        <v>0</v>
      </c>
      <c r="AV736" s="18">
        <v>0</v>
      </c>
      <c r="AW736" s="18">
        <v>0</v>
      </c>
      <c r="AX736" s="18">
        <v>1</v>
      </c>
      <c r="AY736" s="18">
        <v>59</v>
      </c>
      <c r="AZ736" s="18">
        <v>22</v>
      </c>
      <c r="BA736" s="18">
        <v>15</v>
      </c>
      <c r="BB736" s="18">
        <v>0.68182</v>
      </c>
      <c r="BC736" s="18">
        <v>0</v>
      </c>
      <c r="BD736" s="18">
        <v>0</v>
      </c>
      <c r="BE736" s="18">
        <v>0.08082</v>
      </c>
      <c r="BF736" s="18">
        <v>24</v>
      </c>
      <c r="BG736" s="18">
        <v>3</v>
      </c>
      <c r="BH736" s="18">
        <v>1</v>
      </c>
      <c r="BI736" s="18">
        <v>1</v>
      </c>
      <c r="BJ736" s="18">
        <v>0</v>
      </c>
      <c r="BK736" s="18">
        <v>0</v>
      </c>
      <c r="BL736" s="18">
        <v>0</v>
      </c>
      <c r="BM736" s="18">
        <v>1</v>
      </c>
      <c r="BN736" s="18">
        <v>3</v>
      </c>
      <c r="BO736" s="18">
        <v>2574</v>
      </c>
      <c r="BP736" s="18">
        <v>12.29</v>
      </c>
      <c r="BQ736" s="18">
        <v>257</v>
      </c>
      <c r="BR736" s="18">
        <v>0</v>
      </c>
      <c r="BS736" s="18">
        <v>0</v>
      </c>
      <c r="BT736" s="18">
        <v>0</v>
      </c>
      <c r="BU736" s="18">
        <v>0</v>
      </c>
    </row>
    <row r="737" spans="1:73">
      <c r="A737" s="19">
        <v>46120</v>
      </c>
      <c r="B737" s="18">
        <v>479</v>
      </c>
      <c r="C737" s="18" t="s">
        <v>39</v>
      </c>
      <c r="D737" s="18">
        <v>479</v>
      </c>
      <c r="E737" s="18" t="s">
        <v>39</v>
      </c>
      <c r="F737" s="18">
        <v>45</v>
      </c>
      <c r="G737" s="18">
        <v>32</v>
      </c>
      <c r="H737" s="18">
        <v>13.77</v>
      </c>
      <c r="I737" s="18">
        <v>0.71111</v>
      </c>
      <c r="J737" s="18">
        <v>0.43</v>
      </c>
      <c r="K737" s="18">
        <v>305.91</v>
      </c>
      <c r="L737" s="18">
        <v>0</v>
      </c>
      <c r="M737" s="18">
        <v>0</v>
      </c>
      <c r="N737" s="18">
        <v>0</v>
      </c>
      <c r="O737" s="18">
        <v>0</v>
      </c>
      <c r="P737" s="18">
        <v>0</v>
      </c>
      <c r="Q737" s="18">
        <v>0</v>
      </c>
      <c r="R737" s="18">
        <v>0</v>
      </c>
      <c r="S737" s="18">
        <v>0</v>
      </c>
      <c r="T737" s="18">
        <v>0</v>
      </c>
      <c r="U737" s="18">
        <v>0</v>
      </c>
      <c r="V737" s="18">
        <v>0</v>
      </c>
      <c r="W737" s="18">
        <v>0</v>
      </c>
      <c r="X737" s="18">
        <v>0</v>
      </c>
      <c r="Y737" s="18">
        <v>0</v>
      </c>
      <c r="Z737" s="18">
        <v>0</v>
      </c>
      <c r="AA737" s="18"/>
      <c r="AB737" s="18">
        <v>14</v>
      </c>
      <c r="AC737" s="18">
        <v>0</v>
      </c>
      <c r="AD737" s="18">
        <v>14</v>
      </c>
      <c r="AE737" s="18">
        <v>0.4375</v>
      </c>
      <c r="AF737" s="18">
        <v>0</v>
      </c>
      <c r="AG737" s="18">
        <v>1</v>
      </c>
      <c r="AH737" s="18">
        <v>13.77</v>
      </c>
      <c r="AI737" s="18">
        <v>15</v>
      </c>
      <c r="AJ737" s="18">
        <v>0.92</v>
      </c>
      <c r="AK737" s="18">
        <v>14</v>
      </c>
      <c r="AL737" s="18">
        <v>0.98</v>
      </c>
      <c r="AM737" s="18">
        <v>1</v>
      </c>
      <c r="AN737" s="18"/>
      <c r="AO737" s="18">
        <v>0</v>
      </c>
      <c r="AP737" s="18">
        <v>0.98</v>
      </c>
      <c r="AQ737" s="18">
        <v>0</v>
      </c>
      <c r="AR737" s="18">
        <v>0</v>
      </c>
      <c r="AS737" s="18">
        <v>0</v>
      </c>
      <c r="AT737" s="18">
        <v>0</v>
      </c>
      <c r="AU737" s="18">
        <v>0</v>
      </c>
      <c r="AV737" s="18">
        <v>0</v>
      </c>
      <c r="AW737" s="18">
        <v>0</v>
      </c>
      <c r="AX737" s="18">
        <v>0</v>
      </c>
      <c r="AY737" s="18">
        <v>430</v>
      </c>
      <c r="AZ737" s="18">
        <v>20</v>
      </c>
      <c r="BA737" s="18">
        <v>11</v>
      </c>
      <c r="BB737" s="18">
        <v>0.55</v>
      </c>
      <c r="BC737" s="18">
        <v>0</v>
      </c>
      <c r="BD737" s="18">
        <v>0</v>
      </c>
      <c r="BE737" s="18">
        <v>9.55556</v>
      </c>
      <c r="BF737" s="18">
        <v>395</v>
      </c>
      <c r="BG737" s="18">
        <v>22</v>
      </c>
      <c r="BH737" s="18">
        <v>0</v>
      </c>
      <c r="BI737" s="18"/>
      <c r="BJ737" s="18">
        <v>0</v>
      </c>
      <c r="BK737" s="18">
        <v>0</v>
      </c>
      <c r="BL737" s="18">
        <v>0</v>
      </c>
      <c r="BM737" s="18">
        <v>0</v>
      </c>
      <c r="BN737" s="18"/>
      <c r="BO737" s="18"/>
      <c r="BP737" s="18">
        <v>3.39</v>
      </c>
      <c r="BQ737" s="18">
        <v>211</v>
      </c>
      <c r="BR737" s="18">
        <v>0</v>
      </c>
      <c r="BS737" s="18">
        <v>0</v>
      </c>
      <c r="BT737" s="18">
        <v>0</v>
      </c>
      <c r="BU737" s="18">
        <v>0</v>
      </c>
    </row>
    <row r="738" spans="1:73">
      <c r="A738" s="19">
        <v>46120</v>
      </c>
      <c r="B738" s="18">
        <v>372</v>
      </c>
      <c r="C738" s="18" t="s">
        <v>37</v>
      </c>
      <c r="D738" s="18">
        <v>372</v>
      </c>
      <c r="E738" s="18" t="s">
        <v>61</v>
      </c>
      <c r="F738" s="18">
        <v>6613</v>
      </c>
      <c r="G738" s="18">
        <v>148</v>
      </c>
      <c r="H738" s="18">
        <v>211.61</v>
      </c>
      <c r="I738" s="18">
        <v>0.02238</v>
      </c>
      <c r="J738" s="18">
        <v>1.43</v>
      </c>
      <c r="K738" s="18">
        <v>32</v>
      </c>
      <c r="L738" s="18">
        <v>0</v>
      </c>
      <c r="M738" s="18">
        <v>0</v>
      </c>
      <c r="N738" s="18">
        <v>0</v>
      </c>
      <c r="O738" s="18">
        <v>0</v>
      </c>
      <c r="P738" s="18">
        <v>0</v>
      </c>
      <c r="Q738" s="18">
        <v>0</v>
      </c>
      <c r="R738" s="18">
        <v>233.93</v>
      </c>
      <c r="S738" s="18">
        <v>0</v>
      </c>
      <c r="T738" s="18">
        <v>233.93</v>
      </c>
      <c r="U738" s="18">
        <v>1</v>
      </c>
      <c r="V738" s="18">
        <v>1</v>
      </c>
      <c r="W738" s="18">
        <v>0</v>
      </c>
      <c r="X738" s="18">
        <v>0.00676</v>
      </c>
      <c r="Y738" s="18">
        <v>1.11</v>
      </c>
      <c r="Z738" s="18">
        <v>1.11</v>
      </c>
      <c r="AA738" s="18">
        <v>211.61</v>
      </c>
      <c r="AB738" s="18">
        <v>3</v>
      </c>
      <c r="AC738" s="18">
        <v>2</v>
      </c>
      <c r="AD738" s="18">
        <v>1</v>
      </c>
      <c r="AE738" s="18">
        <v>0.02027</v>
      </c>
      <c r="AF738" s="18">
        <v>3</v>
      </c>
      <c r="AG738" s="18">
        <v>3</v>
      </c>
      <c r="AH738" s="18">
        <v>70.54</v>
      </c>
      <c r="AI738" s="18">
        <v>9</v>
      </c>
      <c r="AJ738" s="18">
        <v>23.51</v>
      </c>
      <c r="AK738" s="18">
        <v>6</v>
      </c>
      <c r="AL738" s="18">
        <v>35.27</v>
      </c>
      <c r="AM738" s="18">
        <v>6</v>
      </c>
      <c r="AN738" s="18">
        <v>70.54</v>
      </c>
      <c r="AO738" s="18">
        <v>0.02027</v>
      </c>
      <c r="AP738" s="18">
        <v>70.54</v>
      </c>
      <c r="AQ738" s="18">
        <v>2</v>
      </c>
      <c r="AR738" s="18">
        <v>368</v>
      </c>
      <c r="AS738" s="18">
        <v>1</v>
      </c>
      <c r="AT738" s="18">
        <v>2</v>
      </c>
      <c r="AU738" s="18">
        <v>0</v>
      </c>
      <c r="AV738" s="18">
        <v>0</v>
      </c>
      <c r="AW738" s="18">
        <v>0</v>
      </c>
      <c r="AX738" s="18">
        <v>0</v>
      </c>
      <c r="AY738" s="18">
        <v>268</v>
      </c>
      <c r="AZ738" s="18">
        <v>143</v>
      </c>
      <c r="BA738" s="18">
        <v>124</v>
      </c>
      <c r="BB738" s="18">
        <v>0.86713</v>
      </c>
      <c r="BC738" s="18">
        <v>0</v>
      </c>
      <c r="BD738" s="18">
        <v>0</v>
      </c>
      <c r="BE738" s="18">
        <v>0.04053</v>
      </c>
      <c r="BF738" s="18">
        <v>106</v>
      </c>
      <c r="BG738" s="18">
        <v>2</v>
      </c>
      <c r="BH738" s="18">
        <v>1</v>
      </c>
      <c r="BI738" s="18">
        <v>1</v>
      </c>
      <c r="BJ738" s="18">
        <v>0</v>
      </c>
      <c r="BK738" s="18">
        <v>0</v>
      </c>
      <c r="BL738" s="18">
        <v>0</v>
      </c>
      <c r="BM738" s="18">
        <v>1</v>
      </c>
      <c r="BN738" s="18">
        <v>1</v>
      </c>
      <c r="BO738" s="18">
        <v>233.93</v>
      </c>
      <c r="BP738" s="18">
        <v>162.21</v>
      </c>
      <c r="BQ738" s="18">
        <v>416</v>
      </c>
      <c r="BR738" s="18">
        <v>0</v>
      </c>
      <c r="BS738" s="18">
        <v>0</v>
      </c>
      <c r="BT738" s="18">
        <v>0</v>
      </c>
      <c r="BU738" s="18">
        <v>0</v>
      </c>
    </row>
    <row r="739" spans="1:73">
      <c r="A739" s="19">
        <v>46120</v>
      </c>
      <c r="B739" s="18">
        <v>436</v>
      </c>
      <c r="C739" s="18" t="s">
        <v>38</v>
      </c>
      <c r="D739" s="18">
        <v>436</v>
      </c>
      <c r="E739" s="18" t="s">
        <v>38</v>
      </c>
      <c r="F739" s="18">
        <v>1338</v>
      </c>
      <c r="G739" s="18">
        <v>44</v>
      </c>
      <c r="H739" s="18">
        <v>55.65</v>
      </c>
      <c r="I739" s="18">
        <v>0.03288</v>
      </c>
      <c r="J739" s="18">
        <v>1.26</v>
      </c>
      <c r="K739" s="18">
        <v>41.59</v>
      </c>
      <c r="L739" s="18">
        <v>0</v>
      </c>
      <c r="M739" s="18">
        <v>0</v>
      </c>
      <c r="N739" s="18">
        <v>0</v>
      </c>
      <c r="O739" s="18">
        <v>0</v>
      </c>
      <c r="P739" s="18">
        <v>0</v>
      </c>
      <c r="Q739" s="18">
        <v>0</v>
      </c>
      <c r="R739" s="18">
        <v>0</v>
      </c>
      <c r="S739" s="18">
        <v>0</v>
      </c>
      <c r="T739" s="18">
        <v>0</v>
      </c>
      <c r="U739" s="18">
        <v>0</v>
      </c>
      <c r="V739" s="18">
        <v>0</v>
      </c>
      <c r="W739" s="18">
        <v>0</v>
      </c>
      <c r="X739" s="18">
        <v>0</v>
      </c>
      <c r="Y739" s="18">
        <v>0</v>
      </c>
      <c r="Z739" s="18">
        <v>0</v>
      </c>
      <c r="AA739" s="18"/>
      <c r="AB739" s="18">
        <v>3</v>
      </c>
      <c r="AC739" s="18">
        <v>3</v>
      </c>
      <c r="AD739" s="18">
        <v>0</v>
      </c>
      <c r="AE739" s="18">
        <v>0.06818</v>
      </c>
      <c r="AF739" s="18">
        <v>0</v>
      </c>
      <c r="AG739" s="18">
        <v>0</v>
      </c>
      <c r="AH739" s="18"/>
      <c r="AI739" s="18">
        <v>3</v>
      </c>
      <c r="AJ739" s="18">
        <v>18.55</v>
      </c>
      <c r="AK739" s="18">
        <v>3</v>
      </c>
      <c r="AL739" s="18">
        <v>18.55</v>
      </c>
      <c r="AM739" s="18">
        <v>0</v>
      </c>
      <c r="AN739" s="18"/>
      <c r="AO739" s="18">
        <v>0</v>
      </c>
      <c r="AP739" s="18">
        <v>18.55</v>
      </c>
      <c r="AQ739" s="18">
        <v>0</v>
      </c>
      <c r="AR739" s="18">
        <v>0</v>
      </c>
      <c r="AS739" s="18">
        <v>0</v>
      </c>
      <c r="AT739" s="18">
        <v>0</v>
      </c>
      <c r="AU739" s="18">
        <v>0</v>
      </c>
      <c r="AV739" s="18">
        <v>0</v>
      </c>
      <c r="AW739" s="18">
        <v>0</v>
      </c>
      <c r="AX739" s="18">
        <v>1</v>
      </c>
      <c r="AY739" s="18">
        <v>125</v>
      </c>
      <c r="AZ739" s="18">
        <v>38</v>
      </c>
      <c r="BA739" s="18">
        <v>27</v>
      </c>
      <c r="BB739" s="18">
        <v>0.71053</v>
      </c>
      <c r="BC739" s="18">
        <v>0</v>
      </c>
      <c r="BD739" s="18">
        <v>0</v>
      </c>
      <c r="BE739" s="18">
        <v>0.09342</v>
      </c>
      <c r="BF739" s="18">
        <v>74</v>
      </c>
      <c r="BG739" s="18">
        <v>3</v>
      </c>
      <c r="BH739" s="18">
        <v>0</v>
      </c>
      <c r="BI739" s="18"/>
      <c r="BJ739" s="18">
        <v>0</v>
      </c>
      <c r="BK739" s="18">
        <v>0</v>
      </c>
      <c r="BL739" s="18">
        <v>0</v>
      </c>
      <c r="BM739" s="18">
        <v>0</v>
      </c>
      <c r="BN739" s="18"/>
      <c r="BO739" s="18"/>
      <c r="BP739" s="18">
        <v>0</v>
      </c>
      <c r="BQ739" s="18">
        <v>147</v>
      </c>
      <c r="BR739" s="18">
        <v>0</v>
      </c>
      <c r="BS739" s="18">
        <v>0</v>
      </c>
      <c r="BT739" s="18">
        <v>0</v>
      </c>
      <c r="BU739" s="18">
        <v>0</v>
      </c>
    </row>
    <row r="740" spans="1:73">
      <c r="A740" s="19">
        <v>46120</v>
      </c>
      <c r="B740" s="18">
        <v>183</v>
      </c>
      <c r="C740" s="18" t="s">
        <v>40</v>
      </c>
      <c r="D740" s="18">
        <v>183</v>
      </c>
      <c r="E740" s="18" t="s">
        <v>40</v>
      </c>
      <c r="F740" s="18">
        <v>4272</v>
      </c>
      <c r="G740" s="18">
        <v>136</v>
      </c>
      <c r="H740" s="18">
        <v>346.91</v>
      </c>
      <c r="I740" s="18">
        <v>0.03184</v>
      </c>
      <c r="J740" s="18">
        <v>2.55</v>
      </c>
      <c r="K740" s="18">
        <v>81.21</v>
      </c>
      <c r="L740" s="18">
        <v>0</v>
      </c>
      <c r="M740" s="18">
        <v>0</v>
      </c>
      <c r="N740" s="18">
        <v>0</v>
      </c>
      <c r="O740" s="18">
        <v>0</v>
      </c>
      <c r="P740" s="18">
        <v>0</v>
      </c>
      <c r="Q740" s="18">
        <v>0</v>
      </c>
      <c r="R740" s="18">
        <v>1173</v>
      </c>
      <c r="S740" s="18">
        <v>1530</v>
      </c>
      <c r="T740" s="18">
        <v>2703</v>
      </c>
      <c r="U740" s="18">
        <v>3</v>
      </c>
      <c r="V740" s="18">
        <v>2</v>
      </c>
      <c r="W740" s="18">
        <v>1</v>
      </c>
      <c r="X740" s="18">
        <v>0.02206</v>
      </c>
      <c r="Y740" s="18">
        <v>7.79</v>
      </c>
      <c r="Z740" s="18">
        <v>7.79</v>
      </c>
      <c r="AA740" s="18">
        <v>115.64</v>
      </c>
      <c r="AB740" s="18">
        <v>3</v>
      </c>
      <c r="AC740" s="18">
        <v>2</v>
      </c>
      <c r="AD740" s="18">
        <v>1</v>
      </c>
      <c r="AE740" s="18">
        <v>0.02206</v>
      </c>
      <c r="AF740" s="18">
        <v>2</v>
      </c>
      <c r="AG740" s="18">
        <v>0</v>
      </c>
      <c r="AH740" s="18"/>
      <c r="AI740" s="18">
        <v>5</v>
      </c>
      <c r="AJ740" s="18">
        <v>69.38</v>
      </c>
      <c r="AK740" s="18">
        <v>5</v>
      </c>
      <c r="AL740" s="18">
        <v>69.38</v>
      </c>
      <c r="AM740" s="18">
        <v>2</v>
      </c>
      <c r="AN740" s="18">
        <v>173.46</v>
      </c>
      <c r="AO740" s="18">
        <v>0.01471</v>
      </c>
      <c r="AP740" s="18">
        <v>115.64</v>
      </c>
      <c r="AQ740" s="18">
        <v>5</v>
      </c>
      <c r="AR740" s="18">
        <v>3732</v>
      </c>
      <c r="AS740" s="18">
        <v>1</v>
      </c>
      <c r="AT740" s="18">
        <v>1</v>
      </c>
      <c r="AU740" s="18">
        <v>0</v>
      </c>
      <c r="AV740" s="18">
        <v>0</v>
      </c>
      <c r="AW740" s="18">
        <v>0</v>
      </c>
      <c r="AX740" s="18">
        <v>1</v>
      </c>
      <c r="AY740" s="18">
        <v>412</v>
      </c>
      <c r="AZ740" s="18">
        <v>157</v>
      </c>
      <c r="BA740" s="18">
        <v>109</v>
      </c>
      <c r="BB740" s="18">
        <v>0.69427</v>
      </c>
      <c r="BC740" s="18">
        <v>0</v>
      </c>
      <c r="BD740" s="18">
        <v>0</v>
      </c>
      <c r="BE740" s="18">
        <v>0.09644</v>
      </c>
      <c r="BF740" s="18">
        <v>167</v>
      </c>
      <c r="BG740" s="18">
        <v>3</v>
      </c>
      <c r="BH740" s="18">
        <v>3</v>
      </c>
      <c r="BI740" s="18">
        <v>1</v>
      </c>
      <c r="BJ740" s="18">
        <v>0</v>
      </c>
      <c r="BK740" s="18">
        <v>0</v>
      </c>
      <c r="BL740" s="18">
        <v>0</v>
      </c>
      <c r="BM740" s="18">
        <v>3</v>
      </c>
      <c r="BN740" s="18">
        <v>1</v>
      </c>
      <c r="BO740" s="18">
        <v>901</v>
      </c>
      <c r="BP740" s="18">
        <v>9.84</v>
      </c>
      <c r="BQ740" s="18">
        <v>1061</v>
      </c>
      <c r="BR740" s="18">
        <v>0</v>
      </c>
      <c r="BS740" s="18">
        <v>0</v>
      </c>
      <c r="BT740" s="18">
        <v>0</v>
      </c>
      <c r="BU740" s="18">
        <v>0</v>
      </c>
    </row>
    <row r="741" spans="1:73">
      <c r="A741" s="19">
        <v>46120</v>
      </c>
      <c r="B741" s="18">
        <v>371</v>
      </c>
      <c r="C741" s="18" t="s">
        <v>32</v>
      </c>
      <c r="D741" s="18">
        <v>371</v>
      </c>
      <c r="E741" s="18" t="s">
        <v>32</v>
      </c>
      <c r="F741" s="18">
        <v>5272</v>
      </c>
      <c r="G741" s="18">
        <v>181</v>
      </c>
      <c r="H741" s="18">
        <v>57.17</v>
      </c>
      <c r="I741" s="18">
        <v>0.03433</v>
      </c>
      <c r="J741" s="18">
        <v>0.32</v>
      </c>
      <c r="K741" s="18">
        <v>10.84</v>
      </c>
      <c r="L741" s="18">
        <v>0</v>
      </c>
      <c r="M741" s="18">
        <v>0</v>
      </c>
      <c r="N741" s="18">
        <v>0</v>
      </c>
      <c r="O741" s="18">
        <v>0</v>
      </c>
      <c r="P741" s="18">
        <v>0</v>
      </c>
      <c r="Q741" s="18">
        <v>0</v>
      </c>
      <c r="R741" s="18">
        <v>0</v>
      </c>
      <c r="S741" s="18">
        <v>0</v>
      </c>
      <c r="T741" s="18">
        <v>0</v>
      </c>
      <c r="U741" s="18">
        <v>0</v>
      </c>
      <c r="V741" s="18">
        <v>0</v>
      </c>
      <c r="W741" s="18">
        <v>0</v>
      </c>
      <c r="X741" s="18">
        <v>0</v>
      </c>
      <c r="Y741" s="18">
        <v>0</v>
      </c>
      <c r="Z741" s="18">
        <v>0</v>
      </c>
      <c r="AA741" s="18"/>
      <c r="AB741" s="18">
        <v>0</v>
      </c>
      <c r="AC741" s="18">
        <v>0</v>
      </c>
      <c r="AD741" s="18">
        <v>0</v>
      </c>
      <c r="AE741" s="18">
        <v>0</v>
      </c>
      <c r="AF741" s="18">
        <v>1</v>
      </c>
      <c r="AG741" s="18">
        <v>1</v>
      </c>
      <c r="AH741" s="18">
        <v>57.17</v>
      </c>
      <c r="AI741" s="18">
        <v>2</v>
      </c>
      <c r="AJ741" s="18">
        <v>28.59</v>
      </c>
      <c r="AK741" s="18">
        <v>1</v>
      </c>
      <c r="AL741" s="18">
        <v>57.17</v>
      </c>
      <c r="AM741" s="18">
        <v>2</v>
      </c>
      <c r="AN741" s="18">
        <v>57.17</v>
      </c>
      <c r="AO741" s="18">
        <v>0.00552</v>
      </c>
      <c r="AP741" s="18"/>
      <c r="AQ741" s="18">
        <v>0</v>
      </c>
      <c r="AR741" s="18">
        <v>0</v>
      </c>
      <c r="AS741" s="18">
        <v>1</v>
      </c>
      <c r="AT741" s="18">
        <v>0</v>
      </c>
      <c r="AU741" s="18">
        <v>0</v>
      </c>
      <c r="AV741" s="18">
        <v>0</v>
      </c>
      <c r="AW741" s="18">
        <v>0</v>
      </c>
      <c r="AX741" s="18">
        <v>1</v>
      </c>
      <c r="AY741" s="18">
        <v>268</v>
      </c>
      <c r="AZ741" s="18">
        <v>160</v>
      </c>
      <c r="BA741" s="18">
        <v>150</v>
      </c>
      <c r="BB741" s="18">
        <v>0.9375</v>
      </c>
      <c r="BC741" s="18">
        <v>0</v>
      </c>
      <c r="BD741" s="18">
        <v>0</v>
      </c>
      <c r="BE741" s="18">
        <v>0.05083</v>
      </c>
      <c r="BF741" s="18">
        <v>52</v>
      </c>
      <c r="BG741" s="18">
        <v>2</v>
      </c>
      <c r="BH741" s="18">
        <v>0</v>
      </c>
      <c r="BI741" s="18"/>
      <c r="BJ741" s="18">
        <v>0</v>
      </c>
      <c r="BK741" s="18">
        <v>0</v>
      </c>
      <c r="BL741" s="18">
        <v>0</v>
      </c>
      <c r="BM741" s="18">
        <v>0</v>
      </c>
      <c r="BN741" s="18"/>
      <c r="BO741" s="18"/>
      <c r="BP741" s="18">
        <v>0</v>
      </c>
      <c r="BQ741" s="18">
        <v>1555</v>
      </c>
      <c r="BR741" s="18">
        <v>0</v>
      </c>
      <c r="BS741" s="18">
        <v>0</v>
      </c>
      <c r="BT741" s="18">
        <v>0</v>
      </c>
      <c r="BU741" s="18">
        <v>0</v>
      </c>
    </row>
    <row r="742" spans="1:73">
      <c r="A742" s="19">
        <v>46119</v>
      </c>
      <c r="B742" s="18">
        <v>479</v>
      </c>
      <c r="C742" s="18" t="s">
        <v>39</v>
      </c>
      <c r="D742" s="18">
        <v>479</v>
      </c>
      <c r="E742" s="18" t="s">
        <v>39</v>
      </c>
      <c r="F742" s="18">
        <v>51</v>
      </c>
      <c r="G742" s="18">
        <v>29</v>
      </c>
      <c r="H742" s="18">
        <v>15.24</v>
      </c>
      <c r="I742" s="18">
        <v>0.56863</v>
      </c>
      <c r="J742" s="18">
        <v>0.53</v>
      </c>
      <c r="K742" s="18">
        <v>298.91</v>
      </c>
      <c r="L742" s="18">
        <v>0</v>
      </c>
      <c r="M742" s="18">
        <v>0</v>
      </c>
      <c r="N742" s="18">
        <v>0</v>
      </c>
      <c r="O742" s="18">
        <v>0</v>
      </c>
      <c r="P742" s="18">
        <v>0</v>
      </c>
      <c r="Q742" s="18">
        <v>0</v>
      </c>
      <c r="R742" s="18">
        <v>0</v>
      </c>
      <c r="S742" s="18">
        <v>900.94</v>
      </c>
      <c r="T742" s="18">
        <v>900.94</v>
      </c>
      <c r="U742" s="18">
        <v>2</v>
      </c>
      <c r="V742" s="18">
        <v>0</v>
      </c>
      <c r="W742" s="18">
        <v>2</v>
      </c>
      <c r="X742" s="18">
        <v>0.06897</v>
      </c>
      <c r="Y742" s="18">
        <v>59.1</v>
      </c>
      <c r="Z742" s="18">
        <v>59.1</v>
      </c>
      <c r="AA742" s="18">
        <v>7.62</v>
      </c>
      <c r="AB742" s="18">
        <v>7</v>
      </c>
      <c r="AC742" s="18">
        <v>1</v>
      </c>
      <c r="AD742" s="18">
        <v>6</v>
      </c>
      <c r="AE742" s="18">
        <v>0.24138</v>
      </c>
      <c r="AF742" s="18">
        <v>1</v>
      </c>
      <c r="AG742" s="18">
        <v>0</v>
      </c>
      <c r="AH742" s="18"/>
      <c r="AI742" s="18">
        <v>8</v>
      </c>
      <c r="AJ742" s="18">
        <v>1.91</v>
      </c>
      <c r="AK742" s="18">
        <v>8</v>
      </c>
      <c r="AL742" s="18">
        <v>1.91</v>
      </c>
      <c r="AM742" s="18">
        <v>1</v>
      </c>
      <c r="AN742" s="18">
        <v>15.24</v>
      </c>
      <c r="AO742" s="18">
        <v>0.03448</v>
      </c>
      <c r="AP742" s="18">
        <v>2.18</v>
      </c>
      <c r="AQ742" s="18">
        <v>4</v>
      </c>
      <c r="AR742" s="18">
        <v>1283.9</v>
      </c>
      <c r="AS742" s="18">
        <v>0</v>
      </c>
      <c r="AT742" s="18">
        <v>1</v>
      </c>
      <c r="AU742" s="18">
        <v>0</v>
      </c>
      <c r="AV742" s="18">
        <v>0</v>
      </c>
      <c r="AW742" s="18">
        <v>0</v>
      </c>
      <c r="AX742" s="18">
        <v>2</v>
      </c>
      <c r="AY742" s="18">
        <v>253</v>
      </c>
      <c r="AZ742" s="18">
        <v>25</v>
      </c>
      <c r="BA742" s="18">
        <v>16</v>
      </c>
      <c r="BB742" s="18">
        <v>0.64</v>
      </c>
      <c r="BC742" s="18">
        <v>0</v>
      </c>
      <c r="BD742" s="18">
        <v>0</v>
      </c>
      <c r="BE742" s="18">
        <v>4.96078</v>
      </c>
      <c r="BF742" s="18">
        <v>218</v>
      </c>
      <c r="BG742" s="18">
        <v>10</v>
      </c>
      <c r="BH742" s="18">
        <v>2</v>
      </c>
      <c r="BI742" s="18">
        <v>1</v>
      </c>
      <c r="BJ742" s="18">
        <v>0</v>
      </c>
      <c r="BK742" s="18">
        <v>0</v>
      </c>
      <c r="BL742" s="18">
        <v>0</v>
      </c>
      <c r="BM742" s="18">
        <v>2</v>
      </c>
      <c r="BN742" s="18">
        <v>1</v>
      </c>
      <c r="BO742" s="18">
        <v>450.47</v>
      </c>
      <c r="BP742" s="18">
        <v>72.06</v>
      </c>
      <c r="BQ742" s="18">
        <v>337</v>
      </c>
      <c r="BR742" s="18">
        <v>0</v>
      </c>
      <c r="BS742" s="18">
        <v>0</v>
      </c>
      <c r="BT742" s="18">
        <v>0</v>
      </c>
      <c r="BU742" s="18">
        <v>0</v>
      </c>
    </row>
    <row r="743" spans="1:73">
      <c r="A743" s="19">
        <v>46119</v>
      </c>
      <c r="B743" s="18">
        <v>371</v>
      </c>
      <c r="C743" s="18" t="s">
        <v>32</v>
      </c>
      <c r="D743" s="18">
        <v>371</v>
      </c>
      <c r="E743" s="18" t="s">
        <v>32</v>
      </c>
      <c r="F743" s="18">
        <v>5362</v>
      </c>
      <c r="G743" s="18">
        <v>171</v>
      </c>
      <c r="H743" s="18">
        <v>58.46</v>
      </c>
      <c r="I743" s="18">
        <v>0.03189</v>
      </c>
      <c r="J743" s="18">
        <v>0.34</v>
      </c>
      <c r="K743" s="18">
        <v>10.9</v>
      </c>
      <c r="L743" s="18">
        <v>0</v>
      </c>
      <c r="M743" s="18">
        <v>0</v>
      </c>
      <c r="N743" s="18">
        <v>0</v>
      </c>
      <c r="O743" s="18">
        <v>0</v>
      </c>
      <c r="P743" s="18">
        <v>0</v>
      </c>
      <c r="Q743" s="18">
        <v>0</v>
      </c>
      <c r="R743" s="18">
        <v>0</v>
      </c>
      <c r="S743" s="18">
        <v>0</v>
      </c>
      <c r="T743" s="18">
        <v>0</v>
      </c>
      <c r="U743" s="18">
        <v>0</v>
      </c>
      <c r="V743" s="18">
        <v>0</v>
      </c>
      <c r="W743" s="18">
        <v>0</v>
      </c>
      <c r="X743" s="18">
        <v>0</v>
      </c>
      <c r="Y743" s="18">
        <v>0</v>
      </c>
      <c r="Z743" s="18">
        <v>0</v>
      </c>
      <c r="AA743" s="18"/>
      <c r="AB743" s="18">
        <v>0</v>
      </c>
      <c r="AC743" s="18">
        <v>0</v>
      </c>
      <c r="AD743" s="18">
        <v>0</v>
      </c>
      <c r="AE743" s="18">
        <v>0</v>
      </c>
      <c r="AF743" s="18">
        <v>1</v>
      </c>
      <c r="AG743" s="18">
        <v>0</v>
      </c>
      <c r="AH743" s="18"/>
      <c r="AI743" s="18">
        <v>1</v>
      </c>
      <c r="AJ743" s="18">
        <v>58.46</v>
      </c>
      <c r="AK743" s="18">
        <v>1</v>
      </c>
      <c r="AL743" s="18">
        <v>58.46</v>
      </c>
      <c r="AM743" s="18">
        <v>1</v>
      </c>
      <c r="AN743" s="18">
        <v>58.46</v>
      </c>
      <c r="AO743" s="18">
        <v>0.00585</v>
      </c>
      <c r="AP743" s="18"/>
      <c r="AQ743" s="18">
        <v>0</v>
      </c>
      <c r="AR743" s="18">
        <v>0</v>
      </c>
      <c r="AS743" s="18">
        <v>0</v>
      </c>
      <c r="AT743" s="18">
        <v>1</v>
      </c>
      <c r="AU743" s="18">
        <v>0</v>
      </c>
      <c r="AV743" s="18">
        <v>0</v>
      </c>
      <c r="AW743" s="18">
        <v>0</v>
      </c>
      <c r="AX743" s="18">
        <v>0</v>
      </c>
      <c r="AY743" s="18">
        <v>260</v>
      </c>
      <c r="AZ743" s="18">
        <v>179</v>
      </c>
      <c r="BA743" s="18">
        <v>171</v>
      </c>
      <c r="BB743" s="18">
        <v>0.95531</v>
      </c>
      <c r="BC743" s="18">
        <v>0</v>
      </c>
      <c r="BD743" s="18">
        <v>0</v>
      </c>
      <c r="BE743" s="18">
        <v>0.04849</v>
      </c>
      <c r="BF743" s="18">
        <v>44</v>
      </c>
      <c r="BG743" s="18">
        <v>1</v>
      </c>
      <c r="BH743" s="18">
        <v>0</v>
      </c>
      <c r="BI743" s="18"/>
      <c r="BJ743" s="18">
        <v>0</v>
      </c>
      <c r="BK743" s="18">
        <v>0</v>
      </c>
      <c r="BL743" s="18">
        <v>0</v>
      </c>
      <c r="BM743" s="18">
        <v>0</v>
      </c>
      <c r="BN743" s="18"/>
      <c r="BO743" s="18"/>
      <c r="BP743" s="18">
        <v>0</v>
      </c>
      <c r="BQ743" s="18">
        <v>12</v>
      </c>
      <c r="BR743" s="18">
        <v>0</v>
      </c>
      <c r="BS743" s="18">
        <v>0</v>
      </c>
      <c r="BT743" s="18">
        <v>0</v>
      </c>
      <c r="BU743" s="18">
        <v>0</v>
      </c>
    </row>
    <row r="744" spans="1:73">
      <c r="A744" s="19">
        <v>46119</v>
      </c>
      <c r="B744" s="18">
        <v>183</v>
      </c>
      <c r="C744" s="18" t="s">
        <v>40</v>
      </c>
      <c r="D744" s="18">
        <v>183</v>
      </c>
      <c r="E744" s="18" t="s">
        <v>40</v>
      </c>
      <c r="F744" s="18">
        <v>3155</v>
      </c>
      <c r="G744" s="18">
        <v>85</v>
      </c>
      <c r="H744" s="18">
        <v>242.7</v>
      </c>
      <c r="I744" s="18">
        <v>0.02694</v>
      </c>
      <c r="J744" s="18">
        <v>2.86</v>
      </c>
      <c r="K744" s="18">
        <v>76.93</v>
      </c>
      <c r="L744" s="18">
        <v>0</v>
      </c>
      <c r="M744" s="18">
        <v>0</v>
      </c>
      <c r="N744" s="18">
        <v>0</v>
      </c>
      <c r="O744" s="18">
        <v>0</v>
      </c>
      <c r="P744" s="18">
        <v>0</v>
      </c>
      <c r="Q744" s="18">
        <v>0</v>
      </c>
      <c r="R744" s="18">
        <v>753.3</v>
      </c>
      <c r="S744" s="18">
        <v>0</v>
      </c>
      <c r="T744" s="18">
        <v>753.3</v>
      </c>
      <c r="U744" s="18">
        <v>1</v>
      </c>
      <c r="V744" s="18">
        <v>1</v>
      </c>
      <c r="W744" s="18">
        <v>0</v>
      </c>
      <c r="X744" s="18">
        <v>0.01176</v>
      </c>
      <c r="Y744" s="18">
        <v>3.1</v>
      </c>
      <c r="Z744" s="18">
        <v>3.1</v>
      </c>
      <c r="AA744" s="18">
        <v>242.7</v>
      </c>
      <c r="AB744" s="18">
        <v>4</v>
      </c>
      <c r="AC744" s="18">
        <v>2</v>
      </c>
      <c r="AD744" s="18">
        <v>2</v>
      </c>
      <c r="AE744" s="18">
        <v>0.04706</v>
      </c>
      <c r="AF744" s="18">
        <v>2</v>
      </c>
      <c r="AG744" s="18">
        <v>1</v>
      </c>
      <c r="AH744" s="18">
        <v>242.7</v>
      </c>
      <c r="AI744" s="18">
        <v>7</v>
      </c>
      <c r="AJ744" s="18">
        <v>34.67</v>
      </c>
      <c r="AK744" s="18">
        <v>6</v>
      </c>
      <c r="AL744" s="18">
        <v>40.45</v>
      </c>
      <c r="AM744" s="18">
        <v>3</v>
      </c>
      <c r="AN744" s="18">
        <v>121.35</v>
      </c>
      <c r="AO744" s="18">
        <v>0.02353</v>
      </c>
      <c r="AP744" s="18">
        <v>60.68</v>
      </c>
      <c r="AQ744" s="18">
        <v>3</v>
      </c>
      <c r="AR744" s="18">
        <v>1165</v>
      </c>
      <c r="AS744" s="18">
        <v>2</v>
      </c>
      <c r="AT744" s="18">
        <v>0</v>
      </c>
      <c r="AU744" s="18">
        <v>0</v>
      </c>
      <c r="AV744" s="18">
        <v>0</v>
      </c>
      <c r="AW744" s="18">
        <v>0</v>
      </c>
      <c r="AX744" s="18">
        <v>1</v>
      </c>
      <c r="AY744" s="18">
        <v>464</v>
      </c>
      <c r="AZ744" s="18">
        <v>153</v>
      </c>
      <c r="BA744" s="18">
        <v>112</v>
      </c>
      <c r="BB744" s="18">
        <v>0.73203</v>
      </c>
      <c r="BC744" s="18">
        <v>0</v>
      </c>
      <c r="BD744" s="18">
        <v>0</v>
      </c>
      <c r="BE744" s="18">
        <v>0.14707</v>
      </c>
      <c r="BF744" s="18">
        <v>199</v>
      </c>
      <c r="BG744" s="18">
        <v>3</v>
      </c>
      <c r="BH744" s="18">
        <v>1</v>
      </c>
      <c r="BI744" s="18">
        <v>1</v>
      </c>
      <c r="BJ744" s="18">
        <v>0</v>
      </c>
      <c r="BK744" s="18">
        <v>0</v>
      </c>
      <c r="BL744" s="18">
        <v>0</v>
      </c>
      <c r="BM744" s="18">
        <v>1</v>
      </c>
      <c r="BN744" s="18">
        <v>1</v>
      </c>
      <c r="BO744" s="18">
        <v>753.3</v>
      </c>
      <c r="BP744" s="18">
        <v>66.58</v>
      </c>
      <c r="BQ744" s="18">
        <v>318</v>
      </c>
      <c r="BR744" s="18">
        <v>0</v>
      </c>
      <c r="BS744" s="18">
        <v>0</v>
      </c>
      <c r="BT744" s="18">
        <v>0</v>
      </c>
      <c r="BU744" s="18">
        <v>0</v>
      </c>
    </row>
    <row r="745" spans="1:73">
      <c r="A745" s="19">
        <v>46119</v>
      </c>
      <c r="B745" s="18">
        <v>436</v>
      </c>
      <c r="C745" s="18" t="s">
        <v>38</v>
      </c>
      <c r="D745" s="18">
        <v>436</v>
      </c>
      <c r="E745" s="18" t="s">
        <v>38</v>
      </c>
      <c r="F745" s="18">
        <v>979</v>
      </c>
      <c r="G745" s="18">
        <v>40</v>
      </c>
      <c r="H745" s="18">
        <v>91</v>
      </c>
      <c r="I745" s="18">
        <v>0.04086</v>
      </c>
      <c r="J745" s="18">
        <v>2.28</v>
      </c>
      <c r="K745" s="18">
        <v>92.95</v>
      </c>
      <c r="L745" s="18">
        <v>0</v>
      </c>
      <c r="M745" s="18">
        <v>0</v>
      </c>
      <c r="N745" s="18">
        <v>0</v>
      </c>
      <c r="O745" s="18">
        <v>0</v>
      </c>
      <c r="P745" s="18">
        <v>0</v>
      </c>
      <c r="Q745" s="18">
        <v>0</v>
      </c>
      <c r="R745" s="18">
        <v>0</v>
      </c>
      <c r="S745" s="18">
        <v>512.34</v>
      </c>
      <c r="T745" s="18">
        <v>512.34</v>
      </c>
      <c r="U745" s="18">
        <v>3</v>
      </c>
      <c r="V745" s="18">
        <v>0</v>
      </c>
      <c r="W745" s="18">
        <v>3</v>
      </c>
      <c r="X745" s="18">
        <v>0.075</v>
      </c>
      <c r="Y745" s="18">
        <v>5.63</v>
      </c>
      <c r="Z745" s="18">
        <v>5.63</v>
      </c>
      <c r="AA745" s="18">
        <v>30.33</v>
      </c>
      <c r="AB745" s="18">
        <v>2</v>
      </c>
      <c r="AC745" s="18">
        <v>0</v>
      </c>
      <c r="AD745" s="18">
        <v>2</v>
      </c>
      <c r="AE745" s="18">
        <v>0.05</v>
      </c>
      <c r="AF745" s="18">
        <v>2</v>
      </c>
      <c r="AG745" s="18">
        <v>0</v>
      </c>
      <c r="AH745" s="18"/>
      <c r="AI745" s="18">
        <v>4</v>
      </c>
      <c r="AJ745" s="18">
        <v>22.75</v>
      </c>
      <c r="AK745" s="18">
        <v>4</v>
      </c>
      <c r="AL745" s="18">
        <v>22.75</v>
      </c>
      <c r="AM745" s="18">
        <v>2</v>
      </c>
      <c r="AN745" s="18">
        <v>45.5</v>
      </c>
      <c r="AO745" s="18">
        <v>0.05</v>
      </c>
      <c r="AP745" s="18">
        <v>45.5</v>
      </c>
      <c r="AQ745" s="18">
        <v>5</v>
      </c>
      <c r="AR745" s="18">
        <v>794</v>
      </c>
      <c r="AS745" s="18">
        <v>1</v>
      </c>
      <c r="AT745" s="18">
        <v>1</v>
      </c>
      <c r="AU745" s="18">
        <v>0</v>
      </c>
      <c r="AV745" s="18">
        <v>0</v>
      </c>
      <c r="AW745" s="18">
        <v>0</v>
      </c>
      <c r="AX745" s="18">
        <v>1</v>
      </c>
      <c r="AY745" s="18">
        <v>129</v>
      </c>
      <c r="AZ745" s="18">
        <v>35</v>
      </c>
      <c r="BA745" s="18">
        <v>24</v>
      </c>
      <c r="BB745" s="18">
        <v>0.68571</v>
      </c>
      <c r="BC745" s="18">
        <v>0</v>
      </c>
      <c r="BD745" s="18">
        <v>0</v>
      </c>
      <c r="BE745" s="18">
        <v>0.13177</v>
      </c>
      <c r="BF745" s="18">
        <v>86</v>
      </c>
      <c r="BG745" s="18">
        <v>4</v>
      </c>
      <c r="BH745" s="18">
        <v>2</v>
      </c>
      <c r="BI745" s="18">
        <v>1</v>
      </c>
      <c r="BJ745" s="18">
        <v>0</v>
      </c>
      <c r="BK745" s="18">
        <v>0</v>
      </c>
      <c r="BL745" s="18">
        <v>0</v>
      </c>
      <c r="BM745" s="18">
        <v>2</v>
      </c>
      <c r="BN745" s="18">
        <v>2</v>
      </c>
      <c r="BO745" s="18">
        <v>256.17</v>
      </c>
      <c r="BP745" s="18">
        <v>39.49</v>
      </c>
      <c r="BQ745" s="18">
        <v>388</v>
      </c>
      <c r="BR745" s="18">
        <v>0</v>
      </c>
      <c r="BS745" s="18">
        <v>0</v>
      </c>
      <c r="BT745" s="18">
        <v>0</v>
      </c>
      <c r="BU745" s="18">
        <v>0</v>
      </c>
    </row>
    <row r="746" spans="1:73">
      <c r="A746" s="19">
        <v>46119</v>
      </c>
      <c r="B746" s="18">
        <v>372</v>
      </c>
      <c r="C746" s="18" t="s">
        <v>37</v>
      </c>
      <c r="D746" s="18">
        <v>372</v>
      </c>
      <c r="E746" s="18" t="s">
        <v>61</v>
      </c>
      <c r="F746" s="18">
        <v>2533</v>
      </c>
      <c r="G746" s="18">
        <v>64</v>
      </c>
      <c r="H746" s="18">
        <v>100</v>
      </c>
      <c r="I746" s="18">
        <v>0.02527</v>
      </c>
      <c r="J746" s="18">
        <v>1.56</v>
      </c>
      <c r="K746" s="18">
        <v>39.48</v>
      </c>
      <c r="L746" s="18">
        <v>0</v>
      </c>
      <c r="M746" s="18">
        <v>0</v>
      </c>
      <c r="N746" s="18">
        <v>0</v>
      </c>
      <c r="O746" s="18">
        <v>0</v>
      </c>
      <c r="P746" s="18">
        <v>0</v>
      </c>
      <c r="Q746" s="18">
        <v>0</v>
      </c>
      <c r="R746" s="18">
        <v>0</v>
      </c>
      <c r="S746" s="18">
        <v>43.9</v>
      </c>
      <c r="T746" s="18">
        <v>43.9</v>
      </c>
      <c r="U746" s="18">
        <v>1</v>
      </c>
      <c r="V746" s="18">
        <v>0</v>
      </c>
      <c r="W746" s="18">
        <v>1</v>
      </c>
      <c r="X746" s="18">
        <v>0.01563</v>
      </c>
      <c r="Y746" s="18">
        <v>0.44</v>
      </c>
      <c r="Z746" s="18">
        <v>0.44</v>
      </c>
      <c r="AA746" s="18">
        <v>100</v>
      </c>
      <c r="AB746" s="18">
        <v>3</v>
      </c>
      <c r="AC746" s="18">
        <v>0</v>
      </c>
      <c r="AD746" s="18">
        <v>3</v>
      </c>
      <c r="AE746" s="18">
        <v>0.04688</v>
      </c>
      <c r="AF746" s="18">
        <v>1</v>
      </c>
      <c r="AG746" s="18">
        <v>0</v>
      </c>
      <c r="AH746" s="18"/>
      <c r="AI746" s="18">
        <v>4</v>
      </c>
      <c r="AJ746" s="18">
        <v>25</v>
      </c>
      <c r="AK746" s="18">
        <v>4</v>
      </c>
      <c r="AL746" s="18">
        <v>25</v>
      </c>
      <c r="AM746" s="18">
        <v>1</v>
      </c>
      <c r="AN746" s="18">
        <v>100</v>
      </c>
      <c r="AO746" s="18">
        <v>0.01563</v>
      </c>
      <c r="AP746" s="18">
        <v>33.33</v>
      </c>
      <c r="AQ746" s="18">
        <v>1</v>
      </c>
      <c r="AR746" s="18">
        <v>49.9</v>
      </c>
      <c r="AS746" s="18">
        <v>0</v>
      </c>
      <c r="AT746" s="18">
        <v>1</v>
      </c>
      <c r="AU746" s="18">
        <v>0</v>
      </c>
      <c r="AV746" s="18">
        <v>0</v>
      </c>
      <c r="AW746" s="18">
        <v>0</v>
      </c>
      <c r="AX746" s="18">
        <v>0</v>
      </c>
      <c r="AY746" s="18">
        <v>182</v>
      </c>
      <c r="AZ746" s="18">
        <v>63</v>
      </c>
      <c r="BA746" s="18">
        <v>49</v>
      </c>
      <c r="BB746" s="18">
        <v>0.77778</v>
      </c>
      <c r="BC746" s="18">
        <v>0</v>
      </c>
      <c r="BD746" s="18">
        <v>0</v>
      </c>
      <c r="BE746" s="18">
        <v>0.07185</v>
      </c>
      <c r="BF746" s="18">
        <v>119</v>
      </c>
      <c r="BG746" s="18">
        <v>3</v>
      </c>
      <c r="BH746" s="18">
        <v>1</v>
      </c>
      <c r="BI746" s="18">
        <v>1</v>
      </c>
      <c r="BJ746" s="18">
        <v>0</v>
      </c>
      <c r="BK746" s="18">
        <v>0</v>
      </c>
      <c r="BL746" s="18">
        <v>0</v>
      </c>
      <c r="BM746" s="18">
        <v>1</v>
      </c>
      <c r="BN746" s="18">
        <v>1</v>
      </c>
      <c r="BO746" s="18">
        <v>43.9</v>
      </c>
      <c r="BP746" s="18">
        <v>5.56</v>
      </c>
      <c r="BQ746" s="18">
        <v>125</v>
      </c>
      <c r="BR746" s="18">
        <v>0</v>
      </c>
      <c r="BS746" s="18">
        <v>0</v>
      </c>
      <c r="BT746" s="18">
        <v>0</v>
      </c>
      <c r="BU746" s="18">
        <v>0</v>
      </c>
    </row>
    <row r="747" spans="1:73">
      <c r="A747" s="19">
        <v>46118</v>
      </c>
      <c r="B747" s="18">
        <v>183</v>
      </c>
      <c r="C747" s="18" t="s">
        <v>40</v>
      </c>
      <c r="D747" s="18">
        <v>183</v>
      </c>
      <c r="E747" s="18" t="s">
        <v>40</v>
      </c>
      <c r="F747" s="18">
        <v>1763</v>
      </c>
      <c r="G747" s="18">
        <v>55</v>
      </c>
      <c r="H747" s="18">
        <v>100</v>
      </c>
      <c r="I747" s="18">
        <v>0.0312</v>
      </c>
      <c r="J747" s="18">
        <v>1.82</v>
      </c>
      <c r="K747" s="18">
        <v>56.72</v>
      </c>
      <c r="L747" s="18">
        <v>0</v>
      </c>
      <c r="M747" s="18">
        <v>0</v>
      </c>
      <c r="N747" s="18">
        <v>0</v>
      </c>
      <c r="O747" s="18">
        <v>0</v>
      </c>
      <c r="P747" s="18">
        <v>0</v>
      </c>
      <c r="Q747" s="18">
        <v>0</v>
      </c>
      <c r="R747" s="18">
        <v>0</v>
      </c>
      <c r="S747" s="18">
        <v>194.9</v>
      </c>
      <c r="T747" s="18">
        <v>194.9</v>
      </c>
      <c r="U747" s="18">
        <v>2</v>
      </c>
      <c r="V747" s="18">
        <v>0</v>
      </c>
      <c r="W747" s="18">
        <v>2</v>
      </c>
      <c r="X747" s="18">
        <v>0.03636</v>
      </c>
      <c r="Y747" s="18">
        <v>1.95</v>
      </c>
      <c r="Z747" s="18">
        <v>1.95</v>
      </c>
      <c r="AA747" s="18">
        <v>50</v>
      </c>
      <c r="AB747" s="18">
        <v>4</v>
      </c>
      <c r="AC747" s="18">
        <v>2</v>
      </c>
      <c r="AD747" s="18">
        <v>2</v>
      </c>
      <c r="AE747" s="18">
        <v>0.07273</v>
      </c>
      <c r="AF747" s="18">
        <v>2</v>
      </c>
      <c r="AG747" s="18">
        <v>0</v>
      </c>
      <c r="AH747" s="18"/>
      <c r="AI747" s="18">
        <v>6</v>
      </c>
      <c r="AJ747" s="18">
        <v>16.67</v>
      </c>
      <c r="AK747" s="18">
        <v>6</v>
      </c>
      <c r="AL747" s="18">
        <v>16.67</v>
      </c>
      <c r="AM747" s="18">
        <v>2</v>
      </c>
      <c r="AN747" s="18">
        <v>50</v>
      </c>
      <c r="AO747" s="18">
        <v>0.03636</v>
      </c>
      <c r="AP747" s="18">
        <v>25</v>
      </c>
      <c r="AQ747" s="18">
        <v>2</v>
      </c>
      <c r="AR747" s="18">
        <v>217.9</v>
      </c>
      <c r="AS747" s="18">
        <v>0</v>
      </c>
      <c r="AT747" s="18">
        <v>2</v>
      </c>
      <c r="AU747" s="18">
        <v>0</v>
      </c>
      <c r="AV747" s="18">
        <v>0</v>
      </c>
      <c r="AW747" s="18">
        <v>0</v>
      </c>
      <c r="AX747" s="18">
        <v>5</v>
      </c>
      <c r="AY747" s="18">
        <v>208</v>
      </c>
      <c r="AZ747" s="18">
        <v>106</v>
      </c>
      <c r="BA747" s="18">
        <v>77</v>
      </c>
      <c r="BB747" s="18">
        <v>0.72642</v>
      </c>
      <c r="BC747" s="18">
        <v>0</v>
      </c>
      <c r="BD747" s="18">
        <v>0</v>
      </c>
      <c r="BE747" s="18">
        <v>0.11798</v>
      </c>
      <c r="BF747" s="18">
        <v>68</v>
      </c>
      <c r="BG747" s="18">
        <v>2</v>
      </c>
      <c r="BH747" s="18">
        <v>1</v>
      </c>
      <c r="BI747" s="18">
        <v>1</v>
      </c>
      <c r="BJ747" s="18">
        <v>0</v>
      </c>
      <c r="BK747" s="18">
        <v>0</v>
      </c>
      <c r="BL747" s="18">
        <v>0</v>
      </c>
      <c r="BM747" s="18">
        <v>1</v>
      </c>
      <c r="BN747" s="18">
        <v>2</v>
      </c>
      <c r="BO747" s="18">
        <v>194.9</v>
      </c>
      <c r="BP747" s="18">
        <v>1.03</v>
      </c>
      <c r="BQ747" s="18">
        <v>248</v>
      </c>
      <c r="BR747" s="18">
        <v>0</v>
      </c>
      <c r="BS747" s="18">
        <v>0</v>
      </c>
      <c r="BT747" s="18">
        <v>0</v>
      </c>
      <c r="BU747" s="18">
        <v>0</v>
      </c>
    </row>
    <row r="748" spans="1:73">
      <c r="A748" s="19">
        <v>46118</v>
      </c>
      <c r="B748" s="18">
        <v>372</v>
      </c>
      <c r="C748" s="18" t="s">
        <v>37</v>
      </c>
      <c r="D748" s="18">
        <v>372</v>
      </c>
      <c r="E748" s="18" t="s">
        <v>61</v>
      </c>
      <c r="F748" s="18">
        <v>719</v>
      </c>
      <c r="G748" s="18">
        <v>23</v>
      </c>
      <c r="H748" s="18">
        <v>50</v>
      </c>
      <c r="I748" s="18">
        <v>0.03199</v>
      </c>
      <c r="J748" s="18">
        <v>2.17</v>
      </c>
      <c r="K748" s="18">
        <v>69.54</v>
      </c>
      <c r="L748" s="18">
        <v>0</v>
      </c>
      <c r="M748" s="18">
        <v>0</v>
      </c>
      <c r="N748" s="18">
        <v>0</v>
      </c>
      <c r="O748" s="18">
        <v>0</v>
      </c>
      <c r="P748" s="18">
        <v>0</v>
      </c>
      <c r="Q748" s="18">
        <v>0</v>
      </c>
      <c r="R748" s="18">
        <v>0</v>
      </c>
      <c r="S748" s="18">
        <v>0</v>
      </c>
      <c r="T748" s="18">
        <v>0</v>
      </c>
      <c r="U748" s="18">
        <v>0</v>
      </c>
      <c r="V748" s="18">
        <v>0</v>
      </c>
      <c r="W748" s="18">
        <v>0</v>
      </c>
      <c r="X748" s="18">
        <v>0</v>
      </c>
      <c r="Y748" s="18">
        <v>0</v>
      </c>
      <c r="Z748" s="18">
        <v>0</v>
      </c>
      <c r="AA748" s="18"/>
      <c r="AB748" s="18">
        <v>1</v>
      </c>
      <c r="AC748" s="18">
        <v>1</v>
      </c>
      <c r="AD748" s="18">
        <v>0</v>
      </c>
      <c r="AE748" s="18">
        <v>0.04348</v>
      </c>
      <c r="AF748" s="18">
        <v>0</v>
      </c>
      <c r="AG748" s="18">
        <v>3</v>
      </c>
      <c r="AH748" s="18">
        <v>16.67</v>
      </c>
      <c r="AI748" s="18">
        <v>4</v>
      </c>
      <c r="AJ748" s="18">
        <v>12.5</v>
      </c>
      <c r="AK748" s="18">
        <v>1</v>
      </c>
      <c r="AL748" s="18">
        <v>50</v>
      </c>
      <c r="AM748" s="18">
        <v>3</v>
      </c>
      <c r="AN748" s="18"/>
      <c r="AO748" s="18">
        <v>0</v>
      </c>
      <c r="AP748" s="18">
        <v>50</v>
      </c>
      <c r="AQ748" s="18">
        <v>0</v>
      </c>
      <c r="AR748" s="18">
        <v>0</v>
      </c>
      <c r="AS748" s="18">
        <v>0</v>
      </c>
      <c r="AT748" s="18">
        <v>0</v>
      </c>
      <c r="AU748" s="18">
        <v>0</v>
      </c>
      <c r="AV748" s="18">
        <v>0</v>
      </c>
      <c r="AW748" s="18">
        <v>0</v>
      </c>
      <c r="AX748" s="18">
        <v>0</v>
      </c>
      <c r="AY748" s="18">
        <v>61</v>
      </c>
      <c r="AZ748" s="18">
        <v>21</v>
      </c>
      <c r="BA748" s="18">
        <v>17</v>
      </c>
      <c r="BB748" s="18">
        <v>0.80952</v>
      </c>
      <c r="BC748" s="18">
        <v>0</v>
      </c>
      <c r="BD748" s="18">
        <v>0</v>
      </c>
      <c r="BE748" s="18">
        <v>0.08484</v>
      </c>
      <c r="BF748" s="18">
        <v>34</v>
      </c>
      <c r="BG748" s="18">
        <v>3</v>
      </c>
      <c r="BH748" s="18">
        <v>0</v>
      </c>
      <c r="BI748" s="18"/>
      <c r="BJ748" s="18">
        <v>0</v>
      </c>
      <c r="BK748" s="18">
        <v>0</v>
      </c>
      <c r="BL748" s="18">
        <v>0</v>
      </c>
      <c r="BM748" s="18">
        <v>0</v>
      </c>
      <c r="BN748" s="18"/>
      <c r="BO748" s="18"/>
      <c r="BP748" s="18">
        <v>0.28</v>
      </c>
      <c r="BQ748" s="18">
        <v>18</v>
      </c>
      <c r="BR748" s="18">
        <v>0</v>
      </c>
      <c r="BS748" s="18">
        <v>0</v>
      </c>
      <c r="BT748" s="18">
        <v>0</v>
      </c>
      <c r="BU748" s="18">
        <v>0</v>
      </c>
    </row>
    <row r="749" spans="1:73">
      <c r="A749" s="19">
        <v>46118</v>
      </c>
      <c r="B749" s="18">
        <v>371</v>
      </c>
      <c r="C749" s="18" t="s">
        <v>32</v>
      </c>
      <c r="D749" s="18">
        <v>371</v>
      </c>
      <c r="E749" s="18" t="s">
        <v>32</v>
      </c>
      <c r="F749" s="18">
        <v>5468</v>
      </c>
      <c r="G749" s="18">
        <v>174</v>
      </c>
      <c r="H749" s="18">
        <v>58.25</v>
      </c>
      <c r="I749" s="18">
        <v>0.03182</v>
      </c>
      <c r="J749" s="18">
        <v>0.33</v>
      </c>
      <c r="K749" s="18">
        <v>10.65</v>
      </c>
      <c r="L749" s="18">
        <v>0</v>
      </c>
      <c r="M749" s="18">
        <v>0</v>
      </c>
      <c r="N749" s="18">
        <v>0</v>
      </c>
      <c r="O749" s="18">
        <v>0</v>
      </c>
      <c r="P749" s="18">
        <v>0</v>
      </c>
      <c r="Q749" s="18">
        <v>0</v>
      </c>
      <c r="R749" s="18">
        <v>0</v>
      </c>
      <c r="S749" s="18">
        <v>0</v>
      </c>
      <c r="T749" s="18">
        <v>0</v>
      </c>
      <c r="U749" s="18">
        <v>0</v>
      </c>
      <c r="V749" s="18">
        <v>0</v>
      </c>
      <c r="W749" s="18">
        <v>0</v>
      </c>
      <c r="X749" s="18">
        <v>0</v>
      </c>
      <c r="Y749" s="18">
        <v>0</v>
      </c>
      <c r="Z749" s="18">
        <v>0</v>
      </c>
      <c r="AA749" s="18"/>
      <c r="AB749" s="18">
        <v>1</v>
      </c>
      <c r="AC749" s="18">
        <v>0</v>
      </c>
      <c r="AD749" s="18">
        <v>1</v>
      </c>
      <c r="AE749" s="18">
        <v>0.00575</v>
      </c>
      <c r="AF749" s="18">
        <v>2</v>
      </c>
      <c r="AG749" s="18">
        <v>2</v>
      </c>
      <c r="AH749" s="18">
        <v>29.13</v>
      </c>
      <c r="AI749" s="18">
        <v>5</v>
      </c>
      <c r="AJ749" s="18">
        <v>11.65</v>
      </c>
      <c r="AK749" s="18">
        <v>3</v>
      </c>
      <c r="AL749" s="18">
        <v>19.42</v>
      </c>
      <c r="AM749" s="18">
        <v>4</v>
      </c>
      <c r="AN749" s="18">
        <v>29.13</v>
      </c>
      <c r="AO749" s="18">
        <v>0.01149</v>
      </c>
      <c r="AP749" s="18">
        <v>58.25</v>
      </c>
      <c r="AQ749" s="18">
        <v>0</v>
      </c>
      <c r="AR749" s="18">
        <v>0</v>
      </c>
      <c r="AS749" s="18">
        <v>1</v>
      </c>
      <c r="AT749" s="18">
        <v>1</v>
      </c>
      <c r="AU749" s="18">
        <v>0</v>
      </c>
      <c r="AV749" s="18">
        <v>0</v>
      </c>
      <c r="AW749" s="18">
        <v>0</v>
      </c>
      <c r="AX749" s="18">
        <v>0</v>
      </c>
      <c r="AY749" s="18">
        <v>273</v>
      </c>
      <c r="AZ749" s="18">
        <v>183</v>
      </c>
      <c r="BA749" s="18">
        <v>169</v>
      </c>
      <c r="BB749" s="18">
        <v>0.9235</v>
      </c>
      <c r="BC749" s="18">
        <v>0</v>
      </c>
      <c r="BD749" s="18">
        <v>0</v>
      </c>
      <c r="BE749" s="18">
        <v>0.04993</v>
      </c>
      <c r="BF749" s="18">
        <v>61</v>
      </c>
      <c r="BG749" s="18">
        <v>1</v>
      </c>
      <c r="BH749" s="18">
        <v>0</v>
      </c>
      <c r="BI749" s="18"/>
      <c r="BJ749" s="18">
        <v>0</v>
      </c>
      <c r="BK749" s="18">
        <v>0</v>
      </c>
      <c r="BL749" s="18">
        <v>0</v>
      </c>
      <c r="BM749" s="18">
        <v>0</v>
      </c>
      <c r="BN749" s="18"/>
      <c r="BO749" s="18"/>
      <c r="BP749" s="18">
        <v>0</v>
      </c>
      <c r="BQ749" s="18">
        <v>1373</v>
      </c>
      <c r="BR749" s="18">
        <v>0</v>
      </c>
      <c r="BS749" s="18">
        <v>0</v>
      </c>
      <c r="BT749" s="18">
        <v>0</v>
      </c>
      <c r="BU749" s="18">
        <v>0</v>
      </c>
    </row>
    <row r="750" spans="1:73">
      <c r="A750" s="19">
        <v>46118</v>
      </c>
      <c r="B750" s="18">
        <v>436</v>
      </c>
      <c r="C750" s="18" t="s">
        <v>38</v>
      </c>
      <c r="D750" s="18">
        <v>436</v>
      </c>
      <c r="E750" s="18" t="s">
        <v>38</v>
      </c>
      <c r="F750" s="18">
        <v>1212</v>
      </c>
      <c r="G750" s="18">
        <v>45</v>
      </c>
      <c r="H750" s="18">
        <v>46.25</v>
      </c>
      <c r="I750" s="18">
        <v>0.03713</v>
      </c>
      <c r="J750" s="18">
        <v>1.03</v>
      </c>
      <c r="K750" s="18">
        <v>38.16</v>
      </c>
      <c r="L750" s="18">
        <v>0</v>
      </c>
      <c r="M750" s="18">
        <v>0</v>
      </c>
      <c r="N750" s="18">
        <v>0</v>
      </c>
      <c r="O750" s="18">
        <v>0</v>
      </c>
      <c r="P750" s="18">
        <v>0</v>
      </c>
      <c r="Q750" s="18">
        <v>0</v>
      </c>
      <c r="R750" s="18">
        <v>0</v>
      </c>
      <c r="S750" s="18">
        <v>0</v>
      </c>
      <c r="T750" s="18">
        <v>0</v>
      </c>
      <c r="U750" s="18">
        <v>0</v>
      </c>
      <c r="V750" s="18">
        <v>0</v>
      </c>
      <c r="W750" s="18">
        <v>0</v>
      </c>
      <c r="X750" s="18">
        <v>0</v>
      </c>
      <c r="Y750" s="18">
        <v>0</v>
      </c>
      <c r="Z750" s="18">
        <v>0</v>
      </c>
      <c r="AA750" s="18"/>
      <c r="AB750" s="18">
        <v>5</v>
      </c>
      <c r="AC750" s="18">
        <v>1</v>
      </c>
      <c r="AD750" s="18">
        <v>4</v>
      </c>
      <c r="AE750" s="18">
        <v>0.11111</v>
      </c>
      <c r="AF750" s="18">
        <v>0</v>
      </c>
      <c r="AG750" s="18">
        <v>1</v>
      </c>
      <c r="AH750" s="18">
        <v>46.25</v>
      </c>
      <c r="AI750" s="18">
        <v>6</v>
      </c>
      <c r="AJ750" s="18">
        <v>7.71</v>
      </c>
      <c r="AK750" s="18">
        <v>5</v>
      </c>
      <c r="AL750" s="18">
        <v>9.25</v>
      </c>
      <c r="AM750" s="18">
        <v>1</v>
      </c>
      <c r="AN750" s="18"/>
      <c r="AO750" s="18">
        <v>0</v>
      </c>
      <c r="AP750" s="18">
        <v>9.25</v>
      </c>
      <c r="AQ750" s="18">
        <v>0</v>
      </c>
      <c r="AR750" s="18">
        <v>0</v>
      </c>
      <c r="AS750" s="18">
        <v>0</v>
      </c>
      <c r="AT750" s="18">
        <v>0</v>
      </c>
      <c r="AU750" s="18">
        <v>0</v>
      </c>
      <c r="AV750" s="18">
        <v>0</v>
      </c>
      <c r="AW750" s="18">
        <v>0</v>
      </c>
      <c r="AX750" s="18">
        <v>0</v>
      </c>
      <c r="AY750" s="18">
        <v>165</v>
      </c>
      <c r="AZ750" s="18">
        <v>40</v>
      </c>
      <c r="BA750" s="18">
        <v>29</v>
      </c>
      <c r="BB750" s="18">
        <v>0.725</v>
      </c>
      <c r="BC750" s="18">
        <v>0</v>
      </c>
      <c r="BD750" s="18">
        <v>0</v>
      </c>
      <c r="BE750" s="18">
        <v>0.13614</v>
      </c>
      <c r="BF750" s="18">
        <v>120</v>
      </c>
      <c r="BG750" s="18">
        <v>4</v>
      </c>
      <c r="BH750" s="18">
        <v>0</v>
      </c>
      <c r="BI750" s="18"/>
      <c r="BJ750" s="18">
        <v>0</v>
      </c>
      <c r="BK750" s="18">
        <v>0</v>
      </c>
      <c r="BL750" s="18">
        <v>0</v>
      </c>
      <c r="BM750" s="18">
        <v>0</v>
      </c>
      <c r="BN750" s="18"/>
      <c r="BO750" s="18"/>
      <c r="BP750" s="18">
        <v>0.02</v>
      </c>
      <c r="BQ750" s="18">
        <v>230</v>
      </c>
      <c r="BR750" s="18">
        <v>0</v>
      </c>
      <c r="BS750" s="18">
        <v>0</v>
      </c>
      <c r="BT750" s="18">
        <v>0</v>
      </c>
      <c r="BU750" s="18">
        <v>0</v>
      </c>
    </row>
    <row r="751" spans="1:73">
      <c r="A751" s="19">
        <v>46118</v>
      </c>
      <c r="B751" s="18">
        <v>479</v>
      </c>
      <c r="C751" s="18" t="s">
        <v>39</v>
      </c>
      <c r="D751" s="18">
        <v>479</v>
      </c>
      <c r="E751" s="18" t="s">
        <v>39</v>
      </c>
      <c r="F751" s="18">
        <v>34</v>
      </c>
      <c r="G751" s="18">
        <v>21</v>
      </c>
      <c r="H751" s="18">
        <v>11.07</v>
      </c>
      <c r="I751" s="18">
        <v>0.61765</v>
      </c>
      <c r="J751" s="18">
        <v>0.53</v>
      </c>
      <c r="K751" s="18">
        <v>325.61</v>
      </c>
      <c r="L751" s="18">
        <v>0</v>
      </c>
      <c r="M751" s="18">
        <v>0</v>
      </c>
      <c r="N751" s="18">
        <v>0</v>
      </c>
      <c r="O751" s="18">
        <v>0</v>
      </c>
      <c r="P751" s="18">
        <v>0</v>
      </c>
      <c r="Q751" s="18">
        <v>0</v>
      </c>
      <c r="R751" s="18">
        <v>0</v>
      </c>
      <c r="S751" s="18">
        <v>0</v>
      </c>
      <c r="T751" s="18">
        <v>0</v>
      </c>
      <c r="U751" s="18">
        <v>0</v>
      </c>
      <c r="V751" s="18">
        <v>0</v>
      </c>
      <c r="W751" s="18">
        <v>0</v>
      </c>
      <c r="X751" s="18">
        <v>0</v>
      </c>
      <c r="Y751" s="18">
        <v>0</v>
      </c>
      <c r="Z751" s="18">
        <v>0</v>
      </c>
      <c r="AA751" s="18"/>
      <c r="AB751" s="18">
        <v>4</v>
      </c>
      <c r="AC751" s="18">
        <v>0</v>
      </c>
      <c r="AD751" s="18">
        <v>4</v>
      </c>
      <c r="AE751" s="18">
        <v>0.19048</v>
      </c>
      <c r="AF751" s="18">
        <v>6</v>
      </c>
      <c r="AG751" s="18">
        <v>2</v>
      </c>
      <c r="AH751" s="18">
        <v>5.54</v>
      </c>
      <c r="AI751" s="18">
        <v>12</v>
      </c>
      <c r="AJ751" s="18">
        <v>0.92</v>
      </c>
      <c r="AK751" s="18">
        <v>10</v>
      </c>
      <c r="AL751" s="18">
        <v>1.11</v>
      </c>
      <c r="AM751" s="18">
        <v>8</v>
      </c>
      <c r="AN751" s="18">
        <v>1.85</v>
      </c>
      <c r="AO751" s="18">
        <v>0.28571</v>
      </c>
      <c r="AP751" s="18">
        <v>2.77</v>
      </c>
      <c r="AQ751" s="18">
        <v>0</v>
      </c>
      <c r="AR751" s="18">
        <v>0</v>
      </c>
      <c r="AS751" s="18">
        <v>0</v>
      </c>
      <c r="AT751" s="18">
        <v>6</v>
      </c>
      <c r="AU751" s="18">
        <v>0</v>
      </c>
      <c r="AV751" s="18">
        <v>0</v>
      </c>
      <c r="AW751" s="18">
        <v>0</v>
      </c>
      <c r="AX751" s="18">
        <v>1</v>
      </c>
      <c r="AY751" s="18">
        <v>213</v>
      </c>
      <c r="AZ751" s="18">
        <v>19</v>
      </c>
      <c r="BA751" s="18">
        <v>17</v>
      </c>
      <c r="BB751" s="18">
        <v>0.89474</v>
      </c>
      <c r="BC751" s="18">
        <v>0</v>
      </c>
      <c r="BD751" s="18">
        <v>0</v>
      </c>
      <c r="BE751" s="18">
        <v>6.26471</v>
      </c>
      <c r="BF751" s="18">
        <v>190</v>
      </c>
      <c r="BG751" s="18">
        <v>11</v>
      </c>
      <c r="BH751" s="18">
        <v>0</v>
      </c>
      <c r="BI751" s="18"/>
      <c r="BJ751" s="18">
        <v>0</v>
      </c>
      <c r="BK751" s="18">
        <v>0</v>
      </c>
      <c r="BL751" s="18">
        <v>0</v>
      </c>
      <c r="BM751" s="18">
        <v>0</v>
      </c>
      <c r="BN751" s="18"/>
      <c r="BO751" s="18"/>
      <c r="BP751" s="18">
        <v>1.02</v>
      </c>
      <c r="BQ751" s="18">
        <v>181</v>
      </c>
      <c r="BR751" s="18">
        <v>0</v>
      </c>
      <c r="BS751" s="18">
        <v>0</v>
      </c>
      <c r="BT751" s="18">
        <v>0</v>
      </c>
      <c r="BU751" s="18">
        <v>0</v>
      </c>
    </row>
    <row r="752" spans="1:73">
      <c r="A752" s="19">
        <v>46117</v>
      </c>
      <c r="B752" s="18">
        <v>183</v>
      </c>
      <c r="C752" s="18" t="s">
        <v>40</v>
      </c>
      <c r="D752" s="18">
        <v>183</v>
      </c>
      <c r="E752" s="18" t="s">
        <v>40</v>
      </c>
      <c r="F752" s="18">
        <v>1089</v>
      </c>
      <c r="G752" s="18">
        <v>47</v>
      </c>
      <c r="H752" s="18">
        <v>100</v>
      </c>
      <c r="I752" s="18">
        <v>0.04316</v>
      </c>
      <c r="J752" s="18">
        <v>2.13</v>
      </c>
      <c r="K752" s="18">
        <v>91.83</v>
      </c>
      <c r="L752" s="18">
        <v>0</v>
      </c>
      <c r="M752" s="18">
        <v>0</v>
      </c>
      <c r="N752" s="18">
        <v>0</v>
      </c>
      <c r="O752" s="18">
        <v>0</v>
      </c>
      <c r="P752" s="18">
        <v>0</v>
      </c>
      <c r="Q752" s="18">
        <v>0</v>
      </c>
      <c r="R752" s="18">
        <v>87.12</v>
      </c>
      <c r="S752" s="18">
        <v>0</v>
      </c>
      <c r="T752" s="18">
        <v>87.12</v>
      </c>
      <c r="U752" s="18">
        <v>1</v>
      </c>
      <c r="V752" s="18">
        <v>1</v>
      </c>
      <c r="W752" s="18">
        <v>0</v>
      </c>
      <c r="X752" s="18">
        <v>0.02128</v>
      </c>
      <c r="Y752" s="18">
        <v>0.87</v>
      </c>
      <c r="Z752" s="18">
        <v>0.87</v>
      </c>
      <c r="AA752" s="18">
        <v>100</v>
      </c>
      <c r="AB752" s="18">
        <v>4</v>
      </c>
      <c r="AC752" s="18">
        <v>3</v>
      </c>
      <c r="AD752" s="18">
        <v>1</v>
      </c>
      <c r="AE752" s="18">
        <v>0.08511</v>
      </c>
      <c r="AF752" s="18">
        <v>1</v>
      </c>
      <c r="AG752" s="18">
        <v>1</v>
      </c>
      <c r="AH752" s="18">
        <v>100</v>
      </c>
      <c r="AI752" s="18">
        <v>6</v>
      </c>
      <c r="AJ752" s="18">
        <v>16.67</v>
      </c>
      <c r="AK752" s="18">
        <v>5</v>
      </c>
      <c r="AL752" s="18">
        <v>20</v>
      </c>
      <c r="AM752" s="18">
        <v>2</v>
      </c>
      <c r="AN752" s="18">
        <v>100</v>
      </c>
      <c r="AO752" s="18">
        <v>0.02128</v>
      </c>
      <c r="AP752" s="18">
        <v>25</v>
      </c>
      <c r="AQ752" s="18">
        <v>2</v>
      </c>
      <c r="AR752" s="18">
        <v>148.9</v>
      </c>
      <c r="AS752" s="18">
        <v>1</v>
      </c>
      <c r="AT752" s="18">
        <v>0</v>
      </c>
      <c r="AU752" s="18">
        <v>0</v>
      </c>
      <c r="AV752" s="18">
        <v>0</v>
      </c>
      <c r="AW752" s="18">
        <v>0</v>
      </c>
      <c r="AX752" s="18">
        <v>2</v>
      </c>
      <c r="AY752" s="18">
        <v>262</v>
      </c>
      <c r="AZ752" s="18">
        <v>77</v>
      </c>
      <c r="BA752" s="18">
        <v>54</v>
      </c>
      <c r="BB752" s="18">
        <v>0.7013</v>
      </c>
      <c r="BC752" s="18">
        <v>0</v>
      </c>
      <c r="BD752" s="18">
        <v>0</v>
      </c>
      <c r="BE752" s="18">
        <v>0.24059</v>
      </c>
      <c r="BF752" s="18">
        <v>138</v>
      </c>
      <c r="BG752" s="18">
        <v>3</v>
      </c>
      <c r="BH752" s="18">
        <v>1</v>
      </c>
      <c r="BI752" s="18">
        <v>1</v>
      </c>
      <c r="BJ752" s="18">
        <v>0</v>
      </c>
      <c r="BK752" s="18">
        <v>0</v>
      </c>
      <c r="BL752" s="18">
        <v>0</v>
      </c>
      <c r="BM752" s="18">
        <v>1</v>
      </c>
      <c r="BN752" s="18">
        <v>1</v>
      </c>
      <c r="BO752" s="18">
        <v>87.12</v>
      </c>
      <c r="BP752" s="18">
        <v>2.71</v>
      </c>
      <c r="BQ752" s="18">
        <v>238</v>
      </c>
      <c r="BR752" s="18">
        <v>0</v>
      </c>
      <c r="BS752" s="18">
        <v>0</v>
      </c>
      <c r="BT752" s="18">
        <v>0</v>
      </c>
      <c r="BU752" s="18">
        <v>0</v>
      </c>
    </row>
    <row r="753" spans="1:73">
      <c r="A753" s="19">
        <v>46117</v>
      </c>
      <c r="B753" s="18">
        <v>436</v>
      </c>
      <c r="C753" s="18" t="s">
        <v>38</v>
      </c>
      <c r="D753" s="18">
        <v>436</v>
      </c>
      <c r="E753" s="18" t="s">
        <v>38</v>
      </c>
      <c r="F753" s="18">
        <v>533</v>
      </c>
      <c r="G753" s="18">
        <v>16</v>
      </c>
      <c r="H753" s="18">
        <v>60</v>
      </c>
      <c r="I753" s="18">
        <v>0.03002</v>
      </c>
      <c r="J753" s="18">
        <v>3.75</v>
      </c>
      <c r="K753" s="18">
        <v>112.57</v>
      </c>
      <c r="L753" s="18">
        <v>0</v>
      </c>
      <c r="M753" s="18">
        <v>0</v>
      </c>
      <c r="N753" s="18">
        <v>0</v>
      </c>
      <c r="O753" s="18">
        <v>0</v>
      </c>
      <c r="P753" s="18">
        <v>0</v>
      </c>
      <c r="Q753" s="18">
        <v>0</v>
      </c>
      <c r="R753" s="18">
        <v>0</v>
      </c>
      <c r="S753" s="18">
        <v>295</v>
      </c>
      <c r="T753" s="18">
        <v>295</v>
      </c>
      <c r="U753" s="18">
        <v>1</v>
      </c>
      <c r="V753" s="18">
        <v>0</v>
      </c>
      <c r="W753" s="18">
        <v>1</v>
      </c>
      <c r="X753" s="18">
        <v>0.0625</v>
      </c>
      <c r="Y753" s="18">
        <v>4.92</v>
      </c>
      <c r="Z753" s="18">
        <v>4.92</v>
      </c>
      <c r="AA753" s="18">
        <v>60</v>
      </c>
      <c r="AB753" s="18">
        <v>2</v>
      </c>
      <c r="AC753" s="18">
        <v>1</v>
      </c>
      <c r="AD753" s="18">
        <v>1</v>
      </c>
      <c r="AE753" s="18">
        <v>0.125</v>
      </c>
      <c r="AF753" s="18">
        <v>0</v>
      </c>
      <c r="AG753" s="18">
        <v>0</v>
      </c>
      <c r="AH753" s="18"/>
      <c r="AI753" s="18">
        <v>2</v>
      </c>
      <c r="AJ753" s="18">
        <v>30</v>
      </c>
      <c r="AK753" s="18">
        <v>2</v>
      </c>
      <c r="AL753" s="18">
        <v>30</v>
      </c>
      <c r="AM753" s="18">
        <v>0</v>
      </c>
      <c r="AN753" s="18"/>
      <c r="AO753" s="18">
        <v>0</v>
      </c>
      <c r="AP753" s="18">
        <v>30</v>
      </c>
      <c r="AQ753" s="18">
        <v>2</v>
      </c>
      <c r="AR753" s="18">
        <v>427</v>
      </c>
      <c r="AS753" s="18">
        <v>0</v>
      </c>
      <c r="AT753" s="18">
        <v>0</v>
      </c>
      <c r="AU753" s="18">
        <v>0</v>
      </c>
      <c r="AV753" s="18">
        <v>0</v>
      </c>
      <c r="AW753" s="18">
        <v>0</v>
      </c>
      <c r="AX753" s="18">
        <v>1</v>
      </c>
      <c r="AY753" s="18">
        <v>53</v>
      </c>
      <c r="AZ753" s="18">
        <v>12</v>
      </c>
      <c r="BA753" s="18">
        <v>8</v>
      </c>
      <c r="BB753" s="18">
        <v>0.66667</v>
      </c>
      <c r="BC753" s="18">
        <v>0</v>
      </c>
      <c r="BD753" s="18">
        <v>0</v>
      </c>
      <c r="BE753" s="18">
        <v>0.09944</v>
      </c>
      <c r="BF753" s="18">
        <v>35</v>
      </c>
      <c r="BG753" s="18">
        <v>4</v>
      </c>
      <c r="BH753" s="18">
        <v>1</v>
      </c>
      <c r="BI753" s="18">
        <v>1</v>
      </c>
      <c r="BJ753" s="18">
        <v>0</v>
      </c>
      <c r="BK753" s="18">
        <v>0</v>
      </c>
      <c r="BL753" s="18">
        <v>0</v>
      </c>
      <c r="BM753" s="18">
        <v>1</v>
      </c>
      <c r="BN753" s="18">
        <v>1</v>
      </c>
      <c r="BO753" s="18">
        <v>295</v>
      </c>
      <c r="BP753" s="18">
        <v>0</v>
      </c>
      <c r="BQ753" s="18">
        <v>213</v>
      </c>
      <c r="BR753" s="18">
        <v>0</v>
      </c>
      <c r="BS753" s="18">
        <v>0</v>
      </c>
      <c r="BT753" s="18">
        <v>0</v>
      </c>
      <c r="BU753" s="18">
        <v>0</v>
      </c>
    </row>
    <row r="754" spans="1:73">
      <c r="A754" s="19">
        <v>46117</v>
      </c>
      <c r="B754" s="18">
        <v>371</v>
      </c>
      <c r="C754" s="18" t="s">
        <v>32</v>
      </c>
      <c r="D754" s="18">
        <v>371</v>
      </c>
      <c r="E754" s="18" t="s">
        <v>32</v>
      </c>
      <c r="F754" s="18">
        <v>4326</v>
      </c>
      <c r="G754" s="18">
        <v>183</v>
      </c>
      <c r="H754" s="18">
        <v>59.33</v>
      </c>
      <c r="I754" s="18">
        <v>0.0423</v>
      </c>
      <c r="J754" s="18">
        <v>0.32</v>
      </c>
      <c r="K754" s="18">
        <v>13.71</v>
      </c>
      <c r="L754" s="18">
        <v>0</v>
      </c>
      <c r="M754" s="18">
        <v>0</v>
      </c>
      <c r="N754" s="18">
        <v>0</v>
      </c>
      <c r="O754" s="18">
        <v>0</v>
      </c>
      <c r="P754" s="18">
        <v>0</v>
      </c>
      <c r="Q754" s="18">
        <v>0</v>
      </c>
      <c r="R754" s="18">
        <v>0</v>
      </c>
      <c r="S754" s="18">
        <v>0</v>
      </c>
      <c r="T754" s="18">
        <v>0</v>
      </c>
      <c r="U754" s="18">
        <v>0</v>
      </c>
      <c r="V754" s="18">
        <v>0</v>
      </c>
      <c r="W754" s="18">
        <v>0</v>
      </c>
      <c r="X754" s="18">
        <v>0</v>
      </c>
      <c r="Y754" s="18">
        <v>0</v>
      </c>
      <c r="Z754" s="18">
        <v>0</v>
      </c>
      <c r="AA754" s="18"/>
      <c r="AB754" s="18">
        <v>0</v>
      </c>
      <c r="AC754" s="18">
        <v>0</v>
      </c>
      <c r="AD754" s="18">
        <v>0</v>
      </c>
      <c r="AE754" s="18">
        <v>0</v>
      </c>
      <c r="AF754" s="18">
        <v>0</v>
      </c>
      <c r="AG754" s="18">
        <v>0</v>
      </c>
      <c r="AH754" s="18"/>
      <c r="AI754" s="18">
        <v>0</v>
      </c>
      <c r="AJ754" s="18"/>
      <c r="AK754" s="18">
        <v>0</v>
      </c>
      <c r="AL754" s="18"/>
      <c r="AM754" s="18">
        <v>0</v>
      </c>
      <c r="AN754" s="18"/>
      <c r="AO754" s="18">
        <v>0</v>
      </c>
      <c r="AP754" s="18"/>
      <c r="AQ754" s="18">
        <v>0</v>
      </c>
      <c r="AR754" s="18">
        <v>0</v>
      </c>
      <c r="AS754" s="18">
        <v>0</v>
      </c>
      <c r="AT754" s="18">
        <v>0</v>
      </c>
      <c r="AU754" s="18">
        <v>0</v>
      </c>
      <c r="AV754" s="18">
        <v>0</v>
      </c>
      <c r="AW754" s="18">
        <v>0</v>
      </c>
      <c r="AX754" s="18">
        <v>0</v>
      </c>
      <c r="AY754" s="18">
        <v>295</v>
      </c>
      <c r="AZ754" s="18">
        <v>169</v>
      </c>
      <c r="BA754" s="18">
        <v>161</v>
      </c>
      <c r="BB754" s="18">
        <v>0.95266</v>
      </c>
      <c r="BC754" s="18">
        <v>0</v>
      </c>
      <c r="BD754" s="18">
        <v>0</v>
      </c>
      <c r="BE754" s="18">
        <v>0.06819</v>
      </c>
      <c r="BF754" s="18">
        <v>79</v>
      </c>
      <c r="BG754" s="18">
        <v>2</v>
      </c>
      <c r="BH754" s="18">
        <v>0</v>
      </c>
      <c r="BI754" s="18"/>
      <c r="BJ754" s="18">
        <v>0</v>
      </c>
      <c r="BK754" s="18">
        <v>0</v>
      </c>
      <c r="BL754" s="18">
        <v>0</v>
      </c>
      <c r="BM754" s="18">
        <v>0</v>
      </c>
      <c r="BN754" s="18"/>
      <c r="BO754" s="18"/>
      <c r="BP754" s="18">
        <v>0</v>
      </c>
      <c r="BQ754" s="18">
        <v>14</v>
      </c>
      <c r="BR754" s="18">
        <v>0</v>
      </c>
      <c r="BS754" s="18">
        <v>0</v>
      </c>
      <c r="BT754" s="18">
        <v>0</v>
      </c>
      <c r="BU754" s="18">
        <v>0</v>
      </c>
    </row>
    <row r="755" spans="1:73">
      <c r="A755" s="19">
        <v>46117</v>
      </c>
      <c r="B755" s="18">
        <v>479</v>
      </c>
      <c r="C755" s="18" t="s">
        <v>39</v>
      </c>
      <c r="D755" s="18">
        <v>479</v>
      </c>
      <c r="E755" s="18" t="s">
        <v>39</v>
      </c>
      <c r="F755" s="18">
        <v>36</v>
      </c>
      <c r="G755" s="18">
        <v>17</v>
      </c>
      <c r="H755" s="18">
        <v>11.53</v>
      </c>
      <c r="I755" s="18">
        <v>0.47222</v>
      </c>
      <c r="J755" s="18">
        <v>0.68</v>
      </c>
      <c r="K755" s="18">
        <v>320.23</v>
      </c>
      <c r="L755" s="18">
        <v>0</v>
      </c>
      <c r="M755" s="18">
        <v>0</v>
      </c>
      <c r="N755" s="18">
        <v>0</v>
      </c>
      <c r="O755" s="18">
        <v>0</v>
      </c>
      <c r="P755" s="18">
        <v>0</v>
      </c>
      <c r="Q755" s="18">
        <v>0</v>
      </c>
      <c r="R755" s="18">
        <v>0</v>
      </c>
      <c r="S755" s="18">
        <v>70.2</v>
      </c>
      <c r="T755" s="18">
        <v>70.2</v>
      </c>
      <c r="U755" s="18">
        <v>1</v>
      </c>
      <c r="V755" s="18">
        <v>0</v>
      </c>
      <c r="W755" s="18">
        <v>1</v>
      </c>
      <c r="X755" s="18">
        <v>0.05882</v>
      </c>
      <c r="Y755" s="18">
        <v>6.09</v>
      </c>
      <c r="Z755" s="18">
        <v>6.09</v>
      </c>
      <c r="AA755" s="18">
        <v>11.53</v>
      </c>
      <c r="AB755" s="18">
        <v>3</v>
      </c>
      <c r="AC755" s="18">
        <v>0</v>
      </c>
      <c r="AD755" s="18">
        <v>3</v>
      </c>
      <c r="AE755" s="18">
        <v>0.17647</v>
      </c>
      <c r="AF755" s="18">
        <v>0</v>
      </c>
      <c r="AG755" s="18">
        <v>2</v>
      </c>
      <c r="AH755" s="18">
        <v>5.76</v>
      </c>
      <c r="AI755" s="18">
        <v>5</v>
      </c>
      <c r="AJ755" s="18">
        <v>2.31</v>
      </c>
      <c r="AK755" s="18">
        <v>3</v>
      </c>
      <c r="AL755" s="18">
        <v>3.84</v>
      </c>
      <c r="AM755" s="18">
        <v>2</v>
      </c>
      <c r="AN755" s="18"/>
      <c r="AO755" s="18">
        <v>0</v>
      </c>
      <c r="AP755" s="18">
        <v>3.84</v>
      </c>
      <c r="AQ755" s="18">
        <v>1</v>
      </c>
      <c r="AR755" s="18">
        <v>78</v>
      </c>
      <c r="AS755" s="18">
        <v>0</v>
      </c>
      <c r="AT755" s="18">
        <v>0</v>
      </c>
      <c r="AU755" s="18">
        <v>0</v>
      </c>
      <c r="AV755" s="18">
        <v>0</v>
      </c>
      <c r="AW755" s="18">
        <v>0</v>
      </c>
      <c r="AX755" s="18">
        <v>0</v>
      </c>
      <c r="AY755" s="18">
        <v>250</v>
      </c>
      <c r="AZ755" s="18">
        <v>14</v>
      </c>
      <c r="BA755" s="18">
        <v>10</v>
      </c>
      <c r="BB755" s="18">
        <v>0.71429</v>
      </c>
      <c r="BC755" s="18">
        <v>0</v>
      </c>
      <c r="BD755" s="18">
        <v>0</v>
      </c>
      <c r="BE755" s="18">
        <v>6.94444</v>
      </c>
      <c r="BF755" s="18">
        <v>230</v>
      </c>
      <c r="BG755" s="18">
        <v>18</v>
      </c>
      <c r="BH755" s="18">
        <v>1</v>
      </c>
      <c r="BI755" s="18">
        <v>1</v>
      </c>
      <c r="BJ755" s="18">
        <v>0</v>
      </c>
      <c r="BK755" s="18">
        <v>0</v>
      </c>
      <c r="BL755" s="18">
        <v>0</v>
      </c>
      <c r="BM755" s="18">
        <v>1</v>
      </c>
      <c r="BN755" s="18">
        <v>1</v>
      </c>
      <c r="BO755" s="18">
        <v>70.2</v>
      </c>
      <c r="BP755" s="18">
        <v>0.24</v>
      </c>
      <c r="BQ755" s="18">
        <v>132</v>
      </c>
      <c r="BR755" s="18">
        <v>0</v>
      </c>
      <c r="BS755" s="18">
        <v>0</v>
      </c>
      <c r="BT755" s="18">
        <v>0</v>
      </c>
      <c r="BU755" s="18">
        <v>0</v>
      </c>
    </row>
    <row r="756" spans="1:73">
      <c r="A756" s="19">
        <v>46117</v>
      </c>
      <c r="B756" s="18">
        <v>372</v>
      </c>
      <c r="C756" s="18" t="s">
        <v>37</v>
      </c>
      <c r="D756" s="18">
        <v>372</v>
      </c>
      <c r="E756" s="18" t="s">
        <v>61</v>
      </c>
      <c r="F756" s="18">
        <v>2835</v>
      </c>
      <c r="G756" s="18">
        <v>75</v>
      </c>
      <c r="H756" s="18">
        <v>108</v>
      </c>
      <c r="I756" s="18">
        <v>0.02646</v>
      </c>
      <c r="J756" s="18">
        <v>1.44</v>
      </c>
      <c r="K756" s="18">
        <v>38.1</v>
      </c>
      <c r="L756" s="18">
        <v>0</v>
      </c>
      <c r="M756" s="18">
        <v>0</v>
      </c>
      <c r="N756" s="18">
        <v>0</v>
      </c>
      <c r="O756" s="18">
        <v>0</v>
      </c>
      <c r="P756" s="18">
        <v>0</v>
      </c>
      <c r="Q756" s="18">
        <v>0</v>
      </c>
      <c r="R756" s="18">
        <v>709.86</v>
      </c>
      <c r="S756" s="18">
        <v>0</v>
      </c>
      <c r="T756" s="18">
        <v>709.86</v>
      </c>
      <c r="U756" s="18">
        <v>3</v>
      </c>
      <c r="V756" s="18">
        <v>3</v>
      </c>
      <c r="W756" s="18">
        <v>0</v>
      </c>
      <c r="X756" s="18">
        <v>0.04</v>
      </c>
      <c r="Y756" s="18">
        <v>6.57</v>
      </c>
      <c r="Z756" s="18">
        <v>6.57</v>
      </c>
      <c r="AA756" s="18">
        <v>36</v>
      </c>
      <c r="AB756" s="18">
        <v>7</v>
      </c>
      <c r="AC756" s="18">
        <v>6</v>
      </c>
      <c r="AD756" s="18">
        <v>1</v>
      </c>
      <c r="AE756" s="18">
        <v>0.09333</v>
      </c>
      <c r="AF756" s="18">
        <v>0</v>
      </c>
      <c r="AG756" s="18">
        <v>0</v>
      </c>
      <c r="AH756" s="18"/>
      <c r="AI756" s="18">
        <v>7</v>
      </c>
      <c r="AJ756" s="18">
        <v>15.43</v>
      </c>
      <c r="AK756" s="18">
        <v>7</v>
      </c>
      <c r="AL756" s="18">
        <v>15.43</v>
      </c>
      <c r="AM756" s="18">
        <v>0</v>
      </c>
      <c r="AN756" s="18"/>
      <c r="AO756" s="18">
        <v>0</v>
      </c>
      <c r="AP756" s="18">
        <v>15.43</v>
      </c>
      <c r="AQ756" s="18">
        <v>7</v>
      </c>
      <c r="AR756" s="18">
        <v>1019.83</v>
      </c>
      <c r="AS756" s="18">
        <v>0</v>
      </c>
      <c r="AT756" s="18">
        <v>0</v>
      </c>
      <c r="AU756" s="18">
        <v>0</v>
      </c>
      <c r="AV756" s="18">
        <v>0</v>
      </c>
      <c r="AW756" s="18">
        <v>0</v>
      </c>
      <c r="AX756" s="18">
        <v>0</v>
      </c>
      <c r="AY756" s="18">
        <v>157</v>
      </c>
      <c r="AZ756" s="18">
        <v>72</v>
      </c>
      <c r="BA756" s="18">
        <v>56</v>
      </c>
      <c r="BB756" s="18">
        <v>0.77778</v>
      </c>
      <c r="BC756" s="18">
        <v>0</v>
      </c>
      <c r="BD756" s="18">
        <v>0</v>
      </c>
      <c r="BE756" s="18">
        <v>0.05538</v>
      </c>
      <c r="BF756" s="18">
        <v>72</v>
      </c>
      <c r="BG756" s="18">
        <v>2</v>
      </c>
      <c r="BH756" s="18">
        <v>2</v>
      </c>
      <c r="BI756" s="18">
        <v>1</v>
      </c>
      <c r="BJ756" s="18">
        <v>0</v>
      </c>
      <c r="BK756" s="18">
        <v>0</v>
      </c>
      <c r="BL756" s="18">
        <v>0</v>
      </c>
      <c r="BM756" s="18">
        <v>2</v>
      </c>
      <c r="BN756" s="18">
        <v>2</v>
      </c>
      <c r="BO756" s="18">
        <v>354.93</v>
      </c>
      <c r="BP756" s="18">
        <v>242</v>
      </c>
      <c r="BQ756" s="18">
        <v>376</v>
      </c>
      <c r="BR756" s="18">
        <v>0</v>
      </c>
      <c r="BS756" s="18">
        <v>0</v>
      </c>
      <c r="BT756" s="18">
        <v>0</v>
      </c>
      <c r="BU756" s="18">
        <v>0</v>
      </c>
    </row>
    <row r="757" spans="1:73">
      <c r="A757" s="19">
        <v>46116</v>
      </c>
      <c r="B757" s="18">
        <v>371</v>
      </c>
      <c r="C757" s="18" t="s">
        <v>32</v>
      </c>
      <c r="D757" s="18">
        <v>371</v>
      </c>
      <c r="E757" s="18" t="s">
        <v>32</v>
      </c>
      <c r="F757" s="18">
        <v>7177</v>
      </c>
      <c r="G757" s="18">
        <v>208</v>
      </c>
      <c r="H757" s="18">
        <v>59.41</v>
      </c>
      <c r="I757" s="18">
        <v>0.02898</v>
      </c>
      <c r="J757" s="18">
        <v>0.29</v>
      </c>
      <c r="K757" s="18">
        <v>8.28</v>
      </c>
      <c r="L757" s="18">
        <v>0</v>
      </c>
      <c r="M757" s="18">
        <v>0</v>
      </c>
      <c r="N757" s="18">
        <v>0</v>
      </c>
      <c r="O757" s="18">
        <v>0</v>
      </c>
      <c r="P757" s="18">
        <v>0</v>
      </c>
      <c r="Q757" s="18">
        <v>0</v>
      </c>
      <c r="R757" s="18">
        <v>0</v>
      </c>
      <c r="S757" s="18">
        <v>0</v>
      </c>
      <c r="T757" s="18">
        <v>0</v>
      </c>
      <c r="U757" s="18">
        <v>0</v>
      </c>
      <c r="V757" s="18">
        <v>0</v>
      </c>
      <c r="W757" s="18">
        <v>0</v>
      </c>
      <c r="X757" s="18">
        <v>0</v>
      </c>
      <c r="Y757" s="18">
        <v>0</v>
      </c>
      <c r="Z757" s="18">
        <v>0</v>
      </c>
      <c r="AA757" s="18"/>
      <c r="AB757" s="18">
        <v>0</v>
      </c>
      <c r="AC757" s="18">
        <v>0</v>
      </c>
      <c r="AD757" s="18">
        <v>0</v>
      </c>
      <c r="AE757" s="18">
        <v>0</v>
      </c>
      <c r="AF757" s="18">
        <v>1</v>
      </c>
      <c r="AG757" s="18">
        <v>0</v>
      </c>
      <c r="AH757" s="18"/>
      <c r="AI757" s="18">
        <v>1</v>
      </c>
      <c r="AJ757" s="18">
        <v>59.41</v>
      </c>
      <c r="AK757" s="18">
        <v>1</v>
      </c>
      <c r="AL757" s="18">
        <v>59.41</v>
      </c>
      <c r="AM757" s="18">
        <v>1</v>
      </c>
      <c r="AN757" s="18">
        <v>59.41</v>
      </c>
      <c r="AO757" s="18">
        <v>0.00481</v>
      </c>
      <c r="AP757" s="18"/>
      <c r="AQ757" s="18">
        <v>0</v>
      </c>
      <c r="AR757" s="18">
        <v>0</v>
      </c>
      <c r="AS757" s="18">
        <v>1</v>
      </c>
      <c r="AT757" s="18">
        <v>0</v>
      </c>
      <c r="AU757" s="18">
        <v>0</v>
      </c>
      <c r="AV757" s="18">
        <v>0</v>
      </c>
      <c r="AW757" s="18">
        <v>0</v>
      </c>
      <c r="AX757" s="18">
        <v>0</v>
      </c>
      <c r="AY757" s="18">
        <v>324</v>
      </c>
      <c r="AZ757" s="18">
        <v>211</v>
      </c>
      <c r="BA757" s="18">
        <v>198</v>
      </c>
      <c r="BB757" s="18">
        <v>0.93839</v>
      </c>
      <c r="BC757" s="18">
        <v>0</v>
      </c>
      <c r="BD757" s="18">
        <v>0</v>
      </c>
      <c r="BE757" s="18">
        <v>0.04514</v>
      </c>
      <c r="BF757" s="18">
        <v>75</v>
      </c>
      <c r="BG757" s="18">
        <v>2</v>
      </c>
      <c r="BH757" s="18">
        <v>0</v>
      </c>
      <c r="BI757" s="18"/>
      <c r="BJ757" s="18">
        <v>0</v>
      </c>
      <c r="BK757" s="18">
        <v>0</v>
      </c>
      <c r="BL757" s="18">
        <v>0</v>
      </c>
      <c r="BM757" s="18">
        <v>0</v>
      </c>
      <c r="BN757" s="18"/>
      <c r="BO757" s="18"/>
      <c r="BP757" s="18">
        <v>0</v>
      </c>
      <c r="BQ757" s="18">
        <v>2777</v>
      </c>
      <c r="BR757" s="18">
        <v>0</v>
      </c>
      <c r="BS757" s="18">
        <v>0</v>
      </c>
      <c r="BT757" s="18">
        <v>0</v>
      </c>
      <c r="BU757" s="18">
        <v>0</v>
      </c>
    </row>
    <row r="758" spans="1:73">
      <c r="A758" s="19">
        <v>46116</v>
      </c>
      <c r="B758" s="18">
        <v>372</v>
      </c>
      <c r="C758" s="18" t="s">
        <v>37</v>
      </c>
      <c r="D758" s="18">
        <v>372</v>
      </c>
      <c r="E758" s="18" t="s">
        <v>61</v>
      </c>
      <c r="F758" s="18">
        <v>1784</v>
      </c>
      <c r="G758" s="18">
        <v>27</v>
      </c>
      <c r="H758" s="18">
        <v>50</v>
      </c>
      <c r="I758" s="18">
        <v>0.01513</v>
      </c>
      <c r="J758" s="18">
        <v>1.85</v>
      </c>
      <c r="K758" s="18">
        <v>28.03</v>
      </c>
      <c r="L758" s="18">
        <v>0</v>
      </c>
      <c r="M758" s="18">
        <v>0</v>
      </c>
      <c r="N758" s="18">
        <v>0</v>
      </c>
      <c r="O758" s="18">
        <v>0</v>
      </c>
      <c r="P758" s="18">
        <v>0</v>
      </c>
      <c r="Q758" s="18">
        <v>0</v>
      </c>
      <c r="R758" s="18">
        <v>0</v>
      </c>
      <c r="S758" s="18">
        <v>0</v>
      </c>
      <c r="T758" s="18">
        <v>0</v>
      </c>
      <c r="U758" s="18">
        <v>0</v>
      </c>
      <c r="V758" s="18">
        <v>0</v>
      </c>
      <c r="W758" s="18">
        <v>0</v>
      </c>
      <c r="X758" s="18">
        <v>0</v>
      </c>
      <c r="Y758" s="18">
        <v>0</v>
      </c>
      <c r="Z758" s="18">
        <v>0</v>
      </c>
      <c r="AA758" s="18"/>
      <c r="AB758" s="18">
        <v>2</v>
      </c>
      <c r="AC758" s="18">
        <v>1</v>
      </c>
      <c r="AD758" s="18">
        <v>1</v>
      </c>
      <c r="AE758" s="18">
        <v>0.07407</v>
      </c>
      <c r="AF758" s="18">
        <v>0</v>
      </c>
      <c r="AG758" s="18">
        <v>0</v>
      </c>
      <c r="AH758" s="18"/>
      <c r="AI758" s="18">
        <v>2</v>
      </c>
      <c r="AJ758" s="18">
        <v>25</v>
      </c>
      <c r="AK758" s="18">
        <v>2</v>
      </c>
      <c r="AL758" s="18">
        <v>25</v>
      </c>
      <c r="AM758" s="18">
        <v>0</v>
      </c>
      <c r="AN758" s="18"/>
      <c r="AO758" s="18">
        <v>0</v>
      </c>
      <c r="AP758" s="18">
        <v>25</v>
      </c>
      <c r="AQ758" s="18">
        <v>0</v>
      </c>
      <c r="AR758" s="18">
        <v>0</v>
      </c>
      <c r="AS758" s="18">
        <v>0</v>
      </c>
      <c r="AT758" s="18">
        <v>0</v>
      </c>
      <c r="AU758" s="18">
        <v>0</v>
      </c>
      <c r="AV758" s="18">
        <v>0</v>
      </c>
      <c r="AW758" s="18">
        <v>0</v>
      </c>
      <c r="AX758" s="18">
        <v>0</v>
      </c>
      <c r="AY758" s="18">
        <v>63</v>
      </c>
      <c r="AZ758" s="18">
        <v>27</v>
      </c>
      <c r="BA758" s="18">
        <v>24</v>
      </c>
      <c r="BB758" s="18">
        <v>0.88889</v>
      </c>
      <c r="BC758" s="18">
        <v>0</v>
      </c>
      <c r="BD758" s="18">
        <v>0</v>
      </c>
      <c r="BE758" s="18">
        <v>0.03531</v>
      </c>
      <c r="BF758" s="18">
        <v>32</v>
      </c>
      <c r="BG758" s="18">
        <v>2</v>
      </c>
      <c r="BH758" s="18">
        <v>0</v>
      </c>
      <c r="BI758" s="18"/>
      <c r="BJ758" s="18">
        <v>0</v>
      </c>
      <c r="BK758" s="18">
        <v>0</v>
      </c>
      <c r="BL758" s="18">
        <v>0</v>
      </c>
      <c r="BM758" s="18">
        <v>0</v>
      </c>
      <c r="BN758" s="18"/>
      <c r="BO758" s="18"/>
      <c r="BP758" s="18">
        <v>0.08</v>
      </c>
      <c r="BQ758" s="18">
        <v>58</v>
      </c>
      <c r="BR758" s="18">
        <v>0</v>
      </c>
      <c r="BS758" s="18">
        <v>0</v>
      </c>
      <c r="BT758" s="18">
        <v>0</v>
      </c>
      <c r="BU758" s="18">
        <v>0</v>
      </c>
    </row>
    <row r="759" spans="1:73">
      <c r="A759" s="19">
        <v>46116</v>
      </c>
      <c r="B759" s="18">
        <v>436</v>
      </c>
      <c r="C759" s="18" t="s">
        <v>38</v>
      </c>
      <c r="D759" s="18">
        <v>436</v>
      </c>
      <c r="E759" s="18" t="s">
        <v>38</v>
      </c>
      <c r="F759" s="18">
        <v>1249</v>
      </c>
      <c r="G759" s="18">
        <v>62</v>
      </c>
      <c r="H759" s="18">
        <v>48.02</v>
      </c>
      <c r="I759" s="18">
        <v>0.04964</v>
      </c>
      <c r="J759" s="18">
        <v>0.77</v>
      </c>
      <c r="K759" s="18">
        <v>38.45</v>
      </c>
      <c r="L759" s="18">
        <v>0</v>
      </c>
      <c r="M759" s="18">
        <v>0</v>
      </c>
      <c r="N759" s="18">
        <v>0</v>
      </c>
      <c r="O759" s="18">
        <v>0</v>
      </c>
      <c r="P759" s="18">
        <v>0</v>
      </c>
      <c r="Q759" s="18">
        <v>0</v>
      </c>
      <c r="R759" s="18">
        <v>0</v>
      </c>
      <c r="S759" s="18">
        <v>84.15</v>
      </c>
      <c r="T759" s="18">
        <v>84.15</v>
      </c>
      <c r="U759" s="18">
        <v>1</v>
      </c>
      <c r="V759" s="18">
        <v>0</v>
      </c>
      <c r="W759" s="18">
        <v>1</v>
      </c>
      <c r="X759" s="18">
        <v>0.01613</v>
      </c>
      <c r="Y759" s="18">
        <v>1.75</v>
      </c>
      <c r="Z759" s="18">
        <v>1.75</v>
      </c>
      <c r="AA759" s="18">
        <v>48.02</v>
      </c>
      <c r="AB759" s="18">
        <v>4</v>
      </c>
      <c r="AC759" s="18">
        <v>0</v>
      </c>
      <c r="AD759" s="18">
        <v>4</v>
      </c>
      <c r="AE759" s="18">
        <v>0.06452</v>
      </c>
      <c r="AF759" s="18">
        <v>0</v>
      </c>
      <c r="AG759" s="18">
        <v>0</v>
      </c>
      <c r="AH759" s="18"/>
      <c r="AI759" s="18">
        <v>4</v>
      </c>
      <c r="AJ759" s="18">
        <v>12.01</v>
      </c>
      <c r="AK759" s="18">
        <v>4</v>
      </c>
      <c r="AL759" s="18">
        <v>12.01</v>
      </c>
      <c r="AM759" s="18">
        <v>0</v>
      </c>
      <c r="AN759" s="18"/>
      <c r="AO759" s="18">
        <v>0</v>
      </c>
      <c r="AP759" s="18">
        <v>12.01</v>
      </c>
      <c r="AQ759" s="18">
        <v>2</v>
      </c>
      <c r="AR759" s="18">
        <v>148.9</v>
      </c>
      <c r="AS759" s="18">
        <v>0</v>
      </c>
      <c r="AT759" s="18">
        <v>0</v>
      </c>
      <c r="AU759" s="18">
        <v>0</v>
      </c>
      <c r="AV759" s="18">
        <v>0</v>
      </c>
      <c r="AW759" s="18">
        <v>0</v>
      </c>
      <c r="AX759" s="18">
        <v>1</v>
      </c>
      <c r="AY759" s="18">
        <v>130</v>
      </c>
      <c r="AZ759" s="18">
        <v>39</v>
      </c>
      <c r="BA759" s="18">
        <v>23</v>
      </c>
      <c r="BB759" s="18">
        <v>0.58974</v>
      </c>
      <c r="BC759" s="18">
        <v>0</v>
      </c>
      <c r="BD759" s="18">
        <v>0</v>
      </c>
      <c r="BE759" s="18">
        <v>0.10408</v>
      </c>
      <c r="BF759" s="18">
        <v>69</v>
      </c>
      <c r="BG759" s="18">
        <v>3</v>
      </c>
      <c r="BH759" s="18">
        <v>1</v>
      </c>
      <c r="BI759" s="18">
        <v>1</v>
      </c>
      <c r="BJ759" s="18">
        <v>0</v>
      </c>
      <c r="BK759" s="18">
        <v>0</v>
      </c>
      <c r="BL759" s="18">
        <v>0</v>
      </c>
      <c r="BM759" s="18">
        <v>1</v>
      </c>
      <c r="BN759" s="18">
        <v>1</v>
      </c>
      <c r="BO759" s="18">
        <v>84.15</v>
      </c>
      <c r="BP759" s="18">
        <v>0.29</v>
      </c>
      <c r="BQ759" s="18">
        <v>190</v>
      </c>
      <c r="BR759" s="18">
        <v>0</v>
      </c>
      <c r="BS759" s="18">
        <v>0</v>
      </c>
      <c r="BT759" s="18">
        <v>0</v>
      </c>
      <c r="BU759" s="18">
        <v>0</v>
      </c>
    </row>
    <row r="760" spans="1:73">
      <c r="A760" s="19">
        <v>46116</v>
      </c>
      <c r="B760" s="18">
        <v>479</v>
      </c>
      <c r="C760" s="18" t="s">
        <v>39</v>
      </c>
      <c r="D760" s="18">
        <v>479</v>
      </c>
      <c r="E760" s="18" t="s">
        <v>39</v>
      </c>
      <c r="F760" s="18">
        <v>33</v>
      </c>
      <c r="G760" s="18">
        <v>15</v>
      </c>
      <c r="H760" s="18">
        <v>9.56</v>
      </c>
      <c r="I760" s="18">
        <v>0.45455</v>
      </c>
      <c r="J760" s="18">
        <v>0.64</v>
      </c>
      <c r="K760" s="18">
        <v>289.57</v>
      </c>
      <c r="L760" s="18">
        <v>0</v>
      </c>
      <c r="M760" s="18">
        <v>0</v>
      </c>
      <c r="N760" s="18">
        <v>0</v>
      </c>
      <c r="O760" s="18">
        <v>0</v>
      </c>
      <c r="P760" s="18">
        <v>0</v>
      </c>
      <c r="Q760" s="18">
        <v>0</v>
      </c>
      <c r="R760" s="18">
        <v>0</v>
      </c>
      <c r="S760" s="18">
        <v>0</v>
      </c>
      <c r="T760" s="18">
        <v>0</v>
      </c>
      <c r="U760" s="18">
        <v>0</v>
      </c>
      <c r="V760" s="18">
        <v>0</v>
      </c>
      <c r="W760" s="18">
        <v>0</v>
      </c>
      <c r="X760" s="18">
        <v>0</v>
      </c>
      <c r="Y760" s="18">
        <v>0</v>
      </c>
      <c r="Z760" s="18">
        <v>0</v>
      </c>
      <c r="AA760" s="18"/>
      <c r="AB760" s="18">
        <v>1</v>
      </c>
      <c r="AC760" s="18">
        <v>0</v>
      </c>
      <c r="AD760" s="18">
        <v>1</v>
      </c>
      <c r="AE760" s="18">
        <v>0.06667</v>
      </c>
      <c r="AF760" s="18">
        <v>0</v>
      </c>
      <c r="AG760" s="18">
        <v>0</v>
      </c>
      <c r="AH760" s="18"/>
      <c r="AI760" s="18">
        <v>1</v>
      </c>
      <c r="AJ760" s="18">
        <v>9.56</v>
      </c>
      <c r="AK760" s="18">
        <v>1</v>
      </c>
      <c r="AL760" s="18">
        <v>9.56</v>
      </c>
      <c r="AM760" s="18">
        <v>0</v>
      </c>
      <c r="AN760" s="18"/>
      <c r="AO760" s="18">
        <v>0</v>
      </c>
      <c r="AP760" s="18">
        <v>9.56</v>
      </c>
      <c r="AQ760" s="18">
        <v>0</v>
      </c>
      <c r="AR760" s="18">
        <v>0</v>
      </c>
      <c r="AS760" s="18">
        <v>0</v>
      </c>
      <c r="AT760" s="18">
        <v>0</v>
      </c>
      <c r="AU760" s="18">
        <v>0</v>
      </c>
      <c r="AV760" s="18">
        <v>0</v>
      </c>
      <c r="AW760" s="18">
        <v>0</v>
      </c>
      <c r="AX760" s="18">
        <v>0</v>
      </c>
      <c r="AY760" s="18">
        <v>116</v>
      </c>
      <c r="AZ760" s="18">
        <v>14</v>
      </c>
      <c r="BA760" s="18">
        <v>11</v>
      </c>
      <c r="BB760" s="18">
        <v>0.78571</v>
      </c>
      <c r="BC760" s="18">
        <v>0</v>
      </c>
      <c r="BD760" s="18">
        <v>0</v>
      </c>
      <c r="BE760" s="18">
        <v>3.51515</v>
      </c>
      <c r="BF760" s="18">
        <v>101</v>
      </c>
      <c r="BG760" s="18">
        <v>8</v>
      </c>
      <c r="BH760" s="18">
        <v>0</v>
      </c>
      <c r="BI760" s="18"/>
      <c r="BJ760" s="18">
        <v>0</v>
      </c>
      <c r="BK760" s="18">
        <v>0</v>
      </c>
      <c r="BL760" s="18">
        <v>0</v>
      </c>
      <c r="BM760" s="18">
        <v>0</v>
      </c>
      <c r="BN760" s="18"/>
      <c r="BO760" s="18"/>
      <c r="BP760" s="18">
        <v>0.01</v>
      </c>
      <c r="BQ760" s="18">
        <v>9</v>
      </c>
      <c r="BR760" s="18">
        <v>0</v>
      </c>
      <c r="BS760" s="18">
        <v>0</v>
      </c>
      <c r="BT760" s="18">
        <v>0</v>
      </c>
      <c r="BU760" s="18">
        <v>0</v>
      </c>
    </row>
    <row r="761" spans="1:73">
      <c r="A761" s="19">
        <v>46116</v>
      </c>
      <c r="B761" s="18">
        <v>183</v>
      </c>
      <c r="C761" s="18" t="s">
        <v>40</v>
      </c>
      <c r="D761" s="18">
        <v>183</v>
      </c>
      <c r="E761" s="18" t="s">
        <v>40</v>
      </c>
      <c r="F761" s="18">
        <v>1148</v>
      </c>
      <c r="G761" s="18">
        <v>48</v>
      </c>
      <c r="H761" s="18">
        <v>100</v>
      </c>
      <c r="I761" s="18">
        <v>0.04181</v>
      </c>
      <c r="J761" s="18">
        <v>2.08</v>
      </c>
      <c r="K761" s="18">
        <v>87.11</v>
      </c>
      <c r="L761" s="18">
        <v>0</v>
      </c>
      <c r="M761" s="18">
        <v>0</v>
      </c>
      <c r="N761" s="18">
        <v>0</v>
      </c>
      <c r="O761" s="18">
        <v>0</v>
      </c>
      <c r="P761" s="18">
        <v>0</v>
      </c>
      <c r="Q761" s="18">
        <v>0</v>
      </c>
      <c r="R761" s="18">
        <v>0</v>
      </c>
      <c r="S761" s="18">
        <v>0</v>
      </c>
      <c r="T761" s="18">
        <v>0</v>
      </c>
      <c r="U761" s="18">
        <v>0</v>
      </c>
      <c r="V761" s="18">
        <v>0</v>
      </c>
      <c r="W761" s="18">
        <v>0</v>
      </c>
      <c r="X761" s="18">
        <v>0</v>
      </c>
      <c r="Y761" s="18">
        <v>0</v>
      </c>
      <c r="Z761" s="18">
        <v>0</v>
      </c>
      <c r="AA761" s="18"/>
      <c r="AB761" s="18">
        <v>2</v>
      </c>
      <c r="AC761" s="18">
        <v>1</v>
      </c>
      <c r="AD761" s="18">
        <v>1</v>
      </c>
      <c r="AE761" s="18">
        <v>0.04167</v>
      </c>
      <c r="AF761" s="18">
        <v>0</v>
      </c>
      <c r="AG761" s="18">
        <v>0</v>
      </c>
      <c r="AH761" s="18"/>
      <c r="AI761" s="18">
        <v>2</v>
      </c>
      <c r="AJ761" s="18">
        <v>50</v>
      </c>
      <c r="AK761" s="18">
        <v>2</v>
      </c>
      <c r="AL761" s="18">
        <v>50</v>
      </c>
      <c r="AM761" s="18">
        <v>0</v>
      </c>
      <c r="AN761" s="18"/>
      <c r="AO761" s="18">
        <v>0</v>
      </c>
      <c r="AP761" s="18">
        <v>50</v>
      </c>
      <c r="AQ761" s="18">
        <v>1</v>
      </c>
      <c r="AR761" s="18">
        <v>99</v>
      </c>
      <c r="AS761" s="18">
        <v>0</v>
      </c>
      <c r="AT761" s="18">
        <v>0</v>
      </c>
      <c r="AU761" s="18">
        <v>0</v>
      </c>
      <c r="AV761" s="18">
        <v>0</v>
      </c>
      <c r="AW761" s="18">
        <v>0</v>
      </c>
      <c r="AX761" s="18">
        <v>0</v>
      </c>
      <c r="AY761" s="18">
        <v>285</v>
      </c>
      <c r="AZ761" s="18">
        <v>87</v>
      </c>
      <c r="BA761" s="18">
        <v>56</v>
      </c>
      <c r="BB761" s="18">
        <v>0.64368</v>
      </c>
      <c r="BC761" s="18">
        <v>0</v>
      </c>
      <c r="BD761" s="18">
        <v>0</v>
      </c>
      <c r="BE761" s="18">
        <v>0.24826</v>
      </c>
      <c r="BF761" s="18">
        <v>141</v>
      </c>
      <c r="BG761" s="18">
        <v>3</v>
      </c>
      <c r="BH761" s="18">
        <v>0</v>
      </c>
      <c r="BI761" s="18"/>
      <c r="BJ761" s="18">
        <v>0</v>
      </c>
      <c r="BK761" s="18">
        <v>0</v>
      </c>
      <c r="BL761" s="18">
        <v>0</v>
      </c>
      <c r="BM761" s="18">
        <v>0</v>
      </c>
      <c r="BN761" s="18"/>
      <c r="BO761" s="18"/>
      <c r="BP761" s="18">
        <v>0</v>
      </c>
      <c r="BQ761" s="18">
        <v>123</v>
      </c>
      <c r="BR761" s="18">
        <v>0</v>
      </c>
      <c r="BS761" s="18">
        <v>0</v>
      </c>
      <c r="BT761" s="18">
        <v>0</v>
      </c>
      <c r="BU761" s="18">
        <v>0</v>
      </c>
    </row>
    <row r="762" spans="1:73">
      <c r="A762" s="19">
        <v>46115</v>
      </c>
      <c r="B762" s="18">
        <v>183</v>
      </c>
      <c r="C762" s="18" t="s">
        <v>40</v>
      </c>
      <c r="D762" s="18">
        <v>183</v>
      </c>
      <c r="E762" s="18" t="s">
        <v>40</v>
      </c>
      <c r="F762" s="18">
        <v>1397</v>
      </c>
      <c r="G762" s="18">
        <v>42</v>
      </c>
      <c r="H762" s="18">
        <v>100</v>
      </c>
      <c r="I762" s="18">
        <v>0.03006</v>
      </c>
      <c r="J762" s="18">
        <v>2.38</v>
      </c>
      <c r="K762" s="18">
        <v>71.58</v>
      </c>
      <c r="L762" s="18">
        <v>0</v>
      </c>
      <c r="M762" s="18">
        <v>0</v>
      </c>
      <c r="N762" s="18">
        <v>0</v>
      </c>
      <c r="O762" s="18">
        <v>0</v>
      </c>
      <c r="P762" s="18">
        <v>0</v>
      </c>
      <c r="Q762" s="18">
        <v>0</v>
      </c>
      <c r="R762" s="18">
        <v>137.8</v>
      </c>
      <c r="S762" s="18">
        <v>0</v>
      </c>
      <c r="T762" s="18">
        <v>137.8</v>
      </c>
      <c r="U762" s="18">
        <v>2</v>
      </c>
      <c r="V762" s="18">
        <v>2</v>
      </c>
      <c r="W762" s="18">
        <v>0</v>
      </c>
      <c r="X762" s="18">
        <v>0.04762</v>
      </c>
      <c r="Y762" s="18">
        <v>1.38</v>
      </c>
      <c r="Z762" s="18">
        <v>1.38</v>
      </c>
      <c r="AA762" s="18">
        <v>50</v>
      </c>
      <c r="AB762" s="18">
        <v>0</v>
      </c>
      <c r="AC762" s="18">
        <v>0</v>
      </c>
      <c r="AD762" s="18">
        <v>0</v>
      </c>
      <c r="AE762" s="18">
        <v>0</v>
      </c>
      <c r="AF762" s="18">
        <v>0</v>
      </c>
      <c r="AG762" s="18">
        <v>1</v>
      </c>
      <c r="AH762" s="18">
        <v>100</v>
      </c>
      <c r="AI762" s="18">
        <v>1</v>
      </c>
      <c r="AJ762" s="18">
        <v>100</v>
      </c>
      <c r="AK762" s="18">
        <v>0</v>
      </c>
      <c r="AL762" s="18"/>
      <c r="AM762" s="18">
        <v>1</v>
      </c>
      <c r="AN762" s="18"/>
      <c r="AO762" s="18">
        <v>0</v>
      </c>
      <c r="AP762" s="18"/>
      <c r="AQ762" s="18">
        <v>3</v>
      </c>
      <c r="AR762" s="18">
        <v>217.9</v>
      </c>
      <c r="AS762" s="18">
        <v>0</v>
      </c>
      <c r="AT762" s="18">
        <v>0</v>
      </c>
      <c r="AU762" s="18">
        <v>0</v>
      </c>
      <c r="AV762" s="18">
        <v>0</v>
      </c>
      <c r="AW762" s="18">
        <v>0</v>
      </c>
      <c r="AX762" s="18">
        <v>0</v>
      </c>
      <c r="AY762" s="18">
        <v>239</v>
      </c>
      <c r="AZ762" s="18">
        <v>103</v>
      </c>
      <c r="BA762" s="18">
        <v>61</v>
      </c>
      <c r="BB762" s="18">
        <v>0.59223</v>
      </c>
      <c r="BC762" s="18">
        <v>0</v>
      </c>
      <c r="BD762" s="18">
        <v>0</v>
      </c>
      <c r="BE762" s="18">
        <v>0.17108</v>
      </c>
      <c r="BF762" s="18">
        <v>98</v>
      </c>
      <c r="BG762" s="18">
        <v>2</v>
      </c>
      <c r="BH762" s="18">
        <v>0</v>
      </c>
      <c r="BI762" s="18">
        <v>0</v>
      </c>
      <c r="BJ762" s="18">
        <v>0</v>
      </c>
      <c r="BK762" s="18">
        <v>0</v>
      </c>
      <c r="BL762" s="18">
        <v>0</v>
      </c>
      <c r="BM762" s="18">
        <v>1</v>
      </c>
      <c r="BN762" s="18">
        <v>2</v>
      </c>
      <c r="BO762" s="18">
        <v>137.8</v>
      </c>
      <c r="BP762" s="18">
        <v>15.29</v>
      </c>
      <c r="BQ762" s="18">
        <v>197</v>
      </c>
      <c r="BR762" s="18">
        <v>0</v>
      </c>
      <c r="BS762" s="18">
        <v>0</v>
      </c>
      <c r="BT762" s="18">
        <v>0</v>
      </c>
      <c r="BU762" s="18">
        <v>0</v>
      </c>
    </row>
    <row r="763" spans="1:73">
      <c r="A763" s="19">
        <v>46115</v>
      </c>
      <c r="B763" s="18">
        <v>479</v>
      </c>
      <c r="C763" s="18" t="s">
        <v>39</v>
      </c>
      <c r="D763" s="18">
        <v>479</v>
      </c>
      <c r="E763" s="18" t="s">
        <v>39</v>
      </c>
      <c r="F763" s="18">
        <v>39</v>
      </c>
      <c r="G763" s="18">
        <v>24</v>
      </c>
      <c r="H763" s="18">
        <v>10.84</v>
      </c>
      <c r="I763" s="18">
        <v>0.61538</v>
      </c>
      <c r="J763" s="18">
        <v>0.45</v>
      </c>
      <c r="K763" s="18">
        <v>277.97</v>
      </c>
      <c r="L763" s="18">
        <v>0</v>
      </c>
      <c r="M763" s="18">
        <v>0</v>
      </c>
      <c r="N763" s="18">
        <v>0</v>
      </c>
      <c r="O763" s="18">
        <v>0</v>
      </c>
      <c r="P763" s="18">
        <v>0</v>
      </c>
      <c r="Q763" s="18">
        <v>0</v>
      </c>
      <c r="R763" s="18">
        <v>0</v>
      </c>
      <c r="S763" s="18">
        <v>0</v>
      </c>
      <c r="T763" s="18">
        <v>0</v>
      </c>
      <c r="U763" s="18">
        <v>0</v>
      </c>
      <c r="V763" s="18">
        <v>0</v>
      </c>
      <c r="W763" s="18">
        <v>0</v>
      </c>
      <c r="X763" s="18">
        <v>0</v>
      </c>
      <c r="Y763" s="18">
        <v>0</v>
      </c>
      <c r="Z763" s="18">
        <v>0</v>
      </c>
      <c r="AA763" s="18"/>
      <c r="AB763" s="18">
        <v>1</v>
      </c>
      <c r="AC763" s="18">
        <v>0</v>
      </c>
      <c r="AD763" s="18">
        <v>1</v>
      </c>
      <c r="AE763" s="18">
        <v>0.04167</v>
      </c>
      <c r="AF763" s="18">
        <v>0</v>
      </c>
      <c r="AG763" s="18">
        <v>1</v>
      </c>
      <c r="AH763" s="18">
        <v>10.84</v>
      </c>
      <c r="AI763" s="18">
        <v>2</v>
      </c>
      <c r="AJ763" s="18">
        <v>5.42</v>
      </c>
      <c r="AK763" s="18">
        <v>1</v>
      </c>
      <c r="AL763" s="18">
        <v>10.84</v>
      </c>
      <c r="AM763" s="18">
        <v>1</v>
      </c>
      <c r="AN763" s="18"/>
      <c r="AO763" s="18">
        <v>0</v>
      </c>
      <c r="AP763" s="18">
        <v>10.84</v>
      </c>
      <c r="AQ763" s="18">
        <v>0</v>
      </c>
      <c r="AR763" s="18">
        <v>0</v>
      </c>
      <c r="AS763" s="18">
        <v>0</v>
      </c>
      <c r="AT763" s="18">
        <v>0</v>
      </c>
      <c r="AU763" s="18">
        <v>0</v>
      </c>
      <c r="AV763" s="18">
        <v>0</v>
      </c>
      <c r="AW763" s="18">
        <v>0</v>
      </c>
      <c r="AX763" s="18">
        <v>0</v>
      </c>
      <c r="AY763" s="18">
        <v>261</v>
      </c>
      <c r="AZ763" s="18">
        <v>20</v>
      </c>
      <c r="BA763" s="18">
        <v>16</v>
      </c>
      <c r="BB763" s="18">
        <v>0.8</v>
      </c>
      <c r="BC763" s="18">
        <v>0</v>
      </c>
      <c r="BD763" s="18">
        <v>0</v>
      </c>
      <c r="BE763" s="18">
        <v>6.69231</v>
      </c>
      <c r="BF763" s="18">
        <v>236</v>
      </c>
      <c r="BG763" s="18">
        <v>13</v>
      </c>
      <c r="BH763" s="18">
        <v>0</v>
      </c>
      <c r="BI763" s="18"/>
      <c r="BJ763" s="18">
        <v>0</v>
      </c>
      <c r="BK763" s="18">
        <v>0</v>
      </c>
      <c r="BL763" s="18">
        <v>0</v>
      </c>
      <c r="BM763" s="18">
        <v>0</v>
      </c>
      <c r="BN763" s="18"/>
      <c r="BO763" s="18"/>
      <c r="BP763" s="18">
        <v>0.08</v>
      </c>
      <c r="BQ763" s="18">
        <v>47</v>
      </c>
      <c r="BR763" s="18">
        <v>0</v>
      </c>
      <c r="BS763" s="18">
        <v>0</v>
      </c>
      <c r="BT763" s="18">
        <v>0</v>
      </c>
      <c r="BU763" s="18">
        <v>0</v>
      </c>
    </row>
    <row r="764" spans="1:73">
      <c r="A764" s="19">
        <v>46115</v>
      </c>
      <c r="B764" s="18">
        <v>436</v>
      </c>
      <c r="C764" s="18" t="s">
        <v>38</v>
      </c>
      <c r="D764" s="18">
        <v>436</v>
      </c>
      <c r="E764" s="18" t="s">
        <v>38</v>
      </c>
      <c r="F764" s="18">
        <v>698</v>
      </c>
      <c r="G764" s="18">
        <v>25</v>
      </c>
      <c r="H764" s="18">
        <v>60</v>
      </c>
      <c r="I764" s="18">
        <v>0.03582</v>
      </c>
      <c r="J764" s="18">
        <v>2.4</v>
      </c>
      <c r="K764" s="18">
        <v>85.96</v>
      </c>
      <c r="L764" s="18">
        <v>0</v>
      </c>
      <c r="M764" s="18">
        <v>0</v>
      </c>
      <c r="N764" s="18">
        <v>0</v>
      </c>
      <c r="O764" s="18">
        <v>0</v>
      </c>
      <c r="P764" s="18">
        <v>0</v>
      </c>
      <c r="Q764" s="18">
        <v>0</v>
      </c>
      <c r="R764" s="18">
        <v>0</v>
      </c>
      <c r="S764" s="18">
        <v>302.72</v>
      </c>
      <c r="T764" s="18">
        <v>302.72</v>
      </c>
      <c r="U764" s="18">
        <v>2</v>
      </c>
      <c r="V764" s="18">
        <v>0</v>
      </c>
      <c r="W764" s="18">
        <v>2</v>
      </c>
      <c r="X764" s="18">
        <v>0.08</v>
      </c>
      <c r="Y764" s="18">
        <v>5.05</v>
      </c>
      <c r="Z764" s="18">
        <v>5.05</v>
      </c>
      <c r="AA764" s="18">
        <v>30</v>
      </c>
      <c r="AB764" s="18">
        <v>1</v>
      </c>
      <c r="AC764" s="18">
        <v>0</v>
      </c>
      <c r="AD764" s="18">
        <v>1</v>
      </c>
      <c r="AE764" s="18">
        <v>0.04</v>
      </c>
      <c r="AF764" s="18">
        <v>0</v>
      </c>
      <c r="AG764" s="18">
        <v>1</v>
      </c>
      <c r="AH764" s="18">
        <v>60</v>
      </c>
      <c r="AI764" s="18">
        <v>2</v>
      </c>
      <c r="AJ764" s="18">
        <v>30</v>
      </c>
      <c r="AK764" s="18">
        <v>1</v>
      </c>
      <c r="AL764" s="18">
        <v>60</v>
      </c>
      <c r="AM764" s="18">
        <v>1</v>
      </c>
      <c r="AN764" s="18"/>
      <c r="AO764" s="18">
        <v>0</v>
      </c>
      <c r="AP764" s="18">
        <v>60</v>
      </c>
      <c r="AQ764" s="18">
        <v>3</v>
      </c>
      <c r="AR764" s="18">
        <v>437</v>
      </c>
      <c r="AS764" s="18">
        <v>0</v>
      </c>
      <c r="AT764" s="18">
        <v>0</v>
      </c>
      <c r="AU764" s="18">
        <v>0</v>
      </c>
      <c r="AV764" s="18">
        <v>0</v>
      </c>
      <c r="AW764" s="18">
        <v>0</v>
      </c>
      <c r="AX764" s="18">
        <v>0</v>
      </c>
      <c r="AY764" s="18">
        <v>75</v>
      </c>
      <c r="AZ764" s="18">
        <v>22</v>
      </c>
      <c r="BA764" s="18">
        <v>14</v>
      </c>
      <c r="BB764" s="18">
        <v>0.63636</v>
      </c>
      <c r="BC764" s="18">
        <v>0</v>
      </c>
      <c r="BD764" s="18">
        <v>0</v>
      </c>
      <c r="BE764" s="18">
        <v>0.10745</v>
      </c>
      <c r="BF764" s="18">
        <v>51</v>
      </c>
      <c r="BG764" s="18">
        <v>3</v>
      </c>
      <c r="BH764" s="18">
        <v>2</v>
      </c>
      <c r="BI764" s="18">
        <v>1</v>
      </c>
      <c r="BJ764" s="18">
        <v>0</v>
      </c>
      <c r="BK764" s="18">
        <v>0</v>
      </c>
      <c r="BL764" s="18">
        <v>0</v>
      </c>
      <c r="BM764" s="18">
        <v>2</v>
      </c>
      <c r="BN764" s="18">
        <v>1</v>
      </c>
      <c r="BO764" s="18">
        <v>151.36</v>
      </c>
      <c r="BP764" s="18">
        <v>1.6</v>
      </c>
      <c r="BQ764" s="18">
        <v>217</v>
      </c>
      <c r="BR764" s="18">
        <v>0</v>
      </c>
      <c r="BS764" s="18">
        <v>0</v>
      </c>
      <c r="BT764" s="18">
        <v>0</v>
      </c>
      <c r="BU764" s="18">
        <v>0</v>
      </c>
    </row>
    <row r="765" spans="1:73">
      <c r="A765" s="19">
        <v>46115</v>
      </c>
      <c r="B765" s="18">
        <v>372</v>
      </c>
      <c r="C765" s="18" t="s">
        <v>37</v>
      </c>
      <c r="D765" s="18">
        <v>372</v>
      </c>
      <c r="E765" s="18" t="s">
        <v>61</v>
      </c>
      <c r="F765" s="18">
        <v>1492</v>
      </c>
      <c r="G765" s="18">
        <v>40</v>
      </c>
      <c r="H765" s="18">
        <v>49.84</v>
      </c>
      <c r="I765" s="18">
        <v>0.02681</v>
      </c>
      <c r="J765" s="18">
        <v>1.25</v>
      </c>
      <c r="K765" s="18">
        <v>33.4</v>
      </c>
      <c r="L765" s="18">
        <v>0</v>
      </c>
      <c r="M765" s="18">
        <v>0</v>
      </c>
      <c r="N765" s="18">
        <v>0</v>
      </c>
      <c r="O765" s="18">
        <v>0</v>
      </c>
      <c r="P765" s="18">
        <v>0</v>
      </c>
      <c r="Q765" s="18">
        <v>0</v>
      </c>
      <c r="R765" s="18">
        <v>0</v>
      </c>
      <c r="S765" s="18">
        <v>0</v>
      </c>
      <c r="T765" s="18">
        <v>0</v>
      </c>
      <c r="U765" s="18">
        <v>0</v>
      </c>
      <c r="V765" s="18">
        <v>0</v>
      </c>
      <c r="W765" s="18">
        <v>0</v>
      </c>
      <c r="X765" s="18">
        <v>0</v>
      </c>
      <c r="Y765" s="18">
        <v>0</v>
      </c>
      <c r="Z765" s="18">
        <v>0</v>
      </c>
      <c r="AA765" s="18"/>
      <c r="AB765" s="18">
        <v>6</v>
      </c>
      <c r="AC765" s="18">
        <v>2</v>
      </c>
      <c r="AD765" s="18">
        <v>4</v>
      </c>
      <c r="AE765" s="18">
        <v>0.15</v>
      </c>
      <c r="AF765" s="18">
        <v>0</v>
      </c>
      <c r="AG765" s="18">
        <v>0</v>
      </c>
      <c r="AH765" s="18"/>
      <c r="AI765" s="18">
        <v>6</v>
      </c>
      <c r="AJ765" s="18">
        <v>8.31</v>
      </c>
      <c r="AK765" s="18">
        <v>6</v>
      </c>
      <c r="AL765" s="18">
        <v>8.31</v>
      </c>
      <c r="AM765" s="18">
        <v>0</v>
      </c>
      <c r="AN765" s="18"/>
      <c r="AO765" s="18">
        <v>0</v>
      </c>
      <c r="AP765" s="18">
        <v>8.31</v>
      </c>
      <c r="AQ765" s="18">
        <v>0</v>
      </c>
      <c r="AR765" s="18">
        <v>0</v>
      </c>
      <c r="AS765" s="18">
        <v>0</v>
      </c>
      <c r="AT765" s="18">
        <v>0</v>
      </c>
      <c r="AU765" s="18">
        <v>0</v>
      </c>
      <c r="AV765" s="18">
        <v>0</v>
      </c>
      <c r="AW765" s="18">
        <v>0</v>
      </c>
      <c r="AX765" s="18">
        <v>0</v>
      </c>
      <c r="AY765" s="18">
        <v>123</v>
      </c>
      <c r="AZ765" s="18">
        <v>39</v>
      </c>
      <c r="BA765" s="18">
        <v>29</v>
      </c>
      <c r="BB765" s="18">
        <v>0.74359</v>
      </c>
      <c r="BC765" s="18">
        <v>0</v>
      </c>
      <c r="BD765" s="18">
        <v>0</v>
      </c>
      <c r="BE765" s="18">
        <v>0.08244</v>
      </c>
      <c r="BF765" s="18">
        <v>79</v>
      </c>
      <c r="BG765" s="18">
        <v>3</v>
      </c>
      <c r="BH765" s="18">
        <v>0</v>
      </c>
      <c r="BI765" s="18"/>
      <c r="BJ765" s="18">
        <v>0</v>
      </c>
      <c r="BK765" s="18">
        <v>0</v>
      </c>
      <c r="BL765" s="18">
        <v>0</v>
      </c>
      <c r="BM765" s="18">
        <v>0</v>
      </c>
      <c r="BN765" s="18"/>
      <c r="BO765" s="18"/>
      <c r="BP765" s="18">
        <v>42.81</v>
      </c>
      <c r="BQ765" s="18">
        <v>198</v>
      </c>
      <c r="BR765" s="18">
        <v>0</v>
      </c>
      <c r="BS765" s="18">
        <v>0</v>
      </c>
      <c r="BT765" s="18">
        <v>0</v>
      </c>
      <c r="BU765" s="18">
        <v>0</v>
      </c>
    </row>
    <row r="766" spans="1:73">
      <c r="A766" s="19">
        <v>46115</v>
      </c>
      <c r="B766" s="18">
        <v>371</v>
      </c>
      <c r="C766" s="18" t="s">
        <v>32</v>
      </c>
      <c r="D766" s="18">
        <v>371</v>
      </c>
      <c r="E766" s="18" t="s">
        <v>32</v>
      </c>
      <c r="F766" s="18">
        <v>7832</v>
      </c>
      <c r="G766" s="18">
        <v>222</v>
      </c>
      <c r="H766" s="18">
        <v>59.53</v>
      </c>
      <c r="I766" s="18">
        <v>0.02835</v>
      </c>
      <c r="J766" s="18">
        <v>0.27</v>
      </c>
      <c r="K766" s="18">
        <v>7.6</v>
      </c>
      <c r="L766" s="18">
        <v>0</v>
      </c>
      <c r="M766" s="18">
        <v>0</v>
      </c>
      <c r="N766" s="18">
        <v>0</v>
      </c>
      <c r="O766" s="18">
        <v>0</v>
      </c>
      <c r="P766" s="18">
        <v>0</v>
      </c>
      <c r="Q766" s="18">
        <v>0</v>
      </c>
      <c r="R766" s="18">
        <v>0</v>
      </c>
      <c r="S766" s="18">
        <v>0</v>
      </c>
      <c r="T766" s="18">
        <v>0</v>
      </c>
      <c r="U766" s="18">
        <v>0</v>
      </c>
      <c r="V766" s="18">
        <v>0</v>
      </c>
      <c r="W766" s="18">
        <v>0</v>
      </c>
      <c r="X766" s="18">
        <v>0</v>
      </c>
      <c r="Y766" s="18">
        <v>0</v>
      </c>
      <c r="Z766" s="18">
        <v>0</v>
      </c>
      <c r="AA766" s="18"/>
      <c r="AB766" s="18">
        <v>2</v>
      </c>
      <c r="AC766" s="18">
        <v>0</v>
      </c>
      <c r="AD766" s="18">
        <v>2</v>
      </c>
      <c r="AE766" s="18">
        <v>0.00901</v>
      </c>
      <c r="AF766" s="18">
        <v>0</v>
      </c>
      <c r="AG766" s="18">
        <v>2</v>
      </c>
      <c r="AH766" s="18">
        <v>29.77</v>
      </c>
      <c r="AI766" s="18">
        <v>4</v>
      </c>
      <c r="AJ766" s="18">
        <v>14.88</v>
      </c>
      <c r="AK766" s="18">
        <v>2</v>
      </c>
      <c r="AL766" s="18">
        <v>29.77</v>
      </c>
      <c r="AM766" s="18">
        <v>2</v>
      </c>
      <c r="AN766" s="18"/>
      <c r="AO766" s="18">
        <v>0</v>
      </c>
      <c r="AP766" s="18">
        <v>29.77</v>
      </c>
      <c r="AQ766" s="18">
        <v>0</v>
      </c>
      <c r="AR766" s="18">
        <v>0</v>
      </c>
      <c r="AS766" s="18">
        <v>0</v>
      </c>
      <c r="AT766" s="18">
        <v>0</v>
      </c>
      <c r="AU766" s="18">
        <v>0</v>
      </c>
      <c r="AV766" s="18">
        <v>0</v>
      </c>
      <c r="AW766" s="18">
        <v>0</v>
      </c>
      <c r="AX766" s="18">
        <v>0</v>
      </c>
      <c r="AY766" s="18">
        <v>391</v>
      </c>
      <c r="AZ766" s="18">
        <v>192</v>
      </c>
      <c r="BA766" s="18">
        <v>180</v>
      </c>
      <c r="BB766" s="18">
        <v>0.9375</v>
      </c>
      <c r="BC766" s="18">
        <v>0</v>
      </c>
      <c r="BD766" s="18">
        <v>0</v>
      </c>
      <c r="BE766" s="18">
        <v>0.04992</v>
      </c>
      <c r="BF766" s="18">
        <v>166</v>
      </c>
      <c r="BG766" s="18">
        <v>2</v>
      </c>
      <c r="BH766" s="18">
        <v>0</v>
      </c>
      <c r="BI766" s="18"/>
      <c r="BJ766" s="18">
        <v>0</v>
      </c>
      <c r="BK766" s="18">
        <v>0</v>
      </c>
      <c r="BL766" s="18">
        <v>0</v>
      </c>
      <c r="BM766" s="18">
        <v>0</v>
      </c>
      <c r="BN766" s="18"/>
      <c r="BO766" s="18"/>
      <c r="BP766" s="18">
        <v>18.72</v>
      </c>
      <c r="BQ766" s="18">
        <v>34</v>
      </c>
      <c r="BR766" s="18">
        <v>0</v>
      </c>
      <c r="BS766" s="18">
        <v>0</v>
      </c>
      <c r="BT766" s="18">
        <v>0</v>
      </c>
      <c r="BU766" s="18">
        <v>0</v>
      </c>
    </row>
    <row r="767" spans="1:73">
      <c r="A767" s="19">
        <v>46114</v>
      </c>
      <c r="B767" s="18">
        <v>436</v>
      </c>
      <c r="C767" s="18" t="s">
        <v>38</v>
      </c>
      <c r="D767" s="18">
        <v>436</v>
      </c>
      <c r="E767" s="18" t="s">
        <v>38</v>
      </c>
      <c r="F767" s="18">
        <v>842</v>
      </c>
      <c r="G767" s="18">
        <v>25</v>
      </c>
      <c r="H767" s="18">
        <v>60</v>
      </c>
      <c r="I767" s="18">
        <v>0.02969</v>
      </c>
      <c r="J767" s="18">
        <v>2.4</v>
      </c>
      <c r="K767" s="18">
        <v>71.26</v>
      </c>
      <c r="L767" s="18">
        <v>0</v>
      </c>
      <c r="M767" s="18">
        <v>0</v>
      </c>
      <c r="N767" s="18">
        <v>0</v>
      </c>
      <c r="O767" s="18">
        <v>0</v>
      </c>
      <c r="P767" s="18">
        <v>0</v>
      </c>
      <c r="Q767" s="18">
        <v>0</v>
      </c>
      <c r="R767" s="18">
        <v>0</v>
      </c>
      <c r="S767" s="18">
        <v>269.64</v>
      </c>
      <c r="T767" s="18">
        <v>269.64</v>
      </c>
      <c r="U767" s="18">
        <v>1</v>
      </c>
      <c r="V767" s="18">
        <v>0</v>
      </c>
      <c r="W767" s="18">
        <v>1</v>
      </c>
      <c r="X767" s="18">
        <v>0.04</v>
      </c>
      <c r="Y767" s="18">
        <v>4.49</v>
      </c>
      <c r="Z767" s="18">
        <v>4.49</v>
      </c>
      <c r="AA767" s="18">
        <v>60</v>
      </c>
      <c r="AB767" s="18">
        <v>0</v>
      </c>
      <c r="AC767" s="18">
        <v>0</v>
      </c>
      <c r="AD767" s="18">
        <v>0</v>
      </c>
      <c r="AE767" s="18">
        <v>0</v>
      </c>
      <c r="AF767" s="18">
        <v>1</v>
      </c>
      <c r="AG767" s="18">
        <v>0</v>
      </c>
      <c r="AH767" s="18"/>
      <c r="AI767" s="18">
        <v>1</v>
      </c>
      <c r="AJ767" s="18">
        <v>60</v>
      </c>
      <c r="AK767" s="18">
        <v>1</v>
      </c>
      <c r="AL767" s="18">
        <v>60</v>
      </c>
      <c r="AM767" s="18">
        <v>1</v>
      </c>
      <c r="AN767" s="18">
        <v>60</v>
      </c>
      <c r="AO767" s="18">
        <v>0.04</v>
      </c>
      <c r="AP767" s="18"/>
      <c r="AQ767" s="18">
        <v>2</v>
      </c>
      <c r="AR767" s="18">
        <v>399</v>
      </c>
      <c r="AS767" s="18">
        <v>1</v>
      </c>
      <c r="AT767" s="18">
        <v>0</v>
      </c>
      <c r="AU767" s="18">
        <v>0</v>
      </c>
      <c r="AV767" s="18">
        <v>0</v>
      </c>
      <c r="AW767" s="18">
        <v>0</v>
      </c>
      <c r="AX767" s="18">
        <v>1</v>
      </c>
      <c r="AY767" s="18">
        <v>86</v>
      </c>
      <c r="AZ767" s="18">
        <v>23</v>
      </c>
      <c r="BA767" s="18">
        <v>12</v>
      </c>
      <c r="BB767" s="18">
        <v>0.52174</v>
      </c>
      <c r="BC767" s="18">
        <v>0</v>
      </c>
      <c r="BD767" s="18">
        <v>0</v>
      </c>
      <c r="BE767" s="18">
        <v>0.10214</v>
      </c>
      <c r="BF767" s="18">
        <v>55</v>
      </c>
      <c r="BG767" s="18">
        <v>4</v>
      </c>
      <c r="BH767" s="18">
        <v>1</v>
      </c>
      <c r="BI767" s="18">
        <v>1</v>
      </c>
      <c r="BJ767" s="18">
        <v>0</v>
      </c>
      <c r="BK767" s="18">
        <v>0</v>
      </c>
      <c r="BL767" s="18">
        <v>0</v>
      </c>
      <c r="BM767" s="18">
        <v>1</v>
      </c>
      <c r="BN767" s="18">
        <v>1</v>
      </c>
      <c r="BO767" s="18">
        <v>269.64</v>
      </c>
      <c r="BP767" s="18">
        <v>0.08</v>
      </c>
      <c r="BQ767" s="18">
        <v>458</v>
      </c>
      <c r="BR767" s="18">
        <v>0</v>
      </c>
      <c r="BS767" s="18">
        <v>0</v>
      </c>
      <c r="BT767" s="18">
        <v>0</v>
      </c>
      <c r="BU767" s="18">
        <v>0</v>
      </c>
    </row>
    <row r="768" spans="1:73">
      <c r="A768" s="19">
        <v>46114</v>
      </c>
      <c r="B768" s="18">
        <v>371</v>
      </c>
      <c r="C768" s="18" t="s">
        <v>32</v>
      </c>
      <c r="D768" s="18">
        <v>371</v>
      </c>
      <c r="E768" s="18" t="s">
        <v>32</v>
      </c>
      <c r="F768" s="18">
        <v>6855</v>
      </c>
      <c r="G768" s="18">
        <v>215</v>
      </c>
      <c r="H768" s="18">
        <v>52.36</v>
      </c>
      <c r="I768" s="18">
        <v>0.03136</v>
      </c>
      <c r="J768" s="18">
        <v>0.24</v>
      </c>
      <c r="K768" s="18">
        <v>7.64</v>
      </c>
      <c r="L768" s="18">
        <v>0</v>
      </c>
      <c r="M768" s="18">
        <v>0</v>
      </c>
      <c r="N768" s="18">
        <v>0</v>
      </c>
      <c r="O768" s="18">
        <v>0</v>
      </c>
      <c r="P768" s="18">
        <v>0</v>
      </c>
      <c r="Q768" s="18">
        <v>0</v>
      </c>
      <c r="R768" s="18">
        <v>0</v>
      </c>
      <c r="S768" s="18">
        <v>0</v>
      </c>
      <c r="T768" s="18">
        <v>0</v>
      </c>
      <c r="U768" s="18">
        <v>0</v>
      </c>
      <c r="V768" s="18">
        <v>0</v>
      </c>
      <c r="W768" s="18">
        <v>0</v>
      </c>
      <c r="X768" s="18">
        <v>0</v>
      </c>
      <c r="Y768" s="18">
        <v>0</v>
      </c>
      <c r="Z768" s="18">
        <v>0</v>
      </c>
      <c r="AA768" s="18"/>
      <c r="AB768" s="18">
        <v>4</v>
      </c>
      <c r="AC768" s="18">
        <v>3</v>
      </c>
      <c r="AD768" s="18">
        <v>1</v>
      </c>
      <c r="AE768" s="18">
        <v>0.0186</v>
      </c>
      <c r="AF768" s="18">
        <v>1</v>
      </c>
      <c r="AG768" s="18">
        <v>1</v>
      </c>
      <c r="AH768" s="18">
        <v>52.36</v>
      </c>
      <c r="AI768" s="18">
        <v>6</v>
      </c>
      <c r="AJ768" s="18">
        <v>8.73</v>
      </c>
      <c r="AK768" s="18">
        <v>5</v>
      </c>
      <c r="AL768" s="18">
        <v>10.47</v>
      </c>
      <c r="AM768" s="18">
        <v>2</v>
      </c>
      <c r="AN768" s="18">
        <v>52.36</v>
      </c>
      <c r="AO768" s="18">
        <v>0.00465</v>
      </c>
      <c r="AP768" s="18">
        <v>13.09</v>
      </c>
      <c r="AQ768" s="18">
        <v>0</v>
      </c>
      <c r="AR768" s="18">
        <v>0</v>
      </c>
      <c r="AS768" s="18">
        <v>0</v>
      </c>
      <c r="AT768" s="18">
        <v>1</v>
      </c>
      <c r="AU768" s="18">
        <v>0</v>
      </c>
      <c r="AV768" s="18">
        <v>0</v>
      </c>
      <c r="AW768" s="18">
        <v>0</v>
      </c>
      <c r="AX768" s="18">
        <v>1</v>
      </c>
      <c r="AY768" s="18">
        <v>433</v>
      </c>
      <c r="AZ768" s="18">
        <v>191</v>
      </c>
      <c r="BA768" s="18">
        <v>172</v>
      </c>
      <c r="BB768" s="18">
        <v>0.90052</v>
      </c>
      <c r="BC768" s="18">
        <v>0</v>
      </c>
      <c r="BD768" s="18">
        <v>0</v>
      </c>
      <c r="BE768" s="18">
        <v>0.06317</v>
      </c>
      <c r="BF768" s="18">
        <v>207</v>
      </c>
      <c r="BG768" s="18">
        <v>2</v>
      </c>
      <c r="BH768" s="18">
        <v>0</v>
      </c>
      <c r="BI768" s="18"/>
      <c r="BJ768" s="18">
        <v>0</v>
      </c>
      <c r="BK768" s="18">
        <v>0</v>
      </c>
      <c r="BL768" s="18">
        <v>0</v>
      </c>
      <c r="BM768" s="18">
        <v>0</v>
      </c>
      <c r="BN768" s="18"/>
      <c r="BO768" s="18"/>
      <c r="BP768" s="18">
        <v>0.08</v>
      </c>
      <c r="BQ768" s="18">
        <v>3398</v>
      </c>
      <c r="BR768" s="18">
        <v>0</v>
      </c>
      <c r="BS768" s="18">
        <v>0</v>
      </c>
      <c r="BT768" s="18">
        <v>0</v>
      </c>
      <c r="BU768" s="18">
        <v>0</v>
      </c>
    </row>
    <row r="769" spans="1:73">
      <c r="A769" s="19">
        <v>46114</v>
      </c>
      <c r="B769" s="18">
        <v>479</v>
      </c>
      <c r="C769" s="18" t="s">
        <v>39</v>
      </c>
      <c r="D769" s="18">
        <v>479</v>
      </c>
      <c r="E769" s="18" t="s">
        <v>39</v>
      </c>
      <c r="F769" s="18">
        <v>42</v>
      </c>
      <c r="G769" s="18">
        <v>22</v>
      </c>
      <c r="H769" s="18">
        <v>11.04</v>
      </c>
      <c r="I769" s="18">
        <v>0.52381</v>
      </c>
      <c r="J769" s="18">
        <v>0.5</v>
      </c>
      <c r="K769" s="18">
        <v>262.8</v>
      </c>
      <c r="L769" s="18">
        <v>0</v>
      </c>
      <c r="M769" s="18">
        <v>0</v>
      </c>
      <c r="N769" s="18">
        <v>0</v>
      </c>
      <c r="O769" s="18">
        <v>0</v>
      </c>
      <c r="P769" s="18">
        <v>0</v>
      </c>
      <c r="Q769" s="18">
        <v>0</v>
      </c>
      <c r="R769" s="18">
        <v>0</v>
      </c>
      <c r="S769" s="18">
        <v>63.9</v>
      </c>
      <c r="T769" s="18">
        <v>63.9</v>
      </c>
      <c r="U769" s="18">
        <v>2</v>
      </c>
      <c r="V769" s="18">
        <v>0</v>
      </c>
      <c r="W769" s="18">
        <v>2</v>
      </c>
      <c r="X769" s="18">
        <v>0.09091</v>
      </c>
      <c r="Y769" s="18">
        <v>5.79</v>
      </c>
      <c r="Z769" s="18">
        <v>5.79</v>
      </c>
      <c r="AA769" s="18">
        <v>5.52</v>
      </c>
      <c r="AB769" s="18">
        <v>5</v>
      </c>
      <c r="AC769" s="18">
        <v>0</v>
      </c>
      <c r="AD769" s="18">
        <v>5</v>
      </c>
      <c r="AE769" s="18">
        <v>0.22727</v>
      </c>
      <c r="AF769" s="18">
        <v>1</v>
      </c>
      <c r="AG769" s="18">
        <v>1</v>
      </c>
      <c r="AH769" s="18">
        <v>11.04</v>
      </c>
      <c r="AI769" s="18">
        <v>7</v>
      </c>
      <c r="AJ769" s="18">
        <v>1.58</v>
      </c>
      <c r="AK769" s="18">
        <v>6</v>
      </c>
      <c r="AL769" s="18">
        <v>1.84</v>
      </c>
      <c r="AM769" s="18">
        <v>2</v>
      </c>
      <c r="AN769" s="18">
        <v>11.04</v>
      </c>
      <c r="AO769" s="18">
        <v>0.04545</v>
      </c>
      <c r="AP769" s="18">
        <v>2.21</v>
      </c>
      <c r="AQ769" s="18">
        <v>2</v>
      </c>
      <c r="AR769" s="18">
        <v>68.9</v>
      </c>
      <c r="AS769" s="18">
        <v>0</v>
      </c>
      <c r="AT769" s="18">
        <v>1</v>
      </c>
      <c r="AU769" s="18">
        <v>0</v>
      </c>
      <c r="AV769" s="18">
        <v>0</v>
      </c>
      <c r="AW769" s="18">
        <v>0</v>
      </c>
      <c r="AX769" s="18">
        <v>0</v>
      </c>
      <c r="AY769" s="18">
        <v>265</v>
      </c>
      <c r="AZ769" s="18">
        <v>20</v>
      </c>
      <c r="BA769" s="18">
        <v>13</v>
      </c>
      <c r="BB769" s="18">
        <v>0.65</v>
      </c>
      <c r="BC769" s="18">
        <v>0</v>
      </c>
      <c r="BD769" s="18">
        <v>0</v>
      </c>
      <c r="BE769" s="18">
        <v>6.30952</v>
      </c>
      <c r="BF769" s="18">
        <v>243</v>
      </c>
      <c r="BG769" s="18">
        <v>13</v>
      </c>
      <c r="BH769" s="18">
        <v>1</v>
      </c>
      <c r="BI769" s="18">
        <v>1</v>
      </c>
      <c r="BJ769" s="18">
        <v>0</v>
      </c>
      <c r="BK769" s="18">
        <v>0</v>
      </c>
      <c r="BL769" s="18">
        <v>0</v>
      </c>
      <c r="BM769" s="18">
        <v>1</v>
      </c>
      <c r="BN769" s="18">
        <v>2</v>
      </c>
      <c r="BO769" s="18">
        <v>63.9</v>
      </c>
      <c r="BP769" s="18">
        <v>23.87</v>
      </c>
      <c r="BQ769" s="18">
        <v>209</v>
      </c>
      <c r="BR769" s="18">
        <v>0</v>
      </c>
      <c r="BS769" s="18">
        <v>0</v>
      </c>
      <c r="BT769" s="18">
        <v>0</v>
      </c>
      <c r="BU769" s="18">
        <v>0</v>
      </c>
    </row>
    <row r="770" spans="1:73">
      <c r="A770" s="19">
        <v>46114</v>
      </c>
      <c r="B770" s="18">
        <v>183</v>
      </c>
      <c r="C770" s="18" t="s">
        <v>40</v>
      </c>
      <c r="D770" s="18">
        <v>183</v>
      </c>
      <c r="E770" s="18" t="s">
        <v>40</v>
      </c>
      <c r="F770" s="18">
        <v>770</v>
      </c>
      <c r="G770" s="18">
        <v>43</v>
      </c>
      <c r="H770" s="18">
        <v>100</v>
      </c>
      <c r="I770" s="18">
        <v>0.05584</v>
      </c>
      <c r="J770" s="18">
        <v>2.33</v>
      </c>
      <c r="K770" s="18">
        <v>129.87</v>
      </c>
      <c r="L770" s="18">
        <v>0</v>
      </c>
      <c r="M770" s="18">
        <v>0</v>
      </c>
      <c r="N770" s="18">
        <v>0</v>
      </c>
      <c r="O770" s="18">
        <v>0</v>
      </c>
      <c r="P770" s="18">
        <v>0</v>
      </c>
      <c r="Q770" s="18">
        <v>0</v>
      </c>
      <c r="R770" s="18">
        <v>0</v>
      </c>
      <c r="S770" s="18">
        <v>0</v>
      </c>
      <c r="T770" s="18">
        <v>0</v>
      </c>
      <c r="U770" s="18">
        <v>0</v>
      </c>
      <c r="V770" s="18">
        <v>0</v>
      </c>
      <c r="W770" s="18">
        <v>0</v>
      </c>
      <c r="X770" s="18">
        <v>0</v>
      </c>
      <c r="Y770" s="18">
        <v>0</v>
      </c>
      <c r="Z770" s="18">
        <v>0</v>
      </c>
      <c r="AA770" s="18"/>
      <c r="AB770" s="18">
        <v>3</v>
      </c>
      <c r="AC770" s="18">
        <v>2</v>
      </c>
      <c r="AD770" s="18">
        <v>1</v>
      </c>
      <c r="AE770" s="18">
        <v>0.06977</v>
      </c>
      <c r="AF770" s="18">
        <v>2</v>
      </c>
      <c r="AG770" s="18">
        <v>1</v>
      </c>
      <c r="AH770" s="18">
        <v>100</v>
      </c>
      <c r="AI770" s="18">
        <v>6</v>
      </c>
      <c r="AJ770" s="18">
        <v>16.67</v>
      </c>
      <c r="AK770" s="18">
        <v>5</v>
      </c>
      <c r="AL770" s="18">
        <v>20</v>
      </c>
      <c r="AM770" s="18">
        <v>3</v>
      </c>
      <c r="AN770" s="18">
        <v>50</v>
      </c>
      <c r="AO770" s="18">
        <v>0.04651</v>
      </c>
      <c r="AP770" s="18">
        <v>33.33</v>
      </c>
      <c r="AQ770" s="18">
        <v>0</v>
      </c>
      <c r="AR770" s="18">
        <v>0</v>
      </c>
      <c r="AS770" s="18">
        <v>2</v>
      </c>
      <c r="AT770" s="18">
        <v>0</v>
      </c>
      <c r="AU770" s="18">
        <v>0</v>
      </c>
      <c r="AV770" s="18">
        <v>0</v>
      </c>
      <c r="AW770" s="18">
        <v>0</v>
      </c>
      <c r="AX770" s="18">
        <v>0</v>
      </c>
      <c r="AY770" s="18">
        <v>236</v>
      </c>
      <c r="AZ770" s="18">
        <v>83</v>
      </c>
      <c r="BA770" s="18">
        <v>58</v>
      </c>
      <c r="BB770" s="18">
        <v>0.6988</v>
      </c>
      <c r="BC770" s="18">
        <v>0</v>
      </c>
      <c r="BD770" s="18">
        <v>0</v>
      </c>
      <c r="BE770" s="18">
        <v>0.30649</v>
      </c>
      <c r="BF770" s="18">
        <v>89</v>
      </c>
      <c r="BG770" s="18">
        <v>3</v>
      </c>
      <c r="BH770" s="18">
        <v>0</v>
      </c>
      <c r="BI770" s="18"/>
      <c r="BJ770" s="18">
        <v>0</v>
      </c>
      <c r="BK770" s="18">
        <v>0</v>
      </c>
      <c r="BL770" s="18">
        <v>0</v>
      </c>
      <c r="BM770" s="18">
        <v>0</v>
      </c>
      <c r="BN770" s="18"/>
      <c r="BO770" s="18"/>
      <c r="BP770" s="18">
        <v>2.63</v>
      </c>
      <c r="BQ770" s="18">
        <v>152</v>
      </c>
      <c r="BR770" s="18">
        <v>0</v>
      </c>
      <c r="BS770" s="18">
        <v>0</v>
      </c>
      <c r="BT770" s="18">
        <v>0</v>
      </c>
      <c r="BU770" s="18">
        <v>0</v>
      </c>
    </row>
    <row r="771" spans="1:73">
      <c r="A771" s="19">
        <v>46113</v>
      </c>
      <c r="B771" s="18">
        <v>479</v>
      </c>
      <c r="C771" s="18" t="s">
        <v>39</v>
      </c>
      <c r="D771" s="18">
        <v>479</v>
      </c>
      <c r="E771" s="18" t="s">
        <v>39</v>
      </c>
      <c r="F771" s="18">
        <v>67</v>
      </c>
      <c r="G771" s="18">
        <v>29</v>
      </c>
      <c r="H771" s="18">
        <v>19.19</v>
      </c>
      <c r="I771" s="18">
        <v>0.43284</v>
      </c>
      <c r="J771" s="18">
        <v>0.66</v>
      </c>
      <c r="K771" s="18">
        <v>286.4</v>
      </c>
      <c r="L771" s="18">
        <v>0</v>
      </c>
      <c r="M771" s="18">
        <v>0</v>
      </c>
      <c r="N771" s="18">
        <v>0</v>
      </c>
      <c r="O771" s="18">
        <v>0</v>
      </c>
      <c r="P771" s="18">
        <v>0</v>
      </c>
      <c r="Q771" s="18">
        <v>0</v>
      </c>
      <c r="R771" s="18">
        <v>0</v>
      </c>
      <c r="S771" s="18">
        <v>183.71</v>
      </c>
      <c r="T771" s="18">
        <v>183.71</v>
      </c>
      <c r="U771" s="18">
        <v>3</v>
      </c>
      <c r="V771" s="18">
        <v>0</v>
      </c>
      <c r="W771" s="18">
        <v>3</v>
      </c>
      <c r="X771" s="18">
        <v>0.10345</v>
      </c>
      <c r="Y771" s="18">
        <v>9.57</v>
      </c>
      <c r="Z771" s="18">
        <v>9.57</v>
      </c>
      <c r="AA771" s="18">
        <v>6.4</v>
      </c>
      <c r="AB771" s="18">
        <v>4</v>
      </c>
      <c r="AC771" s="18">
        <v>0</v>
      </c>
      <c r="AD771" s="18">
        <v>4</v>
      </c>
      <c r="AE771" s="18">
        <v>0.13793</v>
      </c>
      <c r="AF771" s="18">
        <v>3</v>
      </c>
      <c r="AG771" s="18">
        <v>2</v>
      </c>
      <c r="AH771" s="18">
        <v>9.59</v>
      </c>
      <c r="AI771" s="18">
        <v>9</v>
      </c>
      <c r="AJ771" s="18">
        <v>2.13</v>
      </c>
      <c r="AK771" s="18">
        <v>7</v>
      </c>
      <c r="AL771" s="18">
        <v>2.74</v>
      </c>
      <c r="AM771" s="18">
        <v>5</v>
      </c>
      <c r="AN771" s="18">
        <v>6.4</v>
      </c>
      <c r="AO771" s="18">
        <v>0.10345</v>
      </c>
      <c r="AP771" s="18">
        <v>4.8</v>
      </c>
      <c r="AQ771" s="18">
        <v>5</v>
      </c>
      <c r="AR771" s="18">
        <v>316.8</v>
      </c>
      <c r="AS771" s="18">
        <v>0</v>
      </c>
      <c r="AT771" s="18">
        <v>3</v>
      </c>
      <c r="AU771" s="18">
        <v>0</v>
      </c>
      <c r="AV771" s="18">
        <v>0</v>
      </c>
      <c r="AW771" s="18">
        <v>0</v>
      </c>
      <c r="AX771" s="18">
        <v>2</v>
      </c>
      <c r="AY771" s="18">
        <v>300</v>
      </c>
      <c r="AZ771" s="18">
        <v>27</v>
      </c>
      <c r="BA771" s="18">
        <v>14</v>
      </c>
      <c r="BB771" s="18">
        <v>0.51852</v>
      </c>
      <c r="BC771" s="18">
        <v>0</v>
      </c>
      <c r="BD771" s="18">
        <v>0</v>
      </c>
      <c r="BE771" s="18">
        <v>4.47761</v>
      </c>
      <c r="BF771" s="18">
        <v>269</v>
      </c>
      <c r="BG771" s="18">
        <v>11</v>
      </c>
      <c r="BH771" s="18">
        <v>3</v>
      </c>
      <c r="BI771" s="18">
        <v>1</v>
      </c>
      <c r="BJ771" s="18">
        <v>0</v>
      </c>
      <c r="BK771" s="18">
        <v>0</v>
      </c>
      <c r="BL771" s="18">
        <v>0</v>
      </c>
      <c r="BM771" s="18">
        <v>3</v>
      </c>
      <c r="BN771" s="18">
        <v>1</v>
      </c>
      <c r="BO771" s="18">
        <v>61.24</v>
      </c>
      <c r="BP771" s="18">
        <v>13.19</v>
      </c>
      <c r="BQ771" s="18">
        <v>400</v>
      </c>
      <c r="BR771" s="18">
        <v>0</v>
      </c>
      <c r="BS771" s="18">
        <v>0</v>
      </c>
      <c r="BT771" s="18">
        <v>0</v>
      </c>
      <c r="BU771" s="18">
        <v>0</v>
      </c>
    </row>
    <row r="772" spans="1:73">
      <c r="A772" s="19">
        <v>46113</v>
      </c>
      <c r="B772" s="18">
        <v>183</v>
      </c>
      <c r="C772" s="18" t="s">
        <v>40</v>
      </c>
      <c r="D772" s="18">
        <v>183</v>
      </c>
      <c r="E772" s="18" t="s">
        <v>40</v>
      </c>
      <c r="F772" s="18">
        <v>2931</v>
      </c>
      <c r="G772" s="18">
        <v>80</v>
      </c>
      <c r="H772" s="18">
        <v>140.38</v>
      </c>
      <c r="I772" s="18">
        <v>0.02729</v>
      </c>
      <c r="J772" s="18">
        <v>1.75</v>
      </c>
      <c r="K772" s="18">
        <v>47.89</v>
      </c>
      <c r="L772" s="18">
        <v>0</v>
      </c>
      <c r="M772" s="18">
        <v>0</v>
      </c>
      <c r="N772" s="18">
        <v>0</v>
      </c>
      <c r="O772" s="18">
        <v>0</v>
      </c>
      <c r="P772" s="18">
        <v>0</v>
      </c>
      <c r="Q772" s="18">
        <v>0</v>
      </c>
      <c r="R772" s="18">
        <v>88.51</v>
      </c>
      <c r="S772" s="18">
        <v>0</v>
      </c>
      <c r="T772" s="18">
        <v>88.51</v>
      </c>
      <c r="U772" s="18">
        <v>1</v>
      </c>
      <c r="V772" s="18">
        <v>1</v>
      </c>
      <c r="W772" s="18">
        <v>0</v>
      </c>
      <c r="X772" s="18">
        <v>0.0125</v>
      </c>
      <c r="Y772" s="18">
        <v>0.63</v>
      </c>
      <c r="Z772" s="18">
        <v>0.63</v>
      </c>
      <c r="AA772" s="18">
        <v>140.38</v>
      </c>
      <c r="AB772" s="18">
        <v>3</v>
      </c>
      <c r="AC772" s="18">
        <v>2</v>
      </c>
      <c r="AD772" s="18">
        <v>1</v>
      </c>
      <c r="AE772" s="18">
        <v>0.0375</v>
      </c>
      <c r="AF772" s="18">
        <v>1</v>
      </c>
      <c r="AG772" s="18">
        <v>1</v>
      </c>
      <c r="AH772" s="18">
        <v>140.38</v>
      </c>
      <c r="AI772" s="18">
        <v>5</v>
      </c>
      <c r="AJ772" s="18">
        <v>28.08</v>
      </c>
      <c r="AK772" s="18">
        <v>4</v>
      </c>
      <c r="AL772" s="18">
        <v>35.1</v>
      </c>
      <c r="AM772" s="18">
        <v>2</v>
      </c>
      <c r="AN772" s="18">
        <v>140.38</v>
      </c>
      <c r="AO772" s="18">
        <v>0.0125</v>
      </c>
      <c r="AP772" s="18">
        <v>46.79</v>
      </c>
      <c r="AQ772" s="18">
        <v>1</v>
      </c>
      <c r="AR772" s="18">
        <v>99</v>
      </c>
      <c r="AS772" s="18">
        <v>0</v>
      </c>
      <c r="AT772" s="18">
        <v>1</v>
      </c>
      <c r="AU772" s="18">
        <v>0</v>
      </c>
      <c r="AV772" s="18">
        <v>0</v>
      </c>
      <c r="AW772" s="18">
        <v>0</v>
      </c>
      <c r="AX772" s="18">
        <v>1</v>
      </c>
      <c r="AY772" s="18">
        <v>457</v>
      </c>
      <c r="AZ772" s="18">
        <v>137</v>
      </c>
      <c r="BA772" s="18">
        <v>88</v>
      </c>
      <c r="BB772" s="18">
        <v>0.64234</v>
      </c>
      <c r="BC772" s="18">
        <v>0</v>
      </c>
      <c r="BD772" s="18">
        <v>0</v>
      </c>
      <c r="BE772" s="18">
        <v>0.15592</v>
      </c>
      <c r="BF772" s="18">
        <v>202</v>
      </c>
      <c r="BG772" s="18">
        <v>3</v>
      </c>
      <c r="BH772" s="18">
        <v>1</v>
      </c>
      <c r="BI772" s="18">
        <v>1</v>
      </c>
      <c r="BJ772" s="18">
        <v>0</v>
      </c>
      <c r="BK772" s="18">
        <v>0</v>
      </c>
      <c r="BL772" s="18">
        <v>0</v>
      </c>
      <c r="BM772" s="18">
        <v>1</v>
      </c>
      <c r="BN772" s="18">
        <v>1</v>
      </c>
      <c r="BO772" s="18">
        <v>88.51</v>
      </c>
      <c r="BP772" s="18">
        <v>0.47</v>
      </c>
      <c r="BQ772" s="18">
        <v>332</v>
      </c>
      <c r="BR772" s="18">
        <v>0</v>
      </c>
      <c r="BS772" s="18">
        <v>0</v>
      </c>
      <c r="BT772" s="18">
        <v>0</v>
      </c>
      <c r="BU772" s="18">
        <v>0</v>
      </c>
    </row>
    <row r="773" spans="1:73">
      <c r="A773" s="19">
        <v>46113</v>
      </c>
      <c r="B773" s="18">
        <v>371</v>
      </c>
      <c r="C773" s="18" t="s">
        <v>32</v>
      </c>
      <c r="D773" s="18">
        <v>371</v>
      </c>
      <c r="E773" s="18" t="s">
        <v>32</v>
      </c>
      <c r="F773" s="18">
        <v>6834</v>
      </c>
      <c r="G773" s="18">
        <v>237</v>
      </c>
      <c r="H773" s="18">
        <v>59.72</v>
      </c>
      <c r="I773" s="18">
        <v>0.03468</v>
      </c>
      <c r="J773" s="18">
        <v>0.25</v>
      </c>
      <c r="K773" s="18">
        <v>8.74</v>
      </c>
      <c r="L773" s="18">
        <v>0</v>
      </c>
      <c r="M773" s="18">
        <v>0</v>
      </c>
      <c r="N773" s="18">
        <v>0</v>
      </c>
      <c r="O773" s="18">
        <v>0</v>
      </c>
      <c r="P773" s="18">
        <v>0</v>
      </c>
      <c r="Q773" s="18">
        <v>0</v>
      </c>
      <c r="R773" s="18">
        <v>0</v>
      </c>
      <c r="S773" s="18">
        <v>0</v>
      </c>
      <c r="T773" s="18">
        <v>0</v>
      </c>
      <c r="U773" s="18">
        <v>0</v>
      </c>
      <c r="V773" s="18">
        <v>0</v>
      </c>
      <c r="W773" s="18">
        <v>0</v>
      </c>
      <c r="X773" s="18">
        <v>0</v>
      </c>
      <c r="Y773" s="18">
        <v>0</v>
      </c>
      <c r="Z773" s="18">
        <v>0</v>
      </c>
      <c r="AA773" s="18"/>
      <c r="AB773" s="18">
        <v>2</v>
      </c>
      <c r="AC773" s="18">
        <v>2</v>
      </c>
      <c r="AD773" s="18">
        <v>0</v>
      </c>
      <c r="AE773" s="18">
        <v>0.00844</v>
      </c>
      <c r="AF773" s="18">
        <v>1</v>
      </c>
      <c r="AG773" s="18">
        <v>2</v>
      </c>
      <c r="AH773" s="18">
        <v>29.86</v>
      </c>
      <c r="AI773" s="18">
        <v>5</v>
      </c>
      <c r="AJ773" s="18">
        <v>11.94</v>
      </c>
      <c r="AK773" s="18">
        <v>3</v>
      </c>
      <c r="AL773" s="18">
        <v>19.91</v>
      </c>
      <c r="AM773" s="18">
        <v>3</v>
      </c>
      <c r="AN773" s="18">
        <v>59.72</v>
      </c>
      <c r="AO773" s="18">
        <v>0.00422</v>
      </c>
      <c r="AP773" s="18">
        <v>29.86</v>
      </c>
      <c r="AQ773" s="18">
        <v>0</v>
      </c>
      <c r="AR773" s="18">
        <v>0</v>
      </c>
      <c r="AS773" s="18">
        <v>0</v>
      </c>
      <c r="AT773" s="18">
        <v>1</v>
      </c>
      <c r="AU773" s="18">
        <v>0</v>
      </c>
      <c r="AV773" s="18">
        <v>0</v>
      </c>
      <c r="AW773" s="18">
        <v>0</v>
      </c>
      <c r="AX773" s="18">
        <v>1</v>
      </c>
      <c r="AY773" s="18">
        <v>596</v>
      </c>
      <c r="AZ773" s="18">
        <v>231</v>
      </c>
      <c r="BA773" s="18">
        <v>211</v>
      </c>
      <c r="BB773" s="18">
        <v>0.91342</v>
      </c>
      <c r="BC773" s="18">
        <v>0</v>
      </c>
      <c r="BD773" s="18">
        <v>0</v>
      </c>
      <c r="BE773" s="18">
        <v>0.08721</v>
      </c>
      <c r="BF773" s="18">
        <v>302</v>
      </c>
      <c r="BG773" s="18">
        <v>3</v>
      </c>
      <c r="BH773" s="18">
        <v>0</v>
      </c>
      <c r="BI773" s="18"/>
      <c r="BJ773" s="18">
        <v>0</v>
      </c>
      <c r="BK773" s="18">
        <v>0</v>
      </c>
      <c r="BL773" s="18">
        <v>0</v>
      </c>
      <c r="BM773" s="18">
        <v>0</v>
      </c>
      <c r="BN773" s="18"/>
      <c r="BO773" s="18"/>
      <c r="BP773" s="18">
        <v>0</v>
      </c>
      <c r="BQ773" s="18">
        <v>1143</v>
      </c>
      <c r="BR773" s="18">
        <v>0</v>
      </c>
      <c r="BS773" s="18">
        <v>0</v>
      </c>
      <c r="BT773" s="18">
        <v>0</v>
      </c>
      <c r="BU773" s="18">
        <v>0</v>
      </c>
    </row>
    <row r="774" spans="1:73">
      <c r="A774" s="19">
        <v>46113</v>
      </c>
      <c r="B774" s="18">
        <v>436</v>
      </c>
      <c r="C774" s="18" t="s">
        <v>38</v>
      </c>
      <c r="D774" s="18">
        <v>436</v>
      </c>
      <c r="E774" s="18" t="s">
        <v>38</v>
      </c>
      <c r="F774" s="18">
        <v>616</v>
      </c>
      <c r="G774" s="18">
        <v>24</v>
      </c>
      <c r="H774" s="18">
        <v>49.76</v>
      </c>
      <c r="I774" s="18">
        <v>0.03896</v>
      </c>
      <c r="J774" s="18">
        <v>2.07</v>
      </c>
      <c r="K774" s="18">
        <v>80.78</v>
      </c>
      <c r="L774" s="18">
        <v>0</v>
      </c>
      <c r="M774" s="18">
        <v>0</v>
      </c>
      <c r="N774" s="18">
        <v>0</v>
      </c>
      <c r="O774" s="18">
        <v>0</v>
      </c>
      <c r="P774" s="18">
        <v>0</v>
      </c>
      <c r="Q774" s="18">
        <v>0</v>
      </c>
      <c r="R774" s="18">
        <v>0</v>
      </c>
      <c r="S774" s="18">
        <v>0</v>
      </c>
      <c r="T774" s="18">
        <v>0</v>
      </c>
      <c r="U774" s="18">
        <v>0</v>
      </c>
      <c r="V774" s="18">
        <v>0</v>
      </c>
      <c r="W774" s="18">
        <v>0</v>
      </c>
      <c r="X774" s="18">
        <v>0</v>
      </c>
      <c r="Y774" s="18">
        <v>0</v>
      </c>
      <c r="Z774" s="18">
        <v>0</v>
      </c>
      <c r="AA774" s="18"/>
      <c r="AB774" s="18">
        <v>1</v>
      </c>
      <c r="AC774" s="18">
        <v>1</v>
      </c>
      <c r="AD774" s="18">
        <v>0</v>
      </c>
      <c r="AE774" s="18">
        <v>0.04167</v>
      </c>
      <c r="AF774" s="18">
        <v>0</v>
      </c>
      <c r="AG774" s="18">
        <v>1</v>
      </c>
      <c r="AH774" s="18">
        <v>49.76</v>
      </c>
      <c r="AI774" s="18">
        <v>2</v>
      </c>
      <c r="AJ774" s="18">
        <v>24.88</v>
      </c>
      <c r="AK774" s="18">
        <v>1</v>
      </c>
      <c r="AL774" s="18">
        <v>49.76</v>
      </c>
      <c r="AM774" s="18">
        <v>1</v>
      </c>
      <c r="AN774" s="18"/>
      <c r="AO774" s="18">
        <v>0</v>
      </c>
      <c r="AP774" s="18">
        <v>49.76</v>
      </c>
      <c r="AQ774" s="18">
        <v>0</v>
      </c>
      <c r="AR774" s="18">
        <v>0</v>
      </c>
      <c r="AS774" s="18">
        <v>0</v>
      </c>
      <c r="AT774" s="18">
        <v>0</v>
      </c>
      <c r="AU774" s="18">
        <v>0</v>
      </c>
      <c r="AV774" s="18">
        <v>0</v>
      </c>
      <c r="AW774" s="18">
        <v>0</v>
      </c>
      <c r="AX774" s="18">
        <v>0</v>
      </c>
      <c r="AY774" s="18">
        <v>79</v>
      </c>
      <c r="AZ774" s="18">
        <v>22</v>
      </c>
      <c r="BA774" s="18">
        <v>12</v>
      </c>
      <c r="BB774" s="18">
        <v>0.54545</v>
      </c>
      <c r="BC774" s="18">
        <v>0</v>
      </c>
      <c r="BD774" s="18">
        <v>0</v>
      </c>
      <c r="BE774" s="18">
        <v>0.12825</v>
      </c>
      <c r="BF774" s="18">
        <v>55</v>
      </c>
      <c r="BG774" s="18">
        <v>4</v>
      </c>
      <c r="BH774" s="18">
        <v>0</v>
      </c>
      <c r="BI774" s="18"/>
      <c r="BJ774" s="18">
        <v>0</v>
      </c>
      <c r="BK774" s="18">
        <v>0</v>
      </c>
      <c r="BL774" s="18">
        <v>0</v>
      </c>
      <c r="BM774" s="18">
        <v>0</v>
      </c>
      <c r="BN774" s="18"/>
      <c r="BO774" s="18"/>
      <c r="BP774" s="18">
        <v>0.16</v>
      </c>
      <c r="BQ774" s="18">
        <v>151</v>
      </c>
      <c r="BR774" s="18">
        <v>0</v>
      </c>
      <c r="BS774" s="18">
        <v>0</v>
      </c>
      <c r="BT774" s="18">
        <v>0</v>
      </c>
      <c r="BU774" s="18">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X734"/>
  <sheetViews>
    <sheetView topLeftCell="A413" workbookViewId="0">
      <selection activeCell="C425" sqref="A1:BX734"/>
    </sheetView>
  </sheetViews>
  <sheetFormatPr defaultColWidth="8.73148148148148" defaultRowHeight="14.4"/>
  <cols>
    <col min="1" max="1" width="20.8148148148148" style="14" customWidth="1"/>
    <col min="2" max="2" width="11.8148148148148" customWidth="1"/>
    <col min="3" max="3" width="12.8148148148148" customWidth="1"/>
    <col min="5" max="5" width="68" customWidth="1"/>
    <col min="18" max="18" width="14.7314814814815" customWidth="1"/>
    <col min="20" max="21" width="11.8148148148148" customWidth="1"/>
    <col min="22" max="23" width="14" customWidth="1"/>
    <col min="27" max="28" width="11.8148148148148" customWidth="1"/>
  </cols>
  <sheetData>
    <row r="1" spans="1:76">
      <c r="A1" s="14" t="s">
        <v>140</v>
      </c>
      <c r="B1" s="15" t="s">
        <v>3</v>
      </c>
      <c r="C1" s="15" t="s">
        <v>141</v>
      </c>
      <c r="D1" s="15" t="s">
        <v>142</v>
      </c>
      <c r="E1" s="15" t="s">
        <v>143</v>
      </c>
      <c r="F1" s="15" t="s">
        <v>54</v>
      </c>
      <c r="G1" s="15" t="s">
        <v>21</v>
      </c>
      <c r="H1" s="15" t="s">
        <v>12</v>
      </c>
      <c r="I1" s="15" t="s">
        <v>56</v>
      </c>
      <c r="J1" s="15" t="s">
        <v>82</v>
      </c>
      <c r="K1" s="15" t="s">
        <v>83</v>
      </c>
      <c r="L1" s="15" t="s">
        <v>84</v>
      </c>
      <c r="M1" s="15" t="s">
        <v>85</v>
      </c>
      <c r="N1" s="15" t="s">
        <v>86</v>
      </c>
      <c r="O1" s="15" t="s">
        <v>87</v>
      </c>
      <c r="P1" s="15" t="s">
        <v>88</v>
      </c>
      <c r="Q1" s="15" t="s">
        <v>89</v>
      </c>
      <c r="R1" s="15" t="s">
        <v>90</v>
      </c>
      <c r="S1" s="15" t="s">
        <v>91</v>
      </c>
      <c r="T1" s="15" t="s">
        <v>26</v>
      </c>
      <c r="U1" s="15" t="s">
        <v>55</v>
      </c>
      <c r="V1" s="15" t="s">
        <v>92</v>
      </c>
      <c r="W1" s="15" t="s">
        <v>93</v>
      </c>
      <c r="X1" s="15" t="s">
        <v>29</v>
      </c>
      <c r="Y1" s="15" t="s">
        <v>94</v>
      </c>
      <c r="Z1" s="15" t="s">
        <v>95</v>
      </c>
      <c r="AA1" s="15" t="s">
        <v>96</v>
      </c>
      <c r="AB1" s="15" t="s">
        <v>23</v>
      </c>
      <c r="AC1" s="15" t="s">
        <v>97</v>
      </c>
      <c r="AD1" s="15" t="s">
        <v>98</v>
      </c>
      <c r="AE1" s="15" t="s">
        <v>28</v>
      </c>
      <c r="AF1" s="15" t="s">
        <v>99</v>
      </c>
      <c r="AG1" s="15" t="s">
        <v>100</v>
      </c>
      <c r="AH1" s="15" t="s">
        <v>101</v>
      </c>
      <c r="AI1" s="15" t="s">
        <v>102</v>
      </c>
      <c r="AJ1" s="15" t="s">
        <v>103</v>
      </c>
      <c r="AK1" s="15" t="s">
        <v>104</v>
      </c>
      <c r="AL1" s="15" t="s">
        <v>105</v>
      </c>
      <c r="AM1" s="15" t="s">
        <v>106</v>
      </c>
      <c r="AN1" s="15" t="s">
        <v>107</v>
      </c>
      <c r="AO1" s="15" t="s">
        <v>108</v>
      </c>
      <c r="AP1" s="15" t="s">
        <v>24</v>
      </c>
      <c r="AQ1" s="15" t="s">
        <v>109</v>
      </c>
      <c r="AR1" s="15" t="s">
        <v>110</v>
      </c>
      <c r="AS1" s="15" t="s">
        <v>111</v>
      </c>
      <c r="AT1" s="15" t="s">
        <v>112</v>
      </c>
      <c r="AU1" s="15" t="s">
        <v>113</v>
      </c>
      <c r="AV1" s="15" t="s">
        <v>114</v>
      </c>
      <c r="AW1" s="15" t="s">
        <v>115</v>
      </c>
      <c r="AX1" s="15" t="s">
        <v>116</v>
      </c>
      <c r="AY1" s="15" t="s">
        <v>117</v>
      </c>
      <c r="AZ1" s="15" t="s">
        <v>118</v>
      </c>
      <c r="BA1" s="15" t="s">
        <v>119</v>
      </c>
      <c r="BB1" s="15" t="s">
        <v>120</v>
      </c>
      <c r="BC1" s="15" t="s">
        <v>121</v>
      </c>
      <c r="BD1" s="15" t="s">
        <v>122</v>
      </c>
      <c r="BE1" s="15" t="s">
        <v>123</v>
      </c>
      <c r="BF1" s="15" t="s">
        <v>124</v>
      </c>
      <c r="BG1" s="15" t="s">
        <v>125</v>
      </c>
      <c r="BH1" s="15" t="s">
        <v>126</v>
      </c>
      <c r="BI1" s="15" t="s">
        <v>127</v>
      </c>
      <c r="BJ1" s="15" t="s">
        <v>128</v>
      </c>
      <c r="BK1" s="15" t="s">
        <v>129</v>
      </c>
      <c r="BL1" s="15" t="s">
        <v>130</v>
      </c>
      <c r="BM1" s="15" t="s">
        <v>131</v>
      </c>
      <c r="BN1" s="15" t="s">
        <v>132</v>
      </c>
      <c r="BO1" s="15" t="s">
        <v>133</v>
      </c>
      <c r="BP1" s="15" t="s">
        <v>134</v>
      </c>
      <c r="BQ1" s="15" t="s">
        <v>135</v>
      </c>
      <c r="BR1" s="15" t="s">
        <v>144</v>
      </c>
      <c r="BS1" s="15" t="s">
        <v>145</v>
      </c>
      <c r="BT1" s="15" t="s">
        <v>146</v>
      </c>
      <c r="BU1" s="15" t="s">
        <v>147</v>
      </c>
      <c r="BV1" s="15" t="s">
        <v>148</v>
      </c>
      <c r="BW1" s="15" t="s">
        <v>149</v>
      </c>
      <c r="BX1" s="15" t="s">
        <v>150</v>
      </c>
    </row>
    <row r="2" spans="1:76">
      <c r="A2" s="14" t="str">
        <f>VLOOKUP(C2,VLOOKUP!A:B,2,FALSE)</f>
        <v>福到</v>
      </c>
      <c r="B2" s="16">
        <v>46112</v>
      </c>
      <c r="C2" s="17">
        <v>971856893567</v>
      </c>
      <c r="D2" s="15" t="s">
        <v>151</v>
      </c>
      <c r="E2" s="15" t="s">
        <v>152</v>
      </c>
      <c r="F2" s="15">
        <v>1962</v>
      </c>
      <c r="G2" s="15">
        <v>69</v>
      </c>
      <c r="H2" s="15">
        <v>17.55</v>
      </c>
      <c r="I2" s="15">
        <v>0.03517</v>
      </c>
      <c r="J2" s="15">
        <v>0.25</v>
      </c>
      <c r="K2" s="15">
        <v>8.94</v>
      </c>
      <c r="L2" s="15">
        <v>0</v>
      </c>
      <c r="M2" s="15">
        <v>0</v>
      </c>
      <c r="N2" s="15">
        <v>0</v>
      </c>
      <c r="O2" s="15">
        <v>0</v>
      </c>
      <c r="P2" s="15">
        <v>0</v>
      </c>
      <c r="Q2" s="15">
        <v>0</v>
      </c>
      <c r="R2" s="15">
        <v>0</v>
      </c>
      <c r="S2" s="15">
        <v>0</v>
      </c>
      <c r="T2" s="15">
        <v>0</v>
      </c>
      <c r="U2" s="15">
        <v>0</v>
      </c>
      <c r="V2" s="15">
        <v>0</v>
      </c>
      <c r="W2" s="15">
        <v>0</v>
      </c>
      <c r="X2" s="15">
        <v>0</v>
      </c>
      <c r="Y2" s="15">
        <v>0</v>
      </c>
      <c r="Z2" s="15">
        <v>0</v>
      </c>
      <c r="AA2" s="15"/>
      <c r="AB2" s="15">
        <v>0</v>
      </c>
      <c r="AC2" s="15">
        <v>0</v>
      </c>
      <c r="AD2" s="15">
        <v>0</v>
      </c>
      <c r="AE2" s="15">
        <v>0</v>
      </c>
      <c r="AF2" s="15">
        <v>0</v>
      </c>
      <c r="AG2" s="15">
        <v>0</v>
      </c>
      <c r="AH2" s="15"/>
      <c r="AI2" s="15">
        <v>0</v>
      </c>
      <c r="AJ2" s="15"/>
      <c r="AK2" s="15">
        <v>0</v>
      </c>
      <c r="AL2" s="15"/>
      <c r="AM2" s="15">
        <v>0</v>
      </c>
      <c r="AN2" s="15"/>
      <c r="AO2" s="15">
        <v>0</v>
      </c>
      <c r="AP2" s="15"/>
      <c r="AQ2" s="15">
        <v>0</v>
      </c>
      <c r="AR2" s="15">
        <v>0</v>
      </c>
      <c r="AS2" s="15">
        <v>0</v>
      </c>
      <c r="AT2" s="15">
        <v>0</v>
      </c>
      <c r="AU2" s="15">
        <v>0</v>
      </c>
      <c r="AV2" s="15">
        <v>0</v>
      </c>
      <c r="AW2" s="15">
        <v>0</v>
      </c>
      <c r="AX2" s="15">
        <v>0</v>
      </c>
      <c r="AY2" s="15">
        <v>121</v>
      </c>
      <c r="AZ2" s="15">
        <v>61</v>
      </c>
      <c r="BA2" s="15">
        <v>55</v>
      </c>
      <c r="BB2" s="15">
        <v>0.90164</v>
      </c>
      <c r="BC2" s="15">
        <v>0</v>
      </c>
      <c r="BD2" s="15">
        <v>0</v>
      </c>
      <c r="BE2" s="15">
        <v>0.06167</v>
      </c>
      <c r="BF2" s="15">
        <v>48</v>
      </c>
      <c r="BG2" s="15">
        <v>2</v>
      </c>
      <c r="BH2" s="15">
        <v>0</v>
      </c>
      <c r="BI2" s="15"/>
      <c r="BJ2" s="15">
        <v>0</v>
      </c>
      <c r="BK2" s="15">
        <v>0</v>
      </c>
      <c r="BL2" s="15">
        <v>0</v>
      </c>
      <c r="BM2" s="15">
        <v>0</v>
      </c>
      <c r="BN2" s="15"/>
      <c r="BO2" s="15"/>
      <c r="BP2" s="15">
        <v>0</v>
      </c>
      <c r="BQ2" s="15">
        <v>0</v>
      </c>
      <c r="BR2" s="15">
        <v>0</v>
      </c>
      <c r="BS2" s="15">
        <v>0</v>
      </c>
      <c r="BT2" s="15">
        <v>0</v>
      </c>
      <c r="BU2" s="15">
        <v>0</v>
      </c>
      <c r="BV2" s="15">
        <v>0</v>
      </c>
      <c r="BW2" s="15">
        <v>0</v>
      </c>
      <c r="BX2" s="15">
        <v>0</v>
      </c>
    </row>
    <row r="3" spans="1:76">
      <c r="A3" s="14" t="str">
        <f>VLOOKUP(C3,VLOOKUP!A:B,2,FALSE)</f>
        <v>如意盘香</v>
      </c>
      <c r="B3" s="16">
        <v>46112</v>
      </c>
      <c r="C3" s="17">
        <v>838711327669</v>
      </c>
      <c r="D3" s="15" t="s">
        <v>151</v>
      </c>
      <c r="E3" s="15" t="s">
        <v>153</v>
      </c>
      <c r="F3" s="15">
        <v>835</v>
      </c>
      <c r="G3" s="15">
        <v>33</v>
      </c>
      <c r="H3" s="15">
        <v>48.42</v>
      </c>
      <c r="I3" s="15">
        <v>0.03952</v>
      </c>
      <c r="J3" s="15">
        <v>1.47</v>
      </c>
      <c r="K3" s="15">
        <v>57.99</v>
      </c>
      <c r="L3" s="15">
        <v>0</v>
      </c>
      <c r="M3" s="15">
        <v>0</v>
      </c>
      <c r="N3" s="15">
        <v>0</v>
      </c>
      <c r="O3" s="15">
        <v>0</v>
      </c>
      <c r="P3" s="15">
        <v>0</v>
      </c>
      <c r="Q3" s="15">
        <v>0</v>
      </c>
      <c r="R3" s="15">
        <v>0</v>
      </c>
      <c r="S3" s="15">
        <v>43.91</v>
      </c>
      <c r="T3" s="15">
        <v>43.91</v>
      </c>
      <c r="U3" s="15">
        <v>1</v>
      </c>
      <c r="V3" s="15">
        <v>0</v>
      </c>
      <c r="W3" s="15">
        <v>1</v>
      </c>
      <c r="X3" s="15">
        <v>0.0303</v>
      </c>
      <c r="Y3" s="15">
        <v>0.91</v>
      </c>
      <c r="Z3" s="15">
        <v>0.91</v>
      </c>
      <c r="AA3" s="15">
        <v>48.42</v>
      </c>
      <c r="AB3" s="15">
        <v>0</v>
      </c>
      <c r="AC3" s="15">
        <v>0</v>
      </c>
      <c r="AD3" s="15">
        <v>0</v>
      </c>
      <c r="AE3" s="15">
        <v>0</v>
      </c>
      <c r="AF3" s="15">
        <v>3</v>
      </c>
      <c r="AG3" s="15">
        <v>0</v>
      </c>
      <c r="AH3" s="15"/>
      <c r="AI3" s="15">
        <v>3</v>
      </c>
      <c r="AJ3" s="15">
        <v>16.14</v>
      </c>
      <c r="AK3" s="15">
        <v>3</v>
      </c>
      <c r="AL3" s="15">
        <v>16.14</v>
      </c>
      <c r="AM3" s="15">
        <v>3</v>
      </c>
      <c r="AN3" s="15">
        <v>16.14</v>
      </c>
      <c r="AO3" s="15">
        <v>0.09091</v>
      </c>
      <c r="AP3" s="15"/>
      <c r="AQ3" s="15">
        <v>1</v>
      </c>
      <c r="AR3" s="15">
        <v>49.9</v>
      </c>
      <c r="AS3" s="15">
        <v>1</v>
      </c>
      <c r="AT3" s="15">
        <v>2</v>
      </c>
      <c r="AU3" s="15">
        <v>0</v>
      </c>
      <c r="AV3" s="15">
        <v>0</v>
      </c>
      <c r="AW3" s="15">
        <v>0</v>
      </c>
      <c r="AX3" s="15">
        <v>0</v>
      </c>
      <c r="AY3" s="15">
        <v>89</v>
      </c>
      <c r="AZ3" s="15">
        <v>25</v>
      </c>
      <c r="BA3" s="15">
        <v>16</v>
      </c>
      <c r="BB3" s="15">
        <v>0.64</v>
      </c>
      <c r="BC3" s="15">
        <v>0</v>
      </c>
      <c r="BD3" s="15">
        <v>0</v>
      </c>
      <c r="BE3" s="15">
        <v>0.10659</v>
      </c>
      <c r="BF3" s="15">
        <v>58</v>
      </c>
      <c r="BG3" s="15">
        <v>4</v>
      </c>
      <c r="BH3" s="15">
        <v>1</v>
      </c>
      <c r="BI3" s="15">
        <v>1</v>
      </c>
      <c r="BJ3" s="15">
        <v>0</v>
      </c>
      <c r="BK3" s="15">
        <v>0</v>
      </c>
      <c r="BL3" s="15">
        <v>0</v>
      </c>
      <c r="BM3" s="15">
        <v>1</v>
      </c>
      <c r="BN3" s="15">
        <v>1</v>
      </c>
      <c r="BO3" s="15">
        <v>43.91</v>
      </c>
      <c r="BP3" s="15">
        <v>0</v>
      </c>
      <c r="BQ3" s="15">
        <v>0</v>
      </c>
      <c r="BR3" s="15">
        <v>0</v>
      </c>
      <c r="BS3" s="15">
        <v>0</v>
      </c>
      <c r="BT3" s="15">
        <v>0</v>
      </c>
      <c r="BU3" s="15">
        <v>0</v>
      </c>
      <c r="BV3" s="15">
        <v>0</v>
      </c>
      <c r="BW3" s="15">
        <v>0</v>
      </c>
      <c r="BX3" s="15">
        <v>0</v>
      </c>
    </row>
    <row r="4" spans="1:76">
      <c r="A4" s="14" t="str">
        <f>VLOOKUP(C4,VLOOKUP!A:B,2,FALSE)</f>
        <v>福颜青</v>
      </c>
      <c r="B4" s="16">
        <v>46112</v>
      </c>
      <c r="C4" s="17">
        <v>833369552621</v>
      </c>
      <c r="D4" s="15" t="s">
        <v>151</v>
      </c>
      <c r="E4" s="15" t="s">
        <v>154</v>
      </c>
      <c r="F4" s="15">
        <v>3429</v>
      </c>
      <c r="G4" s="15">
        <v>130</v>
      </c>
      <c r="H4" s="15">
        <v>40.99</v>
      </c>
      <c r="I4" s="15">
        <v>0.03791</v>
      </c>
      <c r="J4" s="15">
        <v>0.32</v>
      </c>
      <c r="K4" s="15">
        <v>11.95</v>
      </c>
      <c r="L4" s="15">
        <v>0</v>
      </c>
      <c r="M4" s="15">
        <v>0</v>
      </c>
      <c r="N4" s="15">
        <v>0</v>
      </c>
      <c r="O4" s="15">
        <v>0</v>
      </c>
      <c r="P4" s="15">
        <v>0</v>
      </c>
      <c r="Q4" s="15">
        <v>0</v>
      </c>
      <c r="R4" s="15">
        <v>0</v>
      </c>
      <c r="S4" s="15">
        <v>0</v>
      </c>
      <c r="T4" s="15">
        <v>0</v>
      </c>
      <c r="U4" s="15">
        <v>0</v>
      </c>
      <c r="V4" s="15">
        <v>0</v>
      </c>
      <c r="W4" s="15">
        <v>0</v>
      </c>
      <c r="X4" s="15">
        <v>0</v>
      </c>
      <c r="Y4" s="15">
        <v>0</v>
      </c>
      <c r="Z4" s="15">
        <v>0</v>
      </c>
      <c r="AA4" s="15"/>
      <c r="AB4" s="15">
        <v>1</v>
      </c>
      <c r="AC4" s="15">
        <v>1</v>
      </c>
      <c r="AD4" s="15">
        <v>0</v>
      </c>
      <c r="AE4" s="15">
        <v>0.00769</v>
      </c>
      <c r="AF4" s="15">
        <v>0</v>
      </c>
      <c r="AG4" s="15">
        <v>0</v>
      </c>
      <c r="AH4" s="15"/>
      <c r="AI4" s="15">
        <v>1</v>
      </c>
      <c r="AJ4" s="15">
        <v>40.99</v>
      </c>
      <c r="AK4" s="15">
        <v>1</v>
      </c>
      <c r="AL4" s="15">
        <v>40.99</v>
      </c>
      <c r="AM4" s="15">
        <v>0</v>
      </c>
      <c r="AN4" s="15"/>
      <c r="AO4" s="15">
        <v>0</v>
      </c>
      <c r="AP4" s="15">
        <v>40.99</v>
      </c>
      <c r="AQ4" s="15">
        <v>0</v>
      </c>
      <c r="AR4" s="15">
        <v>0</v>
      </c>
      <c r="AS4" s="15">
        <v>0</v>
      </c>
      <c r="AT4" s="15">
        <v>0</v>
      </c>
      <c r="AU4" s="15">
        <v>0</v>
      </c>
      <c r="AV4" s="15">
        <v>0</v>
      </c>
      <c r="AW4" s="15">
        <v>0</v>
      </c>
      <c r="AX4" s="15">
        <v>0</v>
      </c>
      <c r="AY4" s="15">
        <v>214</v>
      </c>
      <c r="AZ4" s="15">
        <v>130</v>
      </c>
      <c r="BA4" s="15">
        <v>121</v>
      </c>
      <c r="BB4" s="15">
        <v>0.93077</v>
      </c>
      <c r="BC4" s="15">
        <v>0</v>
      </c>
      <c r="BD4" s="15">
        <v>0</v>
      </c>
      <c r="BE4" s="15">
        <v>0.06241</v>
      </c>
      <c r="BF4" s="15">
        <v>45</v>
      </c>
      <c r="BG4" s="15">
        <v>2</v>
      </c>
      <c r="BH4" s="15">
        <v>0</v>
      </c>
      <c r="BI4" s="15"/>
      <c r="BJ4" s="15">
        <v>0</v>
      </c>
      <c r="BK4" s="15">
        <v>0</v>
      </c>
      <c r="BL4" s="15">
        <v>0</v>
      </c>
      <c r="BM4" s="15">
        <v>0</v>
      </c>
      <c r="BN4" s="15"/>
      <c r="BO4" s="15"/>
      <c r="BP4" s="15">
        <v>0</v>
      </c>
      <c r="BQ4" s="15">
        <v>0</v>
      </c>
      <c r="BR4" s="15">
        <v>0</v>
      </c>
      <c r="BS4" s="15">
        <v>0</v>
      </c>
      <c r="BT4" s="15">
        <v>0</v>
      </c>
      <c r="BU4" s="15">
        <v>0</v>
      </c>
      <c r="BV4" s="15">
        <v>0</v>
      </c>
      <c r="BW4" s="15">
        <v>0</v>
      </c>
      <c r="BX4" s="15">
        <v>0</v>
      </c>
    </row>
    <row r="5" spans="1:76">
      <c r="A5" s="14" t="str">
        <f>VLOOKUP(C5,VLOOKUP!A:B,2,FALSE)</f>
        <v>福到</v>
      </c>
      <c r="B5" s="16">
        <v>46111</v>
      </c>
      <c r="C5" s="17">
        <v>971856893567</v>
      </c>
      <c r="D5" s="15" t="s">
        <v>151</v>
      </c>
      <c r="E5" s="15" t="s">
        <v>152</v>
      </c>
      <c r="F5" s="15">
        <v>1295</v>
      </c>
      <c r="G5" s="15">
        <v>57</v>
      </c>
      <c r="H5" s="15">
        <v>14.02</v>
      </c>
      <c r="I5" s="15">
        <v>0.04402</v>
      </c>
      <c r="J5" s="15">
        <v>0.25</v>
      </c>
      <c r="K5" s="15">
        <v>10.83</v>
      </c>
      <c r="L5" s="15">
        <v>0</v>
      </c>
      <c r="M5" s="15">
        <v>0</v>
      </c>
      <c r="N5" s="15">
        <v>0</v>
      </c>
      <c r="O5" s="15">
        <v>0</v>
      </c>
      <c r="P5" s="15">
        <v>0</v>
      </c>
      <c r="Q5" s="15">
        <v>0</v>
      </c>
      <c r="R5" s="15">
        <v>0</v>
      </c>
      <c r="S5" s="15">
        <v>0</v>
      </c>
      <c r="T5" s="15">
        <v>0</v>
      </c>
      <c r="U5" s="15">
        <v>0</v>
      </c>
      <c r="V5" s="15">
        <v>0</v>
      </c>
      <c r="W5" s="15">
        <v>0</v>
      </c>
      <c r="X5" s="15">
        <v>0</v>
      </c>
      <c r="Y5" s="15">
        <v>0</v>
      </c>
      <c r="Z5" s="15">
        <v>0</v>
      </c>
      <c r="AA5" s="15"/>
      <c r="AB5" s="15">
        <v>1</v>
      </c>
      <c r="AC5" s="15">
        <v>0</v>
      </c>
      <c r="AD5" s="15">
        <v>1</v>
      </c>
      <c r="AE5" s="15">
        <v>0.01754</v>
      </c>
      <c r="AF5" s="15">
        <v>0</v>
      </c>
      <c r="AG5" s="15">
        <v>0</v>
      </c>
      <c r="AH5" s="15"/>
      <c r="AI5" s="15">
        <v>1</v>
      </c>
      <c r="AJ5" s="15">
        <v>14.02</v>
      </c>
      <c r="AK5" s="15">
        <v>1</v>
      </c>
      <c r="AL5" s="15">
        <v>14.02</v>
      </c>
      <c r="AM5" s="15">
        <v>0</v>
      </c>
      <c r="AN5" s="15"/>
      <c r="AO5" s="15">
        <v>0</v>
      </c>
      <c r="AP5" s="15">
        <v>14.02</v>
      </c>
      <c r="AQ5" s="15">
        <v>0</v>
      </c>
      <c r="AR5" s="15">
        <v>0</v>
      </c>
      <c r="AS5" s="15">
        <v>0</v>
      </c>
      <c r="AT5" s="15">
        <v>0</v>
      </c>
      <c r="AU5" s="15">
        <v>0</v>
      </c>
      <c r="AV5" s="15">
        <v>0</v>
      </c>
      <c r="AW5" s="15">
        <v>0</v>
      </c>
      <c r="AX5" s="15">
        <v>0</v>
      </c>
      <c r="AY5" s="15">
        <v>109</v>
      </c>
      <c r="AZ5" s="15">
        <v>57</v>
      </c>
      <c r="BA5" s="15">
        <v>51</v>
      </c>
      <c r="BB5" s="15">
        <v>0.89474</v>
      </c>
      <c r="BC5" s="15">
        <v>0</v>
      </c>
      <c r="BD5" s="15">
        <v>0</v>
      </c>
      <c r="BE5" s="15">
        <v>0.08417</v>
      </c>
      <c r="BF5" s="15">
        <v>50</v>
      </c>
      <c r="BG5" s="15">
        <v>2</v>
      </c>
      <c r="BH5" s="15">
        <v>0</v>
      </c>
      <c r="BI5" s="15"/>
      <c r="BJ5" s="15">
        <v>0</v>
      </c>
      <c r="BK5" s="15">
        <v>0</v>
      </c>
      <c r="BL5" s="15">
        <v>0</v>
      </c>
      <c r="BM5" s="15">
        <v>0</v>
      </c>
      <c r="BN5" s="15"/>
      <c r="BO5" s="15"/>
      <c r="BP5" s="15">
        <v>0</v>
      </c>
      <c r="BQ5" s="15">
        <v>5</v>
      </c>
      <c r="BR5" s="15">
        <v>0</v>
      </c>
      <c r="BS5" s="15">
        <v>0</v>
      </c>
      <c r="BT5" s="15">
        <v>0</v>
      </c>
      <c r="BU5" s="15">
        <v>0</v>
      </c>
      <c r="BV5" s="15">
        <v>0</v>
      </c>
      <c r="BW5" s="15">
        <v>0</v>
      </c>
      <c r="BX5" s="15">
        <v>0</v>
      </c>
    </row>
    <row r="6" spans="1:76">
      <c r="A6" s="14" t="str">
        <f>VLOOKUP(C6,VLOOKUP!A:B,2,FALSE)</f>
        <v>鹅梨帐中香</v>
      </c>
      <c r="B6" s="16">
        <v>46111</v>
      </c>
      <c r="C6" s="17">
        <v>971317169387</v>
      </c>
      <c r="D6" s="15" t="s">
        <v>151</v>
      </c>
      <c r="E6" s="15" t="s">
        <v>155</v>
      </c>
      <c r="F6" s="15">
        <v>239</v>
      </c>
      <c r="G6" s="15">
        <v>6</v>
      </c>
      <c r="H6" s="15">
        <v>14.54</v>
      </c>
      <c r="I6" s="15">
        <v>0.0251</v>
      </c>
      <c r="J6" s="15">
        <v>2.42</v>
      </c>
      <c r="K6" s="15">
        <v>60.84</v>
      </c>
      <c r="L6" s="15">
        <v>0</v>
      </c>
      <c r="M6" s="15">
        <v>0</v>
      </c>
      <c r="N6" s="15">
        <v>0</v>
      </c>
      <c r="O6" s="15">
        <v>0</v>
      </c>
      <c r="P6" s="15">
        <v>0</v>
      </c>
      <c r="Q6" s="15">
        <v>0</v>
      </c>
      <c r="R6" s="15">
        <v>0</v>
      </c>
      <c r="S6" s="15">
        <v>0</v>
      </c>
      <c r="T6" s="15">
        <v>0</v>
      </c>
      <c r="U6" s="15">
        <v>0</v>
      </c>
      <c r="V6" s="15">
        <v>0</v>
      </c>
      <c r="W6" s="15">
        <v>0</v>
      </c>
      <c r="X6" s="15">
        <v>0</v>
      </c>
      <c r="Y6" s="15">
        <v>0</v>
      </c>
      <c r="Z6" s="15">
        <v>0</v>
      </c>
      <c r="AA6" s="15"/>
      <c r="AB6" s="15">
        <v>0</v>
      </c>
      <c r="AC6" s="15">
        <v>0</v>
      </c>
      <c r="AD6" s="15">
        <v>0</v>
      </c>
      <c r="AE6" s="15">
        <v>0</v>
      </c>
      <c r="AF6" s="15">
        <v>0</v>
      </c>
      <c r="AG6" s="15">
        <v>1</v>
      </c>
      <c r="AH6" s="15">
        <v>14.54</v>
      </c>
      <c r="AI6" s="15">
        <v>1</v>
      </c>
      <c r="AJ6" s="15">
        <v>14.54</v>
      </c>
      <c r="AK6" s="15">
        <v>0</v>
      </c>
      <c r="AL6" s="15"/>
      <c r="AM6" s="15">
        <v>1</v>
      </c>
      <c r="AN6" s="15"/>
      <c r="AO6" s="15">
        <v>0</v>
      </c>
      <c r="AP6" s="15"/>
      <c r="AQ6" s="15">
        <v>0</v>
      </c>
      <c r="AR6" s="15">
        <v>0</v>
      </c>
      <c r="AS6" s="15">
        <v>0</v>
      </c>
      <c r="AT6" s="15">
        <v>0</v>
      </c>
      <c r="AU6" s="15">
        <v>0</v>
      </c>
      <c r="AV6" s="15">
        <v>0</v>
      </c>
      <c r="AW6" s="15">
        <v>0</v>
      </c>
      <c r="AX6" s="15">
        <v>0</v>
      </c>
      <c r="AY6" s="15">
        <v>11</v>
      </c>
      <c r="AZ6" s="15">
        <v>4</v>
      </c>
      <c r="BA6" s="15">
        <v>2</v>
      </c>
      <c r="BB6" s="15">
        <v>0.5</v>
      </c>
      <c r="BC6" s="15">
        <v>0</v>
      </c>
      <c r="BD6" s="15">
        <v>0</v>
      </c>
      <c r="BE6" s="15">
        <v>0.04603</v>
      </c>
      <c r="BF6" s="15">
        <v>5</v>
      </c>
      <c r="BG6" s="15">
        <v>3</v>
      </c>
      <c r="BH6" s="15">
        <v>0</v>
      </c>
      <c r="BI6" s="15"/>
      <c r="BJ6" s="15">
        <v>0</v>
      </c>
      <c r="BK6" s="15">
        <v>0</v>
      </c>
      <c r="BL6" s="15">
        <v>0</v>
      </c>
      <c r="BM6" s="15">
        <v>0</v>
      </c>
      <c r="BN6" s="15"/>
      <c r="BO6" s="15"/>
      <c r="BP6" s="15">
        <v>0</v>
      </c>
      <c r="BQ6" s="15">
        <v>2</v>
      </c>
      <c r="BR6" s="15">
        <v>0</v>
      </c>
      <c r="BS6" s="15">
        <v>0</v>
      </c>
      <c r="BT6" s="15">
        <v>0</v>
      </c>
      <c r="BU6" s="15">
        <v>0</v>
      </c>
      <c r="BV6" s="15">
        <v>0</v>
      </c>
      <c r="BW6" s="15">
        <v>0</v>
      </c>
      <c r="BX6" s="15">
        <v>0</v>
      </c>
    </row>
    <row r="7" spans="1:76">
      <c r="A7" s="14" t="str">
        <f>VLOOKUP(C7,VLOOKUP!A:B,2,FALSE)</f>
        <v>如意盘香</v>
      </c>
      <c r="B7" s="16">
        <v>46111</v>
      </c>
      <c r="C7" s="17">
        <v>838711327669</v>
      </c>
      <c r="D7" s="15" t="s">
        <v>151</v>
      </c>
      <c r="E7" s="15" t="s">
        <v>153</v>
      </c>
      <c r="F7" s="15">
        <v>793</v>
      </c>
      <c r="G7" s="15">
        <v>27</v>
      </c>
      <c r="H7" s="15">
        <v>50.72</v>
      </c>
      <c r="I7" s="15">
        <v>0.03405</v>
      </c>
      <c r="J7" s="15">
        <v>1.88</v>
      </c>
      <c r="K7" s="15">
        <v>63.96</v>
      </c>
      <c r="L7" s="15">
        <v>0</v>
      </c>
      <c r="M7" s="15">
        <v>0</v>
      </c>
      <c r="N7" s="15">
        <v>0</v>
      </c>
      <c r="O7" s="15">
        <v>0</v>
      </c>
      <c r="P7" s="15">
        <v>0</v>
      </c>
      <c r="Q7" s="15">
        <v>0</v>
      </c>
      <c r="R7" s="15">
        <v>0</v>
      </c>
      <c r="S7" s="15">
        <v>0</v>
      </c>
      <c r="T7" s="15">
        <v>0</v>
      </c>
      <c r="U7" s="15">
        <v>0</v>
      </c>
      <c r="V7" s="15">
        <v>0</v>
      </c>
      <c r="W7" s="15">
        <v>0</v>
      </c>
      <c r="X7" s="15">
        <v>0</v>
      </c>
      <c r="Y7" s="15">
        <v>0</v>
      </c>
      <c r="Z7" s="15">
        <v>0</v>
      </c>
      <c r="AA7" s="15"/>
      <c r="AB7" s="15">
        <v>4</v>
      </c>
      <c r="AC7" s="15">
        <v>0</v>
      </c>
      <c r="AD7" s="15">
        <v>4</v>
      </c>
      <c r="AE7" s="15">
        <v>0.14815</v>
      </c>
      <c r="AF7" s="15">
        <v>0</v>
      </c>
      <c r="AG7" s="15">
        <v>0</v>
      </c>
      <c r="AH7" s="15"/>
      <c r="AI7" s="15">
        <v>4</v>
      </c>
      <c r="AJ7" s="15">
        <v>12.68</v>
      </c>
      <c r="AK7" s="15">
        <v>4</v>
      </c>
      <c r="AL7" s="15">
        <v>12.68</v>
      </c>
      <c r="AM7" s="15">
        <v>0</v>
      </c>
      <c r="AN7" s="15"/>
      <c r="AO7" s="15">
        <v>0</v>
      </c>
      <c r="AP7" s="15">
        <v>12.68</v>
      </c>
      <c r="AQ7" s="15">
        <v>0</v>
      </c>
      <c r="AR7" s="15">
        <v>0</v>
      </c>
      <c r="AS7" s="15">
        <v>0</v>
      </c>
      <c r="AT7" s="15">
        <v>0</v>
      </c>
      <c r="AU7" s="15">
        <v>0</v>
      </c>
      <c r="AV7" s="15">
        <v>0</v>
      </c>
      <c r="AW7" s="15">
        <v>0</v>
      </c>
      <c r="AX7" s="15">
        <v>1</v>
      </c>
      <c r="AY7" s="15">
        <v>188</v>
      </c>
      <c r="AZ7" s="15">
        <v>22</v>
      </c>
      <c r="BA7" s="15">
        <v>16</v>
      </c>
      <c r="BB7" s="15">
        <v>0.72727</v>
      </c>
      <c r="BC7" s="15">
        <v>0</v>
      </c>
      <c r="BD7" s="15">
        <v>0</v>
      </c>
      <c r="BE7" s="15">
        <v>0.23707</v>
      </c>
      <c r="BF7" s="15">
        <v>156</v>
      </c>
      <c r="BG7" s="15">
        <v>9</v>
      </c>
      <c r="BH7" s="15">
        <v>0</v>
      </c>
      <c r="BI7" s="15"/>
      <c r="BJ7" s="15">
        <v>0</v>
      </c>
      <c r="BK7" s="15">
        <v>0</v>
      </c>
      <c r="BL7" s="15">
        <v>0</v>
      </c>
      <c r="BM7" s="15">
        <v>0</v>
      </c>
      <c r="BN7" s="15"/>
      <c r="BO7" s="15"/>
      <c r="BP7" s="15">
        <v>0</v>
      </c>
      <c r="BQ7" s="15">
        <v>94</v>
      </c>
      <c r="BR7" s="15">
        <v>0</v>
      </c>
      <c r="BS7" s="15">
        <v>0</v>
      </c>
      <c r="BT7" s="15">
        <v>0</v>
      </c>
      <c r="BU7" s="15">
        <v>0</v>
      </c>
      <c r="BV7" s="15">
        <v>0</v>
      </c>
      <c r="BW7" s="15">
        <v>0</v>
      </c>
      <c r="BX7" s="15">
        <v>0</v>
      </c>
    </row>
    <row r="8" spans="1:76">
      <c r="A8" s="14" t="str">
        <f>VLOOKUP(C8,VLOOKUP!A:B,2,FALSE)</f>
        <v>福颜青</v>
      </c>
      <c r="B8" s="16">
        <v>46111</v>
      </c>
      <c r="C8" s="17">
        <v>833369552621</v>
      </c>
      <c r="D8" s="15" t="s">
        <v>151</v>
      </c>
      <c r="E8" s="15" t="s">
        <v>154</v>
      </c>
      <c r="F8" s="15">
        <v>2943</v>
      </c>
      <c r="G8" s="15">
        <v>135</v>
      </c>
      <c r="H8" s="15">
        <v>43.8</v>
      </c>
      <c r="I8" s="15">
        <v>0.04587</v>
      </c>
      <c r="J8" s="15">
        <v>0.32</v>
      </c>
      <c r="K8" s="15">
        <v>14.88</v>
      </c>
      <c r="L8" s="15">
        <v>0</v>
      </c>
      <c r="M8" s="15">
        <v>0</v>
      </c>
      <c r="N8" s="15">
        <v>0</v>
      </c>
      <c r="O8" s="15">
        <v>0</v>
      </c>
      <c r="P8" s="15">
        <v>0</v>
      </c>
      <c r="Q8" s="15">
        <v>0</v>
      </c>
      <c r="R8" s="15">
        <v>0</v>
      </c>
      <c r="S8" s="15">
        <v>0</v>
      </c>
      <c r="T8" s="15">
        <v>0</v>
      </c>
      <c r="U8" s="15">
        <v>0</v>
      </c>
      <c r="V8" s="15">
        <v>0</v>
      </c>
      <c r="W8" s="15">
        <v>0</v>
      </c>
      <c r="X8" s="15">
        <v>0</v>
      </c>
      <c r="Y8" s="15">
        <v>0</v>
      </c>
      <c r="Z8" s="15">
        <v>0</v>
      </c>
      <c r="AA8" s="15"/>
      <c r="AB8" s="15">
        <v>1</v>
      </c>
      <c r="AC8" s="15">
        <v>1</v>
      </c>
      <c r="AD8" s="15">
        <v>0</v>
      </c>
      <c r="AE8" s="15">
        <v>0.00741</v>
      </c>
      <c r="AF8" s="15">
        <v>1</v>
      </c>
      <c r="AG8" s="15">
        <v>0</v>
      </c>
      <c r="AH8" s="15"/>
      <c r="AI8" s="15">
        <v>2</v>
      </c>
      <c r="AJ8" s="15">
        <v>21.9</v>
      </c>
      <c r="AK8" s="15">
        <v>2</v>
      </c>
      <c r="AL8" s="15">
        <v>21.9</v>
      </c>
      <c r="AM8" s="15">
        <v>1</v>
      </c>
      <c r="AN8" s="15">
        <v>43.8</v>
      </c>
      <c r="AO8" s="15">
        <v>0.00741</v>
      </c>
      <c r="AP8" s="15">
        <v>43.8</v>
      </c>
      <c r="AQ8" s="15">
        <v>0</v>
      </c>
      <c r="AR8" s="15">
        <v>0</v>
      </c>
      <c r="AS8" s="15">
        <v>0</v>
      </c>
      <c r="AT8" s="15">
        <v>1</v>
      </c>
      <c r="AU8" s="15">
        <v>0</v>
      </c>
      <c r="AV8" s="15">
        <v>0</v>
      </c>
      <c r="AW8" s="15">
        <v>0</v>
      </c>
      <c r="AX8" s="15">
        <v>1</v>
      </c>
      <c r="AY8" s="15">
        <v>277</v>
      </c>
      <c r="AZ8" s="15">
        <v>159</v>
      </c>
      <c r="BA8" s="15">
        <v>148</v>
      </c>
      <c r="BB8" s="15">
        <v>0.93082</v>
      </c>
      <c r="BC8" s="15">
        <v>0</v>
      </c>
      <c r="BD8" s="15">
        <v>0</v>
      </c>
      <c r="BE8" s="15">
        <v>0.09412</v>
      </c>
      <c r="BF8" s="15">
        <v>92</v>
      </c>
      <c r="BG8" s="15">
        <v>2</v>
      </c>
      <c r="BH8" s="15">
        <v>0</v>
      </c>
      <c r="BI8" s="15"/>
      <c r="BJ8" s="15">
        <v>0</v>
      </c>
      <c r="BK8" s="15">
        <v>0</v>
      </c>
      <c r="BL8" s="15">
        <v>0</v>
      </c>
      <c r="BM8" s="15">
        <v>0</v>
      </c>
      <c r="BN8" s="15"/>
      <c r="BO8" s="15"/>
      <c r="BP8" s="15">
        <v>0</v>
      </c>
      <c r="BQ8" s="15">
        <v>1082</v>
      </c>
      <c r="BR8" s="15">
        <v>0</v>
      </c>
      <c r="BS8" s="15">
        <v>0</v>
      </c>
      <c r="BT8" s="15">
        <v>0</v>
      </c>
      <c r="BU8" s="15">
        <v>0</v>
      </c>
      <c r="BV8" s="15">
        <v>0</v>
      </c>
      <c r="BW8" s="15">
        <v>0</v>
      </c>
      <c r="BX8" s="15">
        <v>0</v>
      </c>
    </row>
    <row r="9" spans="1:76">
      <c r="A9" s="14" t="str">
        <f>VLOOKUP(C9,VLOOKUP!A:B,2,FALSE)</f>
        <v>福到</v>
      </c>
      <c r="B9" s="16">
        <v>46110</v>
      </c>
      <c r="C9" s="17">
        <v>971856893567</v>
      </c>
      <c r="D9" s="15" t="s">
        <v>151</v>
      </c>
      <c r="E9" s="15" t="s">
        <v>152</v>
      </c>
      <c r="F9" s="15">
        <v>1138</v>
      </c>
      <c r="G9" s="15">
        <v>57</v>
      </c>
      <c r="H9" s="15">
        <v>17.65</v>
      </c>
      <c r="I9" s="15">
        <v>0.05009</v>
      </c>
      <c r="J9" s="15">
        <v>0.31</v>
      </c>
      <c r="K9" s="15">
        <v>15.51</v>
      </c>
      <c r="L9" s="15">
        <v>0</v>
      </c>
      <c r="M9" s="15">
        <v>0</v>
      </c>
      <c r="N9" s="15">
        <v>0</v>
      </c>
      <c r="O9" s="15">
        <v>0</v>
      </c>
      <c r="P9" s="15">
        <v>0</v>
      </c>
      <c r="Q9" s="15">
        <v>0</v>
      </c>
      <c r="R9" s="15">
        <v>0</v>
      </c>
      <c r="S9" s="15">
        <v>0</v>
      </c>
      <c r="T9" s="15">
        <v>0</v>
      </c>
      <c r="U9" s="15">
        <v>0</v>
      </c>
      <c r="V9" s="15">
        <v>0</v>
      </c>
      <c r="W9" s="15">
        <v>0</v>
      </c>
      <c r="X9" s="15">
        <v>0</v>
      </c>
      <c r="Y9" s="15">
        <v>0</v>
      </c>
      <c r="Z9" s="15">
        <v>0</v>
      </c>
      <c r="AA9" s="15"/>
      <c r="AB9" s="15">
        <v>0</v>
      </c>
      <c r="AC9" s="15">
        <v>0</v>
      </c>
      <c r="AD9" s="15">
        <v>0</v>
      </c>
      <c r="AE9" s="15">
        <v>0</v>
      </c>
      <c r="AF9" s="15">
        <v>0</v>
      </c>
      <c r="AG9" s="15">
        <v>0</v>
      </c>
      <c r="AH9" s="15"/>
      <c r="AI9" s="15">
        <v>0</v>
      </c>
      <c r="AJ9" s="15"/>
      <c r="AK9" s="15">
        <v>0</v>
      </c>
      <c r="AL9" s="15"/>
      <c r="AM9" s="15">
        <v>0</v>
      </c>
      <c r="AN9" s="15"/>
      <c r="AO9" s="15">
        <v>0</v>
      </c>
      <c r="AP9" s="15"/>
      <c r="AQ9" s="15">
        <v>0</v>
      </c>
      <c r="AR9" s="15">
        <v>0</v>
      </c>
      <c r="AS9" s="15">
        <v>0</v>
      </c>
      <c r="AT9" s="15">
        <v>0</v>
      </c>
      <c r="AU9" s="15">
        <v>0</v>
      </c>
      <c r="AV9" s="15">
        <v>0</v>
      </c>
      <c r="AW9" s="15">
        <v>0</v>
      </c>
      <c r="AX9" s="15">
        <v>0</v>
      </c>
      <c r="AY9" s="15">
        <v>86</v>
      </c>
      <c r="AZ9" s="15">
        <v>55</v>
      </c>
      <c r="BA9" s="15">
        <v>51</v>
      </c>
      <c r="BB9" s="15">
        <v>0.92727</v>
      </c>
      <c r="BC9" s="15">
        <v>0</v>
      </c>
      <c r="BD9" s="15">
        <v>0</v>
      </c>
      <c r="BE9" s="15">
        <v>0.07557</v>
      </c>
      <c r="BF9" s="15">
        <v>26</v>
      </c>
      <c r="BG9" s="15">
        <v>2</v>
      </c>
      <c r="BH9" s="15">
        <v>0</v>
      </c>
      <c r="BI9" s="15"/>
      <c r="BJ9" s="15">
        <v>0</v>
      </c>
      <c r="BK9" s="15">
        <v>0</v>
      </c>
      <c r="BL9" s="15">
        <v>0</v>
      </c>
      <c r="BM9" s="15">
        <v>0</v>
      </c>
      <c r="BN9" s="15"/>
      <c r="BO9" s="15"/>
      <c r="BP9" s="15">
        <v>0</v>
      </c>
      <c r="BQ9" s="15">
        <v>1</v>
      </c>
      <c r="BR9" s="15">
        <v>0</v>
      </c>
      <c r="BS9" s="15">
        <v>0</v>
      </c>
      <c r="BT9" s="15">
        <v>0</v>
      </c>
      <c r="BU9" s="15">
        <v>0</v>
      </c>
      <c r="BV9" s="15">
        <v>0</v>
      </c>
      <c r="BW9" s="15">
        <v>0</v>
      </c>
      <c r="BX9" s="15">
        <v>0</v>
      </c>
    </row>
    <row r="10" spans="1:76">
      <c r="A10" s="14" t="str">
        <f>VLOOKUP(C10,VLOOKUP!A:B,2,FALSE)</f>
        <v>鹅梨帐中香</v>
      </c>
      <c r="B10" s="16">
        <v>46110</v>
      </c>
      <c r="C10" s="17">
        <v>971317169387</v>
      </c>
      <c r="D10" s="15" t="s">
        <v>151</v>
      </c>
      <c r="E10" s="15" t="s">
        <v>155</v>
      </c>
      <c r="F10" s="15">
        <v>487</v>
      </c>
      <c r="G10" s="15">
        <v>30</v>
      </c>
      <c r="H10" s="15">
        <v>33.86</v>
      </c>
      <c r="I10" s="15">
        <v>0.0616</v>
      </c>
      <c r="J10" s="15">
        <v>1.13</v>
      </c>
      <c r="K10" s="15">
        <v>69.53</v>
      </c>
      <c r="L10" s="15">
        <v>0</v>
      </c>
      <c r="M10" s="15">
        <v>0</v>
      </c>
      <c r="N10" s="15">
        <v>0</v>
      </c>
      <c r="O10" s="15">
        <v>0</v>
      </c>
      <c r="P10" s="15">
        <v>0</v>
      </c>
      <c r="Q10" s="15">
        <v>0</v>
      </c>
      <c r="R10" s="15">
        <v>0</v>
      </c>
      <c r="S10" s="15">
        <v>0</v>
      </c>
      <c r="T10" s="15">
        <v>0</v>
      </c>
      <c r="U10" s="15">
        <v>0</v>
      </c>
      <c r="V10" s="15">
        <v>0</v>
      </c>
      <c r="W10" s="15">
        <v>0</v>
      </c>
      <c r="X10" s="15">
        <v>0</v>
      </c>
      <c r="Y10" s="15">
        <v>0</v>
      </c>
      <c r="Z10" s="15">
        <v>0</v>
      </c>
      <c r="AA10" s="15"/>
      <c r="AB10" s="15">
        <v>2</v>
      </c>
      <c r="AC10" s="15">
        <v>1</v>
      </c>
      <c r="AD10" s="15">
        <v>1</v>
      </c>
      <c r="AE10" s="15">
        <v>0.06667</v>
      </c>
      <c r="AF10" s="15">
        <v>1</v>
      </c>
      <c r="AG10" s="15">
        <v>0</v>
      </c>
      <c r="AH10" s="15"/>
      <c r="AI10" s="15">
        <v>3</v>
      </c>
      <c r="AJ10" s="15">
        <v>11.29</v>
      </c>
      <c r="AK10" s="15">
        <v>3</v>
      </c>
      <c r="AL10" s="15">
        <v>11.29</v>
      </c>
      <c r="AM10" s="15">
        <v>1</v>
      </c>
      <c r="AN10" s="15">
        <v>33.86</v>
      </c>
      <c r="AO10" s="15">
        <v>0.03333</v>
      </c>
      <c r="AP10" s="15">
        <v>16.93</v>
      </c>
      <c r="AQ10" s="15">
        <v>0</v>
      </c>
      <c r="AR10" s="15">
        <v>0</v>
      </c>
      <c r="AS10" s="15">
        <v>1</v>
      </c>
      <c r="AT10" s="15">
        <v>0</v>
      </c>
      <c r="AU10" s="15">
        <v>0</v>
      </c>
      <c r="AV10" s="15">
        <v>0</v>
      </c>
      <c r="AW10" s="15">
        <v>0</v>
      </c>
      <c r="AX10" s="15">
        <v>1</v>
      </c>
      <c r="AY10" s="15">
        <v>95</v>
      </c>
      <c r="AZ10" s="15">
        <v>26</v>
      </c>
      <c r="BA10" s="15">
        <v>22</v>
      </c>
      <c r="BB10" s="15">
        <v>0.84615</v>
      </c>
      <c r="BC10" s="15">
        <v>0</v>
      </c>
      <c r="BD10" s="15">
        <v>0</v>
      </c>
      <c r="BE10" s="15">
        <v>0.19507</v>
      </c>
      <c r="BF10" s="15">
        <v>63</v>
      </c>
      <c r="BG10" s="15">
        <v>4</v>
      </c>
      <c r="BH10" s="15">
        <v>0</v>
      </c>
      <c r="BI10" s="15"/>
      <c r="BJ10" s="15">
        <v>0</v>
      </c>
      <c r="BK10" s="15">
        <v>0</v>
      </c>
      <c r="BL10" s="15">
        <v>0</v>
      </c>
      <c r="BM10" s="15">
        <v>0</v>
      </c>
      <c r="BN10" s="15"/>
      <c r="BO10" s="15"/>
      <c r="BP10" s="15">
        <v>0</v>
      </c>
      <c r="BQ10" s="15">
        <v>130</v>
      </c>
      <c r="BR10" s="15">
        <v>0</v>
      </c>
      <c r="BS10" s="15">
        <v>0</v>
      </c>
      <c r="BT10" s="15">
        <v>0</v>
      </c>
      <c r="BU10" s="15">
        <v>0</v>
      </c>
      <c r="BV10" s="15">
        <v>0</v>
      </c>
      <c r="BW10" s="15">
        <v>0</v>
      </c>
      <c r="BX10" s="15">
        <v>0</v>
      </c>
    </row>
    <row r="11" spans="1:76">
      <c r="A11" s="14" t="str">
        <f>VLOOKUP(C11,VLOOKUP!A:B,2,FALSE)</f>
        <v>如意盘香</v>
      </c>
      <c r="B11" s="16">
        <v>46110</v>
      </c>
      <c r="C11" s="17">
        <v>838711327669</v>
      </c>
      <c r="D11" s="15" t="s">
        <v>151</v>
      </c>
      <c r="E11" s="15" t="s">
        <v>153</v>
      </c>
      <c r="F11" s="15">
        <v>923</v>
      </c>
      <c r="G11" s="15">
        <v>23</v>
      </c>
      <c r="H11" s="15">
        <v>60</v>
      </c>
      <c r="I11" s="15">
        <v>0.02492</v>
      </c>
      <c r="J11" s="15">
        <v>2.61</v>
      </c>
      <c r="K11" s="15">
        <v>65.01</v>
      </c>
      <c r="L11" s="15">
        <v>0</v>
      </c>
      <c r="M11" s="15">
        <v>0</v>
      </c>
      <c r="N11" s="15">
        <v>0</v>
      </c>
      <c r="O11" s="15">
        <v>0</v>
      </c>
      <c r="P11" s="15">
        <v>0</v>
      </c>
      <c r="Q11" s="15">
        <v>0</v>
      </c>
      <c r="R11" s="15">
        <v>0</v>
      </c>
      <c r="S11" s="15">
        <v>0</v>
      </c>
      <c r="T11" s="15">
        <v>0</v>
      </c>
      <c r="U11" s="15">
        <v>0</v>
      </c>
      <c r="V11" s="15">
        <v>0</v>
      </c>
      <c r="W11" s="15">
        <v>0</v>
      </c>
      <c r="X11" s="15">
        <v>0</v>
      </c>
      <c r="Y11" s="15">
        <v>0</v>
      </c>
      <c r="Z11" s="15">
        <v>0</v>
      </c>
      <c r="AA11" s="15"/>
      <c r="AB11" s="15">
        <v>0</v>
      </c>
      <c r="AC11" s="15">
        <v>0</v>
      </c>
      <c r="AD11" s="15">
        <v>0</v>
      </c>
      <c r="AE11" s="15">
        <v>0</v>
      </c>
      <c r="AF11" s="15">
        <v>0</v>
      </c>
      <c r="AG11" s="15">
        <v>0</v>
      </c>
      <c r="AH11" s="15"/>
      <c r="AI11" s="15">
        <v>0</v>
      </c>
      <c r="AJ11" s="15"/>
      <c r="AK11" s="15">
        <v>0</v>
      </c>
      <c r="AL11" s="15"/>
      <c r="AM11" s="15">
        <v>0</v>
      </c>
      <c r="AN11" s="15"/>
      <c r="AO11" s="15">
        <v>0</v>
      </c>
      <c r="AP11" s="15"/>
      <c r="AQ11" s="15">
        <v>0</v>
      </c>
      <c r="AR11" s="15">
        <v>0</v>
      </c>
      <c r="AS11" s="15">
        <v>0</v>
      </c>
      <c r="AT11" s="15">
        <v>0</v>
      </c>
      <c r="AU11" s="15">
        <v>0</v>
      </c>
      <c r="AV11" s="15">
        <v>0</v>
      </c>
      <c r="AW11" s="15">
        <v>0</v>
      </c>
      <c r="AX11" s="15">
        <v>0</v>
      </c>
      <c r="AY11" s="15">
        <v>36</v>
      </c>
      <c r="AZ11" s="15">
        <v>21</v>
      </c>
      <c r="BA11" s="15">
        <v>18</v>
      </c>
      <c r="BB11" s="15">
        <v>0.85714</v>
      </c>
      <c r="BC11" s="15">
        <v>0</v>
      </c>
      <c r="BD11" s="15">
        <v>0</v>
      </c>
      <c r="BE11" s="15">
        <v>0.039</v>
      </c>
      <c r="BF11" s="15">
        <v>13</v>
      </c>
      <c r="BG11" s="15">
        <v>2</v>
      </c>
      <c r="BH11" s="15">
        <v>0</v>
      </c>
      <c r="BI11" s="15"/>
      <c r="BJ11" s="15">
        <v>0</v>
      </c>
      <c r="BK11" s="15">
        <v>0</v>
      </c>
      <c r="BL11" s="15">
        <v>0</v>
      </c>
      <c r="BM11" s="15">
        <v>0</v>
      </c>
      <c r="BN11" s="15"/>
      <c r="BO11" s="15"/>
      <c r="BP11" s="15">
        <v>0</v>
      </c>
      <c r="BQ11" s="15">
        <v>6</v>
      </c>
      <c r="BR11" s="15">
        <v>0</v>
      </c>
      <c r="BS11" s="15">
        <v>0</v>
      </c>
      <c r="BT11" s="15">
        <v>0</v>
      </c>
      <c r="BU11" s="15">
        <v>0</v>
      </c>
      <c r="BV11" s="15">
        <v>0</v>
      </c>
      <c r="BW11" s="15">
        <v>0</v>
      </c>
      <c r="BX11" s="15">
        <v>0</v>
      </c>
    </row>
    <row r="12" spans="1:76">
      <c r="A12" s="14" t="str">
        <f>VLOOKUP(C12,VLOOKUP!A:B,2,FALSE)</f>
        <v>福颜青</v>
      </c>
      <c r="B12" s="16">
        <v>46110</v>
      </c>
      <c r="C12" s="17">
        <v>833369552621</v>
      </c>
      <c r="D12" s="15" t="s">
        <v>151</v>
      </c>
      <c r="E12" s="15" t="s">
        <v>154</v>
      </c>
      <c r="F12" s="15">
        <v>3515</v>
      </c>
      <c r="G12" s="15">
        <v>113</v>
      </c>
      <c r="H12" s="15">
        <v>37.9</v>
      </c>
      <c r="I12" s="15">
        <v>0.03215</v>
      </c>
      <c r="J12" s="15">
        <v>0.34</v>
      </c>
      <c r="K12" s="15">
        <v>10.78</v>
      </c>
      <c r="L12" s="15">
        <v>0</v>
      </c>
      <c r="M12" s="15">
        <v>0</v>
      </c>
      <c r="N12" s="15">
        <v>0</v>
      </c>
      <c r="O12" s="15">
        <v>0</v>
      </c>
      <c r="P12" s="15">
        <v>0</v>
      </c>
      <c r="Q12" s="15">
        <v>0</v>
      </c>
      <c r="R12" s="15">
        <v>0</v>
      </c>
      <c r="S12" s="15">
        <v>0</v>
      </c>
      <c r="T12" s="15">
        <v>0</v>
      </c>
      <c r="U12" s="15">
        <v>0</v>
      </c>
      <c r="V12" s="15">
        <v>0</v>
      </c>
      <c r="W12" s="15">
        <v>0</v>
      </c>
      <c r="X12" s="15">
        <v>0</v>
      </c>
      <c r="Y12" s="15">
        <v>0</v>
      </c>
      <c r="Z12" s="15">
        <v>0</v>
      </c>
      <c r="AA12" s="15"/>
      <c r="AB12" s="15">
        <v>0</v>
      </c>
      <c r="AC12" s="15">
        <v>0</v>
      </c>
      <c r="AD12" s="15">
        <v>0</v>
      </c>
      <c r="AE12" s="15">
        <v>0</v>
      </c>
      <c r="AF12" s="15">
        <v>0</v>
      </c>
      <c r="AG12" s="15">
        <v>0</v>
      </c>
      <c r="AH12" s="15"/>
      <c r="AI12" s="15">
        <v>0</v>
      </c>
      <c r="AJ12" s="15"/>
      <c r="AK12" s="15">
        <v>0</v>
      </c>
      <c r="AL12" s="15"/>
      <c r="AM12" s="15">
        <v>0</v>
      </c>
      <c r="AN12" s="15"/>
      <c r="AO12" s="15">
        <v>0</v>
      </c>
      <c r="AP12" s="15"/>
      <c r="AQ12" s="15">
        <v>0</v>
      </c>
      <c r="AR12" s="15">
        <v>0</v>
      </c>
      <c r="AS12" s="15">
        <v>0</v>
      </c>
      <c r="AT12" s="15">
        <v>0</v>
      </c>
      <c r="AU12" s="15">
        <v>0</v>
      </c>
      <c r="AV12" s="15">
        <v>0</v>
      </c>
      <c r="AW12" s="15">
        <v>0</v>
      </c>
      <c r="AX12" s="15">
        <v>0</v>
      </c>
      <c r="AY12" s="15">
        <v>233</v>
      </c>
      <c r="AZ12" s="15">
        <v>131</v>
      </c>
      <c r="BA12" s="15">
        <v>119</v>
      </c>
      <c r="BB12" s="15">
        <v>0.9084</v>
      </c>
      <c r="BC12" s="15">
        <v>0</v>
      </c>
      <c r="BD12" s="15">
        <v>0</v>
      </c>
      <c r="BE12" s="15">
        <v>0.06629</v>
      </c>
      <c r="BF12" s="15">
        <v>78</v>
      </c>
      <c r="BG12" s="15">
        <v>2</v>
      </c>
      <c r="BH12" s="15">
        <v>0</v>
      </c>
      <c r="BI12" s="15"/>
      <c r="BJ12" s="15">
        <v>0</v>
      </c>
      <c r="BK12" s="15">
        <v>0</v>
      </c>
      <c r="BL12" s="15">
        <v>0</v>
      </c>
      <c r="BM12" s="15">
        <v>0</v>
      </c>
      <c r="BN12" s="15"/>
      <c r="BO12" s="15"/>
      <c r="BP12" s="15">
        <v>0</v>
      </c>
      <c r="BQ12" s="15">
        <v>7</v>
      </c>
      <c r="BR12" s="15">
        <v>0</v>
      </c>
      <c r="BS12" s="15">
        <v>0</v>
      </c>
      <c r="BT12" s="15">
        <v>0</v>
      </c>
      <c r="BU12" s="15">
        <v>0</v>
      </c>
      <c r="BV12" s="15">
        <v>0</v>
      </c>
      <c r="BW12" s="15">
        <v>0</v>
      </c>
      <c r="BX12" s="15">
        <v>0</v>
      </c>
    </row>
    <row r="13" spans="1:76">
      <c r="A13" s="14" t="str">
        <f>VLOOKUP(C13,VLOOKUP!A:B,2,FALSE)</f>
        <v>福到</v>
      </c>
      <c r="B13" s="16">
        <v>46109</v>
      </c>
      <c r="C13" s="17">
        <v>971856893567</v>
      </c>
      <c r="D13" s="15" t="s">
        <v>151</v>
      </c>
      <c r="E13" s="15" t="s">
        <v>152</v>
      </c>
      <c r="F13" s="15">
        <v>953</v>
      </c>
      <c r="G13" s="15">
        <v>47</v>
      </c>
      <c r="H13" s="15">
        <v>15.19</v>
      </c>
      <c r="I13" s="15">
        <v>0.04932</v>
      </c>
      <c r="J13" s="15">
        <v>0.32</v>
      </c>
      <c r="K13" s="15">
        <v>15.94</v>
      </c>
      <c r="L13" s="15">
        <v>0</v>
      </c>
      <c r="M13" s="15">
        <v>0</v>
      </c>
      <c r="N13" s="15">
        <v>0</v>
      </c>
      <c r="O13" s="15">
        <v>0</v>
      </c>
      <c r="P13" s="15">
        <v>0</v>
      </c>
      <c r="Q13" s="15">
        <v>0</v>
      </c>
      <c r="R13" s="15">
        <v>0</v>
      </c>
      <c r="S13" s="15">
        <v>0</v>
      </c>
      <c r="T13" s="15">
        <v>0</v>
      </c>
      <c r="U13" s="15">
        <v>0</v>
      </c>
      <c r="V13" s="15">
        <v>0</v>
      </c>
      <c r="W13" s="15">
        <v>0</v>
      </c>
      <c r="X13" s="15">
        <v>0</v>
      </c>
      <c r="Y13" s="15">
        <v>0</v>
      </c>
      <c r="Z13" s="15">
        <v>0</v>
      </c>
      <c r="AA13" s="15"/>
      <c r="AB13" s="15">
        <v>1</v>
      </c>
      <c r="AC13" s="15">
        <v>0</v>
      </c>
      <c r="AD13" s="15">
        <v>1</v>
      </c>
      <c r="AE13" s="15">
        <v>0.02128</v>
      </c>
      <c r="AF13" s="15">
        <v>0</v>
      </c>
      <c r="AG13" s="15">
        <v>0</v>
      </c>
      <c r="AH13" s="15"/>
      <c r="AI13" s="15">
        <v>1</v>
      </c>
      <c r="AJ13" s="15">
        <v>15.19</v>
      </c>
      <c r="AK13" s="15">
        <v>1</v>
      </c>
      <c r="AL13" s="15">
        <v>15.19</v>
      </c>
      <c r="AM13" s="15">
        <v>0</v>
      </c>
      <c r="AN13" s="15"/>
      <c r="AO13" s="15">
        <v>0</v>
      </c>
      <c r="AP13" s="15">
        <v>15.19</v>
      </c>
      <c r="AQ13" s="15">
        <v>0</v>
      </c>
      <c r="AR13" s="15">
        <v>0</v>
      </c>
      <c r="AS13" s="15">
        <v>0</v>
      </c>
      <c r="AT13" s="15">
        <v>0</v>
      </c>
      <c r="AU13" s="15">
        <v>0</v>
      </c>
      <c r="AV13" s="15">
        <v>0</v>
      </c>
      <c r="AW13" s="15">
        <v>0</v>
      </c>
      <c r="AX13" s="15">
        <v>0</v>
      </c>
      <c r="AY13" s="15">
        <v>108</v>
      </c>
      <c r="AZ13" s="15">
        <v>47</v>
      </c>
      <c r="BA13" s="15">
        <v>45</v>
      </c>
      <c r="BB13" s="15">
        <v>0.95745</v>
      </c>
      <c r="BC13" s="15">
        <v>0</v>
      </c>
      <c r="BD13" s="15">
        <v>0</v>
      </c>
      <c r="BE13" s="15">
        <v>0.11333</v>
      </c>
      <c r="BF13" s="15">
        <v>60</v>
      </c>
      <c r="BG13" s="15">
        <v>2</v>
      </c>
      <c r="BH13" s="15">
        <v>0</v>
      </c>
      <c r="BI13" s="15"/>
      <c r="BJ13" s="15">
        <v>0</v>
      </c>
      <c r="BK13" s="15">
        <v>0</v>
      </c>
      <c r="BL13" s="15">
        <v>0</v>
      </c>
      <c r="BM13" s="15">
        <v>0</v>
      </c>
      <c r="BN13" s="15"/>
      <c r="BO13" s="15"/>
      <c r="BP13" s="15">
        <v>0</v>
      </c>
      <c r="BQ13" s="15">
        <v>23</v>
      </c>
      <c r="BR13" s="15">
        <v>0</v>
      </c>
      <c r="BS13" s="15">
        <v>0</v>
      </c>
      <c r="BT13" s="15">
        <v>0</v>
      </c>
      <c r="BU13" s="15">
        <v>0</v>
      </c>
      <c r="BV13" s="15">
        <v>0</v>
      </c>
      <c r="BW13" s="15">
        <v>0</v>
      </c>
      <c r="BX13" s="15">
        <v>0</v>
      </c>
    </row>
    <row r="14" spans="1:76">
      <c r="A14" s="14" t="str">
        <f>VLOOKUP(C14,VLOOKUP!A:B,2,FALSE)</f>
        <v>鹅梨帐中香</v>
      </c>
      <c r="B14" s="16">
        <v>46109</v>
      </c>
      <c r="C14" s="17">
        <v>971317169387</v>
      </c>
      <c r="D14" s="15" t="s">
        <v>151</v>
      </c>
      <c r="E14" s="15" t="s">
        <v>155</v>
      </c>
      <c r="F14" s="15">
        <v>525</v>
      </c>
      <c r="G14" s="15">
        <v>21</v>
      </c>
      <c r="H14" s="15">
        <v>34.37</v>
      </c>
      <c r="I14" s="15">
        <v>0.04</v>
      </c>
      <c r="J14" s="15">
        <v>1.64</v>
      </c>
      <c r="K14" s="15">
        <v>65.47</v>
      </c>
      <c r="L14" s="15">
        <v>0</v>
      </c>
      <c r="M14" s="15">
        <v>0</v>
      </c>
      <c r="N14" s="15">
        <v>0</v>
      </c>
      <c r="O14" s="15">
        <v>0</v>
      </c>
      <c r="P14" s="15">
        <v>0</v>
      </c>
      <c r="Q14" s="15">
        <v>0</v>
      </c>
      <c r="R14" s="15">
        <v>0</v>
      </c>
      <c r="S14" s="15">
        <v>0</v>
      </c>
      <c r="T14" s="15">
        <v>0</v>
      </c>
      <c r="U14" s="15">
        <v>0</v>
      </c>
      <c r="V14" s="15">
        <v>0</v>
      </c>
      <c r="W14" s="15">
        <v>0</v>
      </c>
      <c r="X14" s="15">
        <v>0</v>
      </c>
      <c r="Y14" s="15">
        <v>0</v>
      </c>
      <c r="Z14" s="15">
        <v>0</v>
      </c>
      <c r="AA14" s="15"/>
      <c r="AB14" s="15">
        <v>0</v>
      </c>
      <c r="AC14" s="15">
        <v>0</v>
      </c>
      <c r="AD14" s="15">
        <v>0</v>
      </c>
      <c r="AE14" s="15">
        <v>0</v>
      </c>
      <c r="AF14" s="15">
        <v>0</v>
      </c>
      <c r="AG14" s="15">
        <v>1</v>
      </c>
      <c r="AH14" s="15">
        <v>34.37</v>
      </c>
      <c r="AI14" s="15">
        <v>1</v>
      </c>
      <c r="AJ14" s="15">
        <v>34.37</v>
      </c>
      <c r="AK14" s="15">
        <v>0</v>
      </c>
      <c r="AL14" s="15"/>
      <c r="AM14" s="15">
        <v>1</v>
      </c>
      <c r="AN14" s="15"/>
      <c r="AO14" s="15">
        <v>0</v>
      </c>
      <c r="AP14" s="15"/>
      <c r="AQ14" s="15">
        <v>0</v>
      </c>
      <c r="AR14" s="15">
        <v>0</v>
      </c>
      <c r="AS14" s="15">
        <v>0</v>
      </c>
      <c r="AT14" s="15">
        <v>0</v>
      </c>
      <c r="AU14" s="15">
        <v>0</v>
      </c>
      <c r="AV14" s="15">
        <v>0</v>
      </c>
      <c r="AW14" s="15">
        <v>0</v>
      </c>
      <c r="AX14" s="15">
        <v>3</v>
      </c>
      <c r="AY14" s="15">
        <v>73</v>
      </c>
      <c r="AZ14" s="15">
        <v>18</v>
      </c>
      <c r="BA14" s="15">
        <v>13</v>
      </c>
      <c r="BB14" s="15">
        <v>0.72222</v>
      </c>
      <c r="BC14" s="15">
        <v>0</v>
      </c>
      <c r="BD14" s="15">
        <v>0</v>
      </c>
      <c r="BE14" s="15">
        <v>0.13905</v>
      </c>
      <c r="BF14" s="15">
        <v>49</v>
      </c>
      <c r="BG14" s="15">
        <v>4</v>
      </c>
      <c r="BH14" s="15">
        <v>0</v>
      </c>
      <c r="BI14" s="15"/>
      <c r="BJ14" s="15">
        <v>0</v>
      </c>
      <c r="BK14" s="15">
        <v>0</v>
      </c>
      <c r="BL14" s="15">
        <v>0</v>
      </c>
      <c r="BM14" s="15">
        <v>0</v>
      </c>
      <c r="BN14" s="15"/>
      <c r="BO14" s="15"/>
      <c r="BP14" s="15">
        <v>0</v>
      </c>
      <c r="BQ14" s="15">
        <v>17</v>
      </c>
      <c r="BR14" s="15">
        <v>0</v>
      </c>
      <c r="BS14" s="15">
        <v>0</v>
      </c>
      <c r="BT14" s="15">
        <v>0</v>
      </c>
      <c r="BU14" s="15">
        <v>0</v>
      </c>
      <c r="BV14" s="15">
        <v>0</v>
      </c>
      <c r="BW14" s="15">
        <v>0</v>
      </c>
      <c r="BX14" s="15">
        <v>0</v>
      </c>
    </row>
    <row r="15" spans="1:76">
      <c r="A15" s="14" t="str">
        <f>VLOOKUP(C15,VLOOKUP!A:B,2,FALSE)</f>
        <v>如意盘香</v>
      </c>
      <c r="B15" s="16">
        <v>46109</v>
      </c>
      <c r="C15" s="17">
        <v>838711327669</v>
      </c>
      <c r="D15" s="15" t="s">
        <v>151</v>
      </c>
      <c r="E15" s="15" t="s">
        <v>153</v>
      </c>
      <c r="F15" s="15">
        <v>803</v>
      </c>
      <c r="G15" s="15">
        <v>30</v>
      </c>
      <c r="H15" s="15">
        <v>53.88</v>
      </c>
      <c r="I15" s="15">
        <v>0.03736</v>
      </c>
      <c r="J15" s="15">
        <v>1.8</v>
      </c>
      <c r="K15" s="15">
        <v>67.1</v>
      </c>
      <c r="L15" s="15">
        <v>0</v>
      </c>
      <c r="M15" s="15">
        <v>0</v>
      </c>
      <c r="N15" s="15">
        <v>0</v>
      </c>
      <c r="O15" s="15">
        <v>0</v>
      </c>
      <c r="P15" s="15">
        <v>0</v>
      </c>
      <c r="Q15" s="15">
        <v>0</v>
      </c>
      <c r="R15" s="15">
        <v>0</v>
      </c>
      <c r="S15" s="15">
        <v>472.9</v>
      </c>
      <c r="T15" s="15">
        <v>472.9</v>
      </c>
      <c r="U15" s="15">
        <v>2</v>
      </c>
      <c r="V15" s="15">
        <v>0</v>
      </c>
      <c r="W15" s="15">
        <v>2</v>
      </c>
      <c r="X15" s="15">
        <v>0.06667</v>
      </c>
      <c r="Y15" s="15">
        <v>8.78</v>
      </c>
      <c r="Z15" s="15">
        <v>8.78</v>
      </c>
      <c r="AA15" s="15">
        <v>26.94</v>
      </c>
      <c r="AB15" s="15">
        <v>3</v>
      </c>
      <c r="AC15" s="15">
        <v>1</v>
      </c>
      <c r="AD15" s="15">
        <v>2</v>
      </c>
      <c r="AE15" s="15">
        <v>0.1</v>
      </c>
      <c r="AF15" s="15">
        <v>0</v>
      </c>
      <c r="AG15" s="15">
        <v>0</v>
      </c>
      <c r="AH15" s="15"/>
      <c r="AI15" s="15">
        <v>3</v>
      </c>
      <c r="AJ15" s="15">
        <v>17.96</v>
      </c>
      <c r="AK15" s="15">
        <v>3</v>
      </c>
      <c r="AL15" s="15">
        <v>17.96</v>
      </c>
      <c r="AM15" s="15">
        <v>0</v>
      </c>
      <c r="AN15" s="15"/>
      <c r="AO15" s="15">
        <v>0</v>
      </c>
      <c r="AP15" s="15">
        <v>17.96</v>
      </c>
      <c r="AQ15" s="15">
        <v>3</v>
      </c>
      <c r="AR15" s="15">
        <v>527.8</v>
      </c>
      <c r="AS15" s="15">
        <v>0</v>
      </c>
      <c r="AT15" s="15">
        <v>0</v>
      </c>
      <c r="AU15" s="15">
        <v>0</v>
      </c>
      <c r="AV15" s="15">
        <v>0</v>
      </c>
      <c r="AW15" s="15">
        <v>0</v>
      </c>
      <c r="AX15" s="15">
        <v>0</v>
      </c>
      <c r="AY15" s="15">
        <v>71</v>
      </c>
      <c r="AZ15" s="15">
        <v>25</v>
      </c>
      <c r="BA15" s="15">
        <v>15</v>
      </c>
      <c r="BB15" s="15">
        <v>0.6</v>
      </c>
      <c r="BC15" s="15">
        <v>0</v>
      </c>
      <c r="BD15" s="15">
        <v>0</v>
      </c>
      <c r="BE15" s="15">
        <v>0.08842</v>
      </c>
      <c r="BF15" s="15">
        <v>43</v>
      </c>
      <c r="BG15" s="15">
        <v>3</v>
      </c>
      <c r="BH15" s="15">
        <v>1</v>
      </c>
      <c r="BI15" s="15">
        <v>1</v>
      </c>
      <c r="BJ15" s="15">
        <v>0</v>
      </c>
      <c r="BK15" s="15">
        <v>0</v>
      </c>
      <c r="BL15" s="15">
        <v>0</v>
      </c>
      <c r="BM15" s="15">
        <v>1</v>
      </c>
      <c r="BN15" s="15">
        <v>2</v>
      </c>
      <c r="BO15" s="15">
        <v>472.9</v>
      </c>
      <c r="BP15" s="15">
        <v>3.26</v>
      </c>
      <c r="BQ15" s="15">
        <v>105</v>
      </c>
      <c r="BR15" s="15">
        <v>0</v>
      </c>
      <c r="BS15" s="15">
        <v>0</v>
      </c>
      <c r="BT15" s="15">
        <v>0</v>
      </c>
      <c r="BU15" s="15">
        <v>0</v>
      </c>
      <c r="BV15" s="15">
        <v>0</v>
      </c>
      <c r="BW15" s="15">
        <v>0</v>
      </c>
      <c r="BX15" s="15">
        <v>0</v>
      </c>
    </row>
    <row r="16" spans="1:76">
      <c r="A16" s="14" t="str">
        <f>VLOOKUP(C16,VLOOKUP!A:B,2,FALSE)</f>
        <v>福颜青</v>
      </c>
      <c r="B16" s="16">
        <v>46109</v>
      </c>
      <c r="C16" s="17">
        <v>833369552621</v>
      </c>
      <c r="D16" s="15" t="s">
        <v>151</v>
      </c>
      <c r="E16" s="15" t="s">
        <v>154</v>
      </c>
      <c r="F16" s="15">
        <v>3549</v>
      </c>
      <c r="G16" s="15">
        <v>123</v>
      </c>
      <c r="H16" s="15">
        <v>43.63</v>
      </c>
      <c r="I16" s="15">
        <v>0.03466</v>
      </c>
      <c r="J16" s="15">
        <v>0.35</v>
      </c>
      <c r="K16" s="15">
        <v>12.29</v>
      </c>
      <c r="L16" s="15">
        <v>0</v>
      </c>
      <c r="M16" s="15">
        <v>0</v>
      </c>
      <c r="N16" s="15">
        <v>0</v>
      </c>
      <c r="O16" s="15">
        <v>0</v>
      </c>
      <c r="P16" s="15">
        <v>0</v>
      </c>
      <c r="Q16" s="15">
        <v>0</v>
      </c>
      <c r="R16" s="15">
        <v>0</v>
      </c>
      <c r="S16" s="15">
        <v>0</v>
      </c>
      <c r="T16" s="15">
        <v>0</v>
      </c>
      <c r="U16" s="15">
        <v>0</v>
      </c>
      <c r="V16" s="15">
        <v>0</v>
      </c>
      <c r="W16" s="15">
        <v>0</v>
      </c>
      <c r="X16" s="15">
        <v>0</v>
      </c>
      <c r="Y16" s="15">
        <v>0</v>
      </c>
      <c r="Z16" s="15">
        <v>0</v>
      </c>
      <c r="AA16" s="15"/>
      <c r="AB16" s="15">
        <v>2</v>
      </c>
      <c r="AC16" s="15">
        <v>1</v>
      </c>
      <c r="AD16" s="15">
        <v>1</v>
      </c>
      <c r="AE16" s="15">
        <v>0.01626</v>
      </c>
      <c r="AF16" s="15">
        <v>1</v>
      </c>
      <c r="AG16" s="15">
        <v>0</v>
      </c>
      <c r="AH16" s="15"/>
      <c r="AI16" s="15">
        <v>3</v>
      </c>
      <c r="AJ16" s="15">
        <v>14.54</v>
      </c>
      <c r="AK16" s="15">
        <v>3</v>
      </c>
      <c r="AL16" s="15">
        <v>14.54</v>
      </c>
      <c r="AM16" s="15">
        <v>1</v>
      </c>
      <c r="AN16" s="15">
        <v>43.63</v>
      </c>
      <c r="AO16" s="15">
        <v>0.00813</v>
      </c>
      <c r="AP16" s="15">
        <v>21.82</v>
      </c>
      <c r="AQ16" s="15">
        <v>0</v>
      </c>
      <c r="AR16" s="15">
        <v>0</v>
      </c>
      <c r="AS16" s="15">
        <v>1</v>
      </c>
      <c r="AT16" s="15">
        <v>0</v>
      </c>
      <c r="AU16" s="15">
        <v>0</v>
      </c>
      <c r="AV16" s="15">
        <v>0</v>
      </c>
      <c r="AW16" s="15">
        <v>0</v>
      </c>
      <c r="AX16" s="15">
        <v>0</v>
      </c>
      <c r="AY16" s="15">
        <v>273</v>
      </c>
      <c r="AZ16" s="15">
        <v>126</v>
      </c>
      <c r="BA16" s="15">
        <v>115</v>
      </c>
      <c r="BB16" s="15">
        <v>0.9127</v>
      </c>
      <c r="BC16" s="15">
        <v>0</v>
      </c>
      <c r="BD16" s="15">
        <v>0</v>
      </c>
      <c r="BE16" s="15">
        <v>0.07692</v>
      </c>
      <c r="BF16" s="15">
        <v>108</v>
      </c>
      <c r="BG16" s="15">
        <v>2</v>
      </c>
      <c r="BH16" s="15">
        <v>0</v>
      </c>
      <c r="BI16" s="15"/>
      <c r="BJ16" s="15">
        <v>0</v>
      </c>
      <c r="BK16" s="15">
        <v>0</v>
      </c>
      <c r="BL16" s="15">
        <v>0</v>
      </c>
      <c r="BM16" s="15">
        <v>0</v>
      </c>
      <c r="BN16" s="15"/>
      <c r="BO16" s="15"/>
      <c r="BP16" s="15">
        <v>0</v>
      </c>
      <c r="BQ16" s="15">
        <v>1907</v>
      </c>
      <c r="BR16" s="15">
        <v>0</v>
      </c>
      <c r="BS16" s="15">
        <v>0</v>
      </c>
      <c r="BT16" s="15">
        <v>0</v>
      </c>
      <c r="BU16" s="15">
        <v>0</v>
      </c>
      <c r="BV16" s="15">
        <v>0</v>
      </c>
      <c r="BW16" s="15">
        <v>0</v>
      </c>
      <c r="BX16" s="15">
        <v>0</v>
      </c>
    </row>
    <row r="17" spans="1:76">
      <c r="A17" s="14" t="str">
        <f>VLOOKUP(C17,VLOOKUP!A:B,2,FALSE)</f>
        <v>福到</v>
      </c>
      <c r="B17" s="16">
        <v>46108</v>
      </c>
      <c r="C17" s="17">
        <v>971856893567</v>
      </c>
      <c r="D17" s="15" t="s">
        <v>151</v>
      </c>
      <c r="E17" s="15" t="s">
        <v>152</v>
      </c>
      <c r="F17" s="15">
        <v>971</v>
      </c>
      <c r="G17" s="15">
        <v>50</v>
      </c>
      <c r="H17" s="15">
        <v>16.88</v>
      </c>
      <c r="I17" s="15">
        <v>0.05149</v>
      </c>
      <c r="J17" s="15">
        <v>0.34</v>
      </c>
      <c r="K17" s="15">
        <v>17.38</v>
      </c>
      <c r="L17" s="15">
        <v>0</v>
      </c>
      <c r="M17" s="15">
        <v>0</v>
      </c>
      <c r="N17" s="15">
        <v>0</v>
      </c>
      <c r="O17" s="15">
        <v>0</v>
      </c>
      <c r="P17" s="15">
        <v>0</v>
      </c>
      <c r="Q17" s="15">
        <v>0</v>
      </c>
      <c r="R17" s="15">
        <v>0</v>
      </c>
      <c r="S17" s="15">
        <v>0</v>
      </c>
      <c r="T17" s="15">
        <v>0</v>
      </c>
      <c r="U17" s="15">
        <v>0</v>
      </c>
      <c r="V17" s="15">
        <v>0</v>
      </c>
      <c r="W17" s="15">
        <v>0</v>
      </c>
      <c r="X17" s="15">
        <v>0</v>
      </c>
      <c r="Y17" s="15">
        <v>0</v>
      </c>
      <c r="Z17" s="15">
        <v>0</v>
      </c>
      <c r="AA17" s="15"/>
      <c r="AB17" s="15">
        <v>0</v>
      </c>
      <c r="AC17" s="15">
        <v>0</v>
      </c>
      <c r="AD17" s="15">
        <v>0</v>
      </c>
      <c r="AE17" s="15">
        <v>0</v>
      </c>
      <c r="AF17" s="15">
        <v>0</v>
      </c>
      <c r="AG17" s="15">
        <v>0</v>
      </c>
      <c r="AH17" s="15"/>
      <c r="AI17" s="15">
        <v>0</v>
      </c>
      <c r="AJ17" s="15"/>
      <c r="AK17" s="15">
        <v>0</v>
      </c>
      <c r="AL17" s="15"/>
      <c r="AM17" s="15">
        <v>0</v>
      </c>
      <c r="AN17" s="15"/>
      <c r="AO17" s="15">
        <v>0</v>
      </c>
      <c r="AP17" s="15"/>
      <c r="AQ17" s="15">
        <v>0</v>
      </c>
      <c r="AR17" s="15">
        <v>0</v>
      </c>
      <c r="AS17" s="15">
        <v>0</v>
      </c>
      <c r="AT17" s="15">
        <v>0</v>
      </c>
      <c r="AU17" s="15">
        <v>0</v>
      </c>
      <c r="AV17" s="15">
        <v>0</v>
      </c>
      <c r="AW17" s="15">
        <v>0</v>
      </c>
      <c r="AX17" s="15">
        <v>0</v>
      </c>
      <c r="AY17" s="15">
        <v>94</v>
      </c>
      <c r="AZ17" s="15">
        <v>50</v>
      </c>
      <c r="BA17" s="15">
        <v>49</v>
      </c>
      <c r="BB17" s="15">
        <v>0.98</v>
      </c>
      <c r="BC17" s="15">
        <v>0</v>
      </c>
      <c r="BD17" s="15">
        <v>0</v>
      </c>
      <c r="BE17" s="15">
        <v>0.09681</v>
      </c>
      <c r="BF17" s="15">
        <v>38</v>
      </c>
      <c r="BG17" s="15">
        <v>2</v>
      </c>
      <c r="BH17" s="15">
        <v>0</v>
      </c>
      <c r="BI17" s="15"/>
      <c r="BJ17" s="15">
        <v>0</v>
      </c>
      <c r="BK17" s="15">
        <v>0</v>
      </c>
      <c r="BL17" s="15">
        <v>0</v>
      </c>
      <c r="BM17" s="15">
        <v>0</v>
      </c>
      <c r="BN17" s="15"/>
      <c r="BO17" s="15"/>
      <c r="BP17" s="15">
        <v>0</v>
      </c>
      <c r="BQ17" s="15">
        <v>10</v>
      </c>
      <c r="BR17" s="15">
        <v>0</v>
      </c>
      <c r="BS17" s="15">
        <v>0</v>
      </c>
      <c r="BT17" s="15">
        <v>0</v>
      </c>
      <c r="BU17" s="15">
        <v>0</v>
      </c>
      <c r="BV17" s="15">
        <v>0</v>
      </c>
      <c r="BW17" s="15">
        <v>0</v>
      </c>
      <c r="BX17" s="15">
        <v>0</v>
      </c>
    </row>
    <row r="18" spans="1:76">
      <c r="A18" s="14" t="str">
        <f>VLOOKUP(C18,VLOOKUP!A:B,2,FALSE)</f>
        <v>鹅梨帐中香</v>
      </c>
      <c r="B18" s="16">
        <v>46108</v>
      </c>
      <c r="C18" s="17">
        <v>971317169387</v>
      </c>
      <c r="D18" s="15" t="s">
        <v>151</v>
      </c>
      <c r="E18" s="15" t="s">
        <v>155</v>
      </c>
      <c r="F18" s="15">
        <v>482</v>
      </c>
      <c r="G18" s="15">
        <v>22</v>
      </c>
      <c r="H18" s="15">
        <v>36.81</v>
      </c>
      <c r="I18" s="15">
        <v>0.04564</v>
      </c>
      <c r="J18" s="15">
        <v>1.67</v>
      </c>
      <c r="K18" s="15">
        <v>76.37</v>
      </c>
      <c r="L18" s="15">
        <v>0</v>
      </c>
      <c r="M18" s="15">
        <v>0</v>
      </c>
      <c r="N18" s="15">
        <v>0</v>
      </c>
      <c r="O18" s="15">
        <v>0</v>
      </c>
      <c r="P18" s="15">
        <v>0</v>
      </c>
      <c r="Q18" s="15">
        <v>0</v>
      </c>
      <c r="R18" s="15">
        <v>0</v>
      </c>
      <c r="S18" s="15">
        <v>0</v>
      </c>
      <c r="T18" s="15">
        <v>0</v>
      </c>
      <c r="U18" s="15">
        <v>0</v>
      </c>
      <c r="V18" s="15">
        <v>0</v>
      </c>
      <c r="W18" s="15">
        <v>0</v>
      </c>
      <c r="X18" s="15">
        <v>0</v>
      </c>
      <c r="Y18" s="15">
        <v>0</v>
      </c>
      <c r="Z18" s="15">
        <v>0</v>
      </c>
      <c r="AA18" s="15"/>
      <c r="AB18" s="15">
        <v>3</v>
      </c>
      <c r="AC18" s="15">
        <v>2</v>
      </c>
      <c r="AD18" s="15">
        <v>1</v>
      </c>
      <c r="AE18" s="15">
        <v>0.13636</v>
      </c>
      <c r="AF18" s="15">
        <v>0</v>
      </c>
      <c r="AG18" s="15">
        <v>1</v>
      </c>
      <c r="AH18" s="15">
        <v>36.81</v>
      </c>
      <c r="AI18" s="15">
        <v>4</v>
      </c>
      <c r="AJ18" s="15">
        <v>9.2</v>
      </c>
      <c r="AK18" s="15">
        <v>3</v>
      </c>
      <c r="AL18" s="15">
        <v>12.27</v>
      </c>
      <c r="AM18" s="15">
        <v>1</v>
      </c>
      <c r="AN18" s="15"/>
      <c r="AO18" s="15">
        <v>0</v>
      </c>
      <c r="AP18" s="15">
        <v>12.27</v>
      </c>
      <c r="AQ18" s="15">
        <v>0</v>
      </c>
      <c r="AR18" s="15">
        <v>0</v>
      </c>
      <c r="AS18" s="15">
        <v>0</v>
      </c>
      <c r="AT18" s="15">
        <v>0</v>
      </c>
      <c r="AU18" s="15">
        <v>0</v>
      </c>
      <c r="AV18" s="15">
        <v>0</v>
      </c>
      <c r="AW18" s="15">
        <v>0</v>
      </c>
      <c r="AX18" s="15">
        <v>0</v>
      </c>
      <c r="AY18" s="15">
        <v>98</v>
      </c>
      <c r="AZ18" s="15">
        <v>17</v>
      </c>
      <c r="BA18" s="15">
        <v>12</v>
      </c>
      <c r="BB18" s="15">
        <v>0.70588</v>
      </c>
      <c r="BC18" s="15">
        <v>0</v>
      </c>
      <c r="BD18" s="15">
        <v>0</v>
      </c>
      <c r="BE18" s="15">
        <v>0.20332</v>
      </c>
      <c r="BF18" s="15">
        <v>75</v>
      </c>
      <c r="BG18" s="15">
        <v>6</v>
      </c>
      <c r="BH18" s="15">
        <v>0</v>
      </c>
      <c r="BI18" s="15"/>
      <c r="BJ18" s="15">
        <v>0</v>
      </c>
      <c r="BK18" s="15">
        <v>0</v>
      </c>
      <c r="BL18" s="15">
        <v>0</v>
      </c>
      <c r="BM18" s="15">
        <v>0</v>
      </c>
      <c r="BN18" s="15"/>
      <c r="BO18" s="15"/>
      <c r="BP18" s="15">
        <v>0</v>
      </c>
      <c r="BQ18" s="15">
        <v>32</v>
      </c>
      <c r="BR18" s="15">
        <v>0</v>
      </c>
      <c r="BS18" s="15">
        <v>0</v>
      </c>
      <c r="BT18" s="15">
        <v>0</v>
      </c>
      <c r="BU18" s="15">
        <v>0</v>
      </c>
      <c r="BV18" s="15">
        <v>0</v>
      </c>
      <c r="BW18" s="15">
        <v>0</v>
      </c>
      <c r="BX18" s="15">
        <v>0</v>
      </c>
    </row>
    <row r="19" spans="1:76">
      <c r="A19" s="14" t="str">
        <f>VLOOKUP(C19,VLOOKUP!A:B,2,FALSE)</f>
        <v>如意盘香</v>
      </c>
      <c r="B19" s="16">
        <v>46108</v>
      </c>
      <c r="C19" s="17">
        <v>838711327669</v>
      </c>
      <c r="D19" s="15" t="s">
        <v>151</v>
      </c>
      <c r="E19" s="15" t="s">
        <v>153</v>
      </c>
      <c r="F19" s="15">
        <v>579</v>
      </c>
      <c r="G19" s="15">
        <v>23</v>
      </c>
      <c r="H19" s="15">
        <v>60</v>
      </c>
      <c r="I19" s="15">
        <v>0.03972</v>
      </c>
      <c r="J19" s="15">
        <v>2.61</v>
      </c>
      <c r="K19" s="15">
        <v>103.63</v>
      </c>
      <c r="L19" s="15">
        <v>0</v>
      </c>
      <c r="M19" s="15">
        <v>0</v>
      </c>
      <c r="N19" s="15">
        <v>0</v>
      </c>
      <c r="O19" s="15">
        <v>0</v>
      </c>
      <c r="P19" s="15">
        <v>0</v>
      </c>
      <c r="Q19" s="15">
        <v>0</v>
      </c>
      <c r="R19" s="15">
        <v>0</v>
      </c>
      <c r="S19" s="15">
        <v>0</v>
      </c>
      <c r="T19" s="15">
        <v>0</v>
      </c>
      <c r="U19" s="15">
        <v>0</v>
      </c>
      <c r="V19" s="15">
        <v>0</v>
      </c>
      <c r="W19" s="15">
        <v>0</v>
      </c>
      <c r="X19" s="15">
        <v>0</v>
      </c>
      <c r="Y19" s="15">
        <v>0</v>
      </c>
      <c r="Z19" s="15">
        <v>0</v>
      </c>
      <c r="AA19" s="15"/>
      <c r="AB19" s="15">
        <v>2</v>
      </c>
      <c r="AC19" s="15">
        <v>1</v>
      </c>
      <c r="AD19" s="15">
        <v>1</v>
      </c>
      <c r="AE19" s="15">
        <v>0.08696</v>
      </c>
      <c r="AF19" s="15">
        <v>0</v>
      </c>
      <c r="AG19" s="15">
        <v>0</v>
      </c>
      <c r="AH19" s="15"/>
      <c r="AI19" s="15">
        <v>2</v>
      </c>
      <c r="AJ19" s="15">
        <v>30</v>
      </c>
      <c r="AK19" s="15">
        <v>2</v>
      </c>
      <c r="AL19" s="15">
        <v>30</v>
      </c>
      <c r="AM19" s="15">
        <v>0</v>
      </c>
      <c r="AN19" s="15"/>
      <c r="AO19" s="15">
        <v>0</v>
      </c>
      <c r="AP19" s="15">
        <v>30</v>
      </c>
      <c r="AQ19" s="15">
        <v>0</v>
      </c>
      <c r="AR19" s="15">
        <v>0</v>
      </c>
      <c r="AS19" s="15">
        <v>0</v>
      </c>
      <c r="AT19" s="15">
        <v>0</v>
      </c>
      <c r="AU19" s="15">
        <v>0</v>
      </c>
      <c r="AV19" s="15">
        <v>0</v>
      </c>
      <c r="AW19" s="15">
        <v>0</v>
      </c>
      <c r="AX19" s="15">
        <v>0</v>
      </c>
      <c r="AY19" s="15">
        <v>89</v>
      </c>
      <c r="AZ19" s="15">
        <v>18</v>
      </c>
      <c r="BA19" s="15">
        <v>11</v>
      </c>
      <c r="BB19" s="15">
        <v>0.61111</v>
      </c>
      <c r="BC19" s="15">
        <v>0</v>
      </c>
      <c r="BD19" s="15">
        <v>0</v>
      </c>
      <c r="BE19" s="15">
        <v>0.15371</v>
      </c>
      <c r="BF19" s="15">
        <v>66</v>
      </c>
      <c r="BG19" s="15">
        <v>5</v>
      </c>
      <c r="BH19" s="15">
        <v>0</v>
      </c>
      <c r="BI19" s="15"/>
      <c r="BJ19" s="15">
        <v>0</v>
      </c>
      <c r="BK19" s="15">
        <v>0</v>
      </c>
      <c r="BL19" s="15">
        <v>0</v>
      </c>
      <c r="BM19" s="15">
        <v>0</v>
      </c>
      <c r="BN19" s="15"/>
      <c r="BO19" s="15"/>
      <c r="BP19" s="15">
        <v>0</v>
      </c>
      <c r="BQ19" s="15">
        <v>53</v>
      </c>
      <c r="BR19" s="15">
        <v>0</v>
      </c>
      <c r="BS19" s="15">
        <v>0</v>
      </c>
      <c r="BT19" s="15">
        <v>0</v>
      </c>
      <c r="BU19" s="15">
        <v>0</v>
      </c>
      <c r="BV19" s="15">
        <v>0</v>
      </c>
      <c r="BW19" s="15">
        <v>0</v>
      </c>
      <c r="BX19" s="15">
        <v>0</v>
      </c>
    </row>
    <row r="20" spans="1:76">
      <c r="A20" s="14" t="str">
        <f>VLOOKUP(C20,VLOOKUP!A:B,2,FALSE)</f>
        <v>福颜青</v>
      </c>
      <c r="B20" s="16">
        <v>46108</v>
      </c>
      <c r="C20" s="17">
        <v>833369552621</v>
      </c>
      <c r="D20" s="15" t="s">
        <v>151</v>
      </c>
      <c r="E20" s="15" t="s">
        <v>154</v>
      </c>
      <c r="F20" s="15">
        <v>2893</v>
      </c>
      <c r="G20" s="15">
        <v>113</v>
      </c>
      <c r="H20" s="15">
        <v>38.08</v>
      </c>
      <c r="I20" s="15">
        <v>0.03906</v>
      </c>
      <c r="J20" s="15">
        <v>0.34</v>
      </c>
      <c r="K20" s="15">
        <v>13.16</v>
      </c>
      <c r="L20" s="15">
        <v>0</v>
      </c>
      <c r="M20" s="15">
        <v>0</v>
      </c>
      <c r="N20" s="15">
        <v>0</v>
      </c>
      <c r="O20" s="15">
        <v>0</v>
      </c>
      <c r="P20" s="15">
        <v>0</v>
      </c>
      <c r="Q20" s="15">
        <v>0</v>
      </c>
      <c r="R20" s="15">
        <v>0</v>
      </c>
      <c r="S20" s="15">
        <v>0</v>
      </c>
      <c r="T20" s="15">
        <v>0</v>
      </c>
      <c r="U20" s="15">
        <v>0</v>
      </c>
      <c r="V20" s="15">
        <v>0</v>
      </c>
      <c r="W20" s="15">
        <v>0</v>
      </c>
      <c r="X20" s="15">
        <v>0</v>
      </c>
      <c r="Y20" s="15">
        <v>0</v>
      </c>
      <c r="Z20" s="15">
        <v>0</v>
      </c>
      <c r="AA20" s="15"/>
      <c r="AB20" s="15">
        <v>1</v>
      </c>
      <c r="AC20" s="15">
        <v>1</v>
      </c>
      <c r="AD20" s="15">
        <v>0</v>
      </c>
      <c r="AE20" s="15">
        <v>0.00885</v>
      </c>
      <c r="AF20" s="15">
        <v>0</v>
      </c>
      <c r="AG20" s="15">
        <v>0</v>
      </c>
      <c r="AH20" s="15"/>
      <c r="AI20" s="15">
        <v>1</v>
      </c>
      <c r="AJ20" s="15">
        <v>38.08</v>
      </c>
      <c r="AK20" s="15">
        <v>1</v>
      </c>
      <c r="AL20" s="15">
        <v>38.08</v>
      </c>
      <c r="AM20" s="15">
        <v>0</v>
      </c>
      <c r="AN20" s="15"/>
      <c r="AO20" s="15">
        <v>0</v>
      </c>
      <c r="AP20" s="15">
        <v>38.08</v>
      </c>
      <c r="AQ20" s="15">
        <v>0</v>
      </c>
      <c r="AR20" s="15">
        <v>0</v>
      </c>
      <c r="AS20" s="15">
        <v>0</v>
      </c>
      <c r="AT20" s="15">
        <v>0</v>
      </c>
      <c r="AU20" s="15">
        <v>0</v>
      </c>
      <c r="AV20" s="15">
        <v>0</v>
      </c>
      <c r="AW20" s="15">
        <v>0</v>
      </c>
      <c r="AX20" s="15">
        <v>0</v>
      </c>
      <c r="AY20" s="15">
        <v>222</v>
      </c>
      <c r="AZ20" s="15">
        <v>138</v>
      </c>
      <c r="BA20" s="15">
        <v>126</v>
      </c>
      <c r="BB20" s="15">
        <v>0.91304</v>
      </c>
      <c r="BC20" s="15">
        <v>0</v>
      </c>
      <c r="BD20" s="15">
        <v>0</v>
      </c>
      <c r="BE20" s="15">
        <v>0.07674</v>
      </c>
      <c r="BF20" s="15">
        <v>48</v>
      </c>
      <c r="BG20" s="15">
        <v>2</v>
      </c>
      <c r="BH20" s="15">
        <v>0</v>
      </c>
      <c r="BI20" s="15"/>
      <c r="BJ20" s="15">
        <v>0</v>
      </c>
      <c r="BK20" s="15">
        <v>0</v>
      </c>
      <c r="BL20" s="15">
        <v>0</v>
      </c>
      <c r="BM20" s="15">
        <v>0</v>
      </c>
      <c r="BN20" s="15"/>
      <c r="BO20" s="15"/>
      <c r="BP20" s="15">
        <v>0</v>
      </c>
      <c r="BQ20" s="15">
        <v>1113</v>
      </c>
      <c r="BR20" s="15">
        <v>0</v>
      </c>
      <c r="BS20" s="15">
        <v>0</v>
      </c>
      <c r="BT20" s="15">
        <v>0</v>
      </c>
      <c r="BU20" s="15">
        <v>0</v>
      </c>
      <c r="BV20" s="15">
        <v>0</v>
      </c>
      <c r="BW20" s="15">
        <v>0</v>
      </c>
      <c r="BX20" s="15">
        <v>0</v>
      </c>
    </row>
    <row r="21" spans="1:76">
      <c r="A21" s="14" t="str">
        <f>VLOOKUP(C21,VLOOKUP!A:B,2,FALSE)</f>
        <v>福到</v>
      </c>
      <c r="B21" s="16">
        <v>46107</v>
      </c>
      <c r="C21" s="17">
        <v>971856893567</v>
      </c>
      <c r="D21" s="15" t="s">
        <v>151</v>
      </c>
      <c r="E21" s="15" t="s">
        <v>152</v>
      </c>
      <c r="F21" s="15">
        <v>1317</v>
      </c>
      <c r="G21" s="15">
        <v>69</v>
      </c>
      <c r="H21" s="15">
        <v>22.95</v>
      </c>
      <c r="I21" s="15">
        <v>0.05239</v>
      </c>
      <c r="J21" s="15">
        <v>0.33</v>
      </c>
      <c r="K21" s="15">
        <v>17.43</v>
      </c>
      <c r="L21" s="15">
        <v>0</v>
      </c>
      <c r="M21" s="15">
        <v>0</v>
      </c>
      <c r="N21" s="15">
        <v>0</v>
      </c>
      <c r="O21" s="15">
        <v>0</v>
      </c>
      <c r="P21" s="15">
        <v>0</v>
      </c>
      <c r="Q21" s="15">
        <v>0</v>
      </c>
      <c r="R21" s="15">
        <v>0</v>
      </c>
      <c r="S21" s="15">
        <v>0</v>
      </c>
      <c r="T21" s="15">
        <v>0</v>
      </c>
      <c r="U21" s="15">
        <v>0</v>
      </c>
      <c r="V21" s="15">
        <v>0</v>
      </c>
      <c r="W21" s="15">
        <v>0</v>
      </c>
      <c r="X21" s="15">
        <v>0</v>
      </c>
      <c r="Y21" s="15">
        <v>0</v>
      </c>
      <c r="Z21" s="15">
        <v>0</v>
      </c>
      <c r="AA21" s="15"/>
      <c r="AB21" s="15">
        <v>0</v>
      </c>
      <c r="AC21" s="15">
        <v>0</v>
      </c>
      <c r="AD21" s="15">
        <v>0</v>
      </c>
      <c r="AE21" s="15">
        <v>0</v>
      </c>
      <c r="AF21" s="15">
        <v>0</v>
      </c>
      <c r="AG21" s="15">
        <v>0</v>
      </c>
      <c r="AH21" s="15"/>
      <c r="AI21" s="15">
        <v>0</v>
      </c>
      <c r="AJ21" s="15"/>
      <c r="AK21" s="15">
        <v>0</v>
      </c>
      <c r="AL21" s="15"/>
      <c r="AM21" s="15">
        <v>0</v>
      </c>
      <c r="AN21" s="15"/>
      <c r="AO21" s="15">
        <v>0</v>
      </c>
      <c r="AP21" s="15"/>
      <c r="AQ21" s="15">
        <v>0</v>
      </c>
      <c r="AR21" s="15">
        <v>0</v>
      </c>
      <c r="AS21" s="15">
        <v>0</v>
      </c>
      <c r="AT21" s="15">
        <v>0</v>
      </c>
      <c r="AU21" s="15">
        <v>0</v>
      </c>
      <c r="AV21" s="15">
        <v>0</v>
      </c>
      <c r="AW21" s="15">
        <v>0</v>
      </c>
      <c r="AX21" s="15">
        <v>0</v>
      </c>
      <c r="AY21" s="15">
        <v>102</v>
      </c>
      <c r="AZ21" s="15">
        <v>68</v>
      </c>
      <c r="BA21" s="15">
        <v>63</v>
      </c>
      <c r="BB21" s="15">
        <v>0.92647</v>
      </c>
      <c r="BC21" s="15">
        <v>0</v>
      </c>
      <c r="BD21" s="15">
        <v>0</v>
      </c>
      <c r="BE21" s="15">
        <v>0.07745</v>
      </c>
      <c r="BF21" s="15">
        <v>30</v>
      </c>
      <c r="BG21" s="15">
        <v>2</v>
      </c>
      <c r="BH21" s="15">
        <v>0</v>
      </c>
      <c r="BI21" s="15"/>
      <c r="BJ21" s="15">
        <v>0</v>
      </c>
      <c r="BK21" s="15">
        <v>0</v>
      </c>
      <c r="BL21" s="15">
        <v>0</v>
      </c>
      <c r="BM21" s="15">
        <v>0</v>
      </c>
      <c r="BN21" s="15"/>
      <c r="BO21" s="15"/>
      <c r="BP21" s="15">
        <v>0</v>
      </c>
      <c r="BQ21" s="15">
        <v>19</v>
      </c>
      <c r="BR21" s="15">
        <v>0</v>
      </c>
      <c r="BS21" s="15">
        <v>0</v>
      </c>
      <c r="BT21" s="15">
        <v>0</v>
      </c>
      <c r="BU21" s="15">
        <v>0</v>
      </c>
      <c r="BV21" s="15">
        <v>0</v>
      </c>
      <c r="BW21" s="15">
        <v>0</v>
      </c>
      <c r="BX21" s="15">
        <v>0</v>
      </c>
    </row>
    <row r="22" spans="1:76">
      <c r="A22" s="14" t="str">
        <f>VLOOKUP(C22,VLOOKUP!A:B,2,FALSE)</f>
        <v>鹅梨帐中香</v>
      </c>
      <c r="B22" s="16">
        <v>46107</v>
      </c>
      <c r="C22" s="17">
        <v>971317169387</v>
      </c>
      <c r="D22" s="15" t="s">
        <v>151</v>
      </c>
      <c r="E22" s="15" t="s">
        <v>155</v>
      </c>
      <c r="F22" s="15">
        <v>244</v>
      </c>
      <c r="G22" s="15">
        <v>14</v>
      </c>
      <c r="H22" s="15">
        <v>19.22</v>
      </c>
      <c r="I22" s="15">
        <v>0.05738</v>
      </c>
      <c r="J22" s="15">
        <v>1.37</v>
      </c>
      <c r="K22" s="15">
        <v>78.77</v>
      </c>
      <c r="L22" s="15">
        <v>0</v>
      </c>
      <c r="M22" s="15">
        <v>0</v>
      </c>
      <c r="N22" s="15">
        <v>0</v>
      </c>
      <c r="O22" s="15">
        <v>0</v>
      </c>
      <c r="P22" s="15">
        <v>0</v>
      </c>
      <c r="Q22" s="15">
        <v>0</v>
      </c>
      <c r="R22" s="15">
        <v>0</v>
      </c>
      <c r="S22" s="15">
        <v>0</v>
      </c>
      <c r="T22" s="15">
        <v>0</v>
      </c>
      <c r="U22" s="15">
        <v>0</v>
      </c>
      <c r="V22" s="15">
        <v>0</v>
      </c>
      <c r="W22" s="15">
        <v>0</v>
      </c>
      <c r="X22" s="15">
        <v>0</v>
      </c>
      <c r="Y22" s="15">
        <v>0</v>
      </c>
      <c r="Z22" s="15">
        <v>0</v>
      </c>
      <c r="AA22" s="15"/>
      <c r="AB22" s="15">
        <v>2</v>
      </c>
      <c r="AC22" s="15">
        <v>1</v>
      </c>
      <c r="AD22" s="15">
        <v>1</v>
      </c>
      <c r="AE22" s="15">
        <v>0.14286</v>
      </c>
      <c r="AF22" s="15">
        <v>1</v>
      </c>
      <c r="AG22" s="15">
        <v>1</v>
      </c>
      <c r="AH22" s="15">
        <v>19.22</v>
      </c>
      <c r="AI22" s="15">
        <v>4</v>
      </c>
      <c r="AJ22" s="15">
        <v>4.81</v>
      </c>
      <c r="AK22" s="15">
        <v>3</v>
      </c>
      <c r="AL22" s="15">
        <v>6.41</v>
      </c>
      <c r="AM22" s="15">
        <v>2</v>
      </c>
      <c r="AN22" s="15">
        <v>19.22</v>
      </c>
      <c r="AO22" s="15">
        <v>0.07143</v>
      </c>
      <c r="AP22" s="15">
        <v>9.61</v>
      </c>
      <c r="AQ22" s="15">
        <v>0</v>
      </c>
      <c r="AR22" s="15">
        <v>0</v>
      </c>
      <c r="AS22" s="15">
        <v>1</v>
      </c>
      <c r="AT22" s="15">
        <v>0</v>
      </c>
      <c r="AU22" s="15">
        <v>0</v>
      </c>
      <c r="AV22" s="15">
        <v>0</v>
      </c>
      <c r="AW22" s="15">
        <v>0</v>
      </c>
      <c r="AX22" s="15">
        <v>0</v>
      </c>
      <c r="AY22" s="15">
        <v>71</v>
      </c>
      <c r="AZ22" s="15">
        <v>11</v>
      </c>
      <c r="BA22" s="15">
        <v>8</v>
      </c>
      <c r="BB22" s="15">
        <v>0.72727</v>
      </c>
      <c r="BC22" s="15">
        <v>0</v>
      </c>
      <c r="BD22" s="15">
        <v>0</v>
      </c>
      <c r="BE22" s="15">
        <v>0.29098</v>
      </c>
      <c r="BF22" s="15">
        <v>57</v>
      </c>
      <c r="BG22" s="15">
        <v>6</v>
      </c>
      <c r="BH22" s="15">
        <v>0</v>
      </c>
      <c r="BI22" s="15"/>
      <c r="BJ22" s="15">
        <v>0</v>
      </c>
      <c r="BK22" s="15">
        <v>0</v>
      </c>
      <c r="BL22" s="15">
        <v>0</v>
      </c>
      <c r="BM22" s="15">
        <v>0</v>
      </c>
      <c r="BN22" s="15"/>
      <c r="BO22" s="15"/>
      <c r="BP22" s="15">
        <v>0</v>
      </c>
      <c r="BQ22" s="15">
        <v>84</v>
      </c>
      <c r="BR22" s="15">
        <v>0</v>
      </c>
      <c r="BS22" s="15">
        <v>0</v>
      </c>
      <c r="BT22" s="15">
        <v>0</v>
      </c>
      <c r="BU22" s="15">
        <v>0</v>
      </c>
      <c r="BV22" s="15">
        <v>0</v>
      </c>
      <c r="BW22" s="15">
        <v>0</v>
      </c>
      <c r="BX22" s="15">
        <v>0</v>
      </c>
    </row>
    <row r="23" spans="1:76">
      <c r="A23" s="14" t="str">
        <f>VLOOKUP(C23,VLOOKUP!A:B,2,FALSE)</f>
        <v>荔枝香</v>
      </c>
      <c r="B23" s="16">
        <v>46107</v>
      </c>
      <c r="C23" s="17">
        <v>960406497157</v>
      </c>
      <c r="D23" s="15" t="s">
        <v>151</v>
      </c>
      <c r="E23" s="15" t="s">
        <v>156</v>
      </c>
      <c r="F23" s="15">
        <v>650</v>
      </c>
      <c r="G23" s="15">
        <v>31</v>
      </c>
      <c r="H23" s="15">
        <v>49.24</v>
      </c>
      <c r="I23" s="15">
        <v>0.04769</v>
      </c>
      <c r="J23" s="15">
        <v>1.59</v>
      </c>
      <c r="K23" s="15">
        <v>75.75</v>
      </c>
      <c r="L23" s="15">
        <v>0</v>
      </c>
      <c r="M23" s="15">
        <v>0</v>
      </c>
      <c r="N23" s="15">
        <v>0</v>
      </c>
      <c r="O23" s="15">
        <v>0</v>
      </c>
      <c r="P23" s="15">
        <v>0</v>
      </c>
      <c r="Q23" s="15">
        <v>0</v>
      </c>
      <c r="R23" s="15">
        <v>0</v>
      </c>
      <c r="S23" s="15">
        <v>0</v>
      </c>
      <c r="T23" s="15">
        <v>0</v>
      </c>
      <c r="U23" s="15">
        <v>0</v>
      </c>
      <c r="V23" s="15">
        <v>0</v>
      </c>
      <c r="W23" s="15">
        <v>0</v>
      </c>
      <c r="X23" s="15">
        <v>0</v>
      </c>
      <c r="Y23" s="15">
        <v>0</v>
      </c>
      <c r="Z23" s="15">
        <v>0</v>
      </c>
      <c r="AA23" s="15"/>
      <c r="AB23" s="15">
        <v>5</v>
      </c>
      <c r="AC23" s="15">
        <v>2</v>
      </c>
      <c r="AD23" s="15">
        <v>3</v>
      </c>
      <c r="AE23" s="15">
        <v>0.16129</v>
      </c>
      <c r="AF23" s="15">
        <v>1</v>
      </c>
      <c r="AG23" s="15">
        <v>1</v>
      </c>
      <c r="AH23" s="15">
        <v>49.24</v>
      </c>
      <c r="AI23" s="15">
        <v>7</v>
      </c>
      <c r="AJ23" s="15">
        <v>7.03</v>
      </c>
      <c r="AK23" s="15">
        <v>6</v>
      </c>
      <c r="AL23" s="15">
        <v>8.21</v>
      </c>
      <c r="AM23" s="15">
        <v>2</v>
      </c>
      <c r="AN23" s="15">
        <v>49.24</v>
      </c>
      <c r="AO23" s="15">
        <v>0.03226</v>
      </c>
      <c r="AP23" s="15">
        <v>9.85</v>
      </c>
      <c r="AQ23" s="15">
        <v>0</v>
      </c>
      <c r="AR23" s="15">
        <v>0</v>
      </c>
      <c r="AS23" s="15">
        <v>1</v>
      </c>
      <c r="AT23" s="15">
        <v>0</v>
      </c>
      <c r="AU23" s="15">
        <v>0</v>
      </c>
      <c r="AV23" s="15">
        <v>0</v>
      </c>
      <c r="AW23" s="15">
        <v>0</v>
      </c>
      <c r="AX23" s="15">
        <v>1</v>
      </c>
      <c r="AY23" s="15">
        <v>172</v>
      </c>
      <c r="AZ23" s="15">
        <v>28</v>
      </c>
      <c r="BA23" s="15">
        <v>20</v>
      </c>
      <c r="BB23" s="15">
        <v>0.71429</v>
      </c>
      <c r="BC23" s="15">
        <v>0</v>
      </c>
      <c r="BD23" s="15">
        <v>0</v>
      </c>
      <c r="BE23" s="15">
        <v>0.26462</v>
      </c>
      <c r="BF23" s="15">
        <v>139</v>
      </c>
      <c r="BG23" s="15">
        <v>6</v>
      </c>
      <c r="BH23" s="15">
        <v>0</v>
      </c>
      <c r="BI23" s="15"/>
      <c r="BJ23" s="15">
        <v>0</v>
      </c>
      <c r="BK23" s="15">
        <v>0</v>
      </c>
      <c r="BL23" s="15">
        <v>0</v>
      </c>
      <c r="BM23" s="15">
        <v>0</v>
      </c>
      <c r="BN23" s="15"/>
      <c r="BO23" s="15"/>
      <c r="BP23" s="15">
        <v>0</v>
      </c>
      <c r="BQ23" s="15">
        <v>181</v>
      </c>
      <c r="BR23" s="15">
        <v>0</v>
      </c>
      <c r="BS23" s="15">
        <v>0</v>
      </c>
      <c r="BT23" s="15">
        <v>0</v>
      </c>
      <c r="BU23" s="15">
        <v>0</v>
      </c>
      <c r="BV23" s="15">
        <v>0</v>
      </c>
      <c r="BW23" s="15">
        <v>0</v>
      </c>
      <c r="BX23" s="15">
        <v>0</v>
      </c>
    </row>
    <row r="24" spans="1:76">
      <c r="A24" s="14" t="str">
        <f>VLOOKUP(C24,VLOOKUP!A:B,2,FALSE)</f>
        <v>如意盘香</v>
      </c>
      <c r="B24" s="16">
        <v>46107</v>
      </c>
      <c r="C24" s="17">
        <v>838711327669</v>
      </c>
      <c r="D24" s="15" t="s">
        <v>151</v>
      </c>
      <c r="E24" s="15" t="s">
        <v>153</v>
      </c>
      <c r="F24" s="15">
        <v>819</v>
      </c>
      <c r="G24" s="15">
        <v>41</v>
      </c>
      <c r="H24" s="15">
        <v>56.02</v>
      </c>
      <c r="I24" s="15">
        <v>0.05006</v>
      </c>
      <c r="J24" s="15">
        <v>1.37</v>
      </c>
      <c r="K24" s="15">
        <v>68.4</v>
      </c>
      <c r="L24" s="15">
        <v>0</v>
      </c>
      <c r="M24" s="15">
        <v>0</v>
      </c>
      <c r="N24" s="15">
        <v>0</v>
      </c>
      <c r="O24" s="15">
        <v>0</v>
      </c>
      <c r="P24" s="15">
        <v>0</v>
      </c>
      <c r="Q24" s="15">
        <v>0</v>
      </c>
      <c r="R24" s="15">
        <v>0</v>
      </c>
      <c r="S24" s="15">
        <v>0</v>
      </c>
      <c r="T24" s="15">
        <v>0</v>
      </c>
      <c r="U24" s="15">
        <v>0</v>
      </c>
      <c r="V24" s="15">
        <v>0</v>
      </c>
      <c r="W24" s="15">
        <v>0</v>
      </c>
      <c r="X24" s="15">
        <v>0</v>
      </c>
      <c r="Y24" s="15">
        <v>0</v>
      </c>
      <c r="Z24" s="15">
        <v>0</v>
      </c>
      <c r="AA24" s="15"/>
      <c r="AB24" s="15">
        <v>2</v>
      </c>
      <c r="AC24" s="15">
        <v>2</v>
      </c>
      <c r="AD24" s="15">
        <v>0</v>
      </c>
      <c r="AE24" s="15">
        <v>0.04878</v>
      </c>
      <c r="AF24" s="15">
        <v>2</v>
      </c>
      <c r="AG24" s="15">
        <v>0</v>
      </c>
      <c r="AH24" s="15"/>
      <c r="AI24" s="15">
        <v>4</v>
      </c>
      <c r="AJ24" s="15">
        <v>14.01</v>
      </c>
      <c r="AK24" s="15">
        <v>4</v>
      </c>
      <c r="AL24" s="15">
        <v>14.01</v>
      </c>
      <c r="AM24" s="15">
        <v>2</v>
      </c>
      <c r="AN24" s="15">
        <v>28.01</v>
      </c>
      <c r="AO24" s="15">
        <v>0.04878</v>
      </c>
      <c r="AP24" s="15">
        <v>28.01</v>
      </c>
      <c r="AQ24" s="15">
        <v>0</v>
      </c>
      <c r="AR24" s="15">
        <v>0</v>
      </c>
      <c r="AS24" s="15">
        <v>2</v>
      </c>
      <c r="AT24" s="15">
        <v>0</v>
      </c>
      <c r="AU24" s="15">
        <v>0</v>
      </c>
      <c r="AV24" s="15">
        <v>0</v>
      </c>
      <c r="AW24" s="15">
        <v>0</v>
      </c>
      <c r="AX24" s="15">
        <v>0</v>
      </c>
      <c r="AY24" s="15">
        <v>73</v>
      </c>
      <c r="AZ24" s="15">
        <v>34</v>
      </c>
      <c r="BA24" s="15">
        <v>23</v>
      </c>
      <c r="BB24" s="15">
        <v>0.67647</v>
      </c>
      <c r="BC24" s="15">
        <v>0</v>
      </c>
      <c r="BD24" s="15">
        <v>0</v>
      </c>
      <c r="BE24" s="15">
        <v>0.08913</v>
      </c>
      <c r="BF24" s="15">
        <v>27</v>
      </c>
      <c r="BG24" s="15">
        <v>2</v>
      </c>
      <c r="BH24" s="15">
        <v>0</v>
      </c>
      <c r="BI24" s="15"/>
      <c r="BJ24" s="15">
        <v>0</v>
      </c>
      <c r="BK24" s="15">
        <v>0</v>
      </c>
      <c r="BL24" s="15">
        <v>0</v>
      </c>
      <c r="BM24" s="15">
        <v>0</v>
      </c>
      <c r="BN24" s="15"/>
      <c r="BO24" s="15"/>
      <c r="BP24" s="15">
        <v>0</v>
      </c>
      <c r="BQ24" s="15">
        <v>39</v>
      </c>
      <c r="BR24" s="15">
        <v>0</v>
      </c>
      <c r="BS24" s="15">
        <v>0</v>
      </c>
      <c r="BT24" s="15">
        <v>0</v>
      </c>
      <c r="BU24" s="15">
        <v>0</v>
      </c>
      <c r="BV24" s="15">
        <v>0</v>
      </c>
      <c r="BW24" s="15">
        <v>0</v>
      </c>
      <c r="BX24" s="15">
        <v>0</v>
      </c>
    </row>
    <row r="25" spans="1:76">
      <c r="A25" s="14" t="str">
        <f>VLOOKUP(C25,VLOOKUP!A:B,2,FALSE)</f>
        <v>福颜青</v>
      </c>
      <c r="B25" s="16">
        <v>46107</v>
      </c>
      <c r="C25" s="17">
        <v>833369552621</v>
      </c>
      <c r="D25" s="15" t="s">
        <v>151</v>
      </c>
      <c r="E25" s="15" t="s">
        <v>154</v>
      </c>
      <c r="F25" s="15">
        <v>3569</v>
      </c>
      <c r="G25" s="15">
        <v>116</v>
      </c>
      <c r="H25" s="15">
        <v>35.55</v>
      </c>
      <c r="I25" s="15">
        <v>0.0325</v>
      </c>
      <c r="J25" s="15">
        <v>0.31</v>
      </c>
      <c r="K25" s="15">
        <v>9.96</v>
      </c>
      <c r="L25" s="15">
        <v>0</v>
      </c>
      <c r="M25" s="15">
        <v>0</v>
      </c>
      <c r="N25" s="15">
        <v>0</v>
      </c>
      <c r="O25" s="15">
        <v>0</v>
      </c>
      <c r="P25" s="15">
        <v>0</v>
      </c>
      <c r="Q25" s="15">
        <v>0</v>
      </c>
      <c r="R25" s="15">
        <v>0</v>
      </c>
      <c r="S25" s="15">
        <v>0</v>
      </c>
      <c r="T25" s="15">
        <v>0</v>
      </c>
      <c r="U25" s="15">
        <v>0</v>
      </c>
      <c r="V25" s="15">
        <v>0</v>
      </c>
      <c r="W25" s="15">
        <v>0</v>
      </c>
      <c r="X25" s="15">
        <v>0</v>
      </c>
      <c r="Y25" s="15">
        <v>0</v>
      </c>
      <c r="Z25" s="15">
        <v>0</v>
      </c>
      <c r="AA25" s="15"/>
      <c r="AB25" s="15">
        <v>0</v>
      </c>
      <c r="AC25" s="15">
        <v>0</v>
      </c>
      <c r="AD25" s="15">
        <v>0</v>
      </c>
      <c r="AE25" s="15">
        <v>0</v>
      </c>
      <c r="AF25" s="15">
        <v>0</v>
      </c>
      <c r="AG25" s="15">
        <v>0</v>
      </c>
      <c r="AH25" s="15"/>
      <c r="AI25" s="15">
        <v>0</v>
      </c>
      <c r="AJ25" s="15"/>
      <c r="AK25" s="15">
        <v>0</v>
      </c>
      <c r="AL25" s="15"/>
      <c r="AM25" s="15">
        <v>0</v>
      </c>
      <c r="AN25" s="15"/>
      <c r="AO25" s="15">
        <v>0</v>
      </c>
      <c r="AP25" s="15"/>
      <c r="AQ25" s="15">
        <v>0</v>
      </c>
      <c r="AR25" s="15">
        <v>0</v>
      </c>
      <c r="AS25" s="15">
        <v>0</v>
      </c>
      <c r="AT25" s="15">
        <v>0</v>
      </c>
      <c r="AU25" s="15">
        <v>0</v>
      </c>
      <c r="AV25" s="15">
        <v>0</v>
      </c>
      <c r="AW25" s="15">
        <v>0</v>
      </c>
      <c r="AX25" s="15">
        <v>0</v>
      </c>
      <c r="AY25" s="15">
        <v>226</v>
      </c>
      <c r="AZ25" s="15">
        <v>108</v>
      </c>
      <c r="BA25" s="15">
        <v>100</v>
      </c>
      <c r="BB25" s="15">
        <v>0.92593</v>
      </c>
      <c r="BC25" s="15">
        <v>0</v>
      </c>
      <c r="BD25" s="15">
        <v>0</v>
      </c>
      <c r="BE25" s="15">
        <v>0.06332</v>
      </c>
      <c r="BF25" s="15">
        <v>62</v>
      </c>
      <c r="BG25" s="15">
        <v>2</v>
      </c>
      <c r="BH25" s="15">
        <v>0</v>
      </c>
      <c r="BI25" s="15"/>
      <c r="BJ25" s="15">
        <v>0</v>
      </c>
      <c r="BK25" s="15">
        <v>0</v>
      </c>
      <c r="BL25" s="15">
        <v>0</v>
      </c>
      <c r="BM25" s="15">
        <v>0</v>
      </c>
      <c r="BN25" s="15"/>
      <c r="BO25" s="15"/>
      <c r="BP25" s="15">
        <v>0</v>
      </c>
      <c r="BQ25" s="15">
        <v>38</v>
      </c>
      <c r="BR25" s="15">
        <v>0</v>
      </c>
      <c r="BS25" s="15">
        <v>0</v>
      </c>
      <c r="BT25" s="15">
        <v>0</v>
      </c>
      <c r="BU25" s="15">
        <v>0</v>
      </c>
      <c r="BV25" s="15">
        <v>0</v>
      </c>
      <c r="BW25" s="15">
        <v>0</v>
      </c>
      <c r="BX25" s="15">
        <v>0</v>
      </c>
    </row>
    <row r="26" spans="1:76">
      <c r="A26" s="14" t="str">
        <f>VLOOKUP(C26,VLOOKUP!A:B,2,FALSE)</f>
        <v>福到</v>
      </c>
      <c r="B26" s="16">
        <v>46106</v>
      </c>
      <c r="C26" s="17">
        <v>971856893567</v>
      </c>
      <c r="D26" s="15" t="s">
        <v>151</v>
      </c>
      <c r="E26" s="15" t="s">
        <v>152</v>
      </c>
      <c r="F26" s="15">
        <v>1377</v>
      </c>
      <c r="G26" s="15">
        <v>70</v>
      </c>
      <c r="H26" s="15">
        <v>23.3</v>
      </c>
      <c r="I26" s="15">
        <v>0.05084</v>
      </c>
      <c r="J26" s="15">
        <v>0.33</v>
      </c>
      <c r="K26" s="15">
        <v>16.92</v>
      </c>
      <c r="L26" s="15">
        <v>0</v>
      </c>
      <c r="M26" s="15">
        <v>0</v>
      </c>
      <c r="N26" s="15">
        <v>0</v>
      </c>
      <c r="O26" s="15">
        <v>0</v>
      </c>
      <c r="P26" s="15">
        <v>0</v>
      </c>
      <c r="Q26" s="15">
        <v>0</v>
      </c>
      <c r="R26" s="15">
        <v>0</v>
      </c>
      <c r="S26" s="15">
        <v>0</v>
      </c>
      <c r="T26" s="15">
        <v>0</v>
      </c>
      <c r="U26" s="15">
        <v>0</v>
      </c>
      <c r="V26" s="15">
        <v>0</v>
      </c>
      <c r="W26" s="15">
        <v>0</v>
      </c>
      <c r="X26" s="15">
        <v>0</v>
      </c>
      <c r="Y26" s="15">
        <v>0</v>
      </c>
      <c r="Z26" s="15">
        <v>0</v>
      </c>
      <c r="AA26" s="15"/>
      <c r="AB26" s="15">
        <v>0</v>
      </c>
      <c r="AC26" s="15">
        <v>0</v>
      </c>
      <c r="AD26" s="15">
        <v>0</v>
      </c>
      <c r="AE26" s="15">
        <v>0</v>
      </c>
      <c r="AF26" s="15">
        <v>0</v>
      </c>
      <c r="AG26" s="15">
        <v>1</v>
      </c>
      <c r="AH26" s="15">
        <v>23.3</v>
      </c>
      <c r="AI26" s="15">
        <v>1</v>
      </c>
      <c r="AJ26" s="15">
        <v>23.3</v>
      </c>
      <c r="AK26" s="15">
        <v>0</v>
      </c>
      <c r="AL26" s="15"/>
      <c r="AM26" s="15">
        <v>1</v>
      </c>
      <c r="AN26" s="15"/>
      <c r="AO26" s="15">
        <v>0</v>
      </c>
      <c r="AP26" s="15"/>
      <c r="AQ26" s="15">
        <v>0</v>
      </c>
      <c r="AR26" s="15">
        <v>0</v>
      </c>
      <c r="AS26" s="15">
        <v>0</v>
      </c>
      <c r="AT26" s="15">
        <v>0</v>
      </c>
      <c r="AU26" s="15">
        <v>0</v>
      </c>
      <c r="AV26" s="15">
        <v>0</v>
      </c>
      <c r="AW26" s="15">
        <v>0</v>
      </c>
      <c r="AX26" s="15">
        <v>0</v>
      </c>
      <c r="AY26" s="15">
        <v>116</v>
      </c>
      <c r="AZ26" s="15">
        <v>67</v>
      </c>
      <c r="BA26" s="15">
        <v>62</v>
      </c>
      <c r="BB26" s="15">
        <v>0.92537</v>
      </c>
      <c r="BC26" s="15">
        <v>0</v>
      </c>
      <c r="BD26" s="15">
        <v>0</v>
      </c>
      <c r="BE26" s="15">
        <v>0.08424</v>
      </c>
      <c r="BF26" s="15">
        <v>40</v>
      </c>
      <c r="BG26" s="15">
        <v>2</v>
      </c>
      <c r="BH26" s="15">
        <v>0</v>
      </c>
      <c r="BI26" s="15"/>
      <c r="BJ26" s="15">
        <v>0</v>
      </c>
      <c r="BK26" s="15">
        <v>0</v>
      </c>
      <c r="BL26" s="15">
        <v>0</v>
      </c>
      <c r="BM26" s="15">
        <v>0</v>
      </c>
      <c r="BN26" s="15"/>
      <c r="BO26" s="15"/>
      <c r="BP26" s="15">
        <v>0</v>
      </c>
      <c r="BQ26" s="15">
        <v>6</v>
      </c>
      <c r="BR26" s="15">
        <v>0</v>
      </c>
      <c r="BS26" s="15">
        <v>0</v>
      </c>
      <c r="BT26" s="15">
        <v>0</v>
      </c>
      <c r="BU26" s="15">
        <v>0</v>
      </c>
      <c r="BV26" s="15">
        <v>0</v>
      </c>
      <c r="BW26" s="15">
        <v>0</v>
      </c>
      <c r="BX26" s="15">
        <v>0</v>
      </c>
    </row>
    <row r="27" spans="1:76">
      <c r="A27" s="14" t="str">
        <f>VLOOKUP(C27,VLOOKUP!A:B,2,FALSE)</f>
        <v>荔枝香</v>
      </c>
      <c r="B27" s="16">
        <v>46106</v>
      </c>
      <c r="C27" s="17">
        <v>960406497157</v>
      </c>
      <c r="D27" s="15" t="s">
        <v>151</v>
      </c>
      <c r="E27" s="15" t="s">
        <v>156</v>
      </c>
      <c r="F27" s="15">
        <v>1265</v>
      </c>
      <c r="G27" s="15">
        <v>51</v>
      </c>
      <c r="H27" s="15">
        <v>50</v>
      </c>
      <c r="I27" s="15">
        <v>0.04032</v>
      </c>
      <c r="J27" s="15">
        <v>0.98</v>
      </c>
      <c r="K27" s="15">
        <v>39.53</v>
      </c>
      <c r="L27" s="15">
        <v>0</v>
      </c>
      <c r="M27" s="15">
        <v>0</v>
      </c>
      <c r="N27" s="15">
        <v>0</v>
      </c>
      <c r="O27" s="15">
        <v>0</v>
      </c>
      <c r="P27" s="15">
        <v>0</v>
      </c>
      <c r="Q27" s="15">
        <v>0</v>
      </c>
      <c r="R27" s="15">
        <v>0</v>
      </c>
      <c r="S27" s="15">
        <v>0</v>
      </c>
      <c r="T27" s="15">
        <v>0</v>
      </c>
      <c r="U27" s="15">
        <v>0</v>
      </c>
      <c r="V27" s="15">
        <v>0</v>
      </c>
      <c r="W27" s="15">
        <v>0</v>
      </c>
      <c r="X27" s="15">
        <v>0</v>
      </c>
      <c r="Y27" s="15">
        <v>0</v>
      </c>
      <c r="Z27" s="15">
        <v>0</v>
      </c>
      <c r="AA27" s="15"/>
      <c r="AB27" s="15">
        <v>4</v>
      </c>
      <c r="AC27" s="15">
        <v>3</v>
      </c>
      <c r="AD27" s="15">
        <v>1</v>
      </c>
      <c r="AE27" s="15">
        <v>0.07843</v>
      </c>
      <c r="AF27" s="15">
        <v>1</v>
      </c>
      <c r="AG27" s="15">
        <v>1</v>
      </c>
      <c r="AH27" s="15">
        <v>50</v>
      </c>
      <c r="AI27" s="15">
        <v>6</v>
      </c>
      <c r="AJ27" s="15">
        <v>8.33</v>
      </c>
      <c r="AK27" s="15">
        <v>5</v>
      </c>
      <c r="AL27" s="15">
        <v>10</v>
      </c>
      <c r="AM27" s="15">
        <v>2</v>
      </c>
      <c r="AN27" s="15">
        <v>50</v>
      </c>
      <c r="AO27" s="15">
        <v>0.01961</v>
      </c>
      <c r="AP27" s="15">
        <v>12.5</v>
      </c>
      <c r="AQ27" s="15">
        <v>0</v>
      </c>
      <c r="AR27" s="15">
        <v>0</v>
      </c>
      <c r="AS27" s="15">
        <v>1</v>
      </c>
      <c r="AT27" s="15">
        <v>0</v>
      </c>
      <c r="AU27" s="15">
        <v>0</v>
      </c>
      <c r="AV27" s="15">
        <v>0</v>
      </c>
      <c r="AW27" s="15">
        <v>0</v>
      </c>
      <c r="AX27" s="15">
        <v>0</v>
      </c>
      <c r="AY27" s="15">
        <v>116</v>
      </c>
      <c r="AZ27" s="15">
        <v>47</v>
      </c>
      <c r="BA27" s="15">
        <v>31</v>
      </c>
      <c r="BB27" s="15">
        <v>0.65957</v>
      </c>
      <c r="BC27" s="15">
        <v>0</v>
      </c>
      <c r="BD27" s="15">
        <v>0</v>
      </c>
      <c r="BE27" s="15">
        <v>0.0917</v>
      </c>
      <c r="BF27" s="15">
        <v>64</v>
      </c>
      <c r="BG27" s="15">
        <v>2</v>
      </c>
      <c r="BH27" s="15">
        <v>0</v>
      </c>
      <c r="BI27" s="15"/>
      <c r="BJ27" s="15">
        <v>0</v>
      </c>
      <c r="BK27" s="15">
        <v>0</v>
      </c>
      <c r="BL27" s="15">
        <v>0</v>
      </c>
      <c r="BM27" s="15">
        <v>0</v>
      </c>
      <c r="BN27" s="15"/>
      <c r="BO27" s="15"/>
      <c r="BP27" s="15">
        <v>0</v>
      </c>
      <c r="BQ27" s="15">
        <v>154</v>
      </c>
      <c r="BR27" s="15">
        <v>0</v>
      </c>
      <c r="BS27" s="15">
        <v>0</v>
      </c>
      <c r="BT27" s="15">
        <v>7</v>
      </c>
      <c r="BU27" s="15">
        <v>0</v>
      </c>
      <c r="BV27" s="15">
        <v>0</v>
      </c>
      <c r="BW27" s="15">
        <v>0</v>
      </c>
      <c r="BX27" s="15">
        <v>0</v>
      </c>
    </row>
    <row r="28" spans="1:76">
      <c r="A28" s="14" t="str">
        <f>VLOOKUP(C28,VLOOKUP!A:B,2,FALSE)</f>
        <v>如意盘香</v>
      </c>
      <c r="B28" s="16">
        <v>46106</v>
      </c>
      <c r="C28" s="17">
        <v>838711327669</v>
      </c>
      <c r="D28" s="15" t="s">
        <v>151</v>
      </c>
      <c r="E28" s="15" t="s">
        <v>153</v>
      </c>
      <c r="F28" s="15">
        <v>643</v>
      </c>
      <c r="G28" s="15">
        <v>26</v>
      </c>
      <c r="H28" s="15">
        <v>60</v>
      </c>
      <c r="I28" s="15">
        <v>0.04044</v>
      </c>
      <c r="J28" s="15">
        <v>2.31</v>
      </c>
      <c r="K28" s="15">
        <v>93.31</v>
      </c>
      <c r="L28" s="15">
        <v>0</v>
      </c>
      <c r="M28" s="15">
        <v>0</v>
      </c>
      <c r="N28" s="15">
        <v>0</v>
      </c>
      <c r="O28" s="15">
        <v>0</v>
      </c>
      <c r="P28" s="15">
        <v>0</v>
      </c>
      <c r="Q28" s="15">
        <v>0</v>
      </c>
      <c r="R28" s="15">
        <v>147.64</v>
      </c>
      <c r="S28" s="15">
        <v>0</v>
      </c>
      <c r="T28" s="15">
        <v>147.64</v>
      </c>
      <c r="U28" s="15">
        <v>1</v>
      </c>
      <c r="V28" s="15">
        <v>1</v>
      </c>
      <c r="W28" s="15">
        <v>0</v>
      </c>
      <c r="X28" s="15">
        <v>0.03846</v>
      </c>
      <c r="Y28" s="15">
        <v>2.46</v>
      </c>
      <c r="Z28" s="15">
        <v>2.46</v>
      </c>
      <c r="AA28" s="15">
        <v>60</v>
      </c>
      <c r="AB28" s="15">
        <v>1</v>
      </c>
      <c r="AC28" s="15">
        <v>1</v>
      </c>
      <c r="AD28" s="15">
        <v>0</v>
      </c>
      <c r="AE28" s="15">
        <v>0.03846</v>
      </c>
      <c r="AF28" s="15">
        <v>0</v>
      </c>
      <c r="AG28" s="15">
        <v>1</v>
      </c>
      <c r="AH28" s="15">
        <v>60</v>
      </c>
      <c r="AI28" s="15">
        <v>2</v>
      </c>
      <c r="AJ28" s="15">
        <v>30</v>
      </c>
      <c r="AK28" s="15">
        <v>1</v>
      </c>
      <c r="AL28" s="15">
        <v>60</v>
      </c>
      <c r="AM28" s="15">
        <v>1</v>
      </c>
      <c r="AN28" s="15"/>
      <c r="AO28" s="15">
        <v>0</v>
      </c>
      <c r="AP28" s="15">
        <v>60</v>
      </c>
      <c r="AQ28" s="15">
        <v>2</v>
      </c>
      <c r="AR28" s="15">
        <v>187</v>
      </c>
      <c r="AS28" s="15">
        <v>0</v>
      </c>
      <c r="AT28" s="15">
        <v>0</v>
      </c>
      <c r="AU28" s="15">
        <v>0</v>
      </c>
      <c r="AV28" s="15">
        <v>0</v>
      </c>
      <c r="AW28" s="15">
        <v>0</v>
      </c>
      <c r="AX28" s="15">
        <v>1</v>
      </c>
      <c r="AY28" s="15">
        <v>47</v>
      </c>
      <c r="AZ28" s="15">
        <v>22</v>
      </c>
      <c r="BA28" s="15">
        <v>16</v>
      </c>
      <c r="BB28" s="15">
        <v>0.72727</v>
      </c>
      <c r="BC28" s="15">
        <v>0</v>
      </c>
      <c r="BD28" s="15">
        <v>0</v>
      </c>
      <c r="BE28" s="15">
        <v>0.07309</v>
      </c>
      <c r="BF28" s="15">
        <v>18</v>
      </c>
      <c r="BG28" s="15">
        <v>2</v>
      </c>
      <c r="BH28" s="15">
        <v>1</v>
      </c>
      <c r="BI28" s="15">
        <v>1</v>
      </c>
      <c r="BJ28" s="15">
        <v>0</v>
      </c>
      <c r="BK28" s="15">
        <v>0</v>
      </c>
      <c r="BL28" s="15">
        <v>0</v>
      </c>
      <c r="BM28" s="15">
        <v>1</v>
      </c>
      <c r="BN28" s="15">
        <v>1</v>
      </c>
      <c r="BO28" s="15">
        <v>147.64</v>
      </c>
      <c r="BP28" s="15">
        <v>0</v>
      </c>
      <c r="BQ28" s="15">
        <v>625</v>
      </c>
      <c r="BR28" s="15">
        <v>0</v>
      </c>
      <c r="BS28" s="15">
        <v>0</v>
      </c>
      <c r="BT28" s="15">
        <v>0</v>
      </c>
      <c r="BU28" s="15">
        <v>0</v>
      </c>
      <c r="BV28" s="15">
        <v>0</v>
      </c>
      <c r="BW28" s="15">
        <v>0</v>
      </c>
      <c r="BX28" s="15">
        <v>0</v>
      </c>
    </row>
    <row r="29" spans="1:76">
      <c r="A29" s="14" t="str">
        <f>VLOOKUP(C29,VLOOKUP!A:B,2,FALSE)</f>
        <v>福颜青</v>
      </c>
      <c r="B29" s="16">
        <v>46106</v>
      </c>
      <c r="C29" s="17">
        <v>833369552621</v>
      </c>
      <c r="D29" s="15" t="s">
        <v>151</v>
      </c>
      <c r="E29" s="15" t="s">
        <v>154</v>
      </c>
      <c r="F29" s="15">
        <v>3740</v>
      </c>
      <c r="G29" s="15">
        <v>88</v>
      </c>
      <c r="H29" s="15">
        <v>29.1</v>
      </c>
      <c r="I29" s="15">
        <v>0.02353</v>
      </c>
      <c r="J29" s="15">
        <v>0.33</v>
      </c>
      <c r="K29" s="15">
        <v>7.78</v>
      </c>
      <c r="L29" s="15">
        <v>0</v>
      </c>
      <c r="M29" s="15">
        <v>0</v>
      </c>
      <c r="N29" s="15">
        <v>0</v>
      </c>
      <c r="O29" s="15">
        <v>0</v>
      </c>
      <c r="P29" s="15">
        <v>0</v>
      </c>
      <c r="Q29" s="15">
        <v>0</v>
      </c>
      <c r="R29" s="15">
        <v>0</v>
      </c>
      <c r="S29" s="15">
        <v>0</v>
      </c>
      <c r="T29" s="15">
        <v>0</v>
      </c>
      <c r="U29" s="15">
        <v>0</v>
      </c>
      <c r="V29" s="15">
        <v>0</v>
      </c>
      <c r="W29" s="15">
        <v>0</v>
      </c>
      <c r="X29" s="15">
        <v>0</v>
      </c>
      <c r="Y29" s="15">
        <v>0</v>
      </c>
      <c r="Z29" s="15">
        <v>0</v>
      </c>
      <c r="AA29" s="15"/>
      <c r="AB29" s="15">
        <v>0</v>
      </c>
      <c r="AC29" s="15">
        <v>0</v>
      </c>
      <c r="AD29" s="15">
        <v>0</v>
      </c>
      <c r="AE29" s="15">
        <v>0</v>
      </c>
      <c r="AF29" s="15">
        <v>0</v>
      </c>
      <c r="AG29" s="15">
        <v>0</v>
      </c>
      <c r="AH29" s="15"/>
      <c r="AI29" s="15">
        <v>0</v>
      </c>
      <c r="AJ29" s="15"/>
      <c r="AK29" s="15">
        <v>0</v>
      </c>
      <c r="AL29" s="15"/>
      <c r="AM29" s="15">
        <v>0</v>
      </c>
      <c r="AN29" s="15"/>
      <c r="AO29" s="15">
        <v>0</v>
      </c>
      <c r="AP29" s="15"/>
      <c r="AQ29" s="15">
        <v>0</v>
      </c>
      <c r="AR29" s="15">
        <v>0</v>
      </c>
      <c r="AS29" s="15">
        <v>0</v>
      </c>
      <c r="AT29" s="15">
        <v>0</v>
      </c>
      <c r="AU29" s="15">
        <v>0</v>
      </c>
      <c r="AV29" s="15">
        <v>0</v>
      </c>
      <c r="AW29" s="15">
        <v>0</v>
      </c>
      <c r="AX29" s="15">
        <v>0</v>
      </c>
      <c r="AY29" s="15">
        <v>137</v>
      </c>
      <c r="AZ29" s="15">
        <v>93</v>
      </c>
      <c r="BA29" s="15">
        <v>85</v>
      </c>
      <c r="BB29" s="15">
        <v>0.91398</v>
      </c>
      <c r="BC29" s="15">
        <v>0</v>
      </c>
      <c r="BD29" s="15">
        <v>0</v>
      </c>
      <c r="BE29" s="15">
        <v>0.03663</v>
      </c>
      <c r="BF29" s="15">
        <v>30</v>
      </c>
      <c r="BG29" s="15">
        <v>1</v>
      </c>
      <c r="BH29" s="15">
        <v>0</v>
      </c>
      <c r="BI29" s="15"/>
      <c r="BJ29" s="15">
        <v>0</v>
      </c>
      <c r="BK29" s="15">
        <v>0</v>
      </c>
      <c r="BL29" s="15">
        <v>0</v>
      </c>
      <c r="BM29" s="15">
        <v>0</v>
      </c>
      <c r="BN29" s="15"/>
      <c r="BO29" s="15"/>
      <c r="BP29" s="15">
        <v>0</v>
      </c>
      <c r="BQ29" s="15">
        <v>6</v>
      </c>
      <c r="BR29" s="15">
        <v>0</v>
      </c>
      <c r="BS29" s="15">
        <v>0</v>
      </c>
      <c r="BT29" s="15">
        <v>0</v>
      </c>
      <c r="BU29" s="15">
        <v>0</v>
      </c>
      <c r="BV29" s="15">
        <v>0</v>
      </c>
      <c r="BW29" s="15">
        <v>0</v>
      </c>
      <c r="BX29" s="15">
        <v>0</v>
      </c>
    </row>
    <row r="30" spans="1:76">
      <c r="A30" s="14" t="str">
        <f>VLOOKUP(C30,VLOOKUP!A:B,2,FALSE)</f>
        <v>福到</v>
      </c>
      <c r="B30" s="16">
        <v>46105</v>
      </c>
      <c r="C30" s="17">
        <v>971856893567</v>
      </c>
      <c r="D30" s="15" t="s">
        <v>151</v>
      </c>
      <c r="E30" s="15" t="s">
        <v>152</v>
      </c>
      <c r="F30" s="15">
        <v>1793</v>
      </c>
      <c r="G30" s="15">
        <v>80</v>
      </c>
      <c r="H30" s="15">
        <v>25.83</v>
      </c>
      <c r="I30" s="15">
        <v>0.04462</v>
      </c>
      <c r="J30" s="15">
        <v>0.32</v>
      </c>
      <c r="K30" s="15">
        <v>14.41</v>
      </c>
      <c r="L30" s="15">
        <v>0</v>
      </c>
      <c r="M30" s="15">
        <v>0</v>
      </c>
      <c r="N30" s="15">
        <v>0</v>
      </c>
      <c r="O30" s="15">
        <v>0</v>
      </c>
      <c r="P30" s="15">
        <v>0</v>
      </c>
      <c r="Q30" s="15">
        <v>0</v>
      </c>
      <c r="R30" s="15">
        <v>0</v>
      </c>
      <c r="S30" s="15">
        <v>0</v>
      </c>
      <c r="T30" s="15">
        <v>0</v>
      </c>
      <c r="U30" s="15">
        <v>0</v>
      </c>
      <c r="V30" s="15">
        <v>0</v>
      </c>
      <c r="W30" s="15">
        <v>0</v>
      </c>
      <c r="X30" s="15">
        <v>0</v>
      </c>
      <c r="Y30" s="15">
        <v>0</v>
      </c>
      <c r="Z30" s="15">
        <v>0</v>
      </c>
      <c r="AA30" s="15"/>
      <c r="AB30" s="15">
        <v>4</v>
      </c>
      <c r="AC30" s="15">
        <v>0</v>
      </c>
      <c r="AD30" s="15">
        <v>4</v>
      </c>
      <c r="AE30" s="15">
        <v>0.05</v>
      </c>
      <c r="AF30" s="15">
        <v>0</v>
      </c>
      <c r="AG30" s="15">
        <v>0</v>
      </c>
      <c r="AH30" s="15"/>
      <c r="AI30" s="15">
        <v>4</v>
      </c>
      <c r="AJ30" s="15">
        <v>6.46</v>
      </c>
      <c r="AK30" s="15">
        <v>4</v>
      </c>
      <c r="AL30" s="15">
        <v>6.46</v>
      </c>
      <c r="AM30" s="15">
        <v>0</v>
      </c>
      <c r="AN30" s="15"/>
      <c r="AO30" s="15">
        <v>0</v>
      </c>
      <c r="AP30" s="15">
        <v>6.46</v>
      </c>
      <c r="AQ30" s="15">
        <v>0</v>
      </c>
      <c r="AR30" s="15">
        <v>0</v>
      </c>
      <c r="AS30" s="15">
        <v>0</v>
      </c>
      <c r="AT30" s="15">
        <v>0</v>
      </c>
      <c r="AU30" s="15">
        <v>0</v>
      </c>
      <c r="AV30" s="15">
        <v>0</v>
      </c>
      <c r="AW30" s="15">
        <v>0</v>
      </c>
      <c r="AX30" s="15">
        <v>0</v>
      </c>
      <c r="AY30" s="15">
        <v>258</v>
      </c>
      <c r="AZ30" s="15">
        <v>76</v>
      </c>
      <c r="BA30" s="15">
        <v>71</v>
      </c>
      <c r="BB30" s="15">
        <v>0.93421</v>
      </c>
      <c r="BC30" s="15">
        <v>0</v>
      </c>
      <c r="BD30" s="15">
        <v>0</v>
      </c>
      <c r="BE30" s="15">
        <v>0.14389</v>
      </c>
      <c r="BF30" s="15">
        <v>171</v>
      </c>
      <c r="BG30" s="15">
        <v>3</v>
      </c>
      <c r="BH30" s="15">
        <v>0</v>
      </c>
      <c r="BI30" s="15"/>
      <c r="BJ30" s="15">
        <v>0</v>
      </c>
      <c r="BK30" s="15">
        <v>0</v>
      </c>
      <c r="BL30" s="15">
        <v>0</v>
      </c>
      <c r="BM30" s="15">
        <v>0</v>
      </c>
      <c r="BN30" s="15"/>
      <c r="BO30" s="15"/>
      <c r="BP30" s="15">
        <v>0</v>
      </c>
      <c r="BQ30" s="15">
        <v>84</v>
      </c>
      <c r="BR30" s="15">
        <v>0</v>
      </c>
      <c r="BS30" s="15">
        <v>0</v>
      </c>
      <c r="BT30" s="15">
        <v>0</v>
      </c>
      <c r="BU30" s="15">
        <v>0</v>
      </c>
      <c r="BV30" s="15">
        <v>0</v>
      </c>
      <c r="BW30" s="15">
        <v>0</v>
      </c>
      <c r="BX30" s="15">
        <v>0</v>
      </c>
    </row>
    <row r="31" spans="1:76">
      <c r="A31" s="14" t="str">
        <f>VLOOKUP(C31,VLOOKUP!A:B,2,FALSE)</f>
        <v>荔枝香</v>
      </c>
      <c r="B31" s="16">
        <v>46105</v>
      </c>
      <c r="C31" s="17">
        <v>960406497157</v>
      </c>
      <c r="D31" s="15" t="s">
        <v>151</v>
      </c>
      <c r="E31" s="15" t="s">
        <v>156</v>
      </c>
      <c r="F31" s="15">
        <v>598</v>
      </c>
      <c r="G31" s="15">
        <v>29</v>
      </c>
      <c r="H31" s="15">
        <v>50</v>
      </c>
      <c r="I31" s="15">
        <v>0.04849</v>
      </c>
      <c r="J31" s="15">
        <v>1.72</v>
      </c>
      <c r="K31" s="15">
        <v>83.61</v>
      </c>
      <c r="L31" s="15">
        <v>0</v>
      </c>
      <c r="M31" s="15">
        <v>0</v>
      </c>
      <c r="N31" s="15">
        <v>0</v>
      </c>
      <c r="O31" s="15">
        <v>0</v>
      </c>
      <c r="P31" s="15">
        <v>0</v>
      </c>
      <c r="Q31" s="15">
        <v>0</v>
      </c>
      <c r="R31" s="15">
        <v>84.15</v>
      </c>
      <c r="S31" s="15">
        <v>258.07</v>
      </c>
      <c r="T31" s="15">
        <v>342.22</v>
      </c>
      <c r="U31" s="15">
        <v>5</v>
      </c>
      <c r="V31" s="15">
        <v>1</v>
      </c>
      <c r="W31" s="15">
        <v>4</v>
      </c>
      <c r="X31" s="15">
        <v>0.17241</v>
      </c>
      <c r="Y31" s="15">
        <v>6.84</v>
      </c>
      <c r="Z31" s="15">
        <v>6.84</v>
      </c>
      <c r="AA31" s="15">
        <v>10</v>
      </c>
      <c r="AB31" s="15">
        <v>12</v>
      </c>
      <c r="AC31" s="15">
        <v>2</v>
      </c>
      <c r="AD31" s="15">
        <v>10</v>
      </c>
      <c r="AE31" s="15">
        <v>0.41379</v>
      </c>
      <c r="AF31" s="15">
        <v>1</v>
      </c>
      <c r="AG31" s="15">
        <v>2</v>
      </c>
      <c r="AH31" s="15">
        <v>25</v>
      </c>
      <c r="AI31" s="15">
        <v>15</v>
      </c>
      <c r="AJ31" s="15">
        <v>3.33</v>
      </c>
      <c r="AK31" s="15">
        <v>13</v>
      </c>
      <c r="AL31" s="15">
        <v>3.85</v>
      </c>
      <c r="AM31" s="15">
        <v>3</v>
      </c>
      <c r="AN31" s="15">
        <v>50</v>
      </c>
      <c r="AO31" s="15">
        <v>0.03448</v>
      </c>
      <c r="AP31" s="15">
        <v>4.17</v>
      </c>
      <c r="AQ31" s="15">
        <v>7</v>
      </c>
      <c r="AR31" s="15">
        <v>465.7</v>
      </c>
      <c r="AS31" s="15">
        <v>1</v>
      </c>
      <c r="AT31" s="15">
        <v>0</v>
      </c>
      <c r="AU31" s="15">
        <v>0</v>
      </c>
      <c r="AV31" s="15">
        <v>0</v>
      </c>
      <c r="AW31" s="15">
        <v>0</v>
      </c>
      <c r="AX31" s="15">
        <v>3</v>
      </c>
      <c r="AY31" s="15">
        <v>83</v>
      </c>
      <c r="AZ31" s="15">
        <v>26</v>
      </c>
      <c r="BA31" s="15">
        <v>15</v>
      </c>
      <c r="BB31" s="15">
        <v>0.57692</v>
      </c>
      <c r="BC31" s="15">
        <v>0</v>
      </c>
      <c r="BD31" s="15">
        <v>0</v>
      </c>
      <c r="BE31" s="15">
        <v>0.1388</v>
      </c>
      <c r="BF31" s="15">
        <v>53</v>
      </c>
      <c r="BG31" s="15">
        <v>3</v>
      </c>
      <c r="BH31" s="15">
        <v>2</v>
      </c>
      <c r="BI31" s="15">
        <v>1</v>
      </c>
      <c r="BJ31" s="15">
        <v>0</v>
      </c>
      <c r="BK31" s="15">
        <v>0</v>
      </c>
      <c r="BL31" s="15">
        <v>0</v>
      </c>
      <c r="BM31" s="15">
        <v>2</v>
      </c>
      <c r="BN31" s="15">
        <v>3</v>
      </c>
      <c r="BO31" s="15">
        <v>171.11</v>
      </c>
      <c r="BP31" s="15">
        <v>83.65</v>
      </c>
      <c r="BQ31" s="15">
        <v>845</v>
      </c>
      <c r="BR31" s="15">
        <v>39.33</v>
      </c>
      <c r="BS31" s="15">
        <v>9.67</v>
      </c>
      <c r="BT31" s="15">
        <v>3</v>
      </c>
      <c r="BU31" s="15">
        <v>0</v>
      </c>
      <c r="BV31" s="15">
        <v>0</v>
      </c>
      <c r="BW31" s="15">
        <v>0</v>
      </c>
      <c r="BX31" s="15">
        <v>0</v>
      </c>
    </row>
    <row r="32" spans="1:76">
      <c r="A32" s="14" t="str">
        <f>VLOOKUP(C32,VLOOKUP!A:B,2,FALSE)</f>
        <v>如意盘香</v>
      </c>
      <c r="B32" s="16">
        <v>46105</v>
      </c>
      <c r="C32" s="17">
        <v>838711327669</v>
      </c>
      <c r="D32" s="15" t="s">
        <v>151</v>
      </c>
      <c r="E32" s="15" t="s">
        <v>153</v>
      </c>
      <c r="F32" s="15">
        <v>623</v>
      </c>
      <c r="G32" s="15">
        <v>32</v>
      </c>
      <c r="H32" s="15">
        <v>60</v>
      </c>
      <c r="I32" s="15">
        <v>0.05136</v>
      </c>
      <c r="J32" s="15">
        <v>1.88</v>
      </c>
      <c r="K32" s="15">
        <v>96.31</v>
      </c>
      <c r="L32" s="15">
        <v>0</v>
      </c>
      <c r="M32" s="15">
        <v>0</v>
      </c>
      <c r="N32" s="15">
        <v>0</v>
      </c>
      <c r="O32" s="15">
        <v>0</v>
      </c>
      <c r="P32" s="15">
        <v>0</v>
      </c>
      <c r="Q32" s="15">
        <v>0</v>
      </c>
      <c r="R32" s="15">
        <v>0</v>
      </c>
      <c r="S32" s="15">
        <v>0</v>
      </c>
      <c r="T32" s="15">
        <v>0</v>
      </c>
      <c r="U32" s="15">
        <v>0</v>
      </c>
      <c r="V32" s="15">
        <v>0</v>
      </c>
      <c r="W32" s="15">
        <v>0</v>
      </c>
      <c r="X32" s="15">
        <v>0</v>
      </c>
      <c r="Y32" s="15">
        <v>0</v>
      </c>
      <c r="Z32" s="15">
        <v>0</v>
      </c>
      <c r="AA32" s="15"/>
      <c r="AB32" s="15">
        <v>11</v>
      </c>
      <c r="AC32" s="15">
        <v>3</v>
      </c>
      <c r="AD32" s="15">
        <v>8</v>
      </c>
      <c r="AE32" s="15">
        <v>0.34375</v>
      </c>
      <c r="AF32" s="15">
        <v>0</v>
      </c>
      <c r="AG32" s="15">
        <v>1</v>
      </c>
      <c r="AH32" s="15">
        <v>60</v>
      </c>
      <c r="AI32" s="15">
        <v>12</v>
      </c>
      <c r="AJ32" s="15">
        <v>5</v>
      </c>
      <c r="AK32" s="15">
        <v>11</v>
      </c>
      <c r="AL32" s="15">
        <v>5.45</v>
      </c>
      <c r="AM32" s="15">
        <v>1</v>
      </c>
      <c r="AN32" s="15"/>
      <c r="AO32" s="15">
        <v>0</v>
      </c>
      <c r="AP32" s="15">
        <v>5.45</v>
      </c>
      <c r="AQ32" s="15">
        <v>0</v>
      </c>
      <c r="AR32" s="15">
        <v>0</v>
      </c>
      <c r="AS32" s="15">
        <v>0</v>
      </c>
      <c r="AT32" s="15">
        <v>0</v>
      </c>
      <c r="AU32" s="15">
        <v>0</v>
      </c>
      <c r="AV32" s="15">
        <v>0</v>
      </c>
      <c r="AW32" s="15">
        <v>0</v>
      </c>
      <c r="AX32" s="15">
        <v>0</v>
      </c>
      <c r="AY32" s="15">
        <v>148</v>
      </c>
      <c r="AZ32" s="15">
        <v>25</v>
      </c>
      <c r="BA32" s="15">
        <v>12</v>
      </c>
      <c r="BB32" s="15">
        <v>0.48</v>
      </c>
      <c r="BC32" s="15">
        <v>0</v>
      </c>
      <c r="BD32" s="15">
        <v>0</v>
      </c>
      <c r="BE32" s="15">
        <v>0.23756</v>
      </c>
      <c r="BF32" s="15">
        <v>113</v>
      </c>
      <c r="BG32" s="15">
        <v>6</v>
      </c>
      <c r="BH32" s="15">
        <v>0</v>
      </c>
      <c r="BI32" s="15"/>
      <c r="BJ32" s="15">
        <v>0</v>
      </c>
      <c r="BK32" s="15">
        <v>0</v>
      </c>
      <c r="BL32" s="15">
        <v>0</v>
      </c>
      <c r="BM32" s="15">
        <v>0</v>
      </c>
      <c r="BN32" s="15"/>
      <c r="BO32" s="15"/>
      <c r="BP32" s="15">
        <v>0.07</v>
      </c>
      <c r="BQ32" s="15">
        <v>159</v>
      </c>
      <c r="BR32" s="15">
        <v>0</v>
      </c>
      <c r="BS32" s="15">
        <v>0</v>
      </c>
      <c r="BT32" s="15">
        <v>0</v>
      </c>
      <c r="BU32" s="15">
        <v>0</v>
      </c>
      <c r="BV32" s="15">
        <v>0</v>
      </c>
      <c r="BW32" s="15">
        <v>0</v>
      </c>
      <c r="BX32" s="15">
        <v>0</v>
      </c>
    </row>
    <row r="33" spans="1:76">
      <c r="A33" s="14" t="str">
        <f>VLOOKUP(C33,VLOOKUP!A:B,2,FALSE)</f>
        <v>福颜青</v>
      </c>
      <c r="B33" s="16">
        <v>46105</v>
      </c>
      <c r="C33" s="17">
        <v>833369552621</v>
      </c>
      <c r="D33" s="15" t="s">
        <v>151</v>
      </c>
      <c r="E33" s="15" t="s">
        <v>154</v>
      </c>
      <c r="F33" s="15">
        <v>3385</v>
      </c>
      <c r="G33" s="15">
        <v>96</v>
      </c>
      <c r="H33" s="15">
        <v>28.69</v>
      </c>
      <c r="I33" s="15">
        <v>0.02836</v>
      </c>
      <c r="J33" s="15">
        <v>0.3</v>
      </c>
      <c r="K33" s="15">
        <v>8.48</v>
      </c>
      <c r="L33" s="15">
        <v>0</v>
      </c>
      <c r="M33" s="15">
        <v>0</v>
      </c>
      <c r="N33" s="15">
        <v>0</v>
      </c>
      <c r="O33" s="15">
        <v>0</v>
      </c>
      <c r="P33" s="15">
        <v>0</v>
      </c>
      <c r="Q33" s="15">
        <v>0</v>
      </c>
      <c r="R33" s="15">
        <v>0</v>
      </c>
      <c r="S33" s="15">
        <v>0</v>
      </c>
      <c r="T33" s="15">
        <v>0</v>
      </c>
      <c r="U33" s="15">
        <v>0</v>
      </c>
      <c r="V33" s="15">
        <v>0</v>
      </c>
      <c r="W33" s="15">
        <v>0</v>
      </c>
      <c r="X33" s="15">
        <v>0</v>
      </c>
      <c r="Y33" s="15">
        <v>0</v>
      </c>
      <c r="Z33" s="15">
        <v>0</v>
      </c>
      <c r="AA33" s="15"/>
      <c r="AB33" s="15">
        <v>2</v>
      </c>
      <c r="AC33" s="15">
        <v>0</v>
      </c>
      <c r="AD33" s="15">
        <v>2</v>
      </c>
      <c r="AE33" s="15">
        <v>0.02083</v>
      </c>
      <c r="AF33" s="15">
        <v>0</v>
      </c>
      <c r="AG33" s="15">
        <v>0</v>
      </c>
      <c r="AH33" s="15"/>
      <c r="AI33" s="15">
        <v>2</v>
      </c>
      <c r="AJ33" s="15">
        <v>14.35</v>
      </c>
      <c r="AK33" s="15">
        <v>2</v>
      </c>
      <c r="AL33" s="15">
        <v>14.35</v>
      </c>
      <c r="AM33" s="15">
        <v>0</v>
      </c>
      <c r="AN33" s="15"/>
      <c r="AO33" s="15">
        <v>0</v>
      </c>
      <c r="AP33" s="15">
        <v>14.35</v>
      </c>
      <c r="AQ33" s="15">
        <v>0</v>
      </c>
      <c r="AR33" s="15">
        <v>0</v>
      </c>
      <c r="AS33" s="15">
        <v>0</v>
      </c>
      <c r="AT33" s="15">
        <v>0</v>
      </c>
      <c r="AU33" s="15">
        <v>0</v>
      </c>
      <c r="AV33" s="15">
        <v>0</v>
      </c>
      <c r="AW33" s="15">
        <v>0</v>
      </c>
      <c r="AX33" s="15">
        <v>0</v>
      </c>
      <c r="AY33" s="15">
        <v>272</v>
      </c>
      <c r="AZ33" s="15">
        <v>99</v>
      </c>
      <c r="BA33" s="15">
        <v>87</v>
      </c>
      <c r="BB33" s="15">
        <v>0.87879</v>
      </c>
      <c r="BC33" s="15">
        <v>0</v>
      </c>
      <c r="BD33" s="15">
        <v>0</v>
      </c>
      <c r="BE33" s="15">
        <v>0.08035</v>
      </c>
      <c r="BF33" s="15">
        <v>137</v>
      </c>
      <c r="BG33" s="15">
        <v>3</v>
      </c>
      <c r="BH33" s="15">
        <v>0</v>
      </c>
      <c r="BI33" s="15"/>
      <c r="BJ33" s="15">
        <v>0</v>
      </c>
      <c r="BK33" s="15">
        <v>0</v>
      </c>
      <c r="BL33" s="15">
        <v>0</v>
      </c>
      <c r="BM33" s="15">
        <v>0</v>
      </c>
      <c r="BN33" s="15"/>
      <c r="BO33" s="15"/>
      <c r="BP33" s="15">
        <v>0</v>
      </c>
      <c r="BQ33" s="15">
        <v>100</v>
      </c>
      <c r="BR33" s="15">
        <v>0</v>
      </c>
      <c r="BS33" s="15">
        <v>0</v>
      </c>
      <c r="BT33" s="15">
        <v>0</v>
      </c>
      <c r="BU33" s="15">
        <v>0</v>
      </c>
      <c r="BV33" s="15">
        <v>0</v>
      </c>
      <c r="BW33" s="15">
        <v>0</v>
      </c>
      <c r="BX33" s="15">
        <v>0</v>
      </c>
    </row>
    <row r="34" spans="1:76">
      <c r="A34" s="14" t="str">
        <f>VLOOKUP(C34,VLOOKUP!A:B,2,FALSE)</f>
        <v>福到</v>
      </c>
      <c r="B34" s="16">
        <v>46104</v>
      </c>
      <c r="C34" s="17">
        <v>971856893567</v>
      </c>
      <c r="D34" s="15" t="s">
        <v>151</v>
      </c>
      <c r="E34" s="15" t="s">
        <v>152</v>
      </c>
      <c r="F34" s="15">
        <v>1062</v>
      </c>
      <c r="G34" s="15">
        <v>38</v>
      </c>
      <c r="H34" s="15">
        <v>11.83</v>
      </c>
      <c r="I34" s="15">
        <v>0.03578</v>
      </c>
      <c r="J34" s="15">
        <v>0.31</v>
      </c>
      <c r="K34" s="15">
        <v>11.14</v>
      </c>
      <c r="L34" s="15">
        <v>0</v>
      </c>
      <c r="M34" s="15">
        <v>0</v>
      </c>
      <c r="N34" s="15">
        <v>0</v>
      </c>
      <c r="O34" s="15">
        <v>0</v>
      </c>
      <c r="P34" s="15">
        <v>0</v>
      </c>
      <c r="Q34" s="15">
        <v>0</v>
      </c>
      <c r="R34" s="15">
        <v>0</v>
      </c>
      <c r="S34" s="15">
        <v>0</v>
      </c>
      <c r="T34" s="15">
        <v>0</v>
      </c>
      <c r="U34" s="15">
        <v>0</v>
      </c>
      <c r="V34" s="15">
        <v>0</v>
      </c>
      <c r="W34" s="15">
        <v>0</v>
      </c>
      <c r="X34" s="15">
        <v>0</v>
      </c>
      <c r="Y34" s="15">
        <v>0</v>
      </c>
      <c r="Z34" s="15">
        <v>0</v>
      </c>
      <c r="AA34" s="15"/>
      <c r="AB34" s="15">
        <v>0</v>
      </c>
      <c r="AC34" s="15">
        <v>0</v>
      </c>
      <c r="AD34" s="15">
        <v>0</v>
      </c>
      <c r="AE34" s="15">
        <v>0</v>
      </c>
      <c r="AF34" s="15">
        <v>0</v>
      </c>
      <c r="AG34" s="15">
        <v>0</v>
      </c>
      <c r="AH34" s="15"/>
      <c r="AI34" s="15">
        <v>0</v>
      </c>
      <c r="AJ34" s="15"/>
      <c r="AK34" s="15">
        <v>0</v>
      </c>
      <c r="AL34" s="15"/>
      <c r="AM34" s="15">
        <v>0</v>
      </c>
      <c r="AN34" s="15"/>
      <c r="AO34" s="15">
        <v>0</v>
      </c>
      <c r="AP34" s="15"/>
      <c r="AQ34" s="15">
        <v>0</v>
      </c>
      <c r="AR34" s="15">
        <v>0</v>
      </c>
      <c r="AS34" s="15">
        <v>0</v>
      </c>
      <c r="AT34" s="15">
        <v>0</v>
      </c>
      <c r="AU34" s="15">
        <v>0</v>
      </c>
      <c r="AV34" s="15">
        <v>0</v>
      </c>
      <c r="AW34" s="15">
        <v>0</v>
      </c>
      <c r="AX34" s="15">
        <v>0</v>
      </c>
      <c r="AY34" s="15">
        <v>70</v>
      </c>
      <c r="AZ34" s="15">
        <v>37</v>
      </c>
      <c r="BA34" s="15">
        <v>32</v>
      </c>
      <c r="BB34" s="15">
        <v>0.86486</v>
      </c>
      <c r="BC34" s="15">
        <v>0</v>
      </c>
      <c r="BD34" s="15">
        <v>0</v>
      </c>
      <c r="BE34" s="15">
        <v>0.06591</v>
      </c>
      <c r="BF34" s="15">
        <v>30</v>
      </c>
      <c r="BG34" s="15">
        <v>2</v>
      </c>
      <c r="BH34" s="15">
        <v>0</v>
      </c>
      <c r="BI34" s="15"/>
      <c r="BJ34" s="15">
        <v>0</v>
      </c>
      <c r="BK34" s="15">
        <v>0</v>
      </c>
      <c r="BL34" s="15">
        <v>0</v>
      </c>
      <c r="BM34" s="15">
        <v>0</v>
      </c>
      <c r="BN34" s="15"/>
      <c r="BO34" s="15"/>
      <c r="BP34" s="15">
        <v>0</v>
      </c>
      <c r="BQ34" s="15">
        <v>14</v>
      </c>
      <c r="BR34" s="15">
        <v>0</v>
      </c>
      <c r="BS34" s="15">
        <v>0</v>
      </c>
      <c r="BT34" s="15">
        <v>0</v>
      </c>
      <c r="BU34" s="15">
        <v>0</v>
      </c>
      <c r="BV34" s="15">
        <v>0</v>
      </c>
      <c r="BW34" s="15">
        <v>0</v>
      </c>
      <c r="BX34" s="15">
        <v>0</v>
      </c>
    </row>
    <row r="35" spans="1:76">
      <c r="A35" s="14" t="str">
        <f>VLOOKUP(C35,VLOOKUP!A:B,2,FALSE)</f>
        <v>荔枝香</v>
      </c>
      <c r="B35" s="16">
        <v>46104</v>
      </c>
      <c r="C35" s="17">
        <v>960406497157</v>
      </c>
      <c r="D35" s="15" t="s">
        <v>151</v>
      </c>
      <c r="E35" s="15" t="s">
        <v>156</v>
      </c>
      <c r="F35" s="15">
        <v>970</v>
      </c>
      <c r="G35" s="15">
        <v>28</v>
      </c>
      <c r="H35" s="15">
        <v>50</v>
      </c>
      <c r="I35" s="15">
        <v>0.02887</v>
      </c>
      <c r="J35" s="15">
        <v>1.79</v>
      </c>
      <c r="K35" s="15">
        <v>51.55</v>
      </c>
      <c r="L35" s="15">
        <v>0</v>
      </c>
      <c r="M35" s="15">
        <v>0</v>
      </c>
      <c r="N35" s="15">
        <v>0</v>
      </c>
      <c r="O35" s="15">
        <v>0</v>
      </c>
      <c r="P35" s="15">
        <v>0</v>
      </c>
      <c r="Q35" s="15">
        <v>0</v>
      </c>
      <c r="R35" s="15">
        <v>0</v>
      </c>
      <c r="S35" s="15">
        <v>0</v>
      </c>
      <c r="T35" s="15">
        <v>0</v>
      </c>
      <c r="U35" s="15">
        <v>0</v>
      </c>
      <c r="V35" s="15">
        <v>0</v>
      </c>
      <c r="W35" s="15">
        <v>0</v>
      </c>
      <c r="X35" s="15">
        <v>0</v>
      </c>
      <c r="Y35" s="15">
        <v>0</v>
      </c>
      <c r="Z35" s="15">
        <v>0</v>
      </c>
      <c r="AA35" s="15"/>
      <c r="AB35" s="15">
        <v>3</v>
      </c>
      <c r="AC35" s="15">
        <v>2</v>
      </c>
      <c r="AD35" s="15">
        <v>1</v>
      </c>
      <c r="AE35" s="15">
        <v>0.10714</v>
      </c>
      <c r="AF35" s="15">
        <v>1</v>
      </c>
      <c r="AG35" s="15">
        <v>0</v>
      </c>
      <c r="AH35" s="15"/>
      <c r="AI35" s="15">
        <v>4</v>
      </c>
      <c r="AJ35" s="15">
        <v>12.5</v>
      </c>
      <c r="AK35" s="15">
        <v>4</v>
      </c>
      <c r="AL35" s="15">
        <v>12.5</v>
      </c>
      <c r="AM35" s="15">
        <v>1</v>
      </c>
      <c r="AN35" s="15">
        <v>50</v>
      </c>
      <c r="AO35" s="15">
        <v>0.03571</v>
      </c>
      <c r="AP35" s="15">
        <v>16.67</v>
      </c>
      <c r="AQ35" s="15">
        <v>0</v>
      </c>
      <c r="AR35" s="15">
        <v>0</v>
      </c>
      <c r="AS35" s="15">
        <v>1</v>
      </c>
      <c r="AT35" s="15">
        <v>0</v>
      </c>
      <c r="AU35" s="15">
        <v>0</v>
      </c>
      <c r="AV35" s="15">
        <v>0</v>
      </c>
      <c r="AW35" s="15">
        <v>0</v>
      </c>
      <c r="AX35" s="15">
        <v>2</v>
      </c>
      <c r="AY35" s="15">
        <v>90</v>
      </c>
      <c r="AZ35" s="15">
        <v>26</v>
      </c>
      <c r="BA35" s="15">
        <v>18</v>
      </c>
      <c r="BB35" s="15">
        <v>0.69231</v>
      </c>
      <c r="BC35" s="15">
        <v>0</v>
      </c>
      <c r="BD35" s="15">
        <v>0</v>
      </c>
      <c r="BE35" s="15">
        <v>0.09278</v>
      </c>
      <c r="BF35" s="15">
        <v>61</v>
      </c>
      <c r="BG35" s="15">
        <v>3</v>
      </c>
      <c r="BH35" s="15">
        <v>0</v>
      </c>
      <c r="BI35" s="15"/>
      <c r="BJ35" s="15">
        <v>0</v>
      </c>
      <c r="BK35" s="15">
        <v>0</v>
      </c>
      <c r="BL35" s="15">
        <v>0</v>
      </c>
      <c r="BM35" s="15">
        <v>0</v>
      </c>
      <c r="BN35" s="15"/>
      <c r="BO35" s="15"/>
      <c r="BP35" s="15">
        <v>7.71</v>
      </c>
      <c r="BQ35" s="15">
        <v>51</v>
      </c>
      <c r="BR35" s="15">
        <v>0</v>
      </c>
      <c r="BS35" s="15">
        <v>0</v>
      </c>
      <c r="BT35" s="15">
        <v>10</v>
      </c>
      <c r="BU35" s="15">
        <v>0</v>
      </c>
      <c r="BV35" s="15">
        <v>0</v>
      </c>
      <c r="BW35" s="15">
        <v>0</v>
      </c>
      <c r="BX35" s="15">
        <v>0</v>
      </c>
    </row>
    <row r="36" spans="1:76">
      <c r="A36" s="14" t="str">
        <f>VLOOKUP(C36,VLOOKUP!A:B,2,FALSE)</f>
        <v>如意盘香</v>
      </c>
      <c r="B36" s="16">
        <v>46104</v>
      </c>
      <c r="C36" s="17">
        <v>838711327669</v>
      </c>
      <c r="D36" s="15" t="s">
        <v>151</v>
      </c>
      <c r="E36" s="15" t="s">
        <v>153</v>
      </c>
      <c r="F36" s="15">
        <v>1261</v>
      </c>
      <c r="G36" s="15">
        <v>49</v>
      </c>
      <c r="H36" s="15">
        <v>60</v>
      </c>
      <c r="I36" s="15">
        <v>0.03886</v>
      </c>
      <c r="J36" s="15">
        <v>1.22</v>
      </c>
      <c r="K36" s="15">
        <v>47.58</v>
      </c>
      <c r="L36" s="15">
        <v>0</v>
      </c>
      <c r="M36" s="15">
        <v>0</v>
      </c>
      <c r="N36" s="15">
        <v>0</v>
      </c>
      <c r="O36" s="15">
        <v>0</v>
      </c>
      <c r="P36" s="15">
        <v>0</v>
      </c>
      <c r="Q36" s="15">
        <v>0</v>
      </c>
      <c r="R36" s="15">
        <v>0</v>
      </c>
      <c r="S36" s="15">
        <v>0</v>
      </c>
      <c r="T36" s="15">
        <v>0</v>
      </c>
      <c r="U36" s="15">
        <v>0</v>
      </c>
      <c r="V36" s="15">
        <v>0</v>
      </c>
      <c r="W36" s="15">
        <v>0</v>
      </c>
      <c r="X36" s="15">
        <v>0</v>
      </c>
      <c r="Y36" s="15">
        <v>0</v>
      </c>
      <c r="Z36" s="15">
        <v>0</v>
      </c>
      <c r="AA36" s="15"/>
      <c r="AB36" s="15">
        <v>1</v>
      </c>
      <c r="AC36" s="15">
        <v>1</v>
      </c>
      <c r="AD36" s="15">
        <v>0</v>
      </c>
      <c r="AE36" s="15">
        <v>0.02041</v>
      </c>
      <c r="AF36" s="15">
        <v>2</v>
      </c>
      <c r="AG36" s="15">
        <v>0</v>
      </c>
      <c r="AH36" s="15"/>
      <c r="AI36" s="15">
        <v>3</v>
      </c>
      <c r="AJ36" s="15">
        <v>20</v>
      </c>
      <c r="AK36" s="15">
        <v>3</v>
      </c>
      <c r="AL36" s="15">
        <v>20</v>
      </c>
      <c r="AM36" s="15">
        <v>2</v>
      </c>
      <c r="AN36" s="15">
        <v>30</v>
      </c>
      <c r="AO36" s="15">
        <v>0.04082</v>
      </c>
      <c r="AP36" s="15">
        <v>60</v>
      </c>
      <c r="AQ36" s="15">
        <v>0</v>
      </c>
      <c r="AR36" s="15">
        <v>0</v>
      </c>
      <c r="AS36" s="15">
        <v>1</v>
      </c>
      <c r="AT36" s="15">
        <v>1</v>
      </c>
      <c r="AU36" s="15">
        <v>0</v>
      </c>
      <c r="AV36" s="15">
        <v>0</v>
      </c>
      <c r="AW36" s="15">
        <v>0</v>
      </c>
      <c r="AX36" s="15">
        <v>0</v>
      </c>
      <c r="AY36" s="15">
        <v>94</v>
      </c>
      <c r="AZ36" s="15">
        <v>32</v>
      </c>
      <c r="BA36" s="15">
        <v>24</v>
      </c>
      <c r="BB36" s="15">
        <v>0.75</v>
      </c>
      <c r="BC36" s="15">
        <v>0</v>
      </c>
      <c r="BD36" s="15">
        <v>0</v>
      </c>
      <c r="BE36" s="15">
        <v>0.07454</v>
      </c>
      <c r="BF36" s="15">
        <v>41</v>
      </c>
      <c r="BG36" s="15">
        <v>3</v>
      </c>
      <c r="BH36" s="15">
        <v>0</v>
      </c>
      <c r="BI36" s="15"/>
      <c r="BJ36" s="15">
        <v>0</v>
      </c>
      <c r="BK36" s="15">
        <v>0</v>
      </c>
      <c r="BL36" s="15">
        <v>0</v>
      </c>
      <c r="BM36" s="15">
        <v>0</v>
      </c>
      <c r="BN36" s="15"/>
      <c r="BO36" s="15"/>
      <c r="BP36" s="15">
        <v>2.65</v>
      </c>
      <c r="BQ36" s="15">
        <v>131</v>
      </c>
      <c r="BR36" s="15">
        <v>0</v>
      </c>
      <c r="BS36" s="15">
        <v>0</v>
      </c>
      <c r="BT36" s="15">
        <v>0</v>
      </c>
      <c r="BU36" s="15">
        <v>0</v>
      </c>
      <c r="BV36" s="15">
        <v>0</v>
      </c>
      <c r="BW36" s="15">
        <v>0</v>
      </c>
      <c r="BX36" s="15">
        <v>0</v>
      </c>
    </row>
    <row r="37" spans="1:76">
      <c r="A37" s="14" t="str">
        <f>VLOOKUP(C37,VLOOKUP!A:B,2,FALSE)</f>
        <v>福颜青</v>
      </c>
      <c r="B37" s="16">
        <v>46104</v>
      </c>
      <c r="C37" s="17">
        <v>833369552621</v>
      </c>
      <c r="D37" s="15" t="s">
        <v>151</v>
      </c>
      <c r="E37" s="15" t="s">
        <v>154</v>
      </c>
      <c r="F37" s="15">
        <v>3729</v>
      </c>
      <c r="G37" s="15">
        <v>92</v>
      </c>
      <c r="H37" s="15">
        <v>30.94</v>
      </c>
      <c r="I37" s="15">
        <v>0.02467</v>
      </c>
      <c r="J37" s="15">
        <v>0.34</v>
      </c>
      <c r="K37" s="15">
        <v>8.3</v>
      </c>
      <c r="L37" s="15">
        <v>0</v>
      </c>
      <c r="M37" s="15">
        <v>0</v>
      </c>
      <c r="N37" s="15">
        <v>0</v>
      </c>
      <c r="O37" s="15">
        <v>0</v>
      </c>
      <c r="P37" s="15">
        <v>0</v>
      </c>
      <c r="Q37" s="15">
        <v>0</v>
      </c>
      <c r="R37" s="15">
        <v>0</v>
      </c>
      <c r="S37" s="15">
        <v>0</v>
      </c>
      <c r="T37" s="15">
        <v>0</v>
      </c>
      <c r="U37" s="15">
        <v>0</v>
      </c>
      <c r="V37" s="15">
        <v>0</v>
      </c>
      <c r="W37" s="15">
        <v>0</v>
      </c>
      <c r="X37" s="15">
        <v>0</v>
      </c>
      <c r="Y37" s="15">
        <v>0</v>
      </c>
      <c r="Z37" s="15">
        <v>0</v>
      </c>
      <c r="AA37" s="15"/>
      <c r="AB37" s="15">
        <v>1</v>
      </c>
      <c r="AC37" s="15">
        <v>1</v>
      </c>
      <c r="AD37" s="15">
        <v>0</v>
      </c>
      <c r="AE37" s="15">
        <v>0.01087</v>
      </c>
      <c r="AF37" s="15">
        <v>0</v>
      </c>
      <c r="AG37" s="15">
        <v>0</v>
      </c>
      <c r="AH37" s="15"/>
      <c r="AI37" s="15">
        <v>1</v>
      </c>
      <c r="AJ37" s="15">
        <v>30.94</v>
      </c>
      <c r="AK37" s="15">
        <v>1</v>
      </c>
      <c r="AL37" s="15">
        <v>30.94</v>
      </c>
      <c r="AM37" s="15">
        <v>0</v>
      </c>
      <c r="AN37" s="15"/>
      <c r="AO37" s="15">
        <v>0</v>
      </c>
      <c r="AP37" s="15">
        <v>30.94</v>
      </c>
      <c r="AQ37" s="15">
        <v>0</v>
      </c>
      <c r="AR37" s="15">
        <v>0</v>
      </c>
      <c r="AS37" s="15">
        <v>0</v>
      </c>
      <c r="AT37" s="15">
        <v>0</v>
      </c>
      <c r="AU37" s="15">
        <v>0</v>
      </c>
      <c r="AV37" s="15">
        <v>0</v>
      </c>
      <c r="AW37" s="15">
        <v>0</v>
      </c>
      <c r="AX37" s="15">
        <v>0</v>
      </c>
      <c r="AY37" s="15">
        <v>175</v>
      </c>
      <c r="AZ37" s="15">
        <v>102</v>
      </c>
      <c r="BA37" s="15">
        <v>95</v>
      </c>
      <c r="BB37" s="15">
        <v>0.93137</v>
      </c>
      <c r="BC37" s="15">
        <v>0</v>
      </c>
      <c r="BD37" s="15">
        <v>0</v>
      </c>
      <c r="BE37" s="15">
        <v>0.04693</v>
      </c>
      <c r="BF37" s="15">
        <v>57</v>
      </c>
      <c r="BG37" s="15">
        <v>2</v>
      </c>
      <c r="BH37" s="15">
        <v>0</v>
      </c>
      <c r="BI37" s="15"/>
      <c r="BJ37" s="15">
        <v>0</v>
      </c>
      <c r="BK37" s="15">
        <v>0</v>
      </c>
      <c r="BL37" s="15">
        <v>0</v>
      </c>
      <c r="BM37" s="15">
        <v>0</v>
      </c>
      <c r="BN37" s="15"/>
      <c r="BO37" s="15"/>
      <c r="BP37" s="15">
        <v>0</v>
      </c>
      <c r="BQ37" s="15">
        <v>1592</v>
      </c>
      <c r="BR37" s="15">
        <v>0</v>
      </c>
      <c r="BS37" s="15">
        <v>0</v>
      </c>
      <c r="BT37" s="15">
        <v>0</v>
      </c>
      <c r="BU37" s="15">
        <v>0</v>
      </c>
      <c r="BV37" s="15">
        <v>0</v>
      </c>
      <c r="BW37" s="15">
        <v>0</v>
      </c>
      <c r="BX37" s="15">
        <v>0</v>
      </c>
    </row>
    <row r="38" spans="1:76">
      <c r="A38" s="14" t="str">
        <f>VLOOKUP(C38,VLOOKUP!A:B,2,FALSE)</f>
        <v>福到</v>
      </c>
      <c r="B38" s="16">
        <v>46103</v>
      </c>
      <c r="C38" s="17">
        <v>971856893567</v>
      </c>
      <c r="D38" s="15" t="s">
        <v>151</v>
      </c>
      <c r="E38" s="15" t="s">
        <v>152</v>
      </c>
      <c r="F38" s="15">
        <v>1536</v>
      </c>
      <c r="G38" s="15">
        <v>46</v>
      </c>
      <c r="H38" s="15">
        <v>14.03</v>
      </c>
      <c r="I38" s="15">
        <v>0.02995</v>
      </c>
      <c r="J38" s="15">
        <v>0.31</v>
      </c>
      <c r="K38" s="15">
        <v>9.13</v>
      </c>
      <c r="L38" s="15">
        <v>0</v>
      </c>
      <c r="M38" s="15">
        <v>0</v>
      </c>
      <c r="N38" s="15">
        <v>0</v>
      </c>
      <c r="O38" s="15">
        <v>0</v>
      </c>
      <c r="P38" s="15">
        <v>0</v>
      </c>
      <c r="Q38" s="15">
        <v>0</v>
      </c>
      <c r="R38" s="15">
        <v>0</v>
      </c>
      <c r="S38" s="15">
        <v>0</v>
      </c>
      <c r="T38" s="15">
        <v>0</v>
      </c>
      <c r="U38" s="15">
        <v>0</v>
      </c>
      <c r="V38" s="15">
        <v>0</v>
      </c>
      <c r="W38" s="15">
        <v>0</v>
      </c>
      <c r="X38" s="15">
        <v>0</v>
      </c>
      <c r="Y38" s="15">
        <v>0</v>
      </c>
      <c r="Z38" s="15">
        <v>0</v>
      </c>
      <c r="AA38" s="15"/>
      <c r="AB38" s="15">
        <v>0</v>
      </c>
      <c r="AC38" s="15">
        <v>0</v>
      </c>
      <c r="AD38" s="15">
        <v>0</v>
      </c>
      <c r="AE38" s="15">
        <v>0</v>
      </c>
      <c r="AF38" s="15">
        <v>0</v>
      </c>
      <c r="AG38" s="15">
        <v>1</v>
      </c>
      <c r="AH38" s="15">
        <v>14.03</v>
      </c>
      <c r="AI38" s="15">
        <v>1</v>
      </c>
      <c r="AJ38" s="15">
        <v>14.03</v>
      </c>
      <c r="AK38" s="15">
        <v>0</v>
      </c>
      <c r="AL38" s="15"/>
      <c r="AM38" s="15">
        <v>1</v>
      </c>
      <c r="AN38" s="15"/>
      <c r="AO38" s="15">
        <v>0</v>
      </c>
      <c r="AP38" s="15"/>
      <c r="AQ38" s="15">
        <v>0</v>
      </c>
      <c r="AR38" s="15">
        <v>0</v>
      </c>
      <c r="AS38" s="15">
        <v>0</v>
      </c>
      <c r="AT38" s="15">
        <v>0</v>
      </c>
      <c r="AU38" s="15">
        <v>0</v>
      </c>
      <c r="AV38" s="15">
        <v>0</v>
      </c>
      <c r="AW38" s="15">
        <v>0</v>
      </c>
      <c r="AX38" s="15">
        <v>0</v>
      </c>
      <c r="AY38" s="15">
        <v>113</v>
      </c>
      <c r="AZ38" s="15">
        <v>42</v>
      </c>
      <c r="BA38" s="15">
        <v>35</v>
      </c>
      <c r="BB38" s="15">
        <v>0.83333</v>
      </c>
      <c r="BC38" s="15">
        <v>0</v>
      </c>
      <c r="BD38" s="15">
        <v>0</v>
      </c>
      <c r="BE38" s="15">
        <v>0.07357</v>
      </c>
      <c r="BF38" s="15">
        <v>63</v>
      </c>
      <c r="BG38" s="15">
        <v>3</v>
      </c>
      <c r="BH38" s="15">
        <v>0</v>
      </c>
      <c r="BI38" s="15"/>
      <c r="BJ38" s="15">
        <v>0</v>
      </c>
      <c r="BK38" s="15">
        <v>0</v>
      </c>
      <c r="BL38" s="15">
        <v>0</v>
      </c>
      <c r="BM38" s="15">
        <v>0</v>
      </c>
      <c r="BN38" s="15"/>
      <c r="BO38" s="15"/>
      <c r="BP38" s="15">
        <v>0</v>
      </c>
      <c r="BQ38" s="15">
        <v>2</v>
      </c>
      <c r="BR38" s="15">
        <v>0</v>
      </c>
      <c r="BS38" s="15">
        <v>0</v>
      </c>
      <c r="BT38" s="15">
        <v>0</v>
      </c>
      <c r="BU38" s="15">
        <v>0</v>
      </c>
      <c r="BV38" s="15">
        <v>0</v>
      </c>
      <c r="BW38" s="15">
        <v>0</v>
      </c>
      <c r="BX38" s="15">
        <v>0</v>
      </c>
    </row>
    <row r="39" spans="1:76">
      <c r="A39" s="14" t="str">
        <f>VLOOKUP(C39,VLOOKUP!A:B,2,FALSE)</f>
        <v>如意盘香</v>
      </c>
      <c r="B39" s="16">
        <v>46103</v>
      </c>
      <c r="C39" s="17">
        <v>838711327669</v>
      </c>
      <c r="D39" s="15" t="s">
        <v>151</v>
      </c>
      <c r="E39" s="15" t="s">
        <v>153</v>
      </c>
      <c r="F39" s="15">
        <v>671</v>
      </c>
      <c r="G39" s="15">
        <v>28</v>
      </c>
      <c r="H39" s="15">
        <v>50.77</v>
      </c>
      <c r="I39" s="15">
        <v>0.04173</v>
      </c>
      <c r="J39" s="15">
        <v>1.81</v>
      </c>
      <c r="K39" s="15">
        <v>75.66</v>
      </c>
      <c r="L39" s="15">
        <v>0</v>
      </c>
      <c r="M39" s="15">
        <v>0</v>
      </c>
      <c r="N39" s="15">
        <v>0</v>
      </c>
      <c r="O39" s="15">
        <v>0</v>
      </c>
      <c r="P39" s="15">
        <v>0</v>
      </c>
      <c r="Q39" s="15">
        <v>0</v>
      </c>
      <c r="R39" s="15">
        <v>0</v>
      </c>
      <c r="S39" s="15">
        <v>0</v>
      </c>
      <c r="T39" s="15">
        <v>0</v>
      </c>
      <c r="U39" s="15">
        <v>0</v>
      </c>
      <c r="V39" s="15">
        <v>0</v>
      </c>
      <c r="W39" s="15">
        <v>0</v>
      </c>
      <c r="X39" s="15">
        <v>0</v>
      </c>
      <c r="Y39" s="15">
        <v>0</v>
      </c>
      <c r="Z39" s="15">
        <v>0</v>
      </c>
      <c r="AA39" s="15"/>
      <c r="AB39" s="15">
        <v>6</v>
      </c>
      <c r="AC39" s="15">
        <v>2</v>
      </c>
      <c r="AD39" s="15">
        <v>4</v>
      </c>
      <c r="AE39" s="15">
        <v>0.21429</v>
      </c>
      <c r="AF39" s="15">
        <v>0</v>
      </c>
      <c r="AG39" s="15">
        <v>0</v>
      </c>
      <c r="AH39" s="15"/>
      <c r="AI39" s="15">
        <v>6</v>
      </c>
      <c r="AJ39" s="15">
        <v>8.46</v>
      </c>
      <c r="AK39" s="15">
        <v>6</v>
      </c>
      <c r="AL39" s="15">
        <v>8.46</v>
      </c>
      <c r="AM39" s="15">
        <v>0</v>
      </c>
      <c r="AN39" s="15"/>
      <c r="AO39" s="15">
        <v>0</v>
      </c>
      <c r="AP39" s="15">
        <v>8.46</v>
      </c>
      <c r="AQ39" s="15">
        <v>0</v>
      </c>
      <c r="AR39" s="15">
        <v>0</v>
      </c>
      <c r="AS39" s="15">
        <v>0</v>
      </c>
      <c r="AT39" s="15">
        <v>0</v>
      </c>
      <c r="AU39" s="15">
        <v>0</v>
      </c>
      <c r="AV39" s="15">
        <v>0</v>
      </c>
      <c r="AW39" s="15">
        <v>0</v>
      </c>
      <c r="AX39" s="15">
        <v>1</v>
      </c>
      <c r="AY39" s="15">
        <v>118</v>
      </c>
      <c r="AZ39" s="15">
        <v>29</v>
      </c>
      <c r="BA39" s="15">
        <v>14</v>
      </c>
      <c r="BB39" s="15">
        <v>0.48276</v>
      </c>
      <c r="BC39" s="15">
        <v>0</v>
      </c>
      <c r="BD39" s="15">
        <v>0</v>
      </c>
      <c r="BE39" s="15">
        <v>0.17586</v>
      </c>
      <c r="BF39" s="15">
        <v>88</v>
      </c>
      <c r="BG39" s="15">
        <v>4</v>
      </c>
      <c r="BH39" s="15">
        <v>0</v>
      </c>
      <c r="BI39" s="15"/>
      <c r="BJ39" s="15">
        <v>0</v>
      </c>
      <c r="BK39" s="15">
        <v>0</v>
      </c>
      <c r="BL39" s="15">
        <v>0</v>
      </c>
      <c r="BM39" s="15">
        <v>0</v>
      </c>
      <c r="BN39" s="15"/>
      <c r="BO39" s="15"/>
      <c r="BP39" s="15">
        <v>0.41</v>
      </c>
      <c r="BQ39" s="15">
        <v>105</v>
      </c>
      <c r="BR39" s="15">
        <v>0</v>
      </c>
      <c r="BS39" s="15">
        <v>0</v>
      </c>
      <c r="BT39" s="15">
        <v>0</v>
      </c>
      <c r="BU39" s="15">
        <v>0</v>
      </c>
      <c r="BV39" s="15">
        <v>0</v>
      </c>
      <c r="BW39" s="15">
        <v>0</v>
      </c>
      <c r="BX39" s="15">
        <v>0</v>
      </c>
    </row>
    <row r="40" spans="1:76">
      <c r="A40" s="14" t="str">
        <f>VLOOKUP(C40,VLOOKUP!A:B,2,FALSE)</f>
        <v>福颜青</v>
      </c>
      <c r="B40" s="16">
        <v>46103</v>
      </c>
      <c r="C40" s="17">
        <v>833369552621</v>
      </c>
      <c r="D40" s="15" t="s">
        <v>151</v>
      </c>
      <c r="E40" s="15" t="s">
        <v>154</v>
      </c>
      <c r="F40" s="15">
        <v>3936</v>
      </c>
      <c r="G40" s="15">
        <v>92</v>
      </c>
      <c r="H40" s="15">
        <v>29.52</v>
      </c>
      <c r="I40" s="15">
        <v>0.02337</v>
      </c>
      <c r="J40" s="15">
        <v>0.32</v>
      </c>
      <c r="K40" s="15">
        <v>7.5</v>
      </c>
      <c r="L40" s="15">
        <v>0</v>
      </c>
      <c r="M40" s="15">
        <v>0</v>
      </c>
      <c r="N40" s="15">
        <v>0</v>
      </c>
      <c r="O40" s="15">
        <v>0</v>
      </c>
      <c r="P40" s="15">
        <v>0</v>
      </c>
      <c r="Q40" s="15">
        <v>0</v>
      </c>
      <c r="R40" s="15">
        <v>0</v>
      </c>
      <c r="S40" s="15">
        <v>0</v>
      </c>
      <c r="T40" s="15">
        <v>0</v>
      </c>
      <c r="U40" s="15">
        <v>0</v>
      </c>
      <c r="V40" s="15">
        <v>0</v>
      </c>
      <c r="W40" s="15">
        <v>0</v>
      </c>
      <c r="X40" s="15">
        <v>0</v>
      </c>
      <c r="Y40" s="15">
        <v>0</v>
      </c>
      <c r="Z40" s="15">
        <v>0</v>
      </c>
      <c r="AA40" s="15"/>
      <c r="AB40" s="15">
        <v>2</v>
      </c>
      <c r="AC40" s="15">
        <v>2</v>
      </c>
      <c r="AD40" s="15">
        <v>0</v>
      </c>
      <c r="AE40" s="15">
        <v>0.02174</v>
      </c>
      <c r="AF40" s="15">
        <v>2</v>
      </c>
      <c r="AG40" s="15">
        <v>0</v>
      </c>
      <c r="AH40" s="15"/>
      <c r="AI40" s="15">
        <v>4</v>
      </c>
      <c r="AJ40" s="15">
        <v>7.38</v>
      </c>
      <c r="AK40" s="15">
        <v>4</v>
      </c>
      <c r="AL40" s="15">
        <v>7.38</v>
      </c>
      <c r="AM40" s="15">
        <v>2</v>
      </c>
      <c r="AN40" s="15">
        <v>14.76</v>
      </c>
      <c r="AO40" s="15">
        <v>0.02174</v>
      </c>
      <c r="AP40" s="15">
        <v>14.76</v>
      </c>
      <c r="AQ40" s="15">
        <v>0</v>
      </c>
      <c r="AR40" s="15">
        <v>0</v>
      </c>
      <c r="AS40" s="15">
        <v>1</v>
      </c>
      <c r="AT40" s="15">
        <v>1</v>
      </c>
      <c r="AU40" s="15">
        <v>0</v>
      </c>
      <c r="AV40" s="15">
        <v>0</v>
      </c>
      <c r="AW40" s="15">
        <v>0</v>
      </c>
      <c r="AX40" s="15">
        <v>0</v>
      </c>
      <c r="AY40" s="15">
        <v>223</v>
      </c>
      <c r="AZ40" s="15">
        <v>102</v>
      </c>
      <c r="BA40" s="15">
        <v>93</v>
      </c>
      <c r="BB40" s="15">
        <v>0.91176</v>
      </c>
      <c r="BC40" s="15">
        <v>0</v>
      </c>
      <c r="BD40" s="15">
        <v>0</v>
      </c>
      <c r="BE40" s="15">
        <v>0.05666</v>
      </c>
      <c r="BF40" s="15">
        <v>98</v>
      </c>
      <c r="BG40" s="15">
        <v>2</v>
      </c>
      <c r="BH40" s="15">
        <v>0</v>
      </c>
      <c r="BI40" s="15"/>
      <c r="BJ40" s="15">
        <v>0</v>
      </c>
      <c r="BK40" s="15">
        <v>0</v>
      </c>
      <c r="BL40" s="15">
        <v>0</v>
      </c>
      <c r="BM40" s="15">
        <v>0</v>
      </c>
      <c r="BN40" s="15"/>
      <c r="BO40" s="15"/>
      <c r="BP40" s="15">
        <v>0</v>
      </c>
      <c r="BQ40" s="15">
        <v>3389</v>
      </c>
      <c r="BR40" s="15">
        <v>0</v>
      </c>
      <c r="BS40" s="15">
        <v>0</v>
      </c>
      <c r="BT40" s="15">
        <v>0</v>
      </c>
      <c r="BU40" s="15">
        <v>0</v>
      </c>
      <c r="BV40" s="15">
        <v>0</v>
      </c>
      <c r="BW40" s="15">
        <v>0</v>
      </c>
      <c r="BX40" s="15">
        <v>0</v>
      </c>
    </row>
    <row r="41" spans="1:76">
      <c r="A41" s="14" t="str">
        <f>VLOOKUP(C41,VLOOKUP!A:B,2,FALSE)</f>
        <v>福到</v>
      </c>
      <c r="B41" s="16">
        <v>46102</v>
      </c>
      <c r="C41" s="17">
        <v>971856893567</v>
      </c>
      <c r="D41" s="15" t="s">
        <v>151</v>
      </c>
      <c r="E41" s="15" t="s">
        <v>152</v>
      </c>
      <c r="F41" s="15">
        <v>847</v>
      </c>
      <c r="G41" s="15">
        <v>32</v>
      </c>
      <c r="H41" s="15">
        <v>9.15</v>
      </c>
      <c r="I41" s="15">
        <v>0.03778</v>
      </c>
      <c r="J41" s="15">
        <v>0.29</v>
      </c>
      <c r="K41" s="15">
        <v>10.8</v>
      </c>
      <c r="L41" s="15">
        <v>0</v>
      </c>
      <c r="M41" s="15">
        <v>0</v>
      </c>
      <c r="N41" s="15">
        <v>0</v>
      </c>
      <c r="O41" s="15">
        <v>0</v>
      </c>
      <c r="P41" s="15">
        <v>0</v>
      </c>
      <c r="Q41" s="15">
        <v>0</v>
      </c>
      <c r="R41" s="15">
        <v>0</v>
      </c>
      <c r="S41" s="15">
        <v>0</v>
      </c>
      <c r="T41" s="15">
        <v>0</v>
      </c>
      <c r="U41" s="15">
        <v>0</v>
      </c>
      <c r="V41" s="15">
        <v>0</v>
      </c>
      <c r="W41" s="15">
        <v>0</v>
      </c>
      <c r="X41" s="15">
        <v>0</v>
      </c>
      <c r="Y41" s="15">
        <v>0</v>
      </c>
      <c r="Z41" s="15">
        <v>0</v>
      </c>
      <c r="AA41" s="15"/>
      <c r="AB41" s="15">
        <v>1</v>
      </c>
      <c r="AC41" s="15">
        <v>0</v>
      </c>
      <c r="AD41" s="15">
        <v>1</v>
      </c>
      <c r="AE41" s="15">
        <v>0.03125</v>
      </c>
      <c r="AF41" s="15">
        <v>0</v>
      </c>
      <c r="AG41" s="15">
        <v>0</v>
      </c>
      <c r="AH41" s="15"/>
      <c r="AI41" s="15">
        <v>1</v>
      </c>
      <c r="AJ41" s="15">
        <v>9.15</v>
      </c>
      <c r="AK41" s="15">
        <v>1</v>
      </c>
      <c r="AL41" s="15">
        <v>9.15</v>
      </c>
      <c r="AM41" s="15">
        <v>0</v>
      </c>
      <c r="AN41" s="15"/>
      <c r="AO41" s="15">
        <v>0</v>
      </c>
      <c r="AP41" s="15">
        <v>9.15</v>
      </c>
      <c r="AQ41" s="15">
        <v>0</v>
      </c>
      <c r="AR41" s="15">
        <v>0</v>
      </c>
      <c r="AS41" s="15">
        <v>0</v>
      </c>
      <c r="AT41" s="15">
        <v>0</v>
      </c>
      <c r="AU41" s="15">
        <v>0</v>
      </c>
      <c r="AV41" s="15">
        <v>0</v>
      </c>
      <c r="AW41" s="15">
        <v>0</v>
      </c>
      <c r="AX41" s="15">
        <v>0</v>
      </c>
      <c r="AY41" s="15">
        <v>106</v>
      </c>
      <c r="AZ41" s="15">
        <v>29</v>
      </c>
      <c r="BA41" s="15">
        <v>21</v>
      </c>
      <c r="BB41" s="15">
        <v>0.72414</v>
      </c>
      <c r="BC41" s="15">
        <v>0</v>
      </c>
      <c r="BD41" s="15">
        <v>0</v>
      </c>
      <c r="BE41" s="15">
        <v>0.12515</v>
      </c>
      <c r="BF41" s="15">
        <v>76</v>
      </c>
      <c r="BG41" s="15">
        <v>4</v>
      </c>
      <c r="BH41" s="15">
        <v>0</v>
      </c>
      <c r="BI41" s="15"/>
      <c r="BJ41" s="15">
        <v>0</v>
      </c>
      <c r="BK41" s="15">
        <v>0</v>
      </c>
      <c r="BL41" s="15">
        <v>0</v>
      </c>
      <c r="BM41" s="15">
        <v>0</v>
      </c>
      <c r="BN41" s="15"/>
      <c r="BO41" s="15"/>
      <c r="BP41" s="15">
        <v>0</v>
      </c>
      <c r="BQ41" s="15">
        <v>12</v>
      </c>
      <c r="BR41" s="15">
        <v>0</v>
      </c>
      <c r="BS41" s="15">
        <v>0</v>
      </c>
      <c r="BT41" s="15">
        <v>0</v>
      </c>
      <c r="BU41" s="15">
        <v>0</v>
      </c>
      <c r="BV41" s="15">
        <v>0</v>
      </c>
      <c r="BW41" s="15">
        <v>0</v>
      </c>
      <c r="BX41" s="15">
        <v>0</v>
      </c>
    </row>
    <row r="42" spans="1:76">
      <c r="A42" s="14" t="str">
        <f>VLOOKUP(C42,VLOOKUP!A:B,2,FALSE)</f>
        <v>如意盘香</v>
      </c>
      <c r="B42" s="16">
        <v>46102</v>
      </c>
      <c r="C42" s="17">
        <v>838711327669</v>
      </c>
      <c r="D42" s="15" t="s">
        <v>151</v>
      </c>
      <c r="E42" s="15" t="s">
        <v>153</v>
      </c>
      <c r="F42" s="15">
        <v>710</v>
      </c>
      <c r="G42" s="15">
        <v>24</v>
      </c>
      <c r="H42" s="15">
        <v>60</v>
      </c>
      <c r="I42" s="15">
        <v>0.0338</v>
      </c>
      <c r="J42" s="15">
        <v>2.5</v>
      </c>
      <c r="K42" s="15">
        <v>84.51</v>
      </c>
      <c r="L42" s="15">
        <v>0</v>
      </c>
      <c r="M42" s="15">
        <v>0</v>
      </c>
      <c r="N42" s="15">
        <v>0</v>
      </c>
      <c r="O42" s="15">
        <v>0</v>
      </c>
      <c r="P42" s="15">
        <v>0</v>
      </c>
      <c r="Q42" s="15">
        <v>0</v>
      </c>
      <c r="R42" s="15">
        <v>0</v>
      </c>
      <c r="S42" s="15">
        <v>0</v>
      </c>
      <c r="T42" s="15">
        <v>0</v>
      </c>
      <c r="U42" s="15">
        <v>0</v>
      </c>
      <c r="V42" s="15">
        <v>0</v>
      </c>
      <c r="W42" s="15">
        <v>0</v>
      </c>
      <c r="X42" s="15">
        <v>0</v>
      </c>
      <c r="Y42" s="15">
        <v>0</v>
      </c>
      <c r="Z42" s="15">
        <v>0</v>
      </c>
      <c r="AA42" s="15"/>
      <c r="AB42" s="15">
        <v>0</v>
      </c>
      <c r="AC42" s="15">
        <v>0</v>
      </c>
      <c r="AD42" s="15">
        <v>0</v>
      </c>
      <c r="AE42" s="15">
        <v>0</v>
      </c>
      <c r="AF42" s="15">
        <v>0</v>
      </c>
      <c r="AG42" s="15">
        <v>1</v>
      </c>
      <c r="AH42" s="15">
        <v>60</v>
      </c>
      <c r="AI42" s="15">
        <v>1</v>
      </c>
      <c r="AJ42" s="15">
        <v>60</v>
      </c>
      <c r="AK42" s="15">
        <v>0</v>
      </c>
      <c r="AL42" s="15"/>
      <c r="AM42" s="15">
        <v>1</v>
      </c>
      <c r="AN42" s="15"/>
      <c r="AO42" s="15">
        <v>0</v>
      </c>
      <c r="AP42" s="15"/>
      <c r="AQ42" s="15">
        <v>0</v>
      </c>
      <c r="AR42" s="15">
        <v>0</v>
      </c>
      <c r="AS42" s="15">
        <v>0</v>
      </c>
      <c r="AT42" s="15">
        <v>0</v>
      </c>
      <c r="AU42" s="15">
        <v>0</v>
      </c>
      <c r="AV42" s="15">
        <v>0</v>
      </c>
      <c r="AW42" s="15">
        <v>0</v>
      </c>
      <c r="AX42" s="15">
        <v>1</v>
      </c>
      <c r="AY42" s="15">
        <v>81</v>
      </c>
      <c r="AZ42" s="15">
        <v>23</v>
      </c>
      <c r="BA42" s="15">
        <v>13</v>
      </c>
      <c r="BB42" s="15">
        <v>0.56522</v>
      </c>
      <c r="BC42" s="15">
        <v>0</v>
      </c>
      <c r="BD42" s="15">
        <v>0</v>
      </c>
      <c r="BE42" s="15">
        <v>0.11408</v>
      </c>
      <c r="BF42" s="15">
        <v>54</v>
      </c>
      <c r="BG42" s="15">
        <v>4</v>
      </c>
      <c r="BH42" s="15">
        <v>0</v>
      </c>
      <c r="BI42" s="15"/>
      <c r="BJ42" s="15">
        <v>0</v>
      </c>
      <c r="BK42" s="15">
        <v>0</v>
      </c>
      <c r="BL42" s="15">
        <v>0</v>
      </c>
      <c r="BM42" s="15">
        <v>0</v>
      </c>
      <c r="BN42" s="15"/>
      <c r="BO42" s="15"/>
      <c r="BP42" s="15">
        <v>0</v>
      </c>
      <c r="BQ42" s="15">
        <v>38</v>
      </c>
      <c r="BR42" s="15">
        <v>0</v>
      </c>
      <c r="BS42" s="15">
        <v>0</v>
      </c>
      <c r="BT42" s="15">
        <v>0</v>
      </c>
      <c r="BU42" s="15">
        <v>0</v>
      </c>
      <c r="BV42" s="15">
        <v>0</v>
      </c>
      <c r="BW42" s="15">
        <v>0</v>
      </c>
      <c r="BX42" s="15">
        <v>0</v>
      </c>
    </row>
    <row r="43" spans="1:76">
      <c r="A43" s="14" t="str">
        <f>VLOOKUP(C43,VLOOKUP!A:B,2,FALSE)</f>
        <v>福颜青</v>
      </c>
      <c r="B43" s="16">
        <v>46102</v>
      </c>
      <c r="C43" s="17">
        <v>833369552621</v>
      </c>
      <c r="D43" s="15" t="s">
        <v>151</v>
      </c>
      <c r="E43" s="15" t="s">
        <v>154</v>
      </c>
      <c r="F43" s="15">
        <v>3448</v>
      </c>
      <c r="G43" s="15">
        <v>104</v>
      </c>
      <c r="H43" s="15">
        <v>34</v>
      </c>
      <c r="I43" s="15">
        <v>0.03016</v>
      </c>
      <c r="J43" s="15">
        <v>0.33</v>
      </c>
      <c r="K43" s="15">
        <v>9.86</v>
      </c>
      <c r="L43" s="15">
        <v>0</v>
      </c>
      <c r="M43" s="15">
        <v>0</v>
      </c>
      <c r="N43" s="15">
        <v>0</v>
      </c>
      <c r="O43" s="15">
        <v>0</v>
      </c>
      <c r="P43" s="15">
        <v>0</v>
      </c>
      <c r="Q43" s="15">
        <v>0</v>
      </c>
      <c r="R43" s="15">
        <v>0</v>
      </c>
      <c r="S43" s="15">
        <v>0</v>
      </c>
      <c r="T43" s="15">
        <v>0</v>
      </c>
      <c r="U43" s="15">
        <v>0</v>
      </c>
      <c r="V43" s="15">
        <v>0</v>
      </c>
      <c r="W43" s="15">
        <v>0</v>
      </c>
      <c r="X43" s="15">
        <v>0</v>
      </c>
      <c r="Y43" s="15">
        <v>0</v>
      </c>
      <c r="Z43" s="15">
        <v>0</v>
      </c>
      <c r="AA43" s="15"/>
      <c r="AB43" s="15">
        <v>0</v>
      </c>
      <c r="AC43" s="15">
        <v>0</v>
      </c>
      <c r="AD43" s="15">
        <v>0</v>
      </c>
      <c r="AE43" s="15">
        <v>0</v>
      </c>
      <c r="AF43" s="15">
        <v>1</v>
      </c>
      <c r="AG43" s="15">
        <v>1</v>
      </c>
      <c r="AH43" s="15">
        <v>34</v>
      </c>
      <c r="AI43" s="15">
        <v>2</v>
      </c>
      <c r="AJ43" s="15">
        <v>17</v>
      </c>
      <c r="AK43" s="15">
        <v>1</v>
      </c>
      <c r="AL43" s="15">
        <v>34</v>
      </c>
      <c r="AM43" s="15">
        <v>2</v>
      </c>
      <c r="AN43" s="15">
        <v>34</v>
      </c>
      <c r="AO43" s="15">
        <v>0.00962</v>
      </c>
      <c r="AP43" s="15"/>
      <c r="AQ43" s="15">
        <v>0</v>
      </c>
      <c r="AR43" s="15">
        <v>0</v>
      </c>
      <c r="AS43" s="15">
        <v>1</v>
      </c>
      <c r="AT43" s="15">
        <v>0</v>
      </c>
      <c r="AU43" s="15">
        <v>0</v>
      </c>
      <c r="AV43" s="15">
        <v>0</v>
      </c>
      <c r="AW43" s="15">
        <v>0</v>
      </c>
      <c r="AX43" s="15">
        <v>0</v>
      </c>
      <c r="AY43" s="15">
        <v>177</v>
      </c>
      <c r="AZ43" s="15">
        <v>118</v>
      </c>
      <c r="BA43" s="15">
        <v>104</v>
      </c>
      <c r="BB43" s="15">
        <v>0.88136</v>
      </c>
      <c r="BC43" s="15">
        <v>0</v>
      </c>
      <c r="BD43" s="15">
        <v>0</v>
      </c>
      <c r="BE43" s="15">
        <v>0.05133</v>
      </c>
      <c r="BF43" s="15">
        <v>52</v>
      </c>
      <c r="BG43" s="15">
        <v>2</v>
      </c>
      <c r="BH43" s="15">
        <v>0</v>
      </c>
      <c r="BI43" s="15"/>
      <c r="BJ43" s="15">
        <v>0</v>
      </c>
      <c r="BK43" s="15">
        <v>0</v>
      </c>
      <c r="BL43" s="15">
        <v>0</v>
      </c>
      <c r="BM43" s="15">
        <v>0</v>
      </c>
      <c r="BN43" s="15"/>
      <c r="BO43" s="15"/>
      <c r="BP43" s="15">
        <v>0</v>
      </c>
      <c r="BQ43" s="15">
        <v>340</v>
      </c>
      <c r="BR43" s="15">
        <v>0</v>
      </c>
      <c r="BS43" s="15">
        <v>0</v>
      </c>
      <c r="BT43" s="15">
        <v>0</v>
      </c>
      <c r="BU43" s="15">
        <v>0</v>
      </c>
      <c r="BV43" s="15">
        <v>0</v>
      </c>
      <c r="BW43" s="15">
        <v>0</v>
      </c>
      <c r="BX43" s="15">
        <v>0</v>
      </c>
    </row>
    <row r="44" spans="1:76">
      <c r="A44" s="14" t="str">
        <f>VLOOKUP(C44,VLOOKUP!A:B,2,FALSE)</f>
        <v>福到</v>
      </c>
      <c r="B44" s="16">
        <v>46101</v>
      </c>
      <c r="C44" s="17">
        <v>971856893567</v>
      </c>
      <c r="D44" s="15" t="s">
        <v>151</v>
      </c>
      <c r="E44" s="15" t="s">
        <v>152</v>
      </c>
      <c r="F44" s="15">
        <v>640</v>
      </c>
      <c r="G44" s="15">
        <v>24</v>
      </c>
      <c r="H44" s="15">
        <v>7.21</v>
      </c>
      <c r="I44" s="15">
        <v>0.0375</v>
      </c>
      <c r="J44" s="15">
        <v>0.3</v>
      </c>
      <c r="K44" s="15">
        <v>11.27</v>
      </c>
      <c r="L44" s="15">
        <v>0</v>
      </c>
      <c r="M44" s="15">
        <v>0</v>
      </c>
      <c r="N44" s="15">
        <v>0</v>
      </c>
      <c r="O44" s="15">
        <v>0</v>
      </c>
      <c r="P44" s="15">
        <v>0</v>
      </c>
      <c r="Q44" s="15">
        <v>0</v>
      </c>
      <c r="R44" s="15">
        <v>0</v>
      </c>
      <c r="S44" s="15">
        <v>0</v>
      </c>
      <c r="T44" s="15">
        <v>0</v>
      </c>
      <c r="U44" s="15">
        <v>0</v>
      </c>
      <c r="V44" s="15">
        <v>0</v>
      </c>
      <c r="W44" s="15">
        <v>0</v>
      </c>
      <c r="X44" s="15">
        <v>0</v>
      </c>
      <c r="Y44" s="15">
        <v>0</v>
      </c>
      <c r="Z44" s="15">
        <v>0</v>
      </c>
      <c r="AA44" s="15"/>
      <c r="AB44" s="15">
        <v>0</v>
      </c>
      <c r="AC44" s="15">
        <v>0</v>
      </c>
      <c r="AD44" s="15">
        <v>0</v>
      </c>
      <c r="AE44" s="15">
        <v>0</v>
      </c>
      <c r="AF44" s="15">
        <v>0</v>
      </c>
      <c r="AG44" s="15">
        <v>0</v>
      </c>
      <c r="AH44" s="15"/>
      <c r="AI44" s="15">
        <v>0</v>
      </c>
      <c r="AJ44" s="15"/>
      <c r="AK44" s="15">
        <v>0</v>
      </c>
      <c r="AL44" s="15"/>
      <c r="AM44" s="15">
        <v>0</v>
      </c>
      <c r="AN44" s="15"/>
      <c r="AO44" s="15">
        <v>0</v>
      </c>
      <c r="AP44" s="15"/>
      <c r="AQ44" s="15">
        <v>0</v>
      </c>
      <c r="AR44" s="15">
        <v>0</v>
      </c>
      <c r="AS44" s="15">
        <v>0</v>
      </c>
      <c r="AT44" s="15">
        <v>0</v>
      </c>
      <c r="AU44" s="15">
        <v>0</v>
      </c>
      <c r="AV44" s="15">
        <v>0</v>
      </c>
      <c r="AW44" s="15">
        <v>0</v>
      </c>
      <c r="AX44" s="15">
        <v>0</v>
      </c>
      <c r="AY44" s="15">
        <v>63</v>
      </c>
      <c r="AZ44" s="15">
        <v>24</v>
      </c>
      <c r="BA44" s="15">
        <v>23</v>
      </c>
      <c r="BB44" s="15">
        <v>0.95833</v>
      </c>
      <c r="BC44" s="15">
        <v>0</v>
      </c>
      <c r="BD44" s="15">
        <v>0</v>
      </c>
      <c r="BE44" s="15">
        <v>0.09844</v>
      </c>
      <c r="BF44" s="15">
        <v>34</v>
      </c>
      <c r="BG44" s="15">
        <v>3</v>
      </c>
      <c r="BH44" s="15">
        <v>0</v>
      </c>
      <c r="BI44" s="15"/>
      <c r="BJ44" s="15">
        <v>0</v>
      </c>
      <c r="BK44" s="15">
        <v>0</v>
      </c>
      <c r="BL44" s="15">
        <v>0</v>
      </c>
      <c r="BM44" s="15">
        <v>0</v>
      </c>
      <c r="BN44" s="15"/>
      <c r="BO44" s="15"/>
      <c r="BP44" s="15">
        <v>0</v>
      </c>
      <c r="BQ44" s="15">
        <v>3</v>
      </c>
      <c r="BR44" s="15">
        <v>0</v>
      </c>
      <c r="BS44" s="15">
        <v>0</v>
      </c>
      <c r="BT44" s="15">
        <v>0</v>
      </c>
      <c r="BU44" s="15">
        <v>0</v>
      </c>
      <c r="BV44" s="15">
        <v>0</v>
      </c>
      <c r="BW44" s="15">
        <v>0</v>
      </c>
      <c r="BX44" s="15">
        <v>0</v>
      </c>
    </row>
    <row r="45" spans="1:76">
      <c r="A45" s="14" t="str">
        <f>VLOOKUP(C45,VLOOKUP!A:B,2,FALSE)</f>
        <v>荔枝香</v>
      </c>
      <c r="B45" s="16">
        <v>46101</v>
      </c>
      <c r="C45" s="17">
        <v>960406497157</v>
      </c>
      <c r="D45" s="15" t="s">
        <v>151</v>
      </c>
      <c r="E45" s="15" t="s">
        <v>157</v>
      </c>
      <c r="F45" s="15">
        <v>862</v>
      </c>
      <c r="G45" s="15">
        <v>30</v>
      </c>
      <c r="H45" s="15">
        <v>50</v>
      </c>
      <c r="I45" s="15">
        <v>0.0348</v>
      </c>
      <c r="J45" s="15">
        <v>1.67</v>
      </c>
      <c r="K45" s="15">
        <v>58</v>
      </c>
      <c r="L45" s="15">
        <v>0</v>
      </c>
      <c r="M45" s="15">
        <v>0</v>
      </c>
      <c r="N45" s="15">
        <v>0</v>
      </c>
      <c r="O45" s="15">
        <v>0</v>
      </c>
      <c r="P45" s="15">
        <v>0</v>
      </c>
      <c r="Q45" s="15">
        <v>0</v>
      </c>
      <c r="R45" s="15">
        <v>147.64</v>
      </c>
      <c r="S45" s="15">
        <v>87.12</v>
      </c>
      <c r="T45" s="15">
        <v>234.76</v>
      </c>
      <c r="U45" s="15">
        <v>2</v>
      </c>
      <c r="V45" s="15">
        <v>1</v>
      </c>
      <c r="W45" s="15">
        <v>1</v>
      </c>
      <c r="X45" s="15">
        <v>0.06667</v>
      </c>
      <c r="Y45" s="15">
        <v>4.7</v>
      </c>
      <c r="Z45" s="15">
        <v>4.7</v>
      </c>
      <c r="AA45" s="15">
        <v>25</v>
      </c>
      <c r="AB45" s="15">
        <v>5</v>
      </c>
      <c r="AC45" s="15">
        <v>3</v>
      </c>
      <c r="AD45" s="15">
        <v>2</v>
      </c>
      <c r="AE45" s="15">
        <v>0.16667</v>
      </c>
      <c r="AF45" s="15">
        <v>1</v>
      </c>
      <c r="AG45" s="15">
        <v>0</v>
      </c>
      <c r="AH45" s="15"/>
      <c r="AI45" s="15">
        <v>6</v>
      </c>
      <c r="AJ45" s="15">
        <v>8.33</v>
      </c>
      <c r="AK45" s="15">
        <v>6</v>
      </c>
      <c r="AL45" s="15">
        <v>8.33</v>
      </c>
      <c r="AM45" s="15">
        <v>1</v>
      </c>
      <c r="AN45" s="15">
        <v>50</v>
      </c>
      <c r="AO45" s="15">
        <v>0.03333</v>
      </c>
      <c r="AP45" s="15">
        <v>10</v>
      </c>
      <c r="AQ45" s="15">
        <v>3</v>
      </c>
      <c r="AR45" s="15">
        <v>316.9</v>
      </c>
      <c r="AS45" s="15">
        <v>1</v>
      </c>
      <c r="AT45" s="15">
        <v>0</v>
      </c>
      <c r="AU45" s="15">
        <v>0</v>
      </c>
      <c r="AV45" s="15">
        <v>0</v>
      </c>
      <c r="AW45" s="15">
        <v>0</v>
      </c>
      <c r="AX45" s="15">
        <v>0</v>
      </c>
      <c r="AY45" s="15">
        <v>74</v>
      </c>
      <c r="AZ45" s="15">
        <v>29</v>
      </c>
      <c r="BA45" s="15">
        <v>22</v>
      </c>
      <c r="BB45" s="15">
        <v>0.75862</v>
      </c>
      <c r="BC45" s="15">
        <v>0</v>
      </c>
      <c r="BD45" s="15">
        <v>0</v>
      </c>
      <c r="BE45" s="15">
        <v>0.08585</v>
      </c>
      <c r="BF45" s="15">
        <v>44</v>
      </c>
      <c r="BG45" s="15">
        <v>3</v>
      </c>
      <c r="BH45" s="15">
        <v>1</v>
      </c>
      <c r="BI45" s="15">
        <v>1</v>
      </c>
      <c r="BJ45" s="15">
        <v>0</v>
      </c>
      <c r="BK45" s="15">
        <v>0</v>
      </c>
      <c r="BL45" s="15">
        <v>0</v>
      </c>
      <c r="BM45" s="15">
        <v>1</v>
      </c>
      <c r="BN45" s="15">
        <v>2</v>
      </c>
      <c r="BO45" s="15">
        <v>234.76</v>
      </c>
      <c r="BP45" s="15">
        <v>9.63</v>
      </c>
      <c r="BQ45" s="15">
        <v>378</v>
      </c>
      <c r="BR45" s="15">
        <v>0</v>
      </c>
      <c r="BS45" s="15">
        <v>0</v>
      </c>
      <c r="BT45" s="15">
        <v>0</v>
      </c>
      <c r="BU45" s="15">
        <v>0</v>
      </c>
      <c r="BV45" s="15">
        <v>0</v>
      </c>
      <c r="BW45" s="15">
        <v>0</v>
      </c>
      <c r="BX45" s="15">
        <v>0</v>
      </c>
    </row>
    <row r="46" spans="1:76">
      <c r="A46" s="14" t="str">
        <f>VLOOKUP(C46,VLOOKUP!A:B,2,FALSE)</f>
        <v>如意盘香</v>
      </c>
      <c r="B46" s="16">
        <v>46101</v>
      </c>
      <c r="C46" s="17">
        <v>838711327669</v>
      </c>
      <c r="D46" s="15" t="s">
        <v>151</v>
      </c>
      <c r="E46" s="15" t="s">
        <v>153</v>
      </c>
      <c r="F46" s="15">
        <v>659</v>
      </c>
      <c r="G46" s="15">
        <v>31</v>
      </c>
      <c r="H46" s="15">
        <v>60</v>
      </c>
      <c r="I46" s="15">
        <v>0.04704</v>
      </c>
      <c r="J46" s="15">
        <v>1.94</v>
      </c>
      <c r="K46" s="15">
        <v>91.05</v>
      </c>
      <c r="L46" s="15">
        <v>0</v>
      </c>
      <c r="M46" s="15">
        <v>0</v>
      </c>
      <c r="N46" s="15">
        <v>0</v>
      </c>
      <c r="O46" s="15">
        <v>0</v>
      </c>
      <c r="P46" s="15">
        <v>0</v>
      </c>
      <c r="Q46" s="15">
        <v>0</v>
      </c>
      <c r="R46" s="15">
        <v>596.44</v>
      </c>
      <c r="S46" s="15">
        <v>118.42</v>
      </c>
      <c r="T46" s="15">
        <v>714.86</v>
      </c>
      <c r="U46" s="15">
        <v>4</v>
      </c>
      <c r="V46" s="15">
        <v>1</v>
      </c>
      <c r="W46" s="15">
        <v>3</v>
      </c>
      <c r="X46" s="15">
        <v>0.12903</v>
      </c>
      <c r="Y46" s="15">
        <v>11.91</v>
      </c>
      <c r="Z46" s="15">
        <v>11.91</v>
      </c>
      <c r="AA46" s="15">
        <v>15</v>
      </c>
      <c r="AB46" s="15">
        <v>7</v>
      </c>
      <c r="AC46" s="15">
        <v>1</v>
      </c>
      <c r="AD46" s="15">
        <v>6</v>
      </c>
      <c r="AE46" s="15">
        <v>0.22581</v>
      </c>
      <c r="AF46" s="15">
        <v>0</v>
      </c>
      <c r="AG46" s="15">
        <v>2</v>
      </c>
      <c r="AH46" s="15">
        <v>30</v>
      </c>
      <c r="AI46" s="15">
        <v>9</v>
      </c>
      <c r="AJ46" s="15">
        <v>6.67</v>
      </c>
      <c r="AK46" s="15">
        <v>7</v>
      </c>
      <c r="AL46" s="15">
        <v>8.57</v>
      </c>
      <c r="AM46" s="15">
        <v>2</v>
      </c>
      <c r="AN46" s="15"/>
      <c r="AO46" s="15">
        <v>0</v>
      </c>
      <c r="AP46" s="15">
        <v>8.57</v>
      </c>
      <c r="AQ46" s="15">
        <v>5</v>
      </c>
      <c r="AR46" s="15">
        <v>992.8</v>
      </c>
      <c r="AS46" s="15">
        <v>0</v>
      </c>
      <c r="AT46" s="15">
        <v>0</v>
      </c>
      <c r="AU46" s="15">
        <v>0</v>
      </c>
      <c r="AV46" s="15">
        <v>0</v>
      </c>
      <c r="AW46" s="15">
        <v>0</v>
      </c>
      <c r="AX46" s="15">
        <v>1</v>
      </c>
      <c r="AY46" s="15">
        <v>107</v>
      </c>
      <c r="AZ46" s="15">
        <v>26</v>
      </c>
      <c r="BA46" s="15">
        <v>18</v>
      </c>
      <c r="BB46" s="15">
        <v>0.69231</v>
      </c>
      <c r="BC46" s="15">
        <v>0</v>
      </c>
      <c r="BD46" s="15">
        <v>0</v>
      </c>
      <c r="BE46" s="15">
        <v>0.16237</v>
      </c>
      <c r="BF46" s="15">
        <v>73</v>
      </c>
      <c r="BG46" s="15">
        <v>4</v>
      </c>
      <c r="BH46" s="15">
        <v>3</v>
      </c>
      <c r="BI46" s="15">
        <v>1</v>
      </c>
      <c r="BJ46" s="15">
        <v>0</v>
      </c>
      <c r="BK46" s="15">
        <v>0</v>
      </c>
      <c r="BL46" s="15">
        <v>0</v>
      </c>
      <c r="BM46" s="15">
        <v>3</v>
      </c>
      <c r="BN46" s="15">
        <v>1</v>
      </c>
      <c r="BO46" s="15">
        <v>238.29</v>
      </c>
      <c r="BP46" s="15">
        <v>3.4</v>
      </c>
      <c r="BQ46" s="15">
        <v>733</v>
      </c>
      <c r="BR46" s="15">
        <v>0</v>
      </c>
      <c r="BS46" s="15">
        <v>0</v>
      </c>
      <c r="BT46" s="15">
        <v>0</v>
      </c>
      <c r="BU46" s="15">
        <v>0</v>
      </c>
      <c r="BV46" s="15">
        <v>0</v>
      </c>
      <c r="BW46" s="15">
        <v>0</v>
      </c>
      <c r="BX46" s="15">
        <v>0</v>
      </c>
    </row>
    <row r="47" spans="1:76">
      <c r="A47" s="14" t="str">
        <f>VLOOKUP(C47,VLOOKUP!A:B,2,FALSE)</f>
        <v>福颜青</v>
      </c>
      <c r="B47" s="16">
        <v>46101</v>
      </c>
      <c r="C47" s="17">
        <v>833369552621</v>
      </c>
      <c r="D47" s="15" t="s">
        <v>151</v>
      </c>
      <c r="E47" s="15" t="s">
        <v>154</v>
      </c>
      <c r="F47" s="15">
        <v>3367</v>
      </c>
      <c r="G47" s="15">
        <v>95</v>
      </c>
      <c r="H47" s="15">
        <v>31.88</v>
      </c>
      <c r="I47" s="15">
        <v>0.02822</v>
      </c>
      <c r="J47" s="15">
        <v>0.34</v>
      </c>
      <c r="K47" s="15">
        <v>9.47</v>
      </c>
      <c r="L47" s="15">
        <v>0</v>
      </c>
      <c r="M47" s="15">
        <v>0</v>
      </c>
      <c r="N47" s="15">
        <v>0</v>
      </c>
      <c r="O47" s="15">
        <v>0</v>
      </c>
      <c r="P47" s="15">
        <v>0</v>
      </c>
      <c r="Q47" s="15">
        <v>0</v>
      </c>
      <c r="R47" s="15">
        <v>0</v>
      </c>
      <c r="S47" s="15">
        <v>0</v>
      </c>
      <c r="T47" s="15">
        <v>0</v>
      </c>
      <c r="U47" s="15">
        <v>0</v>
      </c>
      <c r="V47" s="15">
        <v>0</v>
      </c>
      <c r="W47" s="15">
        <v>0</v>
      </c>
      <c r="X47" s="15">
        <v>0</v>
      </c>
      <c r="Y47" s="15">
        <v>0</v>
      </c>
      <c r="Z47" s="15">
        <v>0</v>
      </c>
      <c r="AA47" s="15"/>
      <c r="AB47" s="15">
        <v>0</v>
      </c>
      <c r="AC47" s="15">
        <v>0</v>
      </c>
      <c r="AD47" s="15">
        <v>0</v>
      </c>
      <c r="AE47" s="15">
        <v>0</v>
      </c>
      <c r="AF47" s="15">
        <v>0</v>
      </c>
      <c r="AG47" s="15">
        <v>0</v>
      </c>
      <c r="AH47" s="15"/>
      <c r="AI47" s="15">
        <v>0</v>
      </c>
      <c r="AJ47" s="15"/>
      <c r="AK47" s="15">
        <v>0</v>
      </c>
      <c r="AL47" s="15"/>
      <c r="AM47" s="15">
        <v>0</v>
      </c>
      <c r="AN47" s="15"/>
      <c r="AO47" s="15">
        <v>0</v>
      </c>
      <c r="AP47" s="15"/>
      <c r="AQ47" s="15">
        <v>0</v>
      </c>
      <c r="AR47" s="15">
        <v>0</v>
      </c>
      <c r="AS47" s="15">
        <v>0</v>
      </c>
      <c r="AT47" s="15">
        <v>0</v>
      </c>
      <c r="AU47" s="15">
        <v>0</v>
      </c>
      <c r="AV47" s="15">
        <v>0</v>
      </c>
      <c r="AW47" s="15">
        <v>0</v>
      </c>
      <c r="AX47" s="15">
        <v>1</v>
      </c>
      <c r="AY47" s="15">
        <v>173</v>
      </c>
      <c r="AZ47" s="15">
        <v>115</v>
      </c>
      <c r="BA47" s="15">
        <v>106</v>
      </c>
      <c r="BB47" s="15">
        <v>0.92174</v>
      </c>
      <c r="BC47" s="15">
        <v>0</v>
      </c>
      <c r="BD47" s="15">
        <v>0</v>
      </c>
      <c r="BE47" s="15">
        <v>0.05138</v>
      </c>
      <c r="BF47" s="15">
        <v>41</v>
      </c>
      <c r="BG47" s="15">
        <v>2</v>
      </c>
      <c r="BH47" s="15">
        <v>0</v>
      </c>
      <c r="BI47" s="15"/>
      <c r="BJ47" s="15">
        <v>0</v>
      </c>
      <c r="BK47" s="15">
        <v>0</v>
      </c>
      <c r="BL47" s="15">
        <v>0</v>
      </c>
      <c r="BM47" s="15">
        <v>0</v>
      </c>
      <c r="BN47" s="15"/>
      <c r="BO47" s="15"/>
      <c r="BP47" s="15">
        <v>0</v>
      </c>
      <c r="BQ47" s="15">
        <v>13</v>
      </c>
      <c r="BR47" s="15">
        <v>0</v>
      </c>
      <c r="BS47" s="15">
        <v>0</v>
      </c>
      <c r="BT47" s="15">
        <v>0</v>
      </c>
      <c r="BU47" s="15">
        <v>0</v>
      </c>
      <c r="BV47" s="15">
        <v>0</v>
      </c>
      <c r="BW47" s="15">
        <v>0</v>
      </c>
      <c r="BX47" s="15">
        <v>0</v>
      </c>
    </row>
    <row r="48" spans="1:76">
      <c r="A48" s="14" t="str">
        <f>VLOOKUP(C48,VLOOKUP!A:B,2,FALSE)</f>
        <v>福到</v>
      </c>
      <c r="B48" s="16">
        <v>46100</v>
      </c>
      <c r="C48" s="17">
        <v>971856893567</v>
      </c>
      <c r="D48" s="15" t="s">
        <v>151</v>
      </c>
      <c r="E48" s="15" t="s">
        <v>152</v>
      </c>
      <c r="F48" s="15">
        <v>1227</v>
      </c>
      <c r="G48" s="15">
        <v>42</v>
      </c>
      <c r="H48" s="15">
        <v>12.13</v>
      </c>
      <c r="I48" s="15">
        <v>0.03423</v>
      </c>
      <c r="J48" s="15">
        <v>0.29</v>
      </c>
      <c r="K48" s="15">
        <v>9.89</v>
      </c>
      <c r="L48" s="15">
        <v>0</v>
      </c>
      <c r="M48" s="15">
        <v>0</v>
      </c>
      <c r="N48" s="15">
        <v>0</v>
      </c>
      <c r="O48" s="15">
        <v>0</v>
      </c>
      <c r="P48" s="15">
        <v>0</v>
      </c>
      <c r="Q48" s="15">
        <v>0</v>
      </c>
      <c r="R48" s="15">
        <v>0</v>
      </c>
      <c r="S48" s="15">
        <v>0</v>
      </c>
      <c r="T48" s="15">
        <v>0</v>
      </c>
      <c r="U48" s="15">
        <v>0</v>
      </c>
      <c r="V48" s="15">
        <v>0</v>
      </c>
      <c r="W48" s="15">
        <v>0</v>
      </c>
      <c r="X48" s="15">
        <v>0</v>
      </c>
      <c r="Y48" s="15">
        <v>0</v>
      </c>
      <c r="Z48" s="15">
        <v>0</v>
      </c>
      <c r="AA48" s="15"/>
      <c r="AB48" s="15">
        <v>0</v>
      </c>
      <c r="AC48" s="15">
        <v>0</v>
      </c>
      <c r="AD48" s="15">
        <v>0</v>
      </c>
      <c r="AE48" s="15">
        <v>0</v>
      </c>
      <c r="AF48" s="15">
        <v>0</v>
      </c>
      <c r="AG48" s="15">
        <v>0</v>
      </c>
      <c r="AH48" s="15"/>
      <c r="AI48" s="15">
        <v>0</v>
      </c>
      <c r="AJ48" s="15"/>
      <c r="AK48" s="15">
        <v>0</v>
      </c>
      <c r="AL48" s="15"/>
      <c r="AM48" s="15">
        <v>0</v>
      </c>
      <c r="AN48" s="15"/>
      <c r="AO48" s="15">
        <v>0</v>
      </c>
      <c r="AP48" s="15"/>
      <c r="AQ48" s="15">
        <v>0</v>
      </c>
      <c r="AR48" s="15">
        <v>0</v>
      </c>
      <c r="AS48" s="15">
        <v>0</v>
      </c>
      <c r="AT48" s="15">
        <v>0</v>
      </c>
      <c r="AU48" s="15">
        <v>0</v>
      </c>
      <c r="AV48" s="15">
        <v>0</v>
      </c>
      <c r="AW48" s="15">
        <v>0</v>
      </c>
      <c r="AX48" s="15">
        <v>0</v>
      </c>
      <c r="AY48" s="15">
        <v>72</v>
      </c>
      <c r="AZ48" s="15">
        <v>38</v>
      </c>
      <c r="BA48" s="15">
        <v>36</v>
      </c>
      <c r="BB48" s="15">
        <v>0.94737</v>
      </c>
      <c r="BC48" s="15">
        <v>0</v>
      </c>
      <c r="BD48" s="15">
        <v>0</v>
      </c>
      <c r="BE48" s="15">
        <v>0.05868</v>
      </c>
      <c r="BF48" s="15">
        <v>30</v>
      </c>
      <c r="BG48" s="15">
        <v>2</v>
      </c>
      <c r="BH48" s="15">
        <v>0</v>
      </c>
      <c r="BI48" s="15"/>
      <c r="BJ48" s="15">
        <v>0</v>
      </c>
      <c r="BK48" s="15">
        <v>0</v>
      </c>
      <c r="BL48" s="15">
        <v>0</v>
      </c>
      <c r="BM48" s="15">
        <v>0</v>
      </c>
      <c r="BN48" s="15"/>
      <c r="BO48" s="15"/>
      <c r="BP48" s="15">
        <v>0</v>
      </c>
      <c r="BQ48" s="15">
        <v>9</v>
      </c>
      <c r="BR48" s="15">
        <v>0</v>
      </c>
      <c r="BS48" s="15">
        <v>0</v>
      </c>
      <c r="BT48" s="15">
        <v>0</v>
      </c>
      <c r="BU48" s="15">
        <v>0</v>
      </c>
      <c r="BV48" s="15">
        <v>0</v>
      </c>
      <c r="BW48" s="15">
        <v>0</v>
      </c>
      <c r="BX48" s="15">
        <v>0</v>
      </c>
    </row>
    <row r="49" spans="1:76">
      <c r="A49" s="14" t="str">
        <f>VLOOKUP(C49,VLOOKUP!A:B,2,FALSE)</f>
        <v>荔枝香</v>
      </c>
      <c r="B49" s="16">
        <v>46100</v>
      </c>
      <c r="C49" s="17">
        <v>960406497157</v>
      </c>
      <c r="D49" s="15" t="s">
        <v>151</v>
      </c>
      <c r="E49" s="15" t="s">
        <v>157</v>
      </c>
      <c r="F49" s="15">
        <v>1155</v>
      </c>
      <c r="G49" s="15">
        <v>34</v>
      </c>
      <c r="H49" s="15">
        <v>50</v>
      </c>
      <c r="I49" s="15">
        <v>0.02944</v>
      </c>
      <c r="J49" s="15">
        <v>1.47</v>
      </c>
      <c r="K49" s="15">
        <v>43.29</v>
      </c>
      <c r="L49" s="15">
        <v>0</v>
      </c>
      <c r="M49" s="15">
        <v>0</v>
      </c>
      <c r="N49" s="15">
        <v>0</v>
      </c>
      <c r="O49" s="15">
        <v>0</v>
      </c>
      <c r="P49" s="15">
        <v>0</v>
      </c>
      <c r="Q49" s="15">
        <v>0</v>
      </c>
      <c r="R49" s="15">
        <v>147.64</v>
      </c>
      <c r="S49" s="15">
        <v>233.93</v>
      </c>
      <c r="T49" s="15">
        <v>381.57</v>
      </c>
      <c r="U49" s="15">
        <v>2</v>
      </c>
      <c r="V49" s="15">
        <v>1</v>
      </c>
      <c r="W49" s="15">
        <v>1</v>
      </c>
      <c r="X49" s="15">
        <v>0.05882</v>
      </c>
      <c r="Y49" s="15">
        <v>7.63</v>
      </c>
      <c r="Z49" s="15">
        <v>7.63</v>
      </c>
      <c r="AA49" s="15">
        <v>25</v>
      </c>
      <c r="AB49" s="15">
        <v>3</v>
      </c>
      <c r="AC49" s="15">
        <v>1</v>
      </c>
      <c r="AD49" s="15">
        <v>2</v>
      </c>
      <c r="AE49" s="15">
        <v>0.08824</v>
      </c>
      <c r="AF49" s="15">
        <v>0</v>
      </c>
      <c r="AG49" s="15">
        <v>1</v>
      </c>
      <c r="AH49" s="15">
        <v>50</v>
      </c>
      <c r="AI49" s="15">
        <v>4</v>
      </c>
      <c r="AJ49" s="15">
        <v>12.5</v>
      </c>
      <c r="AK49" s="15">
        <v>3</v>
      </c>
      <c r="AL49" s="15">
        <v>16.67</v>
      </c>
      <c r="AM49" s="15">
        <v>1</v>
      </c>
      <c r="AN49" s="15"/>
      <c r="AO49" s="15">
        <v>0</v>
      </c>
      <c r="AP49" s="15">
        <v>16.67</v>
      </c>
      <c r="AQ49" s="15">
        <v>6</v>
      </c>
      <c r="AR49" s="15">
        <v>692.9</v>
      </c>
      <c r="AS49" s="15">
        <v>0</v>
      </c>
      <c r="AT49" s="15">
        <v>0</v>
      </c>
      <c r="AU49" s="15">
        <v>0</v>
      </c>
      <c r="AV49" s="15">
        <v>0</v>
      </c>
      <c r="AW49" s="15">
        <v>0</v>
      </c>
      <c r="AX49" s="15">
        <v>1</v>
      </c>
      <c r="AY49" s="15">
        <v>129</v>
      </c>
      <c r="AZ49" s="15">
        <v>29</v>
      </c>
      <c r="BA49" s="15">
        <v>25</v>
      </c>
      <c r="BB49" s="15">
        <v>0.86207</v>
      </c>
      <c r="BC49" s="15">
        <v>0</v>
      </c>
      <c r="BD49" s="15">
        <v>0</v>
      </c>
      <c r="BE49" s="15">
        <v>0.11169</v>
      </c>
      <c r="BF49" s="15">
        <v>94</v>
      </c>
      <c r="BG49" s="15">
        <v>4</v>
      </c>
      <c r="BH49" s="15">
        <v>2</v>
      </c>
      <c r="BI49" s="15">
        <v>1</v>
      </c>
      <c r="BJ49" s="15">
        <v>0</v>
      </c>
      <c r="BK49" s="15">
        <v>0</v>
      </c>
      <c r="BL49" s="15">
        <v>0</v>
      </c>
      <c r="BM49" s="15">
        <v>2</v>
      </c>
      <c r="BN49" s="15">
        <v>1</v>
      </c>
      <c r="BO49" s="15">
        <v>190.79</v>
      </c>
      <c r="BP49" s="15">
        <v>87.1</v>
      </c>
      <c r="BQ49" s="15">
        <v>325</v>
      </c>
      <c r="BR49" s="15">
        <v>152.63</v>
      </c>
      <c r="BS49" s="15">
        <v>59.06</v>
      </c>
      <c r="BT49" s="15">
        <v>14</v>
      </c>
      <c r="BU49" s="15">
        <v>0</v>
      </c>
      <c r="BV49" s="15">
        <v>0</v>
      </c>
      <c r="BW49" s="15">
        <v>0</v>
      </c>
      <c r="BX49" s="15">
        <v>0</v>
      </c>
    </row>
    <row r="50" spans="1:76">
      <c r="A50" s="14" t="str">
        <f>VLOOKUP(C50,VLOOKUP!A:B,2,FALSE)</f>
        <v>如意盘香</v>
      </c>
      <c r="B50" s="16">
        <v>46100</v>
      </c>
      <c r="C50" s="17">
        <v>838711327669</v>
      </c>
      <c r="D50" s="15" t="s">
        <v>151</v>
      </c>
      <c r="E50" s="15" t="s">
        <v>153</v>
      </c>
      <c r="F50" s="15">
        <v>695</v>
      </c>
      <c r="G50" s="15">
        <v>33</v>
      </c>
      <c r="H50" s="15">
        <v>60</v>
      </c>
      <c r="I50" s="15">
        <v>0.04748</v>
      </c>
      <c r="J50" s="15">
        <v>1.82</v>
      </c>
      <c r="K50" s="15">
        <v>86.33</v>
      </c>
      <c r="L50" s="15">
        <v>0</v>
      </c>
      <c r="M50" s="15">
        <v>0</v>
      </c>
      <c r="N50" s="15">
        <v>0</v>
      </c>
      <c r="O50" s="15">
        <v>0</v>
      </c>
      <c r="P50" s="15">
        <v>0</v>
      </c>
      <c r="Q50" s="15">
        <v>0</v>
      </c>
      <c r="R50" s="15">
        <v>0</v>
      </c>
      <c r="S50" s="15">
        <v>392.76</v>
      </c>
      <c r="T50" s="15">
        <v>392.76</v>
      </c>
      <c r="U50" s="15">
        <v>6</v>
      </c>
      <c r="V50" s="15">
        <v>0</v>
      </c>
      <c r="W50" s="15">
        <v>6</v>
      </c>
      <c r="X50" s="15">
        <v>0.18182</v>
      </c>
      <c r="Y50" s="15">
        <v>6.55</v>
      </c>
      <c r="Z50" s="15">
        <v>6.55</v>
      </c>
      <c r="AA50" s="15">
        <v>10</v>
      </c>
      <c r="AB50" s="15">
        <v>21</v>
      </c>
      <c r="AC50" s="15">
        <v>0</v>
      </c>
      <c r="AD50" s="15">
        <v>21</v>
      </c>
      <c r="AE50" s="15">
        <v>0.63636</v>
      </c>
      <c r="AF50" s="15">
        <v>0</v>
      </c>
      <c r="AG50" s="15">
        <v>1</v>
      </c>
      <c r="AH50" s="15">
        <v>60</v>
      </c>
      <c r="AI50" s="15">
        <v>22</v>
      </c>
      <c r="AJ50" s="15">
        <v>2.73</v>
      </c>
      <c r="AK50" s="15">
        <v>21</v>
      </c>
      <c r="AL50" s="15">
        <v>2.86</v>
      </c>
      <c r="AM50" s="15">
        <v>1</v>
      </c>
      <c r="AN50" s="15"/>
      <c r="AO50" s="15">
        <v>0</v>
      </c>
      <c r="AP50" s="15">
        <v>2.86</v>
      </c>
      <c r="AQ50" s="15">
        <v>11</v>
      </c>
      <c r="AR50" s="15">
        <v>620.7</v>
      </c>
      <c r="AS50" s="15">
        <v>0</v>
      </c>
      <c r="AT50" s="15">
        <v>0</v>
      </c>
      <c r="AU50" s="15">
        <v>0</v>
      </c>
      <c r="AV50" s="15">
        <v>0</v>
      </c>
      <c r="AW50" s="15">
        <v>0</v>
      </c>
      <c r="AX50" s="15">
        <v>4</v>
      </c>
      <c r="AY50" s="15">
        <v>135</v>
      </c>
      <c r="AZ50" s="15">
        <v>33</v>
      </c>
      <c r="BA50" s="15">
        <v>19</v>
      </c>
      <c r="BB50" s="15">
        <v>0.57576</v>
      </c>
      <c r="BC50" s="15">
        <v>0</v>
      </c>
      <c r="BD50" s="15">
        <v>0</v>
      </c>
      <c r="BE50" s="15">
        <v>0.19424</v>
      </c>
      <c r="BF50" s="15">
        <v>97</v>
      </c>
      <c r="BG50" s="15">
        <v>4</v>
      </c>
      <c r="BH50" s="15">
        <v>2</v>
      </c>
      <c r="BI50" s="15">
        <v>1</v>
      </c>
      <c r="BJ50" s="15">
        <v>0</v>
      </c>
      <c r="BK50" s="15">
        <v>0</v>
      </c>
      <c r="BL50" s="15">
        <v>0</v>
      </c>
      <c r="BM50" s="15">
        <v>2</v>
      </c>
      <c r="BN50" s="15">
        <v>3</v>
      </c>
      <c r="BO50" s="15">
        <v>196.38</v>
      </c>
      <c r="BP50" s="15">
        <v>72.87</v>
      </c>
      <c r="BQ50" s="15">
        <v>554</v>
      </c>
      <c r="BR50" s="15">
        <v>0</v>
      </c>
      <c r="BS50" s="15">
        <v>0</v>
      </c>
      <c r="BT50" s="15">
        <v>0</v>
      </c>
      <c r="BU50" s="15">
        <v>0</v>
      </c>
      <c r="BV50" s="15">
        <v>0</v>
      </c>
      <c r="BW50" s="15">
        <v>0</v>
      </c>
      <c r="BX50" s="15">
        <v>0</v>
      </c>
    </row>
    <row r="51" spans="1:76">
      <c r="A51" s="14" t="str">
        <f>VLOOKUP(C51,VLOOKUP!A:B,2,FALSE)</f>
        <v>福颜青</v>
      </c>
      <c r="B51" s="16">
        <v>46100</v>
      </c>
      <c r="C51" s="17">
        <v>833369552621</v>
      </c>
      <c r="D51" s="15" t="s">
        <v>151</v>
      </c>
      <c r="E51" s="15" t="s">
        <v>154</v>
      </c>
      <c r="F51" s="15">
        <v>4158</v>
      </c>
      <c r="G51" s="15">
        <v>89</v>
      </c>
      <c r="H51" s="15">
        <v>28.43</v>
      </c>
      <c r="I51" s="15">
        <v>0.0214</v>
      </c>
      <c r="J51" s="15">
        <v>0.32</v>
      </c>
      <c r="K51" s="15">
        <v>6.84</v>
      </c>
      <c r="L51" s="15">
        <v>0</v>
      </c>
      <c r="M51" s="15">
        <v>0</v>
      </c>
      <c r="N51" s="15">
        <v>0</v>
      </c>
      <c r="O51" s="15">
        <v>0</v>
      </c>
      <c r="P51" s="15">
        <v>0</v>
      </c>
      <c r="Q51" s="15">
        <v>0</v>
      </c>
      <c r="R51" s="15">
        <v>0</v>
      </c>
      <c r="S51" s="15">
        <v>0</v>
      </c>
      <c r="T51" s="15">
        <v>0</v>
      </c>
      <c r="U51" s="15">
        <v>0</v>
      </c>
      <c r="V51" s="15">
        <v>0</v>
      </c>
      <c r="W51" s="15">
        <v>0</v>
      </c>
      <c r="X51" s="15">
        <v>0</v>
      </c>
      <c r="Y51" s="15">
        <v>0</v>
      </c>
      <c r="Z51" s="15">
        <v>0</v>
      </c>
      <c r="AA51" s="15"/>
      <c r="AB51" s="15">
        <v>2</v>
      </c>
      <c r="AC51" s="15">
        <v>2</v>
      </c>
      <c r="AD51" s="15">
        <v>0</v>
      </c>
      <c r="AE51" s="15">
        <v>0.02247</v>
      </c>
      <c r="AF51" s="15">
        <v>0</v>
      </c>
      <c r="AG51" s="15">
        <v>0</v>
      </c>
      <c r="AH51" s="15"/>
      <c r="AI51" s="15">
        <v>2</v>
      </c>
      <c r="AJ51" s="15">
        <v>14.22</v>
      </c>
      <c r="AK51" s="15">
        <v>2</v>
      </c>
      <c r="AL51" s="15">
        <v>14.22</v>
      </c>
      <c r="AM51" s="15">
        <v>0</v>
      </c>
      <c r="AN51" s="15"/>
      <c r="AO51" s="15">
        <v>0</v>
      </c>
      <c r="AP51" s="15">
        <v>14.22</v>
      </c>
      <c r="AQ51" s="15">
        <v>0</v>
      </c>
      <c r="AR51" s="15">
        <v>0</v>
      </c>
      <c r="AS51" s="15">
        <v>0</v>
      </c>
      <c r="AT51" s="15">
        <v>0</v>
      </c>
      <c r="AU51" s="15">
        <v>0</v>
      </c>
      <c r="AV51" s="15">
        <v>0</v>
      </c>
      <c r="AW51" s="15">
        <v>0</v>
      </c>
      <c r="AX51" s="15">
        <v>0</v>
      </c>
      <c r="AY51" s="15">
        <v>261</v>
      </c>
      <c r="AZ51" s="15">
        <v>99</v>
      </c>
      <c r="BA51" s="15">
        <v>90</v>
      </c>
      <c r="BB51" s="15">
        <v>0.90909</v>
      </c>
      <c r="BC51" s="15">
        <v>0</v>
      </c>
      <c r="BD51" s="15">
        <v>0</v>
      </c>
      <c r="BE51" s="15">
        <v>0.06277</v>
      </c>
      <c r="BF51" s="15">
        <v>138</v>
      </c>
      <c r="BG51" s="15">
        <v>3</v>
      </c>
      <c r="BH51" s="15">
        <v>0</v>
      </c>
      <c r="BI51" s="15"/>
      <c r="BJ51" s="15">
        <v>0</v>
      </c>
      <c r="BK51" s="15">
        <v>0</v>
      </c>
      <c r="BL51" s="15">
        <v>0</v>
      </c>
      <c r="BM51" s="15">
        <v>0</v>
      </c>
      <c r="BN51" s="15"/>
      <c r="BO51" s="15"/>
      <c r="BP51" s="15">
        <v>0</v>
      </c>
      <c r="BQ51" s="15">
        <v>1882</v>
      </c>
      <c r="BR51" s="15">
        <v>0</v>
      </c>
      <c r="BS51" s="15">
        <v>0</v>
      </c>
      <c r="BT51" s="15">
        <v>0</v>
      </c>
      <c r="BU51" s="15">
        <v>0</v>
      </c>
      <c r="BV51" s="15">
        <v>0</v>
      </c>
      <c r="BW51" s="15">
        <v>0</v>
      </c>
      <c r="BX51" s="15">
        <v>0</v>
      </c>
    </row>
    <row r="52" spans="1:76">
      <c r="A52" s="14" t="str">
        <f>VLOOKUP(C52,VLOOKUP!A:B,2,FALSE)</f>
        <v>福到</v>
      </c>
      <c r="B52" s="16">
        <v>46099</v>
      </c>
      <c r="C52" s="17">
        <v>971856893567</v>
      </c>
      <c r="D52" s="15" t="s">
        <v>151</v>
      </c>
      <c r="E52" s="15" t="s">
        <v>152</v>
      </c>
      <c r="F52" s="15">
        <v>1045</v>
      </c>
      <c r="G52" s="15">
        <v>36</v>
      </c>
      <c r="H52" s="15">
        <v>8.78</v>
      </c>
      <c r="I52" s="15">
        <v>0.03445</v>
      </c>
      <c r="J52" s="15">
        <v>0.24</v>
      </c>
      <c r="K52" s="15">
        <v>8.4</v>
      </c>
      <c r="L52" s="15">
        <v>0</v>
      </c>
      <c r="M52" s="15">
        <v>0</v>
      </c>
      <c r="N52" s="15">
        <v>0</v>
      </c>
      <c r="O52" s="15">
        <v>0</v>
      </c>
      <c r="P52" s="15">
        <v>0</v>
      </c>
      <c r="Q52" s="15">
        <v>0</v>
      </c>
      <c r="R52" s="15">
        <v>0</v>
      </c>
      <c r="S52" s="15">
        <v>0</v>
      </c>
      <c r="T52" s="15">
        <v>0</v>
      </c>
      <c r="U52" s="15">
        <v>0</v>
      </c>
      <c r="V52" s="15">
        <v>0</v>
      </c>
      <c r="W52" s="15">
        <v>0</v>
      </c>
      <c r="X52" s="15">
        <v>0</v>
      </c>
      <c r="Y52" s="15">
        <v>0</v>
      </c>
      <c r="Z52" s="15">
        <v>0</v>
      </c>
      <c r="AA52" s="15"/>
      <c r="AB52" s="15">
        <v>4</v>
      </c>
      <c r="AC52" s="15">
        <v>1</v>
      </c>
      <c r="AD52" s="15">
        <v>3</v>
      </c>
      <c r="AE52" s="15">
        <v>0.11111</v>
      </c>
      <c r="AF52" s="15">
        <v>0</v>
      </c>
      <c r="AG52" s="15">
        <v>0</v>
      </c>
      <c r="AH52" s="15"/>
      <c r="AI52" s="15">
        <v>4</v>
      </c>
      <c r="AJ52" s="15">
        <v>2.2</v>
      </c>
      <c r="AK52" s="15">
        <v>4</v>
      </c>
      <c r="AL52" s="15">
        <v>2.2</v>
      </c>
      <c r="AM52" s="15">
        <v>0</v>
      </c>
      <c r="AN52" s="15"/>
      <c r="AO52" s="15">
        <v>0</v>
      </c>
      <c r="AP52" s="15">
        <v>2.2</v>
      </c>
      <c r="AQ52" s="15">
        <v>0</v>
      </c>
      <c r="AR52" s="15">
        <v>0</v>
      </c>
      <c r="AS52" s="15">
        <v>0</v>
      </c>
      <c r="AT52" s="15">
        <v>0</v>
      </c>
      <c r="AU52" s="15">
        <v>0</v>
      </c>
      <c r="AV52" s="15">
        <v>0</v>
      </c>
      <c r="AW52" s="15">
        <v>0</v>
      </c>
      <c r="AX52" s="15">
        <v>0</v>
      </c>
      <c r="AY52" s="15">
        <v>168</v>
      </c>
      <c r="AZ52" s="15">
        <v>25</v>
      </c>
      <c r="BA52" s="15">
        <v>20</v>
      </c>
      <c r="BB52" s="15">
        <v>0.8</v>
      </c>
      <c r="BC52" s="15">
        <v>0</v>
      </c>
      <c r="BD52" s="15">
        <v>0</v>
      </c>
      <c r="BE52" s="15">
        <v>0.16077</v>
      </c>
      <c r="BF52" s="15">
        <v>135</v>
      </c>
      <c r="BG52" s="15">
        <v>7</v>
      </c>
      <c r="BH52" s="15">
        <v>0</v>
      </c>
      <c r="BI52" s="15"/>
      <c r="BJ52" s="15">
        <v>0</v>
      </c>
      <c r="BK52" s="15">
        <v>0</v>
      </c>
      <c r="BL52" s="15">
        <v>0</v>
      </c>
      <c r="BM52" s="15">
        <v>0</v>
      </c>
      <c r="BN52" s="15"/>
      <c r="BO52" s="15"/>
      <c r="BP52" s="15">
        <v>0.11</v>
      </c>
      <c r="BQ52" s="15">
        <v>1325</v>
      </c>
      <c r="BR52" s="15">
        <v>0</v>
      </c>
      <c r="BS52" s="15">
        <v>0</v>
      </c>
      <c r="BT52" s="15">
        <v>0</v>
      </c>
      <c r="BU52" s="15">
        <v>0</v>
      </c>
      <c r="BV52" s="15">
        <v>0</v>
      </c>
      <c r="BW52" s="15">
        <v>0</v>
      </c>
      <c r="BX52" s="15">
        <v>0</v>
      </c>
    </row>
    <row r="53" spans="1:76">
      <c r="A53" s="14" t="str">
        <f>VLOOKUP(C53,VLOOKUP!A:B,2,FALSE)</f>
        <v>如意盘香</v>
      </c>
      <c r="B53" s="16">
        <v>46099</v>
      </c>
      <c r="C53" s="17">
        <v>838711327669</v>
      </c>
      <c r="D53" s="15" t="s">
        <v>151</v>
      </c>
      <c r="E53" s="15" t="s">
        <v>153</v>
      </c>
      <c r="F53" s="15">
        <v>440</v>
      </c>
      <c r="G53" s="15">
        <v>18</v>
      </c>
      <c r="H53" s="15">
        <v>60</v>
      </c>
      <c r="I53" s="15">
        <v>0.04091</v>
      </c>
      <c r="J53" s="15">
        <v>3.33</v>
      </c>
      <c r="K53" s="15">
        <v>136.36</v>
      </c>
      <c r="L53" s="15">
        <v>0</v>
      </c>
      <c r="M53" s="15">
        <v>0</v>
      </c>
      <c r="N53" s="15">
        <v>0</v>
      </c>
      <c r="O53" s="15">
        <v>0</v>
      </c>
      <c r="P53" s="15">
        <v>0</v>
      </c>
      <c r="Q53" s="15">
        <v>0</v>
      </c>
      <c r="R53" s="15">
        <v>151</v>
      </c>
      <c r="S53" s="15">
        <v>1056.53</v>
      </c>
      <c r="T53" s="15">
        <v>1207.53</v>
      </c>
      <c r="U53" s="15">
        <v>5</v>
      </c>
      <c r="V53" s="15">
        <v>1</v>
      </c>
      <c r="W53" s="15">
        <v>4</v>
      </c>
      <c r="X53" s="15">
        <v>0.27778</v>
      </c>
      <c r="Y53" s="15">
        <v>20.13</v>
      </c>
      <c r="Z53" s="15">
        <v>20.13</v>
      </c>
      <c r="AA53" s="15">
        <v>12</v>
      </c>
      <c r="AB53" s="15">
        <v>5</v>
      </c>
      <c r="AC53" s="15">
        <v>0</v>
      </c>
      <c r="AD53" s="15">
        <v>5</v>
      </c>
      <c r="AE53" s="15">
        <v>0.27778</v>
      </c>
      <c r="AF53" s="15">
        <v>1</v>
      </c>
      <c r="AG53" s="15">
        <v>2</v>
      </c>
      <c r="AH53" s="15">
        <v>30</v>
      </c>
      <c r="AI53" s="15">
        <v>8</v>
      </c>
      <c r="AJ53" s="15">
        <v>7.5</v>
      </c>
      <c r="AK53" s="15">
        <v>6</v>
      </c>
      <c r="AL53" s="15">
        <v>10</v>
      </c>
      <c r="AM53" s="15">
        <v>3</v>
      </c>
      <c r="AN53" s="15">
        <v>60</v>
      </c>
      <c r="AO53" s="15">
        <v>0.05556</v>
      </c>
      <c r="AP53" s="15">
        <v>12</v>
      </c>
      <c r="AQ53" s="15">
        <v>7</v>
      </c>
      <c r="AR53" s="15">
        <v>1531</v>
      </c>
      <c r="AS53" s="15">
        <v>0</v>
      </c>
      <c r="AT53" s="15">
        <v>1</v>
      </c>
      <c r="AU53" s="15">
        <v>0</v>
      </c>
      <c r="AV53" s="15">
        <v>0</v>
      </c>
      <c r="AW53" s="15">
        <v>0</v>
      </c>
      <c r="AX53" s="15">
        <v>1</v>
      </c>
      <c r="AY53" s="15">
        <v>120</v>
      </c>
      <c r="AZ53" s="15">
        <v>18</v>
      </c>
      <c r="BA53" s="15">
        <v>11</v>
      </c>
      <c r="BB53" s="15">
        <v>0.61111</v>
      </c>
      <c r="BC53" s="15">
        <v>0</v>
      </c>
      <c r="BD53" s="15">
        <v>0</v>
      </c>
      <c r="BE53" s="15">
        <v>0.27273</v>
      </c>
      <c r="BF53" s="15">
        <v>99</v>
      </c>
      <c r="BG53" s="15">
        <v>7</v>
      </c>
      <c r="BH53" s="15">
        <v>4</v>
      </c>
      <c r="BI53" s="15">
        <v>0.8</v>
      </c>
      <c r="BJ53" s="15">
        <v>0</v>
      </c>
      <c r="BK53" s="15">
        <v>0</v>
      </c>
      <c r="BL53" s="15">
        <v>0</v>
      </c>
      <c r="BM53" s="15">
        <v>5</v>
      </c>
      <c r="BN53" s="15">
        <v>1</v>
      </c>
      <c r="BO53" s="15">
        <v>241.51</v>
      </c>
      <c r="BP53" s="15">
        <v>86.82</v>
      </c>
      <c r="BQ53" s="15">
        <v>496</v>
      </c>
      <c r="BR53" s="15">
        <v>0</v>
      </c>
      <c r="BS53" s="15">
        <v>0</v>
      </c>
      <c r="BT53" s="15">
        <v>0</v>
      </c>
      <c r="BU53" s="15">
        <v>0</v>
      </c>
      <c r="BV53" s="15">
        <v>0</v>
      </c>
      <c r="BW53" s="15">
        <v>0</v>
      </c>
      <c r="BX53" s="15">
        <v>0</v>
      </c>
    </row>
    <row r="54" spans="1:76">
      <c r="A54" s="14" t="str">
        <f>VLOOKUP(C54,VLOOKUP!A:B,2,FALSE)</f>
        <v>福颜青</v>
      </c>
      <c r="B54" s="16">
        <v>46099</v>
      </c>
      <c r="C54" s="17">
        <v>833369552621</v>
      </c>
      <c r="D54" s="15" t="s">
        <v>151</v>
      </c>
      <c r="E54" s="15" t="s">
        <v>154</v>
      </c>
      <c r="F54" s="15">
        <v>3921</v>
      </c>
      <c r="G54" s="15">
        <v>100</v>
      </c>
      <c r="H54" s="15">
        <v>31.46</v>
      </c>
      <c r="I54" s="15">
        <v>0.0255</v>
      </c>
      <c r="J54" s="15">
        <v>0.31</v>
      </c>
      <c r="K54" s="15">
        <v>8.02</v>
      </c>
      <c r="L54" s="15">
        <v>0</v>
      </c>
      <c r="M54" s="15">
        <v>0</v>
      </c>
      <c r="N54" s="15">
        <v>0</v>
      </c>
      <c r="O54" s="15">
        <v>0</v>
      </c>
      <c r="P54" s="15">
        <v>0</v>
      </c>
      <c r="Q54" s="15">
        <v>0</v>
      </c>
      <c r="R54" s="15">
        <v>0</v>
      </c>
      <c r="S54" s="15">
        <v>0</v>
      </c>
      <c r="T54" s="15">
        <v>0</v>
      </c>
      <c r="U54" s="15">
        <v>0</v>
      </c>
      <c r="V54" s="15">
        <v>0</v>
      </c>
      <c r="W54" s="15">
        <v>0</v>
      </c>
      <c r="X54" s="15">
        <v>0</v>
      </c>
      <c r="Y54" s="15">
        <v>0</v>
      </c>
      <c r="Z54" s="15">
        <v>0</v>
      </c>
      <c r="AA54" s="15"/>
      <c r="AB54" s="15">
        <v>0</v>
      </c>
      <c r="AC54" s="15">
        <v>0</v>
      </c>
      <c r="AD54" s="15">
        <v>0</v>
      </c>
      <c r="AE54" s="15">
        <v>0</v>
      </c>
      <c r="AF54" s="15">
        <v>1</v>
      </c>
      <c r="AG54" s="15">
        <v>0</v>
      </c>
      <c r="AH54" s="15"/>
      <c r="AI54" s="15">
        <v>1</v>
      </c>
      <c r="AJ54" s="15">
        <v>31.46</v>
      </c>
      <c r="AK54" s="15">
        <v>1</v>
      </c>
      <c r="AL54" s="15">
        <v>31.46</v>
      </c>
      <c r="AM54" s="15">
        <v>1</v>
      </c>
      <c r="AN54" s="15">
        <v>31.46</v>
      </c>
      <c r="AO54" s="15">
        <v>0.01</v>
      </c>
      <c r="AP54" s="15"/>
      <c r="AQ54" s="15">
        <v>0</v>
      </c>
      <c r="AR54" s="15">
        <v>0</v>
      </c>
      <c r="AS54" s="15">
        <v>1</v>
      </c>
      <c r="AT54" s="15">
        <v>0</v>
      </c>
      <c r="AU54" s="15">
        <v>0</v>
      </c>
      <c r="AV54" s="15">
        <v>0</v>
      </c>
      <c r="AW54" s="15">
        <v>0</v>
      </c>
      <c r="AX54" s="15">
        <v>0</v>
      </c>
      <c r="AY54" s="15">
        <v>260</v>
      </c>
      <c r="AZ54" s="15">
        <v>97</v>
      </c>
      <c r="BA54" s="15">
        <v>85</v>
      </c>
      <c r="BB54" s="15">
        <v>0.87629</v>
      </c>
      <c r="BC54" s="15">
        <v>0</v>
      </c>
      <c r="BD54" s="15">
        <v>0</v>
      </c>
      <c r="BE54" s="15">
        <v>0.06631</v>
      </c>
      <c r="BF54" s="15">
        <v>139</v>
      </c>
      <c r="BG54" s="15">
        <v>3</v>
      </c>
      <c r="BH54" s="15">
        <v>0</v>
      </c>
      <c r="BI54" s="15"/>
      <c r="BJ54" s="15">
        <v>0</v>
      </c>
      <c r="BK54" s="15">
        <v>0</v>
      </c>
      <c r="BL54" s="15">
        <v>0</v>
      </c>
      <c r="BM54" s="15">
        <v>0</v>
      </c>
      <c r="BN54" s="15"/>
      <c r="BO54" s="15"/>
      <c r="BP54" s="15">
        <v>0</v>
      </c>
      <c r="BQ54" s="15">
        <v>1109</v>
      </c>
      <c r="BR54" s="15">
        <v>0</v>
      </c>
      <c r="BS54" s="15">
        <v>0</v>
      </c>
      <c r="BT54" s="15">
        <v>0</v>
      </c>
      <c r="BU54" s="15">
        <v>0</v>
      </c>
      <c r="BV54" s="15">
        <v>0</v>
      </c>
      <c r="BW54" s="15">
        <v>0</v>
      </c>
      <c r="BX54" s="15">
        <v>0</v>
      </c>
    </row>
    <row r="55" spans="1:76">
      <c r="A55" s="14" t="str">
        <f>VLOOKUP(C55,VLOOKUP!A:B,2,FALSE)</f>
        <v>福到</v>
      </c>
      <c r="B55" s="16">
        <v>46098</v>
      </c>
      <c r="C55" s="17">
        <v>971856893567</v>
      </c>
      <c r="D55" s="15" t="s">
        <v>151</v>
      </c>
      <c r="E55" s="15" t="s">
        <v>152</v>
      </c>
      <c r="F55" s="15">
        <v>1037</v>
      </c>
      <c r="G55" s="15">
        <v>13</v>
      </c>
      <c r="H55" s="15">
        <v>3.39</v>
      </c>
      <c r="I55" s="15">
        <v>0.01254</v>
      </c>
      <c r="J55" s="15">
        <v>0.26</v>
      </c>
      <c r="K55" s="15">
        <v>3.27</v>
      </c>
      <c r="L55" s="15">
        <v>0</v>
      </c>
      <c r="M55" s="15">
        <v>0</v>
      </c>
      <c r="N55" s="15">
        <v>0</v>
      </c>
      <c r="O55" s="15">
        <v>0</v>
      </c>
      <c r="P55" s="15">
        <v>0</v>
      </c>
      <c r="Q55" s="15">
        <v>0</v>
      </c>
      <c r="R55" s="15">
        <v>0</v>
      </c>
      <c r="S55" s="15">
        <v>0</v>
      </c>
      <c r="T55" s="15">
        <v>0</v>
      </c>
      <c r="U55" s="15">
        <v>0</v>
      </c>
      <c r="V55" s="15">
        <v>0</v>
      </c>
      <c r="W55" s="15">
        <v>0</v>
      </c>
      <c r="X55" s="15">
        <v>0</v>
      </c>
      <c r="Y55" s="15">
        <v>0</v>
      </c>
      <c r="Z55" s="15">
        <v>0</v>
      </c>
      <c r="AA55" s="15"/>
      <c r="AB55" s="15">
        <v>0</v>
      </c>
      <c r="AC55" s="15">
        <v>0</v>
      </c>
      <c r="AD55" s="15">
        <v>0</v>
      </c>
      <c r="AE55" s="15">
        <v>0</v>
      </c>
      <c r="AF55" s="15">
        <v>0</v>
      </c>
      <c r="AG55" s="15">
        <v>0</v>
      </c>
      <c r="AH55" s="15"/>
      <c r="AI55" s="15">
        <v>0</v>
      </c>
      <c r="AJ55" s="15"/>
      <c r="AK55" s="15">
        <v>0</v>
      </c>
      <c r="AL55" s="15"/>
      <c r="AM55" s="15">
        <v>0</v>
      </c>
      <c r="AN55" s="15"/>
      <c r="AO55" s="15">
        <v>0</v>
      </c>
      <c r="AP55" s="15"/>
      <c r="AQ55" s="15">
        <v>0</v>
      </c>
      <c r="AR55" s="15">
        <v>0</v>
      </c>
      <c r="AS55" s="15">
        <v>0</v>
      </c>
      <c r="AT55" s="15">
        <v>0</v>
      </c>
      <c r="AU55" s="15">
        <v>0</v>
      </c>
      <c r="AV55" s="15">
        <v>0</v>
      </c>
      <c r="AW55" s="15">
        <v>0</v>
      </c>
      <c r="AX55" s="15">
        <v>0</v>
      </c>
      <c r="AY55" s="15">
        <v>41</v>
      </c>
      <c r="AZ55" s="15">
        <v>11</v>
      </c>
      <c r="BA55" s="15">
        <v>10</v>
      </c>
      <c r="BB55" s="15">
        <v>0.90909</v>
      </c>
      <c r="BC55" s="15">
        <v>0</v>
      </c>
      <c r="BD55" s="15">
        <v>0</v>
      </c>
      <c r="BE55" s="15">
        <v>0.03954</v>
      </c>
      <c r="BF55" s="15">
        <v>29</v>
      </c>
      <c r="BG55" s="15">
        <v>4</v>
      </c>
      <c r="BH55" s="15">
        <v>0</v>
      </c>
      <c r="BI55" s="15"/>
      <c r="BJ55" s="15">
        <v>0</v>
      </c>
      <c r="BK55" s="15">
        <v>0</v>
      </c>
      <c r="BL55" s="15">
        <v>0</v>
      </c>
      <c r="BM55" s="15">
        <v>0</v>
      </c>
      <c r="BN55" s="15"/>
      <c r="BO55" s="15"/>
      <c r="BP55" s="15">
        <v>0</v>
      </c>
      <c r="BQ55" s="15">
        <v>7</v>
      </c>
      <c r="BR55" s="15">
        <v>0</v>
      </c>
      <c r="BS55" s="15">
        <v>0</v>
      </c>
      <c r="BT55" s="15">
        <v>0</v>
      </c>
      <c r="BU55" s="15">
        <v>0</v>
      </c>
      <c r="BV55" s="15">
        <v>0</v>
      </c>
      <c r="BW55" s="15">
        <v>0</v>
      </c>
      <c r="BX55" s="15">
        <v>0</v>
      </c>
    </row>
    <row r="56" spans="1:76">
      <c r="A56" s="14" t="str">
        <f>VLOOKUP(C56,VLOOKUP!A:B,2,FALSE)</f>
        <v>如意盘香</v>
      </c>
      <c r="B56" s="16">
        <v>46098</v>
      </c>
      <c r="C56" s="17">
        <v>838711327669</v>
      </c>
      <c r="D56" s="15" t="s">
        <v>151</v>
      </c>
      <c r="E56" s="15" t="s">
        <v>153</v>
      </c>
      <c r="F56" s="15">
        <v>615</v>
      </c>
      <c r="G56" s="15">
        <v>39</v>
      </c>
      <c r="H56" s="15">
        <v>73.37</v>
      </c>
      <c r="I56" s="15">
        <v>0.06341</v>
      </c>
      <c r="J56" s="15">
        <v>1.88</v>
      </c>
      <c r="K56" s="15">
        <v>119.3</v>
      </c>
      <c r="L56" s="15">
        <v>0</v>
      </c>
      <c r="M56" s="15">
        <v>0</v>
      </c>
      <c r="N56" s="15">
        <v>0</v>
      </c>
      <c r="O56" s="15">
        <v>0</v>
      </c>
      <c r="P56" s="15">
        <v>0</v>
      </c>
      <c r="Q56" s="15">
        <v>0</v>
      </c>
      <c r="R56" s="15">
        <v>0</v>
      </c>
      <c r="S56" s="15">
        <v>2000.68</v>
      </c>
      <c r="T56" s="15">
        <v>2000.68</v>
      </c>
      <c r="U56" s="15">
        <v>4</v>
      </c>
      <c r="V56" s="15">
        <v>0</v>
      </c>
      <c r="W56" s="15">
        <v>4</v>
      </c>
      <c r="X56" s="15">
        <v>0.10256</v>
      </c>
      <c r="Y56" s="15">
        <v>27.27</v>
      </c>
      <c r="Z56" s="15">
        <v>27.27</v>
      </c>
      <c r="AA56" s="15">
        <v>18.34</v>
      </c>
      <c r="AB56" s="15">
        <v>16</v>
      </c>
      <c r="AC56" s="15">
        <v>0</v>
      </c>
      <c r="AD56" s="15">
        <v>16</v>
      </c>
      <c r="AE56" s="15">
        <v>0.41026</v>
      </c>
      <c r="AF56" s="15">
        <v>0</v>
      </c>
      <c r="AG56" s="15">
        <v>0</v>
      </c>
      <c r="AH56" s="15"/>
      <c r="AI56" s="15">
        <v>16</v>
      </c>
      <c r="AJ56" s="15">
        <v>4.59</v>
      </c>
      <c r="AK56" s="15">
        <v>16</v>
      </c>
      <c r="AL56" s="15">
        <v>4.59</v>
      </c>
      <c r="AM56" s="15">
        <v>0</v>
      </c>
      <c r="AN56" s="15"/>
      <c r="AO56" s="15">
        <v>0</v>
      </c>
      <c r="AP56" s="15">
        <v>4.59</v>
      </c>
      <c r="AQ56" s="15">
        <v>4</v>
      </c>
      <c r="AR56" s="15">
        <v>2365.9</v>
      </c>
      <c r="AS56" s="15">
        <v>0</v>
      </c>
      <c r="AT56" s="15">
        <v>0</v>
      </c>
      <c r="AU56" s="15">
        <v>0</v>
      </c>
      <c r="AV56" s="15">
        <v>0</v>
      </c>
      <c r="AW56" s="15">
        <v>0</v>
      </c>
      <c r="AX56" s="15">
        <v>5</v>
      </c>
      <c r="AY56" s="15">
        <v>203</v>
      </c>
      <c r="AZ56" s="15">
        <v>34</v>
      </c>
      <c r="BA56" s="15">
        <v>26</v>
      </c>
      <c r="BB56" s="15">
        <v>0.76471</v>
      </c>
      <c r="BC56" s="15">
        <v>0</v>
      </c>
      <c r="BD56" s="15">
        <v>0</v>
      </c>
      <c r="BE56" s="15">
        <v>0.33008</v>
      </c>
      <c r="BF56" s="15">
        <v>163</v>
      </c>
      <c r="BG56" s="15">
        <v>6</v>
      </c>
      <c r="BH56" s="15">
        <v>2</v>
      </c>
      <c r="BI56" s="15">
        <v>1</v>
      </c>
      <c r="BJ56" s="15">
        <v>0</v>
      </c>
      <c r="BK56" s="15">
        <v>0</v>
      </c>
      <c r="BL56" s="15">
        <v>0</v>
      </c>
      <c r="BM56" s="15">
        <v>2</v>
      </c>
      <c r="BN56" s="15">
        <v>2</v>
      </c>
      <c r="BO56" s="15">
        <v>1000.34</v>
      </c>
      <c r="BP56" s="15">
        <v>9.78</v>
      </c>
      <c r="BQ56" s="15">
        <v>706</v>
      </c>
      <c r="BR56" s="15">
        <v>0</v>
      </c>
      <c r="BS56" s="15">
        <v>0</v>
      </c>
      <c r="BT56" s="15">
        <v>0</v>
      </c>
      <c r="BU56" s="15">
        <v>0</v>
      </c>
      <c r="BV56" s="15">
        <v>0</v>
      </c>
      <c r="BW56" s="15">
        <v>0</v>
      </c>
      <c r="BX56" s="15">
        <v>0</v>
      </c>
    </row>
    <row r="57" spans="1:76">
      <c r="A57" s="14" t="str">
        <f>VLOOKUP(C57,VLOOKUP!A:B,2,FALSE)</f>
        <v>福颜青</v>
      </c>
      <c r="B57" s="16">
        <v>46098</v>
      </c>
      <c r="C57" s="17">
        <v>833369552621</v>
      </c>
      <c r="D57" s="15" t="s">
        <v>151</v>
      </c>
      <c r="E57" s="15" t="s">
        <v>154</v>
      </c>
      <c r="F57" s="15">
        <v>4205</v>
      </c>
      <c r="G57" s="15">
        <v>73</v>
      </c>
      <c r="H57" s="15">
        <v>22.13</v>
      </c>
      <c r="I57" s="15">
        <v>0.01736</v>
      </c>
      <c r="J57" s="15">
        <v>0.3</v>
      </c>
      <c r="K57" s="15">
        <v>5.26</v>
      </c>
      <c r="L57" s="15">
        <v>0</v>
      </c>
      <c r="M57" s="15">
        <v>0</v>
      </c>
      <c r="N57" s="15">
        <v>0</v>
      </c>
      <c r="O57" s="15">
        <v>0</v>
      </c>
      <c r="P57" s="15">
        <v>0</v>
      </c>
      <c r="Q57" s="15">
        <v>0</v>
      </c>
      <c r="R57" s="15">
        <v>0</v>
      </c>
      <c r="S57" s="15">
        <v>149.46</v>
      </c>
      <c r="T57" s="15">
        <v>149.46</v>
      </c>
      <c r="U57" s="15">
        <v>1</v>
      </c>
      <c r="V57" s="15">
        <v>0</v>
      </c>
      <c r="W57" s="15">
        <v>1</v>
      </c>
      <c r="X57" s="15">
        <v>0.0137</v>
      </c>
      <c r="Y57" s="15">
        <v>6.75</v>
      </c>
      <c r="Z57" s="15">
        <v>6.75</v>
      </c>
      <c r="AA57" s="15">
        <v>22.13</v>
      </c>
      <c r="AB57" s="15">
        <v>5</v>
      </c>
      <c r="AC57" s="15">
        <v>1</v>
      </c>
      <c r="AD57" s="15">
        <v>4</v>
      </c>
      <c r="AE57" s="15">
        <v>0.06849</v>
      </c>
      <c r="AF57" s="15">
        <v>0</v>
      </c>
      <c r="AG57" s="15">
        <v>0</v>
      </c>
      <c r="AH57" s="15"/>
      <c r="AI57" s="15">
        <v>5</v>
      </c>
      <c r="AJ57" s="15">
        <v>4.43</v>
      </c>
      <c r="AK57" s="15">
        <v>5</v>
      </c>
      <c r="AL57" s="15">
        <v>4.43</v>
      </c>
      <c r="AM57" s="15">
        <v>0</v>
      </c>
      <c r="AN57" s="15"/>
      <c r="AO57" s="15">
        <v>0</v>
      </c>
      <c r="AP57" s="15">
        <v>4.43</v>
      </c>
      <c r="AQ57" s="15">
        <v>2</v>
      </c>
      <c r="AR57" s="15">
        <v>187</v>
      </c>
      <c r="AS57" s="15">
        <v>0</v>
      </c>
      <c r="AT57" s="15">
        <v>0</v>
      </c>
      <c r="AU57" s="15">
        <v>0</v>
      </c>
      <c r="AV57" s="15">
        <v>0</v>
      </c>
      <c r="AW57" s="15">
        <v>0</v>
      </c>
      <c r="AX57" s="15">
        <v>0</v>
      </c>
      <c r="AY57" s="15">
        <v>151</v>
      </c>
      <c r="AZ57" s="15">
        <v>81</v>
      </c>
      <c r="BA57" s="15">
        <v>76</v>
      </c>
      <c r="BB57" s="15">
        <v>0.93827</v>
      </c>
      <c r="BC57" s="15">
        <v>0</v>
      </c>
      <c r="BD57" s="15">
        <v>0</v>
      </c>
      <c r="BE57" s="15">
        <v>0.03591</v>
      </c>
      <c r="BF57" s="15">
        <v>50</v>
      </c>
      <c r="BG57" s="15">
        <v>2</v>
      </c>
      <c r="BH57" s="15">
        <v>1</v>
      </c>
      <c r="BI57" s="15">
        <v>1</v>
      </c>
      <c r="BJ57" s="15">
        <v>0</v>
      </c>
      <c r="BK57" s="15">
        <v>0</v>
      </c>
      <c r="BL57" s="15">
        <v>0</v>
      </c>
      <c r="BM57" s="15">
        <v>1</v>
      </c>
      <c r="BN57" s="15">
        <v>1</v>
      </c>
      <c r="BO57" s="15">
        <v>149.46</v>
      </c>
      <c r="BP57" s="15">
        <v>99.64</v>
      </c>
      <c r="BQ57" s="15">
        <v>1509</v>
      </c>
      <c r="BR57" s="15">
        <v>0</v>
      </c>
      <c r="BS57" s="15">
        <v>0</v>
      </c>
      <c r="BT57" s="15">
        <v>0</v>
      </c>
      <c r="BU57" s="15">
        <v>0</v>
      </c>
      <c r="BV57" s="15">
        <v>0</v>
      </c>
      <c r="BW57" s="15">
        <v>0</v>
      </c>
      <c r="BX57" s="15">
        <v>0</v>
      </c>
    </row>
    <row r="58" spans="1:76">
      <c r="A58" s="14" t="str">
        <f>VLOOKUP(C58,VLOOKUP!A:B,2,FALSE)</f>
        <v>福到</v>
      </c>
      <c r="B58" s="16">
        <v>46097</v>
      </c>
      <c r="C58" s="17">
        <v>971856893567</v>
      </c>
      <c r="D58" s="15" t="s">
        <v>151</v>
      </c>
      <c r="E58" s="15" t="s">
        <v>152</v>
      </c>
      <c r="F58" s="15">
        <v>1084</v>
      </c>
      <c r="G58" s="15">
        <v>26</v>
      </c>
      <c r="H58" s="15">
        <v>7.08</v>
      </c>
      <c r="I58" s="15">
        <v>0.02399</v>
      </c>
      <c r="J58" s="15">
        <v>0.27</v>
      </c>
      <c r="K58" s="15">
        <v>6.53</v>
      </c>
      <c r="L58" s="15">
        <v>0</v>
      </c>
      <c r="M58" s="15">
        <v>0</v>
      </c>
      <c r="N58" s="15">
        <v>0</v>
      </c>
      <c r="O58" s="15">
        <v>0</v>
      </c>
      <c r="P58" s="15">
        <v>0</v>
      </c>
      <c r="Q58" s="15">
        <v>0</v>
      </c>
      <c r="R58" s="15">
        <v>0</v>
      </c>
      <c r="S58" s="15">
        <v>0</v>
      </c>
      <c r="T58" s="15">
        <v>0</v>
      </c>
      <c r="U58" s="15">
        <v>0</v>
      </c>
      <c r="V58" s="15">
        <v>0</v>
      </c>
      <c r="W58" s="15">
        <v>0</v>
      </c>
      <c r="X58" s="15">
        <v>0</v>
      </c>
      <c r="Y58" s="15">
        <v>0</v>
      </c>
      <c r="Z58" s="15">
        <v>0</v>
      </c>
      <c r="AA58" s="15"/>
      <c r="AB58" s="15">
        <v>2</v>
      </c>
      <c r="AC58" s="15">
        <v>0</v>
      </c>
      <c r="AD58" s="15">
        <v>2</v>
      </c>
      <c r="AE58" s="15">
        <v>0.07692</v>
      </c>
      <c r="AF58" s="15">
        <v>0</v>
      </c>
      <c r="AG58" s="15">
        <v>0</v>
      </c>
      <c r="AH58" s="15"/>
      <c r="AI58" s="15">
        <v>2</v>
      </c>
      <c r="AJ58" s="15">
        <v>3.54</v>
      </c>
      <c r="AK58" s="15">
        <v>2</v>
      </c>
      <c r="AL58" s="15">
        <v>3.54</v>
      </c>
      <c r="AM58" s="15">
        <v>0</v>
      </c>
      <c r="AN58" s="15"/>
      <c r="AO58" s="15">
        <v>0</v>
      </c>
      <c r="AP58" s="15">
        <v>3.54</v>
      </c>
      <c r="AQ58" s="15">
        <v>0</v>
      </c>
      <c r="AR58" s="15">
        <v>0</v>
      </c>
      <c r="AS58" s="15">
        <v>0</v>
      </c>
      <c r="AT58" s="15">
        <v>0</v>
      </c>
      <c r="AU58" s="15">
        <v>0</v>
      </c>
      <c r="AV58" s="15">
        <v>0</v>
      </c>
      <c r="AW58" s="15">
        <v>0</v>
      </c>
      <c r="AX58" s="15">
        <v>0</v>
      </c>
      <c r="AY58" s="15">
        <v>67</v>
      </c>
      <c r="AZ58" s="15">
        <v>20</v>
      </c>
      <c r="BA58" s="15">
        <v>18</v>
      </c>
      <c r="BB58" s="15">
        <v>0.9</v>
      </c>
      <c r="BC58" s="15">
        <v>0</v>
      </c>
      <c r="BD58" s="15">
        <v>0</v>
      </c>
      <c r="BE58" s="15">
        <v>0.06181</v>
      </c>
      <c r="BF58" s="15">
        <v>40</v>
      </c>
      <c r="BG58" s="15">
        <v>3</v>
      </c>
      <c r="BH58" s="15">
        <v>0</v>
      </c>
      <c r="BI58" s="15"/>
      <c r="BJ58" s="15">
        <v>0</v>
      </c>
      <c r="BK58" s="15">
        <v>0</v>
      </c>
      <c r="BL58" s="15">
        <v>0</v>
      </c>
      <c r="BM58" s="15">
        <v>0</v>
      </c>
      <c r="BN58" s="15"/>
      <c r="BO58" s="15"/>
      <c r="BP58" s="15">
        <v>0</v>
      </c>
      <c r="BQ58" s="15">
        <v>44</v>
      </c>
      <c r="BR58" s="15">
        <v>0</v>
      </c>
      <c r="BS58" s="15">
        <v>0</v>
      </c>
      <c r="BT58" s="15">
        <v>0</v>
      </c>
      <c r="BU58" s="15">
        <v>0</v>
      </c>
      <c r="BV58" s="15">
        <v>0</v>
      </c>
      <c r="BW58" s="15">
        <v>0</v>
      </c>
      <c r="BX58" s="15">
        <v>0</v>
      </c>
    </row>
    <row r="59" spans="1:76">
      <c r="A59" s="14" t="str">
        <f>VLOOKUP(C59,VLOOKUP!A:B,2,FALSE)</f>
        <v>如意盘香</v>
      </c>
      <c r="B59" s="16">
        <v>46097</v>
      </c>
      <c r="C59" s="17">
        <v>838711327669</v>
      </c>
      <c r="D59" s="15" t="s">
        <v>151</v>
      </c>
      <c r="E59" s="15" t="s">
        <v>153</v>
      </c>
      <c r="F59" s="15">
        <v>602</v>
      </c>
      <c r="G59" s="15">
        <v>38</v>
      </c>
      <c r="H59" s="15">
        <v>65.74</v>
      </c>
      <c r="I59" s="15">
        <v>0.06312</v>
      </c>
      <c r="J59" s="15">
        <v>1.73</v>
      </c>
      <c r="K59" s="15">
        <v>109.2</v>
      </c>
      <c r="L59" s="15">
        <v>0</v>
      </c>
      <c r="M59" s="15">
        <v>0</v>
      </c>
      <c r="N59" s="15">
        <v>0</v>
      </c>
      <c r="O59" s="15">
        <v>0</v>
      </c>
      <c r="P59" s="15">
        <v>0</v>
      </c>
      <c r="Q59" s="15">
        <v>0</v>
      </c>
      <c r="R59" s="15">
        <v>0</v>
      </c>
      <c r="S59" s="15">
        <v>0</v>
      </c>
      <c r="T59" s="15">
        <v>0</v>
      </c>
      <c r="U59" s="15">
        <v>0</v>
      </c>
      <c r="V59" s="15">
        <v>0</v>
      </c>
      <c r="W59" s="15">
        <v>0</v>
      </c>
      <c r="X59" s="15">
        <v>0</v>
      </c>
      <c r="Y59" s="15">
        <v>0</v>
      </c>
      <c r="Z59" s="15">
        <v>0</v>
      </c>
      <c r="AA59" s="15"/>
      <c r="AB59" s="15">
        <v>6</v>
      </c>
      <c r="AC59" s="15">
        <v>3</v>
      </c>
      <c r="AD59" s="15">
        <v>3</v>
      </c>
      <c r="AE59" s="15">
        <v>0.15789</v>
      </c>
      <c r="AF59" s="15">
        <v>0</v>
      </c>
      <c r="AG59" s="15">
        <v>0</v>
      </c>
      <c r="AH59" s="15"/>
      <c r="AI59" s="15">
        <v>6</v>
      </c>
      <c r="AJ59" s="15">
        <v>10.96</v>
      </c>
      <c r="AK59" s="15">
        <v>6</v>
      </c>
      <c r="AL59" s="15">
        <v>10.96</v>
      </c>
      <c r="AM59" s="15">
        <v>0</v>
      </c>
      <c r="AN59" s="15"/>
      <c r="AO59" s="15">
        <v>0</v>
      </c>
      <c r="AP59" s="15">
        <v>10.96</v>
      </c>
      <c r="AQ59" s="15">
        <v>0</v>
      </c>
      <c r="AR59" s="15">
        <v>0</v>
      </c>
      <c r="AS59" s="15">
        <v>0</v>
      </c>
      <c r="AT59" s="15">
        <v>0</v>
      </c>
      <c r="AU59" s="15">
        <v>0</v>
      </c>
      <c r="AV59" s="15">
        <v>0</v>
      </c>
      <c r="AW59" s="15">
        <v>0</v>
      </c>
      <c r="AX59" s="15">
        <v>2</v>
      </c>
      <c r="AY59" s="15">
        <v>140</v>
      </c>
      <c r="AZ59" s="15">
        <v>33</v>
      </c>
      <c r="BA59" s="15">
        <v>18</v>
      </c>
      <c r="BB59" s="15">
        <v>0.54545</v>
      </c>
      <c r="BC59" s="15">
        <v>0</v>
      </c>
      <c r="BD59" s="15">
        <v>0</v>
      </c>
      <c r="BE59" s="15">
        <v>0.23256</v>
      </c>
      <c r="BF59" s="15">
        <v>100</v>
      </c>
      <c r="BG59" s="15">
        <v>4</v>
      </c>
      <c r="BH59" s="15">
        <v>0</v>
      </c>
      <c r="BI59" s="15"/>
      <c r="BJ59" s="15">
        <v>0</v>
      </c>
      <c r="BK59" s="15">
        <v>0</v>
      </c>
      <c r="BL59" s="15">
        <v>0</v>
      </c>
      <c r="BM59" s="15">
        <v>0</v>
      </c>
      <c r="BN59" s="15"/>
      <c r="BO59" s="15"/>
      <c r="BP59" s="15">
        <v>0.22</v>
      </c>
      <c r="BQ59" s="15">
        <v>131</v>
      </c>
      <c r="BR59" s="15">
        <v>0</v>
      </c>
      <c r="BS59" s="15">
        <v>0</v>
      </c>
      <c r="BT59" s="15">
        <v>0</v>
      </c>
      <c r="BU59" s="15">
        <v>0</v>
      </c>
      <c r="BV59" s="15">
        <v>0</v>
      </c>
      <c r="BW59" s="15">
        <v>0</v>
      </c>
      <c r="BX59" s="15">
        <v>0</v>
      </c>
    </row>
    <row r="60" spans="1:76">
      <c r="A60" s="14" t="str">
        <f>VLOOKUP(C60,VLOOKUP!A:B,2,FALSE)</f>
        <v>福颜青</v>
      </c>
      <c r="B60" s="16">
        <v>46097</v>
      </c>
      <c r="C60" s="17">
        <v>833369552621</v>
      </c>
      <c r="D60" s="15" t="s">
        <v>151</v>
      </c>
      <c r="E60" s="15" t="s">
        <v>154</v>
      </c>
      <c r="F60" s="15">
        <v>4264</v>
      </c>
      <c r="G60" s="15">
        <v>82</v>
      </c>
      <c r="H60" s="15">
        <v>23.51</v>
      </c>
      <c r="I60" s="15">
        <v>0.01923</v>
      </c>
      <c r="J60" s="15">
        <v>0.29</v>
      </c>
      <c r="K60" s="15">
        <v>5.51</v>
      </c>
      <c r="L60" s="15">
        <v>0</v>
      </c>
      <c r="M60" s="15">
        <v>0</v>
      </c>
      <c r="N60" s="15">
        <v>0</v>
      </c>
      <c r="O60" s="15">
        <v>0</v>
      </c>
      <c r="P60" s="15">
        <v>0</v>
      </c>
      <c r="Q60" s="15">
        <v>0</v>
      </c>
      <c r="R60" s="15">
        <v>0</v>
      </c>
      <c r="S60" s="15">
        <v>0</v>
      </c>
      <c r="T60" s="15">
        <v>0</v>
      </c>
      <c r="U60" s="15">
        <v>0</v>
      </c>
      <c r="V60" s="15">
        <v>0</v>
      </c>
      <c r="W60" s="15">
        <v>0</v>
      </c>
      <c r="X60" s="15">
        <v>0</v>
      </c>
      <c r="Y60" s="15">
        <v>0</v>
      </c>
      <c r="Z60" s="15">
        <v>0</v>
      </c>
      <c r="AA60" s="15"/>
      <c r="AB60" s="15">
        <v>0</v>
      </c>
      <c r="AC60" s="15">
        <v>0</v>
      </c>
      <c r="AD60" s="15">
        <v>0</v>
      </c>
      <c r="AE60" s="15">
        <v>0</v>
      </c>
      <c r="AF60" s="15">
        <v>0</v>
      </c>
      <c r="AG60" s="15">
        <v>0</v>
      </c>
      <c r="AH60" s="15"/>
      <c r="AI60" s="15">
        <v>0</v>
      </c>
      <c r="AJ60" s="15"/>
      <c r="AK60" s="15">
        <v>0</v>
      </c>
      <c r="AL60" s="15"/>
      <c r="AM60" s="15">
        <v>0</v>
      </c>
      <c r="AN60" s="15"/>
      <c r="AO60" s="15">
        <v>0</v>
      </c>
      <c r="AP60" s="15"/>
      <c r="AQ60" s="15">
        <v>0</v>
      </c>
      <c r="AR60" s="15">
        <v>0</v>
      </c>
      <c r="AS60" s="15">
        <v>0</v>
      </c>
      <c r="AT60" s="15">
        <v>0</v>
      </c>
      <c r="AU60" s="15">
        <v>0</v>
      </c>
      <c r="AV60" s="15">
        <v>0</v>
      </c>
      <c r="AW60" s="15">
        <v>0</v>
      </c>
      <c r="AX60" s="15">
        <v>0</v>
      </c>
      <c r="AY60" s="15">
        <v>154</v>
      </c>
      <c r="AZ60" s="15">
        <v>91</v>
      </c>
      <c r="BA60" s="15">
        <v>79</v>
      </c>
      <c r="BB60" s="15">
        <v>0.86813</v>
      </c>
      <c r="BC60" s="15">
        <v>0</v>
      </c>
      <c r="BD60" s="15">
        <v>0</v>
      </c>
      <c r="BE60" s="15">
        <v>0.03612</v>
      </c>
      <c r="BF60" s="15">
        <v>56</v>
      </c>
      <c r="BG60" s="15">
        <v>2</v>
      </c>
      <c r="BH60" s="15">
        <v>0</v>
      </c>
      <c r="BI60" s="15"/>
      <c r="BJ60" s="15">
        <v>0</v>
      </c>
      <c r="BK60" s="15">
        <v>0</v>
      </c>
      <c r="BL60" s="15">
        <v>0</v>
      </c>
      <c r="BM60" s="15">
        <v>0</v>
      </c>
      <c r="BN60" s="15"/>
      <c r="BO60" s="15"/>
      <c r="BP60" s="15">
        <v>5.2</v>
      </c>
      <c r="BQ60" s="15">
        <v>34</v>
      </c>
      <c r="BR60" s="15">
        <v>0</v>
      </c>
      <c r="BS60" s="15">
        <v>0</v>
      </c>
      <c r="BT60" s="15">
        <v>0</v>
      </c>
      <c r="BU60" s="15">
        <v>0</v>
      </c>
      <c r="BV60" s="15">
        <v>0</v>
      </c>
      <c r="BW60" s="15">
        <v>0</v>
      </c>
      <c r="BX60" s="15">
        <v>0</v>
      </c>
    </row>
    <row r="61" spans="1:76">
      <c r="A61" s="14" t="str">
        <f>VLOOKUP(C61,VLOOKUP!A:B,2,FALSE)</f>
        <v>福到</v>
      </c>
      <c r="B61" s="16">
        <v>46096</v>
      </c>
      <c r="C61" s="17">
        <v>971856893567</v>
      </c>
      <c r="D61" s="15" t="s">
        <v>151</v>
      </c>
      <c r="E61" s="15" t="s">
        <v>152</v>
      </c>
      <c r="F61" s="15">
        <v>1279</v>
      </c>
      <c r="G61" s="15">
        <v>27</v>
      </c>
      <c r="H61" s="15">
        <v>7.74</v>
      </c>
      <c r="I61" s="15">
        <v>0.02111</v>
      </c>
      <c r="J61" s="15">
        <v>0.29</v>
      </c>
      <c r="K61" s="15">
        <v>6.05</v>
      </c>
      <c r="L61" s="15">
        <v>0</v>
      </c>
      <c r="M61" s="15">
        <v>0</v>
      </c>
      <c r="N61" s="15">
        <v>0</v>
      </c>
      <c r="O61" s="15">
        <v>0</v>
      </c>
      <c r="P61" s="15">
        <v>0</v>
      </c>
      <c r="Q61" s="15">
        <v>0</v>
      </c>
      <c r="R61" s="15">
        <v>0</v>
      </c>
      <c r="S61" s="15">
        <v>0</v>
      </c>
      <c r="T61" s="15">
        <v>0</v>
      </c>
      <c r="U61" s="15">
        <v>0</v>
      </c>
      <c r="V61" s="15">
        <v>0</v>
      </c>
      <c r="W61" s="15">
        <v>0</v>
      </c>
      <c r="X61" s="15">
        <v>0</v>
      </c>
      <c r="Y61" s="15">
        <v>0</v>
      </c>
      <c r="Z61" s="15">
        <v>0</v>
      </c>
      <c r="AA61" s="15"/>
      <c r="AB61" s="15">
        <v>0</v>
      </c>
      <c r="AC61" s="15">
        <v>0</v>
      </c>
      <c r="AD61" s="15">
        <v>0</v>
      </c>
      <c r="AE61" s="15">
        <v>0</v>
      </c>
      <c r="AF61" s="15">
        <v>0</v>
      </c>
      <c r="AG61" s="15">
        <v>0</v>
      </c>
      <c r="AH61" s="15"/>
      <c r="AI61" s="15">
        <v>0</v>
      </c>
      <c r="AJ61" s="15"/>
      <c r="AK61" s="15">
        <v>0</v>
      </c>
      <c r="AL61" s="15"/>
      <c r="AM61" s="15">
        <v>0</v>
      </c>
      <c r="AN61" s="15"/>
      <c r="AO61" s="15">
        <v>0</v>
      </c>
      <c r="AP61" s="15"/>
      <c r="AQ61" s="15">
        <v>0</v>
      </c>
      <c r="AR61" s="15">
        <v>0</v>
      </c>
      <c r="AS61" s="15">
        <v>0</v>
      </c>
      <c r="AT61" s="15">
        <v>0</v>
      </c>
      <c r="AU61" s="15">
        <v>0</v>
      </c>
      <c r="AV61" s="15">
        <v>0</v>
      </c>
      <c r="AW61" s="15">
        <v>0</v>
      </c>
      <c r="AX61" s="15">
        <v>0</v>
      </c>
      <c r="AY61" s="15">
        <v>107</v>
      </c>
      <c r="AZ61" s="15">
        <v>25</v>
      </c>
      <c r="BA61" s="15">
        <v>17</v>
      </c>
      <c r="BB61" s="15">
        <v>0.68</v>
      </c>
      <c r="BC61" s="15">
        <v>0</v>
      </c>
      <c r="BD61" s="15">
        <v>0</v>
      </c>
      <c r="BE61" s="15">
        <v>0.08366</v>
      </c>
      <c r="BF61" s="15">
        <v>71</v>
      </c>
      <c r="BG61" s="15">
        <v>4</v>
      </c>
      <c r="BH61" s="15">
        <v>0</v>
      </c>
      <c r="BI61" s="15"/>
      <c r="BJ61" s="15">
        <v>0</v>
      </c>
      <c r="BK61" s="15">
        <v>0</v>
      </c>
      <c r="BL61" s="15">
        <v>0</v>
      </c>
      <c r="BM61" s="15">
        <v>0</v>
      </c>
      <c r="BN61" s="15"/>
      <c r="BO61" s="15"/>
      <c r="BP61" s="15">
        <v>0</v>
      </c>
      <c r="BQ61" s="15">
        <v>12</v>
      </c>
      <c r="BR61" s="15">
        <v>0</v>
      </c>
      <c r="BS61" s="15">
        <v>0</v>
      </c>
      <c r="BT61" s="15">
        <v>0</v>
      </c>
      <c r="BU61" s="15">
        <v>0</v>
      </c>
      <c r="BV61" s="15">
        <v>0</v>
      </c>
      <c r="BW61" s="15">
        <v>0</v>
      </c>
      <c r="BX61" s="15">
        <v>0</v>
      </c>
    </row>
    <row r="62" spans="1:76">
      <c r="A62" s="14" t="str">
        <f>VLOOKUP(C62,VLOOKUP!A:B,2,FALSE)</f>
        <v>如意盘香</v>
      </c>
      <c r="B62" s="16">
        <v>46096</v>
      </c>
      <c r="C62" s="17">
        <v>838711327669</v>
      </c>
      <c r="D62" s="15" t="s">
        <v>151</v>
      </c>
      <c r="E62" s="15" t="s">
        <v>158</v>
      </c>
      <c r="F62" s="15">
        <v>718</v>
      </c>
      <c r="G62" s="15">
        <v>57</v>
      </c>
      <c r="H62" s="15">
        <v>80</v>
      </c>
      <c r="I62" s="15">
        <v>0.07939</v>
      </c>
      <c r="J62" s="15">
        <v>1.4</v>
      </c>
      <c r="K62" s="15">
        <v>111.42</v>
      </c>
      <c r="L62" s="15">
        <v>0</v>
      </c>
      <c r="M62" s="15">
        <v>0</v>
      </c>
      <c r="N62" s="15">
        <v>0</v>
      </c>
      <c r="O62" s="15">
        <v>0</v>
      </c>
      <c r="P62" s="15">
        <v>0</v>
      </c>
      <c r="Q62" s="15">
        <v>0</v>
      </c>
      <c r="R62" s="15">
        <v>0</v>
      </c>
      <c r="S62" s="15">
        <v>196.53</v>
      </c>
      <c r="T62" s="15">
        <v>196.53</v>
      </c>
      <c r="U62" s="15">
        <v>4</v>
      </c>
      <c r="V62" s="15">
        <v>0</v>
      </c>
      <c r="W62" s="15">
        <v>4</v>
      </c>
      <c r="X62" s="15">
        <v>0.07018</v>
      </c>
      <c r="Y62" s="15">
        <v>2.46</v>
      </c>
      <c r="Z62" s="15">
        <v>2.46</v>
      </c>
      <c r="AA62" s="15">
        <v>20</v>
      </c>
      <c r="AB62" s="15">
        <v>5</v>
      </c>
      <c r="AC62" s="15">
        <v>0</v>
      </c>
      <c r="AD62" s="15">
        <v>5</v>
      </c>
      <c r="AE62" s="15">
        <v>0.08772</v>
      </c>
      <c r="AF62" s="15">
        <v>3</v>
      </c>
      <c r="AG62" s="15">
        <v>0</v>
      </c>
      <c r="AH62" s="15"/>
      <c r="AI62" s="15">
        <v>8</v>
      </c>
      <c r="AJ62" s="15">
        <v>10</v>
      </c>
      <c r="AK62" s="15">
        <v>8</v>
      </c>
      <c r="AL62" s="15">
        <v>10</v>
      </c>
      <c r="AM62" s="15">
        <v>3</v>
      </c>
      <c r="AN62" s="15">
        <v>26.67</v>
      </c>
      <c r="AO62" s="15">
        <v>0.05263</v>
      </c>
      <c r="AP62" s="15">
        <v>16</v>
      </c>
      <c r="AQ62" s="15">
        <v>5</v>
      </c>
      <c r="AR62" s="15">
        <v>246.8</v>
      </c>
      <c r="AS62" s="15">
        <v>0</v>
      </c>
      <c r="AT62" s="15">
        <v>3</v>
      </c>
      <c r="AU62" s="15">
        <v>0</v>
      </c>
      <c r="AV62" s="15">
        <v>0</v>
      </c>
      <c r="AW62" s="15">
        <v>0</v>
      </c>
      <c r="AX62" s="15">
        <v>2</v>
      </c>
      <c r="AY62" s="15">
        <v>215</v>
      </c>
      <c r="AZ62" s="15">
        <v>49</v>
      </c>
      <c r="BA62" s="15">
        <v>33</v>
      </c>
      <c r="BB62" s="15">
        <v>0.67347</v>
      </c>
      <c r="BC62" s="15">
        <v>0</v>
      </c>
      <c r="BD62" s="15">
        <v>0</v>
      </c>
      <c r="BE62" s="15">
        <v>0.29944</v>
      </c>
      <c r="BF62" s="15">
        <v>153</v>
      </c>
      <c r="BG62" s="15">
        <v>4</v>
      </c>
      <c r="BH62" s="15">
        <v>4</v>
      </c>
      <c r="BI62" s="15">
        <v>1</v>
      </c>
      <c r="BJ62" s="15">
        <v>0</v>
      </c>
      <c r="BK62" s="15">
        <v>0</v>
      </c>
      <c r="BL62" s="15">
        <v>0</v>
      </c>
      <c r="BM62" s="15">
        <v>4</v>
      </c>
      <c r="BN62" s="15">
        <v>1</v>
      </c>
      <c r="BO62" s="15">
        <v>49.13</v>
      </c>
      <c r="BP62" s="15">
        <v>41.85</v>
      </c>
      <c r="BQ62" s="15">
        <v>352</v>
      </c>
      <c r="BR62" s="15">
        <v>0</v>
      </c>
      <c r="BS62" s="15">
        <v>0</v>
      </c>
      <c r="BT62" s="15">
        <v>0</v>
      </c>
      <c r="BU62" s="15">
        <v>0</v>
      </c>
      <c r="BV62" s="15">
        <v>0</v>
      </c>
      <c r="BW62" s="15">
        <v>0</v>
      </c>
      <c r="BX62" s="15">
        <v>0</v>
      </c>
    </row>
    <row r="63" spans="1:76">
      <c r="A63" s="14" t="str">
        <f>VLOOKUP(C63,VLOOKUP!A:B,2,FALSE)</f>
        <v>福颜青</v>
      </c>
      <c r="B63" s="16">
        <v>46096</v>
      </c>
      <c r="C63" s="17">
        <v>833369552621</v>
      </c>
      <c r="D63" s="15" t="s">
        <v>151</v>
      </c>
      <c r="E63" s="15" t="s">
        <v>154</v>
      </c>
      <c r="F63" s="15">
        <v>6039</v>
      </c>
      <c r="G63" s="15">
        <v>78</v>
      </c>
      <c r="H63" s="15">
        <v>25.16</v>
      </c>
      <c r="I63" s="15">
        <v>0.01292</v>
      </c>
      <c r="J63" s="15">
        <v>0.32</v>
      </c>
      <c r="K63" s="15">
        <v>4.17</v>
      </c>
      <c r="L63" s="15">
        <v>0</v>
      </c>
      <c r="M63" s="15">
        <v>0</v>
      </c>
      <c r="N63" s="15">
        <v>0</v>
      </c>
      <c r="O63" s="15">
        <v>0</v>
      </c>
      <c r="P63" s="15">
        <v>0</v>
      </c>
      <c r="Q63" s="15">
        <v>0</v>
      </c>
      <c r="R63" s="15">
        <v>0</v>
      </c>
      <c r="S63" s="15">
        <v>166.2</v>
      </c>
      <c r="T63" s="15">
        <v>166.2</v>
      </c>
      <c r="U63" s="15">
        <v>1</v>
      </c>
      <c r="V63" s="15">
        <v>0</v>
      </c>
      <c r="W63" s="15">
        <v>1</v>
      </c>
      <c r="X63" s="15">
        <v>0.01282</v>
      </c>
      <c r="Y63" s="15">
        <v>6.61</v>
      </c>
      <c r="Z63" s="15">
        <v>6.61</v>
      </c>
      <c r="AA63" s="15">
        <v>25.16</v>
      </c>
      <c r="AB63" s="15">
        <v>1</v>
      </c>
      <c r="AC63" s="15">
        <v>1</v>
      </c>
      <c r="AD63" s="15">
        <v>0</v>
      </c>
      <c r="AE63" s="15">
        <v>0.01282</v>
      </c>
      <c r="AF63" s="15">
        <v>0</v>
      </c>
      <c r="AG63" s="15">
        <v>0</v>
      </c>
      <c r="AH63" s="15"/>
      <c r="AI63" s="15">
        <v>1</v>
      </c>
      <c r="AJ63" s="15">
        <v>25.16</v>
      </c>
      <c r="AK63" s="15">
        <v>1</v>
      </c>
      <c r="AL63" s="15">
        <v>25.16</v>
      </c>
      <c r="AM63" s="15">
        <v>0</v>
      </c>
      <c r="AN63" s="15"/>
      <c r="AO63" s="15">
        <v>0</v>
      </c>
      <c r="AP63" s="15">
        <v>25.16</v>
      </c>
      <c r="AQ63" s="15">
        <v>2</v>
      </c>
      <c r="AR63" s="15">
        <v>245.9</v>
      </c>
      <c r="AS63" s="15">
        <v>0</v>
      </c>
      <c r="AT63" s="15">
        <v>0</v>
      </c>
      <c r="AU63" s="15">
        <v>0</v>
      </c>
      <c r="AV63" s="15">
        <v>0</v>
      </c>
      <c r="AW63" s="15">
        <v>0</v>
      </c>
      <c r="AX63" s="15">
        <v>0</v>
      </c>
      <c r="AY63" s="15">
        <v>114</v>
      </c>
      <c r="AZ63" s="15">
        <v>91</v>
      </c>
      <c r="BA63" s="15">
        <v>86</v>
      </c>
      <c r="BB63" s="15">
        <v>0.94505</v>
      </c>
      <c r="BC63" s="15">
        <v>0</v>
      </c>
      <c r="BD63" s="15">
        <v>0</v>
      </c>
      <c r="BE63" s="15">
        <v>0.01888</v>
      </c>
      <c r="BF63" s="15">
        <v>14</v>
      </c>
      <c r="BG63" s="15">
        <v>1</v>
      </c>
      <c r="BH63" s="15">
        <v>0</v>
      </c>
      <c r="BI63" s="15">
        <v>0</v>
      </c>
      <c r="BJ63" s="15">
        <v>0</v>
      </c>
      <c r="BK63" s="15">
        <v>0</v>
      </c>
      <c r="BL63" s="15">
        <v>0</v>
      </c>
      <c r="BM63" s="15">
        <v>1</v>
      </c>
      <c r="BN63" s="15">
        <v>1</v>
      </c>
      <c r="BO63" s="15">
        <v>166.2</v>
      </c>
      <c r="BP63" s="15">
        <v>1.55</v>
      </c>
      <c r="BQ63" s="15">
        <v>1634</v>
      </c>
      <c r="BR63" s="15">
        <v>0</v>
      </c>
      <c r="BS63" s="15">
        <v>0</v>
      </c>
      <c r="BT63" s="15">
        <v>0</v>
      </c>
      <c r="BU63" s="15">
        <v>0</v>
      </c>
      <c r="BV63" s="15">
        <v>0</v>
      </c>
      <c r="BW63" s="15">
        <v>0</v>
      </c>
      <c r="BX63" s="15">
        <v>0</v>
      </c>
    </row>
    <row r="64" spans="1:76">
      <c r="A64" s="14" t="str">
        <f>VLOOKUP(C64,VLOOKUP!A:B,2,FALSE)</f>
        <v>福到</v>
      </c>
      <c r="B64" s="16">
        <v>46095</v>
      </c>
      <c r="C64" s="17">
        <v>971856893567</v>
      </c>
      <c r="D64" s="15" t="s">
        <v>151</v>
      </c>
      <c r="E64" s="15" t="s">
        <v>152</v>
      </c>
      <c r="F64" s="15">
        <v>784</v>
      </c>
      <c r="G64" s="15">
        <v>22</v>
      </c>
      <c r="H64" s="15">
        <v>6.6</v>
      </c>
      <c r="I64" s="15">
        <v>0.02806</v>
      </c>
      <c r="J64" s="15">
        <v>0.3</v>
      </c>
      <c r="K64" s="15">
        <v>8.42</v>
      </c>
      <c r="L64" s="15">
        <v>0</v>
      </c>
      <c r="M64" s="15">
        <v>0</v>
      </c>
      <c r="N64" s="15">
        <v>0</v>
      </c>
      <c r="O64" s="15">
        <v>0</v>
      </c>
      <c r="P64" s="15">
        <v>0</v>
      </c>
      <c r="Q64" s="15">
        <v>0</v>
      </c>
      <c r="R64" s="15">
        <v>0</v>
      </c>
      <c r="S64" s="15">
        <v>0</v>
      </c>
      <c r="T64" s="15">
        <v>0</v>
      </c>
      <c r="U64" s="15">
        <v>0</v>
      </c>
      <c r="V64" s="15">
        <v>0</v>
      </c>
      <c r="W64" s="15">
        <v>0</v>
      </c>
      <c r="X64" s="15">
        <v>0</v>
      </c>
      <c r="Y64" s="15">
        <v>0</v>
      </c>
      <c r="Z64" s="15">
        <v>0</v>
      </c>
      <c r="AA64" s="15"/>
      <c r="AB64" s="15">
        <v>0</v>
      </c>
      <c r="AC64" s="15">
        <v>0</v>
      </c>
      <c r="AD64" s="15">
        <v>0</v>
      </c>
      <c r="AE64" s="15">
        <v>0</v>
      </c>
      <c r="AF64" s="15">
        <v>0</v>
      </c>
      <c r="AG64" s="15">
        <v>0</v>
      </c>
      <c r="AH64" s="15"/>
      <c r="AI64" s="15">
        <v>0</v>
      </c>
      <c r="AJ64" s="15"/>
      <c r="AK64" s="15">
        <v>0</v>
      </c>
      <c r="AL64" s="15"/>
      <c r="AM64" s="15">
        <v>0</v>
      </c>
      <c r="AN64" s="15"/>
      <c r="AO64" s="15">
        <v>0</v>
      </c>
      <c r="AP64" s="15"/>
      <c r="AQ64" s="15">
        <v>0</v>
      </c>
      <c r="AR64" s="15">
        <v>0</v>
      </c>
      <c r="AS64" s="15">
        <v>0</v>
      </c>
      <c r="AT64" s="15">
        <v>0</v>
      </c>
      <c r="AU64" s="15">
        <v>0</v>
      </c>
      <c r="AV64" s="15">
        <v>0</v>
      </c>
      <c r="AW64" s="15">
        <v>0</v>
      </c>
      <c r="AX64" s="15">
        <v>0</v>
      </c>
      <c r="AY64" s="15">
        <v>61</v>
      </c>
      <c r="AZ64" s="15">
        <v>22</v>
      </c>
      <c r="BA64" s="15">
        <v>19</v>
      </c>
      <c r="BB64" s="15">
        <v>0.86364</v>
      </c>
      <c r="BC64" s="15">
        <v>0</v>
      </c>
      <c r="BD64" s="15">
        <v>0</v>
      </c>
      <c r="BE64" s="15">
        <v>0.07781</v>
      </c>
      <c r="BF64" s="15">
        <v>38</v>
      </c>
      <c r="BG64" s="15">
        <v>3</v>
      </c>
      <c r="BH64" s="15">
        <v>0</v>
      </c>
      <c r="BI64" s="15"/>
      <c r="BJ64" s="15">
        <v>0</v>
      </c>
      <c r="BK64" s="15">
        <v>0</v>
      </c>
      <c r="BL64" s="15">
        <v>0</v>
      </c>
      <c r="BM64" s="15">
        <v>0</v>
      </c>
      <c r="BN64" s="15"/>
      <c r="BO64" s="15"/>
      <c r="BP64" s="15">
        <v>0</v>
      </c>
      <c r="BQ64" s="15">
        <v>8</v>
      </c>
      <c r="BR64" s="15">
        <v>0</v>
      </c>
      <c r="BS64" s="15">
        <v>0</v>
      </c>
      <c r="BT64" s="15">
        <v>0</v>
      </c>
      <c r="BU64" s="15">
        <v>0</v>
      </c>
      <c r="BV64" s="15">
        <v>0</v>
      </c>
      <c r="BW64" s="15">
        <v>0</v>
      </c>
      <c r="BX64" s="15">
        <v>0</v>
      </c>
    </row>
    <row r="65" spans="1:76">
      <c r="A65" s="14" t="str">
        <f>VLOOKUP(C65,VLOOKUP!A:B,2,FALSE)</f>
        <v>如意盘香</v>
      </c>
      <c r="B65" s="16">
        <v>46095</v>
      </c>
      <c r="C65" s="17">
        <v>838711327669</v>
      </c>
      <c r="D65" s="15" t="s">
        <v>151</v>
      </c>
      <c r="E65" s="15" t="s">
        <v>158</v>
      </c>
      <c r="F65" s="15">
        <v>729</v>
      </c>
      <c r="G65" s="15">
        <v>42</v>
      </c>
      <c r="H65" s="15">
        <v>76.42</v>
      </c>
      <c r="I65" s="15">
        <v>0.05761</v>
      </c>
      <c r="J65" s="15">
        <v>1.82</v>
      </c>
      <c r="K65" s="15">
        <v>104.83</v>
      </c>
      <c r="L65" s="15">
        <v>0</v>
      </c>
      <c r="M65" s="15">
        <v>0</v>
      </c>
      <c r="N65" s="15">
        <v>0</v>
      </c>
      <c r="O65" s="15">
        <v>0</v>
      </c>
      <c r="P65" s="15">
        <v>0</v>
      </c>
      <c r="Q65" s="15">
        <v>0</v>
      </c>
      <c r="R65" s="15">
        <v>0</v>
      </c>
      <c r="S65" s="15">
        <v>48.91</v>
      </c>
      <c r="T65" s="15">
        <v>48.91</v>
      </c>
      <c r="U65" s="15">
        <v>1</v>
      </c>
      <c r="V65" s="15">
        <v>0</v>
      </c>
      <c r="W65" s="15">
        <v>1</v>
      </c>
      <c r="X65" s="15">
        <v>0.02381</v>
      </c>
      <c r="Y65" s="15">
        <v>0.64</v>
      </c>
      <c r="Z65" s="15">
        <v>0.64</v>
      </c>
      <c r="AA65" s="15">
        <v>76.42</v>
      </c>
      <c r="AB65" s="15">
        <v>4</v>
      </c>
      <c r="AC65" s="15">
        <v>0</v>
      </c>
      <c r="AD65" s="15">
        <v>4</v>
      </c>
      <c r="AE65" s="15">
        <v>0.09524</v>
      </c>
      <c r="AF65" s="15">
        <v>0</v>
      </c>
      <c r="AG65" s="15">
        <v>3</v>
      </c>
      <c r="AH65" s="15">
        <v>25.47</v>
      </c>
      <c r="AI65" s="15">
        <v>7</v>
      </c>
      <c r="AJ65" s="15">
        <v>10.92</v>
      </c>
      <c r="AK65" s="15">
        <v>4</v>
      </c>
      <c r="AL65" s="15">
        <v>19.11</v>
      </c>
      <c r="AM65" s="15">
        <v>3</v>
      </c>
      <c r="AN65" s="15"/>
      <c r="AO65" s="15">
        <v>0</v>
      </c>
      <c r="AP65" s="15">
        <v>19.11</v>
      </c>
      <c r="AQ65" s="15">
        <v>1</v>
      </c>
      <c r="AR65" s="15">
        <v>49.9</v>
      </c>
      <c r="AS65" s="15">
        <v>0</v>
      </c>
      <c r="AT65" s="15">
        <v>0</v>
      </c>
      <c r="AU65" s="15">
        <v>0</v>
      </c>
      <c r="AV65" s="15">
        <v>0</v>
      </c>
      <c r="AW65" s="15">
        <v>0</v>
      </c>
      <c r="AX65" s="15">
        <v>1</v>
      </c>
      <c r="AY65" s="15">
        <v>197</v>
      </c>
      <c r="AZ65" s="15">
        <v>37</v>
      </c>
      <c r="BA65" s="15">
        <v>32</v>
      </c>
      <c r="BB65" s="15">
        <v>0.86486</v>
      </c>
      <c r="BC65" s="15">
        <v>0</v>
      </c>
      <c r="BD65" s="15">
        <v>0</v>
      </c>
      <c r="BE65" s="15">
        <v>0.27023</v>
      </c>
      <c r="BF65" s="15">
        <v>152</v>
      </c>
      <c r="BG65" s="15">
        <v>5</v>
      </c>
      <c r="BH65" s="15">
        <v>1</v>
      </c>
      <c r="BI65" s="15">
        <v>1</v>
      </c>
      <c r="BJ65" s="15">
        <v>0</v>
      </c>
      <c r="BK65" s="15">
        <v>0</v>
      </c>
      <c r="BL65" s="15">
        <v>0</v>
      </c>
      <c r="BM65" s="15">
        <v>1</v>
      </c>
      <c r="BN65" s="15">
        <v>1</v>
      </c>
      <c r="BO65" s="15">
        <v>48.91</v>
      </c>
      <c r="BP65" s="15">
        <v>1.9</v>
      </c>
      <c r="BQ65" s="15">
        <v>79</v>
      </c>
      <c r="BR65" s="15">
        <v>0</v>
      </c>
      <c r="BS65" s="15">
        <v>0</v>
      </c>
      <c r="BT65" s="15">
        <v>0</v>
      </c>
      <c r="BU65" s="15">
        <v>0</v>
      </c>
      <c r="BV65" s="15">
        <v>0</v>
      </c>
      <c r="BW65" s="15">
        <v>0</v>
      </c>
      <c r="BX65" s="15">
        <v>0</v>
      </c>
    </row>
    <row r="66" spans="1:76">
      <c r="A66" s="14" t="str">
        <f>VLOOKUP(C66,VLOOKUP!A:B,2,FALSE)</f>
        <v>福颜青</v>
      </c>
      <c r="B66" s="16">
        <v>46095</v>
      </c>
      <c r="C66" s="17">
        <v>833369552621</v>
      </c>
      <c r="D66" s="15" t="s">
        <v>151</v>
      </c>
      <c r="E66" s="15" t="s">
        <v>154</v>
      </c>
      <c r="F66" s="15">
        <v>4218</v>
      </c>
      <c r="G66" s="15">
        <v>83</v>
      </c>
      <c r="H66" s="15">
        <v>24.33</v>
      </c>
      <c r="I66" s="15">
        <v>0.01968</v>
      </c>
      <c r="J66" s="15">
        <v>0.29</v>
      </c>
      <c r="K66" s="15">
        <v>5.77</v>
      </c>
      <c r="L66" s="15">
        <v>0</v>
      </c>
      <c r="M66" s="15">
        <v>0</v>
      </c>
      <c r="N66" s="15">
        <v>0</v>
      </c>
      <c r="O66" s="15">
        <v>0</v>
      </c>
      <c r="P66" s="15">
        <v>0</v>
      </c>
      <c r="Q66" s="15">
        <v>0</v>
      </c>
      <c r="R66" s="15">
        <v>0</v>
      </c>
      <c r="S66" s="15">
        <v>0</v>
      </c>
      <c r="T66" s="15">
        <v>0</v>
      </c>
      <c r="U66" s="15">
        <v>0</v>
      </c>
      <c r="V66" s="15">
        <v>0</v>
      </c>
      <c r="W66" s="15">
        <v>0</v>
      </c>
      <c r="X66" s="15">
        <v>0</v>
      </c>
      <c r="Y66" s="15">
        <v>0</v>
      </c>
      <c r="Z66" s="15">
        <v>0</v>
      </c>
      <c r="AA66" s="15"/>
      <c r="AB66" s="15">
        <v>1</v>
      </c>
      <c r="AC66" s="15">
        <v>1</v>
      </c>
      <c r="AD66" s="15">
        <v>0</v>
      </c>
      <c r="AE66" s="15">
        <v>0.01205</v>
      </c>
      <c r="AF66" s="15">
        <v>0</v>
      </c>
      <c r="AG66" s="15">
        <v>1</v>
      </c>
      <c r="AH66" s="15">
        <v>24.33</v>
      </c>
      <c r="AI66" s="15">
        <v>2</v>
      </c>
      <c r="AJ66" s="15">
        <v>12.17</v>
      </c>
      <c r="AK66" s="15">
        <v>1</v>
      </c>
      <c r="AL66" s="15">
        <v>24.33</v>
      </c>
      <c r="AM66" s="15">
        <v>1</v>
      </c>
      <c r="AN66" s="15"/>
      <c r="AO66" s="15">
        <v>0</v>
      </c>
      <c r="AP66" s="15">
        <v>24.33</v>
      </c>
      <c r="AQ66" s="15">
        <v>0</v>
      </c>
      <c r="AR66" s="15">
        <v>0</v>
      </c>
      <c r="AS66" s="15">
        <v>0</v>
      </c>
      <c r="AT66" s="15">
        <v>0</v>
      </c>
      <c r="AU66" s="15">
        <v>0</v>
      </c>
      <c r="AV66" s="15">
        <v>0</v>
      </c>
      <c r="AW66" s="15">
        <v>0</v>
      </c>
      <c r="AX66" s="15">
        <v>0</v>
      </c>
      <c r="AY66" s="15">
        <v>203</v>
      </c>
      <c r="AZ66" s="15">
        <v>92</v>
      </c>
      <c r="BA66" s="15">
        <v>87</v>
      </c>
      <c r="BB66" s="15">
        <v>0.94565</v>
      </c>
      <c r="BC66" s="15">
        <v>0</v>
      </c>
      <c r="BD66" s="15">
        <v>0</v>
      </c>
      <c r="BE66" s="15">
        <v>0.04813</v>
      </c>
      <c r="BF66" s="15">
        <v>97</v>
      </c>
      <c r="BG66" s="15">
        <v>2</v>
      </c>
      <c r="BH66" s="15">
        <v>0</v>
      </c>
      <c r="BI66" s="15"/>
      <c r="BJ66" s="15">
        <v>0</v>
      </c>
      <c r="BK66" s="15">
        <v>0</v>
      </c>
      <c r="BL66" s="15">
        <v>0</v>
      </c>
      <c r="BM66" s="15">
        <v>0</v>
      </c>
      <c r="BN66" s="15"/>
      <c r="BO66" s="15"/>
      <c r="BP66" s="15">
        <v>0</v>
      </c>
      <c r="BQ66" s="15">
        <v>965</v>
      </c>
      <c r="BR66" s="15">
        <v>0</v>
      </c>
      <c r="BS66" s="15">
        <v>0</v>
      </c>
      <c r="BT66" s="15">
        <v>0</v>
      </c>
      <c r="BU66" s="15">
        <v>0</v>
      </c>
      <c r="BV66" s="15">
        <v>0</v>
      </c>
      <c r="BW66" s="15">
        <v>0</v>
      </c>
      <c r="BX66" s="15">
        <v>0</v>
      </c>
    </row>
    <row r="67" spans="1:76">
      <c r="A67" s="14" t="str">
        <f>VLOOKUP(C67,VLOOKUP!A:B,2,FALSE)</f>
        <v>福到</v>
      </c>
      <c r="B67" s="16">
        <v>46094</v>
      </c>
      <c r="C67" s="17">
        <v>971856893567</v>
      </c>
      <c r="D67" s="15" t="s">
        <v>151</v>
      </c>
      <c r="E67" s="15" t="s">
        <v>152</v>
      </c>
      <c r="F67" s="15">
        <v>666</v>
      </c>
      <c r="G67" s="15">
        <v>24</v>
      </c>
      <c r="H67" s="15">
        <v>6.86</v>
      </c>
      <c r="I67" s="15">
        <v>0.03604</v>
      </c>
      <c r="J67" s="15">
        <v>0.29</v>
      </c>
      <c r="K67" s="15">
        <v>10.3</v>
      </c>
      <c r="L67" s="15">
        <v>0</v>
      </c>
      <c r="M67" s="15">
        <v>0</v>
      </c>
      <c r="N67" s="15">
        <v>0</v>
      </c>
      <c r="O67" s="15">
        <v>0</v>
      </c>
      <c r="P67" s="15">
        <v>0</v>
      </c>
      <c r="Q67" s="15">
        <v>0</v>
      </c>
      <c r="R67" s="15">
        <v>0</v>
      </c>
      <c r="S67" s="15">
        <v>934.05</v>
      </c>
      <c r="T67" s="15">
        <v>934.05</v>
      </c>
      <c r="U67" s="15">
        <v>1</v>
      </c>
      <c r="V67" s="15">
        <v>0</v>
      </c>
      <c r="W67" s="15">
        <v>1</v>
      </c>
      <c r="X67" s="15">
        <v>0.04167</v>
      </c>
      <c r="Y67" s="15">
        <v>136.16</v>
      </c>
      <c r="Z67" s="15">
        <v>136.16</v>
      </c>
      <c r="AA67" s="15">
        <v>6.86</v>
      </c>
      <c r="AB67" s="15">
        <v>3</v>
      </c>
      <c r="AC67" s="15">
        <v>0</v>
      </c>
      <c r="AD67" s="15">
        <v>3</v>
      </c>
      <c r="AE67" s="15">
        <v>0.125</v>
      </c>
      <c r="AF67" s="15">
        <v>0</v>
      </c>
      <c r="AG67" s="15">
        <v>1</v>
      </c>
      <c r="AH67" s="15">
        <v>6.86</v>
      </c>
      <c r="AI67" s="15">
        <v>4</v>
      </c>
      <c r="AJ67" s="15">
        <v>1.72</v>
      </c>
      <c r="AK67" s="15">
        <v>3</v>
      </c>
      <c r="AL67" s="15">
        <v>2.29</v>
      </c>
      <c r="AM67" s="15">
        <v>1</v>
      </c>
      <c r="AN67" s="15"/>
      <c r="AO67" s="15">
        <v>0</v>
      </c>
      <c r="AP67" s="15">
        <v>2.29</v>
      </c>
      <c r="AQ67" s="15">
        <v>2</v>
      </c>
      <c r="AR67" s="15">
        <v>1295</v>
      </c>
      <c r="AS67" s="15">
        <v>0</v>
      </c>
      <c r="AT67" s="15">
        <v>0</v>
      </c>
      <c r="AU67" s="15">
        <v>0</v>
      </c>
      <c r="AV67" s="15">
        <v>0</v>
      </c>
      <c r="AW67" s="15">
        <v>0</v>
      </c>
      <c r="AX67" s="15">
        <v>0</v>
      </c>
      <c r="AY67" s="15">
        <v>86</v>
      </c>
      <c r="AZ67" s="15">
        <v>18</v>
      </c>
      <c r="BA67" s="15">
        <v>13</v>
      </c>
      <c r="BB67" s="15">
        <v>0.72222</v>
      </c>
      <c r="BC67" s="15">
        <v>0</v>
      </c>
      <c r="BD67" s="15">
        <v>0</v>
      </c>
      <c r="BE67" s="15">
        <v>0.12913</v>
      </c>
      <c r="BF67" s="15">
        <v>61</v>
      </c>
      <c r="BG67" s="15">
        <v>5</v>
      </c>
      <c r="BH67" s="15">
        <v>1</v>
      </c>
      <c r="BI67" s="15">
        <v>1</v>
      </c>
      <c r="BJ67" s="15">
        <v>0</v>
      </c>
      <c r="BK67" s="15">
        <v>0</v>
      </c>
      <c r="BL67" s="15">
        <v>0</v>
      </c>
      <c r="BM67" s="15">
        <v>1</v>
      </c>
      <c r="BN67" s="15">
        <v>1</v>
      </c>
      <c r="BO67" s="15">
        <v>934.05</v>
      </c>
      <c r="BP67" s="15">
        <v>0</v>
      </c>
      <c r="BQ67" s="15">
        <v>56</v>
      </c>
      <c r="BR67" s="15">
        <v>0</v>
      </c>
      <c r="BS67" s="15">
        <v>0</v>
      </c>
      <c r="BT67" s="15">
        <v>0</v>
      </c>
      <c r="BU67" s="15">
        <v>0</v>
      </c>
      <c r="BV67" s="15">
        <v>0</v>
      </c>
      <c r="BW67" s="15">
        <v>0</v>
      </c>
      <c r="BX67" s="15">
        <v>0</v>
      </c>
    </row>
    <row r="68" spans="1:76">
      <c r="A68" s="14" t="str">
        <f>VLOOKUP(C68,VLOOKUP!A:B,2,FALSE)</f>
        <v>如意盘香</v>
      </c>
      <c r="B68" s="16">
        <v>46094</v>
      </c>
      <c r="C68" s="17">
        <v>838711327669</v>
      </c>
      <c r="D68" s="15" t="s">
        <v>151</v>
      </c>
      <c r="E68" s="15" t="s">
        <v>158</v>
      </c>
      <c r="F68" s="15">
        <v>977</v>
      </c>
      <c r="G68" s="15">
        <v>53</v>
      </c>
      <c r="H68" s="15">
        <v>67.73</v>
      </c>
      <c r="I68" s="15">
        <v>0.05425</v>
      </c>
      <c r="J68" s="15">
        <v>1.28</v>
      </c>
      <c r="K68" s="15">
        <v>69.32</v>
      </c>
      <c r="L68" s="15">
        <v>0</v>
      </c>
      <c r="M68" s="15">
        <v>0</v>
      </c>
      <c r="N68" s="15">
        <v>0</v>
      </c>
      <c r="O68" s="15">
        <v>0</v>
      </c>
      <c r="P68" s="15">
        <v>0</v>
      </c>
      <c r="Q68" s="15">
        <v>0</v>
      </c>
      <c r="R68" s="15">
        <v>0</v>
      </c>
      <c r="S68" s="15">
        <v>49.9</v>
      </c>
      <c r="T68" s="15">
        <v>49.9</v>
      </c>
      <c r="U68" s="15">
        <v>1</v>
      </c>
      <c r="V68" s="15">
        <v>0</v>
      </c>
      <c r="W68" s="15">
        <v>1</v>
      </c>
      <c r="X68" s="15">
        <v>0.01887</v>
      </c>
      <c r="Y68" s="15">
        <v>0.74</v>
      </c>
      <c r="Z68" s="15">
        <v>0.74</v>
      </c>
      <c r="AA68" s="15">
        <v>67.73</v>
      </c>
      <c r="AB68" s="15">
        <v>4</v>
      </c>
      <c r="AC68" s="15">
        <v>0</v>
      </c>
      <c r="AD68" s="15">
        <v>4</v>
      </c>
      <c r="AE68" s="15">
        <v>0.07547</v>
      </c>
      <c r="AF68" s="15">
        <v>1</v>
      </c>
      <c r="AG68" s="15">
        <v>0</v>
      </c>
      <c r="AH68" s="15"/>
      <c r="AI68" s="15">
        <v>5</v>
      </c>
      <c r="AJ68" s="15">
        <v>13.55</v>
      </c>
      <c r="AK68" s="15">
        <v>5</v>
      </c>
      <c r="AL68" s="15">
        <v>13.55</v>
      </c>
      <c r="AM68" s="15">
        <v>1</v>
      </c>
      <c r="AN68" s="15">
        <v>67.73</v>
      </c>
      <c r="AO68" s="15">
        <v>0.01887</v>
      </c>
      <c r="AP68" s="15">
        <v>16.93</v>
      </c>
      <c r="AQ68" s="15">
        <v>1</v>
      </c>
      <c r="AR68" s="15">
        <v>49.9</v>
      </c>
      <c r="AS68" s="15">
        <v>0</v>
      </c>
      <c r="AT68" s="15">
        <v>1</v>
      </c>
      <c r="AU68" s="15">
        <v>0</v>
      </c>
      <c r="AV68" s="15">
        <v>0</v>
      </c>
      <c r="AW68" s="15">
        <v>0</v>
      </c>
      <c r="AX68" s="15">
        <v>1</v>
      </c>
      <c r="AY68" s="15">
        <v>160</v>
      </c>
      <c r="AZ68" s="15">
        <v>48</v>
      </c>
      <c r="BA68" s="15">
        <v>30</v>
      </c>
      <c r="BB68" s="15">
        <v>0.625</v>
      </c>
      <c r="BC68" s="15">
        <v>0</v>
      </c>
      <c r="BD68" s="15">
        <v>0</v>
      </c>
      <c r="BE68" s="15">
        <v>0.16377</v>
      </c>
      <c r="BF68" s="15">
        <v>105</v>
      </c>
      <c r="BG68" s="15">
        <v>3</v>
      </c>
      <c r="BH68" s="15">
        <v>1</v>
      </c>
      <c r="BI68" s="15">
        <v>1</v>
      </c>
      <c r="BJ68" s="15">
        <v>0</v>
      </c>
      <c r="BK68" s="15">
        <v>0</v>
      </c>
      <c r="BL68" s="15">
        <v>0</v>
      </c>
      <c r="BM68" s="15">
        <v>1</v>
      </c>
      <c r="BN68" s="15">
        <v>1</v>
      </c>
      <c r="BO68" s="15">
        <v>49.9</v>
      </c>
      <c r="BP68" s="15">
        <v>35.87</v>
      </c>
      <c r="BQ68" s="15">
        <v>131</v>
      </c>
      <c r="BR68" s="15">
        <v>0</v>
      </c>
      <c r="BS68" s="15">
        <v>0</v>
      </c>
      <c r="BT68" s="15">
        <v>0</v>
      </c>
      <c r="BU68" s="15">
        <v>0</v>
      </c>
      <c r="BV68" s="15">
        <v>0</v>
      </c>
      <c r="BW68" s="15">
        <v>0</v>
      </c>
      <c r="BX68" s="15">
        <v>0</v>
      </c>
    </row>
    <row r="69" spans="1:76">
      <c r="A69" s="14" t="str">
        <f>VLOOKUP(C69,VLOOKUP!A:B,2,FALSE)</f>
        <v>福颜青</v>
      </c>
      <c r="B69" s="16">
        <v>46094</v>
      </c>
      <c r="C69" s="17">
        <v>833369552621</v>
      </c>
      <c r="D69" s="15" t="s">
        <v>151</v>
      </c>
      <c r="E69" s="15" t="s">
        <v>154</v>
      </c>
      <c r="F69" s="15">
        <v>4015</v>
      </c>
      <c r="G69" s="15">
        <v>77</v>
      </c>
      <c r="H69" s="15">
        <v>24.29</v>
      </c>
      <c r="I69" s="15">
        <v>0.01918</v>
      </c>
      <c r="J69" s="15">
        <v>0.32</v>
      </c>
      <c r="K69" s="15">
        <v>6.05</v>
      </c>
      <c r="L69" s="15">
        <v>0</v>
      </c>
      <c r="M69" s="15">
        <v>0</v>
      </c>
      <c r="N69" s="15">
        <v>0</v>
      </c>
      <c r="O69" s="15">
        <v>0</v>
      </c>
      <c r="P69" s="15">
        <v>0</v>
      </c>
      <c r="Q69" s="15">
        <v>0</v>
      </c>
      <c r="R69" s="15">
        <v>0</v>
      </c>
      <c r="S69" s="15">
        <v>0</v>
      </c>
      <c r="T69" s="15">
        <v>0</v>
      </c>
      <c r="U69" s="15">
        <v>0</v>
      </c>
      <c r="V69" s="15">
        <v>0</v>
      </c>
      <c r="W69" s="15">
        <v>0</v>
      </c>
      <c r="X69" s="15">
        <v>0</v>
      </c>
      <c r="Y69" s="15">
        <v>0</v>
      </c>
      <c r="Z69" s="15">
        <v>0</v>
      </c>
      <c r="AA69" s="15"/>
      <c r="AB69" s="15">
        <v>4</v>
      </c>
      <c r="AC69" s="15">
        <v>0</v>
      </c>
      <c r="AD69" s="15">
        <v>4</v>
      </c>
      <c r="AE69" s="15">
        <v>0.05195</v>
      </c>
      <c r="AF69" s="15">
        <v>0</v>
      </c>
      <c r="AG69" s="15">
        <v>0</v>
      </c>
      <c r="AH69" s="15"/>
      <c r="AI69" s="15">
        <v>4</v>
      </c>
      <c r="AJ69" s="15">
        <v>6.07</v>
      </c>
      <c r="AK69" s="15">
        <v>4</v>
      </c>
      <c r="AL69" s="15">
        <v>6.07</v>
      </c>
      <c r="AM69" s="15">
        <v>0</v>
      </c>
      <c r="AN69" s="15"/>
      <c r="AO69" s="15">
        <v>0</v>
      </c>
      <c r="AP69" s="15">
        <v>6.07</v>
      </c>
      <c r="AQ69" s="15">
        <v>0</v>
      </c>
      <c r="AR69" s="15">
        <v>0</v>
      </c>
      <c r="AS69" s="15">
        <v>0</v>
      </c>
      <c r="AT69" s="15">
        <v>0</v>
      </c>
      <c r="AU69" s="15">
        <v>0</v>
      </c>
      <c r="AV69" s="15">
        <v>0</v>
      </c>
      <c r="AW69" s="15">
        <v>0</v>
      </c>
      <c r="AX69" s="15">
        <v>0</v>
      </c>
      <c r="AY69" s="15">
        <v>122</v>
      </c>
      <c r="AZ69" s="15">
        <v>80</v>
      </c>
      <c r="BA69" s="15">
        <v>74</v>
      </c>
      <c r="BB69" s="15">
        <v>0.925</v>
      </c>
      <c r="BC69" s="15">
        <v>0</v>
      </c>
      <c r="BD69" s="15">
        <v>0</v>
      </c>
      <c r="BE69" s="15">
        <v>0.03039</v>
      </c>
      <c r="BF69" s="15">
        <v>38</v>
      </c>
      <c r="BG69" s="15">
        <v>2</v>
      </c>
      <c r="BH69" s="15">
        <v>0</v>
      </c>
      <c r="BI69" s="15"/>
      <c r="BJ69" s="15">
        <v>0</v>
      </c>
      <c r="BK69" s="15">
        <v>0</v>
      </c>
      <c r="BL69" s="15">
        <v>0</v>
      </c>
      <c r="BM69" s="15">
        <v>0</v>
      </c>
      <c r="BN69" s="15"/>
      <c r="BO69" s="15"/>
      <c r="BP69" s="15">
        <v>8.54</v>
      </c>
      <c r="BQ69" s="15">
        <v>18</v>
      </c>
      <c r="BR69" s="15">
        <v>0</v>
      </c>
      <c r="BS69" s="15">
        <v>0</v>
      </c>
      <c r="BT69" s="15">
        <v>0</v>
      </c>
      <c r="BU69" s="15">
        <v>0</v>
      </c>
      <c r="BV69" s="15">
        <v>0</v>
      </c>
      <c r="BW69" s="15">
        <v>0</v>
      </c>
      <c r="BX69" s="15">
        <v>0</v>
      </c>
    </row>
    <row r="70" spans="1:76">
      <c r="A70" s="14" t="str">
        <f>VLOOKUP(C70,VLOOKUP!A:B,2,FALSE)</f>
        <v>福到</v>
      </c>
      <c r="B70" s="16">
        <v>46093</v>
      </c>
      <c r="C70" s="17">
        <v>971856893567</v>
      </c>
      <c r="D70" s="15" t="s">
        <v>151</v>
      </c>
      <c r="E70" s="15" t="s">
        <v>152</v>
      </c>
      <c r="F70" s="15">
        <v>1069</v>
      </c>
      <c r="G70" s="15">
        <v>29</v>
      </c>
      <c r="H70" s="15">
        <v>9.37</v>
      </c>
      <c r="I70" s="15">
        <v>0.02713</v>
      </c>
      <c r="J70" s="15">
        <v>0.32</v>
      </c>
      <c r="K70" s="15">
        <v>8.77</v>
      </c>
      <c r="L70" s="15">
        <v>0</v>
      </c>
      <c r="M70" s="15">
        <v>0</v>
      </c>
      <c r="N70" s="15">
        <v>0</v>
      </c>
      <c r="O70" s="15">
        <v>0</v>
      </c>
      <c r="P70" s="15">
        <v>0</v>
      </c>
      <c r="Q70" s="15">
        <v>0</v>
      </c>
      <c r="R70" s="15">
        <v>0</v>
      </c>
      <c r="S70" s="15">
        <v>0</v>
      </c>
      <c r="T70" s="15">
        <v>0</v>
      </c>
      <c r="U70" s="15">
        <v>0</v>
      </c>
      <c r="V70" s="15">
        <v>0</v>
      </c>
      <c r="W70" s="15">
        <v>0</v>
      </c>
      <c r="X70" s="15">
        <v>0</v>
      </c>
      <c r="Y70" s="15">
        <v>0</v>
      </c>
      <c r="Z70" s="15">
        <v>0</v>
      </c>
      <c r="AA70" s="15"/>
      <c r="AB70" s="15">
        <v>0</v>
      </c>
      <c r="AC70" s="15">
        <v>0</v>
      </c>
      <c r="AD70" s="15">
        <v>0</v>
      </c>
      <c r="AE70" s="15">
        <v>0</v>
      </c>
      <c r="AF70" s="15">
        <v>0</v>
      </c>
      <c r="AG70" s="15">
        <v>0</v>
      </c>
      <c r="AH70" s="15"/>
      <c r="AI70" s="15">
        <v>0</v>
      </c>
      <c r="AJ70" s="15"/>
      <c r="AK70" s="15">
        <v>0</v>
      </c>
      <c r="AL70" s="15"/>
      <c r="AM70" s="15">
        <v>0</v>
      </c>
      <c r="AN70" s="15"/>
      <c r="AO70" s="15">
        <v>0</v>
      </c>
      <c r="AP70" s="15"/>
      <c r="AQ70" s="15">
        <v>0</v>
      </c>
      <c r="AR70" s="15">
        <v>0</v>
      </c>
      <c r="AS70" s="15">
        <v>0</v>
      </c>
      <c r="AT70" s="15">
        <v>0</v>
      </c>
      <c r="AU70" s="15">
        <v>0</v>
      </c>
      <c r="AV70" s="15">
        <v>0</v>
      </c>
      <c r="AW70" s="15">
        <v>0</v>
      </c>
      <c r="AX70" s="15">
        <v>0</v>
      </c>
      <c r="AY70" s="15">
        <v>65</v>
      </c>
      <c r="AZ70" s="15">
        <v>28</v>
      </c>
      <c r="BA70" s="15">
        <v>26</v>
      </c>
      <c r="BB70" s="15">
        <v>0.92857</v>
      </c>
      <c r="BC70" s="15">
        <v>0</v>
      </c>
      <c r="BD70" s="15">
        <v>0</v>
      </c>
      <c r="BE70" s="15">
        <v>0.0608</v>
      </c>
      <c r="BF70" s="15">
        <v>34</v>
      </c>
      <c r="BG70" s="15">
        <v>2</v>
      </c>
      <c r="BH70" s="15">
        <v>0</v>
      </c>
      <c r="BI70" s="15"/>
      <c r="BJ70" s="15">
        <v>0</v>
      </c>
      <c r="BK70" s="15">
        <v>0</v>
      </c>
      <c r="BL70" s="15">
        <v>0</v>
      </c>
      <c r="BM70" s="15">
        <v>0</v>
      </c>
      <c r="BN70" s="15"/>
      <c r="BO70" s="15"/>
      <c r="BP70" s="15">
        <v>0</v>
      </c>
      <c r="BQ70" s="15">
        <v>7</v>
      </c>
      <c r="BR70" s="15">
        <v>0</v>
      </c>
      <c r="BS70" s="15">
        <v>0</v>
      </c>
      <c r="BT70" s="15">
        <v>0</v>
      </c>
      <c r="BU70" s="15">
        <v>0</v>
      </c>
      <c r="BV70" s="15">
        <v>0</v>
      </c>
      <c r="BW70" s="15">
        <v>0</v>
      </c>
      <c r="BX70" s="15">
        <v>0</v>
      </c>
    </row>
    <row r="71" spans="1:76">
      <c r="A71" s="14" t="str">
        <f>VLOOKUP(C71,VLOOKUP!A:B,2,FALSE)</f>
        <v>如意盘香</v>
      </c>
      <c r="B71" s="16">
        <v>46093</v>
      </c>
      <c r="C71" s="17">
        <v>838711327669</v>
      </c>
      <c r="D71" s="15" t="s">
        <v>151</v>
      </c>
      <c r="E71" s="15" t="s">
        <v>158</v>
      </c>
      <c r="F71" s="15">
        <v>1152</v>
      </c>
      <c r="G71" s="15">
        <v>58</v>
      </c>
      <c r="H71" s="15">
        <v>26.69</v>
      </c>
      <c r="I71" s="15">
        <v>0.05035</v>
      </c>
      <c r="J71" s="15">
        <v>0.46</v>
      </c>
      <c r="K71" s="15">
        <v>23.17</v>
      </c>
      <c r="L71" s="15">
        <v>0</v>
      </c>
      <c r="M71" s="15">
        <v>0</v>
      </c>
      <c r="N71" s="15">
        <v>0</v>
      </c>
      <c r="O71" s="15">
        <v>0</v>
      </c>
      <c r="P71" s="15">
        <v>0</v>
      </c>
      <c r="Q71" s="15">
        <v>0</v>
      </c>
      <c r="R71" s="15">
        <v>0</v>
      </c>
      <c r="S71" s="15">
        <v>49.9</v>
      </c>
      <c r="T71" s="15">
        <v>49.9</v>
      </c>
      <c r="U71" s="15">
        <v>1</v>
      </c>
      <c r="V71" s="15">
        <v>0</v>
      </c>
      <c r="W71" s="15">
        <v>1</v>
      </c>
      <c r="X71" s="15">
        <v>0.01724</v>
      </c>
      <c r="Y71" s="15">
        <v>1.87</v>
      </c>
      <c r="Z71" s="15">
        <v>1.87</v>
      </c>
      <c r="AA71" s="15">
        <v>26.69</v>
      </c>
      <c r="AB71" s="15">
        <v>15</v>
      </c>
      <c r="AC71" s="15">
        <v>1</v>
      </c>
      <c r="AD71" s="15">
        <v>14</v>
      </c>
      <c r="AE71" s="15">
        <v>0.25862</v>
      </c>
      <c r="AF71" s="15">
        <v>2</v>
      </c>
      <c r="AG71" s="15">
        <v>4</v>
      </c>
      <c r="AH71" s="15">
        <v>6.67</v>
      </c>
      <c r="AI71" s="15">
        <v>21</v>
      </c>
      <c r="AJ71" s="15">
        <v>1.27</v>
      </c>
      <c r="AK71" s="15">
        <v>17</v>
      </c>
      <c r="AL71" s="15">
        <v>1.57</v>
      </c>
      <c r="AM71" s="15">
        <v>6</v>
      </c>
      <c r="AN71" s="15">
        <v>13.35</v>
      </c>
      <c r="AO71" s="15">
        <v>0.03448</v>
      </c>
      <c r="AP71" s="15">
        <v>1.78</v>
      </c>
      <c r="AQ71" s="15">
        <v>3</v>
      </c>
      <c r="AR71" s="15">
        <v>348.8</v>
      </c>
      <c r="AS71" s="15">
        <v>0</v>
      </c>
      <c r="AT71" s="15">
        <v>2</v>
      </c>
      <c r="AU71" s="15">
        <v>0</v>
      </c>
      <c r="AV71" s="15">
        <v>0</v>
      </c>
      <c r="AW71" s="15">
        <v>0</v>
      </c>
      <c r="AX71" s="15">
        <v>2</v>
      </c>
      <c r="AY71" s="15">
        <v>293</v>
      </c>
      <c r="AZ71" s="15">
        <v>55</v>
      </c>
      <c r="BA71" s="15">
        <v>42</v>
      </c>
      <c r="BB71" s="15">
        <v>0.76364</v>
      </c>
      <c r="BC71" s="15">
        <v>0</v>
      </c>
      <c r="BD71" s="15">
        <v>0</v>
      </c>
      <c r="BE71" s="15">
        <v>0.25434</v>
      </c>
      <c r="BF71" s="15">
        <v>235</v>
      </c>
      <c r="BG71" s="15">
        <v>5</v>
      </c>
      <c r="BH71" s="15">
        <v>1</v>
      </c>
      <c r="BI71" s="15">
        <v>1</v>
      </c>
      <c r="BJ71" s="15">
        <v>0</v>
      </c>
      <c r="BK71" s="15">
        <v>0</v>
      </c>
      <c r="BL71" s="15">
        <v>0</v>
      </c>
      <c r="BM71" s="15">
        <v>1</v>
      </c>
      <c r="BN71" s="15">
        <v>1</v>
      </c>
      <c r="BO71" s="15">
        <v>49.9</v>
      </c>
      <c r="BP71" s="15">
        <v>2.21</v>
      </c>
      <c r="BQ71" s="15">
        <v>534</v>
      </c>
      <c r="BR71" s="15">
        <v>0</v>
      </c>
      <c r="BS71" s="15">
        <v>0</v>
      </c>
      <c r="BT71" s="15">
        <v>0</v>
      </c>
      <c r="BU71" s="15">
        <v>0</v>
      </c>
      <c r="BV71" s="15">
        <v>0</v>
      </c>
      <c r="BW71" s="15">
        <v>0</v>
      </c>
      <c r="BX71" s="15">
        <v>0</v>
      </c>
    </row>
    <row r="72" spans="1:76">
      <c r="A72" s="14" t="str">
        <f>VLOOKUP(C72,VLOOKUP!A:B,2,FALSE)</f>
        <v>福颜青</v>
      </c>
      <c r="B72" s="16">
        <v>46093</v>
      </c>
      <c r="C72" s="17">
        <v>833369552621</v>
      </c>
      <c r="D72" s="15" t="s">
        <v>151</v>
      </c>
      <c r="E72" s="15" t="s">
        <v>154</v>
      </c>
      <c r="F72" s="15">
        <v>3622</v>
      </c>
      <c r="G72" s="15">
        <v>82</v>
      </c>
      <c r="H72" s="15">
        <v>23.44</v>
      </c>
      <c r="I72" s="15">
        <v>0.02264</v>
      </c>
      <c r="J72" s="15">
        <v>0.29</v>
      </c>
      <c r="K72" s="15">
        <v>6.47</v>
      </c>
      <c r="L72" s="15">
        <v>0</v>
      </c>
      <c r="M72" s="15">
        <v>0</v>
      </c>
      <c r="N72" s="15">
        <v>0</v>
      </c>
      <c r="O72" s="15">
        <v>0</v>
      </c>
      <c r="P72" s="15">
        <v>0</v>
      </c>
      <c r="Q72" s="15">
        <v>0</v>
      </c>
      <c r="R72" s="15">
        <v>0</v>
      </c>
      <c r="S72" s="15">
        <v>0</v>
      </c>
      <c r="T72" s="15">
        <v>0</v>
      </c>
      <c r="U72" s="15">
        <v>0</v>
      </c>
      <c r="V72" s="15">
        <v>0</v>
      </c>
      <c r="W72" s="15">
        <v>0</v>
      </c>
      <c r="X72" s="15">
        <v>0</v>
      </c>
      <c r="Y72" s="15">
        <v>0</v>
      </c>
      <c r="Z72" s="15">
        <v>0</v>
      </c>
      <c r="AA72" s="15"/>
      <c r="AB72" s="15">
        <v>1</v>
      </c>
      <c r="AC72" s="15">
        <v>0</v>
      </c>
      <c r="AD72" s="15">
        <v>1</v>
      </c>
      <c r="AE72" s="15">
        <v>0.0122</v>
      </c>
      <c r="AF72" s="15">
        <v>1</v>
      </c>
      <c r="AG72" s="15">
        <v>1</v>
      </c>
      <c r="AH72" s="15">
        <v>23.44</v>
      </c>
      <c r="AI72" s="15">
        <v>3</v>
      </c>
      <c r="AJ72" s="15">
        <v>7.81</v>
      </c>
      <c r="AK72" s="15">
        <v>2</v>
      </c>
      <c r="AL72" s="15">
        <v>11.72</v>
      </c>
      <c r="AM72" s="15">
        <v>2</v>
      </c>
      <c r="AN72" s="15">
        <v>23.44</v>
      </c>
      <c r="AO72" s="15">
        <v>0.0122</v>
      </c>
      <c r="AP72" s="15">
        <v>23.44</v>
      </c>
      <c r="AQ72" s="15">
        <v>0</v>
      </c>
      <c r="AR72" s="15">
        <v>0</v>
      </c>
      <c r="AS72" s="15">
        <v>1</v>
      </c>
      <c r="AT72" s="15">
        <v>0</v>
      </c>
      <c r="AU72" s="15">
        <v>0</v>
      </c>
      <c r="AV72" s="15">
        <v>0</v>
      </c>
      <c r="AW72" s="15">
        <v>0</v>
      </c>
      <c r="AX72" s="15">
        <v>0</v>
      </c>
      <c r="AY72" s="15">
        <v>198</v>
      </c>
      <c r="AZ72" s="15">
        <v>75</v>
      </c>
      <c r="BA72" s="15">
        <v>66</v>
      </c>
      <c r="BB72" s="15">
        <v>0.88</v>
      </c>
      <c r="BC72" s="15">
        <v>0</v>
      </c>
      <c r="BD72" s="15">
        <v>0</v>
      </c>
      <c r="BE72" s="15">
        <v>0.05467</v>
      </c>
      <c r="BF72" s="15">
        <v>113</v>
      </c>
      <c r="BG72" s="15">
        <v>3</v>
      </c>
      <c r="BH72" s="15">
        <v>0</v>
      </c>
      <c r="BI72" s="15"/>
      <c r="BJ72" s="15">
        <v>0</v>
      </c>
      <c r="BK72" s="15">
        <v>0</v>
      </c>
      <c r="BL72" s="15">
        <v>0</v>
      </c>
      <c r="BM72" s="15">
        <v>0</v>
      </c>
      <c r="BN72" s="15"/>
      <c r="BO72" s="15"/>
      <c r="BP72" s="15">
        <v>0</v>
      </c>
      <c r="BQ72" s="15">
        <v>398</v>
      </c>
      <c r="BR72" s="15">
        <v>0</v>
      </c>
      <c r="BS72" s="15">
        <v>0</v>
      </c>
      <c r="BT72" s="15">
        <v>0</v>
      </c>
      <c r="BU72" s="15">
        <v>0</v>
      </c>
      <c r="BV72" s="15">
        <v>0</v>
      </c>
      <c r="BW72" s="15">
        <v>0</v>
      </c>
      <c r="BX72" s="15">
        <v>0</v>
      </c>
    </row>
    <row r="73" spans="1:76">
      <c r="A73" s="14" t="str">
        <f>VLOOKUP(C73,VLOOKUP!A:B,2,FALSE)</f>
        <v>福到</v>
      </c>
      <c r="B73" s="16">
        <v>46092</v>
      </c>
      <c r="C73" s="17">
        <v>971856893567</v>
      </c>
      <c r="D73" s="15" t="s">
        <v>151</v>
      </c>
      <c r="E73" s="15" t="s">
        <v>152</v>
      </c>
      <c r="F73" s="15">
        <v>610</v>
      </c>
      <c r="G73" s="15">
        <v>31</v>
      </c>
      <c r="H73" s="15">
        <v>8.43</v>
      </c>
      <c r="I73" s="15">
        <v>0.05082</v>
      </c>
      <c r="J73" s="15">
        <v>0.27</v>
      </c>
      <c r="K73" s="15">
        <v>13.82</v>
      </c>
      <c r="L73" s="15">
        <v>0</v>
      </c>
      <c r="M73" s="15">
        <v>0</v>
      </c>
      <c r="N73" s="15">
        <v>0</v>
      </c>
      <c r="O73" s="15">
        <v>0</v>
      </c>
      <c r="P73" s="15">
        <v>0</v>
      </c>
      <c r="Q73" s="15">
        <v>0</v>
      </c>
      <c r="R73" s="15">
        <v>0</v>
      </c>
      <c r="S73" s="15">
        <v>0</v>
      </c>
      <c r="T73" s="15">
        <v>0</v>
      </c>
      <c r="U73" s="15">
        <v>0</v>
      </c>
      <c r="V73" s="15">
        <v>0</v>
      </c>
      <c r="W73" s="15">
        <v>0</v>
      </c>
      <c r="X73" s="15">
        <v>0</v>
      </c>
      <c r="Y73" s="15">
        <v>0</v>
      </c>
      <c r="Z73" s="15">
        <v>0</v>
      </c>
      <c r="AA73" s="15"/>
      <c r="AB73" s="15">
        <v>2</v>
      </c>
      <c r="AC73" s="15">
        <v>0</v>
      </c>
      <c r="AD73" s="15">
        <v>2</v>
      </c>
      <c r="AE73" s="15">
        <v>0.06452</v>
      </c>
      <c r="AF73" s="15">
        <v>2</v>
      </c>
      <c r="AG73" s="15">
        <v>3</v>
      </c>
      <c r="AH73" s="15">
        <v>2.81</v>
      </c>
      <c r="AI73" s="15">
        <v>7</v>
      </c>
      <c r="AJ73" s="15">
        <v>1.2</v>
      </c>
      <c r="AK73" s="15">
        <v>4</v>
      </c>
      <c r="AL73" s="15">
        <v>2.11</v>
      </c>
      <c r="AM73" s="15">
        <v>5</v>
      </c>
      <c r="AN73" s="15">
        <v>4.22</v>
      </c>
      <c r="AO73" s="15">
        <v>0.06452</v>
      </c>
      <c r="AP73" s="15">
        <v>4.22</v>
      </c>
      <c r="AQ73" s="15">
        <v>0</v>
      </c>
      <c r="AR73" s="15">
        <v>0</v>
      </c>
      <c r="AS73" s="15">
        <v>0</v>
      </c>
      <c r="AT73" s="15">
        <v>2</v>
      </c>
      <c r="AU73" s="15">
        <v>0</v>
      </c>
      <c r="AV73" s="15">
        <v>0</v>
      </c>
      <c r="AW73" s="15">
        <v>0</v>
      </c>
      <c r="AX73" s="15">
        <v>1</v>
      </c>
      <c r="AY73" s="15">
        <v>125</v>
      </c>
      <c r="AZ73" s="15">
        <v>32</v>
      </c>
      <c r="BA73" s="15">
        <v>28</v>
      </c>
      <c r="BB73" s="15">
        <v>0.875</v>
      </c>
      <c r="BC73" s="15">
        <v>0</v>
      </c>
      <c r="BD73" s="15">
        <v>0</v>
      </c>
      <c r="BE73" s="15">
        <v>0.20492</v>
      </c>
      <c r="BF73" s="15">
        <v>92</v>
      </c>
      <c r="BG73" s="15">
        <v>4</v>
      </c>
      <c r="BH73" s="15">
        <v>0</v>
      </c>
      <c r="BI73" s="15"/>
      <c r="BJ73" s="15">
        <v>0</v>
      </c>
      <c r="BK73" s="15">
        <v>0</v>
      </c>
      <c r="BL73" s="15">
        <v>0</v>
      </c>
      <c r="BM73" s="15">
        <v>0</v>
      </c>
      <c r="BN73" s="15"/>
      <c r="BO73" s="15"/>
      <c r="BP73" s="15">
        <v>0.17</v>
      </c>
      <c r="BQ73" s="15">
        <v>11</v>
      </c>
      <c r="BR73" s="15">
        <v>0</v>
      </c>
      <c r="BS73" s="15">
        <v>0</v>
      </c>
      <c r="BT73" s="15">
        <v>0</v>
      </c>
      <c r="BU73" s="15">
        <v>0</v>
      </c>
      <c r="BV73" s="15">
        <v>0</v>
      </c>
      <c r="BW73" s="15">
        <v>0</v>
      </c>
      <c r="BX73" s="15">
        <v>0</v>
      </c>
    </row>
    <row r="74" spans="1:76">
      <c r="A74" s="14" t="str">
        <f>VLOOKUP(C74,VLOOKUP!A:B,2,FALSE)</f>
        <v>如意盘香</v>
      </c>
      <c r="B74" s="16">
        <v>46092</v>
      </c>
      <c r="C74" s="17">
        <v>838711327669</v>
      </c>
      <c r="D74" s="15" t="s">
        <v>151</v>
      </c>
      <c r="E74" s="15" t="s">
        <v>158</v>
      </c>
      <c r="F74" s="15">
        <v>817</v>
      </c>
      <c r="G74" s="15">
        <v>47</v>
      </c>
      <c r="H74" s="15">
        <v>77.6</v>
      </c>
      <c r="I74" s="15">
        <v>0.05753</v>
      </c>
      <c r="J74" s="15">
        <v>1.65</v>
      </c>
      <c r="K74" s="15">
        <v>94.98</v>
      </c>
      <c r="L74" s="15">
        <v>0</v>
      </c>
      <c r="M74" s="15">
        <v>0</v>
      </c>
      <c r="N74" s="15">
        <v>0</v>
      </c>
      <c r="O74" s="15">
        <v>0</v>
      </c>
      <c r="P74" s="15">
        <v>0</v>
      </c>
      <c r="Q74" s="15">
        <v>0</v>
      </c>
      <c r="R74" s="15">
        <v>0</v>
      </c>
      <c r="S74" s="15">
        <v>0</v>
      </c>
      <c r="T74" s="15">
        <v>0</v>
      </c>
      <c r="U74" s="15">
        <v>0</v>
      </c>
      <c r="V74" s="15">
        <v>0</v>
      </c>
      <c r="W74" s="15">
        <v>0</v>
      </c>
      <c r="X74" s="15">
        <v>0</v>
      </c>
      <c r="Y74" s="15">
        <v>0</v>
      </c>
      <c r="Z74" s="15">
        <v>0</v>
      </c>
      <c r="AA74" s="15"/>
      <c r="AB74" s="15">
        <v>10</v>
      </c>
      <c r="AC74" s="15">
        <v>2</v>
      </c>
      <c r="AD74" s="15">
        <v>8</v>
      </c>
      <c r="AE74" s="15">
        <v>0.21277</v>
      </c>
      <c r="AF74" s="15">
        <v>0</v>
      </c>
      <c r="AG74" s="15">
        <v>4</v>
      </c>
      <c r="AH74" s="15">
        <v>19.4</v>
      </c>
      <c r="AI74" s="15">
        <v>14</v>
      </c>
      <c r="AJ74" s="15">
        <v>5.54</v>
      </c>
      <c r="AK74" s="15">
        <v>10</v>
      </c>
      <c r="AL74" s="15">
        <v>7.76</v>
      </c>
      <c r="AM74" s="15">
        <v>4</v>
      </c>
      <c r="AN74" s="15"/>
      <c r="AO74" s="15">
        <v>0</v>
      </c>
      <c r="AP74" s="15">
        <v>7.76</v>
      </c>
      <c r="AQ74" s="15">
        <v>0</v>
      </c>
      <c r="AR74" s="15">
        <v>0</v>
      </c>
      <c r="AS74" s="15">
        <v>0</v>
      </c>
      <c r="AT74" s="15">
        <v>0</v>
      </c>
      <c r="AU74" s="15">
        <v>0</v>
      </c>
      <c r="AV74" s="15">
        <v>0</v>
      </c>
      <c r="AW74" s="15">
        <v>0</v>
      </c>
      <c r="AX74" s="15">
        <v>0</v>
      </c>
      <c r="AY74" s="15">
        <v>218</v>
      </c>
      <c r="AZ74" s="15">
        <v>44</v>
      </c>
      <c r="BA74" s="15">
        <v>34</v>
      </c>
      <c r="BB74" s="15">
        <v>0.77273</v>
      </c>
      <c r="BC74" s="15">
        <v>0</v>
      </c>
      <c r="BD74" s="15">
        <v>0</v>
      </c>
      <c r="BE74" s="15">
        <v>0.26683</v>
      </c>
      <c r="BF74" s="15">
        <v>170</v>
      </c>
      <c r="BG74" s="15">
        <v>5</v>
      </c>
      <c r="BH74" s="15">
        <v>0</v>
      </c>
      <c r="BI74" s="15"/>
      <c r="BJ74" s="15">
        <v>0</v>
      </c>
      <c r="BK74" s="15">
        <v>0</v>
      </c>
      <c r="BL74" s="15">
        <v>0</v>
      </c>
      <c r="BM74" s="15">
        <v>0</v>
      </c>
      <c r="BN74" s="15"/>
      <c r="BO74" s="15"/>
      <c r="BP74" s="15">
        <v>3.56</v>
      </c>
      <c r="BQ74" s="15">
        <v>95</v>
      </c>
      <c r="BR74" s="15">
        <v>0</v>
      </c>
      <c r="BS74" s="15">
        <v>0</v>
      </c>
      <c r="BT74" s="15">
        <v>0</v>
      </c>
      <c r="BU74" s="15">
        <v>0</v>
      </c>
      <c r="BV74" s="15">
        <v>0</v>
      </c>
      <c r="BW74" s="15">
        <v>0</v>
      </c>
      <c r="BX74" s="15">
        <v>0</v>
      </c>
    </row>
    <row r="75" spans="1:76">
      <c r="A75" s="14" t="str">
        <f>VLOOKUP(C75,VLOOKUP!A:B,2,FALSE)</f>
        <v>福颜青</v>
      </c>
      <c r="B75" s="16">
        <v>46092</v>
      </c>
      <c r="C75" s="17">
        <v>833369552621</v>
      </c>
      <c r="D75" s="15" t="s">
        <v>151</v>
      </c>
      <c r="E75" s="15" t="s">
        <v>154</v>
      </c>
      <c r="F75" s="15">
        <v>4421</v>
      </c>
      <c r="G75" s="15">
        <v>82</v>
      </c>
      <c r="H75" s="15">
        <v>24.8</v>
      </c>
      <c r="I75" s="15">
        <v>0.01855</v>
      </c>
      <c r="J75" s="15">
        <v>0.3</v>
      </c>
      <c r="K75" s="15">
        <v>5.61</v>
      </c>
      <c r="L75" s="15">
        <v>0</v>
      </c>
      <c r="M75" s="15">
        <v>0</v>
      </c>
      <c r="N75" s="15">
        <v>0</v>
      </c>
      <c r="O75" s="15">
        <v>0</v>
      </c>
      <c r="P75" s="15">
        <v>0</v>
      </c>
      <c r="Q75" s="15">
        <v>0</v>
      </c>
      <c r="R75" s="15">
        <v>0</v>
      </c>
      <c r="S75" s="15">
        <v>397.9</v>
      </c>
      <c r="T75" s="15">
        <v>397.9</v>
      </c>
      <c r="U75" s="15">
        <v>2</v>
      </c>
      <c r="V75" s="15">
        <v>0</v>
      </c>
      <c r="W75" s="15">
        <v>2</v>
      </c>
      <c r="X75" s="15">
        <v>0.02439</v>
      </c>
      <c r="Y75" s="15">
        <v>16.04</v>
      </c>
      <c r="Z75" s="15">
        <v>16.04</v>
      </c>
      <c r="AA75" s="15">
        <v>12.4</v>
      </c>
      <c r="AB75" s="15">
        <v>5</v>
      </c>
      <c r="AC75" s="15">
        <v>2</v>
      </c>
      <c r="AD75" s="15">
        <v>3</v>
      </c>
      <c r="AE75" s="15">
        <v>0.06098</v>
      </c>
      <c r="AF75" s="15">
        <v>0</v>
      </c>
      <c r="AG75" s="15">
        <v>0</v>
      </c>
      <c r="AH75" s="15"/>
      <c r="AI75" s="15">
        <v>5</v>
      </c>
      <c r="AJ75" s="15">
        <v>4.96</v>
      </c>
      <c r="AK75" s="15">
        <v>5</v>
      </c>
      <c r="AL75" s="15">
        <v>4.96</v>
      </c>
      <c r="AM75" s="15">
        <v>0</v>
      </c>
      <c r="AN75" s="15"/>
      <c r="AO75" s="15">
        <v>0</v>
      </c>
      <c r="AP75" s="15">
        <v>4.96</v>
      </c>
      <c r="AQ75" s="15">
        <v>4</v>
      </c>
      <c r="AR75" s="15">
        <v>559.8</v>
      </c>
      <c r="AS75" s="15">
        <v>0</v>
      </c>
      <c r="AT75" s="15">
        <v>0</v>
      </c>
      <c r="AU75" s="15">
        <v>0</v>
      </c>
      <c r="AV75" s="15">
        <v>0</v>
      </c>
      <c r="AW75" s="15">
        <v>0</v>
      </c>
      <c r="AX75" s="15">
        <v>1</v>
      </c>
      <c r="AY75" s="15">
        <v>231</v>
      </c>
      <c r="AZ75" s="15">
        <v>76</v>
      </c>
      <c r="BA75" s="15">
        <v>69</v>
      </c>
      <c r="BB75" s="15">
        <v>0.90789</v>
      </c>
      <c r="BC75" s="15">
        <v>0</v>
      </c>
      <c r="BD75" s="15">
        <v>0</v>
      </c>
      <c r="BE75" s="15">
        <v>0.05225</v>
      </c>
      <c r="BF75" s="15">
        <v>138</v>
      </c>
      <c r="BG75" s="15">
        <v>3</v>
      </c>
      <c r="BH75" s="15">
        <v>0</v>
      </c>
      <c r="BI75" s="15">
        <v>0</v>
      </c>
      <c r="BJ75" s="15">
        <v>0</v>
      </c>
      <c r="BK75" s="15">
        <v>0</v>
      </c>
      <c r="BL75" s="15">
        <v>0</v>
      </c>
      <c r="BM75" s="15">
        <v>1</v>
      </c>
      <c r="BN75" s="15">
        <v>2</v>
      </c>
      <c r="BO75" s="15">
        <v>397.9</v>
      </c>
      <c r="BP75" s="15">
        <v>2.35</v>
      </c>
      <c r="BQ75" s="15">
        <v>1065</v>
      </c>
      <c r="BR75" s="15">
        <v>0</v>
      </c>
      <c r="BS75" s="15">
        <v>0</v>
      </c>
      <c r="BT75" s="15">
        <v>0</v>
      </c>
      <c r="BU75" s="15">
        <v>0</v>
      </c>
      <c r="BV75" s="15">
        <v>0</v>
      </c>
      <c r="BW75" s="15">
        <v>0</v>
      </c>
      <c r="BX75" s="15">
        <v>0</v>
      </c>
    </row>
    <row r="76" spans="1:76">
      <c r="A76" s="14" t="str">
        <f>VLOOKUP(C76,VLOOKUP!A:B,2,FALSE)</f>
        <v>福到</v>
      </c>
      <c r="B76" s="16">
        <v>46091</v>
      </c>
      <c r="C76" s="17">
        <v>971856893567</v>
      </c>
      <c r="D76" s="15" t="s">
        <v>151</v>
      </c>
      <c r="E76" s="15" t="s">
        <v>152</v>
      </c>
      <c r="F76" s="15">
        <v>405</v>
      </c>
      <c r="G76" s="15">
        <v>19</v>
      </c>
      <c r="H76" s="15">
        <v>4.99</v>
      </c>
      <c r="I76" s="15">
        <v>0.04691</v>
      </c>
      <c r="J76" s="15">
        <v>0.26</v>
      </c>
      <c r="K76" s="15">
        <v>12.32</v>
      </c>
      <c r="L76" s="15">
        <v>0</v>
      </c>
      <c r="M76" s="15">
        <v>0</v>
      </c>
      <c r="N76" s="15">
        <v>0</v>
      </c>
      <c r="O76" s="15">
        <v>0</v>
      </c>
      <c r="P76" s="15">
        <v>0</v>
      </c>
      <c r="Q76" s="15">
        <v>0</v>
      </c>
      <c r="R76" s="15">
        <v>0</v>
      </c>
      <c r="S76" s="15">
        <v>0</v>
      </c>
      <c r="T76" s="15">
        <v>0</v>
      </c>
      <c r="U76" s="15">
        <v>0</v>
      </c>
      <c r="V76" s="15">
        <v>0</v>
      </c>
      <c r="W76" s="15">
        <v>0</v>
      </c>
      <c r="X76" s="15">
        <v>0</v>
      </c>
      <c r="Y76" s="15">
        <v>0</v>
      </c>
      <c r="Z76" s="15">
        <v>0</v>
      </c>
      <c r="AA76" s="15"/>
      <c r="AB76" s="15">
        <v>4</v>
      </c>
      <c r="AC76" s="15">
        <v>1</v>
      </c>
      <c r="AD76" s="15">
        <v>3</v>
      </c>
      <c r="AE76" s="15">
        <v>0.21053</v>
      </c>
      <c r="AF76" s="15">
        <v>2</v>
      </c>
      <c r="AG76" s="15">
        <v>1</v>
      </c>
      <c r="AH76" s="15">
        <v>4.99</v>
      </c>
      <c r="AI76" s="15">
        <v>7</v>
      </c>
      <c r="AJ76" s="15">
        <v>0.71</v>
      </c>
      <c r="AK76" s="15">
        <v>6</v>
      </c>
      <c r="AL76" s="15">
        <v>0.83</v>
      </c>
      <c r="AM76" s="15">
        <v>3</v>
      </c>
      <c r="AN76" s="15">
        <v>2.5</v>
      </c>
      <c r="AO76" s="15">
        <v>0.10526</v>
      </c>
      <c r="AP76" s="15">
        <v>1.25</v>
      </c>
      <c r="AQ76" s="15">
        <v>0</v>
      </c>
      <c r="AR76" s="15">
        <v>0</v>
      </c>
      <c r="AS76" s="15">
        <v>0</v>
      </c>
      <c r="AT76" s="15">
        <v>2</v>
      </c>
      <c r="AU76" s="15">
        <v>0</v>
      </c>
      <c r="AV76" s="15">
        <v>0</v>
      </c>
      <c r="AW76" s="15">
        <v>0</v>
      </c>
      <c r="AX76" s="15">
        <v>1</v>
      </c>
      <c r="AY76" s="15">
        <v>138</v>
      </c>
      <c r="AZ76" s="15">
        <v>17</v>
      </c>
      <c r="BA76" s="15">
        <v>16</v>
      </c>
      <c r="BB76" s="15">
        <v>0.94118</v>
      </c>
      <c r="BC76" s="15">
        <v>0</v>
      </c>
      <c r="BD76" s="15">
        <v>0</v>
      </c>
      <c r="BE76" s="15">
        <v>0.34074</v>
      </c>
      <c r="BF76" s="15">
        <v>119</v>
      </c>
      <c r="BG76" s="15">
        <v>8</v>
      </c>
      <c r="BH76" s="15">
        <v>0</v>
      </c>
      <c r="BI76" s="15"/>
      <c r="BJ76" s="15">
        <v>0</v>
      </c>
      <c r="BK76" s="15">
        <v>0</v>
      </c>
      <c r="BL76" s="15">
        <v>0</v>
      </c>
      <c r="BM76" s="15">
        <v>0</v>
      </c>
      <c r="BN76" s="15"/>
      <c r="BO76" s="15"/>
      <c r="BP76" s="15">
        <v>0.81</v>
      </c>
      <c r="BQ76" s="15">
        <v>584</v>
      </c>
      <c r="BR76" s="15">
        <v>0</v>
      </c>
      <c r="BS76" s="15">
        <v>0</v>
      </c>
      <c r="BT76" s="15">
        <v>0</v>
      </c>
      <c r="BU76" s="15">
        <v>0</v>
      </c>
      <c r="BV76" s="15">
        <v>0</v>
      </c>
      <c r="BW76" s="15">
        <v>0</v>
      </c>
      <c r="BX76" s="15">
        <v>0</v>
      </c>
    </row>
    <row r="77" spans="1:76">
      <c r="A77" s="14" t="str">
        <f>VLOOKUP(C77,VLOOKUP!A:B,2,FALSE)</f>
        <v>如意盘香</v>
      </c>
      <c r="B77" s="16">
        <v>46091</v>
      </c>
      <c r="C77" s="17">
        <v>838711327669</v>
      </c>
      <c r="D77" s="15" t="s">
        <v>151</v>
      </c>
      <c r="E77" s="15" t="s">
        <v>158</v>
      </c>
      <c r="F77" s="15">
        <v>754</v>
      </c>
      <c r="G77" s="15">
        <v>36</v>
      </c>
      <c r="H77" s="15">
        <v>80</v>
      </c>
      <c r="I77" s="15">
        <v>0.04775</v>
      </c>
      <c r="J77" s="15">
        <v>2.22</v>
      </c>
      <c r="K77" s="15">
        <v>106.1</v>
      </c>
      <c r="L77" s="15">
        <v>0</v>
      </c>
      <c r="M77" s="15">
        <v>0</v>
      </c>
      <c r="N77" s="15">
        <v>0</v>
      </c>
      <c r="O77" s="15">
        <v>0</v>
      </c>
      <c r="P77" s="15">
        <v>0</v>
      </c>
      <c r="Q77" s="15">
        <v>0</v>
      </c>
      <c r="R77" s="15">
        <v>0</v>
      </c>
      <c r="S77" s="15">
        <v>99</v>
      </c>
      <c r="T77" s="15">
        <v>99</v>
      </c>
      <c r="U77" s="15">
        <v>1</v>
      </c>
      <c r="V77" s="15">
        <v>0</v>
      </c>
      <c r="W77" s="15">
        <v>1</v>
      </c>
      <c r="X77" s="15">
        <v>0.02778</v>
      </c>
      <c r="Y77" s="15">
        <v>1.24</v>
      </c>
      <c r="Z77" s="15">
        <v>1.24</v>
      </c>
      <c r="AA77" s="15">
        <v>80</v>
      </c>
      <c r="AB77" s="15">
        <v>11</v>
      </c>
      <c r="AC77" s="15">
        <v>0</v>
      </c>
      <c r="AD77" s="15">
        <v>11</v>
      </c>
      <c r="AE77" s="15">
        <v>0.30556</v>
      </c>
      <c r="AF77" s="15">
        <v>1</v>
      </c>
      <c r="AG77" s="15">
        <v>0</v>
      </c>
      <c r="AH77" s="15"/>
      <c r="AI77" s="15">
        <v>12</v>
      </c>
      <c r="AJ77" s="15">
        <v>6.67</v>
      </c>
      <c r="AK77" s="15">
        <v>12</v>
      </c>
      <c r="AL77" s="15">
        <v>6.67</v>
      </c>
      <c r="AM77" s="15">
        <v>1</v>
      </c>
      <c r="AN77" s="15">
        <v>80</v>
      </c>
      <c r="AO77" s="15">
        <v>0.02778</v>
      </c>
      <c r="AP77" s="15">
        <v>7.27</v>
      </c>
      <c r="AQ77" s="15">
        <v>2</v>
      </c>
      <c r="AR77" s="15">
        <v>118</v>
      </c>
      <c r="AS77" s="15">
        <v>0</v>
      </c>
      <c r="AT77" s="15">
        <v>1</v>
      </c>
      <c r="AU77" s="15">
        <v>0</v>
      </c>
      <c r="AV77" s="15">
        <v>0</v>
      </c>
      <c r="AW77" s="15">
        <v>0</v>
      </c>
      <c r="AX77" s="15">
        <v>2</v>
      </c>
      <c r="AY77" s="15">
        <v>165</v>
      </c>
      <c r="AZ77" s="15">
        <v>33</v>
      </c>
      <c r="BA77" s="15">
        <v>20</v>
      </c>
      <c r="BB77" s="15">
        <v>0.60606</v>
      </c>
      <c r="BC77" s="15">
        <v>0</v>
      </c>
      <c r="BD77" s="15">
        <v>0</v>
      </c>
      <c r="BE77" s="15">
        <v>0.21883</v>
      </c>
      <c r="BF77" s="15">
        <v>126</v>
      </c>
      <c r="BG77" s="15">
        <v>5</v>
      </c>
      <c r="BH77" s="15">
        <v>0</v>
      </c>
      <c r="BI77" s="15">
        <v>0</v>
      </c>
      <c r="BJ77" s="15">
        <v>0</v>
      </c>
      <c r="BK77" s="15">
        <v>0</v>
      </c>
      <c r="BL77" s="15">
        <v>0</v>
      </c>
      <c r="BM77" s="15">
        <v>1</v>
      </c>
      <c r="BN77" s="15">
        <v>1</v>
      </c>
      <c r="BO77" s="15">
        <v>99</v>
      </c>
      <c r="BP77" s="15">
        <v>2.05</v>
      </c>
      <c r="BQ77" s="15">
        <v>282</v>
      </c>
      <c r="BR77" s="15">
        <v>0</v>
      </c>
      <c r="BS77" s="15">
        <v>0</v>
      </c>
      <c r="BT77" s="15">
        <v>0</v>
      </c>
      <c r="BU77" s="15">
        <v>0</v>
      </c>
      <c r="BV77" s="15">
        <v>0</v>
      </c>
      <c r="BW77" s="15">
        <v>0</v>
      </c>
      <c r="BX77" s="15">
        <v>0</v>
      </c>
    </row>
    <row r="78" spans="1:76">
      <c r="A78" s="14" t="str">
        <f>VLOOKUP(C78,VLOOKUP!A:B,2,FALSE)</f>
        <v>福颜青</v>
      </c>
      <c r="B78" s="16">
        <v>46091</v>
      </c>
      <c r="C78" s="17">
        <v>833369552621</v>
      </c>
      <c r="D78" s="15" t="s">
        <v>151</v>
      </c>
      <c r="E78" s="15" t="s">
        <v>154</v>
      </c>
      <c r="F78" s="15">
        <v>4725</v>
      </c>
      <c r="G78" s="15">
        <v>83</v>
      </c>
      <c r="H78" s="15">
        <v>24.1</v>
      </c>
      <c r="I78" s="15">
        <v>0.01757</v>
      </c>
      <c r="J78" s="15">
        <v>0.29</v>
      </c>
      <c r="K78" s="15">
        <v>5.1</v>
      </c>
      <c r="L78" s="15">
        <v>0</v>
      </c>
      <c r="M78" s="15">
        <v>0</v>
      </c>
      <c r="N78" s="15">
        <v>0</v>
      </c>
      <c r="O78" s="15">
        <v>0</v>
      </c>
      <c r="P78" s="15">
        <v>0</v>
      </c>
      <c r="Q78" s="15">
        <v>0</v>
      </c>
      <c r="R78" s="15">
        <v>0</v>
      </c>
      <c r="S78" s="15">
        <v>0</v>
      </c>
      <c r="T78" s="15">
        <v>0</v>
      </c>
      <c r="U78" s="15">
        <v>0</v>
      </c>
      <c r="V78" s="15">
        <v>0</v>
      </c>
      <c r="W78" s="15">
        <v>0</v>
      </c>
      <c r="X78" s="15">
        <v>0</v>
      </c>
      <c r="Y78" s="15">
        <v>0</v>
      </c>
      <c r="Z78" s="15">
        <v>0</v>
      </c>
      <c r="AA78" s="15"/>
      <c r="AB78" s="15">
        <v>3</v>
      </c>
      <c r="AC78" s="15">
        <v>0</v>
      </c>
      <c r="AD78" s="15">
        <v>3</v>
      </c>
      <c r="AE78" s="15">
        <v>0.03614</v>
      </c>
      <c r="AF78" s="15">
        <v>1</v>
      </c>
      <c r="AG78" s="15">
        <v>0</v>
      </c>
      <c r="AH78" s="15"/>
      <c r="AI78" s="15">
        <v>4</v>
      </c>
      <c r="AJ78" s="15">
        <v>6.03</v>
      </c>
      <c r="AK78" s="15">
        <v>4</v>
      </c>
      <c r="AL78" s="15">
        <v>6.03</v>
      </c>
      <c r="AM78" s="15">
        <v>1</v>
      </c>
      <c r="AN78" s="15">
        <v>24.1</v>
      </c>
      <c r="AO78" s="15">
        <v>0.01205</v>
      </c>
      <c r="AP78" s="15">
        <v>8.03</v>
      </c>
      <c r="AQ78" s="15">
        <v>0</v>
      </c>
      <c r="AR78" s="15">
        <v>0</v>
      </c>
      <c r="AS78" s="15">
        <v>0</v>
      </c>
      <c r="AT78" s="15">
        <v>1</v>
      </c>
      <c r="AU78" s="15">
        <v>0</v>
      </c>
      <c r="AV78" s="15">
        <v>0</v>
      </c>
      <c r="AW78" s="15">
        <v>0</v>
      </c>
      <c r="AX78" s="15">
        <v>1</v>
      </c>
      <c r="AY78" s="15">
        <v>205</v>
      </c>
      <c r="AZ78" s="15">
        <v>89</v>
      </c>
      <c r="BA78" s="15">
        <v>84</v>
      </c>
      <c r="BB78" s="15">
        <v>0.94382</v>
      </c>
      <c r="BC78" s="15">
        <v>0</v>
      </c>
      <c r="BD78" s="15">
        <v>0</v>
      </c>
      <c r="BE78" s="15">
        <v>0.04339</v>
      </c>
      <c r="BF78" s="15">
        <v>100</v>
      </c>
      <c r="BG78" s="15">
        <v>2</v>
      </c>
      <c r="BH78" s="15">
        <v>0</v>
      </c>
      <c r="BI78" s="15"/>
      <c r="BJ78" s="15">
        <v>0</v>
      </c>
      <c r="BK78" s="15">
        <v>0</v>
      </c>
      <c r="BL78" s="15">
        <v>0</v>
      </c>
      <c r="BM78" s="15">
        <v>0</v>
      </c>
      <c r="BN78" s="15"/>
      <c r="BO78" s="15"/>
      <c r="BP78" s="15">
        <v>0.31</v>
      </c>
      <c r="BQ78" s="15">
        <v>58</v>
      </c>
      <c r="BR78" s="15">
        <v>0</v>
      </c>
      <c r="BS78" s="15">
        <v>0</v>
      </c>
      <c r="BT78" s="15">
        <v>0</v>
      </c>
      <c r="BU78" s="15">
        <v>0</v>
      </c>
      <c r="BV78" s="15">
        <v>0</v>
      </c>
      <c r="BW78" s="15">
        <v>0</v>
      </c>
      <c r="BX78" s="15">
        <v>0</v>
      </c>
    </row>
    <row r="79" spans="1:76">
      <c r="A79" s="14" t="str">
        <f>VLOOKUP(C79,VLOOKUP!A:B,2,FALSE)</f>
        <v>福到</v>
      </c>
      <c r="B79" s="16">
        <v>46090</v>
      </c>
      <c r="C79" s="17">
        <v>971856893567</v>
      </c>
      <c r="D79" s="15" t="s">
        <v>151</v>
      </c>
      <c r="E79" s="15" t="s">
        <v>152</v>
      </c>
      <c r="F79" s="15">
        <v>323</v>
      </c>
      <c r="G79" s="15">
        <v>13</v>
      </c>
      <c r="H79" s="15">
        <v>3.73</v>
      </c>
      <c r="I79" s="15">
        <v>0.04025</v>
      </c>
      <c r="J79" s="15">
        <v>0.29</v>
      </c>
      <c r="K79" s="15">
        <v>11.55</v>
      </c>
      <c r="L79" s="15">
        <v>0</v>
      </c>
      <c r="M79" s="15">
        <v>0</v>
      </c>
      <c r="N79" s="15">
        <v>0</v>
      </c>
      <c r="O79" s="15">
        <v>0</v>
      </c>
      <c r="P79" s="15">
        <v>0</v>
      </c>
      <c r="Q79" s="15">
        <v>0</v>
      </c>
      <c r="R79" s="15">
        <v>0</v>
      </c>
      <c r="S79" s="15">
        <v>0</v>
      </c>
      <c r="T79" s="15">
        <v>0</v>
      </c>
      <c r="U79" s="15">
        <v>0</v>
      </c>
      <c r="V79" s="15">
        <v>0</v>
      </c>
      <c r="W79" s="15">
        <v>0</v>
      </c>
      <c r="X79" s="15">
        <v>0</v>
      </c>
      <c r="Y79" s="15">
        <v>0</v>
      </c>
      <c r="Z79" s="15">
        <v>0</v>
      </c>
      <c r="AA79" s="15"/>
      <c r="AB79" s="15">
        <v>4</v>
      </c>
      <c r="AC79" s="15">
        <v>1</v>
      </c>
      <c r="AD79" s="15">
        <v>3</v>
      </c>
      <c r="AE79" s="15">
        <v>0.30769</v>
      </c>
      <c r="AF79" s="15">
        <v>0</v>
      </c>
      <c r="AG79" s="15">
        <v>1</v>
      </c>
      <c r="AH79" s="15">
        <v>3.73</v>
      </c>
      <c r="AI79" s="15">
        <v>5</v>
      </c>
      <c r="AJ79" s="15">
        <v>0.75</v>
      </c>
      <c r="AK79" s="15">
        <v>4</v>
      </c>
      <c r="AL79" s="15">
        <v>0.93</v>
      </c>
      <c r="AM79" s="15">
        <v>1</v>
      </c>
      <c r="AN79" s="15"/>
      <c r="AO79" s="15">
        <v>0</v>
      </c>
      <c r="AP79" s="15">
        <v>0.93</v>
      </c>
      <c r="AQ79" s="15">
        <v>0</v>
      </c>
      <c r="AR79" s="15">
        <v>0</v>
      </c>
      <c r="AS79" s="15">
        <v>0</v>
      </c>
      <c r="AT79" s="15">
        <v>0</v>
      </c>
      <c r="AU79" s="15">
        <v>0</v>
      </c>
      <c r="AV79" s="15">
        <v>0</v>
      </c>
      <c r="AW79" s="15">
        <v>0</v>
      </c>
      <c r="AX79" s="15">
        <v>0</v>
      </c>
      <c r="AY79" s="15">
        <v>47</v>
      </c>
      <c r="AZ79" s="15">
        <v>13</v>
      </c>
      <c r="BA79" s="15">
        <v>12</v>
      </c>
      <c r="BB79" s="15">
        <v>0.92308</v>
      </c>
      <c r="BC79" s="15">
        <v>0</v>
      </c>
      <c r="BD79" s="15">
        <v>0</v>
      </c>
      <c r="BE79" s="15">
        <v>0.14551</v>
      </c>
      <c r="BF79" s="15">
        <v>33</v>
      </c>
      <c r="BG79" s="15">
        <v>4</v>
      </c>
      <c r="BH79" s="15">
        <v>0</v>
      </c>
      <c r="BI79" s="15"/>
      <c r="BJ79" s="15">
        <v>0</v>
      </c>
      <c r="BK79" s="15">
        <v>0</v>
      </c>
      <c r="BL79" s="15">
        <v>0</v>
      </c>
      <c r="BM79" s="15">
        <v>0</v>
      </c>
      <c r="BN79" s="15"/>
      <c r="BO79" s="15"/>
      <c r="BP79" s="15">
        <v>0</v>
      </c>
      <c r="BQ79" s="15">
        <v>356</v>
      </c>
      <c r="BR79" s="15">
        <v>0</v>
      </c>
      <c r="BS79" s="15">
        <v>0</v>
      </c>
      <c r="BT79" s="15">
        <v>0</v>
      </c>
      <c r="BU79" s="15">
        <v>0</v>
      </c>
      <c r="BV79" s="15">
        <v>0</v>
      </c>
      <c r="BW79" s="15">
        <v>0</v>
      </c>
      <c r="BX79" s="15">
        <v>0</v>
      </c>
    </row>
    <row r="80" spans="1:76">
      <c r="A80" s="14" t="str">
        <f>VLOOKUP(C80,VLOOKUP!A:B,2,FALSE)</f>
        <v>如意盘香</v>
      </c>
      <c r="B80" s="16">
        <v>46090</v>
      </c>
      <c r="C80" s="17">
        <v>838711327669</v>
      </c>
      <c r="D80" s="15" t="s">
        <v>151</v>
      </c>
      <c r="E80" s="15" t="s">
        <v>158</v>
      </c>
      <c r="F80" s="15">
        <v>701</v>
      </c>
      <c r="G80" s="15">
        <v>28</v>
      </c>
      <c r="H80" s="15">
        <v>80</v>
      </c>
      <c r="I80" s="15">
        <v>0.03994</v>
      </c>
      <c r="J80" s="15">
        <v>2.86</v>
      </c>
      <c r="K80" s="15">
        <v>114.12</v>
      </c>
      <c r="L80" s="15">
        <v>0</v>
      </c>
      <c r="M80" s="15">
        <v>0</v>
      </c>
      <c r="N80" s="15">
        <v>0</v>
      </c>
      <c r="O80" s="15">
        <v>0</v>
      </c>
      <c r="P80" s="15">
        <v>0</v>
      </c>
      <c r="Q80" s="15">
        <v>0</v>
      </c>
      <c r="R80" s="15">
        <v>0</v>
      </c>
      <c r="S80" s="15">
        <v>0</v>
      </c>
      <c r="T80" s="15">
        <v>0</v>
      </c>
      <c r="U80" s="15">
        <v>0</v>
      </c>
      <c r="V80" s="15">
        <v>0</v>
      </c>
      <c r="W80" s="15">
        <v>0</v>
      </c>
      <c r="X80" s="15">
        <v>0</v>
      </c>
      <c r="Y80" s="15">
        <v>0</v>
      </c>
      <c r="Z80" s="15">
        <v>0</v>
      </c>
      <c r="AA80" s="15"/>
      <c r="AB80" s="15">
        <v>10</v>
      </c>
      <c r="AC80" s="15">
        <v>0</v>
      </c>
      <c r="AD80" s="15">
        <v>10</v>
      </c>
      <c r="AE80" s="15">
        <v>0.35714</v>
      </c>
      <c r="AF80" s="15">
        <v>0</v>
      </c>
      <c r="AG80" s="15">
        <v>2</v>
      </c>
      <c r="AH80" s="15">
        <v>40</v>
      </c>
      <c r="AI80" s="15">
        <v>12</v>
      </c>
      <c r="AJ80" s="15">
        <v>6.67</v>
      </c>
      <c r="AK80" s="15">
        <v>10</v>
      </c>
      <c r="AL80" s="15">
        <v>8</v>
      </c>
      <c r="AM80" s="15">
        <v>2</v>
      </c>
      <c r="AN80" s="15"/>
      <c r="AO80" s="15">
        <v>0</v>
      </c>
      <c r="AP80" s="15">
        <v>8</v>
      </c>
      <c r="AQ80" s="15">
        <v>0</v>
      </c>
      <c r="AR80" s="15">
        <v>0</v>
      </c>
      <c r="AS80" s="15">
        <v>0</v>
      </c>
      <c r="AT80" s="15">
        <v>0</v>
      </c>
      <c r="AU80" s="15">
        <v>0</v>
      </c>
      <c r="AV80" s="15">
        <v>0</v>
      </c>
      <c r="AW80" s="15">
        <v>0</v>
      </c>
      <c r="AX80" s="15">
        <v>0</v>
      </c>
      <c r="AY80" s="15">
        <v>132</v>
      </c>
      <c r="AZ80" s="15">
        <v>24</v>
      </c>
      <c r="BA80" s="15">
        <v>21</v>
      </c>
      <c r="BB80" s="15">
        <v>0.875</v>
      </c>
      <c r="BC80" s="15">
        <v>0</v>
      </c>
      <c r="BD80" s="15">
        <v>0</v>
      </c>
      <c r="BE80" s="15">
        <v>0.1883</v>
      </c>
      <c r="BF80" s="15">
        <v>103</v>
      </c>
      <c r="BG80" s="15">
        <v>6</v>
      </c>
      <c r="BH80" s="15">
        <v>0</v>
      </c>
      <c r="BI80" s="15"/>
      <c r="BJ80" s="15">
        <v>0</v>
      </c>
      <c r="BK80" s="15">
        <v>0</v>
      </c>
      <c r="BL80" s="15">
        <v>0</v>
      </c>
      <c r="BM80" s="15">
        <v>0</v>
      </c>
      <c r="BN80" s="15"/>
      <c r="BO80" s="15"/>
      <c r="BP80" s="15">
        <v>1.47</v>
      </c>
      <c r="BQ80" s="15">
        <v>21</v>
      </c>
      <c r="BR80" s="15">
        <v>0</v>
      </c>
      <c r="BS80" s="15">
        <v>0</v>
      </c>
      <c r="BT80" s="15">
        <v>0</v>
      </c>
      <c r="BU80" s="15">
        <v>0</v>
      </c>
      <c r="BV80" s="15">
        <v>0</v>
      </c>
      <c r="BW80" s="15">
        <v>0</v>
      </c>
      <c r="BX80" s="15">
        <v>0</v>
      </c>
    </row>
    <row r="81" spans="1:76">
      <c r="A81" s="14" t="str">
        <f>VLOOKUP(C81,VLOOKUP!A:B,2,FALSE)</f>
        <v>福颜青</v>
      </c>
      <c r="B81" s="16">
        <v>46090</v>
      </c>
      <c r="C81" s="17">
        <v>833369552621</v>
      </c>
      <c r="D81" s="15" t="s">
        <v>151</v>
      </c>
      <c r="E81" s="15" t="s">
        <v>154</v>
      </c>
      <c r="F81" s="15">
        <v>4626</v>
      </c>
      <c r="G81" s="15">
        <v>107</v>
      </c>
      <c r="H81" s="15">
        <v>29.79</v>
      </c>
      <c r="I81" s="15">
        <v>0.02313</v>
      </c>
      <c r="J81" s="15">
        <v>0.28</v>
      </c>
      <c r="K81" s="15">
        <v>6.44</v>
      </c>
      <c r="L81" s="15">
        <v>0</v>
      </c>
      <c r="M81" s="15">
        <v>0</v>
      </c>
      <c r="N81" s="15">
        <v>0</v>
      </c>
      <c r="O81" s="15">
        <v>0</v>
      </c>
      <c r="P81" s="15">
        <v>0</v>
      </c>
      <c r="Q81" s="15">
        <v>0</v>
      </c>
      <c r="R81" s="15">
        <v>0</v>
      </c>
      <c r="S81" s="15">
        <v>0</v>
      </c>
      <c r="T81" s="15">
        <v>0</v>
      </c>
      <c r="U81" s="15">
        <v>0</v>
      </c>
      <c r="V81" s="15">
        <v>0</v>
      </c>
      <c r="W81" s="15">
        <v>0</v>
      </c>
      <c r="X81" s="15">
        <v>0</v>
      </c>
      <c r="Y81" s="15">
        <v>0</v>
      </c>
      <c r="Z81" s="15">
        <v>0</v>
      </c>
      <c r="AA81" s="15"/>
      <c r="AB81" s="15">
        <v>5</v>
      </c>
      <c r="AC81" s="15">
        <v>0</v>
      </c>
      <c r="AD81" s="15">
        <v>5</v>
      </c>
      <c r="AE81" s="15">
        <v>0.04673</v>
      </c>
      <c r="AF81" s="15">
        <v>0</v>
      </c>
      <c r="AG81" s="15">
        <v>1</v>
      </c>
      <c r="AH81" s="15">
        <v>29.79</v>
      </c>
      <c r="AI81" s="15">
        <v>6</v>
      </c>
      <c r="AJ81" s="15">
        <v>4.97</v>
      </c>
      <c r="AK81" s="15">
        <v>5</v>
      </c>
      <c r="AL81" s="15">
        <v>5.96</v>
      </c>
      <c r="AM81" s="15">
        <v>1</v>
      </c>
      <c r="AN81" s="15"/>
      <c r="AO81" s="15">
        <v>0</v>
      </c>
      <c r="AP81" s="15">
        <v>5.96</v>
      </c>
      <c r="AQ81" s="15">
        <v>0</v>
      </c>
      <c r="AR81" s="15">
        <v>0</v>
      </c>
      <c r="AS81" s="15">
        <v>0</v>
      </c>
      <c r="AT81" s="15">
        <v>0</v>
      </c>
      <c r="AU81" s="15">
        <v>0</v>
      </c>
      <c r="AV81" s="15">
        <v>0</v>
      </c>
      <c r="AW81" s="15">
        <v>0</v>
      </c>
      <c r="AX81" s="15">
        <v>0</v>
      </c>
      <c r="AY81" s="15">
        <v>287</v>
      </c>
      <c r="AZ81" s="15">
        <v>89</v>
      </c>
      <c r="BA81" s="15">
        <v>77</v>
      </c>
      <c r="BB81" s="15">
        <v>0.86517</v>
      </c>
      <c r="BC81" s="15">
        <v>0</v>
      </c>
      <c r="BD81" s="15">
        <v>0</v>
      </c>
      <c r="BE81" s="15">
        <v>0.06204</v>
      </c>
      <c r="BF81" s="15">
        <v>180</v>
      </c>
      <c r="BG81" s="15">
        <v>3</v>
      </c>
      <c r="BH81" s="15">
        <v>0</v>
      </c>
      <c r="BI81" s="15"/>
      <c r="BJ81" s="15">
        <v>0</v>
      </c>
      <c r="BK81" s="15">
        <v>0</v>
      </c>
      <c r="BL81" s="15">
        <v>0</v>
      </c>
      <c r="BM81" s="15">
        <v>0</v>
      </c>
      <c r="BN81" s="15"/>
      <c r="BO81" s="15"/>
      <c r="BP81" s="15">
        <v>0.4</v>
      </c>
      <c r="BQ81" s="15">
        <v>7</v>
      </c>
      <c r="BR81" s="15">
        <v>0</v>
      </c>
      <c r="BS81" s="15">
        <v>0</v>
      </c>
      <c r="BT81" s="15">
        <v>0</v>
      </c>
      <c r="BU81" s="15">
        <v>0</v>
      </c>
      <c r="BV81" s="15">
        <v>0</v>
      </c>
      <c r="BW81" s="15">
        <v>0</v>
      </c>
      <c r="BX81" s="15">
        <v>0</v>
      </c>
    </row>
    <row r="82" spans="1:76">
      <c r="A82" s="14" t="str">
        <f>VLOOKUP(C82,VLOOKUP!A:B,2,FALSE)</f>
        <v>福到</v>
      </c>
      <c r="B82" s="16">
        <v>46089</v>
      </c>
      <c r="C82" s="17">
        <v>971856893567</v>
      </c>
      <c r="D82" s="15" t="s">
        <v>151</v>
      </c>
      <c r="E82" s="15" t="s">
        <v>152</v>
      </c>
      <c r="F82" s="15">
        <v>421</v>
      </c>
      <c r="G82" s="15">
        <v>19</v>
      </c>
      <c r="H82" s="15">
        <v>5.14</v>
      </c>
      <c r="I82" s="15">
        <v>0.04513</v>
      </c>
      <c r="J82" s="15">
        <v>0.27</v>
      </c>
      <c r="K82" s="15">
        <v>12.21</v>
      </c>
      <c r="L82" s="15">
        <v>0</v>
      </c>
      <c r="M82" s="15">
        <v>0</v>
      </c>
      <c r="N82" s="15">
        <v>0</v>
      </c>
      <c r="O82" s="15">
        <v>0</v>
      </c>
      <c r="P82" s="15">
        <v>0</v>
      </c>
      <c r="Q82" s="15">
        <v>0</v>
      </c>
      <c r="R82" s="15">
        <v>0</v>
      </c>
      <c r="S82" s="15">
        <v>0</v>
      </c>
      <c r="T82" s="15">
        <v>0</v>
      </c>
      <c r="U82" s="15">
        <v>0</v>
      </c>
      <c r="V82" s="15">
        <v>0</v>
      </c>
      <c r="W82" s="15">
        <v>0</v>
      </c>
      <c r="X82" s="15">
        <v>0</v>
      </c>
      <c r="Y82" s="15">
        <v>0</v>
      </c>
      <c r="Z82" s="15">
        <v>0</v>
      </c>
      <c r="AA82" s="15"/>
      <c r="AB82" s="15">
        <v>6</v>
      </c>
      <c r="AC82" s="15">
        <v>0</v>
      </c>
      <c r="AD82" s="15">
        <v>6</v>
      </c>
      <c r="AE82" s="15">
        <v>0.31579</v>
      </c>
      <c r="AF82" s="15">
        <v>0</v>
      </c>
      <c r="AG82" s="15">
        <v>2</v>
      </c>
      <c r="AH82" s="15">
        <v>2.57</v>
      </c>
      <c r="AI82" s="15">
        <v>8</v>
      </c>
      <c r="AJ82" s="15">
        <v>0.64</v>
      </c>
      <c r="AK82" s="15">
        <v>6</v>
      </c>
      <c r="AL82" s="15">
        <v>0.86</v>
      </c>
      <c r="AM82" s="15">
        <v>2</v>
      </c>
      <c r="AN82" s="15"/>
      <c r="AO82" s="15">
        <v>0</v>
      </c>
      <c r="AP82" s="15">
        <v>0.86</v>
      </c>
      <c r="AQ82" s="15">
        <v>0</v>
      </c>
      <c r="AR82" s="15">
        <v>0</v>
      </c>
      <c r="AS82" s="15">
        <v>0</v>
      </c>
      <c r="AT82" s="15">
        <v>0</v>
      </c>
      <c r="AU82" s="15">
        <v>0</v>
      </c>
      <c r="AV82" s="15">
        <v>0</v>
      </c>
      <c r="AW82" s="15">
        <v>0</v>
      </c>
      <c r="AX82" s="15">
        <v>0</v>
      </c>
      <c r="AY82" s="15">
        <v>138</v>
      </c>
      <c r="AZ82" s="15">
        <v>20</v>
      </c>
      <c r="BA82" s="15">
        <v>18</v>
      </c>
      <c r="BB82" s="15">
        <v>0.9</v>
      </c>
      <c r="BC82" s="15">
        <v>0</v>
      </c>
      <c r="BD82" s="15">
        <v>0</v>
      </c>
      <c r="BE82" s="15">
        <v>0.32779</v>
      </c>
      <c r="BF82" s="15">
        <v>118</v>
      </c>
      <c r="BG82" s="15">
        <v>7</v>
      </c>
      <c r="BH82" s="15">
        <v>0</v>
      </c>
      <c r="BI82" s="15"/>
      <c r="BJ82" s="15">
        <v>0</v>
      </c>
      <c r="BK82" s="15">
        <v>0</v>
      </c>
      <c r="BL82" s="15">
        <v>0</v>
      </c>
      <c r="BM82" s="15">
        <v>0</v>
      </c>
      <c r="BN82" s="15"/>
      <c r="BO82" s="15"/>
      <c r="BP82" s="15">
        <v>0.44</v>
      </c>
      <c r="BQ82" s="15">
        <v>66</v>
      </c>
      <c r="BR82" s="15">
        <v>0</v>
      </c>
      <c r="BS82" s="15">
        <v>0</v>
      </c>
      <c r="BT82" s="15">
        <v>0</v>
      </c>
      <c r="BU82" s="15">
        <v>0</v>
      </c>
      <c r="BV82" s="15">
        <v>0</v>
      </c>
      <c r="BW82" s="15">
        <v>0</v>
      </c>
      <c r="BX82" s="15">
        <v>0</v>
      </c>
    </row>
    <row r="83" spans="1:76">
      <c r="A83" s="14" t="str">
        <f>VLOOKUP(C83,VLOOKUP!A:B,2,FALSE)</f>
        <v>如意盘香</v>
      </c>
      <c r="B83" s="16">
        <v>46089</v>
      </c>
      <c r="C83" s="17">
        <v>838711327669</v>
      </c>
      <c r="D83" s="15" t="s">
        <v>151</v>
      </c>
      <c r="E83" s="15" t="s">
        <v>158</v>
      </c>
      <c r="F83" s="15">
        <v>404</v>
      </c>
      <c r="G83" s="15">
        <v>28</v>
      </c>
      <c r="H83" s="15">
        <v>80</v>
      </c>
      <c r="I83" s="15">
        <v>0.06931</v>
      </c>
      <c r="J83" s="15">
        <v>2.86</v>
      </c>
      <c r="K83" s="15">
        <v>198.02</v>
      </c>
      <c r="L83" s="15">
        <v>0</v>
      </c>
      <c r="M83" s="15">
        <v>0</v>
      </c>
      <c r="N83" s="15">
        <v>0</v>
      </c>
      <c r="O83" s="15">
        <v>0</v>
      </c>
      <c r="P83" s="15">
        <v>0</v>
      </c>
      <c r="Q83" s="15">
        <v>0</v>
      </c>
      <c r="R83" s="15">
        <v>0</v>
      </c>
      <c r="S83" s="15">
        <v>457.04</v>
      </c>
      <c r="T83" s="15">
        <v>457.04</v>
      </c>
      <c r="U83" s="15">
        <v>2</v>
      </c>
      <c r="V83" s="15">
        <v>0</v>
      </c>
      <c r="W83" s="15">
        <v>2</v>
      </c>
      <c r="X83" s="15">
        <v>0.07143</v>
      </c>
      <c r="Y83" s="15">
        <v>5.71</v>
      </c>
      <c r="Z83" s="15">
        <v>5.71</v>
      </c>
      <c r="AA83" s="15">
        <v>40</v>
      </c>
      <c r="AB83" s="15">
        <v>17</v>
      </c>
      <c r="AC83" s="15">
        <v>1</v>
      </c>
      <c r="AD83" s="15">
        <v>16</v>
      </c>
      <c r="AE83" s="15">
        <v>0.60714</v>
      </c>
      <c r="AF83" s="15">
        <v>0</v>
      </c>
      <c r="AG83" s="15">
        <v>2</v>
      </c>
      <c r="AH83" s="15">
        <v>40</v>
      </c>
      <c r="AI83" s="15">
        <v>19</v>
      </c>
      <c r="AJ83" s="15">
        <v>4.21</v>
      </c>
      <c r="AK83" s="15">
        <v>17</v>
      </c>
      <c r="AL83" s="15">
        <v>4.71</v>
      </c>
      <c r="AM83" s="15">
        <v>2</v>
      </c>
      <c r="AN83" s="15"/>
      <c r="AO83" s="15">
        <v>0</v>
      </c>
      <c r="AP83" s="15">
        <v>4.71</v>
      </c>
      <c r="AQ83" s="15">
        <v>4</v>
      </c>
      <c r="AR83" s="15">
        <v>811.9</v>
      </c>
      <c r="AS83" s="15">
        <v>0</v>
      </c>
      <c r="AT83" s="15">
        <v>0</v>
      </c>
      <c r="AU83" s="15">
        <v>0</v>
      </c>
      <c r="AV83" s="15">
        <v>0</v>
      </c>
      <c r="AW83" s="15">
        <v>0</v>
      </c>
      <c r="AX83" s="15">
        <v>0</v>
      </c>
      <c r="AY83" s="15">
        <v>188</v>
      </c>
      <c r="AZ83" s="15">
        <v>27</v>
      </c>
      <c r="BA83" s="15">
        <v>21</v>
      </c>
      <c r="BB83" s="15">
        <v>0.77778</v>
      </c>
      <c r="BC83" s="15">
        <v>0</v>
      </c>
      <c r="BD83" s="15">
        <v>0</v>
      </c>
      <c r="BE83" s="15">
        <v>0.46535</v>
      </c>
      <c r="BF83" s="15">
        <v>159</v>
      </c>
      <c r="BG83" s="15">
        <v>7</v>
      </c>
      <c r="BH83" s="15">
        <v>2</v>
      </c>
      <c r="BI83" s="15">
        <v>1</v>
      </c>
      <c r="BJ83" s="15">
        <v>0</v>
      </c>
      <c r="BK83" s="15">
        <v>0</v>
      </c>
      <c r="BL83" s="15">
        <v>0</v>
      </c>
      <c r="BM83" s="15">
        <v>2</v>
      </c>
      <c r="BN83" s="15">
        <v>1</v>
      </c>
      <c r="BO83" s="15">
        <v>228.52</v>
      </c>
      <c r="BP83" s="15">
        <v>82.2</v>
      </c>
      <c r="BQ83" s="15">
        <v>173</v>
      </c>
      <c r="BR83" s="15">
        <v>0</v>
      </c>
      <c r="BS83" s="15">
        <v>0</v>
      </c>
      <c r="BT83" s="15">
        <v>0</v>
      </c>
      <c r="BU83" s="15">
        <v>0</v>
      </c>
      <c r="BV83" s="15">
        <v>0</v>
      </c>
      <c r="BW83" s="15">
        <v>0</v>
      </c>
      <c r="BX83" s="15">
        <v>0</v>
      </c>
    </row>
    <row r="84" spans="1:76">
      <c r="A84" s="14" t="str">
        <f>VLOOKUP(C84,VLOOKUP!A:B,2,FALSE)</f>
        <v>福颜青</v>
      </c>
      <c r="B84" s="16">
        <v>46089</v>
      </c>
      <c r="C84" s="17">
        <v>833369552621</v>
      </c>
      <c r="D84" s="15" t="s">
        <v>151</v>
      </c>
      <c r="E84" s="15" t="s">
        <v>154</v>
      </c>
      <c r="F84" s="15">
        <v>4655</v>
      </c>
      <c r="G84" s="15">
        <v>100</v>
      </c>
      <c r="H84" s="15">
        <v>29.31</v>
      </c>
      <c r="I84" s="15">
        <v>0.02148</v>
      </c>
      <c r="J84" s="15">
        <v>0.29</v>
      </c>
      <c r="K84" s="15">
        <v>6.3</v>
      </c>
      <c r="L84" s="15">
        <v>0</v>
      </c>
      <c r="M84" s="15">
        <v>0</v>
      </c>
      <c r="N84" s="15">
        <v>0</v>
      </c>
      <c r="O84" s="15">
        <v>0</v>
      </c>
      <c r="P84" s="15">
        <v>0</v>
      </c>
      <c r="Q84" s="15">
        <v>0</v>
      </c>
      <c r="R84" s="15">
        <v>0</v>
      </c>
      <c r="S84" s="15">
        <v>0</v>
      </c>
      <c r="T84" s="15">
        <v>0</v>
      </c>
      <c r="U84" s="15">
        <v>0</v>
      </c>
      <c r="V84" s="15">
        <v>0</v>
      </c>
      <c r="W84" s="15">
        <v>0</v>
      </c>
      <c r="X84" s="15">
        <v>0</v>
      </c>
      <c r="Y84" s="15">
        <v>0</v>
      </c>
      <c r="Z84" s="15">
        <v>0</v>
      </c>
      <c r="AA84" s="15"/>
      <c r="AB84" s="15">
        <v>6</v>
      </c>
      <c r="AC84" s="15">
        <v>2</v>
      </c>
      <c r="AD84" s="15">
        <v>4</v>
      </c>
      <c r="AE84" s="15">
        <v>0.06</v>
      </c>
      <c r="AF84" s="15">
        <v>2</v>
      </c>
      <c r="AG84" s="15">
        <v>2</v>
      </c>
      <c r="AH84" s="15">
        <v>14.66</v>
      </c>
      <c r="AI84" s="15">
        <v>10</v>
      </c>
      <c r="AJ84" s="15">
        <v>2.93</v>
      </c>
      <c r="AK84" s="15">
        <v>8</v>
      </c>
      <c r="AL84" s="15">
        <v>3.66</v>
      </c>
      <c r="AM84" s="15">
        <v>4</v>
      </c>
      <c r="AN84" s="15">
        <v>14.66</v>
      </c>
      <c r="AO84" s="15">
        <v>0.02</v>
      </c>
      <c r="AP84" s="15">
        <v>4.89</v>
      </c>
      <c r="AQ84" s="15">
        <v>0</v>
      </c>
      <c r="AR84" s="15">
        <v>0</v>
      </c>
      <c r="AS84" s="15">
        <v>1</v>
      </c>
      <c r="AT84" s="15">
        <v>1</v>
      </c>
      <c r="AU84" s="15">
        <v>0</v>
      </c>
      <c r="AV84" s="15">
        <v>0</v>
      </c>
      <c r="AW84" s="15">
        <v>0</v>
      </c>
      <c r="AX84" s="15">
        <v>0</v>
      </c>
      <c r="AY84" s="15">
        <v>319</v>
      </c>
      <c r="AZ84" s="15">
        <v>105</v>
      </c>
      <c r="BA84" s="15">
        <v>99</v>
      </c>
      <c r="BB84" s="15">
        <v>0.94286</v>
      </c>
      <c r="BC84" s="15">
        <v>0</v>
      </c>
      <c r="BD84" s="15">
        <v>0</v>
      </c>
      <c r="BE84" s="15">
        <v>0.06853</v>
      </c>
      <c r="BF84" s="15">
        <v>182</v>
      </c>
      <c r="BG84" s="15">
        <v>3</v>
      </c>
      <c r="BH84" s="15">
        <v>0</v>
      </c>
      <c r="BI84" s="15"/>
      <c r="BJ84" s="15">
        <v>0</v>
      </c>
      <c r="BK84" s="15">
        <v>0</v>
      </c>
      <c r="BL84" s="15">
        <v>0</v>
      </c>
      <c r="BM84" s="15">
        <v>0</v>
      </c>
      <c r="BN84" s="15"/>
      <c r="BO84" s="15"/>
      <c r="BP84" s="15">
        <v>0.63</v>
      </c>
      <c r="BQ84" s="15">
        <v>2346</v>
      </c>
      <c r="BR84" s="15">
        <v>0</v>
      </c>
      <c r="BS84" s="15">
        <v>0</v>
      </c>
      <c r="BT84" s="15">
        <v>0</v>
      </c>
      <c r="BU84" s="15">
        <v>0</v>
      </c>
      <c r="BV84" s="15">
        <v>0</v>
      </c>
      <c r="BW84" s="15">
        <v>0</v>
      </c>
      <c r="BX84" s="15">
        <v>0</v>
      </c>
    </row>
    <row r="85" spans="1:76">
      <c r="A85" s="14" t="str">
        <f>VLOOKUP(C85,VLOOKUP!A:B,2,FALSE)</f>
        <v>福到</v>
      </c>
      <c r="B85" s="16">
        <v>46088</v>
      </c>
      <c r="C85" s="17">
        <v>971856893567</v>
      </c>
      <c r="D85" s="15" t="s">
        <v>151</v>
      </c>
      <c r="E85" s="15" t="s">
        <v>152</v>
      </c>
      <c r="F85" s="15">
        <v>474</v>
      </c>
      <c r="G85" s="15">
        <v>18</v>
      </c>
      <c r="H85" s="15">
        <v>5.02</v>
      </c>
      <c r="I85" s="15">
        <v>0.03797</v>
      </c>
      <c r="J85" s="15">
        <v>0.28</v>
      </c>
      <c r="K85" s="15">
        <v>10.59</v>
      </c>
      <c r="L85" s="15">
        <v>0</v>
      </c>
      <c r="M85" s="15">
        <v>0</v>
      </c>
      <c r="N85" s="15">
        <v>0</v>
      </c>
      <c r="O85" s="15">
        <v>0</v>
      </c>
      <c r="P85" s="15">
        <v>0</v>
      </c>
      <c r="Q85" s="15">
        <v>0</v>
      </c>
      <c r="R85" s="15">
        <v>0</v>
      </c>
      <c r="S85" s="15">
        <v>0</v>
      </c>
      <c r="T85" s="15">
        <v>0</v>
      </c>
      <c r="U85" s="15">
        <v>0</v>
      </c>
      <c r="V85" s="15">
        <v>0</v>
      </c>
      <c r="W85" s="15">
        <v>0</v>
      </c>
      <c r="X85" s="15">
        <v>0</v>
      </c>
      <c r="Y85" s="15">
        <v>0</v>
      </c>
      <c r="Z85" s="15">
        <v>0</v>
      </c>
      <c r="AA85" s="15"/>
      <c r="AB85" s="15">
        <v>1</v>
      </c>
      <c r="AC85" s="15">
        <v>1</v>
      </c>
      <c r="AD85" s="15">
        <v>0</v>
      </c>
      <c r="AE85" s="15">
        <v>0.05556</v>
      </c>
      <c r="AF85" s="15">
        <v>0</v>
      </c>
      <c r="AG85" s="15">
        <v>1</v>
      </c>
      <c r="AH85" s="15">
        <v>5.02</v>
      </c>
      <c r="AI85" s="15">
        <v>2</v>
      </c>
      <c r="AJ85" s="15">
        <v>2.51</v>
      </c>
      <c r="AK85" s="15">
        <v>1</v>
      </c>
      <c r="AL85" s="15">
        <v>5.02</v>
      </c>
      <c r="AM85" s="15">
        <v>1</v>
      </c>
      <c r="AN85" s="15"/>
      <c r="AO85" s="15">
        <v>0</v>
      </c>
      <c r="AP85" s="15">
        <v>5.02</v>
      </c>
      <c r="AQ85" s="15">
        <v>0</v>
      </c>
      <c r="AR85" s="15">
        <v>0</v>
      </c>
      <c r="AS85" s="15">
        <v>0</v>
      </c>
      <c r="AT85" s="15">
        <v>0</v>
      </c>
      <c r="AU85" s="15">
        <v>0</v>
      </c>
      <c r="AV85" s="15">
        <v>0</v>
      </c>
      <c r="AW85" s="15">
        <v>0</v>
      </c>
      <c r="AX85" s="15">
        <v>0</v>
      </c>
      <c r="AY85" s="15">
        <v>99</v>
      </c>
      <c r="AZ85" s="15">
        <v>15</v>
      </c>
      <c r="BA85" s="15">
        <v>10</v>
      </c>
      <c r="BB85" s="15">
        <v>0.66667</v>
      </c>
      <c r="BC85" s="15">
        <v>0</v>
      </c>
      <c r="BD85" s="15">
        <v>0</v>
      </c>
      <c r="BE85" s="15">
        <v>0.20886</v>
      </c>
      <c r="BF85" s="15">
        <v>81</v>
      </c>
      <c r="BG85" s="15">
        <v>7</v>
      </c>
      <c r="BH85" s="15">
        <v>0</v>
      </c>
      <c r="BI85" s="15"/>
      <c r="BJ85" s="15">
        <v>0</v>
      </c>
      <c r="BK85" s="15">
        <v>0</v>
      </c>
      <c r="BL85" s="15">
        <v>0</v>
      </c>
      <c r="BM85" s="15">
        <v>0</v>
      </c>
      <c r="BN85" s="15"/>
      <c r="BO85" s="15"/>
      <c r="BP85" s="15">
        <v>0.06</v>
      </c>
      <c r="BQ85" s="15">
        <v>530</v>
      </c>
      <c r="BR85" s="15">
        <v>0</v>
      </c>
      <c r="BS85" s="15">
        <v>0</v>
      </c>
      <c r="BT85" s="15">
        <v>0</v>
      </c>
      <c r="BU85" s="15">
        <v>0</v>
      </c>
      <c r="BV85" s="15">
        <v>0</v>
      </c>
      <c r="BW85" s="15">
        <v>0</v>
      </c>
      <c r="BX85" s="15">
        <v>0</v>
      </c>
    </row>
    <row r="86" spans="1:76">
      <c r="A86" s="14" t="str">
        <f>VLOOKUP(C86,VLOOKUP!A:B,2,FALSE)</f>
        <v>如意盘香</v>
      </c>
      <c r="B86" s="16">
        <v>46088</v>
      </c>
      <c r="C86" s="17">
        <v>838711327669</v>
      </c>
      <c r="D86" s="15" t="s">
        <v>151</v>
      </c>
      <c r="E86" s="15" t="s">
        <v>158</v>
      </c>
      <c r="F86" s="15">
        <v>852</v>
      </c>
      <c r="G86" s="15">
        <v>47</v>
      </c>
      <c r="H86" s="15">
        <v>78.73</v>
      </c>
      <c r="I86" s="15">
        <v>0.05516</v>
      </c>
      <c r="J86" s="15">
        <v>1.68</v>
      </c>
      <c r="K86" s="15">
        <v>92.41</v>
      </c>
      <c r="L86" s="15">
        <v>0</v>
      </c>
      <c r="M86" s="15">
        <v>0</v>
      </c>
      <c r="N86" s="15">
        <v>0</v>
      </c>
      <c r="O86" s="15">
        <v>0</v>
      </c>
      <c r="P86" s="15">
        <v>0</v>
      </c>
      <c r="Q86" s="15">
        <v>0</v>
      </c>
      <c r="R86" s="15">
        <v>172</v>
      </c>
      <c r="S86" s="15">
        <v>0</v>
      </c>
      <c r="T86" s="15">
        <v>172</v>
      </c>
      <c r="U86" s="15">
        <v>1</v>
      </c>
      <c r="V86" s="15">
        <v>1</v>
      </c>
      <c r="W86" s="15">
        <v>0</v>
      </c>
      <c r="X86" s="15">
        <v>0.02128</v>
      </c>
      <c r="Y86" s="15">
        <v>2.18</v>
      </c>
      <c r="Z86" s="15">
        <v>2.18</v>
      </c>
      <c r="AA86" s="15">
        <v>78.73</v>
      </c>
      <c r="AB86" s="15">
        <v>7</v>
      </c>
      <c r="AC86" s="15">
        <v>0</v>
      </c>
      <c r="AD86" s="15">
        <v>7</v>
      </c>
      <c r="AE86" s="15">
        <v>0.14894</v>
      </c>
      <c r="AF86" s="15">
        <v>0</v>
      </c>
      <c r="AG86" s="15">
        <v>2</v>
      </c>
      <c r="AH86" s="15">
        <v>39.37</v>
      </c>
      <c r="AI86" s="15">
        <v>9</v>
      </c>
      <c r="AJ86" s="15">
        <v>8.75</v>
      </c>
      <c r="AK86" s="15">
        <v>7</v>
      </c>
      <c r="AL86" s="15">
        <v>11.25</v>
      </c>
      <c r="AM86" s="15">
        <v>2</v>
      </c>
      <c r="AN86" s="15"/>
      <c r="AO86" s="15">
        <v>0</v>
      </c>
      <c r="AP86" s="15">
        <v>11.25</v>
      </c>
      <c r="AQ86" s="15">
        <v>2</v>
      </c>
      <c r="AR86" s="15">
        <v>245.9</v>
      </c>
      <c r="AS86" s="15">
        <v>0</v>
      </c>
      <c r="AT86" s="15">
        <v>0</v>
      </c>
      <c r="AU86" s="15">
        <v>0</v>
      </c>
      <c r="AV86" s="15">
        <v>0</v>
      </c>
      <c r="AW86" s="15">
        <v>0</v>
      </c>
      <c r="AX86" s="15">
        <v>0</v>
      </c>
      <c r="AY86" s="15">
        <v>167</v>
      </c>
      <c r="AZ86" s="15">
        <v>41</v>
      </c>
      <c r="BA86" s="15">
        <v>29</v>
      </c>
      <c r="BB86" s="15">
        <v>0.70732</v>
      </c>
      <c r="BC86" s="15">
        <v>0</v>
      </c>
      <c r="BD86" s="15">
        <v>0</v>
      </c>
      <c r="BE86" s="15">
        <v>0.19601</v>
      </c>
      <c r="BF86" s="15">
        <v>120</v>
      </c>
      <c r="BG86" s="15">
        <v>4</v>
      </c>
      <c r="BH86" s="15">
        <v>1</v>
      </c>
      <c r="BI86" s="15">
        <v>1</v>
      </c>
      <c r="BJ86" s="15">
        <v>0</v>
      </c>
      <c r="BK86" s="15">
        <v>0</v>
      </c>
      <c r="BL86" s="15">
        <v>0</v>
      </c>
      <c r="BM86" s="15">
        <v>1</v>
      </c>
      <c r="BN86" s="15">
        <v>1</v>
      </c>
      <c r="BO86" s="15">
        <v>172</v>
      </c>
      <c r="BP86" s="15">
        <v>112.28</v>
      </c>
      <c r="BQ86" s="15">
        <v>653</v>
      </c>
      <c r="BR86" s="15">
        <v>0</v>
      </c>
      <c r="BS86" s="15">
        <v>0</v>
      </c>
      <c r="BT86" s="15">
        <v>0</v>
      </c>
      <c r="BU86" s="15">
        <v>0</v>
      </c>
      <c r="BV86" s="15">
        <v>0</v>
      </c>
      <c r="BW86" s="15">
        <v>0</v>
      </c>
      <c r="BX86" s="15">
        <v>0</v>
      </c>
    </row>
    <row r="87" spans="1:76">
      <c r="A87" s="14" t="str">
        <f>VLOOKUP(C87,VLOOKUP!A:B,2,FALSE)</f>
        <v>福颜青</v>
      </c>
      <c r="B87" s="16">
        <v>46088</v>
      </c>
      <c r="C87" s="17">
        <v>833369552621</v>
      </c>
      <c r="D87" s="15" t="s">
        <v>151</v>
      </c>
      <c r="E87" s="15" t="s">
        <v>154</v>
      </c>
      <c r="F87" s="15">
        <v>5886</v>
      </c>
      <c r="G87" s="15">
        <v>86</v>
      </c>
      <c r="H87" s="15">
        <v>24.99</v>
      </c>
      <c r="I87" s="15">
        <v>0.01461</v>
      </c>
      <c r="J87" s="15">
        <v>0.29</v>
      </c>
      <c r="K87" s="15">
        <v>4.25</v>
      </c>
      <c r="L87" s="15">
        <v>0</v>
      </c>
      <c r="M87" s="15">
        <v>0</v>
      </c>
      <c r="N87" s="15">
        <v>0</v>
      </c>
      <c r="O87" s="15">
        <v>0</v>
      </c>
      <c r="P87" s="15">
        <v>0</v>
      </c>
      <c r="Q87" s="15">
        <v>0</v>
      </c>
      <c r="R87" s="15">
        <v>0</v>
      </c>
      <c r="S87" s="15">
        <v>0</v>
      </c>
      <c r="T87" s="15">
        <v>0</v>
      </c>
      <c r="U87" s="15">
        <v>0</v>
      </c>
      <c r="V87" s="15">
        <v>0</v>
      </c>
      <c r="W87" s="15">
        <v>0</v>
      </c>
      <c r="X87" s="15">
        <v>0</v>
      </c>
      <c r="Y87" s="15">
        <v>0</v>
      </c>
      <c r="Z87" s="15">
        <v>0</v>
      </c>
      <c r="AA87" s="15"/>
      <c r="AB87" s="15">
        <v>0</v>
      </c>
      <c r="AC87" s="15">
        <v>0</v>
      </c>
      <c r="AD87" s="15">
        <v>0</v>
      </c>
      <c r="AE87" s="15">
        <v>0</v>
      </c>
      <c r="AF87" s="15">
        <v>0</v>
      </c>
      <c r="AG87" s="15">
        <v>0</v>
      </c>
      <c r="AH87" s="15"/>
      <c r="AI87" s="15">
        <v>0</v>
      </c>
      <c r="AJ87" s="15"/>
      <c r="AK87" s="15">
        <v>0</v>
      </c>
      <c r="AL87" s="15"/>
      <c r="AM87" s="15">
        <v>0</v>
      </c>
      <c r="AN87" s="15"/>
      <c r="AO87" s="15">
        <v>0</v>
      </c>
      <c r="AP87" s="15"/>
      <c r="AQ87" s="15">
        <v>0</v>
      </c>
      <c r="AR87" s="15">
        <v>0</v>
      </c>
      <c r="AS87" s="15">
        <v>0</v>
      </c>
      <c r="AT87" s="15">
        <v>0</v>
      </c>
      <c r="AU87" s="15">
        <v>0</v>
      </c>
      <c r="AV87" s="15">
        <v>0</v>
      </c>
      <c r="AW87" s="15">
        <v>0</v>
      </c>
      <c r="AX87" s="15">
        <v>0</v>
      </c>
      <c r="AY87" s="15">
        <v>184</v>
      </c>
      <c r="AZ87" s="15">
        <v>100</v>
      </c>
      <c r="BA87" s="15">
        <v>98</v>
      </c>
      <c r="BB87" s="15">
        <v>0.98</v>
      </c>
      <c r="BC87" s="15">
        <v>0</v>
      </c>
      <c r="BD87" s="15">
        <v>0</v>
      </c>
      <c r="BE87" s="15">
        <v>0.03126</v>
      </c>
      <c r="BF87" s="15">
        <v>72</v>
      </c>
      <c r="BG87" s="15">
        <v>2</v>
      </c>
      <c r="BH87" s="15">
        <v>0</v>
      </c>
      <c r="BI87" s="15"/>
      <c r="BJ87" s="15">
        <v>0</v>
      </c>
      <c r="BK87" s="15">
        <v>0</v>
      </c>
      <c r="BL87" s="15">
        <v>0</v>
      </c>
      <c r="BM87" s="15">
        <v>0</v>
      </c>
      <c r="BN87" s="15"/>
      <c r="BO87" s="15"/>
      <c r="BP87" s="15">
        <v>0</v>
      </c>
      <c r="BQ87" s="15">
        <v>7</v>
      </c>
      <c r="BR87" s="15">
        <v>0</v>
      </c>
      <c r="BS87" s="15">
        <v>0</v>
      </c>
      <c r="BT87" s="15">
        <v>0</v>
      </c>
      <c r="BU87" s="15">
        <v>0</v>
      </c>
      <c r="BV87" s="15">
        <v>0</v>
      </c>
      <c r="BW87" s="15">
        <v>0</v>
      </c>
      <c r="BX87" s="15">
        <v>0</v>
      </c>
    </row>
    <row r="88" spans="1:76">
      <c r="A88" s="14" t="str">
        <f>VLOOKUP(C88,VLOOKUP!A:B,2,FALSE)</f>
        <v>福到</v>
      </c>
      <c r="B88" s="16">
        <v>46087</v>
      </c>
      <c r="C88" s="17">
        <v>971856893567</v>
      </c>
      <c r="D88" s="15" t="s">
        <v>151</v>
      </c>
      <c r="E88" s="15" t="s">
        <v>152</v>
      </c>
      <c r="F88" s="15">
        <v>230</v>
      </c>
      <c r="G88" s="15">
        <v>10</v>
      </c>
      <c r="H88" s="15">
        <v>2.94</v>
      </c>
      <c r="I88" s="15">
        <v>0.04348</v>
      </c>
      <c r="J88" s="15">
        <v>0.29</v>
      </c>
      <c r="K88" s="15">
        <v>12.78</v>
      </c>
      <c r="L88" s="15">
        <v>0</v>
      </c>
      <c r="M88" s="15">
        <v>0</v>
      </c>
      <c r="N88" s="15">
        <v>0</v>
      </c>
      <c r="O88" s="15">
        <v>0</v>
      </c>
      <c r="P88" s="15">
        <v>0</v>
      </c>
      <c r="Q88" s="15">
        <v>0</v>
      </c>
      <c r="R88" s="15">
        <v>0</v>
      </c>
      <c r="S88" s="15">
        <v>0</v>
      </c>
      <c r="T88" s="15">
        <v>0</v>
      </c>
      <c r="U88" s="15">
        <v>0</v>
      </c>
      <c r="V88" s="15">
        <v>0</v>
      </c>
      <c r="W88" s="15">
        <v>0</v>
      </c>
      <c r="X88" s="15">
        <v>0</v>
      </c>
      <c r="Y88" s="15">
        <v>0</v>
      </c>
      <c r="Z88" s="15">
        <v>0</v>
      </c>
      <c r="AA88" s="15"/>
      <c r="AB88" s="15">
        <v>0</v>
      </c>
      <c r="AC88" s="15">
        <v>0</v>
      </c>
      <c r="AD88" s="15">
        <v>0</v>
      </c>
      <c r="AE88" s="15">
        <v>0</v>
      </c>
      <c r="AF88" s="15">
        <v>0</v>
      </c>
      <c r="AG88" s="15">
        <v>0</v>
      </c>
      <c r="AH88" s="15"/>
      <c r="AI88" s="15">
        <v>0</v>
      </c>
      <c r="AJ88" s="15"/>
      <c r="AK88" s="15">
        <v>0</v>
      </c>
      <c r="AL88" s="15"/>
      <c r="AM88" s="15">
        <v>0</v>
      </c>
      <c r="AN88" s="15"/>
      <c r="AO88" s="15">
        <v>0</v>
      </c>
      <c r="AP88" s="15"/>
      <c r="AQ88" s="15">
        <v>0</v>
      </c>
      <c r="AR88" s="15">
        <v>0</v>
      </c>
      <c r="AS88" s="15">
        <v>0</v>
      </c>
      <c r="AT88" s="15">
        <v>0</v>
      </c>
      <c r="AU88" s="15">
        <v>0</v>
      </c>
      <c r="AV88" s="15">
        <v>0</v>
      </c>
      <c r="AW88" s="15">
        <v>0</v>
      </c>
      <c r="AX88" s="15">
        <v>0</v>
      </c>
      <c r="AY88" s="15">
        <v>19</v>
      </c>
      <c r="AZ88" s="15">
        <v>9</v>
      </c>
      <c r="BA88" s="15">
        <v>5</v>
      </c>
      <c r="BB88" s="15">
        <v>0.55556</v>
      </c>
      <c r="BC88" s="15">
        <v>0</v>
      </c>
      <c r="BD88" s="15">
        <v>0</v>
      </c>
      <c r="BE88" s="15">
        <v>0.08261</v>
      </c>
      <c r="BF88" s="15">
        <v>9</v>
      </c>
      <c r="BG88" s="15">
        <v>2</v>
      </c>
      <c r="BH88" s="15">
        <v>0</v>
      </c>
      <c r="BI88" s="15"/>
      <c r="BJ88" s="15">
        <v>0</v>
      </c>
      <c r="BK88" s="15">
        <v>0</v>
      </c>
      <c r="BL88" s="15">
        <v>0</v>
      </c>
      <c r="BM88" s="15">
        <v>0</v>
      </c>
      <c r="BN88" s="15"/>
      <c r="BO88" s="15"/>
      <c r="BP88" s="15">
        <v>0</v>
      </c>
      <c r="BQ88" s="15">
        <v>1</v>
      </c>
      <c r="BR88" s="15">
        <v>0</v>
      </c>
      <c r="BS88" s="15">
        <v>0</v>
      </c>
      <c r="BT88" s="15">
        <v>0</v>
      </c>
      <c r="BU88" s="15">
        <v>0</v>
      </c>
      <c r="BV88" s="15">
        <v>0</v>
      </c>
      <c r="BW88" s="15">
        <v>0</v>
      </c>
      <c r="BX88" s="15">
        <v>0</v>
      </c>
    </row>
    <row r="89" spans="1:76">
      <c r="A89" s="14" t="str">
        <f>VLOOKUP(C89,VLOOKUP!A:B,2,FALSE)</f>
        <v>如意盘香</v>
      </c>
      <c r="B89" s="16">
        <v>46087</v>
      </c>
      <c r="C89" s="17">
        <v>838711327669</v>
      </c>
      <c r="D89" s="15" t="s">
        <v>151</v>
      </c>
      <c r="E89" s="15" t="s">
        <v>158</v>
      </c>
      <c r="F89" s="15">
        <v>820</v>
      </c>
      <c r="G89" s="15">
        <v>35</v>
      </c>
      <c r="H89" s="15">
        <v>80</v>
      </c>
      <c r="I89" s="15">
        <v>0.04268</v>
      </c>
      <c r="J89" s="15">
        <v>2.29</v>
      </c>
      <c r="K89" s="15">
        <v>97.56</v>
      </c>
      <c r="L89" s="15">
        <v>0</v>
      </c>
      <c r="M89" s="15">
        <v>0</v>
      </c>
      <c r="N89" s="15">
        <v>0</v>
      </c>
      <c r="O89" s="15">
        <v>0</v>
      </c>
      <c r="P89" s="15">
        <v>0</v>
      </c>
      <c r="Q89" s="15">
        <v>0</v>
      </c>
      <c r="R89" s="15">
        <v>68.6</v>
      </c>
      <c r="S89" s="15">
        <v>0</v>
      </c>
      <c r="T89" s="15">
        <v>68.6</v>
      </c>
      <c r="U89" s="15">
        <v>1</v>
      </c>
      <c r="V89" s="15">
        <v>1</v>
      </c>
      <c r="W89" s="15">
        <v>0</v>
      </c>
      <c r="X89" s="15">
        <v>0.02857</v>
      </c>
      <c r="Y89" s="15">
        <v>0.86</v>
      </c>
      <c r="Z89" s="15">
        <v>0.86</v>
      </c>
      <c r="AA89" s="15">
        <v>80</v>
      </c>
      <c r="AB89" s="15">
        <v>3</v>
      </c>
      <c r="AC89" s="15">
        <v>3</v>
      </c>
      <c r="AD89" s="15">
        <v>0</v>
      </c>
      <c r="AE89" s="15">
        <v>0.08571</v>
      </c>
      <c r="AF89" s="15">
        <v>0</v>
      </c>
      <c r="AG89" s="15">
        <v>0</v>
      </c>
      <c r="AH89" s="15"/>
      <c r="AI89" s="15">
        <v>3</v>
      </c>
      <c r="AJ89" s="15">
        <v>26.67</v>
      </c>
      <c r="AK89" s="15">
        <v>3</v>
      </c>
      <c r="AL89" s="15">
        <v>26.67</v>
      </c>
      <c r="AM89" s="15">
        <v>0</v>
      </c>
      <c r="AN89" s="15"/>
      <c r="AO89" s="15">
        <v>0</v>
      </c>
      <c r="AP89" s="15">
        <v>26.67</v>
      </c>
      <c r="AQ89" s="15">
        <v>1</v>
      </c>
      <c r="AR89" s="15">
        <v>78</v>
      </c>
      <c r="AS89" s="15">
        <v>0</v>
      </c>
      <c r="AT89" s="15">
        <v>0</v>
      </c>
      <c r="AU89" s="15">
        <v>0</v>
      </c>
      <c r="AV89" s="15">
        <v>0</v>
      </c>
      <c r="AW89" s="15">
        <v>0</v>
      </c>
      <c r="AX89" s="15">
        <v>0</v>
      </c>
      <c r="AY89" s="15">
        <v>123</v>
      </c>
      <c r="AZ89" s="15">
        <v>32</v>
      </c>
      <c r="BA89" s="15">
        <v>22</v>
      </c>
      <c r="BB89" s="15">
        <v>0.6875</v>
      </c>
      <c r="BC89" s="15">
        <v>0</v>
      </c>
      <c r="BD89" s="15">
        <v>0</v>
      </c>
      <c r="BE89" s="15">
        <v>0.15</v>
      </c>
      <c r="BF89" s="15">
        <v>80</v>
      </c>
      <c r="BG89" s="15">
        <v>4</v>
      </c>
      <c r="BH89" s="15">
        <v>1</v>
      </c>
      <c r="BI89" s="15">
        <v>1</v>
      </c>
      <c r="BJ89" s="15">
        <v>0</v>
      </c>
      <c r="BK89" s="15">
        <v>0</v>
      </c>
      <c r="BL89" s="15">
        <v>0</v>
      </c>
      <c r="BM89" s="15">
        <v>1</v>
      </c>
      <c r="BN89" s="15">
        <v>1</v>
      </c>
      <c r="BO89" s="15">
        <v>68.6</v>
      </c>
      <c r="BP89" s="15">
        <v>0</v>
      </c>
      <c r="BQ89" s="15">
        <v>351</v>
      </c>
      <c r="BR89" s="15">
        <v>0</v>
      </c>
      <c r="BS89" s="15">
        <v>0</v>
      </c>
      <c r="BT89" s="15">
        <v>0</v>
      </c>
      <c r="BU89" s="15">
        <v>0</v>
      </c>
      <c r="BV89" s="15">
        <v>0</v>
      </c>
      <c r="BW89" s="15">
        <v>0</v>
      </c>
      <c r="BX89" s="15">
        <v>0</v>
      </c>
    </row>
    <row r="90" spans="1:76">
      <c r="A90" s="14" t="str">
        <f>VLOOKUP(C90,VLOOKUP!A:B,2,FALSE)</f>
        <v>福颜青</v>
      </c>
      <c r="B90" s="16">
        <v>46087</v>
      </c>
      <c r="C90" s="17">
        <v>833369552621</v>
      </c>
      <c r="D90" s="15" t="s">
        <v>151</v>
      </c>
      <c r="E90" s="15" t="s">
        <v>154</v>
      </c>
      <c r="F90" s="15">
        <v>5099</v>
      </c>
      <c r="G90" s="15">
        <v>88</v>
      </c>
      <c r="H90" s="15">
        <v>26.94</v>
      </c>
      <c r="I90" s="15">
        <v>0.01726</v>
      </c>
      <c r="J90" s="15">
        <v>0.31</v>
      </c>
      <c r="K90" s="15">
        <v>5.28</v>
      </c>
      <c r="L90" s="15">
        <v>0</v>
      </c>
      <c r="M90" s="15">
        <v>0</v>
      </c>
      <c r="N90" s="15">
        <v>0</v>
      </c>
      <c r="O90" s="15">
        <v>0</v>
      </c>
      <c r="P90" s="15">
        <v>0</v>
      </c>
      <c r="Q90" s="15">
        <v>0</v>
      </c>
      <c r="R90" s="15">
        <v>0</v>
      </c>
      <c r="S90" s="15">
        <v>0</v>
      </c>
      <c r="T90" s="15">
        <v>0</v>
      </c>
      <c r="U90" s="15">
        <v>0</v>
      </c>
      <c r="V90" s="15">
        <v>0</v>
      </c>
      <c r="W90" s="15">
        <v>0</v>
      </c>
      <c r="X90" s="15">
        <v>0</v>
      </c>
      <c r="Y90" s="15">
        <v>0</v>
      </c>
      <c r="Z90" s="15">
        <v>0</v>
      </c>
      <c r="AA90" s="15"/>
      <c r="AB90" s="15">
        <v>0</v>
      </c>
      <c r="AC90" s="15">
        <v>0</v>
      </c>
      <c r="AD90" s="15">
        <v>0</v>
      </c>
      <c r="AE90" s="15">
        <v>0</v>
      </c>
      <c r="AF90" s="15">
        <v>0</v>
      </c>
      <c r="AG90" s="15">
        <v>0</v>
      </c>
      <c r="AH90" s="15"/>
      <c r="AI90" s="15">
        <v>0</v>
      </c>
      <c r="AJ90" s="15"/>
      <c r="AK90" s="15">
        <v>0</v>
      </c>
      <c r="AL90" s="15"/>
      <c r="AM90" s="15">
        <v>0</v>
      </c>
      <c r="AN90" s="15"/>
      <c r="AO90" s="15">
        <v>0</v>
      </c>
      <c r="AP90" s="15"/>
      <c r="AQ90" s="15">
        <v>0</v>
      </c>
      <c r="AR90" s="15">
        <v>0</v>
      </c>
      <c r="AS90" s="15">
        <v>0</v>
      </c>
      <c r="AT90" s="15">
        <v>0</v>
      </c>
      <c r="AU90" s="15">
        <v>0</v>
      </c>
      <c r="AV90" s="15">
        <v>0</v>
      </c>
      <c r="AW90" s="15">
        <v>0</v>
      </c>
      <c r="AX90" s="15">
        <v>0</v>
      </c>
      <c r="AY90" s="15">
        <v>157</v>
      </c>
      <c r="AZ90" s="15">
        <v>91</v>
      </c>
      <c r="BA90" s="15">
        <v>81</v>
      </c>
      <c r="BB90" s="15">
        <v>0.89011</v>
      </c>
      <c r="BC90" s="15">
        <v>0</v>
      </c>
      <c r="BD90" s="15">
        <v>0</v>
      </c>
      <c r="BE90" s="15">
        <v>0.03079</v>
      </c>
      <c r="BF90" s="15">
        <v>51</v>
      </c>
      <c r="BG90" s="15">
        <v>2</v>
      </c>
      <c r="BH90" s="15">
        <v>0</v>
      </c>
      <c r="BI90" s="15"/>
      <c r="BJ90" s="15">
        <v>0</v>
      </c>
      <c r="BK90" s="15">
        <v>0</v>
      </c>
      <c r="BL90" s="15">
        <v>0</v>
      </c>
      <c r="BM90" s="15">
        <v>0</v>
      </c>
      <c r="BN90" s="15"/>
      <c r="BO90" s="15"/>
      <c r="BP90" s="15">
        <v>0</v>
      </c>
      <c r="BQ90" s="15">
        <v>10</v>
      </c>
      <c r="BR90" s="15">
        <v>0</v>
      </c>
      <c r="BS90" s="15">
        <v>0</v>
      </c>
      <c r="BT90" s="15">
        <v>0</v>
      </c>
      <c r="BU90" s="15">
        <v>0</v>
      </c>
      <c r="BV90" s="15">
        <v>0</v>
      </c>
      <c r="BW90" s="15">
        <v>0</v>
      </c>
      <c r="BX90" s="15">
        <v>0</v>
      </c>
    </row>
    <row r="91" spans="1:76">
      <c r="A91" s="14" t="str">
        <f>VLOOKUP(C91,VLOOKUP!A:B,2,FALSE)</f>
        <v>福到</v>
      </c>
      <c r="B91" s="16">
        <v>46086</v>
      </c>
      <c r="C91" s="17">
        <v>971856893567</v>
      </c>
      <c r="D91" s="15" t="s">
        <v>151</v>
      </c>
      <c r="E91" s="15" t="s">
        <v>152</v>
      </c>
      <c r="F91" s="15">
        <v>381</v>
      </c>
      <c r="G91" s="15">
        <v>19</v>
      </c>
      <c r="H91" s="15">
        <v>6.3</v>
      </c>
      <c r="I91" s="15">
        <v>0.04987</v>
      </c>
      <c r="J91" s="15">
        <v>0.33</v>
      </c>
      <c r="K91" s="15">
        <v>16.54</v>
      </c>
      <c r="L91" s="15">
        <v>0</v>
      </c>
      <c r="M91" s="15">
        <v>0</v>
      </c>
      <c r="N91" s="15">
        <v>0</v>
      </c>
      <c r="O91" s="15">
        <v>0</v>
      </c>
      <c r="P91" s="15">
        <v>0</v>
      </c>
      <c r="Q91" s="15">
        <v>0</v>
      </c>
      <c r="R91" s="15">
        <v>0</v>
      </c>
      <c r="S91" s="15">
        <v>1301.46</v>
      </c>
      <c r="T91" s="15">
        <v>1301.46</v>
      </c>
      <c r="U91" s="15">
        <v>2</v>
      </c>
      <c r="V91" s="15">
        <v>0</v>
      </c>
      <c r="W91" s="15">
        <v>2</v>
      </c>
      <c r="X91" s="15">
        <v>0.10526</v>
      </c>
      <c r="Y91" s="15">
        <v>206.58</v>
      </c>
      <c r="Z91" s="15">
        <v>206.58</v>
      </c>
      <c r="AA91" s="15">
        <v>3.15</v>
      </c>
      <c r="AB91" s="15">
        <v>5</v>
      </c>
      <c r="AC91" s="15">
        <v>0</v>
      </c>
      <c r="AD91" s="15">
        <v>5</v>
      </c>
      <c r="AE91" s="15">
        <v>0.26316</v>
      </c>
      <c r="AF91" s="15">
        <v>0</v>
      </c>
      <c r="AG91" s="15">
        <v>0</v>
      </c>
      <c r="AH91" s="15"/>
      <c r="AI91" s="15">
        <v>5</v>
      </c>
      <c r="AJ91" s="15">
        <v>1.26</v>
      </c>
      <c r="AK91" s="15">
        <v>5</v>
      </c>
      <c r="AL91" s="15">
        <v>1.26</v>
      </c>
      <c r="AM91" s="15">
        <v>0</v>
      </c>
      <c r="AN91" s="15"/>
      <c r="AO91" s="15">
        <v>0</v>
      </c>
      <c r="AP91" s="15">
        <v>1.26</v>
      </c>
      <c r="AQ91" s="15">
        <v>3</v>
      </c>
      <c r="AR91" s="15">
        <v>1838.9</v>
      </c>
      <c r="AS91" s="15">
        <v>0</v>
      </c>
      <c r="AT91" s="15">
        <v>0</v>
      </c>
      <c r="AU91" s="15">
        <v>0</v>
      </c>
      <c r="AV91" s="15">
        <v>0</v>
      </c>
      <c r="AW91" s="15">
        <v>0</v>
      </c>
      <c r="AX91" s="15">
        <v>0</v>
      </c>
      <c r="AY91" s="15">
        <v>100</v>
      </c>
      <c r="AZ91" s="15">
        <v>15</v>
      </c>
      <c r="BA91" s="15">
        <v>13</v>
      </c>
      <c r="BB91" s="15">
        <v>0.86667</v>
      </c>
      <c r="BC91" s="15">
        <v>0</v>
      </c>
      <c r="BD91" s="15">
        <v>0</v>
      </c>
      <c r="BE91" s="15">
        <v>0.26247</v>
      </c>
      <c r="BF91" s="15">
        <v>81</v>
      </c>
      <c r="BG91" s="15">
        <v>7</v>
      </c>
      <c r="BH91" s="15">
        <v>1</v>
      </c>
      <c r="BI91" s="15">
        <v>0.5</v>
      </c>
      <c r="BJ91" s="15">
        <v>0</v>
      </c>
      <c r="BK91" s="15">
        <v>0</v>
      </c>
      <c r="BL91" s="15">
        <v>0</v>
      </c>
      <c r="BM91" s="15">
        <v>2</v>
      </c>
      <c r="BN91" s="15">
        <v>1</v>
      </c>
      <c r="BO91" s="15">
        <v>650.73</v>
      </c>
      <c r="BP91" s="15">
        <v>1.56</v>
      </c>
      <c r="BQ91" s="15">
        <v>171</v>
      </c>
      <c r="BR91" s="15">
        <v>0</v>
      </c>
      <c r="BS91" s="15">
        <v>0</v>
      </c>
      <c r="BT91" s="15">
        <v>0</v>
      </c>
      <c r="BU91" s="15">
        <v>0</v>
      </c>
      <c r="BV91" s="15">
        <v>0</v>
      </c>
      <c r="BW91" s="15">
        <v>0</v>
      </c>
      <c r="BX91" s="15">
        <v>0</v>
      </c>
    </row>
    <row r="92" spans="1:76">
      <c r="A92" s="14" t="str">
        <f>VLOOKUP(C92,VLOOKUP!A:B,2,FALSE)</f>
        <v>如意盘香</v>
      </c>
      <c r="B92" s="16">
        <v>46086</v>
      </c>
      <c r="C92" s="17">
        <v>838711327669</v>
      </c>
      <c r="D92" s="15" t="s">
        <v>151</v>
      </c>
      <c r="E92" s="15" t="s">
        <v>158</v>
      </c>
      <c r="F92" s="15">
        <v>1094</v>
      </c>
      <c r="G92" s="15">
        <v>36</v>
      </c>
      <c r="H92" s="15">
        <v>66.54</v>
      </c>
      <c r="I92" s="15">
        <v>0.03291</v>
      </c>
      <c r="J92" s="15">
        <v>1.85</v>
      </c>
      <c r="K92" s="15">
        <v>60.82</v>
      </c>
      <c r="L92" s="15">
        <v>0</v>
      </c>
      <c r="M92" s="15">
        <v>0</v>
      </c>
      <c r="N92" s="15">
        <v>0</v>
      </c>
      <c r="O92" s="15">
        <v>0</v>
      </c>
      <c r="P92" s="15">
        <v>0</v>
      </c>
      <c r="Q92" s="15">
        <v>0</v>
      </c>
      <c r="R92" s="15">
        <v>196</v>
      </c>
      <c r="S92" s="15">
        <v>0</v>
      </c>
      <c r="T92" s="15">
        <v>196</v>
      </c>
      <c r="U92" s="15">
        <v>1</v>
      </c>
      <c r="V92" s="15">
        <v>1</v>
      </c>
      <c r="W92" s="15">
        <v>0</v>
      </c>
      <c r="X92" s="15">
        <v>0.02778</v>
      </c>
      <c r="Y92" s="15">
        <v>2.95</v>
      </c>
      <c r="Z92" s="15">
        <v>2.95</v>
      </c>
      <c r="AA92" s="15">
        <v>66.54</v>
      </c>
      <c r="AB92" s="15">
        <v>5</v>
      </c>
      <c r="AC92" s="15">
        <v>5</v>
      </c>
      <c r="AD92" s="15">
        <v>0</v>
      </c>
      <c r="AE92" s="15">
        <v>0.13889</v>
      </c>
      <c r="AF92" s="15">
        <v>2</v>
      </c>
      <c r="AG92" s="15">
        <v>1</v>
      </c>
      <c r="AH92" s="15">
        <v>66.54</v>
      </c>
      <c r="AI92" s="15">
        <v>8</v>
      </c>
      <c r="AJ92" s="15">
        <v>8.32</v>
      </c>
      <c r="AK92" s="15">
        <v>7</v>
      </c>
      <c r="AL92" s="15">
        <v>9.51</v>
      </c>
      <c r="AM92" s="15">
        <v>3</v>
      </c>
      <c r="AN92" s="15">
        <v>33.27</v>
      </c>
      <c r="AO92" s="15">
        <v>0.05556</v>
      </c>
      <c r="AP92" s="15">
        <v>13.31</v>
      </c>
      <c r="AQ92" s="15">
        <v>1</v>
      </c>
      <c r="AR92" s="15">
        <v>196</v>
      </c>
      <c r="AS92" s="15">
        <v>2</v>
      </c>
      <c r="AT92" s="15">
        <v>0</v>
      </c>
      <c r="AU92" s="15">
        <v>0</v>
      </c>
      <c r="AV92" s="15">
        <v>0</v>
      </c>
      <c r="AW92" s="15">
        <v>0</v>
      </c>
      <c r="AX92" s="15">
        <v>0</v>
      </c>
      <c r="AY92" s="15">
        <v>116</v>
      </c>
      <c r="AZ92" s="15">
        <v>33</v>
      </c>
      <c r="BA92" s="15">
        <v>21</v>
      </c>
      <c r="BB92" s="15">
        <v>0.63636</v>
      </c>
      <c r="BC92" s="15">
        <v>0</v>
      </c>
      <c r="BD92" s="15">
        <v>0</v>
      </c>
      <c r="BE92" s="15">
        <v>0.10603</v>
      </c>
      <c r="BF92" s="15">
        <v>75</v>
      </c>
      <c r="BG92" s="15">
        <v>4</v>
      </c>
      <c r="BH92" s="15">
        <v>1</v>
      </c>
      <c r="BI92" s="15">
        <v>1</v>
      </c>
      <c r="BJ92" s="15">
        <v>0</v>
      </c>
      <c r="BK92" s="15">
        <v>0</v>
      </c>
      <c r="BL92" s="15">
        <v>0</v>
      </c>
      <c r="BM92" s="15">
        <v>1</v>
      </c>
      <c r="BN92" s="15">
        <v>1</v>
      </c>
      <c r="BO92" s="15">
        <v>196</v>
      </c>
      <c r="BP92" s="15">
        <v>0.07</v>
      </c>
      <c r="BQ92" s="15">
        <v>432</v>
      </c>
      <c r="BR92" s="15">
        <v>0</v>
      </c>
      <c r="BS92" s="15">
        <v>0</v>
      </c>
      <c r="BT92" s="15">
        <v>0</v>
      </c>
      <c r="BU92" s="15">
        <v>0</v>
      </c>
      <c r="BV92" s="15">
        <v>0</v>
      </c>
      <c r="BW92" s="15">
        <v>0</v>
      </c>
      <c r="BX92" s="15">
        <v>0</v>
      </c>
    </row>
    <row r="93" spans="1:76">
      <c r="A93" s="14" t="str">
        <f>VLOOKUP(C93,VLOOKUP!A:B,2,FALSE)</f>
        <v>福颜青</v>
      </c>
      <c r="B93" s="16">
        <v>46086</v>
      </c>
      <c r="C93" s="17">
        <v>833369552621</v>
      </c>
      <c r="D93" s="15" t="s">
        <v>151</v>
      </c>
      <c r="E93" s="15" t="s">
        <v>154</v>
      </c>
      <c r="F93" s="15">
        <v>6492</v>
      </c>
      <c r="G93" s="15">
        <v>135</v>
      </c>
      <c r="H93" s="15">
        <v>44.45</v>
      </c>
      <c r="I93" s="15">
        <v>0.02079</v>
      </c>
      <c r="J93" s="15">
        <v>0.33</v>
      </c>
      <c r="K93" s="15">
        <v>6.85</v>
      </c>
      <c r="L93" s="15">
        <v>0</v>
      </c>
      <c r="M93" s="15">
        <v>0</v>
      </c>
      <c r="N93" s="15">
        <v>0</v>
      </c>
      <c r="O93" s="15">
        <v>0</v>
      </c>
      <c r="P93" s="15">
        <v>0</v>
      </c>
      <c r="Q93" s="15">
        <v>0</v>
      </c>
      <c r="R93" s="15">
        <v>0</v>
      </c>
      <c r="S93" s="15">
        <v>0</v>
      </c>
      <c r="T93" s="15">
        <v>0</v>
      </c>
      <c r="U93" s="15">
        <v>0</v>
      </c>
      <c r="V93" s="15">
        <v>0</v>
      </c>
      <c r="W93" s="15">
        <v>0</v>
      </c>
      <c r="X93" s="15">
        <v>0</v>
      </c>
      <c r="Y93" s="15">
        <v>0</v>
      </c>
      <c r="Z93" s="15">
        <v>0</v>
      </c>
      <c r="AA93" s="15"/>
      <c r="AB93" s="15">
        <v>1</v>
      </c>
      <c r="AC93" s="15">
        <v>1</v>
      </c>
      <c r="AD93" s="15">
        <v>0</v>
      </c>
      <c r="AE93" s="15">
        <v>0.00741</v>
      </c>
      <c r="AF93" s="15">
        <v>0</v>
      </c>
      <c r="AG93" s="15">
        <v>0</v>
      </c>
      <c r="AH93" s="15"/>
      <c r="AI93" s="15">
        <v>1</v>
      </c>
      <c r="AJ93" s="15">
        <v>44.45</v>
      </c>
      <c r="AK93" s="15">
        <v>1</v>
      </c>
      <c r="AL93" s="15">
        <v>44.45</v>
      </c>
      <c r="AM93" s="15">
        <v>0</v>
      </c>
      <c r="AN93" s="15"/>
      <c r="AO93" s="15">
        <v>0</v>
      </c>
      <c r="AP93" s="15">
        <v>44.45</v>
      </c>
      <c r="AQ93" s="15">
        <v>0</v>
      </c>
      <c r="AR93" s="15">
        <v>0</v>
      </c>
      <c r="AS93" s="15">
        <v>0</v>
      </c>
      <c r="AT93" s="15">
        <v>0</v>
      </c>
      <c r="AU93" s="15">
        <v>0</v>
      </c>
      <c r="AV93" s="15">
        <v>0</v>
      </c>
      <c r="AW93" s="15">
        <v>0</v>
      </c>
      <c r="AX93" s="15">
        <v>0</v>
      </c>
      <c r="AY93" s="15">
        <v>204</v>
      </c>
      <c r="AZ93" s="15">
        <v>129</v>
      </c>
      <c r="BA93" s="15">
        <v>123</v>
      </c>
      <c r="BB93" s="15">
        <v>0.95349</v>
      </c>
      <c r="BC93" s="15">
        <v>0</v>
      </c>
      <c r="BD93" s="15">
        <v>0</v>
      </c>
      <c r="BE93" s="15">
        <v>0.03142</v>
      </c>
      <c r="BF93" s="15">
        <v>60</v>
      </c>
      <c r="BG93" s="15">
        <v>2</v>
      </c>
      <c r="BH93" s="15">
        <v>0</v>
      </c>
      <c r="BI93" s="15"/>
      <c r="BJ93" s="15">
        <v>0</v>
      </c>
      <c r="BK93" s="15">
        <v>0</v>
      </c>
      <c r="BL93" s="15">
        <v>0</v>
      </c>
      <c r="BM93" s="15">
        <v>0</v>
      </c>
      <c r="BN93" s="15"/>
      <c r="BO93" s="15"/>
      <c r="BP93" s="15">
        <v>0.06</v>
      </c>
      <c r="BQ93" s="15">
        <v>3610</v>
      </c>
      <c r="BR93" s="15">
        <v>0</v>
      </c>
      <c r="BS93" s="15">
        <v>0</v>
      </c>
      <c r="BT93" s="15">
        <v>0</v>
      </c>
      <c r="BU93" s="15">
        <v>0</v>
      </c>
      <c r="BV93" s="15">
        <v>0</v>
      </c>
      <c r="BW93" s="15">
        <v>0</v>
      </c>
      <c r="BX93" s="15">
        <v>0</v>
      </c>
    </row>
    <row r="94" spans="1:76">
      <c r="A94" s="14" t="str">
        <f>VLOOKUP(C94,VLOOKUP!A:B,2,FALSE)</f>
        <v>福到</v>
      </c>
      <c r="B94" s="16">
        <v>46085</v>
      </c>
      <c r="C94" s="17">
        <v>971856893567</v>
      </c>
      <c r="D94" s="15" t="s">
        <v>151</v>
      </c>
      <c r="E94" s="15" t="s">
        <v>152</v>
      </c>
      <c r="F94" s="15">
        <v>109</v>
      </c>
      <c r="G94" s="15">
        <v>9</v>
      </c>
      <c r="H94" s="15">
        <v>1.65</v>
      </c>
      <c r="I94" s="15">
        <v>0.08257</v>
      </c>
      <c r="J94" s="15">
        <v>0.18</v>
      </c>
      <c r="K94" s="15">
        <v>15.14</v>
      </c>
      <c r="L94" s="15">
        <v>0</v>
      </c>
      <c r="M94" s="15">
        <v>0</v>
      </c>
      <c r="N94" s="15">
        <v>0</v>
      </c>
      <c r="O94" s="15">
        <v>0</v>
      </c>
      <c r="P94" s="15">
        <v>0</v>
      </c>
      <c r="Q94" s="15">
        <v>0</v>
      </c>
      <c r="R94" s="15">
        <v>0</v>
      </c>
      <c r="S94" s="15">
        <v>0</v>
      </c>
      <c r="T94" s="15">
        <v>0</v>
      </c>
      <c r="U94" s="15">
        <v>0</v>
      </c>
      <c r="V94" s="15">
        <v>0</v>
      </c>
      <c r="W94" s="15">
        <v>0</v>
      </c>
      <c r="X94" s="15">
        <v>0</v>
      </c>
      <c r="Y94" s="15">
        <v>0</v>
      </c>
      <c r="Z94" s="15">
        <v>0</v>
      </c>
      <c r="AA94" s="15"/>
      <c r="AB94" s="15">
        <v>0</v>
      </c>
      <c r="AC94" s="15">
        <v>0</v>
      </c>
      <c r="AD94" s="15">
        <v>0</v>
      </c>
      <c r="AE94" s="15">
        <v>0</v>
      </c>
      <c r="AF94" s="15">
        <v>0</v>
      </c>
      <c r="AG94" s="15">
        <v>1</v>
      </c>
      <c r="AH94" s="15">
        <v>1.65</v>
      </c>
      <c r="AI94" s="15">
        <v>1</v>
      </c>
      <c r="AJ94" s="15">
        <v>1.65</v>
      </c>
      <c r="AK94" s="15">
        <v>0</v>
      </c>
      <c r="AL94" s="15"/>
      <c r="AM94" s="15">
        <v>1</v>
      </c>
      <c r="AN94" s="15"/>
      <c r="AO94" s="15">
        <v>0</v>
      </c>
      <c r="AP94" s="15"/>
      <c r="AQ94" s="15">
        <v>0</v>
      </c>
      <c r="AR94" s="15">
        <v>0</v>
      </c>
      <c r="AS94" s="15">
        <v>0</v>
      </c>
      <c r="AT94" s="15">
        <v>0</v>
      </c>
      <c r="AU94" s="15">
        <v>0</v>
      </c>
      <c r="AV94" s="15">
        <v>0</v>
      </c>
      <c r="AW94" s="15">
        <v>0</v>
      </c>
      <c r="AX94" s="15">
        <v>0</v>
      </c>
      <c r="AY94" s="15">
        <v>47</v>
      </c>
      <c r="AZ94" s="15">
        <v>8</v>
      </c>
      <c r="BA94" s="15">
        <v>3</v>
      </c>
      <c r="BB94" s="15">
        <v>0.375</v>
      </c>
      <c r="BC94" s="15">
        <v>0</v>
      </c>
      <c r="BD94" s="15">
        <v>0</v>
      </c>
      <c r="BE94" s="15">
        <v>0.43119</v>
      </c>
      <c r="BF94" s="15">
        <v>38</v>
      </c>
      <c r="BG94" s="15">
        <v>6</v>
      </c>
      <c r="BH94" s="15">
        <v>0</v>
      </c>
      <c r="BI94" s="15"/>
      <c r="BJ94" s="15">
        <v>0</v>
      </c>
      <c r="BK94" s="15">
        <v>0</v>
      </c>
      <c r="BL94" s="15">
        <v>0</v>
      </c>
      <c r="BM94" s="15">
        <v>0</v>
      </c>
      <c r="BN94" s="15"/>
      <c r="BO94" s="15"/>
      <c r="BP94" s="15">
        <v>0</v>
      </c>
      <c r="BQ94" s="15">
        <v>9</v>
      </c>
      <c r="BR94" s="15">
        <v>0</v>
      </c>
      <c r="BS94" s="15">
        <v>0</v>
      </c>
      <c r="BT94" s="15">
        <v>0</v>
      </c>
      <c r="BU94" s="15">
        <v>0</v>
      </c>
      <c r="BV94" s="15">
        <v>0</v>
      </c>
      <c r="BW94" s="15">
        <v>0</v>
      </c>
      <c r="BX94" s="15">
        <v>0</v>
      </c>
    </row>
    <row r="95" spans="1:76">
      <c r="A95" s="14" t="str">
        <f>VLOOKUP(C95,VLOOKUP!A:B,2,FALSE)</f>
        <v>如意盘香</v>
      </c>
      <c r="B95" s="16">
        <v>46085</v>
      </c>
      <c r="C95" s="17">
        <v>838711327669</v>
      </c>
      <c r="D95" s="15" t="s">
        <v>151</v>
      </c>
      <c r="E95" s="15" t="s">
        <v>158</v>
      </c>
      <c r="F95" s="15">
        <v>301</v>
      </c>
      <c r="G95" s="15">
        <v>15</v>
      </c>
      <c r="H95" s="15">
        <v>80</v>
      </c>
      <c r="I95" s="15">
        <v>0.04983</v>
      </c>
      <c r="J95" s="15">
        <v>5.33</v>
      </c>
      <c r="K95" s="15">
        <v>265.78</v>
      </c>
      <c r="L95" s="15">
        <v>0</v>
      </c>
      <c r="M95" s="15">
        <v>0</v>
      </c>
      <c r="N95" s="15">
        <v>0</v>
      </c>
      <c r="O95" s="15">
        <v>0</v>
      </c>
      <c r="P95" s="15">
        <v>0</v>
      </c>
      <c r="Q95" s="15">
        <v>0</v>
      </c>
      <c r="R95" s="15">
        <v>67.04</v>
      </c>
      <c r="S95" s="15">
        <v>1413.65</v>
      </c>
      <c r="T95" s="15">
        <v>1480.69</v>
      </c>
      <c r="U95" s="15">
        <v>2</v>
      </c>
      <c r="V95" s="15">
        <v>1</v>
      </c>
      <c r="W95" s="15">
        <v>1</v>
      </c>
      <c r="X95" s="15">
        <v>0.13333</v>
      </c>
      <c r="Y95" s="15">
        <v>18.51</v>
      </c>
      <c r="Z95" s="15">
        <v>18.51</v>
      </c>
      <c r="AA95" s="15">
        <v>40</v>
      </c>
      <c r="AB95" s="15">
        <v>5</v>
      </c>
      <c r="AC95" s="15">
        <v>3</v>
      </c>
      <c r="AD95" s="15">
        <v>2</v>
      </c>
      <c r="AE95" s="15">
        <v>0.33333</v>
      </c>
      <c r="AF95" s="15">
        <v>0</v>
      </c>
      <c r="AG95" s="15">
        <v>0</v>
      </c>
      <c r="AH95" s="15"/>
      <c r="AI95" s="15">
        <v>5</v>
      </c>
      <c r="AJ95" s="15">
        <v>16</v>
      </c>
      <c r="AK95" s="15">
        <v>5</v>
      </c>
      <c r="AL95" s="15">
        <v>16</v>
      </c>
      <c r="AM95" s="15">
        <v>0</v>
      </c>
      <c r="AN95" s="15"/>
      <c r="AO95" s="15">
        <v>0</v>
      </c>
      <c r="AP95" s="15">
        <v>16</v>
      </c>
      <c r="AQ95" s="15">
        <v>3</v>
      </c>
      <c r="AR95" s="15">
        <v>2416</v>
      </c>
      <c r="AS95" s="15">
        <v>0</v>
      </c>
      <c r="AT95" s="15">
        <v>0</v>
      </c>
      <c r="AU95" s="15">
        <v>0</v>
      </c>
      <c r="AV95" s="15">
        <v>0</v>
      </c>
      <c r="AW95" s="15">
        <v>0</v>
      </c>
      <c r="AX95" s="15">
        <v>2</v>
      </c>
      <c r="AY95" s="15">
        <v>137</v>
      </c>
      <c r="AZ95" s="15">
        <v>14</v>
      </c>
      <c r="BA95" s="15">
        <v>8</v>
      </c>
      <c r="BB95" s="15">
        <v>0.57143</v>
      </c>
      <c r="BC95" s="15">
        <v>0</v>
      </c>
      <c r="BD95" s="15">
        <v>0</v>
      </c>
      <c r="BE95" s="15">
        <v>0.45515</v>
      </c>
      <c r="BF95" s="15">
        <v>118</v>
      </c>
      <c r="BG95" s="15">
        <v>10</v>
      </c>
      <c r="BH95" s="15">
        <v>2</v>
      </c>
      <c r="BI95" s="15">
        <v>1</v>
      </c>
      <c r="BJ95" s="15">
        <v>0</v>
      </c>
      <c r="BK95" s="15">
        <v>0</v>
      </c>
      <c r="BL95" s="15">
        <v>0</v>
      </c>
      <c r="BM95" s="15">
        <v>2</v>
      </c>
      <c r="BN95" s="15">
        <v>1</v>
      </c>
      <c r="BO95" s="15">
        <v>740.35</v>
      </c>
      <c r="BP95" s="15">
        <v>0.06</v>
      </c>
      <c r="BQ95" s="15">
        <v>447</v>
      </c>
      <c r="BR95" s="15">
        <v>0</v>
      </c>
      <c r="BS95" s="15">
        <v>0</v>
      </c>
      <c r="BT95" s="15">
        <v>0</v>
      </c>
      <c r="BU95" s="15">
        <v>0</v>
      </c>
      <c r="BV95" s="15">
        <v>0</v>
      </c>
      <c r="BW95" s="15">
        <v>0</v>
      </c>
      <c r="BX95" s="15">
        <v>0</v>
      </c>
    </row>
    <row r="96" spans="1:76">
      <c r="A96" s="14" t="str">
        <f>VLOOKUP(C96,VLOOKUP!A:B,2,FALSE)</f>
        <v>福颜青</v>
      </c>
      <c r="B96" s="16">
        <v>46085</v>
      </c>
      <c r="C96" s="17">
        <v>833369552621</v>
      </c>
      <c r="D96" s="15" t="s">
        <v>151</v>
      </c>
      <c r="E96" s="15" t="s">
        <v>154</v>
      </c>
      <c r="F96" s="15">
        <v>2187</v>
      </c>
      <c r="G96" s="15">
        <v>53</v>
      </c>
      <c r="H96" s="15">
        <v>12.32</v>
      </c>
      <c r="I96" s="15">
        <v>0.02423</v>
      </c>
      <c r="J96" s="15">
        <v>0.23</v>
      </c>
      <c r="K96" s="15">
        <v>5.63</v>
      </c>
      <c r="L96" s="15">
        <v>0</v>
      </c>
      <c r="M96" s="15">
        <v>0</v>
      </c>
      <c r="N96" s="15">
        <v>0</v>
      </c>
      <c r="O96" s="15">
        <v>0</v>
      </c>
      <c r="P96" s="15">
        <v>0</v>
      </c>
      <c r="Q96" s="15">
        <v>0</v>
      </c>
      <c r="R96" s="15">
        <v>0</v>
      </c>
      <c r="S96" s="15">
        <v>0</v>
      </c>
      <c r="T96" s="15">
        <v>0</v>
      </c>
      <c r="U96" s="15">
        <v>0</v>
      </c>
      <c r="V96" s="15">
        <v>0</v>
      </c>
      <c r="W96" s="15">
        <v>0</v>
      </c>
      <c r="X96" s="15">
        <v>0</v>
      </c>
      <c r="Y96" s="15">
        <v>0</v>
      </c>
      <c r="Z96" s="15">
        <v>0</v>
      </c>
      <c r="AA96" s="15"/>
      <c r="AB96" s="15">
        <v>1</v>
      </c>
      <c r="AC96" s="15">
        <v>0</v>
      </c>
      <c r="AD96" s="15">
        <v>1</v>
      </c>
      <c r="AE96" s="15">
        <v>0.01887</v>
      </c>
      <c r="AF96" s="15">
        <v>1</v>
      </c>
      <c r="AG96" s="15">
        <v>0</v>
      </c>
      <c r="AH96" s="15"/>
      <c r="AI96" s="15">
        <v>2</v>
      </c>
      <c r="AJ96" s="15">
        <v>6.16</v>
      </c>
      <c r="AK96" s="15">
        <v>2</v>
      </c>
      <c r="AL96" s="15">
        <v>6.16</v>
      </c>
      <c r="AM96" s="15">
        <v>1</v>
      </c>
      <c r="AN96" s="15">
        <v>12.32</v>
      </c>
      <c r="AO96" s="15">
        <v>0.01887</v>
      </c>
      <c r="AP96" s="15">
        <v>12.32</v>
      </c>
      <c r="AQ96" s="15">
        <v>0</v>
      </c>
      <c r="AR96" s="15">
        <v>0</v>
      </c>
      <c r="AS96" s="15">
        <v>1</v>
      </c>
      <c r="AT96" s="15">
        <v>0</v>
      </c>
      <c r="AU96" s="15">
        <v>0</v>
      </c>
      <c r="AV96" s="15">
        <v>0</v>
      </c>
      <c r="AW96" s="15">
        <v>0</v>
      </c>
      <c r="AX96" s="15">
        <v>2</v>
      </c>
      <c r="AY96" s="15">
        <v>129</v>
      </c>
      <c r="AZ96" s="15">
        <v>52</v>
      </c>
      <c r="BA96" s="15">
        <v>46</v>
      </c>
      <c r="BB96" s="15">
        <v>0.88462</v>
      </c>
      <c r="BC96" s="15">
        <v>0</v>
      </c>
      <c r="BD96" s="15">
        <v>0</v>
      </c>
      <c r="BE96" s="15">
        <v>0.05898</v>
      </c>
      <c r="BF96" s="15">
        <v>71</v>
      </c>
      <c r="BG96" s="15">
        <v>2</v>
      </c>
      <c r="BH96" s="15">
        <v>0</v>
      </c>
      <c r="BI96" s="15"/>
      <c r="BJ96" s="15">
        <v>0</v>
      </c>
      <c r="BK96" s="15">
        <v>0</v>
      </c>
      <c r="BL96" s="15">
        <v>0</v>
      </c>
      <c r="BM96" s="15">
        <v>0</v>
      </c>
      <c r="BN96" s="15"/>
      <c r="BO96" s="15"/>
      <c r="BP96" s="15">
        <v>0</v>
      </c>
      <c r="BQ96" s="15">
        <v>756</v>
      </c>
      <c r="BR96" s="15">
        <v>0</v>
      </c>
      <c r="BS96" s="15">
        <v>0</v>
      </c>
      <c r="BT96" s="15">
        <v>0</v>
      </c>
      <c r="BU96" s="15">
        <v>0</v>
      </c>
      <c r="BV96" s="15">
        <v>0</v>
      </c>
      <c r="BW96" s="15">
        <v>0</v>
      </c>
      <c r="BX96" s="15">
        <v>0</v>
      </c>
    </row>
    <row r="97" spans="1:76">
      <c r="A97" s="14" t="str">
        <f>VLOOKUP(C97,VLOOKUP!A:B,2,FALSE)</f>
        <v>奇楠手串</v>
      </c>
      <c r="B97" s="16">
        <v>46085</v>
      </c>
      <c r="C97" s="17">
        <v>833035288991</v>
      </c>
      <c r="D97" s="15" t="s">
        <v>151</v>
      </c>
      <c r="E97" s="15" t="s">
        <v>159</v>
      </c>
      <c r="F97" s="15">
        <v>454</v>
      </c>
      <c r="G97" s="15">
        <v>22</v>
      </c>
      <c r="H97" s="15">
        <v>6.37</v>
      </c>
      <c r="I97" s="15">
        <v>0.04846</v>
      </c>
      <c r="J97" s="15">
        <v>0.29</v>
      </c>
      <c r="K97" s="15">
        <v>14.03</v>
      </c>
      <c r="L97" s="15">
        <v>0</v>
      </c>
      <c r="M97" s="15">
        <v>0</v>
      </c>
      <c r="N97" s="15">
        <v>0</v>
      </c>
      <c r="O97" s="15">
        <v>0</v>
      </c>
      <c r="P97" s="15">
        <v>0</v>
      </c>
      <c r="Q97" s="15">
        <v>0</v>
      </c>
      <c r="R97" s="15">
        <v>1413.55</v>
      </c>
      <c r="S97" s="15">
        <v>0</v>
      </c>
      <c r="T97" s="15">
        <v>1413.55</v>
      </c>
      <c r="U97" s="15">
        <v>1</v>
      </c>
      <c r="V97" s="15">
        <v>1</v>
      </c>
      <c r="W97" s="15">
        <v>0</v>
      </c>
      <c r="X97" s="15">
        <v>0.04545</v>
      </c>
      <c r="Y97" s="15">
        <v>221.91</v>
      </c>
      <c r="Z97" s="15">
        <v>221.91</v>
      </c>
      <c r="AA97" s="15">
        <v>6.37</v>
      </c>
      <c r="AB97" s="15">
        <v>0</v>
      </c>
      <c r="AC97" s="15">
        <v>0</v>
      </c>
      <c r="AD97" s="15">
        <v>0</v>
      </c>
      <c r="AE97" s="15">
        <v>0</v>
      </c>
      <c r="AF97" s="15">
        <v>1</v>
      </c>
      <c r="AG97" s="15">
        <v>0</v>
      </c>
      <c r="AH97" s="15"/>
      <c r="AI97" s="15">
        <v>1</v>
      </c>
      <c r="AJ97" s="15">
        <v>6.37</v>
      </c>
      <c r="AK97" s="15">
        <v>1</v>
      </c>
      <c r="AL97" s="15">
        <v>6.37</v>
      </c>
      <c r="AM97" s="15">
        <v>1</v>
      </c>
      <c r="AN97" s="15">
        <v>6.37</v>
      </c>
      <c r="AO97" s="15">
        <v>0.04545</v>
      </c>
      <c r="AP97" s="15"/>
      <c r="AQ97" s="15">
        <v>2</v>
      </c>
      <c r="AR97" s="15">
        <v>2338</v>
      </c>
      <c r="AS97" s="15">
        <v>1</v>
      </c>
      <c r="AT97" s="15">
        <v>0</v>
      </c>
      <c r="AU97" s="15">
        <v>0</v>
      </c>
      <c r="AV97" s="15">
        <v>0</v>
      </c>
      <c r="AW97" s="15">
        <v>0</v>
      </c>
      <c r="AX97" s="15">
        <v>0</v>
      </c>
      <c r="AY97" s="15">
        <v>37</v>
      </c>
      <c r="AZ97" s="15">
        <v>21</v>
      </c>
      <c r="BA97" s="15">
        <v>17</v>
      </c>
      <c r="BB97" s="15">
        <v>0.80952</v>
      </c>
      <c r="BC97" s="15">
        <v>0</v>
      </c>
      <c r="BD97" s="15">
        <v>0</v>
      </c>
      <c r="BE97" s="15">
        <v>0.0815</v>
      </c>
      <c r="BF97" s="15">
        <v>14</v>
      </c>
      <c r="BG97" s="15">
        <v>2</v>
      </c>
      <c r="BH97" s="15">
        <v>1</v>
      </c>
      <c r="BI97" s="15">
        <v>1</v>
      </c>
      <c r="BJ97" s="15">
        <v>0</v>
      </c>
      <c r="BK97" s="15">
        <v>0</v>
      </c>
      <c r="BL97" s="15">
        <v>0</v>
      </c>
      <c r="BM97" s="15">
        <v>1</v>
      </c>
      <c r="BN97" s="15">
        <v>1</v>
      </c>
      <c r="BO97" s="15">
        <v>1413.55</v>
      </c>
      <c r="BP97" s="15">
        <v>0</v>
      </c>
      <c r="BQ97" s="15">
        <v>0</v>
      </c>
      <c r="BR97" s="15">
        <v>0</v>
      </c>
      <c r="BS97" s="15">
        <v>0</v>
      </c>
      <c r="BT97" s="15">
        <v>0</v>
      </c>
      <c r="BU97" s="15">
        <v>0</v>
      </c>
      <c r="BV97" s="15">
        <v>0</v>
      </c>
      <c r="BW97" s="15">
        <v>0</v>
      </c>
      <c r="BX97" s="15">
        <v>0</v>
      </c>
    </row>
    <row r="98" spans="1:76">
      <c r="A98" s="14" t="str">
        <f>VLOOKUP(C98,VLOOKUP!A:B,2,FALSE)</f>
        <v>福到</v>
      </c>
      <c r="B98" s="16">
        <v>46084</v>
      </c>
      <c r="C98" s="17">
        <v>971856893567</v>
      </c>
      <c r="D98" s="15" t="s">
        <v>151</v>
      </c>
      <c r="E98" s="15" t="s">
        <v>152</v>
      </c>
      <c r="F98" s="15">
        <v>120</v>
      </c>
      <c r="G98" s="15">
        <v>8</v>
      </c>
      <c r="H98" s="15">
        <v>1.53</v>
      </c>
      <c r="I98" s="15">
        <v>0.06667</v>
      </c>
      <c r="J98" s="15">
        <v>0.19</v>
      </c>
      <c r="K98" s="15">
        <v>12.75</v>
      </c>
      <c r="L98" s="15">
        <v>0</v>
      </c>
      <c r="M98" s="15">
        <v>0</v>
      </c>
      <c r="N98" s="15">
        <v>0</v>
      </c>
      <c r="O98" s="15">
        <v>0</v>
      </c>
      <c r="P98" s="15">
        <v>0</v>
      </c>
      <c r="Q98" s="15">
        <v>0</v>
      </c>
      <c r="R98" s="15">
        <v>0</v>
      </c>
      <c r="S98" s="15">
        <v>0</v>
      </c>
      <c r="T98" s="15">
        <v>0</v>
      </c>
      <c r="U98" s="15">
        <v>0</v>
      </c>
      <c r="V98" s="15">
        <v>0</v>
      </c>
      <c r="W98" s="15">
        <v>0</v>
      </c>
      <c r="X98" s="15">
        <v>0</v>
      </c>
      <c r="Y98" s="15">
        <v>0</v>
      </c>
      <c r="Z98" s="15">
        <v>0</v>
      </c>
      <c r="AA98" s="15"/>
      <c r="AB98" s="15">
        <v>0</v>
      </c>
      <c r="AC98" s="15">
        <v>0</v>
      </c>
      <c r="AD98" s="15">
        <v>0</v>
      </c>
      <c r="AE98" s="15">
        <v>0</v>
      </c>
      <c r="AF98" s="15">
        <v>0</v>
      </c>
      <c r="AG98" s="15">
        <v>0</v>
      </c>
      <c r="AH98" s="15"/>
      <c r="AI98" s="15">
        <v>0</v>
      </c>
      <c r="AJ98" s="15"/>
      <c r="AK98" s="15">
        <v>0</v>
      </c>
      <c r="AL98" s="15"/>
      <c r="AM98" s="15">
        <v>0</v>
      </c>
      <c r="AN98" s="15"/>
      <c r="AO98" s="15">
        <v>0</v>
      </c>
      <c r="AP98" s="15"/>
      <c r="AQ98" s="15">
        <v>0</v>
      </c>
      <c r="AR98" s="15">
        <v>0</v>
      </c>
      <c r="AS98" s="15">
        <v>0</v>
      </c>
      <c r="AT98" s="15">
        <v>0</v>
      </c>
      <c r="AU98" s="15">
        <v>0</v>
      </c>
      <c r="AV98" s="15">
        <v>0</v>
      </c>
      <c r="AW98" s="15">
        <v>0</v>
      </c>
      <c r="AX98" s="15">
        <v>1</v>
      </c>
      <c r="AY98" s="15">
        <v>66</v>
      </c>
      <c r="AZ98" s="15">
        <v>7</v>
      </c>
      <c r="BA98" s="15">
        <v>4</v>
      </c>
      <c r="BB98" s="15">
        <v>0.57143</v>
      </c>
      <c r="BC98" s="15">
        <v>0</v>
      </c>
      <c r="BD98" s="15">
        <v>0</v>
      </c>
      <c r="BE98" s="15">
        <v>0.55</v>
      </c>
      <c r="BF98" s="15">
        <v>58</v>
      </c>
      <c r="BG98" s="15">
        <v>9</v>
      </c>
      <c r="BH98" s="15">
        <v>0</v>
      </c>
      <c r="BI98" s="15"/>
      <c r="BJ98" s="15">
        <v>0</v>
      </c>
      <c r="BK98" s="15">
        <v>0</v>
      </c>
      <c r="BL98" s="15">
        <v>0</v>
      </c>
      <c r="BM98" s="15">
        <v>0</v>
      </c>
      <c r="BN98" s="15"/>
      <c r="BO98" s="15"/>
      <c r="BP98" s="15">
        <v>0</v>
      </c>
      <c r="BQ98" s="15">
        <v>2</v>
      </c>
      <c r="BR98" s="15">
        <v>0</v>
      </c>
      <c r="BS98" s="15">
        <v>0</v>
      </c>
      <c r="BT98" s="15">
        <v>0</v>
      </c>
      <c r="BU98" s="15">
        <v>0</v>
      </c>
      <c r="BV98" s="15">
        <v>0</v>
      </c>
      <c r="BW98" s="15">
        <v>0</v>
      </c>
      <c r="BX98" s="15">
        <v>0</v>
      </c>
    </row>
    <row r="99" spans="1:76">
      <c r="A99" s="14" t="str">
        <f>VLOOKUP(C99,VLOOKUP!A:B,2,FALSE)</f>
        <v>如意盘香</v>
      </c>
      <c r="B99" s="16">
        <v>46084</v>
      </c>
      <c r="C99" s="17">
        <v>838711327669</v>
      </c>
      <c r="D99" s="15" t="s">
        <v>151</v>
      </c>
      <c r="E99" s="15" t="s">
        <v>158</v>
      </c>
      <c r="F99" s="15">
        <v>598</v>
      </c>
      <c r="G99" s="15">
        <v>41</v>
      </c>
      <c r="H99" s="15">
        <v>80</v>
      </c>
      <c r="I99" s="15">
        <v>0.06856</v>
      </c>
      <c r="J99" s="15">
        <v>1.95</v>
      </c>
      <c r="K99" s="15">
        <v>133.78</v>
      </c>
      <c r="L99" s="15">
        <v>0</v>
      </c>
      <c r="M99" s="15">
        <v>0</v>
      </c>
      <c r="N99" s="15">
        <v>0</v>
      </c>
      <c r="O99" s="15">
        <v>0</v>
      </c>
      <c r="P99" s="15">
        <v>0</v>
      </c>
      <c r="Q99" s="15">
        <v>0</v>
      </c>
      <c r="R99" s="15">
        <v>0</v>
      </c>
      <c r="S99" s="15">
        <v>135.04</v>
      </c>
      <c r="T99" s="15">
        <v>135.04</v>
      </c>
      <c r="U99" s="15">
        <v>2</v>
      </c>
      <c r="V99" s="15">
        <v>0</v>
      </c>
      <c r="W99" s="15">
        <v>2</v>
      </c>
      <c r="X99" s="15">
        <v>0.04878</v>
      </c>
      <c r="Y99" s="15">
        <v>1.69</v>
      </c>
      <c r="Z99" s="15">
        <v>1.69</v>
      </c>
      <c r="AA99" s="15">
        <v>40</v>
      </c>
      <c r="AB99" s="15">
        <v>4</v>
      </c>
      <c r="AC99" s="15">
        <v>1</v>
      </c>
      <c r="AD99" s="15">
        <v>3</v>
      </c>
      <c r="AE99" s="15">
        <v>0.09756</v>
      </c>
      <c r="AF99" s="15">
        <v>0</v>
      </c>
      <c r="AG99" s="15">
        <v>1</v>
      </c>
      <c r="AH99" s="15">
        <v>80</v>
      </c>
      <c r="AI99" s="15">
        <v>5</v>
      </c>
      <c r="AJ99" s="15">
        <v>16</v>
      </c>
      <c r="AK99" s="15">
        <v>4</v>
      </c>
      <c r="AL99" s="15">
        <v>20</v>
      </c>
      <c r="AM99" s="15">
        <v>1</v>
      </c>
      <c r="AN99" s="15"/>
      <c r="AO99" s="15">
        <v>0</v>
      </c>
      <c r="AP99" s="15">
        <v>20</v>
      </c>
      <c r="AQ99" s="15">
        <v>3</v>
      </c>
      <c r="AR99" s="15">
        <v>167.9</v>
      </c>
      <c r="AS99" s="15">
        <v>0</v>
      </c>
      <c r="AT99" s="15">
        <v>0</v>
      </c>
      <c r="AU99" s="15">
        <v>0</v>
      </c>
      <c r="AV99" s="15">
        <v>0</v>
      </c>
      <c r="AW99" s="15">
        <v>0</v>
      </c>
      <c r="AX99" s="15">
        <v>2</v>
      </c>
      <c r="AY99" s="15">
        <v>200</v>
      </c>
      <c r="AZ99" s="15">
        <v>38</v>
      </c>
      <c r="BA99" s="15">
        <v>30</v>
      </c>
      <c r="BB99" s="15">
        <v>0.78947</v>
      </c>
      <c r="BC99" s="15">
        <v>0</v>
      </c>
      <c r="BD99" s="15">
        <v>0</v>
      </c>
      <c r="BE99" s="15">
        <v>0.33445</v>
      </c>
      <c r="BF99" s="15">
        <v>159</v>
      </c>
      <c r="BG99" s="15">
        <v>5</v>
      </c>
      <c r="BH99" s="15">
        <v>1</v>
      </c>
      <c r="BI99" s="15">
        <v>1</v>
      </c>
      <c r="BJ99" s="15">
        <v>0</v>
      </c>
      <c r="BK99" s="15">
        <v>0</v>
      </c>
      <c r="BL99" s="15">
        <v>0</v>
      </c>
      <c r="BM99" s="15">
        <v>1</v>
      </c>
      <c r="BN99" s="15">
        <v>2</v>
      </c>
      <c r="BO99" s="15">
        <v>135.04</v>
      </c>
      <c r="BP99" s="15">
        <v>37.16</v>
      </c>
      <c r="BQ99" s="15">
        <v>387</v>
      </c>
      <c r="BR99" s="15">
        <v>0</v>
      </c>
      <c r="BS99" s="15">
        <v>0</v>
      </c>
      <c r="BT99" s="15">
        <v>0</v>
      </c>
      <c r="BU99" s="15">
        <v>0</v>
      </c>
      <c r="BV99" s="15">
        <v>0</v>
      </c>
      <c r="BW99" s="15">
        <v>0</v>
      </c>
      <c r="BX99" s="15">
        <v>0</v>
      </c>
    </row>
    <row r="100" spans="1:76">
      <c r="A100" s="14" t="str">
        <f>VLOOKUP(C100,VLOOKUP!A:B,2,FALSE)</f>
        <v>福颜青</v>
      </c>
      <c r="B100" s="16">
        <v>46084</v>
      </c>
      <c r="C100" s="17">
        <v>833369552621</v>
      </c>
      <c r="D100" s="15" t="s">
        <v>151</v>
      </c>
      <c r="E100" s="15" t="s">
        <v>154</v>
      </c>
      <c r="F100" s="15">
        <v>2547</v>
      </c>
      <c r="G100" s="15">
        <v>49</v>
      </c>
      <c r="H100" s="15">
        <v>10.59</v>
      </c>
      <c r="I100" s="15">
        <v>0.01924</v>
      </c>
      <c r="J100" s="15">
        <v>0.22</v>
      </c>
      <c r="K100" s="15">
        <v>4.16</v>
      </c>
      <c r="L100" s="15">
        <v>0</v>
      </c>
      <c r="M100" s="15">
        <v>0</v>
      </c>
      <c r="N100" s="15">
        <v>0</v>
      </c>
      <c r="O100" s="15">
        <v>0</v>
      </c>
      <c r="P100" s="15">
        <v>0</v>
      </c>
      <c r="Q100" s="15">
        <v>0</v>
      </c>
      <c r="R100" s="15">
        <v>0</v>
      </c>
      <c r="S100" s="15">
        <v>0</v>
      </c>
      <c r="T100" s="15">
        <v>0</v>
      </c>
      <c r="U100" s="15">
        <v>0</v>
      </c>
      <c r="V100" s="15">
        <v>0</v>
      </c>
      <c r="W100" s="15">
        <v>0</v>
      </c>
      <c r="X100" s="15">
        <v>0</v>
      </c>
      <c r="Y100" s="15">
        <v>0</v>
      </c>
      <c r="Z100" s="15">
        <v>0</v>
      </c>
      <c r="AA100" s="15"/>
      <c r="AB100" s="15">
        <v>5</v>
      </c>
      <c r="AC100" s="15">
        <v>0</v>
      </c>
      <c r="AD100" s="15">
        <v>5</v>
      </c>
      <c r="AE100" s="15">
        <v>0.10204</v>
      </c>
      <c r="AF100" s="15">
        <v>0</v>
      </c>
      <c r="AG100" s="15">
        <v>1</v>
      </c>
      <c r="AH100" s="15">
        <v>10.59</v>
      </c>
      <c r="AI100" s="15">
        <v>6</v>
      </c>
      <c r="AJ100" s="15">
        <v>1.77</v>
      </c>
      <c r="AK100" s="15">
        <v>5</v>
      </c>
      <c r="AL100" s="15">
        <v>2.12</v>
      </c>
      <c r="AM100" s="15">
        <v>1</v>
      </c>
      <c r="AN100" s="15"/>
      <c r="AO100" s="15">
        <v>0</v>
      </c>
      <c r="AP100" s="15">
        <v>2.12</v>
      </c>
      <c r="AQ100" s="15">
        <v>0</v>
      </c>
      <c r="AR100" s="15">
        <v>0</v>
      </c>
      <c r="AS100" s="15">
        <v>0</v>
      </c>
      <c r="AT100" s="15">
        <v>0</v>
      </c>
      <c r="AU100" s="15">
        <v>0</v>
      </c>
      <c r="AV100" s="15">
        <v>0</v>
      </c>
      <c r="AW100" s="15">
        <v>0</v>
      </c>
      <c r="AX100" s="15">
        <v>1</v>
      </c>
      <c r="AY100" s="15">
        <v>183</v>
      </c>
      <c r="AZ100" s="15">
        <v>38</v>
      </c>
      <c r="BA100" s="15">
        <v>30</v>
      </c>
      <c r="BB100" s="15">
        <v>0.78947</v>
      </c>
      <c r="BC100" s="15">
        <v>0</v>
      </c>
      <c r="BD100" s="15">
        <v>0</v>
      </c>
      <c r="BE100" s="15">
        <v>0.07185</v>
      </c>
      <c r="BF100" s="15">
        <v>138</v>
      </c>
      <c r="BG100" s="15">
        <v>5</v>
      </c>
      <c r="BH100" s="15">
        <v>0</v>
      </c>
      <c r="BI100" s="15"/>
      <c r="BJ100" s="15">
        <v>0</v>
      </c>
      <c r="BK100" s="15">
        <v>0</v>
      </c>
      <c r="BL100" s="15">
        <v>0</v>
      </c>
      <c r="BM100" s="15">
        <v>0</v>
      </c>
      <c r="BN100" s="15"/>
      <c r="BO100" s="15"/>
      <c r="BP100" s="15">
        <v>30.08</v>
      </c>
      <c r="BQ100" s="15">
        <v>97</v>
      </c>
      <c r="BR100" s="15">
        <v>0</v>
      </c>
      <c r="BS100" s="15">
        <v>0</v>
      </c>
      <c r="BT100" s="15">
        <v>0</v>
      </c>
      <c r="BU100" s="15">
        <v>0</v>
      </c>
      <c r="BV100" s="15">
        <v>0</v>
      </c>
      <c r="BW100" s="15">
        <v>0</v>
      </c>
      <c r="BX100" s="15">
        <v>0</v>
      </c>
    </row>
    <row r="101" spans="1:76">
      <c r="A101" s="14" t="str">
        <f>VLOOKUP(C101,VLOOKUP!A:B,2,FALSE)</f>
        <v>奇楠手串</v>
      </c>
      <c r="B101" s="16">
        <v>46084</v>
      </c>
      <c r="C101" s="17">
        <v>833035288991</v>
      </c>
      <c r="D101" s="15" t="s">
        <v>151</v>
      </c>
      <c r="E101" s="15" t="s">
        <v>159</v>
      </c>
      <c r="F101" s="15">
        <v>1145</v>
      </c>
      <c r="G101" s="15">
        <v>49</v>
      </c>
      <c r="H101" s="15">
        <v>14.04</v>
      </c>
      <c r="I101" s="15">
        <v>0.04279</v>
      </c>
      <c r="J101" s="15">
        <v>0.29</v>
      </c>
      <c r="K101" s="15">
        <v>12.26</v>
      </c>
      <c r="L101" s="15">
        <v>0</v>
      </c>
      <c r="M101" s="15">
        <v>0</v>
      </c>
      <c r="N101" s="15">
        <v>0</v>
      </c>
      <c r="O101" s="15">
        <v>0</v>
      </c>
      <c r="P101" s="15">
        <v>0</v>
      </c>
      <c r="Q101" s="15">
        <v>0</v>
      </c>
      <c r="R101" s="15">
        <v>0</v>
      </c>
      <c r="S101" s="15">
        <v>0</v>
      </c>
      <c r="T101" s="15">
        <v>0</v>
      </c>
      <c r="U101" s="15">
        <v>0</v>
      </c>
      <c r="V101" s="15">
        <v>0</v>
      </c>
      <c r="W101" s="15">
        <v>0</v>
      </c>
      <c r="X101" s="15">
        <v>0</v>
      </c>
      <c r="Y101" s="15">
        <v>0</v>
      </c>
      <c r="Z101" s="15">
        <v>0</v>
      </c>
      <c r="AA101" s="15"/>
      <c r="AB101" s="15">
        <v>4</v>
      </c>
      <c r="AC101" s="15">
        <v>0</v>
      </c>
      <c r="AD101" s="15">
        <v>4</v>
      </c>
      <c r="AE101" s="15">
        <v>0.08163</v>
      </c>
      <c r="AF101" s="15">
        <v>0</v>
      </c>
      <c r="AG101" s="15">
        <v>2</v>
      </c>
      <c r="AH101" s="15">
        <v>7.02</v>
      </c>
      <c r="AI101" s="15">
        <v>6</v>
      </c>
      <c r="AJ101" s="15">
        <v>2.34</v>
      </c>
      <c r="AK101" s="15">
        <v>4</v>
      </c>
      <c r="AL101" s="15">
        <v>3.51</v>
      </c>
      <c r="AM101" s="15">
        <v>2</v>
      </c>
      <c r="AN101" s="15"/>
      <c r="AO101" s="15">
        <v>0</v>
      </c>
      <c r="AP101" s="15">
        <v>3.51</v>
      </c>
      <c r="AQ101" s="15">
        <v>0</v>
      </c>
      <c r="AR101" s="15">
        <v>0</v>
      </c>
      <c r="AS101" s="15">
        <v>0</v>
      </c>
      <c r="AT101" s="15">
        <v>0</v>
      </c>
      <c r="AU101" s="15">
        <v>0</v>
      </c>
      <c r="AV101" s="15">
        <v>0</v>
      </c>
      <c r="AW101" s="15">
        <v>0</v>
      </c>
      <c r="AX101" s="15">
        <v>2</v>
      </c>
      <c r="AY101" s="15">
        <v>171</v>
      </c>
      <c r="AZ101" s="15">
        <v>47</v>
      </c>
      <c r="BA101" s="15">
        <v>38</v>
      </c>
      <c r="BB101" s="15">
        <v>0.80851</v>
      </c>
      <c r="BC101" s="15">
        <v>0</v>
      </c>
      <c r="BD101" s="15">
        <v>0</v>
      </c>
      <c r="BE101" s="15">
        <v>0.14934</v>
      </c>
      <c r="BF101" s="15">
        <v>117</v>
      </c>
      <c r="BG101" s="15">
        <v>4</v>
      </c>
      <c r="BH101" s="15">
        <v>0</v>
      </c>
      <c r="BI101" s="15"/>
      <c r="BJ101" s="15">
        <v>0</v>
      </c>
      <c r="BK101" s="15">
        <v>0</v>
      </c>
      <c r="BL101" s="15">
        <v>0</v>
      </c>
      <c r="BM101" s="15">
        <v>0</v>
      </c>
      <c r="BN101" s="15"/>
      <c r="BO101" s="15"/>
      <c r="BP101" s="15">
        <v>0.06</v>
      </c>
      <c r="BQ101" s="15">
        <v>33</v>
      </c>
      <c r="BR101" s="15">
        <v>0</v>
      </c>
      <c r="BS101" s="15">
        <v>0</v>
      </c>
      <c r="BT101" s="15">
        <v>0</v>
      </c>
      <c r="BU101" s="15">
        <v>0</v>
      </c>
      <c r="BV101" s="15">
        <v>0</v>
      </c>
      <c r="BW101" s="15">
        <v>0</v>
      </c>
      <c r="BX101" s="15">
        <v>0</v>
      </c>
    </row>
    <row r="102" spans="1:76">
      <c r="A102" s="14" t="str">
        <f>VLOOKUP(C102,VLOOKUP!A:B,2,FALSE)</f>
        <v>福到</v>
      </c>
      <c r="B102" s="16">
        <v>46083</v>
      </c>
      <c r="C102" s="17">
        <v>971856893567</v>
      </c>
      <c r="D102" s="15" t="s">
        <v>151</v>
      </c>
      <c r="E102" s="15" t="s">
        <v>152</v>
      </c>
      <c r="F102" s="15">
        <v>146</v>
      </c>
      <c r="G102" s="15">
        <v>4</v>
      </c>
      <c r="H102" s="15">
        <v>0.93</v>
      </c>
      <c r="I102" s="15">
        <v>0.0274</v>
      </c>
      <c r="J102" s="15">
        <v>0.23</v>
      </c>
      <c r="K102" s="15">
        <v>6.37</v>
      </c>
      <c r="L102" s="15">
        <v>0</v>
      </c>
      <c r="M102" s="15">
        <v>0</v>
      </c>
      <c r="N102" s="15">
        <v>0</v>
      </c>
      <c r="O102" s="15">
        <v>0</v>
      </c>
      <c r="P102" s="15">
        <v>0</v>
      </c>
      <c r="Q102" s="15">
        <v>0</v>
      </c>
      <c r="R102" s="15">
        <v>0</v>
      </c>
      <c r="S102" s="15">
        <v>0</v>
      </c>
      <c r="T102" s="15">
        <v>0</v>
      </c>
      <c r="U102" s="15">
        <v>0</v>
      </c>
      <c r="V102" s="15">
        <v>0</v>
      </c>
      <c r="W102" s="15">
        <v>0</v>
      </c>
      <c r="X102" s="15">
        <v>0</v>
      </c>
      <c r="Y102" s="15">
        <v>0</v>
      </c>
      <c r="Z102" s="15">
        <v>0</v>
      </c>
      <c r="AA102" s="15"/>
      <c r="AB102" s="15">
        <v>0</v>
      </c>
      <c r="AC102" s="15">
        <v>0</v>
      </c>
      <c r="AD102" s="15">
        <v>0</v>
      </c>
      <c r="AE102" s="15">
        <v>0</v>
      </c>
      <c r="AF102" s="15">
        <v>0</v>
      </c>
      <c r="AG102" s="15">
        <v>0</v>
      </c>
      <c r="AH102" s="15"/>
      <c r="AI102" s="15">
        <v>0</v>
      </c>
      <c r="AJ102" s="15"/>
      <c r="AK102" s="15">
        <v>0</v>
      </c>
      <c r="AL102" s="15"/>
      <c r="AM102" s="15">
        <v>0</v>
      </c>
      <c r="AN102" s="15"/>
      <c r="AO102" s="15">
        <v>0</v>
      </c>
      <c r="AP102" s="15"/>
      <c r="AQ102" s="15">
        <v>0</v>
      </c>
      <c r="AR102" s="15">
        <v>0</v>
      </c>
      <c r="AS102" s="15">
        <v>0</v>
      </c>
      <c r="AT102" s="15">
        <v>0</v>
      </c>
      <c r="AU102" s="15">
        <v>0</v>
      </c>
      <c r="AV102" s="15">
        <v>0</v>
      </c>
      <c r="AW102" s="15">
        <v>0</v>
      </c>
      <c r="AX102" s="15">
        <v>0</v>
      </c>
      <c r="AY102" s="15">
        <v>8</v>
      </c>
      <c r="AZ102" s="15">
        <v>4</v>
      </c>
      <c r="BA102" s="15">
        <v>4</v>
      </c>
      <c r="BB102" s="15">
        <v>1</v>
      </c>
      <c r="BC102" s="15">
        <v>0</v>
      </c>
      <c r="BD102" s="15">
        <v>0</v>
      </c>
      <c r="BE102" s="15">
        <v>0.05479</v>
      </c>
      <c r="BF102" s="15">
        <v>4</v>
      </c>
      <c r="BG102" s="15">
        <v>2</v>
      </c>
      <c r="BH102" s="15">
        <v>0</v>
      </c>
      <c r="BI102" s="15"/>
      <c r="BJ102" s="15">
        <v>0</v>
      </c>
      <c r="BK102" s="15">
        <v>0</v>
      </c>
      <c r="BL102" s="15">
        <v>0</v>
      </c>
      <c r="BM102" s="15">
        <v>0</v>
      </c>
      <c r="BN102" s="15"/>
      <c r="BO102" s="15"/>
      <c r="BP102" s="15">
        <v>0</v>
      </c>
      <c r="BQ102" s="15">
        <v>2</v>
      </c>
      <c r="BR102" s="15">
        <v>0</v>
      </c>
      <c r="BS102" s="15">
        <v>0</v>
      </c>
      <c r="BT102" s="15">
        <v>0</v>
      </c>
      <c r="BU102" s="15">
        <v>0</v>
      </c>
      <c r="BV102" s="15">
        <v>0</v>
      </c>
      <c r="BW102" s="15">
        <v>0</v>
      </c>
      <c r="BX102" s="15">
        <v>0</v>
      </c>
    </row>
    <row r="103" spans="1:76">
      <c r="A103" s="14" t="str">
        <f>VLOOKUP(C103,VLOOKUP!A:B,2,FALSE)</f>
        <v>如意盘香</v>
      </c>
      <c r="B103" s="16">
        <v>46083</v>
      </c>
      <c r="C103" s="17">
        <v>838711327669</v>
      </c>
      <c r="D103" s="15" t="s">
        <v>151</v>
      </c>
      <c r="E103" s="15" t="s">
        <v>158</v>
      </c>
      <c r="F103" s="15">
        <v>686</v>
      </c>
      <c r="G103" s="15">
        <v>28</v>
      </c>
      <c r="H103" s="15">
        <v>79.56</v>
      </c>
      <c r="I103" s="15">
        <v>0.04082</v>
      </c>
      <c r="J103" s="15">
        <v>2.84</v>
      </c>
      <c r="K103" s="15">
        <v>115.98</v>
      </c>
      <c r="L103" s="15">
        <v>0</v>
      </c>
      <c r="M103" s="15">
        <v>0</v>
      </c>
      <c r="N103" s="15">
        <v>0</v>
      </c>
      <c r="O103" s="15">
        <v>0</v>
      </c>
      <c r="P103" s="15">
        <v>0</v>
      </c>
      <c r="Q103" s="15">
        <v>0</v>
      </c>
      <c r="R103" s="15">
        <v>0</v>
      </c>
      <c r="S103" s="15">
        <v>0</v>
      </c>
      <c r="T103" s="15">
        <v>0</v>
      </c>
      <c r="U103" s="15">
        <v>0</v>
      </c>
      <c r="V103" s="15">
        <v>0</v>
      </c>
      <c r="W103" s="15">
        <v>0</v>
      </c>
      <c r="X103" s="15">
        <v>0</v>
      </c>
      <c r="Y103" s="15">
        <v>0</v>
      </c>
      <c r="Z103" s="15">
        <v>0</v>
      </c>
      <c r="AA103" s="15"/>
      <c r="AB103" s="15">
        <v>3</v>
      </c>
      <c r="AC103" s="15">
        <v>3</v>
      </c>
      <c r="AD103" s="15">
        <v>0</v>
      </c>
      <c r="AE103" s="15">
        <v>0.10714</v>
      </c>
      <c r="AF103" s="15">
        <v>0</v>
      </c>
      <c r="AG103" s="15">
        <v>1</v>
      </c>
      <c r="AH103" s="15">
        <v>79.56</v>
      </c>
      <c r="AI103" s="15">
        <v>4</v>
      </c>
      <c r="AJ103" s="15">
        <v>19.89</v>
      </c>
      <c r="AK103" s="15">
        <v>3</v>
      </c>
      <c r="AL103" s="15">
        <v>26.52</v>
      </c>
      <c r="AM103" s="15">
        <v>1</v>
      </c>
      <c r="AN103" s="15"/>
      <c r="AO103" s="15">
        <v>0</v>
      </c>
      <c r="AP103" s="15">
        <v>26.52</v>
      </c>
      <c r="AQ103" s="15">
        <v>0</v>
      </c>
      <c r="AR103" s="15">
        <v>0</v>
      </c>
      <c r="AS103" s="15">
        <v>0</v>
      </c>
      <c r="AT103" s="15">
        <v>0</v>
      </c>
      <c r="AU103" s="15">
        <v>0</v>
      </c>
      <c r="AV103" s="15">
        <v>0</v>
      </c>
      <c r="AW103" s="15">
        <v>0</v>
      </c>
      <c r="AX103" s="15">
        <v>1</v>
      </c>
      <c r="AY103" s="15">
        <v>72</v>
      </c>
      <c r="AZ103" s="15">
        <v>23</v>
      </c>
      <c r="BA103" s="15">
        <v>15</v>
      </c>
      <c r="BB103" s="15">
        <v>0.65217</v>
      </c>
      <c r="BC103" s="15">
        <v>0</v>
      </c>
      <c r="BD103" s="15">
        <v>0</v>
      </c>
      <c r="BE103" s="15">
        <v>0.10496</v>
      </c>
      <c r="BF103" s="15">
        <v>43</v>
      </c>
      <c r="BG103" s="15">
        <v>3</v>
      </c>
      <c r="BH103" s="15">
        <v>0</v>
      </c>
      <c r="BI103" s="15"/>
      <c r="BJ103" s="15">
        <v>0</v>
      </c>
      <c r="BK103" s="15">
        <v>0</v>
      </c>
      <c r="BL103" s="15">
        <v>0</v>
      </c>
      <c r="BM103" s="15">
        <v>0</v>
      </c>
      <c r="BN103" s="15"/>
      <c r="BO103" s="15"/>
      <c r="BP103" s="15">
        <v>3.86</v>
      </c>
      <c r="BQ103" s="15">
        <v>83</v>
      </c>
      <c r="BR103" s="15">
        <v>0</v>
      </c>
      <c r="BS103" s="15">
        <v>0</v>
      </c>
      <c r="BT103" s="15">
        <v>0</v>
      </c>
      <c r="BU103" s="15">
        <v>0</v>
      </c>
      <c r="BV103" s="15">
        <v>0</v>
      </c>
      <c r="BW103" s="15">
        <v>0</v>
      </c>
      <c r="BX103" s="15">
        <v>0</v>
      </c>
    </row>
    <row r="104" spans="1:76">
      <c r="A104" s="14" t="str">
        <f>VLOOKUP(C104,VLOOKUP!A:B,2,FALSE)</f>
        <v>福颜青</v>
      </c>
      <c r="B104" s="16">
        <v>46083</v>
      </c>
      <c r="C104" s="17">
        <v>833369552621</v>
      </c>
      <c r="D104" s="15" t="s">
        <v>151</v>
      </c>
      <c r="E104" s="15" t="s">
        <v>154</v>
      </c>
      <c r="F104" s="15">
        <v>2863</v>
      </c>
      <c r="G104" s="15">
        <v>65</v>
      </c>
      <c r="H104" s="15">
        <v>15.62</v>
      </c>
      <c r="I104" s="15">
        <v>0.0227</v>
      </c>
      <c r="J104" s="15">
        <v>0.24</v>
      </c>
      <c r="K104" s="15">
        <v>5.46</v>
      </c>
      <c r="L104" s="15">
        <v>0</v>
      </c>
      <c r="M104" s="15">
        <v>0</v>
      </c>
      <c r="N104" s="15">
        <v>0</v>
      </c>
      <c r="O104" s="15">
        <v>0</v>
      </c>
      <c r="P104" s="15">
        <v>0</v>
      </c>
      <c r="Q104" s="15">
        <v>0</v>
      </c>
      <c r="R104" s="15">
        <v>0</v>
      </c>
      <c r="S104" s="15">
        <v>0</v>
      </c>
      <c r="T104" s="15">
        <v>0</v>
      </c>
      <c r="U104" s="15">
        <v>0</v>
      </c>
      <c r="V104" s="15">
        <v>0</v>
      </c>
      <c r="W104" s="15">
        <v>0</v>
      </c>
      <c r="X104" s="15">
        <v>0</v>
      </c>
      <c r="Y104" s="15">
        <v>0</v>
      </c>
      <c r="Z104" s="15">
        <v>0</v>
      </c>
      <c r="AA104" s="15"/>
      <c r="AB104" s="15">
        <v>0</v>
      </c>
      <c r="AC104" s="15">
        <v>0</v>
      </c>
      <c r="AD104" s="15">
        <v>0</v>
      </c>
      <c r="AE104" s="15">
        <v>0</v>
      </c>
      <c r="AF104" s="15">
        <v>3</v>
      </c>
      <c r="AG104" s="15">
        <v>1</v>
      </c>
      <c r="AH104" s="15">
        <v>15.62</v>
      </c>
      <c r="AI104" s="15">
        <v>4</v>
      </c>
      <c r="AJ104" s="15">
        <v>3.91</v>
      </c>
      <c r="AK104" s="15">
        <v>3</v>
      </c>
      <c r="AL104" s="15">
        <v>5.21</v>
      </c>
      <c r="AM104" s="15">
        <v>4</v>
      </c>
      <c r="AN104" s="15">
        <v>5.21</v>
      </c>
      <c r="AO104" s="15">
        <v>0.04615</v>
      </c>
      <c r="AP104" s="15"/>
      <c r="AQ104" s="15">
        <v>0</v>
      </c>
      <c r="AR104" s="15">
        <v>0</v>
      </c>
      <c r="AS104" s="15">
        <v>0</v>
      </c>
      <c r="AT104" s="15">
        <v>3</v>
      </c>
      <c r="AU104" s="15">
        <v>0</v>
      </c>
      <c r="AV104" s="15">
        <v>0</v>
      </c>
      <c r="AW104" s="15">
        <v>0</v>
      </c>
      <c r="AX104" s="15">
        <v>0</v>
      </c>
      <c r="AY104" s="15">
        <v>199</v>
      </c>
      <c r="AZ104" s="15">
        <v>59</v>
      </c>
      <c r="BA104" s="15">
        <v>57</v>
      </c>
      <c r="BB104" s="15">
        <v>0.9661</v>
      </c>
      <c r="BC104" s="15">
        <v>0</v>
      </c>
      <c r="BD104" s="15">
        <v>0</v>
      </c>
      <c r="BE104" s="15">
        <v>0.06951</v>
      </c>
      <c r="BF104" s="15">
        <v>129</v>
      </c>
      <c r="BG104" s="15">
        <v>3</v>
      </c>
      <c r="BH104" s="15">
        <v>0</v>
      </c>
      <c r="BI104" s="15"/>
      <c r="BJ104" s="15">
        <v>0</v>
      </c>
      <c r="BK104" s="15">
        <v>0</v>
      </c>
      <c r="BL104" s="15">
        <v>0</v>
      </c>
      <c r="BM104" s="15">
        <v>0</v>
      </c>
      <c r="BN104" s="15"/>
      <c r="BO104" s="15"/>
      <c r="BP104" s="15">
        <v>0</v>
      </c>
      <c r="BQ104" s="15">
        <v>51</v>
      </c>
      <c r="BR104" s="15">
        <v>0</v>
      </c>
      <c r="BS104" s="15">
        <v>0</v>
      </c>
      <c r="BT104" s="15">
        <v>0</v>
      </c>
      <c r="BU104" s="15">
        <v>0</v>
      </c>
      <c r="BV104" s="15">
        <v>0</v>
      </c>
      <c r="BW104" s="15">
        <v>0</v>
      </c>
      <c r="BX104" s="15">
        <v>0</v>
      </c>
    </row>
    <row r="105" spans="1:76">
      <c r="A105" s="14" t="str">
        <f>VLOOKUP(C105,VLOOKUP!A:B,2,FALSE)</f>
        <v>奇楠手串</v>
      </c>
      <c r="B105" s="16">
        <v>46083</v>
      </c>
      <c r="C105" s="17">
        <v>833035288991</v>
      </c>
      <c r="D105" s="15" t="s">
        <v>151</v>
      </c>
      <c r="E105" s="15" t="s">
        <v>159</v>
      </c>
      <c r="F105" s="15">
        <v>1511</v>
      </c>
      <c r="G105" s="15">
        <v>54</v>
      </c>
      <c r="H105" s="15">
        <v>16.22</v>
      </c>
      <c r="I105" s="15">
        <v>0.03574</v>
      </c>
      <c r="J105" s="15">
        <v>0.3</v>
      </c>
      <c r="K105" s="15">
        <v>10.73</v>
      </c>
      <c r="L105" s="15">
        <v>0</v>
      </c>
      <c r="M105" s="15">
        <v>0</v>
      </c>
      <c r="N105" s="15">
        <v>0</v>
      </c>
      <c r="O105" s="15">
        <v>0</v>
      </c>
      <c r="P105" s="15">
        <v>0</v>
      </c>
      <c r="Q105" s="15">
        <v>0</v>
      </c>
      <c r="R105" s="15">
        <v>0</v>
      </c>
      <c r="S105" s="15">
        <v>0</v>
      </c>
      <c r="T105" s="15">
        <v>0</v>
      </c>
      <c r="U105" s="15">
        <v>0</v>
      </c>
      <c r="V105" s="15">
        <v>0</v>
      </c>
      <c r="W105" s="15">
        <v>0</v>
      </c>
      <c r="X105" s="15">
        <v>0</v>
      </c>
      <c r="Y105" s="15">
        <v>0</v>
      </c>
      <c r="Z105" s="15">
        <v>0</v>
      </c>
      <c r="AA105" s="15"/>
      <c r="AB105" s="15">
        <v>2</v>
      </c>
      <c r="AC105" s="15">
        <v>0</v>
      </c>
      <c r="AD105" s="15">
        <v>2</v>
      </c>
      <c r="AE105" s="15">
        <v>0.03704</v>
      </c>
      <c r="AF105" s="15">
        <v>2</v>
      </c>
      <c r="AG105" s="15">
        <v>1</v>
      </c>
      <c r="AH105" s="15">
        <v>16.22</v>
      </c>
      <c r="AI105" s="15">
        <v>5</v>
      </c>
      <c r="AJ105" s="15">
        <v>3.24</v>
      </c>
      <c r="AK105" s="15">
        <v>4</v>
      </c>
      <c r="AL105" s="15">
        <v>4.06</v>
      </c>
      <c r="AM105" s="15">
        <v>3</v>
      </c>
      <c r="AN105" s="15">
        <v>8.11</v>
      </c>
      <c r="AO105" s="15">
        <v>0.03704</v>
      </c>
      <c r="AP105" s="15">
        <v>8.11</v>
      </c>
      <c r="AQ105" s="15">
        <v>0</v>
      </c>
      <c r="AR105" s="15">
        <v>0</v>
      </c>
      <c r="AS105" s="15">
        <v>1</v>
      </c>
      <c r="AT105" s="15">
        <v>1</v>
      </c>
      <c r="AU105" s="15">
        <v>0</v>
      </c>
      <c r="AV105" s="15">
        <v>0</v>
      </c>
      <c r="AW105" s="15">
        <v>0</v>
      </c>
      <c r="AX105" s="15">
        <v>1</v>
      </c>
      <c r="AY105" s="15">
        <v>202</v>
      </c>
      <c r="AZ105" s="15">
        <v>51</v>
      </c>
      <c r="BA105" s="15">
        <v>44</v>
      </c>
      <c r="BB105" s="15">
        <v>0.86275</v>
      </c>
      <c r="BC105" s="15">
        <v>0</v>
      </c>
      <c r="BD105" s="15">
        <v>0</v>
      </c>
      <c r="BE105" s="15">
        <v>0.13369</v>
      </c>
      <c r="BF105" s="15">
        <v>145</v>
      </c>
      <c r="BG105" s="15">
        <v>4</v>
      </c>
      <c r="BH105" s="15">
        <v>0</v>
      </c>
      <c r="BI105" s="15"/>
      <c r="BJ105" s="15">
        <v>0</v>
      </c>
      <c r="BK105" s="15">
        <v>0</v>
      </c>
      <c r="BL105" s="15">
        <v>0</v>
      </c>
      <c r="BM105" s="15">
        <v>0</v>
      </c>
      <c r="BN105" s="15"/>
      <c r="BO105" s="15"/>
      <c r="BP105" s="15">
        <v>0</v>
      </c>
      <c r="BQ105" s="15">
        <v>251</v>
      </c>
      <c r="BR105" s="15">
        <v>0</v>
      </c>
      <c r="BS105" s="15">
        <v>0</v>
      </c>
      <c r="BT105" s="15">
        <v>0</v>
      </c>
      <c r="BU105" s="15">
        <v>0</v>
      </c>
      <c r="BV105" s="15">
        <v>0</v>
      </c>
      <c r="BW105" s="15">
        <v>0</v>
      </c>
      <c r="BX105" s="15">
        <v>0</v>
      </c>
    </row>
    <row r="106" spans="1:76">
      <c r="A106" s="14" t="str">
        <f>VLOOKUP(C106,VLOOKUP!A:B,2,FALSE)</f>
        <v>福到</v>
      </c>
      <c r="B106" s="16">
        <v>46082</v>
      </c>
      <c r="C106" s="17">
        <v>971856893567</v>
      </c>
      <c r="D106" s="15" t="s">
        <v>151</v>
      </c>
      <c r="E106" s="15" t="s">
        <v>152</v>
      </c>
      <c r="F106" s="15">
        <v>108</v>
      </c>
      <c r="G106" s="15">
        <v>10</v>
      </c>
      <c r="H106" s="15">
        <v>2.16</v>
      </c>
      <c r="I106" s="15">
        <v>0.09259</v>
      </c>
      <c r="J106" s="15">
        <v>0.22</v>
      </c>
      <c r="K106" s="15">
        <v>20</v>
      </c>
      <c r="L106" s="15">
        <v>0</v>
      </c>
      <c r="M106" s="15">
        <v>0</v>
      </c>
      <c r="N106" s="15">
        <v>0</v>
      </c>
      <c r="O106" s="15">
        <v>0</v>
      </c>
      <c r="P106" s="15">
        <v>0</v>
      </c>
      <c r="Q106" s="15">
        <v>0</v>
      </c>
      <c r="R106" s="15">
        <v>0</v>
      </c>
      <c r="S106" s="15">
        <v>0</v>
      </c>
      <c r="T106" s="15">
        <v>0</v>
      </c>
      <c r="U106" s="15">
        <v>0</v>
      </c>
      <c r="V106" s="15">
        <v>0</v>
      </c>
      <c r="W106" s="15">
        <v>0</v>
      </c>
      <c r="X106" s="15">
        <v>0</v>
      </c>
      <c r="Y106" s="15">
        <v>0</v>
      </c>
      <c r="Z106" s="15">
        <v>0</v>
      </c>
      <c r="AA106" s="15"/>
      <c r="AB106" s="15">
        <v>1</v>
      </c>
      <c r="AC106" s="15">
        <v>1</v>
      </c>
      <c r="AD106" s="15">
        <v>0</v>
      </c>
      <c r="AE106" s="15">
        <v>0.1</v>
      </c>
      <c r="AF106" s="15">
        <v>0</v>
      </c>
      <c r="AG106" s="15">
        <v>0</v>
      </c>
      <c r="AH106" s="15"/>
      <c r="AI106" s="15">
        <v>1</v>
      </c>
      <c r="AJ106" s="15">
        <v>2.16</v>
      </c>
      <c r="AK106" s="15">
        <v>1</v>
      </c>
      <c r="AL106" s="15">
        <v>2.16</v>
      </c>
      <c r="AM106" s="15">
        <v>0</v>
      </c>
      <c r="AN106" s="15"/>
      <c r="AO106" s="15">
        <v>0</v>
      </c>
      <c r="AP106" s="15">
        <v>2.16</v>
      </c>
      <c r="AQ106" s="15">
        <v>0</v>
      </c>
      <c r="AR106" s="15">
        <v>0</v>
      </c>
      <c r="AS106" s="15">
        <v>0</v>
      </c>
      <c r="AT106" s="15">
        <v>0</v>
      </c>
      <c r="AU106" s="15">
        <v>0</v>
      </c>
      <c r="AV106" s="15">
        <v>0</v>
      </c>
      <c r="AW106" s="15">
        <v>0</v>
      </c>
      <c r="AX106" s="15">
        <v>0</v>
      </c>
      <c r="AY106" s="15">
        <v>42</v>
      </c>
      <c r="AZ106" s="15">
        <v>10</v>
      </c>
      <c r="BA106" s="15">
        <v>6</v>
      </c>
      <c r="BB106" s="15">
        <v>0.6</v>
      </c>
      <c r="BC106" s="15">
        <v>0</v>
      </c>
      <c r="BD106" s="15">
        <v>0</v>
      </c>
      <c r="BE106" s="15">
        <v>0.38889</v>
      </c>
      <c r="BF106" s="15">
        <v>29</v>
      </c>
      <c r="BG106" s="15">
        <v>4</v>
      </c>
      <c r="BH106" s="15">
        <v>0</v>
      </c>
      <c r="BI106" s="15"/>
      <c r="BJ106" s="15">
        <v>0</v>
      </c>
      <c r="BK106" s="15">
        <v>0</v>
      </c>
      <c r="BL106" s="15">
        <v>0</v>
      </c>
      <c r="BM106" s="15">
        <v>0</v>
      </c>
      <c r="BN106" s="15"/>
      <c r="BO106" s="15"/>
      <c r="BP106" s="15">
        <v>0</v>
      </c>
      <c r="BQ106" s="15">
        <v>103</v>
      </c>
      <c r="BR106" s="15">
        <v>0</v>
      </c>
      <c r="BS106" s="15">
        <v>0</v>
      </c>
      <c r="BT106" s="15">
        <v>0</v>
      </c>
      <c r="BU106" s="15">
        <v>0</v>
      </c>
      <c r="BV106" s="15">
        <v>0</v>
      </c>
      <c r="BW106" s="15">
        <v>0</v>
      </c>
      <c r="BX106" s="15">
        <v>0</v>
      </c>
    </row>
    <row r="107" spans="1:76">
      <c r="A107" s="14" t="str">
        <f>VLOOKUP(C107,VLOOKUP!A:B,2,FALSE)</f>
        <v>如意盘香</v>
      </c>
      <c r="B107" s="16">
        <v>46082</v>
      </c>
      <c r="C107" s="17">
        <v>838711327669</v>
      </c>
      <c r="D107" s="15" t="s">
        <v>151</v>
      </c>
      <c r="E107" s="15" t="s">
        <v>158</v>
      </c>
      <c r="F107" s="15">
        <v>838</v>
      </c>
      <c r="G107" s="15">
        <v>34</v>
      </c>
      <c r="H107" s="15">
        <v>69.93</v>
      </c>
      <c r="I107" s="15">
        <v>0.04057</v>
      </c>
      <c r="J107" s="15">
        <v>2.06</v>
      </c>
      <c r="K107" s="15">
        <v>83.45</v>
      </c>
      <c r="L107" s="15">
        <v>0</v>
      </c>
      <c r="M107" s="15">
        <v>0</v>
      </c>
      <c r="N107" s="15">
        <v>0</v>
      </c>
      <c r="O107" s="15">
        <v>0</v>
      </c>
      <c r="P107" s="15">
        <v>0</v>
      </c>
      <c r="Q107" s="15">
        <v>0</v>
      </c>
      <c r="R107" s="15">
        <v>172</v>
      </c>
      <c r="S107" s="15">
        <v>0</v>
      </c>
      <c r="T107" s="15">
        <v>172</v>
      </c>
      <c r="U107" s="15">
        <v>1</v>
      </c>
      <c r="V107" s="15">
        <v>1</v>
      </c>
      <c r="W107" s="15">
        <v>0</v>
      </c>
      <c r="X107" s="15">
        <v>0.02941</v>
      </c>
      <c r="Y107" s="15">
        <v>2.46</v>
      </c>
      <c r="Z107" s="15">
        <v>2.46</v>
      </c>
      <c r="AA107" s="15">
        <v>69.93</v>
      </c>
      <c r="AB107" s="15">
        <v>1</v>
      </c>
      <c r="AC107" s="15">
        <v>0</v>
      </c>
      <c r="AD107" s="15">
        <v>1</v>
      </c>
      <c r="AE107" s="15">
        <v>0.02941</v>
      </c>
      <c r="AF107" s="15">
        <v>0</v>
      </c>
      <c r="AG107" s="15">
        <v>0</v>
      </c>
      <c r="AH107" s="15"/>
      <c r="AI107" s="15">
        <v>1</v>
      </c>
      <c r="AJ107" s="15">
        <v>69.93</v>
      </c>
      <c r="AK107" s="15">
        <v>1</v>
      </c>
      <c r="AL107" s="15">
        <v>69.93</v>
      </c>
      <c r="AM107" s="15">
        <v>0</v>
      </c>
      <c r="AN107" s="15"/>
      <c r="AO107" s="15">
        <v>0</v>
      </c>
      <c r="AP107" s="15">
        <v>69.93</v>
      </c>
      <c r="AQ107" s="15">
        <v>2</v>
      </c>
      <c r="AR107" s="15">
        <v>245.9</v>
      </c>
      <c r="AS107" s="15">
        <v>0</v>
      </c>
      <c r="AT107" s="15">
        <v>0</v>
      </c>
      <c r="AU107" s="15">
        <v>0</v>
      </c>
      <c r="AV107" s="15">
        <v>0</v>
      </c>
      <c r="AW107" s="15">
        <v>0</v>
      </c>
      <c r="AX107" s="15">
        <v>0</v>
      </c>
      <c r="AY107" s="15">
        <v>104</v>
      </c>
      <c r="AZ107" s="15">
        <v>33</v>
      </c>
      <c r="BA107" s="15">
        <v>17</v>
      </c>
      <c r="BB107" s="15">
        <v>0.51515</v>
      </c>
      <c r="BC107" s="15">
        <v>0</v>
      </c>
      <c r="BD107" s="15">
        <v>0</v>
      </c>
      <c r="BE107" s="15">
        <v>0.12411</v>
      </c>
      <c r="BF107" s="15">
        <v>68</v>
      </c>
      <c r="BG107" s="15">
        <v>3</v>
      </c>
      <c r="BH107" s="15">
        <v>0</v>
      </c>
      <c r="BI107" s="15">
        <v>0</v>
      </c>
      <c r="BJ107" s="15">
        <v>0</v>
      </c>
      <c r="BK107" s="15">
        <v>0</v>
      </c>
      <c r="BL107" s="15">
        <v>0</v>
      </c>
      <c r="BM107" s="15">
        <v>1</v>
      </c>
      <c r="BN107" s="15">
        <v>1</v>
      </c>
      <c r="BO107" s="15">
        <v>172</v>
      </c>
      <c r="BP107" s="15">
        <v>62.42</v>
      </c>
      <c r="BQ107" s="15">
        <v>552</v>
      </c>
      <c r="BR107" s="15">
        <v>0</v>
      </c>
      <c r="BS107" s="15">
        <v>0</v>
      </c>
      <c r="BT107" s="15">
        <v>0</v>
      </c>
      <c r="BU107" s="15">
        <v>0</v>
      </c>
      <c r="BV107" s="15">
        <v>0</v>
      </c>
      <c r="BW107" s="15">
        <v>0</v>
      </c>
      <c r="BX107" s="15">
        <v>0</v>
      </c>
    </row>
    <row r="108" spans="1:76">
      <c r="A108" s="14" t="str">
        <f>VLOOKUP(C108,VLOOKUP!A:B,2,FALSE)</f>
        <v>福颜青</v>
      </c>
      <c r="B108" s="16">
        <v>46082</v>
      </c>
      <c r="C108" s="17">
        <v>833369552621</v>
      </c>
      <c r="D108" s="15" t="s">
        <v>151</v>
      </c>
      <c r="E108" s="15" t="s">
        <v>154</v>
      </c>
      <c r="F108" s="15">
        <v>2547</v>
      </c>
      <c r="G108" s="15">
        <v>61</v>
      </c>
      <c r="H108" s="15">
        <v>13.41</v>
      </c>
      <c r="I108" s="15">
        <v>0.02395</v>
      </c>
      <c r="J108" s="15">
        <v>0.22</v>
      </c>
      <c r="K108" s="15">
        <v>5.27</v>
      </c>
      <c r="L108" s="15">
        <v>0</v>
      </c>
      <c r="M108" s="15">
        <v>0</v>
      </c>
      <c r="N108" s="15">
        <v>0</v>
      </c>
      <c r="O108" s="15">
        <v>0</v>
      </c>
      <c r="P108" s="15">
        <v>0</v>
      </c>
      <c r="Q108" s="15">
        <v>0</v>
      </c>
      <c r="R108" s="15">
        <v>0</v>
      </c>
      <c r="S108" s="15">
        <v>0</v>
      </c>
      <c r="T108" s="15">
        <v>0</v>
      </c>
      <c r="U108" s="15">
        <v>0</v>
      </c>
      <c r="V108" s="15">
        <v>0</v>
      </c>
      <c r="W108" s="15">
        <v>0</v>
      </c>
      <c r="X108" s="15">
        <v>0</v>
      </c>
      <c r="Y108" s="15">
        <v>0</v>
      </c>
      <c r="Z108" s="15">
        <v>0</v>
      </c>
      <c r="AA108" s="15"/>
      <c r="AB108" s="15">
        <v>0</v>
      </c>
      <c r="AC108" s="15">
        <v>0</v>
      </c>
      <c r="AD108" s="15">
        <v>0</v>
      </c>
      <c r="AE108" s="15">
        <v>0</v>
      </c>
      <c r="AF108" s="15">
        <v>1</v>
      </c>
      <c r="AG108" s="15">
        <v>0</v>
      </c>
      <c r="AH108" s="15"/>
      <c r="AI108" s="15">
        <v>1</v>
      </c>
      <c r="AJ108" s="15">
        <v>13.41</v>
      </c>
      <c r="AK108" s="15">
        <v>1</v>
      </c>
      <c r="AL108" s="15">
        <v>13.41</v>
      </c>
      <c r="AM108" s="15">
        <v>1</v>
      </c>
      <c r="AN108" s="15">
        <v>13.41</v>
      </c>
      <c r="AO108" s="15">
        <v>0.01639</v>
      </c>
      <c r="AP108" s="15"/>
      <c r="AQ108" s="15">
        <v>0</v>
      </c>
      <c r="AR108" s="15">
        <v>0</v>
      </c>
      <c r="AS108" s="15">
        <v>1</v>
      </c>
      <c r="AT108" s="15">
        <v>0</v>
      </c>
      <c r="AU108" s="15">
        <v>0</v>
      </c>
      <c r="AV108" s="15">
        <v>0</v>
      </c>
      <c r="AW108" s="15">
        <v>0</v>
      </c>
      <c r="AX108" s="15">
        <v>0</v>
      </c>
      <c r="AY108" s="15">
        <v>125</v>
      </c>
      <c r="AZ108" s="15">
        <v>58</v>
      </c>
      <c r="BA108" s="15">
        <v>51</v>
      </c>
      <c r="BB108" s="15">
        <v>0.87931</v>
      </c>
      <c r="BC108" s="15">
        <v>0</v>
      </c>
      <c r="BD108" s="15">
        <v>0</v>
      </c>
      <c r="BE108" s="15">
        <v>0.04908</v>
      </c>
      <c r="BF108" s="15">
        <v>56</v>
      </c>
      <c r="BG108" s="15">
        <v>2</v>
      </c>
      <c r="BH108" s="15">
        <v>0</v>
      </c>
      <c r="BI108" s="15"/>
      <c r="BJ108" s="15">
        <v>0</v>
      </c>
      <c r="BK108" s="15">
        <v>0</v>
      </c>
      <c r="BL108" s="15">
        <v>0</v>
      </c>
      <c r="BM108" s="15">
        <v>0</v>
      </c>
      <c r="BN108" s="15"/>
      <c r="BO108" s="15"/>
      <c r="BP108" s="15">
        <v>0</v>
      </c>
      <c r="BQ108" s="15">
        <v>751</v>
      </c>
      <c r="BR108" s="15">
        <v>0</v>
      </c>
      <c r="BS108" s="15">
        <v>0</v>
      </c>
      <c r="BT108" s="15">
        <v>0</v>
      </c>
      <c r="BU108" s="15">
        <v>0</v>
      </c>
      <c r="BV108" s="15">
        <v>0</v>
      </c>
      <c r="BW108" s="15">
        <v>0</v>
      </c>
      <c r="BX108" s="15">
        <v>0</v>
      </c>
    </row>
    <row r="109" spans="1:76">
      <c r="A109" s="14" t="str">
        <f>VLOOKUP(C109,VLOOKUP!A:B,2,FALSE)</f>
        <v>奇楠手串</v>
      </c>
      <c r="B109" s="16">
        <v>46082</v>
      </c>
      <c r="C109" s="17">
        <v>833035288991</v>
      </c>
      <c r="D109" s="15" t="s">
        <v>151</v>
      </c>
      <c r="E109" s="15" t="s">
        <v>159</v>
      </c>
      <c r="F109" s="15">
        <v>1752</v>
      </c>
      <c r="G109" s="15">
        <v>56</v>
      </c>
      <c r="H109" s="15">
        <v>16.61</v>
      </c>
      <c r="I109" s="15">
        <v>0.03196</v>
      </c>
      <c r="J109" s="15">
        <v>0.3</v>
      </c>
      <c r="K109" s="15">
        <v>9.48</v>
      </c>
      <c r="L109" s="15">
        <v>0</v>
      </c>
      <c r="M109" s="15">
        <v>0</v>
      </c>
      <c r="N109" s="15">
        <v>0</v>
      </c>
      <c r="O109" s="15">
        <v>0</v>
      </c>
      <c r="P109" s="15">
        <v>0</v>
      </c>
      <c r="Q109" s="15">
        <v>0</v>
      </c>
      <c r="R109" s="15">
        <v>0</v>
      </c>
      <c r="S109" s="15">
        <v>0</v>
      </c>
      <c r="T109" s="15">
        <v>0</v>
      </c>
      <c r="U109" s="15">
        <v>0</v>
      </c>
      <c r="V109" s="15">
        <v>0</v>
      </c>
      <c r="W109" s="15">
        <v>0</v>
      </c>
      <c r="X109" s="15">
        <v>0</v>
      </c>
      <c r="Y109" s="15">
        <v>0</v>
      </c>
      <c r="Z109" s="15">
        <v>0</v>
      </c>
      <c r="AA109" s="15"/>
      <c r="AB109" s="15">
        <v>0</v>
      </c>
      <c r="AC109" s="15">
        <v>0</v>
      </c>
      <c r="AD109" s="15">
        <v>0</v>
      </c>
      <c r="AE109" s="15">
        <v>0</v>
      </c>
      <c r="AF109" s="15">
        <v>2</v>
      </c>
      <c r="AG109" s="15">
        <v>0</v>
      </c>
      <c r="AH109" s="15"/>
      <c r="AI109" s="15">
        <v>2</v>
      </c>
      <c r="AJ109" s="15">
        <v>8.31</v>
      </c>
      <c r="AK109" s="15">
        <v>2</v>
      </c>
      <c r="AL109" s="15">
        <v>8.31</v>
      </c>
      <c r="AM109" s="15">
        <v>2</v>
      </c>
      <c r="AN109" s="15">
        <v>8.31</v>
      </c>
      <c r="AO109" s="15">
        <v>0.03571</v>
      </c>
      <c r="AP109" s="15"/>
      <c r="AQ109" s="15">
        <v>0</v>
      </c>
      <c r="AR109" s="15">
        <v>0</v>
      </c>
      <c r="AS109" s="15">
        <v>2</v>
      </c>
      <c r="AT109" s="15">
        <v>0</v>
      </c>
      <c r="AU109" s="15">
        <v>0</v>
      </c>
      <c r="AV109" s="15">
        <v>0</v>
      </c>
      <c r="AW109" s="15">
        <v>0</v>
      </c>
      <c r="AX109" s="15">
        <v>0</v>
      </c>
      <c r="AY109" s="15">
        <v>117</v>
      </c>
      <c r="AZ109" s="15">
        <v>56</v>
      </c>
      <c r="BA109" s="15">
        <v>50</v>
      </c>
      <c r="BB109" s="15">
        <v>0.89286</v>
      </c>
      <c r="BC109" s="15">
        <v>0</v>
      </c>
      <c r="BD109" s="15">
        <v>0</v>
      </c>
      <c r="BE109" s="15">
        <v>0.06678</v>
      </c>
      <c r="BF109" s="15">
        <v>54</v>
      </c>
      <c r="BG109" s="15">
        <v>2</v>
      </c>
      <c r="BH109" s="15">
        <v>0</v>
      </c>
      <c r="BI109" s="15"/>
      <c r="BJ109" s="15">
        <v>0</v>
      </c>
      <c r="BK109" s="15">
        <v>0</v>
      </c>
      <c r="BL109" s="15">
        <v>0</v>
      </c>
      <c r="BM109" s="15">
        <v>0</v>
      </c>
      <c r="BN109" s="15"/>
      <c r="BO109" s="15"/>
      <c r="BP109" s="15">
        <v>0</v>
      </c>
      <c r="BQ109" s="15">
        <v>252</v>
      </c>
      <c r="BR109" s="15">
        <v>0</v>
      </c>
      <c r="BS109" s="15">
        <v>0</v>
      </c>
      <c r="BT109" s="15">
        <v>0</v>
      </c>
      <c r="BU109" s="15">
        <v>0</v>
      </c>
      <c r="BV109" s="15">
        <v>0</v>
      </c>
      <c r="BW109" s="15">
        <v>0</v>
      </c>
      <c r="BX109" s="15">
        <v>0</v>
      </c>
    </row>
    <row r="110" spans="1:76">
      <c r="A110" s="14" t="str">
        <f>VLOOKUP(C110,VLOOKUP!A:B,2,FALSE)</f>
        <v>福到</v>
      </c>
      <c r="B110" s="16">
        <v>46081</v>
      </c>
      <c r="C110" s="17">
        <v>971856893567</v>
      </c>
      <c r="D110" s="15" t="s">
        <v>151</v>
      </c>
      <c r="E110" s="15" t="s">
        <v>152</v>
      </c>
      <c r="F110" s="15">
        <v>152</v>
      </c>
      <c r="G110" s="15">
        <v>7</v>
      </c>
      <c r="H110" s="15">
        <v>1.54</v>
      </c>
      <c r="I110" s="15">
        <v>0.04605</v>
      </c>
      <c r="J110" s="15">
        <v>0.22</v>
      </c>
      <c r="K110" s="15">
        <v>10.13</v>
      </c>
      <c r="L110" s="15">
        <v>0</v>
      </c>
      <c r="M110" s="15">
        <v>0</v>
      </c>
      <c r="N110" s="15">
        <v>0</v>
      </c>
      <c r="O110" s="15">
        <v>0</v>
      </c>
      <c r="P110" s="15">
        <v>0</v>
      </c>
      <c r="Q110" s="15">
        <v>0</v>
      </c>
      <c r="R110" s="15">
        <v>0</v>
      </c>
      <c r="S110" s="15">
        <v>0</v>
      </c>
      <c r="T110" s="15">
        <v>0</v>
      </c>
      <c r="U110" s="15">
        <v>0</v>
      </c>
      <c r="V110" s="15">
        <v>0</v>
      </c>
      <c r="W110" s="15">
        <v>0</v>
      </c>
      <c r="X110" s="15">
        <v>0</v>
      </c>
      <c r="Y110" s="15">
        <v>0</v>
      </c>
      <c r="Z110" s="15">
        <v>0</v>
      </c>
      <c r="AA110" s="15"/>
      <c r="AB110" s="15">
        <v>0</v>
      </c>
      <c r="AC110" s="15">
        <v>0</v>
      </c>
      <c r="AD110" s="15">
        <v>0</v>
      </c>
      <c r="AE110" s="15">
        <v>0</v>
      </c>
      <c r="AF110" s="15">
        <v>0</v>
      </c>
      <c r="AG110" s="15">
        <v>0</v>
      </c>
      <c r="AH110" s="15"/>
      <c r="AI110" s="15">
        <v>0</v>
      </c>
      <c r="AJ110" s="15"/>
      <c r="AK110" s="15">
        <v>0</v>
      </c>
      <c r="AL110" s="15"/>
      <c r="AM110" s="15">
        <v>0</v>
      </c>
      <c r="AN110" s="15"/>
      <c r="AO110" s="15">
        <v>0</v>
      </c>
      <c r="AP110" s="15"/>
      <c r="AQ110" s="15">
        <v>0</v>
      </c>
      <c r="AR110" s="15">
        <v>0</v>
      </c>
      <c r="AS110" s="15">
        <v>0</v>
      </c>
      <c r="AT110" s="15">
        <v>0</v>
      </c>
      <c r="AU110" s="15">
        <v>0</v>
      </c>
      <c r="AV110" s="15">
        <v>0</v>
      </c>
      <c r="AW110" s="15">
        <v>0</v>
      </c>
      <c r="AX110" s="15">
        <v>0</v>
      </c>
      <c r="AY110" s="15">
        <v>11</v>
      </c>
      <c r="AZ110" s="15">
        <v>6</v>
      </c>
      <c r="BA110" s="15">
        <v>5</v>
      </c>
      <c r="BB110" s="15">
        <v>0.83333</v>
      </c>
      <c r="BC110" s="15">
        <v>0</v>
      </c>
      <c r="BD110" s="15">
        <v>0</v>
      </c>
      <c r="BE110" s="15">
        <v>0.07237</v>
      </c>
      <c r="BF110" s="15">
        <v>3</v>
      </c>
      <c r="BG110" s="15">
        <v>2</v>
      </c>
      <c r="BH110" s="15">
        <v>0</v>
      </c>
      <c r="BI110" s="15"/>
      <c r="BJ110" s="15">
        <v>0</v>
      </c>
      <c r="BK110" s="15">
        <v>0</v>
      </c>
      <c r="BL110" s="15">
        <v>0</v>
      </c>
      <c r="BM110" s="15">
        <v>0</v>
      </c>
      <c r="BN110" s="15"/>
      <c r="BO110" s="15"/>
      <c r="BP110" s="15">
        <v>0</v>
      </c>
      <c r="BQ110" s="15">
        <v>5</v>
      </c>
      <c r="BR110" s="15">
        <v>0</v>
      </c>
      <c r="BS110" s="15">
        <v>0</v>
      </c>
      <c r="BT110" s="15">
        <v>0</v>
      </c>
      <c r="BU110" s="15">
        <v>0</v>
      </c>
      <c r="BV110" s="15">
        <v>0</v>
      </c>
      <c r="BW110" s="15">
        <v>0</v>
      </c>
      <c r="BX110" s="15">
        <v>0</v>
      </c>
    </row>
    <row r="111" spans="1:76">
      <c r="A111" s="14" t="str">
        <f>VLOOKUP(C111,VLOOKUP!A:B,2,FALSE)</f>
        <v>如意盘香</v>
      </c>
      <c r="B111" s="16">
        <v>46081</v>
      </c>
      <c r="C111" s="17">
        <v>838711327669</v>
      </c>
      <c r="D111" s="15" t="s">
        <v>151</v>
      </c>
      <c r="E111" s="15" t="s">
        <v>158</v>
      </c>
      <c r="F111" s="15">
        <v>99</v>
      </c>
      <c r="G111" s="15">
        <v>10</v>
      </c>
      <c r="H111" s="15">
        <v>80</v>
      </c>
      <c r="I111" s="15">
        <v>0.10101</v>
      </c>
      <c r="J111" s="15">
        <v>8</v>
      </c>
      <c r="K111" s="15">
        <v>808.08</v>
      </c>
      <c r="L111" s="15">
        <v>0</v>
      </c>
      <c r="M111" s="15">
        <v>0</v>
      </c>
      <c r="N111" s="15">
        <v>0</v>
      </c>
      <c r="O111" s="15">
        <v>0</v>
      </c>
      <c r="P111" s="15">
        <v>0</v>
      </c>
      <c r="Q111" s="15">
        <v>0</v>
      </c>
      <c r="R111" s="15">
        <v>176</v>
      </c>
      <c r="S111" s="15">
        <v>0</v>
      </c>
      <c r="T111" s="15">
        <v>176</v>
      </c>
      <c r="U111" s="15">
        <v>1</v>
      </c>
      <c r="V111" s="15">
        <v>1</v>
      </c>
      <c r="W111" s="15">
        <v>0</v>
      </c>
      <c r="X111" s="15">
        <v>0.1</v>
      </c>
      <c r="Y111" s="15">
        <v>2.2</v>
      </c>
      <c r="Z111" s="15">
        <v>2.2</v>
      </c>
      <c r="AA111" s="15">
        <v>80</v>
      </c>
      <c r="AB111" s="15">
        <v>2</v>
      </c>
      <c r="AC111" s="15">
        <v>1</v>
      </c>
      <c r="AD111" s="15">
        <v>1</v>
      </c>
      <c r="AE111" s="15">
        <v>0.2</v>
      </c>
      <c r="AF111" s="15">
        <v>0</v>
      </c>
      <c r="AG111" s="15">
        <v>1</v>
      </c>
      <c r="AH111" s="15">
        <v>80</v>
      </c>
      <c r="AI111" s="15">
        <v>3</v>
      </c>
      <c r="AJ111" s="15">
        <v>26.67</v>
      </c>
      <c r="AK111" s="15">
        <v>2</v>
      </c>
      <c r="AL111" s="15">
        <v>40</v>
      </c>
      <c r="AM111" s="15">
        <v>1</v>
      </c>
      <c r="AN111" s="15"/>
      <c r="AO111" s="15">
        <v>0</v>
      </c>
      <c r="AP111" s="15">
        <v>40</v>
      </c>
      <c r="AQ111" s="15">
        <v>2</v>
      </c>
      <c r="AR111" s="15">
        <v>245.9</v>
      </c>
      <c r="AS111" s="15">
        <v>0</v>
      </c>
      <c r="AT111" s="15">
        <v>0</v>
      </c>
      <c r="AU111" s="15">
        <v>0</v>
      </c>
      <c r="AV111" s="15">
        <v>0</v>
      </c>
      <c r="AW111" s="15">
        <v>0</v>
      </c>
      <c r="AX111" s="15">
        <v>0</v>
      </c>
      <c r="AY111" s="15">
        <v>18</v>
      </c>
      <c r="AZ111" s="15">
        <v>9</v>
      </c>
      <c r="BA111" s="15">
        <v>7</v>
      </c>
      <c r="BB111" s="15">
        <v>0.77778</v>
      </c>
      <c r="BC111" s="15">
        <v>0</v>
      </c>
      <c r="BD111" s="15">
        <v>0</v>
      </c>
      <c r="BE111" s="15">
        <v>0.18182</v>
      </c>
      <c r="BF111" s="15">
        <v>9</v>
      </c>
      <c r="BG111" s="15">
        <v>2</v>
      </c>
      <c r="BH111" s="15">
        <v>1</v>
      </c>
      <c r="BI111" s="15">
        <v>1</v>
      </c>
      <c r="BJ111" s="15">
        <v>0</v>
      </c>
      <c r="BK111" s="15">
        <v>0</v>
      </c>
      <c r="BL111" s="15">
        <v>0</v>
      </c>
      <c r="BM111" s="15">
        <v>1</v>
      </c>
      <c r="BN111" s="15">
        <v>1</v>
      </c>
      <c r="BO111" s="15">
        <v>176</v>
      </c>
      <c r="BP111" s="15">
        <v>0.35</v>
      </c>
      <c r="BQ111" s="15">
        <v>310</v>
      </c>
      <c r="BR111" s="15">
        <v>0</v>
      </c>
      <c r="BS111" s="15">
        <v>0</v>
      </c>
      <c r="BT111" s="15">
        <v>0</v>
      </c>
      <c r="BU111" s="15">
        <v>0</v>
      </c>
      <c r="BV111" s="15">
        <v>0</v>
      </c>
      <c r="BW111" s="15">
        <v>0</v>
      </c>
      <c r="BX111" s="15">
        <v>0</v>
      </c>
    </row>
    <row r="112" spans="1:76">
      <c r="A112" s="14" t="str">
        <f>VLOOKUP(C112,VLOOKUP!A:B,2,FALSE)</f>
        <v>福颜青</v>
      </c>
      <c r="B112" s="16">
        <v>46081</v>
      </c>
      <c r="C112" s="17">
        <v>833369552621</v>
      </c>
      <c r="D112" s="15" t="s">
        <v>151</v>
      </c>
      <c r="E112" s="15" t="s">
        <v>154</v>
      </c>
      <c r="F112" s="15">
        <v>2771</v>
      </c>
      <c r="G112" s="15">
        <v>59</v>
      </c>
      <c r="H112" s="15">
        <v>13.47</v>
      </c>
      <c r="I112" s="15">
        <v>0.02129</v>
      </c>
      <c r="J112" s="15">
        <v>0.23</v>
      </c>
      <c r="K112" s="15">
        <v>4.86</v>
      </c>
      <c r="L112" s="15">
        <v>0</v>
      </c>
      <c r="M112" s="15">
        <v>0</v>
      </c>
      <c r="N112" s="15">
        <v>0</v>
      </c>
      <c r="O112" s="15">
        <v>0</v>
      </c>
      <c r="P112" s="15">
        <v>0</v>
      </c>
      <c r="Q112" s="15">
        <v>0</v>
      </c>
      <c r="R112" s="15">
        <v>0</v>
      </c>
      <c r="S112" s="15">
        <v>0</v>
      </c>
      <c r="T112" s="15">
        <v>0</v>
      </c>
      <c r="U112" s="15">
        <v>0</v>
      </c>
      <c r="V112" s="15">
        <v>0</v>
      </c>
      <c r="W112" s="15">
        <v>0</v>
      </c>
      <c r="X112" s="15">
        <v>0</v>
      </c>
      <c r="Y112" s="15">
        <v>0</v>
      </c>
      <c r="Z112" s="15">
        <v>0</v>
      </c>
      <c r="AA112" s="15"/>
      <c r="AB112" s="15">
        <v>1</v>
      </c>
      <c r="AC112" s="15">
        <v>0</v>
      </c>
      <c r="AD112" s="15">
        <v>1</v>
      </c>
      <c r="AE112" s="15">
        <v>0.01695</v>
      </c>
      <c r="AF112" s="15">
        <v>0</v>
      </c>
      <c r="AG112" s="15">
        <v>0</v>
      </c>
      <c r="AH112" s="15"/>
      <c r="AI112" s="15">
        <v>1</v>
      </c>
      <c r="AJ112" s="15">
        <v>13.47</v>
      </c>
      <c r="AK112" s="15">
        <v>1</v>
      </c>
      <c r="AL112" s="15">
        <v>13.47</v>
      </c>
      <c r="AM112" s="15">
        <v>0</v>
      </c>
      <c r="AN112" s="15"/>
      <c r="AO112" s="15">
        <v>0</v>
      </c>
      <c r="AP112" s="15">
        <v>13.47</v>
      </c>
      <c r="AQ112" s="15">
        <v>0</v>
      </c>
      <c r="AR112" s="15">
        <v>0</v>
      </c>
      <c r="AS112" s="15">
        <v>0</v>
      </c>
      <c r="AT112" s="15">
        <v>0</v>
      </c>
      <c r="AU112" s="15">
        <v>0</v>
      </c>
      <c r="AV112" s="15">
        <v>0</v>
      </c>
      <c r="AW112" s="15">
        <v>0</v>
      </c>
      <c r="AX112" s="15">
        <v>0</v>
      </c>
      <c r="AY112" s="15">
        <v>86</v>
      </c>
      <c r="AZ112" s="15">
        <v>52</v>
      </c>
      <c r="BA112" s="15">
        <v>48</v>
      </c>
      <c r="BB112" s="15">
        <v>0.92308</v>
      </c>
      <c r="BC112" s="15">
        <v>0</v>
      </c>
      <c r="BD112" s="15">
        <v>0</v>
      </c>
      <c r="BE112" s="15">
        <v>0.03104</v>
      </c>
      <c r="BF112" s="15">
        <v>27</v>
      </c>
      <c r="BG112" s="15">
        <v>2</v>
      </c>
      <c r="BH112" s="15">
        <v>0</v>
      </c>
      <c r="BI112" s="15"/>
      <c r="BJ112" s="15">
        <v>0</v>
      </c>
      <c r="BK112" s="15">
        <v>0</v>
      </c>
      <c r="BL112" s="15">
        <v>0</v>
      </c>
      <c r="BM112" s="15">
        <v>0</v>
      </c>
      <c r="BN112" s="15"/>
      <c r="BO112" s="15"/>
      <c r="BP112" s="15">
        <v>0</v>
      </c>
      <c r="BQ112" s="15">
        <v>2</v>
      </c>
      <c r="BR112" s="15">
        <v>0</v>
      </c>
      <c r="BS112" s="15">
        <v>0</v>
      </c>
      <c r="BT112" s="15">
        <v>0</v>
      </c>
      <c r="BU112" s="15">
        <v>0</v>
      </c>
      <c r="BV112" s="15">
        <v>0</v>
      </c>
      <c r="BW112" s="15">
        <v>0</v>
      </c>
      <c r="BX112" s="15">
        <v>0</v>
      </c>
    </row>
    <row r="113" spans="1:76">
      <c r="A113" s="14" t="str">
        <f>VLOOKUP(C113,VLOOKUP!A:B,2,FALSE)</f>
        <v>奇楠手串</v>
      </c>
      <c r="B113" s="16">
        <v>46081</v>
      </c>
      <c r="C113" s="17">
        <v>833035288991</v>
      </c>
      <c r="D113" s="15" t="s">
        <v>151</v>
      </c>
      <c r="E113" s="15" t="s">
        <v>159</v>
      </c>
      <c r="F113" s="15">
        <v>2104</v>
      </c>
      <c r="G113" s="15">
        <v>58</v>
      </c>
      <c r="H113" s="15">
        <v>16.99</v>
      </c>
      <c r="I113" s="15">
        <v>0.02757</v>
      </c>
      <c r="J113" s="15">
        <v>0.29</v>
      </c>
      <c r="K113" s="15">
        <v>8.08</v>
      </c>
      <c r="L113" s="15">
        <v>0</v>
      </c>
      <c r="M113" s="15">
        <v>0</v>
      </c>
      <c r="N113" s="15">
        <v>0</v>
      </c>
      <c r="O113" s="15">
        <v>0</v>
      </c>
      <c r="P113" s="15">
        <v>0</v>
      </c>
      <c r="Q113" s="15">
        <v>0</v>
      </c>
      <c r="R113" s="15">
        <v>0</v>
      </c>
      <c r="S113" s="15">
        <v>0</v>
      </c>
      <c r="T113" s="15">
        <v>0</v>
      </c>
      <c r="U113" s="15">
        <v>0</v>
      </c>
      <c r="V113" s="15">
        <v>0</v>
      </c>
      <c r="W113" s="15">
        <v>0</v>
      </c>
      <c r="X113" s="15">
        <v>0</v>
      </c>
      <c r="Y113" s="15">
        <v>0</v>
      </c>
      <c r="Z113" s="15">
        <v>0</v>
      </c>
      <c r="AA113" s="15"/>
      <c r="AB113" s="15">
        <v>0</v>
      </c>
      <c r="AC113" s="15">
        <v>0</v>
      </c>
      <c r="AD113" s="15">
        <v>0</v>
      </c>
      <c r="AE113" s="15">
        <v>0</v>
      </c>
      <c r="AF113" s="15">
        <v>0</v>
      </c>
      <c r="AG113" s="15">
        <v>0</v>
      </c>
      <c r="AH113" s="15"/>
      <c r="AI113" s="15">
        <v>0</v>
      </c>
      <c r="AJ113" s="15"/>
      <c r="AK113" s="15">
        <v>0</v>
      </c>
      <c r="AL113" s="15"/>
      <c r="AM113" s="15">
        <v>0</v>
      </c>
      <c r="AN113" s="15"/>
      <c r="AO113" s="15">
        <v>0</v>
      </c>
      <c r="AP113" s="15"/>
      <c r="AQ113" s="15">
        <v>0</v>
      </c>
      <c r="AR113" s="15">
        <v>0</v>
      </c>
      <c r="AS113" s="15">
        <v>0</v>
      </c>
      <c r="AT113" s="15">
        <v>0</v>
      </c>
      <c r="AU113" s="15">
        <v>0</v>
      </c>
      <c r="AV113" s="15">
        <v>0</v>
      </c>
      <c r="AW113" s="15">
        <v>0</v>
      </c>
      <c r="AX113" s="15">
        <v>1</v>
      </c>
      <c r="AY113" s="15">
        <v>96</v>
      </c>
      <c r="AZ113" s="15">
        <v>51</v>
      </c>
      <c r="BA113" s="15">
        <v>42</v>
      </c>
      <c r="BB113" s="15">
        <v>0.82353</v>
      </c>
      <c r="BC113" s="15">
        <v>0</v>
      </c>
      <c r="BD113" s="15">
        <v>0</v>
      </c>
      <c r="BE113" s="15">
        <v>0.04563</v>
      </c>
      <c r="BF113" s="15">
        <v>36</v>
      </c>
      <c r="BG113" s="15">
        <v>2</v>
      </c>
      <c r="BH113" s="15">
        <v>0</v>
      </c>
      <c r="BI113" s="15"/>
      <c r="BJ113" s="15">
        <v>0</v>
      </c>
      <c r="BK113" s="15">
        <v>0</v>
      </c>
      <c r="BL113" s="15">
        <v>0</v>
      </c>
      <c r="BM113" s="15">
        <v>0</v>
      </c>
      <c r="BN113" s="15"/>
      <c r="BO113" s="15"/>
      <c r="BP113" s="15">
        <v>0</v>
      </c>
      <c r="BQ113" s="15">
        <v>7</v>
      </c>
      <c r="BR113" s="15">
        <v>0</v>
      </c>
      <c r="BS113" s="15">
        <v>0</v>
      </c>
      <c r="BT113" s="15">
        <v>0</v>
      </c>
      <c r="BU113" s="15">
        <v>0</v>
      </c>
      <c r="BV113" s="15">
        <v>0</v>
      </c>
      <c r="BW113" s="15">
        <v>0</v>
      </c>
      <c r="BX113" s="15">
        <v>0</v>
      </c>
    </row>
    <row r="114" spans="1:76">
      <c r="A114" s="14" t="str">
        <f>VLOOKUP(C114,VLOOKUP!A:B,2,FALSE)</f>
        <v>福到</v>
      </c>
      <c r="B114" s="16">
        <v>46080</v>
      </c>
      <c r="C114" s="17">
        <v>971856893567</v>
      </c>
      <c r="D114" s="15" t="s">
        <v>151</v>
      </c>
      <c r="E114" s="15" t="s">
        <v>152</v>
      </c>
      <c r="F114" s="15">
        <v>107</v>
      </c>
      <c r="G114" s="15">
        <v>3</v>
      </c>
      <c r="H114" s="15">
        <v>0.63</v>
      </c>
      <c r="I114" s="15">
        <v>0.02804</v>
      </c>
      <c r="J114" s="15">
        <v>0.21</v>
      </c>
      <c r="K114" s="15">
        <v>5.89</v>
      </c>
      <c r="L114" s="15">
        <v>0</v>
      </c>
      <c r="M114" s="15">
        <v>0</v>
      </c>
      <c r="N114" s="15">
        <v>0</v>
      </c>
      <c r="O114" s="15">
        <v>0</v>
      </c>
      <c r="P114" s="15">
        <v>0</v>
      </c>
      <c r="Q114" s="15">
        <v>0</v>
      </c>
      <c r="R114" s="15">
        <v>0</v>
      </c>
      <c r="S114" s="15">
        <v>0</v>
      </c>
      <c r="T114" s="15">
        <v>0</v>
      </c>
      <c r="U114" s="15">
        <v>0</v>
      </c>
      <c r="V114" s="15">
        <v>0</v>
      </c>
      <c r="W114" s="15">
        <v>0</v>
      </c>
      <c r="X114" s="15">
        <v>0</v>
      </c>
      <c r="Y114" s="15">
        <v>0</v>
      </c>
      <c r="Z114" s="15">
        <v>0</v>
      </c>
      <c r="AA114" s="15"/>
      <c r="AB114" s="15">
        <v>0</v>
      </c>
      <c r="AC114" s="15">
        <v>0</v>
      </c>
      <c r="AD114" s="15">
        <v>0</v>
      </c>
      <c r="AE114" s="15">
        <v>0</v>
      </c>
      <c r="AF114" s="15">
        <v>0</v>
      </c>
      <c r="AG114" s="15">
        <v>0</v>
      </c>
      <c r="AH114" s="15"/>
      <c r="AI114" s="15">
        <v>0</v>
      </c>
      <c r="AJ114" s="15"/>
      <c r="AK114" s="15">
        <v>0</v>
      </c>
      <c r="AL114" s="15"/>
      <c r="AM114" s="15">
        <v>0</v>
      </c>
      <c r="AN114" s="15"/>
      <c r="AO114" s="15">
        <v>0</v>
      </c>
      <c r="AP114" s="15"/>
      <c r="AQ114" s="15">
        <v>0</v>
      </c>
      <c r="AR114" s="15">
        <v>0</v>
      </c>
      <c r="AS114" s="15">
        <v>0</v>
      </c>
      <c r="AT114" s="15">
        <v>0</v>
      </c>
      <c r="AU114" s="15">
        <v>0</v>
      </c>
      <c r="AV114" s="15">
        <v>0</v>
      </c>
      <c r="AW114" s="15">
        <v>0</v>
      </c>
      <c r="AX114" s="15">
        <v>0</v>
      </c>
      <c r="AY114" s="15">
        <v>14</v>
      </c>
      <c r="AZ114" s="15">
        <v>3</v>
      </c>
      <c r="BA114" s="15">
        <v>2</v>
      </c>
      <c r="BB114" s="15">
        <v>0.66667</v>
      </c>
      <c r="BC114" s="15">
        <v>0</v>
      </c>
      <c r="BD114" s="15">
        <v>0</v>
      </c>
      <c r="BE114" s="15">
        <v>0.13084</v>
      </c>
      <c r="BF114" s="15">
        <v>11</v>
      </c>
      <c r="BG114" s="15">
        <v>5</v>
      </c>
      <c r="BH114" s="15">
        <v>0</v>
      </c>
      <c r="BI114" s="15"/>
      <c r="BJ114" s="15">
        <v>0</v>
      </c>
      <c r="BK114" s="15">
        <v>0</v>
      </c>
      <c r="BL114" s="15">
        <v>0</v>
      </c>
      <c r="BM114" s="15">
        <v>0</v>
      </c>
      <c r="BN114" s="15"/>
      <c r="BO114" s="15"/>
      <c r="BP114" s="15">
        <v>0</v>
      </c>
      <c r="BQ114" s="15">
        <v>1</v>
      </c>
      <c r="BR114" s="15">
        <v>0</v>
      </c>
      <c r="BS114" s="15">
        <v>0</v>
      </c>
      <c r="BT114" s="15">
        <v>0</v>
      </c>
      <c r="BU114" s="15">
        <v>0</v>
      </c>
      <c r="BV114" s="15">
        <v>0</v>
      </c>
      <c r="BW114" s="15">
        <v>0</v>
      </c>
      <c r="BX114" s="15">
        <v>0</v>
      </c>
    </row>
    <row r="115" spans="1:76">
      <c r="A115" s="14" t="str">
        <f>VLOOKUP(C115,VLOOKUP!A:B,2,FALSE)</f>
        <v>如意盘香</v>
      </c>
      <c r="B115" s="16">
        <v>46080</v>
      </c>
      <c r="C115" s="17">
        <v>838711327669</v>
      </c>
      <c r="D115" s="15" t="s">
        <v>151</v>
      </c>
      <c r="E115" s="15" t="s">
        <v>158</v>
      </c>
      <c r="F115" s="15">
        <v>596</v>
      </c>
      <c r="G115" s="15">
        <v>30</v>
      </c>
      <c r="H115" s="15">
        <v>80</v>
      </c>
      <c r="I115" s="15">
        <v>0.05034</v>
      </c>
      <c r="J115" s="15">
        <v>2.67</v>
      </c>
      <c r="K115" s="15">
        <v>134.23</v>
      </c>
      <c r="L115" s="15">
        <v>0</v>
      </c>
      <c r="M115" s="15">
        <v>0</v>
      </c>
      <c r="N115" s="15">
        <v>0</v>
      </c>
      <c r="O115" s="15">
        <v>0</v>
      </c>
      <c r="P115" s="15">
        <v>0</v>
      </c>
      <c r="Q115" s="15">
        <v>0</v>
      </c>
      <c r="R115" s="15">
        <v>0</v>
      </c>
      <c r="S115" s="15">
        <v>0</v>
      </c>
      <c r="T115" s="15">
        <v>0</v>
      </c>
      <c r="U115" s="15">
        <v>0</v>
      </c>
      <c r="V115" s="15">
        <v>0</v>
      </c>
      <c r="W115" s="15">
        <v>0</v>
      </c>
      <c r="X115" s="15">
        <v>0</v>
      </c>
      <c r="Y115" s="15">
        <v>0</v>
      </c>
      <c r="Z115" s="15">
        <v>0</v>
      </c>
      <c r="AA115" s="15"/>
      <c r="AB115" s="15">
        <v>0</v>
      </c>
      <c r="AC115" s="15">
        <v>0</v>
      </c>
      <c r="AD115" s="15">
        <v>0</v>
      </c>
      <c r="AE115" s="15">
        <v>0</v>
      </c>
      <c r="AF115" s="15">
        <v>4</v>
      </c>
      <c r="AG115" s="15">
        <v>1</v>
      </c>
      <c r="AH115" s="15">
        <v>80</v>
      </c>
      <c r="AI115" s="15">
        <v>5</v>
      </c>
      <c r="AJ115" s="15">
        <v>16</v>
      </c>
      <c r="AK115" s="15">
        <v>4</v>
      </c>
      <c r="AL115" s="15">
        <v>20</v>
      </c>
      <c r="AM115" s="15">
        <v>5</v>
      </c>
      <c r="AN115" s="15">
        <v>20</v>
      </c>
      <c r="AO115" s="15">
        <v>0.13333</v>
      </c>
      <c r="AP115" s="15"/>
      <c r="AQ115" s="15">
        <v>0</v>
      </c>
      <c r="AR115" s="15">
        <v>0</v>
      </c>
      <c r="AS115" s="15">
        <v>1</v>
      </c>
      <c r="AT115" s="15">
        <v>3</v>
      </c>
      <c r="AU115" s="15">
        <v>0</v>
      </c>
      <c r="AV115" s="15">
        <v>0</v>
      </c>
      <c r="AW115" s="15">
        <v>0</v>
      </c>
      <c r="AX115" s="15">
        <v>0</v>
      </c>
      <c r="AY115" s="15">
        <v>100</v>
      </c>
      <c r="AZ115" s="15">
        <v>25</v>
      </c>
      <c r="BA115" s="15">
        <v>13</v>
      </c>
      <c r="BB115" s="15">
        <v>0.52</v>
      </c>
      <c r="BC115" s="15">
        <v>0</v>
      </c>
      <c r="BD115" s="15">
        <v>0</v>
      </c>
      <c r="BE115" s="15">
        <v>0.16779</v>
      </c>
      <c r="BF115" s="15">
        <v>66</v>
      </c>
      <c r="BG115" s="15">
        <v>4</v>
      </c>
      <c r="BH115" s="15">
        <v>0</v>
      </c>
      <c r="BI115" s="15"/>
      <c r="BJ115" s="15">
        <v>0</v>
      </c>
      <c r="BK115" s="15">
        <v>0</v>
      </c>
      <c r="BL115" s="15">
        <v>0</v>
      </c>
      <c r="BM115" s="15">
        <v>0</v>
      </c>
      <c r="BN115" s="15"/>
      <c r="BO115" s="15"/>
      <c r="BP115" s="15">
        <v>2.54</v>
      </c>
      <c r="BQ115" s="15">
        <v>301</v>
      </c>
      <c r="BR115" s="15">
        <v>0</v>
      </c>
      <c r="BS115" s="15">
        <v>0</v>
      </c>
      <c r="BT115" s="15">
        <v>0</v>
      </c>
      <c r="BU115" s="15">
        <v>0</v>
      </c>
      <c r="BV115" s="15">
        <v>0</v>
      </c>
      <c r="BW115" s="15">
        <v>0</v>
      </c>
      <c r="BX115" s="15">
        <v>0</v>
      </c>
    </row>
    <row r="116" spans="1:76">
      <c r="A116" s="14" t="str">
        <f>VLOOKUP(C116,VLOOKUP!A:B,2,FALSE)</f>
        <v>福颜青</v>
      </c>
      <c r="B116" s="16">
        <v>46080</v>
      </c>
      <c r="C116" s="17">
        <v>833369552621</v>
      </c>
      <c r="D116" s="15" t="s">
        <v>151</v>
      </c>
      <c r="E116" s="15" t="s">
        <v>154</v>
      </c>
      <c r="F116" s="15">
        <v>3030</v>
      </c>
      <c r="G116" s="15">
        <v>55</v>
      </c>
      <c r="H116" s="15">
        <v>11.53</v>
      </c>
      <c r="I116" s="15">
        <v>0.01815</v>
      </c>
      <c r="J116" s="15">
        <v>0.21</v>
      </c>
      <c r="K116" s="15">
        <v>3.81</v>
      </c>
      <c r="L116" s="15">
        <v>0</v>
      </c>
      <c r="M116" s="15">
        <v>0</v>
      </c>
      <c r="N116" s="15">
        <v>0</v>
      </c>
      <c r="O116" s="15">
        <v>0</v>
      </c>
      <c r="P116" s="15">
        <v>0</v>
      </c>
      <c r="Q116" s="15">
        <v>0</v>
      </c>
      <c r="R116" s="15">
        <v>0</v>
      </c>
      <c r="S116" s="15">
        <v>0</v>
      </c>
      <c r="T116" s="15">
        <v>0</v>
      </c>
      <c r="U116" s="15">
        <v>0</v>
      </c>
      <c r="V116" s="15">
        <v>0</v>
      </c>
      <c r="W116" s="15">
        <v>0</v>
      </c>
      <c r="X116" s="15">
        <v>0</v>
      </c>
      <c r="Y116" s="15">
        <v>0</v>
      </c>
      <c r="Z116" s="15">
        <v>0</v>
      </c>
      <c r="AA116" s="15"/>
      <c r="AB116" s="15">
        <v>1</v>
      </c>
      <c r="AC116" s="15">
        <v>0</v>
      </c>
      <c r="AD116" s="15">
        <v>1</v>
      </c>
      <c r="AE116" s="15">
        <v>0.01818</v>
      </c>
      <c r="AF116" s="15">
        <v>0</v>
      </c>
      <c r="AG116" s="15">
        <v>0</v>
      </c>
      <c r="AH116" s="15"/>
      <c r="AI116" s="15">
        <v>1</v>
      </c>
      <c r="AJ116" s="15">
        <v>11.53</v>
      </c>
      <c r="AK116" s="15">
        <v>1</v>
      </c>
      <c r="AL116" s="15">
        <v>11.53</v>
      </c>
      <c r="AM116" s="15">
        <v>0</v>
      </c>
      <c r="AN116" s="15"/>
      <c r="AO116" s="15">
        <v>0</v>
      </c>
      <c r="AP116" s="15">
        <v>11.53</v>
      </c>
      <c r="AQ116" s="15">
        <v>0</v>
      </c>
      <c r="AR116" s="15">
        <v>0</v>
      </c>
      <c r="AS116" s="15">
        <v>0</v>
      </c>
      <c r="AT116" s="15">
        <v>0</v>
      </c>
      <c r="AU116" s="15">
        <v>0</v>
      </c>
      <c r="AV116" s="15">
        <v>0</v>
      </c>
      <c r="AW116" s="15">
        <v>0</v>
      </c>
      <c r="AX116" s="15">
        <v>2</v>
      </c>
      <c r="AY116" s="15">
        <v>93</v>
      </c>
      <c r="AZ116" s="15">
        <v>48</v>
      </c>
      <c r="BA116" s="15">
        <v>42</v>
      </c>
      <c r="BB116" s="15">
        <v>0.875</v>
      </c>
      <c r="BC116" s="15">
        <v>0</v>
      </c>
      <c r="BD116" s="15">
        <v>0</v>
      </c>
      <c r="BE116" s="15">
        <v>0.03069</v>
      </c>
      <c r="BF116" s="15">
        <v>38</v>
      </c>
      <c r="BG116" s="15">
        <v>2</v>
      </c>
      <c r="BH116" s="15">
        <v>0</v>
      </c>
      <c r="BI116" s="15"/>
      <c r="BJ116" s="15">
        <v>0</v>
      </c>
      <c r="BK116" s="15">
        <v>0</v>
      </c>
      <c r="BL116" s="15">
        <v>0</v>
      </c>
      <c r="BM116" s="15">
        <v>0</v>
      </c>
      <c r="BN116" s="15"/>
      <c r="BO116" s="15"/>
      <c r="BP116" s="15">
        <v>0</v>
      </c>
      <c r="BQ116" s="15">
        <v>13</v>
      </c>
      <c r="BR116" s="15">
        <v>0</v>
      </c>
      <c r="BS116" s="15">
        <v>0</v>
      </c>
      <c r="BT116" s="15">
        <v>0</v>
      </c>
      <c r="BU116" s="15">
        <v>0</v>
      </c>
      <c r="BV116" s="15">
        <v>0</v>
      </c>
      <c r="BW116" s="15">
        <v>0</v>
      </c>
      <c r="BX116" s="15">
        <v>0</v>
      </c>
    </row>
    <row r="117" spans="1:76">
      <c r="A117" s="14" t="str">
        <f>VLOOKUP(C117,VLOOKUP!A:B,2,FALSE)</f>
        <v>奇楠手串</v>
      </c>
      <c r="B117" s="16">
        <v>46080</v>
      </c>
      <c r="C117" s="17">
        <v>833035288991</v>
      </c>
      <c r="D117" s="15" t="s">
        <v>151</v>
      </c>
      <c r="E117" s="15" t="s">
        <v>159</v>
      </c>
      <c r="F117" s="15">
        <v>1857</v>
      </c>
      <c r="G117" s="15">
        <v>75</v>
      </c>
      <c r="H117" s="15">
        <v>21.82</v>
      </c>
      <c r="I117" s="15">
        <v>0.04039</v>
      </c>
      <c r="J117" s="15">
        <v>0.29</v>
      </c>
      <c r="K117" s="15">
        <v>11.75</v>
      </c>
      <c r="L117" s="15">
        <v>0</v>
      </c>
      <c r="M117" s="15">
        <v>0</v>
      </c>
      <c r="N117" s="15">
        <v>0</v>
      </c>
      <c r="O117" s="15">
        <v>0</v>
      </c>
      <c r="P117" s="15">
        <v>0</v>
      </c>
      <c r="Q117" s="15">
        <v>0</v>
      </c>
      <c r="R117" s="15">
        <v>0</v>
      </c>
      <c r="S117" s="15">
        <v>0</v>
      </c>
      <c r="T117" s="15">
        <v>0</v>
      </c>
      <c r="U117" s="15">
        <v>0</v>
      </c>
      <c r="V117" s="15">
        <v>0</v>
      </c>
      <c r="W117" s="15">
        <v>0</v>
      </c>
      <c r="X117" s="15">
        <v>0</v>
      </c>
      <c r="Y117" s="15">
        <v>0</v>
      </c>
      <c r="Z117" s="15">
        <v>0</v>
      </c>
      <c r="AA117" s="15"/>
      <c r="AB117" s="15">
        <v>1</v>
      </c>
      <c r="AC117" s="15">
        <v>0</v>
      </c>
      <c r="AD117" s="15">
        <v>1</v>
      </c>
      <c r="AE117" s="15">
        <v>0.01333</v>
      </c>
      <c r="AF117" s="15">
        <v>0</v>
      </c>
      <c r="AG117" s="15">
        <v>1</v>
      </c>
      <c r="AH117" s="15">
        <v>21.82</v>
      </c>
      <c r="AI117" s="15">
        <v>2</v>
      </c>
      <c r="AJ117" s="15">
        <v>10.91</v>
      </c>
      <c r="AK117" s="15">
        <v>1</v>
      </c>
      <c r="AL117" s="15">
        <v>21.82</v>
      </c>
      <c r="AM117" s="15">
        <v>1</v>
      </c>
      <c r="AN117" s="15"/>
      <c r="AO117" s="15">
        <v>0</v>
      </c>
      <c r="AP117" s="15">
        <v>21.82</v>
      </c>
      <c r="AQ117" s="15">
        <v>0</v>
      </c>
      <c r="AR117" s="15">
        <v>0</v>
      </c>
      <c r="AS117" s="15">
        <v>0</v>
      </c>
      <c r="AT117" s="15">
        <v>0</v>
      </c>
      <c r="AU117" s="15">
        <v>0</v>
      </c>
      <c r="AV117" s="15">
        <v>0</v>
      </c>
      <c r="AW117" s="15">
        <v>0</v>
      </c>
      <c r="AX117" s="15">
        <v>0</v>
      </c>
      <c r="AY117" s="15">
        <v>161</v>
      </c>
      <c r="AZ117" s="15">
        <v>70</v>
      </c>
      <c r="BA117" s="15">
        <v>62</v>
      </c>
      <c r="BB117" s="15">
        <v>0.88571</v>
      </c>
      <c r="BC117" s="15">
        <v>0</v>
      </c>
      <c r="BD117" s="15">
        <v>0</v>
      </c>
      <c r="BE117" s="15">
        <v>0.0867</v>
      </c>
      <c r="BF117" s="15">
        <v>84</v>
      </c>
      <c r="BG117" s="15">
        <v>2</v>
      </c>
      <c r="BH117" s="15">
        <v>0</v>
      </c>
      <c r="BI117" s="15"/>
      <c r="BJ117" s="15">
        <v>0</v>
      </c>
      <c r="BK117" s="15">
        <v>0</v>
      </c>
      <c r="BL117" s="15">
        <v>0</v>
      </c>
      <c r="BM117" s="15">
        <v>0</v>
      </c>
      <c r="BN117" s="15"/>
      <c r="BO117" s="15"/>
      <c r="BP117" s="15">
        <v>0.06</v>
      </c>
      <c r="BQ117" s="15">
        <v>38</v>
      </c>
      <c r="BR117" s="15">
        <v>0</v>
      </c>
      <c r="BS117" s="15">
        <v>0</v>
      </c>
      <c r="BT117" s="15">
        <v>0</v>
      </c>
      <c r="BU117" s="15">
        <v>0</v>
      </c>
      <c r="BV117" s="15">
        <v>0</v>
      </c>
      <c r="BW117" s="15">
        <v>0</v>
      </c>
      <c r="BX117" s="15">
        <v>0</v>
      </c>
    </row>
    <row r="118" spans="1:76">
      <c r="A118" s="14" t="str">
        <f>VLOOKUP(C118,VLOOKUP!A:B,2,FALSE)</f>
        <v>福到</v>
      </c>
      <c r="B118" s="16">
        <v>46079</v>
      </c>
      <c r="C118" s="17">
        <v>971856893567</v>
      </c>
      <c r="D118" s="15" t="s">
        <v>151</v>
      </c>
      <c r="E118" s="15" t="s">
        <v>152</v>
      </c>
      <c r="F118" s="15">
        <v>76</v>
      </c>
      <c r="G118" s="15">
        <v>2</v>
      </c>
      <c r="H118" s="15">
        <v>0.44</v>
      </c>
      <c r="I118" s="15">
        <v>0.02632</v>
      </c>
      <c r="J118" s="15">
        <v>0.22</v>
      </c>
      <c r="K118" s="15">
        <v>5.79</v>
      </c>
      <c r="L118" s="15">
        <v>0</v>
      </c>
      <c r="M118" s="15">
        <v>0</v>
      </c>
      <c r="N118" s="15">
        <v>0</v>
      </c>
      <c r="O118" s="15">
        <v>0</v>
      </c>
      <c r="P118" s="15">
        <v>0</v>
      </c>
      <c r="Q118" s="15">
        <v>0</v>
      </c>
      <c r="R118" s="15">
        <v>0</v>
      </c>
      <c r="S118" s="15">
        <v>0</v>
      </c>
      <c r="T118" s="15">
        <v>0</v>
      </c>
      <c r="U118" s="15">
        <v>0</v>
      </c>
      <c r="V118" s="15">
        <v>0</v>
      </c>
      <c r="W118" s="15">
        <v>0</v>
      </c>
      <c r="X118" s="15">
        <v>0</v>
      </c>
      <c r="Y118" s="15">
        <v>0</v>
      </c>
      <c r="Z118" s="15">
        <v>0</v>
      </c>
      <c r="AA118" s="15"/>
      <c r="AB118" s="15">
        <v>0</v>
      </c>
      <c r="AC118" s="15">
        <v>0</v>
      </c>
      <c r="AD118" s="15">
        <v>0</v>
      </c>
      <c r="AE118" s="15">
        <v>0</v>
      </c>
      <c r="AF118" s="15">
        <v>0</v>
      </c>
      <c r="AG118" s="15">
        <v>0</v>
      </c>
      <c r="AH118" s="15"/>
      <c r="AI118" s="15">
        <v>0</v>
      </c>
      <c r="AJ118" s="15"/>
      <c r="AK118" s="15">
        <v>0</v>
      </c>
      <c r="AL118" s="15"/>
      <c r="AM118" s="15">
        <v>0</v>
      </c>
      <c r="AN118" s="15"/>
      <c r="AO118" s="15">
        <v>0</v>
      </c>
      <c r="AP118" s="15"/>
      <c r="AQ118" s="15">
        <v>0</v>
      </c>
      <c r="AR118" s="15">
        <v>0</v>
      </c>
      <c r="AS118" s="15">
        <v>0</v>
      </c>
      <c r="AT118" s="15">
        <v>0</v>
      </c>
      <c r="AU118" s="15">
        <v>0</v>
      </c>
      <c r="AV118" s="15">
        <v>0</v>
      </c>
      <c r="AW118" s="15">
        <v>0</v>
      </c>
      <c r="AX118" s="15">
        <v>0</v>
      </c>
      <c r="AY118" s="15">
        <v>5</v>
      </c>
      <c r="AZ118" s="15">
        <v>2</v>
      </c>
      <c r="BA118" s="15">
        <v>1</v>
      </c>
      <c r="BB118" s="15">
        <v>0.5</v>
      </c>
      <c r="BC118" s="15">
        <v>0</v>
      </c>
      <c r="BD118" s="15">
        <v>0</v>
      </c>
      <c r="BE118" s="15">
        <v>0.06579</v>
      </c>
      <c r="BF118" s="15">
        <v>3</v>
      </c>
      <c r="BG118" s="15">
        <v>3</v>
      </c>
      <c r="BH118" s="15">
        <v>0</v>
      </c>
      <c r="BI118" s="15"/>
      <c r="BJ118" s="15">
        <v>0</v>
      </c>
      <c r="BK118" s="15">
        <v>0</v>
      </c>
      <c r="BL118" s="15">
        <v>0</v>
      </c>
      <c r="BM118" s="15">
        <v>0</v>
      </c>
      <c r="BN118" s="15"/>
      <c r="BO118" s="15"/>
      <c r="BP118" s="15">
        <v>0</v>
      </c>
      <c r="BQ118" s="15">
        <v>12</v>
      </c>
      <c r="BR118" s="15">
        <v>0</v>
      </c>
      <c r="BS118" s="15">
        <v>0</v>
      </c>
      <c r="BT118" s="15">
        <v>0</v>
      </c>
      <c r="BU118" s="15">
        <v>0</v>
      </c>
      <c r="BV118" s="15">
        <v>0</v>
      </c>
      <c r="BW118" s="15">
        <v>0</v>
      </c>
      <c r="BX118" s="15">
        <v>0</v>
      </c>
    </row>
    <row r="119" spans="1:76">
      <c r="A119" s="14" t="str">
        <f>VLOOKUP(C119,VLOOKUP!A:B,2,FALSE)</f>
        <v>如意盘香</v>
      </c>
      <c r="B119" s="16">
        <v>46079</v>
      </c>
      <c r="C119" s="17">
        <v>838711327669</v>
      </c>
      <c r="D119" s="15" t="s">
        <v>151</v>
      </c>
      <c r="E119" s="15" t="s">
        <v>158</v>
      </c>
      <c r="F119" s="15">
        <v>563</v>
      </c>
      <c r="G119" s="15">
        <v>20</v>
      </c>
      <c r="H119" s="15">
        <v>80</v>
      </c>
      <c r="I119" s="15">
        <v>0.03552</v>
      </c>
      <c r="J119" s="15">
        <v>4</v>
      </c>
      <c r="K119" s="15">
        <v>142.1</v>
      </c>
      <c r="L119" s="15">
        <v>0</v>
      </c>
      <c r="M119" s="15">
        <v>0</v>
      </c>
      <c r="N119" s="15">
        <v>0</v>
      </c>
      <c r="O119" s="15">
        <v>0</v>
      </c>
      <c r="P119" s="15">
        <v>0</v>
      </c>
      <c r="Q119" s="15">
        <v>0</v>
      </c>
      <c r="R119" s="15">
        <v>693.84</v>
      </c>
      <c r="S119" s="15">
        <v>5740.18</v>
      </c>
      <c r="T119" s="15">
        <v>6434.02</v>
      </c>
      <c r="U119" s="15">
        <v>8</v>
      </c>
      <c r="V119" s="15">
        <v>2</v>
      </c>
      <c r="W119" s="15">
        <v>6</v>
      </c>
      <c r="X119" s="15">
        <v>0.4</v>
      </c>
      <c r="Y119" s="15">
        <v>80.43</v>
      </c>
      <c r="Z119" s="15">
        <v>80.43</v>
      </c>
      <c r="AA119" s="15">
        <v>10</v>
      </c>
      <c r="AB119" s="15">
        <v>10</v>
      </c>
      <c r="AC119" s="15">
        <v>3</v>
      </c>
      <c r="AD119" s="15">
        <v>7</v>
      </c>
      <c r="AE119" s="15">
        <v>0.5</v>
      </c>
      <c r="AF119" s="15">
        <v>0</v>
      </c>
      <c r="AG119" s="15">
        <v>1</v>
      </c>
      <c r="AH119" s="15">
        <v>80</v>
      </c>
      <c r="AI119" s="15">
        <v>11</v>
      </c>
      <c r="AJ119" s="15">
        <v>7.27</v>
      </c>
      <c r="AK119" s="15">
        <v>10</v>
      </c>
      <c r="AL119" s="15">
        <v>8</v>
      </c>
      <c r="AM119" s="15">
        <v>1</v>
      </c>
      <c r="AN119" s="15"/>
      <c r="AO119" s="15">
        <v>0</v>
      </c>
      <c r="AP119" s="15">
        <v>8</v>
      </c>
      <c r="AQ119" s="15">
        <v>11</v>
      </c>
      <c r="AR119" s="15">
        <v>8478.9</v>
      </c>
      <c r="AS119" s="15">
        <v>0</v>
      </c>
      <c r="AT119" s="15">
        <v>0</v>
      </c>
      <c r="AU119" s="15">
        <v>0</v>
      </c>
      <c r="AV119" s="15">
        <v>0</v>
      </c>
      <c r="AW119" s="15">
        <v>0</v>
      </c>
      <c r="AX119" s="15">
        <v>7</v>
      </c>
      <c r="AY119" s="15">
        <v>154</v>
      </c>
      <c r="AZ119" s="15">
        <v>20</v>
      </c>
      <c r="BA119" s="15">
        <v>15</v>
      </c>
      <c r="BB119" s="15">
        <v>0.75</v>
      </c>
      <c r="BC119" s="15">
        <v>0</v>
      </c>
      <c r="BD119" s="15">
        <v>0</v>
      </c>
      <c r="BE119" s="15">
        <v>0.27353</v>
      </c>
      <c r="BF119" s="15">
        <v>133</v>
      </c>
      <c r="BG119" s="15">
        <v>8</v>
      </c>
      <c r="BH119" s="15">
        <v>4</v>
      </c>
      <c r="BI119" s="15">
        <v>1</v>
      </c>
      <c r="BJ119" s="15">
        <v>0</v>
      </c>
      <c r="BK119" s="15">
        <v>0</v>
      </c>
      <c r="BL119" s="15">
        <v>0</v>
      </c>
      <c r="BM119" s="15">
        <v>4</v>
      </c>
      <c r="BN119" s="15">
        <v>2</v>
      </c>
      <c r="BO119" s="15">
        <v>1608.51</v>
      </c>
      <c r="BP119" s="15">
        <v>10.69</v>
      </c>
      <c r="BQ119" s="15">
        <v>1544</v>
      </c>
      <c r="BR119" s="15">
        <v>0</v>
      </c>
      <c r="BS119" s="15">
        <v>0</v>
      </c>
      <c r="BT119" s="15">
        <v>0</v>
      </c>
      <c r="BU119" s="15">
        <v>0</v>
      </c>
      <c r="BV119" s="15">
        <v>0</v>
      </c>
      <c r="BW119" s="15">
        <v>0</v>
      </c>
      <c r="BX119" s="15">
        <v>0</v>
      </c>
    </row>
    <row r="120" spans="1:76">
      <c r="A120" s="14" t="str">
        <f>VLOOKUP(C120,VLOOKUP!A:B,2,FALSE)</f>
        <v>福颜青</v>
      </c>
      <c r="B120" s="16">
        <v>46079</v>
      </c>
      <c r="C120" s="17">
        <v>833369552621</v>
      </c>
      <c r="D120" s="15" t="s">
        <v>151</v>
      </c>
      <c r="E120" s="15" t="s">
        <v>154</v>
      </c>
      <c r="F120" s="15">
        <v>2615</v>
      </c>
      <c r="G120" s="15">
        <v>49</v>
      </c>
      <c r="H120" s="15">
        <v>12.95</v>
      </c>
      <c r="I120" s="15">
        <v>0.01874</v>
      </c>
      <c r="J120" s="15">
        <v>0.26</v>
      </c>
      <c r="K120" s="15">
        <v>4.95</v>
      </c>
      <c r="L120" s="15">
        <v>0</v>
      </c>
      <c r="M120" s="15">
        <v>0</v>
      </c>
      <c r="N120" s="15">
        <v>0</v>
      </c>
      <c r="O120" s="15">
        <v>0</v>
      </c>
      <c r="P120" s="15">
        <v>0</v>
      </c>
      <c r="Q120" s="15">
        <v>0</v>
      </c>
      <c r="R120" s="15">
        <v>0</v>
      </c>
      <c r="S120" s="15">
        <v>0</v>
      </c>
      <c r="T120" s="15">
        <v>0</v>
      </c>
      <c r="U120" s="15">
        <v>0</v>
      </c>
      <c r="V120" s="15">
        <v>0</v>
      </c>
      <c r="W120" s="15">
        <v>0</v>
      </c>
      <c r="X120" s="15">
        <v>0</v>
      </c>
      <c r="Y120" s="15">
        <v>0</v>
      </c>
      <c r="Z120" s="15">
        <v>0</v>
      </c>
      <c r="AA120" s="15"/>
      <c r="AB120" s="15">
        <v>2</v>
      </c>
      <c r="AC120" s="15">
        <v>0</v>
      </c>
      <c r="AD120" s="15">
        <v>2</v>
      </c>
      <c r="AE120" s="15">
        <v>0.04082</v>
      </c>
      <c r="AF120" s="15">
        <v>0</v>
      </c>
      <c r="AG120" s="15">
        <v>0</v>
      </c>
      <c r="AH120" s="15"/>
      <c r="AI120" s="15">
        <v>2</v>
      </c>
      <c r="AJ120" s="15">
        <v>6.48</v>
      </c>
      <c r="AK120" s="15">
        <v>2</v>
      </c>
      <c r="AL120" s="15">
        <v>6.48</v>
      </c>
      <c r="AM120" s="15">
        <v>0</v>
      </c>
      <c r="AN120" s="15"/>
      <c r="AO120" s="15">
        <v>0</v>
      </c>
      <c r="AP120" s="15">
        <v>6.48</v>
      </c>
      <c r="AQ120" s="15">
        <v>0</v>
      </c>
      <c r="AR120" s="15">
        <v>0</v>
      </c>
      <c r="AS120" s="15">
        <v>0</v>
      </c>
      <c r="AT120" s="15">
        <v>0</v>
      </c>
      <c r="AU120" s="15">
        <v>0</v>
      </c>
      <c r="AV120" s="15">
        <v>0</v>
      </c>
      <c r="AW120" s="15">
        <v>0</v>
      </c>
      <c r="AX120" s="15">
        <v>0</v>
      </c>
      <c r="AY120" s="15">
        <v>99</v>
      </c>
      <c r="AZ120" s="15">
        <v>43</v>
      </c>
      <c r="BA120" s="15">
        <v>40</v>
      </c>
      <c r="BB120" s="15">
        <v>0.93023</v>
      </c>
      <c r="BC120" s="15">
        <v>0</v>
      </c>
      <c r="BD120" s="15">
        <v>0</v>
      </c>
      <c r="BE120" s="15">
        <v>0.03786</v>
      </c>
      <c r="BF120" s="15">
        <v>52</v>
      </c>
      <c r="BG120" s="15">
        <v>2</v>
      </c>
      <c r="BH120" s="15">
        <v>0</v>
      </c>
      <c r="BI120" s="15"/>
      <c r="BJ120" s="15">
        <v>0</v>
      </c>
      <c r="BK120" s="15">
        <v>0</v>
      </c>
      <c r="BL120" s="15">
        <v>0</v>
      </c>
      <c r="BM120" s="15">
        <v>0</v>
      </c>
      <c r="BN120" s="15"/>
      <c r="BO120" s="15"/>
      <c r="BP120" s="15">
        <v>0</v>
      </c>
      <c r="BQ120" s="15">
        <v>12</v>
      </c>
      <c r="BR120" s="15">
        <v>0</v>
      </c>
      <c r="BS120" s="15">
        <v>0</v>
      </c>
      <c r="BT120" s="15">
        <v>0</v>
      </c>
      <c r="BU120" s="15">
        <v>0</v>
      </c>
      <c r="BV120" s="15">
        <v>0</v>
      </c>
      <c r="BW120" s="15">
        <v>0</v>
      </c>
      <c r="BX120" s="15">
        <v>0</v>
      </c>
    </row>
    <row r="121" spans="1:76">
      <c r="A121" s="14" t="str">
        <f>VLOOKUP(C121,VLOOKUP!A:B,2,FALSE)</f>
        <v>奇楠手串</v>
      </c>
      <c r="B121" s="16">
        <v>46079</v>
      </c>
      <c r="C121" s="17">
        <v>833035288991</v>
      </c>
      <c r="D121" s="15" t="s">
        <v>151</v>
      </c>
      <c r="E121" s="15" t="s">
        <v>159</v>
      </c>
      <c r="F121" s="15">
        <v>1324</v>
      </c>
      <c r="G121" s="15">
        <v>61</v>
      </c>
      <c r="H121" s="15">
        <v>21.34</v>
      </c>
      <c r="I121" s="15">
        <v>0.04607</v>
      </c>
      <c r="J121" s="15">
        <v>0.35</v>
      </c>
      <c r="K121" s="15">
        <v>16.12</v>
      </c>
      <c r="L121" s="15">
        <v>0</v>
      </c>
      <c r="M121" s="15">
        <v>0</v>
      </c>
      <c r="N121" s="15">
        <v>0</v>
      </c>
      <c r="O121" s="15">
        <v>0</v>
      </c>
      <c r="P121" s="15">
        <v>0</v>
      </c>
      <c r="Q121" s="15">
        <v>0</v>
      </c>
      <c r="R121" s="15">
        <v>0</v>
      </c>
      <c r="S121" s="15">
        <v>33.93</v>
      </c>
      <c r="T121" s="15">
        <v>33.93</v>
      </c>
      <c r="U121" s="15">
        <v>1</v>
      </c>
      <c r="V121" s="15">
        <v>0</v>
      </c>
      <c r="W121" s="15">
        <v>1</v>
      </c>
      <c r="X121" s="15">
        <v>0.01639</v>
      </c>
      <c r="Y121" s="15">
        <v>1.59</v>
      </c>
      <c r="Z121" s="15">
        <v>1.59</v>
      </c>
      <c r="AA121" s="15">
        <v>21.34</v>
      </c>
      <c r="AB121" s="15">
        <v>3</v>
      </c>
      <c r="AC121" s="15">
        <v>0</v>
      </c>
      <c r="AD121" s="15">
        <v>3</v>
      </c>
      <c r="AE121" s="15">
        <v>0.04918</v>
      </c>
      <c r="AF121" s="15">
        <v>0</v>
      </c>
      <c r="AG121" s="15">
        <v>1</v>
      </c>
      <c r="AH121" s="15">
        <v>21.34</v>
      </c>
      <c r="AI121" s="15">
        <v>4</v>
      </c>
      <c r="AJ121" s="15">
        <v>5.34</v>
      </c>
      <c r="AK121" s="15">
        <v>3</v>
      </c>
      <c r="AL121" s="15">
        <v>7.11</v>
      </c>
      <c r="AM121" s="15">
        <v>1</v>
      </c>
      <c r="AN121" s="15"/>
      <c r="AO121" s="15">
        <v>0</v>
      </c>
      <c r="AP121" s="15">
        <v>7.11</v>
      </c>
      <c r="AQ121" s="15">
        <v>1</v>
      </c>
      <c r="AR121" s="15">
        <v>49.9</v>
      </c>
      <c r="AS121" s="15">
        <v>0</v>
      </c>
      <c r="AT121" s="15">
        <v>0</v>
      </c>
      <c r="AU121" s="15">
        <v>0</v>
      </c>
      <c r="AV121" s="15">
        <v>0</v>
      </c>
      <c r="AW121" s="15">
        <v>0</v>
      </c>
      <c r="AX121" s="15">
        <v>1</v>
      </c>
      <c r="AY121" s="15">
        <v>165</v>
      </c>
      <c r="AZ121" s="15">
        <v>56</v>
      </c>
      <c r="BA121" s="15">
        <v>48</v>
      </c>
      <c r="BB121" s="15">
        <v>0.85714</v>
      </c>
      <c r="BC121" s="15">
        <v>0</v>
      </c>
      <c r="BD121" s="15">
        <v>0</v>
      </c>
      <c r="BE121" s="15">
        <v>0.12462</v>
      </c>
      <c r="BF121" s="15">
        <v>102</v>
      </c>
      <c r="BG121" s="15">
        <v>3</v>
      </c>
      <c r="BH121" s="15">
        <v>1</v>
      </c>
      <c r="BI121" s="15">
        <v>1</v>
      </c>
      <c r="BJ121" s="15">
        <v>0</v>
      </c>
      <c r="BK121" s="15">
        <v>0</v>
      </c>
      <c r="BL121" s="15">
        <v>0</v>
      </c>
      <c r="BM121" s="15">
        <v>1</v>
      </c>
      <c r="BN121" s="15">
        <v>1</v>
      </c>
      <c r="BO121" s="15">
        <v>33.93</v>
      </c>
      <c r="BP121" s="15">
        <v>13.16</v>
      </c>
      <c r="BQ121" s="15">
        <v>130</v>
      </c>
      <c r="BR121" s="15">
        <v>0</v>
      </c>
      <c r="BS121" s="15">
        <v>0</v>
      </c>
      <c r="BT121" s="15">
        <v>0</v>
      </c>
      <c r="BU121" s="15">
        <v>0</v>
      </c>
      <c r="BV121" s="15">
        <v>0</v>
      </c>
      <c r="BW121" s="15">
        <v>0</v>
      </c>
      <c r="BX121" s="15">
        <v>0</v>
      </c>
    </row>
    <row r="122" spans="1:76">
      <c r="A122" s="14" t="str">
        <f>VLOOKUP(C122,VLOOKUP!A:B,2,FALSE)</f>
        <v>福到</v>
      </c>
      <c r="B122" s="16">
        <v>46078</v>
      </c>
      <c r="C122" s="17">
        <v>971856893567</v>
      </c>
      <c r="D122" s="15" t="s">
        <v>151</v>
      </c>
      <c r="E122" s="15" t="s">
        <v>152</v>
      </c>
      <c r="F122" s="15">
        <v>110</v>
      </c>
      <c r="G122" s="15">
        <v>4</v>
      </c>
      <c r="H122" s="15">
        <v>1.07</v>
      </c>
      <c r="I122" s="15">
        <v>0.03636</v>
      </c>
      <c r="J122" s="15">
        <v>0.27</v>
      </c>
      <c r="K122" s="15">
        <v>9.73</v>
      </c>
      <c r="L122" s="15">
        <v>0</v>
      </c>
      <c r="M122" s="15">
        <v>0</v>
      </c>
      <c r="N122" s="15">
        <v>0</v>
      </c>
      <c r="O122" s="15">
        <v>0</v>
      </c>
      <c r="P122" s="15">
        <v>0</v>
      </c>
      <c r="Q122" s="15">
        <v>0</v>
      </c>
      <c r="R122" s="15">
        <v>0</v>
      </c>
      <c r="S122" s="15">
        <v>0</v>
      </c>
      <c r="T122" s="15">
        <v>0</v>
      </c>
      <c r="U122" s="15">
        <v>0</v>
      </c>
      <c r="V122" s="15">
        <v>0</v>
      </c>
      <c r="W122" s="15">
        <v>0</v>
      </c>
      <c r="X122" s="15">
        <v>0</v>
      </c>
      <c r="Y122" s="15">
        <v>0</v>
      </c>
      <c r="Z122" s="15">
        <v>0</v>
      </c>
      <c r="AA122" s="15"/>
      <c r="AB122" s="15">
        <v>0</v>
      </c>
      <c r="AC122" s="15">
        <v>0</v>
      </c>
      <c r="AD122" s="15">
        <v>0</v>
      </c>
      <c r="AE122" s="15">
        <v>0</v>
      </c>
      <c r="AF122" s="15">
        <v>0</v>
      </c>
      <c r="AG122" s="15">
        <v>0</v>
      </c>
      <c r="AH122" s="15"/>
      <c r="AI122" s="15">
        <v>0</v>
      </c>
      <c r="AJ122" s="15"/>
      <c r="AK122" s="15">
        <v>0</v>
      </c>
      <c r="AL122" s="15"/>
      <c r="AM122" s="15">
        <v>0</v>
      </c>
      <c r="AN122" s="15"/>
      <c r="AO122" s="15">
        <v>0</v>
      </c>
      <c r="AP122" s="15"/>
      <c r="AQ122" s="15">
        <v>0</v>
      </c>
      <c r="AR122" s="15">
        <v>0</v>
      </c>
      <c r="AS122" s="15">
        <v>0</v>
      </c>
      <c r="AT122" s="15">
        <v>0</v>
      </c>
      <c r="AU122" s="15">
        <v>0</v>
      </c>
      <c r="AV122" s="15">
        <v>0</v>
      </c>
      <c r="AW122" s="15">
        <v>0</v>
      </c>
      <c r="AX122" s="15">
        <v>0</v>
      </c>
      <c r="AY122" s="15">
        <v>5</v>
      </c>
      <c r="AZ122" s="15">
        <v>4</v>
      </c>
      <c r="BA122" s="15">
        <v>4</v>
      </c>
      <c r="BB122" s="15">
        <v>1</v>
      </c>
      <c r="BC122" s="15">
        <v>0</v>
      </c>
      <c r="BD122" s="15">
        <v>0</v>
      </c>
      <c r="BE122" s="15">
        <v>0.04545</v>
      </c>
      <c r="BF122" s="15">
        <v>1</v>
      </c>
      <c r="BG122" s="15">
        <v>1</v>
      </c>
      <c r="BH122" s="15">
        <v>0</v>
      </c>
      <c r="BI122" s="15"/>
      <c r="BJ122" s="15">
        <v>0</v>
      </c>
      <c r="BK122" s="15">
        <v>0</v>
      </c>
      <c r="BL122" s="15">
        <v>0</v>
      </c>
      <c r="BM122" s="15">
        <v>0</v>
      </c>
      <c r="BN122" s="15"/>
      <c r="BO122" s="15"/>
      <c r="BP122" s="15">
        <v>0</v>
      </c>
      <c r="BQ122" s="15">
        <v>0</v>
      </c>
      <c r="BR122" s="15">
        <v>0</v>
      </c>
      <c r="BS122" s="15">
        <v>0</v>
      </c>
      <c r="BT122" s="15">
        <v>0</v>
      </c>
      <c r="BU122" s="15">
        <v>0</v>
      </c>
      <c r="BV122" s="15">
        <v>0</v>
      </c>
      <c r="BW122" s="15">
        <v>0</v>
      </c>
      <c r="BX122" s="15">
        <v>0</v>
      </c>
    </row>
    <row r="123" spans="1:76">
      <c r="A123" s="14" t="str">
        <f>VLOOKUP(C123,VLOOKUP!A:B,2,FALSE)</f>
        <v>如意盘香</v>
      </c>
      <c r="B123" s="16">
        <v>46078</v>
      </c>
      <c r="C123" s="17">
        <v>838711327669</v>
      </c>
      <c r="D123" s="15" t="s">
        <v>151</v>
      </c>
      <c r="E123" s="15" t="s">
        <v>158</v>
      </c>
      <c r="F123" s="15">
        <v>877</v>
      </c>
      <c r="G123" s="15">
        <v>41</v>
      </c>
      <c r="H123" s="15">
        <v>71.44</v>
      </c>
      <c r="I123" s="15">
        <v>0.04675</v>
      </c>
      <c r="J123" s="15">
        <v>1.74</v>
      </c>
      <c r="K123" s="15">
        <v>81.46</v>
      </c>
      <c r="L123" s="15">
        <v>0</v>
      </c>
      <c r="M123" s="15">
        <v>0</v>
      </c>
      <c r="N123" s="15">
        <v>0</v>
      </c>
      <c r="O123" s="15">
        <v>0</v>
      </c>
      <c r="P123" s="15">
        <v>0</v>
      </c>
      <c r="Q123" s="15">
        <v>0</v>
      </c>
      <c r="R123" s="15">
        <v>168.08</v>
      </c>
      <c r="S123" s="15">
        <v>0</v>
      </c>
      <c r="T123" s="15">
        <v>168.08</v>
      </c>
      <c r="U123" s="15">
        <v>1</v>
      </c>
      <c r="V123" s="15">
        <v>1</v>
      </c>
      <c r="W123" s="15">
        <v>0</v>
      </c>
      <c r="X123" s="15">
        <v>0.02439</v>
      </c>
      <c r="Y123" s="15">
        <v>2.35</v>
      </c>
      <c r="Z123" s="15">
        <v>2.35</v>
      </c>
      <c r="AA123" s="15">
        <v>71.44</v>
      </c>
      <c r="AB123" s="15">
        <v>3</v>
      </c>
      <c r="AC123" s="15">
        <v>1</v>
      </c>
      <c r="AD123" s="15">
        <v>2</v>
      </c>
      <c r="AE123" s="15">
        <v>0.07317</v>
      </c>
      <c r="AF123" s="15">
        <v>5</v>
      </c>
      <c r="AG123" s="15">
        <v>1</v>
      </c>
      <c r="AH123" s="15">
        <v>71.44</v>
      </c>
      <c r="AI123" s="15">
        <v>9</v>
      </c>
      <c r="AJ123" s="15">
        <v>7.94</v>
      </c>
      <c r="AK123" s="15">
        <v>8</v>
      </c>
      <c r="AL123" s="15">
        <v>8.93</v>
      </c>
      <c r="AM123" s="15">
        <v>6</v>
      </c>
      <c r="AN123" s="15">
        <v>14.29</v>
      </c>
      <c r="AO123" s="15">
        <v>0.12195</v>
      </c>
      <c r="AP123" s="15">
        <v>23.81</v>
      </c>
      <c r="AQ123" s="15">
        <v>2</v>
      </c>
      <c r="AR123" s="15">
        <v>245.9</v>
      </c>
      <c r="AS123" s="15">
        <v>1</v>
      </c>
      <c r="AT123" s="15">
        <v>4</v>
      </c>
      <c r="AU123" s="15">
        <v>0</v>
      </c>
      <c r="AV123" s="15">
        <v>0</v>
      </c>
      <c r="AW123" s="15">
        <v>0</v>
      </c>
      <c r="AX123" s="15">
        <v>3</v>
      </c>
      <c r="AY123" s="15">
        <v>124</v>
      </c>
      <c r="AZ123" s="15">
        <v>39</v>
      </c>
      <c r="BA123" s="15">
        <v>30</v>
      </c>
      <c r="BB123" s="15">
        <v>0.76923</v>
      </c>
      <c r="BC123" s="15">
        <v>0</v>
      </c>
      <c r="BD123" s="15">
        <v>0</v>
      </c>
      <c r="BE123" s="15">
        <v>0.14139</v>
      </c>
      <c r="BF123" s="15">
        <v>81</v>
      </c>
      <c r="BG123" s="15">
        <v>3</v>
      </c>
      <c r="BH123" s="15">
        <v>1</v>
      </c>
      <c r="BI123" s="15">
        <v>1</v>
      </c>
      <c r="BJ123" s="15">
        <v>0</v>
      </c>
      <c r="BK123" s="15">
        <v>0</v>
      </c>
      <c r="BL123" s="15">
        <v>0</v>
      </c>
      <c r="BM123" s="15">
        <v>1</v>
      </c>
      <c r="BN123" s="15">
        <v>1</v>
      </c>
      <c r="BO123" s="15">
        <v>168.08</v>
      </c>
      <c r="BP123" s="15">
        <v>4.34</v>
      </c>
      <c r="BQ123" s="15">
        <v>390</v>
      </c>
      <c r="BR123" s="15">
        <v>0</v>
      </c>
      <c r="BS123" s="15">
        <v>0</v>
      </c>
      <c r="BT123" s="15">
        <v>0</v>
      </c>
      <c r="BU123" s="15">
        <v>0</v>
      </c>
      <c r="BV123" s="15">
        <v>0</v>
      </c>
      <c r="BW123" s="15">
        <v>0</v>
      </c>
      <c r="BX123" s="15">
        <v>0</v>
      </c>
    </row>
    <row r="124" spans="1:76">
      <c r="A124" s="14" t="str">
        <f>VLOOKUP(C124,VLOOKUP!A:B,2,FALSE)</f>
        <v>福颜青</v>
      </c>
      <c r="B124" s="16">
        <v>46078</v>
      </c>
      <c r="C124" s="17">
        <v>833369552621</v>
      </c>
      <c r="D124" s="15" t="s">
        <v>151</v>
      </c>
      <c r="E124" s="15" t="s">
        <v>154</v>
      </c>
      <c r="F124" s="15">
        <v>2319</v>
      </c>
      <c r="G124" s="15">
        <v>48</v>
      </c>
      <c r="H124" s="15">
        <v>12.22</v>
      </c>
      <c r="I124" s="15">
        <v>0.0207</v>
      </c>
      <c r="J124" s="15">
        <v>0.25</v>
      </c>
      <c r="K124" s="15">
        <v>5.27</v>
      </c>
      <c r="L124" s="15">
        <v>0</v>
      </c>
      <c r="M124" s="15">
        <v>0</v>
      </c>
      <c r="N124" s="15">
        <v>0</v>
      </c>
      <c r="O124" s="15">
        <v>0</v>
      </c>
      <c r="P124" s="15">
        <v>0</v>
      </c>
      <c r="Q124" s="15">
        <v>0</v>
      </c>
      <c r="R124" s="15">
        <v>0</v>
      </c>
      <c r="S124" s="15">
        <v>0</v>
      </c>
      <c r="T124" s="15">
        <v>0</v>
      </c>
      <c r="U124" s="15">
        <v>0</v>
      </c>
      <c r="V124" s="15">
        <v>0</v>
      </c>
      <c r="W124" s="15">
        <v>0</v>
      </c>
      <c r="X124" s="15">
        <v>0</v>
      </c>
      <c r="Y124" s="15">
        <v>0</v>
      </c>
      <c r="Z124" s="15">
        <v>0</v>
      </c>
      <c r="AA124" s="15"/>
      <c r="AB124" s="15">
        <v>0</v>
      </c>
      <c r="AC124" s="15">
        <v>0</v>
      </c>
      <c r="AD124" s="15">
        <v>0</v>
      </c>
      <c r="AE124" s="15">
        <v>0</v>
      </c>
      <c r="AF124" s="15">
        <v>0</v>
      </c>
      <c r="AG124" s="15">
        <v>0</v>
      </c>
      <c r="AH124" s="15"/>
      <c r="AI124" s="15">
        <v>0</v>
      </c>
      <c r="AJ124" s="15"/>
      <c r="AK124" s="15">
        <v>0</v>
      </c>
      <c r="AL124" s="15"/>
      <c r="AM124" s="15">
        <v>0</v>
      </c>
      <c r="AN124" s="15"/>
      <c r="AO124" s="15">
        <v>0</v>
      </c>
      <c r="AP124" s="15"/>
      <c r="AQ124" s="15">
        <v>0</v>
      </c>
      <c r="AR124" s="15">
        <v>0</v>
      </c>
      <c r="AS124" s="15">
        <v>0</v>
      </c>
      <c r="AT124" s="15">
        <v>0</v>
      </c>
      <c r="AU124" s="15">
        <v>0</v>
      </c>
      <c r="AV124" s="15">
        <v>0</v>
      </c>
      <c r="AW124" s="15">
        <v>0</v>
      </c>
      <c r="AX124" s="15">
        <v>0</v>
      </c>
      <c r="AY124" s="15">
        <v>69</v>
      </c>
      <c r="AZ124" s="15">
        <v>41</v>
      </c>
      <c r="BA124" s="15">
        <v>36</v>
      </c>
      <c r="BB124" s="15">
        <v>0.87805</v>
      </c>
      <c r="BC124" s="15">
        <v>0</v>
      </c>
      <c r="BD124" s="15">
        <v>0</v>
      </c>
      <c r="BE124" s="15">
        <v>0.02975</v>
      </c>
      <c r="BF124" s="15">
        <v>24</v>
      </c>
      <c r="BG124" s="15">
        <v>2</v>
      </c>
      <c r="BH124" s="15">
        <v>0</v>
      </c>
      <c r="BI124" s="15"/>
      <c r="BJ124" s="15">
        <v>0</v>
      </c>
      <c r="BK124" s="15">
        <v>0</v>
      </c>
      <c r="BL124" s="15">
        <v>0</v>
      </c>
      <c r="BM124" s="15">
        <v>0</v>
      </c>
      <c r="BN124" s="15"/>
      <c r="BO124" s="15"/>
      <c r="BP124" s="15">
        <v>0.06</v>
      </c>
      <c r="BQ124" s="15">
        <v>18</v>
      </c>
      <c r="BR124" s="15">
        <v>0</v>
      </c>
      <c r="BS124" s="15">
        <v>0</v>
      </c>
      <c r="BT124" s="15">
        <v>0</v>
      </c>
      <c r="BU124" s="15">
        <v>0</v>
      </c>
      <c r="BV124" s="15">
        <v>0</v>
      </c>
      <c r="BW124" s="15">
        <v>0</v>
      </c>
      <c r="BX124" s="15">
        <v>0</v>
      </c>
    </row>
    <row r="125" spans="1:76">
      <c r="A125" s="14" t="str">
        <f>VLOOKUP(C125,VLOOKUP!A:B,2,FALSE)</f>
        <v>奇楠手串</v>
      </c>
      <c r="B125" s="16">
        <v>46078</v>
      </c>
      <c r="C125" s="17">
        <v>833035288991</v>
      </c>
      <c r="D125" s="15" t="s">
        <v>151</v>
      </c>
      <c r="E125" s="15" t="s">
        <v>159</v>
      </c>
      <c r="F125" s="15">
        <v>1647</v>
      </c>
      <c r="G125" s="15">
        <v>65</v>
      </c>
      <c r="H125" s="15">
        <v>20.48</v>
      </c>
      <c r="I125" s="15">
        <v>0.03947</v>
      </c>
      <c r="J125" s="15">
        <v>0.32</v>
      </c>
      <c r="K125" s="15">
        <v>12.43</v>
      </c>
      <c r="L125" s="15">
        <v>0</v>
      </c>
      <c r="M125" s="15">
        <v>0</v>
      </c>
      <c r="N125" s="15">
        <v>0</v>
      </c>
      <c r="O125" s="15">
        <v>0</v>
      </c>
      <c r="P125" s="15">
        <v>0</v>
      </c>
      <c r="Q125" s="15">
        <v>0</v>
      </c>
      <c r="R125" s="15">
        <v>0</v>
      </c>
      <c r="S125" s="15">
        <v>0</v>
      </c>
      <c r="T125" s="15">
        <v>0</v>
      </c>
      <c r="U125" s="15">
        <v>0</v>
      </c>
      <c r="V125" s="15">
        <v>0</v>
      </c>
      <c r="W125" s="15">
        <v>0</v>
      </c>
      <c r="X125" s="15">
        <v>0</v>
      </c>
      <c r="Y125" s="15">
        <v>0</v>
      </c>
      <c r="Z125" s="15">
        <v>0</v>
      </c>
      <c r="AA125" s="15"/>
      <c r="AB125" s="15">
        <v>4</v>
      </c>
      <c r="AC125" s="15">
        <v>0</v>
      </c>
      <c r="AD125" s="15">
        <v>4</v>
      </c>
      <c r="AE125" s="15">
        <v>0.06154</v>
      </c>
      <c r="AF125" s="15">
        <v>0</v>
      </c>
      <c r="AG125" s="15">
        <v>0</v>
      </c>
      <c r="AH125" s="15"/>
      <c r="AI125" s="15">
        <v>4</v>
      </c>
      <c r="AJ125" s="15">
        <v>5.12</v>
      </c>
      <c r="AK125" s="15">
        <v>4</v>
      </c>
      <c r="AL125" s="15">
        <v>5.12</v>
      </c>
      <c r="AM125" s="15">
        <v>0</v>
      </c>
      <c r="AN125" s="15"/>
      <c r="AO125" s="15">
        <v>0</v>
      </c>
      <c r="AP125" s="15">
        <v>5.12</v>
      </c>
      <c r="AQ125" s="15">
        <v>0</v>
      </c>
      <c r="AR125" s="15">
        <v>0</v>
      </c>
      <c r="AS125" s="15">
        <v>0</v>
      </c>
      <c r="AT125" s="15">
        <v>0</v>
      </c>
      <c r="AU125" s="15">
        <v>0</v>
      </c>
      <c r="AV125" s="15">
        <v>0</v>
      </c>
      <c r="AW125" s="15">
        <v>0</v>
      </c>
      <c r="AX125" s="15">
        <v>0</v>
      </c>
      <c r="AY125" s="15">
        <v>145</v>
      </c>
      <c r="AZ125" s="15">
        <v>59</v>
      </c>
      <c r="BA125" s="15">
        <v>53</v>
      </c>
      <c r="BB125" s="15">
        <v>0.89831</v>
      </c>
      <c r="BC125" s="15">
        <v>0</v>
      </c>
      <c r="BD125" s="15">
        <v>0</v>
      </c>
      <c r="BE125" s="15">
        <v>0.08804</v>
      </c>
      <c r="BF125" s="15">
        <v>76</v>
      </c>
      <c r="BG125" s="15">
        <v>2</v>
      </c>
      <c r="BH125" s="15">
        <v>0</v>
      </c>
      <c r="BI125" s="15"/>
      <c r="BJ125" s="15">
        <v>0</v>
      </c>
      <c r="BK125" s="15">
        <v>0</v>
      </c>
      <c r="BL125" s="15">
        <v>0</v>
      </c>
      <c r="BM125" s="15">
        <v>0</v>
      </c>
      <c r="BN125" s="15"/>
      <c r="BO125" s="15"/>
      <c r="BP125" s="15">
        <v>0.06</v>
      </c>
      <c r="BQ125" s="15">
        <v>48</v>
      </c>
      <c r="BR125" s="15">
        <v>0</v>
      </c>
      <c r="BS125" s="15">
        <v>0</v>
      </c>
      <c r="BT125" s="15">
        <v>0</v>
      </c>
      <c r="BU125" s="15">
        <v>0</v>
      </c>
      <c r="BV125" s="15">
        <v>0</v>
      </c>
      <c r="BW125" s="15">
        <v>0</v>
      </c>
      <c r="BX125" s="15">
        <v>0</v>
      </c>
    </row>
    <row r="126" spans="1:76">
      <c r="A126" s="14" t="str">
        <f>VLOOKUP(C126,VLOOKUP!A:B,2,FALSE)</f>
        <v>福到</v>
      </c>
      <c r="B126" s="16">
        <v>46077</v>
      </c>
      <c r="C126" s="17">
        <v>971856893567</v>
      </c>
      <c r="D126" s="15" t="s">
        <v>151</v>
      </c>
      <c r="E126" s="15" t="s">
        <v>152</v>
      </c>
      <c r="F126" s="15">
        <v>110</v>
      </c>
      <c r="G126" s="15">
        <v>6</v>
      </c>
      <c r="H126" s="15">
        <v>1.45</v>
      </c>
      <c r="I126" s="15">
        <v>0.05455</v>
      </c>
      <c r="J126" s="15">
        <v>0.24</v>
      </c>
      <c r="K126" s="15">
        <v>13.18</v>
      </c>
      <c r="L126" s="15">
        <v>0</v>
      </c>
      <c r="M126" s="15">
        <v>0</v>
      </c>
      <c r="N126" s="15">
        <v>0</v>
      </c>
      <c r="O126" s="15">
        <v>0</v>
      </c>
      <c r="P126" s="15">
        <v>0</v>
      </c>
      <c r="Q126" s="15">
        <v>0</v>
      </c>
      <c r="R126" s="15">
        <v>0</v>
      </c>
      <c r="S126" s="15">
        <v>0</v>
      </c>
      <c r="T126" s="15">
        <v>0</v>
      </c>
      <c r="U126" s="15">
        <v>0</v>
      </c>
      <c r="V126" s="15">
        <v>0</v>
      </c>
      <c r="W126" s="15">
        <v>0</v>
      </c>
      <c r="X126" s="15">
        <v>0</v>
      </c>
      <c r="Y126" s="15">
        <v>0</v>
      </c>
      <c r="Z126" s="15">
        <v>0</v>
      </c>
      <c r="AA126" s="15"/>
      <c r="AB126" s="15">
        <v>2</v>
      </c>
      <c r="AC126" s="15">
        <v>0</v>
      </c>
      <c r="AD126" s="15">
        <v>2</v>
      </c>
      <c r="AE126" s="15">
        <v>0.33333</v>
      </c>
      <c r="AF126" s="15">
        <v>0</v>
      </c>
      <c r="AG126" s="15">
        <v>0</v>
      </c>
      <c r="AH126" s="15"/>
      <c r="AI126" s="15">
        <v>2</v>
      </c>
      <c r="AJ126" s="15">
        <v>0.73</v>
      </c>
      <c r="AK126" s="15">
        <v>2</v>
      </c>
      <c r="AL126" s="15">
        <v>0.73</v>
      </c>
      <c r="AM126" s="15">
        <v>0</v>
      </c>
      <c r="AN126" s="15"/>
      <c r="AO126" s="15">
        <v>0</v>
      </c>
      <c r="AP126" s="15">
        <v>0.73</v>
      </c>
      <c r="AQ126" s="15">
        <v>0</v>
      </c>
      <c r="AR126" s="15">
        <v>0</v>
      </c>
      <c r="AS126" s="15">
        <v>0</v>
      </c>
      <c r="AT126" s="15">
        <v>0</v>
      </c>
      <c r="AU126" s="15">
        <v>0</v>
      </c>
      <c r="AV126" s="15">
        <v>0</v>
      </c>
      <c r="AW126" s="15">
        <v>0</v>
      </c>
      <c r="AX126" s="15">
        <v>0</v>
      </c>
      <c r="AY126" s="15">
        <v>40</v>
      </c>
      <c r="AZ126" s="15">
        <v>6</v>
      </c>
      <c r="BA126" s="15">
        <v>3</v>
      </c>
      <c r="BB126" s="15">
        <v>0.5</v>
      </c>
      <c r="BC126" s="15">
        <v>0</v>
      </c>
      <c r="BD126" s="15">
        <v>0</v>
      </c>
      <c r="BE126" s="15">
        <v>0.36364</v>
      </c>
      <c r="BF126" s="15">
        <v>34</v>
      </c>
      <c r="BG126" s="15">
        <v>7</v>
      </c>
      <c r="BH126" s="15">
        <v>0</v>
      </c>
      <c r="BI126" s="15"/>
      <c r="BJ126" s="15">
        <v>0</v>
      </c>
      <c r="BK126" s="15">
        <v>0</v>
      </c>
      <c r="BL126" s="15">
        <v>0</v>
      </c>
      <c r="BM126" s="15">
        <v>0</v>
      </c>
      <c r="BN126" s="15"/>
      <c r="BO126" s="15"/>
      <c r="BP126" s="15">
        <v>0</v>
      </c>
      <c r="BQ126" s="15">
        <v>125</v>
      </c>
      <c r="BR126" s="15">
        <v>0</v>
      </c>
      <c r="BS126" s="15">
        <v>0</v>
      </c>
      <c r="BT126" s="15">
        <v>0</v>
      </c>
      <c r="BU126" s="15">
        <v>0</v>
      </c>
      <c r="BV126" s="15">
        <v>0</v>
      </c>
      <c r="BW126" s="15">
        <v>0</v>
      </c>
      <c r="BX126" s="15">
        <v>0</v>
      </c>
    </row>
    <row r="127" spans="1:76">
      <c r="A127" s="14" t="str">
        <f>VLOOKUP(C127,VLOOKUP!A:B,2,FALSE)</f>
        <v>如意盘香</v>
      </c>
      <c r="B127" s="16">
        <v>46077</v>
      </c>
      <c r="C127" s="17">
        <v>838711327669</v>
      </c>
      <c r="D127" s="15" t="s">
        <v>151</v>
      </c>
      <c r="E127" s="15" t="s">
        <v>158</v>
      </c>
      <c r="F127" s="15">
        <v>909</v>
      </c>
      <c r="G127" s="15">
        <v>25</v>
      </c>
      <c r="H127" s="15">
        <v>80</v>
      </c>
      <c r="I127" s="15">
        <v>0.0275</v>
      </c>
      <c r="J127" s="15">
        <v>3.2</v>
      </c>
      <c r="K127" s="15">
        <v>88.01</v>
      </c>
      <c r="L127" s="15">
        <v>0</v>
      </c>
      <c r="M127" s="15">
        <v>0</v>
      </c>
      <c r="N127" s="15">
        <v>0</v>
      </c>
      <c r="O127" s="15">
        <v>0</v>
      </c>
      <c r="P127" s="15">
        <v>0</v>
      </c>
      <c r="Q127" s="15">
        <v>0</v>
      </c>
      <c r="R127" s="15">
        <v>0</v>
      </c>
      <c r="S127" s="15">
        <v>0</v>
      </c>
      <c r="T127" s="15">
        <v>0</v>
      </c>
      <c r="U127" s="15">
        <v>0</v>
      </c>
      <c r="V127" s="15">
        <v>0</v>
      </c>
      <c r="W127" s="15">
        <v>0</v>
      </c>
      <c r="X127" s="15">
        <v>0</v>
      </c>
      <c r="Y127" s="15">
        <v>0</v>
      </c>
      <c r="Z127" s="15">
        <v>0</v>
      </c>
      <c r="AA127" s="15"/>
      <c r="AB127" s="15">
        <v>3</v>
      </c>
      <c r="AC127" s="15">
        <v>1</v>
      </c>
      <c r="AD127" s="15">
        <v>2</v>
      </c>
      <c r="AE127" s="15">
        <v>0.12</v>
      </c>
      <c r="AF127" s="15">
        <v>0</v>
      </c>
      <c r="AG127" s="15">
        <v>2</v>
      </c>
      <c r="AH127" s="15">
        <v>40</v>
      </c>
      <c r="AI127" s="15">
        <v>5</v>
      </c>
      <c r="AJ127" s="15">
        <v>16</v>
      </c>
      <c r="AK127" s="15">
        <v>3</v>
      </c>
      <c r="AL127" s="15">
        <v>26.67</v>
      </c>
      <c r="AM127" s="15">
        <v>2</v>
      </c>
      <c r="AN127" s="15"/>
      <c r="AO127" s="15">
        <v>0</v>
      </c>
      <c r="AP127" s="15">
        <v>26.67</v>
      </c>
      <c r="AQ127" s="15">
        <v>0</v>
      </c>
      <c r="AR127" s="15">
        <v>0</v>
      </c>
      <c r="AS127" s="15">
        <v>0</v>
      </c>
      <c r="AT127" s="15">
        <v>0</v>
      </c>
      <c r="AU127" s="15">
        <v>0</v>
      </c>
      <c r="AV127" s="15">
        <v>0</v>
      </c>
      <c r="AW127" s="15">
        <v>0</v>
      </c>
      <c r="AX127" s="15">
        <v>0</v>
      </c>
      <c r="AY127" s="15">
        <v>120</v>
      </c>
      <c r="AZ127" s="15">
        <v>21</v>
      </c>
      <c r="BA127" s="15">
        <v>15</v>
      </c>
      <c r="BB127" s="15">
        <v>0.71429</v>
      </c>
      <c r="BC127" s="15">
        <v>0</v>
      </c>
      <c r="BD127" s="15">
        <v>0</v>
      </c>
      <c r="BE127" s="15">
        <v>0.13201</v>
      </c>
      <c r="BF127" s="15">
        <v>95</v>
      </c>
      <c r="BG127" s="15">
        <v>6</v>
      </c>
      <c r="BH127" s="15">
        <v>0</v>
      </c>
      <c r="BI127" s="15"/>
      <c r="BJ127" s="15">
        <v>0</v>
      </c>
      <c r="BK127" s="15">
        <v>0</v>
      </c>
      <c r="BL127" s="15">
        <v>0</v>
      </c>
      <c r="BM127" s="15">
        <v>0</v>
      </c>
      <c r="BN127" s="15"/>
      <c r="BO127" s="15"/>
      <c r="BP127" s="15">
        <v>0</v>
      </c>
      <c r="BQ127" s="15">
        <v>81</v>
      </c>
      <c r="BR127" s="15">
        <v>0</v>
      </c>
      <c r="BS127" s="15">
        <v>0</v>
      </c>
      <c r="BT127" s="15">
        <v>0</v>
      </c>
      <c r="BU127" s="15">
        <v>0</v>
      </c>
      <c r="BV127" s="15">
        <v>0</v>
      </c>
      <c r="BW127" s="15">
        <v>0</v>
      </c>
      <c r="BX127" s="15">
        <v>0</v>
      </c>
    </row>
    <row r="128" spans="1:76">
      <c r="A128" s="14" t="str">
        <f>VLOOKUP(C128,VLOOKUP!A:B,2,FALSE)</f>
        <v>福颜青</v>
      </c>
      <c r="B128" s="16">
        <v>46077</v>
      </c>
      <c r="C128" s="17">
        <v>833369552621</v>
      </c>
      <c r="D128" s="15" t="s">
        <v>151</v>
      </c>
      <c r="E128" s="15" t="s">
        <v>154</v>
      </c>
      <c r="F128" s="15">
        <v>3127</v>
      </c>
      <c r="G128" s="15">
        <v>42</v>
      </c>
      <c r="H128" s="15">
        <v>10.25</v>
      </c>
      <c r="I128" s="15">
        <v>0.01343</v>
      </c>
      <c r="J128" s="15">
        <v>0.24</v>
      </c>
      <c r="K128" s="15">
        <v>3.28</v>
      </c>
      <c r="L128" s="15">
        <v>0</v>
      </c>
      <c r="M128" s="15">
        <v>0</v>
      </c>
      <c r="N128" s="15">
        <v>0</v>
      </c>
      <c r="O128" s="15">
        <v>0</v>
      </c>
      <c r="P128" s="15">
        <v>0</v>
      </c>
      <c r="Q128" s="15">
        <v>0</v>
      </c>
      <c r="R128" s="15">
        <v>0</v>
      </c>
      <c r="S128" s="15">
        <v>0</v>
      </c>
      <c r="T128" s="15">
        <v>0</v>
      </c>
      <c r="U128" s="15">
        <v>0</v>
      </c>
      <c r="V128" s="15">
        <v>0</v>
      </c>
      <c r="W128" s="15">
        <v>0</v>
      </c>
      <c r="X128" s="15">
        <v>0</v>
      </c>
      <c r="Y128" s="15">
        <v>0</v>
      </c>
      <c r="Z128" s="15">
        <v>0</v>
      </c>
      <c r="AA128" s="15"/>
      <c r="AB128" s="15">
        <v>0</v>
      </c>
      <c r="AC128" s="15">
        <v>0</v>
      </c>
      <c r="AD128" s="15">
        <v>0</v>
      </c>
      <c r="AE128" s="15">
        <v>0</v>
      </c>
      <c r="AF128" s="15">
        <v>0</v>
      </c>
      <c r="AG128" s="15">
        <v>0</v>
      </c>
      <c r="AH128" s="15"/>
      <c r="AI128" s="15">
        <v>0</v>
      </c>
      <c r="AJ128" s="15"/>
      <c r="AK128" s="15">
        <v>0</v>
      </c>
      <c r="AL128" s="15"/>
      <c r="AM128" s="15">
        <v>0</v>
      </c>
      <c r="AN128" s="15"/>
      <c r="AO128" s="15">
        <v>0</v>
      </c>
      <c r="AP128" s="15"/>
      <c r="AQ128" s="15">
        <v>0</v>
      </c>
      <c r="AR128" s="15">
        <v>0</v>
      </c>
      <c r="AS128" s="15">
        <v>0</v>
      </c>
      <c r="AT128" s="15">
        <v>0</v>
      </c>
      <c r="AU128" s="15">
        <v>0</v>
      </c>
      <c r="AV128" s="15">
        <v>0</v>
      </c>
      <c r="AW128" s="15">
        <v>0</v>
      </c>
      <c r="AX128" s="15">
        <v>0</v>
      </c>
      <c r="AY128" s="15">
        <v>62</v>
      </c>
      <c r="AZ128" s="15">
        <v>39</v>
      </c>
      <c r="BA128" s="15">
        <v>38</v>
      </c>
      <c r="BB128" s="15">
        <v>0.97436</v>
      </c>
      <c r="BC128" s="15">
        <v>0</v>
      </c>
      <c r="BD128" s="15">
        <v>0</v>
      </c>
      <c r="BE128" s="15">
        <v>0.01983</v>
      </c>
      <c r="BF128" s="15">
        <v>14</v>
      </c>
      <c r="BG128" s="15">
        <v>2</v>
      </c>
      <c r="BH128" s="15">
        <v>0</v>
      </c>
      <c r="BI128" s="15"/>
      <c r="BJ128" s="15">
        <v>0</v>
      </c>
      <c r="BK128" s="15">
        <v>0</v>
      </c>
      <c r="BL128" s="15">
        <v>0</v>
      </c>
      <c r="BM128" s="15">
        <v>0</v>
      </c>
      <c r="BN128" s="15"/>
      <c r="BO128" s="15"/>
      <c r="BP128" s="15">
        <v>0</v>
      </c>
      <c r="BQ128" s="15">
        <v>1</v>
      </c>
      <c r="BR128" s="15">
        <v>0</v>
      </c>
      <c r="BS128" s="15">
        <v>0</v>
      </c>
      <c r="BT128" s="15">
        <v>0</v>
      </c>
      <c r="BU128" s="15">
        <v>0</v>
      </c>
      <c r="BV128" s="15">
        <v>0</v>
      </c>
      <c r="BW128" s="15">
        <v>0</v>
      </c>
      <c r="BX128" s="15">
        <v>0</v>
      </c>
    </row>
    <row r="129" spans="1:76">
      <c r="A129" s="14" t="str">
        <f>VLOOKUP(C129,VLOOKUP!A:B,2,FALSE)</f>
        <v>奇楠手串</v>
      </c>
      <c r="B129" s="16">
        <v>46077</v>
      </c>
      <c r="C129" s="17">
        <v>833035288991</v>
      </c>
      <c r="D129" s="15" t="s">
        <v>151</v>
      </c>
      <c r="E129" s="15" t="s">
        <v>159</v>
      </c>
      <c r="F129" s="15">
        <v>1900</v>
      </c>
      <c r="G129" s="15">
        <v>65</v>
      </c>
      <c r="H129" s="15">
        <v>22.52</v>
      </c>
      <c r="I129" s="15">
        <v>0.03421</v>
      </c>
      <c r="J129" s="15">
        <v>0.35</v>
      </c>
      <c r="K129" s="15">
        <v>11.85</v>
      </c>
      <c r="L129" s="15">
        <v>0</v>
      </c>
      <c r="M129" s="15">
        <v>0</v>
      </c>
      <c r="N129" s="15">
        <v>0</v>
      </c>
      <c r="O129" s="15">
        <v>0</v>
      </c>
      <c r="P129" s="15">
        <v>0</v>
      </c>
      <c r="Q129" s="15">
        <v>0</v>
      </c>
      <c r="R129" s="15">
        <v>0</v>
      </c>
      <c r="S129" s="15">
        <v>0</v>
      </c>
      <c r="T129" s="15">
        <v>0</v>
      </c>
      <c r="U129" s="15">
        <v>0</v>
      </c>
      <c r="V129" s="15">
        <v>0</v>
      </c>
      <c r="W129" s="15">
        <v>0</v>
      </c>
      <c r="X129" s="15">
        <v>0</v>
      </c>
      <c r="Y129" s="15">
        <v>0</v>
      </c>
      <c r="Z129" s="15">
        <v>0</v>
      </c>
      <c r="AA129" s="15"/>
      <c r="AB129" s="15">
        <v>4</v>
      </c>
      <c r="AC129" s="15">
        <v>0</v>
      </c>
      <c r="AD129" s="15">
        <v>4</v>
      </c>
      <c r="AE129" s="15">
        <v>0.06154</v>
      </c>
      <c r="AF129" s="15">
        <v>0</v>
      </c>
      <c r="AG129" s="15">
        <v>0</v>
      </c>
      <c r="AH129" s="15"/>
      <c r="AI129" s="15">
        <v>4</v>
      </c>
      <c r="AJ129" s="15">
        <v>5.63</v>
      </c>
      <c r="AK129" s="15">
        <v>4</v>
      </c>
      <c r="AL129" s="15">
        <v>5.63</v>
      </c>
      <c r="AM129" s="15">
        <v>0</v>
      </c>
      <c r="AN129" s="15"/>
      <c r="AO129" s="15">
        <v>0</v>
      </c>
      <c r="AP129" s="15">
        <v>5.63</v>
      </c>
      <c r="AQ129" s="15">
        <v>0</v>
      </c>
      <c r="AR129" s="15">
        <v>0</v>
      </c>
      <c r="AS129" s="15">
        <v>0</v>
      </c>
      <c r="AT129" s="15">
        <v>0</v>
      </c>
      <c r="AU129" s="15">
        <v>0</v>
      </c>
      <c r="AV129" s="15">
        <v>0</v>
      </c>
      <c r="AW129" s="15">
        <v>0</v>
      </c>
      <c r="AX129" s="15">
        <v>0</v>
      </c>
      <c r="AY129" s="15">
        <v>147</v>
      </c>
      <c r="AZ129" s="15">
        <v>58</v>
      </c>
      <c r="BA129" s="15">
        <v>55</v>
      </c>
      <c r="BB129" s="15">
        <v>0.94828</v>
      </c>
      <c r="BC129" s="15">
        <v>0</v>
      </c>
      <c r="BD129" s="15">
        <v>0</v>
      </c>
      <c r="BE129" s="15">
        <v>0.07737</v>
      </c>
      <c r="BF129" s="15">
        <v>76</v>
      </c>
      <c r="BG129" s="15">
        <v>3</v>
      </c>
      <c r="BH129" s="15">
        <v>0</v>
      </c>
      <c r="BI129" s="15"/>
      <c r="BJ129" s="15">
        <v>0</v>
      </c>
      <c r="BK129" s="15">
        <v>0</v>
      </c>
      <c r="BL129" s="15">
        <v>0</v>
      </c>
      <c r="BM129" s="15">
        <v>0</v>
      </c>
      <c r="BN129" s="15"/>
      <c r="BO129" s="15"/>
      <c r="BP129" s="15">
        <v>0.07</v>
      </c>
      <c r="BQ129" s="15">
        <v>24</v>
      </c>
      <c r="BR129" s="15">
        <v>0</v>
      </c>
      <c r="BS129" s="15">
        <v>0</v>
      </c>
      <c r="BT129" s="15">
        <v>0</v>
      </c>
      <c r="BU129" s="15">
        <v>0</v>
      </c>
      <c r="BV129" s="15">
        <v>0</v>
      </c>
      <c r="BW129" s="15">
        <v>0</v>
      </c>
      <c r="BX129" s="15">
        <v>0</v>
      </c>
    </row>
    <row r="130" spans="1:76">
      <c r="A130" s="14" t="str">
        <f>VLOOKUP(C130,VLOOKUP!A:B,2,FALSE)</f>
        <v>天官赐福</v>
      </c>
      <c r="B130" s="16">
        <v>46076</v>
      </c>
      <c r="C130" s="17">
        <v>972494676240</v>
      </c>
      <c r="D130" s="15" t="s">
        <v>151</v>
      </c>
      <c r="E130" s="15" t="s">
        <v>160</v>
      </c>
      <c r="F130" s="15">
        <v>28</v>
      </c>
      <c r="G130" s="15">
        <v>2</v>
      </c>
      <c r="H130" s="15">
        <v>0.78</v>
      </c>
      <c r="I130" s="15">
        <v>0.07143</v>
      </c>
      <c r="J130" s="15">
        <v>0.39</v>
      </c>
      <c r="K130" s="15">
        <v>27.86</v>
      </c>
      <c r="L130" s="15">
        <v>0</v>
      </c>
      <c r="M130" s="15">
        <v>0</v>
      </c>
      <c r="N130" s="15">
        <v>0</v>
      </c>
      <c r="O130" s="15">
        <v>0</v>
      </c>
      <c r="P130" s="15">
        <v>0</v>
      </c>
      <c r="Q130" s="15">
        <v>0</v>
      </c>
      <c r="R130" s="15">
        <v>0</v>
      </c>
      <c r="S130" s="15">
        <v>0</v>
      </c>
      <c r="T130" s="15">
        <v>0</v>
      </c>
      <c r="U130" s="15">
        <v>0</v>
      </c>
      <c r="V130" s="15">
        <v>0</v>
      </c>
      <c r="W130" s="15">
        <v>0</v>
      </c>
      <c r="X130" s="15">
        <v>0</v>
      </c>
      <c r="Y130" s="15">
        <v>0</v>
      </c>
      <c r="Z130" s="15">
        <v>0</v>
      </c>
      <c r="AA130" s="15"/>
      <c r="AB130" s="15">
        <v>0</v>
      </c>
      <c r="AC130" s="15">
        <v>0</v>
      </c>
      <c r="AD130" s="15">
        <v>0</v>
      </c>
      <c r="AE130" s="15">
        <v>0</v>
      </c>
      <c r="AF130" s="15">
        <v>0</v>
      </c>
      <c r="AG130" s="15">
        <v>0</v>
      </c>
      <c r="AH130" s="15"/>
      <c r="AI130" s="15">
        <v>0</v>
      </c>
      <c r="AJ130" s="15"/>
      <c r="AK130" s="15">
        <v>0</v>
      </c>
      <c r="AL130" s="15"/>
      <c r="AM130" s="15">
        <v>0</v>
      </c>
      <c r="AN130" s="15"/>
      <c r="AO130" s="15">
        <v>0</v>
      </c>
      <c r="AP130" s="15"/>
      <c r="AQ130" s="15">
        <v>0</v>
      </c>
      <c r="AR130" s="15">
        <v>0</v>
      </c>
      <c r="AS130" s="15">
        <v>0</v>
      </c>
      <c r="AT130" s="15">
        <v>0</v>
      </c>
      <c r="AU130" s="15">
        <v>0</v>
      </c>
      <c r="AV130" s="15">
        <v>0</v>
      </c>
      <c r="AW130" s="15">
        <v>0</v>
      </c>
      <c r="AX130" s="15">
        <v>0</v>
      </c>
      <c r="AY130" s="15">
        <v>3</v>
      </c>
      <c r="AZ130" s="15">
        <v>2</v>
      </c>
      <c r="BA130" s="15">
        <v>1</v>
      </c>
      <c r="BB130" s="15">
        <v>0.5</v>
      </c>
      <c r="BC130" s="15">
        <v>0</v>
      </c>
      <c r="BD130" s="15">
        <v>0</v>
      </c>
      <c r="BE130" s="15">
        <v>0.10714</v>
      </c>
      <c r="BF130" s="15">
        <v>1</v>
      </c>
      <c r="BG130" s="15">
        <v>2</v>
      </c>
      <c r="BH130" s="15">
        <v>0</v>
      </c>
      <c r="BI130" s="15"/>
      <c r="BJ130" s="15">
        <v>0</v>
      </c>
      <c r="BK130" s="15">
        <v>0</v>
      </c>
      <c r="BL130" s="15">
        <v>0</v>
      </c>
      <c r="BM130" s="15">
        <v>0</v>
      </c>
      <c r="BN130" s="15"/>
      <c r="BO130" s="15"/>
      <c r="BP130" s="15">
        <v>0</v>
      </c>
      <c r="BQ130" s="15">
        <v>0</v>
      </c>
      <c r="BR130" s="15">
        <v>0</v>
      </c>
      <c r="BS130" s="15">
        <v>0</v>
      </c>
      <c r="BT130" s="15">
        <v>0</v>
      </c>
      <c r="BU130" s="15">
        <v>0</v>
      </c>
      <c r="BV130" s="15">
        <v>0</v>
      </c>
      <c r="BW130" s="15">
        <v>0</v>
      </c>
      <c r="BX130" s="15">
        <v>0</v>
      </c>
    </row>
    <row r="131" spans="1:76">
      <c r="A131" s="14" t="str">
        <f>VLOOKUP(C131,VLOOKUP!A:B,2,FALSE)</f>
        <v>福到</v>
      </c>
      <c r="B131" s="16">
        <v>46076</v>
      </c>
      <c r="C131" s="17">
        <v>971856893567</v>
      </c>
      <c r="D131" s="15" t="s">
        <v>151</v>
      </c>
      <c r="E131" s="15" t="s">
        <v>152</v>
      </c>
      <c r="F131" s="15">
        <v>85</v>
      </c>
      <c r="G131" s="15">
        <v>3</v>
      </c>
      <c r="H131" s="15">
        <v>0.82</v>
      </c>
      <c r="I131" s="15">
        <v>0.03529</v>
      </c>
      <c r="J131" s="15">
        <v>0.27</v>
      </c>
      <c r="K131" s="15">
        <v>9.65</v>
      </c>
      <c r="L131" s="15">
        <v>0</v>
      </c>
      <c r="M131" s="15">
        <v>0</v>
      </c>
      <c r="N131" s="15">
        <v>0</v>
      </c>
      <c r="O131" s="15">
        <v>0</v>
      </c>
      <c r="P131" s="15">
        <v>0</v>
      </c>
      <c r="Q131" s="15">
        <v>0</v>
      </c>
      <c r="R131" s="15">
        <v>0</v>
      </c>
      <c r="S131" s="15">
        <v>0</v>
      </c>
      <c r="T131" s="15">
        <v>0</v>
      </c>
      <c r="U131" s="15">
        <v>0</v>
      </c>
      <c r="V131" s="15">
        <v>0</v>
      </c>
      <c r="W131" s="15">
        <v>0</v>
      </c>
      <c r="X131" s="15">
        <v>0</v>
      </c>
      <c r="Y131" s="15">
        <v>0</v>
      </c>
      <c r="Z131" s="15">
        <v>0</v>
      </c>
      <c r="AA131" s="15"/>
      <c r="AB131" s="15">
        <v>0</v>
      </c>
      <c r="AC131" s="15">
        <v>0</v>
      </c>
      <c r="AD131" s="15">
        <v>0</v>
      </c>
      <c r="AE131" s="15">
        <v>0</v>
      </c>
      <c r="AF131" s="15">
        <v>0</v>
      </c>
      <c r="AG131" s="15">
        <v>0</v>
      </c>
      <c r="AH131" s="15"/>
      <c r="AI131" s="15">
        <v>0</v>
      </c>
      <c r="AJ131" s="15"/>
      <c r="AK131" s="15">
        <v>0</v>
      </c>
      <c r="AL131" s="15"/>
      <c r="AM131" s="15">
        <v>0</v>
      </c>
      <c r="AN131" s="15"/>
      <c r="AO131" s="15">
        <v>0</v>
      </c>
      <c r="AP131" s="15"/>
      <c r="AQ131" s="15">
        <v>0</v>
      </c>
      <c r="AR131" s="15">
        <v>0</v>
      </c>
      <c r="AS131" s="15">
        <v>0</v>
      </c>
      <c r="AT131" s="15">
        <v>0</v>
      </c>
      <c r="AU131" s="15">
        <v>0</v>
      </c>
      <c r="AV131" s="15">
        <v>0</v>
      </c>
      <c r="AW131" s="15">
        <v>0</v>
      </c>
      <c r="AX131" s="15">
        <v>0</v>
      </c>
      <c r="AY131" s="15">
        <v>3</v>
      </c>
      <c r="AZ131" s="15">
        <v>3</v>
      </c>
      <c r="BA131" s="15">
        <v>3</v>
      </c>
      <c r="BB131" s="15">
        <v>1</v>
      </c>
      <c r="BC131" s="15">
        <v>0</v>
      </c>
      <c r="BD131" s="15">
        <v>0</v>
      </c>
      <c r="BE131" s="15">
        <v>0.03529</v>
      </c>
      <c r="BF131" s="15">
        <v>0</v>
      </c>
      <c r="BG131" s="15">
        <v>1</v>
      </c>
      <c r="BH131" s="15">
        <v>0</v>
      </c>
      <c r="BI131" s="15"/>
      <c r="BJ131" s="15">
        <v>0</v>
      </c>
      <c r="BK131" s="15">
        <v>0</v>
      </c>
      <c r="BL131" s="15">
        <v>0</v>
      </c>
      <c r="BM131" s="15">
        <v>0</v>
      </c>
      <c r="BN131" s="15"/>
      <c r="BO131" s="15"/>
      <c r="BP131" s="15">
        <v>0</v>
      </c>
      <c r="BQ131" s="15">
        <v>0</v>
      </c>
      <c r="BR131" s="15">
        <v>0</v>
      </c>
      <c r="BS131" s="15">
        <v>0</v>
      </c>
      <c r="BT131" s="15">
        <v>0</v>
      </c>
      <c r="BU131" s="15">
        <v>0</v>
      </c>
      <c r="BV131" s="15">
        <v>0</v>
      </c>
      <c r="BW131" s="15">
        <v>0</v>
      </c>
      <c r="BX131" s="15">
        <v>0</v>
      </c>
    </row>
    <row r="132" spans="1:76">
      <c r="A132" s="14" t="str">
        <f>VLOOKUP(C132,VLOOKUP!A:B,2,FALSE)</f>
        <v>如意盘香</v>
      </c>
      <c r="B132" s="16">
        <v>46076</v>
      </c>
      <c r="C132" s="17">
        <v>838711327669</v>
      </c>
      <c r="D132" s="15" t="s">
        <v>151</v>
      </c>
      <c r="E132" s="15" t="s">
        <v>158</v>
      </c>
      <c r="F132" s="15">
        <v>1442</v>
      </c>
      <c r="G132" s="15">
        <v>41</v>
      </c>
      <c r="H132" s="15">
        <v>71.05</v>
      </c>
      <c r="I132" s="15">
        <v>0.02843</v>
      </c>
      <c r="J132" s="15">
        <v>1.73</v>
      </c>
      <c r="K132" s="15">
        <v>49.27</v>
      </c>
      <c r="L132" s="15">
        <v>0</v>
      </c>
      <c r="M132" s="15">
        <v>0</v>
      </c>
      <c r="N132" s="15">
        <v>0</v>
      </c>
      <c r="O132" s="15">
        <v>0</v>
      </c>
      <c r="P132" s="15">
        <v>0</v>
      </c>
      <c r="Q132" s="15">
        <v>0</v>
      </c>
      <c r="R132" s="15">
        <v>0</v>
      </c>
      <c r="S132" s="15">
        <v>236</v>
      </c>
      <c r="T132" s="15">
        <v>236</v>
      </c>
      <c r="U132" s="15">
        <v>1</v>
      </c>
      <c r="V132" s="15">
        <v>0</v>
      </c>
      <c r="W132" s="15">
        <v>1</v>
      </c>
      <c r="X132" s="15">
        <v>0.02439</v>
      </c>
      <c r="Y132" s="15">
        <v>3.32</v>
      </c>
      <c r="Z132" s="15">
        <v>3.32</v>
      </c>
      <c r="AA132" s="15">
        <v>71.05</v>
      </c>
      <c r="AB132" s="15">
        <v>5</v>
      </c>
      <c r="AC132" s="15">
        <v>2</v>
      </c>
      <c r="AD132" s="15">
        <v>3</v>
      </c>
      <c r="AE132" s="15">
        <v>0.12195</v>
      </c>
      <c r="AF132" s="15">
        <v>0</v>
      </c>
      <c r="AG132" s="15">
        <v>1</v>
      </c>
      <c r="AH132" s="15">
        <v>71.05</v>
      </c>
      <c r="AI132" s="15">
        <v>6</v>
      </c>
      <c r="AJ132" s="15">
        <v>11.84</v>
      </c>
      <c r="AK132" s="15">
        <v>5</v>
      </c>
      <c r="AL132" s="15">
        <v>14.21</v>
      </c>
      <c r="AM132" s="15">
        <v>1</v>
      </c>
      <c r="AN132" s="15"/>
      <c r="AO132" s="15">
        <v>0</v>
      </c>
      <c r="AP132" s="15">
        <v>14.21</v>
      </c>
      <c r="AQ132" s="15">
        <v>3</v>
      </c>
      <c r="AR132" s="15">
        <v>1079</v>
      </c>
      <c r="AS132" s="15">
        <v>0</v>
      </c>
      <c r="AT132" s="15">
        <v>0</v>
      </c>
      <c r="AU132" s="15">
        <v>0</v>
      </c>
      <c r="AV132" s="15">
        <v>0</v>
      </c>
      <c r="AW132" s="15">
        <v>0</v>
      </c>
      <c r="AX132" s="15">
        <v>2</v>
      </c>
      <c r="AY132" s="15">
        <v>107</v>
      </c>
      <c r="AZ132" s="15">
        <v>36</v>
      </c>
      <c r="BA132" s="15">
        <v>31</v>
      </c>
      <c r="BB132" s="15">
        <v>0.86111</v>
      </c>
      <c r="BC132" s="15">
        <v>0</v>
      </c>
      <c r="BD132" s="15">
        <v>0</v>
      </c>
      <c r="BE132" s="15">
        <v>0.0742</v>
      </c>
      <c r="BF132" s="15">
        <v>67</v>
      </c>
      <c r="BG132" s="15">
        <v>3</v>
      </c>
      <c r="BH132" s="15">
        <v>1</v>
      </c>
      <c r="BI132" s="15">
        <v>1</v>
      </c>
      <c r="BJ132" s="15">
        <v>0</v>
      </c>
      <c r="BK132" s="15">
        <v>0</v>
      </c>
      <c r="BL132" s="15">
        <v>0</v>
      </c>
      <c r="BM132" s="15">
        <v>1</v>
      </c>
      <c r="BN132" s="15">
        <v>1</v>
      </c>
      <c r="BO132" s="15">
        <v>236</v>
      </c>
      <c r="BP132" s="15">
        <v>733.62</v>
      </c>
      <c r="BQ132" s="15">
        <v>213</v>
      </c>
      <c r="BR132" s="15">
        <v>0</v>
      </c>
      <c r="BS132" s="15">
        <v>0</v>
      </c>
      <c r="BT132" s="15">
        <v>0</v>
      </c>
      <c r="BU132" s="15">
        <v>0</v>
      </c>
      <c r="BV132" s="15">
        <v>0</v>
      </c>
      <c r="BW132" s="15">
        <v>0</v>
      </c>
      <c r="BX132" s="15">
        <v>0</v>
      </c>
    </row>
    <row r="133" spans="1:76">
      <c r="A133" s="14" t="str">
        <f>VLOOKUP(C133,VLOOKUP!A:B,2,FALSE)</f>
        <v>福颜青</v>
      </c>
      <c r="B133" s="16">
        <v>46076</v>
      </c>
      <c r="C133" s="17">
        <v>833369552621</v>
      </c>
      <c r="D133" s="15" t="s">
        <v>151</v>
      </c>
      <c r="E133" s="15" t="s">
        <v>154</v>
      </c>
      <c r="F133" s="15">
        <v>2216</v>
      </c>
      <c r="G133" s="15">
        <v>40</v>
      </c>
      <c r="H133" s="15">
        <v>10.19</v>
      </c>
      <c r="I133" s="15">
        <v>0.01805</v>
      </c>
      <c r="J133" s="15">
        <v>0.25</v>
      </c>
      <c r="K133" s="15">
        <v>4.6</v>
      </c>
      <c r="L133" s="15">
        <v>0</v>
      </c>
      <c r="M133" s="15">
        <v>0</v>
      </c>
      <c r="N133" s="15">
        <v>0</v>
      </c>
      <c r="O133" s="15">
        <v>0</v>
      </c>
      <c r="P133" s="15">
        <v>0</v>
      </c>
      <c r="Q133" s="15">
        <v>0</v>
      </c>
      <c r="R133" s="15">
        <v>0</v>
      </c>
      <c r="S133" s="15">
        <v>0</v>
      </c>
      <c r="T133" s="15">
        <v>0</v>
      </c>
      <c r="U133" s="15">
        <v>0</v>
      </c>
      <c r="V133" s="15">
        <v>0</v>
      </c>
      <c r="W133" s="15">
        <v>0</v>
      </c>
      <c r="X133" s="15">
        <v>0</v>
      </c>
      <c r="Y133" s="15">
        <v>0</v>
      </c>
      <c r="Z133" s="15">
        <v>0</v>
      </c>
      <c r="AA133" s="15"/>
      <c r="AB133" s="15">
        <v>1</v>
      </c>
      <c r="AC133" s="15">
        <v>0</v>
      </c>
      <c r="AD133" s="15">
        <v>1</v>
      </c>
      <c r="AE133" s="15">
        <v>0.025</v>
      </c>
      <c r="AF133" s="15">
        <v>0</v>
      </c>
      <c r="AG133" s="15">
        <v>0</v>
      </c>
      <c r="AH133" s="15"/>
      <c r="AI133" s="15">
        <v>1</v>
      </c>
      <c r="AJ133" s="15">
        <v>10.19</v>
      </c>
      <c r="AK133" s="15">
        <v>1</v>
      </c>
      <c r="AL133" s="15">
        <v>10.19</v>
      </c>
      <c r="AM133" s="15">
        <v>0</v>
      </c>
      <c r="AN133" s="15"/>
      <c r="AO133" s="15">
        <v>0</v>
      </c>
      <c r="AP133" s="15">
        <v>10.19</v>
      </c>
      <c r="AQ133" s="15">
        <v>0</v>
      </c>
      <c r="AR133" s="15">
        <v>0</v>
      </c>
      <c r="AS133" s="15">
        <v>0</v>
      </c>
      <c r="AT133" s="15">
        <v>0</v>
      </c>
      <c r="AU133" s="15">
        <v>0</v>
      </c>
      <c r="AV133" s="15">
        <v>0</v>
      </c>
      <c r="AW133" s="15">
        <v>0</v>
      </c>
      <c r="AX133" s="15">
        <v>0</v>
      </c>
      <c r="AY133" s="15">
        <v>78</v>
      </c>
      <c r="AZ133" s="15">
        <v>43</v>
      </c>
      <c r="BA133" s="15">
        <v>40</v>
      </c>
      <c r="BB133" s="15">
        <v>0.93023</v>
      </c>
      <c r="BC133" s="15">
        <v>0</v>
      </c>
      <c r="BD133" s="15">
        <v>0</v>
      </c>
      <c r="BE133" s="15">
        <v>0.0352</v>
      </c>
      <c r="BF133" s="15">
        <v>28</v>
      </c>
      <c r="BG133" s="15">
        <v>2</v>
      </c>
      <c r="BH133" s="15">
        <v>0</v>
      </c>
      <c r="BI133" s="15"/>
      <c r="BJ133" s="15">
        <v>0</v>
      </c>
      <c r="BK133" s="15">
        <v>0</v>
      </c>
      <c r="BL133" s="15">
        <v>0</v>
      </c>
      <c r="BM133" s="15">
        <v>0</v>
      </c>
      <c r="BN133" s="15"/>
      <c r="BO133" s="15"/>
      <c r="BP133" s="15">
        <v>0</v>
      </c>
      <c r="BQ133" s="15">
        <v>22</v>
      </c>
      <c r="BR133" s="15">
        <v>0</v>
      </c>
      <c r="BS133" s="15">
        <v>0</v>
      </c>
      <c r="BT133" s="15">
        <v>0</v>
      </c>
      <c r="BU133" s="15">
        <v>0</v>
      </c>
      <c r="BV133" s="15">
        <v>0</v>
      </c>
      <c r="BW133" s="15">
        <v>0</v>
      </c>
      <c r="BX133" s="15">
        <v>0</v>
      </c>
    </row>
    <row r="134" spans="1:76">
      <c r="A134" s="14" t="str">
        <f>VLOOKUP(C134,VLOOKUP!A:B,2,FALSE)</f>
        <v>奇楠手串</v>
      </c>
      <c r="B134" s="16">
        <v>46076</v>
      </c>
      <c r="C134" s="17">
        <v>833035288991</v>
      </c>
      <c r="D134" s="15" t="s">
        <v>151</v>
      </c>
      <c r="E134" s="15" t="s">
        <v>159</v>
      </c>
      <c r="F134" s="15">
        <v>1604</v>
      </c>
      <c r="G134" s="15">
        <v>66</v>
      </c>
      <c r="H134" s="15">
        <v>21.76</v>
      </c>
      <c r="I134" s="15">
        <v>0.04115</v>
      </c>
      <c r="J134" s="15">
        <v>0.33</v>
      </c>
      <c r="K134" s="15">
        <v>13.57</v>
      </c>
      <c r="L134" s="15">
        <v>0</v>
      </c>
      <c r="M134" s="15">
        <v>0</v>
      </c>
      <c r="N134" s="15">
        <v>0</v>
      </c>
      <c r="O134" s="15">
        <v>0</v>
      </c>
      <c r="P134" s="15">
        <v>0</v>
      </c>
      <c r="Q134" s="15">
        <v>0</v>
      </c>
      <c r="R134" s="15">
        <v>0</v>
      </c>
      <c r="S134" s="15">
        <v>0</v>
      </c>
      <c r="T134" s="15">
        <v>0</v>
      </c>
      <c r="U134" s="15">
        <v>0</v>
      </c>
      <c r="V134" s="15">
        <v>0</v>
      </c>
      <c r="W134" s="15">
        <v>0</v>
      </c>
      <c r="X134" s="15">
        <v>0</v>
      </c>
      <c r="Y134" s="15">
        <v>0</v>
      </c>
      <c r="Z134" s="15">
        <v>0</v>
      </c>
      <c r="AA134" s="15"/>
      <c r="AB134" s="15">
        <v>1</v>
      </c>
      <c r="AC134" s="15">
        <v>0</v>
      </c>
      <c r="AD134" s="15">
        <v>1</v>
      </c>
      <c r="AE134" s="15">
        <v>0.01515</v>
      </c>
      <c r="AF134" s="15">
        <v>0</v>
      </c>
      <c r="AG134" s="15">
        <v>1</v>
      </c>
      <c r="AH134" s="15">
        <v>21.76</v>
      </c>
      <c r="AI134" s="15">
        <v>2</v>
      </c>
      <c r="AJ134" s="15">
        <v>10.88</v>
      </c>
      <c r="AK134" s="15">
        <v>1</v>
      </c>
      <c r="AL134" s="15">
        <v>21.76</v>
      </c>
      <c r="AM134" s="15">
        <v>1</v>
      </c>
      <c r="AN134" s="15"/>
      <c r="AO134" s="15">
        <v>0</v>
      </c>
      <c r="AP134" s="15">
        <v>21.76</v>
      </c>
      <c r="AQ134" s="15">
        <v>0</v>
      </c>
      <c r="AR134" s="15">
        <v>0</v>
      </c>
      <c r="AS134" s="15">
        <v>0</v>
      </c>
      <c r="AT134" s="15">
        <v>0</v>
      </c>
      <c r="AU134" s="15">
        <v>0</v>
      </c>
      <c r="AV134" s="15">
        <v>0</v>
      </c>
      <c r="AW134" s="15">
        <v>0</v>
      </c>
      <c r="AX134" s="15">
        <v>0</v>
      </c>
      <c r="AY134" s="15">
        <v>125</v>
      </c>
      <c r="AZ134" s="15">
        <v>59</v>
      </c>
      <c r="BA134" s="15">
        <v>52</v>
      </c>
      <c r="BB134" s="15">
        <v>0.88136</v>
      </c>
      <c r="BC134" s="15">
        <v>0</v>
      </c>
      <c r="BD134" s="15">
        <v>0</v>
      </c>
      <c r="BE134" s="15">
        <v>0.07793</v>
      </c>
      <c r="BF134" s="15">
        <v>57</v>
      </c>
      <c r="BG134" s="15">
        <v>2</v>
      </c>
      <c r="BH134" s="15">
        <v>0</v>
      </c>
      <c r="BI134" s="15"/>
      <c r="BJ134" s="15">
        <v>0</v>
      </c>
      <c r="BK134" s="15">
        <v>0</v>
      </c>
      <c r="BL134" s="15">
        <v>0</v>
      </c>
      <c r="BM134" s="15">
        <v>0</v>
      </c>
      <c r="BN134" s="15"/>
      <c r="BO134" s="15"/>
      <c r="BP134" s="15">
        <v>0</v>
      </c>
      <c r="BQ134" s="15">
        <v>13</v>
      </c>
      <c r="BR134" s="15">
        <v>0</v>
      </c>
      <c r="BS134" s="15">
        <v>0</v>
      </c>
      <c r="BT134" s="15">
        <v>0</v>
      </c>
      <c r="BU134" s="15">
        <v>0</v>
      </c>
      <c r="BV134" s="15">
        <v>0</v>
      </c>
      <c r="BW134" s="15">
        <v>0</v>
      </c>
      <c r="BX134" s="15">
        <v>0</v>
      </c>
    </row>
    <row r="135" spans="1:76">
      <c r="A135" s="14" t="str">
        <f>VLOOKUP(C135,VLOOKUP!A:B,2,FALSE)</f>
        <v>天官赐福</v>
      </c>
      <c r="B135" s="16">
        <v>46075</v>
      </c>
      <c r="C135" s="17">
        <v>972494676240</v>
      </c>
      <c r="D135" s="15" t="s">
        <v>151</v>
      </c>
      <c r="E135" s="15" t="s">
        <v>160</v>
      </c>
      <c r="F135" s="15">
        <v>23</v>
      </c>
      <c r="G135" s="15">
        <v>1</v>
      </c>
      <c r="H135" s="15">
        <v>0.38</v>
      </c>
      <c r="I135" s="15">
        <v>0.04348</v>
      </c>
      <c r="J135" s="15">
        <v>0.38</v>
      </c>
      <c r="K135" s="15">
        <v>16.52</v>
      </c>
      <c r="L135" s="15">
        <v>0</v>
      </c>
      <c r="M135" s="15">
        <v>0</v>
      </c>
      <c r="N135" s="15">
        <v>0</v>
      </c>
      <c r="O135" s="15">
        <v>0</v>
      </c>
      <c r="P135" s="15">
        <v>0</v>
      </c>
      <c r="Q135" s="15">
        <v>0</v>
      </c>
      <c r="R135" s="15">
        <v>0</v>
      </c>
      <c r="S135" s="15">
        <v>0</v>
      </c>
      <c r="T135" s="15">
        <v>0</v>
      </c>
      <c r="U135" s="15">
        <v>0</v>
      </c>
      <c r="V135" s="15">
        <v>0</v>
      </c>
      <c r="W135" s="15">
        <v>0</v>
      </c>
      <c r="X135" s="15">
        <v>0</v>
      </c>
      <c r="Y135" s="15">
        <v>0</v>
      </c>
      <c r="Z135" s="15">
        <v>0</v>
      </c>
      <c r="AA135" s="15"/>
      <c r="AB135" s="15">
        <v>0</v>
      </c>
      <c r="AC135" s="15">
        <v>0</v>
      </c>
      <c r="AD135" s="15">
        <v>0</v>
      </c>
      <c r="AE135" s="15">
        <v>0</v>
      </c>
      <c r="AF135" s="15">
        <v>0</v>
      </c>
      <c r="AG135" s="15">
        <v>0</v>
      </c>
      <c r="AH135" s="15"/>
      <c r="AI135" s="15">
        <v>0</v>
      </c>
      <c r="AJ135" s="15"/>
      <c r="AK135" s="15">
        <v>0</v>
      </c>
      <c r="AL135" s="15"/>
      <c r="AM135" s="15">
        <v>0</v>
      </c>
      <c r="AN135" s="15"/>
      <c r="AO135" s="15">
        <v>0</v>
      </c>
      <c r="AP135" s="15"/>
      <c r="AQ135" s="15">
        <v>0</v>
      </c>
      <c r="AR135" s="15">
        <v>0</v>
      </c>
      <c r="AS135" s="15">
        <v>0</v>
      </c>
      <c r="AT135" s="15">
        <v>0</v>
      </c>
      <c r="AU135" s="15">
        <v>0</v>
      </c>
      <c r="AV135" s="15">
        <v>0</v>
      </c>
      <c r="AW135" s="15">
        <v>0</v>
      </c>
      <c r="AX135" s="15">
        <v>0</v>
      </c>
      <c r="AY135" s="15">
        <v>1</v>
      </c>
      <c r="AZ135" s="15">
        <v>1</v>
      </c>
      <c r="BA135" s="15">
        <v>1</v>
      </c>
      <c r="BB135" s="15">
        <v>1</v>
      </c>
      <c r="BC135" s="15">
        <v>0</v>
      </c>
      <c r="BD135" s="15">
        <v>0</v>
      </c>
      <c r="BE135" s="15">
        <v>0.04348</v>
      </c>
      <c r="BF135" s="15">
        <v>0</v>
      </c>
      <c r="BG135" s="15">
        <v>1</v>
      </c>
      <c r="BH135" s="15">
        <v>0</v>
      </c>
      <c r="BI135" s="15"/>
      <c r="BJ135" s="15">
        <v>0</v>
      </c>
      <c r="BK135" s="15">
        <v>0</v>
      </c>
      <c r="BL135" s="15">
        <v>0</v>
      </c>
      <c r="BM135" s="15">
        <v>0</v>
      </c>
      <c r="BN135" s="15"/>
      <c r="BO135" s="15"/>
      <c r="BP135" s="15">
        <v>0</v>
      </c>
      <c r="BQ135" s="15">
        <v>0</v>
      </c>
      <c r="BR135" s="15">
        <v>0</v>
      </c>
      <c r="BS135" s="15">
        <v>0</v>
      </c>
      <c r="BT135" s="15">
        <v>0</v>
      </c>
      <c r="BU135" s="15">
        <v>0</v>
      </c>
      <c r="BV135" s="15">
        <v>0</v>
      </c>
      <c r="BW135" s="15">
        <v>0</v>
      </c>
      <c r="BX135" s="15">
        <v>0</v>
      </c>
    </row>
    <row r="136" spans="1:76">
      <c r="A136" s="14" t="str">
        <f>VLOOKUP(C136,VLOOKUP!A:B,2,FALSE)</f>
        <v>福到</v>
      </c>
      <c r="B136" s="16">
        <v>46075</v>
      </c>
      <c r="C136" s="17">
        <v>971856893567</v>
      </c>
      <c r="D136" s="15" t="s">
        <v>151</v>
      </c>
      <c r="E136" s="15" t="s">
        <v>152</v>
      </c>
      <c r="F136" s="15">
        <v>101</v>
      </c>
      <c r="G136" s="15">
        <v>2</v>
      </c>
      <c r="H136" s="15">
        <v>0.48</v>
      </c>
      <c r="I136" s="15">
        <v>0.0198</v>
      </c>
      <c r="J136" s="15">
        <v>0.24</v>
      </c>
      <c r="K136" s="15">
        <v>4.75</v>
      </c>
      <c r="L136" s="15">
        <v>0</v>
      </c>
      <c r="M136" s="15">
        <v>0</v>
      </c>
      <c r="N136" s="15">
        <v>0</v>
      </c>
      <c r="O136" s="15">
        <v>0</v>
      </c>
      <c r="P136" s="15">
        <v>0</v>
      </c>
      <c r="Q136" s="15">
        <v>0</v>
      </c>
      <c r="R136" s="15">
        <v>0</v>
      </c>
      <c r="S136" s="15">
        <v>0</v>
      </c>
      <c r="T136" s="15">
        <v>0</v>
      </c>
      <c r="U136" s="15">
        <v>0</v>
      </c>
      <c r="V136" s="15">
        <v>0</v>
      </c>
      <c r="W136" s="15">
        <v>0</v>
      </c>
      <c r="X136" s="15">
        <v>0</v>
      </c>
      <c r="Y136" s="15">
        <v>0</v>
      </c>
      <c r="Z136" s="15">
        <v>0</v>
      </c>
      <c r="AA136" s="15"/>
      <c r="AB136" s="15">
        <v>0</v>
      </c>
      <c r="AC136" s="15">
        <v>0</v>
      </c>
      <c r="AD136" s="15">
        <v>0</v>
      </c>
      <c r="AE136" s="15">
        <v>0</v>
      </c>
      <c r="AF136" s="15">
        <v>0</v>
      </c>
      <c r="AG136" s="15">
        <v>0</v>
      </c>
      <c r="AH136" s="15"/>
      <c r="AI136" s="15">
        <v>0</v>
      </c>
      <c r="AJ136" s="15"/>
      <c r="AK136" s="15">
        <v>0</v>
      </c>
      <c r="AL136" s="15"/>
      <c r="AM136" s="15">
        <v>0</v>
      </c>
      <c r="AN136" s="15"/>
      <c r="AO136" s="15">
        <v>0</v>
      </c>
      <c r="AP136" s="15"/>
      <c r="AQ136" s="15">
        <v>0</v>
      </c>
      <c r="AR136" s="15">
        <v>0</v>
      </c>
      <c r="AS136" s="15">
        <v>0</v>
      </c>
      <c r="AT136" s="15">
        <v>0</v>
      </c>
      <c r="AU136" s="15">
        <v>0</v>
      </c>
      <c r="AV136" s="15">
        <v>0</v>
      </c>
      <c r="AW136" s="15">
        <v>0</v>
      </c>
      <c r="AX136" s="15">
        <v>1</v>
      </c>
      <c r="AY136" s="15">
        <v>4</v>
      </c>
      <c r="AZ136" s="15">
        <v>2</v>
      </c>
      <c r="BA136" s="15">
        <v>1</v>
      </c>
      <c r="BB136" s="15">
        <v>0.5</v>
      </c>
      <c r="BC136" s="15">
        <v>0</v>
      </c>
      <c r="BD136" s="15">
        <v>0</v>
      </c>
      <c r="BE136" s="15">
        <v>0.0396</v>
      </c>
      <c r="BF136" s="15">
        <v>2</v>
      </c>
      <c r="BG136" s="15">
        <v>2</v>
      </c>
      <c r="BH136" s="15">
        <v>0</v>
      </c>
      <c r="BI136" s="15"/>
      <c r="BJ136" s="15">
        <v>0</v>
      </c>
      <c r="BK136" s="15">
        <v>0</v>
      </c>
      <c r="BL136" s="15">
        <v>0</v>
      </c>
      <c r="BM136" s="15">
        <v>0</v>
      </c>
      <c r="BN136" s="15"/>
      <c r="BO136" s="15"/>
      <c r="BP136" s="15">
        <v>0</v>
      </c>
      <c r="BQ136" s="15">
        <v>2</v>
      </c>
      <c r="BR136" s="15">
        <v>0</v>
      </c>
      <c r="BS136" s="15">
        <v>0</v>
      </c>
      <c r="BT136" s="15">
        <v>0</v>
      </c>
      <c r="BU136" s="15">
        <v>0</v>
      </c>
      <c r="BV136" s="15">
        <v>0</v>
      </c>
      <c r="BW136" s="15">
        <v>0</v>
      </c>
      <c r="BX136" s="15">
        <v>0</v>
      </c>
    </row>
    <row r="137" spans="1:76">
      <c r="A137" s="14" t="str">
        <f>VLOOKUP(C137,VLOOKUP!A:B,2,FALSE)</f>
        <v>如意盘香</v>
      </c>
      <c r="B137" s="16">
        <v>46075</v>
      </c>
      <c r="C137" s="17">
        <v>838711327669</v>
      </c>
      <c r="D137" s="15" t="s">
        <v>151</v>
      </c>
      <c r="E137" s="15" t="s">
        <v>158</v>
      </c>
      <c r="F137" s="15">
        <v>1106</v>
      </c>
      <c r="G137" s="15">
        <v>28</v>
      </c>
      <c r="H137" s="15">
        <v>66.01</v>
      </c>
      <c r="I137" s="15">
        <v>0.02532</v>
      </c>
      <c r="J137" s="15">
        <v>2.36</v>
      </c>
      <c r="K137" s="15">
        <v>59.68</v>
      </c>
      <c r="L137" s="15">
        <v>0</v>
      </c>
      <c r="M137" s="15">
        <v>0</v>
      </c>
      <c r="N137" s="15">
        <v>0</v>
      </c>
      <c r="O137" s="15">
        <v>0</v>
      </c>
      <c r="P137" s="15">
        <v>0</v>
      </c>
      <c r="Q137" s="15">
        <v>0</v>
      </c>
      <c r="R137" s="15">
        <v>0</v>
      </c>
      <c r="S137" s="15">
        <v>0</v>
      </c>
      <c r="T137" s="15">
        <v>0</v>
      </c>
      <c r="U137" s="15">
        <v>0</v>
      </c>
      <c r="V137" s="15">
        <v>0</v>
      </c>
      <c r="W137" s="15">
        <v>0</v>
      </c>
      <c r="X137" s="15">
        <v>0</v>
      </c>
      <c r="Y137" s="15">
        <v>0</v>
      </c>
      <c r="Z137" s="15">
        <v>0</v>
      </c>
      <c r="AA137" s="15"/>
      <c r="AB137" s="15">
        <v>7</v>
      </c>
      <c r="AC137" s="15">
        <v>3</v>
      </c>
      <c r="AD137" s="15">
        <v>4</v>
      </c>
      <c r="AE137" s="15">
        <v>0.25</v>
      </c>
      <c r="AF137" s="15">
        <v>2</v>
      </c>
      <c r="AG137" s="15">
        <v>1</v>
      </c>
      <c r="AH137" s="15">
        <v>66.01</v>
      </c>
      <c r="AI137" s="15">
        <v>10</v>
      </c>
      <c r="AJ137" s="15">
        <v>6.6</v>
      </c>
      <c r="AK137" s="15">
        <v>9</v>
      </c>
      <c r="AL137" s="15">
        <v>7.33</v>
      </c>
      <c r="AM137" s="15">
        <v>3</v>
      </c>
      <c r="AN137" s="15">
        <v>33.01</v>
      </c>
      <c r="AO137" s="15">
        <v>0.07143</v>
      </c>
      <c r="AP137" s="15">
        <v>9.43</v>
      </c>
      <c r="AQ137" s="15">
        <v>0</v>
      </c>
      <c r="AR137" s="15">
        <v>0</v>
      </c>
      <c r="AS137" s="15">
        <v>2</v>
      </c>
      <c r="AT137" s="15">
        <v>0</v>
      </c>
      <c r="AU137" s="15">
        <v>0</v>
      </c>
      <c r="AV137" s="15">
        <v>0</v>
      </c>
      <c r="AW137" s="15">
        <v>0</v>
      </c>
      <c r="AX137" s="15">
        <v>1</v>
      </c>
      <c r="AY137" s="15">
        <v>111</v>
      </c>
      <c r="AZ137" s="15">
        <v>26</v>
      </c>
      <c r="BA137" s="15">
        <v>19</v>
      </c>
      <c r="BB137" s="15">
        <v>0.73077</v>
      </c>
      <c r="BC137" s="15">
        <v>0</v>
      </c>
      <c r="BD137" s="15">
        <v>0</v>
      </c>
      <c r="BE137" s="15">
        <v>0.10036</v>
      </c>
      <c r="BF137" s="15">
        <v>82</v>
      </c>
      <c r="BG137" s="15">
        <v>4</v>
      </c>
      <c r="BH137" s="15">
        <v>0</v>
      </c>
      <c r="BI137" s="15"/>
      <c r="BJ137" s="15">
        <v>0</v>
      </c>
      <c r="BK137" s="15">
        <v>0</v>
      </c>
      <c r="BL137" s="15">
        <v>0</v>
      </c>
      <c r="BM137" s="15">
        <v>0</v>
      </c>
      <c r="BN137" s="15"/>
      <c r="BO137" s="15"/>
      <c r="BP137" s="15">
        <v>27.02</v>
      </c>
      <c r="BQ137" s="15">
        <v>138</v>
      </c>
      <c r="BR137" s="15">
        <v>0</v>
      </c>
      <c r="BS137" s="15">
        <v>0</v>
      </c>
      <c r="BT137" s="15">
        <v>0</v>
      </c>
      <c r="BU137" s="15">
        <v>0</v>
      </c>
      <c r="BV137" s="15">
        <v>0</v>
      </c>
      <c r="BW137" s="15">
        <v>0</v>
      </c>
      <c r="BX137" s="15">
        <v>0</v>
      </c>
    </row>
    <row r="138" spans="1:76">
      <c r="A138" s="14" t="str">
        <f>VLOOKUP(C138,VLOOKUP!A:B,2,FALSE)</f>
        <v>福颜青</v>
      </c>
      <c r="B138" s="16">
        <v>46075</v>
      </c>
      <c r="C138" s="17">
        <v>833369552621</v>
      </c>
      <c r="D138" s="15" t="s">
        <v>151</v>
      </c>
      <c r="E138" s="15" t="s">
        <v>154</v>
      </c>
      <c r="F138" s="15">
        <v>2448</v>
      </c>
      <c r="G138" s="15">
        <v>46</v>
      </c>
      <c r="H138" s="15">
        <v>11.51</v>
      </c>
      <c r="I138" s="15">
        <v>0.01879</v>
      </c>
      <c r="J138" s="15">
        <v>0.25</v>
      </c>
      <c r="K138" s="15">
        <v>4.7</v>
      </c>
      <c r="L138" s="15">
        <v>0</v>
      </c>
      <c r="M138" s="15">
        <v>0</v>
      </c>
      <c r="N138" s="15">
        <v>0</v>
      </c>
      <c r="O138" s="15">
        <v>0</v>
      </c>
      <c r="P138" s="15">
        <v>0</v>
      </c>
      <c r="Q138" s="15">
        <v>0</v>
      </c>
      <c r="R138" s="15">
        <v>0</v>
      </c>
      <c r="S138" s="15">
        <v>0</v>
      </c>
      <c r="T138" s="15">
        <v>0</v>
      </c>
      <c r="U138" s="15">
        <v>0</v>
      </c>
      <c r="V138" s="15">
        <v>0</v>
      </c>
      <c r="W138" s="15">
        <v>0</v>
      </c>
      <c r="X138" s="15">
        <v>0</v>
      </c>
      <c r="Y138" s="15">
        <v>0</v>
      </c>
      <c r="Z138" s="15">
        <v>0</v>
      </c>
      <c r="AA138" s="15"/>
      <c r="AB138" s="15">
        <v>3</v>
      </c>
      <c r="AC138" s="15">
        <v>1</v>
      </c>
      <c r="AD138" s="15">
        <v>2</v>
      </c>
      <c r="AE138" s="15">
        <v>0.06522</v>
      </c>
      <c r="AF138" s="15">
        <v>0</v>
      </c>
      <c r="AG138" s="15">
        <v>0</v>
      </c>
      <c r="AH138" s="15"/>
      <c r="AI138" s="15">
        <v>3</v>
      </c>
      <c r="AJ138" s="15">
        <v>3.84</v>
      </c>
      <c r="AK138" s="15">
        <v>3</v>
      </c>
      <c r="AL138" s="15">
        <v>3.84</v>
      </c>
      <c r="AM138" s="15">
        <v>0</v>
      </c>
      <c r="AN138" s="15"/>
      <c r="AO138" s="15">
        <v>0</v>
      </c>
      <c r="AP138" s="15">
        <v>3.84</v>
      </c>
      <c r="AQ138" s="15">
        <v>0</v>
      </c>
      <c r="AR138" s="15">
        <v>0</v>
      </c>
      <c r="AS138" s="15">
        <v>0</v>
      </c>
      <c r="AT138" s="15">
        <v>0</v>
      </c>
      <c r="AU138" s="15">
        <v>0</v>
      </c>
      <c r="AV138" s="15">
        <v>0</v>
      </c>
      <c r="AW138" s="15">
        <v>0</v>
      </c>
      <c r="AX138" s="15">
        <v>0</v>
      </c>
      <c r="AY138" s="15">
        <v>98</v>
      </c>
      <c r="AZ138" s="15">
        <v>49</v>
      </c>
      <c r="BA138" s="15">
        <v>47</v>
      </c>
      <c r="BB138" s="15">
        <v>0.95918</v>
      </c>
      <c r="BC138" s="15">
        <v>0</v>
      </c>
      <c r="BD138" s="15">
        <v>0</v>
      </c>
      <c r="BE138" s="15">
        <v>0.04003</v>
      </c>
      <c r="BF138" s="15">
        <v>45</v>
      </c>
      <c r="BG138" s="15">
        <v>2</v>
      </c>
      <c r="BH138" s="15">
        <v>0</v>
      </c>
      <c r="BI138" s="15"/>
      <c r="BJ138" s="15">
        <v>0</v>
      </c>
      <c r="BK138" s="15">
        <v>0</v>
      </c>
      <c r="BL138" s="15">
        <v>0</v>
      </c>
      <c r="BM138" s="15">
        <v>0</v>
      </c>
      <c r="BN138" s="15"/>
      <c r="BO138" s="15"/>
      <c r="BP138" s="15">
        <v>0</v>
      </c>
      <c r="BQ138" s="15">
        <v>2101</v>
      </c>
      <c r="BR138" s="15">
        <v>0</v>
      </c>
      <c r="BS138" s="15">
        <v>0</v>
      </c>
      <c r="BT138" s="15">
        <v>0</v>
      </c>
      <c r="BU138" s="15">
        <v>0</v>
      </c>
      <c r="BV138" s="15">
        <v>0</v>
      </c>
      <c r="BW138" s="15">
        <v>0</v>
      </c>
      <c r="BX138" s="15">
        <v>0</v>
      </c>
    </row>
    <row r="139" spans="1:76">
      <c r="A139" s="14" t="str">
        <f>VLOOKUP(C139,VLOOKUP!A:B,2,FALSE)</f>
        <v>奇楠手串</v>
      </c>
      <c r="B139" s="16">
        <v>46075</v>
      </c>
      <c r="C139" s="17">
        <v>833035288991</v>
      </c>
      <c r="D139" s="15" t="s">
        <v>151</v>
      </c>
      <c r="E139" s="15" t="s">
        <v>159</v>
      </c>
      <c r="F139" s="15">
        <v>2037</v>
      </c>
      <c r="G139" s="15">
        <v>71</v>
      </c>
      <c r="H139" s="15">
        <v>22.63</v>
      </c>
      <c r="I139" s="15">
        <v>0.03486</v>
      </c>
      <c r="J139" s="15">
        <v>0.32</v>
      </c>
      <c r="K139" s="15">
        <v>11.11</v>
      </c>
      <c r="L139" s="15">
        <v>0</v>
      </c>
      <c r="M139" s="15">
        <v>0</v>
      </c>
      <c r="N139" s="15">
        <v>0</v>
      </c>
      <c r="O139" s="15">
        <v>0</v>
      </c>
      <c r="P139" s="15">
        <v>0</v>
      </c>
      <c r="Q139" s="15">
        <v>0</v>
      </c>
      <c r="R139" s="15">
        <v>0</v>
      </c>
      <c r="S139" s="15">
        <v>0</v>
      </c>
      <c r="T139" s="15">
        <v>0</v>
      </c>
      <c r="U139" s="15">
        <v>0</v>
      </c>
      <c r="V139" s="15">
        <v>0</v>
      </c>
      <c r="W139" s="15">
        <v>0</v>
      </c>
      <c r="X139" s="15">
        <v>0</v>
      </c>
      <c r="Y139" s="15">
        <v>0</v>
      </c>
      <c r="Z139" s="15">
        <v>0</v>
      </c>
      <c r="AA139" s="15"/>
      <c r="AB139" s="15">
        <v>0</v>
      </c>
      <c r="AC139" s="15">
        <v>0</v>
      </c>
      <c r="AD139" s="15">
        <v>0</v>
      </c>
      <c r="AE139" s="15">
        <v>0</v>
      </c>
      <c r="AF139" s="15">
        <v>0</v>
      </c>
      <c r="AG139" s="15">
        <v>1</v>
      </c>
      <c r="AH139" s="15">
        <v>22.63</v>
      </c>
      <c r="AI139" s="15">
        <v>1</v>
      </c>
      <c r="AJ139" s="15">
        <v>22.63</v>
      </c>
      <c r="AK139" s="15">
        <v>0</v>
      </c>
      <c r="AL139" s="15"/>
      <c r="AM139" s="15">
        <v>1</v>
      </c>
      <c r="AN139" s="15"/>
      <c r="AO139" s="15">
        <v>0</v>
      </c>
      <c r="AP139" s="15"/>
      <c r="AQ139" s="15">
        <v>0</v>
      </c>
      <c r="AR139" s="15">
        <v>0</v>
      </c>
      <c r="AS139" s="15">
        <v>0</v>
      </c>
      <c r="AT139" s="15">
        <v>0</v>
      </c>
      <c r="AU139" s="15">
        <v>0</v>
      </c>
      <c r="AV139" s="15">
        <v>0</v>
      </c>
      <c r="AW139" s="15">
        <v>0</v>
      </c>
      <c r="AX139" s="15">
        <v>0</v>
      </c>
      <c r="AY139" s="15">
        <v>111</v>
      </c>
      <c r="AZ139" s="15">
        <v>65</v>
      </c>
      <c r="BA139" s="15">
        <v>61</v>
      </c>
      <c r="BB139" s="15">
        <v>0.93846</v>
      </c>
      <c r="BC139" s="15">
        <v>0</v>
      </c>
      <c r="BD139" s="15">
        <v>0</v>
      </c>
      <c r="BE139" s="15">
        <v>0.05449</v>
      </c>
      <c r="BF139" s="15">
        <v>39</v>
      </c>
      <c r="BG139" s="15">
        <v>2</v>
      </c>
      <c r="BH139" s="15">
        <v>0</v>
      </c>
      <c r="BI139" s="15"/>
      <c r="BJ139" s="15">
        <v>0</v>
      </c>
      <c r="BK139" s="15">
        <v>0</v>
      </c>
      <c r="BL139" s="15">
        <v>0</v>
      </c>
      <c r="BM139" s="15">
        <v>0</v>
      </c>
      <c r="BN139" s="15"/>
      <c r="BO139" s="15"/>
      <c r="BP139" s="15">
        <v>0</v>
      </c>
      <c r="BQ139" s="15">
        <v>7</v>
      </c>
      <c r="BR139" s="15">
        <v>0</v>
      </c>
      <c r="BS139" s="15">
        <v>0</v>
      </c>
      <c r="BT139" s="15">
        <v>0</v>
      </c>
      <c r="BU139" s="15">
        <v>0</v>
      </c>
      <c r="BV139" s="15">
        <v>0</v>
      </c>
      <c r="BW139" s="15">
        <v>0</v>
      </c>
      <c r="BX139" s="15">
        <v>0</v>
      </c>
    </row>
    <row r="140" spans="1:76">
      <c r="A140" s="14" t="str">
        <f>VLOOKUP(C140,VLOOKUP!A:B,2,FALSE)</f>
        <v>天官赐福</v>
      </c>
      <c r="B140" s="16">
        <v>46074</v>
      </c>
      <c r="C140" s="17">
        <v>972494676240</v>
      </c>
      <c r="D140" s="15" t="s">
        <v>151</v>
      </c>
      <c r="E140" s="15" t="s">
        <v>160</v>
      </c>
      <c r="F140" s="15">
        <v>31</v>
      </c>
      <c r="G140" s="15">
        <v>1</v>
      </c>
      <c r="H140" s="15">
        <v>0.39</v>
      </c>
      <c r="I140" s="15">
        <v>0.03226</v>
      </c>
      <c r="J140" s="15">
        <v>0.39</v>
      </c>
      <c r="K140" s="15">
        <v>12.58</v>
      </c>
      <c r="L140" s="15">
        <v>0</v>
      </c>
      <c r="M140" s="15">
        <v>0</v>
      </c>
      <c r="N140" s="15">
        <v>0</v>
      </c>
      <c r="O140" s="15">
        <v>0</v>
      </c>
      <c r="P140" s="15">
        <v>0</v>
      </c>
      <c r="Q140" s="15">
        <v>0</v>
      </c>
      <c r="R140" s="15">
        <v>0</v>
      </c>
      <c r="S140" s="15">
        <v>57.27</v>
      </c>
      <c r="T140" s="15">
        <v>57.27</v>
      </c>
      <c r="U140" s="15">
        <v>1</v>
      </c>
      <c r="V140" s="15">
        <v>0</v>
      </c>
      <c r="W140" s="15">
        <v>1</v>
      </c>
      <c r="X140" s="15">
        <v>1</v>
      </c>
      <c r="Y140" s="15">
        <v>146.85</v>
      </c>
      <c r="Z140" s="15">
        <v>146.85</v>
      </c>
      <c r="AA140" s="15">
        <v>0.39</v>
      </c>
      <c r="AB140" s="15">
        <v>1</v>
      </c>
      <c r="AC140" s="15">
        <v>0</v>
      </c>
      <c r="AD140" s="15">
        <v>1</v>
      </c>
      <c r="AE140" s="15">
        <v>1</v>
      </c>
      <c r="AF140" s="15">
        <v>0</v>
      </c>
      <c r="AG140" s="15">
        <v>0</v>
      </c>
      <c r="AH140" s="15"/>
      <c r="AI140" s="15">
        <v>1</v>
      </c>
      <c r="AJ140" s="15">
        <v>0.39</v>
      </c>
      <c r="AK140" s="15">
        <v>1</v>
      </c>
      <c r="AL140" s="15">
        <v>0.39</v>
      </c>
      <c r="AM140" s="15">
        <v>0</v>
      </c>
      <c r="AN140" s="15"/>
      <c r="AO140" s="15">
        <v>0</v>
      </c>
      <c r="AP140" s="15">
        <v>0.39</v>
      </c>
      <c r="AQ140" s="15">
        <v>1</v>
      </c>
      <c r="AR140" s="15">
        <v>69</v>
      </c>
      <c r="AS140" s="15">
        <v>0</v>
      </c>
      <c r="AT140" s="15">
        <v>0</v>
      </c>
      <c r="AU140" s="15">
        <v>0</v>
      </c>
      <c r="AV140" s="15">
        <v>0</v>
      </c>
      <c r="AW140" s="15">
        <v>0</v>
      </c>
      <c r="AX140" s="15">
        <v>0</v>
      </c>
      <c r="AY140" s="15">
        <v>7</v>
      </c>
      <c r="AZ140" s="15">
        <v>1</v>
      </c>
      <c r="BA140" s="15">
        <v>1</v>
      </c>
      <c r="BB140" s="15">
        <v>1</v>
      </c>
      <c r="BC140" s="15">
        <v>0</v>
      </c>
      <c r="BD140" s="15">
        <v>0</v>
      </c>
      <c r="BE140" s="15">
        <v>0.22581</v>
      </c>
      <c r="BF140" s="15">
        <v>6</v>
      </c>
      <c r="BG140" s="15">
        <v>7</v>
      </c>
      <c r="BH140" s="15">
        <v>1</v>
      </c>
      <c r="BI140" s="15">
        <v>1</v>
      </c>
      <c r="BJ140" s="15">
        <v>0</v>
      </c>
      <c r="BK140" s="15">
        <v>0</v>
      </c>
      <c r="BL140" s="15">
        <v>0</v>
      </c>
      <c r="BM140" s="15">
        <v>1</v>
      </c>
      <c r="BN140" s="15">
        <v>1</v>
      </c>
      <c r="BO140" s="15">
        <v>57.27</v>
      </c>
      <c r="BP140" s="15">
        <v>0</v>
      </c>
      <c r="BQ140" s="15">
        <v>248</v>
      </c>
      <c r="BR140" s="15">
        <v>0</v>
      </c>
      <c r="BS140" s="15">
        <v>0</v>
      </c>
      <c r="BT140" s="15">
        <v>0</v>
      </c>
      <c r="BU140" s="15">
        <v>0</v>
      </c>
      <c r="BV140" s="15">
        <v>0</v>
      </c>
      <c r="BW140" s="15">
        <v>0</v>
      </c>
      <c r="BX140" s="15">
        <v>0</v>
      </c>
    </row>
    <row r="141" spans="1:76">
      <c r="A141" s="14" t="str">
        <f>VLOOKUP(C141,VLOOKUP!A:B,2,FALSE)</f>
        <v>福到</v>
      </c>
      <c r="B141" s="16">
        <v>46074</v>
      </c>
      <c r="C141" s="17">
        <v>971856893567</v>
      </c>
      <c r="D141" s="15" t="s">
        <v>151</v>
      </c>
      <c r="E141" s="15" t="s">
        <v>152</v>
      </c>
      <c r="F141" s="15">
        <v>109</v>
      </c>
      <c r="G141" s="15">
        <v>6</v>
      </c>
      <c r="H141" s="15">
        <v>1.54</v>
      </c>
      <c r="I141" s="15">
        <v>0.05505</v>
      </c>
      <c r="J141" s="15">
        <v>0.26</v>
      </c>
      <c r="K141" s="15">
        <v>14.13</v>
      </c>
      <c r="L141" s="15">
        <v>0</v>
      </c>
      <c r="M141" s="15">
        <v>0</v>
      </c>
      <c r="N141" s="15">
        <v>0</v>
      </c>
      <c r="O141" s="15">
        <v>0</v>
      </c>
      <c r="P141" s="15">
        <v>0</v>
      </c>
      <c r="Q141" s="15">
        <v>0</v>
      </c>
      <c r="R141" s="15">
        <v>0</v>
      </c>
      <c r="S141" s="15">
        <v>0</v>
      </c>
      <c r="T141" s="15">
        <v>0</v>
      </c>
      <c r="U141" s="15">
        <v>0</v>
      </c>
      <c r="V141" s="15">
        <v>0</v>
      </c>
      <c r="W141" s="15">
        <v>0</v>
      </c>
      <c r="X141" s="15">
        <v>0</v>
      </c>
      <c r="Y141" s="15">
        <v>0</v>
      </c>
      <c r="Z141" s="15">
        <v>0</v>
      </c>
      <c r="AA141" s="15"/>
      <c r="AB141" s="15">
        <v>0</v>
      </c>
      <c r="AC141" s="15">
        <v>0</v>
      </c>
      <c r="AD141" s="15">
        <v>0</v>
      </c>
      <c r="AE141" s="15">
        <v>0</v>
      </c>
      <c r="AF141" s="15">
        <v>0</v>
      </c>
      <c r="AG141" s="15">
        <v>0</v>
      </c>
      <c r="AH141" s="15"/>
      <c r="AI141" s="15">
        <v>0</v>
      </c>
      <c r="AJ141" s="15"/>
      <c r="AK141" s="15">
        <v>0</v>
      </c>
      <c r="AL141" s="15"/>
      <c r="AM141" s="15">
        <v>0</v>
      </c>
      <c r="AN141" s="15"/>
      <c r="AO141" s="15">
        <v>0</v>
      </c>
      <c r="AP141" s="15"/>
      <c r="AQ141" s="15">
        <v>0</v>
      </c>
      <c r="AR141" s="15">
        <v>0</v>
      </c>
      <c r="AS141" s="15">
        <v>0</v>
      </c>
      <c r="AT141" s="15">
        <v>0</v>
      </c>
      <c r="AU141" s="15">
        <v>0</v>
      </c>
      <c r="AV141" s="15">
        <v>0</v>
      </c>
      <c r="AW141" s="15">
        <v>0</v>
      </c>
      <c r="AX141" s="15">
        <v>0</v>
      </c>
      <c r="AY141" s="15">
        <v>12</v>
      </c>
      <c r="AZ141" s="15">
        <v>6</v>
      </c>
      <c r="BA141" s="15">
        <v>6</v>
      </c>
      <c r="BB141" s="15">
        <v>1</v>
      </c>
      <c r="BC141" s="15">
        <v>0</v>
      </c>
      <c r="BD141" s="15">
        <v>0</v>
      </c>
      <c r="BE141" s="15">
        <v>0.11009</v>
      </c>
      <c r="BF141" s="15">
        <v>6</v>
      </c>
      <c r="BG141" s="15">
        <v>2</v>
      </c>
      <c r="BH141" s="15">
        <v>0</v>
      </c>
      <c r="BI141" s="15"/>
      <c r="BJ141" s="15">
        <v>0</v>
      </c>
      <c r="BK141" s="15">
        <v>0</v>
      </c>
      <c r="BL141" s="15">
        <v>0</v>
      </c>
      <c r="BM141" s="15">
        <v>0</v>
      </c>
      <c r="BN141" s="15"/>
      <c r="BO141" s="15"/>
      <c r="BP141" s="15">
        <v>0</v>
      </c>
      <c r="BQ141" s="15">
        <v>1</v>
      </c>
      <c r="BR141" s="15">
        <v>0</v>
      </c>
      <c r="BS141" s="15">
        <v>0</v>
      </c>
      <c r="BT141" s="15">
        <v>0</v>
      </c>
      <c r="BU141" s="15">
        <v>0</v>
      </c>
      <c r="BV141" s="15">
        <v>0</v>
      </c>
      <c r="BW141" s="15">
        <v>0</v>
      </c>
      <c r="BX141" s="15">
        <v>0</v>
      </c>
    </row>
    <row r="142" spans="1:76">
      <c r="A142" s="14" t="str">
        <f>VLOOKUP(C142,VLOOKUP!A:B,2,FALSE)</f>
        <v>如意盘香</v>
      </c>
      <c r="B142" s="16">
        <v>46074</v>
      </c>
      <c r="C142" s="17">
        <v>838711327669</v>
      </c>
      <c r="D142" s="15" t="s">
        <v>151</v>
      </c>
      <c r="E142" s="15" t="s">
        <v>158</v>
      </c>
      <c r="F142" s="15">
        <v>905</v>
      </c>
      <c r="G142" s="15">
        <v>38</v>
      </c>
      <c r="H142" s="15">
        <v>68.8</v>
      </c>
      <c r="I142" s="15">
        <v>0.04199</v>
      </c>
      <c r="J142" s="15">
        <v>1.81</v>
      </c>
      <c r="K142" s="15">
        <v>76.02</v>
      </c>
      <c r="L142" s="15">
        <v>0</v>
      </c>
      <c r="M142" s="15">
        <v>0</v>
      </c>
      <c r="N142" s="15">
        <v>0</v>
      </c>
      <c r="O142" s="15">
        <v>0</v>
      </c>
      <c r="P142" s="15">
        <v>0</v>
      </c>
      <c r="Q142" s="15">
        <v>0</v>
      </c>
      <c r="R142" s="15">
        <v>162.68</v>
      </c>
      <c r="S142" s="15">
        <v>0</v>
      </c>
      <c r="T142" s="15">
        <v>162.68</v>
      </c>
      <c r="U142" s="15">
        <v>1</v>
      </c>
      <c r="V142" s="15">
        <v>1</v>
      </c>
      <c r="W142" s="15">
        <v>0</v>
      </c>
      <c r="X142" s="15">
        <v>0.02632</v>
      </c>
      <c r="Y142" s="15">
        <v>2.36</v>
      </c>
      <c r="Z142" s="15">
        <v>2.36</v>
      </c>
      <c r="AA142" s="15">
        <v>68.8</v>
      </c>
      <c r="AB142" s="15">
        <v>6</v>
      </c>
      <c r="AC142" s="15">
        <v>3</v>
      </c>
      <c r="AD142" s="15">
        <v>3</v>
      </c>
      <c r="AE142" s="15">
        <v>0.15789</v>
      </c>
      <c r="AF142" s="15">
        <v>1</v>
      </c>
      <c r="AG142" s="15">
        <v>0</v>
      </c>
      <c r="AH142" s="15"/>
      <c r="AI142" s="15">
        <v>7</v>
      </c>
      <c r="AJ142" s="15">
        <v>9.83</v>
      </c>
      <c r="AK142" s="15">
        <v>7</v>
      </c>
      <c r="AL142" s="15">
        <v>9.83</v>
      </c>
      <c r="AM142" s="15">
        <v>1</v>
      </c>
      <c r="AN142" s="15">
        <v>68.8</v>
      </c>
      <c r="AO142" s="15">
        <v>0.02632</v>
      </c>
      <c r="AP142" s="15">
        <v>11.47</v>
      </c>
      <c r="AQ142" s="15">
        <v>3</v>
      </c>
      <c r="AR142" s="15">
        <v>534.9</v>
      </c>
      <c r="AS142" s="15">
        <v>0</v>
      </c>
      <c r="AT142" s="15">
        <v>1</v>
      </c>
      <c r="AU142" s="15">
        <v>0</v>
      </c>
      <c r="AV142" s="15">
        <v>0</v>
      </c>
      <c r="AW142" s="15">
        <v>0</v>
      </c>
      <c r="AX142" s="15">
        <v>2</v>
      </c>
      <c r="AY142" s="15">
        <v>187</v>
      </c>
      <c r="AZ142" s="15">
        <v>35</v>
      </c>
      <c r="BA142" s="15">
        <v>29</v>
      </c>
      <c r="BB142" s="15">
        <v>0.82857</v>
      </c>
      <c r="BC142" s="15">
        <v>0</v>
      </c>
      <c r="BD142" s="15">
        <v>0</v>
      </c>
      <c r="BE142" s="15">
        <v>0.20663</v>
      </c>
      <c r="BF142" s="15">
        <v>142</v>
      </c>
      <c r="BG142" s="15">
        <v>5</v>
      </c>
      <c r="BH142" s="15">
        <v>1</v>
      </c>
      <c r="BI142" s="15">
        <v>1</v>
      </c>
      <c r="BJ142" s="15">
        <v>0</v>
      </c>
      <c r="BK142" s="15">
        <v>0</v>
      </c>
      <c r="BL142" s="15">
        <v>0</v>
      </c>
      <c r="BM142" s="15">
        <v>1</v>
      </c>
      <c r="BN142" s="15">
        <v>1</v>
      </c>
      <c r="BO142" s="15">
        <v>162.68</v>
      </c>
      <c r="BP142" s="15">
        <v>0.32</v>
      </c>
      <c r="BQ142" s="15">
        <v>928</v>
      </c>
      <c r="BR142" s="15">
        <v>0</v>
      </c>
      <c r="BS142" s="15">
        <v>0</v>
      </c>
      <c r="BT142" s="15">
        <v>0</v>
      </c>
      <c r="BU142" s="15">
        <v>0</v>
      </c>
      <c r="BV142" s="15">
        <v>0</v>
      </c>
      <c r="BW142" s="15">
        <v>0</v>
      </c>
      <c r="BX142" s="15">
        <v>0</v>
      </c>
    </row>
    <row r="143" spans="1:76">
      <c r="A143" s="14" t="str">
        <f>VLOOKUP(C143,VLOOKUP!A:B,2,FALSE)</f>
        <v>福颜青</v>
      </c>
      <c r="B143" s="16">
        <v>46074</v>
      </c>
      <c r="C143" s="17">
        <v>833369552621</v>
      </c>
      <c r="D143" s="15" t="s">
        <v>151</v>
      </c>
      <c r="E143" s="15" t="s">
        <v>154</v>
      </c>
      <c r="F143" s="15">
        <v>2812</v>
      </c>
      <c r="G143" s="15">
        <v>34</v>
      </c>
      <c r="H143" s="15">
        <v>8.66</v>
      </c>
      <c r="I143" s="15">
        <v>0.01209</v>
      </c>
      <c r="J143" s="15">
        <v>0.25</v>
      </c>
      <c r="K143" s="15">
        <v>3.08</v>
      </c>
      <c r="L143" s="15">
        <v>0</v>
      </c>
      <c r="M143" s="15">
        <v>0</v>
      </c>
      <c r="N143" s="15">
        <v>0</v>
      </c>
      <c r="O143" s="15">
        <v>0</v>
      </c>
      <c r="P143" s="15">
        <v>0</v>
      </c>
      <c r="Q143" s="15">
        <v>0</v>
      </c>
      <c r="R143" s="15">
        <v>0</v>
      </c>
      <c r="S143" s="15">
        <v>0</v>
      </c>
      <c r="T143" s="15">
        <v>0</v>
      </c>
      <c r="U143" s="15">
        <v>0</v>
      </c>
      <c r="V143" s="15">
        <v>0</v>
      </c>
      <c r="W143" s="15">
        <v>0</v>
      </c>
      <c r="X143" s="15">
        <v>0</v>
      </c>
      <c r="Y143" s="15">
        <v>0</v>
      </c>
      <c r="Z143" s="15">
        <v>0</v>
      </c>
      <c r="AA143" s="15"/>
      <c r="AB143" s="15">
        <v>0</v>
      </c>
      <c r="AC143" s="15">
        <v>0</v>
      </c>
      <c r="AD143" s="15">
        <v>0</v>
      </c>
      <c r="AE143" s="15">
        <v>0</v>
      </c>
      <c r="AF143" s="15">
        <v>0</v>
      </c>
      <c r="AG143" s="15">
        <v>0</v>
      </c>
      <c r="AH143" s="15"/>
      <c r="AI143" s="15">
        <v>0</v>
      </c>
      <c r="AJ143" s="15"/>
      <c r="AK143" s="15">
        <v>0</v>
      </c>
      <c r="AL143" s="15"/>
      <c r="AM143" s="15">
        <v>0</v>
      </c>
      <c r="AN143" s="15"/>
      <c r="AO143" s="15">
        <v>0</v>
      </c>
      <c r="AP143" s="15"/>
      <c r="AQ143" s="15">
        <v>0</v>
      </c>
      <c r="AR143" s="15">
        <v>0</v>
      </c>
      <c r="AS143" s="15">
        <v>0</v>
      </c>
      <c r="AT143" s="15">
        <v>0</v>
      </c>
      <c r="AU143" s="15">
        <v>0</v>
      </c>
      <c r="AV143" s="15">
        <v>0</v>
      </c>
      <c r="AW143" s="15">
        <v>0</v>
      </c>
      <c r="AX143" s="15">
        <v>0</v>
      </c>
      <c r="AY143" s="15">
        <v>43</v>
      </c>
      <c r="AZ143" s="15">
        <v>31</v>
      </c>
      <c r="BA143" s="15">
        <v>30</v>
      </c>
      <c r="BB143" s="15">
        <v>0.96774</v>
      </c>
      <c r="BC143" s="15">
        <v>0</v>
      </c>
      <c r="BD143" s="15">
        <v>0</v>
      </c>
      <c r="BE143" s="15">
        <v>0.01529</v>
      </c>
      <c r="BF143" s="15">
        <v>11</v>
      </c>
      <c r="BG143" s="15">
        <v>1</v>
      </c>
      <c r="BH143" s="15">
        <v>0</v>
      </c>
      <c r="BI143" s="15"/>
      <c r="BJ143" s="15">
        <v>0</v>
      </c>
      <c r="BK143" s="15">
        <v>0</v>
      </c>
      <c r="BL143" s="15">
        <v>0</v>
      </c>
      <c r="BM143" s="15">
        <v>0</v>
      </c>
      <c r="BN143" s="15"/>
      <c r="BO143" s="15"/>
      <c r="BP143" s="15">
        <v>0</v>
      </c>
      <c r="BQ143" s="15">
        <v>0</v>
      </c>
      <c r="BR143" s="15">
        <v>0</v>
      </c>
      <c r="BS143" s="15">
        <v>0</v>
      </c>
      <c r="BT143" s="15">
        <v>0</v>
      </c>
      <c r="BU143" s="15">
        <v>0</v>
      </c>
      <c r="BV143" s="15">
        <v>0</v>
      </c>
      <c r="BW143" s="15">
        <v>0</v>
      </c>
      <c r="BX143" s="15">
        <v>0</v>
      </c>
    </row>
    <row r="144" spans="1:76">
      <c r="A144" s="14" t="str">
        <f>VLOOKUP(C144,VLOOKUP!A:B,2,FALSE)</f>
        <v>奇楠手串</v>
      </c>
      <c r="B144" s="16">
        <v>46074</v>
      </c>
      <c r="C144" s="17">
        <v>833035288991</v>
      </c>
      <c r="D144" s="15" t="s">
        <v>151</v>
      </c>
      <c r="E144" s="15" t="s">
        <v>159</v>
      </c>
      <c r="F144" s="15">
        <v>2875</v>
      </c>
      <c r="G144" s="15">
        <v>68</v>
      </c>
      <c r="H144" s="15">
        <v>23.06</v>
      </c>
      <c r="I144" s="15">
        <v>0.02365</v>
      </c>
      <c r="J144" s="15">
        <v>0.34</v>
      </c>
      <c r="K144" s="15">
        <v>8.02</v>
      </c>
      <c r="L144" s="15">
        <v>0</v>
      </c>
      <c r="M144" s="15">
        <v>0</v>
      </c>
      <c r="N144" s="15">
        <v>0</v>
      </c>
      <c r="O144" s="15">
        <v>0</v>
      </c>
      <c r="P144" s="15">
        <v>0</v>
      </c>
      <c r="Q144" s="15">
        <v>0</v>
      </c>
      <c r="R144" s="15">
        <v>0</v>
      </c>
      <c r="S144" s="15">
        <v>0</v>
      </c>
      <c r="T144" s="15">
        <v>0</v>
      </c>
      <c r="U144" s="15">
        <v>0</v>
      </c>
      <c r="V144" s="15">
        <v>0</v>
      </c>
      <c r="W144" s="15">
        <v>0</v>
      </c>
      <c r="X144" s="15">
        <v>0</v>
      </c>
      <c r="Y144" s="15">
        <v>0</v>
      </c>
      <c r="Z144" s="15">
        <v>0</v>
      </c>
      <c r="AA144" s="15"/>
      <c r="AB144" s="15">
        <v>4</v>
      </c>
      <c r="AC144" s="15">
        <v>2</v>
      </c>
      <c r="AD144" s="15">
        <v>2</v>
      </c>
      <c r="AE144" s="15">
        <v>0.05882</v>
      </c>
      <c r="AF144" s="15">
        <v>0</v>
      </c>
      <c r="AG144" s="15">
        <v>0</v>
      </c>
      <c r="AH144" s="15"/>
      <c r="AI144" s="15">
        <v>4</v>
      </c>
      <c r="AJ144" s="15">
        <v>5.77</v>
      </c>
      <c r="AK144" s="15">
        <v>4</v>
      </c>
      <c r="AL144" s="15">
        <v>5.77</v>
      </c>
      <c r="AM144" s="15">
        <v>0</v>
      </c>
      <c r="AN144" s="15"/>
      <c r="AO144" s="15">
        <v>0</v>
      </c>
      <c r="AP144" s="15">
        <v>5.77</v>
      </c>
      <c r="AQ144" s="15">
        <v>0</v>
      </c>
      <c r="AR144" s="15">
        <v>0</v>
      </c>
      <c r="AS144" s="15">
        <v>0</v>
      </c>
      <c r="AT144" s="15">
        <v>0</v>
      </c>
      <c r="AU144" s="15">
        <v>0</v>
      </c>
      <c r="AV144" s="15">
        <v>0</v>
      </c>
      <c r="AW144" s="15">
        <v>0</v>
      </c>
      <c r="AX144" s="15">
        <v>0</v>
      </c>
      <c r="AY144" s="15">
        <v>124</v>
      </c>
      <c r="AZ144" s="15">
        <v>63</v>
      </c>
      <c r="BA144" s="15">
        <v>62</v>
      </c>
      <c r="BB144" s="15">
        <v>0.98413</v>
      </c>
      <c r="BC144" s="15">
        <v>0</v>
      </c>
      <c r="BD144" s="15">
        <v>0</v>
      </c>
      <c r="BE144" s="15">
        <v>0.04313</v>
      </c>
      <c r="BF144" s="15">
        <v>57</v>
      </c>
      <c r="BG144" s="15">
        <v>2</v>
      </c>
      <c r="BH144" s="15">
        <v>0</v>
      </c>
      <c r="BI144" s="15"/>
      <c r="BJ144" s="15">
        <v>0</v>
      </c>
      <c r="BK144" s="15">
        <v>0</v>
      </c>
      <c r="BL144" s="15">
        <v>0</v>
      </c>
      <c r="BM144" s="15">
        <v>0</v>
      </c>
      <c r="BN144" s="15"/>
      <c r="BO144" s="15"/>
      <c r="BP144" s="15">
        <v>0.08</v>
      </c>
      <c r="BQ144" s="15">
        <v>1787</v>
      </c>
      <c r="BR144" s="15">
        <v>0</v>
      </c>
      <c r="BS144" s="15">
        <v>0</v>
      </c>
      <c r="BT144" s="15">
        <v>0</v>
      </c>
      <c r="BU144" s="15">
        <v>0</v>
      </c>
      <c r="BV144" s="15">
        <v>0</v>
      </c>
      <c r="BW144" s="15">
        <v>0</v>
      </c>
      <c r="BX144" s="15">
        <v>0</v>
      </c>
    </row>
    <row r="145" spans="1:76">
      <c r="A145" s="14" t="str">
        <f>VLOOKUP(C145,VLOOKUP!A:B,2,FALSE)</f>
        <v>天官赐福</v>
      </c>
      <c r="B145" s="16">
        <v>46073</v>
      </c>
      <c r="C145" s="17">
        <v>972494676240</v>
      </c>
      <c r="D145" s="15" t="s">
        <v>151</v>
      </c>
      <c r="E145" s="15" t="s">
        <v>160</v>
      </c>
      <c r="F145" s="15">
        <v>39</v>
      </c>
      <c r="G145" s="15">
        <v>3</v>
      </c>
      <c r="H145" s="15">
        <v>1.13</v>
      </c>
      <c r="I145" s="15">
        <v>0.07692</v>
      </c>
      <c r="J145" s="15">
        <v>0.38</v>
      </c>
      <c r="K145" s="15">
        <v>28.97</v>
      </c>
      <c r="L145" s="15">
        <v>0</v>
      </c>
      <c r="M145" s="15">
        <v>0</v>
      </c>
      <c r="N145" s="15">
        <v>0</v>
      </c>
      <c r="O145" s="15">
        <v>0</v>
      </c>
      <c r="P145" s="15">
        <v>0</v>
      </c>
      <c r="Q145" s="15">
        <v>0</v>
      </c>
      <c r="R145" s="15">
        <v>0</v>
      </c>
      <c r="S145" s="15">
        <v>0</v>
      </c>
      <c r="T145" s="15">
        <v>0</v>
      </c>
      <c r="U145" s="15">
        <v>0</v>
      </c>
      <c r="V145" s="15">
        <v>0</v>
      </c>
      <c r="W145" s="15">
        <v>0</v>
      </c>
      <c r="X145" s="15">
        <v>0</v>
      </c>
      <c r="Y145" s="15">
        <v>0</v>
      </c>
      <c r="Z145" s="15">
        <v>0</v>
      </c>
      <c r="AA145" s="15"/>
      <c r="AB145" s="15">
        <v>0</v>
      </c>
      <c r="AC145" s="15">
        <v>0</v>
      </c>
      <c r="AD145" s="15">
        <v>0</v>
      </c>
      <c r="AE145" s="15">
        <v>0</v>
      </c>
      <c r="AF145" s="15">
        <v>0</v>
      </c>
      <c r="AG145" s="15">
        <v>0</v>
      </c>
      <c r="AH145" s="15"/>
      <c r="AI145" s="15">
        <v>0</v>
      </c>
      <c r="AJ145" s="15"/>
      <c r="AK145" s="15">
        <v>0</v>
      </c>
      <c r="AL145" s="15"/>
      <c r="AM145" s="15">
        <v>0</v>
      </c>
      <c r="AN145" s="15"/>
      <c r="AO145" s="15">
        <v>0</v>
      </c>
      <c r="AP145" s="15"/>
      <c r="AQ145" s="15">
        <v>0</v>
      </c>
      <c r="AR145" s="15">
        <v>0</v>
      </c>
      <c r="AS145" s="15">
        <v>0</v>
      </c>
      <c r="AT145" s="15">
        <v>0</v>
      </c>
      <c r="AU145" s="15">
        <v>0</v>
      </c>
      <c r="AV145" s="15">
        <v>0</v>
      </c>
      <c r="AW145" s="15">
        <v>0</v>
      </c>
      <c r="AX145" s="15">
        <v>0</v>
      </c>
      <c r="AY145" s="15">
        <v>3</v>
      </c>
      <c r="AZ145" s="15">
        <v>2</v>
      </c>
      <c r="BA145" s="15">
        <v>2</v>
      </c>
      <c r="BB145" s="15">
        <v>1</v>
      </c>
      <c r="BC145" s="15">
        <v>0</v>
      </c>
      <c r="BD145" s="15">
        <v>0</v>
      </c>
      <c r="BE145" s="15">
        <v>0.07692</v>
      </c>
      <c r="BF145" s="15">
        <v>0</v>
      </c>
      <c r="BG145" s="15">
        <v>2</v>
      </c>
      <c r="BH145" s="15">
        <v>0</v>
      </c>
      <c r="BI145" s="15"/>
      <c r="BJ145" s="15">
        <v>0</v>
      </c>
      <c r="BK145" s="15">
        <v>0</v>
      </c>
      <c r="BL145" s="15">
        <v>0</v>
      </c>
      <c r="BM145" s="15">
        <v>0</v>
      </c>
      <c r="BN145" s="15"/>
      <c r="BO145" s="15"/>
      <c r="BP145" s="15">
        <v>0</v>
      </c>
      <c r="BQ145" s="15">
        <v>0</v>
      </c>
      <c r="BR145" s="15">
        <v>0</v>
      </c>
      <c r="BS145" s="15">
        <v>0</v>
      </c>
      <c r="BT145" s="15">
        <v>0</v>
      </c>
      <c r="BU145" s="15">
        <v>0</v>
      </c>
      <c r="BV145" s="15">
        <v>0</v>
      </c>
      <c r="BW145" s="15">
        <v>0</v>
      </c>
      <c r="BX145" s="15">
        <v>0</v>
      </c>
    </row>
    <row r="146" spans="1:76">
      <c r="A146" s="14" t="str">
        <f>VLOOKUP(C146,VLOOKUP!A:B,2,FALSE)</f>
        <v>福到</v>
      </c>
      <c r="B146" s="16">
        <v>46073</v>
      </c>
      <c r="C146" s="17">
        <v>971856893567</v>
      </c>
      <c r="D146" s="15" t="s">
        <v>151</v>
      </c>
      <c r="E146" s="15" t="s">
        <v>152</v>
      </c>
      <c r="F146" s="15">
        <v>108</v>
      </c>
      <c r="G146" s="15">
        <v>2</v>
      </c>
      <c r="H146" s="15">
        <v>0.54</v>
      </c>
      <c r="I146" s="15">
        <v>0.01852</v>
      </c>
      <c r="J146" s="15">
        <v>0.27</v>
      </c>
      <c r="K146" s="15">
        <v>5</v>
      </c>
      <c r="L146" s="15">
        <v>0</v>
      </c>
      <c r="M146" s="15">
        <v>0</v>
      </c>
      <c r="N146" s="15">
        <v>0</v>
      </c>
      <c r="O146" s="15">
        <v>0</v>
      </c>
      <c r="P146" s="15">
        <v>0</v>
      </c>
      <c r="Q146" s="15">
        <v>0</v>
      </c>
      <c r="R146" s="15">
        <v>0</v>
      </c>
      <c r="S146" s="15">
        <v>0</v>
      </c>
      <c r="T146" s="15">
        <v>0</v>
      </c>
      <c r="U146" s="15">
        <v>0</v>
      </c>
      <c r="V146" s="15">
        <v>0</v>
      </c>
      <c r="W146" s="15">
        <v>0</v>
      </c>
      <c r="X146" s="15">
        <v>0</v>
      </c>
      <c r="Y146" s="15">
        <v>0</v>
      </c>
      <c r="Z146" s="15">
        <v>0</v>
      </c>
      <c r="AA146" s="15"/>
      <c r="AB146" s="15">
        <v>0</v>
      </c>
      <c r="AC146" s="15">
        <v>0</v>
      </c>
      <c r="AD146" s="15">
        <v>0</v>
      </c>
      <c r="AE146" s="15">
        <v>0</v>
      </c>
      <c r="AF146" s="15">
        <v>0</v>
      </c>
      <c r="AG146" s="15">
        <v>0</v>
      </c>
      <c r="AH146" s="15"/>
      <c r="AI146" s="15">
        <v>0</v>
      </c>
      <c r="AJ146" s="15"/>
      <c r="AK146" s="15">
        <v>0</v>
      </c>
      <c r="AL146" s="15"/>
      <c r="AM146" s="15">
        <v>0</v>
      </c>
      <c r="AN146" s="15"/>
      <c r="AO146" s="15">
        <v>0</v>
      </c>
      <c r="AP146" s="15"/>
      <c r="AQ146" s="15">
        <v>0</v>
      </c>
      <c r="AR146" s="15">
        <v>0</v>
      </c>
      <c r="AS146" s="15">
        <v>0</v>
      </c>
      <c r="AT146" s="15">
        <v>0</v>
      </c>
      <c r="AU146" s="15">
        <v>0</v>
      </c>
      <c r="AV146" s="15">
        <v>0</v>
      </c>
      <c r="AW146" s="15">
        <v>0</v>
      </c>
      <c r="AX146" s="15">
        <v>0</v>
      </c>
      <c r="AY146" s="15">
        <v>9</v>
      </c>
      <c r="AZ146" s="15">
        <v>2</v>
      </c>
      <c r="BA146" s="15">
        <v>2</v>
      </c>
      <c r="BB146" s="15">
        <v>1</v>
      </c>
      <c r="BC146" s="15">
        <v>0</v>
      </c>
      <c r="BD146" s="15">
        <v>0</v>
      </c>
      <c r="BE146" s="15">
        <v>0.08333</v>
      </c>
      <c r="BF146" s="15">
        <v>7</v>
      </c>
      <c r="BG146" s="15">
        <v>5</v>
      </c>
      <c r="BH146" s="15">
        <v>0</v>
      </c>
      <c r="BI146" s="15"/>
      <c r="BJ146" s="15">
        <v>0</v>
      </c>
      <c r="BK146" s="15">
        <v>0</v>
      </c>
      <c r="BL146" s="15">
        <v>0</v>
      </c>
      <c r="BM146" s="15">
        <v>0</v>
      </c>
      <c r="BN146" s="15"/>
      <c r="BO146" s="15"/>
      <c r="BP146" s="15">
        <v>0</v>
      </c>
      <c r="BQ146" s="15">
        <v>1</v>
      </c>
      <c r="BR146" s="15">
        <v>0</v>
      </c>
      <c r="BS146" s="15">
        <v>0</v>
      </c>
      <c r="BT146" s="15">
        <v>0</v>
      </c>
      <c r="BU146" s="15">
        <v>0</v>
      </c>
      <c r="BV146" s="15">
        <v>0</v>
      </c>
      <c r="BW146" s="15">
        <v>0</v>
      </c>
      <c r="BX146" s="15">
        <v>0</v>
      </c>
    </row>
    <row r="147" spans="1:76">
      <c r="A147" s="14" t="str">
        <f>VLOOKUP(C147,VLOOKUP!A:B,2,FALSE)</f>
        <v>如意盘香</v>
      </c>
      <c r="B147" s="16">
        <v>46073</v>
      </c>
      <c r="C147" s="17">
        <v>838711327669</v>
      </c>
      <c r="D147" s="15" t="s">
        <v>151</v>
      </c>
      <c r="E147" s="15" t="s">
        <v>158</v>
      </c>
      <c r="F147" s="15">
        <v>2063</v>
      </c>
      <c r="G147" s="15">
        <v>67</v>
      </c>
      <c r="H147" s="15">
        <v>75.43</v>
      </c>
      <c r="I147" s="15">
        <v>0.03248</v>
      </c>
      <c r="J147" s="15">
        <v>1.13</v>
      </c>
      <c r="K147" s="15">
        <v>36.56</v>
      </c>
      <c r="L147" s="15">
        <v>0</v>
      </c>
      <c r="M147" s="15">
        <v>0</v>
      </c>
      <c r="N147" s="15">
        <v>0</v>
      </c>
      <c r="O147" s="15">
        <v>0</v>
      </c>
      <c r="P147" s="15">
        <v>0</v>
      </c>
      <c r="Q147" s="15">
        <v>0</v>
      </c>
      <c r="R147" s="15">
        <v>0</v>
      </c>
      <c r="S147" s="15">
        <v>0</v>
      </c>
      <c r="T147" s="15">
        <v>0</v>
      </c>
      <c r="U147" s="15">
        <v>0</v>
      </c>
      <c r="V147" s="15">
        <v>0</v>
      </c>
      <c r="W147" s="15">
        <v>0</v>
      </c>
      <c r="X147" s="15">
        <v>0</v>
      </c>
      <c r="Y147" s="15">
        <v>0</v>
      </c>
      <c r="Z147" s="15">
        <v>0</v>
      </c>
      <c r="AA147" s="15"/>
      <c r="AB147" s="15">
        <v>5</v>
      </c>
      <c r="AC147" s="15">
        <v>0</v>
      </c>
      <c r="AD147" s="15">
        <v>5</v>
      </c>
      <c r="AE147" s="15">
        <v>0.07463</v>
      </c>
      <c r="AF147" s="15">
        <v>1</v>
      </c>
      <c r="AG147" s="15">
        <v>1</v>
      </c>
      <c r="AH147" s="15">
        <v>75.43</v>
      </c>
      <c r="AI147" s="15">
        <v>7</v>
      </c>
      <c r="AJ147" s="15">
        <v>10.78</v>
      </c>
      <c r="AK147" s="15">
        <v>6</v>
      </c>
      <c r="AL147" s="15">
        <v>12.57</v>
      </c>
      <c r="AM147" s="15">
        <v>2</v>
      </c>
      <c r="AN147" s="15">
        <v>75.43</v>
      </c>
      <c r="AO147" s="15">
        <v>0.01493</v>
      </c>
      <c r="AP147" s="15">
        <v>15.09</v>
      </c>
      <c r="AQ147" s="15">
        <v>0</v>
      </c>
      <c r="AR147" s="15">
        <v>0</v>
      </c>
      <c r="AS147" s="15">
        <v>1</v>
      </c>
      <c r="AT147" s="15">
        <v>0</v>
      </c>
      <c r="AU147" s="15">
        <v>0</v>
      </c>
      <c r="AV147" s="15">
        <v>0</v>
      </c>
      <c r="AW147" s="15">
        <v>0</v>
      </c>
      <c r="AX147" s="15">
        <v>0</v>
      </c>
      <c r="AY147" s="15">
        <v>134</v>
      </c>
      <c r="AZ147" s="15">
        <v>62</v>
      </c>
      <c r="BA147" s="15">
        <v>52</v>
      </c>
      <c r="BB147" s="15">
        <v>0.83871</v>
      </c>
      <c r="BC147" s="15">
        <v>0</v>
      </c>
      <c r="BD147" s="15">
        <v>0</v>
      </c>
      <c r="BE147" s="15">
        <v>0.06495</v>
      </c>
      <c r="BF147" s="15">
        <v>62</v>
      </c>
      <c r="BG147" s="15">
        <v>2</v>
      </c>
      <c r="BH147" s="15">
        <v>0</v>
      </c>
      <c r="BI147" s="15"/>
      <c r="BJ147" s="15">
        <v>0</v>
      </c>
      <c r="BK147" s="15">
        <v>0</v>
      </c>
      <c r="BL147" s="15">
        <v>0</v>
      </c>
      <c r="BM147" s="15">
        <v>0</v>
      </c>
      <c r="BN147" s="15"/>
      <c r="BO147" s="15"/>
      <c r="BP147" s="15">
        <v>0.55</v>
      </c>
      <c r="BQ147" s="15">
        <v>194</v>
      </c>
      <c r="BR147" s="15">
        <v>0</v>
      </c>
      <c r="BS147" s="15">
        <v>0</v>
      </c>
      <c r="BT147" s="15">
        <v>0</v>
      </c>
      <c r="BU147" s="15">
        <v>0</v>
      </c>
      <c r="BV147" s="15">
        <v>0</v>
      </c>
      <c r="BW147" s="15">
        <v>0</v>
      </c>
      <c r="BX147" s="15">
        <v>0</v>
      </c>
    </row>
    <row r="148" spans="1:76">
      <c r="A148" s="14" t="str">
        <f>VLOOKUP(C148,VLOOKUP!A:B,2,FALSE)</f>
        <v>福颜青</v>
      </c>
      <c r="B148" s="16">
        <v>46073</v>
      </c>
      <c r="C148" s="17">
        <v>833369552621</v>
      </c>
      <c r="D148" s="15" t="s">
        <v>151</v>
      </c>
      <c r="E148" s="15" t="s">
        <v>154</v>
      </c>
      <c r="F148" s="15">
        <v>2263</v>
      </c>
      <c r="G148" s="15">
        <v>45</v>
      </c>
      <c r="H148" s="15">
        <v>10.64</v>
      </c>
      <c r="I148" s="15">
        <v>0.01989</v>
      </c>
      <c r="J148" s="15">
        <v>0.24</v>
      </c>
      <c r="K148" s="15">
        <v>4.7</v>
      </c>
      <c r="L148" s="15">
        <v>0</v>
      </c>
      <c r="M148" s="15">
        <v>0</v>
      </c>
      <c r="N148" s="15">
        <v>0</v>
      </c>
      <c r="O148" s="15">
        <v>0</v>
      </c>
      <c r="P148" s="15">
        <v>0</v>
      </c>
      <c r="Q148" s="15">
        <v>0</v>
      </c>
      <c r="R148" s="15">
        <v>0</v>
      </c>
      <c r="S148" s="15">
        <v>0</v>
      </c>
      <c r="T148" s="15">
        <v>0</v>
      </c>
      <c r="U148" s="15">
        <v>0</v>
      </c>
      <c r="V148" s="15">
        <v>0</v>
      </c>
      <c r="W148" s="15">
        <v>0</v>
      </c>
      <c r="X148" s="15">
        <v>0</v>
      </c>
      <c r="Y148" s="15">
        <v>0</v>
      </c>
      <c r="Z148" s="15">
        <v>0</v>
      </c>
      <c r="AA148" s="15"/>
      <c r="AB148" s="15">
        <v>0</v>
      </c>
      <c r="AC148" s="15">
        <v>0</v>
      </c>
      <c r="AD148" s="15">
        <v>0</v>
      </c>
      <c r="AE148" s="15">
        <v>0</v>
      </c>
      <c r="AF148" s="15">
        <v>0</v>
      </c>
      <c r="AG148" s="15">
        <v>0</v>
      </c>
      <c r="AH148" s="15"/>
      <c r="AI148" s="15">
        <v>0</v>
      </c>
      <c r="AJ148" s="15"/>
      <c r="AK148" s="15">
        <v>0</v>
      </c>
      <c r="AL148" s="15"/>
      <c r="AM148" s="15">
        <v>0</v>
      </c>
      <c r="AN148" s="15"/>
      <c r="AO148" s="15">
        <v>0</v>
      </c>
      <c r="AP148" s="15"/>
      <c r="AQ148" s="15">
        <v>0</v>
      </c>
      <c r="AR148" s="15">
        <v>0</v>
      </c>
      <c r="AS148" s="15">
        <v>0</v>
      </c>
      <c r="AT148" s="15">
        <v>0</v>
      </c>
      <c r="AU148" s="15">
        <v>0</v>
      </c>
      <c r="AV148" s="15">
        <v>0</v>
      </c>
      <c r="AW148" s="15">
        <v>0</v>
      </c>
      <c r="AX148" s="15">
        <v>0</v>
      </c>
      <c r="AY148" s="15">
        <v>102</v>
      </c>
      <c r="AZ148" s="15">
        <v>39</v>
      </c>
      <c r="BA148" s="15">
        <v>36</v>
      </c>
      <c r="BB148" s="15">
        <v>0.92308</v>
      </c>
      <c r="BC148" s="15">
        <v>0</v>
      </c>
      <c r="BD148" s="15">
        <v>0</v>
      </c>
      <c r="BE148" s="15">
        <v>0.04507</v>
      </c>
      <c r="BF148" s="15">
        <v>62</v>
      </c>
      <c r="BG148" s="15">
        <v>3</v>
      </c>
      <c r="BH148" s="15">
        <v>0</v>
      </c>
      <c r="BI148" s="15"/>
      <c r="BJ148" s="15">
        <v>0</v>
      </c>
      <c r="BK148" s="15">
        <v>0</v>
      </c>
      <c r="BL148" s="15">
        <v>0</v>
      </c>
      <c r="BM148" s="15">
        <v>0</v>
      </c>
      <c r="BN148" s="15"/>
      <c r="BO148" s="15"/>
      <c r="BP148" s="15">
        <v>0</v>
      </c>
      <c r="BQ148" s="15">
        <v>3</v>
      </c>
      <c r="BR148" s="15">
        <v>0</v>
      </c>
      <c r="BS148" s="15">
        <v>0</v>
      </c>
      <c r="BT148" s="15">
        <v>0</v>
      </c>
      <c r="BU148" s="15">
        <v>0</v>
      </c>
      <c r="BV148" s="15">
        <v>0</v>
      </c>
      <c r="BW148" s="15">
        <v>0</v>
      </c>
      <c r="BX148" s="15">
        <v>0</v>
      </c>
    </row>
    <row r="149" spans="1:76">
      <c r="A149" s="14" t="str">
        <f>VLOOKUP(C149,VLOOKUP!A:B,2,FALSE)</f>
        <v>奇楠手串</v>
      </c>
      <c r="B149" s="16">
        <v>46073</v>
      </c>
      <c r="C149" s="17">
        <v>833035288991</v>
      </c>
      <c r="D149" s="15" t="s">
        <v>151</v>
      </c>
      <c r="E149" s="15" t="s">
        <v>159</v>
      </c>
      <c r="F149" s="15">
        <v>1709</v>
      </c>
      <c r="G149" s="15">
        <v>68</v>
      </c>
      <c r="H149" s="15">
        <v>22.69</v>
      </c>
      <c r="I149" s="15">
        <v>0.03979</v>
      </c>
      <c r="J149" s="15">
        <v>0.33</v>
      </c>
      <c r="K149" s="15">
        <v>13.28</v>
      </c>
      <c r="L149" s="15">
        <v>0</v>
      </c>
      <c r="M149" s="15">
        <v>0</v>
      </c>
      <c r="N149" s="15">
        <v>0</v>
      </c>
      <c r="O149" s="15">
        <v>0</v>
      </c>
      <c r="P149" s="15">
        <v>0</v>
      </c>
      <c r="Q149" s="15">
        <v>0</v>
      </c>
      <c r="R149" s="15">
        <v>0</v>
      </c>
      <c r="S149" s="15">
        <v>0</v>
      </c>
      <c r="T149" s="15">
        <v>0</v>
      </c>
      <c r="U149" s="15">
        <v>0</v>
      </c>
      <c r="V149" s="15">
        <v>0</v>
      </c>
      <c r="W149" s="15">
        <v>0</v>
      </c>
      <c r="X149" s="15">
        <v>0</v>
      </c>
      <c r="Y149" s="15">
        <v>0</v>
      </c>
      <c r="Z149" s="15">
        <v>0</v>
      </c>
      <c r="AA149" s="15"/>
      <c r="AB149" s="15">
        <v>1</v>
      </c>
      <c r="AC149" s="15">
        <v>1</v>
      </c>
      <c r="AD149" s="15">
        <v>0</v>
      </c>
      <c r="AE149" s="15">
        <v>0.01471</v>
      </c>
      <c r="AF149" s="15">
        <v>1</v>
      </c>
      <c r="AG149" s="15">
        <v>1</v>
      </c>
      <c r="AH149" s="15">
        <v>22.69</v>
      </c>
      <c r="AI149" s="15">
        <v>3</v>
      </c>
      <c r="AJ149" s="15">
        <v>7.56</v>
      </c>
      <c r="AK149" s="15">
        <v>2</v>
      </c>
      <c r="AL149" s="15">
        <v>11.35</v>
      </c>
      <c r="AM149" s="15">
        <v>2</v>
      </c>
      <c r="AN149" s="15">
        <v>22.69</v>
      </c>
      <c r="AO149" s="15">
        <v>0.01471</v>
      </c>
      <c r="AP149" s="15">
        <v>22.69</v>
      </c>
      <c r="AQ149" s="15">
        <v>0</v>
      </c>
      <c r="AR149" s="15">
        <v>0</v>
      </c>
      <c r="AS149" s="15">
        <v>1</v>
      </c>
      <c r="AT149" s="15">
        <v>0</v>
      </c>
      <c r="AU149" s="15">
        <v>0</v>
      </c>
      <c r="AV149" s="15">
        <v>0</v>
      </c>
      <c r="AW149" s="15">
        <v>0</v>
      </c>
      <c r="AX149" s="15">
        <v>0</v>
      </c>
      <c r="AY149" s="15">
        <v>130</v>
      </c>
      <c r="AZ149" s="15">
        <v>66</v>
      </c>
      <c r="BA149" s="15">
        <v>59</v>
      </c>
      <c r="BB149" s="15">
        <v>0.89394</v>
      </c>
      <c r="BC149" s="15">
        <v>0</v>
      </c>
      <c r="BD149" s="15">
        <v>0</v>
      </c>
      <c r="BE149" s="15">
        <v>0.07607</v>
      </c>
      <c r="BF149" s="15">
        <v>58</v>
      </c>
      <c r="BG149" s="15">
        <v>2</v>
      </c>
      <c r="BH149" s="15">
        <v>0</v>
      </c>
      <c r="BI149" s="15"/>
      <c r="BJ149" s="15">
        <v>0</v>
      </c>
      <c r="BK149" s="15">
        <v>0</v>
      </c>
      <c r="BL149" s="15">
        <v>0</v>
      </c>
      <c r="BM149" s="15">
        <v>0</v>
      </c>
      <c r="BN149" s="15"/>
      <c r="BO149" s="15"/>
      <c r="BP149" s="15">
        <v>0</v>
      </c>
      <c r="BQ149" s="15">
        <v>814</v>
      </c>
      <c r="BR149" s="15">
        <v>0</v>
      </c>
      <c r="BS149" s="15">
        <v>0</v>
      </c>
      <c r="BT149" s="15">
        <v>0</v>
      </c>
      <c r="BU149" s="15">
        <v>0</v>
      </c>
      <c r="BV149" s="15">
        <v>0</v>
      </c>
      <c r="BW149" s="15">
        <v>0</v>
      </c>
      <c r="BX149" s="15">
        <v>0</v>
      </c>
    </row>
    <row r="150" spans="1:76">
      <c r="A150" s="14" t="str">
        <f>VLOOKUP(C150,VLOOKUP!A:B,2,FALSE)</f>
        <v>天官赐福</v>
      </c>
      <c r="B150" s="16">
        <v>46072</v>
      </c>
      <c r="C150" s="17">
        <v>972494676240</v>
      </c>
      <c r="D150" s="15" t="s">
        <v>151</v>
      </c>
      <c r="E150" s="15" t="s">
        <v>160</v>
      </c>
      <c r="F150" s="15">
        <v>49</v>
      </c>
      <c r="G150" s="15">
        <v>0</v>
      </c>
      <c r="H150" s="15">
        <v>0</v>
      </c>
      <c r="I150" s="15">
        <v>0</v>
      </c>
      <c r="J150" s="15"/>
      <c r="K150" s="15">
        <v>0</v>
      </c>
      <c r="L150" s="15">
        <v>0</v>
      </c>
      <c r="M150" s="15">
        <v>0</v>
      </c>
      <c r="N150" s="15">
        <v>0</v>
      </c>
      <c r="O150" s="15">
        <v>0</v>
      </c>
      <c r="P150" s="15">
        <v>0</v>
      </c>
      <c r="Q150" s="15">
        <v>0</v>
      </c>
      <c r="R150" s="15">
        <v>0</v>
      </c>
      <c r="S150" s="15">
        <v>0</v>
      </c>
      <c r="T150" s="15">
        <v>0</v>
      </c>
      <c r="U150" s="15">
        <v>0</v>
      </c>
      <c r="V150" s="15">
        <v>0</v>
      </c>
      <c r="W150" s="15">
        <v>0</v>
      </c>
      <c r="X150" s="15"/>
      <c r="Y150" s="15"/>
      <c r="Z150" s="15"/>
      <c r="AA150" s="15"/>
      <c r="AB150" s="15">
        <v>0</v>
      </c>
      <c r="AC150" s="15">
        <v>0</v>
      </c>
      <c r="AD150" s="15">
        <v>0</v>
      </c>
      <c r="AE150" s="15"/>
      <c r="AF150" s="15">
        <v>0</v>
      </c>
      <c r="AG150" s="15">
        <v>0</v>
      </c>
      <c r="AH150" s="15"/>
      <c r="AI150" s="15">
        <v>0</v>
      </c>
      <c r="AJ150" s="15"/>
      <c r="AK150" s="15">
        <v>0</v>
      </c>
      <c r="AL150" s="15"/>
      <c r="AM150" s="15">
        <v>0</v>
      </c>
      <c r="AN150" s="15"/>
      <c r="AO150" s="15"/>
      <c r="AP150" s="15"/>
      <c r="AQ150" s="15">
        <v>0</v>
      </c>
      <c r="AR150" s="15">
        <v>0</v>
      </c>
      <c r="AS150" s="15">
        <v>0</v>
      </c>
      <c r="AT150" s="15">
        <v>0</v>
      </c>
      <c r="AU150" s="15">
        <v>0</v>
      </c>
      <c r="AV150" s="15">
        <v>0</v>
      </c>
      <c r="AW150" s="15">
        <v>0</v>
      </c>
      <c r="AX150" s="15">
        <v>0</v>
      </c>
      <c r="AY150" s="15">
        <v>0</v>
      </c>
      <c r="AZ150" s="15">
        <v>0</v>
      </c>
      <c r="BA150" s="15">
        <v>0</v>
      </c>
      <c r="BB150" s="15"/>
      <c r="BC150" s="15"/>
      <c r="BD150" s="15">
        <v>0</v>
      </c>
      <c r="BE150" s="15">
        <v>0</v>
      </c>
      <c r="BF150" s="15">
        <v>0</v>
      </c>
      <c r="BG150" s="15"/>
      <c r="BH150" s="15">
        <v>0</v>
      </c>
      <c r="BI150" s="15"/>
      <c r="BJ150" s="15">
        <v>0</v>
      </c>
      <c r="BK150" s="15">
        <v>0</v>
      </c>
      <c r="BL150" s="15">
        <v>0</v>
      </c>
      <c r="BM150" s="15">
        <v>0</v>
      </c>
      <c r="BN150" s="15"/>
      <c r="BO150" s="15"/>
      <c r="BP150" s="15">
        <v>0</v>
      </c>
      <c r="BQ150" s="15">
        <v>0</v>
      </c>
      <c r="BR150" s="15">
        <v>0</v>
      </c>
      <c r="BS150" s="15">
        <v>0</v>
      </c>
      <c r="BT150" s="15">
        <v>0</v>
      </c>
      <c r="BU150" s="15">
        <v>0</v>
      </c>
      <c r="BV150" s="15">
        <v>0</v>
      </c>
      <c r="BW150" s="15">
        <v>0</v>
      </c>
      <c r="BX150" s="15">
        <v>0</v>
      </c>
    </row>
    <row r="151" spans="1:76">
      <c r="A151" s="14" t="str">
        <f>VLOOKUP(C151,VLOOKUP!A:B,2,FALSE)</f>
        <v>福到</v>
      </c>
      <c r="B151" s="16">
        <v>46072</v>
      </c>
      <c r="C151" s="17">
        <v>971856893567</v>
      </c>
      <c r="D151" s="15" t="s">
        <v>151</v>
      </c>
      <c r="E151" s="15" t="s">
        <v>152</v>
      </c>
      <c r="F151" s="15">
        <v>94</v>
      </c>
      <c r="G151" s="15">
        <v>4</v>
      </c>
      <c r="H151" s="15">
        <v>1.11</v>
      </c>
      <c r="I151" s="15">
        <v>0.04255</v>
      </c>
      <c r="J151" s="15">
        <v>0.28</v>
      </c>
      <c r="K151" s="15">
        <v>11.81</v>
      </c>
      <c r="L151" s="15">
        <v>0</v>
      </c>
      <c r="M151" s="15">
        <v>0</v>
      </c>
      <c r="N151" s="15">
        <v>0</v>
      </c>
      <c r="O151" s="15">
        <v>0</v>
      </c>
      <c r="P151" s="15">
        <v>0</v>
      </c>
      <c r="Q151" s="15">
        <v>0</v>
      </c>
      <c r="R151" s="15">
        <v>0</v>
      </c>
      <c r="S151" s="15">
        <v>0</v>
      </c>
      <c r="T151" s="15">
        <v>0</v>
      </c>
      <c r="U151" s="15">
        <v>0</v>
      </c>
      <c r="V151" s="15">
        <v>0</v>
      </c>
      <c r="W151" s="15">
        <v>0</v>
      </c>
      <c r="X151" s="15">
        <v>0</v>
      </c>
      <c r="Y151" s="15">
        <v>0</v>
      </c>
      <c r="Z151" s="15">
        <v>0</v>
      </c>
      <c r="AA151" s="15"/>
      <c r="AB151" s="15">
        <v>0</v>
      </c>
      <c r="AC151" s="15">
        <v>0</v>
      </c>
      <c r="AD151" s="15">
        <v>0</v>
      </c>
      <c r="AE151" s="15">
        <v>0</v>
      </c>
      <c r="AF151" s="15">
        <v>0</v>
      </c>
      <c r="AG151" s="15">
        <v>0</v>
      </c>
      <c r="AH151" s="15"/>
      <c r="AI151" s="15">
        <v>0</v>
      </c>
      <c r="AJ151" s="15"/>
      <c r="AK151" s="15">
        <v>0</v>
      </c>
      <c r="AL151" s="15"/>
      <c r="AM151" s="15">
        <v>0</v>
      </c>
      <c r="AN151" s="15"/>
      <c r="AO151" s="15">
        <v>0</v>
      </c>
      <c r="AP151" s="15"/>
      <c r="AQ151" s="15">
        <v>0</v>
      </c>
      <c r="AR151" s="15">
        <v>0</v>
      </c>
      <c r="AS151" s="15">
        <v>0</v>
      </c>
      <c r="AT151" s="15">
        <v>0</v>
      </c>
      <c r="AU151" s="15">
        <v>0</v>
      </c>
      <c r="AV151" s="15">
        <v>0</v>
      </c>
      <c r="AW151" s="15">
        <v>0</v>
      </c>
      <c r="AX151" s="15">
        <v>0</v>
      </c>
      <c r="AY151" s="15">
        <v>4</v>
      </c>
      <c r="AZ151" s="15">
        <v>4</v>
      </c>
      <c r="BA151" s="15">
        <v>4</v>
      </c>
      <c r="BB151" s="15">
        <v>1</v>
      </c>
      <c r="BC151" s="15">
        <v>0</v>
      </c>
      <c r="BD151" s="15">
        <v>0</v>
      </c>
      <c r="BE151" s="15">
        <v>0.04255</v>
      </c>
      <c r="BF151" s="15">
        <v>0</v>
      </c>
      <c r="BG151" s="15">
        <v>1</v>
      </c>
      <c r="BH151" s="15">
        <v>0</v>
      </c>
      <c r="BI151" s="15"/>
      <c r="BJ151" s="15">
        <v>0</v>
      </c>
      <c r="BK151" s="15">
        <v>0</v>
      </c>
      <c r="BL151" s="15">
        <v>0</v>
      </c>
      <c r="BM151" s="15">
        <v>0</v>
      </c>
      <c r="BN151" s="15"/>
      <c r="BO151" s="15"/>
      <c r="BP151" s="15">
        <v>0</v>
      </c>
      <c r="BQ151" s="15">
        <v>0</v>
      </c>
      <c r="BR151" s="15">
        <v>0</v>
      </c>
      <c r="BS151" s="15">
        <v>0</v>
      </c>
      <c r="BT151" s="15">
        <v>0</v>
      </c>
      <c r="BU151" s="15">
        <v>0</v>
      </c>
      <c r="BV151" s="15">
        <v>0</v>
      </c>
      <c r="BW151" s="15">
        <v>0</v>
      </c>
      <c r="BX151" s="15">
        <v>0</v>
      </c>
    </row>
    <row r="152" spans="1:76">
      <c r="A152" s="14" t="str">
        <f>VLOOKUP(C152,VLOOKUP!A:B,2,FALSE)</f>
        <v>如意盘香</v>
      </c>
      <c r="B152" s="16">
        <v>46072</v>
      </c>
      <c r="C152" s="17">
        <v>838711327669</v>
      </c>
      <c r="D152" s="15" t="s">
        <v>151</v>
      </c>
      <c r="E152" s="15" t="s">
        <v>158</v>
      </c>
      <c r="F152" s="15">
        <v>1280</v>
      </c>
      <c r="G152" s="15">
        <v>49</v>
      </c>
      <c r="H152" s="15">
        <v>72.84</v>
      </c>
      <c r="I152" s="15">
        <v>0.03828</v>
      </c>
      <c r="J152" s="15">
        <v>1.49</v>
      </c>
      <c r="K152" s="15">
        <v>56.91</v>
      </c>
      <c r="L152" s="15">
        <v>0</v>
      </c>
      <c r="M152" s="15">
        <v>0</v>
      </c>
      <c r="N152" s="15">
        <v>0</v>
      </c>
      <c r="O152" s="15">
        <v>0</v>
      </c>
      <c r="P152" s="15">
        <v>0</v>
      </c>
      <c r="Q152" s="15">
        <v>0</v>
      </c>
      <c r="R152" s="15">
        <v>0</v>
      </c>
      <c r="S152" s="15">
        <v>0</v>
      </c>
      <c r="T152" s="15">
        <v>0</v>
      </c>
      <c r="U152" s="15">
        <v>0</v>
      </c>
      <c r="V152" s="15">
        <v>0</v>
      </c>
      <c r="W152" s="15">
        <v>0</v>
      </c>
      <c r="X152" s="15">
        <v>0</v>
      </c>
      <c r="Y152" s="15">
        <v>0</v>
      </c>
      <c r="Z152" s="15">
        <v>0</v>
      </c>
      <c r="AA152" s="15"/>
      <c r="AB152" s="15">
        <v>4</v>
      </c>
      <c r="AC152" s="15">
        <v>1</v>
      </c>
      <c r="AD152" s="15">
        <v>3</v>
      </c>
      <c r="AE152" s="15">
        <v>0.08163</v>
      </c>
      <c r="AF152" s="15">
        <v>0</v>
      </c>
      <c r="AG152" s="15">
        <v>1</v>
      </c>
      <c r="AH152" s="15">
        <v>72.84</v>
      </c>
      <c r="AI152" s="15">
        <v>5</v>
      </c>
      <c r="AJ152" s="15">
        <v>14.57</v>
      </c>
      <c r="AK152" s="15">
        <v>4</v>
      </c>
      <c r="AL152" s="15">
        <v>18.21</v>
      </c>
      <c r="AM152" s="15">
        <v>1</v>
      </c>
      <c r="AN152" s="15"/>
      <c r="AO152" s="15">
        <v>0</v>
      </c>
      <c r="AP152" s="15">
        <v>18.21</v>
      </c>
      <c r="AQ152" s="15">
        <v>0</v>
      </c>
      <c r="AR152" s="15">
        <v>0</v>
      </c>
      <c r="AS152" s="15">
        <v>0</v>
      </c>
      <c r="AT152" s="15">
        <v>0</v>
      </c>
      <c r="AU152" s="15">
        <v>0</v>
      </c>
      <c r="AV152" s="15">
        <v>0</v>
      </c>
      <c r="AW152" s="15">
        <v>0</v>
      </c>
      <c r="AX152" s="15">
        <v>0</v>
      </c>
      <c r="AY152" s="15">
        <v>155</v>
      </c>
      <c r="AZ152" s="15">
        <v>46</v>
      </c>
      <c r="BA152" s="15">
        <v>39</v>
      </c>
      <c r="BB152" s="15">
        <v>0.84783</v>
      </c>
      <c r="BC152" s="15">
        <v>0</v>
      </c>
      <c r="BD152" s="15">
        <v>0</v>
      </c>
      <c r="BE152" s="15">
        <v>0.12109</v>
      </c>
      <c r="BF152" s="15">
        <v>106</v>
      </c>
      <c r="BG152" s="15">
        <v>3</v>
      </c>
      <c r="BH152" s="15">
        <v>0</v>
      </c>
      <c r="BI152" s="15"/>
      <c r="BJ152" s="15">
        <v>0</v>
      </c>
      <c r="BK152" s="15">
        <v>0</v>
      </c>
      <c r="BL152" s="15">
        <v>0</v>
      </c>
      <c r="BM152" s="15">
        <v>0</v>
      </c>
      <c r="BN152" s="15"/>
      <c r="BO152" s="15"/>
      <c r="BP152" s="15">
        <v>32.86</v>
      </c>
      <c r="BQ152" s="15">
        <v>206</v>
      </c>
      <c r="BR152" s="15">
        <v>0</v>
      </c>
      <c r="BS152" s="15">
        <v>0</v>
      </c>
      <c r="BT152" s="15">
        <v>0</v>
      </c>
      <c r="BU152" s="15">
        <v>0</v>
      </c>
      <c r="BV152" s="15">
        <v>0</v>
      </c>
      <c r="BW152" s="15">
        <v>0</v>
      </c>
      <c r="BX152" s="15">
        <v>0</v>
      </c>
    </row>
    <row r="153" spans="1:76">
      <c r="A153" s="14" t="str">
        <f>VLOOKUP(C153,VLOOKUP!A:B,2,FALSE)</f>
        <v>福颜青</v>
      </c>
      <c r="B153" s="16">
        <v>46072</v>
      </c>
      <c r="C153" s="17">
        <v>833369552621</v>
      </c>
      <c r="D153" s="15" t="s">
        <v>151</v>
      </c>
      <c r="E153" s="15" t="s">
        <v>154</v>
      </c>
      <c r="F153" s="15">
        <v>2737</v>
      </c>
      <c r="G153" s="15">
        <v>35</v>
      </c>
      <c r="H153" s="15">
        <v>8.81</v>
      </c>
      <c r="I153" s="15">
        <v>0.01279</v>
      </c>
      <c r="J153" s="15">
        <v>0.25</v>
      </c>
      <c r="K153" s="15">
        <v>3.22</v>
      </c>
      <c r="L153" s="15">
        <v>0</v>
      </c>
      <c r="M153" s="15">
        <v>0</v>
      </c>
      <c r="N153" s="15">
        <v>0</v>
      </c>
      <c r="O153" s="15">
        <v>0</v>
      </c>
      <c r="P153" s="15">
        <v>0</v>
      </c>
      <c r="Q153" s="15">
        <v>0</v>
      </c>
      <c r="R153" s="15">
        <v>0</v>
      </c>
      <c r="S153" s="15">
        <v>0</v>
      </c>
      <c r="T153" s="15">
        <v>0</v>
      </c>
      <c r="U153" s="15">
        <v>0</v>
      </c>
      <c r="V153" s="15">
        <v>0</v>
      </c>
      <c r="W153" s="15">
        <v>0</v>
      </c>
      <c r="X153" s="15">
        <v>0</v>
      </c>
      <c r="Y153" s="15">
        <v>0</v>
      </c>
      <c r="Z153" s="15">
        <v>0</v>
      </c>
      <c r="AA153" s="15"/>
      <c r="AB153" s="15">
        <v>0</v>
      </c>
      <c r="AC153" s="15">
        <v>0</v>
      </c>
      <c r="AD153" s="15">
        <v>0</v>
      </c>
      <c r="AE153" s="15">
        <v>0</v>
      </c>
      <c r="AF153" s="15">
        <v>0</v>
      </c>
      <c r="AG153" s="15">
        <v>0</v>
      </c>
      <c r="AH153" s="15"/>
      <c r="AI153" s="15">
        <v>0</v>
      </c>
      <c r="AJ153" s="15"/>
      <c r="AK153" s="15">
        <v>0</v>
      </c>
      <c r="AL153" s="15"/>
      <c r="AM153" s="15">
        <v>0</v>
      </c>
      <c r="AN153" s="15"/>
      <c r="AO153" s="15">
        <v>0</v>
      </c>
      <c r="AP153" s="15"/>
      <c r="AQ153" s="15">
        <v>0</v>
      </c>
      <c r="AR153" s="15">
        <v>0</v>
      </c>
      <c r="AS153" s="15">
        <v>0</v>
      </c>
      <c r="AT153" s="15">
        <v>0</v>
      </c>
      <c r="AU153" s="15">
        <v>0</v>
      </c>
      <c r="AV153" s="15">
        <v>0</v>
      </c>
      <c r="AW153" s="15">
        <v>0</v>
      </c>
      <c r="AX153" s="15">
        <v>0</v>
      </c>
      <c r="AY153" s="15">
        <v>56</v>
      </c>
      <c r="AZ153" s="15">
        <v>41</v>
      </c>
      <c r="BA153" s="15">
        <v>38</v>
      </c>
      <c r="BB153" s="15">
        <v>0.92683</v>
      </c>
      <c r="BC153" s="15">
        <v>0</v>
      </c>
      <c r="BD153" s="15">
        <v>0</v>
      </c>
      <c r="BE153" s="15">
        <v>0.02046</v>
      </c>
      <c r="BF153" s="15">
        <v>14</v>
      </c>
      <c r="BG153" s="15">
        <v>1</v>
      </c>
      <c r="BH153" s="15">
        <v>0</v>
      </c>
      <c r="BI153" s="15"/>
      <c r="BJ153" s="15">
        <v>0</v>
      </c>
      <c r="BK153" s="15">
        <v>0</v>
      </c>
      <c r="BL153" s="15">
        <v>0</v>
      </c>
      <c r="BM153" s="15">
        <v>0</v>
      </c>
      <c r="BN153" s="15"/>
      <c r="BO153" s="15"/>
      <c r="BP153" s="15">
        <v>0</v>
      </c>
      <c r="BQ153" s="15">
        <v>1</v>
      </c>
      <c r="BR153" s="15">
        <v>0</v>
      </c>
      <c r="BS153" s="15">
        <v>0</v>
      </c>
      <c r="BT153" s="15">
        <v>0</v>
      </c>
      <c r="BU153" s="15">
        <v>0</v>
      </c>
      <c r="BV153" s="15">
        <v>0</v>
      </c>
      <c r="BW153" s="15">
        <v>0</v>
      </c>
      <c r="BX153" s="15">
        <v>0</v>
      </c>
    </row>
    <row r="154" spans="1:76">
      <c r="A154" s="14" t="str">
        <f>VLOOKUP(C154,VLOOKUP!A:B,2,FALSE)</f>
        <v>奇楠手串</v>
      </c>
      <c r="B154" s="16">
        <v>46072</v>
      </c>
      <c r="C154" s="17">
        <v>833035288991</v>
      </c>
      <c r="D154" s="15" t="s">
        <v>151</v>
      </c>
      <c r="E154" s="15" t="s">
        <v>159</v>
      </c>
      <c r="F154" s="15">
        <v>2389</v>
      </c>
      <c r="G154" s="15">
        <v>77</v>
      </c>
      <c r="H154" s="15">
        <v>24.94</v>
      </c>
      <c r="I154" s="15">
        <v>0.03223</v>
      </c>
      <c r="J154" s="15">
        <v>0.32</v>
      </c>
      <c r="K154" s="15">
        <v>10.44</v>
      </c>
      <c r="L154" s="15">
        <v>0</v>
      </c>
      <c r="M154" s="15">
        <v>0</v>
      </c>
      <c r="N154" s="15">
        <v>0</v>
      </c>
      <c r="O154" s="15">
        <v>0</v>
      </c>
      <c r="P154" s="15">
        <v>0</v>
      </c>
      <c r="Q154" s="15">
        <v>0</v>
      </c>
      <c r="R154" s="15">
        <v>0</v>
      </c>
      <c r="S154" s="15">
        <v>0</v>
      </c>
      <c r="T154" s="15">
        <v>0</v>
      </c>
      <c r="U154" s="15">
        <v>0</v>
      </c>
      <c r="V154" s="15">
        <v>0</v>
      </c>
      <c r="W154" s="15">
        <v>0</v>
      </c>
      <c r="X154" s="15">
        <v>0</v>
      </c>
      <c r="Y154" s="15">
        <v>0</v>
      </c>
      <c r="Z154" s="15">
        <v>0</v>
      </c>
      <c r="AA154" s="15"/>
      <c r="AB154" s="15">
        <v>0</v>
      </c>
      <c r="AC154" s="15">
        <v>0</v>
      </c>
      <c r="AD154" s="15">
        <v>0</v>
      </c>
      <c r="AE154" s="15">
        <v>0</v>
      </c>
      <c r="AF154" s="15">
        <v>1</v>
      </c>
      <c r="AG154" s="15">
        <v>0</v>
      </c>
      <c r="AH154" s="15"/>
      <c r="AI154" s="15">
        <v>1</v>
      </c>
      <c r="AJ154" s="15">
        <v>24.94</v>
      </c>
      <c r="AK154" s="15">
        <v>1</v>
      </c>
      <c r="AL154" s="15">
        <v>24.94</v>
      </c>
      <c r="AM154" s="15">
        <v>1</v>
      </c>
      <c r="AN154" s="15">
        <v>24.94</v>
      </c>
      <c r="AO154" s="15">
        <v>0.01299</v>
      </c>
      <c r="AP154" s="15"/>
      <c r="AQ154" s="15">
        <v>0</v>
      </c>
      <c r="AR154" s="15">
        <v>0</v>
      </c>
      <c r="AS154" s="15">
        <v>1</v>
      </c>
      <c r="AT154" s="15">
        <v>0</v>
      </c>
      <c r="AU154" s="15">
        <v>0</v>
      </c>
      <c r="AV154" s="15">
        <v>0</v>
      </c>
      <c r="AW154" s="15">
        <v>0</v>
      </c>
      <c r="AX154" s="15">
        <v>0</v>
      </c>
      <c r="AY154" s="15">
        <v>155</v>
      </c>
      <c r="AZ154" s="15">
        <v>76</v>
      </c>
      <c r="BA154" s="15">
        <v>71</v>
      </c>
      <c r="BB154" s="15">
        <v>0.93421</v>
      </c>
      <c r="BC154" s="15">
        <v>0</v>
      </c>
      <c r="BD154" s="15">
        <v>0</v>
      </c>
      <c r="BE154" s="15">
        <v>0.06488</v>
      </c>
      <c r="BF154" s="15">
        <v>71</v>
      </c>
      <c r="BG154" s="15">
        <v>2</v>
      </c>
      <c r="BH154" s="15">
        <v>0</v>
      </c>
      <c r="BI154" s="15"/>
      <c r="BJ154" s="15">
        <v>0</v>
      </c>
      <c r="BK154" s="15">
        <v>0</v>
      </c>
      <c r="BL154" s="15">
        <v>0</v>
      </c>
      <c r="BM154" s="15">
        <v>0</v>
      </c>
      <c r="BN154" s="15"/>
      <c r="BO154" s="15"/>
      <c r="BP154" s="15">
        <v>0</v>
      </c>
      <c r="BQ154" s="15">
        <v>392</v>
      </c>
      <c r="BR154" s="15">
        <v>0</v>
      </c>
      <c r="BS154" s="15">
        <v>0</v>
      </c>
      <c r="BT154" s="15">
        <v>0</v>
      </c>
      <c r="BU154" s="15">
        <v>0</v>
      </c>
      <c r="BV154" s="15">
        <v>0</v>
      </c>
      <c r="BW154" s="15">
        <v>0</v>
      </c>
      <c r="BX154" s="15">
        <v>0</v>
      </c>
    </row>
    <row r="155" spans="1:76">
      <c r="A155" s="14" t="str">
        <f>VLOOKUP(C155,VLOOKUP!A:B,2,FALSE)</f>
        <v>天官赐福</v>
      </c>
      <c r="B155" s="16">
        <v>46071</v>
      </c>
      <c r="C155" s="17">
        <v>972494676240</v>
      </c>
      <c r="D155" s="15" t="s">
        <v>151</v>
      </c>
      <c r="E155" s="15" t="s">
        <v>160</v>
      </c>
      <c r="F155" s="15">
        <v>15</v>
      </c>
      <c r="G155" s="15">
        <v>2</v>
      </c>
      <c r="H155" s="15">
        <v>0.76</v>
      </c>
      <c r="I155" s="15">
        <v>0.13333</v>
      </c>
      <c r="J155" s="15">
        <v>0.38</v>
      </c>
      <c r="K155" s="15">
        <v>50.67</v>
      </c>
      <c r="L155" s="15">
        <v>0</v>
      </c>
      <c r="M155" s="15">
        <v>0</v>
      </c>
      <c r="N155" s="15">
        <v>0</v>
      </c>
      <c r="O155" s="15">
        <v>0</v>
      </c>
      <c r="P155" s="15">
        <v>0</v>
      </c>
      <c r="Q155" s="15">
        <v>0</v>
      </c>
      <c r="R155" s="15">
        <v>0</v>
      </c>
      <c r="S155" s="15">
        <v>0</v>
      </c>
      <c r="T155" s="15">
        <v>0</v>
      </c>
      <c r="U155" s="15">
        <v>0</v>
      </c>
      <c r="V155" s="15">
        <v>0</v>
      </c>
      <c r="W155" s="15">
        <v>0</v>
      </c>
      <c r="X155" s="15">
        <v>0</v>
      </c>
      <c r="Y155" s="15">
        <v>0</v>
      </c>
      <c r="Z155" s="15">
        <v>0</v>
      </c>
      <c r="AA155" s="15"/>
      <c r="AB155" s="15">
        <v>0</v>
      </c>
      <c r="AC155" s="15">
        <v>0</v>
      </c>
      <c r="AD155" s="15">
        <v>0</v>
      </c>
      <c r="AE155" s="15">
        <v>0</v>
      </c>
      <c r="AF155" s="15">
        <v>1</v>
      </c>
      <c r="AG155" s="15">
        <v>1</v>
      </c>
      <c r="AH155" s="15">
        <v>0.76</v>
      </c>
      <c r="AI155" s="15">
        <v>2</v>
      </c>
      <c r="AJ155" s="15">
        <v>0.38</v>
      </c>
      <c r="AK155" s="15">
        <v>1</v>
      </c>
      <c r="AL155" s="15">
        <v>0.76</v>
      </c>
      <c r="AM155" s="15">
        <v>2</v>
      </c>
      <c r="AN155" s="15">
        <v>0.76</v>
      </c>
      <c r="AO155" s="15">
        <v>0.5</v>
      </c>
      <c r="AP155" s="15"/>
      <c r="AQ155" s="15">
        <v>0</v>
      </c>
      <c r="AR155" s="15">
        <v>0</v>
      </c>
      <c r="AS155" s="15">
        <v>1</v>
      </c>
      <c r="AT155" s="15">
        <v>0</v>
      </c>
      <c r="AU155" s="15">
        <v>0</v>
      </c>
      <c r="AV155" s="15">
        <v>0</v>
      </c>
      <c r="AW155" s="15">
        <v>0</v>
      </c>
      <c r="AX155" s="15">
        <v>0</v>
      </c>
      <c r="AY155" s="15">
        <v>7</v>
      </c>
      <c r="AZ155" s="15">
        <v>2</v>
      </c>
      <c r="BA155" s="15">
        <v>2</v>
      </c>
      <c r="BB155" s="15">
        <v>1</v>
      </c>
      <c r="BC155" s="15">
        <v>0</v>
      </c>
      <c r="BD155" s="15">
        <v>0</v>
      </c>
      <c r="BE155" s="15">
        <v>0.46667</v>
      </c>
      <c r="BF155" s="15">
        <v>5</v>
      </c>
      <c r="BG155" s="15">
        <v>4</v>
      </c>
      <c r="BH155" s="15">
        <v>0</v>
      </c>
      <c r="BI155" s="15"/>
      <c r="BJ155" s="15">
        <v>0</v>
      </c>
      <c r="BK155" s="15">
        <v>0</v>
      </c>
      <c r="BL155" s="15">
        <v>0</v>
      </c>
      <c r="BM155" s="15">
        <v>0</v>
      </c>
      <c r="BN155" s="15"/>
      <c r="BO155" s="15"/>
      <c r="BP155" s="15">
        <v>0</v>
      </c>
      <c r="BQ155" s="15">
        <v>42</v>
      </c>
      <c r="BR155" s="15">
        <v>0</v>
      </c>
      <c r="BS155" s="15">
        <v>0</v>
      </c>
      <c r="BT155" s="15">
        <v>0</v>
      </c>
      <c r="BU155" s="15">
        <v>0</v>
      </c>
      <c r="BV155" s="15">
        <v>0</v>
      </c>
      <c r="BW155" s="15">
        <v>0</v>
      </c>
      <c r="BX155" s="15">
        <v>0</v>
      </c>
    </row>
    <row r="156" spans="1:76">
      <c r="A156" s="14" t="str">
        <f>VLOOKUP(C156,VLOOKUP!A:B,2,FALSE)</f>
        <v>福到</v>
      </c>
      <c r="B156" s="16">
        <v>46071</v>
      </c>
      <c r="C156" s="17">
        <v>971856893567</v>
      </c>
      <c r="D156" s="15" t="s">
        <v>151</v>
      </c>
      <c r="E156" s="15" t="s">
        <v>152</v>
      </c>
      <c r="F156" s="15">
        <v>103</v>
      </c>
      <c r="G156" s="15">
        <v>3</v>
      </c>
      <c r="H156" s="15">
        <v>0.84</v>
      </c>
      <c r="I156" s="15">
        <v>0.02913</v>
      </c>
      <c r="J156" s="15">
        <v>0.28</v>
      </c>
      <c r="K156" s="15">
        <v>8.16</v>
      </c>
      <c r="L156" s="15">
        <v>0</v>
      </c>
      <c r="M156" s="15">
        <v>0</v>
      </c>
      <c r="N156" s="15">
        <v>0</v>
      </c>
      <c r="O156" s="15">
        <v>0</v>
      </c>
      <c r="P156" s="15">
        <v>0</v>
      </c>
      <c r="Q156" s="15">
        <v>0</v>
      </c>
      <c r="R156" s="15">
        <v>0</v>
      </c>
      <c r="S156" s="15">
        <v>0</v>
      </c>
      <c r="T156" s="15">
        <v>0</v>
      </c>
      <c r="U156" s="15">
        <v>0</v>
      </c>
      <c r="V156" s="15">
        <v>0</v>
      </c>
      <c r="W156" s="15">
        <v>0</v>
      </c>
      <c r="X156" s="15">
        <v>0</v>
      </c>
      <c r="Y156" s="15">
        <v>0</v>
      </c>
      <c r="Z156" s="15">
        <v>0</v>
      </c>
      <c r="AA156" s="15"/>
      <c r="AB156" s="15">
        <v>0</v>
      </c>
      <c r="AC156" s="15">
        <v>0</v>
      </c>
      <c r="AD156" s="15">
        <v>0</v>
      </c>
      <c r="AE156" s="15">
        <v>0</v>
      </c>
      <c r="AF156" s="15">
        <v>1</v>
      </c>
      <c r="AG156" s="15">
        <v>0</v>
      </c>
      <c r="AH156" s="15"/>
      <c r="AI156" s="15">
        <v>1</v>
      </c>
      <c r="AJ156" s="15">
        <v>0.84</v>
      </c>
      <c r="AK156" s="15">
        <v>1</v>
      </c>
      <c r="AL156" s="15">
        <v>0.84</v>
      </c>
      <c r="AM156" s="15">
        <v>1</v>
      </c>
      <c r="AN156" s="15">
        <v>0.84</v>
      </c>
      <c r="AO156" s="15">
        <v>0.33333</v>
      </c>
      <c r="AP156" s="15"/>
      <c r="AQ156" s="15">
        <v>0</v>
      </c>
      <c r="AR156" s="15">
        <v>0</v>
      </c>
      <c r="AS156" s="15">
        <v>1</v>
      </c>
      <c r="AT156" s="15">
        <v>0</v>
      </c>
      <c r="AU156" s="15">
        <v>0</v>
      </c>
      <c r="AV156" s="15">
        <v>0</v>
      </c>
      <c r="AW156" s="15">
        <v>0</v>
      </c>
      <c r="AX156" s="15">
        <v>0</v>
      </c>
      <c r="AY156" s="15">
        <v>4</v>
      </c>
      <c r="AZ156" s="15">
        <v>2</v>
      </c>
      <c r="BA156" s="15">
        <v>2</v>
      </c>
      <c r="BB156" s="15">
        <v>1</v>
      </c>
      <c r="BC156" s="15">
        <v>0</v>
      </c>
      <c r="BD156" s="15">
        <v>0</v>
      </c>
      <c r="BE156" s="15">
        <v>0.03883</v>
      </c>
      <c r="BF156" s="15">
        <v>1</v>
      </c>
      <c r="BG156" s="15">
        <v>2</v>
      </c>
      <c r="BH156" s="15">
        <v>0</v>
      </c>
      <c r="BI156" s="15"/>
      <c r="BJ156" s="15">
        <v>0</v>
      </c>
      <c r="BK156" s="15">
        <v>0</v>
      </c>
      <c r="BL156" s="15">
        <v>0</v>
      </c>
      <c r="BM156" s="15">
        <v>0</v>
      </c>
      <c r="BN156" s="15"/>
      <c r="BO156" s="15"/>
      <c r="BP156" s="15">
        <v>0</v>
      </c>
      <c r="BQ156" s="15">
        <v>80</v>
      </c>
      <c r="BR156" s="15">
        <v>0</v>
      </c>
      <c r="BS156" s="15">
        <v>0</v>
      </c>
      <c r="BT156" s="15">
        <v>0</v>
      </c>
      <c r="BU156" s="15">
        <v>0</v>
      </c>
      <c r="BV156" s="15">
        <v>0</v>
      </c>
      <c r="BW156" s="15">
        <v>0</v>
      </c>
      <c r="BX156" s="15">
        <v>0</v>
      </c>
    </row>
    <row r="157" spans="1:76">
      <c r="A157" s="14" t="str">
        <f>VLOOKUP(C157,VLOOKUP!A:B,2,FALSE)</f>
        <v>如意盘香</v>
      </c>
      <c r="B157" s="16">
        <v>46071</v>
      </c>
      <c r="C157" s="17">
        <v>838711327669</v>
      </c>
      <c r="D157" s="15" t="s">
        <v>151</v>
      </c>
      <c r="E157" s="15" t="s">
        <v>158</v>
      </c>
      <c r="F157" s="15">
        <v>1473</v>
      </c>
      <c r="G157" s="15">
        <v>40</v>
      </c>
      <c r="H157" s="15">
        <v>67.43</v>
      </c>
      <c r="I157" s="15">
        <v>0.02716</v>
      </c>
      <c r="J157" s="15">
        <v>1.69</v>
      </c>
      <c r="K157" s="15">
        <v>45.78</v>
      </c>
      <c r="L157" s="15">
        <v>0</v>
      </c>
      <c r="M157" s="15">
        <v>0</v>
      </c>
      <c r="N157" s="15">
        <v>0</v>
      </c>
      <c r="O157" s="15">
        <v>0</v>
      </c>
      <c r="P157" s="15">
        <v>0</v>
      </c>
      <c r="Q157" s="15">
        <v>0</v>
      </c>
      <c r="R157" s="15">
        <v>0</v>
      </c>
      <c r="S157" s="15">
        <v>0</v>
      </c>
      <c r="T157" s="15">
        <v>0</v>
      </c>
      <c r="U157" s="15">
        <v>0</v>
      </c>
      <c r="V157" s="15">
        <v>0</v>
      </c>
      <c r="W157" s="15">
        <v>0</v>
      </c>
      <c r="X157" s="15">
        <v>0</v>
      </c>
      <c r="Y157" s="15">
        <v>0</v>
      </c>
      <c r="Z157" s="15">
        <v>0</v>
      </c>
      <c r="AA157" s="15"/>
      <c r="AB157" s="15">
        <v>0</v>
      </c>
      <c r="AC157" s="15">
        <v>0</v>
      </c>
      <c r="AD157" s="15">
        <v>0</v>
      </c>
      <c r="AE157" s="15">
        <v>0</v>
      </c>
      <c r="AF157" s="15">
        <v>2</v>
      </c>
      <c r="AG157" s="15">
        <v>0</v>
      </c>
      <c r="AH157" s="15"/>
      <c r="AI157" s="15">
        <v>2</v>
      </c>
      <c r="AJ157" s="15">
        <v>33.72</v>
      </c>
      <c r="AK157" s="15">
        <v>2</v>
      </c>
      <c r="AL157" s="15">
        <v>33.72</v>
      </c>
      <c r="AM157" s="15">
        <v>2</v>
      </c>
      <c r="AN157" s="15">
        <v>33.72</v>
      </c>
      <c r="AO157" s="15">
        <v>0.05</v>
      </c>
      <c r="AP157" s="15"/>
      <c r="AQ157" s="15">
        <v>0</v>
      </c>
      <c r="AR157" s="15">
        <v>0</v>
      </c>
      <c r="AS157" s="15">
        <v>0</v>
      </c>
      <c r="AT157" s="15">
        <v>2</v>
      </c>
      <c r="AU157" s="15">
        <v>0</v>
      </c>
      <c r="AV157" s="15">
        <v>0</v>
      </c>
      <c r="AW157" s="15">
        <v>0</v>
      </c>
      <c r="AX157" s="15">
        <v>0</v>
      </c>
      <c r="AY157" s="15">
        <v>83</v>
      </c>
      <c r="AZ157" s="15">
        <v>36</v>
      </c>
      <c r="BA157" s="15">
        <v>32</v>
      </c>
      <c r="BB157" s="15">
        <v>0.88889</v>
      </c>
      <c r="BC157" s="15">
        <v>0</v>
      </c>
      <c r="BD157" s="15">
        <v>0</v>
      </c>
      <c r="BE157" s="15">
        <v>0.05635</v>
      </c>
      <c r="BF157" s="15">
        <v>40</v>
      </c>
      <c r="BG157" s="15">
        <v>2</v>
      </c>
      <c r="BH157" s="15">
        <v>0</v>
      </c>
      <c r="BI157" s="15"/>
      <c r="BJ157" s="15">
        <v>0</v>
      </c>
      <c r="BK157" s="15">
        <v>0</v>
      </c>
      <c r="BL157" s="15">
        <v>0</v>
      </c>
      <c r="BM157" s="15">
        <v>0</v>
      </c>
      <c r="BN157" s="15"/>
      <c r="BO157" s="15"/>
      <c r="BP157" s="15">
        <v>0.16</v>
      </c>
      <c r="BQ157" s="15">
        <v>66</v>
      </c>
      <c r="BR157" s="15">
        <v>0</v>
      </c>
      <c r="BS157" s="15">
        <v>0</v>
      </c>
      <c r="BT157" s="15">
        <v>0</v>
      </c>
      <c r="BU157" s="15">
        <v>0</v>
      </c>
      <c r="BV157" s="15">
        <v>0</v>
      </c>
      <c r="BW157" s="15">
        <v>0</v>
      </c>
      <c r="BX157" s="15">
        <v>0</v>
      </c>
    </row>
    <row r="158" spans="1:76">
      <c r="A158" s="14" t="str">
        <f>VLOOKUP(C158,VLOOKUP!A:B,2,FALSE)</f>
        <v>福颜青</v>
      </c>
      <c r="B158" s="16">
        <v>46071</v>
      </c>
      <c r="C158" s="17">
        <v>833369552621</v>
      </c>
      <c r="D158" s="15" t="s">
        <v>151</v>
      </c>
      <c r="E158" s="15" t="s">
        <v>154</v>
      </c>
      <c r="F158" s="15">
        <v>2970</v>
      </c>
      <c r="G158" s="15">
        <v>35</v>
      </c>
      <c r="H158" s="15">
        <v>8.48</v>
      </c>
      <c r="I158" s="15">
        <v>0.01178</v>
      </c>
      <c r="J158" s="15">
        <v>0.24</v>
      </c>
      <c r="K158" s="15">
        <v>2.86</v>
      </c>
      <c r="L158" s="15">
        <v>0</v>
      </c>
      <c r="M158" s="15">
        <v>0</v>
      </c>
      <c r="N158" s="15">
        <v>0</v>
      </c>
      <c r="O158" s="15">
        <v>0</v>
      </c>
      <c r="P158" s="15">
        <v>0</v>
      </c>
      <c r="Q158" s="15">
        <v>0</v>
      </c>
      <c r="R158" s="15">
        <v>0</v>
      </c>
      <c r="S158" s="15">
        <v>0</v>
      </c>
      <c r="T158" s="15">
        <v>0</v>
      </c>
      <c r="U158" s="15">
        <v>0</v>
      </c>
      <c r="V158" s="15">
        <v>0</v>
      </c>
      <c r="W158" s="15">
        <v>0</v>
      </c>
      <c r="X158" s="15">
        <v>0</v>
      </c>
      <c r="Y158" s="15">
        <v>0</v>
      </c>
      <c r="Z158" s="15">
        <v>0</v>
      </c>
      <c r="AA158" s="15"/>
      <c r="AB158" s="15">
        <v>0</v>
      </c>
      <c r="AC158" s="15">
        <v>0</v>
      </c>
      <c r="AD158" s="15">
        <v>0</v>
      </c>
      <c r="AE158" s="15">
        <v>0</v>
      </c>
      <c r="AF158" s="15">
        <v>1</v>
      </c>
      <c r="AG158" s="15">
        <v>0</v>
      </c>
      <c r="AH158" s="15"/>
      <c r="AI158" s="15">
        <v>1</v>
      </c>
      <c r="AJ158" s="15">
        <v>8.48</v>
      </c>
      <c r="AK158" s="15">
        <v>1</v>
      </c>
      <c r="AL158" s="15">
        <v>8.48</v>
      </c>
      <c r="AM158" s="15">
        <v>1</v>
      </c>
      <c r="AN158" s="15">
        <v>8.48</v>
      </c>
      <c r="AO158" s="15">
        <v>0.02857</v>
      </c>
      <c r="AP158" s="15"/>
      <c r="AQ158" s="15">
        <v>0</v>
      </c>
      <c r="AR158" s="15">
        <v>0</v>
      </c>
      <c r="AS158" s="15">
        <v>1</v>
      </c>
      <c r="AT158" s="15">
        <v>0</v>
      </c>
      <c r="AU158" s="15">
        <v>0</v>
      </c>
      <c r="AV158" s="15">
        <v>0</v>
      </c>
      <c r="AW158" s="15">
        <v>0</v>
      </c>
      <c r="AX158" s="15">
        <v>0</v>
      </c>
      <c r="AY158" s="15">
        <v>57</v>
      </c>
      <c r="AZ158" s="15">
        <v>33</v>
      </c>
      <c r="BA158" s="15">
        <v>30</v>
      </c>
      <c r="BB158" s="15">
        <v>0.90909</v>
      </c>
      <c r="BC158" s="15">
        <v>0</v>
      </c>
      <c r="BD158" s="15">
        <v>0</v>
      </c>
      <c r="BE158" s="15">
        <v>0.01919</v>
      </c>
      <c r="BF158" s="15">
        <v>18</v>
      </c>
      <c r="BG158" s="15">
        <v>2</v>
      </c>
      <c r="BH158" s="15">
        <v>0</v>
      </c>
      <c r="BI158" s="15"/>
      <c r="BJ158" s="15">
        <v>0</v>
      </c>
      <c r="BK158" s="15">
        <v>0</v>
      </c>
      <c r="BL158" s="15">
        <v>0</v>
      </c>
      <c r="BM158" s="15">
        <v>0</v>
      </c>
      <c r="BN158" s="15"/>
      <c r="BO158" s="15"/>
      <c r="BP158" s="15">
        <v>0</v>
      </c>
      <c r="BQ158" s="15">
        <v>529</v>
      </c>
      <c r="BR158" s="15">
        <v>0</v>
      </c>
      <c r="BS158" s="15">
        <v>0</v>
      </c>
      <c r="BT158" s="15">
        <v>0</v>
      </c>
      <c r="BU158" s="15">
        <v>0</v>
      </c>
      <c r="BV158" s="15">
        <v>0</v>
      </c>
      <c r="BW158" s="15">
        <v>0</v>
      </c>
      <c r="BX158" s="15">
        <v>0</v>
      </c>
    </row>
    <row r="159" spans="1:76">
      <c r="A159" s="14" t="str">
        <f>VLOOKUP(C159,VLOOKUP!A:B,2,FALSE)</f>
        <v>奇楠手串</v>
      </c>
      <c r="B159" s="16">
        <v>46071</v>
      </c>
      <c r="C159" s="17">
        <v>833035288991</v>
      </c>
      <c r="D159" s="15" t="s">
        <v>151</v>
      </c>
      <c r="E159" s="15" t="s">
        <v>159</v>
      </c>
      <c r="F159" s="15">
        <v>1580</v>
      </c>
      <c r="G159" s="15">
        <v>74</v>
      </c>
      <c r="H159" s="15">
        <v>24.27</v>
      </c>
      <c r="I159" s="15">
        <v>0.04684</v>
      </c>
      <c r="J159" s="15">
        <v>0.33</v>
      </c>
      <c r="K159" s="15">
        <v>15.36</v>
      </c>
      <c r="L159" s="15">
        <v>0</v>
      </c>
      <c r="M159" s="15">
        <v>0</v>
      </c>
      <c r="N159" s="15">
        <v>0</v>
      </c>
      <c r="O159" s="15">
        <v>0</v>
      </c>
      <c r="P159" s="15">
        <v>0</v>
      </c>
      <c r="Q159" s="15">
        <v>0</v>
      </c>
      <c r="R159" s="15">
        <v>0</v>
      </c>
      <c r="S159" s="15">
        <v>0</v>
      </c>
      <c r="T159" s="15">
        <v>0</v>
      </c>
      <c r="U159" s="15">
        <v>0</v>
      </c>
      <c r="V159" s="15">
        <v>0</v>
      </c>
      <c r="W159" s="15">
        <v>0</v>
      </c>
      <c r="X159" s="15">
        <v>0</v>
      </c>
      <c r="Y159" s="15">
        <v>0</v>
      </c>
      <c r="Z159" s="15">
        <v>0</v>
      </c>
      <c r="AA159" s="15"/>
      <c r="AB159" s="15">
        <v>0</v>
      </c>
      <c r="AC159" s="15">
        <v>0</v>
      </c>
      <c r="AD159" s="15">
        <v>0</v>
      </c>
      <c r="AE159" s="15">
        <v>0</v>
      </c>
      <c r="AF159" s="15">
        <v>1</v>
      </c>
      <c r="AG159" s="15">
        <v>0</v>
      </c>
      <c r="AH159" s="15"/>
      <c r="AI159" s="15">
        <v>1</v>
      </c>
      <c r="AJ159" s="15">
        <v>24.27</v>
      </c>
      <c r="AK159" s="15">
        <v>1</v>
      </c>
      <c r="AL159" s="15">
        <v>24.27</v>
      </c>
      <c r="AM159" s="15">
        <v>1</v>
      </c>
      <c r="AN159" s="15">
        <v>24.27</v>
      </c>
      <c r="AO159" s="15">
        <v>0.01351</v>
      </c>
      <c r="AP159" s="15"/>
      <c r="AQ159" s="15">
        <v>0</v>
      </c>
      <c r="AR159" s="15">
        <v>0</v>
      </c>
      <c r="AS159" s="15">
        <v>1</v>
      </c>
      <c r="AT159" s="15">
        <v>0</v>
      </c>
      <c r="AU159" s="15">
        <v>0</v>
      </c>
      <c r="AV159" s="15">
        <v>0</v>
      </c>
      <c r="AW159" s="15">
        <v>0</v>
      </c>
      <c r="AX159" s="15">
        <v>0</v>
      </c>
      <c r="AY159" s="15">
        <v>133</v>
      </c>
      <c r="AZ159" s="15">
        <v>67</v>
      </c>
      <c r="BA159" s="15">
        <v>61</v>
      </c>
      <c r="BB159" s="15">
        <v>0.91045</v>
      </c>
      <c r="BC159" s="15">
        <v>0</v>
      </c>
      <c r="BD159" s="15">
        <v>0</v>
      </c>
      <c r="BE159" s="15">
        <v>0.08418</v>
      </c>
      <c r="BF159" s="15">
        <v>57</v>
      </c>
      <c r="BG159" s="15">
        <v>2</v>
      </c>
      <c r="BH159" s="15">
        <v>0</v>
      </c>
      <c r="BI159" s="15"/>
      <c r="BJ159" s="15">
        <v>0</v>
      </c>
      <c r="BK159" s="15">
        <v>0</v>
      </c>
      <c r="BL159" s="15">
        <v>0</v>
      </c>
      <c r="BM159" s="15">
        <v>0</v>
      </c>
      <c r="BN159" s="15"/>
      <c r="BO159" s="15"/>
      <c r="BP159" s="15">
        <v>0.08</v>
      </c>
      <c r="BQ159" s="15">
        <v>349</v>
      </c>
      <c r="BR159" s="15">
        <v>0</v>
      </c>
      <c r="BS159" s="15">
        <v>0</v>
      </c>
      <c r="BT159" s="15">
        <v>0</v>
      </c>
      <c r="BU159" s="15">
        <v>0</v>
      </c>
      <c r="BV159" s="15">
        <v>0</v>
      </c>
      <c r="BW159" s="15">
        <v>0</v>
      </c>
      <c r="BX159" s="15">
        <v>0</v>
      </c>
    </row>
    <row r="160" spans="1:76">
      <c r="A160" s="14" t="str">
        <f>VLOOKUP(C160,VLOOKUP!A:B,2,FALSE)</f>
        <v>天官赐福</v>
      </c>
      <c r="B160" s="16">
        <v>46070</v>
      </c>
      <c r="C160" s="17">
        <v>972494676240</v>
      </c>
      <c r="D160" s="15" t="s">
        <v>151</v>
      </c>
      <c r="E160" s="15" t="s">
        <v>160</v>
      </c>
      <c r="F160" s="15">
        <v>10</v>
      </c>
      <c r="G160" s="15">
        <v>1</v>
      </c>
      <c r="H160" s="15">
        <v>0.38</v>
      </c>
      <c r="I160" s="15">
        <v>0.1</v>
      </c>
      <c r="J160" s="15">
        <v>0.38</v>
      </c>
      <c r="K160" s="15">
        <v>38</v>
      </c>
      <c r="L160" s="15">
        <v>0</v>
      </c>
      <c r="M160" s="15">
        <v>0</v>
      </c>
      <c r="N160" s="15">
        <v>0</v>
      </c>
      <c r="O160" s="15">
        <v>0</v>
      </c>
      <c r="P160" s="15">
        <v>0</v>
      </c>
      <c r="Q160" s="15">
        <v>0</v>
      </c>
      <c r="R160" s="15">
        <v>0</v>
      </c>
      <c r="S160" s="15">
        <v>0</v>
      </c>
      <c r="T160" s="15">
        <v>0</v>
      </c>
      <c r="U160" s="15">
        <v>0</v>
      </c>
      <c r="V160" s="15">
        <v>0</v>
      </c>
      <c r="W160" s="15">
        <v>0</v>
      </c>
      <c r="X160" s="15">
        <v>0</v>
      </c>
      <c r="Y160" s="15">
        <v>0</v>
      </c>
      <c r="Z160" s="15">
        <v>0</v>
      </c>
      <c r="AA160" s="15"/>
      <c r="AB160" s="15">
        <v>0</v>
      </c>
      <c r="AC160" s="15">
        <v>0</v>
      </c>
      <c r="AD160" s="15">
        <v>0</v>
      </c>
      <c r="AE160" s="15">
        <v>0</v>
      </c>
      <c r="AF160" s="15">
        <v>0</v>
      </c>
      <c r="AG160" s="15">
        <v>0</v>
      </c>
      <c r="AH160" s="15"/>
      <c r="AI160" s="15">
        <v>0</v>
      </c>
      <c r="AJ160" s="15"/>
      <c r="AK160" s="15">
        <v>0</v>
      </c>
      <c r="AL160" s="15"/>
      <c r="AM160" s="15">
        <v>0</v>
      </c>
      <c r="AN160" s="15"/>
      <c r="AO160" s="15">
        <v>0</v>
      </c>
      <c r="AP160" s="15"/>
      <c r="AQ160" s="15">
        <v>0</v>
      </c>
      <c r="AR160" s="15">
        <v>0</v>
      </c>
      <c r="AS160" s="15">
        <v>0</v>
      </c>
      <c r="AT160" s="15">
        <v>0</v>
      </c>
      <c r="AU160" s="15">
        <v>0</v>
      </c>
      <c r="AV160" s="15">
        <v>0</v>
      </c>
      <c r="AW160" s="15">
        <v>0</v>
      </c>
      <c r="AX160" s="15">
        <v>0</v>
      </c>
      <c r="AY160" s="15">
        <v>1</v>
      </c>
      <c r="AZ160" s="15">
        <v>1</v>
      </c>
      <c r="BA160" s="15">
        <v>1</v>
      </c>
      <c r="BB160" s="15">
        <v>1</v>
      </c>
      <c r="BC160" s="15">
        <v>0</v>
      </c>
      <c r="BD160" s="15">
        <v>0</v>
      </c>
      <c r="BE160" s="15">
        <v>0.1</v>
      </c>
      <c r="BF160" s="15">
        <v>0</v>
      </c>
      <c r="BG160" s="15">
        <v>1</v>
      </c>
      <c r="BH160" s="15">
        <v>0</v>
      </c>
      <c r="BI160" s="15"/>
      <c r="BJ160" s="15">
        <v>0</v>
      </c>
      <c r="BK160" s="15">
        <v>0</v>
      </c>
      <c r="BL160" s="15">
        <v>0</v>
      </c>
      <c r="BM160" s="15">
        <v>0</v>
      </c>
      <c r="BN160" s="15"/>
      <c r="BO160" s="15"/>
      <c r="BP160" s="15">
        <v>0</v>
      </c>
      <c r="BQ160" s="15">
        <v>0</v>
      </c>
      <c r="BR160" s="15">
        <v>0</v>
      </c>
      <c r="BS160" s="15">
        <v>0</v>
      </c>
      <c r="BT160" s="15">
        <v>0</v>
      </c>
      <c r="BU160" s="15">
        <v>0</v>
      </c>
      <c r="BV160" s="15">
        <v>0</v>
      </c>
      <c r="BW160" s="15">
        <v>0</v>
      </c>
      <c r="BX160" s="15">
        <v>0</v>
      </c>
    </row>
    <row r="161" spans="1:76">
      <c r="A161" s="14" t="str">
        <f>VLOOKUP(C161,VLOOKUP!A:B,2,FALSE)</f>
        <v>福到</v>
      </c>
      <c r="B161" s="16">
        <v>46070</v>
      </c>
      <c r="C161" s="17">
        <v>971856893567</v>
      </c>
      <c r="D161" s="15" t="s">
        <v>151</v>
      </c>
      <c r="E161" s="15" t="s">
        <v>152</v>
      </c>
      <c r="F161" s="15">
        <v>72</v>
      </c>
      <c r="G161" s="15">
        <v>2</v>
      </c>
      <c r="H161" s="15">
        <v>0.52</v>
      </c>
      <c r="I161" s="15">
        <v>0.02778</v>
      </c>
      <c r="J161" s="15">
        <v>0.26</v>
      </c>
      <c r="K161" s="15">
        <v>7.22</v>
      </c>
      <c r="L161" s="15">
        <v>0</v>
      </c>
      <c r="M161" s="15">
        <v>0</v>
      </c>
      <c r="N161" s="15">
        <v>0</v>
      </c>
      <c r="O161" s="15">
        <v>0</v>
      </c>
      <c r="P161" s="15">
        <v>0</v>
      </c>
      <c r="Q161" s="15">
        <v>0</v>
      </c>
      <c r="R161" s="15">
        <v>0</v>
      </c>
      <c r="S161" s="15">
        <v>0</v>
      </c>
      <c r="T161" s="15">
        <v>0</v>
      </c>
      <c r="U161" s="15">
        <v>0</v>
      </c>
      <c r="V161" s="15">
        <v>0</v>
      </c>
      <c r="W161" s="15">
        <v>0</v>
      </c>
      <c r="X161" s="15">
        <v>0</v>
      </c>
      <c r="Y161" s="15">
        <v>0</v>
      </c>
      <c r="Z161" s="15">
        <v>0</v>
      </c>
      <c r="AA161" s="15"/>
      <c r="AB161" s="15">
        <v>0</v>
      </c>
      <c r="AC161" s="15">
        <v>0</v>
      </c>
      <c r="AD161" s="15">
        <v>0</v>
      </c>
      <c r="AE161" s="15">
        <v>0</v>
      </c>
      <c r="AF161" s="15">
        <v>0</v>
      </c>
      <c r="AG161" s="15">
        <v>0</v>
      </c>
      <c r="AH161" s="15"/>
      <c r="AI161" s="15">
        <v>0</v>
      </c>
      <c r="AJ161" s="15"/>
      <c r="AK161" s="15">
        <v>0</v>
      </c>
      <c r="AL161" s="15"/>
      <c r="AM161" s="15">
        <v>0</v>
      </c>
      <c r="AN161" s="15"/>
      <c r="AO161" s="15">
        <v>0</v>
      </c>
      <c r="AP161" s="15"/>
      <c r="AQ161" s="15">
        <v>0</v>
      </c>
      <c r="AR161" s="15">
        <v>0</v>
      </c>
      <c r="AS161" s="15">
        <v>0</v>
      </c>
      <c r="AT161" s="15">
        <v>0</v>
      </c>
      <c r="AU161" s="15">
        <v>0</v>
      </c>
      <c r="AV161" s="15">
        <v>0</v>
      </c>
      <c r="AW161" s="15">
        <v>0</v>
      </c>
      <c r="AX161" s="15">
        <v>0</v>
      </c>
      <c r="AY161" s="15">
        <v>5</v>
      </c>
      <c r="AZ161" s="15">
        <v>2</v>
      </c>
      <c r="BA161" s="15">
        <v>1</v>
      </c>
      <c r="BB161" s="15">
        <v>0.5</v>
      </c>
      <c r="BC161" s="15">
        <v>0</v>
      </c>
      <c r="BD161" s="15">
        <v>0</v>
      </c>
      <c r="BE161" s="15">
        <v>0.06944</v>
      </c>
      <c r="BF161" s="15">
        <v>3</v>
      </c>
      <c r="BG161" s="15">
        <v>3</v>
      </c>
      <c r="BH161" s="15">
        <v>0</v>
      </c>
      <c r="BI161" s="15"/>
      <c r="BJ161" s="15">
        <v>0</v>
      </c>
      <c r="BK161" s="15">
        <v>0</v>
      </c>
      <c r="BL161" s="15">
        <v>0</v>
      </c>
      <c r="BM161" s="15">
        <v>0</v>
      </c>
      <c r="BN161" s="15"/>
      <c r="BO161" s="15"/>
      <c r="BP161" s="15">
        <v>0</v>
      </c>
      <c r="BQ161" s="15">
        <v>1</v>
      </c>
      <c r="BR161" s="15">
        <v>0</v>
      </c>
      <c r="BS161" s="15">
        <v>0</v>
      </c>
      <c r="BT161" s="15">
        <v>0</v>
      </c>
      <c r="BU161" s="15">
        <v>0</v>
      </c>
      <c r="BV161" s="15">
        <v>0</v>
      </c>
      <c r="BW161" s="15">
        <v>0</v>
      </c>
      <c r="BX161" s="15">
        <v>0</v>
      </c>
    </row>
    <row r="162" spans="1:76">
      <c r="A162" s="14" t="str">
        <f>VLOOKUP(C162,VLOOKUP!A:B,2,FALSE)</f>
        <v>如意盘香</v>
      </c>
      <c r="B162" s="16">
        <v>46070</v>
      </c>
      <c r="C162" s="17">
        <v>838711327669</v>
      </c>
      <c r="D162" s="15" t="s">
        <v>151</v>
      </c>
      <c r="E162" s="15" t="s">
        <v>158</v>
      </c>
      <c r="F162" s="15">
        <v>2616</v>
      </c>
      <c r="G162" s="15">
        <v>44</v>
      </c>
      <c r="H162" s="15">
        <v>68.05</v>
      </c>
      <c r="I162" s="15">
        <v>0.01682</v>
      </c>
      <c r="J162" s="15">
        <v>1.55</v>
      </c>
      <c r="K162" s="15">
        <v>26.01</v>
      </c>
      <c r="L162" s="15">
        <v>0</v>
      </c>
      <c r="M162" s="15">
        <v>0</v>
      </c>
      <c r="N162" s="15">
        <v>0</v>
      </c>
      <c r="O162" s="15">
        <v>0</v>
      </c>
      <c r="P162" s="15">
        <v>0</v>
      </c>
      <c r="Q162" s="15">
        <v>0</v>
      </c>
      <c r="R162" s="15">
        <v>0</v>
      </c>
      <c r="S162" s="15">
        <v>0</v>
      </c>
      <c r="T162" s="15">
        <v>0</v>
      </c>
      <c r="U162" s="15">
        <v>0</v>
      </c>
      <c r="V162" s="15">
        <v>0</v>
      </c>
      <c r="W162" s="15">
        <v>0</v>
      </c>
      <c r="X162" s="15">
        <v>0</v>
      </c>
      <c r="Y162" s="15">
        <v>0</v>
      </c>
      <c r="Z162" s="15">
        <v>0</v>
      </c>
      <c r="AA162" s="15"/>
      <c r="AB162" s="15">
        <v>4</v>
      </c>
      <c r="AC162" s="15">
        <v>2</v>
      </c>
      <c r="AD162" s="15">
        <v>2</v>
      </c>
      <c r="AE162" s="15">
        <v>0.09091</v>
      </c>
      <c r="AF162" s="15">
        <v>0</v>
      </c>
      <c r="AG162" s="15">
        <v>0</v>
      </c>
      <c r="AH162" s="15"/>
      <c r="AI162" s="15">
        <v>4</v>
      </c>
      <c r="AJ162" s="15">
        <v>17.01</v>
      </c>
      <c r="AK162" s="15">
        <v>4</v>
      </c>
      <c r="AL162" s="15">
        <v>17.01</v>
      </c>
      <c r="AM162" s="15">
        <v>0</v>
      </c>
      <c r="AN162" s="15"/>
      <c r="AO162" s="15">
        <v>0</v>
      </c>
      <c r="AP162" s="15">
        <v>17.01</v>
      </c>
      <c r="AQ162" s="15">
        <v>0</v>
      </c>
      <c r="AR162" s="15">
        <v>0</v>
      </c>
      <c r="AS162" s="15">
        <v>0</v>
      </c>
      <c r="AT162" s="15">
        <v>0</v>
      </c>
      <c r="AU162" s="15">
        <v>0</v>
      </c>
      <c r="AV162" s="15">
        <v>0</v>
      </c>
      <c r="AW162" s="15">
        <v>0</v>
      </c>
      <c r="AX162" s="15">
        <v>1</v>
      </c>
      <c r="AY162" s="15">
        <v>109</v>
      </c>
      <c r="AZ162" s="15">
        <v>45</v>
      </c>
      <c r="BA162" s="15">
        <v>38</v>
      </c>
      <c r="BB162" s="15">
        <v>0.84444</v>
      </c>
      <c r="BC162" s="15">
        <v>0</v>
      </c>
      <c r="BD162" s="15">
        <v>0</v>
      </c>
      <c r="BE162" s="15">
        <v>0.04167</v>
      </c>
      <c r="BF162" s="15">
        <v>55</v>
      </c>
      <c r="BG162" s="15">
        <v>2</v>
      </c>
      <c r="BH162" s="15">
        <v>0</v>
      </c>
      <c r="BI162" s="15"/>
      <c r="BJ162" s="15">
        <v>0</v>
      </c>
      <c r="BK162" s="15">
        <v>0</v>
      </c>
      <c r="BL162" s="15">
        <v>0</v>
      </c>
      <c r="BM162" s="15">
        <v>0</v>
      </c>
      <c r="BN162" s="15"/>
      <c r="BO162" s="15"/>
      <c r="BP162" s="15">
        <v>0.57</v>
      </c>
      <c r="BQ162" s="15">
        <v>839</v>
      </c>
      <c r="BR162" s="15">
        <v>0</v>
      </c>
      <c r="BS162" s="15">
        <v>0</v>
      </c>
      <c r="BT162" s="15">
        <v>0</v>
      </c>
      <c r="BU162" s="15">
        <v>0</v>
      </c>
      <c r="BV162" s="15">
        <v>0</v>
      </c>
      <c r="BW162" s="15">
        <v>0</v>
      </c>
      <c r="BX162" s="15">
        <v>0</v>
      </c>
    </row>
    <row r="163" spans="1:76">
      <c r="A163" s="14" t="str">
        <f>VLOOKUP(C163,VLOOKUP!A:B,2,FALSE)</f>
        <v>福颜青</v>
      </c>
      <c r="B163" s="16">
        <v>46070</v>
      </c>
      <c r="C163" s="17">
        <v>833369552621</v>
      </c>
      <c r="D163" s="15" t="s">
        <v>151</v>
      </c>
      <c r="E163" s="15" t="s">
        <v>154</v>
      </c>
      <c r="F163" s="15">
        <v>2513</v>
      </c>
      <c r="G163" s="15">
        <v>59</v>
      </c>
      <c r="H163" s="15">
        <v>14.52</v>
      </c>
      <c r="I163" s="15">
        <v>0.02348</v>
      </c>
      <c r="J163" s="15">
        <v>0.25</v>
      </c>
      <c r="K163" s="15">
        <v>5.78</v>
      </c>
      <c r="L163" s="15">
        <v>0</v>
      </c>
      <c r="M163" s="15">
        <v>0</v>
      </c>
      <c r="N163" s="15">
        <v>0</v>
      </c>
      <c r="O163" s="15">
        <v>0</v>
      </c>
      <c r="P163" s="15">
        <v>0</v>
      </c>
      <c r="Q163" s="15">
        <v>0</v>
      </c>
      <c r="R163" s="15">
        <v>0</v>
      </c>
      <c r="S163" s="15">
        <v>0</v>
      </c>
      <c r="T163" s="15">
        <v>0</v>
      </c>
      <c r="U163" s="15">
        <v>0</v>
      </c>
      <c r="V163" s="15">
        <v>0</v>
      </c>
      <c r="W163" s="15">
        <v>0</v>
      </c>
      <c r="X163" s="15">
        <v>0</v>
      </c>
      <c r="Y163" s="15">
        <v>0</v>
      </c>
      <c r="Z163" s="15">
        <v>0</v>
      </c>
      <c r="AA163" s="15"/>
      <c r="AB163" s="15">
        <v>1</v>
      </c>
      <c r="AC163" s="15">
        <v>1</v>
      </c>
      <c r="AD163" s="15">
        <v>0</v>
      </c>
      <c r="AE163" s="15">
        <v>0.01695</v>
      </c>
      <c r="AF163" s="15">
        <v>0</v>
      </c>
      <c r="AG163" s="15">
        <v>0</v>
      </c>
      <c r="AH163" s="15"/>
      <c r="AI163" s="15">
        <v>1</v>
      </c>
      <c r="AJ163" s="15">
        <v>14.52</v>
      </c>
      <c r="AK163" s="15">
        <v>1</v>
      </c>
      <c r="AL163" s="15">
        <v>14.52</v>
      </c>
      <c r="AM163" s="15">
        <v>0</v>
      </c>
      <c r="AN163" s="15"/>
      <c r="AO163" s="15">
        <v>0</v>
      </c>
      <c r="AP163" s="15">
        <v>14.52</v>
      </c>
      <c r="AQ163" s="15">
        <v>0</v>
      </c>
      <c r="AR163" s="15">
        <v>0</v>
      </c>
      <c r="AS163" s="15">
        <v>0</v>
      </c>
      <c r="AT163" s="15">
        <v>0</v>
      </c>
      <c r="AU163" s="15">
        <v>0</v>
      </c>
      <c r="AV163" s="15">
        <v>0</v>
      </c>
      <c r="AW163" s="15">
        <v>0</v>
      </c>
      <c r="AX163" s="15">
        <v>0</v>
      </c>
      <c r="AY163" s="15">
        <v>122</v>
      </c>
      <c r="AZ163" s="15">
        <v>54</v>
      </c>
      <c r="BA163" s="15">
        <v>51</v>
      </c>
      <c r="BB163" s="15">
        <v>0.94444</v>
      </c>
      <c r="BC163" s="15">
        <v>0</v>
      </c>
      <c r="BD163" s="15">
        <v>0</v>
      </c>
      <c r="BE163" s="15">
        <v>0.04855</v>
      </c>
      <c r="BF163" s="15">
        <v>67</v>
      </c>
      <c r="BG163" s="15">
        <v>2</v>
      </c>
      <c r="BH163" s="15">
        <v>0</v>
      </c>
      <c r="BI163" s="15"/>
      <c r="BJ163" s="15">
        <v>0</v>
      </c>
      <c r="BK163" s="15">
        <v>0</v>
      </c>
      <c r="BL163" s="15">
        <v>0</v>
      </c>
      <c r="BM163" s="15">
        <v>0</v>
      </c>
      <c r="BN163" s="15"/>
      <c r="BO163" s="15"/>
      <c r="BP163" s="15">
        <v>0</v>
      </c>
      <c r="BQ163" s="15">
        <v>558</v>
      </c>
      <c r="BR163" s="15">
        <v>0</v>
      </c>
      <c r="BS163" s="15">
        <v>0</v>
      </c>
      <c r="BT163" s="15">
        <v>0</v>
      </c>
      <c r="BU163" s="15">
        <v>0</v>
      </c>
      <c r="BV163" s="15">
        <v>0</v>
      </c>
      <c r="BW163" s="15">
        <v>0</v>
      </c>
      <c r="BX163" s="15">
        <v>0</v>
      </c>
    </row>
    <row r="164" spans="1:76">
      <c r="A164" s="14" t="str">
        <f>VLOOKUP(C164,VLOOKUP!A:B,2,FALSE)</f>
        <v>奇楠手串</v>
      </c>
      <c r="B164" s="16">
        <v>46070</v>
      </c>
      <c r="C164" s="17">
        <v>833035288991</v>
      </c>
      <c r="D164" s="15" t="s">
        <v>151</v>
      </c>
      <c r="E164" s="15" t="s">
        <v>159</v>
      </c>
      <c r="F164" s="15">
        <v>1508</v>
      </c>
      <c r="G164" s="15">
        <v>58</v>
      </c>
      <c r="H164" s="15">
        <v>19.4</v>
      </c>
      <c r="I164" s="15">
        <v>0.03846</v>
      </c>
      <c r="J164" s="15">
        <v>0.33</v>
      </c>
      <c r="K164" s="15">
        <v>12.86</v>
      </c>
      <c r="L164" s="15">
        <v>0</v>
      </c>
      <c r="M164" s="15">
        <v>0</v>
      </c>
      <c r="N164" s="15">
        <v>0</v>
      </c>
      <c r="O164" s="15">
        <v>0</v>
      </c>
      <c r="P164" s="15">
        <v>0</v>
      </c>
      <c r="Q164" s="15">
        <v>0</v>
      </c>
      <c r="R164" s="15">
        <v>0</v>
      </c>
      <c r="S164" s="15">
        <v>0</v>
      </c>
      <c r="T164" s="15">
        <v>0</v>
      </c>
      <c r="U164" s="15">
        <v>0</v>
      </c>
      <c r="V164" s="15">
        <v>0</v>
      </c>
      <c r="W164" s="15">
        <v>0</v>
      </c>
      <c r="X164" s="15">
        <v>0</v>
      </c>
      <c r="Y164" s="15">
        <v>0</v>
      </c>
      <c r="Z164" s="15">
        <v>0</v>
      </c>
      <c r="AA164" s="15"/>
      <c r="AB164" s="15">
        <v>0</v>
      </c>
      <c r="AC164" s="15">
        <v>0</v>
      </c>
      <c r="AD164" s="15">
        <v>0</v>
      </c>
      <c r="AE164" s="15">
        <v>0</v>
      </c>
      <c r="AF164" s="15">
        <v>0</v>
      </c>
      <c r="AG164" s="15">
        <v>0</v>
      </c>
      <c r="AH164" s="15"/>
      <c r="AI164" s="15">
        <v>0</v>
      </c>
      <c r="AJ164" s="15"/>
      <c r="AK164" s="15">
        <v>0</v>
      </c>
      <c r="AL164" s="15"/>
      <c r="AM164" s="15">
        <v>0</v>
      </c>
      <c r="AN164" s="15"/>
      <c r="AO164" s="15">
        <v>0</v>
      </c>
      <c r="AP164" s="15"/>
      <c r="AQ164" s="15">
        <v>0</v>
      </c>
      <c r="AR164" s="15">
        <v>0</v>
      </c>
      <c r="AS164" s="15">
        <v>0</v>
      </c>
      <c r="AT164" s="15">
        <v>0</v>
      </c>
      <c r="AU164" s="15">
        <v>0</v>
      </c>
      <c r="AV164" s="15">
        <v>0</v>
      </c>
      <c r="AW164" s="15">
        <v>0</v>
      </c>
      <c r="AX164" s="15">
        <v>0</v>
      </c>
      <c r="AY164" s="15">
        <v>81</v>
      </c>
      <c r="AZ164" s="15">
        <v>58</v>
      </c>
      <c r="BA164" s="15">
        <v>55</v>
      </c>
      <c r="BB164" s="15">
        <v>0.94828</v>
      </c>
      <c r="BC164" s="15">
        <v>0</v>
      </c>
      <c r="BD164" s="15">
        <v>0</v>
      </c>
      <c r="BE164" s="15">
        <v>0.05371</v>
      </c>
      <c r="BF164" s="15">
        <v>21</v>
      </c>
      <c r="BG164" s="15">
        <v>1</v>
      </c>
      <c r="BH164" s="15">
        <v>0</v>
      </c>
      <c r="BI164" s="15"/>
      <c r="BJ164" s="15">
        <v>0</v>
      </c>
      <c r="BK164" s="15">
        <v>0</v>
      </c>
      <c r="BL164" s="15">
        <v>0</v>
      </c>
      <c r="BM164" s="15">
        <v>0</v>
      </c>
      <c r="BN164" s="15"/>
      <c r="BO164" s="15"/>
      <c r="BP164" s="15">
        <v>0</v>
      </c>
      <c r="BQ164" s="15">
        <v>0</v>
      </c>
      <c r="BR164" s="15">
        <v>0</v>
      </c>
      <c r="BS164" s="15">
        <v>0</v>
      </c>
      <c r="BT164" s="15">
        <v>0</v>
      </c>
      <c r="BU164" s="15">
        <v>0</v>
      </c>
      <c r="BV164" s="15">
        <v>0</v>
      </c>
      <c r="BW164" s="15">
        <v>0</v>
      </c>
      <c r="BX164" s="15">
        <v>0</v>
      </c>
    </row>
    <row r="165" spans="1:76">
      <c r="A165" s="14" t="str">
        <f>VLOOKUP(C165,VLOOKUP!A:B,2,FALSE)</f>
        <v>天官赐福</v>
      </c>
      <c r="B165" s="16">
        <v>46069</v>
      </c>
      <c r="C165" s="17">
        <v>972494676240</v>
      </c>
      <c r="D165" s="15" t="s">
        <v>151</v>
      </c>
      <c r="E165" s="15" t="s">
        <v>160</v>
      </c>
      <c r="F165" s="15">
        <v>13</v>
      </c>
      <c r="G165" s="15">
        <v>1</v>
      </c>
      <c r="H165" s="15">
        <v>0.29</v>
      </c>
      <c r="I165" s="15">
        <v>0.07692</v>
      </c>
      <c r="J165" s="15">
        <v>0.29</v>
      </c>
      <c r="K165" s="15">
        <v>22.31</v>
      </c>
      <c r="L165" s="15">
        <v>0</v>
      </c>
      <c r="M165" s="15">
        <v>0</v>
      </c>
      <c r="N165" s="15">
        <v>0</v>
      </c>
      <c r="O165" s="15">
        <v>0</v>
      </c>
      <c r="P165" s="15">
        <v>0</v>
      </c>
      <c r="Q165" s="15">
        <v>0</v>
      </c>
      <c r="R165" s="15">
        <v>0</v>
      </c>
      <c r="S165" s="15">
        <v>0</v>
      </c>
      <c r="T165" s="15">
        <v>0</v>
      </c>
      <c r="U165" s="15">
        <v>0</v>
      </c>
      <c r="V165" s="15">
        <v>0</v>
      </c>
      <c r="W165" s="15">
        <v>0</v>
      </c>
      <c r="X165" s="15">
        <v>0</v>
      </c>
      <c r="Y165" s="15">
        <v>0</v>
      </c>
      <c r="Z165" s="15">
        <v>0</v>
      </c>
      <c r="AA165" s="15"/>
      <c r="AB165" s="15">
        <v>0</v>
      </c>
      <c r="AC165" s="15">
        <v>0</v>
      </c>
      <c r="AD165" s="15">
        <v>0</v>
      </c>
      <c r="AE165" s="15">
        <v>0</v>
      </c>
      <c r="AF165" s="15">
        <v>0</v>
      </c>
      <c r="AG165" s="15">
        <v>0</v>
      </c>
      <c r="AH165" s="15"/>
      <c r="AI165" s="15">
        <v>0</v>
      </c>
      <c r="AJ165" s="15"/>
      <c r="AK165" s="15">
        <v>0</v>
      </c>
      <c r="AL165" s="15"/>
      <c r="AM165" s="15">
        <v>0</v>
      </c>
      <c r="AN165" s="15"/>
      <c r="AO165" s="15">
        <v>0</v>
      </c>
      <c r="AP165" s="15"/>
      <c r="AQ165" s="15">
        <v>0</v>
      </c>
      <c r="AR165" s="15">
        <v>0</v>
      </c>
      <c r="AS165" s="15">
        <v>0</v>
      </c>
      <c r="AT165" s="15">
        <v>0</v>
      </c>
      <c r="AU165" s="15">
        <v>0</v>
      </c>
      <c r="AV165" s="15">
        <v>0</v>
      </c>
      <c r="AW165" s="15">
        <v>0</v>
      </c>
      <c r="AX165" s="15">
        <v>0</v>
      </c>
      <c r="AY165" s="15">
        <v>2</v>
      </c>
      <c r="AZ165" s="15">
        <v>1</v>
      </c>
      <c r="BA165" s="15">
        <v>1</v>
      </c>
      <c r="BB165" s="15">
        <v>1</v>
      </c>
      <c r="BC165" s="15">
        <v>0</v>
      </c>
      <c r="BD165" s="15">
        <v>0</v>
      </c>
      <c r="BE165" s="15">
        <v>0.15385</v>
      </c>
      <c r="BF165" s="15">
        <v>1</v>
      </c>
      <c r="BG165" s="15">
        <v>2</v>
      </c>
      <c r="BH165" s="15">
        <v>0</v>
      </c>
      <c r="BI165" s="15"/>
      <c r="BJ165" s="15">
        <v>0</v>
      </c>
      <c r="BK165" s="15">
        <v>0</v>
      </c>
      <c r="BL165" s="15">
        <v>0</v>
      </c>
      <c r="BM165" s="15">
        <v>0</v>
      </c>
      <c r="BN165" s="15"/>
      <c r="BO165" s="15"/>
      <c r="BP165" s="15">
        <v>0</v>
      </c>
      <c r="BQ165" s="15">
        <v>0</v>
      </c>
      <c r="BR165" s="15">
        <v>0</v>
      </c>
      <c r="BS165" s="15">
        <v>0</v>
      </c>
      <c r="BT165" s="15">
        <v>0</v>
      </c>
      <c r="BU165" s="15">
        <v>0</v>
      </c>
      <c r="BV165" s="15">
        <v>0</v>
      </c>
      <c r="BW165" s="15">
        <v>0</v>
      </c>
      <c r="BX165" s="15">
        <v>0</v>
      </c>
    </row>
    <row r="166" spans="1:76">
      <c r="A166" s="14" t="str">
        <f>VLOOKUP(C166,VLOOKUP!A:B,2,FALSE)</f>
        <v>福到</v>
      </c>
      <c r="B166" s="16">
        <v>46069</v>
      </c>
      <c r="C166" s="17">
        <v>971856893567</v>
      </c>
      <c r="D166" s="15" t="s">
        <v>151</v>
      </c>
      <c r="E166" s="15" t="s">
        <v>152</v>
      </c>
      <c r="F166" s="15">
        <v>155</v>
      </c>
      <c r="G166" s="15">
        <v>0</v>
      </c>
      <c r="H166" s="15">
        <v>0</v>
      </c>
      <c r="I166" s="15">
        <v>0</v>
      </c>
      <c r="J166" s="15"/>
      <c r="K166" s="15">
        <v>0</v>
      </c>
      <c r="L166" s="15">
        <v>0</v>
      </c>
      <c r="M166" s="15">
        <v>0</v>
      </c>
      <c r="N166" s="15">
        <v>0</v>
      </c>
      <c r="O166" s="15">
        <v>0</v>
      </c>
      <c r="P166" s="15">
        <v>0</v>
      </c>
      <c r="Q166" s="15">
        <v>0</v>
      </c>
      <c r="R166" s="15">
        <v>0</v>
      </c>
      <c r="S166" s="15">
        <v>0</v>
      </c>
      <c r="T166" s="15">
        <v>0</v>
      </c>
      <c r="U166" s="15">
        <v>0</v>
      </c>
      <c r="V166" s="15">
        <v>0</v>
      </c>
      <c r="W166" s="15">
        <v>0</v>
      </c>
      <c r="X166" s="15"/>
      <c r="Y166" s="15"/>
      <c r="Z166" s="15"/>
      <c r="AA166" s="15"/>
      <c r="AB166" s="15">
        <v>0</v>
      </c>
      <c r="AC166" s="15">
        <v>0</v>
      </c>
      <c r="AD166" s="15">
        <v>0</v>
      </c>
      <c r="AE166" s="15"/>
      <c r="AF166" s="15">
        <v>0</v>
      </c>
      <c r="AG166" s="15">
        <v>0</v>
      </c>
      <c r="AH166" s="15"/>
      <c r="AI166" s="15">
        <v>0</v>
      </c>
      <c r="AJ166" s="15"/>
      <c r="AK166" s="15">
        <v>0</v>
      </c>
      <c r="AL166" s="15"/>
      <c r="AM166" s="15">
        <v>0</v>
      </c>
      <c r="AN166" s="15"/>
      <c r="AO166" s="15"/>
      <c r="AP166" s="15"/>
      <c r="AQ166" s="15">
        <v>0</v>
      </c>
      <c r="AR166" s="15">
        <v>0</v>
      </c>
      <c r="AS166" s="15">
        <v>0</v>
      </c>
      <c r="AT166" s="15">
        <v>0</v>
      </c>
      <c r="AU166" s="15">
        <v>0</v>
      </c>
      <c r="AV166" s="15">
        <v>0</v>
      </c>
      <c r="AW166" s="15">
        <v>0</v>
      </c>
      <c r="AX166" s="15">
        <v>0</v>
      </c>
      <c r="AY166" s="15">
        <v>0</v>
      </c>
      <c r="AZ166" s="15">
        <v>0</v>
      </c>
      <c r="BA166" s="15">
        <v>0</v>
      </c>
      <c r="BB166" s="15"/>
      <c r="BC166" s="15"/>
      <c r="BD166" s="15">
        <v>0</v>
      </c>
      <c r="BE166" s="15">
        <v>0</v>
      </c>
      <c r="BF166" s="15">
        <v>0</v>
      </c>
      <c r="BG166" s="15"/>
      <c r="BH166" s="15">
        <v>0</v>
      </c>
      <c r="BI166" s="15"/>
      <c r="BJ166" s="15">
        <v>0</v>
      </c>
      <c r="BK166" s="15">
        <v>0</v>
      </c>
      <c r="BL166" s="15">
        <v>0</v>
      </c>
      <c r="BM166" s="15">
        <v>0</v>
      </c>
      <c r="BN166" s="15"/>
      <c r="BO166" s="15"/>
      <c r="BP166" s="15">
        <v>0</v>
      </c>
      <c r="BQ166" s="15">
        <v>0</v>
      </c>
      <c r="BR166" s="15">
        <v>0</v>
      </c>
      <c r="BS166" s="15">
        <v>0</v>
      </c>
      <c r="BT166" s="15">
        <v>0</v>
      </c>
      <c r="BU166" s="15">
        <v>0</v>
      </c>
      <c r="BV166" s="15">
        <v>0</v>
      </c>
      <c r="BW166" s="15">
        <v>0</v>
      </c>
      <c r="BX166" s="15">
        <v>0</v>
      </c>
    </row>
    <row r="167" spans="1:76">
      <c r="A167" s="14" t="str">
        <f>VLOOKUP(C167,VLOOKUP!A:B,2,FALSE)</f>
        <v>如意盘香</v>
      </c>
      <c r="B167" s="16">
        <v>46069</v>
      </c>
      <c r="C167" s="17">
        <v>838711327669</v>
      </c>
      <c r="D167" s="15" t="s">
        <v>151</v>
      </c>
      <c r="E167" s="15" t="s">
        <v>158</v>
      </c>
      <c r="F167" s="15">
        <v>1821</v>
      </c>
      <c r="G167" s="15">
        <v>55</v>
      </c>
      <c r="H167" s="15">
        <v>40.4</v>
      </c>
      <c r="I167" s="15">
        <v>0.0302</v>
      </c>
      <c r="J167" s="15">
        <v>0.73</v>
      </c>
      <c r="K167" s="15">
        <v>22.19</v>
      </c>
      <c r="L167" s="15">
        <v>0</v>
      </c>
      <c r="M167" s="15">
        <v>0</v>
      </c>
      <c r="N167" s="15">
        <v>0</v>
      </c>
      <c r="O167" s="15">
        <v>0</v>
      </c>
      <c r="P167" s="15">
        <v>0</v>
      </c>
      <c r="Q167" s="15">
        <v>0</v>
      </c>
      <c r="R167" s="15">
        <v>0</v>
      </c>
      <c r="S167" s="15">
        <v>0</v>
      </c>
      <c r="T167" s="15">
        <v>0</v>
      </c>
      <c r="U167" s="15">
        <v>0</v>
      </c>
      <c r="V167" s="15">
        <v>0</v>
      </c>
      <c r="W167" s="15">
        <v>0</v>
      </c>
      <c r="X167" s="15">
        <v>0</v>
      </c>
      <c r="Y167" s="15">
        <v>0</v>
      </c>
      <c r="Z167" s="15">
        <v>0</v>
      </c>
      <c r="AA167" s="15"/>
      <c r="AB167" s="15">
        <v>3</v>
      </c>
      <c r="AC167" s="15">
        <v>2</v>
      </c>
      <c r="AD167" s="15">
        <v>1</v>
      </c>
      <c r="AE167" s="15">
        <v>0.05455</v>
      </c>
      <c r="AF167" s="15">
        <v>0</v>
      </c>
      <c r="AG167" s="15">
        <v>0</v>
      </c>
      <c r="AH167" s="15"/>
      <c r="AI167" s="15">
        <v>3</v>
      </c>
      <c r="AJ167" s="15">
        <v>13.47</v>
      </c>
      <c r="AK167" s="15">
        <v>3</v>
      </c>
      <c r="AL167" s="15">
        <v>13.47</v>
      </c>
      <c r="AM167" s="15">
        <v>0</v>
      </c>
      <c r="AN167" s="15"/>
      <c r="AO167" s="15">
        <v>0</v>
      </c>
      <c r="AP167" s="15">
        <v>13.47</v>
      </c>
      <c r="AQ167" s="15">
        <v>0</v>
      </c>
      <c r="AR167" s="15">
        <v>0</v>
      </c>
      <c r="AS167" s="15">
        <v>0</v>
      </c>
      <c r="AT167" s="15">
        <v>0</v>
      </c>
      <c r="AU167" s="15">
        <v>0</v>
      </c>
      <c r="AV167" s="15">
        <v>0</v>
      </c>
      <c r="AW167" s="15">
        <v>0</v>
      </c>
      <c r="AX167" s="15">
        <v>0</v>
      </c>
      <c r="AY167" s="15">
        <v>205</v>
      </c>
      <c r="AZ167" s="15">
        <v>52</v>
      </c>
      <c r="BA167" s="15">
        <v>36</v>
      </c>
      <c r="BB167" s="15">
        <v>0.69231</v>
      </c>
      <c r="BC167" s="15">
        <v>0</v>
      </c>
      <c r="BD167" s="15">
        <v>0</v>
      </c>
      <c r="BE167" s="15">
        <v>0.11258</v>
      </c>
      <c r="BF167" s="15">
        <v>137</v>
      </c>
      <c r="BG167" s="15">
        <v>4</v>
      </c>
      <c r="BH167" s="15">
        <v>0</v>
      </c>
      <c r="BI167" s="15"/>
      <c r="BJ167" s="15">
        <v>0</v>
      </c>
      <c r="BK167" s="15">
        <v>0</v>
      </c>
      <c r="BL167" s="15">
        <v>0</v>
      </c>
      <c r="BM167" s="15">
        <v>0</v>
      </c>
      <c r="BN167" s="15"/>
      <c r="BO167" s="15"/>
      <c r="BP167" s="15">
        <v>1.84</v>
      </c>
      <c r="BQ167" s="15">
        <v>195</v>
      </c>
      <c r="BR167" s="15">
        <v>0</v>
      </c>
      <c r="BS167" s="15">
        <v>0</v>
      </c>
      <c r="BT167" s="15">
        <v>0</v>
      </c>
      <c r="BU167" s="15">
        <v>0</v>
      </c>
      <c r="BV167" s="15">
        <v>0</v>
      </c>
      <c r="BW167" s="15">
        <v>0</v>
      </c>
      <c r="BX167" s="15">
        <v>0</v>
      </c>
    </row>
    <row r="168" spans="1:76">
      <c r="A168" s="14" t="str">
        <f>VLOOKUP(C168,VLOOKUP!A:B,2,FALSE)</f>
        <v>福颜青</v>
      </c>
      <c r="B168" s="16">
        <v>46069</v>
      </c>
      <c r="C168" s="17">
        <v>833369552621</v>
      </c>
      <c r="D168" s="15" t="s">
        <v>151</v>
      </c>
      <c r="E168" s="15" t="s">
        <v>154</v>
      </c>
      <c r="F168" s="15">
        <v>2559</v>
      </c>
      <c r="G168" s="15">
        <v>57</v>
      </c>
      <c r="H168" s="15">
        <v>14.15</v>
      </c>
      <c r="I168" s="15">
        <v>0.02227</v>
      </c>
      <c r="J168" s="15">
        <v>0.25</v>
      </c>
      <c r="K168" s="15">
        <v>5.53</v>
      </c>
      <c r="L168" s="15">
        <v>0</v>
      </c>
      <c r="M168" s="15">
        <v>0</v>
      </c>
      <c r="N168" s="15">
        <v>0</v>
      </c>
      <c r="O168" s="15">
        <v>0</v>
      </c>
      <c r="P168" s="15">
        <v>0</v>
      </c>
      <c r="Q168" s="15">
        <v>0</v>
      </c>
      <c r="R168" s="15">
        <v>0</v>
      </c>
      <c r="S168" s="15">
        <v>0</v>
      </c>
      <c r="T168" s="15">
        <v>0</v>
      </c>
      <c r="U168" s="15">
        <v>0</v>
      </c>
      <c r="V168" s="15">
        <v>0</v>
      </c>
      <c r="W168" s="15">
        <v>0</v>
      </c>
      <c r="X168" s="15">
        <v>0</v>
      </c>
      <c r="Y168" s="15">
        <v>0</v>
      </c>
      <c r="Z168" s="15">
        <v>0</v>
      </c>
      <c r="AA168" s="15"/>
      <c r="AB168" s="15">
        <v>0</v>
      </c>
      <c r="AC168" s="15">
        <v>0</v>
      </c>
      <c r="AD168" s="15">
        <v>0</v>
      </c>
      <c r="AE168" s="15">
        <v>0</v>
      </c>
      <c r="AF168" s="15">
        <v>1</v>
      </c>
      <c r="AG168" s="15">
        <v>0</v>
      </c>
      <c r="AH168" s="15"/>
      <c r="AI168" s="15">
        <v>1</v>
      </c>
      <c r="AJ168" s="15">
        <v>14.15</v>
      </c>
      <c r="AK168" s="15">
        <v>1</v>
      </c>
      <c r="AL168" s="15">
        <v>14.15</v>
      </c>
      <c r="AM168" s="15">
        <v>1</v>
      </c>
      <c r="AN168" s="15">
        <v>14.15</v>
      </c>
      <c r="AO168" s="15">
        <v>0.01754</v>
      </c>
      <c r="AP168" s="15"/>
      <c r="AQ168" s="15">
        <v>0</v>
      </c>
      <c r="AR168" s="15">
        <v>0</v>
      </c>
      <c r="AS168" s="15">
        <v>1</v>
      </c>
      <c r="AT168" s="15">
        <v>0</v>
      </c>
      <c r="AU168" s="15">
        <v>0</v>
      </c>
      <c r="AV168" s="15">
        <v>0</v>
      </c>
      <c r="AW168" s="15">
        <v>0</v>
      </c>
      <c r="AX168" s="15">
        <v>0</v>
      </c>
      <c r="AY168" s="15">
        <v>108</v>
      </c>
      <c r="AZ168" s="15">
        <v>62</v>
      </c>
      <c r="BA168" s="15">
        <v>57</v>
      </c>
      <c r="BB168" s="15">
        <v>0.91935</v>
      </c>
      <c r="BC168" s="15">
        <v>0</v>
      </c>
      <c r="BD168" s="15">
        <v>0</v>
      </c>
      <c r="BE168" s="15">
        <v>0.0422</v>
      </c>
      <c r="BF168" s="15">
        <v>43</v>
      </c>
      <c r="BG168" s="15">
        <v>2</v>
      </c>
      <c r="BH168" s="15">
        <v>0</v>
      </c>
      <c r="BI168" s="15"/>
      <c r="BJ168" s="15">
        <v>0</v>
      </c>
      <c r="BK168" s="15">
        <v>0</v>
      </c>
      <c r="BL168" s="15">
        <v>0</v>
      </c>
      <c r="BM168" s="15">
        <v>0</v>
      </c>
      <c r="BN168" s="15"/>
      <c r="BO168" s="15"/>
      <c r="BP168" s="15">
        <v>0</v>
      </c>
      <c r="BQ168" s="15">
        <v>198</v>
      </c>
      <c r="BR168" s="15">
        <v>0</v>
      </c>
      <c r="BS168" s="15">
        <v>0</v>
      </c>
      <c r="BT168" s="15">
        <v>0</v>
      </c>
      <c r="BU168" s="15">
        <v>0</v>
      </c>
      <c r="BV168" s="15">
        <v>0</v>
      </c>
      <c r="BW168" s="15">
        <v>0</v>
      </c>
      <c r="BX168" s="15">
        <v>0</v>
      </c>
    </row>
    <row r="169" spans="1:76">
      <c r="A169" s="14" t="str">
        <f>VLOOKUP(C169,VLOOKUP!A:B,2,FALSE)</f>
        <v>奇楠手串</v>
      </c>
      <c r="B169" s="16">
        <v>46069</v>
      </c>
      <c r="C169" s="17">
        <v>833035288991</v>
      </c>
      <c r="D169" s="15" t="s">
        <v>151</v>
      </c>
      <c r="E169" s="15" t="s">
        <v>159</v>
      </c>
      <c r="F169" s="15">
        <v>1805</v>
      </c>
      <c r="G169" s="15">
        <v>62</v>
      </c>
      <c r="H169" s="15">
        <v>20.56</v>
      </c>
      <c r="I169" s="15">
        <v>0.03435</v>
      </c>
      <c r="J169" s="15">
        <v>0.33</v>
      </c>
      <c r="K169" s="15">
        <v>11.39</v>
      </c>
      <c r="L169" s="15">
        <v>0</v>
      </c>
      <c r="M169" s="15">
        <v>0</v>
      </c>
      <c r="N169" s="15">
        <v>0</v>
      </c>
      <c r="O169" s="15">
        <v>0</v>
      </c>
      <c r="P169" s="15">
        <v>0</v>
      </c>
      <c r="Q169" s="15">
        <v>0</v>
      </c>
      <c r="R169" s="15">
        <v>0</v>
      </c>
      <c r="S169" s="15">
        <v>0</v>
      </c>
      <c r="T169" s="15">
        <v>0</v>
      </c>
      <c r="U169" s="15">
        <v>0</v>
      </c>
      <c r="V169" s="15">
        <v>0</v>
      </c>
      <c r="W169" s="15">
        <v>0</v>
      </c>
      <c r="X169" s="15">
        <v>0</v>
      </c>
      <c r="Y169" s="15">
        <v>0</v>
      </c>
      <c r="Z169" s="15">
        <v>0</v>
      </c>
      <c r="AA169" s="15"/>
      <c r="AB169" s="15">
        <v>5</v>
      </c>
      <c r="AC169" s="15">
        <v>1</v>
      </c>
      <c r="AD169" s="15">
        <v>4</v>
      </c>
      <c r="AE169" s="15">
        <v>0.08065</v>
      </c>
      <c r="AF169" s="15">
        <v>1</v>
      </c>
      <c r="AG169" s="15">
        <v>0</v>
      </c>
      <c r="AH169" s="15"/>
      <c r="AI169" s="15">
        <v>6</v>
      </c>
      <c r="AJ169" s="15">
        <v>3.43</v>
      </c>
      <c r="AK169" s="15">
        <v>6</v>
      </c>
      <c r="AL169" s="15">
        <v>3.43</v>
      </c>
      <c r="AM169" s="15">
        <v>1</v>
      </c>
      <c r="AN169" s="15">
        <v>20.56</v>
      </c>
      <c r="AO169" s="15">
        <v>0.01613</v>
      </c>
      <c r="AP169" s="15">
        <v>4.11</v>
      </c>
      <c r="AQ169" s="15">
        <v>0</v>
      </c>
      <c r="AR169" s="15">
        <v>0</v>
      </c>
      <c r="AS169" s="15">
        <v>0</v>
      </c>
      <c r="AT169" s="15">
        <v>1</v>
      </c>
      <c r="AU169" s="15">
        <v>0</v>
      </c>
      <c r="AV169" s="15">
        <v>0</v>
      </c>
      <c r="AW169" s="15">
        <v>0</v>
      </c>
      <c r="AX169" s="15">
        <v>0</v>
      </c>
      <c r="AY169" s="15">
        <v>190</v>
      </c>
      <c r="AZ169" s="15">
        <v>58</v>
      </c>
      <c r="BA169" s="15">
        <v>55</v>
      </c>
      <c r="BB169" s="15">
        <v>0.94828</v>
      </c>
      <c r="BC169" s="15">
        <v>0</v>
      </c>
      <c r="BD169" s="15">
        <v>0</v>
      </c>
      <c r="BE169" s="15">
        <v>0.10526</v>
      </c>
      <c r="BF169" s="15">
        <v>128</v>
      </c>
      <c r="BG169" s="15">
        <v>3</v>
      </c>
      <c r="BH169" s="15">
        <v>0</v>
      </c>
      <c r="BI169" s="15"/>
      <c r="BJ169" s="15">
        <v>0</v>
      </c>
      <c r="BK169" s="15">
        <v>0</v>
      </c>
      <c r="BL169" s="15">
        <v>0</v>
      </c>
      <c r="BM169" s="15">
        <v>0</v>
      </c>
      <c r="BN169" s="15"/>
      <c r="BO169" s="15"/>
      <c r="BP169" s="15">
        <v>0</v>
      </c>
      <c r="BQ169" s="15">
        <v>256</v>
      </c>
      <c r="BR169" s="15">
        <v>0</v>
      </c>
      <c r="BS169" s="15">
        <v>0</v>
      </c>
      <c r="BT169" s="15">
        <v>0</v>
      </c>
      <c r="BU169" s="15">
        <v>0</v>
      </c>
      <c r="BV169" s="15">
        <v>0</v>
      </c>
      <c r="BW169" s="15">
        <v>0</v>
      </c>
      <c r="BX169" s="15">
        <v>0</v>
      </c>
    </row>
    <row r="170" spans="1:76">
      <c r="A170" s="14" t="str">
        <f>VLOOKUP(C170,VLOOKUP!A:B,2,FALSE)</f>
        <v>天官赐福</v>
      </c>
      <c r="B170" s="16">
        <v>46068</v>
      </c>
      <c r="C170" s="17">
        <v>972494676240</v>
      </c>
      <c r="D170" s="15" t="s">
        <v>151</v>
      </c>
      <c r="E170" s="15" t="s">
        <v>160</v>
      </c>
      <c r="F170" s="15">
        <v>40</v>
      </c>
      <c r="G170" s="15">
        <v>0</v>
      </c>
      <c r="H170" s="15">
        <v>0</v>
      </c>
      <c r="I170" s="15">
        <v>0</v>
      </c>
      <c r="J170" s="15"/>
      <c r="K170" s="15">
        <v>0</v>
      </c>
      <c r="L170" s="15">
        <v>0</v>
      </c>
      <c r="M170" s="15">
        <v>0</v>
      </c>
      <c r="N170" s="15">
        <v>0</v>
      </c>
      <c r="O170" s="15">
        <v>0</v>
      </c>
      <c r="P170" s="15">
        <v>0</v>
      </c>
      <c r="Q170" s="15">
        <v>0</v>
      </c>
      <c r="R170" s="15">
        <v>0</v>
      </c>
      <c r="S170" s="15">
        <v>0</v>
      </c>
      <c r="T170" s="15">
        <v>0</v>
      </c>
      <c r="U170" s="15">
        <v>0</v>
      </c>
      <c r="V170" s="15">
        <v>0</v>
      </c>
      <c r="W170" s="15">
        <v>0</v>
      </c>
      <c r="X170" s="15"/>
      <c r="Y170" s="15"/>
      <c r="Z170" s="15"/>
      <c r="AA170" s="15"/>
      <c r="AB170" s="15">
        <v>0</v>
      </c>
      <c r="AC170" s="15">
        <v>0</v>
      </c>
      <c r="AD170" s="15">
        <v>0</v>
      </c>
      <c r="AE170" s="15"/>
      <c r="AF170" s="15">
        <v>0</v>
      </c>
      <c r="AG170" s="15">
        <v>0</v>
      </c>
      <c r="AH170" s="15"/>
      <c r="AI170" s="15">
        <v>0</v>
      </c>
      <c r="AJ170" s="15"/>
      <c r="AK170" s="15">
        <v>0</v>
      </c>
      <c r="AL170" s="15"/>
      <c r="AM170" s="15">
        <v>0</v>
      </c>
      <c r="AN170" s="15"/>
      <c r="AO170" s="15"/>
      <c r="AP170" s="15"/>
      <c r="AQ170" s="15">
        <v>0</v>
      </c>
      <c r="AR170" s="15">
        <v>0</v>
      </c>
      <c r="AS170" s="15">
        <v>0</v>
      </c>
      <c r="AT170" s="15">
        <v>0</v>
      </c>
      <c r="AU170" s="15">
        <v>0</v>
      </c>
      <c r="AV170" s="15">
        <v>0</v>
      </c>
      <c r="AW170" s="15">
        <v>0</v>
      </c>
      <c r="AX170" s="15">
        <v>0</v>
      </c>
      <c r="AY170" s="15">
        <v>0</v>
      </c>
      <c r="AZ170" s="15">
        <v>0</v>
      </c>
      <c r="BA170" s="15">
        <v>0</v>
      </c>
      <c r="BB170" s="15"/>
      <c r="BC170" s="15"/>
      <c r="BD170" s="15">
        <v>0</v>
      </c>
      <c r="BE170" s="15">
        <v>0</v>
      </c>
      <c r="BF170" s="15">
        <v>0</v>
      </c>
      <c r="BG170" s="15"/>
      <c r="BH170" s="15">
        <v>0</v>
      </c>
      <c r="BI170" s="15"/>
      <c r="BJ170" s="15">
        <v>0</v>
      </c>
      <c r="BK170" s="15">
        <v>0</v>
      </c>
      <c r="BL170" s="15">
        <v>0</v>
      </c>
      <c r="BM170" s="15">
        <v>0</v>
      </c>
      <c r="BN170" s="15"/>
      <c r="BO170" s="15"/>
      <c r="BP170" s="15">
        <v>0</v>
      </c>
      <c r="BQ170" s="15">
        <v>0</v>
      </c>
      <c r="BR170" s="15">
        <v>0</v>
      </c>
      <c r="BS170" s="15">
        <v>0</v>
      </c>
      <c r="BT170" s="15">
        <v>0</v>
      </c>
      <c r="BU170" s="15">
        <v>0</v>
      </c>
      <c r="BV170" s="15">
        <v>0</v>
      </c>
      <c r="BW170" s="15">
        <v>0</v>
      </c>
      <c r="BX170" s="15">
        <v>0</v>
      </c>
    </row>
    <row r="171" spans="1:76">
      <c r="A171" s="14" t="str">
        <f>VLOOKUP(C171,VLOOKUP!A:B,2,FALSE)</f>
        <v>福到</v>
      </c>
      <c r="B171" s="16">
        <v>46068</v>
      </c>
      <c r="C171" s="17">
        <v>971856893567</v>
      </c>
      <c r="D171" s="15" t="s">
        <v>151</v>
      </c>
      <c r="E171" s="15" t="s">
        <v>152</v>
      </c>
      <c r="F171" s="15">
        <v>140</v>
      </c>
      <c r="G171" s="15">
        <v>4</v>
      </c>
      <c r="H171" s="15">
        <v>1.04</v>
      </c>
      <c r="I171" s="15">
        <v>0.02857</v>
      </c>
      <c r="J171" s="15">
        <v>0.26</v>
      </c>
      <c r="K171" s="15">
        <v>7.43</v>
      </c>
      <c r="L171" s="15">
        <v>0</v>
      </c>
      <c r="M171" s="15">
        <v>0</v>
      </c>
      <c r="N171" s="15">
        <v>0</v>
      </c>
      <c r="O171" s="15">
        <v>0</v>
      </c>
      <c r="P171" s="15">
        <v>0</v>
      </c>
      <c r="Q171" s="15">
        <v>0</v>
      </c>
      <c r="R171" s="15">
        <v>0</v>
      </c>
      <c r="S171" s="15">
        <v>0</v>
      </c>
      <c r="T171" s="15">
        <v>0</v>
      </c>
      <c r="U171" s="15">
        <v>0</v>
      </c>
      <c r="V171" s="15">
        <v>0</v>
      </c>
      <c r="W171" s="15">
        <v>0</v>
      </c>
      <c r="X171" s="15">
        <v>0</v>
      </c>
      <c r="Y171" s="15">
        <v>0</v>
      </c>
      <c r="Z171" s="15">
        <v>0</v>
      </c>
      <c r="AA171" s="15"/>
      <c r="AB171" s="15">
        <v>1</v>
      </c>
      <c r="AC171" s="15">
        <v>1</v>
      </c>
      <c r="AD171" s="15">
        <v>0</v>
      </c>
      <c r="AE171" s="15">
        <v>0.25</v>
      </c>
      <c r="AF171" s="15">
        <v>0</v>
      </c>
      <c r="AG171" s="15">
        <v>0</v>
      </c>
      <c r="AH171" s="15"/>
      <c r="AI171" s="15">
        <v>1</v>
      </c>
      <c r="AJ171" s="15">
        <v>1.04</v>
      </c>
      <c r="AK171" s="15">
        <v>1</v>
      </c>
      <c r="AL171" s="15">
        <v>1.04</v>
      </c>
      <c r="AM171" s="15">
        <v>0</v>
      </c>
      <c r="AN171" s="15"/>
      <c r="AO171" s="15">
        <v>0</v>
      </c>
      <c r="AP171" s="15">
        <v>1.04</v>
      </c>
      <c r="AQ171" s="15">
        <v>0</v>
      </c>
      <c r="AR171" s="15">
        <v>0</v>
      </c>
      <c r="AS171" s="15">
        <v>0</v>
      </c>
      <c r="AT171" s="15">
        <v>0</v>
      </c>
      <c r="AU171" s="15">
        <v>0</v>
      </c>
      <c r="AV171" s="15">
        <v>0</v>
      </c>
      <c r="AW171" s="15">
        <v>0</v>
      </c>
      <c r="AX171" s="15">
        <v>0</v>
      </c>
      <c r="AY171" s="15">
        <v>11</v>
      </c>
      <c r="AZ171" s="15">
        <v>3</v>
      </c>
      <c r="BA171" s="15">
        <v>3</v>
      </c>
      <c r="BB171" s="15">
        <v>1</v>
      </c>
      <c r="BC171" s="15">
        <v>0</v>
      </c>
      <c r="BD171" s="15">
        <v>0</v>
      </c>
      <c r="BE171" s="15">
        <v>0.07857</v>
      </c>
      <c r="BF171" s="15">
        <v>8</v>
      </c>
      <c r="BG171" s="15">
        <v>4</v>
      </c>
      <c r="BH171" s="15">
        <v>0</v>
      </c>
      <c r="BI171" s="15"/>
      <c r="BJ171" s="15">
        <v>0</v>
      </c>
      <c r="BK171" s="15">
        <v>0</v>
      </c>
      <c r="BL171" s="15">
        <v>0</v>
      </c>
      <c r="BM171" s="15">
        <v>0</v>
      </c>
      <c r="BN171" s="15"/>
      <c r="BO171" s="15"/>
      <c r="BP171" s="15">
        <v>0</v>
      </c>
      <c r="BQ171" s="15">
        <v>81</v>
      </c>
      <c r="BR171" s="15">
        <v>0</v>
      </c>
      <c r="BS171" s="15">
        <v>0</v>
      </c>
      <c r="BT171" s="15">
        <v>0</v>
      </c>
      <c r="BU171" s="15">
        <v>0</v>
      </c>
      <c r="BV171" s="15">
        <v>0</v>
      </c>
      <c r="BW171" s="15">
        <v>0</v>
      </c>
      <c r="BX171" s="15">
        <v>0</v>
      </c>
    </row>
    <row r="172" spans="1:76">
      <c r="A172" s="14" t="str">
        <f>VLOOKUP(C172,VLOOKUP!A:B,2,FALSE)</f>
        <v>如意盘香</v>
      </c>
      <c r="B172" s="16">
        <v>46068</v>
      </c>
      <c r="C172" s="17">
        <v>838711327669</v>
      </c>
      <c r="D172" s="15" t="s">
        <v>151</v>
      </c>
      <c r="E172" s="15" t="s">
        <v>158</v>
      </c>
      <c r="F172" s="15">
        <v>1191</v>
      </c>
      <c r="G172" s="15">
        <v>35</v>
      </c>
      <c r="H172" s="15">
        <v>74.55</v>
      </c>
      <c r="I172" s="15">
        <v>0.02939</v>
      </c>
      <c r="J172" s="15">
        <v>2.13</v>
      </c>
      <c r="K172" s="15">
        <v>62.59</v>
      </c>
      <c r="L172" s="15">
        <v>0</v>
      </c>
      <c r="M172" s="15">
        <v>0</v>
      </c>
      <c r="N172" s="15">
        <v>0</v>
      </c>
      <c r="O172" s="15">
        <v>0</v>
      </c>
      <c r="P172" s="15">
        <v>0</v>
      </c>
      <c r="Q172" s="15">
        <v>0</v>
      </c>
      <c r="R172" s="15">
        <v>0</v>
      </c>
      <c r="S172" s="15">
        <v>85.14</v>
      </c>
      <c r="T172" s="15">
        <v>85.14</v>
      </c>
      <c r="U172" s="15">
        <v>1</v>
      </c>
      <c r="V172" s="15">
        <v>0</v>
      </c>
      <c r="W172" s="15">
        <v>1</v>
      </c>
      <c r="X172" s="15">
        <v>0.02857</v>
      </c>
      <c r="Y172" s="15">
        <v>1.14</v>
      </c>
      <c r="Z172" s="15">
        <v>1.14</v>
      </c>
      <c r="AA172" s="15">
        <v>74.55</v>
      </c>
      <c r="AB172" s="15">
        <v>3</v>
      </c>
      <c r="AC172" s="15">
        <v>1</v>
      </c>
      <c r="AD172" s="15">
        <v>2</v>
      </c>
      <c r="AE172" s="15">
        <v>0.08571</v>
      </c>
      <c r="AF172" s="15">
        <v>0</v>
      </c>
      <c r="AG172" s="15">
        <v>0</v>
      </c>
      <c r="AH172" s="15"/>
      <c r="AI172" s="15">
        <v>3</v>
      </c>
      <c r="AJ172" s="15">
        <v>24.85</v>
      </c>
      <c r="AK172" s="15">
        <v>3</v>
      </c>
      <c r="AL172" s="15">
        <v>24.85</v>
      </c>
      <c r="AM172" s="15">
        <v>0</v>
      </c>
      <c r="AN172" s="15"/>
      <c r="AO172" s="15">
        <v>0</v>
      </c>
      <c r="AP172" s="15">
        <v>24.85</v>
      </c>
      <c r="AQ172" s="15">
        <v>2</v>
      </c>
      <c r="AR172" s="15">
        <v>148.9</v>
      </c>
      <c r="AS172" s="15">
        <v>0</v>
      </c>
      <c r="AT172" s="15">
        <v>0</v>
      </c>
      <c r="AU172" s="15">
        <v>0</v>
      </c>
      <c r="AV172" s="15">
        <v>0</v>
      </c>
      <c r="AW172" s="15">
        <v>0</v>
      </c>
      <c r="AX172" s="15">
        <v>1</v>
      </c>
      <c r="AY172" s="15">
        <v>183</v>
      </c>
      <c r="AZ172" s="15">
        <v>32</v>
      </c>
      <c r="BA172" s="15">
        <v>23</v>
      </c>
      <c r="BB172" s="15">
        <v>0.71875</v>
      </c>
      <c r="BC172" s="15">
        <v>0</v>
      </c>
      <c r="BD172" s="15">
        <v>0</v>
      </c>
      <c r="BE172" s="15">
        <v>0.15365</v>
      </c>
      <c r="BF172" s="15">
        <v>144</v>
      </c>
      <c r="BG172" s="15">
        <v>6</v>
      </c>
      <c r="BH172" s="15">
        <v>0</v>
      </c>
      <c r="BI172" s="15">
        <v>0</v>
      </c>
      <c r="BJ172" s="15">
        <v>0</v>
      </c>
      <c r="BK172" s="15">
        <v>0</v>
      </c>
      <c r="BL172" s="15">
        <v>0</v>
      </c>
      <c r="BM172" s="15">
        <v>1</v>
      </c>
      <c r="BN172" s="15">
        <v>1</v>
      </c>
      <c r="BO172" s="15">
        <v>85.14</v>
      </c>
      <c r="BP172" s="15">
        <v>0.98</v>
      </c>
      <c r="BQ172" s="15">
        <v>408</v>
      </c>
      <c r="BR172" s="15">
        <v>0</v>
      </c>
      <c r="BS172" s="15">
        <v>0</v>
      </c>
      <c r="BT172" s="15">
        <v>0</v>
      </c>
      <c r="BU172" s="15">
        <v>0</v>
      </c>
      <c r="BV172" s="15">
        <v>0</v>
      </c>
      <c r="BW172" s="15">
        <v>0</v>
      </c>
      <c r="BX172" s="15">
        <v>0</v>
      </c>
    </row>
    <row r="173" spans="1:76">
      <c r="A173" s="14" t="str">
        <f>VLOOKUP(C173,VLOOKUP!A:B,2,FALSE)</f>
        <v>福颜青</v>
      </c>
      <c r="B173" s="16">
        <v>46068</v>
      </c>
      <c r="C173" s="17">
        <v>833369552621</v>
      </c>
      <c r="D173" s="15" t="s">
        <v>151</v>
      </c>
      <c r="E173" s="15" t="s">
        <v>154</v>
      </c>
      <c r="F173" s="15">
        <v>6071</v>
      </c>
      <c r="G173" s="15">
        <v>99</v>
      </c>
      <c r="H173" s="15">
        <v>23.3</v>
      </c>
      <c r="I173" s="15">
        <v>0.01631</v>
      </c>
      <c r="J173" s="15">
        <v>0.24</v>
      </c>
      <c r="K173" s="15">
        <v>3.84</v>
      </c>
      <c r="L173" s="15">
        <v>0</v>
      </c>
      <c r="M173" s="15">
        <v>0</v>
      </c>
      <c r="N173" s="15">
        <v>0</v>
      </c>
      <c r="O173" s="15">
        <v>0</v>
      </c>
      <c r="P173" s="15">
        <v>0</v>
      </c>
      <c r="Q173" s="15">
        <v>0</v>
      </c>
      <c r="R173" s="15">
        <v>0</v>
      </c>
      <c r="S173" s="15">
        <v>0</v>
      </c>
      <c r="T173" s="15">
        <v>0</v>
      </c>
      <c r="U173" s="15">
        <v>0</v>
      </c>
      <c r="V173" s="15">
        <v>0</v>
      </c>
      <c r="W173" s="15">
        <v>0</v>
      </c>
      <c r="X173" s="15">
        <v>0</v>
      </c>
      <c r="Y173" s="15">
        <v>0</v>
      </c>
      <c r="Z173" s="15">
        <v>0</v>
      </c>
      <c r="AA173" s="15"/>
      <c r="AB173" s="15">
        <v>2</v>
      </c>
      <c r="AC173" s="15">
        <v>1</v>
      </c>
      <c r="AD173" s="15">
        <v>1</v>
      </c>
      <c r="AE173" s="15">
        <v>0.0202</v>
      </c>
      <c r="AF173" s="15">
        <v>1</v>
      </c>
      <c r="AG173" s="15">
        <v>0</v>
      </c>
      <c r="AH173" s="15"/>
      <c r="AI173" s="15">
        <v>3</v>
      </c>
      <c r="AJ173" s="15">
        <v>7.77</v>
      </c>
      <c r="AK173" s="15">
        <v>3</v>
      </c>
      <c r="AL173" s="15">
        <v>7.77</v>
      </c>
      <c r="AM173" s="15">
        <v>1</v>
      </c>
      <c r="AN173" s="15">
        <v>23.3</v>
      </c>
      <c r="AO173" s="15">
        <v>0.0101</v>
      </c>
      <c r="AP173" s="15">
        <v>11.65</v>
      </c>
      <c r="AQ173" s="15">
        <v>0</v>
      </c>
      <c r="AR173" s="15">
        <v>0</v>
      </c>
      <c r="AS173" s="15">
        <v>1</v>
      </c>
      <c r="AT173" s="15">
        <v>0</v>
      </c>
      <c r="AU173" s="15">
        <v>0</v>
      </c>
      <c r="AV173" s="15">
        <v>0</v>
      </c>
      <c r="AW173" s="15">
        <v>0</v>
      </c>
      <c r="AX173" s="15">
        <v>0</v>
      </c>
      <c r="AY173" s="15">
        <v>206</v>
      </c>
      <c r="AZ173" s="15">
        <v>120</v>
      </c>
      <c r="BA173" s="15">
        <v>113</v>
      </c>
      <c r="BB173" s="15">
        <v>0.94167</v>
      </c>
      <c r="BC173" s="15">
        <v>0</v>
      </c>
      <c r="BD173" s="15">
        <v>0</v>
      </c>
      <c r="BE173" s="15">
        <v>0.03393</v>
      </c>
      <c r="BF173" s="15">
        <v>82</v>
      </c>
      <c r="BG173" s="15">
        <v>2</v>
      </c>
      <c r="BH173" s="15">
        <v>0</v>
      </c>
      <c r="BI173" s="15"/>
      <c r="BJ173" s="15">
        <v>0</v>
      </c>
      <c r="BK173" s="15">
        <v>0</v>
      </c>
      <c r="BL173" s="15">
        <v>0</v>
      </c>
      <c r="BM173" s="15">
        <v>0</v>
      </c>
      <c r="BN173" s="15"/>
      <c r="BO173" s="15"/>
      <c r="BP173" s="15">
        <v>0.08</v>
      </c>
      <c r="BQ173" s="15">
        <v>514</v>
      </c>
      <c r="BR173" s="15">
        <v>0</v>
      </c>
      <c r="BS173" s="15">
        <v>0</v>
      </c>
      <c r="BT173" s="15">
        <v>0</v>
      </c>
      <c r="BU173" s="15">
        <v>0</v>
      </c>
      <c r="BV173" s="15">
        <v>0</v>
      </c>
      <c r="BW173" s="15">
        <v>0</v>
      </c>
      <c r="BX173" s="15">
        <v>0</v>
      </c>
    </row>
    <row r="174" spans="1:76">
      <c r="A174" s="14" t="str">
        <f>VLOOKUP(C174,VLOOKUP!A:B,2,FALSE)</f>
        <v>奇楠手串</v>
      </c>
      <c r="B174" s="16">
        <v>46068</v>
      </c>
      <c r="C174" s="17">
        <v>833035288991</v>
      </c>
      <c r="D174" s="15" t="s">
        <v>151</v>
      </c>
      <c r="E174" s="15" t="s">
        <v>159</v>
      </c>
      <c r="F174" s="15">
        <v>846</v>
      </c>
      <c r="G174" s="15">
        <v>28</v>
      </c>
      <c r="H174" s="15">
        <v>9.34</v>
      </c>
      <c r="I174" s="15">
        <v>0.0331</v>
      </c>
      <c r="J174" s="15">
        <v>0.33</v>
      </c>
      <c r="K174" s="15">
        <v>11.04</v>
      </c>
      <c r="L174" s="15">
        <v>0</v>
      </c>
      <c r="M174" s="15">
        <v>0</v>
      </c>
      <c r="N174" s="15">
        <v>0</v>
      </c>
      <c r="O174" s="15">
        <v>0</v>
      </c>
      <c r="P174" s="15">
        <v>0</v>
      </c>
      <c r="Q174" s="15">
        <v>0</v>
      </c>
      <c r="R174" s="15">
        <v>0</v>
      </c>
      <c r="S174" s="15">
        <v>0</v>
      </c>
      <c r="T174" s="15">
        <v>0</v>
      </c>
      <c r="U174" s="15">
        <v>0</v>
      </c>
      <c r="V174" s="15">
        <v>0</v>
      </c>
      <c r="W174" s="15">
        <v>0</v>
      </c>
      <c r="X174" s="15">
        <v>0</v>
      </c>
      <c r="Y174" s="15">
        <v>0</v>
      </c>
      <c r="Z174" s="15">
        <v>0</v>
      </c>
      <c r="AA174" s="15"/>
      <c r="AB174" s="15">
        <v>4</v>
      </c>
      <c r="AC174" s="15">
        <v>0</v>
      </c>
      <c r="AD174" s="15">
        <v>4</v>
      </c>
      <c r="AE174" s="15">
        <v>0.14286</v>
      </c>
      <c r="AF174" s="15">
        <v>0</v>
      </c>
      <c r="AG174" s="15">
        <v>1</v>
      </c>
      <c r="AH174" s="15">
        <v>9.34</v>
      </c>
      <c r="AI174" s="15">
        <v>5</v>
      </c>
      <c r="AJ174" s="15">
        <v>1.87</v>
      </c>
      <c r="AK174" s="15">
        <v>4</v>
      </c>
      <c r="AL174" s="15">
        <v>2.34</v>
      </c>
      <c r="AM174" s="15">
        <v>1</v>
      </c>
      <c r="AN174" s="15"/>
      <c r="AO174" s="15">
        <v>0</v>
      </c>
      <c r="AP174" s="15">
        <v>2.34</v>
      </c>
      <c r="AQ174" s="15">
        <v>0</v>
      </c>
      <c r="AR174" s="15">
        <v>0</v>
      </c>
      <c r="AS174" s="15">
        <v>0</v>
      </c>
      <c r="AT174" s="15">
        <v>0</v>
      </c>
      <c r="AU174" s="15">
        <v>0</v>
      </c>
      <c r="AV174" s="15">
        <v>0</v>
      </c>
      <c r="AW174" s="15">
        <v>0</v>
      </c>
      <c r="AX174" s="15">
        <v>0</v>
      </c>
      <c r="AY174" s="15">
        <v>63</v>
      </c>
      <c r="AZ174" s="15">
        <v>28</v>
      </c>
      <c r="BA174" s="15">
        <v>27</v>
      </c>
      <c r="BB174" s="15">
        <v>0.96429</v>
      </c>
      <c r="BC174" s="15">
        <v>0</v>
      </c>
      <c r="BD174" s="15">
        <v>0</v>
      </c>
      <c r="BE174" s="15">
        <v>0.07447</v>
      </c>
      <c r="BF174" s="15">
        <v>34</v>
      </c>
      <c r="BG174" s="15">
        <v>2</v>
      </c>
      <c r="BH174" s="15">
        <v>0</v>
      </c>
      <c r="BI174" s="15"/>
      <c r="BJ174" s="15">
        <v>0</v>
      </c>
      <c r="BK174" s="15">
        <v>0</v>
      </c>
      <c r="BL174" s="15">
        <v>0</v>
      </c>
      <c r="BM174" s="15">
        <v>0</v>
      </c>
      <c r="BN174" s="15"/>
      <c r="BO174" s="15"/>
      <c r="BP174" s="15">
        <v>0.26</v>
      </c>
      <c r="BQ174" s="15">
        <v>256</v>
      </c>
      <c r="BR174" s="15">
        <v>0</v>
      </c>
      <c r="BS174" s="15">
        <v>0</v>
      </c>
      <c r="BT174" s="15">
        <v>0</v>
      </c>
      <c r="BU174" s="15">
        <v>0</v>
      </c>
      <c r="BV174" s="15">
        <v>0</v>
      </c>
      <c r="BW174" s="15">
        <v>0</v>
      </c>
      <c r="BX174" s="15">
        <v>0</v>
      </c>
    </row>
    <row r="175" spans="1:76">
      <c r="A175" s="14" t="str">
        <f>VLOOKUP(C175,VLOOKUP!A:B,2,FALSE)</f>
        <v>天官赐福</v>
      </c>
      <c r="B175" s="16">
        <v>46067</v>
      </c>
      <c r="C175" s="17">
        <v>972494676240</v>
      </c>
      <c r="D175" s="15" t="s">
        <v>151</v>
      </c>
      <c r="E175" s="15" t="s">
        <v>160</v>
      </c>
      <c r="F175" s="15">
        <v>53</v>
      </c>
      <c r="G175" s="15">
        <v>1</v>
      </c>
      <c r="H175" s="15">
        <v>0.39</v>
      </c>
      <c r="I175" s="15">
        <v>0.01887</v>
      </c>
      <c r="J175" s="15">
        <v>0.39</v>
      </c>
      <c r="K175" s="15">
        <v>7.36</v>
      </c>
      <c r="L175" s="15">
        <v>0</v>
      </c>
      <c r="M175" s="15">
        <v>0</v>
      </c>
      <c r="N175" s="15">
        <v>0</v>
      </c>
      <c r="O175" s="15">
        <v>0</v>
      </c>
      <c r="P175" s="15">
        <v>0</v>
      </c>
      <c r="Q175" s="15">
        <v>0</v>
      </c>
      <c r="R175" s="15">
        <v>0</v>
      </c>
      <c r="S175" s="15">
        <v>0</v>
      </c>
      <c r="T175" s="15">
        <v>0</v>
      </c>
      <c r="U175" s="15">
        <v>0</v>
      </c>
      <c r="V175" s="15">
        <v>0</v>
      </c>
      <c r="W175" s="15">
        <v>0</v>
      </c>
      <c r="X175" s="15">
        <v>0</v>
      </c>
      <c r="Y175" s="15">
        <v>0</v>
      </c>
      <c r="Z175" s="15">
        <v>0</v>
      </c>
      <c r="AA175" s="15"/>
      <c r="AB175" s="15">
        <v>0</v>
      </c>
      <c r="AC175" s="15">
        <v>0</v>
      </c>
      <c r="AD175" s="15">
        <v>0</v>
      </c>
      <c r="AE175" s="15">
        <v>0</v>
      </c>
      <c r="AF175" s="15">
        <v>0</v>
      </c>
      <c r="AG175" s="15">
        <v>0</v>
      </c>
      <c r="AH175" s="15"/>
      <c r="AI175" s="15">
        <v>0</v>
      </c>
      <c r="AJ175" s="15"/>
      <c r="AK175" s="15">
        <v>0</v>
      </c>
      <c r="AL175" s="15"/>
      <c r="AM175" s="15">
        <v>0</v>
      </c>
      <c r="AN175" s="15"/>
      <c r="AO175" s="15">
        <v>0</v>
      </c>
      <c r="AP175" s="15"/>
      <c r="AQ175" s="15">
        <v>0</v>
      </c>
      <c r="AR175" s="15">
        <v>0</v>
      </c>
      <c r="AS175" s="15">
        <v>0</v>
      </c>
      <c r="AT175" s="15">
        <v>0</v>
      </c>
      <c r="AU175" s="15">
        <v>0</v>
      </c>
      <c r="AV175" s="15">
        <v>0</v>
      </c>
      <c r="AW175" s="15">
        <v>0</v>
      </c>
      <c r="AX175" s="15">
        <v>0</v>
      </c>
      <c r="AY175" s="15">
        <v>1</v>
      </c>
      <c r="AZ175" s="15">
        <v>1</v>
      </c>
      <c r="BA175" s="15">
        <v>1</v>
      </c>
      <c r="BB175" s="15">
        <v>1</v>
      </c>
      <c r="BC175" s="15">
        <v>0</v>
      </c>
      <c r="BD175" s="15">
        <v>0</v>
      </c>
      <c r="BE175" s="15">
        <v>0.01887</v>
      </c>
      <c r="BF175" s="15">
        <v>0</v>
      </c>
      <c r="BG175" s="15">
        <v>1</v>
      </c>
      <c r="BH175" s="15">
        <v>0</v>
      </c>
      <c r="BI175" s="15"/>
      <c r="BJ175" s="15">
        <v>0</v>
      </c>
      <c r="BK175" s="15">
        <v>0</v>
      </c>
      <c r="BL175" s="15">
        <v>0</v>
      </c>
      <c r="BM175" s="15">
        <v>0</v>
      </c>
      <c r="BN175" s="15"/>
      <c r="BO175" s="15"/>
      <c r="BP175" s="15">
        <v>0</v>
      </c>
      <c r="BQ175" s="15">
        <v>0</v>
      </c>
      <c r="BR175" s="15">
        <v>0</v>
      </c>
      <c r="BS175" s="15">
        <v>0</v>
      </c>
      <c r="BT175" s="15">
        <v>0</v>
      </c>
      <c r="BU175" s="15">
        <v>0</v>
      </c>
      <c r="BV175" s="15">
        <v>0</v>
      </c>
      <c r="BW175" s="15">
        <v>0</v>
      </c>
      <c r="BX175" s="15">
        <v>0</v>
      </c>
    </row>
    <row r="176" spans="1:76">
      <c r="A176" s="14" t="str">
        <f>VLOOKUP(C176,VLOOKUP!A:B,2,FALSE)</f>
        <v>福到</v>
      </c>
      <c r="B176" s="16">
        <v>46067</v>
      </c>
      <c r="C176" s="17">
        <v>971856893567</v>
      </c>
      <c r="D176" s="15" t="s">
        <v>151</v>
      </c>
      <c r="E176" s="15" t="s">
        <v>152</v>
      </c>
      <c r="F176" s="15">
        <v>126</v>
      </c>
      <c r="G176" s="15">
        <v>3</v>
      </c>
      <c r="H176" s="15">
        <v>0.76</v>
      </c>
      <c r="I176" s="15">
        <v>0.02381</v>
      </c>
      <c r="J176" s="15">
        <v>0.25</v>
      </c>
      <c r="K176" s="15">
        <v>6.03</v>
      </c>
      <c r="L176" s="15">
        <v>0</v>
      </c>
      <c r="M176" s="15">
        <v>0</v>
      </c>
      <c r="N176" s="15">
        <v>0</v>
      </c>
      <c r="O176" s="15">
        <v>0</v>
      </c>
      <c r="P176" s="15">
        <v>0</v>
      </c>
      <c r="Q176" s="15">
        <v>0</v>
      </c>
      <c r="R176" s="15">
        <v>0</v>
      </c>
      <c r="S176" s="15">
        <v>0</v>
      </c>
      <c r="T176" s="15">
        <v>0</v>
      </c>
      <c r="U176" s="15">
        <v>0</v>
      </c>
      <c r="V176" s="15">
        <v>0</v>
      </c>
      <c r="W176" s="15">
        <v>0</v>
      </c>
      <c r="X176" s="15">
        <v>0</v>
      </c>
      <c r="Y176" s="15">
        <v>0</v>
      </c>
      <c r="Z176" s="15">
        <v>0</v>
      </c>
      <c r="AA176" s="15"/>
      <c r="AB176" s="15">
        <v>0</v>
      </c>
      <c r="AC176" s="15">
        <v>0</v>
      </c>
      <c r="AD176" s="15">
        <v>0</v>
      </c>
      <c r="AE176" s="15">
        <v>0</v>
      </c>
      <c r="AF176" s="15">
        <v>0</v>
      </c>
      <c r="AG176" s="15">
        <v>0</v>
      </c>
      <c r="AH176" s="15"/>
      <c r="AI176" s="15">
        <v>0</v>
      </c>
      <c r="AJ176" s="15"/>
      <c r="AK176" s="15">
        <v>0</v>
      </c>
      <c r="AL176" s="15"/>
      <c r="AM176" s="15">
        <v>0</v>
      </c>
      <c r="AN176" s="15"/>
      <c r="AO176" s="15">
        <v>0</v>
      </c>
      <c r="AP176" s="15"/>
      <c r="AQ176" s="15">
        <v>0</v>
      </c>
      <c r="AR176" s="15">
        <v>0</v>
      </c>
      <c r="AS176" s="15">
        <v>0</v>
      </c>
      <c r="AT176" s="15">
        <v>0</v>
      </c>
      <c r="AU176" s="15">
        <v>0</v>
      </c>
      <c r="AV176" s="15">
        <v>0</v>
      </c>
      <c r="AW176" s="15">
        <v>0</v>
      </c>
      <c r="AX176" s="15">
        <v>0</v>
      </c>
      <c r="AY176" s="15">
        <v>3</v>
      </c>
      <c r="AZ176" s="15">
        <v>3</v>
      </c>
      <c r="BA176" s="15">
        <v>3</v>
      </c>
      <c r="BB176" s="15">
        <v>1</v>
      </c>
      <c r="BC176" s="15">
        <v>0</v>
      </c>
      <c r="BD176" s="15">
        <v>0</v>
      </c>
      <c r="BE176" s="15">
        <v>0.02381</v>
      </c>
      <c r="BF176" s="15">
        <v>0</v>
      </c>
      <c r="BG176" s="15">
        <v>1</v>
      </c>
      <c r="BH176" s="15">
        <v>0</v>
      </c>
      <c r="BI176" s="15"/>
      <c r="BJ176" s="15">
        <v>0</v>
      </c>
      <c r="BK176" s="15">
        <v>0</v>
      </c>
      <c r="BL176" s="15">
        <v>0</v>
      </c>
      <c r="BM176" s="15">
        <v>0</v>
      </c>
      <c r="BN176" s="15"/>
      <c r="BO176" s="15"/>
      <c r="BP176" s="15">
        <v>0</v>
      </c>
      <c r="BQ176" s="15">
        <v>0</v>
      </c>
      <c r="BR176" s="15">
        <v>0</v>
      </c>
      <c r="BS176" s="15">
        <v>0</v>
      </c>
      <c r="BT176" s="15">
        <v>0</v>
      </c>
      <c r="BU176" s="15">
        <v>0</v>
      </c>
      <c r="BV176" s="15">
        <v>0</v>
      </c>
      <c r="BW176" s="15">
        <v>0</v>
      </c>
      <c r="BX176" s="15">
        <v>0</v>
      </c>
    </row>
    <row r="177" spans="1:76">
      <c r="A177" s="14" t="str">
        <f>VLOOKUP(C177,VLOOKUP!A:B,2,FALSE)</f>
        <v>如意盘香</v>
      </c>
      <c r="B177" s="16">
        <v>46067</v>
      </c>
      <c r="C177" s="17">
        <v>838711327669</v>
      </c>
      <c r="D177" s="15" t="s">
        <v>151</v>
      </c>
      <c r="E177" s="15" t="s">
        <v>158</v>
      </c>
      <c r="F177" s="15">
        <v>1823</v>
      </c>
      <c r="G177" s="15">
        <v>45</v>
      </c>
      <c r="H177" s="15">
        <v>80</v>
      </c>
      <c r="I177" s="15">
        <v>0.02468</v>
      </c>
      <c r="J177" s="15">
        <v>1.78</v>
      </c>
      <c r="K177" s="15">
        <v>43.88</v>
      </c>
      <c r="L177" s="15">
        <v>0</v>
      </c>
      <c r="M177" s="15">
        <v>0</v>
      </c>
      <c r="N177" s="15">
        <v>0</v>
      </c>
      <c r="O177" s="15">
        <v>0</v>
      </c>
      <c r="P177" s="15">
        <v>0</v>
      </c>
      <c r="Q177" s="15">
        <v>0</v>
      </c>
      <c r="R177" s="15">
        <v>0</v>
      </c>
      <c r="S177" s="15">
        <v>0</v>
      </c>
      <c r="T177" s="15">
        <v>0</v>
      </c>
      <c r="U177" s="15">
        <v>0</v>
      </c>
      <c r="V177" s="15">
        <v>0</v>
      </c>
      <c r="W177" s="15">
        <v>0</v>
      </c>
      <c r="X177" s="15">
        <v>0</v>
      </c>
      <c r="Y177" s="15">
        <v>0</v>
      </c>
      <c r="Z177" s="15">
        <v>0</v>
      </c>
      <c r="AA177" s="15"/>
      <c r="AB177" s="15">
        <v>2</v>
      </c>
      <c r="AC177" s="15">
        <v>1</v>
      </c>
      <c r="AD177" s="15">
        <v>1</v>
      </c>
      <c r="AE177" s="15">
        <v>0.04444</v>
      </c>
      <c r="AF177" s="15">
        <v>0</v>
      </c>
      <c r="AG177" s="15">
        <v>0</v>
      </c>
      <c r="AH177" s="15"/>
      <c r="AI177" s="15">
        <v>2</v>
      </c>
      <c r="AJ177" s="15">
        <v>40</v>
      </c>
      <c r="AK177" s="15">
        <v>2</v>
      </c>
      <c r="AL177" s="15">
        <v>40</v>
      </c>
      <c r="AM177" s="15">
        <v>0</v>
      </c>
      <c r="AN177" s="15"/>
      <c r="AO177" s="15">
        <v>0</v>
      </c>
      <c r="AP177" s="15">
        <v>40</v>
      </c>
      <c r="AQ177" s="15">
        <v>0</v>
      </c>
      <c r="AR177" s="15">
        <v>0</v>
      </c>
      <c r="AS177" s="15">
        <v>0</v>
      </c>
      <c r="AT177" s="15">
        <v>0</v>
      </c>
      <c r="AU177" s="15">
        <v>0</v>
      </c>
      <c r="AV177" s="15">
        <v>0</v>
      </c>
      <c r="AW177" s="15">
        <v>0</v>
      </c>
      <c r="AX177" s="15">
        <v>0</v>
      </c>
      <c r="AY177" s="15">
        <v>102</v>
      </c>
      <c r="AZ177" s="15">
        <v>42</v>
      </c>
      <c r="BA177" s="15">
        <v>34</v>
      </c>
      <c r="BB177" s="15">
        <v>0.80952</v>
      </c>
      <c r="BC177" s="15">
        <v>0</v>
      </c>
      <c r="BD177" s="15">
        <v>0</v>
      </c>
      <c r="BE177" s="15">
        <v>0.05595</v>
      </c>
      <c r="BF177" s="15">
        <v>52</v>
      </c>
      <c r="BG177" s="15">
        <v>2</v>
      </c>
      <c r="BH177" s="15">
        <v>0</v>
      </c>
      <c r="BI177" s="15"/>
      <c r="BJ177" s="15">
        <v>0</v>
      </c>
      <c r="BK177" s="15">
        <v>0</v>
      </c>
      <c r="BL177" s="15">
        <v>0</v>
      </c>
      <c r="BM177" s="15">
        <v>0</v>
      </c>
      <c r="BN177" s="15"/>
      <c r="BO177" s="15"/>
      <c r="BP177" s="15">
        <v>0.59</v>
      </c>
      <c r="BQ177" s="15">
        <v>86</v>
      </c>
      <c r="BR177" s="15">
        <v>0</v>
      </c>
      <c r="BS177" s="15">
        <v>0</v>
      </c>
      <c r="BT177" s="15">
        <v>0</v>
      </c>
      <c r="BU177" s="15">
        <v>0</v>
      </c>
      <c r="BV177" s="15">
        <v>0</v>
      </c>
      <c r="BW177" s="15">
        <v>0</v>
      </c>
      <c r="BX177" s="15">
        <v>0</v>
      </c>
    </row>
    <row r="178" spans="1:76">
      <c r="A178" s="14" t="str">
        <f>VLOOKUP(C178,VLOOKUP!A:B,2,FALSE)</f>
        <v>福颜青</v>
      </c>
      <c r="B178" s="16">
        <v>46067</v>
      </c>
      <c r="C178" s="17">
        <v>833369552621</v>
      </c>
      <c r="D178" s="15" t="s">
        <v>151</v>
      </c>
      <c r="E178" s="15" t="s">
        <v>154</v>
      </c>
      <c r="F178" s="15">
        <v>5945</v>
      </c>
      <c r="G178" s="15">
        <v>92</v>
      </c>
      <c r="H178" s="15">
        <v>22.13</v>
      </c>
      <c r="I178" s="15">
        <v>0.01548</v>
      </c>
      <c r="J178" s="15">
        <v>0.24</v>
      </c>
      <c r="K178" s="15">
        <v>3.72</v>
      </c>
      <c r="L178" s="15">
        <v>0</v>
      </c>
      <c r="M178" s="15">
        <v>0</v>
      </c>
      <c r="N178" s="15">
        <v>0</v>
      </c>
      <c r="O178" s="15">
        <v>0</v>
      </c>
      <c r="P178" s="15">
        <v>0</v>
      </c>
      <c r="Q178" s="15">
        <v>0</v>
      </c>
      <c r="R178" s="15">
        <v>0</v>
      </c>
      <c r="S178" s="15">
        <v>0</v>
      </c>
      <c r="T178" s="15">
        <v>0</v>
      </c>
      <c r="U178" s="15">
        <v>0</v>
      </c>
      <c r="V178" s="15">
        <v>0</v>
      </c>
      <c r="W178" s="15">
        <v>0</v>
      </c>
      <c r="X178" s="15">
        <v>0</v>
      </c>
      <c r="Y178" s="15">
        <v>0</v>
      </c>
      <c r="Z178" s="15">
        <v>0</v>
      </c>
      <c r="AA178" s="15"/>
      <c r="AB178" s="15">
        <v>1</v>
      </c>
      <c r="AC178" s="15">
        <v>1</v>
      </c>
      <c r="AD178" s="15">
        <v>0</v>
      </c>
      <c r="AE178" s="15">
        <v>0.01087</v>
      </c>
      <c r="AF178" s="15">
        <v>0</v>
      </c>
      <c r="AG178" s="15">
        <v>0</v>
      </c>
      <c r="AH178" s="15"/>
      <c r="AI178" s="15">
        <v>1</v>
      </c>
      <c r="AJ178" s="15">
        <v>22.13</v>
      </c>
      <c r="AK178" s="15">
        <v>1</v>
      </c>
      <c r="AL178" s="15">
        <v>22.13</v>
      </c>
      <c r="AM178" s="15">
        <v>0</v>
      </c>
      <c r="AN178" s="15"/>
      <c r="AO178" s="15">
        <v>0</v>
      </c>
      <c r="AP178" s="15">
        <v>22.13</v>
      </c>
      <c r="AQ178" s="15">
        <v>0</v>
      </c>
      <c r="AR178" s="15">
        <v>0</v>
      </c>
      <c r="AS178" s="15">
        <v>0</v>
      </c>
      <c r="AT178" s="15">
        <v>0</v>
      </c>
      <c r="AU178" s="15">
        <v>0</v>
      </c>
      <c r="AV178" s="15">
        <v>0</v>
      </c>
      <c r="AW178" s="15">
        <v>0</v>
      </c>
      <c r="AX178" s="15">
        <v>0</v>
      </c>
      <c r="AY178" s="15">
        <v>167</v>
      </c>
      <c r="AZ178" s="15">
        <v>111</v>
      </c>
      <c r="BA178" s="15">
        <v>107</v>
      </c>
      <c r="BB178" s="15">
        <v>0.96396</v>
      </c>
      <c r="BC178" s="15">
        <v>0</v>
      </c>
      <c r="BD178" s="15">
        <v>0</v>
      </c>
      <c r="BE178" s="15">
        <v>0.02809</v>
      </c>
      <c r="BF178" s="15">
        <v>53</v>
      </c>
      <c r="BG178" s="15">
        <v>2</v>
      </c>
      <c r="BH178" s="15">
        <v>0</v>
      </c>
      <c r="BI178" s="15"/>
      <c r="BJ178" s="15">
        <v>0</v>
      </c>
      <c r="BK178" s="15">
        <v>0</v>
      </c>
      <c r="BL178" s="15">
        <v>0</v>
      </c>
      <c r="BM178" s="15">
        <v>0</v>
      </c>
      <c r="BN178" s="15"/>
      <c r="BO178" s="15"/>
      <c r="BP178" s="15">
        <v>0.26</v>
      </c>
      <c r="BQ178" s="15">
        <v>510</v>
      </c>
      <c r="BR178" s="15">
        <v>0</v>
      </c>
      <c r="BS178" s="15">
        <v>0</v>
      </c>
      <c r="BT178" s="15">
        <v>0</v>
      </c>
      <c r="BU178" s="15">
        <v>0</v>
      </c>
      <c r="BV178" s="15">
        <v>0</v>
      </c>
      <c r="BW178" s="15">
        <v>0</v>
      </c>
      <c r="BX178" s="15">
        <v>0</v>
      </c>
    </row>
    <row r="179" spans="1:76">
      <c r="A179" s="14" t="str">
        <f>VLOOKUP(C179,VLOOKUP!A:B,2,FALSE)</f>
        <v>奇楠手串</v>
      </c>
      <c r="B179" s="16">
        <v>46067</v>
      </c>
      <c r="C179" s="17">
        <v>833035288991</v>
      </c>
      <c r="D179" s="15" t="s">
        <v>151</v>
      </c>
      <c r="E179" s="15" t="s">
        <v>159</v>
      </c>
      <c r="F179" s="15">
        <v>844</v>
      </c>
      <c r="G179" s="15">
        <v>34</v>
      </c>
      <c r="H179" s="15">
        <v>11.24</v>
      </c>
      <c r="I179" s="15">
        <v>0.04028</v>
      </c>
      <c r="J179" s="15">
        <v>0.33</v>
      </c>
      <c r="K179" s="15">
        <v>13.32</v>
      </c>
      <c r="L179" s="15">
        <v>0</v>
      </c>
      <c r="M179" s="15">
        <v>0</v>
      </c>
      <c r="N179" s="15">
        <v>0</v>
      </c>
      <c r="O179" s="15">
        <v>0</v>
      </c>
      <c r="P179" s="15">
        <v>0</v>
      </c>
      <c r="Q179" s="15">
        <v>0</v>
      </c>
      <c r="R179" s="15">
        <v>0</v>
      </c>
      <c r="S179" s="15">
        <v>0</v>
      </c>
      <c r="T179" s="15">
        <v>0</v>
      </c>
      <c r="U179" s="15">
        <v>0</v>
      </c>
      <c r="V179" s="15">
        <v>0</v>
      </c>
      <c r="W179" s="15">
        <v>0</v>
      </c>
      <c r="X179" s="15">
        <v>0</v>
      </c>
      <c r="Y179" s="15">
        <v>0</v>
      </c>
      <c r="Z179" s="15">
        <v>0</v>
      </c>
      <c r="AA179" s="15"/>
      <c r="AB179" s="15">
        <v>0</v>
      </c>
      <c r="AC179" s="15">
        <v>0</v>
      </c>
      <c r="AD179" s="15">
        <v>0</v>
      </c>
      <c r="AE179" s="15">
        <v>0</v>
      </c>
      <c r="AF179" s="15">
        <v>0</v>
      </c>
      <c r="AG179" s="15">
        <v>1</v>
      </c>
      <c r="AH179" s="15">
        <v>11.24</v>
      </c>
      <c r="AI179" s="15">
        <v>1</v>
      </c>
      <c r="AJ179" s="15">
        <v>11.24</v>
      </c>
      <c r="AK179" s="15">
        <v>0</v>
      </c>
      <c r="AL179" s="15"/>
      <c r="AM179" s="15">
        <v>1</v>
      </c>
      <c r="AN179" s="15"/>
      <c r="AO179" s="15">
        <v>0</v>
      </c>
      <c r="AP179" s="15"/>
      <c r="AQ179" s="15">
        <v>0</v>
      </c>
      <c r="AR179" s="15">
        <v>0</v>
      </c>
      <c r="AS179" s="15">
        <v>0</v>
      </c>
      <c r="AT179" s="15">
        <v>0</v>
      </c>
      <c r="AU179" s="15">
        <v>0</v>
      </c>
      <c r="AV179" s="15">
        <v>0</v>
      </c>
      <c r="AW179" s="15">
        <v>0</v>
      </c>
      <c r="AX179" s="15">
        <v>0</v>
      </c>
      <c r="AY179" s="15">
        <v>49</v>
      </c>
      <c r="AZ179" s="15">
        <v>32</v>
      </c>
      <c r="BA179" s="15">
        <v>28</v>
      </c>
      <c r="BB179" s="15">
        <v>0.875</v>
      </c>
      <c r="BC179" s="15">
        <v>0</v>
      </c>
      <c r="BD179" s="15">
        <v>0</v>
      </c>
      <c r="BE179" s="15">
        <v>0.05806</v>
      </c>
      <c r="BF179" s="15">
        <v>13</v>
      </c>
      <c r="BG179" s="15">
        <v>2</v>
      </c>
      <c r="BH179" s="15">
        <v>0</v>
      </c>
      <c r="BI179" s="15"/>
      <c r="BJ179" s="15">
        <v>0</v>
      </c>
      <c r="BK179" s="15">
        <v>0</v>
      </c>
      <c r="BL179" s="15">
        <v>0</v>
      </c>
      <c r="BM179" s="15">
        <v>0</v>
      </c>
      <c r="BN179" s="15"/>
      <c r="BO179" s="15"/>
      <c r="BP179" s="15">
        <v>0</v>
      </c>
      <c r="BQ179" s="15">
        <v>9</v>
      </c>
      <c r="BR179" s="15">
        <v>0</v>
      </c>
      <c r="BS179" s="15">
        <v>0</v>
      </c>
      <c r="BT179" s="15">
        <v>0</v>
      </c>
      <c r="BU179" s="15">
        <v>0</v>
      </c>
      <c r="BV179" s="15">
        <v>0</v>
      </c>
      <c r="BW179" s="15">
        <v>0</v>
      </c>
      <c r="BX179" s="15">
        <v>0</v>
      </c>
    </row>
    <row r="180" spans="1:76">
      <c r="A180" s="14" t="str">
        <f>VLOOKUP(C180,VLOOKUP!A:B,2,FALSE)</f>
        <v>天官赐福</v>
      </c>
      <c r="B180" s="16">
        <v>46066</v>
      </c>
      <c r="C180" s="17">
        <v>972494676240</v>
      </c>
      <c r="D180" s="15" t="s">
        <v>151</v>
      </c>
      <c r="E180" s="15" t="s">
        <v>160</v>
      </c>
      <c r="F180" s="15">
        <v>50</v>
      </c>
      <c r="G180" s="15">
        <v>1</v>
      </c>
      <c r="H180" s="15">
        <v>0.38</v>
      </c>
      <c r="I180" s="15">
        <v>0.02</v>
      </c>
      <c r="J180" s="15">
        <v>0.38</v>
      </c>
      <c r="K180" s="15">
        <v>7.6</v>
      </c>
      <c r="L180" s="15">
        <v>0</v>
      </c>
      <c r="M180" s="15">
        <v>0</v>
      </c>
      <c r="N180" s="15">
        <v>0</v>
      </c>
      <c r="O180" s="15">
        <v>0</v>
      </c>
      <c r="P180" s="15">
        <v>0</v>
      </c>
      <c r="Q180" s="15">
        <v>0</v>
      </c>
      <c r="R180" s="15">
        <v>0</v>
      </c>
      <c r="S180" s="15">
        <v>0</v>
      </c>
      <c r="T180" s="15">
        <v>0</v>
      </c>
      <c r="U180" s="15">
        <v>0</v>
      </c>
      <c r="V180" s="15">
        <v>0</v>
      </c>
      <c r="W180" s="15">
        <v>0</v>
      </c>
      <c r="X180" s="15">
        <v>0</v>
      </c>
      <c r="Y180" s="15">
        <v>0</v>
      </c>
      <c r="Z180" s="15">
        <v>0</v>
      </c>
      <c r="AA180" s="15"/>
      <c r="AB180" s="15">
        <v>0</v>
      </c>
      <c r="AC180" s="15">
        <v>0</v>
      </c>
      <c r="AD180" s="15">
        <v>0</v>
      </c>
      <c r="AE180" s="15">
        <v>0</v>
      </c>
      <c r="AF180" s="15">
        <v>0</v>
      </c>
      <c r="AG180" s="15">
        <v>0</v>
      </c>
      <c r="AH180" s="15"/>
      <c r="AI180" s="15">
        <v>0</v>
      </c>
      <c r="AJ180" s="15"/>
      <c r="AK180" s="15">
        <v>0</v>
      </c>
      <c r="AL180" s="15"/>
      <c r="AM180" s="15">
        <v>0</v>
      </c>
      <c r="AN180" s="15"/>
      <c r="AO180" s="15">
        <v>0</v>
      </c>
      <c r="AP180" s="15"/>
      <c r="AQ180" s="15">
        <v>0</v>
      </c>
      <c r="AR180" s="15">
        <v>0</v>
      </c>
      <c r="AS180" s="15">
        <v>0</v>
      </c>
      <c r="AT180" s="15">
        <v>0</v>
      </c>
      <c r="AU180" s="15">
        <v>0</v>
      </c>
      <c r="AV180" s="15">
        <v>0</v>
      </c>
      <c r="AW180" s="15">
        <v>0</v>
      </c>
      <c r="AX180" s="15">
        <v>0</v>
      </c>
      <c r="AY180" s="15">
        <v>2</v>
      </c>
      <c r="AZ180" s="15">
        <v>1</v>
      </c>
      <c r="BA180" s="15">
        <v>1</v>
      </c>
      <c r="BB180" s="15">
        <v>1</v>
      </c>
      <c r="BC180" s="15">
        <v>0</v>
      </c>
      <c r="BD180" s="15">
        <v>0</v>
      </c>
      <c r="BE180" s="15">
        <v>0.04</v>
      </c>
      <c r="BF180" s="15">
        <v>1</v>
      </c>
      <c r="BG180" s="15">
        <v>2</v>
      </c>
      <c r="BH180" s="15">
        <v>0</v>
      </c>
      <c r="BI180" s="15"/>
      <c r="BJ180" s="15">
        <v>0</v>
      </c>
      <c r="BK180" s="15">
        <v>0</v>
      </c>
      <c r="BL180" s="15">
        <v>0</v>
      </c>
      <c r="BM180" s="15">
        <v>0</v>
      </c>
      <c r="BN180" s="15"/>
      <c r="BO180" s="15"/>
      <c r="BP180" s="15">
        <v>0</v>
      </c>
      <c r="BQ180" s="15">
        <v>0</v>
      </c>
      <c r="BR180" s="15">
        <v>0</v>
      </c>
      <c r="BS180" s="15">
        <v>0</v>
      </c>
      <c r="BT180" s="15">
        <v>0</v>
      </c>
      <c r="BU180" s="15">
        <v>0</v>
      </c>
      <c r="BV180" s="15">
        <v>0</v>
      </c>
      <c r="BW180" s="15">
        <v>0</v>
      </c>
      <c r="BX180" s="15">
        <v>0</v>
      </c>
    </row>
    <row r="181" spans="1:76">
      <c r="A181" s="14" t="str">
        <f>VLOOKUP(C181,VLOOKUP!A:B,2,FALSE)</f>
        <v>福到</v>
      </c>
      <c r="B181" s="16">
        <v>46066</v>
      </c>
      <c r="C181" s="17">
        <v>971856893567</v>
      </c>
      <c r="D181" s="15" t="s">
        <v>151</v>
      </c>
      <c r="E181" s="15" t="s">
        <v>152</v>
      </c>
      <c r="F181" s="15">
        <v>145</v>
      </c>
      <c r="G181" s="15">
        <v>2</v>
      </c>
      <c r="H181" s="15">
        <v>0.56</v>
      </c>
      <c r="I181" s="15">
        <v>0.01379</v>
      </c>
      <c r="J181" s="15">
        <v>0.28</v>
      </c>
      <c r="K181" s="15">
        <v>3.86</v>
      </c>
      <c r="L181" s="15">
        <v>0</v>
      </c>
      <c r="M181" s="15">
        <v>0</v>
      </c>
      <c r="N181" s="15">
        <v>0</v>
      </c>
      <c r="O181" s="15">
        <v>0</v>
      </c>
      <c r="P181" s="15">
        <v>0</v>
      </c>
      <c r="Q181" s="15">
        <v>0</v>
      </c>
      <c r="R181" s="15">
        <v>0</v>
      </c>
      <c r="S181" s="15">
        <v>0</v>
      </c>
      <c r="T181" s="15">
        <v>0</v>
      </c>
      <c r="U181" s="15">
        <v>0</v>
      </c>
      <c r="V181" s="15">
        <v>0</v>
      </c>
      <c r="W181" s="15">
        <v>0</v>
      </c>
      <c r="X181" s="15">
        <v>0</v>
      </c>
      <c r="Y181" s="15">
        <v>0</v>
      </c>
      <c r="Z181" s="15">
        <v>0</v>
      </c>
      <c r="AA181" s="15"/>
      <c r="AB181" s="15">
        <v>0</v>
      </c>
      <c r="AC181" s="15">
        <v>0</v>
      </c>
      <c r="AD181" s="15">
        <v>0</v>
      </c>
      <c r="AE181" s="15">
        <v>0</v>
      </c>
      <c r="AF181" s="15">
        <v>0</v>
      </c>
      <c r="AG181" s="15">
        <v>0</v>
      </c>
      <c r="AH181" s="15"/>
      <c r="AI181" s="15">
        <v>0</v>
      </c>
      <c r="AJ181" s="15"/>
      <c r="AK181" s="15">
        <v>0</v>
      </c>
      <c r="AL181" s="15"/>
      <c r="AM181" s="15">
        <v>0</v>
      </c>
      <c r="AN181" s="15"/>
      <c r="AO181" s="15">
        <v>0</v>
      </c>
      <c r="AP181" s="15"/>
      <c r="AQ181" s="15">
        <v>0</v>
      </c>
      <c r="AR181" s="15">
        <v>0</v>
      </c>
      <c r="AS181" s="15">
        <v>0</v>
      </c>
      <c r="AT181" s="15">
        <v>0</v>
      </c>
      <c r="AU181" s="15">
        <v>0</v>
      </c>
      <c r="AV181" s="15">
        <v>0</v>
      </c>
      <c r="AW181" s="15">
        <v>0</v>
      </c>
      <c r="AX181" s="15">
        <v>0</v>
      </c>
      <c r="AY181" s="15">
        <v>0</v>
      </c>
      <c r="AZ181" s="15">
        <v>0</v>
      </c>
      <c r="BA181" s="15">
        <v>0</v>
      </c>
      <c r="BB181" s="15"/>
      <c r="BC181" s="15">
        <v>0</v>
      </c>
      <c r="BD181" s="15">
        <v>0</v>
      </c>
      <c r="BE181" s="15">
        <v>0</v>
      </c>
      <c r="BF181" s="15">
        <v>0</v>
      </c>
      <c r="BG181" s="15"/>
      <c r="BH181" s="15">
        <v>0</v>
      </c>
      <c r="BI181" s="15"/>
      <c r="BJ181" s="15">
        <v>0</v>
      </c>
      <c r="BK181" s="15">
        <v>0</v>
      </c>
      <c r="BL181" s="15">
        <v>0</v>
      </c>
      <c r="BM181" s="15">
        <v>0</v>
      </c>
      <c r="BN181" s="15"/>
      <c r="BO181" s="15"/>
      <c r="BP181" s="15">
        <v>0</v>
      </c>
      <c r="BQ181" s="15">
        <v>0</v>
      </c>
      <c r="BR181" s="15">
        <v>0</v>
      </c>
      <c r="BS181" s="15">
        <v>0</v>
      </c>
      <c r="BT181" s="15">
        <v>0</v>
      </c>
      <c r="BU181" s="15">
        <v>0</v>
      </c>
      <c r="BV181" s="15">
        <v>0</v>
      </c>
      <c r="BW181" s="15">
        <v>0</v>
      </c>
      <c r="BX181" s="15">
        <v>0</v>
      </c>
    </row>
    <row r="182" spans="1:76">
      <c r="A182" s="14" t="str">
        <f>VLOOKUP(C182,VLOOKUP!A:B,2,FALSE)</f>
        <v>如意盘香</v>
      </c>
      <c r="B182" s="16">
        <v>46066</v>
      </c>
      <c r="C182" s="17">
        <v>838711327669</v>
      </c>
      <c r="D182" s="15" t="s">
        <v>151</v>
      </c>
      <c r="E182" s="15" t="s">
        <v>158</v>
      </c>
      <c r="F182" s="15">
        <v>781</v>
      </c>
      <c r="G182" s="15">
        <v>40</v>
      </c>
      <c r="H182" s="15">
        <v>80</v>
      </c>
      <c r="I182" s="15">
        <v>0.05122</v>
      </c>
      <c r="J182" s="15">
        <v>2</v>
      </c>
      <c r="K182" s="15">
        <v>102.43</v>
      </c>
      <c r="L182" s="15">
        <v>0</v>
      </c>
      <c r="M182" s="15">
        <v>0</v>
      </c>
      <c r="N182" s="15">
        <v>0</v>
      </c>
      <c r="O182" s="15">
        <v>0</v>
      </c>
      <c r="P182" s="15">
        <v>0</v>
      </c>
      <c r="Q182" s="15">
        <v>0</v>
      </c>
      <c r="R182" s="15">
        <v>0</v>
      </c>
      <c r="S182" s="15">
        <v>0</v>
      </c>
      <c r="T182" s="15">
        <v>0</v>
      </c>
      <c r="U182" s="15">
        <v>0</v>
      </c>
      <c r="V182" s="15">
        <v>0</v>
      </c>
      <c r="W182" s="15">
        <v>0</v>
      </c>
      <c r="X182" s="15">
        <v>0</v>
      </c>
      <c r="Y182" s="15">
        <v>0</v>
      </c>
      <c r="Z182" s="15">
        <v>0</v>
      </c>
      <c r="AA182" s="15"/>
      <c r="AB182" s="15">
        <v>2</v>
      </c>
      <c r="AC182" s="15">
        <v>0</v>
      </c>
      <c r="AD182" s="15">
        <v>2</v>
      </c>
      <c r="AE182" s="15">
        <v>0.05</v>
      </c>
      <c r="AF182" s="15">
        <v>0</v>
      </c>
      <c r="AG182" s="15">
        <v>0</v>
      </c>
      <c r="AH182" s="15"/>
      <c r="AI182" s="15">
        <v>2</v>
      </c>
      <c r="AJ182" s="15">
        <v>40</v>
      </c>
      <c r="AK182" s="15">
        <v>2</v>
      </c>
      <c r="AL182" s="15">
        <v>40</v>
      </c>
      <c r="AM182" s="15">
        <v>0</v>
      </c>
      <c r="AN182" s="15"/>
      <c r="AO182" s="15">
        <v>0</v>
      </c>
      <c r="AP182" s="15">
        <v>40</v>
      </c>
      <c r="AQ182" s="15">
        <v>0</v>
      </c>
      <c r="AR182" s="15">
        <v>0</v>
      </c>
      <c r="AS182" s="15">
        <v>0</v>
      </c>
      <c r="AT182" s="15">
        <v>0</v>
      </c>
      <c r="AU182" s="15">
        <v>0</v>
      </c>
      <c r="AV182" s="15">
        <v>0</v>
      </c>
      <c r="AW182" s="15">
        <v>0</v>
      </c>
      <c r="AX182" s="15">
        <v>0</v>
      </c>
      <c r="AY182" s="15">
        <v>181</v>
      </c>
      <c r="AZ182" s="15">
        <v>34</v>
      </c>
      <c r="BA182" s="15">
        <v>23</v>
      </c>
      <c r="BB182" s="15">
        <v>0.67647</v>
      </c>
      <c r="BC182" s="15">
        <v>0</v>
      </c>
      <c r="BD182" s="15">
        <v>0</v>
      </c>
      <c r="BE182" s="15">
        <v>0.23175</v>
      </c>
      <c r="BF182" s="15">
        <v>142</v>
      </c>
      <c r="BG182" s="15">
        <v>5</v>
      </c>
      <c r="BH182" s="15">
        <v>0</v>
      </c>
      <c r="BI182" s="15"/>
      <c r="BJ182" s="15">
        <v>0</v>
      </c>
      <c r="BK182" s="15">
        <v>0</v>
      </c>
      <c r="BL182" s="15">
        <v>0</v>
      </c>
      <c r="BM182" s="15">
        <v>0</v>
      </c>
      <c r="BN182" s="15"/>
      <c r="BO182" s="15"/>
      <c r="BP182" s="15">
        <v>1.05</v>
      </c>
      <c r="BQ182" s="15">
        <v>153</v>
      </c>
      <c r="BR182" s="15">
        <v>0</v>
      </c>
      <c r="BS182" s="15">
        <v>0</v>
      </c>
      <c r="BT182" s="15">
        <v>0</v>
      </c>
      <c r="BU182" s="15">
        <v>0</v>
      </c>
      <c r="BV182" s="15">
        <v>0</v>
      </c>
      <c r="BW182" s="15">
        <v>0</v>
      </c>
      <c r="BX182" s="15">
        <v>0</v>
      </c>
    </row>
    <row r="183" spans="1:76">
      <c r="A183" s="14" t="str">
        <f>VLOOKUP(C183,VLOOKUP!A:B,2,FALSE)</f>
        <v>福颜青</v>
      </c>
      <c r="B183" s="16">
        <v>46066</v>
      </c>
      <c r="C183" s="17">
        <v>833369552621</v>
      </c>
      <c r="D183" s="15" t="s">
        <v>151</v>
      </c>
      <c r="E183" s="15" t="s">
        <v>154</v>
      </c>
      <c r="F183" s="15">
        <v>5857</v>
      </c>
      <c r="G183" s="15">
        <v>82</v>
      </c>
      <c r="H183" s="15">
        <v>19.42</v>
      </c>
      <c r="I183" s="15">
        <v>0.014</v>
      </c>
      <c r="J183" s="15">
        <v>0.24</v>
      </c>
      <c r="K183" s="15">
        <v>3.32</v>
      </c>
      <c r="L183" s="15">
        <v>0</v>
      </c>
      <c r="M183" s="15">
        <v>0</v>
      </c>
      <c r="N183" s="15">
        <v>0</v>
      </c>
      <c r="O183" s="15">
        <v>0</v>
      </c>
      <c r="P183" s="15">
        <v>0</v>
      </c>
      <c r="Q183" s="15">
        <v>0</v>
      </c>
      <c r="R183" s="15">
        <v>0</v>
      </c>
      <c r="S183" s="15">
        <v>0</v>
      </c>
      <c r="T183" s="15">
        <v>0</v>
      </c>
      <c r="U183" s="15">
        <v>0</v>
      </c>
      <c r="V183" s="15">
        <v>0</v>
      </c>
      <c r="W183" s="15">
        <v>0</v>
      </c>
      <c r="X183" s="15">
        <v>0</v>
      </c>
      <c r="Y183" s="15">
        <v>0</v>
      </c>
      <c r="Z183" s="15">
        <v>0</v>
      </c>
      <c r="AA183" s="15"/>
      <c r="AB183" s="15">
        <v>1</v>
      </c>
      <c r="AC183" s="15">
        <v>1</v>
      </c>
      <c r="AD183" s="15">
        <v>0</v>
      </c>
      <c r="AE183" s="15">
        <v>0.0122</v>
      </c>
      <c r="AF183" s="15">
        <v>0</v>
      </c>
      <c r="AG183" s="15">
        <v>0</v>
      </c>
      <c r="AH183" s="15"/>
      <c r="AI183" s="15">
        <v>1</v>
      </c>
      <c r="AJ183" s="15">
        <v>19.42</v>
      </c>
      <c r="AK183" s="15">
        <v>1</v>
      </c>
      <c r="AL183" s="15">
        <v>19.42</v>
      </c>
      <c r="AM183" s="15">
        <v>0</v>
      </c>
      <c r="AN183" s="15"/>
      <c r="AO183" s="15">
        <v>0</v>
      </c>
      <c r="AP183" s="15">
        <v>19.42</v>
      </c>
      <c r="AQ183" s="15">
        <v>2</v>
      </c>
      <c r="AR183" s="15">
        <v>3888</v>
      </c>
      <c r="AS183" s="15">
        <v>0</v>
      </c>
      <c r="AT183" s="15">
        <v>0</v>
      </c>
      <c r="AU183" s="15">
        <v>0</v>
      </c>
      <c r="AV183" s="15">
        <v>0</v>
      </c>
      <c r="AW183" s="15">
        <v>0</v>
      </c>
      <c r="AX183" s="15">
        <v>0</v>
      </c>
      <c r="AY183" s="15">
        <v>148</v>
      </c>
      <c r="AZ183" s="15">
        <v>86</v>
      </c>
      <c r="BA183" s="15">
        <v>82</v>
      </c>
      <c r="BB183" s="15">
        <v>0.95349</v>
      </c>
      <c r="BC183" s="15">
        <v>0</v>
      </c>
      <c r="BD183" s="15">
        <v>0</v>
      </c>
      <c r="BE183" s="15">
        <v>0.02527</v>
      </c>
      <c r="BF183" s="15">
        <v>51</v>
      </c>
      <c r="BG183" s="15">
        <v>2</v>
      </c>
      <c r="BH183" s="15">
        <v>0</v>
      </c>
      <c r="BI183" s="15"/>
      <c r="BJ183" s="15">
        <v>0</v>
      </c>
      <c r="BK183" s="15">
        <v>0</v>
      </c>
      <c r="BL183" s="15">
        <v>0</v>
      </c>
      <c r="BM183" s="15">
        <v>0</v>
      </c>
      <c r="BN183" s="15"/>
      <c r="BO183" s="15"/>
      <c r="BP183" s="15">
        <v>0</v>
      </c>
      <c r="BQ183" s="15">
        <v>284</v>
      </c>
      <c r="BR183" s="15">
        <v>0</v>
      </c>
      <c r="BS183" s="15">
        <v>0</v>
      </c>
      <c r="BT183" s="15">
        <v>0</v>
      </c>
      <c r="BU183" s="15">
        <v>0</v>
      </c>
      <c r="BV183" s="15">
        <v>0</v>
      </c>
      <c r="BW183" s="15">
        <v>0</v>
      </c>
      <c r="BX183" s="15">
        <v>0</v>
      </c>
    </row>
    <row r="184" spans="1:76">
      <c r="A184" s="14" t="str">
        <f>VLOOKUP(C184,VLOOKUP!A:B,2,FALSE)</f>
        <v>奇楠手串</v>
      </c>
      <c r="B184" s="16">
        <v>46066</v>
      </c>
      <c r="C184" s="17">
        <v>833035288991</v>
      </c>
      <c r="D184" s="15" t="s">
        <v>151</v>
      </c>
      <c r="E184" s="15" t="s">
        <v>159</v>
      </c>
      <c r="F184" s="15">
        <v>920</v>
      </c>
      <c r="G184" s="15">
        <v>30</v>
      </c>
      <c r="H184" s="15">
        <v>10.69</v>
      </c>
      <c r="I184" s="15">
        <v>0.03261</v>
      </c>
      <c r="J184" s="15">
        <v>0.36</v>
      </c>
      <c r="K184" s="15">
        <v>11.62</v>
      </c>
      <c r="L184" s="15">
        <v>0</v>
      </c>
      <c r="M184" s="15">
        <v>0</v>
      </c>
      <c r="N184" s="15">
        <v>0</v>
      </c>
      <c r="O184" s="15">
        <v>0</v>
      </c>
      <c r="P184" s="15">
        <v>0</v>
      </c>
      <c r="Q184" s="15">
        <v>0</v>
      </c>
      <c r="R184" s="15">
        <v>0</v>
      </c>
      <c r="S184" s="15">
        <v>0</v>
      </c>
      <c r="T184" s="15">
        <v>0</v>
      </c>
      <c r="U184" s="15">
        <v>0</v>
      </c>
      <c r="V184" s="15">
        <v>0</v>
      </c>
      <c r="W184" s="15">
        <v>0</v>
      </c>
      <c r="X184" s="15">
        <v>0</v>
      </c>
      <c r="Y184" s="15">
        <v>0</v>
      </c>
      <c r="Z184" s="15">
        <v>0</v>
      </c>
      <c r="AA184" s="15"/>
      <c r="AB184" s="15">
        <v>1</v>
      </c>
      <c r="AC184" s="15">
        <v>0</v>
      </c>
      <c r="AD184" s="15">
        <v>1</v>
      </c>
      <c r="AE184" s="15">
        <v>0.03333</v>
      </c>
      <c r="AF184" s="15">
        <v>0</v>
      </c>
      <c r="AG184" s="15">
        <v>0</v>
      </c>
      <c r="AH184" s="15"/>
      <c r="AI184" s="15">
        <v>1</v>
      </c>
      <c r="AJ184" s="15">
        <v>10.69</v>
      </c>
      <c r="AK184" s="15">
        <v>1</v>
      </c>
      <c r="AL184" s="15">
        <v>10.69</v>
      </c>
      <c r="AM184" s="15">
        <v>0</v>
      </c>
      <c r="AN184" s="15"/>
      <c r="AO184" s="15">
        <v>0</v>
      </c>
      <c r="AP184" s="15">
        <v>10.69</v>
      </c>
      <c r="AQ184" s="15">
        <v>0</v>
      </c>
      <c r="AR184" s="15">
        <v>0</v>
      </c>
      <c r="AS184" s="15">
        <v>0</v>
      </c>
      <c r="AT184" s="15">
        <v>0</v>
      </c>
      <c r="AU184" s="15">
        <v>0</v>
      </c>
      <c r="AV184" s="15">
        <v>0</v>
      </c>
      <c r="AW184" s="15">
        <v>0</v>
      </c>
      <c r="AX184" s="15">
        <v>0</v>
      </c>
      <c r="AY184" s="15">
        <v>69</v>
      </c>
      <c r="AZ184" s="15">
        <v>27</v>
      </c>
      <c r="BA184" s="15">
        <v>25</v>
      </c>
      <c r="BB184" s="15">
        <v>0.92593</v>
      </c>
      <c r="BC184" s="15">
        <v>0</v>
      </c>
      <c r="BD184" s="15">
        <v>0</v>
      </c>
      <c r="BE184" s="15">
        <v>0.075</v>
      </c>
      <c r="BF184" s="15">
        <v>37</v>
      </c>
      <c r="BG184" s="15">
        <v>3</v>
      </c>
      <c r="BH184" s="15">
        <v>0</v>
      </c>
      <c r="BI184" s="15"/>
      <c r="BJ184" s="15">
        <v>0</v>
      </c>
      <c r="BK184" s="15">
        <v>0</v>
      </c>
      <c r="BL184" s="15">
        <v>0</v>
      </c>
      <c r="BM184" s="15">
        <v>0</v>
      </c>
      <c r="BN184" s="15"/>
      <c r="BO184" s="15"/>
      <c r="BP184" s="15">
        <v>0</v>
      </c>
      <c r="BQ184" s="15">
        <v>66</v>
      </c>
      <c r="BR184" s="15">
        <v>0</v>
      </c>
      <c r="BS184" s="15">
        <v>0</v>
      </c>
      <c r="BT184" s="15">
        <v>0</v>
      </c>
      <c r="BU184" s="15">
        <v>0</v>
      </c>
      <c r="BV184" s="15">
        <v>0</v>
      </c>
      <c r="BW184" s="15">
        <v>0</v>
      </c>
      <c r="BX184" s="15">
        <v>0</v>
      </c>
    </row>
    <row r="185" spans="1:76">
      <c r="A185" s="14" t="str">
        <f>VLOOKUP(C185,VLOOKUP!A:B,2,FALSE)</f>
        <v>天官赐福</v>
      </c>
      <c r="B185" s="16">
        <v>46065</v>
      </c>
      <c r="C185" s="17">
        <v>972494676240</v>
      </c>
      <c r="D185" s="15" t="s">
        <v>151</v>
      </c>
      <c r="E185" s="15" t="s">
        <v>160</v>
      </c>
      <c r="F185" s="15">
        <v>34</v>
      </c>
      <c r="G185" s="15">
        <v>0</v>
      </c>
      <c r="H185" s="15">
        <v>0</v>
      </c>
      <c r="I185" s="15">
        <v>0</v>
      </c>
      <c r="J185" s="15"/>
      <c r="K185" s="15">
        <v>0</v>
      </c>
      <c r="L185" s="15">
        <v>0</v>
      </c>
      <c r="M185" s="15">
        <v>0</v>
      </c>
      <c r="N185" s="15">
        <v>0</v>
      </c>
      <c r="O185" s="15">
        <v>0</v>
      </c>
      <c r="P185" s="15">
        <v>0</v>
      </c>
      <c r="Q185" s="15">
        <v>0</v>
      </c>
      <c r="R185" s="15">
        <v>0</v>
      </c>
      <c r="S185" s="15">
        <v>0</v>
      </c>
      <c r="T185" s="15">
        <v>0</v>
      </c>
      <c r="U185" s="15">
        <v>0</v>
      </c>
      <c r="V185" s="15">
        <v>0</v>
      </c>
      <c r="W185" s="15">
        <v>0</v>
      </c>
      <c r="X185" s="15"/>
      <c r="Y185" s="15"/>
      <c r="Z185" s="15"/>
      <c r="AA185" s="15"/>
      <c r="AB185" s="15">
        <v>0</v>
      </c>
      <c r="AC185" s="15">
        <v>0</v>
      </c>
      <c r="AD185" s="15">
        <v>0</v>
      </c>
      <c r="AE185" s="15"/>
      <c r="AF185" s="15">
        <v>0</v>
      </c>
      <c r="AG185" s="15">
        <v>0</v>
      </c>
      <c r="AH185" s="15"/>
      <c r="AI185" s="15">
        <v>0</v>
      </c>
      <c r="AJ185" s="15"/>
      <c r="AK185" s="15">
        <v>0</v>
      </c>
      <c r="AL185" s="15"/>
      <c r="AM185" s="15">
        <v>0</v>
      </c>
      <c r="AN185" s="15"/>
      <c r="AO185" s="15"/>
      <c r="AP185" s="15"/>
      <c r="AQ185" s="15">
        <v>0</v>
      </c>
      <c r="AR185" s="15">
        <v>0</v>
      </c>
      <c r="AS185" s="15">
        <v>0</v>
      </c>
      <c r="AT185" s="15">
        <v>0</v>
      </c>
      <c r="AU185" s="15">
        <v>0</v>
      </c>
      <c r="AV185" s="15">
        <v>0</v>
      </c>
      <c r="AW185" s="15">
        <v>0</v>
      </c>
      <c r="AX185" s="15">
        <v>0</v>
      </c>
      <c r="AY185" s="15">
        <v>0</v>
      </c>
      <c r="AZ185" s="15">
        <v>0</v>
      </c>
      <c r="BA185" s="15">
        <v>0</v>
      </c>
      <c r="BB185" s="15"/>
      <c r="BC185" s="15"/>
      <c r="BD185" s="15">
        <v>0</v>
      </c>
      <c r="BE185" s="15">
        <v>0</v>
      </c>
      <c r="BF185" s="15">
        <v>0</v>
      </c>
      <c r="BG185" s="15"/>
      <c r="BH185" s="15">
        <v>0</v>
      </c>
      <c r="BI185" s="15"/>
      <c r="BJ185" s="15">
        <v>0</v>
      </c>
      <c r="BK185" s="15">
        <v>0</v>
      </c>
      <c r="BL185" s="15">
        <v>0</v>
      </c>
      <c r="BM185" s="15">
        <v>0</v>
      </c>
      <c r="BN185" s="15"/>
      <c r="BO185" s="15"/>
      <c r="BP185" s="15">
        <v>0</v>
      </c>
      <c r="BQ185" s="15">
        <v>0</v>
      </c>
      <c r="BR185" s="15">
        <v>0</v>
      </c>
      <c r="BS185" s="15">
        <v>0</v>
      </c>
      <c r="BT185" s="15">
        <v>0</v>
      </c>
      <c r="BU185" s="15">
        <v>0</v>
      </c>
      <c r="BV185" s="15">
        <v>0</v>
      </c>
      <c r="BW185" s="15">
        <v>0</v>
      </c>
      <c r="BX185" s="15">
        <v>0</v>
      </c>
    </row>
    <row r="186" spans="1:76">
      <c r="A186" s="14" t="str">
        <f>VLOOKUP(C186,VLOOKUP!A:B,2,FALSE)</f>
        <v>福到</v>
      </c>
      <c r="B186" s="16">
        <v>46065</v>
      </c>
      <c r="C186" s="17">
        <v>971856893567</v>
      </c>
      <c r="D186" s="15" t="s">
        <v>151</v>
      </c>
      <c r="E186" s="15" t="s">
        <v>152</v>
      </c>
      <c r="F186" s="15">
        <v>191</v>
      </c>
      <c r="G186" s="15">
        <v>2</v>
      </c>
      <c r="H186" s="15">
        <v>0.47</v>
      </c>
      <c r="I186" s="15">
        <v>0.01047</v>
      </c>
      <c r="J186" s="15">
        <v>0.24</v>
      </c>
      <c r="K186" s="15">
        <v>2.46</v>
      </c>
      <c r="L186" s="15">
        <v>0</v>
      </c>
      <c r="M186" s="15">
        <v>0</v>
      </c>
      <c r="N186" s="15">
        <v>0</v>
      </c>
      <c r="O186" s="15">
        <v>0</v>
      </c>
      <c r="P186" s="15">
        <v>0</v>
      </c>
      <c r="Q186" s="15">
        <v>0</v>
      </c>
      <c r="R186" s="15">
        <v>0</v>
      </c>
      <c r="S186" s="15">
        <v>0</v>
      </c>
      <c r="T186" s="15">
        <v>0</v>
      </c>
      <c r="U186" s="15">
        <v>0</v>
      </c>
      <c r="V186" s="15">
        <v>0</v>
      </c>
      <c r="W186" s="15">
        <v>0</v>
      </c>
      <c r="X186" s="15">
        <v>0</v>
      </c>
      <c r="Y186" s="15">
        <v>0</v>
      </c>
      <c r="Z186" s="15">
        <v>0</v>
      </c>
      <c r="AA186" s="15"/>
      <c r="AB186" s="15">
        <v>0</v>
      </c>
      <c r="AC186" s="15">
        <v>0</v>
      </c>
      <c r="AD186" s="15">
        <v>0</v>
      </c>
      <c r="AE186" s="15">
        <v>0</v>
      </c>
      <c r="AF186" s="15">
        <v>0</v>
      </c>
      <c r="AG186" s="15">
        <v>0</v>
      </c>
      <c r="AH186" s="15"/>
      <c r="AI186" s="15">
        <v>0</v>
      </c>
      <c r="AJ186" s="15"/>
      <c r="AK186" s="15">
        <v>0</v>
      </c>
      <c r="AL186" s="15"/>
      <c r="AM186" s="15">
        <v>0</v>
      </c>
      <c r="AN186" s="15"/>
      <c r="AO186" s="15">
        <v>0</v>
      </c>
      <c r="AP186" s="15"/>
      <c r="AQ186" s="15">
        <v>0</v>
      </c>
      <c r="AR186" s="15">
        <v>0</v>
      </c>
      <c r="AS186" s="15">
        <v>0</v>
      </c>
      <c r="AT186" s="15">
        <v>0</v>
      </c>
      <c r="AU186" s="15">
        <v>0</v>
      </c>
      <c r="AV186" s="15">
        <v>0</v>
      </c>
      <c r="AW186" s="15">
        <v>0</v>
      </c>
      <c r="AX186" s="15">
        <v>1</v>
      </c>
      <c r="AY186" s="15">
        <v>15</v>
      </c>
      <c r="AZ186" s="15">
        <v>2</v>
      </c>
      <c r="BA186" s="15">
        <v>1</v>
      </c>
      <c r="BB186" s="15">
        <v>0.5</v>
      </c>
      <c r="BC186" s="15">
        <v>0</v>
      </c>
      <c r="BD186" s="15">
        <v>0</v>
      </c>
      <c r="BE186" s="15">
        <v>0.07853</v>
      </c>
      <c r="BF186" s="15">
        <v>13</v>
      </c>
      <c r="BG186" s="15">
        <v>8</v>
      </c>
      <c r="BH186" s="15">
        <v>0</v>
      </c>
      <c r="BI186" s="15"/>
      <c r="BJ186" s="15">
        <v>0</v>
      </c>
      <c r="BK186" s="15">
        <v>0</v>
      </c>
      <c r="BL186" s="15">
        <v>0</v>
      </c>
      <c r="BM186" s="15">
        <v>0</v>
      </c>
      <c r="BN186" s="15"/>
      <c r="BO186" s="15"/>
      <c r="BP186" s="15">
        <v>0</v>
      </c>
      <c r="BQ186" s="15">
        <v>1</v>
      </c>
      <c r="BR186" s="15">
        <v>0</v>
      </c>
      <c r="BS186" s="15">
        <v>0</v>
      </c>
      <c r="BT186" s="15">
        <v>0</v>
      </c>
      <c r="BU186" s="15">
        <v>0</v>
      </c>
      <c r="BV186" s="15">
        <v>0</v>
      </c>
      <c r="BW186" s="15">
        <v>0</v>
      </c>
      <c r="BX186" s="15">
        <v>0</v>
      </c>
    </row>
    <row r="187" spans="1:76">
      <c r="A187" s="14" t="str">
        <f>VLOOKUP(C187,VLOOKUP!A:B,2,FALSE)</f>
        <v>如意盘香</v>
      </c>
      <c r="B187" s="16">
        <v>46065</v>
      </c>
      <c r="C187" s="17">
        <v>838711327669</v>
      </c>
      <c r="D187" s="15" t="s">
        <v>151</v>
      </c>
      <c r="E187" s="15" t="s">
        <v>158</v>
      </c>
      <c r="F187" s="15">
        <v>1063</v>
      </c>
      <c r="G187" s="15">
        <v>45</v>
      </c>
      <c r="H187" s="15">
        <v>74.49</v>
      </c>
      <c r="I187" s="15">
        <v>0.04233</v>
      </c>
      <c r="J187" s="15">
        <v>1.66</v>
      </c>
      <c r="K187" s="15">
        <v>70.08</v>
      </c>
      <c r="L187" s="15">
        <v>0</v>
      </c>
      <c r="M187" s="15">
        <v>0</v>
      </c>
      <c r="N187" s="15">
        <v>0</v>
      </c>
      <c r="O187" s="15">
        <v>0</v>
      </c>
      <c r="P187" s="15">
        <v>0</v>
      </c>
      <c r="Q187" s="15">
        <v>0</v>
      </c>
      <c r="R187" s="15">
        <v>0</v>
      </c>
      <c r="S187" s="15">
        <v>165</v>
      </c>
      <c r="T187" s="15">
        <v>165</v>
      </c>
      <c r="U187" s="15">
        <v>1</v>
      </c>
      <c r="V187" s="15">
        <v>0</v>
      </c>
      <c r="W187" s="15">
        <v>1</v>
      </c>
      <c r="X187" s="15">
        <v>0.02222</v>
      </c>
      <c r="Y187" s="15">
        <v>2.22</v>
      </c>
      <c r="Z187" s="15">
        <v>2.22</v>
      </c>
      <c r="AA187" s="15">
        <v>74.49</v>
      </c>
      <c r="AB187" s="15">
        <v>3</v>
      </c>
      <c r="AC187" s="15">
        <v>1</v>
      </c>
      <c r="AD187" s="15">
        <v>2</v>
      </c>
      <c r="AE187" s="15">
        <v>0.06667</v>
      </c>
      <c r="AF187" s="15">
        <v>0</v>
      </c>
      <c r="AG187" s="15">
        <v>1</v>
      </c>
      <c r="AH187" s="15">
        <v>74.49</v>
      </c>
      <c r="AI187" s="15">
        <v>4</v>
      </c>
      <c r="AJ187" s="15">
        <v>18.62</v>
      </c>
      <c r="AK187" s="15">
        <v>3</v>
      </c>
      <c r="AL187" s="15">
        <v>24.83</v>
      </c>
      <c r="AM187" s="15">
        <v>1</v>
      </c>
      <c r="AN187" s="15"/>
      <c r="AO187" s="15">
        <v>0</v>
      </c>
      <c r="AP187" s="15">
        <v>24.83</v>
      </c>
      <c r="AQ187" s="15">
        <v>2</v>
      </c>
      <c r="AR187" s="15">
        <v>217.9</v>
      </c>
      <c r="AS187" s="15">
        <v>0</v>
      </c>
      <c r="AT187" s="15">
        <v>0</v>
      </c>
      <c r="AU187" s="15">
        <v>0</v>
      </c>
      <c r="AV187" s="15">
        <v>0</v>
      </c>
      <c r="AW187" s="15">
        <v>0</v>
      </c>
      <c r="AX187" s="15">
        <v>0</v>
      </c>
      <c r="AY187" s="15">
        <v>137</v>
      </c>
      <c r="AZ187" s="15">
        <v>43</v>
      </c>
      <c r="BA187" s="15">
        <v>36</v>
      </c>
      <c r="BB187" s="15">
        <v>0.83721</v>
      </c>
      <c r="BC187" s="15">
        <v>0</v>
      </c>
      <c r="BD187" s="15">
        <v>0</v>
      </c>
      <c r="BE187" s="15">
        <v>0.12888</v>
      </c>
      <c r="BF187" s="15">
        <v>88</v>
      </c>
      <c r="BG187" s="15">
        <v>3</v>
      </c>
      <c r="BH187" s="15">
        <v>1</v>
      </c>
      <c r="BI187" s="15">
        <v>1</v>
      </c>
      <c r="BJ187" s="15">
        <v>0</v>
      </c>
      <c r="BK187" s="15">
        <v>0</v>
      </c>
      <c r="BL187" s="15">
        <v>0</v>
      </c>
      <c r="BM187" s="15">
        <v>1</v>
      </c>
      <c r="BN187" s="15">
        <v>1</v>
      </c>
      <c r="BO187" s="15">
        <v>165</v>
      </c>
      <c r="BP187" s="15">
        <v>0.49</v>
      </c>
      <c r="BQ187" s="15">
        <v>296</v>
      </c>
      <c r="BR187" s="15">
        <v>0</v>
      </c>
      <c r="BS187" s="15">
        <v>0</v>
      </c>
      <c r="BT187" s="15">
        <v>0</v>
      </c>
      <c r="BU187" s="15">
        <v>0</v>
      </c>
      <c r="BV187" s="15">
        <v>0</v>
      </c>
      <c r="BW187" s="15">
        <v>0</v>
      </c>
      <c r="BX187" s="15">
        <v>0</v>
      </c>
    </row>
    <row r="188" spans="1:76">
      <c r="A188" s="14" t="str">
        <f>VLOOKUP(C188,VLOOKUP!A:B,2,FALSE)</f>
        <v>福颜青</v>
      </c>
      <c r="B188" s="16">
        <v>46065</v>
      </c>
      <c r="C188" s="17">
        <v>833369552621</v>
      </c>
      <c r="D188" s="15" t="s">
        <v>151</v>
      </c>
      <c r="E188" s="15" t="s">
        <v>154</v>
      </c>
      <c r="F188" s="15">
        <v>3227</v>
      </c>
      <c r="G188" s="15">
        <v>49</v>
      </c>
      <c r="H188" s="15">
        <v>12.4</v>
      </c>
      <c r="I188" s="15">
        <v>0.01518</v>
      </c>
      <c r="J188" s="15">
        <v>0.25</v>
      </c>
      <c r="K188" s="15">
        <v>3.84</v>
      </c>
      <c r="L188" s="15">
        <v>0</v>
      </c>
      <c r="M188" s="15">
        <v>0</v>
      </c>
      <c r="N188" s="15">
        <v>0</v>
      </c>
      <c r="O188" s="15">
        <v>0</v>
      </c>
      <c r="P188" s="15">
        <v>0</v>
      </c>
      <c r="Q188" s="15">
        <v>0</v>
      </c>
      <c r="R188" s="15">
        <v>0</v>
      </c>
      <c r="S188" s="15">
        <v>0</v>
      </c>
      <c r="T188" s="15">
        <v>0</v>
      </c>
      <c r="U188" s="15">
        <v>0</v>
      </c>
      <c r="V188" s="15">
        <v>0</v>
      </c>
      <c r="W188" s="15">
        <v>0</v>
      </c>
      <c r="X188" s="15">
        <v>0</v>
      </c>
      <c r="Y188" s="15">
        <v>0</v>
      </c>
      <c r="Z188" s="15">
        <v>0</v>
      </c>
      <c r="AA188" s="15"/>
      <c r="AB188" s="15">
        <v>0</v>
      </c>
      <c r="AC188" s="15">
        <v>0</v>
      </c>
      <c r="AD188" s="15">
        <v>0</v>
      </c>
      <c r="AE188" s="15">
        <v>0</v>
      </c>
      <c r="AF188" s="15">
        <v>0</v>
      </c>
      <c r="AG188" s="15">
        <v>0</v>
      </c>
      <c r="AH188" s="15"/>
      <c r="AI188" s="15">
        <v>0</v>
      </c>
      <c r="AJ188" s="15"/>
      <c r="AK188" s="15">
        <v>0</v>
      </c>
      <c r="AL188" s="15"/>
      <c r="AM188" s="15">
        <v>0</v>
      </c>
      <c r="AN188" s="15"/>
      <c r="AO188" s="15">
        <v>0</v>
      </c>
      <c r="AP188" s="15"/>
      <c r="AQ188" s="15">
        <v>0</v>
      </c>
      <c r="AR188" s="15">
        <v>0</v>
      </c>
      <c r="AS188" s="15">
        <v>0</v>
      </c>
      <c r="AT188" s="15">
        <v>0</v>
      </c>
      <c r="AU188" s="15">
        <v>0</v>
      </c>
      <c r="AV188" s="15">
        <v>0</v>
      </c>
      <c r="AW188" s="15">
        <v>0</v>
      </c>
      <c r="AX188" s="15">
        <v>0</v>
      </c>
      <c r="AY188" s="15">
        <v>110</v>
      </c>
      <c r="AZ188" s="15">
        <v>65</v>
      </c>
      <c r="BA188" s="15">
        <v>61</v>
      </c>
      <c r="BB188" s="15">
        <v>0.93846</v>
      </c>
      <c r="BC188" s="15">
        <v>0</v>
      </c>
      <c r="BD188" s="15">
        <v>0</v>
      </c>
      <c r="BE188" s="15">
        <v>0.03409</v>
      </c>
      <c r="BF188" s="15">
        <v>39</v>
      </c>
      <c r="BG188" s="15">
        <v>2</v>
      </c>
      <c r="BH188" s="15">
        <v>0</v>
      </c>
      <c r="BI188" s="15"/>
      <c r="BJ188" s="15">
        <v>0</v>
      </c>
      <c r="BK188" s="15">
        <v>0</v>
      </c>
      <c r="BL188" s="15">
        <v>0</v>
      </c>
      <c r="BM188" s="15">
        <v>0</v>
      </c>
      <c r="BN188" s="15"/>
      <c r="BO188" s="15"/>
      <c r="BP188" s="15">
        <v>0</v>
      </c>
      <c r="BQ188" s="15">
        <v>5</v>
      </c>
      <c r="BR188" s="15">
        <v>0</v>
      </c>
      <c r="BS188" s="15">
        <v>0</v>
      </c>
      <c r="BT188" s="15">
        <v>0</v>
      </c>
      <c r="BU188" s="15">
        <v>0</v>
      </c>
      <c r="BV188" s="15">
        <v>0</v>
      </c>
      <c r="BW188" s="15">
        <v>0</v>
      </c>
      <c r="BX188" s="15">
        <v>0</v>
      </c>
    </row>
    <row r="189" spans="1:76">
      <c r="A189" s="14" t="str">
        <f>VLOOKUP(C189,VLOOKUP!A:B,2,FALSE)</f>
        <v>奇楠手串</v>
      </c>
      <c r="B189" s="16">
        <v>46065</v>
      </c>
      <c r="C189" s="17">
        <v>833035288991</v>
      </c>
      <c r="D189" s="15" t="s">
        <v>151</v>
      </c>
      <c r="E189" s="15" t="s">
        <v>159</v>
      </c>
      <c r="F189" s="15">
        <v>2051</v>
      </c>
      <c r="G189" s="15">
        <v>59</v>
      </c>
      <c r="H189" s="15">
        <v>19.89</v>
      </c>
      <c r="I189" s="15">
        <v>0.02877</v>
      </c>
      <c r="J189" s="15">
        <v>0.34</v>
      </c>
      <c r="K189" s="15">
        <v>9.7</v>
      </c>
      <c r="L189" s="15">
        <v>0</v>
      </c>
      <c r="M189" s="15">
        <v>0</v>
      </c>
      <c r="N189" s="15">
        <v>0</v>
      </c>
      <c r="O189" s="15">
        <v>0</v>
      </c>
      <c r="P189" s="15">
        <v>0</v>
      </c>
      <c r="Q189" s="15">
        <v>0</v>
      </c>
      <c r="R189" s="15">
        <v>0</v>
      </c>
      <c r="S189" s="15">
        <v>0</v>
      </c>
      <c r="T189" s="15">
        <v>0</v>
      </c>
      <c r="U189" s="15">
        <v>0</v>
      </c>
      <c r="V189" s="15">
        <v>0</v>
      </c>
      <c r="W189" s="15">
        <v>0</v>
      </c>
      <c r="X189" s="15">
        <v>0</v>
      </c>
      <c r="Y189" s="15">
        <v>0</v>
      </c>
      <c r="Z189" s="15">
        <v>0</v>
      </c>
      <c r="AA189" s="15"/>
      <c r="AB189" s="15">
        <v>0</v>
      </c>
      <c r="AC189" s="15">
        <v>0</v>
      </c>
      <c r="AD189" s="15">
        <v>0</v>
      </c>
      <c r="AE189" s="15">
        <v>0</v>
      </c>
      <c r="AF189" s="15">
        <v>1</v>
      </c>
      <c r="AG189" s="15">
        <v>0</v>
      </c>
      <c r="AH189" s="15"/>
      <c r="AI189" s="15">
        <v>1</v>
      </c>
      <c r="AJ189" s="15">
        <v>19.89</v>
      </c>
      <c r="AK189" s="15">
        <v>1</v>
      </c>
      <c r="AL189" s="15">
        <v>19.89</v>
      </c>
      <c r="AM189" s="15">
        <v>1</v>
      </c>
      <c r="AN189" s="15">
        <v>19.89</v>
      </c>
      <c r="AO189" s="15">
        <v>0.01695</v>
      </c>
      <c r="AP189" s="15"/>
      <c r="AQ189" s="15">
        <v>0</v>
      </c>
      <c r="AR189" s="15">
        <v>0</v>
      </c>
      <c r="AS189" s="15">
        <v>0</v>
      </c>
      <c r="AT189" s="15">
        <v>1</v>
      </c>
      <c r="AU189" s="15">
        <v>0</v>
      </c>
      <c r="AV189" s="15">
        <v>0</v>
      </c>
      <c r="AW189" s="15">
        <v>0</v>
      </c>
      <c r="AX189" s="15">
        <v>0</v>
      </c>
      <c r="AY189" s="15">
        <v>105</v>
      </c>
      <c r="AZ189" s="15">
        <v>55</v>
      </c>
      <c r="BA189" s="15">
        <v>51</v>
      </c>
      <c r="BB189" s="15">
        <v>0.92727</v>
      </c>
      <c r="BC189" s="15">
        <v>0</v>
      </c>
      <c r="BD189" s="15">
        <v>0</v>
      </c>
      <c r="BE189" s="15">
        <v>0.05119</v>
      </c>
      <c r="BF189" s="15">
        <v>47</v>
      </c>
      <c r="BG189" s="15">
        <v>2</v>
      </c>
      <c r="BH189" s="15">
        <v>0</v>
      </c>
      <c r="BI189" s="15"/>
      <c r="BJ189" s="15">
        <v>0</v>
      </c>
      <c r="BK189" s="15">
        <v>0</v>
      </c>
      <c r="BL189" s="15">
        <v>0</v>
      </c>
      <c r="BM189" s="15">
        <v>0</v>
      </c>
      <c r="BN189" s="15"/>
      <c r="BO189" s="15"/>
      <c r="BP189" s="15">
        <v>0</v>
      </c>
      <c r="BQ189" s="15">
        <v>6</v>
      </c>
      <c r="BR189" s="15">
        <v>0</v>
      </c>
      <c r="BS189" s="15">
        <v>0</v>
      </c>
      <c r="BT189" s="15">
        <v>0</v>
      </c>
      <c r="BU189" s="15">
        <v>0</v>
      </c>
      <c r="BV189" s="15">
        <v>0</v>
      </c>
      <c r="BW189" s="15">
        <v>0</v>
      </c>
      <c r="BX189" s="15">
        <v>0</v>
      </c>
    </row>
    <row r="190" spans="1:76">
      <c r="A190" s="14" t="str">
        <f>VLOOKUP(C190,VLOOKUP!A:B,2,FALSE)</f>
        <v>天官赐福</v>
      </c>
      <c r="B190" s="16">
        <v>46064</v>
      </c>
      <c r="C190" s="17">
        <v>972494676240</v>
      </c>
      <c r="D190" s="15" t="s">
        <v>151</v>
      </c>
      <c r="E190" s="15" t="s">
        <v>160</v>
      </c>
      <c r="F190" s="15">
        <v>75</v>
      </c>
      <c r="G190" s="15">
        <v>3</v>
      </c>
      <c r="H190" s="15">
        <v>1.13</v>
      </c>
      <c r="I190" s="15">
        <v>0.04</v>
      </c>
      <c r="J190" s="15">
        <v>0.38</v>
      </c>
      <c r="K190" s="15">
        <v>15.07</v>
      </c>
      <c r="L190" s="15">
        <v>0</v>
      </c>
      <c r="M190" s="15">
        <v>0</v>
      </c>
      <c r="N190" s="15">
        <v>0</v>
      </c>
      <c r="O190" s="15">
        <v>0</v>
      </c>
      <c r="P190" s="15">
        <v>0</v>
      </c>
      <c r="Q190" s="15">
        <v>0</v>
      </c>
      <c r="R190" s="15">
        <v>0</v>
      </c>
      <c r="S190" s="15">
        <v>0</v>
      </c>
      <c r="T190" s="15">
        <v>0</v>
      </c>
      <c r="U190" s="15">
        <v>0</v>
      </c>
      <c r="V190" s="15">
        <v>0</v>
      </c>
      <c r="W190" s="15">
        <v>0</v>
      </c>
      <c r="X190" s="15">
        <v>0</v>
      </c>
      <c r="Y190" s="15">
        <v>0</v>
      </c>
      <c r="Z190" s="15">
        <v>0</v>
      </c>
      <c r="AA190" s="15"/>
      <c r="AB190" s="15">
        <v>0</v>
      </c>
      <c r="AC190" s="15">
        <v>0</v>
      </c>
      <c r="AD190" s="15">
        <v>0</v>
      </c>
      <c r="AE190" s="15">
        <v>0</v>
      </c>
      <c r="AF190" s="15">
        <v>0</v>
      </c>
      <c r="AG190" s="15">
        <v>0</v>
      </c>
      <c r="AH190" s="15"/>
      <c r="AI190" s="15">
        <v>0</v>
      </c>
      <c r="AJ190" s="15"/>
      <c r="AK190" s="15">
        <v>0</v>
      </c>
      <c r="AL190" s="15"/>
      <c r="AM190" s="15">
        <v>0</v>
      </c>
      <c r="AN190" s="15"/>
      <c r="AO190" s="15">
        <v>0</v>
      </c>
      <c r="AP190" s="15"/>
      <c r="AQ190" s="15">
        <v>0</v>
      </c>
      <c r="AR190" s="15">
        <v>0</v>
      </c>
      <c r="AS190" s="15">
        <v>0</v>
      </c>
      <c r="AT190" s="15">
        <v>0</v>
      </c>
      <c r="AU190" s="15">
        <v>0</v>
      </c>
      <c r="AV190" s="15">
        <v>0</v>
      </c>
      <c r="AW190" s="15">
        <v>0</v>
      </c>
      <c r="AX190" s="15">
        <v>0</v>
      </c>
      <c r="AY190" s="15">
        <v>3</v>
      </c>
      <c r="AZ190" s="15">
        <v>3</v>
      </c>
      <c r="BA190" s="15">
        <v>3</v>
      </c>
      <c r="BB190" s="15">
        <v>1</v>
      </c>
      <c r="BC190" s="15">
        <v>0</v>
      </c>
      <c r="BD190" s="15">
        <v>0</v>
      </c>
      <c r="BE190" s="15">
        <v>0.04</v>
      </c>
      <c r="BF190" s="15">
        <v>0</v>
      </c>
      <c r="BG190" s="15">
        <v>1</v>
      </c>
      <c r="BH190" s="15">
        <v>0</v>
      </c>
      <c r="BI190" s="15"/>
      <c r="BJ190" s="15">
        <v>0</v>
      </c>
      <c r="BK190" s="15">
        <v>0</v>
      </c>
      <c r="BL190" s="15">
        <v>0</v>
      </c>
      <c r="BM190" s="15">
        <v>0</v>
      </c>
      <c r="BN190" s="15"/>
      <c r="BO190" s="15"/>
      <c r="BP190" s="15">
        <v>0</v>
      </c>
      <c r="BQ190" s="15">
        <v>0</v>
      </c>
      <c r="BR190" s="15">
        <v>0</v>
      </c>
      <c r="BS190" s="15">
        <v>0</v>
      </c>
      <c r="BT190" s="15">
        <v>0</v>
      </c>
      <c r="BU190" s="15">
        <v>0</v>
      </c>
      <c r="BV190" s="15">
        <v>0</v>
      </c>
      <c r="BW190" s="15">
        <v>0</v>
      </c>
      <c r="BX190" s="15">
        <v>0</v>
      </c>
    </row>
    <row r="191" spans="1:76">
      <c r="A191" s="14" t="str">
        <f>VLOOKUP(C191,VLOOKUP!A:B,2,FALSE)</f>
        <v>福到</v>
      </c>
      <c r="B191" s="16">
        <v>46064</v>
      </c>
      <c r="C191" s="17">
        <v>971856893567</v>
      </c>
      <c r="D191" s="15" t="s">
        <v>151</v>
      </c>
      <c r="E191" s="15" t="s">
        <v>152</v>
      </c>
      <c r="F191" s="15">
        <v>199</v>
      </c>
      <c r="G191" s="15">
        <v>5</v>
      </c>
      <c r="H191" s="15">
        <v>1.26</v>
      </c>
      <c r="I191" s="15">
        <v>0.02513</v>
      </c>
      <c r="J191" s="15">
        <v>0.25</v>
      </c>
      <c r="K191" s="15">
        <v>6.33</v>
      </c>
      <c r="L191" s="15">
        <v>0</v>
      </c>
      <c r="M191" s="15">
        <v>0</v>
      </c>
      <c r="N191" s="15">
        <v>0</v>
      </c>
      <c r="O191" s="15">
        <v>0</v>
      </c>
      <c r="P191" s="15">
        <v>0</v>
      </c>
      <c r="Q191" s="15">
        <v>0</v>
      </c>
      <c r="R191" s="15">
        <v>0</v>
      </c>
      <c r="S191" s="15">
        <v>0</v>
      </c>
      <c r="T191" s="15">
        <v>0</v>
      </c>
      <c r="U191" s="15">
        <v>0</v>
      </c>
      <c r="V191" s="15">
        <v>0</v>
      </c>
      <c r="W191" s="15">
        <v>0</v>
      </c>
      <c r="X191" s="15">
        <v>0</v>
      </c>
      <c r="Y191" s="15">
        <v>0</v>
      </c>
      <c r="Z191" s="15">
        <v>0</v>
      </c>
      <c r="AA191" s="15"/>
      <c r="AB191" s="15">
        <v>0</v>
      </c>
      <c r="AC191" s="15">
        <v>0</v>
      </c>
      <c r="AD191" s="15">
        <v>0</v>
      </c>
      <c r="AE191" s="15">
        <v>0</v>
      </c>
      <c r="AF191" s="15">
        <v>0</v>
      </c>
      <c r="AG191" s="15">
        <v>0</v>
      </c>
      <c r="AH191" s="15"/>
      <c r="AI191" s="15">
        <v>0</v>
      </c>
      <c r="AJ191" s="15"/>
      <c r="AK191" s="15">
        <v>0</v>
      </c>
      <c r="AL191" s="15"/>
      <c r="AM191" s="15">
        <v>0</v>
      </c>
      <c r="AN191" s="15"/>
      <c r="AO191" s="15">
        <v>0</v>
      </c>
      <c r="AP191" s="15"/>
      <c r="AQ191" s="15">
        <v>0</v>
      </c>
      <c r="AR191" s="15">
        <v>0</v>
      </c>
      <c r="AS191" s="15">
        <v>0</v>
      </c>
      <c r="AT191" s="15">
        <v>0</v>
      </c>
      <c r="AU191" s="15">
        <v>0</v>
      </c>
      <c r="AV191" s="15">
        <v>0</v>
      </c>
      <c r="AW191" s="15">
        <v>0</v>
      </c>
      <c r="AX191" s="15">
        <v>0</v>
      </c>
      <c r="AY191" s="15">
        <v>6</v>
      </c>
      <c r="AZ191" s="15">
        <v>5</v>
      </c>
      <c r="BA191" s="15">
        <v>5</v>
      </c>
      <c r="BB191" s="15">
        <v>1</v>
      </c>
      <c r="BC191" s="15">
        <v>0</v>
      </c>
      <c r="BD191" s="15">
        <v>0</v>
      </c>
      <c r="BE191" s="15">
        <v>0.03015</v>
      </c>
      <c r="BF191" s="15">
        <v>0</v>
      </c>
      <c r="BG191" s="15">
        <v>1</v>
      </c>
      <c r="BH191" s="15">
        <v>0</v>
      </c>
      <c r="BI191" s="15"/>
      <c r="BJ191" s="15">
        <v>0</v>
      </c>
      <c r="BK191" s="15">
        <v>0</v>
      </c>
      <c r="BL191" s="15">
        <v>0</v>
      </c>
      <c r="BM191" s="15">
        <v>0</v>
      </c>
      <c r="BN191" s="15"/>
      <c r="BO191" s="15"/>
      <c r="BP191" s="15">
        <v>0</v>
      </c>
      <c r="BQ191" s="15">
        <v>0</v>
      </c>
      <c r="BR191" s="15">
        <v>0</v>
      </c>
      <c r="BS191" s="15">
        <v>0</v>
      </c>
      <c r="BT191" s="15">
        <v>0</v>
      </c>
      <c r="BU191" s="15">
        <v>0</v>
      </c>
      <c r="BV191" s="15">
        <v>0</v>
      </c>
      <c r="BW191" s="15">
        <v>0</v>
      </c>
      <c r="BX191" s="15">
        <v>0</v>
      </c>
    </row>
    <row r="192" spans="1:76">
      <c r="A192" s="14" t="str">
        <f>VLOOKUP(C192,VLOOKUP!A:B,2,FALSE)</f>
        <v>如意盘香</v>
      </c>
      <c r="B192" s="16">
        <v>46064</v>
      </c>
      <c r="C192" s="17">
        <v>838711327669</v>
      </c>
      <c r="D192" s="15" t="s">
        <v>151</v>
      </c>
      <c r="E192" s="15" t="s">
        <v>158</v>
      </c>
      <c r="F192" s="15">
        <v>1023</v>
      </c>
      <c r="G192" s="15">
        <v>36</v>
      </c>
      <c r="H192" s="15">
        <v>80</v>
      </c>
      <c r="I192" s="15">
        <v>0.03519</v>
      </c>
      <c r="J192" s="15">
        <v>2.22</v>
      </c>
      <c r="K192" s="15">
        <v>78.2</v>
      </c>
      <c r="L192" s="15">
        <v>0</v>
      </c>
      <c r="M192" s="15">
        <v>0</v>
      </c>
      <c r="N192" s="15">
        <v>0</v>
      </c>
      <c r="O192" s="15">
        <v>0</v>
      </c>
      <c r="P192" s="15">
        <v>0</v>
      </c>
      <c r="Q192" s="15">
        <v>0</v>
      </c>
      <c r="R192" s="15">
        <v>0</v>
      </c>
      <c r="S192" s="15">
        <v>0</v>
      </c>
      <c r="T192" s="15">
        <v>0</v>
      </c>
      <c r="U192" s="15">
        <v>0</v>
      </c>
      <c r="V192" s="15">
        <v>0</v>
      </c>
      <c r="W192" s="15">
        <v>0</v>
      </c>
      <c r="X192" s="15">
        <v>0</v>
      </c>
      <c r="Y192" s="15">
        <v>0</v>
      </c>
      <c r="Z192" s="15">
        <v>0</v>
      </c>
      <c r="AA192" s="15"/>
      <c r="AB192" s="15">
        <v>4</v>
      </c>
      <c r="AC192" s="15">
        <v>2</v>
      </c>
      <c r="AD192" s="15">
        <v>2</v>
      </c>
      <c r="AE192" s="15">
        <v>0.11111</v>
      </c>
      <c r="AF192" s="15">
        <v>1</v>
      </c>
      <c r="AG192" s="15">
        <v>0</v>
      </c>
      <c r="AH192" s="15"/>
      <c r="AI192" s="15">
        <v>5</v>
      </c>
      <c r="AJ192" s="15">
        <v>16</v>
      </c>
      <c r="AK192" s="15">
        <v>5</v>
      </c>
      <c r="AL192" s="15">
        <v>16</v>
      </c>
      <c r="AM192" s="15">
        <v>1</v>
      </c>
      <c r="AN192" s="15">
        <v>80</v>
      </c>
      <c r="AO192" s="15">
        <v>0.02778</v>
      </c>
      <c r="AP192" s="15">
        <v>20</v>
      </c>
      <c r="AQ192" s="15">
        <v>0</v>
      </c>
      <c r="AR192" s="15">
        <v>0</v>
      </c>
      <c r="AS192" s="15">
        <v>0</v>
      </c>
      <c r="AT192" s="15">
        <v>1</v>
      </c>
      <c r="AU192" s="15">
        <v>0</v>
      </c>
      <c r="AV192" s="15">
        <v>0</v>
      </c>
      <c r="AW192" s="15">
        <v>0</v>
      </c>
      <c r="AX192" s="15">
        <v>0</v>
      </c>
      <c r="AY192" s="15">
        <v>104</v>
      </c>
      <c r="AZ192" s="15">
        <v>36</v>
      </c>
      <c r="BA192" s="15">
        <v>26</v>
      </c>
      <c r="BB192" s="15">
        <v>0.72222</v>
      </c>
      <c r="BC192" s="15">
        <v>0</v>
      </c>
      <c r="BD192" s="15">
        <v>0</v>
      </c>
      <c r="BE192" s="15">
        <v>0.10166</v>
      </c>
      <c r="BF192" s="15">
        <v>66</v>
      </c>
      <c r="BG192" s="15">
        <v>3</v>
      </c>
      <c r="BH192" s="15">
        <v>0</v>
      </c>
      <c r="BI192" s="15"/>
      <c r="BJ192" s="15">
        <v>0</v>
      </c>
      <c r="BK192" s="15">
        <v>0</v>
      </c>
      <c r="BL192" s="15">
        <v>0</v>
      </c>
      <c r="BM192" s="15">
        <v>0</v>
      </c>
      <c r="BN192" s="15"/>
      <c r="BO192" s="15"/>
      <c r="BP192" s="15">
        <v>0</v>
      </c>
      <c r="BQ192" s="15">
        <v>171</v>
      </c>
      <c r="BR192" s="15">
        <v>0</v>
      </c>
      <c r="BS192" s="15">
        <v>0</v>
      </c>
      <c r="BT192" s="15">
        <v>0</v>
      </c>
      <c r="BU192" s="15">
        <v>0</v>
      </c>
      <c r="BV192" s="15">
        <v>0</v>
      </c>
      <c r="BW192" s="15">
        <v>0</v>
      </c>
      <c r="BX192" s="15">
        <v>0</v>
      </c>
    </row>
    <row r="193" spans="1:76">
      <c r="A193" s="14" t="str">
        <f>VLOOKUP(C193,VLOOKUP!A:B,2,FALSE)</f>
        <v>福颜青</v>
      </c>
      <c r="B193" s="16">
        <v>46064</v>
      </c>
      <c r="C193" s="17">
        <v>833369552621</v>
      </c>
      <c r="D193" s="15" t="s">
        <v>151</v>
      </c>
      <c r="E193" s="15" t="s">
        <v>154</v>
      </c>
      <c r="F193" s="15">
        <v>4253</v>
      </c>
      <c r="G193" s="15">
        <v>49</v>
      </c>
      <c r="H193" s="15">
        <v>13.15</v>
      </c>
      <c r="I193" s="15">
        <v>0.01152</v>
      </c>
      <c r="J193" s="15">
        <v>0.27</v>
      </c>
      <c r="K193" s="15">
        <v>3.09</v>
      </c>
      <c r="L193" s="15">
        <v>0</v>
      </c>
      <c r="M193" s="15">
        <v>0</v>
      </c>
      <c r="N193" s="15">
        <v>0</v>
      </c>
      <c r="O193" s="15">
        <v>0</v>
      </c>
      <c r="P193" s="15">
        <v>0</v>
      </c>
      <c r="Q193" s="15">
        <v>0</v>
      </c>
      <c r="R193" s="15">
        <v>0</v>
      </c>
      <c r="S193" s="15">
        <v>0</v>
      </c>
      <c r="T193" s="15">
        <v>0</v>
      </c>
      <c r="U193" s="15">
        <v>0</v>
      </c>
      <c r="V193" s="15">
        <v>0</v>
      </c>
      <c r="W193" s="15">
        <v>0</v>
      </c>
      <c r="X193" s="15">
        <v>0</v>
      </c>
      <c r="Y193" s="15">
        <v>0</v>
      </c>
      <c r="Z193" s="15">
        <v>0</v>
      </c>
      <c r="AA193" s="15"/>
      <c r="AB193" s="15">
        <v>1</v>
      </c>
      <c r="AC193" s="15">
        <v>1</v>
      </c>
      <c r="AD193" s="15">
        <v>0</v>
      </c>
      <c r="AE193" s="15">
        <v>0.02041</v>
      </c>
      <c r="AF193" s="15">
        <v>0</v>
      </c>
      <c r="AG193" s="15">
        <v>0</v>
      </c>
      <c r="AH193" s="15"/>
      <c r="AI193" s="15">
        <v>1</v>
      </c>
      <c r="AJ193" s="15">
        <v>13.15</v>
      </c>
      <c r="AK193" s="15">
        <v>1</v>
      </c>
      <c r="AL193" s="15">
        <v>13.15</v>
      </c>
      <c r="AM193" s="15">
        <v>0</v>
      </c>
      <c r="AN193" s="15"/>
      <c r="AO193" s="15">
        <v>0</v>
      </c>
      <c r="AP193" s="15">
        <v>13.15</v>
      </c>
      <c r="AQ193" s="15">
        <v>1</v>
      </c>
      <c r="AR193" s="15">
        <v>29</v>
      </c>
      <c r="AS193" s="15">
        <v>0</v>
      </c>
      <c r="AT193" s="15">
        <v>0</v>
      </c>
      <c r="AU193" s="15">
        <v>0</v>
      </c>
      <c r="AV193" s="15">
        <v>0</v>
      </c>
      <c r="AW193" s="15">
        <v>0</v>
      </c>
      <c r="AX193" s="15">
        <v>0</v>
      </c>
      <c r="AY193" s="15">
        <v>145</v>
      </c>
      <c r="AZ193" s="15">
        <v>72</v>
      </c>
      <c r="BA193" s="15">
        <v>67</v>
      </c>
      <c r="BB193" s="15">
        <v>0.93056</v>
      </c>
      <c r="BC193" s="15">
        <v>0</v>
      </c>
      <c r="BD193" s="15">
        <v>0</v>
      </c>
      <c r="BE193" s="15">
        <v>0.03409</v>
      </c>
      <c r="BF193" s="15">
        <v>64</v>
      </c>
      <c r="BG193" s="15">
        <v>2</v>
      </c>
      <c r="BH193" s="15">
        <v>0</v>
      </c>
      <c r="BI193" s="15"/>
      <c r="BJ193" s="15">
        <v>0</v>
      </c>
      <c r="BK193" s="15">
        <v>0</v>
      </c>
      <c r="BL193" s="15">
        <v>0</v>
      </c>
      <c r="BM193" s="15">
        <v>0</v>
      </c>
      <c r="BN193" s="15"/>
      <c r="BO193" s="15"/>
      <c r="BP193" s="15">
        <v>0</v>
      </c>
      <c r="BQ193" s="15">
        <v>440</v>
      </c>
      <c r="BR193" s="15">
        <v>0</v>
      </c>
      <c r="BS193" s="15">
        <v>0</v>
      </c>
      <c r="BT193" s="15">
        <v>0</v>
      </c>
      <c r="BU193" s="15">
        <v>0</v>
      </c>
      <c r="BV193" s="15">
        <v>0</v>
      </c>
      <c r="BW193" s="15">
        <v>0</v>
      </c>
      <c r="BX193" s="15">
        <v>0</v>
      </c>
    </row>
    <row r="194" spans="1:76">
      <c r="A194" s="14" t="str">
        <f>VLOOKUP(C194,VLOOKUP!A:B,2,FALSE)</f>
        <v>奇楠手串</v>
      </c>
      <c r="B194" s="16">
        <v>46064</v>
      </c>
      <c r="C194" s="17">
        <v>833035288991</v>
      </c>
      <c r="D194" s="15" t="s">
        <v>151</v>
      </c>
      <c r="E194" s="15" t="s">
        <v>159</v>
      </c>
      <c r="F194" s="15">
        <v>1212</v>
      </c>
      <c r="G194" s="15">
        <v>36</v>
      </c>
      <c r="H194" s="15">
        <v>12.49</v>
      </c>
      <c r="I194" s="15">
        <v>0.0297</v>
      </c>
      <c r="J194" s="15">
        <v>0.35</v>
      </c>
      <c r="K194" s="15">
        <v>10.31</v>
      </c>
      <c r="L194" s="15">
        <v>0</v>
      </c>
      <c r="M194" s="15">
        <v>0</v>
      </c>
      <c r="N194" s="15">
        <v>0</v>
      </c>
      <c r="O194" s="15">
        <v>0</v>
      </c>
      <c r="P194" s="15">
        <v>0</v>
      </c>
      <c r="Q194" s="15">
        <v>0</v>
      </c>
      <c r="R194" s="15">
        <v>0</v>
      </c>
      <c r="S194" s="15">
        <v>0</v>
      </c>
      <c r="T194" s="15">
        <v>0</v>
      </c>
      <c r="U194" s="15">
        <v>0</v>
      </c>
      <c r="V194" s="15">
        <v>0</v>
      </c>
      <c r="W194" s="15">
        <v>0</v>
      </c>
      <c r="X194" s="15">
        <v>0</v>
      </c>
      <c r="Y194" s="15">
        <v>0</v>
      </c>
      <c r="Z194" s="15">
        <v>0</v>
      </c>
      <c r="AA194" s="15"/>
      <c r="AB194" s="15">
        <v>0</v>
      </c>
      <c r="AC194" s="15">
        <v>0</v>
      </c>
      <c r="AD194" s="15">
        <v>0</v>
      </c>
      <c r="AE194" s="15">
        <v>0</v>
      </c>
      <c r="AF194" s="15">
        <v>0</v>
      </c>
      <c r="AG194" s="15">
        <v>0</v>
      </c>
      <c r="AH194" s="15"/>
      <c r="AI194" s="15">
        <v>0</v>
      </c>
      <c r="AJ194" s="15"/>
      <c r="AK194" s="15">
        <v>0</v>
      </c>
      <c r="AL194" s="15"/>
      <c r="AM194" s="15">
        <v>0</v>
      </c>
      <c r="AN194" s="15"/>
      <c r="AO194" s="15">
        <v>0</v>
      </c>
      <c r="AP194" s="15"/>
      <c r="AQ194" s="15">
        <v>0</v>
      </c>
      <c r="AR194" s="15">
        <v>0</v>
      </c>
      <c r="AS194" s="15">
        <v>0</v>
      </c>
      <c r="AT194" s="15">
        <v>0</v>
      </c>
      <c r="AU194" s="15">
        <v>0</v>
      </c>
      <c r="AV194" s="15">
        <v>0</v>
      </c>
      <c r="AW194" s="15">
        <v>0</v>
      </c>
      <c r="AX194" s="15">
        <v>2</v>
      </c>
      <c r="AY194" s="15">
        <v>54</v>
      </c>
      <c r="AZ194" s="15">
        <v>35</v>
      </c>
      <c r="BA194" s="15">
        <v>30</v>
      </c>
      <c r="BB194" s="15">
        <v>0.85714</v>
      </c>
      <c r="BC194" s="15">
        <v>0</v>
      </c>
      <c r="BD194" s="15">
        <v>0</v>
      </c>
      <c r="BE194" s="15">
        <v>0.04455</v>
      </c>
      <c r="BF194" s="15">
        <v>18</v>
      </c>
      <c r="BG194" s="15">
        <v>2</v>
      </c>
      <c r="BH194" s="15">
        <v>0</v>
      </c>
      <c r="BI194" s="15"/>
      <c r="BJ194" s="15">
        <v>0</v>
      </c>
      <c r="BK194" s="15">
        <v>0</v>
      </c>
      <c r="BL194" s="15">
        <v>0</v>
      </c>
      <c r="BM194" s="15">
        <v>0</v>
      </c>
      <c r="BN194" s="15"/>
      <c r="BO194" s="15"/>
      <c r="BP194" s="15">
        <v>0</v>
      </c>
      <c r="BQ194" s="15">
        <v>8</v>
      </c>
      <c r="BR194" s="15">
        <v>0</v>
      </c>
      <c r="BS194" s="15">
        <v>0</v>
      </c>
      <c r="BT194" s="15">
        <v>0</v>
      </c>
      <c r="BU194" s="15">
        <v>0</v>
      </c>
      <c r="BV194" s="15">
        <v>0</v>
      </c>
      <c r="BW194" s="15">
        <v>0</v>
      </c>
      <c r="BX194" s="15">
        <v>0</v>
      </c>
    </row>
    <row r="195" spans="1:76">
      <c r="A195" s="14" t="str">
        <f>VLOOKUP(C195,VLOOKUP!A:B,2,FALSE)</f>
        <v>天官赐福</v>
      </c>
      <c r="B195" s="16">
        <v>46063</v>
      </c>
      <c r="C195" s="17">
        <v>972494676240</v>
      </c>
      <c r="D195" s="15" t="s">
        <v>151</v>
      </c>
      <c r="E195" s="15" t="s">
        <v>160</v>
      </c>
      <c r="F195" s="15">
        <v>72</v>
      </c>
      <c r="G195" s="15">
        <v>1</v>
      </c>
      <c r="H195" s="15">
        <v>0.38</v>
      </c>
      <c r="I195" s="15">
        <v>0.01389</v>
      </c>
      <c r="J195" s="15">
        <v>0.38</v>
      </c>
      <c r="K195" s="15">
        <v>5.28</v>
      </c>
      <c r="L195" s="15">
        <v>0</v>
      </c>
      <c r="M195" s="15">
        <v>0</v>
      </c>
      <c r="N195" s="15">
        <v>0</v>
      </c>
      <c r="O195" s="15">
        <v>0</v>
      </c>
      <c r="P195" s="15">
        <v>0</v>
      </c>
      <c r="Q195" s="15">
        <v>0</v>
      </c>
      <c r="R195" s="15">
        <v>0</v>
      </c>
      <c r="S195" s="15">
        <v>0</v>
      </c>
      <c r="T195" s="15">
        <v>0</v>
      </c>
      <c r="U195" s="15">
        <v>0</v>
      </c>
      <c r="V195" s="15">
        <v>0</v>
      </c>
      <c r="W195" s="15">
        <v>0</v>
      </c>
      <c r="X195" s="15">
        <v>0</v>
      </c>
      <c r="Y195" s="15">
        <v>0</v>
      </c>
      <c r="Z195" s="15">
        <v>0</v>
      </c>
      <c r="AA195" s="15"/>
      <c r="AB195" s="15">
        <v>0</v>
      </c>
      <c r="AC195" s="15">
        <v>0</v>
      </c>
      <c r="AD195" s="15">
        <v>0</v>
      </c>
      <c r="AE195" s="15">
        <v>0</v>
      </c>
      <c r="AF195" s="15">
        <v>0</v>
      </c>
      <c r="AG195" s="15">
        <v>0</v>
      </c>
      <c r="AH195" s="15"/>
      <c r="AI195" s="15">
        <v>0</v>
      </c>
      <c r="AJ195" s="15"/>
      <c r="AK195" s="15">
        <v>0</v>
      </c>
      <c r="AL195" s="15"/>
      <c r="AM195" s="15">
        <v>0</v>
      </c>
      <c r="AN195" s="15"/>
      <c r="AO195" s="15">
        <v>0</v>
      </c>
      <c r="AP195" s="15"/>
      <c r="AQ195" s="15">
        <v>0</v>
      </c>
      <c r="AR195" s="15">
        <v>0</v>
      </c>
      <c r="AS195" s="15">
        <v>0</v>
      </c>
      <c r="AT195" s="15">
        <v>0</v>
      </c>
      <c r="AU195" s="15">
        <v>0</v>
      </c>
      <c r="AV195" s="15">
        <v>0</v>
      </c>
      <c r="AW195" s="15">
        <v>0</v>
      </c>
      <c r="AX195" s="15">
        <v>0</v>
      </c>
      <c r="AY195" s="15">
        <v>2</v>
      </c>
      <c r="AZ195" s="15">
        <v>1</v>
      </c>
      <c r="BA195" s="15">
        <v>1</v>
      </c>
      <c r="BB195" s="15">
        <v>1</v>
      </c>
      <c r="BC195" s="15">
        <v>0</v>
      </c>
      <c r="BD195" s="15">
        <v>0</v>
      </c>
      <c r="BE195" s="15">
        <v>0.02778</v>
      </c>
      <c r="BF195" s="15">
        <v>1</v>
      </c>
      <c r="BG195" s="15">
        <v>2</v>
      </c>
      <c r="BH195" s="15">
        <v>0</v>
      </c>
      <c r="BI195" s="15"/>
      <c r="BJ195" s="15">
        <v>0</v>
      </c>
      <c r="BK195" s="15">
        <v>0</v>
      </c>
      <c r="BL195" s="15">
        <v>0</v>
      </c>
      <c r="BM195" s="15">
        <v>0</v>
      </c>
      <c r="BN195" s="15"/>
      <c r="BO195" s="15"/>
      <c r="BP195" s="15">
        <v>0</v>
      </c>
      <c r="BQ195" s="15">
        <v>0</v>
      </c>
      <c r="BR195" s="15">
        <v>0</v>
      </c>
      <c r="BS195" s="15">
        <v>0</v>
      </c>
      <c r="BT195" s="15">
        <v>0</v>
      </c>
      <c r="BU195" s="15">
        <v>0</v>
      </c>
      <c r="BV195" s="15">
        <v>0</v>
      </c>
      <c r="BW195" s="15">
        <v>0</v>
      </c>
      <c r="BX195" s="15">
        <v>0</v>
      </c>
    </row>
    <row r="196" spans="1:76">
      <c r="A196" s="14" t="str">
        <f>VLOOKUP(C196,VLOOKUP!A:B,2,FALSE)</f>
        <v>福到</v>
      </c>
      <c r="B196" s="16">
        <v>46063</v>
      </c>
      <c r="C196" s="17">
        <v>971856893567</v>
      </c>
      <c r="D196" s="15" t="s">
        <v>151</v>
      </c>
      <c r="E196" s="15" t="s">
        <v>152</v>
      </c>
      <c r="F196" s="15">
        <v>208</v>
      </c>
      <c r="G196" s="15">
        <v>6</v>
      </c>
      <c r="H196" s="15">
        <v>1.56</v>
      </c>
      <c r="I196" s="15">
        <v>0.02885</v>
      </c>
      <c r="J196" s="15">
        <v>0.26</v>
      </c>
      <c r="K196" s="15">
        <v>7.5</v>
      </c>
      <c r="L196" s="15">
        <v>0</v>
      </c>
      <c r="M196" s="15">
        <v>0</v>
      </c>
      <c r="N196" s="15">
        <v>0</v>
      </c>
      <c r="O196" s="15">
        <v>0</v>
      </c>
      <c r="P196" s="15">
        <v>0</v>
      </c>
      <c r="Q196" s="15">
        <v>0</v>
      </c>
      <c r="R196" s="15">
        <v>0</v>
      </c>
      <c r="S196" s="15">
        <v>0</v>
      </c>
      <c r="T196" s="15">
        <v>0</v>
      </c>
      <c r="U196" s="15">
        <v>0</v>
      </c>
      <c r="V196" s="15">
        <v>0</v>
      </c>
      <c r="W196" s="15">
        <v>0</v>
      </c>
      <c r="X196" s="15">
        <v>0</v>
      </c>
      <c r="Y196" s="15">
        <v>0</v>
      </c>
      <c r="Z196" s="15">
        <v>0</v>
      </c>
      <c r="AA196" s="15"/>
      <c r="AB196" s="15">
        <v>0</v>
      </c>
      <c r="AC196" s="15">
        <v>0</v>
      </c>
      <c r="AD196" s="15">
        <v>0</v>
      </c>
      <c r="AE196" s="15">
        <v>0</v>
      </c>
      <c r="AF196" s="15">
        <v>0</v>
      </c>
      <c r="AG196" s="15">
        <v>0</v>
      </c>
      <c r="AH196" s="15"/>
      <c r="AI196" s="15">
        <v>0</v>
      </c>
      <c r="AJ196" s="15"/>
      <c r="AK196" s="15">
        <v>0</v>
      </c>
      <c r="AL196" s="15"/>
      <c r="AM196" s="15">
        <v>0</v>
      </c>
      <c r="AN196" s="15"/>
      <c r="AO196" s="15">
        <v>0</v>
      </c>
      <c r="AP196" s="15"/>
      <c r="AQ196" s="15">
        <v>0</v>
      </c>
      <c r="AR196" s="15">
        <v>0</v>
      </c>
      <c r="AS196" s="15">
        <v>0</v>
      </c>
      <c r="AT196" s="15">
        <v>0</v>
      </c>
      <c r="AU196" s="15">
        <v>0</v>
      </c>
      <c r="AV196" s="15">
        <v>0</v>
      </c>
      <c r="AW196" s="15">
        <v>0</v>
      </c>
      <c r="AX196" s="15">
        <v>0</v>
      </c>
      <c r="AY196" s="15">
        <v>13</v>
      </c>
      <c r="AZ196" s="15">
        <v>6</v>
      </c>
      <c r="BA196" s="15">
        <v>6</v>
      </c>
      <c r="BB196" s="15">
        <v>1</v>
      </c>
      <c r="BC196" s="15">
        <v>0</v>
      </c>
      <c r="BD196" s="15">
        <v>0</v>
      </c>
      <c r="BE196" s="15">
        <v>0.0625</v>
      </c>
      <c r="BF196" s="15">
        <v>6</v>
      </c>
      <c r="BG196" s="15">
        <v>2</v>
      </c>
      <c r="BH196" s="15">
        <v>0</v>
      </c>
      <c r="BI196" s="15"/>
      <c r="BJ196" s="15">
        <v>0</v>
      </c>
      <c r="BK196" s="15">
        <v>0</v>
      </c>
      <c r="BL196" s="15">
        <v>0</v>
      </c>
      <c r="BM196" s="15">
        <v>0</v>
      </c>
      <c r="BN196" s="15"/>
      <c r="BO196" s="15"/>
      <c r="BP196" s="15">
        <v>0</v>
      </c>
      <c r="BQ196" s="15">
        <v>0</v>
      </c>
      <c r="BR196" s="15">
        <v>0</v>
      </c>
      <c r="BS196" s="15">
        <v>0</v>
      </c>
      <c r="BT196" s="15">
        <v>0</v>
      </c>
      <c r="BU196" s="15">
        <v>0</v>
      </c>
      <c r="BV196" s="15">
        <v>0</v>
      </c>
      <c r="BW196" s="15">
        <v>0</v>
      </c>
      <c r="BX196" s="15">
        <v>0</v>
      </c>
    </row>
    <row r="197" spans="1:76">
      <c r="A197" s="14" t="str">
        <f>VLOOKUP(C197,VLOOKUP!A:B,2,FALSE)</f>
        <v>如意盘香</v>
      </c>
      <c r="B197" s="16">
        <v>46063</v>
      </c>
      <c r="C197" s="17">
        <v>838711327669</v>
      </c>
      <c r="D197" s="15" t="s">
        <v>151</v>
      </c>
      <c r="E197" s="15" t="s">
        <v>158</v>
      </c>
      <c r="F197" s="15">
        <v>946</v>
      </c>
      <c r="G197" s="15">
        <v>40</v>
      </c>
      <c r="H197" s="15">
        <v>80</v>
      </c>
      <c r="I197" s="15">
        <v>0.04228</v>
      </c>
      <c r="J197" s="15">
        <v>2</v>
      </c>
      <c r="K197" s="15">
        <v>84.57</v>
      </c>
      <c r="L197" s="15">
        <v>0</v>
      </c>
      <c r="M197" s="15">
        <v>0</v>
      </c>
      <c r="N197" s="15">
        <v>0</v>
      </c>
      <c r="O197" s="15">
        <v>0</v>
      </c>
      <c r="P197" s="15">
        <v>0</v>
      </c>
      <c r="Q197" s="15">
        <v>0</v>
      </c>
      <c r="R197" s="15">
        <v>172.48</v>
      </c>
      <c r="S197" s="15">
        <v>70.84</v>
      </c>
      <c r="T197" s="15">
        <v>243.32</v>
      </c>
      <c r="U197" s="15">
        <v>3</v>
      </c>
      <c r="V197" s="15">
        <v>1</v>
      </c>
      <c r="W197" s="15">
        <v>2</v>
      </c>
      <c r="X197" s="15">
        <v>0.075</v>
      </c>
      <c r="Y197" s="15">
        <v>3.04</v>
      </c>
      <c r="Z197" s="15">
        <v>3.04</v>
      </c>
      <c r="AA197" s="15">
        <v>26.67</v>
      </c>
      <c r="AB197" s="15">
        <v>5</v>
      </c>
      <c r="AC197" s="15">
        <v>1</v>
      </c>
      <c r="AD197" s="15">
        <v>4</v>
      </c>
      <c r="AE197" s="15">
        <v>0.125</v>
      </c>
      <c r="AF197" s="15">
        <v>3</v>
      </c>
      <c r="AG197" s="15">
        <v>0</v>
      </c>
      <c r="AH197" s="15"/>
      <c r="AI197" s="15">
        <v>8</v>
      </c>
      <c r="AJ197" s="15">
        <v>10</v>
      </c>
      <c r="AK197" s="15">
        <v>8</v>
      </c>
      <c r="AL197" s="15">
        <v>10</v>
      </c>
      <c r="AM197" s="15">
        <v>3</v>
      </c>
      <c r="AN197" s="15">
        <v>26.67</v>
      </c>
      <c r="AO197" s="15">
        <v>0.075</v>
      </c>
      <c r="AP197" s="15">
        <v>16</v>
      </c>
      <c r="AQ197" s="15">
        <v>5</v>
      </c>
      <c r="AR197" s="15">
        <v>395.6</v>
      </c>
      <c r="AS197" s="15">
        <v>1</v>
      </c>
      <c r="AT197" s="15">
        <v>2</v>
      </c>
      <c r="AU197" s="15">
        <v>0</v>
      </c>
      <c r="AV197" s="15">
        <v>0</v>
      </c>
      <c r="AW197" s="15">
        <v>0</v>
      </c>
      <c r="AX197" s="15">
        <v>0</v>
      </c>
      <c r="AY197" s="15">
        <v>118</v>
      </c>
      <c r="AZ197" s="15">
        <v>37</v>
      </c>
      <c r="BA197" s="15">
        <v>29</v>
      </c>
      <c r="BB197" s="15">
        <v>0.78378</v>
      </c>
      <c r="BC197" s="15">
        <v>0</v>
      </c>
      <c r="BD197" s="15">
        <v>0</v>
      </c>
      <c r="BE197" s="15">
        <v>0.12474</v>
      </c>
      <c r="BF197" s="15">
        <v>76</v>
      </c>
      <c r="BG197" s="15">
        <v>3</v>
      </c>
      <c r="BH197" s="15">
        <v>2</v>
      </c>
      <c r="BI197" s="15">
        <v>1</v>
      </c>
      <c r="BJ197" s="15">
        <v>0</v>
      </c>
      <c r="BK197" s="15">
        <v>0</v>
      </c>
      <c r="BL197" s="15">
        <v>0</v>
      </c>
      <c r="BM197" s="15">
        <v>2</v>
      </c>
      <c r="BN197" s="15">
        <v>2</v>
      </c>
      <c r="BO197" s="15">
        <v>121.66</v>
      </c>
      <c r="BP197" s="15">
        <v>21.62</v>
      </c>
      <c r="BQ197" s="15">
        <v>1222</v>
      </c>
      <c r="BR197" s="15">
        <v>0</v>
      </c>
      <c r="BS197" s="15">
        <v>0</v>
      </c>
      <c r="BT197" s="15">
        <v>0</v>
      </c>
      <c r="BU197" s="15">
        <v>0</v>
      </c>
      <c r="BV197" s="15">
        <v>0</v>
      </c>
      <c r="BW197" s="15">
        <v>0</v>
      </c>
      <c r="BX197" s="15">
        <v>0</v>
      </c>
    </row>
    <row r="198" spans="1:76">
      <c r="A198" s="14" t="str">
        <f>VLOOKUP(C198,VLOOKUP!A:B,2,FALSE)</f>
        <v>福颜青</v>
      </c>
      <c r="B198" s="16">
        <v>46063</v>
      </c>
      <c r="C198" s="17">
        <v>833369552621</v>
      </c>
      <c r="D198" s="15" t="s">
        <v>151</v>
      </c>
      <c r="E198" s="15" t="s">
        <v>154</v>
      </c>
      <c r="F198" s="15">
        <v>4479</v>
      </c>
      <c r="G198" s="15">
        <v>62</v>
      </c>
      <c r="H198" s="15">
        <v>16.11</v>
      </c>
      <c r="I198" s="15">
        <v>0.01384</v>
      </c>
      <c r="J198" s="15">
        <v>0.26</v>
      </c>
      <c r="K198" s="15">
        <v>3.6</v>
      </c>
      <c r="L198" s="15">
        <v>0</v>
      </c>
      <c r="M198" s="15">
        <v>0</v>
      </c>
      <c r="N198" s="15">
        <v>0</v>
      </c>
      <c r="O198" s="15">
        <v>0</v>
      </c>
      <c r="P198" s="15">
        <v>0</v>
      </c>
      <c r="Q198" s="15">
        <v>0</v>
      </c>
      <c r="R198" s="15">
        <v>0</v>
      </c>
      <c r="S198" s="15">
        <v>0</v>
      </c>
      <c r="T198" s="15">
        <v>0</v>
      </c>
      <c r="U198" s="15">
        <v>0</v>
      </c>
      <c r="V198" s="15">
        <v>0</v>
      </c>
      <c r="W198" s="15">
        <v>0</v>
      </c>
      <c r="X198" s="15">
        <v>0</v>
      </c>
      <c r="Y198" s="15">
        <v>0</v>
      </c>
      <c r="Z198" s="15">
        <v>0</v>
      </c>
      <c r="AA198" s="15"/>
      <c r="AB198" s="15">
        <v>5</v>
      </c>
      <c r="AC198" s="15">
        <v>5</v>
      </c>
      <c r="AD198" s="15">
        <v>0</v>
      </c>
      <c r="AE198" s="15">
        <v>0.08065</v>
      </c>
      <c r="AF198" s="15">
        <v>0</v>
      </c>
      <c r="AG198" s="15">
        <v>0</v>
      </c>
      <c r="AH198" s="15"/>
      <c r="AI198" s="15">
        <v>5</v>
      </c>
      <c r="AJ198" s="15">
        <v>3.22</v>
      </c>
      <c r="AK198" s="15">
        <v>5</v>
      </c>
      <c r="AL198" s="15">
        <v>3.22</v>
      </c>
      <c r="AM198" s="15">
        <v>0</v>
      </c>
      <c r="AN198" s="15"/>
      <c r="AO198" s="15">
        <v>0</v>
      </c>
      <c r="AP198" s="15">
        <v>3.22</v>
      </c>
      <c r="AQ198" s="15">
        <v>0</v>
      </c>
      <c r="AR198" s="15">
        <v>0</v>
      </c>
      <c r="AS198" s="15">
        <v>0</v>
      </c>
      <c r="AT198" s="15">
        <v>0</v>
      </c>
      <c r="AU198" s="15">
        <v>0</v>
      </c>
      <c r="AV198" s="15">
        <v>0</v>
      </c>
      <c r="AW198" s="15">
        <v>0</v>
      </c>
      <c r="AX198" s="15">
        <v>0</v>
      </c>
      <c r="AY198" s="15">
        <v>152</v>
      </c>
      <c r="AZ198" s="15">
        <v>100</v>
      </c>
      <c r="BA198" s="15">
        <v>94</v>
      </c>
      <c r="BB198" s="15">
        <v>0.94</v>
      </c>
      <c r="BC198" s="15">
        <v>0</v>
      </c>
      <c r="BD198" s="15">
        <v>0</v>
      </c>
      <c r="BE198" s="15">
        <v>0.03394</v>
      </c>
      <c r="BF198" s="15">
        <v>47</v>
      </c>
      <c r="BG198" s="15">
        <v>2</v>
      </c>
      <c r="BH198" s="15">
        <v>0</v>
      </c>
      <c r="BI198" s="15"/>
      <c r="BJ198" s="15">
        <v>0</v>
      </c>
      <c r="BK198" s="15">
        <v>0</v>
      </c>
      <c r="BL198" s="15">
        <v>0</v>
      </c>
      <c r="BM198" s="15">
        <v>0</v>
      </c>
      <c r="BN198" s="15"/>
      <c r="BO198" s="15"/>
      <c r="BP198" s="15">
        <v>0</v>
      </c>
      <c r="BQ198" s="15">
        <v>817</v>
      </c>
      <c r="BR198" s="15">
        <v>0</v>
      </c>
      <c r="BS198" s="15">
        <v>0</v>
      </c>
      <c r="BT198" s="15">
        <v>0</v>
      </c>
      <c r="BU198" s="15">
        <v>0</v>
      </c>
      <c r="BV198" s="15">
        <v>0</v>
      </c>
      <c r="BW198" s="15">
        <v>0</v>
      </c>
      <c r="BX198" s="15">
        <v>0</v>
      </c>
    </row>
    <row r="199" spans="1:76">
      <c r="A199" s="14" t="str">
        <f>VLOOKUP(C199,VLOOKUP!A:B,2,FALSE)</f>
        <v>奇楠手串</v>
      </c>
      <c r="B199" s="16">
        <v>46063</v>
      </c>
      <c r="C199" s="17">
        <v>833035288991</v>
      </c>
      <c r="D199" s="15" t="s">
        <v>151</v>
      </c>
      <c r="E199" s="15" t="s">
        <v>159</v>
      </c>
      <c r="F199" s="15">
        <v>1251</v>
      </c>
      <c r="G199" s="15">
        <v>59</v>
      </c>
      <c r="H199" s="15">
        <v>20.87</v>
      </c>
      <c r="I199" s="15">
        <v>0.04716</v>
      </c>
      <c r="J199" s="15">
        <v>0.35</v>
      </c>
      <c r="K199" s="15">
        <v>16.68</v>
      </c>
      <c r="L199" s="15">
        <v>0</v>
      </c>
      <c r="M199" s="15">
        <v>0</v>
      </c>
      <c r="N199" s="15">
        <v>0</v>
      </c>
      <c r="O199" s="15">
        <v>0</v>
      </c>
      <c r="P199" s="15">
        <v>0</v>
      </c>
      <c r="Q199" s="15">
        <v>0</v>
      </c>
      <c r="R199" s="15">
        <v>0</v>
      </c>
      <c r="S199" s="15">
        <v>1232.5</v>
      </c>
      <c r="T199" s="15">
        <v>1232.5</v>
      </c>
      <c r="U199" s="15">
        <v>1</v>
      </c>
      <c r="V199" s="15">
        <v>0</v>
      </c>
      <c r="W199" s="15">
        <v>1</v>
      </c>
      <c r="X199" s="15">
        <v>0.01695</v>
      </c>
      <c r="Y199" s="15">
        <v>59.06</v>
      </c>
      <c r="Z199" s="15">
        <v>59.06</v>
      </c>
      <c r="AA199" s="15">
        <v>20.87</v>
      </c>
      <c r="AB199" s="15">
        <v>12</v>
      </c>
      <c r="AC199" s="15">
        <v>1</v>
      </c>
      <c r="AD199" s="15">
        <v>11</v>
      </c>
      <c r="AE199" s="15">
        <v>0.20339</v>
      </c>
      <c r="AF199" s="15">
        <v>0</v>
      </c>
      <c r="AG199" s="15">
        <v>0</v>
      </c>
      <c r="AH199" s="15"/>
      <c r="AI199" s="15">
        <v>12</v>
      </c>
      <c r="AJ199" s="15">
        <v>1.74</v>
      </c>
      <c r="AK199" s="15">
        <v>12</v>
      </c>
      <c r="AL199" s="15">
        <v>1.74</v>
      </c>
      <c r="AM199" s="15">
        <v>0</v>
      </c>
      <c r="AN199" s="15"/>
      <c r="AO199" s="15">
        <v>0</v>
      </c>
      <c r="AP199" s="15">
        <v>1.74</v>
      </c>
      <c r="AQ199" s="15">
        <v>2</v>
      </c>
      <c r="AR199" s="15">
        <v>1739</v>
      </c>
      <c r="AS199" s="15">
        <v>0</v>
      </c>
      <c r="AT199" s="15">
        <v>0</v>
      </c>
      <c r="AU199" s="15">
        <v>0</v>
      </c>
      <c r="AV199" s="15">
        <v>0</v>
      </c>
      <c r="AW199" s="15">
        <v>0</v>
      </c>
      <c r="AX199" s="15">
        <v>0</v>
      </c>
      <c r="AY199" s="15">
        <v>118</v>
      </c>
      <c r="AZ199" s="15">
        <v>59</v>
      </c>
      <c r="BA199" s="15">
        <v>55</v>
      </c>
      <c r="BB199" s="15">
        <v>0.9322</v>
      </c>
      <c r="BC199" s="15">
        <v>0</v>
      </c>
      <c r="BD199" s="15">
        <v>0</v>
      </c>
      <c r="BE199" s="15">
        <v>0.09432</v>
      </c>
      <c r="BF199" s="15">
        <v>56</v>
      </c>
      <c r="BG199" s="15">
        <v>2</v>
      </c>
      <c r="BH199" s="15">
        <v>1</v>
      </c>
      <c r="BI199" s="15">
        <v>1</v>
      </c>
      <c r="BJ199" s="15">
        <v>0</v>
      </c>
      <c r="BK199" s="15">
        <v>0</v>
      </c>
      <c r="BL199" s="15">
        <v>0</v>
      </c>
      <c r="BM199" s="15">
        <v>1</v>
      </c>
      <c r="BN199" s="15">
        <v>1</v>
      </c>
      <c r="BO199" s="15">
        <v>1232.5</v>
      </c>
      <c r="BP199" s="15">
        <v>0</v>
      </c>
      <c r="BQ199" s="15">
        <v>1317</v>
      </c>
      <c r="BR199" s="15">
        <v>0</v>
      </c>
      <c r="BS199" s="15">
        <v>0</v>
      </c>
      <c r="BT199" s="15">
        <v>0</v>
      </c>
      <c r="BU199" s="15">
        <v>0</v>
      </c>
      <c r="BV199" s="15">
        <v>0</v>
      </c>
      <c r="BW199" s="15">
        <v>0</v>
      </c>
      <c r="BX199" s="15">
        <v>0</v>
      </c>
    </row>
    <row r="200" spans="1:76">
      <c r="A200" s="14" t="str">
        <f>VLOOKUP(C200,VLOOKUP!A:B,2,FALSE)</f>
        <v>四季线香</v>
      </c>
      <c r="B200" s="16">
        <v>46063</v>
      </c>
      <c r="C200" s="17">
        <v>742540384374</v>
      </c>
      <c r="D200" s="15" t="s">
        <v>151</v>
      </c>
      <c r="E200" s="15" t="s">
        <v>161</v>
      </c>
      <c r="F200" s="15">
        <v>77</v>
      </c>
      <c r="G200" s="15">
        <v>2</v>
      </c>
      <c r="H200" s="15">
        <v>5.72</v>
      </c>
      <c r="I200" s="15">
        <v>0.02597</v>
      </c>
      <c r="J200" s="15">
        <v>2.86</v>
      </c>
      <c r="K200" s="15">
        <v>74.29</v>
      </c>
      <c r="L200" s="15">
        <v>0</v>
      </c>
      <c r="M200" s="15">
        <v>0</v>
      </c>
      <c r="N200" s="15">
        <v>0</v>
      </c>
      <c r="O200" s="15">
        <v>0</v>
      </c>
      <c r="P200" s="15">
        <v>0</v>
      </c>
      <c r="Q200" s="15">
        <v>0</v>
      </c>
      <c r="R200" s="15">
        <v>0</v>
      </c>
      <c r="S200" s="15">
        <v>0</v>
      </c>
      <c r="T200" s="15">
        <v>0</v>
      </c>
      <c r="U200" s="15">
        <v>0</v>
      </c>
      <c r="V200" s="15">
        <v>0</v>
      </c>
      <c r="W200" s="15">
        <v>0</v>
      </c>
      <c r="X200" s="15">
        <v>0</v>
      </c>
      <c r="Y200" s="15">
        <v>0</v>
      </c>
      <c r="Z200" s="15">
        <v>0</v>
      </c>
      <c r="AA200" s="15"/>
      <c r="AB200" s="15">
        <v>0</v>
      </c>
      <c r="AC200" s="15">
        <v>0</v>
      </c>
      <c r="AD200" s="15">
        <v>0</v>
      </c>
      <c r="AE200" s="15">
        <v>0</v>
      </c>
      <c r="AF200" s="15">
        <v>0</v>
      </c>
      <c r="AG200" s="15">
        <v>0</v>
      </c>
      <c r="AH200" s="15"/>
      <c r="AI200" s="15">
        <v>0</v>
      </c>
      <c r="AJ200" s="15"/>
      <c r="AK200" s="15">
        <v>0</v>
      </c>
      <c r="AL200" s="15"/>
      <c r="AM200" s="15">
        <v>0</v>
      </c>
      <c r="AN200" s="15"/>
      <c r="AO200" s="15">
        <v>0</v>
      </c>
      <c r="AP200" s="15"/>
      <c r="AQ200" s="15">
        <v>0</v>
      </c>
      <c r="AR200" s="15">
        <v>0</v>
      </c>
      <c r="AS200" s="15">
        <v>0</v>
      </c>
      <c r="AT200" s="15">
        <v>0</v>
      </c>
      <c r="AU200" s="15">
        <v>0</v>
      </c>
      <c r="AV200" s="15">
        <v>0</v>
      </c>
      <c r="AW200" s="15">
        <v>0</v>
      </c>
      <c r="AX200" s="15">
        <v>0</v>
      </c>
      <c r="AY200" s="15">
        <v>11</v>
      </c>
      <c r="AZ200" s="15">
        <v>2</v>
      </c>
      <c r="BA200" s="15">
        <v>2</v>
      </c>
      <c r="BB200" s="15">
        <v>1</v>
      </c>
      <c r="BC200" s="15">
        <v>0</v>
      </c>
      <c r="BD200" s="15">
        <v>0</v>
      </c>
      <c r="BE200" s="15">
        <v>0.14286</v>
      </c>
      <c r="BF200" s="15">
        <v>9</v>
      </c>
      <c r="BG200" s="15">
        <v>6</v>
      </c>
      <c r="BH200" s="15">
        <v>0</v>
      </c>
      <c r="BI200" s="15"/>
      <c r="BJ200" s="15">
        <v>0</v>
      </c>
      <c r="BK200" s="15">
        <v>0</v>
      </c>
      <c r="BL200" s="15">
        <v>0</v>
      </c>
      <c r="BM200" s="15">
        <v>0</v>
      </c>
      <c r="BN200" s="15"/>
      <c r="BO200" s="15"/>
      <c r="BP200" s="15">
        <v>0</v>
      </c>
      <c r="BQ200" s="15">
        <v>1</v>
      </c>
      <c r="BR200" s="15">
        <v>0</v>
      </c>
      <c r="BS200" s="15">
        <v>0</v>
      </c>
      <c r="BT200" s="15">
        <v>0</v>
      </c>
      <c r="BU200" s="15">
        <v>0</v>
      </c>
      <c r="BV200" s="15">
        <v>0</v>
      </c>
      <c r="BW200" s="15">
        <v>0</v>
      </c>
      <c r="BX200" s="15">
        <v>0</v>
      </c>
    </row>
    <row r="201" spans="1:76">
      <c r="A201" s="14" t="str">
        <f>VLOOKUP(C201,VLOOKUP!A:B,2,FALSE)</f>
        <v>福到</v>
      </c>
      <c r="B201" s="16">
        <v>46062</v>
      </c>
      <c r="C201" s="17">
        <v>971856893567</v>
      </c>
      <c r="D201" s="15" t="s">
        <v>151</v>
      </c>
      <c r="E201" s="15" t="s">
        <v>152</v>
      </c>
      <c r="F201" s="15">
        <v>156</v>
      </c>
      <c r="G201" s="15">
        <v>5</v>
      </c>
      <c r="H201" s="15">
        <v>1.29</v>
      </c>
      <c r="I201" s="15">
        <v>0.03205</v>
      </c>
      <c r="J201" s="15">
        <v>0.26</v>
      </c>
      <c r="K201" s="15">
        <v>8.27</v>
      </c>
      <c r="L201" s="15">
        <v>0</v>
      </c>
      <c r="M201" s="15">
        <v>0</v>
      </c>
      <c r="N201" s="15">
        <v>0</v>
      </c>
      <c r="O201" s="15">
        <v>0</v>
      </c>
      <c r="P201" s="15">
        <v>0</v>
      </c>
      <c r="Q201" s="15">
        <v>0</v>
      </c>
      <c r="R201" s="15">
        <v>0</v>
      </c>
      <c r="S201" s="15">
        <v>0</v>
      </c>
      <c r="T201" s="15">
        <v>0</v>
      </c>
      <c r="U201" s="15">
        <v>0</v>
      </c>
      <c r="V201" s="15">
        <v>0</v>
      </c>
      <c r="W201" s="15">
        <v>0</v>
      </c>
      <c r="X201" s="15">
        <v>0</v>
      </c>
      <c r="Y201" s="15">
        <v>0</v>
      </c>
      <c r="Z201" s="15">
        <v>0</v>
      </c>
      <c r="AA201" s="15"/>
      <c r="AB201" s="15">
        <v>0</v>
      </c>
      <c r="AC201" s="15">
        <v>0</v>
      </c>
      <c r="AD201" s="15">
        <v>0</v>
      </c>
      <c r="AE201" s="15">
        <v>0</v>
      </c>
      <c r="AF201" s="15">
        <v>0</v>
      </c>
      <c r="AG201" s="15">
        <v>0</v>
      </c>
      <c r="AH201" s="15"/>
      <c r="AI201" s="15">
        <v>0</v>
      </c>
      <c r="AJ201" s="15"/>
      <c r="AK201" s="15">
        <v>0</v>
      </c>
      <c r="AL201" s="15"/>
      <c r="AM201" s="15">
        <v>0</v>
      </c>
      <c r="AN201" s="15"/>
      <c r="AO201" s="15">
        <v>0</v>
      </c>
      <c r="AP201" s="15"/>
      <c r="AQ201" s="15">
        <v>0</v>
      </c>
      <c r="AR201" s="15">
        <v>0</v>
      </c>
      <c r="AS201" s="15">
        <v>0</v>
      </c>
      <c r="AT201" s="15">
        <v>0</v>
      </c>
      <c r="AU201" s="15">
        <v>0</v>
      </c>
      <c r="AV201" s="15">
        <v>0</v>
      </c>
      <c r="AW201" s="15">
        <v>0</v>
      </c>
      <c r="AX201" s="15">
        <v>0</v>
      </c>
      <c r="AY201" s="15">
        <v>6</v>
      </c>
      <c r="AZ201" s="15">
        <v>5</v>
      </c>
      <c r="BA201" s="15">
        <v>3</v>
      </c>
      <c r="BB201" s="15">
        <v>0.6</v>
      </c>
      <c r="BC201" s="15">
        <v>0</v>
      </c>
      <c r="BD201" s="15">
        <v>0</v>
      </c>
      <c r="BE201" s="15">
        <v>0.03846</v>
      </c>
      <c r="BF201" s="15">
        <v>0</v>
      </c>
      <c r="BG201" s="15">
        <v>1</v>
      </c>
      <c r="BH201" s="15">
        <v>0</v>
      </c>
      <c r="BI201" s="15"/>
      <c r="BJ201" s="15">
        <v>0</v>
      </c>
      <c r="BK201" s="15">
        <v>0</v>
      </c>
      <c r="BL201" s="15">
        <v>0</v>
      </c>
      <c r="BM201" s="15">
        <v>0</v>
      </c>
      <c r="BN201" s="15"/>
      <c r="BO201" s="15"/>
      <c r="BP201" s="15">
        <v>0</v>
      </c>
      <c r="BQ201" s="15">
        <v>0</v>
      </c>
      <c r="BR201" s="15">
        <v>0</v>
      </c>
      <c r="BS201" s="15">
        <v>0</v>
      </c>
      <c r="BT201" s="15">
        <v>0</v>
      </c>
      <c r="BU201" s="15">
        <v>0</v>
      </c>
      <c r="BV201" s="15">
        <v>0</v>
      </c>
      <c r="BW201" s="15">
        <v>0</v>
      </c>
      <c r="BX201" s="15">
        <v>0</v>
      </c>
    </row>
    <row r="202" spans="1:76">
      <c r="A202" s="14" t="str">
        <f>VLOOKUP(C202,VLOOKUP!A:B,2,FALSE)</f>
        <v>如意盘香</v>
      </c>
      <c r="B202" s="16">
        <v>46062</v>
      </c>
      <c r="C202" s="17">
        <v>838711327669</v>
      </c>
      <c r="D202" s="15" t="s">
        <v>151</v>
      </c>
      <c r="E202" s="15" t="s">
        <v>158</v>
      </c>
      <c r="F202" s="15">
        <v>948</v>
      </c>
      <c r="G202" s="15">
        <v>31</v>
      </c>
      <c r="H202" s="15">
        <v>80</v>
      </c>
      <c r="I202" s="15">
        <v>0.0327</v>
      </c>
      <c r="J202" s="15">
        <v>2.58</v>
      </c>
      <c r="K202" s="15">
        <v>84.39</v>
      </c>
      <c r="L202" s="15">
        <v>0</v>
      </c>
      <c r="M202" s="15">
        <v>0</v>
      </c>
      <c r="N202" s="15">
        <v>0</v>
      </c>
      <c r="O202" s="15">
        <v>0</v>
      </c>
      <c r="P202" s="15">
        <v>0</v>
      </c>
      <c r="Q202" s="15">
        <v>0</v>
      </c>
      <c r="R202" s="15">
        <v>0</v>
      </c>
      <c r="S202" s="15">
        <v>0</v>
      </c>
      <c r="T202" s="15">
        <v>0</v>
      </c>
      <c r="U202" s="15">
        <v>0</v>
      </c>
      <c r="V202" s="15">
        <v>0</v>
      </c>
      <c r="W202" s="15">
        <v>0</v>
      </c>
      <c r="X202" s="15">
        <v>0</v>
      </c>
      <c r="Y202" s="15">
        <v>0</v>
      </c>
      <c r="Z202" s="15">
        <v>0</v>
      </c>
      <c r="AA202" s="15"/>
      <c r="AB202" s="15">
        <v>1</v>
      </c>
      <c r="AC202" s="15">
        <v>1</v>
      </c>
      <c r="AD202" s="15">
        <v>0</v>
      </c>
      <c r="AE202" s="15">
        <v>0.03226</v>
      </c>
      <c r="AF202" s="15">
        <v>1</v>
      </c>
      <c r="AG202" s="15">
        <v>0</v>
      </c>
      <c r="AH202" s="15"/>
      <c r="AI202" s="15">
        <v>2</v>
      </c>
      <c r="AJ202" s="15">
        <v>40</v>
      </c>
      <c r="AK202" s="15">
        <v>2</v>
      </c>
      <c r="AL202" s="15">
        <v>40</v>
      </c>
      <c r="AM202" s="15">
        <v>1</v>
      </c>
      <c r="AN202" s="15">
        <v>80</v>
      </c>
      <c r="AO202" s="15">
        <v>0.03226</v>
      </c>
      <c r="AP202" s="15">
        <v>80</v>
      </c>
      <c r="AQ202" s="15">
        <v>0</v>
      </c>
      <c r="AR202" s="15">
        <v>0</v>
      </c>
      <c r="AS202" s="15">
        <v>1</v>
      </c>
      <c r="AT202" s="15">
        <v>0</v>
      </c>
      <c r="AU202" s="15">
        <v>0</v>
      </c>
      <c r="AV202" s="15">
        <v>0</v>
      </c>
      <c r="AW202" s="15">
        <v>0</v>
      </c>
      <c r="AX202" s="15">
        <v>0</v>
      </c>
      <c r="AY202" s="15">
        <v>59</v>
      </c>
      <c r="AZ202" s="15">
        <v>28</v>
      </c>
      <c r="BA202" s="15">
        <v>19</v>
      </c>
      <c r="BB202" s="15">
        <v>0.67857</v>
      </c>
      <c r="BC202" s="15">
        <v>0</v>
      </c>
      <c r="BD202" s="15">
        <v>0</v>
      </c>
      <c r="BE202" s="15">
        <v>0.06224</v>
      </c>
      <c r="BF202" s="15">
        <v>22</v>
      </c>
      <c r="BG202" s="15">
        <v>2</v>
      </c>
      <c r="BH202" s="15">
        <v>0</v>
      </c>
      <c r="BI202" s="15"/>
      <c r="BJ202" s="15">
        <v>0</v>
      </c>
      <c r="BK202" s="15">
        <v>0</v>
      </c>
      <c r="BL202" s="15">
        <v>0</v>
      </c>
      <c r="BM202" s="15">
        <v>0</v>
      </c>
      <c r="BN202" s="15"/>
      <c r="BO202" s="15"/>
      <c r="BP202" s="15">
        <v>78.08</v>
      </c>
      <c r="BQ202" s="15">
        <v>275</v>
      </c>
      <c r="BR202" s="15">
        <v>0</v>
      </c>
      <c r="BS202" s="15">
        <v>0</v>
      </c>
      <c r="BT202" s="15">
        <v>0</v>
      </c>
      <c r="BU202" s="15">
        <v>0</v>
      </c>
      <c r="BV202" s="15">
        <v>0</v>
      </c>
      <c r="BW202" s="15">
        <v>0</v>
      </c>
      <c r="BX202" s="15">
        <v>0</v>
      </c>
    </row>
    <row r="203" spans="1:76">
      <c r="A203" s="14" t="str">
        <f>VLOOKUP(C203,VLOOKUP!A:B,2,FALSE)</f>
        <v>福颜青</v>
      </c>
      <c r="B203" s="16">
        <v>46062</v>
      </c>
      <c r="C203" s="17">
        <v>833369552621</v>
      </c>
      <c r="D203" s="15" t="s">
        <v>151</v>
      </c>
      <c r="E203" s="15" t="s">
        <v>154</v>
      </c>
      <c r="F203" s="15">
        <v>2554</v>
      </c>
      <c r="G203" s="15">
        <v>38</v>
      </c>
      <c r="H203" s="15">
        <v>10.12</v>
      </c>
      <c r="I203" s="15">
        <v>0.01488</v>
      </c>
      <c r="J203" s="15">
        <v>0.27</v>
      </c>
      <c r="K203" s="15">
        <v>3.96</v>
      </c>
      <c r="L203" s="15">
        <v>0</v>
      </c>
      <c r="M203" s="15">
        <v>0</v>
      </c>
      <c r="N203" s="15">
        <v>0</v>
      </c>
      <c r="O203" s="15">
        <v>0</v>
      </c>
      <c r="P203" s="15">
        <v>0</v>
      </c>
      <c r="Q203" s="15">
        <v>0</v>
      </c>
      <c r="R203" s="15">
        <v>0</v>
      </c>
      <c r="S203" s="15">
        <v>0</v>
      </c>
      <c r="T203" s="15">
        <v>0</v>
      </c>
      <c r="U203" s="15">
        <v>0</v>
      </c>
      <c r="V203" s="15">
        <v>0</v>
      </c>
      <c r="W203" s="15">
        <v>0</v>
      </c>
      <c r="X203" s="15">
        <v>0</v>
      </c>
      <c r="Y203" s="15">
        <v>0</v>
      </c>
      <c r="Z203" s="15">
        <v>0</v>
      </c>
      <c r="AA203" s="15"/>
      <c r="AB203" s="15">
        <v>0</v>
      </c>
      <c r="AC203" s="15">
        <v>0</v>
      </c>
      <c r="AD203" s="15">
        <v>0</v>
      </c>
      <c r="AE203" s="15">
        <v>0</v>
      </c>
      <c r="AF203" s="15">
        <v>0</v>
      </c>
      <c r="AG203" s="15">
        <v>0</v>
      </c>
      <c r="AH203" s="15"/>
      <c r="AI203" s="15">
        <v>0</v>
      </c>
      <c r="AJ203" s="15"/>
      <c r="AK203" s="15">
        <v>0</v>
      </c>
      <c r="AL203" s="15"/>
      <c r="AM203" s="15">
        <v>0</v>
      </c>
      <c r="AN203" s="15"/>
      <c r="AO203" s="15">
        <v>0</v>
      </c>
      <c r="AP203" s="15"/>
      <c r="AQ203" s="15">
        <v>0</v>
      </c>
      <c r="AR203" s="15">
        <v>0</v>
      </c>
      <c r="AS203" s="15">
        <v>0</v>
      </c>
      <c r="AT203" s="15">
        <v>0</v>
      </c>
      <c r="AU203" s="15">
        <v>0</v>
      </c>
      <c r="AV203" s="15">
        <v>0</v>
      </c>
      <c r="AW203" s="15">
        <v>0</v>
      </c>
      <c r="AX203" s="15">
        <v>0</v>
      </c>
      <c r="AY203" s="15">
        <v>52</v>
      </c>
      <c r="AZ203" s="15">
        <v>41</v>
      </c>
      <c r="BA203" s="15">
        <v>39</v>
      </c>
      <c r="BB203" s="15">
        <v>0.95122</v>
      </c>
      <c r="BC203" s="15">
        <v>0</v>
      </c>
      <c r="BD203" s="15">
        <v>0</v>
      </c>
      <c r="BE203" s="15">
        <v>0.02036</v>
      </c>
      <c r="BF203" s="15">
        <v>10</v>
      </c>
      <c r="BG203" s="15">
        <v>1</v>
      </c>
      <c r="BH203" s="15">
        <v>0</v>
      </c>
      <c r="BI203" s="15"/>
      <c r="BJ203" s="15">
        <v>0</v>
      </c>
      <c r="BK203" s="15">
        <v>0</v>
      </c>
      <c r="BL203" s="15">
        <v>0</v>
      </c>
      <c r="BM203" s="15">
        <v>0</v>
      </c>
      <c r="BN203" s="15"/>
      <c r="BO203" s="15"/>
      <c r="BP203" s="15">
        <v>0</v>
      </c>
      <c r="BQ203" s="15">
        <v>4</v>
      </c>
      <c r="BR203" s="15">
        <v>0</v>
      </c>
      <c r="BS203" s="15">
        <v>0</v>
      </c>
      <c r="BT203" s="15">
        <v>0</v>
      </c>
      <c r="BU203" s="15">
        <v>0</v>
      </c>
      <c r="BV203" s="15">
        <v>0</v>
      </c>
      <c r="BW203" s="15">
        <v>0</v>
      </c>
      <c r="BX203" s="15">
        <v>0</v>
      </c>
    </row>
    <row r="204" spans="1:76">
      <c r="A204" s="14" t="str">
        <f>VLOOKUP(C204,VLOOKUP!A:B,2,FALSE)</f>
        <v>奇楠手串</v>
      </c>
      <c r="B204" s="16">
        <v>46062</v>
      </c>
      <c r="C204" s="17">
        <v>833035288991</v>
      </c>
      <c r="D204" s="15" t="s">
        <v>151</v>
      </c>
      <c r="E204" s="15" t="s">
        <v>159</v>
      </c>
      <c r="F204" s="15">
        <v>1009</v>
      </c>
      <c r="G204" s="15">
        <v>61</v>
      </c>
      <c r="H204" s="15">
        <v>20.37</v>
      </c>
      <c r="I204" s="15">
        <v>0.06046</v>
      </c>
      <c r="J204" s="15">
        <v>0.33</v>
      </c>
      <c r="K204" s="15">
        <v>20.19</v>
      </c>
      <c r="L204" s="15">
        <v>0</v>
      </c>
      <c r="M204" s="15">
        <v>0</v>
      </c>
      <c r="N204" s="15">
        <v>0</v>
      </c>
      <c r="O204" s="15">
        <v>0</v>
      </c>
      <c r="P204" s="15">
        <v>0</v>
      </c>
      <c r="Q204" s="15">
        <v>0</v>
      </c>
      <c r="R204" s="15">
        <v>0</v>
      </c>
      <c r="S204" s="15">
        <v>0</v>
      </c>
      <c r="T204" s="15">
        <v>0</v>
      </c>
      <c r="U204" s="15">
        <v>0</v>
      </c>
      <c r="V204" s="15">
        <v>0</v>
      </c>
      <c r="W204" s="15">
        <v>0</v>
      </c>
      <c r="X204" s="15">
        <v>0</v>
      </c>
      <c r="Y204" s="15">
        <v>0</v>
      </c>
      <c r="Z204" s="15">
        <v>0</v>
      </c>
      <c r="AA204" s="15"/>
      <c r="AB204" s="15">
        <v>1</v>
      </c>
      <c r="AC204" s="15">
        <v>0</v>
      </c>
      <c r="AD204" s="15">
        <v>1</v>
      </c>
      <c r="AE204" s="15">
        <v>0.01639</v>
      </c>
      <c r="AF204" s="15">
        <v>0</v>
      </c>
      <c r="AG204" s="15">
        <v>1</v>
      </c>
      <c r="AH204" s="15">
        <v>20.37</v>
      </c>
      <c r="AI204" s="15">
        <v>2</v>
      </c>
      <c r="AJ204" s="15">
        <v>10.19</v>
      </c>
      <c r="AK204" s="15">
        <v>1</v>
      </c>
      <c r="AL204" s="15">
        <v>20.37</v>
      </c>
      <c r="AM204" s="15">
        <v>1</v>
      </c>
      <c r="AN204" s="15"/>
      <c r="AO204" s="15">
        <v>0</v>
      </c>
      <c r="AP204" s="15">
        <v>20.37</v>
      </c>
      <c r="AQ204" s="15">
        <v>0</v>
      </c>
      <c r="AR204" s="15">
        <v>0</v>
      </c>
      <c r="AS204" s="15">
        <v>0</v>
      </c>
      <c r="AT204" s="15">
        <v>0</v>
      </c>
      <c r="AU204" s="15">
        <v>0</v>
      </c>
      <c r="AV204" s="15">
        <v>0</v>
      </c>
      <c r="AW204" s="15">
        <v>0</v>
      </c>
      <c r="AX204" s="15">
        <v>0</v>
      </c>
      <c r="AY204" s="15">
        <v>139</v>
      </c>
      <c r="AZ204" s="15">
        <v>57</v>
      </c>
      <c r="BA204" s="15">
        <v>53</v>
      </c>
      <c r="BB204" s="15">
        <v>0.92982</v>
      </c>
      <c r="BC204" s="15">
        <v>0</v>
      </c>
      <c r="BD204" s="15">
        <v>0</v>
      </c>
      <c r="BE204" s="15">
        <v>0.13776</v>
      </c>
      <c r="BF204" s="15">
        <v>73</v>
      </c>
      <c r="BG204" s="15">
        <v>2</v>
      </c>
      <c r="BH204" s="15">
        <v>0</v>
      </c>
      <c r="BI204" s="15"/>
      <c r="BJ204" s="15">
        <v>0</v>
      </c>
      <c r="BK204" s="15">
        <v>0</v>
      </c>
      <c r="BL204" s="15">
        <v>0</v>
      </c>
      <c r="BM204" s="15">
        <v>0</v>
      </c>
      <c r="BN204" s="15"/>
      <c r="BO204" s="15"/>
      <c r="BP204" s="15">
        <v>0.26</v>
      </c>
      <c r="BQ204" s="15">
        <v>55</v>
      </c>
      <c r="BR204" s="15">
        <v>0</v>
      </c>
      <c r="BS204" s="15">
        <v>0</v>
      </c>
      <c r="BT204" s="15">
        <v>0</v>
      </c>
      <c r="BU204" s="15">
        <v>0</v>
      </c>
      <c r="BV204" s="15">
        <v>0</v>
      </c>
      <c r="BW204" s="15">
        <v>0</v>
      </c>
      <c r="BX204" s="15">
        <v>0</v>
      </c>
    </row>
    <row r="205" spans="1:76">
      <c r="A205" s="14" t="str">
        <f>VLOOKUP(C205,VLOOKUP!A:B,2,FALSE)</f>
        <v>四季线香</v>
      </c>
      <c r="B205" s="16">
        <v>46062</v>
      </c>
      <c r="C205" s="17">
        <v>742540384374</v>
      </c>
      <c r="D205" s="15" t="s">
        <v>151</v>
      </c>
      <c r="E205" s="15" t="s">
        <v>161</v>
      </c>
      <c r="F205" s="15">
        <v>197</v>
      </c>
      <c r="G205" s="15">
        <v>12</v>
      </c>
      <c r="H205" s="15">
        <v>30.96</v>
      </c>
      <c r="I205" s="15">
        <v>0.06091</v>
      </c>
      <c r="J205" s="15">
        <v>2.58</v>
      </c>
      <c r="K205" s="15">
        <v>157.16</v>
      </c>
      <c r="L205" s="15">
        <v>0</v>
      </c>
      <c r="M205" s="15">
        <v>0</v>
      </c>
      <c r="N205" s="15">
        <v>0</v>
      </c>
      <c r="O205" s="15">
        <v>0</v>
      </c>
      <c r="P205" s="15">
        <v>0</v>
      </c>
      <c r="Q205" s="15">
        <v>0</v>
      </c>
      <c r="R205" s="15">
        <v>0</v>
      </c>
      <c r="S205" s="15">
        <v>0</v>
      </c>
      <c r="T205" s="15">
        <v>0</v>
      </c>
      <c r="U205" s="15">
        <v>0</v>
      </c>
      <c r="V205" s="15">
        <v>0</v>
      </c>
      <c r="W205" s="15">
        <v>0</v>
      </c>
      <c r="X205" s="15">
        <v>0</v>
      </c>
      <c r="Y205" s="15">
        <v>0</v>
      </c>
      <c r="Z205" s="15">
        <v>0</v>
      </c>
      <c r="AA205" s="15"/>
      <c r="AB205" s="15">
        <v>0</v>
      </c>
      <c r="AC205" s="15">
        <v>0</v>
      </c>
      <c r="AD205" s="15">
        <v>0</v>
      </c>
      <c r="AE205" s="15">
        <v>0</v>
      </c>
      <c r="AF205" s="15">
        <v>0</v>
      </c>
      <c r="AG205" s="15">
        <v>1</v>
      </c>
      <c r="AH205" s="15">
        <v>30.96</v>
      </c>
      <c r="AI205" s="15">
        <v>1</v>
      </c>
      <c r="AJ205" s="15">
        <v>30.96</v>
      </c>
      <c r="AK205" s="15">
        <v>0</v>
      </c>
      <c r="AL205" s="15"/>
      <c r="AM205" s="15">
        <v>1</v>
      </c>
      <c r="AN205" s="15"/>
      <c r="AO205" s="15">
        <v>0</v>
      </c>
      <c r="AP205" s="15"/>
      <c r="AQ205" s="15">
        <v>0</v>
      </c>
      <c r="AR205" s="15">
        <v>0</v>
      </c>
      <c r="AS205" s="15">
        <v>0</v>
      </c>
      <c r="AT205" s="15">
        <v>0</v>
      </c>
      <c r="AU205" s="15">
        <v>0</v>
      </c>
      <c r="AV205" s="15">
        <v>0</v>
      </c>
      <c r="AW205" s="15">
        <v>0</v>
      </c>
      <c r="AX205" s="15">
        <v>0</v>
      </c>
      <c r="AY205" s="15">
        <v>29</v>
      </c>
      <c r="AZ205" s="15">
        <v>9</v>
      </c>
      <c r="BA205" s="15">
        <v>6</v>
      </c>
      <c r="BB205" s="15">
        <v>0.66667</v>
      </c>
      <c r="BC205" s="15">
        <v>0</v>
      </c>
      <c r="BD205" s="15">
        <v>0</v>
      </c>
      <c r="BE205" s="15">
        <v>0.14721</v>
      </c>
      <c r="BF205" s="15">
        <v>15</v>
      </c>
      <c r="BG205" s="15">
        <v>3</v>
      </c>
      <c r="BH205" s="15">
        <v>0</v>
      </c>
      <c r="BI205" s="15"/>
      <c r="BJ205" s="15">
        <v>0</v>
      </c>
      <c r="BK205" s="15">
        <v>0</v>
      </c>
      <c r="BL205" s="15">
        <v>0</v>
      </c>
      <c r="BM205" s="15">
        <v>0</v>
      </c>
      <c r="BN205" s="15"/>
      <c r="BO205" s="15"/>
      <c r="BP205" s="15">
        <v>0</v>
      </c>
      <c r="BQ205" s="15">
        <v>3</v>
      </c>
      <c r="BR205" s="15">
        <v>0</v>
      </c>
      <c r="BS205" s="15">
        <v>0</v>
      </c>
      <c r="BT205" s="15">
        <v>0</v>
      </c>
      <c r="BU205" s="15">
        <v>0</v>
      </c>
      <c r="BV205" s="15">
        <v>0</v>
      </c>
      <c r="BW205" s="15">
        <v>0</v>
      </c>
      <c r="BX205" s="15">
        <v>0</v>
      </c>
    </row>
    <row r="206" spans="1:76">
      <c r="A206" s="14" t="str">
        <f>VLOOKUP(C206,VLOOKUP!A:B,2,FALSE)</f>
        <v>福到</v>
      </c>
      <c r="B206" s="16">
        <v>46061</v>
      </c>
      <c r="C206" s="17">
        <v>971856893567</v>
      </c>
      <c r="D206" s="15" t="s">
        <v>151</v>
      </c>
      <c r="E206" s="15" t="s">
        <v>152</v>
      </c>
      <c r="F206" s="15">
        <v>151</v>
      </c>
      <c r="G206" s="15">
        <v>9</v>
      </c>
      <c r="H206" s="15">
        <v>2.35</v>
      </c>
      <c r="I206" s="15">
        <v>0.0596</v>
      </c>
      <c r="J206" s="15">
        <v>0.26</v>
      </c>
      <c r="K206" s="15">
        <v>15.56</v>
      </c>
      <c r="L206" s="15">
        <v>0</v>
      </c>
      <c r="M206" s="15">
        <v>0</v>
      </c>
      <c r="N206" s="15">
        <v>0</v>
      </c>
      <c r="O206" s="15">
        <v>0</v>
      </c>
      <c r="P206" s="15">
        <v>0</v>
      </c>
      <c r="Q206" s="15">
        <v>0</v>
      </c>
      <c r="R206" s="15">
        <v>0</v>
      </c>
      <c r="S206" s="15">
        <v>0</v>
      </c>
      <c r="T206" s="15">
        <v>0</v>
      </c>
      <c r="U206" s="15">
        <v>0</v>
      </c>
      <c r="V206" s="15">
        <v>0</v>
      </c>
      <c r="W206" s="15">
        <v>0</v>
      </c>
      <c r="X206" s="15">
        <v>0</v>
      </c>
      <c r="Y206" s="15">
        <v>0</v>
      </c>
      <c r="Z206" s="15">
        <v>0</v>
      </c>
      <c r="AA206" s="15"/>
      <c r="AB206" s="15">
        <v>1</v>
      </c>
      <c r="AC206" s="15">
        <v>1</v>
      </c>
      <c r="AD206" s="15">
        <v>0</v>
      </c>
      <c r="AE206" s="15">
        <v>0.11111</v>
      </c>
      <c r="AF206" s="15">
        <v>0</v>
      </c>
      <c r="AG206" s="15">
        <v>0</v>
      </c>
      <c r="AH206" s="15"/>
      <c r="AI206" s="15">
        <v>1</v>
      </c>
      <c r="AJ206" s="15">
        <v>2.35</v>
      </c>
      <c r="AK206" s="15">
        <v>1</v>
      </c>
      <c r="AL206" s="15">
        <v>2.35</v>
      </c>
      <c r="AM206" s="15">
        <v>0</v>
      </c>
      <c r="AN206" s="15"/>
      <c r="AO206" s="15">
        <v>0</v>
      </c>
      <c r="AP206" s="15">
        <v>2.35</v>
      </c>
      <c r="AQ206" s="15">
        <v>0</v>
      </c>
      <c r="AR206" s="15">
        <v>0</v>
      </c>
      <c r="AS206" s="15">
        <v>0</v>
      </c>
      <c r="AT206" s="15">
        <v>0</v>
      </c>
      <c r="AU206" s="15">
        <v>0</v>
      </c>
      <c r="AV206" s="15">
        <v>0</v>
      </c>
      <c r="AW206" s="15">
        <v>0</v>
      </c>
      <c r="AX206" s="15">
        <v>0</v>
      </c>
      <c r="AY206" s="15">
        <v>31</v>
      </c>
      <c r="AZ206" s="15">
        <v>7</v>
      </c>
      <c r="BA206" s="15">
        <v>6</v>
      </c>
      <c r="BB206" s="15">
        <v>0.85714</v>
      </c>
      <c r="BC206" s="15">
        <v>0</v>
      </c>
      <c r="BD206" s="15">
        <v>0</v>
      </c>
      <c r="BE206" s="15">
        <v>0.2053</v>
      </c>
      <c r="BF206" s="15">
        <v>21</v>
      </c>
      <c r="BG206" s="15">
        <v>4</v>
      </c>
      <c r="BH206" s="15">
        <v>0</v>
      </c>
      <c r="BI206" s="15"/>
      <c r="BJ206" s="15">
        <v>0</v>
      </c>
      <c r="BK206" s="15">
        <v>0</v>
      </c>
      <c r="BL206" s="15">
        <v>0</v>
      </c>
      <c r="BM206" s="15">
        <v>0</v>
      </c>
      <c r="BN206" s="15"/>
      <c r="BO206" s="15"/>
      <c r="BP206" s="15">
        <v>0</v>
      </c>
      <c r="BQ206" s="15">
        <v>55</v>
      </c>
      <c r="BR206" s="15">
        <v>0</v>
      </c>
      <c r="BS206" s="15">
        <v>0</v>
      </c>
      <c r="BT206" s="15">
        <v>0</v>
      </c>
      <c r="BU206" s="15">
        <v>0</v>
      </c>
      <c r="BV206" s="15">
        <v>0</v>
      </c>
      <c r="BW206" s="15">
        <v>0</v>
      </c>
      <c r="BX206" s="15">
        <v>0</v>
      </c>
    </row>
    <row r="207" spans="1:76">
      <c r="A207" s="14" t="str">
        <f>VLOOKUP(C207,VLOOKUP!A:B,2,FALSE)</f>
        <v>如意盘香</v>
      </c>
      <c r="B207" s="16">
        <v>46061</v>
      </c>
      <c r="C207" s="17">
        <v>838711327669</v>
      </c>
      <c r="D207" s="15" t="s">
        <v>151</v>
      </c>
      <c r="E207" s="15" t="s">
        <v>158</v>
      </c>
      <c r="F207" s="15">
        <v>404</v>
      </c>
      <c r="G207" s="15">
        <v>15</v>
      </c>
      <c r="H207" s="15">
        <v>80</v>
      </c>
      <c r="I207" s="15">
        <v>0.03713</v>
      </c>
      <c r="J207" s="15">
        <v>5.33</v>
      </c>
      <c r="K207" s="15">
        <v>198.02</v>
      </c>
      <c r="L207" s="15">
        <v>0</v>
      </c>
      <c r="M207" s="15">
        <v>0</v>
      </c>
      <c r="N207" s="15">
        <v>0</v>
      </c>
      <c r="O207" s="15">
        <v>0</v>
      </c>
      <c r="P207" s="15">
        <v>0</v>
      </c>
      <c r="Q207" s="15">
        <v>0</v>
      </c>
      <c r="R207" s="15">
        <v>162.68</v>
      </c>
      <c r="S207" s="15">
        <v>0</v>
      </c>
      <c r="T207" s="15">
        <v>162.68</v>
      </c>
      <c r="U207" s="15">
        <v>1</v>
      </c>
      <c r="V207" s="15">
        <v>1</v>
      </c>
      <c r="W207" s="15">
        <v>0</v>
      </c>
      <c r="X207" s="15">
        <v>0.06667</v>
      </c>
      <c r="Y207" s="15">
        <v>2.03</v>
      </c>
      <c r="Z207" s="15">
        <v>2.03</v>
      </c>
      <c r="AA207" s="15">
        <v>80</v>
      </c>
      <c r="AB207" s="15">
        <v>2</v>
      </c>
      <c r="AC207" s="15">
        <v>2</v>
      </c>
      <c r="AD207" s="15">
        <v>0</v>
      </c>
      <c r="AE207" s="15">
        <v>0.13333</v>
      </c>
      <c r="AF207" s="15">
        <v>0</v>
      </c>
      <c r="AG207" s="15">
        <v>1</v>
      </c>
      <c r="AH207" s="15">
        <v>80</v>
      </c>
      <c r="AI207" s="15">
        <v>3</v>
      </c>
      <c r="AJ207" s="15">
        <v>26.67</v>
      </c>
      <c r="AK207" s="15">
        <v>2</v>
      </c>
      <c r="AL207" s="15">
        <v>40</v>
      </c>
      <c r="AM207" s="15">
        <v>1</v>
      </c>
      <c r="AN207" s="15"/>
      <c r="AO207" s="15">
        <v>0</v>
      </c>
      <c r="AP207" s="15">
        <v>40</v>
      </c>
      <c r="AQ207" s="15">
        <v>2</v>
      </c>
      <c r="AR207" s="15">
        <v>245.9</v>
      </c>
      <c r="AS207" s="15">
        <v>0</v>
      </c>
      <c r="AT207" s="15">
        <v>0</v>
      </c>
      <c r="AU207" s="15">
        <v>0</v>
      </c>
      <c r="AV207" s="15">
        <v>0</v>
      </c>
      <c r="AW207" s="15">
        <v>0</v>
      </c>
      <c r="AX207" s="15">
        <v>2</v>
      </c>
      <c r="AY207" s="15">
        <v>94</v>
      </c>
      <c r="AZ207" s="15">
        <v>14</v>
      </c>
      <c r="BA207" s="15">
        <v>10</v>
      </c>
      <c r="BB207" s="15">
        <v>0.71429</v>
      </c>
      <c r="BC207" s="15">
        <v>0</v>
      </c>
      <c r="BD207" s="15">
        <v>0</v>
      </c>
      <c r="BE207" s="15">
        <v>0.23267</v>
      </c>
      <c r="BF207" s="15">
        <v>79</v>
      </c>
      <c r="BG207" s="15">
        <v>7</v>
      </c>
      <c r="BH207" s="15">
        <v>1</v>
      </c>
      <c r="BI207" s="15">
        <v>1</v>
      </c>
      <c r="BJ207" s="15">
        <v>0</v>
      </c>
      <c r="BK207" s="15">
        <v>0</v>
      </c>
      <c r="BL207" s="15">
        <v>0</v>
      </c>
      <c r="BM207" s="15">
        <v>1</v>
      </c>
      <c r="BN207" s="15">
        <v>1</v>
      </c>
      <c r="BO207" s="15">
        <v>162.68</v>
      </c>
      <c r="BP207" s="15">
        <v>0</v>
      </c>
      <c r="BQ207" s="15">
        <v>349</v>
      </c>
      <c r="BR207" s="15">
        <v>0</v>
      </c>
      <c r="BS207" s="15">
        <v>0</v>
      </c>
      <c r="BT207" s="15">
        <v>0</v>
      </c>
      <c r="BU207" s="15">
        <v>0</v>
      </c>
      <c r="BV207" s="15">
        <v>0</v>
      </c>
      <c r="BW207" s="15">
        <v>0</v>
      </c>
      <c r="BX207" s="15">
        <v>0</v>
      </c>
    </row>
    <row r="208" spans="1:76">
      <c r="A208" s="14" t="str">
        <f>VLOOKUP(C208,VLOOKUP!A:B,2,FALSE)</f>
        <v>福颜青</v>
      </c>
      <c r="B208" s="16">
        <v>46061</v>
      </c>
      <c r="C208" s="17">
        <v>833369552621</v>
      </c>
      <c r="D208" s="15" t="s">
        <v>151</v>
      </c>
      <c r="E208" s="15" t="s">
        <v>154</v>
      </c>
      <c r="F208" s="15">
        <v>2738</v>
      </c>
      <c r="G208" s="15">
        <v>30</v>
      </c>
      <c r="H208" s="15">
        <v>7.92</v>
      </c>
      <c r="I208" s="15">
        <v>0.01096</v>
      </c>
      <c r="J208" s="15">
        <v>0.26</v>
      </c>
      <c r="K208" s="15">
        <v>2.89</v>
      </c>
      <c r="L208" s="15">
        <v>0</v>
      </c>
      <c r="M208" s="15">
        <v>0</v>
      </c>
      <c r="N208" s="15">
        <v>0</v>
      </c>
      <c r="O208" s="15">
        <v>0</v>
      </c>
      <c r="P208" s="15">
        <v>0</v>
      </c>
      <c r="Q208" s="15">
        <v>0</v>
      </c>
      <c r="R208" s="15">
        <v>0</v>
      </c>
      <c r="S208" s="15">
        <v>0</v>
      </c>
      <c r="T208" s="15">
        <v>0</v>
      </c>
      <c r="U208" s="15">
        <v>0</v>
      </c>
      <c r="V208" s="15">
        <v>0</v>
      </c>
      <c r="W208" s="15">
        <v>0</v>
      </c>
      <c r="X208" s="15">
        <v>0</v>
      </c>
      <c r="Y208" s="15">
        <v>0</v>
      </c>
      <c r="Z208" s="15">
        <v>0</v>
      </c>
      <c r="AA208" s="15"/>
      <c r="AB208" s="15">
        <v>0</v>
      </c>
      <c r="AC208" s="15">
        <v>0</v>
      </c>
      <c r="AD208" s="15">
        <v>0</v>
      </c>
      <c r="AE208" s="15">
        <v>0</v>
      </c>
      <c r="AF208" s="15">
        <v>0</v>
      </c>
      <c r="AG208" s="15">
        <v>0</v>
      </c>
      <c r="AH208" s="15"/>
      <c r="AI208" s="15">
        <v>0</v>
      </c>
      <c r="AJ208" s="15"/>
      <c r="AK208" s="15">
        <v>0</v>
      </c>
      <c r="AL208" s="15"/>
      <c r="AM208" s="15">
        <v>0</v>
      </c>
      <c r="AN208" s="15"/>
      <c r="AO208" s="15">
        <v>0</v>
      </c>
      <c r="AP208" s="15"/>
      <c r="AQ208" s="15">
        <v>0</v>
      </c>
      <c r="AR208" s="15">
        <v>0</v>
      </c>
      <c r="AS208" s="15">
        <v>0</v>
      </c>
      <c r="AT208" s="15">
        <v>0</v>
      </c>
      <c r="AU208" s="15">
        <v>0</v>
      </c>
      <c r="AV208" s="15">
        <v>0</v>
      </c>
      <c r="AW208" s="15">
        <v>0</v>
      </c>
      <c r="AX208" s="15">
        <v>0</v>
      </c>
      <c r="AY208" s="15">
        <v>48</v>
      </c>
      <c r="AZ208" s="15">
        <v>41</v>
      </c>
      <c r="BA208" s="15">
        <v>39</v>
      </c>
      <c r="BB208" s="15">
        <v>0.95122</v>
      </c>
      <c r="BC208" s="15">
        <v>0</v>
      </c>
      <c r="BD208" s="15">
        <v>0</v>
      </c>
      <c r="BE208" s="15">
        <v>0.01753</v>
      </c>
      <c r="BF208" s="15">
        <v>6</v>
      </c>
      <c r="BG208" s="15">
        <v>1</v>
      </c>
      <c r="BH208" s="15">
        <v>0</v>
      </c>
      <c r="BI208" s="15"/>
      <c r="BJ208" s="15">
        <v>0</v>
      </c>
      <c r="BK208" s="15">
        <v>0</v>
      </c>
      <c r="BL208" s="15">
        <v>0</v>
      </c>
      <c r="BM208" s="15">
        <v>0</v>
      </c>
      <c r="BN208" s="15"/>
      <c r="BO208" s="15"/>
      <c r="BP208" s="15">
        <v>0</v>
      </c>
      <c r="BQ208" s="15">
        <v>0</v>
      </c>
      <c r="BR208" s="15">
        <v>0</v>
      </c>
      <c r="BS208" s="15">
        <v>0</v>
      </c>
      <c r="BT208" s="15">
        <v>0</v>
      </c>
      <c r="BU208" s="15">
        <v>0</v>
      </c>
      <c r="BV208" s="15">
        <v>0</v>
      </c>
      <c r="BW208" s="15">
        <v>0</v>
      </c>
      <c r="BX208" s="15">
        <v>0</v>
      </c>
    </row>
    <row r="209" spans="1:76">
      <c r="A209" s="14" t="str">
        <f>VLOOKUP(C209,VLOOKUP!A:B,2,FALSE)</f>
        <v>奇楠手串</v>
      </c>
      <c r="B209" s="16">
        <v>46061</v>
      </c>
      <c r="C209" s="17">
        <v>833035288991</v>
      </c>
      <c r="D209" s="15" t="s">
        <v>151</v>
      </c>
      <c r="E209" s="15" t="s">
        <v>159</v>
      </c>
      <c r="F209" s="15">
        <v>1057</v>
      </c>
      <c r="G209" s="15">
        <v>68</v>
      </c>
      <c r="H209" s="15">
        <v>23.4</v>
      </c>
      <c r="I209" s="15">
        <v>0.06433</v>
      </c>
      <c r="J209" s="15">
        <v>0.34</v>
      </c>
      <c r="K209" s="15">
        <v>22.14</v>
      </c>
      <c r="L209" s="15">
        <v>0</v>
      </c>
      <c r="M209" s="15">
        <v>0</v>
      </c>
      <c r="N209" s="15">
        <v>0</v>
      </c>
      <c r="O209" s="15">
        <v>0</v>
      </c>
      <c r="P209" s="15">
        <v>0</v>
      </c>
      <c r="Q209" s="15">
        <v>0</v>
      </c>
      <c r="R209" s="15">
        <v>0</v>
      </c>
      <c r="S209" s="15">
        <v>0</v>
      </c>
      <c r="T209" s="15">
        <v>0</v>
      </c>
      <c r="U209" s="15">
        <v>0</v>
      </c>
      <c r="V209" s="15">
        <v>0</v>
      </c>
      <c r="W209" s="15">
        <v>0</v>
      </c>
      <c r="X209" s="15">
        <v>0</v>
      </c>
      <c r="Y209" s="15">
        <v>0</v>
      </c>
      <c r="Z209" s="15">
        <v>0</v>
      </c>
      <c r="AA209" s="15"/>
      <c r="AB209" s="15">
        <v>2</v>
      </c>
      <c r="AC209" s="15">
        <v>2</v>
      </c>
      <c r="AD209" s="15">
        <v>0</v>
      </c>
      <c r="AE209" s="15">
        <v>0.02941</v>
      </c>
      <c r="AF209" s="15">
        <v>0</v>
      </c>
      <c r="AG209" s="15">
        <v>0</v>
      </c>
      <c r="AH209" s="15"/>
      <c r="AI209" s="15">
        <v>2</v>
      </c>
      <c r="AJ209" s="15">
        <v>11.7</v>
      </c>
      <c r="AK209" s="15">
        <v>2</v>
      </c>
      <c r="AL209" s="15">
        <v>11.7</v>
      </c>
      <c r="AM209" s="15">
        <v>0</v>
      </c>
      <c r="AN209" s="15"/>
      <c r="AO209" s="15">
        <v>0</v>
      </c>
      <c r="AP209" s="15">
        <v>11.7</v>
      </c>
      <c r="AQ209" s="15">
        <v>0</v>
      </c>
      <c r="AR209" s="15">
        <v>0</v>
      </c>
      <c r="AS209" s="15">
        <v>0</v>
      </c>
      <c r="AT209" s="15">
        <v>0</v>
      </c>
      <c r="AU209" s="15">
        <v>0</v>
      </c>
      <c r="AV209" s="15">
        <v>0</v>
      </c>
      <c r="AW209" s="15">
        <v>0</v>
      </c>
      <c r="AX209" s="15">
        <v>0</v>
      </c>
      <c r="AY209" s="15">
        <v>120</v>
      </c>
      <c r="AZ209" s="15">
        <v>62</v>
      </c>
      <c r="BA209" s="15">
        <v>61</v>
      </c>
      <c r="BB209" s="15">
        <v>0.98387</v>
      </c>
      <c r="BC209" s="15">
        <v>0</v>
      </c>
      <c r="BD209" s="15">
        <v>0</v>
      </c>
      <c r="BE209" s="15">
        <v>0.11353</v>
      </c>
      <c r="BF209" s="15">
        <v>47</v>
      </c>
      <c r="BG209" s="15">
        <v>2</v>
      </c>
      <c r="BH209" s="15">
        <v>0</v>
      </c>
      <c r="BI209" s="15"/>
      <c r="BJ209" s="15">
        <v>0</v>
      </c>
      <c r="BK209" s="15">
        <v>0</v>
      </c>
      <c r="BL209" s="15">
        <v>0</v>
      </c>
      <c r="BM209" s="15">
        <v>0</v>
      </c>
      <c r="BN209" s="15"/>
      <c r="BO209" s="15"/>
      <c r="BP209" s="15">
        <v>0</v>
      </c>
      <c r="BQ209" s="15">
        <v>597</v>
      </c>
      <c r="BR209" s="15">
        <v>0</v>
      </c>
      <c r="BS209" s="15">
        <v>0</v>
      </c>
      <c r="BT209" s="15">
        <v>0</v>
      </c>
      <c r="BU209" s="15">
        <v>0</v>
      </c>
      <c r="BV209" s="15">
        <v>0</v>
      </c>
      <c r="BW209" s="15">
        <v>0</v>
      </c>
      <c r="BX209" s="15">
        <v>0</v>
      </c>
    </row>
    <row r="210" spans="1:76">
      <c r="A210" s="14" t="str">
        <f>VLOOKUP(C210,VLOOKUP!A:B,2,FALSE)</f>
        <v>四季线香</v>
      </c>
      <c r="B210" s="16">
        <v>46061</v>
      </c>
      <c r="C210" s="17">
        <v>742540384374</v>
      </c>
      <c r="D210" s="15" t="s">
        <v>151</v>
      </c>
      <c r="E210" s="15" t="s">
        <v>161</v>
      </c>
      <c r="F210" s="15">
        <v>374</v>
      </c>
      <c r="G210" s="15">
        <v>19</v>
      </c>
      <c r="H210" s="15">
        <v>35</v>
      </c>
      <c r="I210" s="15">
        <v>0.0508</v>
      </c>
      <c r="J210" s="15">
        <v>1.84</v>
      </c>
      <c r="K210" s="15">
        <v>93.58</v>
      </c>
      <c r="L210" s="15">
        <v>0</v>
      </c>
      <c r="M210" s="15">
        <v>0</v>
      </c>
      <c r="N210" s="15">
        <v>0</v>
      </c>
      <c r="O210" s="15">
        <v>0</v>
      </c>
      <c r="P210" s="15">
        <v>0</v>
      </c>
      <c r="Q210" s="15">
        <v>0</v>
      </c>
      <c r="R210" s="15">
        <v>0</v>
      </c>
      <c r="S210" s="15">
        <v>0</v>
      </c>
      <c r="T210" s="15">
        <v>0</v>
      </c>
      <c r="U210" s="15">
        <v>0</v>
      </c>
      <c r="V210" s="15">
        <v>0</v>
      </c>
      <c r="W210" s="15">
        <v>0</v>
      </c>
      <c r="X210" s="15">
        <v>0</v>
      </c>
      <c r="Y210" s="15">
        <v>0</v>
      </c>
      <c r="Z210" s="15">
        <v>0</v>
      </c>
      <c r="AA210" s="15"/>
      <c r="AB210" s="15">
        <v>6</v>
      </c>
      <c r="AC210" s="15">
        <v>1</v>
      </c>
      <c r="AD210" s="15">
        <v>5</v>
      </c>
      <c r="AE210" s="15">
        <v>0.31579</v>
      </c>
      <c r="AF210" s="15">
        <v>0</v>
      </c>
      <c r="AG210" s="15">
        <v>0</v>
      </c>
      <c r="AH210" s="15"/>
      <c r="AI210" s="15">
        <v>6</v>
      </c>
      <c r="AJ210" s="15">
        <v>5.83</v>
      </c>
      <c r="AK210" s="15">
        <v>6</v>
      </c>
      <c r="AL210" s="15">
        <v>5.83</v>
      </c>
      <c r="AM210" s="15">
        <v>0</v>
      </c>
      <c r="AN210" s="15"/>
      <c r="AO210" s="15">
        <v>0</v>
      </c>
      <c r="AP210" s="15">
        <v>5.83</v>
      </c>
      <c r="AQ210" s="15">
        <v>0</v>
      </c>
      <c r="AR210" s="15">
        <v>0</v>
      </c>
      <c r="AS210" s="15">
        <v>0</v>
      </c>
      <c r="AT210" s="15">
        <v>0</v>
      </c>
      <c r="AU210" s="15">
        <v>0</v>
      </c>
      <c r="AV210" s="15">
        <v>0</v>
      </c>
      <c r="AW210" s="15">
        <v>0</v>
      </c>
      <c r="AX210" s="15">
        <v>1</v>
      </c>
      <c r="AY210" s="15">
        <v>147</v>
      </c>
      <c r="AZ210" s="15">
        <v>16</v>
      </c>
      <c r="BA210" s="15">
        <v>11</v>
      </c>
      <c r="BB210" s="15">
        <v>0.6875</v>
      </c>
      <c r="BC210" s="15">
        <v>0</v>
      </c>
      <c r="BD210" s="15">
        <v>0</v>
      </c>
      <c r="BE210" s="15">
        <v>0.39305</v>
      </c>
      <c r="BF210" s="15">
        <v>126</v>
      </c>
      <c r="BG210" s="15">
        <v>9</v>
      </c>
      <c r="BH210" s="15">
        <v>0</v>
      </c>
      <c r="BI210" s="15"/>
      <c r="BJ210" s="15">
        <v>0</v>
      </c>
      <c r="BK210" s="15">
        <v>0</v>
      </c>
      <c r="BL210" s="15">
        <v>0</v>
      </c>
      <c r="BM210" s="15">
        <v>0</v>
      </c>
      <c r="BN210" s="15"/>
      <c r="BO210" s="15"/>
      <c r="BP210" s="15">
        <v>0.79</v>
      </c>
      <c r="BQ210" s="15">
        <v>64</v>
      </c>
      <c r="BR210" s="15">
        <v>0</v>
      </c>
      <c r="BS210" s="15">
        <v>0</v>
      </c>
      <c r="BT210" s="15">
        <v>0</v>
      </c>
      <c r="BU210" s="15">
        <v>0</v>
      </c>
      <c r="BV210" s="15">
        <v>0</v>
      </c>
      <c r="BW210" s="15">
        <v>0</v>
      </c>
      <c r="BX210" s="15">
        <v>0</v>
      </c>
    </row>
    <row r="211" spans="1:76">
      <c r="A211" s="14" t="str">
        <f>VLOOKUP(C211,VLOOKUP!A:B,2,FALSE)</f>
        <v>福到</v>
      </c>
      <c r="B211" s="16">
        <v>46060</v>
      </c>
      <c r="C211" s="17">
        <v>971856893567</v>
      </c>
      <c r="D211" s="15" t="s">
        <v>151</v>
      </c>
      <c r="E211" s="15" t="s">
        <v>152</v>
      </c>
      <c r="F211" s="15">
        <v>186</v>
      </c>
      <c r="G211" s="15">
        <v>8</v>
      </c>
      <c r="H211" s="15">
        <v>2.05</v>
      </c>
      <c r="I211" s="15">
        <v>0.04301</v>
      </c>
      <c r="J211" s="15">
        <v>0.26</v>
      </c>
      <c r="K211" s="15">
        <v>11.02</v>
      </c>
      <c r="L211" s="15">
        <v>0</v>
      </c>
      <c r="M211" s="15">
        <v>0</v>
      </c>
      <c r="N211" s="15">
        <v>0</v>
      </c>
      <c r="O211" s="15">
        <v>0</v>
      </c>
      <c r="P211" s="15">
        <v>0</v>
      </c>
      <c r="Q211" s="15">
        <v>0</v>
      </c>
      <c r="R211" s="15">
        <v>0</v>
      </c>
      <c r="S211" s="15">
        <v>0</v>
      </c>
      <c r="T211" s="15">
        <v>0</v>
      </c>
      <c r="U211" s="15">
        <v>0</v>
      </c>
      <c r="V211" s="15">
        <v>0</v>
      </c>
      <c r="W211" s="15">
        <v>0</v>
      </c>
      <c r="X211" s="15">
        <v>0</v>
      </c>
      <c r="Y211" s="15">
        <v>0</v>
      </c>
      <c r="Z211" s="15">
        <v>0</v>
      </c>
      <c r="AA211" s="15"/>
      <c r="AB211" s="15">
        <v>0</v>
      </c>
      <c r="AC211" s="15">
        <v>0</v>
      </c>
      <c r="AD211" s="15">
        <v>0</v>
      </c>
      <c r="AE211" s="15">
        <v>0</v>
      </c>
      <c r="AF211" s="15">
        <v>0</v>
      </c>
      <c r="AG211" s="15">
        <v>0</v>
      </c>
      <c r="AH211" s="15"/>
      <c r="AI211" s="15">
        <v>0</v>
      </c>
      <c r="AJ211" s="15"/>
      <c r="AK211" s="15">
        <v>0</v>
      </c>
      <c r="AL211" s="15"/>
      <c r="AM211" s="15">
        <v>0</v>
      </c>
      <c r="AN211" s="15"/>
      <c r="AO211" s="15">
        <v>0</v>
      </c>
      <c r="AP211" s="15"/>
      <c r="AQ211" s="15">
        <v>0</v>
      </c>
      <c r="AR211" s="15">
        <v>0</v>
      </c>
      <c r="AS211" s="15">
        <v>0</v>
      </c>
      <c r="AT211" s="15">
        <v>0</v>
      </c>
      <c r="AU211" s="15">
        <v>0</v>
      </c>
      <c r="AV211" s="15">
        <v>0</v>
      </c>
      <c r="AW211" s="15">
        <v>0</v>
      </c>
      <c r="AX211" s="15">
        <v>0</v>
      </c>
      <c r="AY211" s="15">
        <v>26</v>
      </c>
      <c r="AZ211" s="15">
        <v>8</v>
      </c>
      <c r="BA211" s="15">
        <v>7</v>
      </c>
      <c r="BB211" s="15">
        <v>0.875</v>
      </c>
      <c r="BC211" s="15">
        <v>0</v>
      </c>
      <c r="BD211" s="15">
        <v>0</v>
      </c>
      <c r="BE211" s="15">
        <v>0.13978</v>
      </c>
      <c r="BF211" s="15">
        <v>18</v>
      </c>
      <c r="BG211" s="15">
        <v>3</v>
      </c>
      <c r="BH211" s="15">
        <v>0</v>
      </c>
      <c r="BI211" s="15"/>
      <c r="BJ211" s="15">
        <v>0</v>
      </c>
      <c r="BK211" s="15">
        <v>0</v>
      </c>
      <c r="BL211" s="15">
        <v>0</v>
      </c>
      <c r="BM211" s="15">
        <v>0</v>
      </c>
      <c r="BN211" s="15"/>
      <c r="BO211" s="15"/>
      <c r="BP211" s="15">
        <v>0</v>
      </c>
      <c r="BQ211" s="15">
        <v>5</v>
      </c>
      <c r="BR211" s="15">
        <v>0</v>
      </c>
      <c r="BS211" s="15">
        <v>0</v>
      </c>
      <c r="BT211" s="15">
        <v>0</v>
      </c>
      <c r="BU211" s="15">
        <v>0</v>
      </c>
      <c r="BV211" s="15">
        <v>0</v>
      </c>
      <c r="BW211" s="15">
        <v>0</v>
      </c>
      <c r="BX211" s="15">
        <v>0</v>
      </c>
    </row>
    <row r="212" spans="1:76">
      <c r="A212" s="14" t="str">
        <f>VLOOKUP(C212,VLOOKUP!A:B,2,FALSE)</f>
        <v>如意盘香</v>
      </c>
      <c r="B212" s="16">
        <v>46060</v>
      </c>
      <c r="C212" s="17">
        <v>838711327669</v>
      </c>
      <c r="D212" s="15" t="s">
        <v>151</v>
      </c>
      <c r="E212" s="15" t="s">
        <v>158</v>
      </c>
      <c r="F212" s="15">
        <v>485</v>
      </c>
      <c r="G212" s="15">
        <v>14</v>
      </c>
      <c r="H212" s="15">
        <v>80</v>
      </c>
      <c r="I212" s="15">
        <v>0.02887</v>
      </c>
      <c r="J212" s="15">
        <v>5.71</v>
      </c>
      <c r="K212" s="15">
        <v>164.95</v>
      </c>
      <c r="L212" s="15">
        <v>0</v>
      </c>
      <c r="M212" s="15">
        <v>0</v>
      </c>
      <c r="N212" s="15">
        <v>0</v>
      </c>
      <c r="O212" s="15">
        <v>0</v>
      </c>
      <c r="P212" s="15">
        <v>0</v>
      </c>
      <c r="Q212" s="15">
        <v>0</v>
      </c>
      <c r="R212" s="15">
        <v>68.64</v>
      </c>
      <c r="S212" s="15">
        <v>952.99</v>
      </c>
      <c r="T212" s="15">
        <v>1021.63</v>
      </c>
      <c r="U212" s="15">
        <v>5</v>
      </c>
      <c r="V212" s="15">
        <v>1</v>
      </c>
      <c r="W212" s="15">
        <v>4</v>
      </c>
      <c r="X212" s="15">
        <v>0.35714</v>
      </c>
      <c r="Y212" s="15">
        <v>12.77</v>
      </c>
      <c r="Z212" s="15">
        <v>12.77</v>
      </c>
      <c r="AA212" s="15">
        <v>16</v>
      </c>
      <c r="AB212" s="15">
        <v>4</v>
      </c>
      <c r="AC212" s="15">
        <v>1</v>
      </c>
      <c r="AD212" s="15">
        <v>3</v>
      </c>
      <c r="AE212" s="15">
        <v>0.28571</v>
      </c>
      <c r="AF212" s="15">
        <v>0</v>
      </c>
      <c r="AG212" s="15">
        <v>0</v>
      </c>
      <c r="AH212" s="15"/>
      <c r="AI212" s="15">
        <v>4</v>
      </c>
      <c r="AJ212" s="15">
        <v>20</v>
      </c>
      <c r="AK212" s="15">
        <v>4</v>
      </c>
      <c r="AL212" s="15">
        <v>20</v>
      </c>
      <c r="AM212" s="15">
        <v>0</v>
      </c>
      <c r="AN212" s="15"/>
      <c r="AO212" s="15">
        <v>0</v>
      </c>
      <c r="AP212" s="15">
        <v>20</v>
      </c>
      <c r="AQ212" s="15">
        <v>6</v>
      </c>
      <c r="AR212" s="15">
        <v>1299</v>
      </c>
      <c r="AS212" s="15">
        <v>0</v>
      </c>
      <c r="AT212" s="15">
        <v>0</v>
      </c>
      <c r="AU212" s="15">
        <v>0</v>
      </c>
      <c r="AV212" s="15">
        <v>0</v>
      </c>
      <c r="AW212" s="15">
        <v>0</v>
      </c>
      <c r="AX212" s="15">
        <v>0</v>
      </c>
      <c r="AY212" s="15">
        <v>157</v>
      </c>
      <c r="AZ212" s="15">
        <v>12</v>
      </c>
      <c r="BA212" s="15">
        <v>8</v>
      </c>
      <c r="BB212" s="15">
        <v>0.66667</v>
      </c>
      <c r="BC212" s="15">
        <v>0</v>
      </c>
      <c r="BD212" s="15">
        <v>0</v>
      </c>
      <c r="BE212" s="15">
        <v>0.32371</v>
      </c>
      <c r="BF212" s="15">
        <v>143</v>
      </c>
      <c r="BG212" s="15">
        <v>13</v>
      </c>
      <c r="BH212" s="15">
        <v>2</v>
      </c>
      <c r="BI212" s="15">
        <v>1</v>
      </c>
      <c r="BJ212" s="15">
        <v>0</v>
      </c>
      <c r="BK212" s="15">
        <v>0</v>
      </c>
      <c r="BL212" s="15">
        <v>0</v>
      </c>
      <c r="BM212" s="15">
        <v>2</v>
      </c>
      <c r="BN212" s="15">
        <v>3</v>
      </c>
      <c r="BO212" s="15">
        <v>510.82</v>
      </c>
      <c r="BP212" s="15">
        <v>0.55</v>
      </c>
      <c r="BQ212" s="15">
        <v>953</v>
      </c>
      <c r="BR212" s="15">
        <v>0</v>
      </c>
      <c r="BS212" s="15">
        <v>0</v>
      </c>
      <c r="BT212" s="15">
        <v>0</v>
      </c>
      <c r="BU212" s="15">
        <v>0</v>
      </c>
      <c r="BV212" s="15">
        <v>0</v>
      </c>
      <c r="BW212" s="15">
        <v>0</v>
      </c>
      <c r="BX212" s="15">
        <v>0</v>
      </c>
    </row>
    <row r="213" spans="1:76">
      <c r="A213" s="14" t="str">
        <f>VLOOKUP(C213,VLOOKUP!A:B,2,FALSE)</f>
        <v>福颜青</v>
      </c>
      <c r="B213" s="16">
        <v>46060</v>
      </c>
      <c r="C213" s="17">
        <v>833369552621</v>
      </c>
      <c r="D213" s="15" t="s">
        <v>151</v>
      </c>
      <c r="E213" s="15" t="s">
        <v>154</v>
      </c>
      <c r="F213" s="15">
        <v>3054</v>
      </c>
      <c r="G213" s="15">
        <v>31</v>
      </c>
      <c r="H213" s="15">
        <v>8.36</v>
      </c>
      <c r="I213" s="15">
        <v>0.01015</v>
      </c>
      <c r="J213" s="15">
        <v>0.27</v>
      </c>
      <c r="K213" s="15">
        <v>2.74</v>
      </c>
      <c r="L213" s="15">
        <v>0</v>
      </c>
      <c r="M213" s="15">
        <v>0</v>
      </c>
      <c r="N213" s="15">
        <v>0</v>
      </c>
      <c r="O213" s="15">
        <v>0</v>
      </c>
      <c r="P213" s="15">
        <v>0</v>
      </c>
      <c r="Q213" s="15">
        <v>0</v>
      </c>
      <c r="R213" s="15">
        <v>0</v>
      </c>
      <c r="S213" s="15">
        <v>0</v>
      </c>
      <c r="T213" s="15">
        <v>0</v>
      </c>
      <c r="U213" s="15">
        <v>0</v>
      </c>
      <c r="V213" s="15">
        <v>0</v>
      </c>
      <c r="W213" s="15">
        <v>0</v>
      </c>
      <c r="X213" s="15">
        <v>0</v>
      </c>
      <c r="Y213" s="15">
        <v>0</v>
      </c>
      <c r="Z213" s="15">
        <v>0</v>
      </c>
      <c r="AA213" s="15"/>
      <c r="AB213" s="15">
        <v>0</v>
      </c>
      <c r="AC213" s="15">
        <v>0</v>
      </c>
      <c r="AD213" s="15">
        <v>0</v>
      </c>
      <c r="AE213" s="15">
        <v>0</v>
      </c>
      <c r="AF213" s="15">
        <v>0</v>
      </c>
      <c r="AG213" s="15">
        <v>0</v>
      </c>
      <c r="AH213" s="15"/>
      <c r="AI213" s="15">
        <v>0</v>
      </c>
      <c r="AJ213" s="15"/>
      <c r="AK213" s="15">
        <v>0</v>
      </c>
      <c r="AL213" s="15"/>
      <c r="AM213" s="15">
        <v>0</v>
      </c>
      <c r="AN213" s="15"/>
      <c r="AO213" s="15">
        <v>0</v>
      </c>
      <c r="AP213" s="15"/>
      <c r="AQ213" s="15">
        <v>0</v>
      </c>
      <c r="AR213" s="15">
        <v>0</v>
      </c>
      <c r="AS213" s="15">
        <v>0</v>
      </c>
      <c r="AT213" s="15">
        <v>0</v>
      </c>
      <c r="AU213" s="15">
        <v>0</v>
      </c>
      <c r="AV213" s="15">
        <v>0</v>
      </c>
      <c r="AW213" s="15">
        <v>0</v>
      </c>
      <c r="AX213" s="15">
        <v>0</v>
      </c>
      <c r="AY213" s="15">
        <v>74</v>
      </c>
      <c r="AZ213" s="15">
        <v>57</v>
      </c>
      <c r="BA213" s="15">
        <v>57</v>
      </c>
      <c r="BB213" s="15">
        <v>1</v>
      </c>
      <c r="BC213" s="15">
        <v>0</v>
      </c>
      <c r="BD213" s="15">
        <v>0</v>
      </c>
      <c r="BE213" s="15">
        <v>0.02423</v>
      </c>
      <c r="BF213" s="15">
        <v>8</v>
      </c>
      <c r="BG213" s="15">
        <v>1</v>
      </c>
      <c r="BH213" s="15">
        <v>0</v>
      </c>
      <c r="BI213" s="15"/>
      <c r="BJ213" s="15">
        <v>0</v>
      </c>
      <c r="BK213" s="15">
        <v>0</v>
      </c>
      <c r="BL213" s="15">
        <v>0</v>
      </c>
      <c r="BM213" s="15">
        <v>0</v>
      </c>
      <c r="BN213" s="15"/>
      <c r="BO213" s="15"/>
      <c r="BP213" s="15">
        <v>0</v>
      </c>
      <c r="BQ213" s="15">
        <v>0</v>
      </c>
      <c r="BR213" s="15">
        <v>0</v>
      </c>
      <c r="BS213" s="15">
        <v>0</v>
      </c>
      <c r="BT213" s="15">
        <v>0</v>
      </c>
      <c r="BU213" s="15">
        <v>0</v>
      </c>
      <c r="BV213" s="15">
        <v>0</v>
      </c>
      <c r="BW213" s="15">
        <v>0</v>
      </c>
      <c r="BX213" s="15">
        <v>0</v>
      </c>
    </row>
    <row r="214" spans="1:76">
      <c r="A214" s="14" t="str">
        <f>VLOOKUP(C214,VLOOKUP!A:B,2,FALSE)</f>
        <v>奇楠手串</v>
      </c>
      <c r="B214" s="16">
        <v>46060</v>
      </c>
      <c r="C214" s="17">
        <v>833035288991</v>
      </c>
      <c r="D214" s="15" t="s">
        <v>151</v>
      </c>
      <c r="E214" s="15" t="s">
        <v>159</v>
      </c>
      <c r="F214" s="15">
        <v>946</v>
      </c>
      <c r="G214" s="15">
        <v>43</v>
      </c>
      <c r="H214" s="15">
        <v>14.98</v>
      </c>
      <c r="I214" s="15">
        <v>0.04545</v>
      </c>
      <c r="J214" s="15">
        <v>0.35</v>
      </c>
      <c r="K214" s="15">
        <v>15.84</v>
      </c>
      <c r="L214" s="15">
        <v>0</v>
      </c>
      <c r="M214" s="15">
        <v>0</v>
      </c>
      <c r="N214" s="15">
        <v>0</v>
      </c>
      <c r="O214" s="15">
        <v>0</v>
      </c>
      <c r="P214" s="15">
        <v>0</v>
      </c>
      <c r="Q214" s="15">
        <v>0</v>
      </c>
      <c r="R214" s="15">
        <v>0</v>
      </c>
      <c r="S214" s="15">
        <v>0</v>
      </c>
      <c r="T214" s="15">
        <v>0</v>
      </c>
      <c r="U214" s="15">
        <v>0</v>
      </c>
      <c r="V214" s="15">
        <v>0</v>
      </c>
      <c r="W214" s="15">
        <v>0</v>
      </c>
      <c r="X214" s="15">
        <v>0</v>
      </c>
      <c r="Y214" s="15">
        <v>0</v>
      </c>
      <c r="Z214" s="15">
        <v>0</v>
      </c>
      <c r="AA214" s="15"/>
      <c r="AB214" s="15">
        <v>0</v>
      </c>
      <c r="AC214" s="15">
        <v>0</v>
      </c>
      <c r="AD214" s="15">
        <v>0</v>
      </c>
      <c r="AE214" s="15">
        <v>0</v>
      </c>
      <c r="AF214" s="15">
        <v>0</v>
      </c>
      <c r="AG214" s="15">
        <v>0</v>
      </c>
      <c r="AH214" s="15"/>
      <c r="AI214" s="15">
        <v>0</v>
      </c>
      <c r="AJ214" s="15"/>
      <c r="AK214" s="15">
        <v>0</v>
      </c>
      <c r="AL214" s="15"/>
      <c r="AM214" s="15">
        <v>0</v>
      </c>
      <c r="AN214" s="15"/>
      <c r="AO214" s="15">
        <v>0</v>
      </c>
      <c r="AP214" s="15"/>
      <c r="AQ214" s="15">
        <v>0</v>
      </c>
      <c r="AR214" s="15">
        <v>0</v>
      </c>
      <c r="AS214" s="15">
        <v>0</v>
      </c>
      <c r="AT214" s="15">
        <v>0</v>
      </c>
      <c r="AU214" s="15">
        <v>0</v>
      </c>
      <c r="AV214" s="15">
        <v>0</v>
      </c>
      <c r="AW214" s="15">
        <v>0</v>
      </c>
      <c r="AX214" s="15">
        <v>0</v>
      </c>
      <c r="AY214" s="15">
        <v>87</v>
      </c>
      <c r="AZ214" s="15">
        <v>42</v>
      </c>
      <c r="BA214" s="15">
        <v>40</v>
      </c>
      <c r="BB214" s="15">
        <v>0.95238</v>
      </c>
      <c r="BC214" s="15">
        <v>0</v>
      </c>
      <c r="BD214" s="15">
        <v>0</v>
      </c>
      <c r="BE214" s="15">
        <v>0.09197</v>
      </c>
      <c r="BF214" s="15">
        <v>42</v>
      </c>
      <c r="BG214" s="15">
        <v>2</v>
      </c>
      <c r="BH214" s="15">
        <v>0</v>
      </c>
      <c r="BI214" s="15"/>
      <c r="BJ214" s="15">
        <v>0</v>
      </c>
      <c r="BK214" s="15">
        <v>0</v>
      </c>
      <c r="BL214" s="15">
        <v>0</v>
      </c>
      <c r="BM214" s="15">
        <v>0</v>
      </c>
      <c r="BN214" s="15"/>
      <c r="BO214" s="15"/>
      <c r="BP214" s="15">
        <v>0.18</v>
      </c>
      <c r="BQ214" s="15">
        <v>10</v>
      </c>
      <c r="BR214" s="15">
        <v>0</v>
      </c>
      <c r="BS214" s="15">
        <v>0</v>
      </c>
      <c r="BT214" s="15">
        <v>0</v>
      </c>
      <c r="BU214" s="15">
        <v>0</v>
      </c>
      <c r="BV214" s="15">
        <v>0</v>
      </c>
      <c r="BW214" s="15">
        <v>0</v>
      </c>
      <c r="BX214" s="15">
        <v>0</v>
      </c>
    </row>
    <row r="215" spans="1:76">
      <c r="A215" s="14" t="str">
        <f>VLOOKUP(C215,VLOOKUP!A:B,2,FALSE)</f>
        <v>四季线香</v>
      </c>
      <c r="B215" s="16">
        <v>46060</v>
      </c>
      <c r="C215" s="17">
        <v>742540384374</v>
      </c>
      <c r="D215" s="15" t="s">
        <v>151</v>
      </c>
      <c r="E215" s="15" t="s">
        <v>161</v>
      </c>
      <c r="F215" s="15">
        <v>247</v>
      </c>
      <c r="G215" s="15">
        <v>19</v>
      </c>
      <c r="H215" s="15">
        <v>32.71</v>
      </c>
      <c r="I215" s="15">
        <v>0.07692</v>
      </c>
      <c r="J215" s="15">
        <v>1.72</v>
      </c>
      <c r="K215" s="15">
        <v>132.43</v>
      </c>
      <c r="L215" s="15">
        <v>0</v>
      </c>
      <c r="M215" s="15">
        <v>0</v>
      </c>
      <c r="N215" s="15">
        <v>0</v>
      </c>
      <c r="O215" s="15">
        <v>0</v>
      </c>
      <c r="P215" s="15">
        <v>0</v>
      </c>
      <c r="Q215" s="15">
        <v>0</v>
      </c>
      <c r="R215" s="15">
        <v>0</v>
      </c>
      <c r="S215" s="15">
        <v>0</v>
      </c>
      <c r="T215" s="15">
        <v>0</v>
      </c>
      <c r="U215" s="15">
        <v>0</v>
      </c>
      <c r="V215" s="15">
        <v>0</v>
      </c>
      <c r="W215" s="15">
        <v>0</v>
      </c>
      <c r="X215" s="15">
        <v>0</v>
      </c>
      <c r="Y215" s="15">
        <v>0</v>
      </c>
      <c r="Z215" s="15">
        <v>0</v>
      </c>
      <c r="AA215" s="15"/>
      <c r="AB215" s="15">
        <v>7</v>
      </c>
      <c r="AC215" s="15">
        <v>1</v>
      </c>
      <c r="AD215" s="15">
        <v>6</v>
      </c>
      <c r="AE215" s="15">
        <v>0.36842</v>
      </c>
      <c r="AF215" s="15">
        <v>1</v>
      </c>
      <c r="AG215" s="15">
        <v>0</v>
      </c>
      <c r="AH215" s="15"/>
      <c r="AI215" s="15">
        <v>8</v>
      </c>
      <c r="AJ215" s="15">
        <v>4.09</v>
      </c>
      <c r="AK215" s="15">
        <v>8</v>
      </c>
      <c r="AL215" s="15">
        <v>4.09</v>
      </c>
      <c r="AM215" s="15">
        <v>1</v>
      </c>
      <c r="AN215" s="15">
        <v>32.71</v>
      </c>
      <c r="AO215" s="15">
        <v>0.05263</v>
      </c>
      <c r="AP215" s="15">
        <v>4.67</v>
      </c>
      <c r="AQ215" s="15">
        <v>0</v>
      </c>
      <c r="AR215" s="15">
        <v>0</v>
      </c>
      <c r="AS215" s="15">
        <v>0</v>
      </c>
      <c r="AT215" s="15">
        <v>1</v>
      </c>
      <c r="AU215" s="15">
        <v>0</v>
      </c>
      <c r="AV215" s="15">
        <v>0</v>
      </c>
      <c r="AW215" s="15">
        <v>0</v>
      </c>
      <c r="AX215" s="15">
        <v>1</v>
      </c>
      <c r="AY215" s="15">
        <v>102</v>
      </c>
      <c r="AZ215" s="15">
        <v>15</v>
      </c>
      <c r="BA215" s="15">
        <v>13</v>
      </c>
      <c r="BB215" s="15">
        <v>0.86667</v>
      </c>
      <c r="BC215" s="15">
        <v>0</v>
      </c>
      <c r="BD215" s="15">
        <v>0</v>
      </c>
      <c r="BE215" s="15">
        <v>0.41296</v>
      </c>
      <c r="BF215" s="15">
        <v>82</v>
      </c>
      <c r="BG215" s="15">
        <v>7</v>
      </c>
      <c r="BH215" s="15">
        <v>0</v>
      </c>
      <c r="BI215" s="15"/>
      <c r="BJ215" s="15">
        <v>0</v>
      </c>
      <c r="BK215" s="15">
        <v>0</v>
      </c>
      <c r="BL215" s="15">
        <v>0</v>
      </c>
      <c r="BM215" s="15">
        <v>0</v>
      </c>
      <c r="BN215" s="15"/>
      <c r="BO215" s="15"/>
      <c r="BP215" s="15">
        <v>0.37</v>
      </c>
      <c r="BQ215" s="15">
        <v>56</v>
      </c>
      <c r="BR215" s="15">
        <v>0</v>
      </c>
      <c r="BS215" s="15">
        <v>0</v>
      </c>
      <c r="BT215" s="15">
        <v>0</v>
      </c>
      <c r="BU215" s="15">
        <v>0</v>
      </c>
      <c r="BV215" s="15">
        <v>0</v>
      </c>
      <c r="BW215" s="15">
        <v>0</v>
      </c>
      <c r="BX215" s="15">
        <v>0</v>
      </c>
    </row>
    <row r="216" spans="1:76">
      <c r="A216" s="14" t="str">
        <f>VLOOKUP(C216,VLOOKUP!A:B,2,FALSE)</f>
        <v>福到</v>
      </c>
      <c r="B216" s="16">
        <v>46059</v>
      </c>
      <c r="C216" s="17">
        <v>971856893567</v>
      </c>
      <c r="D216" s="15" t="s">
        <v>151</v>
      </c>
      <c r="E216" s="15" t="s">
        <v>152</v>
      </c>
      <c r="F216" s="15">
        <v>283</v>
      </c>
      <c r="G216" s="15">
        <v>10</v>
      </c>
      <c r="H216" s="15">
        <v>2.65</v>
      </c>
      <c r="I216" s="15">
        <v>0.03534</v>
      </c>
      <c r="J216" s="15">
        <v>0.27</v>
      </c>
      <c r="K216" s="15">
        <v>9.36</v>
      </c>
      <c r="L216" s="15">
        <v>0</v>
      </c>
      <c r="M216" s="15">
        <v>0</v>
      </c>
      <c r="N216" s="15">
        <v>0</v>
      </c>
      <c r="O216" s="15">
        <v>0</v>
      </c>
      <c r="P216" s="15">
        <v>0</v>
      </c>
      <c r="Q216" s="15">
        <v>0</v>
      </c>
      <c r="R216" s="15">
        <v>0</v>
      </c>
      <c r="S216" s="15">
        <v>0</v>
      </c>
      <c r="T216" s="15">
        <v>0</v>
      </c>
      <c r="U216" s="15">
        <v>0</v>
      </c>
      <c r="V216" s="15">
        <v>0</v>
      </c>
      <c r="W216" s="15">
        <v>0</v>
      </c>
      <c r="X216" s="15">
        <v>0</v>
      </c>
      <c r="Y216" s="15">
        <v>0</v>
      </c>
      <c r="Z216" s="15">
        <v>0</v>
      </c>
      <c r="AA216" s="15"/>
      <c r="AB216" s="15">
        <v>2</v>
      </c>
      <c r="AC216" s="15">
        <v>0</v>
      </c>
      <c r="AD216" s="15">
        <v>2</v>
      </c>
      <c r="AE216" s="15">
        <v>0.2</v>
      </c>
      <c r="AF216" s="15">
        <v>0</v>
      </c>
      <c r="AG216" s="15">
        <v>0</v>
      </c>
      <c r="AH216" s="15"/>
      <c r="AI216" s="15">
        <v>2</v>
      </c>
      <c r="AJ216" s="15">
        <v>1.33</v>
      </c>
      <c r="AK216" s="15">
        <v>2</v>
      </c>
      <c r="AL216" s="15">
        <v>1.33</v>
      </c>
      <c r="AM216" s="15">
        <v>0</v>
      </c>
      <c r="AN216" s="15"/>
      <c r="AO216" s="15">
        <v>0</v>
      </c>
      <c r="AP216" s="15">
        <v>1.33</v>
      </c>
      <c r="AQ216" s="15">
        <v>0</v>
      </c>
      <c r="AR216" s="15">
        <v>0</v>
      </c>
      <c r="AS216" s="15">
        <v>0</v>
      </c>
      <c r="AT216" s="15">
        <v>0</v>
      </c>
      <c r="AU216" s="15">
        <v>0</v>
      </c>
      <c r="AV216" s="15">
        <v>0</v>
      </c>
      <c r="AW216" s="15">
        <v>0</v>
      </c>
      <c r="AX216" s="15">
        <v>0</v>
      </c>
      <c r="AY216" s="15">
        <v>30</v>
      </c>
      <c r="AZ216" s="15">
        <v>11</v>
      </c>
      <c r="BA216" s="15">
        <v>10</v>
      </c>
      <c r="BB216" s="15">
        <v>0.90909</v>
      </c>
      <c r="BC216" s="15">
        <v>0</v>
      </c>
      <c r="BD216" s="15">
        <v>0</v>
      </c>
      <c r="BE216" s="15">
        <v>0.10601</v>
      </c>
      <c r="BF216" s="15">
        <v>19</v>
      </c>
      <c r="BG216" s="15">
        <v>3</v>
      </c>
      <c r="BH216" s="15">
        <v>0</v>
      </c>
      <c r="BI216" s="15"/>
      <c r="BJ216" s="15">
        <v>0</v>
      </c>
      <c r="BK216" s="15">
        <v>0</v>
      </c>
      <c r="BL216" s="15">
        <v>0</v>
      </c>
      <c r="BM216" s="15">
        <v>0</v>
      </c>
      <c r="BN216" s="15"/>
      <c r="BO216" s="15"/>
      <c r="BP216" s="15">
        <v>2.74</v>
      </c>
      <c r="BQ216" s="15">
        <v>26</v>
      </c>
      <c r="BR216" s="15">
        <v>0</v>
      </c>
      <c r="BS216" s="15">
        <v>0</v>
      </c>
      <c r="BT216" s="15">
        <v>0</v>
      </c>
      <c r="BU216" s="15">
        <v>0</v>
      </c>
      <c r="BV216" s="15">
        <v>0</v>
      </c>
      <c r="BW216" s="15">
        <v>0</v>
      </c>
      <c r="BX216" s="15">
        <v>0</v>
      </c>
    </row>
    <row r="217" spans="1:76">
      <c r="A217" s="14" t="str">
        <f>VLOOKUP(C217,VLOOKUP!A:B,2,FALSE)</f>
        <v>如意盘香</v>
      </c>
      <c r="B217" s="16">
        <v>46059</v>
      </c>
      <c r="C217" s="17">
        <v>838711327669</v>
      </c>
      <c r="D217" s="15" t="s">
        <v>151</v>
      </c>
      <c r="E217" s="15" t="s">
        <v>158</v>
      </c>
      <c r="F217" s="15">
        <v>759</v>
      </c>
      <c r="G217" s="15">
        <v>38</v>
      </c>
      <c r="H217" s="15">
        <v>75.5</v>
      </c>
      <c r="I217" s="15">
        <v>0.05007</v>
      </c>
      <c r="J217" s="15">
        <v>1.99</v>
      </c>
      <c r="K217" s="15">
        <v>99.47</v>
      </c>
      <c r="L217" s="15">
        <v>0</v>
      </c>
      <c r="M217" s="15">
        <v>0</v>
      </c>
      <c r="N217" s="15">
        <v>0</v>
      </c>
      <c r="O217" s="15">
        <v>0</v>
      </c>
      <c r="P217" s="15">
        <v>0</v>
      </c>
      <c r="Q217" s="15">
        <v>0</v>
      </c>
      <c r="R217" s="15">
        <v>0</v>
      </c>
      <c r="S217" s="15">
        <v>779.48</v>
      </c>
      <c r="T217" s="15">
        <v>779.48</v>
      </c>
      <c r="U217" s="15">
        <v>5</v>
      </c>
      <c r="V217" s="15">
        <v>0</v>
      </c>
      <c r="W217" s="15">
        <v>5</v>
      </c>
      <c r="X217" s="15">
        <v>0.13158</v>
      </c>
      <c r="Y217" s="15">
        <v>10.32</v>
      </c>
      <c r="Z217" s="15">
        <v>10.32</v>
      </c>
      <c r="AA217" s="15">
        <v>15.1</v>
      </c>
      <c r="AB217" s="15">
        <v>15</v>
      </c>
      <c r="AC217" s="15">
        <v>2</v>
      </c>
      <c r="AD217" s="15">
        <v>13</v>
      </c>
      <c r="AE217" s="15">
        <v>0.39474</v>
      </c>
      <c r="AF217" s="15">
        <v>0</v>
      </c>
      <c r="AG217" s="15">
        <v>0</v>
      </c>
      <c r="AH217" s="15"/>
      <c r="AI217" s="15">
        <v>15</v>
      </c>
      <c r="AJ217" s="15">
        <v>5.03</v>
      </c>
      <c r="AK217" s="15">
        <v>15</v>
      </c>
      <c r="AL217" s="15">
        <v>5.03</v>
      </c>
      <c r="AM217" s="15">
        <v>0</v>
      </c>
      <c r="AN217" s="15"/>
      <c r="AO217" s="15">
        <v>0</v>
      </c>
      <c r="AP217" s="15">
        <v>5.03</v>
      </c>
      <c r="AQ217" s="15">
        <v>8</v>
      </c>
      <c r="AR217" s="15">
        <v>1220.8</v>
      </c>
      <c r="AS217" s="15">
        <v>0</v>
      </c>
      <c r="AT217" s="15">
        <v>0</v>
      </c>
      <c r="AU217" s="15">
        <v>0</v>
      </c>
      <c r="AV217" s="15">
        <v>0</v>
      </c>
      <c r="AW217" s="15">
        <v>0</v>
      </c>
      <c r="AX217" s="15">
        <v>1</v>
      </c>
      <c r="AY217" s="15">
        <v>197</v>
      </c>
      <c r="AZ217" s="15">
        <v>35</v>
      </c>
      <c r="BA217" s="15">
        <v>25</v>
      </c>
      <c r="BB217" s="15">
        <v>0.71429</v>
      </c>
      <c r="BC217" s="15">
        <v>0</v>
      </c>
      <c r="BD217" s="15">
        <v>0</v>
      </c>
      <c r="BE217" s="15">
        <v>0.25955</v>
      </c>
      <c r="BF217" s="15">
        <v>159</v>
      </c>
      <c r="BG217" s="15">
        <v>6</v>
      </c>
      <c r="BH217" s="15">
        <v>2</v>
      </c>
      <c r="BI217" s="15">
        <v>1</v>
      </c>
      <c r="BJ217" s="15">
        <v>0</v>
      </c>
      <c r="BK217" s="15">
        <v>0</v>
      </c>
      <c r="BL217" s="15">
        <v>0</v>
      </c>
      <c r="BM217" s="15">
        <v>2</v>
      </c>
      <c r="BN217" s="15">
        <v>3</v>
      </c>
      <c r="BO217" s="15">
        <v>389.74</v>
      </c>
      <c r="BP217" s="15">
        <v>180.9</v>
      </c>
      <c r="BQ217" s="15">
        <v>918</v>
      </c>
      <c r="BR217" s="15">
        <v>0</v>
      </c>
      <c r="BS217" s="15">
        <v>0</v>
      </c>
      <c r="BT217" s="15">
        <v>0</v>
      </c>
      <c r="BU217" s="15">
        <v>0</v>
      </c>
      <c r="BV217" s="15">
        <v>0</v>
      </c>
      <c r="BW217" s="15">
        <v>0</v>
      </c>
      <c r="BX217" s="15">
        <v>0</v>
      </c>
    </row>
    <row r="218" spans="1:76">
      <c r="A218" s="14" t="str">
        <f>VLOOKUP(C218,VLOOKUP!A:B,2,FALSE)</f>
        <v>福颜青</v>
      </c>
      <c r="B218" s="16">
        <v>46059</v>
      </c>
      <c r="C218" s="17">
        <v>833369552621</v>
      </c>
      <c r="D218" s="15" t="s">
        <v>151</v>
      </c>
      <c r="E218" s="15" t="s">
        <v>154</v>
      </c>
      <c r="F218" s="15">
        <v>2769</v>
      </c>
      <c r="G218" s="15">
        <v>20</v>
      </c>
      <c r="H218" s="15">
        <v>5.25</v>
      </c>
      <c r="I218" s="15">
        <v>0.00722</v>
      </c>
      <c r="J218" s="15">
        <v>0.26</v>
      </c>
      <c r="K218" s="15">
        <v>1.9</v>
      </c>
      <c r="L218" s="15">
        <v>0</v>
      </c>
      <c r="M218" s="15">
        <v>0</v>
      </c>
      <c r="N218" s="15">
        <v>0</v>
      </c>
      <c r="O218" s="15">
        <v>0</v>
      </c>
      <c r="P218" s="15">
        <v>0</v>
      </c>
      <c r="Q218" s="15">
        <v>0</v>
      </c>
      <c r="R218" s="15">
        <v>0</v>
      </c>
      <c r="S218" s="15">
        <v>75.45</v>
      </c>
      <c r="T218" s="15">
        <v>75.45</v>
      </c>
      <c r="U218" s="15">
        <v>2</v>
      </c>
      <c r="V218" s="15">
        <v>0</v>
      </c>
      <c r="W218" s="15">
        <v>2</v>
      </c>
      <c r="X218" s="15">
        <v>0.1</v>
      </c>
      <c r="Y218" s="15">
        <v>14.37</v>
      </c>
      <c r="Z218" s="15">
        <v>14.37</v>
      </c>
      <c r="AA218" s="15">
        <v>2.63</v>
      </c>
      <c r="AB218" s="15">
        <v>1</v>
      </c>
      <c r="AC218" s="15">
        <v>0</v>
      </c>
      <c r="AD218" s="15">
        <v>1</v>
      </c>
      <c r="AE218" s="15">
        <v>0.05</v>
      </c>
      <c r="AF218" s="15">
        <v>0</v>
      </c>
      <c r="AG218" s="15">
        <v>0</v>
      </c>
      <c r="AH218" s="15"/>
      <c r="AI218" s="15">
        <v>1</v>
      </c>
      <c r="AJ218" s="15">
        <v>5.25</v>
      </c>
      <c r="AK218" s="15">
        <v>1</v>
      </c>
      <c r="AL218" s="15">
        <v>5.25</v>
      </c>
      <c r="AM218" s="15">
        <v>0</v>
      </c>
      <c r="AN218" s="15"/>
      <c r="AO218" s="15">
        <v>0</v>
      </c>
      <c r="AP218" s="15">
        <v>5.25</v>
      </c>
      <c r="AQ218" s="15">
        <v>3</v>
      </c>
      <c r="AR218" s="15">
        <v>167.9</v>
      </c>
      <c r="AS218" s="15">
        <v>0</v>
      </c>
      <c r="AT218" s="15">
        <v>0</v>
      </c>
      <c r="AU218" s="15">
        <v>0</v>
      </c>
      <c r="AV218" s="15">
        <v>0</v>
      </c>
      <c r="AW218" s="15">
        <v>0</v>
      </c>
      <c r="AX218" s="15">
        <v>0</v>
      </c>
      <c r="AY218" s="15">
        <v>42</v>
      </c>
      <c r="AZ218" s="15">
        <v>28</v>
      </c>
      <c r="BA218" s="15">
        <v>24</v>
      </c>
      <c r="BB218" s="15">
        <v>0.85714</v>
      </c>
      <c r="BC218" s="15">
        <v>0</v>
      </c>
      <c r="BD218" s="15">
        <v>0</v>
      </c>
      <c r="BE218" s="15">
        <v>0.01517</v>
      </c>
      <c r="BF218" s="15">
        <v>13</v>
      </c>
      <c r="BG218" s="15">
        <v>2</v>
      </c>
      <c r="BH218" s="15">
        <v>1</v>
      </c>
      <c r="BI218" s="15">
        <v>0.5</v>
      </c>
      <c r="BJ218" s="15">
        <v>0</v>
      </c>
      <c r="BK218" s="15">
        <v>0</v>
      </c>
      <c r="BL218" s="15">
        <v>0</v>
      </c>
      <c r="BM218" s="15">
        <v>2</v>
      </c>
      <c r="BN218" s="15">
        <v>1</v>
      </c>
      <c r="BO218" s="15">
        <v>37.73</v>
      </c>
      <c r="BP218" s="15">
        <v>20.85</v>
      </c>
      <c r="BQ218" s="15">
        <v>252</v>
      </c>
      <c r="BR218" s="15">
        <v>0</v>
      </c>
      <c r="BS218" s="15">
        <v>0</v>
      </c>
      <c r="BT218" s="15">
        <v>0</v>
      </c>
      <c r="BU218" s="15">
        <v>0</v>
      </c>
      <c r="BV218" s="15">
        <v>0</v>
      </c>
      <c r="BW218" s="15">
        <v>0</v>
      </c>
      <c r="BX218" s="15">
        <v>0</v>
      </c>
    </row>
    <row r="219" spans="1:76">
      <c r="A219" s="14" t="str">
        <f>VLOOKUP(C219,VLOOKUP!A:B,2,FALSE)</f>
        <v>奇楠手串</v>
      </c>
      <c r="B219" s="16">
        <v>46059</v>
      </c>
      <c r="C219" s="17">
        <v>833035288991</v>
      </c>
      <c r="D219" s="15" t="s">
        <v>151</v>
      </c>
      <c r="E219" s="15" t="s">
        <v>159</v>
      </c>
      <c r="F219" s="15">
        <v>965</v>
      </c>
      <c r="G219" s="15">
        <v>70</v>
      </c>
      <c r="H219" s="15">
        <v>24.51</v>
      </c>
      <c r="I219" s="15">
        <v>0.07254</v>
      </c>
      <c r="J219" s="15">
        <v>0.35</v>
      </c>
      <c r="K219" s="15">
        <v>25.4</v>
      </c>
      <c r="L219" s="15">
        <v>0</v>
      </c>
      <c r="M219" s="15">
        <v>0</v>
      </c>
      <c r="N219" s="15">
        <v>0</v>
      </c>
      <c r="O219" s="15">
        <v>0</v>
      </c>
      <c r="P219" s="15">
        <v>0</v>
      </c>
      <c r="Q219" s="15">
        <v>0</v>
      </c>
      <c r="R219" s="15">
        <v>0</v>
      </c>
      <c r="S219" s="15">
        <v>0</v>
      </c>
      <c r="T219" s="15">
        <v>0</v>
      </c>
      <c r="U219" s="15">
        <v>0</v>
      </c>
      <c r="V219" s="15">
        <v>0</v>
      </c>
      <c r="W219" s="15">
        <v>0</v>
      </c>
      <c r="X219" s="15">
        <v>0</v>
      </c>
      <c r="Y219" s="15">
        <v>0</v>
      </c>
      <c r="Z219" s="15">
        <v>0</v>
      </c>
      <c r="AA219" s="15"/>
      <c r="AB219" s="15">
        <v>4</v>
      </c>
      <c r="AC219" s="15">
        <v>1</v>
      </c>
      <c r="AD219" s="15">
        <v>3</v>
      </c>
      <c r="AE219" s="15">
        <v>0.05714</v>
      </c>
      <c r="AF219" s="15">
        <v>1</v>
      </c>
      <c r="AG219" s="15">
        <v>0</v>
      </c>
      <c r="AH219" s="15"/>
      <c r="AI219" s="15">
        <v>5</v>
      </c>
      <c r="AJ219" s="15">
        <v>4.9</v>
      </c>
      <c r="AK219" s="15">
        <v>5</v>
      </c>
      <c r="AL219" s="15">
        <v>4.9</v>
      </c>
      <c r="AM219" s="15">
        <v>1</v>
      </c>
      <c r="AN219" s="15">
        <v>24.51</v>
      </c>
      <c r="AO219" s="15">
        <v>0.01429</v>
      </c>
      <c r="AP219" s="15">
        <v>6.13</v>
      </c>
      <c r="AQ219" s="15">
        <v>0</v>
      </c>
      <c r="AR219" s="15">
        <v>0</v>
      </c>
      <c r="AS219" s="15">
        <v>0</v>
      </c>
      <c r="AT219" s="15">
        <v>1</v>
      </c>
      <c r="AU219" s="15">
        <v>0</v>
      </c>
      <c r="AV219" s="15">
        <v>0</v>
      </c>
      <c r="AW219" s="15">
        <v>0</v>
      </c>
      <c r="AX219" s="15">
        <v>2</v>
      </c>
      <c r="AY219" s="15">
        <v>122</v>
      </c>
      <c r="AZ219" s="15">
        <v>62</v>
      </c>
      <c r="BA219" s="15">
        <v>57</v>
      </c>
      <c r="BB219" s="15">
        <v>0.91935</v>
      </c>
      <c r="BC219" s="15">
        <v>0</v>
      </c>
      <c r="BD219" s="15">
        <v>0</v>
      </c>
      <c r="BE219" s="15">
        <v>0.12642</v>
      </c>
      <c r="BF219" s="15">
        <v>52</v>
      </c>
      <c r="BG219" s="15">
        <v>2</v>
      </c>
      <c r="BH219" s="15">
        <v>0</v>
      </c>
      <c r="BI219" s="15"/>
      <c r="BJ219" s="15">
        <v>0</v>
      </c>
      <c r="BK219" s="15">
        <v>0</v>
      </c>
      <c r="BL219" s="15">
        <v>0</v>
      </c>
      <c r="BM219" s="15">
        <v>0</v>
      </c>
      <c r="BN219" s="15"/>
      <c r="BO219" s="15"/>
      <c r="BP219" s="15">
        <v>5.66</v>
      </c>
      <c r="BQ219" s="15">
        <v>129</v>
      </c>
      <c r="BR219" s="15">
        <v>0</v>
      </c>
      <c r="BS219" s="15">
        <v>0</v>
      </c>
      <c r="BT219" s="15">
        <v>0</v>
      </c>
      <c r="BU219" s="15">
        <v>0</v>
      </c>
      <c r="BV219" s="15">
        <v>0</v>
      </c>
      <c r="BW219" s="15">
        <v>0</v>
      </c>
      <c r="BX219" s="15">
        <v>0</v>
      </c>
    </row>
    <row r="220" spans="1:76">
      <c r="A220" s="14" t="str">
        <f>VLOOKUP(C220,VLOOKUP!A:B,2,FALSE)</f>
        <v>四季线香</v>
      </c>
      <c r="B220" s="16">
        <v>46059</v>
      </c>
      <c r="C220" s="17">
        <v>742540384374</v>
      </c>
      <c r="D220" s="15" t="s">
        <v>151</v>
      </c>
      <c r="E220" s="15" t="s">
        <v>161</v>
      </c>
      <c r="F220" s="15">
        <v>278</v>
      </c>
      <c r="G220" s="15">
        <v>11</v>
      </c>
      <c r="H220" s="15">
        <v>20.9</v>
      </c>
      <c r="I220" s="15">
        <v>0.03957</v>
      </c>
      <c r="J220" s="15">
        <v>1.9</v>
      </c>
      <c r="K220" s="15">
        <v>75.18</v>
      </c>
      <c r="L220" s="15">
        <v>0</v>
      </c>
      <c r="M220" s="15">
        <v>0</v>
      </c>
      <c r="N220" s="15">
        <v>0</v>
      </c>
      <c r="O220" s="15">
        <v>0</v>
      </c>
      <c r="P220" s="15">
        <v>0</v>
      </c>
      <c r="Q220" s="15">
        <v>0</v>
      </c>
      <c r="R220" s="15">
        <v>0</v>
      </c>
      <c r="S220" s="15">
        <v>0</v>
      </c>
      <c r="T220" s="15">
        <v>0</v>
      </c>
      <c r="U220" s="15">
        <v>0</v>
      </c>
      <c r="V220" s="15">
        <v>0</v>
      </c>
      <c r="W220" s="15">
        <v>0</v>
      </c>
      <c r="X220" s="15">
        <v>0</v>
      </c>
      <c r="Y220" s="15">
        <v>0</v>
      </c>
      <c r="Z220" s="15">
        <v>0</v>
      </c>
      <c r="AA220" s="15"/>
      <c r="AB220" s="15">
        <v>1</v>
      </c>
      <c r="AC220" s="15">
        <v>1</v>
      </c>
      <c r="AD220" s="15">
        <v>0</v>
      </c>
      <c r="AE220" s="15">
        <v>0.09091</v>
      </c>
      <c r="AF220" s="15">
        <v>0</v>
      </c>
      <c r="AG220" s="15">
        <v>0</v>
      </c>
      <c r="AH220" s="15"/>
      <c r="AI220" s="15">
        <v>1</v>
      </c>
      <c r="AJ220" s="15">
        <v>20.9</v>
      </c>
      <c r="AK220" s="15">
        <v>1</v>
      </c>
      <c r="AL220" s="15">
        <v>20.9</v>
      </c>
      <c r="AM220" s="15">
        <v>0</v>
      </c>
      <c r="AN220" s="15"/>
      <c r="AO220" s="15">
        <v>0</v>
      </c>
      <c r="AP220" s="15">
        <v>20.9</v>
      </c>
      <c r="AQ220" s="15">
        <v>0</v>
      </c>
      <c r="AR220" s="15">
        <v>0</v>
      </c>
      <c r="AS220" s="15">
        <v>0</v>
      </c>
      <c r="AT220" s="15">
        <v>0</v>
      </c>
      <c r="AU220" s="15">
        <v>0</v>
      </c>
      <c r="AV220" s="15">
        <v>0</v>
      </c>
      <c r="AW220" s="15">
        <v>0</v>
      </c>
      <c r="AX220" s="15">
        <v>0</v>
      </c>
      <c r="AY220" s="15">
        <v>28</v>
      </c>
      <c r="AZ220" s="15">
        <v>10</v>
      </c>
      <c r="BA220" s="15">
        <v>10</v>
      </c>
      <c r="BB220" s="15">
        <v>1</v>
      </c>
      <c r="BC220" s="15">
        <v>0</v>
      </c>
      <c r="BD220" s="15">
        <v>0</v>
      </c>
      <c r="BE220" s="15">
        <v>0.10072</v>
      </c>
      <c r="BF220" s="15">
        <v>17</v>
      </c>
      <c r="BG220" s="15">
        <v>3</v>
      </c>
      <c r="BH220" s="15">
        <v>0</v>
      </c>
      <c r="BI220" s="15"/>
      <c r="BJ220" s="15">
        <v>0</v>
      </c>
      <c r="BK220" s="15">
        <v>0</v>
      </c>
      <c r="BL220" s="15">
        <v>0</v>
      </c>
      <c r="BM220" s="15">
        <v>0</v>
      </c>
      <c r="BN220" s="15"/>
      <c r="BO220" s="15"/>
      <c r="BP220" s="15">
        <v>0.95</v>
      </c>
      <c r="BQ220" s="15">
        <v>15</v>
      </c>
      <c r="BR220" s="15">
        <v>0</v>
      </c>
      <c r="BS220" s="15">
        <v>0</v>
      </c>
      <c r="BT220" s="15">
        <v>0</v>
      </c>
      <c r="BU220" s="15">
        <v>0</v>
      </c>
      <c r="BV220" s="15">
        <v>0</v>
      </c>
      <c r="BW220" s="15">
        <v>0</v>
      </c>
      <c r="BX220" s="15">
        <v>0</v>
      </c>
    </row>
    <row r="221" spans="1:76">
      <c r="A221" s="14" t="str">
        <f>VLOOKUP(C221,VLOOKUP!A:B,2,FALSE)</f>
        <v>福到</v>
      </c>
      <c r="B221" s="16">
        <v>46058</v>
      </c>
      <c r="C221" s="17">
        <v>971856893567</v>
      </c>
      <c r="D221" s="15" t="s">
        <v>151</v>
      </c>
      <c r="E221" s="15" t="s">
        <v>152</v>
      </c>
      <c r="F221" s="15">
        <v>590</v>
      </c>
      <c r="G221" s="15">
        <v>6</v>
      </c>
      <c r="H221" s="15">
        <v>1.45</v>
      </c>
      <c r="I221" s="15">
        <v>0.01017</v>
      </c>
      <c r="J221" s="15">
        <v>0.24</v>
      </c>
      <c r="K221" s="15">
        <v>2.46</v>
      </c>
      <c r="L221" s="15">
        <v>0</v>
      </c>
      <c r="M221" s="15">
        <v>0</v>
      </c>
      <c r="N221" s="15">
        <v>0</v>
      </c>
      <c r="O221" s="15">
        <v>0</v>
      </c>
      <c r="P221" s="15">
        <v>0</v>
      </c>
      <c r="Q221" s="15">
        <v>0</v>
      </c>
      <c r="R221" s="15">
        <v>0</v>
      </c>
      <c r="S221" s="15">
        <v>0</v>
      </c>
      <c r="T221" s="15">
        <v>0</v>
      </c>
      <c r="U221" s="15">
        <v>0</v>
      </c>
      <c r="V221" s="15">
        <v>0</v>
      </c>
      <c r="W221" s="15">
        <v>0</v>
      </c>
      <c r="X221" s="15">
        <v>0</v>
      </c>
      <c r="Y221" s="15">
        <v>0</v>
      </c>
      <c r="Z221" s="15">
        <v>0</v>
      </c>
      <c r="AA221" s="15"/>
      <c r="AB221" s="15">
        <v>1</v>
      </c>
      <c r="AC221" s="15">
        <v>1</v>
      </c>
      <c r="AD221" s="15">
        <v>0</v>
      </c>
      <c r="AE221" s="15">
        <v>0.16667</v>
      </c>
      <c r="AF221" s="15">
        <v>0</v>
      </c>
      <c r="AG221" s="15">
        <v>0</v>
      </c>
      <c r="AH221" s="15"/>
      <c r="AI221" s="15">
        <v>1</v>
      </c>
      <c r="AJ221" s="15">
        <v>1.45</v>
      </c>
      <c r="AK221" s="15">
        <v>1</v>
      </c>
      <c r="AL221" s="15">
        <v>1.45</v>
      </c>
      <c r="AM221" s="15">
        <v>0</v>
      </c>
      <c r="AN221" s="15"/>
      <c r="AO221" s="15">
        <v>0</v>
      </c>
      <c r="AP221" s="15">
        <v>1.45</v>
      </c>
      <c r="AQ221" s="15">
        <v>0</v>
      </c>
      <c r="AR221" s="15">
        <v>0</v>
      </c>
      <c r="AS221" s="15">
        <v>0</v>
      </c>
      <c r="AT221" s="15">
        <v>0</v>
      </c>
      <c r="AU221" s="15">
        <v>0</v>
      </c>
      <c r="AV221" s="15">
        <v>0</v>
      </c>
      <c r="AW221" s="15">
        <v>0</v>
      </c>
      <c r="AX221" s="15">
        <v>1</v>
      </c>
      <c r="AY221" s="15">
        <v>15</v>
      </c>
      <c r="AZ221" s="15">
        <v>7</v>
      </c>
      <c r="BA221" s="15">
        <v>6</v>
      </c>
      <c r="BB221" s="15">
        <v>0.85714</v>
      </c>
      <c r="BC221" s="15">
        <v>0</v>
      </c>
      <c r="BD221" s="15">
        <v>0</v>
      </c>
      <c r="BE221" s="15">
        <v>0.02542</v>
      </c>
      <c r="BF221" s="15">
        <v>5</v>
      </c>
      <c r="BG221" s="15">
        <v>2</v>
      </c>
      <c r="BH221" s="15">
        <v>0</v>
      </c>
      <c r="BI221" s="15"/>
      <c r="BJ221" s="15">
        <v>0</v>
      </c>
      <c r="BK221" s="15">
        <v>0</v>
      </c>
      <c r="BL221" s="15">
        <v>0</v>
      </c>
      <c r="BM221" s="15">
        <v>0</v>
      </c>
      <c r="BN221" s="15"/>
      <c r="BO221" s="15"/>
      <c r="BP221" s="15">
        <v>0</v>
      </c>
      <c r="BQ221" s="15">
        <v>55</v>
      </c>
      <c r="BR221" s="15">
        <v>0</v>
      </c>
      <c r="BS221" s="15">
        <v>0</v>
      </c>
      <c r="BT221" s="15">
        <v>0</v>
      </c>
      <c r="BU221" s="15">
        <v>0</v>
      </c>
      <c r="BV221" s="15">
        <v>0</v>
      </c>
      <c r="BW221" s="15">
        <v>0</v>
      </c>
      <c r="BX221" s="15">
        <v>0</v>
      </c>
    </row>
    <row r="222" spans="1:76">
      <c r="A222" s="14" t="str">
        <f>VLOOKUP(C222,VLOOKUP!A:B,2,FALSE)</f>
        <v>如意盘香</v>
      </c>
      <c r="B222" s="16">
        <v>46058</v>
      </c>
      <c r="C222" s="17">
        <v>838711327669</v>
      </c>
      <c r="D222" s="15" t="s">
        <v>151</v>
      </c>
      <c r="E222" s="15" t="s">
        <v>158</v>
      </c>
      <c r="F222" s="15">
        <v>946</v>
      </c>
      <c r="G222" s="15">
        <v>49</v>
      </c>
      <c r="H222" s="15">
        <v>80</v>
      </c>
      <c r="I222" s="15">
        <v>0.0518</v>
      </c>
      <c r="J222" s="15">
        <v>1.63</v>
      </c>
      <c r="K222" s="15">
        <v>84.57</v>
      </c>
      <c r="L222" s="15">
        <v>0</v>
      </c>
      <c r="M222" s="15">
        <v>0</v>
      </c>
      <c r="N222" s="15">
        <v>0</v>
      </c>
      <c r="O222" s="15">
        <v>0</v>
      </c>
      <c r="P222" s="15">
        <v>0</v>
      </c>
      <c r="Q222" s="15">
        <v>0</v>
      </c>
      <c r="R222" s="15">
        <v>869.05</v>
      </c>
      <c r="S222" s="15">
        <v>1578.21</v>
      </c>
      <c r="T222" s="15">
        <v>2447.26</v>
      </c>
      <c r="U222" s="15">
        <v>7</v>
      </c>
      <c r="V222" s="15">
        <v>3</v>
      </c>
      <c r="W222" s="15">
        <v>4</v>
      </c>
      <c r="X222" s="15">
        <v>0.14286</v>
      </c>
      <c r="Y222" s="15">
        <v>30.59</v>
      </c>
      <c r="Z222" s="15">
        <v>30.59</v>
      </c>
      <c r="AA222" s="15">
        <v>11.43</v>
      </c>
      <c r="AB222" s="15">
        <v>11</v>
      </c>
      <c r="AC222" s="15">
        <v>5</v>
      </c>
      <c r="AD222" s="15">
        <v>6</v>
      </c>
      <c r="AE222" s="15">
        <v>0.22449</v>
      </c>
      <c r="AF222" s="15">
        <v>1</v>
      </c>
      <c r="AG222" s="15">
        <v>1</v>
      </c>
      <c r="AH222" s="15">
        <v>80</v>
      </c>
      <c r="AI222" s="15">
        <v>13</v>
      </c>
      <c r="AJ222" s="15">
        <v>6.15</v>
      </c>
      <c r="AK222" s="15">
        <v>12</v>
      </c>
      <c r="AL222" s="15">
        <v>6.67</v>
      </c>
      <c r="AM222" s="15">
        <v>2</v>
      </c>
      <c r="AN222" s="15">
        <v>80</v>
      </c>
      <c r="AO222" s="15">
        <v>0.02041</v>
      </c>
      <c r="AP222" s="15">
        <v>7.27</v>
      </c>
      <c r="AQ222" s="15">
        <v>10</v>
      </c>
      <c r="AR222" s="15">
        <v>3265.7</v>
      </c>
      <c r="AS222" s="15">
        <v>1</v>
      </c>
      <c r="AT222" s="15">
        <v>0</v>
      </c>
      <c r="AU222" s="15">
        <v>0</v>
      </c>
      <c r="AV222" s="15">
        <v>0</v>
      </c>
      <c r="AW222" s="15">
        <v>0</v>
      </c>
      <c r="AX222" s="15">
        <v>1</v>
      </c>
      <c r="AY222" s="15">
        <v>103</v>
      </c>
      <c r="AZ222" s="15">
        <v>44</v>
      </c>
      <c r="BA222" s="15">
        <v>34</v>
      </c>
      <c r="BB222" s="15">
        <v>0.77273</v>
      </c>
      <c r="BC222" s="15">
        <v>0</v>
      </c>
      <c r="BD222" s="15">
        <v>0</v>
      </c>
      <c r="BE222" s="15">
        <v>0.10888</v>
      </c>
      <c r="BF222" s="15">
        <v>54</v>
      </c>
      <c r="BG222" s="15">
        <v>2</v>
      </c>
      <c r="BH222" s="15">
        <v>3</v>
      </c>
      <c r="BI222" s="15">
        <v>1</v>
      </c>
      <c r="BJ222" s="15">
        <v>0</v>
      </c>
      <c r="BK222" s="15">
        <v>0</v>
      </c>
      <c r="BL222" s="15">
        <v>0</v>
      </c>
      <c r="BM222" s="15">
        <v>3</v>
      </c>
      <c r="BN222" s="15">
        <v>2</v>
      </c>
      <c r="BO222" s="15">
        <v>815.75</v>
      </c>
      <c r="BP222" s="15">
        <v>8.3</v>
      </c>
      <c r="BQ222" s="15">
        <v>1006</v>
      </c>
      <c r="BR222" s="15">
        <v>0</v>
      </c>
      <c r="BS222" s="15">
        <v>0</v>
      </c>
      <c r="BT222" s="15">
        <v>0</v>
      </c>
      <c r="BU222" s="15">
        <v>0</v>
      </c>
      <c r="BV222" s="15">
        <v>0</v>
      </c>
      <c r="BW222" s="15">
        <v>0</v>
      </c>
      <c r="BX222" s="15">
        <v>0</v>
      </c>
    </row>
    <row r="223" spans="1:76">
      <c r="A223" s="14" t="str">
        <f>VLOOKUP(C223,VLOOKUP!A:B,2,FALSE)</f>
        <v>福颜青</v>
      </c>
      <c r="B223" s="16">
        <v>46058</v>
      </c>
      <c r="C223" s="17">
        <v>833369552621</v>
      </c>
      <c r="D223" s="15" t="s">
        <v>151</v>
      </c>
      <c r="E223" s="15" t="s">
        <v>154</v>
      </c>
      <c r="F223" s="15">
        <v>1530</v>
      </c>
      <c r="G223" s="15">
        <v>26</v>
      </c>
      <c r="H223" s="15">
        <v>7.16</v>
      </c>
      <c r="I223" s="15">
        <v>0.01699</v>
      </c>
      <c r="J223" s="15">
        <v>0.28</v>
      </c>
      <c r="K223" s="15">
        <v>4.68</v>
      </c>
      <c r="L223" s="15">
        <v>0</v>
      </c>
      <c r="M223" s="15">
        <v>0</v>
      </c>
      <c r="N223" s="15">
        <v>0</v>
      </c>
      <c r="O223" s="15">
        <v>0</v>
      </c>
      <c r="P223" s="15">
        <v>0</v>
      </c>
      <c r="Q223" s="15">
        <v>0</v>
      </c>
      <c r="R223" s="15">
        <v>0</v>
      </c>
      <c r="S223" s="15">
        <v>0</v>
      </c>
      <c r="T223" s="15">
        <v>0</v>
      </c>
      <c r="U223" s="15">
        <v>0</v>
      </c>
      <c r="V223" s="15">
        <v>0</v>
      </c>
      <c r="W223" s="15">
        <v>0</v>
      </c>
      <c r="X223" s="15">
        <v>0</v>
      </c>
      <c r="Y223" s="15">
        <v>0</v>
      </c>
      <c r="Z223" s="15">
        <v>0</v>
      </c>
      <c r="AA223" s="15"/>
      <c r="AB223" s="15">
        <v>0</v>
      </c>
      <c r="AC223" s="15">
        <v>0</v>
      </c>
      <c r="AD223" s="15">
        <v>0</v>
      </c>
      <c r="AE223" s="15">
        <v>0</v>
      </c>
      <c r="AF223" s="15">
        <v>0</v>
      </c>
      <c r="AG223" s="15">
        <v>1</v>
      </c>
      <c r="AH223" s="15">
        <v>7.16</v>
      </c>
      <c r="AI223" s="15">
        <v>1</v>
      </c>
      <c r="AJ223" s="15">
        <v>7.16</v>
      </c>
      <c r="AK223" s="15">
        <v>0</v>
      </c>
      <c r="AL223" s="15"/>
      <c r="AM223" s="15">
        <v>1</v>
      </c>
      <c r="AN223" s="15"/>
      <c r="AO223" s="15">
        <v>0</v>
      </c>
      <c r="AP223" s="15"/>
      <c r="AQ223" s="15">
        <v>0</v>
      </c>
      <c r="AR223" s="15">
        <v>0</v>
      </c>
      <c r="AS223" s="15">
        <v>0</v>
      </c>
      <c r="AT223" s="15">
        <v>0</v>
      </c>
      <c r="AU223" s="15">
        <v>0</v>
      </c>
      <c r="AV223" s="15">
        <v>0</v>
      </c>
      <c r="AW223" s="15">
        <v>0</v>
      </c>
      <c r="AX223" s="15">
        <v>0</v>
      </c>
      <c r="AY223" s="15">
        <v>40</v>
      </c>
      <c r="AZ223" s="15">
        <v>27</v>
      </c>
      <c r="BA223" s="15">
        <v>25</v>
      </c>
      <c r="BB223" s="15">
        <v>0.92593</v>
      </c>
      <c r="BC223" s="15">
        <v>0</v>
      </c>
      <c r="BD223" s="15">
        <v>0</v>
      </c>
      <c r="BE223" s="15">
        <v>0.02614</v>
      </c>
      <c r="BF223" s="15">
        <v>4</v>
      </c>
      <c r="BG223" s="15">
        <v>1</v>
      </c>
      <c r="BH223" s="15">
        <v>0</v>
      </c>
      <c r="BI223" s="15"/>
      <c r="BJ223" s="15">
        <v>0</v>
      </c>
      <c r="BK223" s="15">
        <v>0</v>
      </c>
      <c r="BL223" s="15">
        <v>0</v>
      </c>
      <c r="BM223" s="15">
        <v>0</v>
      </c>
      <c r="BN223" s="15"/>
      <c r="BO223" s="15"/>
      <c r="BP223" s="15">
        <v>0</v>
      </c>
      <c r="BQ223" s="15">
        <v>0</v>
      </c>
      <c r="BR223" s="15">
        <v>0</v>
      </c>
      <c r="BS223" s="15">
        <v>0</v>
      </c>
      <c r="BT223" s="15">
        <v>0</v>
      </c>
      <c r="BU223" s="15">
        <v>0</v>
      </c>
      <c r="BV223" s="15">
        <v>0</v>
      </c>
      <c r="BW223" s="15">
        <v>0</v>
      </c>
      <c r="BX223" s="15">
        <v>0</v>
      </c>
    </row>
    <row r="224" spans="1:76">
      <c r="A224" s="14" t="str">
        <f>VLOOKUP(C224,VLOOKUP!A:B,2,FALSE)</f>
        <v>奇楠手串</v>
      </c>
      <c r="B224" s="16">
        <v>46058</v>
      </c>
      <c r="C224" s="17">
        <v>833035288991</v>
      </c>
      <c r="D224" s="15" t="s">
        <v>151</v>
      </c>
      <c r="E224" s="15" t="s">
        <v>159</v>
      </c>
      <c r="F224" s="15">
        <v>1524</v>
      </c>
      <c r="G224" s="15">
        <v>61</v>
      </c>
      <c r="H224" s="15">
        <v>20.53</v>
      </c>
      <c r="I224" s="15">
        <v>0.04003</v>
      </c>
      <c r="J224" s="15">
        <v>0.34</v>
      </c>
      <c r="K224" s="15">
        <v>13.47</v>
      </c>
      <c r="L224" s="15">
        <v>0</v>
      </c>
      <c r="M224" s="15">
        <v>0</v>
      </c>
      <c r="N224" s="15">
        <v>0</v>
      </c>
      <c r="O224" s="15">
        <v>0</v>
      </c>
      <c r="P224" s="15">
        <v>0</v>
      </c>
      <c r="Q224" s="15">
        <v>0</v>
      </c>
      <c r="R224" s="15">
        <v>0</v>
      </c>
      <c r="S224" s="15">
        <v>0</v>
      </c>
      <c r="T224" s="15">
        <v>0</v>
      </c>
      <c r="U224" s="15">
        <v>0</v>
      </c>
      <c r="V224" s="15">
        <v>0</v>
      </c>
      <c r="W224" s="15">
        <v>0</v>
      </c>
      <c r="X224" s="15">
        <v>0</v>
      </c>
      <c r="Y224" s="15">
        <v>0</v>
      </c>
      <c r="Z224" s="15">
        <v>0</v>
      </c>
      <c r="AA224" s="15"/>
      <c r="AB224" s="15">
        <v>1</v>
      </c>
      <c r="AC224" s="15">
        <v>1</v>
      </c>
      <c r="AD224" s="15">
        <v>0</v>
      </c>
      <c r="AE224" s="15">
        <v>0.01639</v>
      </c>
      <c r="AF224" s="15">
        <v>0</v>
      </c>
      <c r="AG224" s="15">
        <v>0</v>
      </c>
      <c r="AH224" s="15"/>
      <c r="AI224" s="15">
        <v>1</v>
      </c>
      <c r="AJ224" s="15">
        <v>20.53</v>
      </c>
      <c r="AK224" s="15">
        <v>1</v>
      </c>
      <c r="AL224" s="15">
        <v>20.53</v>
      </c>
      <c r="AM224" s="15">
        <v>0</v>
      </c>
      <c r="AN224" s="15"/>
      <c r="AO224" s="15">
        <v>0</v>
      </c>
      <c r="AP224" s="15">
        <v>20.53</v>
      </c>
      <c r="AQ224" s="15">
        <v>0</v>
      </c>
      <c r="AR224" s="15">
        <v>0</v>
      </c>
      <c r="AS224" s="15">
        <v>0</v>
      </c>
      <c r="AT224" s="15">
        <v>0</v>
      </c>
      <c r="AU224" s="15">
        <v>0</v>
      </c>
      <c r="AV224" s="15">
        <v>0</v>
      </c>
      <c r="AW224" s="15">
        <v>0</v>
      </c>
      <c r="AX224" s="15">
        <v>0</v>
      </c>
      <c r="AY224" s="15">
        <v>74</v>
      </c>
      <c r="AZ224" s="15">
        <v>55</v>
      </c>
      <c r="BA224" s="15">
        <v>53</v>
      </c>
      <c r="BB224" s="15">
        <v>0.96364</v>
      </c>
      <c r="BC224" s="15">
        <v>0</v>
      </c>
      <c r="BD224" s="15">
        <v>0</v>
      </c>
      <c r="BE224" s="15">
        <v>0.04856</v>
      </c>
      <c r="BF224" s="15">
        <v>10</v>
      </c>
      <c r="BG224" s="15">
        <v>1</v>
      </c>
      <c r="BH224" s="15">
        <v>0</v>
      </c>
      <c r="BI224" s="15"/>
      <c r="BJ224" s="15">
        <v>0</v>
      </c>
      <c r="BK224" s="15">
        <v>0</v>
      </c>
      <c r="BL224" s="15">
        <v>0</v>
      </c>
      <c r="BM224" s="15">
        <v>0</v>
      </c>
      <c r="BN224" s="15"/>
      <c r="BO224" s="15"/>
      <c r="BP224" s="15">
        <v>225.51</v>
      </c>
      <c r="BQ224" s="15">
        <v>41</v>
      </c>
      <c r="BR224" s="15">
        <v>0</v>
      </c>
      <c r="BS224" s="15">
        <v>0</v>
      </c>
      <c r="BT224" s="15">
        <v>0</v>
      </c>
      <c r="BU224" s="15">
        <v>0</v>
      </c>
      <c r="BV224" s="15">
        <v>0</v>
      </c>
      <c r="BW224" s="15">
        <v>0</v>
      </c>
      <c r="BX224" s="15">
        <v>0</v>
      </c>
    </row>
    <row r="225" spans="1:76">
      <c r="A225" s="14" t="str">
        <f>VLOOKUP(C225,VLOOKUP!A:B,2,FALSE)</f>
        <v>四季线香</v>
      </c>
      <c r="B225" s="16">
        <v>46058</v>
      </c>
      <c r="C225" s="17">
        <v>742540384374</v>
      </c>
      <c r="D225" s="15" t="s">
        <v>151</v>
      </c>
      <c r="E225" s="15" t="s">
        <v>161</v>
      </c>
      <c r="F225" s="15">
        <v>167</v>
      </c>
      <c r="G225" s="15">
        <v>15</v>
      </c>
      <c r="H225" s="15">
        <v>42.08</v>
      </c>
      <c r="I225" s="15">
        <v>0.08982</v>
      </c>
      <c r="J225" s="15">
        <v>2.81</v>
      </c>
      <c r="K225" s="15">
        <v>251.98</v>
      </c>
      <c r="L225" s="15">
        <v>0</v>
      </c>
      <c r="M225" s="15">
        <v>0</v>
      </c>
      <c r="N225" s="15">
        <v>0</v>
      </c>
      <c r="O225" s="15">
        <v>0</v>
      </c>
      <c r="P225" s="15">
        <v>0</v>
      </c>
      <c r="Q225" s="15">
        <v>0</v>
      </c>
      <c r="R225" s="15">
        <v>0</v>
      </c>
      <c r="S225" s="15">
        <v>0</v>
      </c>
      <c r="T225" s="15">
        <v>0</v>
      </c>
      <c r="U225" s="15">
        <v>0</v>
      </c>
      <c r="V225" s="15">
        <v>0</v>
      </c>
      <c r="W225" s="15">
        <v>0</v>
      </c>
      <c r="X225" s="15">
        <v>0</v>
      </c>
      <c r="Y225" s="15">
        <v>0</v>
      </c>
      <c r="Z225" s="15">
        <v>0</v>
      </c>
      <c r="AA225" s="15"/>
      <c r="AB225" s="15">
        <v>0</v>
      </c>
      <c r="AC225" s="15">
        <v>0</v>
      </c>
      <c r="AD225" s="15">
        <v>0</v>
      </c>
      <c r="AE225" s="15">
        <v>0</v>
      </c>
      <c r="AF225" s="15">
        <v>1</v>
      </c>
      <c r="AG225" s="15">
        <v>0</v>
      </c>
      <c r="AH225" s="15"/>
      <c r="AI225" s="15">
        <v>1</v>
      </c>
      <c r="AJ225" s="15">
        <v>42.08</v>
      </c>
      <c r="AK225" s="15">
        <v>1</v>
      </c>
      <c r="AL225" s="15">
        <v>42.08</v>
      </c>
      <c r="AM225" s="15">
        <v>1</v>
      </c>
      <c r="AN225" s="15">
        <v>42.08</v>
      </c>
      <c r="AO225" s="15">
        <v>0.06667</v>
      </c>
      <c r="AP225" s="15"/>
      <c r="AQ225" s="15">
        <v>0</v>
      </c>
      <c r="AR225" s="15">
        <v>0</v>
      </c>
      <c r="AS225" s="15">
        <v>1</v>
      </c>
      <c r="AT225" s="15">
        <v>0</v>
      </c>
      <c r="AU225" s="15">
        <v>0</v>
      </c>
      <c r="AV225" s="15">
        <v>0</v>
      </c>
      <c r="AW225" s="15">
        <v>0</v>
      </c>
      <c r="AX225" s="15">
        <v>0</v>
      </c>
      <c r="AY225" s="15">
        <v>58</v>
      </c>
      <c r="AZ225" s="15">
        <v>12</v>
      </c>
      <c r="BA225" s="15">
        <v>11</v>
      </c>
      <c r="BB225" s="15">
        <v>0.91667</v>
      </c>
      <c r="BC225" s="15">
        <v>0</v>
      </c>
      <c r="BD225" s="15">
        <v>0</v>
      </c>
      <c r="BE225" s="15">
        <v>0.34731</v>
      </c>
      <c r="BF225" s="15">
        <v>43</v>
      </c>
      <c r="BG225" s="15">
        <v>5</v>
      </c>
      <c r="BH225" s="15">
        <v>0</v>
      </c>
      <c r="BI225" s="15"/>
      <c r="BJ225" s="15">
        <v>0</v>
      </c>
      <c r="BK225" s="15">
        <v>0</v>
      </c>
      <c r="BL225" s="15">
        <v>0</v>
      </c>
      <c r="BM225" s="15">
        <v>0</v>
      </c>
      <c r="BN225" s="15"/>
      <c r="BO225" s="15"/>
      <c r="BP225" s="15">
        <v>11.45</v>
      </c>
      <c r="BQ225" s="15">
        <v>35</v>
      </c>
      <c r="BR225" s="15">
        <v>0</v>
      </c>
      <c r="BS225" s="15">
        <v>0</v>
      </c>
      <c r="BT225" s="15">
        <v>0</v>
      </c>
      <c r="BU225" s="15">
        <v>0</v>
      </c>
      <c r="BV225" s="15">
        <v>0</v>
      </c>
      <c r="BW225" s="15">
        <v>0</v>
      </c>
      <c r="BX225" s="15">
        <v>0</v>
      </c>
    </row>
    <row r="226" spans="1:76">
      <c r="A226" s="14" t="str">
        <f>VLOOKUP(C226,VLOOKUP!A:B,2,FALSE)</f>
        <v>福到</v>
      </c>
      <c r="B226" s="16">
        <v>46057</v>
      </c>
      <c r="C226" s="17">
        <v>971856893567</v>
      </c>
      <c r="D226" s="15" t="s">
        <v>151</v>
      </c>
      <c r="E226" s="15" t="s">
        <v>152</v>
      </c>
      <c r="F226" s="15">
        <v>674</v>
      </c>
      <c r="G226" s="15">
        <v>20</v>
      </c>
      <c r="H226" s="15">
        <v>5.27</v>
      </c>
      <c r="I226" s="15">
        <v>0.02967</v>
      </c>
      <c r="J226" s="15">
        <v>0.26</v>
      </c>
      <c r="K226" s="15">
        <v>7.82</v>
      </c>
      <c r="L226" s="15">
        <v>0</v>
      </c>
      <c r="M226" s="15">
        <v>0</v>
      </c>
      <c r="N226" s="15">
        <v>0</v>
      </c>
      <c r="O226" s="15">
        <v>0</v>
      </c>
      <c r="P226" s="15">
        <v>0</v>
      </c>
      <c r="Q226" s="15">
        <v>0</v>
      </c>
      <c r="R226" s="15">
        <v>0</v>
      </c>
      <c r="S226" s="15">
        <v>0</v>
      </c>
      <c r="T226" s="15">
        <v>0</v>
      </c>
      <c r="U226" s="15">
        <v>0</v>
      </c>
      <c r="V226" s="15">
        <v>0</v>
      </c>
      <c r="W226" s="15">
        <v>0</v>
      </c>
      <c r="X226" s="15">
        <v>0</v>
      </c>
      <c r="Y226" s="15">
        <v>0</v>
      </c>
      <c r="Z226" s="15">
        <v>0</v>
      </c>
      <c r="AA226" s="15"/>
      <c r="AB226" s="15">
        <v>0</v>
      </c>
      <c r="AC226" s="15">
        <v>0</v>
      </c>
      <c r="AD226" s="15">
        <v>0</v>
      </c>
      <c r="AE226" s="15">
        <v>0</v>
      </c>
      <c r="AF226" s="15">
        <v>0</v>
      </c>
      <c r="AG226" s="15">
        <v>0</v>
      </c>
      <c r="AH226" s="15"/>
      <c r="AI226" s="15">
        <v>0</v>
      </c>
      <c r="AJ226" s="15"/>
      <c r="AK226" s="15">
        <v>0</v>
      </c>
      <c r="AL226" s="15"/>
      <c r="AM226" s="15">
        <v>0</v>
      </c>
      <c r="AN226" s="15"/>
      <c r="AO226" s="15">
        <v>0</v>
      </c>
      <c r="AP226" s="15"/>
      <c r="AQ226" s="15">
        <v>0</v>
      </c>
      <c r="AR226" s="15">
        <v>0</v>
      </c>
      <c r="AS226" s="15">
        <v>0</v>
      </c>
      <c r="AT226" s="15">
        <v>0</v>
      </c>
      <c r="AU226" s="15">
        <v>0</v>
      </c>
      <c r="AV226" s="15">
        <v>0</v>
      </c>
      <c r="AW226" s="15">
        <v>0</v>
      </c>
      <c r="AX226" s="15">
        <v>0</v>
      </c>
      <c r="AY226" s="15">
        <v>32</v>
      </c>
      <c r="AZ226" s="15">
        <v>17</v>
      </c>
      <c r="BA226" s="15">
        <v>13</v>
      </c>
      <c r="BB226" s="15">
        <v>0.76471</v>
      </c>
      <c r="BC226" s="15">
        <v>0</v>
      </c>
      <c r="BD226" s="15">
        <v>0</v>
      </c>
      <c r="BE226" s="15">
        <v>0.04748</v>
      </c>
      <c r="BF226" s="15">
        <v>10</v>
      </c>
      <c r="BG226" s="15">
        <v>2</v>
      </c>
      <c r="BH226" s="15">
        <v>0</v>
      </c>
      <c r="BI226" s="15"/>
      <c r="BJ226" s="15">
        <v>0</v>
      </c>
      <c r="BK226" s="15">
        <v>0</v>
      </c>
      <c r="BL226" s="15">
        <v>0</v>
      </c>
      <c r="BM226" s="15">
        <v>0</v>
      </c>
      <c r="BN226" s="15"/>
      <c r="BO226" s="15"/>
      <c r="BP226" s="15">
        <v>0</v>
      </c>
      <c r="BQ226" s="15">
        <v>4</v>
      </c>
      <c r="BR226" s="15">
        <v>0</v>
      </c>
      <c r="BS226" s="15">
        <v>0</v>
      </c>
      <c r="BT226" s="15">
        <v>0</v>
      </c>
      <c r="BU226" s="15">
        <v>0</v>
      </c>
      <c r="BV226" s="15">
        <v>0</v>
      </c>
      <c r="BW226" s="15">
        <v>0</v>
      </c>
      <c r="BX226" s="15">
        <v>0</v>
      </c>
    </row>
    <row r="227" spans="1:76">
      <c r="A227" s="14" t="str">
        <f>VLOOKUP(C227,VLOOKUP!A:B,2,FALSE)</f>
        <v>如意盘香</v>
      </c>
      <c r="B227" s="16">
        <v>46057</v>
      </c>
      <c r="C227" s="17">
        <v>838711327669</v>
      </c>
      <c r="D227" s="15" t="s">
        <v>151</v>
      </c>
      <c r="E227" s="15" t="s">
        <v>158</v>
      </c>
      <c r="F227" s="15">
        <v>1242</v>
      </c>
      <c r="G227" s="15">
        <v>48</v>
      </c>
      <c r="H227" s="15">
        <v>66.86</v>
      </c>
      <c r="I227" s="15">
        <v>0.03865</v>
      </c>
      <c r="J227" s="15">
        <v>1.39</v>
      </c>
      <c r="K227" s="15">
        <v>53.83</v>
      </c>
      <c r="L227" s="15">
        <v>0</v>
      </c>
      <c r="M227" s="15">
        <v>0</v>
      </c>
      <c r="N227" s="15">
        <v>0</v>
      </c>
      <c r="O227" s="15">
        <v>0</v>
      </c>
      <c r="P227" s="15">
        <v>0</v>
      </c>
      <c r="Q227" s="15">
        <v>0</v>
      </c>
      <c r="R227" s="15">
        <v>0</v>
      </c>
      <c r="S227" s="15">
        <v>0</v>
      </c>
      <c r="T227" s="15">
        <v>0</v>
      </c>
      <c r="U227" s="15">
        <v>0</v>
      </c>
      <c r="V227" s="15">
        <v>0</v>
      </c>
      <c r="W227" s="15">
        <v>0</v>
      </c>
      <c r="X227" s="15">
        <v>0</v>
      </c>
      <c r="Y227" s="15">
        <v>0</v>
      </c>
      <c r="Z227" s="15">
        <v>0</v>
      </c>
      <c r="AA227" s="15"/>
      <c r="AB227" s="15">
        <v>0</v>
      </c>
      <c r="AC227" s="15">
        <v>0</v>
      </c>
      <c r="AD227" s="15">
        <v>0</v>
      </c>
      <c r="AE227" s="15">
        <v>0</v>
      </c>
      <c r="AF227" s="15">
        <v>0</v>
      </c>
      <c r="AG227" s="15">
        <v>0</v>
      </c>
      <c r="AH227" s="15"/>
      <c r="AI227" s="15">
        <v>0</v>
      </c>
      <c r="AJ227" s="15"/>
      <c r="AK227" s="15">
        <v>0</v>
      </c>
      <c r="AL227" s="15"/>
      <c r="AM227" s="15">
        <v>0</v>
      </c>
      <c r="AN227" s="15"/>
      <c r="AO227" s="15">
        <v>0</v>
      </c>
      <c r="AP227" s="15"/>
      <c r="AQ227" s="15">
        <v>0</v>
      </c>
      <c r="AR227" s="15">
        <v>0</v>
      </c>
      <c r="AS227" s="15">
        <v>0</v>
      </c>
      <c r="AT227" s="15">
        <v>0</v>
      </c>
      <c r="AU227" s="15">
        <v>0</v>
      </c>
      <c r="AV227" s="15">
        <v>0</v>
      </c>
      <c r="AW227" s="15">
        <v>0</v>
      </c>
      <c r="AX227" s="15">
        <v>0</v>
      </c>
      <c r="AY227" s="15">
        <v>98</v>
      </c>
      <c r="AZ227" s="15">
        <v>46</v>
      </c>
      <c r="BA227" s="15">
        <v>39</v>
      </c>
      <c r="BB227" s="15">
        <v>0.84783</v>
      </c>
      <c r="BC227" s="15">
        <v>0</v>
      </c>
      <c r="BD227" s="15">
        <v>0</v>
      </c>
      <c r="BE227" s="15">
        <v>0.0789</v>
      </c>
      <c r="BF227" s="15">
        <v>49</v>
      </c>
      <c r="BG227" s="15">
        <v>2</v>
      </c>
      <c r="BH227" s="15">
        <v>0</v>
      </c>
      <c r="BI227" s="15"/>
      <c r="BJ227" s="15">
        <v>0</v>
      </c>
      <c r="BK227" s="15">
        <v>0</v>
      </c>
      <c r="BL227" s="15">
        <v>0</v>
      </c>
      <c r="BM227" s="15">
        <v>0</v>
      </c>
      <c r="BN227" s="15"/>
      <c r="BO227" s="15"/>
      <c r="BP227" s="15">
        <v>0.37</v>
      </c>
      <c r="BQ227" s="15">
        <v>133</v>
      </c>
      <c r="BR227" s="15">
        <v>0</v>
      </c>
      <c r="BS227" s="15">
        <v>0</v>
      </c>
      <c r="BT227" s="15">
        <v>0</v>
      </c>
      <c r="BU227" s="15">
        <v>0</v>
      </c>
      <c r="BV227" s="15">
        <v>0</v>
      </c>
      <c r="BW227" s="15">
        <v>0</v>
      </c>
      <c r="BX227" s="15">
        <v>0</v>
      </c>
    </row>
    <row r="228" spans="1:76">
      <c r="A228" s="14" t="str">
        <f>VLOOKUP(C228,VLOOKUP!A:B,2,FALSE)</f>
        <v>奇楠手串</v>
      </c>
      <c r="B228" s="16">
        <v>46057</v>
      </c>
      <c r="C228" s="17">
        <v>833035288991</v>
      </c>
      <c r="D228" s="15" t="s">
        <v>151</v>
      </c>
      <c r="E228" s="15" t="s">
        <v>159</v>
      </c>
      <c r="F228" s="15">
        <v>2377</v>
      </c>
      <c r="G228" s="15">
        <v>75</v>
      </c>
      <c r="H228" s="15">
        <v>26.72</v>
      </c>
      <c r="I228" s="15">
        <v>0.03155</v>
      </c>
      <c r="J228" s="15">
        <v>0.36</v>
      </c>
      <c r="K228" s="15">
        <v>11.24</v>
      </c>
      <c r="L228" s="15">
        <v>0</v>
      </c>
      <c r="M228" s="15">
        <v>0</v>
      </c>
      <c r="N228" s="15">
        <v>0</v>
      </c>
      <c r="O228" s="15">
        <v>0</v>
      </c>
      <c r="P228" s="15">
        <v>0</v>
      </c>
      <c r="Q228" s="15">
        <v>0</v>
      </c>
      <c r="R228" s="15">
        <v>0</v>
      </c>
      <c r="S228" s="15">
        <v>0</v>
      </c>
      <c r="T228" s="15">
        <v>0</v>
      </c>
      <c r="U228" s="15">
        <v>0</v>
      </c>
      <c r="V228" s="15">
        <v>0</v>
      </c>
      <c r="W228" s="15">
        <v>0</v>
      </c>
      <c r="X228" s="15">
        <v>0</v>
      </c>
      <c r="Y228" s="15">
        <v>0</v>
      </c>
      <c r="Z228" s="15">
        <v>0</v>
      </c>
      <c r="AA228" s="15"/>
      <c r="AB228" s="15">
        <v>0</v>
      </c>
      <c r="AC228" s="15">
        <v>0</v>
      </c>
      <c r="AD228" s="15">
        <v>0</v>
      </c>
      <c r="AE228" s="15">
        <v>0</v>
      </c>
      <c r="AF228" s="15">
        <v>1</v>
      </c>
      <c r="AG228" s="15">
        <v>0</v>
      </c>
      <c r="AH228" s="15"/>
      <c r="AI228" s="15">
        <v>1</v>
      </c>
      <c r="AJ228" s="15">
        <v>26.72</v>
      </c>
      <c r="AK228" s="15">
        <v>1</v>
      </c>
      <c r="AL228" s="15">
        <v>26.72</v>
      </c>
      <c r="AM228" s="15">
        <v>1</v>
      </c>
      <c r="AN228" s="15">
        <v>26.72</v>
      </c>
      <c r="AO228" s="15">
        <v>0.01333</v>
      </c>
      <c r="AP228" s="15"/>
      <c r="AQ228" s="15">
        <v>0</v>
      </c>
      <c r="AR228" s="15">
        <v>0</v>
      </c>
      <c r="AS228" s="15">
        <v>1</v>
      </c>
      <c r="AT228" s="15">
        <v>0</v>
      </c>
      <c r="AU228" s="15">
        <v>0</v>
      </c>
      <c r="AV228" s="15">
        <v>0</v>
      </c>
      <c r="AW228" s="15">
        <v>0</v>
      </c>
      <c r="AX228" s="15">
        <v>0</v>
      </c>
      <c r="AY228" s="15">
        <v>109</v>
      </c>
      <c r="AZ228" s="15">
        <v>63</v>
      </c>
      <c r="BA228" s="15">
        <v>57</v>
      </c>
      <c r="BB228" s="15">
        <v>0.90476</v>
      </c>
      <c r="BC228" s="15">
        <v>0</v>
      </c>
      <c r="BD228" s="15">
        <v>0</v>
      </c>
      <c r="BE228" s="15">
        <v>0.04586</v>
      </c>
      <c r="BF228" s="15">
        <v>30</v>
      </c>
      <c r="BG228" s="15">
        <v>2</v>
      </c>
      <c r="BH228" s="15">
        <v>0</v>
      </c>
      <c r="BI228" s="15"/>
      <c r="BJ228" s="15">
        <v>0</v>
      </c>
      <c r="BK228" s="15">
        <v>0</v>
      </c>
      <c r="BL228" s="15">
        <v>0</v>
      </c>
      <c r="BM228" s="15">
        <v>0</v>
      </c>
      <c r="BN228" s="15"/>
      <c r="BO228" s="15"/>
      <c r="BP228" s="15">
        <v>0.18</v>
      </c>
      <c r="BQ228" s="15">
        <v>17</v>
      </c>
      <c r="BR228" s="15">
        <v>0</v>
      </c>
      <c r="BS228" s="15">
        <v>0</v>
      </c>
      <c r="BT228" s="15">
        <v>0</v>
      </c>
      <c r="BU228" s="15">
        <v>0</v>
      </c>
      <c r="BV228" s="15">
        <v>0</v>
      </c>
      <c r="BW228" s="15">
        <v>0</v>
      </c>
      <c r="BX228" s="15">
        <v>0</v>
      </c>
    </row>
    <row r="229" spans="1:76">
      <c r="A229" s="14" t="str">
        <f>VLOOKUP(C229,VLOOKUP!A:B,2,FALSE)</f>
        <v>四季线香</v>
      </c>
      <c r="B229" s="16">
        <v>46057</v>
      </c>
      <c r="C229" s="17">
        <v>742540384374</v>
      </c>
      <c r="D229" s="15" t="s">
        <v>151</v>
      </c>
      <c r="E229" s="15" t="s">
        <v>161</v>
      </c>
      <c r="F229" s="15">
        <v>119</v>
      </c>
      <c r="G229" s="15">
        <v>11</v>
      </c>
      <c r="H229" s="15">
        <v>31.01</v>
      </c>
      <c r="I229" s="15">
        <v>0.09244</v>
      </c>
      <c r="J229" s="15">
        <v>2.82</v>
      </c>
      <c r="K229" s="15">
        <v>260.59</v>
      </c>
      <c r="L229" s="15">
        <v>0</v>
      </c>
      <c r="M229" s="15">
        <v>0</v>
      </c>
      <c r="N229" s="15">
        <v>0</v>
      </c>
      <c r="O229" s="15">
        <v>0</v>
      </c>
      <c r="P229" s="15">
        <v>0</v>
      </c>
      <c r="Q229" s="15">
        <v>0</v>
      </c>
      <c r="R229" s="15">
        <v>0</v>
      </c>
      <c r="S229" s="15">
        <v>27.45</v>
      </c>
      <c r="T229" s="15">
        <v>27.45</v>
      </c>
      <c r="U229" s="15">
        <v>1</v>
      </c>
      <c r="V229" s="15">
        <v>0</v>
      </c>
      <c r="W229" s="15">
        <v>1</v>
      </c>
      <c r="X229" s="15">
        <v>0.09091</v>
      </c>
      <c r="Y229" s="15">
        <v>0.89</v>
      </c>
      <c r="Z229" s="15">
        <v>0.89</v>
      </c>
      <c r="AA229" s="15">
        <v>31.01</v>
      </c>
      <c r="AB229" s="15">
        <v>3</v>
      </c>
      <c r="AC229" s="15">
        <v>0</v>
      </c>
      <c r="AD229" s="15">
        <v>3</v>
      </c>
      <c r="AE229" s="15">
        <v>0.27273</v>
      </c>
      <c r="AF229" s="15">
        <v>0</v>
      </c>
      <c r="AG229" s="15">
        <v>0</v>
      </c>
      <c r="AH229" s="15"/>
      <c r="AI229" s="15">
        <v>3</v>
      </c>
      <c r="AJ229" s="15">
        <v>10.34</v>
      </c>
      <c r="AK229" s="15">
        <v>3</v>
      </c>
      <c r="AL229" s="15">
        <v>10.34</v>
      </c>
      <c r="AM229" s="15">
        <v>0</v>
      </c>
      <c r="AN229" s="15"/>
      <c r="AO229" s="15">
        <v>0</v>
      </c>
      <c r="AP229" s="15">
        <v>10.34</v>
      </c>
      <c r="AQ229" s="15">
        <v>1</v>
      </c>
      <c r="AR229" s="15">
        <v>49.9</v>
      </c>
      <c r="AS229" s="15">
        <v>0</v>
      </c>
      <c r="AT229" s="15">
        <v>0</v>
      </c>
      <c r="AU229" s="15">
        <v>0</v>
      </c>
      <c r="AV229" s="15">
        <v>0</v>
      </c>
      <c r="AW229" s="15">
        <v>0</v>
      </c>
      <c r="AX229" s="15">
        <v>0</v>
      </c>
      <c r="AY229" s="15">
        <v>60</v>
      </c>
      <c r="AZ229" s="15">
        <v>11</v>
      </c>
      <c r="BA229" s="15">
        <v>8</v>
      </c>
      <c r="BB229" s="15">
        <v>0.72727</v>
      </c>
      <c r="BC229" s="15">
        <v>0</v>
      </c>
      <c r="BD229" s="15">
        <v>0</v>
      </c>
      <c r="BE229" s="15">
        <v>0.5042</v>
      </c>
      <c r="BF229" s="15">
        <v>49</v>
      </c>
      <c r="BG229" s="15">
        <v>5</v>
      </c>
      <c r="BH229" s="15">
        <v>1</v>
      </c>
      <c r="BI229" s="15">
        <v>1</v>
      </c>
      <c r="BJ229" s="15">
        <v>0</v>
      </c>
      <c r="BK229" s="15">
        <v>0</v>
      </c>
      <c r="BL229" s="15">
        <v>0</v>
      </c>
      <c r="BM229" s="15">
        <v>1</v>
      </c>
      <c r="BN229" s="15">
        <v>1</v>
      </c>
      <c r="BO229" s="15">
        <v>27.45</v>
      </c>
      <c r="BP229" s="15">
        <v>0.07</v>
      </c>
      <c r="BQ229" s="15">
        <v>63</v>
      </c>
      <c r="BR229" s="15">
        <v>0</v>
      </c>
      <c r="BS229" s="15">
        <v>0</v>
      </c>
      <c r="BT229" s="15">
        <v>0</v>
      </c>
      <c r="BU229" s="15">
        <v>0</v>
      </c>
      <c r="BV229" s="15">
        <v>0</v>
      </c>
      <c r="BW229" s="15">
        <v>0</v>
      </c>
      <c r="BX229" s="15">
        <v>0</v>
      </c>
    </row>
    <row r="230" spans="1:76">
      <c r="A230" s="14" t="str">
        <f>VLOOKUP(C230,VLOOKUP!A:B,2,FALSE)</f>
        <v>福到</v>
      </c>
      <c r="B230" s="16">
        <v>46056</v>
      </c>
      <c r="C230" s="17">
        <v>971856893567</v>
      </c>
      <c r="D230" s="15" t="s">
        <v>151</v>
      </c>
      <c r="E230" s="15" t="s">
        <v>152</v>
      </c>
      <c r="F230" s="15">
        <v>648</v>
      </c>
      <c r="G230" s="15">
        <v>15</v>
      </c>
      <c r="H230" s="15">
        <v>3.93</v>
      </c>
      <c r="I230" s="15">
        <v>0.02315</v>
      </c>
      <c r="J230" s="15">
        <v>0.26</v>
      </c>
      <c r="K230" s="15">
        <v>6.06</v>
      </c>
      <c r="L230" s="15">
        <v>0</v>
      </c>
      <c r="M230" s="15">
        <v>0</v>
      </c>
      <c r="N230" s="15">
        <v>0</v>
      </c>
      <c r="O230" s="15">
        <v>0</v>
      </c>
      <c r="P230" s="15">
        <v>0</v>
      </c>
      <c r="Q230" s="15">
        <v>0</v>
      </c>
      <c r="R230" s="15">
        <v>0</v>
      </c>
      <c r="S230" s="15">
        <v>0</v>
      </c>
      <c r="T230" s="15">
        <v>0</v>
      </c>
      <c r="U230" s="15">
        <v>0</v>
      </c>
      <c r="V230" s="15">
        <v>0</v>
      </c>
      <c r="W230" s="15">
        <v>0</v>
      </c>
      <c r="X230" s="15">
        <v>0</v>
      </c>
      <c r="Y230" s="15">
        <v>0</v>
      </c>
      <c r="Z230" s="15">
        <v>0</v>
      </c>
      <c r="AA230" s="15"/>
      <c r="AB230" s="15">
        <v>0</v>
      </c>
      <c r="AC230" s="15">
        <v>0</v>
      </c>
      <c r="AD230" s="15">
        <v>0</v>
      </c>
      <c r="AE230" s="15">
        <v>0</v>
      </c>
      <c r="AF230" s="15">
        <v>0</v>
      </c>
      <c r="AG230" s="15">
        <v>0</v>
      </c>
      <c r="AH230" s="15"/>
      <c r="AI230" s="15">
        <v>0</v>
      </c>
      <c r="AJ230" s="15"/>
      <c r="AK230" s="15">
        <v>0</v>
      </c>
      <c r="AL230" s="15"/>
      <c r="AM230" s="15">
        <v>0</v>
      </c>
      <c r="AN230" s="15"/>
      <c r="AO230" s="15">
        <v>0</v>
      </c>
      <c r="AP230" s="15"/>
      <c r="AQ230" s="15">
        <v>0</v>
      </c>
      <c r="AR230" s="15">
        <v>0</v>
      </c>
      <c r="AS230" s="15">
        <v>0</v>
      </c>
      <c r="AT230" s="15">
        <v>0</v>
      </c>
      <c r="AU230" s="15">
        <v>0</v>
      </c>
      <c r="AV230" s="15">
        <v>0</v>
      </c>
      <c r="AW230" s="15">
        <v>0</v>
      </c>
      <c r="AX230" s="15">
        <v>0</v>
      </c>
      <c r="AY230" s="15">
        <v>22</v>
      </c>
      <c r="AZ230" s="15">
        <v>15</v>
      </c>
      <c r="BA230" s="15">
        <v>14</v>
      </c>
      <c r="BB230" s="15">
        <v>0.93333</v>
      </c>
      <c r="BC230" s="15">
        <v>0</v>
      </c>
      <c r="BD230" s="15">
        <v>0</v>
      </c>
      <c r="BE230" s="15">
        <v>0.03395</v>
      </c>
      <c r="BF230" s="15">
        <v>5</v>
      </c>
      <c r="BG230" s="15">
        <v>1</v>
      </c>
      <c r="BH230" s="15">
        <v>0</v>
      </c>
      <c r="BI230" s="15"/>
      <c r="BJ230" s="15">
        <v>0</v>
      </c>
      <c r="BK230" s="15">
        <v>0</v>
      </c>
      <c r="BL230" s="15">
        <v>0</v>
      </c>
      <c r="BM230" s="15">
        <v>0</v>
      </c>
      <c r="BN230" s="15"/>
      <c r="BO230" s="15"/>
      <c r="BP230" s="15">
        <v>0</v>
      </c>
      <c r="BQ230" s="15">
        <v>0</v>
      </c>
      <c r="BR230" s="15">
        <v>0</v>
      </c>
      <c r="BS230" s="15">
        <v>0</v>
      </c>
      <c r="BT230" s="15">
        <v>0</v>
      </c>
      <c r="BU230" s="15">
        <v>0</v>
      </c>
      <c r="BV230" s="15">
        <v>0</v>
      </c>
      <c r="BW230" s="15">
        <v>0</v>
      </c>
      <c r="BX230" s="15">
        <v>0</v>
      </c>
    </row>
    <row r="231" spans="1:76">
      <c r="A231" s="14" t="str">
        <f>VLOOKUP(C231,VLOOKUP!A:B,2,FALSE)</f>
        <v>如意盘香</v>
      </c>
      <c r="B231" s="16">
        <v>46056</v>
      </c>
      <c r="C231" s="17">
        <v>838711327669</v>
      </c>
      <c r="D231" s="15" t="s">
        <v>151</v>
      </c>
      <c r="E231" s="15" t="s">
        <v>158</v>
      </c>
      <c r="F231" s="15">
        <v>535</v>
      </c>
      <c r="G231" s="15">
        <v>37</v>
      </c>
      <c r="H231" s="15">
        <v>72.34</v>
      </c>
      <c r="I231" s="15">
        <v>0.06916</v>
      </c>
      <c r="J231" s="15">
        <v>1.96</v>
      </c>
      <c r="K231" s="15">
        <v>135.21</v>
      </c>
      <c r="L231" s="15">
        <v>0</v>
      </c>
      <c r="M231" s="15">
        <v>0</v>
      </c>
      <c r="N231" s="15">
        <v>0</v>
      </c>
      <c r="O231" s="15">
        <v>0</v>
      </c>
      <c r="P231" s="15">
        <v>0</v>
      </c>
      <c r="Q231" s="15">
        <v>0</v>
      </c>
      <c r="R231" s="15">
        <v>0</v>
      </c>
      <c r="S231" s="15">
        <v>375.76</v>
      </c>
      <c r="T231" s="15">
        <v>375.76</v>
      </c>
      <c r="U231" s="15">
        <v>2</v>
      </c>
      <c r="V231" s="15">
        <v>0</v>
      </c>
      <c r="W231" s="15">
        <v>2</v>
      </c>
      <c r="X231" s="15">
        <v>0.05405</v>
      </c>
      <c r="Y231" s="15">
        <v>5.19</v>
      </c>
      <c r="Z231" s="15">
        <v>5.19</v>
      </c>
      <c r="AA231" s="15">
        <v>36.17</v>
      </c>
      <c r="AB231" s="15">
        <v>6</v>
      </c>
      <c r="AC231" s="15">
        <v>2</v>
      </c>
      <c r="AD231" s="15">
        <v>4</v>
      </c>
      <c r="AE231" s="15">
        <v>0.16216</v>
      </c>
      <c r="AF231" s="15">
        <v>0</v>
      </c>
      <c r="AG231" s="15">
        <v>0</v>
      </c>
      <c r="AH231" s="15"/>
      <c r="AI231" s="15">
        <v>6</v>
      </c>
      <c r="AJ231" s="15">
        <v>12.06</v>
      </c>
      <c r="AK231" s="15">
        <v>6</v>
      </c>
      <c r="AL231" s="15">
        <v>12.06</v>
      </c>
      <c r="AM231" s="15">
        <v>0</v>
      </c>
      <c r="AN231" s="15"/>
      <c r="AO231" s="15">
        <v>0</v>
      </c>
      <c r="AP231" s="15">
        <v>12.06</v>
      </c>
      <c r="AQ231" s="15">
        <v>3</v>
      </c>
      <c r="AR231" s="15">
        <v>526</v>
      </c>
      <c r="AS231" s="15">
        <v>0</v>
      </c>
      <c r="AT231" s="15">
        <v>0</v>
      </c>
      <c r="AU231" s="15">
        <v>0</v>
      </c>
      <c r="AV231" s="15">
        <v>0</v>
      </c>
      <c r="AW231" s="15">
        <v>0</v>
      </c>
      <c r="AX231" s="15">
        <v>1</v>
      </c>
      <c r="AY231" s="15">
        <v>122</v>
      </c>
      <c r="AZ231" s="15">
        <v>31</v>
      </c>
      <c r="BA231" s="15">
        <v>24</v>
      </c>
      <c r="BB231" s="15">
        <v>0.77419</v>
      </c>
      <c r="BC231" s="15">
        <v>0</v>
      </c>
      <c r="BD231" s="15">
        <v>0</v>
      </c>
      <c r="BE231" s="15">
        <v>0.22804</v>
      </c>
      <c r="BF231" s="15">
        <v>85</v>
      </c>
      <c r="BG231" s="15">
        <v>4</v>
      </c>
      <c r="BH231" s="15">
        <v>0</v>
      </c>
      <c r="BI231" s="15">
        <v>0</v>
      </c>
      <c r="BJ231" s="15">
        <v>0</v>
      </c>
      <c r="BK231" s="15">
        <v>0</v>
      </c>
      <c r="BL231" s="15">
        <v>0</v>
      </c>
      <c r="BM231" s="15">
        <v>1</v>
      </c>
      <c r="BN231" s="15">
        <v>2</v>
      </c>
      <c r="BO231" s="15">
        <v>375.76</v>
      </c>
      <c r="BP231" s="15">
        <v>166.38</v>
      </c>
      <c r="BQ231" s="15">
        <v>835</v>
      </c>
      <c r="BR231" s="15">
        <v>0</v>
      </c>
      <c r="BS231" s="15">
        <v>0</v>
      </c>
      <c r="BT231" s="15">
        <v>0</v>
      </c>
      <c r="BU231" s="15">
        <v>0</v>
      </c>
      <c r="BV231" s="15">
        <v>0</v>
      </c>
      <c r="BW231" s="15">
        <v>0</v>
      </c>
      <c r="BX231" s="15">
        <v>0</v>
      </c>
    </row>
    <row r="232" spans="1:76">
      <c r="A232" s="14" t="str">
        <f>VLOOKUP(C232,VLOOKUP!A:B,2,FALSE)</f>
        <v>奇楠手串</v>
      </c>
      <c r="B232" s="16">
        <v>46056</v>
      </c>
      <c r="C232" s="17">
        <v>833035288991</v>
      </c>
      <c r="D232" s="15" t="s">
        <v>151</v>
      </c>
      <c r="E232" s="15" t="s">
        <v>159</v>
      </c>
      <c r="F232" s="15">
        <v>1998</v>
      </c>
      <c r="G232" s="15">
        <v>76</v>
      </c>
      <c r="H232" s="15">
        <v>27.83</v>
      </c>
      <c r="I232" s="15">
        <v>0.03804</v>
      </c>
      <c r="J232" s="15">
        <v>0.37</v>
      </c>
      <c r="K232" s="15">
        <v>13.93</v>
      </c>
      <c r="L232" s="15">
        <v>0</v>
      </c>
      <c r="M232" s="15">
        <v>0</v>
      </c>
      <c r="N232" s="15">
        <v>0</v>
      </c>
      <c r="O232" s="15">
        <v>0</v>
      </c>
      <c r="P232" s="15">
        <v>0</v>
      </c>
      <c r="Q232" s="15">
        <v>0</v>
      </c>
      <c r="R232" s="15">
        <v>0</v>
      </c>
      <c r="S232" s="15">
        <v>0</v>
      </c>
      <c r="T232" s="15">
        <v>0</v>
      </c>
      <c r="U232" s="15">
        <v>0</v>
      </c>
      <c r="V232" s="15">
        <v>0</v>
      </c>
      <c r="W232" s="15">
        <v>0</v>
      </c>
      <c r="X232" s="15">
        <v>0</v>
      </c>
      <c r="Y232" s="15">
        <v>0</v>
      </c>
      <c r="Z232" s="15">
        <v>0</v>
      </c>
      <c r="AA232" s="15"/>
      <c r="AB232" s="15">
        <v>0</v>
      </c>
      <c r="AC232" s="15">
        <v>0</v>
      </c>
      <c r="AD232" s="15">
        <v>0</v>
      </c>
      <c r="AE232" s="15">
        <v>0</v>
      </c>
      <c r="AF232" s="15">
        <v>1</v>
      </c>
      <c r="AG232" s="15">
        <v>1</v>
      </c>
      <c r="AH232" s="15">
        <v>27.83</v>
      </c>
      <c r="AI232" s="15">
        <v>2</v>
      </c>
      <c r="AJ232" s="15">
        <v>13.92</v>
      </c>
      <c r="AK232" s="15">
        <v>1</v>
      </c>
      <c r="AL232" s="15">
        <v>27.83</v>
      </c>
      <c r="AM232" s="15">
        <v>2</v>
      </c>
      <c r="AN232" s="15">
        <v>27.83</v>
      </c>
      <c r="AO232" s="15">
        <v>0.01316</v>
      </c>
      <c r="AP232" s="15"/>
      <c r="AQ232" s="15">
        <v>0</v>
      </c>
      <c r="AR232" s="15">
        <v>0</v>
      </c>
      <c r="AS232" s="15">
        <v>0</v>
      </c>
      <c r="AT232" s="15">
        <v>1</v>
      </c>
      <c r="AU232" s="15">
        <v>0</v>
      </c>
      <c r="AV232" s="15">
        <v>0</v>
      </c>
      <c r="AW232" s="15">
        <v>0</v>
      </c>
      <c r="AX232" s="15">
        <v>0</v>
      </c>
      <c r="AY232" s="15">
        <v>107</v>
      </c>
      <c r="AZ232" s="15">
        <v>67</v>
      </c>
      <c r="BA232" s="15">
        <v>63</v>
      </c>
      <c r="BB232" s="15">
        <v>0.9403</v>
      </c>
      <c r="BC232" s="15">
        <v>0</v>
      </c>
      <c r="BD232" s="15">
        <v>0</v>
      </c>
      <c r="BE232" s="15">
        <v>0.05355</v>
      </c>
      <c r="BF232" s="15">
        <v>34</v>
      </c>
      <c r="BG232" s="15">
        <v>2</v>
      </c>
      <c r="BH232" s="15">
        <v>0</v>
      </c>
      <c r="BI232" s="15"/>
      <c r="BJ232" s="15">
        <v>0</v>
      </c>
      <c r="BK232" s="15">
        <v>0</v>
      </c>
      <c r="BL232" s="15">
        <v>0</v>
      </c>
      <c r="BM232" s="15">
        <v>0</v>
      </c>
      <c r="BN232" s="15"/>
      <c r="BO232" s="15"/>
      <c r="BP232" s="15">
        <v>0</v>
      </c>
      <c r="BQ232" s="15">
        <v>27</v>
      </c>
      <c r="BR232" s="15">
        <v>0</v>
      </c>
      <c r="BS232" s="15">
        <v>0</v>
      </c>
      <c r="BT232" s="15">
        <v>0</v>
      </c>
      <c r="BU232" s="15">
        <v>0</v>
      </c>
      <c r="BV232" s="15">
        <v>0</v>
      </c>
      <c r="BW232" s="15">
        <v>0</v>
      </c>
      <c r="BX232" s="15">
        <v>0</v>
      </c>
    </row>
    <row r="233" spans="1:76">
      <c r="A233" s="14" t="str">
        <f>VLOOKUP(C233,VLOOKUP!A:B,2,FALSE)</f>
        <v>四季线香</v>
      </c>
      <c r="B233" s="16">
        <v>46056</v>
      </c>
      <c r="C233" s="17">
        <v>742540384374</v>
      </c>
      <c r="D233" s="15" t="s">
        <v>151</v>
      </c>
      <c r="E233" s="15" t="s">
        <v>161</v>
      </c>
      <c r="F233" s="15">
        <v>336</v>
      </c>
      <c r="G233" s="15">
        <v>11</v>
      </c>
      <c r="H233" s="15">
        <v>24.8</v>
      </c>
      <c r="I233" s="15">
        <v>0.03274</v>
      </c>
      <c r="J233" s="15">
        <v>2.25</v>
      </c>
      <c r="K233" s="15">
        <v>73.81</v>
      </c>
      <c r="L233" s="15">
        <v>0</v>
      </c>
      <c r="M233" s="15">
        <v>0</v>
      </c>
      <c r="N233" s="15">
        <v>0</v>
      </c>
      <c r="O233" s="15">
        <v>0</v>
      </c>
      <c r="P233" s="15">
        <v>0</v>
      </c>
      <c r="Q233" s="15">
        <v>0</v>
      </c>
      <c r="R233" s="15">
        <v>0</v>
      </c>
      <c r="S233" s="15">
        <v>51.4</v>
      </c>
      <c r="T233" s="15">
        <v>51.4</v>
      </c>
      <c r="U233" s="15">
        <v>2</v>
      </c>
      <c r="V233" s="15">
        <v>0</v>
      </c>
      <c r="W233" s="15">
        <v>2</v>
      </c>
      <c r="X233" s="15">
        <v>0.18182</v>
      </c>
      <c r="Y233" s="15">
        <v>2.07</v>
      </c>
      <c r="Z233" s="15">
        <v>2.07</v>
      </c>
      <c r="AA233" s="15">
        <v>12.4</v>
      </c>
      <c r="AB233" s="15">
        <v>8</v>
      </c>
      <c r="AC233" s="15">
        <v>0</v>
      </c>
      <c r="AD233" s="15">
        <v>8</v>
      </c>
      <c r="AE233" s="15">
        <v>0.72727</v>
      </c>
      <c r="AF233" s="15">
        <v>0</v>
      </c>
      <c r="AG233" s="15">
        <v>0</v>
      </c>
      <c r="AH233" s="15"/>
      <c r="AI233" s="15">
        <v>8</v>
      </c>
      <c r="AJ233" s="15">
        <v>3.1</v>
      </c>
      <c r="AK233" s="15">
        <v>8</v>
      </c>
      <c r="AL233" s="15">
        <v>3.1</v>
      </c>
      <c r="AM233" s="15">
        <v>0</v>
      </c>
      <c r="AN233" s="15"/>
      <c r="AO233" s="15">
        <v>0</v>
      </c>
      <c r="AP233" s="15">
        <v>3.1</v>
      </c>
      <c r="AQ233" s="15">
        <v>2</v>
      </c>
      <c r="AR233" s="15">
        <v>78.9</v>
      </c>
      <c r="AS233" s="15">
        <v>0</v>
      </c>
      <c r="AT233" s="15">
        <v>0</v>
      </c>
      <c r="AU233" s="15">
        <v>0</v>
      </c>
      <c r="AV233" s="15">
        <v>0</v>
      </c>
      <c r="AW233" s="15">
        <v>0</v>
      </c>
      <c r="AX233" s="15">
        <v>0</v>
      </c>
      <c r="AY233" s="15">
        <v>63</v>
      </c>
      <c r="AZ233" s="15">
        <v>11</v>
      </c>
      <c r="BA233" s="15">
        <v>8</v>
      </c>
      <c r="BB233" s="15">
        <v>0.72727</v>
      </c>
      <c r="BC233" s="15">
        <v>0</v>
      </c>
      <c r="BD233" s="15">
        <v>0</v>
      </c>
      <c r="BE233" s="15">
        <v>0.1875</v>
      </c>
      <c r="BF233" s="15">
        <v>52</v>
      </c>
      <c r="BG233" s="15">
        <v>6</v>
      </c>
      <c r="BH233" s="15">
        <v>1</v>
      </c>
      <c r="BI233" s="15">
        <v>1</v>
      </c>
      <c r="BJ233" s="15">
        <v>0</v>
      </c>
      <c r="BK233" s="15">
        <v>0</v>
      </c>
      <c r="BL233" s="15">
        <v>0</v>
      </c>
      <c r="BM233" s="15">
        <v>1</v>
      </c>
      <c r="BN233" s="15">
        <v>2</v>
      </c>
      <c r="BO233" s="15">
        <v>51.4</v>
      </c>
      <c r="BP233" s="15">
        <v>2.36</v>
      </c>
      <c r="BQ233" s="15">
        <v>111</v>
      </c>
      <c r="BR233" s="15">
        <v>0</v>
      </c>
      <c r="BS233" s="15">
        <v>0</v>
      </c>
      <c r="BT233" s="15">
        <v>0</v>
      </c>
      <c r="BU233" s="15">
        <v>0</v>
      </c>
      <c r="BV233" s="15">
        <v>0</v>
      </c>
      <c r="BW233" s="15">
        <v>0</v>
      </c>
      <c r="BX233" s="15">
        <v>0</v>
      </c>
    </row>
    <row r="234" spans="1:76">
      <c r="A234" s="14" t="str">
        <f>VLOOKUP(C234,VLOOKUP!A:B,2,FALSE)</f>
        <v>车载香薰</v>
      </c>
      <c r="B234" s="16">
        <v>46056</v>
      </c>
      <c r="C234" s="17">
        <v>616090775596</v>
      </c>
      <c r="D234" s="15" t="s">
        <v>151</v>
      </c>
      <c r="E234" s="15" t="s">
        <v>162</v>
      </c>
      <c r="F234" s="15">
        <v>197</v>
      </c>
      <c r="G234" s="15">
        <v>4</v>
      </c>
      <c r="H234" s="15">
        <v>12.52</v>
      </c>
      <c r="I234" s="15">
        <v>0.0203</v>
      </c>
      <c r="J234" s="15">
        <v>3.13</v>
      </c>
      <c r="K234" s="15">
        <v>63.55</v>
      </c>
      <c r="L234" s="15">
        <v>0</v>
      </c>
      <c r="M234" s="15">
        <v>0</v>
      </c>
      <c r="N234" s="15">
        <v>0</v>
      </c>
      <c r="O234" s="15">
        <v>0</v>
      </c>
      <c r="P234" s="15">
        <v>0</v>
      </c>
      <c r="Q234" s="15">
        <v>0</v>
      </c>
      <c r="R234" s="15">
        <v>0</v>
      </c>
      <c r="S234" s="15">
        <v>0</v>
      </c>
      <c r="T234" s="15">
        <v>0</v>
      </c>
      <c r="U234" s="15">
        <v>0</v>
      </c>
      <c r="V234" s="15">
        <v>0</v>
      </c>
      <c r="W234" s="15">
        <v>0</v>
      </c>
      <c r="X234" s="15">
        <v>0</v>
      </c>
      <c r="Y234" s="15">
        <v>0</v>
      </c>
      <c r="Z234" s="15">
        <v>0</v>
      </c>
      <c r="AA234" s="15"/>
      <c r="AB234" s="15">
        <v>0</v>
      </c>
      <c r="AC234" s="15">
        <v>0</v>
      </c>
      <c r="AD234" s="15">
        <v>0</v>
      </c>
      <c r="AE234" s="15">
        <v>0</v>
      </c>
      <c r="AF234" s="15">
        <v>0</v>
      </c>
      <c r="AG234" s="15">
        <v>0</v>
      </c>
      <c r="AH234" s="15"/>
      <c r="AI234" s="15">
        <v>0</v>
      </c>
      <c r="AJ234" s="15"/>
      <c r="AK234" s="15">
        <v>0</v>
      </c>
      <c r="AL234" s="15"/>
      <c r="AM234" s="15">
        <v>0</v>
      </c>
      <c r="AN234" s="15"/>
      <c r="AO234" s="15">
        <v>0</v>
      </c>
      <c r="AP234" s="15"/>
      <c r="AQ234" s="15">
        <v>0</v>
      </c>
      <c r="AR234" s="15">
        <v>0</v>
      </c>
      <c r="AS234" s="15">
        <v>0</v>
      </c>
      <c r="AT234" s="15">
        <v>0</v>
      </c>
      <c r="AU234" s="15">
        <v>0</v>
      </c>
      <c r="AV234" s="15">
        <v>0</v>
      </c>
      <c r="AW234" s="15">
        <v>0</v>
      </c>
      <c r="AX234" s="15">
        <v>0</v>
      </c>
      <c r="AY234" s="15">
        <v>10</v>
      </c>
      <c r="AZ234" s="15">
        <v>4</v>
      </c>
      <c r="BA234" s="15">
        <v>4</v>
      </c>
      <c r="BB234" s="15">
        <v>1</v>
      </c>
      <c r="BC234" s="15">
        <v>0</v>
      </c>
      <c r="BD234" s="15">
        <v>0</v>
      </c>
      <c r="BE234" s="15">
        <v>0.05076</v>
      </c>
      <c r="BF234" s="15">
        <v>3</v>
      </c>
      <c r="BG234" s="15">
        <v>3</v>
      </c>
      <c r="BH234" s="15">
        <v>0</v>
      </c>
      <c r="BI234" s="15"/>
      <c r="BJ234" s="15">
        <v>0</v>
      </c>
      <c r="BK234" s="15">
        <v>0</v>
      </c>
      <c r="BL234" s="15">
        <v>0</v>
      </c>
      <c r="BM234" s="15">
        <v>0</v>
      </c>
      <c r="BN234" s="15"/>
      <c r="BO234" s="15"/>
      <c r="BP234" s="15">
        <v>0</v>
      </c>
      <c r="BQ234" s="15">
        <v>3</v>
      </c>
      <c r="BR234" s="15">
        <v>0</v>
      </c>
      <c r="BS234" s="15">
        <v>0</v>
      </c>
      <c r="BT234" s="15">
        <v>0</v>
      </c>
      <c r="BU234" s="15">
        <v>0</v>
      </c>
      <c r="BV234" s="15">
        <v>0</v>
      </c>
      <c r="BW234" s="15">
        <v>0</v>
      </c>
      <c r="BX234" s="15">
        <v>0</v>
      </c>
    </row>
    <row r="235" spans="1:76">
      <c r="A235" s="14" t="str">
        <f>VLOOKUP(C235,VLOOKUP!A:B,2,FALSE)</f>
        <v>天官赐福</v>
      </c>
      <c r="B235" s="16">
        <v>46055</v>
      </c>
      <c r="C235" s="17">
        <v>972494676240</v>
      </c>
      <c r="D235" s="15" t="s">
        <v>151</v>
      </c>
      <c r="E235" s="15" t="s">
        <v>160</v>
      </c>
      <c r="F235" s="15">
        <v>12</v>
      </c>
      <c r="G235" s="15">
        <v>1</v>
      </c>
      <c r="H235" s="15">
        <v>0.32</v>
      </c>
      <c r="I235" s="15">
        <v>0.08333</v>
      </c>
      <c r="J235" s="15">
        <v>0.32</v>
      </c>
      <c r="K235" s="15">
        <v>26.67</v>
      </c>
      <c r="L235" s="15">
        <v>0</v>
      </c>
      <c r="M235" s="15">
        <v>0</v>
      </c>
      <c r="N235" s="15">
        <v>0</v>
      </c>
      <c r="O235" s="15">
        <v>0</v>
      </c>
      <c r="P235" s="15">
        <v>0</v>
      </c>
      <c r="Q235" s="15">
        <v>0</v>
      </c>
      <c r="R235" s="15">
        <v>0</v>
      </c>
      <c r="S235" s="15">
        <v>0</v>
      </c>
      <c r="T235" s="15">
        <v>0</v>
      </c>
      <c r="U235" s="15">
        <v>0</v>
      </c>
      <c r="V235" s="15">
        <v>0</v>
      </c>
      <c r="W235" s="15">
        <v>0</v>
      </c>
      <c r="X235" s="15">
        <v>0</v>
      </c>
      <c r="Y235" s="15">
        <v>0</v>
      </c>
      <c r="Z235" s="15">
        <v>0</v>
      </c>
      <c r="AA235" s="15"/>
      <c r="AB235" s="15">
        <v>0</v>
      </c>
      <c r="AC235" s="15">
        <v>0</v>
      </c>
      <c r="AD235" s="15">
        <v>0</v>
      </c>
      <c r="AE235" s="15">
        <v>0</v>
      </c>
      <c r="AF235" s="15">
        <v>0</v>
      </c>
      <c r="AG235" s="15">
        <v>0</v>
      </c>
      <c r="AH235" s="15"/>
      <c r="AI235" s="15">
        <v>0</v>
      </c>
      <c r="AJ235" s="15"/>
      <c r="AK235" s="15">
        <v>0</v>
      </c>
      <c r="AL235" s="15"/>
      <c r="AM235" s="15">
        <v>0</v>
      </c>
      <c r="AN235" s="15"/>
      <c r="AO235" s="15">
        <v>0</v>
      </c>
      <c r="AP235" s="15"/>
      <c r="AQ235" s="15">
        <v>0</v>
      </c>
      <c r="AR235" s="15">
        <v>0</v>
      </c>
      <c r="AS235" s="15">
        <v>0</v>
      </c>
      <c r="AT235" s="15">
        <v>0</v>
      </c>
      <c r="AU235" s="15">
        <v>0</v>
      </c>
      <c r="AV235" s="15">
        <v>0</v>
      </c>
      <c r="AW235" s="15">
        <v>0</v>
      </c>
      <c r="AX235" s="15">
        <v>0</v>
      </c>
      <c r="AY235" s="15">
        <v>2</v>
      </c>
      <c r="AZ235" s="15">
        <v>1</v>
      </c>
      <c r="BA235" s="15">
        <v>1</v>
      </c>
      <c r="BB235" s="15">
        <v>1</v>
      </c>
      <c r="BC235" s="15">
        <v>0</v>
      </c>
      <c r="BD235" s="15">
        <v>0</v>
      </c>
      <c r="BE235" s="15">
        <v>0.16667</v>
      </c>
      <c r="BF235" s="15">
        <v>1</v>
      </c>
      <c r="BG235" s="15">
        <v>2</v>
      </c>
      <c r="BH235" s="15">
        <v>0</v>
      </c>
      <c r="BI235" s="15"/>
      <c r="BJ235" s="15">
        <v>0</v>
      </c>
      <c r="BK235" s="15">
        <v>0</v>
      </c>
      <c r="BL235" s="15">
        <v>0</v>
      </c>
      <c r="BM235" s="15">
        <v>0</v>
      </c>
      <c r="BN235" s="15"/>
      <c r="BO235" s="15"/>
      <c r="BP235" s="15">
        <v>0</v>
      </c>
      <c r="BQ235" s="15">
        <v>0</v>
      </c>
      <c r="BR235" s="15">
        <v>0</v>
      </c>
      <c r="BS235" s="15">
        <v>0</v>
      </c>
      <c r="BT235" s="15">
        <v>0</v>
      </c>
      <c r="BU235" s="15">
        <v>0</v>
      </c>
      <c r="BV235" s="15">
        <v>0</v>
      </c>
      <c r="BW235" s="15">
        <v>0</v>
      </c>
      <c r="BX235" s="15">
        <v>0</v>
      </c>
    </row>
    <row r="236" spans="1:76">
      <c r="A236" s="14" t="str">
        <f>VLOOKUP(C236,VLOOKUP!A:B,2,FALSE)</f>
        <v>福到</v>
      </c>
      <c r="B236" s="16">
        <v>46055</v>
      </c>
      <c r="C236" s="17">
        <v>971856893567</v>
      </c>
      <c r="D236" s="15" t="s">
        <v>151</v>
      </c>
      <c r="E236" s="15" t="s">
        <v>152</v>
      </c>
      <c r="F236" s="15">
        <v>290</v>
      </c>
      <c r="G236" s="15">
        <v>13</v>
      </c>
      <c r="H236" s="15">
        <v>2.52</v>
      </c>
      <c r="I236" s="15">
        <v>0.04483</v>
      </c>
      <c r="J236" s="15">
        <v>0.19</v>
      </c>
      <c r="K236" s="15">
        <v>8.69</v>
      </c>
      <c r="L236" s="15">
        <v>0</v>
      </c>
      <c r="M236" s="15">
        <v>0</v>
      </c>
      <c r="N236" s="15">
        <v>0</v>
      </c>
      <c r="O236" s="15">
        <v>0</v>
      </c>
      <c r="P236" s="15">
        <v>0</v>
      </c>
      <c r="Q236" s="15">
        <v>0</v>
      </c>
      <c r="R236" s="15">
        <v>0</v>
      </c>
      <c r="S236" s="15">
        <v>2358.18</v>
      </c>
      <c r="T236" s="15">
        <v>2358.18</v>
      </c>
      <c r="U236" s="15">
        <v>2</v>
      </c>
      <c r="V236" s="15">
        <v>0</v>
      </c>
      <c r="W236" s="15">
        <v>2</v>
      </c>
      <c r="X236" s="15">
        <v>0.15385</v>
      </c>
      <c r="Y236" s="15">
        <v>935.79</v>
      </c>
      <c r="Z236" s="15">
        <v>935.79</v>
      </c>
      <c r="AA236" s="15">
        <v>1.26</v>
      </c>
      <c r="AB236" s="15">
        <v>0</v>
      </c>
      <c r="AC236" s="15">
        <v>0</v>
      </c>
      <c r="AD236" s="15">
        <v>0</v>
      </c>
      <c r="AE236" s="15">
        <v>0</v>
      </c>
      <c r="AF236" s="15">
        <v>0</v>
      </c>
      <c r="AG236" s="15">
        <v>0</v>
      </c>
      <c r="AH236" s="15"/>
      <c r="AI236" s="15">
        <v>0</v>
      </c>
      <c r="AJ236" s="15"/>
      <c r="AK236" s="15">
        <v>0</v>
      </c>
      <c r="AL236" s="15"/>
      <c r="AM236" s="15">
        <v>0</v>
      </c>
      <c r="AN236" s="15"/>
      <c r="AO236" s="15">
        <v>0</v>
      </c>
      <c r="AP236" s="15"/>
      <c r="AQ236" s="15">
        <v>4</v>
      </c>
      <c r="AR236" s="15">
        <v>3093</v>
      </c>
      <c r="AS236" s="15">
        <v>0</v>
      </c>
      <c r="AT236" s="15">
        <v>0</v>
      </c>
      <c r="AU236" s="15">
        <v>2</v>
      </c>
      <c r="AV236" s="15">
        <v>0</v>
      </c>
      <c r="AW236" s="15">
        <v>0</v>
      </c>
      <c r="AX236" s="15">
        <v>0</v>
      </c>
      <c r="AY236" s="15">
        <v>14</v>
      </c>
      <c r="AZ236" s="15">
        <v>11</v>
      </c>
      <c r="BA236" s="15">
        <v>7</v>
      </c>
      <c r="BB236" s="15">
        <v>0.63636</v>
      </c>
      <c r="BC236" s="15">
        <v>0</v>
      </c>
      <c r="BD236" s="15">
        <v>0</v>
      </c>
      <c r="BE236" s="15">
        <v>0.04828</v>
      </c>
      <c r="BF236" s="15">
        <v>2</v>
      </c>
      <c r="BG236" s="15">
        <v>1</v>
      </c>
      <c r="BH236" s="15">
        <v>1</v>
      </c>
      <c r="BI236" s="15">
        <v>1</v>
      </c>
      <c r="BJ236" s="15">
        <v>0</v>
      </c>
      <c r="BK236" s="15">
        <v>0</v>
      </c>
      <c r="BL236" s="15">
        <v>0</v>
      </c>
      <c r="BM236" s="15">
        <v>1</v>
      </c>
      <c r="BN236" s="15">
        <v>2</v>
      </c>
      <c r="BO236" s="15">
        <v>2358.18</v>
      </c>
      <c r="BP236" s="15">
        <v>1712.05</v>
      </c>
      <c r="BQ236" s="15">
        <v>356</v>
      </c>
      <c r="BR236" s="15">
        <v>0</v>
      </c>
      <c r="BS236" s="15">
        <v>0</v>
      </c>
      <c r="BT236" s="15">
        <v>0</v>
      </c>
      <c r="BU236" s="15">
        <v>0</v>
      </c>
      <c r="BV236" s="15">
        <v>0</v>
      </c>
      <c r="BW236" s="15">
        <v>0</v>
      </c>
      <c r="BX236" s="15">
        <v>0</v>
      </c>
    </row>
    <row r="237" spans="1:76">
      <c r="A237" s="14" t="str">
        <f>VLOOKUP(C237,VLOOKUP!A:B,2,FALSE)</f>
        <v>如意盘香</v>
      </c>
      <c r="B237" s="16">
        <v>46055</v>
      </c>
      <c r="C237" s="17">
        <v>838711327669</v>
      </c>
      <c r="D237" s="15" t="s">
        <v>151</v>
      </c>
      <c r="E237" s="15" t="s">
        <v>158</v>
      </c>
      <c r="F237" s="15">
        <v>1247</v>
      </c>
      <c r="G237" s="15">
        <v>50</v>
      </c>
      <c r="H237" s="15">
        <v>80</v>
      </c>
      <c r="I237" s="15">
        <v>0.0401</v>
      </c>
      <c r="J237" s="15">
        <v>1.6</v>
      </c>
      <c r="K237" s="15">
        <v>64.15</v>
      </c>
      <c r="L237" s="15">
        <v>0</v>
      </c>
      <c r="M237" s="15">
        <v>0</v>
      </c>
      <c r="N237" s="15">
        <v>0</v>
      </c>
      <c r="O237" s="15">
        <v>0</v>
      </c>
      <c r="P237" s="15">
        <v>0</v>
      </c>
      <c r="Q237" s="15">
        <v>0</v>
      </c>
      <c r="R237" s="15">
        <v>0</v>
      </c>
      <c r="S237" s="15">
        <v>432</v>
      </c>
      <c r="T237" s="15">
        <v>432</v>
      </c>
      <c r="U237" s="15">
        <v>2</v>
      </c>
      <c r="V237" s="15">
        <v>0</v>
      </c>
      <c r="W237" s="15">
        <v>2</v>
      </c>
      <c r="X237" s="15">
        <v>0.04</v>
      </c>
      <c r="Y237" s="15">
        <v>5.4</v>
      </c>
      <c r="Z237" s="15">
        <v>5.4</v>
      </c>
      <c r="AA237" s="15">
        <v>40</v>
      </c>
      <c r="AB237" s="15">
        <v>8</v>
      </c>
      <c r="AC237" s="15">
        <v>3</v>
      </c>
      <c r="AD237" s="15">
        <v>5</v>
      </c>
      <c r="AE237" s="15">
        <v>0.16</v>
      </c>
      <c r="AF237" s="15">
        <v>2</v>
      </c>
      <c r="AG237" s="15">
        <v>0</v>
      </c>
      <c r="AH237" s="15"/>
      <c r="AI237" s="15">
        <v>10</v>
      </c>
      <c r="AJ237" s="15">
        <v>8</v>
      </c>
      <c r="AK237" s="15">
        <v>10</v>
      </c>
      <c r="AL237" s="15">
        <v>8</v>
      </c>
      <c r="AM237" s="15">
        <v>2</v>
      </c>
      <c r="AN237" s="15">
        <v>40</v>
      </c>
      <c r="AO237" s="15">
        <v>0.04</v>
      </c>
      <c r="AP237" s="15">
        <v>10</v>
      </c>
      <c r="AQ237" s="15">
        <v>3</v>
      </c>
      <c r="AR237" s="15">
        <v>663</v>
      </c>
      <c r="AS237" s="15">
        <v>2</v>
      </c>
      <c r="AT237" s="15">
        <v>0</v>
      </c>
      <c r="AU237" s="15">
        <v>2</v>
      </c>
      <c r="AV237" s="15">
        <v>0</v>
      </c>
      <c r="AW237" s="15">
        <v>0</v>
      </c>
      <c r="AX237" s="15">
        <v>0</v>
      </c>
      <c r="AY237" s="15">
        <v>129</v>
      </c>
      <c r="AZ237" s="15">
        <v>44</v>
      </c>
      <c r="BA237" s="15">
        <v>33</v>
      </c>
      <c r="BB237" s="15">
        <v>0.75</v>
      </c>
      <c r="BC237" s="15">
        <v>0</v>
      </c>
      <c r="BD237" s="15">
        <v>0</v>
      </c>
      <c r="BE237" s="15">
        <v>0.10345</v>
      </c>
      <c r="BF237" s="15">
        <v>80</v>
      </c>
      <c r="BG237" s="15">
        <v>3</v>
      </c>
      <c r="BH237" s="15">
        <v>1</v>
      </c>
      <c r="BI237" s="15">
        <v>1</v>
      </c>
      <c r="BJ237" s="15">
        <v>0</v>
      </c>
      <c r="BK237" s="15">
        <v>0</v>
      </c>
      <c r="BL237" s="15">
        <v>0</v>
      </c>
      <c r="BM237" s="15">
        <v>1</v>
      </c>
      <c r="BN237" s="15">
        <v>2</v>
      </c>
      <c r="BO237" s="15">
        <v>432</v>
      </c>
      <c r="BP237" s="15">
        <v>17.66</v>
      </c>
      <c r="BQ237" s="15">
        <v>344</v>
      </c>
      <c r="BR237" s="15">
        <v>0</v>
      </c>
      <c r="BS237" s="15">
        <v>0</v>
      </c>
      <c r="BT237" s="15">
        <v>0</v>
      </c>
      <c r="BU237" s="15">
        <v>0</v>
      </c>
      <c r="BV237" s="15">
        <v>0</v>
      </c>
      <c r="BW237" s="15">
        <v>0</v>
      </c>
      <c r="BX237" s="15">
        <v>0</v>
      </c>
    </row>
    <row r="238" spans="1:76">
      <c r="A238" s="14" t="str">
        <f>VLOOKUP(C238,VLOOKUP!A:B,2,FALSE)</f>
        <v>福颜青</v>
      </c>
      <c r="B238" s="16">
        <v>46055</v>
      </c>
      <c r="C238" s="17">
        <v>833369552621</v>
      </c>
      <c r="D238" s="15" t="s">
        <v>151</v>
      </c>
      <c r="E238" s="15" t="s">
        <v>154</v>
      </c>
      <c r="F238" s="15">
        <v>933</v>
      </c>
      <c r="G238" s="15">
        <v>7</v>
      </c>
      <c r="H238" s="15">
        <v>1.72</v>
      </c>
      <c r="I238" s="15">
        <v>0.0075</v>
      </c>
      <c r="J238" s="15">
        <v>0.25</v>
      </c>
      <c r="K238" s="15">
        <v>1.84</v>
      </c>
      <c r="L238" s="15">
        <v>0</v>
      </c>
      <c r="M238" s="15">
        <v>0</v>
      </c>
      <c r="N238" s="15">
        <v>0</v>
      </c>
      <c r="O238" s="15">
        <v>0</v>
      </c>
      <c r="P238" s="15">
        <v>0</v>
      </c>
      <c r="Q238" s="15">
        <v>0</v>
      </c>
      <c r="R238" s="15">
        <v>0</v>
      </c>
      <c r="S238" s="15">
        <v>0</v>
      </c>
      <c r="T238" s="15">
        <v>0</v>
      </c>
      <c r="U238" s="15">
        <v>0</v>
      </c>
      <c r="V238" s="15">
        <v>0</v>
      </c>
      <c r="W238" s="15">
        <v>0</v>
      </c>
      <c r="X238" s="15">
        <v>0</v>
      </c>
      <c r="Y238" s="15">
        <v>0</v>
      </c>
      <c r="Z238" s="15">
        <v>0</v>
      </c>
      <c r="AA238" s="15"/>
      <c r="AB238" s="15">
        <v>0</v>
      </c>
      <c r="AC238" s="15">
        <v>0</v>
      </c>
      <c r="AD238" s="15">
        <v>0</v>
      </c>
      <c r="AE238" s="15">
        <v>0</v>
      </c>
      <c r="AF238" s="15">
        <v>0</v>
      </c>
      <c r="AG238" s="15">
        <v>0</v>
      </c>
      <c r="AH238" s="15"/>
      <c r="AI238" s="15">
        <v>0</v>
      </c>
      <c r="AJ238" s="15"/>
      <c r="AK238" s="15">
        <v>0</v>
      </c>
      <c r="AL238" s="15"/>
      <c r="AM238" s="15">
        <v>0</v>
      </c>
      <c r="AN238" s="15"/>
      <c r="AO238" s="15">
        <v>0</v>
      </c>
      <c r="AP238" s="15"/>
      <c r="AQ238" s="15">
        <v>0</v>
      </c>
      <c r="AR238" s="15">
        <v>0</v>
      </c>
      <c r="AS238" s="15">
        <v>0</v>
      </c>
      <c r="AT238" s="15">
        <v>0</v>
      </c>
      <c r="AU238" s="15">
        <v>1</v>
      </c>
      <c r="AV238" s="15">
        <v>0</v>
      </c>
      <c r="AW238" s="15">
        <v>0</v>
      </c>
      <c r="AX238" s="15">
        <v>0</v>
      </c>
      <c r="AY238" s="15">
        <v>21</v>
      </c>
      <c r="AZ238" s="15">
        <v>18</v>
      </c>
      <c r="BA238" s="15">
        <v>18</v>
      </c>
      <c r="BB238" s="15">
        <v>1</v>
      </c>
      <c r="BC238" s="15">
        <v>0</v>
      </c>
      <c r="BD238" s="15">
        <v>0</v>
      </c>
      <c r="BE238" s="15">
        <v>0.02251</v>
      </c>
      <c r="BF238" s="15">
        <v>3</v>
      </c>
      <c r="BG238" s="15">
        <v>1</v>
      </c>
      <c r="BH238" s="15">
        <v>0</v>
      </c>
      <c r="BI238" s="15"/>
      <c r="BJ238" s="15">
        <v>0</v>
      </c>
      <c r="BK238" s="15">
        <v>0</v>
      </c>
      <c r="BL238" s="15">
        <v>0</v>
      </c>
      <c r="BM238" s="15">
        <v>0</v>
      </c>
      <c r="BN238" s="15"/>
      <c r="BO238" s="15"/>
      <c r="BP238" s="15">
        <v>0</v>
      </c>
      <c r="BQ238" s="15">
        <v>0</v>
      </c>
      <c r="BR238" s="15">
        <v>0</v>
      </c>
      <c r="BS238" s="15">
        <v>0</v>
      </c>
      <c r="BT238" s="15">
        <v>0</v>
      </c>
      <c r="BU238" s="15">
        <v>0</v>
      </c>
      <c r="BV238" s="15">
        <v>0</v>
      </c>
      <c r="BW238" s="15">
        <v>0</v>
      </c>
      <c r="BX238" s="15">
        <v>0</v>
      </c>
    </row>
    <row r="239" spans="1:76">
      <c r="A239" s="14" t="str">
        <f>VLOOKUP(C239,VLOOKUP!A:B,2,FALSE)</f>
        <v>奇楠手串</v>
      </c>
      <c r="B239" s="16">
        <v>46055</v>
      </c>
      <c r="C239" s="17">
        <v>833035288991</v>
      </c>
      <c r="D239" s="15" t="s">
        <v>151</v>
      </c>
      <c r="E239" s="15" t="s">
        <v>159</v>
      </c>
      <c r="F239" s="15">
        <v>1258</v>
      </c>
      <c r="G239" s="15">
        <v>62</v>
      </c>
      <c r="H239" s="15">
        <v>19.54</v>
      </c>
      <c r="I239" s="15">
        <v>0.04928</v>
      </c>
      <c r="J239" s="15">
        <v>0.32</v>
      </c>
      <c r="K239" s="15">
        <v>15.53</v>
      </c>
      <c r="L239" s="15">
        <v>0</v>
      </c>
      <c r="M239" s="15">
        <v>0</v>
      </c>
      <c r="N239" s="15">
        <v>0</v>
      </c>
      <c r="O239" s="15">
        <v>0</v>
      </c>
      <c r="P239" s="15">
        <v>0</v>
      </c>
      <c r="Q239" s="15">
        <v>0</v>
      </c>
      <c r="R239" s="15">
        <v>0</v>
      </c>
      <c r="S239" s="15">
        <v>0</v>
      </c>
      <c r="T239" s="15">
        <v>0</v>
      </c>
      <c r="U239" s="15">
        <v>0</v>
      </c>
      <c r="V239" s="15">
        <v>0</v>
      </c>
      <c r="W239" s="15">
        <v>0</v>
      </c>
      <c r="X239" s="15">
        <v>0</v>
      </c>
      <c r="Y239" s="15">
        <v>0</v>
      </c>
      <c r="Z239" s="15">
        <v>0</v>
      </c>
      <c r="AA239" s="15"/>
      <c r="AB239" s="15">
        <v>2</v>
      </c>
      <c r="AC239" s="15">
        <v>0</v>
      </c>
      <c r="AD239" s="15">
        <v>2</v>
      </c>
      <c r="AE239" s="15">
        <v>0.03226</v>
      </c>
      <c r="AF239" s="15">
        <v>0</v>
      </c>
      <c r="AG239" s="15">
        <v>0</v>
      </c>
      <c r="AH239" s="15"/>
      <c r="AI239" s="15">
        <v>2</v>
      </c>
      <c r="AJ239" s="15">
        <v>9.77</v>
      </c>
      <c r="AK239" s="15">
        <v>2</v>
      </c>
      <c r="AL239" s="15">
        <v>9.77</v>
      </c>
      <c r="AM239" s="15">
        <v>0</v>
      </c>
      <c r="AN239" s="15"/>
      <c r="AO239" s="15">
        <v>0</v>
      </c>
      <c r="AP239" s="15">
        <v>9.77</v>
      </c>
      <c r="AQ239" s="15">
        <v>0</v>
      </c>
      <c r="AR239" s="15">
        <v>0</v>
      </c>
      <c r="AS239" s="15">
        <v>0</v>
      </c>
      <c r="AT239" s="15">
        <v>0</v>
      </c>
      <c r="AU239" s="15">
        <v>3</v>
      </c>
      <c r="AV239" s="15">
        <v>0</v>
      </c>
      <c r="AW239" s="15">
        <v>0</v>
      </c>
      <c r="AX239" s="15">
        <v>0</v>
      </c>
      <c r="AY239" s="15">
        <v>171</v>
      </c>
      <c r="AZ239" s="15">
        <v>58</v>
      </c>
      <c r="BA239" s="15">
        <v>56</v>
      </c>
      <c r="BB239" s="15">
        <v>0.96552</v>
      </c>
      <c r="BC239" s="15">
        <v>0</v>
      </c>
      <c r="BD239" s="15">
        <v>0</v>
      </c>
      <c r="BE239" s="15">
        <v>0.13593</v>
      </c>
      <c r="BF239" s="15">
        <v>106</v>
      </c>
      <c r="BG239" s="15">
        <v>3</v>
      </c>
      <c r="BH239" s="15">
        <v>0</v>
      </c>
      <c r="BI239" s="15"/>
      <c r="BJ239" s="15">
        <v>0</v>
      </c>
      <c r="BK239" s="15">
        <v>0</v>
      </c>
      <c r="BL239" s="15">
        <v>0</v>
      </c>
      <c r="BM239" s="15">
        <v>0</v>
      </c>
      <c r="BN239" s="15"/>
      <c r="BO239" s="15"/>
      <c r="BP239" s="15">
        <v>0.18</v>
      </c>
      <c r="BQ239" s="15">
        <v>54</v>
      </c>
      <c r="BR239" s="15">
        <v>0</v>
      </c>
      <c r="BS239" s="15">
        <v>0</v>
      </c>
      <c r="BT239" s="15">
        <v>0</v>
      </c>
      <c r="BU239" s="15">
        <v>0</v>
      </c>
      <c r="BV239" s="15">
        <v>0</v>
      </c>
      <c r="BW239" s="15">
        <v>0</v>
      </c>
      <c r="BX239" s="15">
        <v>0</v>
      </c>
    </row>
    <row r="240" spans="1:76">
      <c r="A240" s="14" t="str">
        <f>VLOOKUP(C240,VLOOKUP!A:B,2,FALSE)</f>
        <v>四季线香</v>
      </c>
      <c r="B240" s="16">
        <v>46055</v>
      </c>
      <c r="C240" s="17">
        <v>742540384374</v>
      </c>
      <c r="D240" s="15" t="s">
        <v>151</v>
      </c>
      <c r="E240" s="15" t="s">
        <v>161</v>
      </c>
      <c r="F240" s="15">
        <v>276</v>
      </c>
      <c r="G240" s="15">
        <v>6</v>
      </c>
      <c r="H240" s="15">
        <v>23.14</v>
      </c>
      <c r="I240" s="15">
        <v>0.02174</v>
      </c>
      <c r="J240" s="15">
        <v>3.86</v>
      </c>
      <c r="K240" s="15">
        <v>83.84</v>
      </c>
      <c r="L240" s="15">
        <v>0</v>
      </c>
      <c r="M240" s="15">
        <v>0</v>
      </c>
      <c r="N240" s="15">
        <v>0</v>
      </c>
      <c r="O240" s="15">
        <v>0</v>
      </c>
      <c r="P240" s="15">
        <v>0</v>
      </c>
      <c r="Q240" s="15">
        <v>0</v>
      </c>
      <c r="R240" s="15">
        <v>0</v>
      </c>
      <c r="S240" s="15">
        <v>0</v>
      </c>
      <c r="T240" s="15">
        <v>0</v>
      </c>
      <c r="U240" s="15">
        <v>0</v>
      </c>
      <c r="V240" s="15">
        <v>0</v>
      </c>
      <c r="W240" s="15">
        <v>0</v>
      </c>
      <c r="X240" s="15">
        <v>0</v>
      </c>
      <c r="Y240" s="15">
        <v>0</v>
      </c>
      <c r="Z240" s="15">
        <v>0</v>
      </c>
      <c r="AA240" s="15"/>
      <c r="AB240" s="15">
        <v>1</v>
      </c>
      <c r="AC240" s="15">
        <v>0</v>
      </c>
      <c r="AD240" s="15">
        <v>1</v>
      </c>
      <c r="AE240" s="15">
        <v>0.16667</v>
      </c>
      <c r="AF240" s="15">
        <v>0</v>
      </c>
      <c r="AG240" s="15">
        <v>0</v>
      </c>
      <c r="AH240" s="15"/>
      <c r="AI240" s="15">
        <v>1</v>
      </c>
      <c r="AJ240" s="15">
        <v>23.14</v>
      </c>
      <c r="AK240" s="15">
        <v>1</v>
      </c>
      <c r="AL240" s="15">
        <v>23.14</v>
      </c>
      <c r="AM240" s="15">
        <v>0</v>
      </c>
      <c r="AN240" s="15"/>
      <c r="AO240" s="15">
        <v>0</v>
      </c>
      <c r="AP240" s="15">
        <v>23.14</v>
      </c>
      <c r="AQ240" s="15">
        <v>0</v>
      </c>
      <c r="AR240" s="15">
        <v>0</v>
      </c>
      <c r="AS240" s="15">
        <v>0</v>
      </c>
      <c r="AT240" s="15">
        <v>0</v>
      </c>
      <c r="AU240" s="15">
        <v>0</v>
      </c>
      <c r="AV240" s="15">
        <v>0</v>
      </c>
      <c r="AW240" s="15">
        <v>0</v>
      </c>
      <c r="AX240" s="15">
        <v>0</v>
      </c>
      <c r="AY240" s="15">
        <v>13</v>
      </c>
      <c r="AZ240" s="15">
        <v>5</v>
      </c>
      <c r="BA240" s="15">
        <v>5</v>
      </c>
      <c r="BB240" s="15">
        <v>1</v>
      </c>
      <c r="BC240" s="15">
        <v>0</v>
      </c>
      <c r="BD240" s="15">
        <v>0</v>
      </c>
      <c r="BE240" s="15">
        <v>0.0471</v>
      </c>
      <c r="BF240" s="15">
        <v>7</v>
      </c>
      <c r="BG240" s="15">
        <v>3</v>
      </c>
      <c r="BH240" s="15">
        <v>0</v>
      </c>
      <c r="BI240" s="15"/>
      <c r="BJ240" s="15">
        <v>0</v>
      </c>
      <c r="BK240" s="15">
        <v>0</v>
      </c>
      <c r="BL240" s="15">
        <v>0</v>
      </c>
      <c r="BM240" s="15">
        <v>0</v>
      </c>
      <c r="BN240" s="15"/>
      <c r="BO240" s="15"/>
      <c r="BP240" s="15">
        <v>0.11</v>
      </c>
      <c r="BQ240" s="15">
        <v>28</v>
      </c>
      <c r="BR240" s="15">
        <v>0</v>
      </c>
      <c r="BS240" s="15">
        <v>0</v>
      </c>
      <c r="BT240" s="15">
        <v>0</v>
      </c>
      <c r="BU240" s="15">
        <v>0</v>
      </c>
      <c r="BV240" s="15">
        <v>0</v>
      </c>
      <c r="BW240" s="15">
        <v>0</v>
      </c>
      <c r="BX240" s="15">
        <v>0</v>
      </c>
    </row>
    <row r="241" spans="1:76">
      <c r="A241" s="14" t="str">
        <f>VLOOKUP(C241,VLOOKUP!A:B,2,FALSE)</f>
        <v>车载香薰</v>
      </c>
      <c r="B241" s="16">
        <v>46055</v>
      </c>
      <c r="C241" s="17">
        <v>616090775596</v>
      </c>
      <c r="D241" s="15" t="s">
        <v>151</v>
      </c>
      <c r="E241" s="15" t="s">
        <v>162</v>
      </c>
      <c r="F241" s="15">
        <v>559</v>
      </c>
      <c r="G241" s="15">
        <v>22</v>
      </c>
      <c r="H241" s="15">
        <v>37.09</v>
      </c>
      <c r="I241" s="15">
        <v>0.03936</v>
      </c>
      <c r="J241" s="15">
        <v>1.69</v>
      </c>
      <c r="K241" s="15">
        <v>66.35</v>
      </c>
      <c r="L241" s="15">
        <v>0</v>
      </c>
      <c r="M241" s="15">
        <v>0</v>
      </c>
      <c r="N241" s="15">
        <v>0</v>
      </c>
      <c r="O241" s="15">
        <v>0</v>
      </c>
      <c r="P241" s="15">
        <v>0</v>
      </c>
      <c r="Q241" s="15">
        <v>0</v>
      </c>
      <c r="R241" s="15">
        <v>0</v>
      </c>
      <c r="S241" s="15">
        <v>0</v>
      </c>
      <c r="T241" s="15">
        <v>0</v>
      </c>
      <c r="U241" s="15">
        <v>0</v>
      </c>
      <c r="V241" s="15">
        <v>0</v>
      </c>
      <c r="W241" s="15">
        <v>0</v>
      </c>
      <c r="X241" s="15">
        <v>0</v>
      </c>
      <c r="Y241" s="15">
        <v>0</v>
      </c>
      <c r="Z241" s="15">
        <v>0</v>
      </c>
      <c r="AA241" s="15"/>
      <c r="AB241" s="15">
        <v>0</v>
      </c>
      <c r="AC241" s="15">
        <v>0</v>
      </c>
      <c r="AD241" s="15">
        <v>0</v>
      </c>
      <c r="AE241" s="15">
        <v>0</v>
      </c>
      <c r="AF241" s="15">
        <v>0</v>
      </c>
      <c r="AG241" s="15">
        <v>1</v>
      </c>
      <c r="AH241" s="15">
        <v>37.09</v>
      </c>
      <c r="AI241" s="15">
        <v>1</v>
      </c>
      <c r="AJ241" s="15">
        <v>37.09</v>
      </c>
      <c r="AK241" s="15">
        <v>0</v>
      </c>
      <c r="AL241" s="15"/>
      <c r="AM241" s="15">
        <v>1</v>
      </c>
      <c r="AN241" s="15"/>
      <c r="AO241" s="15">
        <v>0</v>
      </c>
      <c r="AP241" s="15"/>
      <c r="AQ241" s="15">
        <v>0</v>
      </c>
      <c r="AR241" s="15">
        <v>0</v>
      </c>
      <c r="AS241" s="15">
        <v>0</v>
      </c>
      <c r="AT241" s="15">
        <v>0</v>
      </c>
      <c r="AU241" s="15">
        <v>0</v>
      </c>
      <c r="AV241" s="15">
        <v>0</v>
      </c>
      <c r="AW241" s="15">
        <v>0</v>
      </c>
      <c r="AX241" s="15">
        <v>1</v>
      </c>
      <c r="AY241" s="15">
        <v>50</v>
      </c>
      <c r="AZ241" s="15">
        <v>22</v>
      </c>
      <c r="BA241" s="15">
        <v>19</v>
      </c>
      <c r="BB241" s="15">
        <v>0.86364</v>
      </c>
      <c r="BC241" s="15">
        <v>0</v>
      </c>
      <c r="BD241" s="15">
        <v>0</v>
      </c>
      <c r="BE241" s="15">
        <v>0.08945</v>
      </c>
      <c r="BF241" s="15">
        <v>23</v>
      </c>
      <c r="BG241" s="15">
        <v>2</v>
      </c>
      <c r="BH241" s="15">
        <v>0</v>
      </c>
      <c r="BI241" s="15"/>
      <c r="BJ241" s="15">
        <v>0</v>
      </c>
      <c r="BK241" s="15">
        <v>0</v>
      </c>
      <c r="BL241" s="15">
        <v>0</v>
      </c>
      <c r="BM241" s="15">
        <v>0</v>
      </c>
      <c r="BN241" s="15"/>
      <c r="BO241" s="15"/>
      <c r="BP241" s="15">
        <v>2.92</v>
      </c>
      <c r="BQ241" s="15">
        <v>38</v>
      </c>
      <c r="BR241" s="15">
        <v>0</v>
      </c>
      <c r="BS241" s="15">
        <v>0</v>
      </c>
      <c r="BT241" s="15">
        <v>0</v>
      </c>
      <c r="BU241" s="15">
        <v>0</v>
      </c>
      <c r="BV241" s="15">
        <v>0</v>
      </c>
      <c r="BW241" s="15">
        <v>0</v>
      </c>
      <c r="BX241" s="15">
        <v>0</v>
      </c>
    </row>
    <row r="242" spans="1:76">
      <c r="A242" s="14" t="str">
        <f>VLOOKUP(C242,VLOOKUP!A:B,2,FALSE)</f>
        <v>天官赐福</v>
      </c>
      <c r="B242" s="16">
        <v>46054</v>
      </c>
      <c r="C242" s="17">
        <v>972494676240</v>
      </c>
      <c r="D242" s="15" t="s">
        <v>151</v>
      </c>
      <c r="E242" s="15" t="s">
        <v>160</v>
      </c>
      <c r="F242" s="15">
        <v>80</v>
      </c>
      <c r="G242" s="15">
        <v>4</v>
      </c>
      <c r="H242" s="15">
        <v>1.16</v>
      </c>
      <c r="I242" s="15">
        <v>0.05</v>
      </c>
      <c r="J242" s="15">
        <v>0.29</v>
      </c>
      <c r="K242" s="15">
        <v>14.5</v>
      </c>
      <c r="L242" s="15">
        <v>0</v>
      </c>
      <c r="M242" s="15">
        <v>0</v>
      </c>
      <c r="N242" s="15">
        <v>0</v>
      </c>
      <c r="O242" s="15">
        <v>0</v>
      </c>
      <c r="P242" s="15">
        <v>0</v>
      </c>
      <c r="Q242" s="15">
        <v>0</v>
      </c>
      <c r="R242" s="15">
        <v>1288.4</v>
      </c>
      <c r="S242" s="15">
        <v>0</v>
      </c>
      <c r="T242" s="15">
        <v>1288.4</v>
      </c>
      <c r="U242" s="15">
        <v>1</v>
      </c>
      <c r="V242" s="15">
        <v>1</v>
      </c>
      <c r="W242" s="15">
        <v>0</v>
      </c>
      <c r="X242" s="15">
        <v>0.25</v>
      </c>
      <c r="Y242" s="15">
        <v>1110.69</v>
      </c>
      <c r="Z242" s="15">
        <v>1110.69</v>
      </c>
      <c r="AA242" s="15">
        <v>1.16</v>
      </c>
      <c r="AB242" s="15">
        <v>0</v>
      </c>
      <c r="AC242" s="15">
        <v>0</v>
      </c>
      <c r="AD242" s="15">
        <v>0</v>
      </c>
      <c r="AE242" s="15">
        <v>0</v>
      </c>
      <c r="AF242" s="15">
        <v>0</v>
      </c>
      <c r="AG242" s="15">
        <v>0</v>
      </c>
      <c r="AH242" s="15"/>
      <c r="AI242" s="15">
        <v>0</v>
      </c>
      <c r="AJ242" s="15"/>
      <c r="AK242" s="15">
        <v>0</v>
      </c>
      <c r="AL242" s="15"/>
      <c r="AM242" s="15">
        <v>0</v>
      </c>
      <c r="AN242" s="15"/>
      <c r="AO242" s="15">
        <v>0</v>
      </c>
      <c r="AP242" s="15"/>
      <c r="AQ242" s="15">
        <v>1</v>
      </c>
      <c r="AR242" s="15">
        <v>1998</v>
      </c>
      <c r="AS242" s="15">
        <v>0</v>
      </c>
      <c r="AT242" s="15">
        <v>0</v>
      </c>
      <c r="AU242" s="15">
        <v>0</v>
      </c>
      <c r="AV242" s="15">
        <v>0</v>
      </c>
      <c r="AW242" s="15">
        <v>0</v>
      </c>
      <c r="AX242" s="15">
        <v>0</v>
      </c>
      <c r="AY242" s="15">
        <v>11</v>
      </c>
      <c r="AZ242" s="15">
        <v>4</v>
      </c>
      <c r="BA242" s="15">
        <v>2</v>
      </c>
      <c r="BB242" s="15">
        <v>0.5</v>
      </c>
      <c r="BC242" s="15">
        <v>0</v>
      </c>
      <c r="BD242" s="15">
        <v>0</v>
      </c>
      <c r="BE242" s="15">
        <v>0.1375</v>
      </c>
      <c r="BF242" s="15">
        <v>7</v>
      </c>
      <c r="BG242" s="15">
        <v>3</v>
      </c>
      <c r="BH242" s="15">
        <v>1</v>
      </c>
      <c r="BI242" s="15">
        <v>1</v>
      </c>
      <c r="BJ242" s="15">
        <v>0</v>
      </c>
      <c r="BK242" s="15">
        <v>0</v>
      </c>
      <c r="BL242" s="15">
        <v>0</v>
      </c>
      <c r="BM242" s="15">
        <v>1</v>
      </c>
      <c r="BN242" s="15">
        <v>1</v>
      </c>
      <c r="BO242" s="15">
        <v>1288.4</v>
      </c>
      <c r="BP242" s="15">
        <v>0</v>
      </c>
      <c r="BQ242" s="15">
        <v>158</v>
      </c>
      <c r="BR242" s="15">
        <v>0</v>
      </c>
      <c r="BS242" s="15">
        <v>0</v>
      </c>
      <c r="BT242" s="15">
        <v>0</v>
      </c>
      <c r="BU242" s="15">
        <v>0</v>
      </c>
      <c r="BV242" s="15">
        <v>0</v>
      </c>
      <c r="BW242" s="15">
        <v>0</v>
      </c>
      <c r="BX242" s="15">
        <v>0</v>
      </c>
    </row>
    <row r="243" spans="1:76">
      <c r="A243" s="14" t="str">
        <f>VLOOKUP(C243,VLOOKUP!A:B,2,FALSE)</f>
        <v>福到</v>
      </c>
      <c r="B243" s="16">
        <v>46054</v>
      </c>
      <c r="C243" s="17">
        <v>971856893567</v>
      </c>
      <c r="D243" s="15" t="s">
        <v>151</v>
      </c>
      <c r="E243" s="15" t="s">
        <v>152</v>
      </c>
      <c r="F243" s="15">
        <v>296</v>
      </c>
      <c r="G243" s="15">
        <v>5</v>
      </c>
      <c r="H243" s="15">
        <v>1.16</v>
      </c>
      <c r="I243" s="15">
        <v>0.01689</v>
      </c>
      <c r="J243" s="15">
        <v>0.23</v>
      </c>
      <c r="K243" s="15">
        <v>3.92</v>
      </c>
      <c r="L243" s="15">
        <v>0</v>
      </c>
      <c r="M243" s="15">
        <v>0</v>
      </c>
      <c r="N243" s="15">
        <v>0</v>
      </c>
      <c r="O243" s="15">
        <v>0</v>
      </c>
      <c r="P243" s="15">
        <v>0</v>
      </c>
      <c r="Q243" s="15">
        <v>0</v>
      </c>
      <c r="R243" s="15">
        <v>0</v>
      </c>
      <c r="S243" s="15">
        <v>0</v>
      </c>
      <c r="T243" s="15">
        <v>0</v>
      </c>
      <c r="U243" s="15">
        <v>0</v>
      </c>
      <c r="V243" s="15">
        <v>0</v>
      </c>
      <c r="W243" s="15">
        <v>0</v>
      </c>
      <c r="X243" s="15">
        <v>0</v>
      </c>
      <c r="Y243" s="15">
        <v>0</v>
      </c>
      <c r="Z243" s="15">
        <v>0</v>
      </c>
      <c r="AA243" s="15"/>
      <c r="AB243" s="15">
        <v>0</v>
      </c>
      <c r="AC243" s="15">
        <v>0</v>
      </c>
      <c r="AD243" s="15">
        <v>0</v>
      </c>
      <c r="AE243" s="15">
        <v>0</v>
      </c>
      <c r="AF243" s="15">
        <v>0</v>
      </c>
      <c r="AG243" s="15">
        <v>0</v>
      </c>
      <c r="AH243" s="15"/>
      <c r="AI243" s="15">
        <v>0</v>
      </c>
      <c r="AJ243" s="15"/>
      <c r="AK243" s="15">
        <v>0</v>
      </c>
      <c r="AL243" s="15"/>
      <c r="AM243" s="15">
        <v>0</v>
      </c>
      <c r="AN243" s="15"/>
      <c r="AO243" s="15">
        <v>0</v>
      </c>
      <c r="AP243" s="15"/>
      <c r="AQ243" s="15">
        <v>0</v>
      </c>
      <c r="AR243" s="15">
        <v>0</v>
      </c>
      <c r="AS243" s="15">
        <v>0</v>
      </c>
      <c r="AT243" s="15">
        <v>0</v>
      </c>
      <c r="AU243" s="15">
        <v>0</v>
      </c>
      <c r="AV243" s="15">
        <v>0</v>
      </c>
      <c r="AW243" s="15">
        <v>0</v>
      </c>
      <c r="AX243" s="15">
        <v>0</v>
      </c>
      <c r="AY243" s="15">
        <v>6</v>
      </c>
      <c r="AZ243" s="15">
        <v>5</v>
      </c>
      <c r="BA243" s="15">
        <v>4</v>
      </c>
      <c r="BB243" s="15">
        <v>0.8</v>
      </c>
      <c r="BC243" s="15">
        <v>0</v>
      </c>
      <c r="BD243" s="15">
        <v>0</v>
      </c>
      <c r="BE243" s="15">
        <v>0.02027</v>
      </c>
      <c r="BF243" s="15">
        <v>1</v>
      </c>
      <c r="BG243" s="15">
        <v>1</v>
      </c>
      <c r="BH243" s="15">
        <v>0</v>
      </c>
      <c r="BI243" s="15"/>
      <c r="BJ243" s="15">
        <v>0</v>
      </c>
      <c r="BK243" s="15">
        <v>0</v>
      </c>
      <c r="BL243" s="15">
        <v>0</v>
      </c>
      <c r="BM243" s="15">
        <v>0</v>
      </c>
      <c r="BN243" s="15"/>
      <c r="BO243" s="15"/>
      <c r="BP243" s="15">
        <v>0</v>
      </c>
      <c r="BQ243" s="15">
        <v>6</v>
      </c>
      <c r="BR243" s="15">
        <v>0</v>
      </c>
      <c r="BS243" s="15">
        <v>0</v>
      </c>
      <c r="BT243" s="15">
        <v>0</v>
      </c>
      <c r="BU243" s="15">
        <v>0</v>
      </c>
      <c r="BV243" s="15">
        <v>0</v>
      </c>
      <c r="BW243" s="15">
        <v>0</v>
      </c>
      <c r="BX243" s="15">
        <v>0</v>
      </c>
    </row>
    <row r="244" spans="1:76">
      <c r="A244" s="14" t="str">
        <f>VLOOKUP(C244,VLOOKUP!A:B,2,FALSE)</f>
        <v>如意盘香</v>
      </c>
      <c r="B244" s="16">
        <v>46054</v>
      </c>
      <c r="C244" s="17">
        <v>838711327669</v>
      </c>
      <c r="D244" s="15" t="s">
        <v>151</v>
      </c>
      <c r="E244" s="15" t="s">
        <v>158</v>
      </c>
      <c r="F244" s="15">
        <v>666</v>
      </c>
      <c r="G244" s="15">
        <v>39</v>
      </c>
      <c r="H244" s="15">
        <v>73.48</v>
      </c>
      <c r="I244" s="15">
        <v>0.05856</v>
      </c>
      <c r="J244" s="15">
        <v>1.88</v>
      </c>
      <c r="K244" s="15">
        <v>110.33</v>
      </c>
      <c r="L244" s="15">
        <v>0</v>
      </c>
      <c r="M244" s="15">
        <v>0</v>
      </c>
      <c r="N244" s="15">
        <v>0</v>
      </c>
      <c r="O244" s="15">
        <v>0</v>
      </c>
      <c r="P244" s="15">
        <v>0</v>
      </c>
      <c r="Q244" s="15">
        <v>0</v>
      </c>
      <c r="R244" s="15">
        <v>0</v>
      </c>
      <c r="S244" s="15">
        <v>0</v>
      </c>
      <c r="T244" s="15">
        <v>0</v>
      </c>
      <c r="U244" s="15">
        <v>0</v>
      </c>
      <c r="V244" s="15">
        <v>0</v>
      </c>
      <c r="W244" s="15">
        <v>0</v>
      </c>
      <c r="X244" s="15">
        <v>0</v>
      </c>
      <c r="Y244" s="15">
        <v>0</v>
      </c>
      <c r="Z244" s="15">
        <v>0</v>
      </c>
      <c r="AA244" s="15"/>
      <c r="AB244" s="15">
        <v>5</v>
      </c>
      <c r="AC244" s="15">
        <v>3</v>
      </c>
      <c r="AD244" s="15">
        <v>2</v>
      </c>
      <c r="AE244" s="15">
        <v>0.12821</v>
      </c>
      <c r="AF244" s="15">
        <v>0</v>
      </c>
      <c r="AG244" s="15">
        <v>1</v>
      </c>
      <c r="AH244" s="15">
        <v>73.48</v>
      </c>
      <c r="AI244" s="15">
        <v>6</v>
      </c>
      <c r="AJ244" s="15">
        <v>12.25</v>
      </c>
      <c r="AK244" s="15">
        <v>5</v>
      </c>
      <c r="AL244" s="15">
        <v>14.7</v>
      </c>
      <c r="AM244" s="15">
        <v>1</v>
      </c>
      <c r="AN244" s="15"/>
      <c r="AO244" s="15">
        <v>0</v>
      </c>
      <c r="AP244" s="15">
        <v>14.7</v>
      </c>
      <c r="AQ244" s="15">
        <v>0</v>
      </c>
      <c r="AR244" s="15">
        <v>0</v>
      </c>
      <c r="AS244" s="15">
        <v>0</v>
      </c>
      <c r="AT244" s="15">
        <v>0</v>
      </c>
      <c r="AU244" s="15">
        <v>4</v>
      </c>
      <c r="AV244" s="15">
        <v>0</v>
      </c>
      <c r="AW244" s="15">
        <v>0</v>
      </c>
      <c r="AX244" s="15">
        <v>1</v>
      </c>
      <c r="AY244" s="15">
        <v>135</v>
      </c>
      <c r="AZ244" s="15">
        <v>35</v>
      </c>
      <c r="BA244" s="15">
        <v>26</v>
      </c>
      <c r="BB244" s="15">
        <v>0.74286</v>
      </c>
      <c r="BC244" s="15">
        <v>0</v>
      </c>
      <c r="BD244" s="15">
        <v>0</v>
      </c>
      <c r="BE244" s="15">
        <v>0.2027</v>
      </c>
      <c r="BF244" s="15">
        <v>97</v>
      </c>
      <c r="BG244" s="15">
        <v>4</v>
      </c>
      <c r="BH244" s="15">
        <v>0</v>
      </c>
      <c r="BI244" s="15"/>
      <c r="BJ244" s="15">
        <v>0</v>
      </c>
      <c r="BK244" s="15">
        <v>0</v>
      </c>
      <c r="BL244" s="15">
        <v>0</v>
      </c>
      <c r="BM244" s="15">
        <v>0</v>
      </c>
      <c r="BN244" s="15"/>
      <c r="BO244" s="15"/>
      <c r="BP244" s="15">
        <v>1.12</v>
      </c>
      <c r="BQ244" s="15">
        <v>206</v>
      </c>
      <c r="BR244" s="15">
        <v>0</v>
      </c>
      <c r="BS244" s="15">
        <v>0</v>
      </c>
      <c r="BT244" s="15">
        <v>0</v>
      </c>
      <c r="BU244" s="15">
        <v>0</v>
      </c>
      <c r="BV244" s="15">
        <v>0</v>
      </c>
      <c r="BW244" s="15">
        <v>0</v>
      </c>
      <c r="BX244" s="15">
        <v>0</v>
      </c>
    </row>
    <row r="245" spans="1:76">
      <c r="A245" s="14" t="str">
        <f>VLOOKUP(C245,VLOOKUP!A:B,2,FALSE)</f>
        <v>福颜青</v>
      </c>
      <c r="B245" s="16">
        <v>46054</v>
      </c>
      <c r="C245" s="17">
        <v>833369552621</v>
      </c>
      <c r="D245" s="15" t="s">
        <v>151</v>
      </c>
      <c r="E245" s="15" t="s">
        <v>154</v>
      </c>
      <c r="F245" s="15">
        <v>2025</v>
      </c>
      <c r="G245" s="15">
        <v>24</v>
      </c>
      <c r="H245" s="15">
        <v>5.75</v>
      </c>
      <c r="I245" s="15">
        <v>0.01185</v>
      </c>
      <c r="J245" s="15">
        <v>0.24</v>
      </c>
      <c r="K245" s="15">
        <v>2.84</v>
      </c>
      <c r="L245" s="15">
        <v>0</v>
      </c>
      <c r="M245" s="15">
        <v>0</v>
      </c>
      <c r="N245" s="15">
        <v>0</v>
      </c>
      <c r="O245" s="15">
        <v>0</v>
      </c>
      <c r="P245" s="15">
        <v>0</v>
      </c>
      <c r="Q245" s="15">
        <v>0</v>
      </c>
      <c r="R245" s="15">
        <v>0</v>
      </c>
      <c r="S245" s="15">
        <v>4323.75</v>
      </c>
      <c r="T245" s="15">
        <v>4323.75</v>
      </c>
      <c r="U245" s="15">
        <v>2</v>
      </c>
      <c r="V245" s="15">
        <v>0</v>
      </c>
      <c r="W245" s="15">
        <v>2</v>
      </c>
      <c r="X245" s="15">
        <v>0.08333</v>
      </c>
      <c r="Y245" s="15">
        <v>751.96</v>
      </c>
      <c r="Z245" s="15">
        <v>751.96</v>
      </c>
      <c r="AA245" s="15">
        <v>2.88</v>
      </c>
      <c r="AB245" s="15">
        <v>3</v>
      </c>
      <c r="AC245" s="15">
        <v>0</v>
      </c>
      <c r="AD245" s="15">
        <v>3</v>
      </c>
      <c r="AE245" s="15">
        <v>0.125</v>
      </c>
      <c r="AF245" s="15">
        <v>0</v>
      </c>
      <c r="AG245" s="15">
        <v>0</v>
      </c>
      <c r="AH245" s="15"/>
      <c r="AI245" s="15">
        <v>3</v>
      </c>
      <c r="AJ245" s="15">
        <v>1.92</v>
      </c>
      <c r="AK245" s="15">
        <v>3</v>
      </c>
      <c r="AL245" s="15">
        <v>1.92</v>
      </c>
      <c r="AM245" s="15">
        <v>0</v>
      </c>
      <c r="AN245" s="15"/>
      <c r="AO245" s="15">
        <v>0</v>
      </c>
      <c r="AP245" s="15">
        <v>1.92</v>
      </c>
      <c r="AQ245" s="15">
        <v>4</v>
      </c>
      <c r="AR245" s="15">
        <v>5526</v>
      </c>
      <c r="AS245" s="15">
        <v>0</v>
      </c>
      <c r="AT245" s="15">
        <v>0</v>
      </c>
      <c r="AU245" s="15">
        <v>6</v>
      </c>
      <c r="AV245" s="15">
        <v>0</v>
      </c>
      <c r="AW245" s="15">
        <v>0</v>
      </c>
      <c r="AX245" s="15">
        <v>0</v>
      </c>
      <c r="AY245" s="15">
        <v>48</v>
      </c>
      <c r="AZ245" s="15">
        <v>35</v>
      </c>
      <c r="BA245" s="15">
        <v>33</v>
      </c>
      <c r="BB245" s="15">
        <v>0.94286</v>
      </c>
      <c r="BC245" s="15">
        <v>0</v>
      </c>
      <c r="BD245" s="15">
        <v>0</v>
      </c>
      <c r="BE245" s="15">
        <v>0.0237</v>
      </c>
      <c r="BF245" s="15">
        <v>10</v>
      </c>
      <c r="BG245" s="15">
        <v>1</v>
      </c>
      <c r="BH245" s="15">
        <v>1</v>
      </c>
      <c r="BI245" s="15">
        <v>1</v>
      </c>
      <c r="BJ245" s="15">
        <v>0</v>
      </c>
      <c r="BK245" s="15">
        <v>0</v>
      </c>
      <c r="BL245" s="15">
        <v>0</v>
      </c>
      <c r="BM245" s="15">
        <v>1</v>
      </c>
      <c r="BN245" s="15">
        <v>2</v>
      </c>
      <c r="BO245" s="15">
        <v>4323.75</v>
      </c>
      <c r="BP245" s="15">
        <v>0</v>
      </c>
      <c r="BQ245" s="15">
        <v>27</v>
      </c>
      <c r="BR245" s="15">
        <v>0</v>
      </c>
      <c r="BS245" s="15">
        <v>0</v>
      </c>
      <c r="BT245" s="15">
        <v>0</v>
      </c>
      <c r="BU245" s="15">
        <v>0</v>
      </c>
      <c r="BV245" s="15">
        <v>0</v>
      </c>
      <c r="BW245" s="15">
        <v>0</v>
      </c>
      <c r="BX245" s="15">
        <v>0</v>
      </c>
    </row>
    <row r="246" spans="1:76">
      <c r="A246" s="14" t="str">
        <f>VLOOKUP(C246,VLOOKUP!A:B,2,FALSE)</f>
        <v>奇楠手串</v>
      </c>
      <c r="B246" s="16">
        <v>46054</v>
      </c>
      <c r="C246" s="17">
        <v>833035288991</v>
      </c>
      <c r="D246" s="15" t="s">
        <v>151</v>
      </c>
      <c r="E246" s="15" t="s">
        <v>159</v>
      </c>
      <c r="F246" s="15">
        <v>687</v>
      </c>
      <c r="G246" s="15">
        <v>37</v>
      </c>
      <c r="H246" s="15">
        <v>11.85</v>
      </c>
      <c r="I246" s="15">
        <v>0.05386</v>
      </c>
      <c r="J246" s="15">
        <v>0.32</v>
      </c>
      <c r="K246" s="15">
        <v>17.25</v>
      </c>
      <c r="L246" s="15">
        <v>0</v>
      </c>
      <c r="M246" s="15">
        <v>0</v>
      </c>
      <c r="N246" s="15">
        <v>0</v>
      </c>
      <c r="O246" s="15">
        <v>0</v>
      </c>
      <c r="P246" s="15">
        <v>0</v>
      </c>
      <c r="Q246" s="15">
        <v>0</v>
      </c>
      <c r="R246" s="15">
        <v>0</v>
      </c>
      <c r="S246" s="15">
        <v>0</v>
      </c>
      <c r="T246" s="15">
        <v>0</v>
      </c>
      <c r="U246" s="15">
        <v>0</v>
      </c>
      <c r="V246" s="15">
        <v>0</v>
      </c>
      <c r="W246" s="15">
        <v>0</v>
      </c>
      <c r="X246" s="15">
        <v>0</v>
      </c>
      <c r="Y246" s="15">
        <v>0</v>
      </c>
      <c r="Z246" s="15">
        <v>0</v>
      </c>
      <c r="AA246" s="15"/>
      <c r="AB246" s="15">
        <v>0</v>
      </c>
      <c r="AC246" s="15">
        <v>0</v>
      </c>
      <c r="AD246" s="15">
        <v>0</v>
      </c>
      <c r="AE246" s="15">
        <v>0</v>
      </c>
      <c r="AF246" s="15">
        <v>0</v>
      </c>
      <c r="AG246" s="15">
        <v>0</v>
      </c>
      <c r="AH246" s="15"/>
      <c r="AI246" s="15">
        <v>0</v>
      </c>
      <c r="AJ246" s="15"/>
      <c r="AK246" s="15">
        <v>0</v>
      </c>
      <c r="AL246" s="15"/>
      <c r="AM246" s="15">
        <v>0</v>
      </c>
      <c r="AN246" s="15"/>
      <c r="AO246" s="15">
        <v>0</v>
      </c>
      <c r="AP246" s="15"/>
      <c r="AQ246" s="15">
        <v>0</v>
      </c>
      <c r="AR246" s="15">
        <v>0</v>
      </c>
      <c r="AS246" s="15">
        <v>0</v>
      </c>
      <c r="AT246" s="15">
        <v>0</v>
      </c>
      <c r="AU246" s="15">
        <v>0</v>
      </c>
      <c r="AV246" s="15">
        <v>0</v>
      </c>
      <c r="AW246" s="15">
        <v>0</v>
      </c>
      <c r="AX246" s="15">
        <v>0</v>
      </c>
      <c r="AY246" s="15">
        <v>69</v>
      </c>
      <c r="AZ246" s="15">
        <v>37</v>
      </c>
      <c r="BA246" s="15">
        <v>36</v>
      </c>
      <c r="BB246" s="15">
        <v>0.97297</v>
      </c>
      <c r="BC246" s="15">
        <v>0</v>
      </c>
      <c r="BD246" s="15">
        <v>0</v>
      </c>
      <c r="BE246" s="15">
        <v>0.10044</v>
      </c>
      <c r="BF246" s="15">
        <v>29</v>
      </c>
      <c r="BG246" s="15">
        <v>2</v>
      </c>
      <c r="BH246" s="15">
        <v>0</v>
      </c>
      <c r="BI246" s="15"/>
      <c r="BJ246" s="15">
        <v>0</v>
      </c>
      <c r="BK246" s="15">
        <v>0</v>
      </c>
      <c r="BL246" s="15">
        <v>0</v>
      </c>
      <c r="BM246" s="15">
        <v>0</v>
      </c>
      <c r="BN246" s="15"/>
      <c r="BO246" s="15"/>
      <c r="BP246" s="15">
        <v>0.06</v>
      </c>
      <c r="BQ246" s="15">
        <v>4</v>
      </c>
      <c r="BR246" s="15">
        <v>0</v>
      </c>
      <c r="BS246" s="15">
        <v>0</v>
      </c>
      <c r="BT246" s="15">
        <v>0</v>
      </c>
      <c r="BU246" s="15">
        <v>0</v>
      </c>
      <c r="BV246" s="15">
        <v>0</v>
      </c>
      <c r="BW246" s="15">
        <v>0</v>
      </c>
      <c r="BX246" s="15">
        <v>0</v>
      </c>
    </row>
    <row r="247" spans="1:76">
      <c r="A247" s="14" t="str">
        <f>VLOOKUP(C247,VLOOKUP!A:B,2,FALSE)</f>
        <v>四季线香</v>
      </c>
      <c r="B247" s="16">
        <v>46054</v>
      </c>
      <c r="C247" s="17">
        <v>742540384374</v>
      </c>
      <c r="D247" s="15" t="s">
        <v>151</v>
      </c>
      <c r="E247" s="15" t="s">
        <v>161</v>
      </c>
      <c r="F247" s="15">
        <v>244</v>
      </c>
      <c r="G247" s="15">
        <v>9</v>
      </c>
      <c r="H247" s="15">
        <v>19.59</v>
      </c>
      <c r="I247" s="15">
        <v>0.03689</v>
      </c>
      <c r="J247" s="15">
        <v>2.18</v>
      </c>
      <c r="K247" s="15">
        <v>80.29</v>
      </c>
      <c r="L247" s="15">
        <v>0</v>
      </c>
      <c r="M247" s="15">
        <v>0</v>
      </c>
      <c r="N247" s="15">
        <v>0</v>
      </c>
      <c r="O247" s="15">
        <v>0</v>
      </c>
      <c r="P247" s="15">
        <v>0</v>
      </c>
      <c r="Q247" s="15">
        <v>0</v>
      </c>
      <c r="R247" s="15">
        <v>0</v>
      </c>
      <c r="S247" s="15">
        <v>0</v>
      </c>
      <c r="T247" s="15">
        <v>0</v>
      </c>
      <c r="U247" s="15">
        <v>0</v>
      </c>
      <c r="V247" s="15">
        <v>0</v>
      </c>
      <c r="W247" s="15">
        <v>0</v>
      </c>
      <c r="X247" s="15">
        <v>0</v>
      </c>
      <c r="Y247" s="15">
        <v>0</v>
      </c>
      <c r="Z247" s="15">
        <v>0</v>
      </c>
      <c r="AA247" s="15"/>
      <c r="AB247" s="15">
        <v>0</v>
      </c>
      <c r="AC247" s="15">
        <v>0</v>
      </c>
      <c r="AD247" s="15">
        <v>0</v>
      </c>
      <c r="AE247" s="15">
        <v>0</v>
      </c>
      <c r="AF247" s="15">
        <v>0</v>
      </c>
      <c r="AG247" s="15">
        <v>0</v>
      </c>
      <c r="AH247" s="15"/>
      <c r="AI247" s="15">
        <v>0</v>
      </c>
      <c r="AJ247" s="15"/>
      <c r="AK247" s="15">
        <v>0</v>
      </c>
      <c r="AL247" s="15"/>
      <c r="AM247" s="15">
        <v>0</v>
      </c>
      <c r="AN247" s="15"/>
      <c r="AO247" s="15">
        <v>0</v>
      </c>
      <c r="AP247" s="15"/>
      <c r="AQ247" s="15">
        <v>0</v>
      </c>
      <c r="AR247" s="15">
        <v>0</v>
      </c>
      <c r="AS247" s="15">
        <v>0</v>
      </c>
      <c r="AT247" s="15">
        <v>0</v>
      </c>
      <c r="AU247" s="15">
        <v>0</v>
      </c>
      <c r="AV247" s="15">
        <v>0</v>
      </c>
      <c r="AW247" s="15">
        <v>0</v>
      </c>
      <c r="AX247" s="15">
        <v>0</v>
      </c>
      <c r="AY247" s="15">
        <v>27</v>
      </c>
      <c r="AZ247" s="15">
        <v>9</v>
      </c>
      <c r="BA247" s="15">
        <v>5</v>
      </c>
      <c r="BB247" s="15">
        <v>0.55556</v>
      </c>
      <c r="BC247" s="15">
        <v>0</v>
      </c>
      <c r="BD247" s="15">
        <v>0</v>
      </c>
      <c r="BE247" s="15">
        <v>0.11066</v>
      </c>
      <c r="BF247" s="15">
        <v>18</v>
      </c>
      <c r="BG247" s="15">
        <v>3</v>
      </c>
      <c r="BH247" s="15">
        <v>0</v>
      </c>
      <c r="BI247" s="15"/>
      <c r="BJ247" s="15">
        <v>0</v>
      </c>
      <c r="BK247" s="15">
        <v>0</v>
      </c>
      <c r="BL247" s="15">
        <v>0</v>
      </c>
      <c r="BM247" s="15">
        <v>0</v>
      </c>
      <c r="BN247" s="15"/>
      <c r="BO247" s="15"/>
      <c r="BP247" s="15">
        <v>0</v>
      </c>
      <c r="BQ247" s="15">
        <v>11</v>
      </c>
      <c r="BR247" s="15">
        <v>0</v>
      </c>
      <c r="BS247" s="15">
        <v>0</v>
      </c>
      <c r="BT247" s="15">
        <v>0</v>
      </c>
      <c r="BU247" s="15">
        <v>0</v>
      </c>
      <c r="BV247" s="15">
        <v>0</v>
      </c>
      <c r="BW247" s="15">
        <v>0</v>
      </c>
      <c r="BX247" s="15">
        <v>0</v>
      </c>
    </row>
    <row r="248" spans="1:76">
      <c r="A248" s="14" t="str">
        <f>VLOOKUP(C248,VLOOKUP!A:B,2,FALSE)</f>
        <v>车载香薰</v>
      </c>
      <c r="B248" s="16">
        <v>46054</v>
      </c>
      <c r="C248" s="17">
        <v>616090775596</v>
      </c>
      <c r="D248" s="15" t="s">
        <v>151</v>
      </c>
      <c r="E248" s="15" t="s">
        <v>162</v>
      </c>
      <c r="F248" s="15">
        <v>202</v>
      </c>
      <c r="G248" s="15">
        <v>13</v>
      </c>
      <c r="H248" s="15">
        <v>36.61</v>
      </c>
      <c r="I248" s="15">
        <v>0.06436</v>
      </c>
      <c r="J248" s="15">
        <v>2.82</v>
      </c>
      <c r="K248" s="15">
        <v>181.24</v>
      </c>
      <c r="L248" s="15">
        <v>0</v>
      </c>
      <c r="M248" s="15">
        <v>0</v>
      </c>
      <c r="N248" s="15">
        <v>0</v>
      </c>
      <c r="O248" s="15">
        <v>0</v>
      </c>
      <c r="P248" s="15">
        <v>0</v>
      </c>
      <c r="Q248" s="15">
        <v>0</v>
      </c>
      <c r="R248" s="15">
        <v>0</v>
      </c>
      <c r="S248" s="15">
        <v>0</v>
      </c>
      <c r="T248" s="15">
        <v>0</v>
      </c>
      <c r="U248" s="15">
        <v>0</v>
      </c>
      <c r="V248" s="15">
        <v>0</v>
      </c>
      <c r="W248" s="15">
        <v>0</v>
      </c>
      <c r="X248" s="15">
        <v>0</v>
      </c>
      <c r="Y248" s="15">
        <v>0</v>
      </c>
      <c r="Z248" s="15">
        <v>0</v>
      </c>
      <c r="AA248" s="15"/>
      <c r="AB248" s="15">
        <v>0</v>
      </c>
      <c r="AC248" s="15">
        <v>0</v>
      </c>
      <c r="AD248" s="15">
        <v>0</v>
      </c>
      <c r="AE248" s="15">
        <v>0</v>
      </c>
      <c r="AF248" s="15">
        <v>0</v>
      </c>
      <c r="AG248" s="15">
        <v>0</v>
      </c>
      <c r="AH248" s="15"/>
      <c r="AI248" s="15">
        <v>0</v>
      </c>
      <c r="AJ248" s="15"/>
      <c r="AK248" s="15">
        <v>0</v>
      </c>
      <c r="AL248" s="15"/>
      <c r="AM248" s="15">
        <v>0</v>
      </c>
      <c r="AN248" s="15"/>
      <c r="AO248" s="15">
        <v>0</v>
      </c>
      <c r="AP248" s="15"/>
      <c r="AQ248" s="15">
        <v>0</v>
      </c>
      <c r="AR248" s="15">
        <v>0</v>
      </c>
      <c r="AS248" s="15">
        <v>0</v>
      </c>
      <c r="AT248" s="15">
        <v>0</v>
      </c>
      <c r="AU248" s="15">
        <v>1</v>
      </c>
      <c r="AV248" s="15">
        <v>0</v>
      </c>
      <c r="AW248" s="15">
        <v>0</v>
      </c>
      <c r="AX248" s="15">
        <v>0</v>
      </c>
      <c r="AY248" s="15">
        <v>55</v>
      </c>
      <c r="AZ248" s="15">
        <v>13</v>
      </c>
      <c r="BA248" s="15">
        <v>6</v>
      </c>
      <c r="BB248" s="15">
        <v>0.46154</v>
      </c>
      <c r="BC248" s="15">
        <v>0</v>
      </c>
      <c r="BD248" s="15">
        <v>0</v>
      </c>
      <c r="BE248" s="15">
        <v>0.27228</v>
      </c>
      <c r="BF248" s="15">
        <v>40</v>
      </c>
      <c r="BG248" s="15">
        <v>4</v>
      </c>
      <c r="BH248" s="15">
        <v>0</v>
      </c>
      <c r="BI248" s="15"/>
      <c r="BJ248" s="15">
        <v>0</v>
      </c>
      <c r="BK248" s="15">
        <v>0</v>
      </c>
      <c r="BL248" s="15">
        <v>0</v>
      </c>
      <c r="BM248" s="15">
        <v>0</v>
      </c>
      <c r="BN248" s="15"/>
      <c r="BO248" s="15"/>
      <c r="BP248" s="15">
        <v>0.28</v>
      </c>
      <c r="BQ248" s="15">
        <v>34</v>
      </c>
      <c r="BR248" s="15">
        <v>0</v>
      </c>
      <c r="BS248" s="15">
        <v>0</v>
      </c>
      <c r="BT248" s="15">
        <v>0</v>
      </c>
      <c r="BU248" s="15">
        <v>0</v>
      </c>
      <c r="BV248" s="15">
        <v>0</v>
      </c>
      <c r="BW248" s="15">
        <v>0</v>
      </c>
      <c r="BX248" s="15">
        <v>0</v>
      </c>
    </row>
    <row r="249" spans="1:76">
      <c r="A249" s="14" t="str">
        <f>VLOOKUP(C249,VLOOKUP!A:B,2,FALSE)</f>
        <v>天官赐福</v>
      </c>
      <c r="B249" s="16">
        <v>46053</v>
      </c>
      <c r="C249" s="17">
        <v>972494676240</v>
      </c>
      <c r="D249" s="15" t="s">
        <v>151</v>
      </c>
      <c r="E249" s="15" t="s">
        <v>160</v>
      </c>
      <c r="F249" s="15">
        <v>92</v>
      </c>
      <c r="G249" s="15">
        <v>7</v>
      </c>
      <c r="H249" s="15">
        <v>2.14</v>
      </c>
      <c r="I249" s="15">
        <v>0.07609</v>
      </c>
      <c r="J249" s="15">
        <v>0.31</v>
      </c>
      <c r="K249" s="15">
        <v>23.26</v>
      </c>
      <c r="L249" s="15">
        <v>0</v>
      </c>
      <c r="M249" s="15">
        <v>0</v>
      </c>
      <c r="N249" s="15">
        <v>0</v>
      </c>
      <c r="O249" s="15">
        <v>0</v>
      </c>
      <c r="P249" s="15">
        <v>0</v>
      </c>
      <c r="Q249" s="15">
        <v>0</v>
      </c>
      <c r="R249" s="15">
        <v>0</v>
      </c>
      <c r="S249" s="15">
        <v>0</v>
      </c>
      <c r="T249" s="15">
        <v>0</v>
      </c>
      <c r="U249" s="15">
        <v>0</v>
      </c>
      <c r="V249" s="15">
        <v>0</v>
      </c>
      <c r="W249" s="15">
        <v>0</v>
      </c>
      <c r="X249" s="15">
        <v>0</v>
      </c>
      <c r="Y249" s="15">
        <v>0</v>
      </c>
      <c r="Z249" s="15">
        <v>0</v>
      </c>
      <c r="AA249" s="15"/>
      <c r="AB249" s="15">
        <v>0</v>
      </c>
      <c r="AC249" s="15">
        <v>0</v>
      </c>
      <c r="AD249" s="15">
        <v>0</v>
      </c>
      <c r="AE249" s="15">
        <v>0</v>
      </c>
      <c r="AF249" s="15">
        <v>0</v>
      </c>
      <c r="AG249" s="15">
        <v>0</v>
      </c>
      <c r="AH249" s="15"/>
      <c r="AI249" s="15">
        <v>0</v>
      </c>
      <c r="AJ249" s="15"/>
      <c r="AK249" s="15">
        <v>0</v>
      </c>
      <c r="AL249" s="15"/>
      <c r="AM249" s="15">
        <v>0</v>
      </c>
      <c r="AN249" s="15"/>
      <c r="AO249" s="15">
        <v>0</v>
      </c>
      <c r="AP249" s="15"/>
      <c r="AQ249" s="15">
        <v>0</v>
      </c>
      <c r="AR249" s="15">
        <v>0</v>
      </c>
      <c r="AS249" s="15">
        <v>0</v>
      </c>
      <c r="AT249" s="15">
        <v>0</v>
      </c>
      <c r="AU249" s="15">
        <v>0</v>
      </c>
      <c r="AV249" s="15">
        <v>0</v>
      </c>
      <c r="AW249" s="15">
        <v>0</v>
      </c>
      <c r="AX249" s="15">
        <v>0</v>
      </c>
      <c r="AY249" s="15">
        <v>8</v>
      </c>
      <c r="AZ249" s="15">
        <v>6</v>
      </c>
      <c r="BA249" s="15">
        <v>6</v>
      </c>
      <c r="BB249" s="15">
        <v>1</v>
      </c>
      <c r="BC249" s="15">
        <v>0</v>
      </c>
      <c r="BD249" s="15">
        <v>0</v>
      </c>
      <c r="BE249" s="15">
        <v>0.08696</v>
      </c>
      <c r="BF249" s="15">
        <v>2</v>
      </c>
      <c r="BG249" s="15">
        <v>1</v>
      </c>
      <c r="BH249" s="15">
        <v>0</v>
      </c>
      <c r="BI249" s="15"/>
      <c r="BJ249" s="15">
        <v>0</v>
      </c>
      <c r="BK249" s="15">
        <v>0</v>
      </c>
      <c r="BL249" s="15">
        <v>0</v>
      </c>
      <c r="BM249" s="15">
        <v>0</v>
      </c>
      <c r="BN249" s="15"/>
      <c r="BO249" s="15"/>
      <c r="BP249" s="15">
        <v>0</v>
      </c>
      <c r="BQ249" s="15">
        <v>2</v>
      </c>
      <c r="BR249" s="15">
        <v>0</v>
      </c>
      <c r="BS249" s="15">
        <v>0</v>
      </c>
      <c r="BT249" s="15">
        <v>0</v>
      </c>
      <c r="BU249" s="15">
        <v>0</v>
      </c>
      <c r="BV249" s="15">
        <v>0</v>
      </c>
      <c r="BW249" s="15">
        <v>0</v>
      </c>
      <c r="BX249" s="15">
        <v>0</v>
      </c>
    </row>
    <row r="250" spans="1:76">
      <c r="A250" s="14" t="str">
        <f>VLOOKUP(C250,VLOOKUP!A:B,2,FALSE)</f>
        <v>福到</v>
      </c>
      <c r="B250" s="16">
        <v>46053</v>
      </c>
      <c r="C250" s="17">
        <v>971856893567</v>
      </c>
      <c r="D250" s="15" t="s">
        <v>151</v>
      </c>
      <c r="E250" s="15" t="s">
        <v>152</v>
      </c>
      <c r="F250" s="15">
        <v>277</v>
      </c>
      <c r="G250" s="15">
        <v>6</v>
      </c>
      <c r="H250" s="15">
        <v>1.39</v>
      </c>
      <c r="I250" s="15">
        <v>0.02166</v>
      </c>
      <c r="J250" s="15">
        <v>0.23</v>
      </c>
      <c r="K250" s="15">
        <v>5.02</v>
      </c>
      <c r="L250" s="15">
        <v>0</v>
      </c>
      <c r="M250" s="15">
        <v>0</v>
      </c>
      <c r="N250" s="15">
        <v>0</v>
      </c>
      <c r="O250" s="15">
        <v>0</v>
      </c>
      <c r="P250" s="15">
        <v>0</v>
      </c>
      <c r="Q250" s="15">
        <v>0</v>
      </c>
      <c r="R250" s="15">
        <v>0</v>
      </c>
      <c r="S250" s="15">
        <v>0</v>
      </c>
      <c r="T250" s="15">
        <v>0</v>
      </c>
      <c r="U250" s="15">
        <v>0</v>
      </c>
      <c r="V250" s="15">
        <v>0</v>
      </c>
      <c r="W250" s="15">
        <v>0</v>
      </c>
      <c r="X250" s="15">
        <v>0</v>
      </c>
      <c r="Y250" s="15">
        <v>0</v>
      </c>
      <c r="Z250" s="15">
        <v>0</v>
      </c>
      <c r="AA250" s="15"/>
      <c r="AB250" s="15">
        <v>0</v>
      </c>
      <c r="AC250" s="15">
        <v>0</v>
      </c>
      <c r="AD250" s="15">
        <v>0</v>
      </c>
      <c r="AE250" s="15">
        <v>0</v>
      </c>
      <c r="AF250" s="15">
        <v>0</v>
      </c>
      <c r="AG250" s="15">
        <v>0</v>
      </c>
      <c r="AH250" s="15"/>
      <c r="AI250" s="15">
        <v>0</v>
      </c>
      <c r="AJ250" s="15"/>
      <c r="AK250" s="15">
        <v>0</v>
      </c>
      <c r="AL250" s="15"/>
      <c r="AM250" s="15">
        <v>0</v>
      </c>
      <c r="AN250" s="15"/>
      <c r="AO250" s="15">
        <v>0</v>
      </c>
      <c r="AP250" s="15"/>
      <c r="AQ250" s="15">
        <v>0</v>
      </c>
      <c r="AR250" s="15">
        <v>0</v>
      </c>
      <c r="AS250" s="15">
        <v>0</v>
      </c>
      <c r="AT250" s="15">
        <v>0</v>
      </c>
      <c r="AU250" s="15">
        <v>2</v>
      </c>
      <c r="AV250" s="15">
        <v>0</v>
      </c>
      <c r="AW250" s="15">
        <v>0</v>
      </c>
      <c r="AX250" s="15">
        <v>0</v>
      </c>
      <c r="AY250" s="15">
        <v>9</v>
      </c>
      <c r="AZ250" s="15">
        <v>5</v>
      </c>
      <c r="BA250" s="15">
        <v>5</v>
      </c>
      <c r="BB250" s="15">
        <v>1</v>
      </c>
      <c r="BC250" s="15">
        <v>0</v>
      </c>
      <c r="BD250" s="15">
        <v>0</v>
      </c>
      <c r="BE250" s="15">
        <v>0.03249</v>
      </c>
      <c r="BF250" s="15">
        <v>3</v>
      </c>
      <c r="BG250" s="15">
        <v>2</v>
      </c>
      <c r="BH250" s="15">
        <v>0</v>
      </c>
      <c r="BI250" s="15"/>
      <c r="BJ250" s="15">
        <v>0</v>
      </c>
      <c r="BK250" s="15">
        <v>0</v>
      </c>
      <c r="BL250" s="15">
        <v>0</v>
      </c>
      <c r="BM250" s="15">
        <v>0</v>
      </c>
      <c r="BN250" s="15"/>
      <c r="BO250" s="15"/>
      <c r="BP250" s="15">
        <v>0.06</v>
      </c>
      <c r="BQ250" s="15">
        <v>128</v>
      </c>
      <c r="BR250" s="15">
        <v>0</v>
      </c>
      <c r="BS250" s="15">
        <v>0</v>
      </c>
      <c r="BT250" s="15">
        <v>0</v>
      </c>
      <c r="BU250" s="15">
        <v>0</v>
      </c>
      <c r="BV250" s="15">
        <v>0</v>
      </c>
      <c r="BW250" s="15">
        <v>0</v>
      </c>
      <c r="BX250" s="15">
        <v>0</v>
      </c>
    </row>
    <row r="251" spans="1:76">
      <c r="A251" s="14" t="str">
        <f>VLOOKUP(C251,VLOOKUP!A:B,2,FALSE)</f>
        <v>如意盘香</v>
      </c>
      <c r="B251" s="16">
        <v>46053</v>
      </c>
      <c r="C251" s="17">
        <v>838711327669</v>
      </c>
      <c r="D251" s="15" t="s">
        <v>151</v>
      </c>
      <c r="E251" s="15" t="s">
        <v>158</v>
      </c>
      <c r="F251" s="15">
        <v>573</v>
      </c>
      <c r="G251" s="15">
        <v>25</v>
      </c>
      <c r="H251" s="15">
        <v>80</v>
      </c>
      <c r="I251" s="15">
        <v>0.04363</v>
      </c>
      <c r="J251" s="15">
        <v>3.2</v>
      </c>
      <c r="K251" s="15">
        <v>139.62</v>
      </c>
      <c r="L251" s="15">
        <v>0</v>
      </c>
      <c r="M251" s="15">
        <v>0</v>
      </c>
      <c r="N251" s="15">
        <v>0</v>
      </c>
      <c r="O251" s="15">
        <v>0</v>
      </c>
      <c r="P251" s="15">
        <v>0</v>
      </c>
      <c r="Q251" s="15">
        <v>0</v>
      </c>
      <c r="R251" s="15">
        <v>586.64</v>
      </c>
      <c r="S251" s="15">
        <v>0</v>
      </c>
      <c r="T251" s="15">
        <v>586.64</v>
      </c>
      <c r="U251" s="15">
        <v>1</v>
      </c>
      <c r="V251" s="15">
        <v>1</v>
      </c>
      <c r="W251" s="15">
        <v>0</v>
      </c>
      <c r="X251" s="15">
        <v>0.04</v>
      </c>
      <c r="Y251" s="15">
        <v>7.33</v>
      </c>
      <c r="Z251" s="15">
        <v>7.33</v>
      </c>
      <c r="AA251" s="15">
        <v>80</v>
      </c>
      <c r="AB251" s="15">
        <v>1</v>
      </c>
      <c r="AC251" s="15">
        <v>1</v>
      </c>
      <c r="AD251" s="15">
        <v>0</v>
      </c>
      <c r="AE251" s="15">
        <v>0.04</v>
      </c>
      <c r="AF251" s="15">
        <v>2</v>
      </c>
      <c r="AG251" s="15">
        <v>1</v>
      </c>
      <c r="AH251" s="15">
        <v>80</v>
      </c>
      <c r="AI251" s="15">
        <v>4</v>
      </c>
      <c r="AJ251" s="15">
        <v>20</v>
      </c>
      <c r="AK251" s="15">
        <v>3</v>
      </c>
      <c r="AL251" s="15">
        <v>26.67</v>
      </c>
      <c r="AM251" s="15">
        <v>3</v>
      </c>
      <c r="AN251" s="15">
        <v>40</v>
      </c>
      <c r="AO251" s="15">
        <v>0.08</v>
      </c>
      <c r="AP251" s="15">
        <v>80</v>
      </c>
      <c r="AQ251" s="15">
        <v>1</v>
      </c>
      <c r="AR251" s="15">
        <v>678</v>
      </c>
      <c r="AS251" s="15">
        <v>1</v>
      </c>
      <c r="AT251" s="15">
        <v>1</v>
      </c>
      <c r="AU251" s="15">
        <v>0</v>
      </c>
      <c r="AV251" s="15">
        <v>0</v>
      </c>
      <c r="AW251" s="15">
        <v>0</v>
      </c>
      <c r="AX251" s="15">
        <v>0</v>
      </c>
      <c r="AY251" s="15">
        <v>84</v>
      </c>
      <c r="AZ251" s="15">
        <v>23</v>
      </c>
      <c r="BA251" s="15">
        <v>15</v>
      </c>
      <c r="BB251" s="15">
        <v>0.65217</v>
      </c>
      <c r="BC251" s="15">
        <v>0</v>
      </c>
      <c r="BD251" s="15">
        <v>0</v>
      </c>
      <c r="BE251" s="15">
        <v>0.1466</v>
      </c>
      <c r="BF251" s="15">
        <v>52</v>
      </c>
      <c r="BG251" s="15">
        <v>4</v>
      </c>
      <c r="BH251" s="15">
        <v>1</v>
      </c>
      <c r="BI251" s="15">
        <v>1</v>
      </c>
      <c r="BJ251" s="15">
        <v>0</v>
      </c>
      <c r="BK251" s="15">
        <v>0</v>
      </c>
      <c r="BL251" s="15">
        <v>0</v>
      </c>
      <c r="BM251" s="15">
        <v>1</v>
      </c>
      <c r="BN251" s="15">
        <v>1</v>
      </c>
      <c r="BO251" s="15">
        <v>586.64</v>
      </c>
      <c r="BP251" s="15">
        <v>71.09</v>
      </c>
      <c r="BQ251" s="15">
        <v>1059</v>
      </c>
      <c r="BR251" s="15">
        <v>0</v>
      </c>
      <c r="BS251" s="15">
        <v>0</v>
      </c>
      <c r="BT251" s="15">
        <v>0</v>
      </c>
      <c r="BU251" s="15">
        <v>0</v>
      </c>
      <c r="BV251" s="15">
        <v>0</v>
      </c>
      <c r="BW251" s="15">
        <v>0</v>
      </c>
      <c r="BX251" s="15">
        <v>0</v>
      </c>
    </row>
    <row r="252" spans="1:76">
      <c r="A252" s="14" t="str">
        <f>VLOOKUP(C252,VLOOKUP!A:B,2,FALSE)</f>
        <v>福颜青</v>
      </c>
      <c r="B252" s="16">
        <v>46053</v>
      </c>
      <c r="C252" s="17">
        <v>833369552621</v>
      </c>
      <c r="D252" s="15" t="s">
        <v>151</v>
      </c>
      <c r="E252" s="15" t="s">
        <v>154</v>
      </c>
      <c r="F252" s="15">
        <v>1629</v>
      </c>
      <c r="G252" s="15">
        <v>10</v>
      </c>
      <c r="H252" s="15">
        <v>2.19</v>
      </c>
      <c r="I252" s="15">
        <v>0.00614</v>
      </c>
      <c r="J252" s="15">
        <v>0.22</v>
      </c>
      <c r="K252" s="15">
        <v>1.34</v>
      </c>
      <c r="L252" s="15">
        <v>0</v>
      </c>
      <c r="M252" s="15">
        <v>0</v>
      </c>
      <c r="N252" s="15">
        <v>0</v>
      </c>
      <c r="O252" s="15">
        <v>0</v>
      </c>
      <c r="P252" s="15">
        <v>0</v>
      </c>
      <c r="Q252" s="15">
        <v>0</v>
      </c>
      <c r="R252" s="15">
        <v>0</v>
      </c>
      <c r="S252" s="15">
        <v>0</v>
      </c>
      <c r="T252" s="15">
        <v>0</v>
      </c>
      <c r="U252" s="15">
        <v>0</v>
      </c>
      <c r="V252" s="15">
        <v>0</v>
      </c>
      <c r="W252" s="15">
        <v>0</v>
      </c>
      <c r="X252" s="15">
        <v>0</v>
      </c>
      <c r="Y252" s="15">
        <v>0</v>
      </c>
      <c r="Z252" s="15">
        <v>0</v>
      </c>
      <c r="AA252" s="15"/>
      <c r="AB252" s="15">
        <v>0</v>
      </c>
      <c r="AC252" s="15">
        <v>0</v>
      </c>
      <c r="AD252" s="15">
        <v>0</v>
      </c>
      <c r="AE252" s="15">
        <v>0</v>
      </c>
      <c r="AF252" s="15">
        <v>0</v>
      </c>
      <c r="AG252" s="15">
        <v>0</v>
      </c>
      <c r="AH252" s="15"/>
      <c r="AI252" s="15">
        <v>0</v>
      </c>
      <c r="AJ252" s="15"/>
      <c r="AK252" s="15">
        <v>0</v>
      </c>
      <c r="AL252" s="15"/>
      <c r="AM252" s="15">
        <v>0</v>
      </c>
      <c r="AN252" s="15"/>
      <c r="AO252" s="15">
        <v>0</v>
      </c>
      <c r="AP252" s="15"/>
      <c r="AQ252" s="15">
        <v>0</v>
      </c>
      <c r="AR252" s="15">
        <v>0</v>
      </c>
      <c r="AS252" s="15">
        <v>0</v>
      </c>
      <c r="AT252" s="15">
        <v>0</v>
      </c>
      <c r="AU252" s="15">
        <v>1</v>
      </c>
      <c r="AV252" s="15">
        <v>0</v>
      </c>
      <c r="AW252" s="15">
        <v>0</v>
      </c>
      <c r="AX252" s="15">
        <v>0</v>
      </c>
      <c r="AY252" s="15">
        <v>47</v>
      </c>
      <c r="AZ252" s="15">
        <v>24</v>
      </c>
      <c r="BA252" s="15">
        <v>22</v>
      </c>
      <c r="BB252" s="15">
        <v>0.91667</v>
      </c>
      <c r="BC252" s="15">
        <v>0</v>
      </c>
      <c r="BD252" s="15">
        <v>0</v>
      </c>
      <c r="BE252" s="15">
        <v>0.02885</v>
      </c>
      <c r="BF252" s="15">
        <v>21</v>
      </c>
      <c r="BG252" s="15">
        <v>2</v>
      </c>
      <c r="BH252" s="15">
        <v>0</v>
      </c>
      <c r="BI252" s="15"/>
      <c r="BJ252" s="15">
        <v>0</v>
      </c>
      <c r="BK252" s="15">
        <v>0</v>
      </c>
      <c r="BL252" s="15">
        <v>0</v>
      </c>
      <c r="BM252" s="15">
        <v>0</v>
      </c>
      <c r="BN252" s="15"/>
      <c r="BO252" s="15"/>
      <c r="BP252" s="15">
        <v>0</v>
      </c>
      <c r="BQ252" s="15">
        <v>11</v>
      </c>
      <c r="BR252" s="15">
        <v>0</v>
      </c>
      <c r="BS252" s="15">
        <v>0</v>
      </c>
      <c r="BT252" s="15">
        <v>0</v>
      </c>
      <c r="BU252" s="15">
        <v>0</v>
      </c>
      <c r="BV252" s="15">
        <v>0</v>
      </c>
      <c r="BW252" s="15">
        <v>0</v>
      </c>
      <c r="BX252" s="15">
        <v>0</v>
      </c>
    </row>
    <row r="253" spans="1:76">
      <c r="A253" s="14" t="str">
        <f>VLOOKUP(C253,VLOOKUP!A:B,2,FALSE)</f>
        <v>奇楠手串</v>
      </c>
      <c r="B253" s="16">
        <v>46053</v>
      </c>
      <c r="C253" s="17">
        <v>833035288991</v>
      </c>
      <c r="D253" s="15" t="s">
        <v>151</v>
      </c>
      <c r="E253" s="15" t="s">
        <v>159</v>
      </c>
      <c r="F253" s="15">
        <v>651</v>
      </c>
      <c r="G253" s="15">
        <v>21</v>
      </c>
      <c r="H253" s="15">
        <v>6.33</v>
      </c>
      <c r="I253" s="15">
        <v>0.03226</v>
      </c>
      <c r="J253" s="15">
        <v>0.3</v>
      </c>
      <c r="K253" s="15">
        <v>9.72</v>
      </c>
      <c r="L253" s="15">
        <v>0</v>
      </c>
      <c r="M253" s="15">
        <v>0</v>
      </c>
      <c r="N253" s="15">
        <v>0</v>
      </c>
      <c r="O253" s="15">
        <v>0</v>
      </c>
      <c r="P253" s="15">
        <v>0</v>
      </c>
      <c r="Q253" s="15">
        <v>0</v>
      </c>
      <c r="R253" s="15">
        <v>0</v>
      </c>
      <c r="S253" s="15">
        <v>0</v>
      </c>
      <c r="T253" s="15">
        <v>0</v>
      </c>
      <c r="U253" s="15">
        <v>0</v>
      </c>
      <c r="V253" s="15">
        <v>0</v>
      </c>
      <c r="W253" s="15">
        <v>0</v>
      </c>
      <c r="X253" s="15">
        <v>0</v>
      </c>
      <c r="Y253" s="15">
        <v>0</v>
      </c>
      <c r="Z253" s="15">
        <v>0</v>
      </c>
      <c r="AA253" s="15"/>
      <c r="AB253" s="15">
        <v>0</v>
      </c>
      <c r="AC253" s="15">
        <v>0</v>
      </c>
      <c r="AD253" s="15">
        <v>0</v>
      </c>
      <c r="AE253" s="15">
        <v>0</v>
      </c>
      <c r="AF253" s="15">
        <v>0</v>
      </c>
      <c r="AG253" s="15">
        <v>1</v>
      </c>
      <c r="AH253" s="15">
        <v>6.33</v>
      </c>
      <c r="AI253" s="15">
        <v>1</v>
      </c>
      <c r="AJ253" s="15">
        <v>6.33</v>
      </c>
      <c r="AK253" s="15">
        <v>0</v>
      </c>
      <c r="AL253" s="15"/>
      <c r="AM253" s="15">
        <v>1</v>
      </c>
      <c r="AN253" s="15"/>
      <c r="AO253" s="15">
        <v>0</v>
      </c>
      <c r="AP253" s="15"/>
      <c r="AQ253" s="15">
        <v>0</v>
      </c>
      <c r="AR253" s="15">
        <v>0</v>
      </c>
      <c r="AS253" s="15">
        <v>0</v>
      </c>
      <c r="AT253" s="15">
        <v>0</v>
      </c>
      <c r="AU253" s="15">
        <v>0</v>
      </c>
      <c r="AV253" s="15">
        <v>0</v>
      </c>
      <c r="AW253" s="15">
        <v>0</v>
      </c>
      <c r="AX253" s="15">
        <v>1</v>
      </c>
      <c r="AY253" s="15">
        <v>172</v>
      </c>
      <c r="AZ253" s="15">
        <v>20</v>
      </c>
      <c r="BA253" s="15">
        <v>18</v>
      </c>
      <c r="BB253" s="15">
        <v>0.9</v>
      </c>
      <c r="BC253" s="15">
        <v>0</v>
      </c>
      <c r="BD253" s="15">
        <v>0</v>
      </c>
      <c r="BE253" s="15">
        <v>0.26421</v>
      </c>
      <c r="BF253" s="15">
        <v>151</v>
      </c>
      <c r="BG253" s="15">
        <v>9</v>
      </c>
      <c r="BH253" s="15">
        <v>0</v>
      </c>
      <c r="BI253" s="15"/>
      <c r="BJ253" s="15">
        <v>0</v>
      </c>
      <c r="BK253" s="15">
        <v>0</v>
      </c>
      <c r="BL253" s="15">
        <v>0</v>
      </c>
      <c r="BM253" s="15">
        <v>0</v>
      </c>
      <c r="BN253" s="15"/>
      <c r="BO253" s="15"/>
      <c r="BP253" s="15">
        <v>0.11</v>
      </c>
      <c r="BQ253" s="15">
        <v>29</v>
      </c>
      <c r="BR253" s="15">
        <v>0</v>
      </c>
      <c r="BS253" s="15">
        <v>0</v>
      </c>
      <c r="BT253" s="15">
        <v>0</v>
      </c>
      <c r="BU253" s="15">
        <v>0</v>
      </c>
      <c r="BV253" s="15">
        <v>0</v>
      </c>
      <c r="BW253" s="15">
        <v>0</v>
      </c>
      <c r="BX253" s="15">
        <v>0</v>
      </c>
    </row>
    <row r="254" spans="1:76">
      <c r="A254" s="14" t="str">
        <f>VLOOKUP(C254,VLOOKUP!A:B,2,FALSE)</f>
        <v>四季线香</v>
      </c>
      <c r="B254" s="16">
        <v>46053</v>
      </c>
      <c r="C254" s="17">
        <v>742540384374</v>
      </c>
      <c r="D254" s="15" t="s">
        <v>151</v>
      </c>
      <c r="E254" s="15" t="s">
        <v>161</v>
      </c>
      <c r="F254" s="15">
        <v>163</v>
      </c>
      <c r="G254" s="15">
        <v>11</v>
      </c>
      <c r="H254" s="15">
        <v>16.95</v>
      </c>
      <c r="I254" s="15">
        <v>0.06748</v>
      </c>
      <c r="J254" s="15">
        <v>1.54</v>
      </c>
      <c r="K254" s="15">
        <v>103.99</v>
      </c>
      <c r="L254" s="15">
        <v>0</v>
      </c>
      <c r="M254" s="15">
        <v>0</v>
      </c>
      <c r="N254" s="15">
        <v>0</v>
      </c>
      <c r="O254" s="15">
        <v>0</v>
      </c>
      <c r="P254" s="15">
        <v>0</v>
      </c>
      <c r="Q254" s="15">
        <v>0</v>
      </c>
      <c r="R254" s="15">
        <v>0</v>
      </c>
      <c r="S254" s="15">
        <v>0</v>
      </c>
      <c r="T254" s="15">
        <v>0</v>
      </c>
      <c r="U254" s="15">
        <v>0</v>
      </c>
      <c r="V254" s="15">
        <v>0</v>
      </c>
      <c r="W254" s="15">
        <v>0</v>
      </c>
      <c r="X254" s="15">
        <v>0</v>
      </c>
      <c r="Y254" s="15">
        <v>0</v>
      </c>
      <c r="Z254" s="15">
        <v>0</v>
      </c>
      <c r="AA254" s="15"/>
      <c r="AB254" s="15">
        <v>1</v>
      </c>
      <c r="AC254" s="15">
        <v>1</v>
      </c>
      <c r="AD254" s="15">
        <v>0</v>
      </c>
      <c r="AE254" s="15">
        <v>0.09091</v>
      </c>
      <c r="AF254" s="15">
        <v>0</v>
      </c>
      <c r="AG254" s="15">
        <v>0</v>
      </c>
      <c r="AH254" s="15"/>
      <c r="AI254" s="15">
        <v>1</v>
      </c>
      <c r="AJ254" s="15">
        <v>16.95</v>
      </c>
      <c r="AK254" s="15">
        <v>1</v>
      </c>
      <c r="AL254" s="15">
        <v>16.95</v>
      </c>
      <c r="AM254" s="15">
        <v>0</v>
      </c>
      <c r="AN254" s="15"/>
      <c r="AO254" s="15">
        <v>0</v>
      </c>
      <c r="AP254" s="15">
        <v>16.95</v>
      </c>
      <c r="AQ254" s="15">
        <v>0</v>
      </c>
      <c r="AR254" s="15">
        <v>0</v>
      </c>
      <c r="AS254" s="15">
        <v>0</v>
      </c>
      <c r="AT254" s="15">
        <v>0</v>
      </c>
      <c r="AU254" s="15">
        <v>2</v>
      </c>
      <c r="AV254" s="15">
        <v>0</v>
      </c>
      <c r="AW254" s="15">
        <v>0</v>
      </c>
      <c r="AX254" s="15">
        <v>1</v>
      </c>
      <c r="AY254" s="15">
        <v>60</v>
      </c>
      <c r="AZ254" s="15">
        <v>10</v>
      </c>
      <c r="BA254" s="15">
        <v>6</v>
      </c>
      <c r="BB254" s="15">
        <v>0.6</v>
      </c>
      <c r="BC254" s="15">
        <v>0</v>
      </c>
      <c r="BD254" s="15">
        <v>0</v>
      </c>
      <c r="BE254" s="15">
        <v>0.3681</v>
      </c>
      <c r="BF254" s="15">
        <v>49</v>
      </c>
      <c r="BG254" s="15">
        <v>6</v>
      </c>
      <c r="BH254" s="15">
        <v>0</v>
      </c>
      <c r="BI254" s="15"/>
      <c r="BJ254" s="15">
        <v>0</v>
      </c>
      <c r="BK254" s="15">
        <v>0</v>
      </c>
      <c r="BL254" s="15">
        <v>0</v>
      </c>
      <c r="BM254" s="15">
        <v>0</v>
      </c>
      <c r="BN254" s="15"/>
      <c r="BO254" s="15"/>
      <c r="BP254" s="15">
        <v>1.6</v>
      </c>
      <c r="BQ254" s="15">
        <v>10</v>
      </c>
      <c r="BR254" s="15">
        <v>0</v>
      </c>
      <c r="BS254" s="15">
        <v>0</v>
      </c>
      <c r="BT254" s="15">
        <v>0</v>
      </c>
      <c r="BU254" s="15">
        <v>0</v>
      </c>
      <c r="BV254" s="15">
        <v>0</v>
      </c>
      <c r="BW254" s="15">
        <v>0</v>
      </c>
      <c r="BX254" s="15">
        <v>0</v>
      </c>
    </row>
    <row r="255" spans="1:76">
      <c r="A255" s="14" t="str">
        <f>VLOOKUP(C255,VLOOKUP!A:B,2,FALSE)</f>
        <v>车载香薰</v>
      </c>
      <c r="B255" s="16">
        <v>46053</v>
      </c>
      <c r="C255" s="17">
        <v>616090775596</v>
      </c>
      <c r="D255" s="15" t="s">
        <v>151</v>
      </c>
      <c r="E255" s="15" t="s">
        <v>162</v>
      </c>
      <c r="F255" s="15">
        <v>555</v>
      </c>
      <c r="G255" s="15">
        <v>14</v>
      </c>
      <c r="H255" s="15">
        <v>34.52</v>
      </c>
      <c r="I255" s="15">
        <v>0.02523</v>
      </c>
      <c r="J255" s="15">
        <v>2.47</v>
      </c>
      <c r="K255" s="15">
        <v>62.2</v>
      </c>
      <c r="L255" s="15">
        <v>0</v>
      </c>
      <c r="M255" s="15">
        <v>0</v>
      </c>
      <c r="N255" s="15">
        <v>0</v>
      </c>
      <c r="O255" s="15">
        <v>0</v>
      </c>
      <c r="P255" s="15">
        <v>0</v>
      </c>
      <c r="Q255" s="15">
        <v>0</v>
      </c>
      <c r="R255" s="15">
        <v>0</v>
      </c>
      <c r="S255" s="15">
        <v>0</v>
      </c>
      <c r="T255" s="15">
        <v>0</v>
      </c>
      <c r="U255" s="15">
        <v>0</v>
      </c>
      <c r="V255" s="15">
        <v>0</v>
      </c>
      <c r="W255" s="15">
        <v>0</v>
      </c>
      <c r="X255" s="15">
        <v>0</v>
      </c>
      <c r="Y255" s="15">
        <v>0</v>
      </c>
      <c r="Z255" s="15">
        <v>0</v>
      </c>
      <c r="AA255" s="15"/>
      <c r="AB255" s="15">
        <v>1</v>
      </c>
      <c r="AC255" s="15">
        <v>1</v>
      </c>
      <c r="AD255" s="15">
        <v>0</v>
      </c>
      <c r="AE255" s="15">
        <v>0.07143</v>
      </c>
      <c r="AF255" s="15">
        <v>0</v>
      </c>
      <c r="AG255" s="15">
        <v>0</v>
      </c>
      <c r="AH255" s="15"/>
      <c r="AI255" s="15">
        <v>1</v>
      </c>
      <c r="AJ255" s="15">
        <v>34.52</v>
      </c>
      <c r="AK255" s="15">
        <v>1</v>
      </c>
      <c r="AL255" s="15">
        <v>34.52</v>
      </c>
      <c r="AM255" s="15">
        <v>0</v>
      </c>
      <c r="AN255" s="15"/>
      <c r="AO255" s="15">
        <v>0</v>
      </c>
      <c r="AP255" s="15">
        <v>34.52</v>
      </c>
      <c r="AQ255" s="15">
        <v>0</v>
      </c>
      <c r="AR255" s="15">
        <v>0</v>
      </c>
      <c r="AS255" s="15">
        <v>0</v>
      </c>
      <c r="AT255" s="15">
        <v>0</v>
      </c>
      <c r="AU255" s="15">
        <v>0</v>
      </c>
      <c r="AV255" s="15">
        <v>0</v>
      </c>
      <c r="AW255" s="15">
        <v>0</v>
      </c>
      <c r="AX255" s="15">
        <v>1</v>
      </c>
      <c r="AY255" s="15">
        <v>37</v>
      </c>
      <c r="AZ255" s="15">
        <v>14</v>
      </c>
      <c r="BA255" s="15">
        <v>11</v>
      </c>
      <c r="BB255" s="15">
        <v>0.78571</v>
      </c>
      <c r="BC255" s="15">
        <v>0</v>
      </c>
      <c r="BD255" s="15">
        <v>0</v>
      </c>
      <c r="BE255" s="15">
        <v>0.06667</v>
      </c>
      <c r="BF255" s="15">
        <v>23</v>
      </c>
      <c r="BG255" s="15">
        <v>3</v>
      </c>
      <c r="BH255" s="15">
        <v>0</v>
      </c>
      <c r="BI255" s="15"/>
      <c r="BJ255" s="15">
        <v>0</v>
      </c>
      <c r="BK255" s="15">
        <v>0</v>
      </c>
      <c r="BL255" s="15">
        <v>0</v>
      </c>
      <c r="BM255" s="15">
        <v>0</v>
      </c>
      <c r="BN255" s="15"/>
      <c r="BO255" s="15"/>
      <c r="BP255" s="15">
        <v>0</v>
      </c>
      <c r="BQ255" s="15">
        <v>38</v>
      </c>
      <c r="BR255" s="15">
        <v>0</v>
      </c>
      <c r="BS255" s="15">
        <v>0</v>
      </c>
      <c r="BT255" s="15">
        <v>0</v>
      </c>
      <c r="BU255" s="15">
        <v>0</v>
      </c>
      <c r="BV255" s="15">
        <v>0</v>
      </c>
      <c r="BW255" s="15">
        <v>0</v>
      </c>
      <c r="BX255" s="15">
        <v>0</v>
      </c>
    </row>
    <row r="256" spans="1:76">
      <c r="A256" s="14" t="str">
        <f>VLOOKUP(C256,VLOOKUP!A:B,2,FALSE)</f>
        <v>天官赐福</v>
      </c>
      <c r="B256" s="16">
        <v>46052</v>
      </c>
      <c r="C256" s="17">
        <v>972494676240</v>
      </c>
      <c r="D256" s="15" t="s">
        <v>151</v>
      </c>
      <c r="E256" s="15" t="s">
        <v>160</v>
      </c>
      <c r="F256" s="15">
        <v>122</v>
      </c>
      <c r="G256" s="15">
        <v>7</v>
      </c>
      <c r="H256" s="15">
        <v>2.04</v>
      </c>
      <c r="I256" s="15">
        <v>0.05738</v>
      </c>
      <c r="J256" s="15">
        <v>0.29</v>
      </c>
      <c r="K256" s="15">
        <v>16.72</v>
      </c>
      <c r="L256" s="15">
        <v>0</v>
      </c>
      <c r="M256" s="15">
        <v>0</v>
      </c>
      <c r="N256" s="15">
        <v>0</v>
      </c>
      <c r="O256" s="15">
        <v>0</v>
      </c>
      <c r="P256" s="15">
        <v>0</v>
      </c>
      <c r="Q256" s="15">
        <v>0</v>
      </c>
      <c r="R256" s="15">
        <v>0</v>
      </c>
      <c r="S256" s="15">
        <v>0</v>
      </c>
      <c r="T256" s="15">
        <v>0</v>
      </c>
      <c r="U256" s="15">
        <v>0</v>
      </c>
      <c r="V256" s="15">
        <v>0</v>
      </c>
      <c r="W256" s="15">
        <v>0</v>
      </c>
      <c r="X256" s="15">
        <v>0</v>
      </c>
      <c r="Y256" s="15">
        <v>0</v>
      </c>
      <c r="Z256" s="15">
        <v>0</v>
      </c>
      <c r="AA256" s="15"/>
      <c r="AB256" s="15">
        <v>1</v>
      </c>
      <c r="AC256" s="15">
        <v>0</v>
      </c>
      <c r="AD256" s="15">
        <v>1</v>
      </c>
      <c r="AE256" s="15">
        <v>0.14286</v>
      </c>
      <c r="AF256" s="15">
        <v>0</v>
      </c>
      <c r="AG256" s="15">
        <v>0</v>
      </c>
      <c r="AH256" s="15"/>
      <c r="AI256" s="15">
        <v>1</v>
      </c>
      <c r="AJ256" s="15">
        <v>2.04</v>
      </c>
      <c r="AK256" s="15">
        <v>1</v>
      </c>
      <c r="AL256" s="15">
        <v>2.04</v>
      </c>
      <c r="AM256" s="15">
        <v>0</v>
      </c>
      <c r="AN256" s="15"/>
      <c r="AO256" s="15">
        <v>0</v>
      </c>
      <c r="AP256" s="15">
        <v>2.04</v>
      </c>
      <c r="AQ256" s="15">
        <v>0</v>
      </c>
      <c r="AR256" s="15">
        <v>0</v>
      </c>
      <c r="AS256" s="15">
        <v>0</v>
      </c>
      <c r="AT256" s="15">
        <v>0</v>
      </c>
      <c r="AU256" s="15">
        <v>0</v>
      </c>
      <c r="AV256" s="15">
        <v>0</v>
      </c>
      <c r="AW256" s="15">
        <v>0</v>
      </c>
      <c r="AX256" s="15">
        <v>0</v>
      </c>
      <c r="AY256" s="15">
        <v>42</v>
      </c>
      <c r="AZ256" s="15">
        <v>6</v>
      </c>
      <c r="BA256" s="15">
        <v>6</v>
      </c>
      <c r="BB256" s="15">
        <v>1</v>
      </c>
      <c r="BC256" s="15">
        <v>0</v>
      </c>
      <c r="BD256" s="15">
        <v>0</v>
      </c>
      <c r="BE256" s="15">
        <v>0.34426</v>
      </c>
      <c r="BF256" s="15">
        <v>35</v>
      </c>
      <c r="BG256" s="15">
        <v>7</v>
      </c>
      <c r="BH256" s="15">
        <v>0</v>
      </c>
      <c r="BI256" s="15"/>
      <c r="BJ256" s="15">
        <v>0</v>
      </c>
      <c r="BK256" s="15">
        <v>0</v>
      </c>
      <c r="BL256" s="15">
        <v>0</v>
      </c>
      <c r="BM256" s="15">
        <v>0</v>
      </c>
      <c r="BN256" s="15"/>
      <c r="BO256" s="15"/>
      <c r="BP256" s="15">
        <v>0</v>
      </c>
      <c r="BQ256" s="15">
        <v>6</v>
      </c>
      <c r="BR256" s="15">
        <v>0</v>
      </c>
      <c r="BS256" s="15">
        <v>0</v>
      </c>
      <c r="BT256" s="15">
        <v>0</v>
      </c>
      <c r="BU256" s="15">
        <v>0</v>
      </c>
      <c r="BV256" s="15">
        <v>0</v>
      </c>
      <c r="BW256" s="15">
        <v>0</v>
      </c>
      <c r="BX256" s="15">
        <v>0</v>
      </c>
    </row>
    <row r="257" spans="1:76">
      <c r="A257" s="14" t="str">
        <f>VLOOKUP(C257,VLOOKUP!A:B,2,FALSE)</f>
        <v>福到</v>
      </c>
      <c r="B257" s="16">
        <v>46052</v>
      </c>
      <c r="C257" s="17">
        <v>971856893567</v>
      </c>
      <c r="D257" s="15" t="s">
        <v>151</v>
      </c>
      <c r="E257" s="15" t="s">
        <v>152</v>
      </c>
      <c r="F257" s="15">
        <v>225</v>
      </c>
      <c r="G257" s="15">
        <v>7</v>
      </c>
      <c r="H257" s="15">
        <v>1.49</v>
      </c>
      <c r="I257" s="15">
        <v>0.03111</v>
      </c>
      <c r="J257" s="15">
        <v>0.21</v>
      </c>
      <c r="K257" s="15">
        <v>6.62</v>
      </c>
      <c r="L257" s="15">
        <v>0</v>
      </c>
      <c r="M257" s="15">
        <v>0</v>
      </c>
      <c r="N257" s="15">
        <v>0</v>
      </c>
      <c r="O257" s="15">
        <v>0</v>
      </c>
      <c r="P257" s="15">
        <v>0</v>
      </c>
      <c r="Q257" s="15">
        <v>0</v>
      </c>
      <c r="R257" s="15">
        <v>0</v>
      </c>
      <c r="S257" s="15">
        <v>0</v>
      </c>
      <c r="T257" s="15">
        <v>0</v>
      </c>
      <c r="U257" s="15">
        <v>0</v>
      </c>
      <c r="V257" s="15">
        <v>0</v>
      </c>
      <c r="W257" s="15">
        <v>0</v>
      </c>
      <c r="X257" s="15">
        <v>0</v>
      </c>
      <c r="Y257" s="15">
        <v>0</v>
      </c>
      <c r="Z257" s="15">
        <v>0</v>
      </c>
      <c r="AA257" s="15"/>
      <c r="AB257" s="15">
        <v>2</v>
      </c>
      <c r="AC257" s="15">
        <v>1</v>
      </c>
      <c r="AD257" s="15">
        <v>1</v>
      </c>
      <c r="AE257" s="15">
        <v>0.28571</v>
      </c>
      <c r="AF257" s="15">
        <v>0</v>
      </c>
      <c r="AG257" s="15">
        <v>0</v>
      </c>
      <c r="AH257" s="15"/>
      <c r="AI257" s="15">
        <v>2</v>
      </c>
      <c r="AJ257" s="15">
        <v>0.75</v>
      </c>
      <c r="AK257" s="15">
        <v>2</v>
      </c>
      <c r="AL257" s="15">
        <v>0.75</v>
      </c>
      <c r="AM257" s="15">
        <v>0</v>
      </c>
      <c r="AN257" s="15"/>
      <c r="AO257" s="15">
        <v>0</v>
      </c>
      <c r="AP257" s="15">
        <v>0.75</v>
      </c>
      <c r="AQ257" s="15">
        <v>0</v>
      </c>
      <c r="AR257" s="15">
        <v>0</v>
      </c>
      <c r="AS257" s="15">
        <v>0</v>
      </c>
      <c r="AT257" s="15">
        <v>0</v>
      </c>
      <c r="AU257" s="15">
        <v>0</v>
      </c>
      <c r="AV257" s="15">
        <v>0</v>
      </c>
      <c r="AW257" s="15">
        <v>0</v>
      </c>
      <c r="AX257" s="15">
        <v>0</v>
      </c>
      <c r="AY257" s="15">
        <v>9</v>
      </c>
      <c r="AZ257" s="15">
        <v>6</v>
      </c>
      <c r="BA257" s="15">
        <v>6</v>
      </c>
      <c r="BB257" s="15">
        <v>1</v>
      </c>
      <c r="BC257" s="15">
        <v>0</v>
      </c>
      <c r="BD257" s="15">
        <v>0</v>
      </c>
      <c r="BE257" s="15">
        <v>0.04</v>
      </c>
      <c r="BF257" s="15">
        <v>2</v>
      </c>
      <c r="BG257" s="15">
        <v>2</v>
      </c>
      <c r="BH257" s="15">
        <v>0</v>
      </c>
      <c r="BI257" s="15"/>
      <c r="BJ257" s="15">
        <v>0</v>
      </c>
      <c r="BK257" s="15">
        <v>0</v>
      </c>
      <c r="BL257" s="15">
        <v>0</v>
      </c>
      <c r="BM257" s="15">
        <v>0</v>
      </c>
      <c r="BN257" s="15"/>
      <c r="BO257" s="15"/>
      <c r="BP257" s="15">
        <v>0</v>
      </c>
      <c r="BQ257" s="15">
        <v>122</v>
      </c>
      <c r="BR257" s="15">
        <v>0</v>
      </c>
      <c r="BS257" s="15">
        <v>0</v>
      </c>
      <c r="BT257" s="15">
        <v>0</v>
      </c>
      <c r="BU257" s="15">
        <v>0</v>
      </c>
      <c r="BV257" s="15">
        <v>0</v>
      </c>
      <c r="BW257" s="15">
        <v>0</v>
      </c>
      <c r="BX257" s="15">
        <v>0</v>
      </c>
    </row>
    <row r="258" spans="1:76">
      <c r="A258" s="14" t="str">
        <f>VLOOKUP(C258,VLOOKUP!A:B,2,FALSE)</f>
        <v>如意盘香</v>
      </c>
      <c r="B258" s="16">
        <v>46052</v>
      </c>
      <c r="C258" s="17">
        <v>838711327669</v>
      </c>
      <c r="D258" s="15" t="s">
        <v>151</v>
      </c>
      <c r="E258" s="15" t="s">
        <v>158</v>
      </c>
      <c r="F258" s="15">
        <v>677</v>
      </c>
      <c r="G258" s="15">
        <v>40</v>
      </c>
      <c r="H258" s="15">
        <v>71.9</v>
      </c>
      <c r="I258" s="15">
        <v>0.05908</v>
      </c>
      <c r="J258" s="15">
        <v>1.8</v>
      </c>
      <c r="K258" s="15">
        <v>106.2</v>
      </c>
      <c r="L258" s="15">
        <v>0</v>
      </c>
      <c r="M258" s="15">
        <v>0</v>
      </c>
      <c r="N258" s="15">
        <v>0</v>
      </c>
      <c r="O258" s="15">
        <v>0</v>
      </c>
      <c r="P258" s="15">
        <v>0</v>
      </c>
      <c r="Q258" s="15">
        <v>0</v>
      </c>
      <c r="R258" s="15">
        <v>0</v>
      </c>
      <c r="S258" s="15">
        <v>0</v>
      </c>
      <c r="T258" s="15">
        <v>0</v>
      </c>
      <c r="U258" s="15">
        <v>0</v>
      </c>
      <c r="V258" s="15">
        <v>0</v>
      </c>
      <c r="W258" s="15">
        <v>0</v>
      </c>
      <c r="X258" s="15">
        <v>0</v>
      </c>
      <c r="Y258" s="15">
        <v>0</v>
      </c>
      <c r="Z258" s="15">
        <v>0</v>
      </c>
      <c r="AA258" s="15"/>
      <c r="AB258" s="15">
        <v>2</v>
      </c>
      <c r="AC258" s="15">
        <v>1</v>
      </c>
      <c r="AD258" s="15">
        <v>1</v>
      </c>
      <c r="AE258" s="15">
        <v>0.05</v>
      </c>
      <c r="AF258" s="15">
        <v>1</v>
      </c>
      <c r="AG258" s="15">
        <v>0</v>
      </c>
      <c r="AH258" s="15"/>
      <c r="AI258" s="15">
        <v>3</v>
      </c>
      <c r="AJ258" s="15">
        <v>23.97</v>
      </c>
      <c r="AK258" s="15">
        <v>3</v>
      </c>
      <c r="AL258" s="15">
        <v>23.97</v>
      </c>
      <c r="AM258" s="15">
        <v>1</v>
      </c>
      <c r="AN258" s="15">
        <v>71.9</v>
      </c>
      <c r="AO258" s="15">
        <v>0.025</v>
      </c>
      <c r="AP258" s="15">
        <v>35.95</v>
      </c>
      <c r="AQ258" s="15">
        <v>2</v>
      </c>
      <c r="AR258" s="15">
        <v>148.9</v>
      </c>
      <c r="AS258" s="15">
        <v>0</v>
      </c>
      <c r="AT258" s="15">
        <v>1</v>
      </c>
      <c r="AU258" s="15">
        <v>3</v>
      </c>
      <c r="AV258" s="15">
        <v>0</v>
      </c>
      <c r="AW258" s="15">
        <v>0</v>
      </c>
      <c r="AX258" s="15">
        <v>2</v>
      </c>
      <c r="AY258" s="15">
        <v>231</v>
      </c>
      <c r="AZ258" s="15">
        <v>35</v>
      </c>
      <c r="BA258" s="15">
        <v>26</v>
      </c>
      <c r="BB258" s="15">
        <v>0.74286</v>
      </c>
      <c r="BC258" s="15">
        <v>0</v>
      </c>
      <c r="BD258" s="15">
        <v>0</v>
      </c>
      <c r="BE258" s="15">
        <v>0.34121</v>
      </c>
      <c r="BF258" s="15">
        <v>186</v>
      </c>
      <c r="BG258" s="15">
        <v>7</v>
      </c>
      <c r="BH258" s="15">
        <v>0</v>
      </c>
      <c r="BI258" s="15"/>
      <c r="BJ258" s="15">
        <v>0</v>
      </c>
      <c r="BK258" s="15">
        <v>0</v>
      </c>
      <c r="BL258" s="15">
        <v>0</v>
      </c>
      <c r="BM258" s="15">
        <v>0</v>
      </c>
      <c r="BN258" s="15"/>
      <c r="BO258" s="15"/>
      <c r="BP258" s="15">
        <v>2.83</v>
      </c>
      <c r="BQ258" s="15">
        <v>186</v>
      </c>
      <c r="BR258" s="15">
        <v>0</v>
      </c>
      <c r="BS258" s="15">
        <v>0</v>
      </c>
      <c r="BT258" s="15">
        <v>0</v>
      </c>
      <c r="BU258" s="15">
        <v>0</v>
      </c>
      <c r="BV258" s="15">
        <v>0</v>
      </c>
      <c r="BW258" s="15">
        <v>0</v>
      </c>
      <c r="BX258" s="15">
        <v>0</v>
      </c>
    </row>
    <row r="259" spans="1:76">
      <c r="A259" s="14" t="str">
        <f>VLOOKUP(C259,VLOOKUP!A:B,2,FALSE)</f>
        <v>福颜青</v>
      </c>
      <c r="B259" s="16">
        <v>46052</v>
      </c>
      <c r="C259" s="17">
        <v>833369552621</v>
      </c>
      <c r="D259" s="15" t="s">
        <v>151</v>
      </c>
      <c r="E259" s="15" t="s">
        <v>154</v>
      </c>
      <c r="F259" s="15">
        <v>1364</v>
      </c>
      <c r="G259" s="15">
        <v>14</v>
      </c>
      <c r="H259" s="15">
        <v>3.36</v>
      </c>
      <c r="I259" s="15">
        <v>0.01026</v>
      </c>
      <c r="J259" s="15">
        <v>0.24</v>
      </c>
      <c r="K259" s="15">
        <v>2.46</v>
      </c>
      <c r="L259" s="15">
        <v>0</v>
      </c>
      <c r="M259" s="15">
        <v>0</v>
      </c>
      <c r="N259" s="15">
        <v>0</v>
      </c>
      <c r="O259" s="15">
        <v>0</v>
      </c>
      <c r="P259" s="15">
        <v>0</v>
      </c>
      <c r="Q259" s="15">
        <v>0</v>
      </c>
      <c r="R259" s="15">
        <v>0</v>
      </c>
      <c r="S259" s="15">
        <v>0</v>
      </c>
      <c r="T259" s="15">
        <v>0</v>
      </c>
      <c r="U259" s="15">
        <v>0</v>
      </c>
      <c r="V259" s="15">
        <v>0</v>
      </c>
      <c r="W259" s="15">
        <v>0</v>
      </c>
      <c r="X259" s="15">
        <v>0</v>
      </c>
      <c r="Y259" s="15">
        <v>0</v>
      </c>
      <c r="Z259" s="15">
        <v>0</v>
      </c>
      <c r="AA259" s="15"/>
      <c r="AB259" s="15">
        <v>0</v>
      </c>
      <c r="AC259" s="15">
        <v>0</v>
      </c>
      <c r="AD259" s="15">
        <v>0</v>
      </c>
      <c r="AE259" s="15">
        <v>0</v>
      </c>
      <c r="AF259" s="15">
        <v>0</v>
      </c>
      <c r="AG259" s="15">
        <v>0</v>
      </c>
      <c r="AH259" s="15"/>
      <c r="AI259" s="15">
        <v>0</v>
      </c>
      <c r="AJ259" s="15"/>
      <c r="AK259" s="15">
        <v>0</v>
      </c>
      <c r="AL259" s="15"/>
      <c r="AM259" s="15">
        <v>0</v>
      </c>
      <c r="AN259" s="15"/>
      <c r="AO259" s="15">
        <v>0</v>
      </c>
      <c r="AP259" s="15"/>
      <c r="AQ259" s="15">
        <v>0</v>
      </c>
      <c r="AR259" s="15">
        <v>0</v>
      </c>
      <c r="AS259" s="15">
        <v>0</v>
      </c>
      <c r="AT259" s="15">
        <v>0</v>
      </c>
      <c r="AU259" s="15">
        <v>2</v>
      </c>
      <c r="AV259" s="15">
        <v>0</v>
      </c>
      <c r="AW259" s="15">
        <v>0</v>
      </c>
      <c r="AX259" s="15">
        <v>0</v>
      </c>
      <c r="AY259" s="15">
        <v>30</v>
      </c>
      <c r="AZ259" s="15">
        <v>28</v>
      </c>
      <c r="BA259" s="15">
        <v>27</v>
      </c>
      <c r="BB259" s="15">
        <v>0.96429</v>
      </c>
      <c r="BC259" s="15">
        <v>0</v>
      </c>
      <c r="BD259" s="15">
        <v>0</v>
      </c>
      <c r="BE259" s="15">
        <v>0.02199</v>
      </c>
      <c r="BF259" s="15">
        <v>2</v>
      </c>
      <c r="BG259" s="15">
        <v>1</v>
      </c>
      <c r="BH259" s="15">
        <v>0</v>
      </c>
      <c r="BI259" s="15"/>
      <c r="BJ259" s="15">
        <v>0</v>
      </c>
      <c r="BK259" s="15">
        <v>0</v>
      </c>
      <c r="BL259" s="15">
        <v>0</v>
      </c>
      <c r="BM259" s="15">
        <v>0</v>
      </c>
      <c r="BN259" s="15"/>
      <c r="BO259" s="15"/>
      <c r="BP259" s="15">
        <v>0</v>
      </c>
      <c r="BQ259" s="15">
        <v>0</v>
      </c>
      <c r="BR259" s="15">
        <v>0</v>
      </c>
      <c r="BS259" s="15">
        <v>0</v>
      </c>
      <c r="BT259" s="15">
        <v>0</v>
      </c>
      <c r="BU259" s="15">
        <v>0</v>
      </c>
      <c r="BV259" s="15">
        <v>0</v>
      </c>
      <c r="BW259" s="15">
        <v>0</v>
      </c>
      <c r="BX259" s="15">
        <v>0</v>
      </c>
    </row>
    <row r="260" spans="1:76">
      <c r="A260" s="14" t="str">
        <f>VLOOKUP(C260,VLOOKUP!A:B,2,FALSE)</f>
        <v>奇楠手串</v>
      </c>
      <c r="B260" s="16">
        <v>46052</v>
      </c>
      <c r="C260" s="17">
        <v>833035288991</v>
      </c>
      <c r="D260" s="15" t="s">
        <v>151</v>
      </c>
      <c r="E260" s="15" t="s">
        <v>159</v>
      </c>
      <c r="F260" s="15">
        <v>1176</v>
      </c>
      <c r="G260" s="15">
        <v>43</v>
      </c>
      <c r="H260" s="15">
        <v>12.92</v>
      </c>
      <c r="I260" s="15">
        <v>0.03656</v>
      </c>
      <c r="J260" s="15">
        <v>0.3</v>
      </c>
      <c r="K260" s="15">
        <v>10.99</v>
      </c>
      <c r="L260" s="15">
        <v>0</v>
      </c>
      <c r="M260" s="15">
        <v>0</v>
      </c>
      <c r="N260" s="15">
        <v>0</v>
      </c>
      <c r="O260" s="15">
        <v>0</v>
      </c>
      <c r="P260" s="15">
        <v>0</v>
      </c>
      <c r="Q260" s="15">
        <v>0</v>
      </c>
      <c r="R260" s="15">
        <v>0</v>
      </c>
      <c r="S260" s="15">
        <v>0</v>
      </c>
      <c r="T260" s="15">
        <v>0</v>
      </c>
      <c r="U260" s="15">
        <v>0</v>
      </c>
      <c r="V260" s="15">
        <v>0</v>
      </c>
      <c r="W260" s="15">
        <v>0</v>
      </c>
      <c r="X260" s="15">
        <v>0</v>
      </c>
      <c r="Y260" s="15">
        <v>0</v>
      </c>
      <c r="Z260" s="15">
        <v>0</v>
      </c>
      <c r="AA260" s="15"/>
      <c r="AB260" s="15">
        <v>0</v>
      </c>
      <c r="AC260" s="15">
        <v>0</v>
      </c>
      <c r="AD260" s="15">
        <v>0</v>
      </c>
      <c r="AE260" s="15">
        <v>0</v>
      </c>
      <c r="AF260" s="15">
        <v>0</v>
      </c>
      <c r="AG260" s="15">
        <v>0</v>
      </c>
      <c r="AH260" s="15"/>
      <c r="AI260" s="15">
        <v>0</v>
      </c>
      <c r="AJ260" s="15"/>
      <c r="AK260" s="15">
        <v>0</v>
      </c>
      <c r="AL260" s="15"/>
      <c r="AM260" s="15">
        <v>0</v>
      </c>
      <c r="AN260" s="15"/>
      <c r="AO260" s="15">
        <v>0</v>
      </c>
      <c r="AP260" s="15"/>
      <c r="AQ260" s="15">
        <v>0</v>
      </c>
      <c r="AR260" s="15">
        <v>0</v>
      </c>
      <c r="AS260" s="15">
        <v>0</v>
      </c>
      <c r="AT260" s="15">
        <v>0</v>
      </c>
      <c r="AU260" s="15">
        <v>2</v>
      </c>
      <c r="AV260" s="15">
        <v>0</v>
      </c>
      <c r="AW260" s="15">
        <v>0</v>
      </c>
      <c r="AX260" s="15">
        <v>0</v>
      </c>
      <c r="AY260" s="15">
        <v>72</v>
      </c>
      <c r="AZ260" s="15">
        <v>41</v>
      </c>
      <c r="BA260" s="15">
        <v>40</v>
      </c>
      <c r="BB260" s="15">
        <v>0.97561</v>
      </c>
      <c r="BC260" s="15">
        <v>0</v>
      </c>
      <c r="BD260" s="15">
        <v>0</v>
      </c>
      <c r="BE260" s="15">
        <v>0.06122</v>
      </c>
      <c r="BF260" s="15">
        <v>28</v>
      </c>
      <c r="BG260" s="15">
        <v>2</v>
      </c>
      <c r="BH260" s="15">
        <v>0</v>
      </c>
      <c r="BI260" s="15"/>
      <c r="BJ260" s="15">
        <v>0</v>
      </c>
      <c r="BK260" s="15">
        <v>0</v>
      </c>
      <c r="BL260" s="15">
        <v>0</v>
      </c>
      <c r="BM260" s="15">
        <v>0</v>
      </c>
      <c r="BN260" s="15"/>
      <c r="BO260" s="15"/>
      <c r="BP260" s="15">
        <v>2.74</v>
      </c>
      <c r="BQ260" s="15">
        <v>5</v>
      </c>
      <c r="BR260" s="15">
        <v>0</v>
      </c>
      <c r="BS260" s="15">
        <v>0</v>
      </c>
      <c r="BT260" s="15">
        <v>0</v>
      </c>
      <c r="BU260" s="15">
        <v>0</v>
      </c>
      <c r="BV260" s="15">
        <v>0</v>
      </c>
      <c r="BW260" s="15">
        <v>0</v>
      </c>
      <c r="BX260" s="15">
        <v>0</v>
      </c>
    </row>
    <row r="261" spans="1:76">
      <c r="A261" s="14" t="str">
        <f>VLOOKUP(C261,VLOOKUP!A:B,2,FALSE)</f>
        <v>四季线香</v>
      </c>
      <c r="B261" s="16">
        <v>46052</v>
      </c>
      <c r="C261" s="17">
        <v>742540384374</v>
      </c>
      <c r="D261" s="15" t="s">
        <v>151</v>
      </c>
      <c r="E261" s="15" t="s">
        <v>161</v>
      </c>
      <c r="F261" s="15">
        <v>128</v>
      </c>
      <c r="G261" s="15">
        <v>19</v>
      </c>
      <c r="H261" s="15">
        <v>21.19</v>
      </c>
      <c r="I261" s="15">
        <v>0.14844</v>
      </c>
      <c r="J261" s="15">
        <v>1.12</v>
      </c>
      <c r="K261" s="15">
        <v>165.55</v>
      </c>
      <c r="L261" s="15">
        <v>0</v>
      </c>
      <c r="M261" s="15">
        <v>0</v>
      </c>
      <c r="N261" s="15">
        <v>0</v>
      </c>
      <c r="O261" s="15">
        <v>0</v>
      </c>
      <c r="P261" s="15">
        <v>0</v>
      </c>
      <c r="Q261" s="15">
        <v>0</v>
      </c>
      <c r="R261" s="15">
        <v>0</v>
      </c>
      <c r="S261" s="15">
        <v>0</v>
      </c>
      <c r="T261" s="15">
        <v>0</v>
      </c>
      <c r="U261" s="15">
        <v>0</v>
      </c>
      <c r="V261" s="15">
        <v>0</v>
      </c>
      <c r="W261" s="15">
        <v>0</v>
      </c>
      <c r="X261" s="15">
        <v>0</v>
      </c>
      <c r="Y261" s="15">
        <v>0</v>
      </c>
      <c r="Z261" s="15">
        <v>0</v>
      </c>
      <c r="AA261" s="15"/>
      <c r="AB261" s="15">
        <v>1</v>
      </c>
      <c r="AC261" s="15">
        <v>1</v>
      </c>
      <c r="AD261" s="15">
        <v>0</v>
      </c>
      <c r="AE261" s="15">
        <v>0.05263</v>
      </c>
      <c r="AF261" s="15">
        <v>1</v>
      </c>
      <c r="AG261" s="15">
        <v>0</v>
      </c>
      <c r="AH261" s="15"/>
      <c r="AI261" s="15">
        <v>2</v>
      </c>
      <c r="AJ261" s="15">
        <v>10.6</v>
      </c>
      <c r="AK261" s="15">
        <v>2</v>
      </c>
      <c r="AL261" s="15">
        <v>10.6</v>
      </c>
      <c r="AM261" s="15">
        <v>1</v>
      </c>
      <c r="AN261" s="15">
        <v>21.19</v>
      </c>
      <c r="AO261" s="15">
        <v>0.05263</v>
      </c>
      <c r="AP261" s="15">
        <v>21.19</v>
      </c>
      <c r="AQ261" s="15">
        <v>2</v>
      </c>
      <c r="AR261" s="15">
        <v>148.9</v>
      </c>
      <c r="AS261" s="15">
        <v>0</v>
      </c>
      <c r="AT261" s="15">
        <v>1</v>
      </c>
      <c r="AU261" s="15">
        <v>1</v>
      </c>
      <c r="AV261" s="15">
        <v>0</v>
      </c>
      <c r="AW261" s="15">
        <v>0</v>
      </c>
      <c r="AX261" s="15">
        <v>1</v>
      </c>
      <c r="AY261" s="15">
        <v>81</v>
      </c>
      <c r="AZ261" s="15">
        <v>14</v>
      </c>
      <c r="BA261" s="15">
        <v>12</v>
      </c>
      <c r="BB261" s="15">
        <v>0.85714</v>
      </c>
      <c r="BC261" s="15">
        <v>0</v>
      </c>
      <c r="BD261" s="15">
        <v>0</v>
      </c>
      <c r="BE261" s="15">
        <v>0.63281</v>
      </c>
      <c r="BF261" s="15">
        <v>61</v>
      </c>
      <c r="BG261" s="15">
        <v>6</v>
      </c>
      <c r="BH261" s="15">
        <v>0</v>
      </c>
      <c r="BI261" s="15"/>
      <c r="BJ261" s="15">
        <v>0</v>
      </c>
      <c r="BK261" s="15">
        <v>0</v>
      </c>
      <c r="BL261" s="15">
        <v>0</v>
      </c>
      <c r="BM261" s="15">
        <v>0</v>
      </c>
      <c r="BN261" s="15"/>
      <c r="BO261" s="15"/>
      <c r="BP261" s="15">
        <v>1.27</v>
      </c>
      <c r="BQ261" s="15">
        <v>12</v>
      </c>
      <c r="BR261" s="15">
        <v>0</v>
      </c>
      <c r="BS261" s="15">
        <v>0</v>
      </c>
      <c r="BT261" s="15">
        <v>0</v>
      </c>
      <c r="BU261" s="15">
        <v>0</v>
      </c>
      <c r="BV261" s="15">
        <v>0</v>
      </c>
      <c r="BW261" s="15">
        <v>0</v>
      </c>
      <c r="BX261" s="15">
        <v>0</v>
      </c>
    </row>
    <row r="262" spans="1:76">
      <c r="A262" s="14" t="str">
        <f>VLOOKUP(C262,VLOOKUP!A:B,2,FALSE)</f>
        <v>车载香薰</v>
      </c>
      <c r="B262" s="16">
        <v>46052</v>
      </c>
      <c r="C262" s="17">
        <v>616090775596</v>
      </c>
      <c r="D262" s="15" t="s">
        <v>151</v>
      </c>
      <c r="E262" s="15" t="s">
        <v>162</v>
      </c>
      <c r="F262" s="15">
        <v>103</v>
      </c>
      <c r="G262" s="15">
        <v>8</v>
      </c>
      <c r="H262" s="15">
        <v>42.23</v>
      </c>
      <c r="I262" s="15">
        <v>0.07767</v>
      </c>
      <c r="J262" s="15">
        <v>5.28</v>
      </c>
      <c r="K262" s="15">
        <v>410</v>
      </c>
      <c r="L262" s="15">
        <v>0</v>
      </c>
      <c r="M262" s="15">
        <v>0</v>
      </c>
      <c r="N262" s="15">
        <v>0</v>
      </c>
      <c r="O262" s="15">
        <v>0</v>
      </c>
      <c r="P262" s="15">
        <v>0</v>
      </c>
      <c r="Q262" s="15">
        <v>0</v>
      </c>
      <c r="R262" s="15">
        <v>0</v>
      </c>
      <c r="S262" s="15">
        <v>0</v>
      </c>
      <c r="T262" s="15">
        <v>0</v>
      </c>
      <c r="U262" s="15">
        <v>0</v>
      </c>
      <c r="V262" s="15">
        <v>0</v>
      </c>
      <c r="W262" s="15">
        <v>0</v>
      </c>
      <c r="X262" s="15">
        <v>0</v>
      </c>
      <c r="Y262" s="15">
        <v>0</v>
      </c>
      <c r="Z262" s="15">
        <v>0</v>
      </c>
      <c r="AA262" s="15"/>
      <c r="AB262" s="15">
        <v>3</v>
      </c>
      <c r="AC262" s="15">
        <v>0</v>
      </c>
      <c r="AD262" s="15">
        <v>3</v>
      </c>
      <c r="AE262" s="15">
        <v>0.375</v>
      </c>
      <c r="AF262" s="15">
        <v>1</v>
      </c>
      <c r="AG262" s="15">
        <v>0</v>
      </c>
      <c r="AH262" s="15"/>
      <c r="AI262" s="15">
        <v>4</v>
      </c>
      <c r="AJ262" s="15">
        <v>10.56</v>
      </c>
      <c r="AK262" s="15">
        <v>4</v>
      </c>
      <c r="AL262" s="15">
        <v>10.56</v>
      </c>
      <c r="AM262" s="15">
        <v>1</v>
      </c>
      <c r="AN262" s="15">
        <v>42.23</v>
      </c>
      <c r="AO262" s="15">
        <v>0.125</v>
      </c>
      <c r="AP262" s="15">
        <v>14.08</v>
      </c>
      <c r="AQ262" s="15">
        <v>0</v>
      </c>
      <c r="AR262" s="15">
        <v>0</v>
      </c>
      <c r="AS262" s="15">
        <v>0</v>
      </c>
      <c r="AT262" s="15">
        <v>1</v>
      </c>
      <c r="AU262" s="15">
        <v>2</v>
      </c>
      <c r="AV262" s="15">
        <v>0</v>
      </c>
      <c r="AW262" s="15">
        <v>0</v>
      </c>
      <c r="AX262" s="15">
        <v>0</v>
      </c>
      <c r="AY262" s="15">
        <v>42</v>
      </c>
      <c r="AZ262" s="15">
        <v>7</v>
      </c>
      <c r="BA262" s="15">
        <v>6</v>
      </c>
      <c r="BB262" s="15">
        <v>0.85714</v>
      </c>
      <c r="BC262" s="15">
        <v>0</v>
      </c>
      <c r="BD262" s="15">
        <v>0</v>
      </c>
      <c r="BE262" s="15">
        <v>0.40777</v>
      </c>
      <c r="BF262" s="15">
        <v>33</v>
      </c>
      <c r="BG262" s="15">
        <v>6</v>
      </c>
      <c r="BH262" s="15">
        <v>0</v>
      </c>
      <c r="BI262" s="15"/>
      <c r="BJ262" s="15">
        <v>0</v>
      </c>
      <c r="BK262" s="15">
        <v>0</v>
      </c>
      <c r="BL262" s="15">
        <v>0</v>
      </c>
      <c r="BM262" s="15">
        <v>0</v>
      </c>
      <c r="BN262" s="15"/>
      <c r="BO262" s="15"/>
      <c r="BP262" s="15">
        <v>0.06</v>
      </c>
      <c r="BQ262" s="15">
        <v>167</v>
      </c>
      <c r="BR262" s="15">
        <v>0</v>
      </c>
      <c r="BS262" s="15">
        <v>0</v>
      </c>
      <c r="BT262" s="15">
        <v>0</v>
      </c>
      <c r="BU262" s="15">
        <v>0</v>
      </c>
      <c r="BV262" s="15">
        <v>0</v>
      </c>
      <c r="BW262" s="15">
        <v>0</v>
      </c>
      <c r="BX262" s="15">
        <v>0</v>
      </c>
    </row>
    <row r="263" spans="1:76">
      <c r="A263" s="14" t="str">
        <f>VLOOKUP(C263,VLOOKUP!A:B,2,FALSE)</f>
        <v>天官赐福</v>
      </c>
      <c r="B263" s="16">
        <v>46051</v>
      </c>
      <c r="C263" s="17">
        <v>972494676240</v>
      </c>
      <c r="D263" s="15" t="s">
        <v>151</v>
      </c>
      <c r="E263" s="15" t="s">
        <v>160</v>
      </c>
      <c r="F263" s="15">
        <v>157</v>
      </c>
      <c r="G263" s="15">
        <v>3</v>
      </c>
      <c r="H263" s="15">
        <v>0.81</v>
      </c>
      <c r="I263" s="15">
        <v>0.01911</v>
      </c>
      <c r="J263" s="15">
        <v>0.27</v>
      </c>
      <c r="K263" s="15">
        <v>5.16</v>
      </c>
      <c r="L263" s="15">
        <v>0</v>
      </c>
      <c r="M263" s="15">
        <v>0</v>
      </c>
      <c r="N263" s="15">
        <v>0</v>
      </c>
      <c r="O263" s="15">
        <v>0</v>
      </c>
      <c r="P263" s="15">
        <v>0</v>
      </c>
      <c r="Q263" s="15">
        <v>0</v>
      </c>
      <c r="R263" s="15">
        <v>0</v>
      </c>
      <c r="S263" s="15">
        <v>0</v>
      </c>
      <c r="T263" s="15">
        <v>0</v>
      </c>
      <c r="U263" s="15">
        <v>0</v>
      </c>
      <c r="V263" s="15">
        <v>0</v>
      </c>
      <c r="W263" s="15">
        <v>0</v>
      </c>
      <c r="X263" s="15">
        <v>0</v>
      </c>
      <c r="Y263" s="15">
        <v>0</v>
      </c>
      <c r="Z263" s="15">
        <v>0</v>
      </c>
      <c r="AA263" s="15"/>
      <c r="AB263" s="15">
        <v>0</v>
      </c>
      <c r="AC263" s="15">
        <v>0</v>
      </c>
      <c r="AD263" s="15">
        <v>0</v>
      </c>
      <c r="AE263" s="15">
        <v>0</v>
      </c>
      <c r="AF263" s="15">
        <v>1</v>
      </c>
      <c r="AG263" s="15">
        <v>0</v>
      </c>
      <c r="AH263" s="15"/>
      <c r="AI263" s="15">
        <v>1</v>
      </c>
      <c r="AJ263" s="15">
        <v>0.81</v>
      </c>
      <c r="AK263" s="15">
        <v>1</v>
      </c>
      <c r="AL263" s="15">
        <v>0.81</v>
      </c>
      <c r="AM263" s="15">
        <v>1</v>
      </c>
      <c r="AN263" s="15">
        <v>0.81</v>
      </c>
      <c r="AO263" s="15">
        <v>0.33333</v>
      </c>
      <c r="AP263" s="15"/>
      <c r="AQ263" s="15">
        <v>0</v>
      </c>
      <c r="AR263" s="15">
        <v>0</v>
      </c>
      <c r="AS263" s="15">
        <v>1</v>
      </c>
      <c r="AT263" s="15">
        <v>0</v>
      </c>
      <c r="AU263" s="15">
        <v>0</v>
      </c>
      <c r="AV263" s="15">
        <v>0</v>
      </c>
      <c r="AW263" s="15">
        <v>0</v>
      </c>
      <c r="AX263" s="15">
        <v>0</v>
      </c>
      <c r="AY263" s="15">
        <v>46</v>
      </c>
      <c r="AZ263" s="15">
        <v>3</v>
      </c>
      <c r="BA263" s="15">
        <v>3</v>
      </c>
      <c r="BB263" s="15">
        <v>1</v>
      </c>
      <c r="BC263" s="15">
        <v>0</v>
      </c>
      <c r="BD263" s="15">
        <v>0</v>
      </c>
      <c r="BE263" s="15">
        <v>0.29299</v>
      </c>
      <c r="BF263" s="15">
        <v>43</v>
      </c>
      <c r="BG263" s="15">
        <v>15</v>
      </c>
      <c r="BH263" s="15">
        <v>0</v>
      </c>
      <c r="BI263" s="15"/>
      <c r="BJ263" s="15">
        <v>0</v>
      </c>
      <c r="BK263" s="15">
        <v>0</v>
      </c>
      <c r="BL263" s="15">
        <v>0</v>
      </c>
      <c r="BM263" s="15">
        <v>0</v>
      </c>
      <c r="BN263" s="15"/>
      <c r="BO263" s="15"/>
      <c r="BP263" s="15">
        <v>2.74</v>
      </c>
      <c r="BQ263" s="15">
        <v>3</v>
      </c>
      <c r="BR263" s="15">
        <v>0</v>
      </c>
      <c r="BS263" s="15">
        <v>0</v>
      </c>
      <c r="BT263" s="15">
        <v>0</v>
      </c>
      <c r="BU263" s="15">
        <v>0</v>
      </c>
      <c r="BV263" s="15">
        <v>0</v>
      </c>
      <c r="BW263" s="15">
        <v>0</v>
      </c>
      <c r="BX263" s="15">
        <v>0</v>
      </c>
    </row>
    <row r="264" spans="1:76">
      <c r="A264" s="14" t="str">
        <f>VLOOKUP(C264,VLOOKUP!A:B,2,FALSE)</f>
        <v>福到</v>
      </c>
      <c r="B264" s="16">
        <v>46051</v>
      </c>
      <c r="C264" s="17">
        <v>971856893567</v>
      </c>
      <c r="D264" s="15" t="s">
        <v>151</v>
      </c>
      <c r="E264" s="15" t="s">
        <v>152</v>
      </c>
      <c r="F264" s="15">
        <v>235</v>
      </c>
      <c r="G264" s="15">
        <v>11</v>
      </c>
      <c r="H264" s="15">
        <v>2.5</v>
      </c>
      <c r="I264" s="15">
        <v>0.04681</v>
      </c>
      <c r="J264" s="15">
        <v>0.23</v>
      </c>
      <c r="K264" s="15">
        <v>10.64</v>
      </c>
      <c r="L264" s="15">
        <v>0</v>
      </c>
      <c r="M264" s="15">
        <v>0</v>
      </c>
      <c r="N264" s="15">
        <v>0</v>
      </c>
      <c r="O264" s="15">
        <v>0</v>
      </c>
      <c r="P264" s="15">
        <v>0</v>
      </c>
      <c r="Q264" s="15">
        <v>0</v>
      </c>
      <c r="R264" s="15">
        <v>0</v>
      </c>
      <c r="S264" s="15">
        <v>0</v>
      </c>
      <c r="T264" s="15">
        <v>0</v>
      </c>
      <c r="U264" s="15">
        <v>0</v>
      </c>
      <c r="V264" s="15">
        <v>0</v>
      </c>
      <c r="W264" s="15">
        <v>0</v>
      </c>
      <c r="X264" s="15">
        <v>0</v>
      </c>
      <c r="Y264" s="15">
        <v>0</v>
      </c>
      <c r="Z264" s="15">
        <v>0</v>
      </c>
      <c r="AA264" s="15"/>
      <c r="AB264" s="15">
        <v>1</v>
      </c>
      <c r="AC264" s="15">
        <v>1</v>
      </c>
      <c r="AD264" s="15">
        <v>0</v>
      </c>
      <c r="AE264" s="15">
        <v>0.09091</v>
      </c>
      <c r="AF264" s="15">
        <v>0</v>
      </c>
      <c r="AG264" s="15">
        <v>0</v>
      </c>
      <c r="AH264" s="15"/>
      <c r="AI264" s="15">
        <v>1</v>
      </c>
      <c r="AJ264" s="15">
        <v>2.5</v>
      </c>
      <c r="AK264" s="15">
        <v>1</v>
      </c>
      <c r="AL264" s="15">
        <v>2.5</v>
      </c>
      <c r="AM264" s="15">
        <v>0</v>
      </c>
      <c r="AN264" s="15"/>
      <c r="AO264" s="15">
        <v>0</v>
      </c>
      <c r="AP264" s="15">
        <v>2.5</v>
      </c>
      <c r="AQ264" s="15">
        <v>0</v>
      </c>
      <c r="AR264" s="15">
        <v>0</v>
      </c>
      <c r="AS264" s="15">
        <v>0</v>
      </c>
      <c r="AT264" s="15">
        <v>0</v>
      </c>
      <c r="AU264" s="15">
        <v>0</v>
      </c>
      <c r="AV264" s="15">
        <v>0</v>
      </c>
      <c r="AW264" s="15">
        <v>0</v>
      </c>
      <c r="AX264" s="15">
        <v>0</v>
      </c>
      <c r="AY264" s="15">
        <v>20</v>
      </c>
      <c r="AZ264" s="15">
        <v>10</v>
      </c>
      <c r="BA264" s="15">
        <v>8</v>
      </c>
      <c r="BB264" s="15">
        <v>0.8</v>
      </c>
      <c r="BC264" s="15">
        <v>0</v>
      </c>
      <c r="BD264" s="15">
        <v>0</v>
      </c>
      <c r="BE264" s="15">
        <v>0.08511</v>
      </c>
      <c r="BF264" s="15">
        <v>9</v>
      </c>
      <c r="BG264" s="15">
        <v>2</v>
      </c>
      <c r="BH264" s="15">
        <v>0</v>
      </c>
      <c r="BI264" s="15"/>
      <c r="BJ264" s="15">
        <v>0</v>
      </c>
      <c r="BK264" s="15">
        <v>0</v>
      </c>
      <c r="BL264" s="15">
        <v>0</v>
      </c>
      <c r="BM264" s="15">
        <v>0</v>
      </c>
      <c r="BN264" s="15"/>
      <c r="BO264" s="15"/>
      <c r="BP264" s="15">
        <v>0</v>
      </c>
      <c r="BQ264" s="15">
        <v>74</v>
      </c>
      <c r="BR264" s="15">
        <v>0</v>
      </c>
      <c r="BS264" s="15">
        <v>0</v>
      </c>
      <c r="BT264" s="15">
        <v>0</v>
      </c>
      <c r="BU264" s="15">
        <v>0</v>
      </c>
      <c r="BV264" s="15">
        <v>0</v>
      </c>
      <c r="BW264" s="15">
        <v>0</v>
      </c>
      <c r="BX264" s="15">
        <v>0</v>
      </c>
    </row>
    <row r="265" spans="1:76">
      <c r="A265" s="14" t="str">
        <f>VLOOKUP(C265,VLOOKUP!A:B,2,FALSE)</f>
        <v>如意盘香</v>
      </c>
      <c r="B265" s="16">
        <v>46051</v>
      </c>
      <c r="C265" s="17">
        <v>838711327669</v>
      </c>
      <c r="D265" s="15" t="s">
        <v>151</v>
      </c>
      <c r="E265" s="15" t="s">
        <v>158</v>
      </c>
      <c r="F265" s="15">
        <v>535</v>
      </c>
      <c r="G265" s="15">
        <v>31</v>
      </c>
      <c r="H265" s="15">
        <v>80</v>
      </c>
      <c r="I265" s="15">
        <v>0.05794</v>
      </c>
      <c r="J265" s="15">
        <v>2.58</v>
      </c>
      <c r="K265" s="15">
        <v>149.53</v>
      </c>
      <c r="L265" s="15">
        <v>0</v>
      </c>
      <c r="M265" s="15">
        <v>0</v>
      </c>
      <c r="N265" s="15">
        <v>0</v>
      </c>
      <c r="O265" s="15">
        <v>0</v>
      </c>
      <c r="P265" s="15">
        <v>0</v>
      </c>
      <c r="Q265" s="15">
        <v>0</v>
      </c>
      <c r="R265" s="15">
        <v>0</v>
      </c>
      <c r="S265" s="15">
        <v>1262.5</v>
      </c>
      <c r="T265" s="15">
        <v>1262.5</v>
      </c>
      <c r="U265" s="15">
        <v>2</v>
      </c>
      <c r="V265" s="15">
        <v>0</v>
      </c>
      <c r="W265" s="15">
        <v>2</v>
      </c>
      <c r="X265" s="15">
        <v>0.06452</v>
      </c>
      <c r="Y265" s="15">
        <v>15.78</v>
      </c>
      <c r="Z265" s="15">
        <v>15.78</v>
      </c>
      <c r="AA265" s="15">
        <v>40</v>
      </c>
      <c r="AB265" s="15">
        <v>3</v>
      </c>
      <c r="AC265" s="15">
        <v>0</v>
      </c>
      <c r="AD265" s="15">
        <v>3</v>
      </c>
      <c r="AE265" s="15">
        <v>0.09677</v>
      </c>
      <c r="AF265" s="15">
        <v>3</v>
      </c>
      <c r="AG265" s="15">
        <v>2</v>
      </c>
      <c r="AH265" s="15">
        <v>40</v>
      </c>
      <c r="AI265" s="15">
        <v>8</v>
      </c>
      <c r="AJ265" s="15">
        <v>10</v>
      </c>
      <c r="AK265" s="15">
        <v>6</v>
      </c>
      <c r="AL265" s="15">
        <v>13.33</v>
      </c>
      <c r="AM265" s="15">
        <v>5</v>
      </c>
      <c r="AN265" s="15">
        <v>26.67</v>
      </c>
      <c r="AO265" s="15">
        <v>0.09677</v>
      </c>
      <c r="AP265" s="15">
        <v>26.67</v>
      </c>
      <c r="AQ265" s="15">
        <v>3</v>
      </c>
      <c r="AR265" s="15">
        <v>1601</v>
      </c>
      <c r="AS265" s="15">
        <v>0</v>
      </c>
      <c r="AT265" s="15">
        <v>3</v>
      </c>
      <c r="AU265" s="15">
        <v>9</v>
      </c>
      <c r="AV265" s="15">
        <v>0</v>
      </c>
      <c r="AW265" s="15">
        <v>0</v>
      </c>
      <c r="AX265" s="15">
        <v>3</v>
      </c>
      <c r="AY265" s="15">
        <v>126</v>
      </c>
      <c r="AZ265" s="15">
        <v>30</v>
      </c>
      <c r="BA265" s="15">
        <v>22</v>
      </c>
      <c r="BB265" s="15">
        <v>0.73333</v>
      </c>
      <c r="BC265" s="15">
        <v>0</v>
      </c>
      <c r="BD265" s="15">
        <v>0</v>
      </c>
      <c r="BE265" s="15">
        <v>0.23551</v>
      </c>
      <c r="BF265" s="15">
        <v>94</v>
      </c>
      <c r="BG265" s="15">
        <v>4</v>
      </c>
      <c r="BH265" s="15">
        <v>1</v>
      </c>
      <c r="BI265" s="15">
        <v>1</v>
      </c>
      <c r="BJ265" s="15">
        <v>0</v>
      </c>
      <c r="BK265" s="15">
        <v>0</v>
      </c>
      <c r="BL265" s="15">
        <v>0</v>
      </c>
      <c r="BM265" s="15">
        <v>1</v>
      </c>
      <c r="BN265" s="15">
        <v>2</v>
      </c>
      <c r="BO265" s="15">
        <v>1262.5</v>
      </c>
      <c r="BP265" s="15">
        <v>131.16</v>
      </c>
      <c r="BQ265" s="15">
        <v>473</v>
      </c>
      <c r="BR265" s="15">
        <v>0</v>
      </c>
      <c r="BS265" s="15">
        <v>0</v>
      </c>
      <c r="BT265" s="15">
        <v>0</v>
      </c>
      <c r="BU265" s="15">
        <v>0</v>
      </c>
      <c r="BV265" s="15">
        <v>0</v>
      </c>
      <c r="BW265" s="15">
        <v>0</v>
      </c>
      <c r="BX265" s="15">
        <v>0</v>
      </c>
    </row>
    <row r="266" spans="1:76">
      <c r="A266" s="14" t="str">
        <f>VLOOKUP(C266,VLOOKUP!A:B,2,FALSE)</f>
        <v>福颜青</v>
      </c>
      <c r="B266" s="16">
        <v>46051</v>
      </c>
      <c r="C266" s="17">
        <v>833369552621</v>
      </c>
      <c r="D266" s="15" t="s">
        <v>151</v>
      </c>
      <c r="E266" s="15" t="s">
        <v>154</v>
      </c>
      <c r="F266" s="15">
        <v>1718</v>
      </c>
      <c r="G266" s="15">
        <v>17</v>
      </c>
      <c r="H266" s="15">
        <v>4.06</v>
      </c>
      <c r="I266" s="15">
        <v>0.0099</v>
      </c>
      <c r="J266" s="15">
        <v>0.24</v>
      </c>
      <c r="K266" s="15">
        <v>2.36</v>
      </c>
      <c r="L266" s="15">
        <v>0</v>
      </c>
      <c r="M266" s="15">
        <v>0</v>
      </c>
      <c r="N266" s="15">
        <v>0</v>
      </c>
      <c r="O266" s="15">
        <v>0</v>
      </c>
      <c r="P266" s="15">
        <v>0</v>
      </c>
      <c r="Q266" s="15">
        <v>0</v>
      </c>
      <c r="R266" s="15">
        <v>0</v>
      </c>
      <c r="S266" s="15">
        <v>0</v>
      </c>
      <c r="T266" s="15">
        <v>0</v>
      </c>
      <c r="U266" s="15">
        <v>0</v>
      </c>
      <c r="V266" s="15">
        <v>0</v>
      </c>
      <c r="W266" s="15">
        <v>0</v>
      </c>
      <c r="X266" s="15">
        <v>0</v>
      </c>
      <c r="Y266" s="15">
        <v>0</v>
      </c>
      <c r="Z266" s="15">
        <v>0</v>
      </c>
      <c r="AA266" s="15"/>
      <c r="AB266" s="15">
        <v>0</v>
      </c>
      <c r="AC266" s="15">
        <v>0</v>
      </c>
      <c r="AD266" s="15">
        <v>0</v>
      </c>
      <c r="AE266" s="15">
        <v>0</v>
      </c>
      <c r="AF266" s="15">
        <v>0</v>
      </c>
      <c r="AG266" s="15">
        <v>0</v>
      </c>
      <c r="AH266" s="15"/>
      <c r="AI266" s="15">
        <v>0</v>
      </c>
      <c r="AJ266" s="15"/>
      <c r="AK266" s="15">
        <v>0</v>
      </c>
      <c r="AL266" s="15"/>
      <c r="AM266" s="15">
        <v>0</v>
      </c>
      <c r="AN266" s="15"/>
      <c r="AO266" s="15">
        <v>0</v>
      </c>
      <c r="AP266" s="15"/>
      <c r="AQ266" s="15">
        <v>0</v>
      </c>
      <c r="AR266" s="15">
        <v>0</v>
      </c>
      <c r="AS266" s="15">
        <v>0</v>
      </c>
      <c r="AT266" s="15">
        <v>0</v>
      </c>
      <c r="AU266" s="15">
        <v>6</v>
      </c>
      <c r="AV266" s="15">
        <v>0</v>
      </c>
      <c r="AW266" s="15">
        <v>0</v>
      </c>
      <c r="AX266" s="15">
        <v>0</v>
      </c>
      <c r="AY266" s="15">
        <v>44</v>
      </c>
      <c r="AZ266" s="15">
        <v>39</v>
      </c>
      <c r="BA266" s="15">
        <v>39</v>
      </c>
      <c r="BB266" s="15">
        <v>1</v>
      </c>
      <c r="BC266" s="15">
        <v>0</v>
      </c>
      <c r="BD266" s="15">
        <v>0</v>
      </c>
      <c r="BE266" s="15">
        <v>0.02561</v>
      </c>
      <c r="BF266" s="15">
        <v>4</v>
      </c>
      <c r="BG266" s="15">
        <v>1</v>
      </c>
      <c r="BH266" s="15">
        <v>0</v>
      </c>
      <c r="BI266" s="15"/>
      <c r="BJ266" s="15">
        <v>0</v>
      </c>
      <c r="BK266" s="15">
        <v>0</v>
      </c>
      <c r="BL266" s="15">
        <v>0</v>
      </c>
      <c r="BM266" s="15">
        <v>0</v>
      </c>
      <c r="BN266" s="15"/>
      <c r="BO266" s="15"/>
      <c r="BP266" s="15">
        <v>0</v>
      </c>
      <c r="BQ266" s="15">
        <v>0</v>
      </c>
      <c r="BR266" s="15">
        <v>0</v>
      </c>
      <c r="BS266" s="15">
        <v>0</v>
      </c>
      <c r="BT266" s="15">
        <v>0</v>
      </c>
      <c r="BU266" s="15">
        <v>0</v>
      </c>
      <c r="BV266" s="15">
        <v>0</v>
      </c>
      <c r="BW266" s="15">
        <v>0</v>
      </c>
      <c r="BX266" s="15">
        <v>0</v>
      </c>
    </row>
    <row r="267" spans="1:76">
      <c r="A267" s="14" t="str">
        <f>VLOOKUP(C267,VLOOKUP!A:B,2,FALSE)</f>
        <v>奇楠手串</v>
      </c>
      <c r="B267" s="16">
        <v>46051</v>
      </c>
      <c r="C267" s="17">
        <v>833035288991</v>
      </c>
      <c r="D267" s="15" t="s">
        <v>151</v>
      </c>
      <c r="E267" s="15" t="s">
        <v>159</v>
      </c>
      <c r="F267" s="15">
        <v>629</v>
      </c>
      <c r="G267" s="15">
        <v>23</v>
      </c>
      <c r="H267" s="15">
        <v>7.15</v>
      </c>
      <c r="I267" s="15">
        <v>0.03657</v>
      </c>
      <c r="J267" s="15">
        <v>0.31</v>
      </c>
      <c r="K267" s="15">
        <v>11.37</v>
      </c>
      <c r="L267" s="15">
        <v>0</v>
      </c>
      <c r="M267" s="15">
        <v>0</v>
      </c>
      <c r="N267" s="15">
        <v>0</v>
      </c>
      <c r="O267" s="15">
        <v>0</v>
      </c>
      <c r="P267" s="15">
        <v>0</v>
      </c>
      <c r="Q267" s="15">
        <v>0</v>
      </c>
      <c r="R267" s="15">
        <v>0</v>
      </c>
      <c r="S267" s="15">
        <v>0</v>
      </c>
      <c r="T267" s="15">
        <v>0</v>
      </c>
      <c r="U267" s="15">
        <v>0</v>
      </c>
      <c r="V267" s="15">
        <v>0</v>
      </c>
      <c r="W267" s="15">
        <v>0</v>
      </c>
      <c r="X267" s="15">
        <v>0</v>
      </c>
      <c r="Y267" s="15">
        <v>0</v>
      </c>
      <c r="Z267" s="15">
        <v>0</v>
      </c>
      <c r="AA267" s="15"/>
      <c r="AB267" s="15">
        <v>1</v>
      </c>
      <c r="AC267" s="15">
        <v>0</v>
      </c>
      <c r="AD267" s="15">
        <v>1</v>
      </c>
      <c r="AE267" s="15">
        <v>0.04348</v>
      </c>
      <c r="AF267" s="15">
        <v>0</v>
      </c>
      <c r="AG267" s="15">
        <v>1</v>
      </c>
      <c r="AH267" s="15">
        <v>7.15</v>
      </c>
      <c r="AI267" s="15">
        <v>2</v>
      </c>
      <c r="AJ267" s="15">
        <v>3.58</v>
      </c>
      <c r="AK267" s="15">
        <v>1</v>
      </c>
      <c r="AL267" s="15">
        <v>7.15</v>
      </c>
      <c r="AM267" s="15">
        <v>1</v>
      </c>
      <c r="AN267" s="15"/>
      <c r="AO267" s="15">
        <v>0</v>
      </c>
      <c r="AP267" s="15">
        <v>7.15</v>
      </c>
      <c r="AQ267" s="15">
        <v>0</v>
      </c>
      <c r="AR267" s="15">
        <v>0</v>
      </c>
      <c r="AS267" s="15">
        <v>0</v>
      </c>
      <c r="AT267" s="15">
        <v>0</v>
      </c>
      <c r="AU267" s="15">
        <v>2</v>
      </c>
      <c r="AV267" s="15">
        <v>0</v>
      </c>
      <c r="AW267" s="15">
        <v>0</v>
      </c>
      <c r="AX267" s="15">
        <v>0</v>
      </c>
      <c r="AY267" s="15">
        <v>44</v>
      </c>
      <c r="AZ267" s="15">
        <v>21</v>
      </c>
      <c r="BA267" s="15">
        <v>21</v>
      </c>
      <c r="BB267" s="15">
        <v>1</v>
      </c>
      <c r="BC267" s="15">
        <v>0</v>
      </c>
      <c r="BD267" s="15">
        <v>0</v>
      </c>
      <c r="BE267" s="15">
        <v>0.06995</v>
      </c>
      <c r="BF267" s="15">
        <v>21</v>
      </c>
      <c r="BG267" s="15">
        <v>2</v>
      </c>
      <c r="BH267" s="15">
        <v>0</v>
      </c>
      <c r="BI267" s="15"/>
      <c r="BJ267" s="15">
        <v>0</v>
      </c>
      <c r="BK267" s="15">
        <v>0</v>
      </c>
      <c r="BL267" s="15">
        <v>0</v>
      </c>
      <c r="BM267" s="15">
        <v>0</v>
      </c>
      <c r="BN267" s="15"/>
      <c r="BO267" s="15"/>
      <c r="BP267" s="15">
        <v>2.74</v>
      </c>
      <c r="BQ267" s="15">
        <v>65</v>
      </c>
      <c r="BR267" s="15">
        <v>0</v>
      </c>
      <c r="BS267" s="15">
        <v>0</v>
      </c>
      <c r="BT267" s="15">
        <v>0</v>
      </c>
      <c r="BU267" s="15">
        <v>0</v>
      </c>
      <c r="BV267" s="15">
        <v>0</v>
      </c>
      <c r="BW267" s="15">
        <v>0</v>
      </c>
      <c r="BX267" s="15">
        <v>0</v>
      </c>
    </row>
    <row r="268" spans="1:76">
      <c r="A268" s="14" t="str">
        <f>VLOOKUP(C268,VLOOKUP!A:B,2,FALSE)</f>
        <v>四季线香</v>
      </c>
      <c r="B268" s="16">
        <v>46051</v>
      </c>
      <c r="C268" s="17">
        <v>742540384374</v>
      </c>
      <c r="D268" s="15" t="s">
        <v>151</v>
      </c>
      <c r="E268" s="15" t="s">
        <v>161</v>
      </c>
      <c r="F268" s="15">
        <v>135</v>
      </c>
      <c r="G268" s="15">
        <v>5</v>
      </c>
      <c r="H268" s="15">
        <v>18.04</v>
      </c>
      <c r="I268" s="15">
        <v>0.03704</v>
      </c>
      <c r="J268" s="15">
        <v>3.61</v>
      </c>
      <c r="K268" s="15">
        <v>133.63</v>
      </c>
      <c r="L268" s="15">
        <v>0</v>
      </c>
      <c r="M268" s="15">
        <v>0</v>
      </c>
      <c r="N268" s="15">
        <v>0</v>
      </c>
      <c r="O268" s="15">
        <v>0</v>
      </c>
      <c r="P268" s="15">
        <v>0</v>
      </c>
      <c r="Q268" s="15">
        <v>0</v>
      </c>
      <c r="R268" s="15">
        <v>0</v>
      </c>
      <c r="S268" s="15">
        <v>559.04</v>
      </c>
      <c r="T268" s="15">
        <v>559.04</v>
      </c>
      <c r="U268" s="15">
        <v>1</v>
      </c>
      <c r="V268" s="15">
        <v>0</v>
      </c>
      <c r="W268" s="15">
        <v>1</v>
      </c>
      <c r="X268" s="15">
        <v>0.2</v>
      </c>
      <c r="Y268" s="15">
        <v>30.99</v>
      </c>
      <c r="Z268" s="15">
        <v>30.99</v>
      </c>
      <c r="AA268" s="15">
        <v>18.04</v>
      </c>
      <c r="AB268" s="15">
        <v>0</v>
      </c>
      <c r="AC268" s="15">
        <v>0</v>
      </c>
      <c r="AD268" s="15">
        <v>0</v>
      </c>
      <c r="AE268" s="15">
        <v>0</v>
      </c>
      <c r="AF268" s="15">
        <v>0</v>
      </c>
      <c r="AG268" s="15">
        <v>0</v>
      </c>
      <c r="AH268" s="15"/>
      <c r="AI268" s="15">
        <v>0</v>
      </c>
      <c r="AJ268" s="15"/>
      <c r="AK268" s="15">
        <v>0</v>
      </c>
      <c r="AL268" s="15"/>
      <c r="AM268" s="15">
        <v>0</v>
      </c>
      <c r="AN268" s="15"/>
      <c r="AO268" s="15">
        <v>0</v>
      </c>
      <c r="AP268" s="15"/>
      <c r="AQ268" s="15">
        <v>2</v>
      </c>
      <c r="AR268" s="15">
        <v>806</v>
      </c>
      <c r="AS268" s="15">
        <v>0</v>
      </c>
      <c r="AT268" s="15">
        <v>0</v>
      </c>
      <c r="AU268" s="15">
        <v>1</v>
      </c>
      <c r="AV268" s="15">
        <v>0</v>
      </c>
      <c r="AW268" s="15">
        <v>0</v>
      </c>
      <c r="AX268" s="15">
        <v>1</v>
      </c>
      <c r="AY268" s="15">
        <v>25</v>
      </c>
      <c r="AZ268" s="15">
        <v>5</v>
      </c>
      <c r="BA268" s="15">
        <v>4</v>
      </c>
      <c r="BB268" s="15">
        <v>0.8</v>
      </c>
      <c r="BC268" s="15">
        <v>0</v>
      </c>
      <c r="BD268" s="15">
        <v>0</v>
      </c>
      <c r="BE268" s="15">
        <v>0.18519</v>
      </c>
      <c r="BF268" s="15">
        <v>20</v>
      </c>
      <c r="BG268" s="15">
        <v>5</v>
      </c>
      <c r="BH268" s="15">
        <v>1</v>
      </c>
      <c r="BI268" s="15">
        <v>1</v>
      </c>
      <c r="BJ268" s="15">
        <v>0</v>
      </c>
      <c r="BK268" s="15">
        <v>0</v>
      </c>
      <c r="BL268" s="15">
        <v>0</v>
      </c>
      <c r="BM268" s="15">
        <v>1</v>
      </c>
      <c r="BN268" s="15">
        <v>1</v>
      </c>
      <c r="BO268" s="15">
        <v>559.04</v>
      </c>
      <c r="BP268" s="15">
        <v>0</v>
      </c>
      <c r="BQ268" s="15">
        <v>202</v>
      </c>
      <c r="BR268" s="15">
        <v>0</v>
      </c>
      <c r="BS268" s="15">
        <v>0</v>
      </c>
      <c r="BT268" s="15">
        <v>0</v>
      </c>
      <c r="BU268" s="15">
        <v>0</v>
      </c>
      <c r="BV268" s="15">
        <v>0</v>
      </c>
      <c r="BW268" s="15">
        <v>0</v>
      </c>
      <c r="BX268" s="15">
        <v>0</v>
      </c>
    </row>
    <row r="269" spans="1:76">
      <c r="A269" s="14" t="str">
        <f>VLOOKUP(C269,VLOOKUP!A:B,2,FALSE)</f>
        <v>车载香薰</v>
      </c>
      <c r="B269" s="16">
        <v>46051</v>
      </c>
      <c r="C269" s="17">
        <v>616090775596</v>
      </c>
      <c r="D269" s="15" t="s">
        <v>151</v>
      </c>
      <c r="E269" s="15" t="s">
        <v>162</v>
      </c>
      <c r="F269" s="15">
        <v>391</v>
      </c>
      <c r="G269" s="15">
        <v>9</v>
      </c>
      <c r="H269" s="15">
        <v>26.22</v>
      </c>
      <c r="I269" s="15">
        <v>0.02302</v>
      </c>
      <c r="J269" s="15">
        <v>2.91</v>
      </c>
      <c r="K269" s="15">
        <v>67.06</v>
      </c>
      <c r="L269" s="15">
        <v>0</v>
      </c>
      <c r="M269" s="15">
        <v>0</v>
      </c>
      <c r="N269" s="15">
        <v>0</v>
      </c>
      <c r="O269" s="15">
        <v>0</v>
      </c>
      <c r="P269" s="15">
        <v>0</v>
      </c>
      <c r="Q269" s="15">
        <v>0</v>
      </c>
      <c r="R269" s="15">
        <v>0</v>
      </c>
      <c r="S269" s="15">
        <v>0</v>
      </c>
      <c r="T269" s="15">
        <v>0</v>
      </c>
      <c r="U269" s="15">
        <v>0</v>
      </c>
      <c r="V269" s="15">
        <v>0</v>
      </c>
      <c r="W269" s="15">
        <v>0</v>
      </c>
      <c r="X269" s="15">
        <v>0</v>
      </c>
      <c r="Y269" s="15">
        <v>0</v>
      </c>
      <c r="Z269" s="15">
        <v>0</v>
      </c>
      <c r="AA269" s="15"/>
      <c r="AB269" s="15">
        <v>0</v>
      </c>
      <c r="AC269" s="15">
        <v>0</v>
      </c>
      <c r="AD269" s="15">
        <v>0</v>
      </c>
      <c r="AE269" s="15">
        <v>0</v>
      </c>
      <c r="AF269" s="15">
        <v>0</v>
      </c>
      <c r="AG269" s="15">
        <v>0</v>
      </c>
      <c r="AH269" s="15"/>
      <c r="AI269" s="15">
        <v>0</v>
      </c>
      <c r="AJ269" s="15"/>
      <c r="AK269" s="15">
        <v>0</v>
      </c>
      <c r="AL269" s="15"/>
      <c r="AM269" s="15">
        <v>0</v>
      </c>
      <c r="AN269" s="15"/>
      <c r="AO269" s="15">
        <v>0</v>
      </c>
      <c r="AP269" s="15"/>
      <c r="AQ269" s="15">
        <v>0</v>
      </c>
      <c r="AR269" s="15">
        <v>0</v>
      </c>
      <c r="AS269" s="15">
        <v>0</v>
      </c>
      <c r="AT269" s="15">
        <v>0</v>
      </c>
      <c r="AU269" s="15">
        <v>0</v>
      </c>
      <c r="AV269" s="15">
        <v>0</v>
      </c>
      <c r="AW269" s="15">
        <v>0</v>
      </c>
      <c r="AX269" s="15">
        <v>1</v>
      </c>
      <c r="AY269" s="15">
        <v>34</v>
      </c>
      <c r="AZ269" s="15">
        <v>9</v>
      </c>
      <c r="BA269" s="15">
        <v>3</v>
      </c>
      <c r="BB269" s="15">
        <v>0.33333</v>
      </c>
      <c r="BC269" s="15">
        <v>0</v>
      </c>
      <c r="BD269" s="15">
        <v>0</v>
      </c>
      <c r="BE269" s="15">
        <v>0.08696</v>
      </c>
      <c r="BF269" s="15">
        <v>23</v>
      </c>
      <c r="BG269" s="15">
        <v>4</v>
      </c>
      <c r="BH269" s="15">
        <v>0</v>
      </c>
      <c r="BI269" s="15"/>
      <c r="BJ269" s="15">
        <v>0</v>
      </c>
      <c r="BK269" s="15">
        <v>0</v>
      </c>
      <c r="BL269" s="15">
        <v>0</v>
      </c>
      <c r="BM269" s="15">
        <v>0</v>
      </c>
      <c r="BN269" s="15"/>
      <c r="BO269" s="15"/>
      <c r="BP269" s="15">
        <v>0.06</v>
      </c>
      <c r="BQ269" s="15">
        <v>30</v>
      </c>
      <c r="BR269" s="15">
        <v>0</v>
      </c>
      <c r="BS269" s="15">
        <v>0</v>
      </c>
      <c r="BT269" s="15">
        <v>0</v>
      </c>
      <c r="BU269" s="15">
        <v>0</v>
      </c>
      <c r="BV269" s="15">
        <v>0</v>
      </c>
      <c r="BW269" s="15">
        <v>0</v>
      </c>
      <c r="BX269" s="15">
        <v>0</v>
      </c>
    </row>
    <row r="270" spans="1:76">
      <c r="A270" s="14" t="str">
        <f>VLOOKUP(C270,VLOOKUP!A:B,2,FALSE)</f>
        <v>天官赐福</v>
      </c>
      <c r="B270" s="16">
        <v>46050</v>
      </c>
      <c r="C270" s="17">
        <v>972494676240</v>
      </c>
      <c r="D270" s="15" t="s">
        <v>151</v>
      </c>
      <c r="E270" s="15" t="s">
        <v>160</v>
      </c>
      <c r="F270" s="15">
        <v>248</v>
      </c>
      <c r="G270" s="15">
        <v>2</v>
      </c>
      <c r="H270" s="15">
        <v>2.28</v>
      </c>
      <c r="I270" s="15">
        <v>0.00806</v>
      </c>
      <c r="J270" s="15">
        <v>1.14</v>
      </c>
      <c r="K270" s="15">
        <v>9.19</v>
      </c>
      <c r="L270" s="15">
        <v>0</v>
      </c>
      <c r="M270" s="15">
        <v>0</v>
      </c>
      <c r="N270" s="15">
        <v>0</v>
      </c>
      <c r="O270" s="15">
        <v>0</v>
      </c>
      <c r="P270" s="15">
        <v>0</v>
      </c>
      <c r="Q270" s="15">
        <v>0</v>
      </c>
      <c r="R270" s="15">
        <v>0</v>
      </c>
      <c r="S270" s="15">
        <v>0</v>
      </c>
      <c r="T270" s="15">
        <v>0</v>
      </c>
      <c r="U270" s="15">
        <v>0</v>
      </c>
      <c r="V270" s="15">
        <v>0</v>
      </c>
      <c r="W270" s="15">
        <v>0</v>
      </c>
      <c r="X270" s="15">
        <v>0</v>
      </c>
      <c r="Y270" s="15">
        <v>0</v>
      </c>
      <c r="Z270" s="15">
        <v>0</v>
      </c>
      <c r="AA270" s="15"/>
      <c r="AB270" s="15">
        <v>0</v>
      </c>
      <c r="AC270" s="15">
        <v>0</v>
      </c>
      <c r="AD270" s="15">
        <v>0</v>
      </c>
      <c r="AE270" s="15">
        <v>0</v>
      </c>
      <c r="AF270" s="15">
        <v>0</v>
      </c>
      <c r="AG270" s="15">
        <v>0</v>
      </c>
      <c r="AH270" s="15"/>
      <c r="AI270" s="15">
        <v>0</v>
      </c>
      <c r="AJ270" s="15"/>
      <c r="AK270" s="15">
        <v>0</v>
      </c>
      <c r="AL270" s="15"/>
      <c r="AM270" s="15">
        <v>0</v>
      </c>
      <c r="AN270" s="15"/>
      <c r="AO270" s="15">
        <v>0</v>
      </c>
      <c r="AP270" s="15"/>
      <c r="AQ270" s="15">
        <v>0</v>
      </c>
      <c r="AR270" s="15">
        <v>0</v>
      </c>
      <c r="AS270" s="15">
        <v>0</v>
      </c>
      <c r="AT270" s="15">
        <v>0</v>
      </c>
      <c r="AU270" s="15">
        <v>0</v>
      </c>
      <c r="AV270" s="15">
        <v>0</v>
      </c>
      <c r="AW270" s="15">
        <v>0</v>
      </c>
      <c r="AX270" s="15">
        <v>0</v>
      </c>
      <c r="AY270" s="15">
        <v>4</v>
      </c>
      <c r="AZ270" s="15">
        <v>2</v>
      </c>
      <c r="BA270" s="15">
        <v>2</v>
      </c>
      <c r="BB270" s="15">
        <v>1</v>
      </c>
      <c r="BC270" s="15">
        <v>0</v>
      </c>
      <c r="BD270" s="15">
        <v>0</v>
      </c>
      <c r="BE270" s="15">
        <v>0.01613</v>
      </c>
      <c r="BF270" s="15">
        <v>2</v>
      </c>
      <c r="BG270" s="15">
        <v>2</v>
      </c>
      <c r="BH270" s="15">
        <v>0</v>
      </c>
      <c r="BI270" s="15"/>
      <c r="BJ270" s="15">
        <v>0</v>
      </c>
      <c r="BK270" s="15">
        <v>0</v>
      </c>
      <c r="BL270" s="15">
        <v>0</v>
      </c>
      <c r="BM270" s="15">
        <v>0</v>
      </c>
      <c r="BN270" s="15"/>
      <c r="BO270" s="15"/>
      <c r="BP270" s="15">
        <v>0</v>
      </c>
      <c r="BQ270" s="15">
        <v>0</v>
      </c>
      <c r="BR270" s="15">
        <v>0</v>
      </c>
      <c r="BS270" s="15">
        <v>0</v>
      </c>
      <c r="BT270" s="15">
        <v>0</v>
      </c>
      <c r="BU270" s="15">
        <v>0</v>
      </c>
      <c r="BV270" s="15">
        <v>0</v>
      </c>
      <c r="BW270" s="15">
        <v>0</v>
      </c>
      <c r="BX270" s="15">
        <v>0</v>
      </c>
    </row>
    <row r="271" spans="1:76">
      <c r="A271" s="14" t="str">
        <f>VLOOKUP(C271,VLOOKUP!A:B,2,FALSE)</f>
        <v>福到</v>
      </c>
      <c r="B271" s="16">
        <v>46050</v>
      </c>
      <c r="C271" s="17">
        <v>971856893567</v>
      </c>
      <c r="D271" s="15" t="s">
        <v>151</v>
      </c>
      <c r="E271" s="15" t="s">
        <v>152</v>
      </c>
      <c r="F271" s="15">
        <v>65</v>
      </c>
      <c r="G271" s="15">
        <v>1</v>
      </c>
      <c r="H271" s="15">
        <v>0.24</v>
      </c>
      <c r="I271" s="15">
        <v>0.01538</v>
      </c>
      <c r="J271" s="15">
        <v>0.24</v>
      </c>
      <c r="K271" s="15">
        <v>3.69</v>
      </c>
      <c r="L271" s="15">
        <v>0</v>
      </c>
      <c r="M271" s="15">
        <v>0</v>
      </c>
      <c r="N271" s="15">
        <v>0</v>
      </c>
      <c r="O271" s="15">
        <v>0</v>
      </c>
      <c r="P271" s="15">
        <v>0</v>
      </c>
      <c r="Q271" s="15">
        <v>0</v>
      </c>
      <c r="R271" s="15">
        <v>0</v>
      </c>
      <c r="S271" s="15">
        <v>0</v>
      </c>
      <c r="T271" s="15">
        <v>0</v>
      </c>
      <c r="U271" s="15">
        <v>0</v>
      </c>
      <c r="V271" s="15">
        <v>0</v>
      </c>
      <c r="W271" s="15">
        <v>0</v>
      </c>
      <c r="X271" s="15">
        <v>0</v>
      </c>
      <c r="Y271" s="15">
        <v>0</v>
      </c>
      <c r="Z271" s="15">
        <v>0</v>
      </c>
      <c r="AA271" s="15"/>
      <c r="AB271" s="15">
        <v>0</v>
      </c>
      <c r="AC271" s="15">
        <v>0</v>
      </c>
      <c r="AD271" s="15">
        <v>0</v>
      </c>
      <c r="AE271" s="15">
        <v>0</v>
      </c>
      <c r="AF271" s="15">
        <v>0</v>
      </c>
      <c r="AG271" s="15">
        <v>0</v>
      </c>
      <c r="AH271" s="15"/>
      <c r="AI271" s="15">
        <v>0</v>
      </c>
      <c r="AJ271" s="15"/>
      <c r="AK271" s="15">
        <v>0</v>
      </c>
      <c r="AL271" s="15"/>
      <c r="AM271" s="15">
        <v>0</v>
      </c>
      <c r="AN271" s="15"/>
      <c r="AO271" s="15">
        <v>0</v>
      </c>
      <c r="AP271" s="15"/>
      <c r="AQ271" s="15">
        <v>0</v>
      </c>
      <c r="AR271" s="15">
        <v>0</v>
      </c>
      <c r="AS271" s="15">
        <v>0</v>
      </c>
      <c r="AT271" s="15">
        <v>0</v>
      </c>
      <c r="AU271" s="15">
        <v>0</v>
      </c>
      <c r="AV271" s="15">
        <v>0</v>
      </c>
      <c r="AW271" s="15">
        <v>0</v>
      </c>
      <c r="AX271" s="15">
        <v>0</v>
      </c>
      <c r="AY271" s="15">
        <v>1</v>
      </c>
      <c r="AZ271" s="15">
        <v>1</v>
      </c>
      <c r="BA271" s="15">
        <v>0</v>
      </c>
      <c r="BB271" s="15">
        <v>0</v>
      </c>
      <c r="BC271" s="15">
        <v>0</v>
      </c>
      <c r="BD271" s="15">
        <v>0</v>
      </c>
      <c r="BE271" s="15">
        <v>0.01538</v>
      </c>
      <c r="BF271" s="15">
        <v>0</v>
      </c>
      <c r="BG271" s="15">
        <v>1</v>
      </c>
      <c r="BH271" s="15">
        <v>0</v>
      </c>
      <c r="BI271" s="15"/>
      <c r="BJ271" s="15">
        <v>0</v>
      </c>
      <c r="BK271" s="15">
        <v>0</v>
      </c>
      <c r="BL271" s="15">
        <v>0</v>
      </c>
      <c r="BM271" s="15">
        <v>0</v>
      </c>
      <c r="BN271" s="15"/>
      <c r="BO271" s="15"/>
      <c r="BP271" s="15">
        <v>0</v>
      </c>
      <c r="BQ271" s="15">
        <v>2</v>
      </c>
      <c r="BR271" s="15">
        <v>0</v>
      </c>
      <c r="BS271" s="15">
        <v>0</v>
      </c>
      <c r="BT271" s="15">
        <v>0</v>
      </c>
      <c r="BU271" s="15">
        <v>0</v>
      </c>
      <c r="BV271" s="15">
        <v>0</v>
      </c>
      <c r="BW271" s="15">
        <v>0</v>
      </c>
      <c r="BX271" s="15">
        <v>0</v>
      </c>
    </row>
    <row r="272" spans="1:76">
      <c r="A272" s="14" t="str">
        <f>VLOOKUP(C272,VLOOKUP!A:B,2,FALSE)</f>
        <v>如意盘香</v>
      </c>
      <c r="B272" s="16">
        <v>46050</v>
      </c>
      <c r="C272" s="17">
        <v>838711327669</v>
      </c>
      <c r="D272" s="15" t="s">
        <v>151</v>
      </c>
      <c r="E272" s="15" t="s">
        <v>158</v>
      </c>
      <c r="F272" s="15">
        <v>904</v>
      </c>
      <c r="G272" s="15">
        <v>35</v>
      </c>
      <c r="H272" s="15">
        <v>73.55</v>
      </c>
      <c r="I272" s="15">
        <v>0.03872</v>
      </c>
      <c r="J272" s="15">
        <v>2.1</v>
      </c>
      <c r="K272" s="15">
        <v>81.36</v>
      </c>
      <c r="L272" s="15">
        <v>0</v>
      </c>
      <c r="M272" s="15">
        <v>0</v>
      </c>
      <c r="N272" s="15">
        <v>0</v>
      </c>
      <c r="O272" s="15">
        <v>0</v>
      </c>
      <c r="P272" s="15">
        <v>0</v>
      </c>
      <c r="Q272" s="15">
        <v>0</v>
      </c>
      <c r="R272" s="15">
        <v>0</v>
      </c>
      <c r="S272" s="15">
        <v>0</v>
      </c>
      <c r="T272" s="15">
        <v>0</v>
      </c>
      <c r="U272" s="15">
        <v>0</v>
      </c>
      <c r="V272" s="15">
        <v>0</v>
      </c>
      <c r="W272" s="15">
        <v>0</v>
      </c>
      <c r="X272" s="15">
        <v>0</v>
      </c>
      <c r="Y272" s="15">
        <v>0</v>
      </c>
      <c r="Z272" s="15">
        <v>0</v>
      </c>
      <c r="AA272" s="15"/>
      <c r="AB272" s="15">
        <v>11</v>
      </c>
      <c r="AC272" s="15">
        <v>2</v>
      </c>
      <c r="AD272" s="15">
        <v>9</v>
      </c>
      <c r="AE272" s="15">
        <v>0.31429</v>
      </c>
      <c r="AF272" s="15">
        <v>0</v>
      </c>
      <c r="AG272" s="15">
        <v>2</v>
      </c>
      <c r="AH272" s="15">
        <v>36.78</v>
      </c>
      <c r="AI272" s="15">
        <v>13</v>
      </c>
      <c r="AJ272" s="15">
        <v>5.66</v>
      </c>
      <c r="AK272" s="15">
        <v>11</v>
      </c>
      <c r="AL272" s="15">
        <v>6.69</v>
      </c>
      <c r="AM272" s="15">
        <v>2</v>
      </c>
      <c r="AN272" s="15"/>
      <c r="AO272" s="15">
        <v>0</v>
      </c>
      <c r="AP272" s="15">
        <v>6.69</v>
      </c>
      <c r="AQ272" s="15">
        <v>0</v>
      </c>
      <c r="AR272" s="15">
        <v>0</v>
      </c>
      <c r="AS272" s="15">
        <v>0</v>
      </c>
      <c r="AT272" s="15">
        <v>0</v>
      </c>
      <c r="AU272" s="15">
        <v>9</v>
      </c>
      <c r="AV272" s="15">
        <v>0</v>
      </c>
      <c r="AW272" s="15">
        <v>0</v>
      </c>
      <c r="AX272" s="15">
        <v>2</v>
      </c>
      <c r="AY272" s="15">
        <v>131</v>
      </c>
      <c r="AZ272" s="15">
        <v>33</v>
      </c>
      <c r="BA272" s="15">
        <v>24</v>
      </c>
      <c r="BB272" s="15">
        <v>0.72727</v>
      </c>
      <c r="BC272" s="15">
        <v>0</v>
      </c>
      <c r="BD272" s="15">
        <v>0</v>
      </c>
      <c r="BE272" s="15">
        <v>0.14491</v>
      </c>
      <c r="BF272" s="15">
        <v>89</v>
      </c>
      <c r="BG272" s="15">
        <v>4</v>
      </c>
      <c r="BH272" s="15">
        <v>0</v>
      </c>
      <c r="BI272" s="15"/>
      <c r="BJ272" s="15">
        <v>0</v>
      </c>
      <c r="BK272" s="15">
        <v>0</v>
      </c>
      <c r="BL272" s="15">
        <v>0</v>
      </c>
      <c r="BM272" s="15">
        <v>0</v>
      </c>
      <c r="BN272" s="15"/>
      <c r="BO272" s="15"/>
      <c r="BP272" s="15">
        <v>8.34</v>
      </c>
      <c r="BQ272" s="15">
        <v>286</v>
      </c>
      <c r="BR272" s="15">
        <v>0</v>
      </c>
      <c r="BS272" s="15">
        <v>0</v>
      </c>
      <c r="BT272" s="15">
        <v>0</v>
      </c>
      <c r="BU272" s="15">
        <v>0</v>
      </c>
      <c r="BV272" s="15">
        <v>0</v>
      </c>
      <c r="BW272" s="15">
        <v>0</v>
      </c>
      <c r="BX272" s="15">
        <v>0</v>
      </c>
    </row>
    <row r="273" spans="1:76">
      <c r="A273" s="14" t="str">
        <f>VLOOKUP(C273,VLOOKUP!A:B,2,FALSE)</f>
        <v>福颜青</v>
      </c>
      <c r="B273" s="16">
        <v>46050</v>
      </c>
      <c r="C273" s="17">
        <v>833369552621</v>
      </c>
      <c r="D273" s="15" t="s">
        <v>151</v>
      </c>
      <c r="E273" s="15" t="s">
        <v>154</v>
      </c>
      <c r="F273" s="15">
        <v>767</v>
      </c>
      <c r="G273" s="15">
        <v>7</v>
      </c>
      <c r="H273" s="15">
        <v>2.15</v>
      </c>
      <c r="I273" s="15">
        <v>0.00913</v>
      </c>
      <c r="J273" s="15">
        <v>0.31</v>
      </c>
      <c r="K273" s="15">
        <v>2.8</v>
      </c>
      <c r="L273" s="15">
        <v>0</v>
      </c>
      <c r="M273" s="15">
        <v>0</v>
      </c>
      <c r="N273" s="15">
        <v>0</v>
      </c>
      <c r="O273" s="15">
        <v>0</v>
      </c>
      <c r="P273" s="15">
        <v>0</v>
      </c>
      <c r="Q273" s="15">
        <v>0</v>
      </c>
      <c r="R273" s="15">
        <v>0</v>
      </c>
      <c r="S273" s="15">
        <v>0</v>
      </c>
      <c r="T273" s="15">
        <v>0</v>
      </c>
      <c r="U273" s="15">
        <v>0</v>
      </c>
      <c r="V273" s="15">
        <v>0</v>
      </c>
      <c r="W273" s="15">
        <v>0</v>
      </c>
      <c r="X273" s="15">
        <v>0</v>
      </c>
      <c r="Y273" s="15">
        <v>0</v>
      </c>
      <c r="Z273" s="15">
        <v>0</v>
      </c>
      <c r="AA273" s="15"/>
      <c r="AB273" s="15">
        <v>0</v>
      </c>
      <c r="AC273" s="15">
        <v>0</v>
      </c>
      <c r="AD273" s="15">
        <v>0</v>
      </c>
      <c r="AE273" s="15">
        <v>0</v>
      </c>
      <c r="AF273" s="15">
        <v>0</v>
      </c>
      <c r="AG273" s="15">
        <v>0</v>
      </c>
      <c r="AH273" s="15"/>
      <c r="AI273" s="15">
        <v>0</v>
      </c>
      <c r="AJ273" s="15"/>
      <c r="AK273" s="15">
        <v>0</v>
      </c>
      <c r="AL273" s="15"/>
      <c r="AM273" s="15">
        <v>0</v>
      </c>
      <c r="AN273" s="15"/>
      <c r="AO273" s="15">
        <v>0</v>
      </c>
      <c r="AP273" s="15"/>
      <c r="AQ273" s="15">
        <v>0</v>
      </c>
      <c r="AR273" s="15">
        <v>0</v>
      </c>
      <c r="AS273" s="15">
        <v>0</v>
      </c>
      <c r="AT273" s="15">
        <v>0</v>
      </c>
      <c r="AU273" s="15">
        <v>0</v>
      </c>
      <c r="AV273" s="15">
        <v>0</v>
      </c>
      <c r="AW273" s="15">
        <v>0</v>
      </c>
      <c r="AX273" s="15">
        <v>0</v>
      </c>
      <c r="AY273" s="15">
        <v>12</v>
      </c>
      <c r="AZ273" s="15">
        <v>11</v>
      </c>
      <c r="BA273" s="15">
        <v>11</v>
      </c>
      <c r="BB273" s="15">
        <v>1</v>
      </c>
      <c r="BC273" s="15">
        <v>0</v>
      </c>
      <c r="BD273" s="15">
        <v>0</v>
      </c>
      <c r="BE273" s="15">
        <v>0.01565</v>
      </c>
      <c r="BF273" s="15">
        <v>1</v>
      </c>
      <c r="BG273" s="15">
        <v>1</v>
      </c>
      <c r="BH273" s="15">
        <v>0</v>
      </c>
      <c r="BI273" s="15"/>
      <c r="BJ273" s="15">
        <v>0</v>
      </c>
      <c r="BK273" s="15">
        <v>0</v>
      </c>
      <c r="BL273" s="15">
        <v>0</v>
      </c>
      <c r="BM273" s="15">
        <v>0</v>
      </c>
      <c r="BN273" s="15"/>
      <c r="BO273" s="15"/>
      <c r="BP273" s="15">
        <v>0</v>
      </c>
      <c r="BQ273" s="15">
        <v>0</v>
      </c>
      <c r="BR273" s="15">
        <v>0</v>
      </c>
      <c r="BS273" s="15">
        <v>0</v>
      </c>
      <c r="BT273" s="15">
        <v>0</v>
      </c>
      <c r="BU273" s="15">
        <v>0</v>
      </c>
      <c r="BV273" s="15">
        <v>0</v>
      </c>
      <c r="BW273" s="15">
        <v>0</v>
      </c>
      <c r="BX273" s="15">
        <v>0</v>
      </c>
    </row>
    <row r="274" spans="1:76">
      <c r="A274" s="14" t="str">
        <f>VLOOKUP(C274,VLOOKUP!A:B,2,FALSE)</f>
        <v>奇楠手串</v>
      </c>
      <c r="B274" s="16">
        <v>46050</v>
      </c>
      <c r="C274" s="17">
        <v>833035288991</v>
      </c>
      <c r="D274" s="15" t="s">
        <v>151</v>
      </c>
      <c r="E274" s="15" t="s">
        <v>159</v>
      </c>
      <c r="F274" s="15">
        <v>615</v>
      </c>
      <c r="G274" s="15">
        <v>28</v>
      </c>
      <c r="H274" s="15">
        <v>29.83</v>
      </c>
      <c r="I274" s="15">
        <v>0.04553</v>
      </c>
      <c r="J274" s="15">
        <v>1.07</v>
      </c>
      <c r="K274" s="15">
        <v>48.5</v>
      </c>
      <c r="L274" s="15">
        <v>0</v>
      </c>
      <c r="M274" s="15">
        <v>0</v>
      </c>
      <c r="N274" s="15">
        <v>0</v>
      </c>
      <c r="O274" s="15">
        <v>0</v>
      </c>
      <c r="P274" s="15">
        <v>0</v>
      </c>
      <c r="Q274" s="15">
        <v>0</v>
      </c>
      <c r="R274" s="15">
        <v>0</v>
      </c>
      <c r="S274" s="15">
        <v>0</v>
      </c>
      <c r="T274" s="15">
        <v>0</v>
      </c>
      <c r="U274" s="15">
        <v>0</v>
      </c>
      <c r="V274" s="15">
        <v>0</v>
      </c>
      <c r="W274" s="15">
        <v>0</v>
      </c>
      <c r="X274" s="15">
        <v>0</v>
      </c>
      <c r="Y274" s="15">
        <v>0</v>
      </c>
      <c r="Z274" s="15">
        <v>0</v>
      </c>
      <c r="AA274" s="15"/>
      <c r="AB274" s="15">
        <v>0</v>
      </c>
      <c r="AC274" s="15">
        <v>0</v>
      </c>
      <c r="AD274" s="15">
        <v>0</v>
      </c>
      <c r="AE274" s="15">
        <v>0</v>
      </c>
      <c r="AF274" s="15">
        <v>1</v>
      </c>
      <c r="AG274" s="15">
        <v>0</v>
      </c>
      <c r="AH274" s="15"/>
      <c r="AI274" s="15">
        <v>1</v>
      </c>
      <c r="AJ274" s="15">
        <v>29.83</v>
      </c>
      <c r="AK274" s="15">
        <v>1</v>
      </c>
      <c r="AL274" s="15">
        <v>29.83</v>
      </c>
      <c r="AM274" s="15">
        <v>1</v>
      </c>
      <c r="AN274" s="15">
        <v>29.83</v>
      </c>
      <c r="AO274" s="15">
        <v>0.03571</v>
      </c>
      <c r="AP274" s="15"/>
      <c r="AQ274" s="15">
        <v>0</v>
      </c>
      <c r="AR274" s="15">
        <v>0</v>
      </c>
      <c r="AS274" s="15">
        <v>1</v>
      </c>
      <c r="AT274" s="15">
        <v>0</v>
      </c>
      <c r="AU274" s="15">
        <v>1</v>
      </c>
      <c r="AV274" s="15">
        <v>0</v>
      </c>
      <c r="AW274" s="15">
        <v>0</v>
      </c>
      <c r="AX274" s="15">
        <v>0</v>
      </c>
      <c r="AY274" s="15">
        <v>46</v>
      </c>
      <c r="AZ274" s="15">
        <v>27</v>
      </c>
      <c r="BA274" s="15">
        <v>27</v>
      </c>
      <c r="BB274" s="15">
        <v>1</v>
      </c>
      <c r="BC274" s="15">
        <v>0</v>
      </c>
      <c r="BD274" s="15">
        <v>0</v>
      </c>
      <c r="BE274" s="15">
        <v>0.0748</v>
      </c>
      <c r="BF274" s="15">
        <v>17</v>
      </c>
      <c r="BG274" s="15">
        <v>2</v>
      </c>
      <c r="BH274" s="15">
        <v>0</v>
      </c>
      <c r="BI274" s="15"/>
      <c r="BJ274" s="15">
        <v>0</v>
      </c>
      <c r="BK274" s="15">
        <v>0</v>
      </c>
      <c r="BL274" s="15">
        <v>0</v>
      </c>
      <c r="BM274" s="15">
        <v>0</v>
      </c>
      <c r="BN274" s="15"/>
      <c r="BO274" s="15"/>
      <c r="BP274" s="15">
        <v>0</v>
      </c>
      <c r="BQ274" s="15">
        <v>1054</v>
      </c>
      <c r="BR274" s="15">
        <v>0</v>
      </c>
      <c r="BS274" s="15">
        <v>0</v>
      </c>
      <c r="BT274" s="15">
        <v>0</v>
      </c>
      <c r="BU274" s="15">
        <v>0</v>
      </c>
      <c r="BV274" s="15">
        <v>0</v>
      </c>
      <c r="BW274" s="15">
        <v>0</v>
      </c>
      <c r="BX274" s="15">
        <v>0</v>
      </c>
    </row>
    <row r="275" spans="1:76">
      <c r="A275" s="14" t="str">
        <f>VLOOKUP(C275,VLOOKUP!A:B,2,FALSE)</f>
        <v>四季线香</v>
      </c>
      <c r="B275" s="16">
        <v>46050</v>
      </c>
      <c r="C275" s="17">
        <v>742540384374</v>
      </c>
      <c r="D275" s="15" t="s">
        <v>151</v>
      </c>
      <c r="E275" s="15" t="s">
        <v>161</v>
      </c>
      <c r="F275" s="15">
        <v>107</v>
      </c>
      <c r="G275" s="15">
        <v>6</v>
      </c>
      <c r="H275" s="15">
        <v>6.37</v>
      </c>
      <c r="I275" s="15">
        <v>0.05607</v>
      </c>
      <c r="J275" s="15">
        <v>1.06</v>
      </c>
      <c r="K275" s="15">
        <v>59.53</v>
      </c>
      <c r="L275" s="15">
        <v>0</v>
      </c>
      <c r="M275" s="15">
        <v>0</v>
      </c>
      <c r="N275" s="15">
        <v>0</v>
      </c>
      <c r="O275" s="15">
        <v>0</v>
      </c>
      <c r="P275" s="15">
        <v>0</v>
      </c>
      <c r="Q275" s="15">
        <v>0</v>
      </c>
      <c r="R275" s="15">
        <v>0</v>
      </c>
      <c r="S275" s="15">
        <v>0</v>
      </c>
      <c r="T275" s="15">
        <v>0</v>
      </c>
      <c r="U275" s="15">
        <v>0</v>
      </c>
      <c r="V275" s="15">
        <v>0</v>
      </c>
      <c r="W275" s="15">
        <v>0</v>
      </c>
      <c r="X275" s="15">
        <v>0</v>
      </c>
      <c r="Y275" s="15">
        <v>0</v>
      </c>
      <c r="Z275" s="15">
        <v>0</v>
      </c>
      <c r="AA275" s="15"/>
      <c r="AB275" s="15">
        <v>0</v>
      </c>
      <c r="AC275" s="15">
        <v>0</v>
      </c>
      <c r="AD275" s="15">
        <v>0</v>
      </c>
      <c r="AE275" s="15">
        <v>0</v>
      </c>
      <c r="AF275" s="15">
        <v>1</v>
      </c>
      <c r="AG275" s="15">
        <v>0</v>
      </c>
      <c r="AH275" s="15"/>
      <c r="AI275" s="15">
        <v>1</v>
      </c>
      <c r="AJ275" s="15">
        <v>6.37</v>
      </c>
      <c r="AK275" s="15">
        <v>1</v>
      </c>
      <c r="AL275" s="15">
        <v>6.37</v>
      </c>
      <c r="AM275" s="15">
        <v>1</v>
      </c>
      <c r="AN275" s="15">
        <v>6.37</v>
      </c>
      <c r="AO275" s="15">
        <v>0.16667</v>
      </c>
      <c r="AP275" s="15"/>
      <c r="AQ275" s="15">
        <v>0</v>
      </c>
      <c r="AR275" s="15">
        <v>0</v>
      </c>
      <c r="AS275" s="15">
        <v>1</v>
      </c>
      <c r="AT275" s="15">
        <v>0</v>
      </c>
      <c r="AU275" s="15">
        <v>1</v>
      </c>
      <c r="AV275" s="15">
        <v>0</v>
      </c>
      <c r="AW275" s="15">
        <v>0</v>
      </c>
      <c r="AX275" s="15">
        <v>0</v>
      </c>
      <c r="AY275" s="15">
        <v>22</v>
      </c>
      <c r="AZ275" s="15">
        <v>6</v>
      </c>
      <c r="BA275" s="15">
        <v>6</v>
      </c>
      <c r="BB275" s="15">
        <v>1</v>
      </c>
      <c r="BC275" s="15">
        <v>0</v>
      </c>
      <c r="BD275" s="15">
        <v>0</v>
      </c>
      <c r="BE275" s="15">
        <v>0.20561</v>
      </c>
      <c r="BF275" s="15">
        <v>15</v>
      </c>
      <c r="BG275" s="15">
        <v>4</v>
      </c>
      <c r="BH275" s="15">
        <v>0</v>
      </c>
      <c r="BI275" s="15"/>
      <c r="BJ275" s="15">
        <v>0</v>
      </c>
      <c r="BK275" s="15">
        <v>0</v>
      </c>
      <c r="BL275" s="15">
        <v>0</v>
      </c>
      <c r="BM275" s="15">
        <v>0</v>
      </c>
      <c r="BN275" s="15"/>
      <c r="BO275" s="15"/>
      <c r="BP275" s="15">
        <v>0</v>
      </c>
      <c r="BQ275" s="15">
        <v>50</v>
      </c>
      <c r="BR275" s="15">
        <v>0</v>
      </c>
      <c r="BS275" s="15">
        <v>0</v>
      </c>
      <c r="BT275" s="15">
        <v>0</v>
      </c>
      <c r="BU275" s="15">
        <v>0</v>
      </c>
      <c r="BV275" s="15">
        <v>0</v>
      </c>
      <c r="BW275" s="15">
        <v>0</v>
      </c>
      <c r="BX275" s="15">
        <v>0</v>
      </c>
    </row>
    <row r="276" spans="1:76">
      <c r="A276" s="14" t="str">
        <f>VLOOKUP(C276,VLOOKUP!A:B,2,FALSE)</f>
        <v>车载香薰</v>
      </c>
      <c r="B276" s="16">
        <v>46050</v>
      </c>
      <c r="C276" s="17">
        <v>616090775596</v>
      </c>
      <c r="D276" s="15" t="s">
        <v>151</v>
      </c>
      <c r="E276" s="15" t="s">
        <v>162</v>
      </c>
      <c r="F276" s="15">
        <v>253</v>
      </c>
      <c r="G276" s="15">
        <v>7</v>
      </c>
      <c r="H276" s="15">
        <v>30.59</v>
      </c>
      <c r="I276" s="15">
        <v>0.02767</v>
      </c>
      <c r="J276" s="15">
        <v>4.37</v>
      </c>
      <c r="K276" s="15">
        <v>120.91</v>
      </c>
      <c r="L276" s="15">
        <v>0</v>
      </c>
      <c r="M276" s="15">
        <v>0</v>
      </c>
      <c r="N276" s="15">
        <v>0</v>
      </c>
      <c r="O276" s="15">
        <v>0</v>
      </c>
      <c r="P276" s="15">
        <v>0</v>
      </c>
      <c r="Q276" s="15">
        <v>0</v>
      </c>
      <c r="R276" s="15">
        <v>0</v>
      </c>
      <c r="S276" s="15">
        <v>0</v>
      </c>
      <c r="T276" s="15">
        <v>0</v>
      </c>
      <c r="U276" s="15">
        <v>0</v>
      </c>
      <c r="V276" s="15">
        <v>0</v>
      </c>
      <c r="W276" s="15">
        <v>0</v>
      </c>
      <c r="X276" s="15">
        <v>0</v>
      </c>
      <c r="Y276" s="15">
        <v>0</v>
      </c>
      <c r="Z276" s="15">
        <v>0</v>
      </c>
      <c r="AA276" s="15"/>
      <c r="AB276" s="15">
        <v>1</v>
      </c>
      <c r="AC276" s="15">
        <v>1</v>
      </c>
      <c r="AD276" s="15">
        <v>0</v>
      </c>
      <c r="AE276" s="15">
        <v>0.14286</v>
      </c>
      <c r="AF276" s="15">
        <v>1</v>
      </c>
      <c r="AG276" s="15">
        <v>0</v>
      </c>
      <c r="AH276" s="15"/>
      <c r="AI276" s="15">
        <v>2</v>
      </c>
      <c r="AJ276" s="15">
        <v>15.3</v>
      </c>
      <c r="AK276" s="15">
        <v>2</v>
      </c>
      <c r="AL276" s="15">
        <v>15.3</v>
      </c>
      <c r="AM276" s="15">
        <v>1</v>
      </c>
      <c r="AN276" s="15">
        <v>30.59</v>
      </c>
      <c r="AO276" s="15">
        <v>0.14286</v>
      </c>
      <c r="AP276" s="15">
        <v>30.59</v>
      </c>
      <c r="AQ276" s="15">
        <v>0</v>
      </c>
      <c r="AR276" s="15">
        <v>0</v>
      </c>
      <c r="AS276" s="15">
        <v>1</v>
      </c>
      <c r="AT276" s="15">
        <v>0</v>
      </c>
      <c r="AU276" s="15">
        <v>0</v>
      </c>
      <c r="AV276" s="15">
        <v>0</v>
      </c>
      <c r="AW276" s="15">
        <v>0</v>
      </c>
      <c r="AX276" s="15">
        <v>0</v>
      </c>
      <c r="AY276" s="15">
        <v>9</v>
      </c>
      <c r="AZ276" s="15">
        <v>6</v>
      </c>
      <c r="BA276" s="15">
        <v>4</v>
      </c>
      <c r="BB276" s="15">
        <v>0.66667</v>
      </c>
      <c r="BC276" s="15">
        <v>0</v>
      </c>
      <c r="BD276" s="15">
        <v>0</v>
      </c>
      <c r="BE276" s="15">
        <v>0.03557</v>
      </c>
      <c r="BF276" s="15">
        <v>2</v>
      </c>
      <c r="BG276" s="15">
        <v>2</v>
      </c>
      <c r="BH276" s="15">
        <v>0</v>
      </c>
      <c r="BI276" s="15"/>
      <c r="BJ276" s="15">
        <v>0</v>
      </c>
      <c r="BK276" s="15">
        <v>0</v>
      </c>
      <c r="BL276" s="15">
        <v>0</v>
      </c>
      <c r="BM276" s="15">
        <v>0</v>
      </c>
      <c r="BN276" s="15"/>
      <c r="BO276" s="15"/>
      <c r="BP276" s="15">
        <v>0</v>
      </c>
      <c r="BQ276" s="15">
        <v>58</v>
      </c>
      <c r="BR276" s="15">
        <v>0</v>
      </c>
      <c r="BS276" s="15">
        <v>0</v>
      </c>
      <c r="BT276" s="15">
        <v>0</v>
      </c>
      <c r="BU276" s="15">
        <v>0</v>
      </c>
      <c r="BV276" s="15">
        <v>0</v>
      </c>
      <c r="BW276" s="15">
        <v>0</v>
      </c>
      <c r="BX276" s="15">
        <v>0</v>
      </c>
    </row>
    <row r="277" spans="1:76">
      <c r="A277" s="14" t="str">
        <f>VLOOKUP(C277,VLOOKUP!A:B,2,FALSE)</f>
        <v>天官赐福</v>
      </c>
      <c r="B277" s="16">
        <v>46049</v>
      </c>
      <c r="C277" s="17">
        <v>972494676240</v>
      </c>
      <c r="D277" s="15" t="s">
        <v>151</v>
      </c>
      <c r="E277" s="15" t="s">
        <v>160</v>
      </c>
      <c r="F277" s="15">
        <v>508</v>
      </c>
      <c r="G277" s="15">
        <v>5</v>
      </c>
      <c r="H277" s="15">
        <v>5.3</v>
      </c>
      <c r="I277" s="15">
        <v>0.00984</v>
      </c>
      <c r="J277" s="15">
        <v>1.06</v>
      </c>
      <c r="K277" s="15">
        <v>10.43</v>
      </c>
      <c r="L277" s="15">
        <v>0</v>
      </c>
      <c r="M277" s="15">
        <v>0</v>
      </c>
      <c r="N277" s="15">
        <v>0</v>
      </c>
      <c r="O277" s="15">
        <v>0</v>
      </c>
      <c r="P277" s="15">
        <v>0</v>
      </c>
      <c r="Q277" s="15">
        <v>0</v>
      </c>
      <c r="R277" s="15">
        <v>0</v>
      </c>
      <c r="S277" s="15">
        <v>0</v>
      </c>
      <c r="T277" s="15">
        <v>0</v>
      </c>
      <c r="U277" s="15">
        <v>0</v>
      </c>
      <c r="V277" s="15">
        <v>0</v>
      </c>
      <c r="W277" s="15">
        <v>0</v>
      </c>
      <c r="X277" s="15">
        <v>0</v>
      </c>
      <c r="Y277" s="15">
        <v>0</v>
      </c>
      <c r="Z277" s="15">
        <v>0</v>
      </c>
      <c r="AA277" s="15"/>
      <c r="AB277" s="15">
        <v>0</v>
      </c>
      <c r="AC277" s="15">
        <v>0</v>
      </c>
      <c r="AD277" s="15">
        <v>0</v>
      </c>
      <c r="AE277" s="15">
        <v>0</v>
      </c>
      <c r="AF277" s="15">
        <v>0</v>
      </c>
      <c r="AG277" s="15">
        <v>0</v>
      </c>
      <c r="AH277" s="15"/>
      <c r="AI277" s="15">
        <v>0</v>
      </c>
      <c r="AJ277" s="15"/>
      <c r="AK277" s="15">
        <v>0</v>
      </c>
      <c r="AL277" s="15"/>
      <c r="AM277" s="15">
        <v>0</v>
      </c>
      <c r="AN277" s="15"/>
      <c r="AO277" s="15">
        <v>0</v>
      </c>
      <c r="AP277" s="15"/>
      <c r="AQ277" s="15">
        <v>0</v>
      </c>
      <c r="AR277" s="15">
        <v>0</v>
      </c>
      <c r="AS277" s="15">
        <v>0</v>
      </c>
      <c r="AT277" s="15">
        <v>0</v>
      </c>
      <c r="AU277" s="15">
        <v>0</v>
      </c>
      <c r="AV277" s="15">
        <v>0</v>
      </c>
      <c r="AW277" s="15">
        <v>0</v>
      </c>
      <c r="AX277" s="15">
        <v>0</v>
      </c>
      <c r="AY277" s="15">
        <v>5</v>
      </c>
      <c r="AZ277" s="15">
        <v>5</v>
      </c>
      <c r="BA277" s="15">
        <v>5</v>
      </c>
      <c r="BB277" s="15">
        <v>1</v>
      </c>
      <c r="BC277" s="15">
        <v>0</v>
      </c>
      <c r="BD277" s="15">
        <v>0</v>
      </c>
      <c r="BE277" s="15">
        <v>0.00984</v>
      </c>
      <c r="BF277" s="15">
        <v>0</v>
      </c>
      <c r="BG277" s="15">
        <v>1</v>
      </c>
      <c r="BH277" s="15">
        <v>0</v>
      </c>
      <c r="BI277" s="15"/>
      <c r="BJ277" s="15">
        <v>0</v>
      </c>
      <c r="BK277" s="15">
        <v>0</v>
      </c>
      <c r="BL277" s="15">
        <v>0</v>
      </c>
      <c r="BM277" s="15">
        <v>0</v>
      </c>
      <c r="BN277" s="15"/>
      <c r="BO277" s="15"/>
      <c r="BP277" s="15">
        <v>0</v>
      </c>
      <c r="BQ277" s="15">
        <v>0</v>
      </c>
      <c r="BR277" s="15">
        <v>0</v>
      </c>
      <c r="BS277" s="15">
        <v>0</v>
      </c>
      <c r="BT277" s="15">
        <v>0</v>
      </c>
      <c r="BU277" s="15">
        <v>0</v>
      </c>
      <c r="BV277" s="15">
        <v>0</v>
      </c>
      <c r="BW277" s="15">
        <v>0</v>
      </c>
      <c r="BX277" s="15">
        <v>0</v>
      </c>
    </row>
    <row r="278" spans="1:76">
      <c r="A278" s="14" t="str">
        <f>VLOOKUP(C278,VLOOKUP!A:B,2,FALSE)</f>
        <v>福到</v>
      </c>
      <c r="B278" s="16">
        <v>46049</v>
      </c>
      <c r="C278" s="17">
        <v>971856893567</v>
      </c>
      <c r="D278" s="15" t="s">
        <v>151</v>
      </c>
      <c r="E278" s="15" t="s">
        <v>152</v>
      </c>
      <c r="F278" s="15">
        <v>118</v>
      </c>
      <c r="G278" s="15">
        <v>1</v>
      </c>
      <c r="H278" s="15">
        <v>0.3</v>
      </c>
      <c r="I278" s="15">
        <v>0.00847</v>
      </c>
      <c r="J278" s="15">
        <v>0.3</v>
      </c>
      <c r="K278" s="15">
        <v>2.54</v>
      </c>
      <c r="L278" s="15">
        <v>0</v>
      </c>
      <c r="M278" s="15">
        <v>0</v>
      </c>
      <c r="N278" s="15">
        <v>0</v>
      </c>
      <c r="O278" s="15">
        <v>0</v>
      </c>
      <c r="P278" s="15">
        <v>0</v>
      </c>
      <c r="Q278" s="15">
        <v>0</v>
      </c>
      <c r="R278" s="15">
        <v>0</v>
      </c>
      <c r="S278" s="15">
        <v>0</v>
      </c>
      <c r="T278" s="15">
        <v>0</v>
      </c>
      <c r="U278" s="15">
        <v>0</v>
      </c>
      <c r="V278" s="15">
        <v>0</v>
      </c>
      <c r="W278" s="15">
        <v>0</v>
      </c>
      <c r="X278" s="15">
        <v>0</v>
      </c>
      <c r="Y278" s="15">
        <v>0</v>
      </c>
      <c r="Z278" s="15">
        <v>0</v>
      </c>
      <c r="AA278" s="15"/>
      <c r="AB278" s="15">
        <v>0</v>
      </c>
      <c r="AC278" s="15">
        <v>0</v>
      </c>
      <c r="AD278" s="15">
        <v>0</v>
      </c>
      <c r="AE278" s="15">
        <v>0</v>
      </c>
      <c r="AF278" s="15">
        <v>0</v>
      </c>
      <c r="AG278" s="15">
        <v>0</v>
      </c>
      <c r="AH278" s="15"/>
      <c r="AI278" s="15">
        <v>0</v>
      </c>
      <c r="AJ278" s="15"/>
      <c r="AK278" s="15">
        <v>0</v>
      </c>
      <c r="AL278" s="15"/>
      <c r="AM278" s="15">
        <v>0</v>
      </c>
      <c r="AN278" s="15"/>
      <c r="AO278" s="15">
        <v>0</v>
      </c>
      <c r="AP278" s="15"/>
      <c r="AQ278" s="15">
        <v>0</v>
      </c>
      <c r="AR278" s="15">
        <v>0</v>
      </c>
      <c r="AS278" s="15">
        <v>0</v>
      </c>
      <c r="AT278" s="15">
        <v>0</v>
      </c>
      <c r="AU278" s="15">
        <v>0</v>
      </c>
      <c r="AV278" s="15">
        <v>0</v>
      </c>
      <c r="AW278" s="15">
        <v>0</v>
      </c>
      <c r="AX278" s="15">
        <v>0</v>
      </c>
      <c r="AY278" s="15">
        <v>2</v>
      </c>
      <c r="AZ278" s="15">
        <v>1</v>
      </c>
      <c r="BA278" s="15">
        <v>1</v>
      </c>
      <c r="BB278" s="15">
        <v>1</v>
      </c>
      <c r="BC278" s="15">
        <v>0</v>
      </c>
      <c r="BD278" s="15">
        <v>0</v>
      </c>
      <c r="BE278" s="15">
        <v>0.01695</v>
      </c>
      <c r="BF278" s="15">
        <v>1</v>
      </c>
      <c r="BG278" s="15">
        <v>2</v>
      </c>
      <c r="BH278" s="15">
        <v>0</v>
      </c>
      <c r="BI278" s="15"/>
      <c r="BJ278" s="15">
        <v>0</v>
      </c>
      <c r="BK278" s="15">
        <v>0</v>
      </c>
      <c r="BL278" s="15">
        <v>0</v>
      </c>
      <c r="BM278" s="15">
        <v>0</v>
      </c>
      <c r="BN278" s="15"/>
      <c r="BO278" s="15"/>
      <c r="BP278" s="15">
        <v>0</v>
      </c>
      <c r="BQ278" s="15">
        <v>0</v>
      </c>
      <c r="BR278" s="15">
        <v>0</v>
      </c>
      <c r="BS278" s="15">
        <v>0</v>
      </c>
      <c r="BT278" s="15">
        <v>0</v>
      </c>
      <c r="BU278" s="15">
        <v>0</v>
      </c>
      <c r="BV278" s="15">
        <v>0</v>
      </c>
      <c r="BW278" s="15">
        <v>0</v>
      </c>
      <c r="BX278" s="15">
        <v>0</v>
      </c>
    </row>
    <row r="279" spans="1:76">
      <c r="A279" s="14" t="str">
        <f>VLOOKUP(C279,VLOOKUP!A:B,2,FALSE)</f>
        <v>如意盘香</v>
      </c>
      <c r="B279" s="16">
        <v>46049</v>
      </c>
      <c r="C279" s="17">
        <v>838711327669</v>
      </c>
      <c r="D279" s="15" t="s">
        <v>151</v>
      </c>
      <c r="E279" s="15" t="s">
        <v>158</v>
      </c>
      <c r="F279" s="15">
        <v>690</v>
      </c>
      <c r="G279" s="15">
        <v>31</v>
      </c>
      <c r="H279" s="15">
        <v>80</v>
      </c>
      <c r="I279" s="15">
        <v>0.04493</v>
      </c>
      <c r="J279" s="15">
        <v>2.58</v>
      </c>
      <c r="K279" s="15">
        <v>115.94</v>
      </c>
      <c r="L279" s="15">
        <v>0</v>
      </c>
      <c r="M279" s="15">
        <v>0</v>
      </c>
      <c r="N279" s="15">
        <v>0</v>
      </c>
      <c r="O279" s="15">
        <v>0</v>
      </c>
      <c r="P279" s="15">
        <v>0</v>
      </c>
      <c r="Q279" s="15">
        <v>0</v>
      </c>
      <c r="R279" s="15">
        <v>0</v>
      </c>
      <c r="S279" s="15">
        <v>0</v>
      </c>
      <c r="T279" s="15">
        <v>0</v>
      </c>
      <c r="U279" s="15">
        <v>0</v>
      </c>
      <c r="V279" s="15">
        <v>0</v>
      </c>
      <c r="W279" s="15">
        <v>0</v>
      </c>
      <c r="X279" s="15">
        <v>0</v>
      </c>
      <c r="Y279" s="15">
        <v>0</v>
      </c>
      <c r="Z279" s="15">
        <v>0</v>
      </c>
      <c r="AA279" s="15"/>
      <c r="AB279" s="15">
        <v>4</v>
      </c>
      <c r="AC279" s="15">
        <v>2</v>
      </c>
      <c r="AD279" s="15">
        <v>2</v>
      </c>
      <c r="AE279" s="15">
        <v>0.12903</v>
      </c>
      <c r="AF279" s="15">
        <v>0</v>
      </c>
      <c r="AG279" s="15">
        <v>0</v>
      </c>
      <c r="AH279" s="15"/>
      <c r="AI279" s="15">
        <v>4</v>
      </c>
      <c r="AJ279" s="15">
        <v>20</v>
      </c>
      <c r="AK279" s="15">
        <v>4</v>
      </c>
      <c r="AL279" s="15">
        <v>20</v>
      </c>
      <c r="AM279" s="15">
        <v>0</v>
      </c>
      <c r="AN279" s="15"/>
      <c r="AO279" s="15">
        <v>0</v>
      </c>
      <c r="AP279" s="15">
        <v>20</v>
      </c>
      <c r="AQ279" s="15">
        <v>0</v>
      </c>
      <c r="AR279" s="15">
        <v>0</v>
      </c>
      <c r="AS279" s="15">
        <v>0</v>
      </c>
      <c r="AT279" s="15">
        <v>0</v>
      </c>
      <c r="AU279" s="15">
        <v>1</v>
      </c>
      <c r="AV279" s="15">
        <v>0</v>
      </c>
      <c r="AW279" s="15">
        <v>0</v>
      </c>
      <c r="AX279" s="15">
        <v>0</v>
      </c>
      <c r="AY279" s="15">
        <v>61</v>
      </c>
      <c r="AZ279" s="15">
        <v>28</v>
      </c>
      <c r="BA279" s="15">
        <v>24</v>
      </c>
      <c r="BB279" s="15">
        <v>0.85714</v>
      </c>
      <c r="BC279" s="15">
        <v>0</v>
      </c>
      <c r="BD279" s="15">
        <v>0</v>
      </c>
      <c r="BE279" s="15">
        <v>0.08841</v>
      </c>
      <c r="BF279" s="15">
        <v>26</v>
      </c>
      <c r="BG279" s="15">
        <v>2</v>
      </c>
      <c r="BH279" s="15">
        <v>0</v>
      </c>
      <c r="BI279" s="15"/>
      <c r="BJ279" s="15">
        <v>0</v>
      </c>
      <c r="BK279" s="15">
        <v>0</v>
      </c>
      <c r="BL279" s="15">
        <v>0</v>
      </c>
      <c r="BM279" s="15">
        <v>0</v>
      </c>
      <c r="BN279" s="15"/>
      <c r="BO279" s="15"/>
      <c r="BP279" s="15">
        <v>0</v>
      </c>
      <c r="BQ279" s="15">
        <v>131</v>
      </c>
      <c r="BR279" s="15">
        <v>0</v>
      </c>
      <c r="BS279" s="15">
        <v>0</v>
      </c>
      <c r="BT279" s="15">
        <v>0</v>
      </c>
      <c r="BU279" s="15">
        <v>0</v>
      </c>
      <c r="BV279" s="15">
        <v>0</v>
      </c>
      <c r="BW279" s="15">
        <v>0</v>
      </c>
      <c r="BX279" s="15">
        <v>0</v>
      </c>
    </row>
    <row r="280" spans="1:76">
      <c r="A280" s="14" t="str">
        <f>VLOOKUP(C280,VLOOKUP!A:B,2,FALSE)</f>
        <v>福颜青</v>
      </c>
      <c r="B280" s="16">
        <v>46049</v>
      </c>
      <c r="C280" s="17">
        <v>833369552621</v>
      </c>
      <c r="D280" s="15" t="s">
        <v>151</v>
      </c>
      <c r="E280" s="15" t="s">
        <v>154</v>
      </c>
      <c r="F280" s="15">
        <v>1202</v>
      </c>
      <c r="G280" s="15">
        <v>12</v>
      </c>
      <c r="H280" s="15">
        <v>3.42</v>
      </c>
      <c r="I280" s="15">
        <v>0.00998</v>
      </c>
      <c r="J280" s="15">
        <v>0.29</v>
      </c>
      <c r="K280" s="15">
        <v>2.85</v>
      </c>
      <c r="L280" s="15">
        <v>0</v>
      </c>
      <c r="M280" s="15">
        <v>0</v>
      </c>
      <c r="N280" s="15">
        <v>0</v>
      </c>
      <c r="O280" s="15">
        <v>0</v>
      </c>
      <c r="P280" s="15">
        <v>0</v>
      </c>
      <c r="Q280" s="15">
        <v>0</v>
      </c>
      <c r="R280" s="15">
        <v>0</v>
      </c>
      <c r="S280" s="15">
        <v>0</v>
      </c>
      <c r="T280" s="15">
        <v>0</v>
      </c>
      <c r="U280" s="15">
        <v>0</v>
      </c>
      <c r="V280" s="15">
        <v>0</v>
      </c>
      <c r="W280" s="15">
        <v>0</v>
      </c>
      <c r="X280" s="15">
        <v>0</v>
      </c>
      <c r="Y280" s="15">
        <v>0</v>
      </c>
      <c r="Z280" s="15">
        <v>0</v>
      </c>
      <c r="AA280" s="15"/>
      <c r="AB280" s="15">
        <v>0</v>
      </c>
      <c r="AC280" s="15">
        <v>0</v>
      </c>
      <c r="AD280" s="15">
        <v>0</v>
      </c>
      <c r="AE280" s="15">
        <v>0</v>
      </c>
      <c r="AF280" s="15">
        <v>0</v>
      </c>
      <c r="AG280" s="15">
        <v>0</v>
      </c>
      <c r="AH280" s="15"/>
      <c r="AI280" s="15">
        <v>0</v>
      </c>
      <c r="AJ280" s="15"/>
      <c r="AK280" s="15">
        <v>0</v>
      </c>
      <c r="AL280" s="15"/>
      <c r="AM280" s="15">
        <v>0</v>
      </c>
      <c r="AN280" s="15"/>
      <c r="AO280" s="15">
        <v>0</v>
      </c>
      <c r="AP280" s="15"/>
      <c r="AQ280" s="15">
        <v>0</v>
      </c>
      <c r="AR280" s="15">
        <v>0</v>
      </c>
      <c r="AS280" s="15">
        <v>0</v>
      </c>
      <c r="AT280" s="15">
        <v>0</v>
      </c>
      <c r="AU280" s="15">
        <v>3</v>
      </c>
      <c r="AV280" s="15">
        <v>0</v>
      </c>
      <c r="AW280" s="15">
        <v>0</v>
      </c>
      <c r="AX280" s="15">
        <v>0</v>
      </c>
      <c r="AY280" s="15">
        <v>34</v>
      </c>
      <c r="AZ280" s="15">
        <v>25</v>
      </c>
      <c r="BA280" s="15">
        <v>25</v>
      </c>
      <c r="BB280" s="15">
        <v>1</v>
      </c>
      <c r="BC280" s="15">
        <v>0</v>
      </c>
      <c r="BD280" s="15">
        <v>0</v>
      </c>
      <c r="BE280" s="15">
        <v>0.02829</v>
      </c>
      <c r="BF280" s="15">
        <v>9</v>
      </c>
      <c r="BG280" s="15">
        <v>1</v>
      </c>
      <c r="BH280" s="15">
        <v>0</v>
      </c>
      <c r="BI280" s="15"/>
      <c r="BJ280" s="15">
        <v>0</v>
      </c>
      <c r="BK280" s="15">
        <v>0</v>
      </c>
      <c r="BL280" s="15">
        <v>0</v>
      </c>
      <c r="BM280" s="15">
        <v>0</v>
      </c>
      <c r="BN280" s="15"/>
      <c r="BO280" s="15"/>
      <c r="BP280" s="15">
        <v>0</v>
      </c>
      <c r="BQ280" s="15">
        <v>0</v>
      </c>
      <c r="BR280" s="15">
        <v>0</v>
      </c>
      <c r="BS280" s="15">
        <v>0</v>
      </c>
      <c r="BT280" s="15">
        <v>0</v>
      </c>
      <c r="BU280" s="15">
        <v>0</v>
      </c>
      <c r="BV280" s="15">
        <v>0</v>
      </c>
      <c r="BW280" s="15">
        <v>0</v>
      </c>
      <c r="BX280" s="15">
        <v>0</v>
      </c>
    </row>
    <row r="281" spans="1:76">
      <c r="A281" s="14" t="str">
        <f>VLOOKUP(C281,VLOOKUP!A:B,2,FALSE)</f>
        <v>奇楠手串</v>
      </c>
      <c r="B281" s="16">
        <v>46049</v>
      </c>
      <c r="C281" s="17">
        <v>833035288991</v>
      </c>
      <c r="D281" s="15" t="s">
        <v>151</v>
      </c>
      <c r="E281" s="15" t="s">
        <v>159</v>
      </c>
      <c r="F281" s="15">
        <v>783</v>
      </c>
      <c r="G281" s="15">
        <v>24</v>
      </c>
      <c r="H281" s="15">
        <v>25.98</v>
      </c>
      <c r="I281" s="15">
        <v>0.03065</v>
      </c>
      <c r="J281" s="15">
        <v>1.08</v>
      </c>
      <c r="K281" s="15">
        <v>33.18</v>
      </c>
      <c r="L281" s="15">
        <v>0</v>
      </c>
      <c r="M281" s="15">
        <v>0</v>
      </c>
      <c r="N281" s="15">
        <v>0</v>
      </c>
      <c r="O281" s="15">
        <v>0</v>
      </c>
      <c r="P281" s="15">
        <v>0</v>
      </c>
      <c r="Q281" s="15">
        <v>0</v>
      </c>
      <c r="R281" s="15">
        <v>0</v>
      </c>
      <c r="S281" s="15">
        <v>0</v>
      </c>
      <c r="T281" s="15">
        <v>0</v>
      </c>
      <c r="U281" s="15">
        <v>0</v>
      </c>
      <c r="V281" s="15">
        <v>0</v>
      </c>
      <c r="W281" s="15">
        <v>0</v>
      </c>
      <c r="X281" s="15">
        <v>0</v>
      </c>
      <c r="Y281" s="15">
        <v>0</v>
      </c>
      <c r="Z281" s="15">
        <v>0</v>
      </c>
      <c r="AA281" s="15"/>
      <c r="AB281" s="15">
        <v>0</v>
      </c>
      <c r="AC281" s="15">
        <v>0</v>
      </c>
      <c r="AD281" s="15">
        <v>0</v>
      </c>
      <c r="AE281" s="15">
        <v>0</v>
      </c>
      <c r="AF281" s="15">
        <v>0</v>
      </c>
      <c r="AG281" s="15">
        <v>0</v>
      </c>
      <c r="AH281" s="15"/>
      <c r="AI281" s="15">
        <v>0</v>
      </c>
      <c r="AJ281" s="15"/>
      <c r="AK281" s="15">
        <v>0</v>
      </c>
      <c r="AL281" s="15"/>
      <c r="AM281" s="15">
        <v>0</v>
      </c>
      <c r="AN281" s="15"/>
      <c r="AO281" s="15">
        <v>0</v>
      </c>
      <c r="AP281" s="15"/>
      <c r="AQ281" s="15">
        <v>0</v>
      </c>
      <c r="AR281" s="15">
        <v>0</v>
      </c>
      <c r="AS281" s="15">
        <v>0</v>
      </c>
      <c r="AT281" s="15">
        <v>0</v>
      </c>
      <c r="AU281" s="15">
        <v>1</v>
      </c>
      <c r="AV281" s="15">
        <v>0</v>
      </c>
      <c r="AW281" s="15">
        <v>0</v>
      </c>
      <c r="AX281" s="15">
        <v>0</v>
      </c>
      <c r="AY281" s="15">
        <v>46</v>
      </c>
      <c r="AZ281" s="15">
        <v>24</v>
      </c>
      <c r="BA281" s="15">
        <v>24</v>
      </c>
      <c r="BB281" s="15">
        <v>1</v>
      </c>
      <c r="BC281" s="15">
        <v>0</v>
      </c>
      <c r="BD281" s="15">
        <v>0</v>
      </c>
      <c r="BE281" s="15">
        <v>0.05875</v>
      </c>
      <c r="BF281" s="15">
        <v>22</v>
      </c>
      <c r="BG281" s="15">
        <v>2</v>
      </c>
      <c r="BH281" s="15">
        <v>0</v>
      </c>
      <c r="BI281" s="15"/>
      <c r="BJ281" s="15">
        <v>0</v>
      </c>
      <c r="BK281" s="15">
        <v>0</v>
      </c>
      <c r="BL281" s="15">
        <v>0</v>
      </c>
      <c r="BM281" s="15">
        <v>0</v>
      </c>
      <c r="BN281" s="15"/>
      <c r="BO281" s="15"/>
      <c r="BP281" s="15">
        <v>0</v>
      </c>
      <c r="BQ281" s="15">
        <v>3</v>
      </c>
      <c r="BR281" s="15">
        <v>0</v>
      </c>
      <c r="BS281" s="15">
        <v>0</v>
      </c>
      <c r="BT281" s="15">
        <v>0</v>
      </c>
      <c r="BU281" s="15">
        <v>0</v>
      </c>
      <c r="BV281" s="15">
        <v>0</v>
      </c>
      <c r="BW281" s="15">
        <v>0</v>
      </c>
      <c r="BX281" s="15">
        <v>0</v>
      </c>
    </row>
    <row r="282" spans="1:76">
      <c r="A282" s="14" t="str">
        <f>VLOOKUP(C282,VLOOKUP!A:B,2,FALSE)</f>
        <v>四季线香</v>
      </c>
      <c r="B282" s="16">
        <v>46049</v>
      </c>
      <c r="C282" s="17">
        <v>742540384374</v>
      </c>
      <c r="D282" s="15" t="s">
        <v>151</v>
      </c>
      <c r="E282" s="15" t="s">
        <v>161</v>
      </c>
      <c r="F282" s="15">
        <v>331</v>
      </c>
      <c r="G282" s="15">
        <v>16</v>
      </c>
      <c r="H282" s="15">
        <v>44.05</v>
      </c>
      <c r="I282" s="15">
        <v>0.04834</v>
      </c>
      <c r="J282" s="15">
        <v>2.75</v>
      </c>
      <c r="K282" s="15">
        <v>133.08</v>
      </c>
      <c r="L282" s="15">
        <v>0</v>
      </c>
      <c r="M282" s="15">
        <v>0</v>
      </c>
      <c r="N282" s="15">
        <v>0</v>
      </c>
      <c r="O282" s="15">
        <v>0</v>
      </c>
      <c r="P282" s="15">
        <v>0</v>
      </c>
      <c r="Q282" s="15">
        <v>0</v>
      </c>
      <c r="R282" s="15">
        <v>0</v>
      </c>
      <c r="S282" s="15">
        <v>73.6</v>
      </c>
      <c r="T282" s="15">
        <v>73.6</v>
      </c>
      <c r="U282" s="15">
        <v>1</v>
      </c>
      <c r="V282" s="15">
        <v>0</v>
      </c>
      <c r="W282" s="15">
        <v>1</v>
      </c>
      <c r="X282" s="15">
        <v>0.0625</v>
      </c>
      <c r="Y282" s="15">
        <v>1.67</v>
      </c>
      <c r="Z282" s="15">
        <v>1.67</v>
      </c>
      <c r="AA282" s="15">
        <v>44.05</v>
      </c>
      <c r="AB282" s="15">
        <v>2</v>
      </c>
      <c r="AC282" s="15">
        <v>0</v>
      </c>
      <c r="AD282" s="15">
        <v>2</v>
      </c>
      <c r="AE282" s="15">
        <v>0.125</v>
      </c>
      <c r="AF282" s="15">
        <v>1</v>
      </c>
      <c r="AG282" s="15">
        <v>0</v>
      </c>
      <c r="AH282" s="15"/>
      <c r="AI282" s="15">
        <v>3</v>
      </c>
      <c r="AJ282" s="15">
        <v>14.68</v>
      </c>
      <c r="AK282" s="15">
        <v>3</v>
      </c>
      <c r="AL282" s="15">
        <v>14.68</v>
      </c>
      <c r="AM282" s="15">
        <v>1</v>
      </c>
      <c r="AN282" s="15">
        <v>44.05</v>
      </c>
      <c r="AO282" s="15">
        <v>0.0625</v>
      </c>
      <c r="AP282" s="15">
        <v>22.03</v>
      </c>
      <c r="AQ282" s="15">
        <v>2</v>
      </c>
      <c r="AR282" s="15">
        <v>148.9</v>
      </c>
      <c r="AS282" s="15">
        <v>0</v>
      </c>
      <c r="AT282" s="15">
        <v>1</v>
      </c>
      <c r="AU282" s="15">
        <v>2</v>
      </c>
      <c r="AV282" s="15">
        <v>0</v>
      </c>
      <c r="AW282" s="15">
        <v>0</v>
      </c>
      <c r="AX282" s="15">
        <v>0</v>
      </c>
      <c r="AY282" s="15">
        <v>51</v>
      </c>
      <c r="AZ282" s="15">
        <v>14</v>
      </c>
      <c r="BA282" s="15">
        <v>11</v>
      </c>
      <c r="BB282" s="15">
        <v>0.78571</v>
      </c>
      <c r="BC282" s="15">
        <v>0</v>
      </c>
      <c r="BD282" s="15">
        <v>0</v>
      </c>
      <c r="BE282" s="15">
        <v>0.15408</v>
      </c>
      <c r="BF282" s="15">
        <v>35</v>
      </c>
      <c r="BG282" s="15">
        <v>4</v>
      </c>
      <c r="BH282" s="15">
        <v>1</v>
      </c>
      <c r="BI282" s="15">
        <v>1</v>
      </c>
      <c r="BJ282" s="15">
        <v>0</v>
      </c>
      <c r="BK282" s="15">
        <v>0</v>
      </c>
      <c r="BL282" s="15">
        <v>0</v>
      </c>
      <c r="BM282" s="15">
        <v>1</v>
      </c>
      <c r="BN282" s="15">
        <v>1</v>
      </c>
      <c r="BO282" s="15">
        <v>73.6</v>
      </c>
      <c r="BP282" s="15">
        <v>0</v>
      </c>
      <c r="BQ282" s="15">
        <v>139</v>
      </c>
      <c r="BR282" s="15">
        <v>0</v>
      </c>
      <c r="BS282" s="15">
        <v>0</v>
      </c>
      <c r="BT282" s="15">
        <v>0</v>
      </c>
      <c r="BU282" s="15">
        <v>0</v>
      </c>
      <c r="BV282" s="15">
        <v>0</v>
      </c>
      <c r="BW282" s="15">
        <v>0</v>
      </c>
      <c r="BX282" s="15">
        <v>0</v>
      </c>
    </row>
    <row r="283" spans="1:76">
      <c r="A283" s="14" t="str">
        <f>VLOOKUP(C283,VLOOKUP!A:B,2,FALSE)</f>
        <v>车载香薰</v>
      </c>
      <c r="B283" s="16">
        <v>46049</v>
      </c>
      <c r="C283" s="17">
        <v>616090775596</v>
      </c>
      <c r="D283" s="15" t="s">
        <v>151</v>
      </c>
      <c r="E283" s="15" t="s">
        <v>162</v>
      </c>
      <c r="F283" s="15">
        <v>1111</v>
      </c>
      <c r="G283" s="15">
        <v>19</v>
      </c>
      <c r="H283" s="15">
        <v>37.69</v>
      </c>
      <c r="I283" s="15">
        <v>0.0171</v>
      </c>
      <c r="J283" s="15">
        <v>1.98</v>
      </c>
      <c r="K283" s="15">
        <v>33.92</v>
      </c>
      <c r="L283" s="15">
        <v>0</v>
      </c>
      <c r="M283" s="15">
        <v>0</v>
      </c>
      <c r="N283" s="15">
        <v>0</v>
      </c>
      <c r="O283" s="15">
        <v>0</v>
      </c>
      <c r="P283" s="15">
        <v>0</v>
      </c>
      <c r="Q283" s="15">
        <v>0</v>
      </c>
      <c r="R283" s="15">
        <v>0</v>
      </c>
      <c r="S283" s="15">
        <v>0</v>
      </c>
      <c r="T283" s="15">
        <v>0</v>
      </c>
      <c r="U283" s="15">
        <v>0</v>
      </c>
      <c r="V283" s="15">
        <v>0</v>
      </c>
      <c r="W283" s="15">
        <v>0</v>
      </c>
      <c r="X283" s="15">
        <v>0</v>
      </c>
      <c r="Y283" s="15">
        <v>0</v>
      </c>
      <c r="Z283" s="15">
        <v>0</v>
      </c>
      <c r="AA283" s="15"/>
      <c r="AB283" s="15">
        <v>0</v>
      </c>
      <c r="AC283" s="15">
        <v>0</v>
      </c>
      <c r="AD283" s="15">
        <v>0</v>
      </c>
      <c r="AE283" s="15">
        <v>0</v>
      </c>
      <c r="AF283" s="15">
        <v>0</v>
      </c>
      <c r="AG283" s="15">
        <v>0</v>
      </c>
      <c r="AH283" s="15"/>
      <c r="AI283" s="15">
        <v>0</v>
      </c>
      <c r="AJ283" s="15"/>
      <c r="AK283" s="15">
        <v>0</v>
      </c>
      <c r="AL283" s="15"/>
      <c r="AM283" s="15">
        <v>0</v>
      </c>
      <c r="AN283" s="15"/>
      <c r="AO283" s="15">
        <v>0</v>
      </c>
      <c r="AP283" s="15"/>
      <c r="AQ283" s="15">
        <v>0</v>
      </c>
      <c r="AR283" s="15">
        <v>0</v>
      </c>
      <c r="AS283" s="15">
        <v>0</v>
      </c>
      <c r="AT283" s="15">
        <v>0</v>
      </c>
      <c r="AU283" s="15">
        <v>1</v>
      </c>
      <c r="AV283" s="15">
        <v>0</v>
      </c>
      <c r="AW283" s="15">
        <v>0</v>
      </c>
      <c r="AX283" s="15">
        <v>0</v>
      </c>
      <c r="AY283" s="15">
        <v>46</v>
      </c>
      <c r="AZ283" s="15">
        <v>19</v>
      </c>
      <c r="BA283" s="15">
        <v>15</v>
      </c>
      <c r="BB283" s="15">
        <v>0.78947</v>
      </c>
      <c r="BC283" s="15">
        <v>0</v>
      </c>
      <c r="BD283" s="15">
        <v>0</v>
      </c>
      <c r="BE283" s="15">
        <v>0.0414</v>
      </c>
      <c r="BF283" s="15">
        <v>26</v>
      </c>
      <c r="BG283" s="15">
        <v>2</v>
      </c>
      <c r="BH283" s="15">
        <v>0</v>
      </c>
      <c r="BI283" s="15"/>
      <c r="BJ283" s="15">
        <v>0</v>
      </c>
      <c r="BK283" s="15">
        <v>0</v>
      </c>
      <c r="BL283" s="15">
        <v>0</v>
      </c>
      <c r="BM283" s="15">
        <v>0</v>
      </c>
      <c r="BN283" s="15"/>
      <c r="BO283" s="15"/>
      <c r="BP283" s="15">
        <v>0</v>
      </c>
      <c r="BQ283" s="15">
        <v>36</v>
      </c>
      <c r="BR283" s="15">
        <v>0</v>
      </c>
      <c r="BS283" s="15">
        <v>0</v>
      </c>
      <c r="BT283" s="15">
        <v>0</v>
      </c>
      <c r="BU283" s="15">
        <v>0</v>
      </c>
      <c r="BV283" s="15">
        <v>0</v>
      </c>
      <c r="BW283" s="15">
        <v>0</v>
      </c>
      <c r="BX283" s="15">
        <v>0</v>
      </c>
    </row>
    <row r="284" spans="1:76">
      <c r="A284" s="14" t="str">
        <f>VLOOKUP(C284,VLOOKUP!A:B,2,FALSE)</f>
        <v>天官赐福</v>
      </c>
      <c r="B284" s="16">
        <v>46048</v>
      </c>
      <c r="C284" s="17">
        <v>972494676240</v>
      </c>
      <c r="D284" s="15" t="s">
        <v>151</v>
      </c>
      <c r="E284" s="15" t="s">
        <v>160</v>
      </c>
      <c r="F284" s="15">
        <v>300</v>
      </c>
      <c r="G284" s="15">
        <v>3</v>
      </c>
      <c r="H284" s="15">
        <v>5.17</v>
      </c>
      <c r="I284" s="15">
        <v>0.01</v>
      </c>
      <c r="J284" s="15">
        <v>1.72</v>
      </c>
      <c r="K284" s="15">
        <v>17.23</v>
      </c>
      <c r="L284" s="15">
        <v>0</v>
      </c>
      <c r="M284" s="15">
        <v>0</v>
      </c>
      <c r="N284" s="15">
        <v>0</v>
      </c>
      <c r="O284" s="15">
        <v>0</v>
      </c>
      <c r="P284" s="15">
        <v>0</v>
      </c>
      <c r="Q284" s="15">
        <v>0</v>
      </c>
      <c r="R284" s="15">
        <v>0</v>
      </c>
      <c r="S284" s="15">
        <v>0</v>
      </c>
      <c r="T284" s="15">
        <v>0</v>
      </c>
      <c r="U284" s="15">
        <v>0</v>
      </c>
      <c r="V284" s="15">
        <v>0</v>
      </c>
      <c r="W284" s="15">
        <v>0</v>
      </c>
      <c r="X284" s="15">
        <v>0</v>
      </c>
      <c r="Y284" s="15">
        <v>0</v>
      </c>
      <c r="Z284" s="15">
        <v>0</v>
      </c>
      <c r="AA284" s="15"/>
      <c r="AB284" s="15">
        <v>0</v>
      </c>
      <c r="AC284" s="15">
        <v>0</v>
      </c>
      <c r="AD284" s="15">
        <v>0</v>
      </c>
      <c r="AE284" s="15">
        <v>0</v>
      </c>
      <c r="AF284" s="15">
        <v>0</v>
      </c>
      <c r="AG284" s="15">
        <v>0</v>
      </c>
      <c r="AH284" s="15"/>
      <c r="AI284" s="15">
        <v>0</v>
      </c>
      <c r="AJ284" s="15"/>
      <c r="AK284" s="15">
        <v>0</v>
      </c>
      <c r="AL284" s="15"/>
      <c r="AM284" s="15">
        <v>0</v>
      </c>
      <c r="AN284" s="15"/>
      <c r="AO284" s="15">
        <v>0</v>
      </c>
      <c r="AP284" s="15"/>
      <c r="AQ284" s="15">
        <v>0</v>
      </c>
      <c r="AR284" s="15">
        <v>0</v>
      </c>
      <c r="AS284" s="15">
        <v>0</v>
      </c>
      <c r="AT284" s="15">
        <v>0</v>
      </c>
      <c r="AU284" s="15">
        <v>0</v>
      </c>
      <c r="AV284" s="15">
        <v>0</v>
      </c>
      <c r="AW284" s="15">
        <v>0</v>
      </c>
      <c r="AX284" s="15">
        <v>0</v>
      </c>
      <c r="AY284" s="15">
        <v>4</v>
      </c>
      <c r="AZ284" s="15">
        <v>3</v>
      </c>
      <c r="BA284" s="15">
        <v>3</v>
      </c>
      <c r="BB284" s="15">
        <v>1</v>
      </c>
      <c r="BC284" s="15">
        <v>0</v>
      </c>
      <c r="BD284" s="15">
        <v>0</v>
      </c>
      <c r="BE284" s="15">
        <v>0.01333</v>
      </c>
      <c r="BF284" s="15">
        <v>1</v>
      </c>
      <c r="BG284" s="15">
        <v>1</v>
      </c>
      <c r="BH284" s="15">
        <v>0</v>
      </c>
      <c r="BI284" s="15"/>
      <c r="BJ284" s="15">
        <v>0</v>
      </c>
      <c r="BK284" s="15">
        <v>0</v>
      </c>
      <c r="BL284" s="15">
        <v>0</v>
      </c>
      <c r="BM284" s="15">
        <v>0</v>
      </c>
      <c r="BN284" s="15"/>
      <c r="BO284" s="15"/>
      <c r="BP284" s="15">
        <v>0</v>
      </c>
      <c r="BQ284" s="15">
        <v>0</v>
      </c>
      <c r="BR284" s="15">
        <v>0</v>
      </c>
      <c r="BS284" s="15">
        <v>0</v>
      </c>
      <c r="BT284" s="15">
        <v>0</v>
      </c>
      <c r="BU284" s="15">
        <v>0</v>
      </c>
      <c r="BV284" s="15">
        <v>0</v>
      </c>
      <c r="BW284" s="15">
        <v>0</v>
      </c>
      <c r="BX284" s="15">
        <v>0</v>
      </c>
    </row>
    <row r="285" spans="1:76">
      <c r="A285" s="14" t="str">
        <f>VLOOKUP(C285,VLOOKUP!A:B,2,FALSE)</f>
        <v>福到</v>
      </c>
      <c r="B285" s="16">
        <v>46048</v>
      </c>
      <c r="C285" s="17">
        <v>971856893567</v>
      </c>
      <c r="D285" s="15" t="s">
        <v>151</v>
      </c>
      <c r="E285" s="15" t="s">
        <v>152</v>
      </c>
      <c r="F285" s="15">
        <v>129</v>
      </c>
      <c r="G285" s="15">
        <v>1</v>
      </c>
      <c r="H285" s="15">
        <v>0.3</v>
      </c>
      <c r="I285" s="15">
        <v>0.00775</v>
      </c>
      <c r="J285" s="15">
        <v>0.3</v>
      </c>
      <c r="K285" s="15">
        <v>2.33</v>
      </c>
      <c r="L285" s="15">
        <v>0</v>
      </c>
      <c r="M285" s="15">
        <v>0</v>
      </c>
      <c r="N285" s="15">
        <v>0</v>
      </c>
      <c r="O285" s="15">
        <v>0</v>
      </c>
      <c r="P285" s="15">
        <v>0</v>
      </c>
      <c r="Q285" s="15">
        <v>0</v>
      </c>
      <c r="R285" s="15">
        <v>0</v>
      </c>
      <c r="S285" s="15">
        <v>0</v>
      </c>
      <c r="T285" s="15">
        <v>0</v>
      </c>
      <c r="U285" s="15">
        <v>0</v>
      </c>
      <c r="V285" s="15">
        <v>0</v>
      </c>
      <c r="W285" s="15">
        <v>0</v>
      </c>
      <c r="X285" s="15">
        <v>0</v>
      </c>
      <c r="Y285" s="15">
        <v>0</v>
      </c>
      <c r="Z285" s="15">
        <v>0</v>
      </c>
      <c r="AA285" s="15"/>
      <c r="AB285" s="15">
        <v>0</v>
      </c>
      <c r="AC285" s="15">
        <v>0</v>
      </c>
      <c r="AD285" s="15">
        <v>0</v>
      </c>
      <c r="AE285" s="15">
        <v>0</v>
      </c>
      <c r="AF285" s="15">
        <v>0</v>
      </c>
      <c r="AG285" s="15">
        <v>0</v>
      </c>
      <c r="AH285" s="15"/>
      <c r="AI285" s="15">
        <v>0</v>
      </c>
      <c r="AJ285" s="15"/>
      <c r="AK285" s="15">
        <v>0</v>
      </c>
      <c r="AL285" s="15"/>
      <c r="AM285" s="15">
        <v>0</v>
      </c>
      <c r="AN285" s="15"/>
      <c r="AO285" s="15">
        <v>0</v>
      </c>
      <c r="AP285" s="15"/>
      <c r="AQ285" s="15">
        <v>0</v>
      </c>
      <c r="AR285" s="15">
        <v>0</v>
      </c>
      <c r="AS285" s="15">
        <v>0</v>
      </c>
      <c r="AT285" s="15">
        <v>0</v>
      </c>
      <c r="AU285" s="15">
        <v>0</v>
      </c>
      <c r="AV285" s="15">
        <v>0</v>
      </c>
      <c r="AW285" s="15">
        <v>0</v>
      </c>
      <c r="AX285" s="15">
        <v>0</v>
      </c>
      <c r="AY285" s="15">
        <v>0</v>
      </c>
      <c r="AZ285" s="15">
        <v>0</v>
      </c>
      <c r="BA285" s="15">
        <v>0</v>
      </c>
      <c r="BB285" s="15"/>
      <c r="BC285" s="15">
        <v>0</v>
      </c>
      <c r="BD285" s="15">
        <v>0</v>
      </c>
      <c r="BE285" s="15">
        <v>0</v>
      </c>
      <c r="BF285" s="15">
        <v>0</v>
      </c>
      <c r="BG285" s="15"/>
      <c r="BH285" s="15">
        <v>0</v>
      </c>
      <c r="BI285" s="15"/>
      <c r="BJ285" s="15">
        <v>0</v>
      </c>
      <c r="BK285" s="15">
        <v>0</v>
      </c>
      <c r="BL285" s="15">
        <v>0</v>
      </c>
      <c r="BM285" s="15">
        <v>0</v>
      </c>
      <c r="BN285" s="15"/>
      <c r="BO285" s="15"/>
      <c r="BP285" s="15">
        <v>0</v>
      </c>
      <c r="BQ285" s="15">
        <v>0</v>
      </c>
      <c r="BR285" s="15">
        <v>0</v>
      </c>
      <c r="BS285" s="15">
        <v>0</v>
      </c>
      <c r="BT285" s="15">
        <v>0</v>
      </c>
      <c r="BU285" s="15">
        <v>0</v>
      </c>
      <c r="BV285" s="15">
        <v>0</v>
      </c>
      <c r="BW285" s="15">
        <v>0</v>
      </c>
      <c r="BX285" s="15">
        <v>0</v>
      </c>
    </row>
    <row r="286" spans="1:76">
      <c r="A286" s="14" t="str">
        <f>VLOOKUP(C286,VLOOKUP!A:B,2,FALSE)</f>
        <v>如意盘香</v>
      </c>
      <c r="B286" s="16">
        <v>46048</v>
      </c>
      <c r="C286" s="17">
        <v>838711327669</v>
      </c>
      <c r="D286" s="15" t="s">
        <v>151</v>
      </c>
      <c r="E286" s="15" t="s">
        <v>158</v>
      </c>
      <c r="F286" s="15">
        <v>1084</v>
      </c>
      <c r="G286" s="15">
        <v>34</v>
      </c>
      <c r="H286" s="15">
        <v>59.97</v>
      </c>
      <c r="I286" s="15">
        <v>0.03137</v>
      </c>
      <c r="J286" s="15">
        <v>1.76</v>
      </c>
      <c r="K286" s="15">
        <v>55.32</v>
      </c>
      <c r="L286" s="15">
        <v>0</v>
      </c>
      <c r="M286" s="15">
        <v>0</v>
      </c>
      <c r="N286" s="15">
        <v>0</v>
      </c>
      <c r="O286" s="15">
        <v>0</v>
      </c>
      <c r="P286" s="15">
        <v>0</v>
      </c>
      <c r="Q286" s="15">
        <v>0</v>
      </c>
      <c r="R286" s="15">
        <v>0</v>
      </c>
      <c r="S286" s="15">
        <v>732</v>
      </c>
      <c r="T286" s="15">
        <v>732</v>
      </c>
      <c r="U286" s="15">
        <v>2</v>
      </c>
      <c r="V286" s="15">
        <v>0</v>
      </c>
      <c r="W286" s="15">
        <v>2</v>
      </c>
      <c r="X286" s="15">
        <v>0.05882</v>
      </c>
      <c r="Y286" s="15">
        <v>12.21</v>
      </c>
      <c r="Z286" s="15">
        <v>12.21</v>
      </c>
      <c r="AA286" s="15">
        <v>29.99</v>
      </c>
      <c r="AB286" s="15">
        <v>6</v>
      </c>
      <c r="AC286" s="15">
        <v>1</v>
      </c>
      <c r="AD286" s="15">
        <v>5</v>
      </c>
      <c r="AE286" s="15">
        <v>0.17647</v>
      </c>
      <c r="AF286" s="15">
        <v>0</v>
      </c>
      <c r="AG286" s="15">
        <v>0</v>
      </c>
      <c r="AH286" s="15"/>
      <c r="AI286" s="15">
        <v>6</v>
      </c>
      <c r="AJ286" s="15">
        <v>10</v>
      </c>
      <c r="AK286" s="15">
        <v>6</v>
      </c>
      <c r="AL286" s="15">
        <v>10</v>
      </c>
      <c r="AM286" s="15">
        <v>0</v>
      </c>
      <c r="AN286" s="15"/>
      <c r="AO286" s="15">
        <v>0</v>
      </c>
      <c r="AP286" s="15">
        <v>10</v>
      </c>
      <c r="AQ286" s="15">
        <v>6</v>
      </c>
      <c r="AR286" s="15">
        <v>1581</v>
      </c>
      <c r="AS286" s="15">
        <v>0</v>
      </c>
      <c r="AT286" s="15">
        <v>0</v>
      </c>
      <c r="AU286" s="15">
        <v>3</v>
      </c>
      <c r="AV286" s="15">
        <v>0</v>
      </c>
      <c r="AW286" s="15">
        <v>0</v>
      </c>
      <c r="AX286" s="15">
        <v>2</v>
      </c>
      <c r="AY286" s="15">
        <v>215</v>
      </c>
      <c r="AZ286" s="15">
        <v>32</v>
      </c>
      <c r="BA286" s="15">
        <v>24</v>
      </c>
      <c r="BB286" s="15">
        <v>0.75</v>
      </c>
      <c r="BC286" s="15">
        <v>0</v>
      </c>
      <c r="BD286" s="15">
        <v>0</v>
      </c>
      <c r="BE286" s="15">
        <v>0.19834</v>
      </c>
      <c r="BF286" s="15">
        <v>170</v>
      </c>
      <c r="BG286" s="15">
        <v>7</v>
      </c>
      <c r="BH286" s="15">
        <v>0</v>
      </c>
      <c r="BI286" s="15">
        <v>0</v>
      </c>
      <c r="BJ286" s="15">
        <v>0</v>
      </c>
      <c r="BK286" s="15">
        <v>0</v>
      </c>
      <c r="BL286" s="15">
        <v>0</v>
      </c>
      <c r="BM286" s="15">
        <v>1</v>
      </c>
      <c r="BN286" s="15">
        <v>2</v>
      </c>
      <c r="BO286" s="15">
        <v>732</v>
      </c>
      <c r="BP286" s="15">
        <v>17.17</v>
      </c>
      <c r="BQ286" s="15">
        <v>450</v>
      </c>
      <c r="BR286" s="15">
        <v>0</v>
      </c>
      <c r="BS286" s="15">
        <v>0</v>
      </c>
      <c r="BT286" s="15">
        <v>0</v>
      </c>
      <c r="BU286" s="15">
        <v>0</v>
      </c>
      <c r="BV286" s="15">
        <v>0</v>
      </c>
      <c r="BW286" s="15">
        <v>0</v>
      </c>
      <c r="BX286" s="15">
        <v>0</v>
      </c>
    </row>
    <row r="287" spans="1:76">
      <c r="A287" s="14" t="str">
        <f>VLOOKUP(C287,VLOOKUP!A:B,2,FALSE)</f>
        <v>福颜青</v>
      </c>
      <c r="B287" s="16">
        <v>46048</v>
      </c>
      <c r="C287" s="17">
        <v>833369552621</v>
      </c>
      <c r="D287" s="15" t="s">
        <v>151</v>
      </c>
      <c r="E287" s="15" t="s">
        <v>154</v>
      </c>
      <c r="F287" s="15">
        <v>692</v>
      </c>
      <c r="G287" s="15">
        <v>8</v>
      </c>
      <c r="H287" s="15">
        <v>4.22</v>
      </c>
      <c r="I287" s="15">
        <v>0.01156</v>
      </c>
      <c r="J287" s="15">
        <v>0.53</v>
      </c>
      <c r="K287" s="15">
        <v>6.1</v>
      </c>
      <c r="L287" s="15">
        <v>0</v>
      </c>
      <c r="M287" s="15">
        <v>0</v>
      </c>
      <c r="N287" s="15">
        <v>0</v>
      </c>
      <c r="O287" s="15">
        <v>0</v>
      </c>
      <c r="P287" s="15">
        <v>0</v>
      </c>
      <c r="Q287" s="15">
        <v>0</v>
      </c>
      <c r="R287" s="15">
        <v>0</v>
      </c>
      <c r="S287" s="15">
        <v>0</v>
      </c>
      <c r="T287" s="15">
        <v>0</v>
      </c>
      <c r="U287" s="15">
        <v>0</v>
      </c>
      <c r="V287" s="15">
        <v>0</v>
      </c>
      <c r="W287" s="15">
        <v>0</v>
      </c>
      <c r="X287" s="15">
        <v>0</v>
      </c>
      <c r="Y287" s="15">
        <v>0</v>
      </c>
      <c r="Z287" s="15">
        <v>0</v>
      </c>
      <c r="AA287" s="15"/>
      <c r="AB287" s="15">
        <v>0</v>
      </c>
      <c r="AC287" s="15">
        <v>0</v>
      </c>
      <c r="AD287" s="15">
        <v>0</v>
      </c>
      <c r="AE287" s="15">
        <v>0</v>
      </c>
      <c r="AF287" s="15">
        <v>0</v>
      </c>
      <c r="AG287" s="15">
        <v>0</v>
      </c>
      <c r="AH287" s="15"/>
      <c r="AI287" s="15">
        <v>0</v>
      </c>
      <c r="AJ287" s="15"/>
      <c r="AK287" s="15">
        <v>0</v>
      </c>
      <c r="AL287" s="15"/>
      <c r="AM287" s="15">
        <v>0</v>
      </c>
      <c r="AN287" s="15"/>
      <c r="AO287" s="15">
        <v>0</v>
      </c>
      <c r="AP287" s="15"/>
      <c r="AQ287" s="15">
        <v>0</v>
      </c>
      <c r="AR287" s="15">
        <v>0</v>
      </c>
      <c r="AS287" s="15">
        <v>0</v>
      </c>
      <c r="AT287" s="15">
        <v>0</v>
      </c>
      <c r="AU287" s="15">
        <v>1</v>
      </c>
      <c r="AV287" s="15">
        <v>0</v>
      </c>
      <c r="AW287" s="15">
        <v>0</v>
      </c>
      <c r="AX287" s="15">
        <v>0</v>
      </c>
      <c r="AY287" s="15">
        <v>18</v>
      </c>
      <c r="AZ287" s="15">
        <v>12</v>
      </c>
      <c r="BA287" s="15">
        <v>12</v>
      </c>
      <c r="BB287" s="15">
        <v>1</v>
      </c>
      <c r="BC287" s="15">
        <v>0</v>
      </c>
      <c r="BD287" s="15">
        <v>0</v>
      </c>
      <c r="BE287" s="15">
        <v>0.02601</v>
      </c>
      <c r="BF287" s="15">
        <v>4</v>
      </c>
      <c r="BG287" s="15">
        <v>2</v>
      </c>
      <c r="BH287" s="15">
        <v>0</v>
      </c>
      <c r="BI287" s="15"/>
      <c r="BJ287" s="15">
        <v>0</v>
      </c>
      <c r="BK287" s="15">
        <v>0</v>
      </c>
      <c r="BL287" s="15">
        <v>0</v>
      </c>
      <c r="BM287" s="15">
        <v>0</v>
      </c>
      <c r="BN287" s="15"/>
      <c r="BO287" s="15"/>
      <c r="BP287" s="15">
        <v>0</v>
      </c>
      <c r="BQ287" s="15">
        <v>0</v>
      </c>
      <c r="BR287" s="15">
        <v>0</v>
      </c>
      <c r="BS287" s="15">
        <v>0</v>
      </c>
      <c r="BT287" s="15">
        <v>0</v>
      </c>
      <c r="BU287" s="15">
        <v>0</v>
      </c>
      <c r="BV287" s="15">
        <v>0</v>
      </c>
      <c r="BW287" s="15">
        <v>0</v>
      </c>
      <c r="BX287" s="15">
        <v>0</v>
      </c>
    </row>
    <row r="288" spans="1:76">
      <c r="A288" s="14" t="str">
        <f>VLOOKUP(C288,VLOOKUP!A:B,2,FALSE)</f>
        <v>奇楠手串</v>
      </c>
      <c r="B288" s="16">
        <v>46048</v>
      </c>
      <c r="C288" s="17">
        <v>833035288991</v>
      </c>
      <c r="D288" s="15" t="s">
        <v>151</v>
      </c>
      <c r="E288" s="15" t="s">
        <v>159</v>
      </c>
      <c r="F288" s="15">
        <v>459</v>
      </c>
      <c r="G288" s="15">
        <v>12</v>
      </c>
      <c r="H288" s="15">
        <v>19.41</v>
      </c>
      <c r="I288" s="15">
        <v>0.02614</v>
      </c>
      <c r="J288" s="15">
        <v>1.62</v>
      </c>
      <c r="K288" s="15">
        <v>42.29</v>
      </c>
      <c r="L288" s="15">
        <v>0</v>
      </c>
      <c r="M288" s="15">
        <v>0</v>
      </c>
      <c r="N288" s="15">
        <v>0</v>
      </c>
      <c r="O288" s="15">
        <v>0</v>
      </c>
      <c r="P288" s="15">
        <v>0</v>
      </c>
      <c r="Q288" s="15">
        <v>0</v>
      </c>
      <c r="R288" s="15">
        <v>0</v>
      </c>
      <c r="S288" s="15">
        <v>0</v>
      </c>
      <c r="T288" s="15">
        <v>0</v>
      </c>
      <c r="U288" s="15">
        <v>0</v>
      </c>
      <c r="V288" s="15">
        <v>0</v>
      </c>
      <c r="W288" s="15">
        <v>0</v>
      </c>
      <c r="X288" s="15">
        <v>0</v>
      </c>
      <c r="Y288" s="15">
        <v>0</v>
      </c>
      <c r="Z288" s="15">
        <v>0</v>
      </c>
      <c r="AA288" s="15"/>
      <c r="AB288" s="15">
        <v>0</v>
      </c>
      <c r="AC288" s="15">
        <v>0</v>
      </c>
      <c r="AD288" s="15">
        <v>0</v>
      </c>
      <c r="AE288" s="15">
        <v>0</v>
      </c>
      <c r="AF288" s="15">
        <v>0</v>
      </c>
      <c r="AG288" s="15">
        <v>0</v>
      </c>
      <c r="AH288" s="15"/>
      <c r="AI288" s="15">
        <v>0</v>
      </c>
      <c r="AJ288" s="15"/>
      <c r="AK288" s="15">
        <v>0</v>
      </c>
      <c r="AL288" s="15"/>
      <c r="AM288" s="15">
        <v>0</v>
      </c>
      <c r="AN288" s="15"/>
      <c r="AO288" s="15">
        <v>0</v>
      </c>
      <c r="AP288" s="15"/>
      <c r="AQ288" s="15">
        <v>0</v>
      </c>
      <c r="AR288" s="15">
        <v>0</v>
      </c>
      <c r="AS288" s="15">
        <v>0</v>
      </c>
      <c r="AT288" s="15">
        <v>0</v>
      </c>
      <c r="AU288" s="15">
        <v>0</v>
      </c>
      <c r="AV288" s="15">
        <v>0</v>
      </c>
      <c r="AW288" s="15">
        <v>0</v>
      </c>
      <c r="AX288" s="15">
        <v>0</v>
      </c>
      <c r="AY288" s="15">
        <v>16</v>
      </c>
      <c r="AZ288" s="15">
        <v>12</v>
      </c>
      <c r="BA288" s="15">
        <v>11</v>
      </c>
      <c r="BB288" s="15">
        <v>0.91667</v>
      </c>
      <c r="BC288" s="15">
        <v>0</v>
      </c>
      <c r="BD288" s="15">
        <v>0</v>
      </c>
      <c r="BE288" s="15">
        <v>0.03486</v>
      </c>
      <c r="BF288" s="15">
        <v>4</v>
      </c>
      <c r="BG288" s="15">
        <v>1</v>
      </c>
      <c r="BH288" s="15">
        <v>0</v>
      </c>
      <c r="BI288" s="15"/>
      <c r="BJ288" s="15">
        <v>0</v>
      </c>
      <c r="BK288" s="15">
        <v>0</v>
      </c>
      <c r="BL288" s="15">
        <v>0</v>
      </c>
      <c r="BM288" s="15">
        <v>0</v>
      </c>
      <c r="BN288" s="15"/>
      <c r="BO288" s="15"/>
      <c r="BP288" s="15">
        <v>0</v>
      </c>
      <c r="BQ288" s="15">
        <v>1</v>
      </c>
      <c r="BR288" s="15">
        <v>0</v>
      </c>
      <c r="BS288" s="15">
        <v>0</v>
      </c>
      <c r="BT288" s="15">
        <v>0</v>
      </c>
      <c r="BU288" s="15">
        <v>0</v>
      </c>
      <c r="BV288" s="15">
        <v>0</v>
      </c>
      <c r="BW288" s="15">
        <v>0</v>
      </c>
      <c r="BX288" s="15">
        <v>0</v>
      </c>
    </row>
    <row r="289" spans="1:76">
      <c r="A289" s="14" t="str">
        <f>VLOOKUP(C289,VLOOKUP!A:B,2,FALSE)</f>
        <v>四季线香</v>
      </c>
      <c r="B289" s="16">
        <v>46048</v>
      </c>
      <c r="C289" s="17">
        <v>742540384374</v>
      </c>
      <c r="D289" s="15" t="s">
        <v>151</v>
      </c>
      <c r="E289" s="15" t="s">
        <v>161</v>
      </c>
      <c r="F289" s="15">
        <v>472</v>
      </c>
      <c r="G289" s="15">
        <v>9</v>
      </c>
      <c r="H289" s="15">
        <v>33.03</v>
      </c>
      <c r="I289" s="15">
        <v>0.01907</v>
      </c>
      <c r="J289" s="15">
        <v>3.67</v>
      </c>
      <c r="K289" s="15">
        <v>69.98</v>
      </c>
      <c r="L289" s="15">
        <v>0</v>
      </c>
      <c r="M289" s="15">
        <v>0</v>
      </c>
      <c r="N289" s="15">
        <v>0</v>
      </c>
      <c r="O289" s="15">
        <v>0</v>
      </c>
      <c r="P289" s="15">
        <v>0</v>
      </c>
      <c r="Q289" s="15">
        <v>0</v>
      </c>
      <c r="R289" s="15">
        <v>0</v>
      </c>
      <c r="S289" s="15">
        <v>71.13</v>
      </c>
      <c r="T289" s="15">
        <v>71.13</v>
      </c>
      <c r="U289" s="15">
        <v>1</v>
      </c>
      <c r="V289" s="15">
        <v>0</v>
      </c>
      <c r="W289" s="15">
        <v>1</v>
      </c>
      <c r="X289" s="15">
        <v>0.11111</v>
      </c>
      <c r="Y289" s="15">
        <v>2.15</v>
      </c>
      <c r="Z289" s="15">
        <v>2.15</v>
      </c>
      <c r="AA289" s="15">
        <v>33.03</v>
      </c>
      <c r="AB289" s="15">
        <v>0</v>
      </c>
      <c r="AC289" s="15">
        <v>0</v>
      </c>
      <c r="AD289" s="15">
        <v>0</v>
      </c>
      <c r="AE289" s="15">
        <v>0</v>
      </c>
      <c r="AF289" s="15">
        <v>0</v>
      </c>
      <c r="AG289" s="15">
        <v>0</v>
      </c>
      <c r="AH289" s="15"/>
      <c r="AI289" s="15">
        <v>0</v>
      </c>
      <c r="AJ289" s="15"/>
      <c r="AK289" s="15">
        <v>0</v>
      </c>
      <c r="AL289" s="15"/>
      <c r="AM289" s="15">
        <v>0</v>
      </c>
      <c r="AN289" s="15"/>
      <c r="AO289" s="15">
        <v>0</v>
      </c>
      <c r="AP289" s="15"/>
      <c r="AQ289" s="15">
        <v>2</v>
      </c>
      <c r="AR289" s="15">
        <v>148.9</v>
      </c>
      <c r="AS289" s="15">
        <v>0</v>
      </c>
      <c r="AT289" s="15">
        <v>0</v>
      </c>
      <c r="AU289" s="15">
        <v>5</v>
      </c>
      <c r="AV289" s="15">
        <v>0</v>
      </c>
      <c r="AW289" s="15">
        <v>0</v>
      </c>
      <c r="AX289" s="15">
        <v>0</v>
      </c>
      <c r="AY289" s="15">
        <v>37</v>
      </c>
      <c r="AZ289" s="15">
        <v>9</v>
      </c>
      <c r="BA289" s="15">
        <v>7</v>
      </c>
      <c r="BB289" s="15">
        <v>0.77778</v>
      </c>
      <c r="BC289" s="15">
        <v>0</v>
      </c>
      <c r="BD289" s="15">
        <v>0</v>
      </c>
      <c r="BE289" s="15">
        <v>0.07839</v>
      </c>
      <c r="BF289" s="15">
        <v>28</v>
      </c>
      <c r="BG289" s="15">
        <v>4</v>
      </c>
      <c r="BH289" s="15">
        <v>0</v>
      </c>
      <c r="BI289" s="15">
        <v>0</v>
      </c>
      <c r="BJ289" s="15">
        <v>0</v>
      </c>
      <c r="BK289" s="15">
        <v>0</v>
      </c>
      <c r="BL289" s="15">
        <v>0</v>
      </c>
      <c r="BM289" s="15">
        <v>1</v>
      </c>
      <c r="BN289" s="15">
        <v>1</v>
      </c>
      <c r="BO289" s="15">
        <v>71.13</v>
      </c>
      <c r="BP289" s="15">
        <v>0.06</v>
      </c>
      <c r="BQ289" s="15">
        <v>37</v>
      </c>
      <c r="BR289" s="15">
        <v>0</v>
      </c>
      <c r="BS289" s="15">
        <v>0</v>
      </c>
      <c r="BT289" s="15">
        <v>0</v>
      </c>
      <c r="BU289" s="15">
        <v>0</v>
      </c>
      <c r="BV289" s="15">
        <v>0</v>
      </c>
      <c r="BW289" s="15">
        <v>0</v>
      </c>
      <c r="BX289" s="15">
        <v>0</v>
      </c>
    </row>
    <row r="290" spans="1:76">
      <c r="A290" s="14" t="str">
        <f>VLOOKUP(C290,VLOOKUP!A:B,2,FALSE)</f>
        <v>车载香薰</v>
      </c>
      <c r="B290" s="16">
        <v>46048</v>
      </c>
      <c r="C290" s="17">
        <v>616090775596</v>
      </c>
      <c r="D290" s="15" t="s">
        <v>151</v>
      </c>
      <c r="E290" s="15" t="s">
        <v>162</v>
      </c>
      <c r="F290" s="15">
        <v>436</v>
      </c>
      <c r="G290" s="15">
        <v>16</v>
      </c>
      <c r="H290" s="15">
        <v>45.42</v>
      </c>
      <c r="I290" s="15">
        <v>0.0367</v>
      </c>
      <c r="J290" s="15">
        <v>2.84</v>
      </c>
      <c r="K290" s="15">
        <v>104.17</v>
      </c>
      <c r="L290" s="15">
        <v>0</v>
      </c>
      <c r="M290" s="15">
        <v>0</v>
      </c>
      <c r="N290" s="15">
        <v>0</v>
      </c>
      <c r="O290" s="15">
        <v>0</v>
      </c>
      <c r="P290" s="15">
        <v>0</v>
      </c>
      <c r="Q290" s="15">
        <v>0</v>
      </c>
      <c r="R290" s="15">
        <v>0</v>
      </c>
      <c r="S290" s="15">
        <v>0</v>
      </c>
      <c r="T290" s="15">
        <v>0</v>
      </c>
      <c r="U290" s="15">
        <v>0</v>
      </c>
      <c r="V290" s="15">
        <v>0</v>
      </c>
      <c r="W290" s="15">
        <v>0</v>
      </c>
      <c r="X290" s="15">
        <v>0</v>
      </c>
      <c r="Y290" s="15">
        <v>0</v>
      </c>
      <c r="Z290" s="15">
        <v>0</v>
      </c>
      <c r="AA290" s="15"/>
      <c r="AB290" s="15">
        <v>0</v>
      </c>
      <c r="AC290" s="15">
        <v>0</v>
      </c>
      <c r="AD290" s="15">
        <v>0</v>
      </c>
      <c r="AE290" s="15">
        <v>0</v>
      </c>
      <c r="AF290" s="15">
        <v>0</v>
      </c>
      <c r="AG290" s="15">
        <v>0</v>
      </c>
      <c r="AH290" s="15"/>
      <c r="AI290" s="15">
        <v>0</v>
      </c>
      <c r="AJ290" s="15"/>
      <c r="AK290" s="15">
        <v>0</v>
      </c>
      <c r="AL290" s="15"/>
      <c r="AM290" s="15">
        <v>0</v>
      </c>
      <c r="AN290" s="15"/>
      <c r="AO290" s="15">
        <v>0</v>
      </c>
      <c r="AP290" s="15"/>
      <c r="AQ290" s="15">
        <v>0</v>
      </c>
      <c r="AR290" s="15">
        <v>0</v>
      </c>
      <c r="AS290" s="15">
        <v>0</v>
      </c>
      <c r="AT290" s="15">
        <v>0</v>
      </c>
      <c r="AU290" s="15">
        <v>1</v>
      </c>
      <c r="AV290" s="15">
        <v>0</v>
      </c>
      <c r="AW290" s="15">
        <v>0</v>
      </c>
      <c r="AX290" s="15">
        <v>1</v>
      </c>
      <c r="AY290" s="15">
        <v>49</v>
      </c>
      <c r="AZ290" s="15">
        <v>15</v>
      </c>
      <c r="BA290" s="15">
        <v>10</v>
      </c>
      <c r="BB290" s="15">
        <v>0.66667</v>
      </c>
      <c r="BC290" s="15">
        <v>0</v>
      </c>
      <c r="BD290" s="15">
        <v>0</v>
      </c>
      <c r="BE290" s="15">
        <v>0.11239</v>
      </c>
      <c r="BF290" s="15">
        <v>30</v>
      </c>
      <c r="BG290" s="15">
        <v>3</v>
      </c>
      <c r="BH290" s="15">
        <v>0</v>
      </c>
      <c r="BI290" s="15"/>
      <c r="BJ290" s="15">
        <v>0</v>
      </c>
      <c r="BK290" s="15">
        <v>0</v>
      </c>
      <c r="BL290" s="15">
        <v>0</v>
      </c>
      <c r="BM290" s="15">
        <v>0</v>
      </c>
      <c r="BN290" s="15"/>
      <c r="BO290" s="15"/>
      <c r="BP290" s="15">
        <v>0</v>
      </c>
      <c r="BQ290" s="15">
        <v>40</v>
      </c>
      <c r="BR290" s="15">
        <v>0</v>
      </c>
      <c r="BS290" s="15">
        <v>0</v>
      </c>
      <c r="BT290" s="15">
        <v>0</v>
      </c>
      <c r="BU290" s="15">
        <v>0</v>
      </c>
      <c r="BV290" s="15">
        <v>0</v>
      </c>
      <c r="BW290" s="15">
        <v>0</v>
      </c>
      <c r="BX290" s="15">
        <v>0</v>
      </c>
    </row>
    <row r="291" spans="1:76">
      <c r="A291" s="14" t="str">
        <f>VLOOKUP(C291,VLOOKUP!A:B,2,FALSE)</f>
        <v>天官赐福</v>
      </c>
      <c r="B291" s="16">
        <v>46047</v>
      </c>
      <c r="C291" s="17">
        <v>972494676240</v>
      </c>
      <c r="D291" s="15" t="s">
        <v>151</v>
      </c>
      <c r="E291" s="15" t="s">
        <v>160</v>
      </c>
      <c r="F291" s="15">
        <v>291</v>
      </c>
      <c r="G291" s="15">
        <v>8</v>
      </c>
      <c r="H291" s="15">
        <v>12.32</v>
      </c>
      <c r="I291" s="15">
        <v>0.02749</v>
      </c>
      <c r="J291" s="15">
        <v>1.54</v>
      </c>
      <c r="K291" s="15">
        <v>42.34</v>
      </c>
      <c r="L291" s="15">
        <v>0</v>
      </c>
      <c r="M291" s="15">
        <v>0</v>
      </c>
      <c r="N291" s="15">
        <v>0</v>
      </c>
      <c r="O291" s="15">
        <v>0</v>
      </c>
      <c r="P291" s="15">
        <v>0</v>
      </c>
      <c r="Q291" s="15">
        <v>0</v>
      </c>
      <c r="R291" s="15">
        <v>0</v>
      </c>
      <c r="S291" s="15">
        <v>0</v>
      </c>
      <c r="T291" s="15">
        <v>0</v>
      </c>
      <c r="U291" s="15">
        <v>0</v>
      </c>
      <c r="V291" s="15">
        <v>0</v>
      </c>
      <c r="W291" s="15">
        <v>0</v>
      </c>
      <c r="X291" s="15">
        <v>0</v>
      </c>
      <c r="Y291" s="15">
        <v>0</v>
      </c>
      <c r="Z291" s="15">
        <v>0</v>
      </c>
      <c r="AA291" s="15"/>
      <c r="AB291" s="15">
        <v>0</v>
      </c>
      <c r="AC291" s="15">
        <v>0</v>
      </c>
      <c r="AD291" s="15">
        <v>0</v>
      </c>
      <c r="AE291" s="15">
        <v>0</v>
      </c>
      <c r="AF291" s="15">
        <v>0</v>
      </c>
      <c r="AG291" s="15">
        <v>0</v>
      </c>
      <c r="AH291" s="15"/>
      <c r="AI291" s="15">
        <v>0</v>
      </c>
      <c r="AJ291" s="15"/>
      <c r="AK291" s="15">
        <v>0</v>
      </c>
      <c r="AL291" s="15"/>
      <c r="AM291" s="15">
        <v>0</v>
      </c>
      <c r="AN291" s="15"/>
      <c r="AO291" s="15">
        <v>0</v>
      </c>
      <c r="AP291" s="15"/>
      <c r="AQ291" s="15">
        <v>0</v>
      </c>
      <c r="AR291" s="15">
        <v>0</v>
      </c>
      <c r="AS291" s="15">
        <v>0</v>
      </c>
      <c r="AT291" s="15">
        <v>0</v>
      </c>
      <c r="AU291" s="15">
        <v>0</v>
      </c>
      <c r="AV291" s="15">
        <v>0</v>
      </c>
      <c r="AW291" s="15">
        <v>0</v>
      </c>
      <c r="AX291" s="15">
        <v>0</v>
      </c>
      <c r="AY291" s="15">
        <v>11</v>
      </c>
      <c r="AZ291" s="15">
        <v>8</v>
      </c>
      <c r="BA291" s="15">
        <v>8</v>
      </c>
      <c r="BB291" s="15">
        <v>1</v>
      </c>
      <c r="BC291" s="15">
        <v>0</v>
      </c>
      <c r="BD291" s="15">
        <v>0</v>
      </c>
      <c r="BE291" s="15">
        <v>0.0378</v>
      </c>
      <c r="BF291" s="15">
        <v>2</v>
      </c>
      <c r="BG291" s="15">
        <v>1</v>
      </c>
      <c r="BH291" s="15">
        <v>0</v>
      </c>
      <c r="BI291" s="15"/>
      <c r="BJ291" s="15">
        <v>0</v>
      </c>
      <c r="BK291" s="15">
        <v>0</v>
      </c>
      <c r="BL291" s="15">
        <v>0</v>
      </c>
      <c r="BM291" s="15">
        <v>0</v>
      </c>
      <c r="BN291" s="15"/>
      <c r="BO291" s="15"/>
      <c r="BP291" s="15">
        <v>0</v>
      </c>
      <c r="BQ291" s="15">
        <v>0</v>
      </c>
      <c r="BR291" s="15">
        <v>0</v>
      </c>
      <c r="BS291" s="15">
        <v>0</v>
      </c>
      <c r="BT291" s="15">
        <v>0</v>
      </c>
      <c r="BU291" s="15">
        <v>0</v>
      </c>
      <c r="BV291" s="15">
        <v>0</v>
      </c>
      <c r="BW291" s="15">
        <v>0</v>
      </c>
      <c r="BX291" s="15">
        <v>0</v>
      </c>
    </row>
    <row r="292" spans="1:76">
      <c r="A292" s="14" t="str">
        <f>VLOOKUP(C292,VLOOKUP!A:B,2,FALSE)</f>
        <v>福到</v>
      </c>
      <c r="B292" s="16">
        <v>46047</v>
      </c>
      <c r="C292" s="17">
        <v>971856893567</v>
      </c>
      <c r="D292" s="15" t="s">
        <v>151</v>
      </c>
      <c r="E292" s="15" t="s">
        <v>152</v>
      </c>
      <c r="F292" s="15">
        <v>200</v>
      </c>
      <c r="G292" s="15">
        <v>5</v>
      </c>
      <c r="H292" s="15">
        <v>2.32</v>
      </c>
      <c r="I292" s="15">
        <v>0.025</v>
      </c>
      <c r="J292" s="15">
        <v>0.46</v>
      </c>
      <c r="K292" s="15">
        <v>11.6</v>
      </c>
      <c r="L292" s="15">
        <v>0</v>
      </c>
      <c r="M292" s="15">
        <v>0</v>
      </c>
      <c r="N292" s="15">
        <v>0</v>
      </c>
      <c r="O292" s="15">
        <v>0</v>
      </c>
      <c r="P292" s="15">
        <v>0</v>
      </c>
      <c r="Q292" s="15">
        <v>0</v>
      </c>
      <c r="R292" s="15">
        <v>0</v>
      </c>
      <c r="S292" s="15">
        <v>0</v>
      </c>
      <c r="T292" s="15">
        <v>0</v>
      </c>
      <c r="U292" s="15">
        <v>0</v>
      </c>
      <c r="V292" s="15">
        <v>0</v>
      </c>
      <c r="W292" s="15">
        <v>0</v>
      </c>
      <c r="X292" s="15">
        <v>0</v>
      </c>
      <c r="Y292" s="15">
        <v>0</v>
      </c>
      <c r="Z292" s="15">
        <v>0</v>
      </c>
      <c r="AA292" s="15"/>
      <c r="AB292" s="15">
        <v>0</v>
      </c>
      <c r="AC292" s="15">
        <v>0</v>
      </c>
      <c r="AD292" s="15">
        <v>0</v>
      </c>
      <c r="AE292" s="15">
        <v>0</v>
      </c>
      <c r="AF292" s="15">
        <v>0</v>
      </c>
      <c r="AG292" s="15">
        <v>0</v>
      </c>
      <c r="AH292" s="15"/>
      <c r="AI292" s="15">
        <v>0</v>
      </c>
      <c r="AJ292" s="15"/>
      <c r="AK292" s="15">
        <v>0</v>
      </c>
      <c r="AL292" s="15"/>
      <c r="AM292" s="15">
        <v>0</v>
      </c>
      <c r="AN292" s="15"/>
      <c r="AO292" s="15">
        <v>0</v>
      </c>
      <c r="AP292" s="15"/>
      <c r="AQ292" s="15">
        <v>0</v>
      </c>
      <c r="AR292" s="15">
        <v>0</v>
      </c>
      <c r="AS292" s="15">
        <v>0</v>
      </c>
      <c r="AT292" s="15">
        <v>0</v>
      </c>
      <c r="AU292" s="15">
        <v>0</v>
      </c>
      <c r="AV292" s="15">
        <v>0</v>
      </c>
      <c r="AW292" s="15">
        <v>0</v>
      </c>
      <c r="AX292" s="15">
        <v>0</v>
      </c>
      <c r="AY292" s="15">
        <v>6</v>
      </c>
      <c r="AZ292" s="15">
        <v>4</v>
      </c>
      <c r="BA292" s="15">
        <v>4</v>
      </c>
      <c r="BB292" s="15">
        <v>1</v>
      </c>
      <c r="BC292" s="15">
        <v>0</v>
      </c>
      <c r="BD292" s="15">
        <v>0</v>
      </c>
      <c r="BE292" s="15">
        <v>0.03</v>
      </c>
      <c r="BF292" s="15">
        <v>2</v>
      </c>
      <c r="BG292" s="15">
        <v>2</v>
      </c>
      <c r="BH292" s="15">
        <v>0</v>
      </c>
      <c r="BI292" s="15"/>
      <c r="BJ292" s="15">
        <v>0</v>
      </c>
      <c r="BK292" s="15">
        <v>0</v>
      </c>
      <c r="BL292" s="15">
        <v>0</v>
      </c>
      <c r="BM292" s="15">
        <v>0</v>
      </c>
      <c r="BN292" s="15"/>
      <c r="BO292" s="15"/>
      <c r="BP292" s="15">
        <v>0</v>
      </c>
      <c r="BQ292" s="15">
        <v>0</v>
      </c>
      <c r="BR292" s="15">
        <v>0</v>
      </c>
      <c r="BS292" s="15">
        <v>0</v>
      </c>
      <c r="BT292" s="15">
        <v>0</v>
      </c>
      <c r="BU292" s="15">
        <v>0</v>
      </c>
      <c r="BV292" s="15">
        <v>0</v>
      </c>
      <c r="BW292" s="15">
        <v>0</v>
      </c>
      <c r="BX292" s="15">
        <v>0</v>
      </c>
    </row>
    <row r="293" spans="1:76">
      <c r="A293" s="14" t="str">
        <f>VLOOKUP(C293,VLOOKUP!A:B,2,FALSE)</f>
        <v>如意盘香</v>
      </c>
      <c r="B293" s="16">
        <v>46047</v>
      </c>
      <c r="C293" s="17">
        <v>838711327669</v>
      </c>
      <c r="D293" s="15" t="s">
        <v>151</v>
      </c>
      <c r="E293" s="15" t="s">
        <v>158</v>
      </c>
      <c r="F293" s="15">
        <v>536</v>
      </c>
      <c r="G293" s="15">
        <v>17</v>
      </c>
      <c r="H293" s="15">
        <v>80</v>
      </c>
      <c r="I293" s="15">
        <v>0.03172</v>
      </c>
      <c r="J293" s="15">
        <v>4.71</v>
      </c>
      <c r="K293" s="15">
        <v>149.25</v>
      </c>
      <c r="L293" s="15">
        <v>0</v>
      </c>
      <c r="M293" s="15">
        <v>0</v>
      </c>
      <c r="N293" s="15">
        <v>0</v>
      </c>
      <c r="O293" s="15">
        <v>0</v>
      </c>
      <c r="P293" s="15">
        <v>0</v>
      </c>
      <c r="Q293" s="15">
        <v>0</v>
      </c>
      <c r="R293" s="15">
        <v>0</v>
      </c>
      <c r="S293" s="15">
        <v>248</v>
      </c>
      <c r="T293" s="15">
        <v>248</v>
      </c>
      <c r="U293" s="15">
        <v>1</v>
      </c>
      <c r="V293" s="15">
        <v>0</v>
      </c>
      <c r="W293" s="15">
        <v>1</v>
      </c>
      <c r="X293" s="15">
        <v>0.05882</v>
      </c>
      <c r="Y293" s="15">
        <v>3.1</v>
      </c>
      <c r="Z293" s="15">
        <v>3.1</v>
      </c>
      <c r="AA293" s="15">
        <v>80</v>
      </c>
      <c r="AB293" s="15">
        <v>6</v>
      </c>
      <c r="AC293" s="15">
        <v>1</v>
      </c>
      <c r="AD293" s="15">
        <v>5</v>
      </c>
      <c r="AE293" s="15">
        <v>0.35294</v>
      </c>
      <c r="AF293" s="15">
        <v>0</v>
      </c>
      <c r="AG293" s="15">
        <v>0</v>
      </c>
      <c r="AH293" s="15"/>
      <c r="AI293" s="15">
        <v>6</v>
      </c>
      <c r="AJ293" s="15">
        <v>13.33</v>
      </c>
      <c r="AK293" s="15">
        <v>6</v>
      </c>
      <c r="AL293" s="15">
        <v>13.33</v>
      </c>
      <c r="AM293" s="15">
        <v>0</v>
      </c>
      <c r="AN293" s="15"/>
      <c r="AO293" s="15">
        <v>0</v>
      </c>
      <c r="AP293" s="15">
        <v>13.33</v>
      </c>
      <c r="AQ293" s="15">
        <v>2</v>
      </c>
      <c r="AR293" s="15">
        <v>399</v>
      </c>
      <c r="AS293" s="15">
        <v>0</v>
      </c>
      <c r="AT293" s="15">
        <v>0</v>
      </c>
      <c r="AU293" s="15">
        <v>2</v>
      </c>
      <c r="AV293" s="15">
        <v>0</v>
      </c>
      <c r="AW293" s="15">
        <v>0</v>
      </c>
      <c r="AX293" s="15">
        <v>1</v>
      </c>
      <c r="AY293" s="15">
        <v>95</v>
      </c>
      <c r="AZ293" s="15">
        <v>15</v>
      </c>
      <c r="BA293" s="15">
        <v>12</v>
      </c>
      <c r="BB293" s="15">
        <v>0.8</v>
      </c>
      <c r="BC293" s="15">
        <v>0</v>
      </c>
      <c r="BD293" s="15">
        <v>0</v>
      </c>
      <c r="BE293" s="15">
        <v>0.17724</v>
      </c>
      <c r="BF293" s="15">
        <v>78</v>
      </c>
      <c r="BG293" s="15">
        <v>6</v>
      </c>
      <c r="BH293" s="15">
        <v>1</v>
      </c>
      <c r="BI293" s="15">
        <v>1</v>
      </c>
      <c r="BJ293" s="15">
        <v>0</v>
      </c>
      <c r="BK293" s="15">
        <v>0</v>
      </c>
      <c r="BL293" s="15">
        <v>0</v>
      </c>
      <c r="BM293" s="15">
        <v>1</v>
      </c>
      <c r="BN293" s="15">
        <v>1</v>
      </c>
      <c r="BO293" s="15">
        <v>248</v>
      </c>
      <c r="BP293" s="15">
        <v>0.11</v>
      </c>
      <c r="BQ293" s="15">
        <v>333</v>
      </c>
      <c r="BR293" s="15">
        <v>0</v>
      </c>
      <c r="BS293" s="15">
        <v>0</v>
      </c>
      <c r="BT293" s="15">
        <v>0</v>
      </c>
      <c r="BU293" s="15">
        <v>0</v>
      </c>
      <c r="BV293" s="15">
        <v>0</v>
      </c>
      <c r="BW293" s="15">
        <v>0</v>
      </c>
      <c r="BX293" s="15">
        <v>0</v>
      </c>
    </row>
    <row r="294" spans="1:76">
      <c r="A294" s="14" t="str">
        <f>VLOOKUP(C294,VLOOKUP!A:B,2,FALSE)</f>
        <v>福颜青</v>
      </c>
      <c r="B294" s="16">
        <v>46047</v>
      </c>
      <c r="C294" s="17">
        <v>833369552621</v>
      </c>
      <c r="D294" s="15" t="s">
        <v>151</v>
      </c>
      <c r="E294" s="15" t="s">
        <v>154</v>
      </c>
      <c r="F294" s="15">
        <v>451</v>
      </c>
      <c r="G294" s="15">
        <v>4</v>
      </c>
      <c r="H294" s="15">
        <v>2.33</v>
      </c>
      <c r="I294" s="15">
        <v>0.00887</v>
      </c>
      <c r="J294" s="15">
        <v>0.58</v>
      </c>
      <c r="K294" s="15">
        <v>5.17</v>
      </c>
      <c r="L294" s="15">
        <v>0</v>
      </c>
      <c r="M294" s="15">
        <v>0</v>
      </c>
      <c r="N294" s="15">
        <v>0</v>
      </c>
      <c r="O294" s="15">
        <v>0</v>
      </c>
      <c r="P294" s="15">
        <v>0</v>
      </c>
      <c r="Q294" s="15">
        <v>0</v>
      </c>
      <c r="R294" s="15">
        <v>0</v>
      </c>
      <c r="S294" s="15">
        <v>0</v>
      </c>
      <c r="T294" s="15">
        <v>0</v>
      </c>
      <c r="U294" s="15">
        <v>0</v>
      </c>
      <c r="V294" s="15">
        <v>0</v>
      </c>
      <c r="W294" s="15">
        <v>0</v>
      </c>
      <c r="X294" s="15">
        <v>0</v>
      </c>
      <c r="Y294" s="15">
        <v>0</v>
      </c>
      <c r="Z294" s="15">
        <v>0</v>
      </c>
      <c r="AA294" s="15"/>
      <c r="AB294" s="15">
        <v>0</v>
      </c>
      <c r="AC294" s="15">
        <v>0</v>
      </c>
      <c r="AD294" s="15">
        <v>0</v>
      </c>
      <c r="AE294" s="15">
        <v>0</v>
      </c>
      <c r="AF294" s="15">
        <v>0</v>
      </c>
      <c r="AG294" s="15">
        <v>0</v>
      </c>
      <c r="AH294" s="15"/>
      <c r="AI294" s="15">
        <v>0</v>
      </c>
      <c r="AJ294" s="15"/>
      <c r="AK294" s="15">
        <v>0</v>
      </c>
      <c r="AL294" s="15"/>
      <c r="AM294" s="15">
        <v>0</v>
      </c>
      <c r="AN294" s="15"/>
      <c r="AO294" s="15">
        <v>0</v>
      </c>
      <c r="AP294" s="15"/>
      <c r="AQ294" s="15">
        <v>0</v>
      </c>
      <c r="AR294" s="15">
        <v>0</v>
      </c>
      <c r="AS294" s="15">
        <v>0</v>
      </c>
      <c r="AT294" s="15">
        <v>0</v>
      </c>
      <c r="AU294" s="15">
        <v>0</v>
      </c>
      <c r="AV294" s="15">
        <v>0</v>
      </c>
      <c r="AW294" s="15">
        <v>0</v>
      </c>
      <c r="AX294" s="15">
        <v>0</v>
      </c>
      <c r="AY294" s="15">
        <v>9</v>
      </c>
      <c r="AZ294" s="15">
        <v>9</v>
      </c>
      <c r="BA294" s="15">
        <v>9</v>
      </c>
      <c r="BB294" s="15">
        <v>1</v>
      </c>
      <c r="BC294" s="15">
        <v>0</v>
      </c>
      <c r="BD294" s="15">
        <v>0</v>
      </c>
      <c r="BE294" s="15">
        <v>0.01996</v>
      </c>
      <c r="BF294" s="15">
        <v>0</v>
      </c>
      <c r="BG294" s="15">
        <v>1</v>
      </c>
      <c r="BH294" s="15">
        <v>0</v>
      </c>
      <c r="BI294" s="15"/>
      <c r="BJ294" s="15">
        <v>0</v>
      </c>
      <c r="BK294" s="15">
        <v>0</v>
      </c>
      <c r="BL294" s="15">
        <v>0</v>
      </c>
      <c r="BM294" s="15">
        <v>0</v>
      </c>
      <c r="BN294" s="15"/>
      <c r="BO294" s="15"/>
      <c r="BP294" s="15">
        <v>0</v>
      </c>
      <c r="BQ294" s="15">
        <v>0</v>
      </c>
      <c r="BR294" s="15">
        <v>0</v>
      </c>
      <c r="BS294" s="15">
        <v>0</v>
      </c>
      <c r="BT294" s="15">
        <v>0</v>
      </c>
      <c r="BU294" s="15">
        <v>0</v>
      </c>
      <c r="BV294" s="15">
        <v>0</v>
      </c>
      <c r="BW294" s="15">
        <v>0</v>
      </c>
      <c r="BX294" s="15">
        <v>0</v>
      </c>
    </row>
    <row r="295" spans="1:76">
      <c r="A295" s="14" t="str">
        <f>VLOOKUP(C295,VLOOKUP!A:B,2,FALSE)</f>
        <v>奇楠手串</v>
      </c>
      <c r="B295" s="16">
        <v>46047</v>
      </c>
      <c r="C295" s="17">
        <v>833035288991</v>
      </c>
      <c r="D295" s="15" t="s">
        <v>151</v>
      </c>
      <c r="E295" s="15" t="s">
        <v>159</v>
      </c>
      <c r="F295" s="15">
        <v>308</v>
      </c>
      <c r="G295" s="15">
        <v>9</v>
      </c>
      <c r="H295" s="15">
        <v>13.03</v>
      </c>
      <c r="I295" s="15">
        <v>0.02922</v>
      </c>
      <c r="J295" s="15">
        <v>1.45</v>
      </c>
      <c r="K295" s="15">
        <v>42.31</v>
      </c>
      <c r="L295" s="15">
        <v>0</v>
      </c>
      <c r="M295" s="15">
        <v>0</v>
      </c>
      <c r="N295" s="15">
        <v>0</v>
      </c>
      <c r="O295" s="15">
        <v>0</v>
      </c>
      <c r="P295" s="15">
        <v>0</v>
      </c>
      <c r="Q295" s="15">
        <v>0</v>
      </c>
      <c r="R295" s="15">
        <v>0</v>
      </c>
      <c r="S295" s="15">
        <v>0</v>
      </c>
      <c r="T295" s="15">
        <v>0</v>
      </c>
      <c r="U295" s="15">
        <v>0</v>
      </c>
      <c r="V295" s="15">
        <v>0</v>
      </c>
      <c r="W295" s="15">
        <v>0</v>
      </c>
      <c r="X295" s="15">
        <v>0</v>
      </c>
      <c r="Y295" s="15">
        <v>0</v>
      </c>
      <c r="Z295" s="15">
        <v>0</v>
      </c>
      <c r="AA295" s="15"/>
      <c r="AB295" s="15">
        <v>5</v>
      </c>
      <c r="AC295" s="15">
        <v>0</v>
      </c>
      <c r="AD295" s="15">
        <v>5</v>
      </c>
      <c r="AE295" s="15">
        <v>0.55556</v>
      </c>
      <c r="AF295" s="15">
        <v>1</v>
      </c>
      <c r="AG295" s="15">
        <v>0</v>
      </c>
      <c r="AH295" s="15"/>
      <c r="AI295" s="15">
        <v>6</v>
      </c>
      <c r="AJ295" s="15">
        <v>2.17</v>
      </c>
      <c r="AK295" s="15">
        <v>6</v>
      </c>
      <c r="AL295" s="15">
        <v>2.17</v>
      </c>
      <c r="AM295" s="15">
        <v>1</v>
      </c>
      <c r="AN295" s="15">
        <v>13.03</v>
      </c>
      <c r="AO295" s="15">
        <v>0.11111</v>
      </c>
      <c r="AP295" s="15">
        <v>2.61</v>
      </c>
      <c r="AQ295" s="15">
        <v>0</v>
      </c>
      <c r="AR295" s="15">
        <v>0</v>
      </c>
      <c r="AS295" s="15">
        <v>1</v>
      </c>
      <c r="AT295" s="15">
        <v>0</v>
      </c>
      <c r="AU295" s="15">
        <v>0</v>
      </c>
      <c r="AV295" s="15">
        <v>0</v>
      </c>
      <c r="AW295" s="15">
        <v>0</v>
      </c>
      <c r="AX295" s="15">
        <v>0</v>
      </c>
      <c r="AY295" s="15">
        <v>41</v>
      </c>
      <c r="AZ295" s="15">
        <v>10</v>
      </c>
      <c r="BA295" s="15">
        <v>10</v>
      </c>
      <c r="BB295" s="15">
        <v>1</v>
      </c>
      <c r="BC295" s="15">
        <v>0</v>
      </c>
      <c r="BD295" s="15">
        <v>0</v>
      </c>
      <c r="BE295" s="15">
        <v>0.13312</v>
      </c>
      <c r="BF295" s="15">
        <v>31</v>
      </c>
      <c r="BG295" s="15">
        <v>4</v>
      </c>
      <c r="BH295" s="15">
        <v>0</v>
      </c>
      <c r="BI295" s="15"/>
      <c r="BJ295" s="15">
        <v>0</v>
      </c>
      <c r="BK295" s="15">
        <v>0</v>
      </c>
      <c r="BL295" s="15">
        <v>0</v>
      </c>
      <c r="BM295" s="15">
        <v>0</v>
      </c>
      <c r="BN295" s="15"/>
      <c r="BO295" s="15"/>
      <c r="BP295" s="15">
        <v>0</v>
      </c>
      <c r="BQ295" s="15">
        <v>888</v>
      </c>
      <c r="BR295" s="15">
        <v>0</v>
      </c>
      <c r="BS295" s="15">
        <v>0</v>
      </c>
      <c r="BT295" s="15">
        <v>0</v>
      </c>
      <c r="BU295" s="15">
        <v>0</v>
      </c>
      <c r="BV295" s="15">
        <v>0</v>
      </c>
      <c r="BW295" s="15">
        <v>0</v>
      </c>
      <c r="BX295" s="15">
        <v>0</v>
      </c>
    </row>
    <row r="296" spans="1:76">
      <c r="A296" s="14" t="str">
        <f>VLOOKUP(C296,VLOOKUP!A:B,2,FALSE)</f>
        <v>四季线香</v>
      </c>
      <c r="B296" s="16">
        <v>46047</v>
      </c>
      <c r="C296" s="17">
        <v>742540384374</v>
      </c>
      <c r="D296" s="15" t="s">
        <v>151</v>
      </c>
      <c r="E296" s="15" t="s">
        <v>161</v>
      </c>
      <c r="F296" s="15">
        <v>439</v>
      </c>
      <c r="G296" s="15">
        <v>15</v>
      </c>
      <c r="H296" s="15">
        <v>36.27</v>
      </c>
      <c r="I296" s="15">
        <v>0.03417</v>
      </c>
      <c r="J296" s="15">
        <v>2.42</v>
      </c>
      <c r="K296" s="15">
        <v>82.62</v>
      </c>
      <c r="L296" s="15">
        <v>0</v>
      </c>
      <c r="M296" s="15">
        <v>0</v>
      </c>
      <c r="N296" s="15">
        <v>0</v>
      </c>
      <c r="O296" s="15">
        <v>0</v>
      </c>
      <c r="P296" s="15">
        <v>0</v>
      </c>
      <c r="Q296" s="15">
        <v>0</v>
      </c>
      <c r="R296" s="15">
        <v>0</v>
      </c>
      <c r="S296" s="15">
        <v>0</v>
      </c>
      <c r="T296" s="15">
        <v>0</v>
      </c>
      <c r="U296" s="15">
        <v>0</v>
      </c>
      <c r="V296" s="15">
        <v>0</v>
      </c>
      <c r="W296" s="15">
        <v>0</v>
      </c>
      <c r="X296" s="15">
        <v>0</v>
      </c>
      <c r="Y296" s="15">
        <v>0</v>
      </c>
      <c r="Z296" s="15">
        <v>0</v>
      </c>
      <c r="AA296" s="15"/>
      <c r="AB296" s="15">
        <v>2</v>
      </c>
      <c r="AC296" s="15">
        <v>1</v>
      </c>
      <c r="AD296" s="15">
        <v>1</v>
      </c>
      <c r="AE296" s="15">
        <v>0.13333</v>
      </c>
      <c r="AF296" s="15">
        <v>0</v>
      </c>
      <c r="AG296" s="15">
        <v>1</v>
      </c>
      <c r="AH296" s="15">
        <v>36.27</v>
      </c>
      <c r="AI296" s="15">
        <v>3</v>
      </c>
      <c r="AJ296" s="15">
        <v>12.09</v>
      </c>
      <c r="AK296" s="15">
        <v>2</v>
      </c>
      <c r="AL296" s="15">
        <v>18.14</v>
      </c>
      <c r="AM296" s="15">
        <v>1</v>
      </c>
      <c r="AN296" s="15"/>
      <c r="AO296" s="15">
        <v>0</v>
      </c>
      <c r="AP296" s="15">
        <v>18.14</v>
      </c>
      <c r="AQ296" s="15">
        <v>0</v>
      </c>
      <c r="AR296" s="15">
        <v>0</v>
      </c>
      <c r="AS296" s="15">
        <v>0</v>
      </c>
      <c r="AT296" s="15">
        <v>0</v>
      </c>
      <c r="AU296" s="15">
        <v>0</v>
      </c>
      <c r="AV296" s="15">
        <v>0</v>
      </c>
      <c r="AW296" s="15">
        <v>0</v>
      </c>
      <c r="AX296" s="15">
        <v>1</v>
      </c>
      <c r="AY296" s="15">
        <v>91</v>
      </c>
      <c r="AZ296" s="15">
        <v>14</v>
      </c>
      <c r="BA296" s="15">
        <v>14</v>
      </c>
      <c r="BB296" s="15">
        <v>1</v>
      </c>
      <c r="BC296" s="15">
        <v>0</v>
      </c>
      <c r="BD296" s="15">
        <v>0</v>
      </c>
      <c r="BE296" s="15">
        <v>0.20729</v>
      </c>
      <c r="BF296" s="15">
        <v>75</v>
      </c>
      <c r="BG296" s="15">
        <v>7</v>
      </c>
      <c r="BH296" s="15">
        <v>0</v>
      </c>
      <c r="BI296" s="15"/>
      <c r="BJ296" s="15">
        <v>0</v>
      </c>
      <c r="BK296" s="15">
        <v>0</v>
      </c>
      <c r="BL296" s="15">
        <v>0</v>
      </c>
      <c r="BM296" s="15">
        <v>0</v>
      </c>
      <c r="BN296" s="15"/>
      <c r="BO296" s="15"/>
      <c r="BP296" s="15">
        <v>2.74</v>
      </c>
      <c r="BQ296" s="15">
        <v>69</v>
      </c>
      <c r="BR296" s="15">
        <v>0</v>
      </c>
      <c r="BS296" s="15">
        <v>0</v>
      </c>
      <c r="BT296" s="15">
        <v>0</v>
      </c>
      <c r="BU296" s="15">
        <v>0</v>
      </c>
      <c r="BV296" s="15">
        <v>0</v>
      </c>
      <c r="BW296" s="15">
        <v>0</v>
      </c>
      <c r="BX296" s="15">
        <v>0</v>
      </c>
    </row>
    <row r="297" spans="1:76">
      <c r="A297" s="14" t="str">
        <f>VLOOKUP(C297,VLOOKUP!A:B,2,FALSE)</f>
        <v>车载香薰</v>
      </c>
      <c r="B297" s="16">
        <v>46047</v>
      </c>
      <c r="C297" s="17">
        <v>616090775596</v>
      </c>
      <c r="D297" s="15" t="s">
        <v>151</v>
      </c>
      <c r="E297" s="15" t="s">
        <v>162</v>
      </c>
      <c r="F297" s="15">
        <v>920</v>
      </c>
      <c r="G297" s="15">
        <v>26</v>
      </c>
      <c r="H297" s="15">
        <v>38.73</v>
      </c>
      <c r="I297" s="15">
        <v>0.02826</v>
      </c>
      <c r="J297" s="15">
        <v>1.49</v>
      </c>
      <c r="K297" s="15">
        <v>42.1</v>
      </c>
      <c r="L297" s="15">
        <v>0</v>
      </c>
      <c r="M297" s="15">
        <v>0</v>
      </c>
      <c r="N297" s="15">
        <v>0</v>
      </c>
      <c r="O297" s="15">
        <v>0</v>
      </c>
      <c r="P297" s="15">
        <v>0</v>
      </c>
      <c r="Q297" s="15">
        <v>0</v>
      </c>
      <c r="R297" s="15">
        <v>0</v>
      </c>
      <c r="S297" s="15">
        <v>0</v>
      </c>
      <c r="T297" s="15">
        <v>0</v>
      </c>
      <c r="U297" s="15">
        <v>0</v>
      </c>
      <c r="V297" s="15">
        <v>0</v>
      </c>
      <c r="W297" s="15">
        <v>0</v>
      </c>
      <c r="X297" s="15">
        <v>0</v>
      </c>
      <c r="Y297" s="15">
        <v>0</v>
      </c>
      <c r="Z297" s="15">
        <v>0</v>
      </c>
      <c r="AA297" s="15"/>
      <c r="AB297" s="15">
        <v>0</v>
      </c>
      <c r="AC297" s="15">
        <v>0</v>
      </c>
      <c r="AD297" s="15">
        <v>0</v>
      </c>
      <c r="AE297" s="15">
        <v>0</v>
      </c>
      <c r="AF297" s="15">
        <v>1</v>
      </c>
      <c r="AG297" s="15">
        <v>1</v>
      </c>
      <c r="AH297" s="15">
        <v>38.73</v>
      </c>
      <c r="AI297" s="15">
        <v>2</v>
      </c>
      <c r="AJ297" s="15">
        <v>19.37</v>
      </c>
      <c r="AK297" s="15">
        <v>1</v>
      </c>
      <c r="AL297" s="15">
        <v>38.73</v>
      </c>
      <c r="AM297" s="15">
        <v>2</v>
      </c>
      <c r="AN297" s="15">
        <v>38.73</v>
      </c>
      <c r="AO297" s="15">
        <v>0.03846</v>
      </c>
      <c r="AP297" s="15"/>
      <c r="AQ297" s="15">
        <v>0</v>
      </c>
      <c r="AR297" s="15">
        <v>0</v>
      </c>
      <c r="AS297" s="15">
        <v>1</v>
      </c>
      <c r="AT297" s="15">
        <v>0</v>
      </c>
      <c r="AU297" s="15">
        <v>0</v>
      </c>
      <c r="AV297" s="15">
        <v>0</v>
      </c>
      <c r="AW297" s="15">
        <v>0</v>
      </c>
      <c r="AX297" s="15">
        <v>1</v>
      </c>
      <c r="AY297" s="15">
        <v>68</v>
      </c>
      <c r="AZ297" s="15">
        <v>22</v>
      </c>
      <c r="BA297" s="15">
        <v>18</v>
      </c>
      <c r="BB297" s="15">
        <v>0.81818</v>
      </c>
      <c r="BC297" s="15">
        <v>0</v>
      </c>
      <c r="BD297" s="15">
        <v>0</v>
      </c>
      <c r="BE297" s="15">
        <v>0.07391</v>
      </c>
      <c r="BF297" s="15">
        <v>38</v>
      </c>
      <c r="BG297" s="15">
        <v>3</v>
      </c>
      <c r="BH297" s="15">
        <v>0</v>
      </c>
      <c r="BI297" s="15"/>
      <c r="BJ297" s="15">
        <v>0</v>
      </c>
      <c r="BK297" s="15">
        <v>0</v>
      </c>
      <c r="BL297" s="15">
        <v>0</v>
      </c>
      <c r="BM297" s="15">
        <v>0</v>
      </c>
      <c r="BN297" s="15"/>
      <c r="BO297" s="15"/>
      <c r="BP297" s="15">
        <v>0.06</v>
      </c>
      <c r="BQ297" s="15">
        <v>30</v>
      </c>
      <c r="BR297" s="15">
        <v>0</v>
      </c>
      <c r="BS297" s="15">
        <v>0</v>
      </c>
      <c r="BT297" s="15">
        <v>0</v>
      </c>
      <c r="BU297" s="15">
        <v>0</v>
      </c>
      <c r="BV297" s="15">
        <v>0</v>
      </c>
      <c r="BW297" s="15">
        <v>0</v>
      </c>
      <c r="BX297" s="15">
        <v>0</v>
      </c>
    </row>
    <row r="298" spans="1:76">
      <c r="A298" s="14" t="str">
        <f>VLOOKUP(C298,VLOOKUP!A:B,2,FALSE)</f>
        <v>天官赐福</v>
      </c>
      <c r="B298" s="16">
        <v>46046</v>
      </c>
      <c r="C298" s="17">
        <v>972494676240</v>
      </c>
      <c r="D298" s="15" t="s">
        <v>151</v>
      </c>
      <c r="E298" s="15" t="s">
        <v>160</v>
      </c>
      <c r="F298" s="15">
        <v>584</v>
      </c>
      <c r="G298" s="15">
        <v>9</v>
      </c>
      <c r="H298" s="15">
        <v>11.98</v>
      </c>
      <c r="I298" s="15">
        <v>0.01541</v>
      </c>
      <c r="J298" s="15">
        <v>1.33</v>
      </c>
      <c r="K298" s="15">
        <v>20.51</v>
      </c>
      <c r="L298" s="15">
        <v>0</v>
      </c>
      <c r="M298" s="15">
        <v>0</v>
      </c>
      <c r="N298" s="15">
        <v>0</v>
      </c>
      <c r="O298" s="15">
        <v>0</v>
      </c>
      <c r="P298" s="15">
        <v>0</v>
      </c>
      <c r="Q298" s="15">
        <v>0</v>
      </c>
      <c r="R298" s="15">
        <v>0</v>
      </c>
      <c r="S298" s="15">
        <v>0</v>
      </c>
      <c r="T298" s="15">
        <v>0</v>
      </c>
      <c r="U298" s="15">
        <v>0</v>
      </c>
      <c r="V298" s="15">
        <v>0</v>
      </c>
      <c r="W298" s="15">
        <v>0</v>
      </c>
      <c r="X298" s="15">
        <v>0</v>
      </c>
      <c r="Y298" s="15">
        <v>0</v>
      </c>
      <c r="Z298" s="15">
        <v>0</v>
      </c>
      <c r="AA298" s="15"/>
      <c r="AB298" s="15">
        <v>0</v>
      </c>
      <c r="AC298" s="15">
        <v>0</v>
      </c>
      <c r="AD298" s="15">
        <v>0</v>
      </c>
      <c r="AE298" s="15">
        <v>0</v>
      </c>
      <c r="AF298" s="15">
        <v>0</v>
      </c>
      <c r="AG298" s="15">
        <v>0</v>
      </c>
      <c r="AH298" s="15"/>
      <c r="AI298" s="15">
        <v>0</v>
      </c>
      <c r="AJ298" s="15"/>
      <c r="AK298" s="15">
        <v>0</v>
      </c>
      <c r="AL298" s="15"/>
      <c r="AM298" s="15">
        <v>0</v>
      </c>
      <c r="AN298" s="15"/>
      <c r="AO298" s="15">
        <v>0</v>
      </c>
      <c r="AP298" s="15"/>
      <c r="AQ298" s="15">
        <v>0</v>
      </c>
      <c r="AR298" s="15">
        <v>0</v>
      </c>
      <c r="AS298" s="15">
        <v>0</v>
      </c>
      <c r="AT298" s="15">
        <v>0</v>
      </c>
      <c r="AU298" s="15">
        <v>0</v>
      </c>
      <c r="AV298" s="15">
        <v>0</v>
      </c>
      <c r="AW298" s="15">
        <v>0</v>
      </c>
      <c r="AX298" s="15">
        <v>0</v>
      </c>
      <c r="AY298" s="15">
        <v>10</v>
      </c>
      <c r="AZ298" s="15">
        <v>9</v>
      </c>
      <c r="BA298" s="15">
        <v>8</v>
      </c>
      <c r="BB298" s="15">
        <v>0.88889</v>
      </c>
      <c r="BC298" s="15">
        <v>0</v>
      </c>
      <c r="BD298" s="15">
        <v>0</v>
      </c>
      <c r="BE298" s="15">
        <v>0.01712</v>
      </c>
      <c r="BF298" s="15">
        <v>0</v>
      </c>
      <c r="BG298" s="15">
        <v>1</v>
      </c>
      <c r="BH298" s="15">
        <v>0</v>
      </c>
      <c r="BI298" s="15"/>
      <c r="BJ298" s="15">
        <v>0</v>
      </c>
      <c r="BK298" s="15">
        <v>0</v>
      </c>
      <c r="BL298" s="15">
        <v>0</v>
      </c>
      <c r="BM298" s="15">
        <v>0</v>
      </c>
      <c r="BN298" s="15"/>
      <c r="BO298" s="15"/>
      <c r="BP298" s="15">
        <v>0</v>
      </c>
      <c r="BQ298" s="15">
        <v>1</v>
      </c>
      <c r="BR298" s="15">
        <v>0</v>
      </c>
      <c r="BS298" s="15">
        <v>0</v>
      </c>
      <c r="BT298" s="15">
        <v>0</v>
      </c>
      <c r="BU298" s="15">
        <v>0</v>
      </c>
      <c r="BV298" s="15">
        <v>0</v>
      </c>
      <c r="BW298" s="15">
        <v>0</v>
      </c>
      <c r="BX298" s="15">
        <v>0</v>
      </c>
    </row>
    <row r="299" spans="1:76">
      <c r="A299" s="14" t="str">
        <f>VLOOKUP(C299,VLOOKUP!A:B,2,FALSE)</f>
        <v>福到</v>
      </c>
      <c r="B299" s="16">
        <v>46046</v>
      </c>
      <c r="C299" s="17">
        <v>971856893567</v>
      </c>
      <c r="D299" s="15" t="s">
        <v>151</v>
      </c>
      <c r="E299" s="15" t="s">
        <v>152</v>
      </c>
      <c r="F299" s="15">
        <v>200</v>
      </c>
      <c r="G299" s="15">
        <v>1</v>
      </c>
      <c r="H299" s="15">
        <v>0.29</v>
      </c>
      <c r="I299" s="15">
        <v>0.005</v>
      </c>
      <c r="J299" s="15">
        <v>0.29</v>
      </c>
      <c r="K299" s="15">
        <v>1.45</v>
      </c>
      <c r="L299" s="15">
        <v>0</v>
      </c>
      <c r="M299" s="15">
        <v>0</v>
      </c>
      <c r="N299" s="15">
        <v>0</v>
      </c>
      <c r="O299" s="15">
        <v>0</v>
      </c>
      <c r="P299" s="15">
        <v>0</v>
      </c>
      <c r="Q299" s="15">
        <v>0</v>
      </c>
      <c r="R299" s="15">
        <v>0</v>
      </c>
      <c r="S299" s="15">
        <v>0</v>
      </c>
      <c r="T299" s="15">
        <v>0</v>
      </c>
      <c r="U299" s="15">
        <v>0</v>
      </c>
      <c r="V299" s="15">
        <v>0</v>
      </c>
      <c r="W299" s="15">
        <v>0</v>
      </c>
      <c r="X299" s="15">
        <v>0</v>
      </c>
      <c r="Y299" s="15">
        <v>0</v>
      </c>
      <c r="Z299" s="15">
        <v>0</v>
      </c>
      <c r="AA299" s="15"/>
      <c r="AB299" s="15">
        <v>0</v>
      </c>
      <c r="AC299" s="15">
        <v>0</v>
      </c>
      <c r="AD299" s="15">
        <v>0</v>
      </c>
      <c r="AE299" s="15">
        <v>0</v>
      </c>
      <c r="AF299" s="15">
        <v>0</v>
      </c>
      <c r="AG299" s="15">
        <v>0</v>
      </c>
      <c r="AH299" s="15"/>
      <c r="AI299" s="15">
        <v>0</v>
      </c>
      <c r="AJ299" s="15"/>
      <c r="AK299" s="15">
        <v>0</v>
      </c>
      <c r="AL299" s="15"/>
      <c r="AM299" s="15">
        <v>0</v>
      </c>
      <c r="AN299" s="15"/>
      <c r="AO299" s="15">
        <v>0</v>
      </c>
      <c r="AP299" s="15"/>
      <c r="AQ299" s="15">
        <v>0</v>
      </c>
      <c r="AR299" s="15">
        <v>0</v>
      </c>
      <c r="AS299" s="15">
        <v>0</v>
      </c>
      <c r="AT299" s="15">
        <v>0</v>
      </c>
      <c r="AU299" s="15">
        <v>0</v>
      </c>
      <c r="AV299" s="15">
        <v>0</v>
      </c>
      <c r="AW299" s="15">
        <v>0</v>
      </c>
      <c r="AX299" s="15">
        <v>0</v>
      </c>
      <c r="AY299" s="15">
        <v>1</v>
      </c>
      <c r="AZ299" s="15">
        <v>1</v>
      </c>
      <c r="BA299" s="15">
        <v>1</v>
      </c>
      <c r="BB299" s="15">
        <v>1</v>
      </c>
      <c r="BC299" s="15">
        <v>0</v>
      </c>
      <c r="BD299" s="15">
        <v>0</v>
      </c>
      <c r="BE299" s="15">
        <v>0.005</v>
      </c>
      <c r="BF299" s="15">
        <v>0</v>
      </c>
      <c r="BG299" s="15">
        <v>1</v>
      </c>
      <c r="BH299" s="15">
        <v>0</v>
      </c>
      <c r="BI299" s="15"/>
      <c r="BJ299" s="15">
        <v>0</v>
      </c>
      <c r="BK299" s="15">
        <v>0</v>
      </c>
      <c r="BL299" s="15">
        <v>0</v>
      </c>
      <c r="BM299" s="15">
        <v>0</v>
      </c>
      <c r="BN299" s="15"/>
      <c r="BO299" s="15"/>
      <c r="BP299" s="15">
        <v>0</v>
      </c>
      <c r="BQ299" s="15">
        <v>0</v>
      </c>
      <c r="BR299" s="15">
        <v>0</v>
      </c>
      <c r="BS299" s="15">
        <v>0</v>
      </c>
      <c r="BT299" s="15">
        <v>0</v>
      </c>
      <c r="BU299" s="15">
        <v>0</v>
      </c>
      <c r="BV299" s="15">
        <v>0</v>
      </c>
      <c r="BW299" s="15">
        <v>0</v>
      </c>
      <c r="BX299" s="15">
        <v>0</v>
      </c>
    </row>
    <row r="300" spans="1:76">
      <c r="A300" s="14" t="str">
        <f>VLOOKUP(C300,VLOOKUP!A:B,2,FALSE)</f>
        <v>如意盘香</v>
      </c>
      <c r="B300" s="16">
        <v>46046</v>
      </c>
      <c r="C300" s="17">
        <v>838711327669</v>
      </c>
      <c r="D300" s="15" t="s">
        <v>151</v>
      </c>
      <c r="E300" s="15" t="s">
        <v>158</v>
      </c>
      <c r="F300" s="15">
        <v>714</v>
      </c>
      <c r="G300" s="15">
        <v>25</v>
      </c>
      <c r="H300" s="15">
        <v>80</v>
      </c>
      <c r="I300" s="15">
        <v>0.03501</v>
      </c>
      <c r="J300" s="15">
        <v>3.2</v>
      </c>
      <c r="K300" s="15">
        <v>112.04</v>
      </c>
      <c r="L300" s="15">
        <v>0</v>
      </c>
      <c r="M300" s="15">
        <v>0</v>
      </c>
      <c r="N300" s="15">
        <v>0</v>
      </c>
      <c r="O300" s="15">
        <v>0</v>
      </c>
      <c r="P300" s="15">
        <v>0</v>
      </c>
      <c r="Q300" s="15">
        <v>0</v>
      </c>
      <c r="R300" s="15">
        <v>0</v>
      </c>
      <c r="S300" s="15">
        <v>0</v>
      </c>
      <c r="T300" s="15">
        <v>0</v>
      </c>
      <c r="U300" s="15">
        <v>0</v>
      </c>
      <c r="V300" s="15">
        <v>0</v>
      </c>
      <c r="W300" s="15">
        <v>0</v>
      </c>
      <c r="X300" s="15">
        <v>0</v>
      </c>
      <c r="Y300" s="15">
        <v>0</v>
      </c>
      <c r="Z300" s="15">
        <v>0</v>
      </c>
      <c r="AA300" s="15"/>
      <c r="AB300" s="15">
        <v>2</v>
      </c>
      <c r="AC300" s="15">
        <v>1</v>
      </c>
      <c r="AD300" s="15">
        <v>1</v>
      </c>
      <c r="AE300" s="15">
        <v>0.08</v>
      </c>
      <c r="AF300" s="15">
        <v>0</v>
      </c>
      <c r="AG300" s="15">
        <v>2</v>
      </c>
      <c r="AH300" s="15">
        <v>40</v>
      </c>
      <c r="AI300" s="15">
        <v>4</v>
      </c>
      <c r="AJ300" s="15">
        <v>20</v>
      </c>
      <c r="AK300" s="15">
        <v>2</v>
      </c>
      <c r="AL300" s="15">
        <v>40</v>
      </c>
      <c r="AM300" s="15">
        <v>2</v>
      </c>
      <c r="AN300" s="15"/>
      <c r="AO300" s="15">
        <v>0</v>
      </c>
      <c r="AP300" s="15">
        <v>40</v>
      </c>
      <c r="AQ300" s="15">
        <v>0</v>
      </c>
      <c r="AR300" s="15">
        <v>0</v>
      </c>
      <c r="AS300" s="15">
        <v>0</v>
      </c>
      <c r="AT300" s="15">
        <v>0</v>
      </c>
      <c r="AU300" s="15">
        <v>2</v>
      </c>
      <c r="AV300" s="15">
        <v>0</v>
      </c>
      <c r="AW300" s="15">
        <v>0</v>
      </c>
      <c r="AX300" s="15">
        <v>1</v>
      </c>
      <c r="AY300" s="15">
        <v>84</v>
      </c>
      <c r="AZ300" s="15">
        <v>24</v>
      </c>
      <c r="BA300" s="15">
        <v>20</v>
      </c>
      <c r="BB300" s="15">
        <v>0.83333</v>
      </c>
      <c r="BC300" s="15">
        <v>0</v>
      </c>
      <c r="BD300" s="15">
        <v>0</v>
      </c>
      <c r="BE300" s="15">
        <v>0.11765</v>
      </c>
      <c r="BF300" s="15">
        <v>58</v>
      </c>
      <c r="BG300" s="15">
        <v>4</v>
      </c>
      <c r="BH300" s="15">
        <v>0</v>
      </c>
      <c r="BI300" s="15"/>
      <c r="BJ300" s="15">
        <v>0</v>
      </c>
      <c r="BK300" s="15">
        <v>0</v>
      </c>
      <c r="BL300" s="15">
        <v>0</v>
      </c>
      <c r="BM300" s="15">
        <v>0</v>
      </c>
      <c r="BN300" s="15"/>
      <c r="BO300" s="15"/>
      <c r="BP300" s="15">
        <v>0</v>
      </c>
      <c r="BQ300" s="15">
        <v>41</v>
      </c>
      <c r="BR300" s="15">
        <v>0</v>
      </c>
      <c r="BS300" s="15">
        <v>0</v>
      </c>
      <c r="BT300" s="15">
        <v>0</v>
      </c>
      <c r="BU300" s="15">
        <v>0</v>
      </c>
      <c r="BV300" s="15">
        <v>0</v>
      </c>
      <c r="BW300" s="15">
        <v>0</v>
      </c>
      <c r="BX300" s="15">
        <v>0</v>
      </c>
    </row>
    <row r="301" spans="1:76">
      <c r="A301" s="14" t="str">
        <f>VLOOKUP(C301,VLOOKUP!A:B,2,FALSE)</f>
        <v>福颜青</v>
      </c>
      <c r="B301" s="16">
        <v>46046</v>
      </c>
      <c r="C301" s="17">
        <v>833369552621</v>
      </c>
      <c r="D301" s="15" t="s">
        <v>151</v>
      </c>
      <c r="E301" s="15" t="s">
        <v>154</v>
      </c>
      <c r="F301" s="15">
        <v>338</v>
      </c>
      <c r="G301" s="15">
        <v>6</v>
      </c>
      <c r="H301" s="15">
        <v>3.68</v>
      </c>
      <c r="I301" s="15">
        <v>0.01775</v>
      </c>
      <c r="J301" s="15">
        <v>0.61</v>
      </c>
      <c r="K301" s="15">
        <v>10.89</v>
      </c>
      <c r="L301" s="15">
        <v>0</v>
      </c>
      <c r="M301" s="15">
        <v>0</v>
      </c>
      <c r="N301" s="15">
        <v>0</v>
      </c>
      <c r="O301" s="15">
        <v>0</v>
      </c>
      <c r="P301" s="15">
        <v>0</v>
      </c>
      <c r="Q301" s="15">
        <v>0</v>
      </c>
      <c r="R301" s="15">
        <v>0</v>
      </c>
      <c r="S301" s="15">
        <v>0</v>
      </c>
      <c r="T301" s="15">
        <v>0</v>
      </c>
      <c r="U301" s="15">
        <v>0</v>
      </c>
      <c r="V301" s="15">
        <v>0</v>
      </c>
      <c r="W301" s="15">
        <v>0</v>
      </c>
      <c r="X301" s="15">
        <v>0</v>
      </c>
      <c r="Y301" s="15">
        <v>0</v>
      </c>
      <c r="Z301" s="15">
        <v>0</v>
      </c>
      <c r="AA301" s="15"/>
      <c r="AB301" s="15">
        <v>0</v>
      </c>
      <c r="AC301" s="15">
        <v>0</v>
      </c>
      <c r="AD301" s="15">
        <v>0</v>
      </c>
      <c r="AE301" s="15">
        <v>0</v>
      </c>
      <c r="AF301" s="15">
        <v>0</v>
      </c>
      <c r="AG301" s="15">
        <v>0</v>
      </c>
      <c r="AH301" s="15"/>
      <c r="AI301" s="15">
        <v>0</v>
      </c>
      <c r="AJ301" s="15"/>
      <c r="AK301" s="15">
        <v>0</v>
      </c>
      <c r="AL301" s="15"/>
      <c r="AM301" s="15">
        <v>0</v>
      </c>
      <c r="AN301" s="15"/>
      <c r="AO301" s="15">
        <v>0</v>
      </c>
      <c r="AP301" s="15"/>
      <c r="AQ301" s="15">
        <v>0</v>
      </c>
      <c r="AR301" s="15">
        <v>0</v>
      </c>
      <c r="AS301" s="15">
        <v>0</v>
      </c>
      <c r="AT301" s="15">
        <v>0</v>
      </c>
      <c r="AU301" s="15">
        <v>0</v>
      </c>
      <c r="AV301" s="15">
        <v>0</v>
      </c>
      <c r="AW301" s="15">
        <v>0</v>
      </c>
      <c r="AX301" s="15">
        <v>0</v>
      </c>
      <c r="AY301" s="15">
        <v>8</v>
      </c>
      <c r="AZ301" s="15">
        <v>5</v>
      </c>
      <c r="BA301" s="15">
        <v>4</v>
      </c>
      <c r="BB301" s="15">
        <v>0.8</v>
      </c>
      <c r="BC301" s="15">
        <v>0</v>
      </c>
      <c r="BD301" s="15">
        <v>0</v>
      </c>
      <c r="BE301" s="15">
        <v>0.02367</v>
      </c>
      <c r="BF301" s="15">
        <v>3</v>
      </c>
      <c r="BG301" s="15">
        <v>2</v>
      </c>
      <c r="BH301" s="15">
        <v>0</v>
      </c>
      <c r="BI301" s="15"/>
      <c r="BJ301" s="15">
        <v>0</v>
      </c>
      <c r="BK301" s="15">
        <v>0</v>
      </c>
      <c r="BL301" s="15">
        <v>0</v>
      </c>
      <c r="BM301" s="15">
        <v>0</v>
      </c>
      <c r="BN301" s="15"/>
      <c r="BO301" s="15"/>
      <c r="BP301" s="15">
        <v>0</v>
      </c>
      <c r="BQ301" s="15">
        <v>0</v>
      </c>
      <c r="BR301" s="15">
        <v>0</v>
      </c>
      <c r="BS301" s="15">
        <v>0</v>
      </c>
      <c r="BT301" s="15">
        <v>0</v>
      </c>
      <c r="BU301" s="15">
        <v>0</v>
      </c>
      <c r="BV301" s="15">
        <v>0</v>
      </c>
      <c r="BW301" s="15">
        <v>0</v>
      </c>
      <c r="BX301" s="15">
        <v>0</v>
      </c>
    </row>
    <row r="302" spans="1:76">
      <c r="A302" s="14" t="str">
        <f>VLOOKUP(C302,VLOOKUP!A:B,2,FALSE)</f>
        <v>奇楠手串</v>
      </c>
      <c r="B302" s="16">
        <v>46046</v>
      </c>
      <c r="C302" s="17">
        <v>833035288991</v>
      </c>
      <c r="D302" s="15" t="s">
        <v>151</v>
      </c>
      <c r="E302" s="15" t="s">
        <v>159</v>
      </c>
      <c r="F302" s="15">
        <v>738</v>
      </c>
      <c r="G302" s="15">
        <v>12</v>
      </c>
      <c r="H302" s="15">
        <v>14.05</v>
      </c>
      <c r="I302" s="15">
        <v>0.01626</v>
      </c>
      <c r="J302" s="15">
        <v>1.17</v>
      </c>
      <c r="K302" s="15">
        <v>19.04</v>
      </c>
      <c r="L302" s="15">
        <v>0</v>
      </c>
      <c r="M302" s="15">
        <v>0</v>
      </c>
      <c r="N302" s="15">
        <v>0</v>
      </c>
      <c r="O302" s="15">
        <v>0</v>
      </c>
      <c r="P302" s="15">
        <v>0</v>
      </c>
      <c r="Q302" s="15">
        <v>0</v>
      </c>
      <c r="R302" s="15">
        <v>0</v>
      </c>
      <c r="S302" s="15">
        <v>0</v>
      </c>
      <c r="T302" s="15">
        <v>0</v>
      </c>
      <c r="U302" s="15">
        <v>0</v>
      </c>
      <c r="V302" s="15">
        <v>0</v>
      </c>
      <c r="W302" s="15">
        <v>0</v>
      </c>
      <c r="X302" s="15">
        <v>0</v>
      </c>
      <c r="Y302" s="15">
        <v>0</v>
      </c>
      <c r="Z302" s="15">
        <v>0</v>
      </c>
      <c r="AA302" s="15"/>
      <c r="AB302" s="15">
        <v>0</v>
      </c>
      <c r="AC302" s="15">
        <v>0</v>
      </c>
      <c r="AD302" s="15">
        <v>0</v>
      </c>
      <c r="AE302" s="15">
        <v>0</v>
      </c>
      <c r="AF302" s="15">
        <v>0</v>
      </c>
      <c r="AG302" s="15">
        <v>0</v>
      </c>
      <c r="AH302" s="15"/>
      <c r="AI302" s="15">
        <v>0</v>
      </c>
      <c r="AJ302" s="15"/>
      <c r="AK302" s="15">
        <v>0</v>
      </c>
      <c r="AL302" s="15"/>
      <c r="AM302" s="15">
        <v>0</v>
      </c>
      <c r="AN302" s="15"/>
      <c r="AO302" s="15">
        <v>0</v>
      </c>
      <c r="AP302" s="15"/>
      <c r="AQ302" s="15">
        <v>0</v>
      </c>
      <c r="AR302" s="15">
        <v>0</v>
      </c>
      <c r="AS302" s="15">
        <v>0</v>
      </c>
      <c r="AT302" s="15">
        <v>0</v>
      </c>
      <c r="AU302" s="15">
        <v>0</v>
      </c>
      <c r="AV302" s="15">
        <v>0</v>
      </c>
      <c r="AW302" s="15">
        <v>0</v>
      </c>
      <c r="AX302" s="15">
        <v>0</v>
      </c>
      <c r="AY302" s="15">
        <v>21</v>
      </c>
      <c r="AZ302" s="15">
        <v>13</v>
      </c>
      <c r="BA302" s="15">
        <v>13</v>
      </c>
      <c r="BB302" s="15">
        <v>1</v>
      </c>
      <c r="BC302" s="15">
        <v>0</v>
      </c>
      <c r="BD302" s="15">
        <v>0</v>
      </c>
      <c r="BE302" s="15">
        <v>0.02846</v>
      </c>
      <c r="BF302" s="15">
        <v>4</v>
      </c>
      <c r="BG302" s="15">
        <v>2</v>
      </c>
      <c r="BH302" s="15">
        <v>0</v>
      </c>
      <c r="BI302" s="15"/>
      <c r="BJ302" s="15">
        <v>0</v>
      </c>
      <c r="BK302" s="15">
        <v>0</v>
      </c>
      <c r="BL302" s="15">
        <v>0</v>
      </c>
      <c r="BM302" s="15">
        <v>0</v>
      </c>
      <c r="BN302" s="15"/>
      <c r="BO302" s="15"/>
      <c r="BP302" s="15">
        <v>0</v>
      </c>
      <c r="BQ302" s="15">
        <v>0</v>
      </c>
      <c r="BR302" s="15">
        <v>0</v>
      </c>
      <c r="BS302" s="15">
        <v>0</v>
      </c>
      <c r="BT302" s="15">
        <v>0</v>
      </c>
      <c r="BU302" s="15">
        <v>0</v>
      </c>
      <c r="BV302" s="15">
        <v>0</v>
      </c>
      <c r="BW302" s="15">
        <v>0</v>
      </c>
      <c r="BX302" s="15">
        <v>0</v>
      </c>
    </row>
    <row r="303" spans="1:76">
      <c r="A303" s="14" t="str">
        <f>VLOOKUP(C303,VLOOKUP!A:B,2,FALSE)</f>
        <v>四季线香</v>
      </c>
      <c r="B303" s="16">
        <v>46046</v>
      </c>
      <c r="C303" s="17">
        <v>742540384374</v>
      </c>
      <c r="D303" s="15" t="s">
        <v>151</v>
      </c>
      <c r="E303" s="15" t="s">
        <v>161</v>
      </c>
      <c r="F303" s="15">
        <v>190</v>
      </c>
      <c r="G303" s="15">
        <v>10</v>
      </c>
      <c r="H303" s="15">
        <v>39.91</v>
      </c>
      <c r="I303" s="15">
        <v>0.05263</v>
      </c>
      <c r="J303" s="15">
        <v>3.99</v>
      </c>
      <c r="K303" s="15">
        <v>210.05</v>
      </c>
      <c r="L303" s="15">
        <v>0</v>
      </c>
      <c r="M303" s="15">
        <v>0</v>
      </c>
      <c r="N303" s="15">
        <v>0</v>
      </c>
      <c r="O303" s="15">
        <v>0</v>
      </c>
      <c r="P303" s="15">
        <v>0</v>
      </c>
      <c r="Q303" s="15">
        <v>0</v>
      </c>
      <c r="R303" s="15">
        <v>0</v>
      </c>
      <c r="S303" s="15">
        <v>117.74</v>
      </c>
      <c r="T303" s="15">
        <v>117.74</v>
      </c>
      <c r="U303" s="15">
        <v>4</v>
      </c>
      <c r="V303" s="15">
        <v>0</v>
      </c>
      <c r="W303" s="15">
        <v>4</v>
      </c>
      <c r="X303" s="15">
        <v>0.4</v>
      </c>
      <c r="Y303" s="15">
        <v>2.95</v>
      </c>
      <c r="Z303" s="15">
        <v>2.95</v>
      </c>
      <c r="AA303" s="15">
        <v>9.98</v>
      </c>
      <c r="AB303" s="15">
        <v>5</v>
      </c>
      <c r="AC303" s="15">
        <v>0</v>
      </c>
      <c r="AD303" s="15">
        <v>5</v>
      </c>
      <c r="AE303" s="15">
        <v>0.5</v>
      </c>
      <c r="AF303" s="15">
        <v>0</v>
      </c>
      <c r="AG303" s="15">
        <v>0</v>
      </c>
      <c r="AH303" s="15"/>
      <c r="AI303" s="15">
        <v>5</v>
      </c>
      <c r="AJ303" s="15">
        <v>7.98</v>
      </c>
      <c r="AK303" s="15">
        <v>5</v>
      </c>
      <c r="AL303" s="15">
        <v>7.98</v>
      </c>
      <c r="AM303" s="15">
        <v>0</v>
      </c>
      <c r="AN303" s="15"/>
      <c r="AO303" s="15">
        <v>0</v>
      </c>
      <c r="AP303" s="15">
        <v>7.98</v>
      </c>
      <c r="AQ303" s="15">
        <v>6</v>
      </c>
      <c r="AR303" s="15">
        <v>299.4</v>
      </c>
      <c r="AS303" s="15">
        <v>0</v>
      </c>
      <c r="AT303" s="15">
        <v>0</v>
      </c>
      <c r="AU303" s="15">
        <v>2</v>
      </c>
      <c r="AV303" s="15">
        <v>0</v>
      </c>
      <c r="AW303" s="15">
        <v>0</v>
      </c>
      <c r="AX303" s="15">
        <v>0</v>
      </c>
      <c r="AY303" s="15">
        <v>36</v>
      </c>
      <c r="AZ303" s="15">
        <v>11</v>
      </c>
      <c r="BA303" s="15">
        <v>9</v>
      </c>
      <c r="BB303" s="15">
        <v>0.81818</v>
      </c>
      <c r="BC303" s="15">
        <v>0</v>
      </c>
      <c r="BD303" s="15">
        <v>0</v>
      </c>
      <c r="BE303" s="15">
        <v>0.18947</v>
      </c>
      <c r="BF303" s="15">
        <v>25</v>
      </c>
      <c r="BG303" s="15">
        <v>3</v>
      </c>
      <c r="BH303" s="15">
        <v>1</v>
      </c>
      <c r="BI303" s="15">
        <v>1</v>
      </c>
      <c r="BJ303" s="15">
        <v>0</v>
      </c>
      <c r="BK303" s="15">
        <v>0</v>
      </c>
      <c r="BL303" s="15">
        <v>0</v>
      </c>
      <c r="BM303" s="15">
        <v>1</v>
      </c>
      <c r="BN303" s="15">
        <v>4</v>
      </c>
      <c r="BO303" s="15">
        <v>117.74</v>
      </c>
      <c r="BP303" s="15">
        <v>0.06</v>
      </c>
      <c r="BQ303" s="15">
        <v>77</v>
      </c>
      <c r="BR303" s="15">
        <v>0</v>
      </c>
      <c r="BS303" s="15">
        <v>0</v>
      </c>
      <c r="BT303" s="15">
        <v>0</v>
      </c>
      <c r="BU303" s="15">
        <v>0</v>
      </c>
      <c r="BV303" s="15">
        <v>0</v>
      </c>
      <c r="BW303" s="15">
        <v>0</v>
      </c>
      <c r="BX303" s="15">
        <v>0</v>
      </c>
    </row>
    <row r="304" spans="1:76">
      <c r="A304" s="14" t="str">
        <f>VLOOKUP(C304,VLOOKUP!A:B,2,FALSE)</f>
        <v>车载香薰</v>
      </c>
      <c r="B304" s="16">
        <v>46046</v>
      </c>
      <c r="C304" s="17">
        <v>616090775596</v>
      </c>
      <c r="D304" s="15" t="s">
        <v>151</v>
      </c>
      <c r="E304" s="15" t="s">
        <v>162</v>
      </c>
      <c r="F304" s="15">
        <v>392</v>
      </c>
      <c r="G304" s="15">
        <v>18</v>
      </c>
      <c r="H304" s="15">
        <v>29.82</v>
      </c>
      <c r="I304" s="15">
        <v>0.04592</v>
      </c>
      <c r="J304" s="15">
        <v>1.66</v>
      </c>
      <c r="K304" s="15">
        <v>76.07</v>
      </c>
      <c r="L304" s="15">
        <v>0</v>
      </c>
      <c r="M304" s="15">
        <v>0</v>
      </c>
      <c r="N304" s="15">
        <v>0</v>
      </c>
      <c r="O304" s="15">
        <v>0</v>
      </c>
      <c r="P304" s="15">
        <v>0</v>
      </c>
      <c r="Q304" s="15">
        <v>0</v>
      </c>
      <c r="R304" s="15">
        <v>0</v>
      </c>
      <c r="S304" s="15">
        <v>0</v>
      </c>
      <c r="T304" s="15">
        <v>0</v>
      </c>
      <c r="U304" s="15">
        <v>0</v>
      </c>
      <c r="V304" s="15">
        <v>0</v>
      </c>
      <c r="W304" s="15">
        <v>0</v>
      </c>
      <c r="X304" s="15">
        <v>0</v>
      </c>
      <c r="Y304" s="15">
        <v>0</v>
      </c>
      <c r="Z304" s="15">
        <v>0</v>
      </c>
      <c r="AA304" s="15"/>
      <c r="AB304" s="15">
        <v>0</v>
      </c>
      <c r="AC304" s="15">
        <v>0</v>
      </c>
      <c r="AD304" s="15">
        <v>0</v>
      </c>
      <c r="AE304" s="15">
        <v>0</v>
      </c>
      <c r="AF304" s="15">
        <v>0</v>
      </c>
      <c r="AG304" s="15">
        <v>0</v>
      </c>
      <c r="AH304" s="15"/>
      <c r="AI304" s="15">
        <v>0</v>
      </c>
      <c r="AJ304" s="15"/>
      <c r="AK304" s="15">
        <v>0</v>
      </c>
      <c r="AL304" s="15"/>
      <c r="AM304" s="15">
        <v>0</v>
      </c>
      <c r="AN304" s="15"/>
      <c r="AO304" s="15">
        <v>0</v>
      </c>
      <c r="AP304" s="15"/>
      <c r="AQ304" s="15">
        <v>0</v>
      </c>
      <c r="AR304" s="15">
        <v>0</v>
      </c>
      <c r="AS304" s="15">
        <v>0</v>
      </c>
      <c r="AT304" s="15">
        <v>0</v>
      </c>
      <c r="AU304" s="15">
        <v>0</v>
      </c>
      <c r="AV304" s="15">
        <v>0</v>
      </c>
      <c r="AW304" s="15">
        <v>0</v>
      </c>
      <c r="AX304" s="15">
        <v>0</v>
      </c>
      <c r="AY304" s="15">
        <v>68</v>
      </c>
      <c r="AZ304" s="15">
        <v>14</v>
      </c>
      <c r="BA304" s="15">
        <v>5</v>
      </c>
      <c r="BB304" s="15">
        <v>0.35714</v>
      </c>
      <c r="BC304" s="15">
        <v>0</v>
      </c>
      <c r="BD304" s="15">
        <v>0</v>
      </c>
      <c r="BE304" s="15">
        <v>0.17347</v>
      </c>
      <c r="BF304" s="15">
        <v>44</v>
      </c>
      <c r="BG304" s="15">
        <v>5</v>
      </c>
      <c r="BH304" s="15">
        <v>0</v>
      </c>
      <c r="BI304" s="15"/>
      <c r="BJ304" s="15">
        <v>0</v>
      </c>
      <c r="BK304" s="15">
        <v>0</v>
      </c>
      <c r="BL304" s="15">
        <v>0</v>
      </c>
      <c r="BM304" s="15">
        <v>0</v>
      </c>
      <c r="BN304" s="15"/>
      <c r="BO304" s="15"/>
      <c r="BP304" s="15">
        <v>0</v>
      </c>
      <c r="BQ304" s="15">
        <v>17</v>
      </c>
      <c r="BR304" s="15">
        <v>0</v>
      </c>
      <c r="BS304" s="15">
        <v>0</v>
      </c>
      <c r="BT304" s="15">
        <v>0</v>
      </c>
      <c r="BU304" s="15">
        <v>0</v>
      </c>
      <c r="BV304" s="15">
        <v>0</v>
      </c>
      <c r="BW304" s="15">
        <v>0</v>
      </c>
      <c r="BX304" s="15">
        <v>0</v>
      </c>
    </row>
    <row r="305" spans="1:76">
      <c r="A305" s="14" t="str">
        <f>VLOOKUP(C305,VLOOKUP!A:B,2,FALSE)</f>
        <v>天官赐福</v>
      </c>
      <c r="B305" s="16">
        <v>46045</v>
      </c>
      <c r="C305" s="17">
        <v>972494676240</v>
      </c>
      <c r="D305" s="15" t="s">
        <v>151</v>
      </c>
      <c r="E305" s="15" t="s">
        <v>160</v>
      </c>
      <c r="F305" s="15">
        <v>652</v>
      </c>
      <c r="G305" s="15">
        <v>6</v>
      </c>
      <c r="H305" s="15">
        <v>6.95</v>
      </c>
      <c r="I305" s="15">
        <v>0.0092</v>
      </c>
      <c r="J305" s="15">
        <v>1.16</v>
      </c>
      <c r="K305" s="15">
        <v>10.66</v>
      </c>
      <c r="L305" s="15">
        <v>0</v>
      </c>
      <c r="M305" s="15">
        <v>0</v>
      </c>
      <c r="N305" s="15">
        <v>0</v>
      </c>
      <c r="O305" s="15">
        <v>0</v>
      </c>
      <c r="P305" s="15">
        <v>0</v>
      </c>
      <c r="Q305" s="15">
        <v>0</v>
      </c>
      <c r="R305" s="15">
        <v>0</v>
      </c>
      <c r="S305" s="15">
        <v>0</v>
      </c>
      <c r="T305" s="15">
        <v>0</v>
      </c>
      <c r="U305" s="15">
        <v>0</v>
      </c>
      <c r="V305" s="15">
        <v>0</v>
      </c>
      <c r="W305" s="15">
        <v>0</v>
      </c>
      <c r="X305" s="15">
        <v>0</v>
      </c>
      <c r="Y305" s="15">
        <v>0</v>
      </c>
      <c r="Z305" s="15">
        <v>0</v>
      </c>
      <c r="AA305" s="15"/>
      <c r="AB305" s="15">
        <v>0</v>
      </c>
      <c r="AC305" s="15">
        <v>0</v>
      </c>
      <c r="AD305" s="15">
        <v>0</v>
      </c>
      <c r="AE305" s="15">
        <v>0</v>
      </c>
      <c r="AF305" s="15">
        <v>0</v>
      </c>
      <c r="AG305" s="15">
        <v>0</v>
      </c>
      <c r="AH305" s="15"/>
      <c r="AI305" s="15">
        <v>0</v>
      </c>
      <c r="AJ305" s="15"/>
      <c r="AK305" s="15">
        <v>0</v>
      </c>
      <c r="AL305" s="15"/>
      <c r="AM305" s="15">
        <v>0</v>
      </c>
      <c r="AN305" s="15"/>
      <c r="AO305" s="15">
        <v>0</v>
      </c>
      <c r="AP305" s="15"/>
      <c r="AQ305" s="15">
        <v>0</v>
      </c>
      <c r="AR305" s="15">
        <v>0</v>
      </c>
      <c r="AS305" s="15">
        <v>0</v>
      </c>
      <c r="AT305" s="15">
        <v>0</v>
      </c>
      <c r="AU305" s="15">
        <v>1</v>
      </c>
      <c r="AV305" s="15">
        <v>0</v>
      </c>
      <c r="AW305" s="15">
        <v>0</v>
      </c>
      <c r="AX305" s="15">
        <v>0</v>
      </c>
      <c r="AY305" s="15">
        <v>11</v>
      </c>
      <c r="AZ305" s="15">
        <v>8</v>
      </c>
      <c r="BA305" s="15">
        <v>8</v>
      </c>
      <c r="BB305" s="15">
        <v>1</v>
      </c>
      <c r="BC305" s="15">
        <v>0</v>
      </c>
      <c r="BD305" s="15">
        <v>0</v>
      </c>
      <c r="BE305" s="15">
        <v>0.01687</v>
      </c>
      <c r="BF305" s="15">
        <v>2</v>
      </c>
      <c r="BG305" s="15">
        <v>1</v>
      </c>
      <c r="BH305" s="15">
        <v>0</v>
      </c>
      <c r="BI305" s="15"/>
      <c r="BJ305" s="15">
        <v>0</v>
      </c>
      <c r="BK305" s="15">
        <v>0</v>
      </c>
      <c r="BL305" s="15">
        <v>0</v>
      </c>
      <c r="BM305" s="15">
        <v>0</v>
      </c>
      <c r="BN305" s="15"/>
      <c r="BO305" s="15"/>
      <c r="BP305" s="15">
        <v>0</v>
      </c>
      <c r="BQ305" s="15">
        <v>0</v>
      </c>
      <c r="BR305" s="15">
        <v>0</v>
      </c>
      <c r="BS305" s="15">
        <v>0</v>
      </c>
      <c r="BT305" s="15">
        <v>0</v>
      </c>
      <c r="BU305" s="15">
        <v>0</v>
      </c>
      <c r="BV305" s="15">
        <v>0</v>
      </c>
      <c r="BW305" s="15">
        <v>0</v>
      </c>
      <c r="BX305" s="15">
        <v>0</v>
      </c>
    </row>
    <row r="306" spans="1:76">
      <c r="A306" s="14" t="str">
        <f>VLOOKUP(C306,VLOOKUP!A:B,2,FALSE)</f>
        <v>福到</v>
      </c>
      <c r="B306" s="16">
        <v>46045</v>
      </c>
      <c r="C306" s="17">
        <v>971856893567</v>
      </c>
      <c r="D306" s="15" t="s">
        <v>151</v>
      </c>
      <c r="E306" s="15" t="s">
        <v>152</v>
      </c>
      <c r="F306" s="15">
        <v>350</v>
      </c>
      <c r="G306" s="15">
        <v>10</v>
      </c>
      <c r="H306" s="15">
        <v>13.04</v>
      </c>
      <c r="I306" s="15">
        <v>0.02857</v>
      </c>
      <c r="J306" s="15">
        <v>1.3</v>
      </c>
      <c r="K306" s="15">
        <v>37.26</v>
      </c>
      <c r="L306" s="15">
        <v>0</v>
      </c>
      <c r="M306" s="15">
        <v>0</v>
      </c>
      <c r="N306" s="15">
        <v>0</v>
      </c>
      <c r="O306" s="15">
        <v>0</v>
      </c>
      <c r="P306" s="15">
        <v>0</v>
      </c>
      <c r="Q306" s="15">
        <v>0</v>
      </c>
      <c r="R306" s="15">
        <v>0</v>
      </c>
      <c r="S306" s="15">
        <v>0</v>
      </c>
      <c r="T306" s="15">
        <v>0</v>
      </c>
      <c r="U306" s="15">
        <v>0</v>
      </c>
      <c r="V306" s="15">
        <v>0</v>
      </c>
      <c r="W306" s="15">
        <v>0</v>
      </c>
      <c r="X306" s="15">
        <v>0</v>
      </c>
      <c r="Y306" s="15">
        <v>0</v>
      </c>
      <c r="Z306" s="15">
        <v>0</v>
      </c>
      <c r="AA306" s="15"/>
      <c r="AB306" s="15">
        <v>0</v>
      </c>
      <c r="AC306" s="15">
        <v>0</v>
      </c>
      <c r="AD306" s="15">
        <v>0</v>
      </c>
      <c r="AE306" s="15">
        <v>0</v>
      </c>
      <c r="AF306" s="15">
        <v>1</v>
      </c>
      <c r="AG306" s="15">
        <v>0</v>
      </c>
      <c r="AH306" s="15"/>
      <c r="AI306" s="15">
        <v>1</v>
      </c>
      <c r="AJ306" s="15">
        <v>13.04</v>
      </c>
      <c r="AK306" s="15">
        <v>1</v>
      </c>
      <c r="AL306" s="15">
        <v>13.04</v>
      </c>
      <c r="AM306" s="15">
        <v>1</v>
      </c>
      <c r="AN306" s="15">
        <v>13.04</v>
      </c>
      <c r="AO306" s="15">
        <v>0.1</v>
      </c>
      <c r="AP306" s="15"/>
      <c r="AQ306" s="15">
        <v>0</v>
      </c>
      <c r="AR306" s="15">
        <v>0</v>
      </c>
      <c r="AS306" s="15">
        <v>1</v>
      </c>
      <c r="AT306" s="15">
        <v>0</v>
      </c>
      <c r="AU306" s="15">
        <v>0</v>
      </c>
      <c r="AV306" s="15">
        <v>0</v>
      </c>
      <c r="AW306" s="15">
        <v>0</v>
      </c>
      <c r="AX306" s="15">
        <v>0</v>
      </c>
      <c r="AY306" s="15">
        <v>11</v>
      </c>
      <c r="AZ306" s="15">
        <v>9</v>
      </c>
      <c r="BA306" s="15">
        <v>9</v>
      </c>
      <c r="BB306" s="15">
        <v>1</v>
      </c>
      <c r="BC306" s="15">
        <v>0</v>
      </c>
      <c r="BD306" s="15">
        <v>0</v>
      </c>
      <c r="BE306" s="15">
        <v>0.03143</v>
      </c>
      <c r="BF306" s="15">
        <v>0</v>
      </c>
      <c r="BG306" s="15">
        <v>1</v>
      </c>
      <c r="BH306" s="15">
        <v>0</v>
      </c>
      <c r="BI306" s="15"/>
      <c r="BJ306" s="15">
        <v>0</v>
      </c>
      <c r="BK306" s="15">
        <v>0</v>
      </c>
      <c r="BL306" s="15">
        <v>0</v>
      </c>
      <c r="BM306" s="15">
        <v>0</v>
      </c>
      <c r="BN306" s="15"/>
      <c r="BO306" s="15"/>
      <c r="BP306" s="15">
        <v>0</v>
      </c>
      <c r="BQ306" s="15">
        <v>72</v>
      </c>
      <c r="BR306" s="15">
        <v>0</v>
      </c>
      <c r="BS306" s="15">
        <v>0</v>
      </c>
      <c r="BT306" s="15">
        <v>0</v>
      </c>
      <c r="BU306" s="15">
        <v>0</v>
      </c>
      <c r="BV306" s="15">
        <v>0</v>
      </c>
      <c r="BW306" s="15">
        <v>0</v>
      </c>
      <c r="BX306" s="15">
        <v>0</v>
      </c>
    </row>
    <row r="307" spans="1:76">
      <c r="A307" s="14" t="str">
        <f>VLOOKUP(C307,VLOOKUP!A:B,2,FALSE)</f>
        <v>如意盘香</v>
      </c>
      <c r="B307" s="16">
        <v>46045</v>
      </c>
      <c r="C307" s="17">
        <v>838711327669</v>
      </c>
      <c r="D307" s="15" t="s">
        <v>151</v>
      </c>
      <c r="E307" s="15" t="s">
        <v>158</v>
      </c>
      <c r="F307" s="15">
        <v>642</v>
      </c>
      <c r="G307" s="15">
        <v>34</v>
      </c>
      <c r="H307" s="15">
        <v>66.02</v>
      </c>
      <c r="I307" s="15">
        <v>0.05296</v>
      </c>
      <c r="J307" s="15">
        <v>1.94</v>
      </c>
      <c r="K307" s="15">
        <v>102.83</v>
      </c>
      <c r="L307" s="15">
        <v>0</v>
      </c>
      <c r="M307" s="15">
        <v>0</v>
      </c>
      <c r="N307" s="15">
        <v>0</v>
      </c>
      <c r="O307" s="15">
        <v>0</v>
      </c>
      <c r="P307" s="15">
        <v>0</v>
      </c>
      <c r="Q307" s="15">
        <v>0</v>
      </c>
      <c r="R307" s="15">
        <v>1963.32</v>
      </c>
      <c r="S307" s="15">
        <v>42.4</v>
      </c>
      <c r="T307" s="15">
        <v>2005.72</v>
      </c>
      <c r="U307" s="15">
        <v>3</v>
      </c>
      <c r="V307" s="15">
        <v>2</v>
      </c>
      <c r="W307" s="15">
        <v>1</v>
      </c>
      <c r="X307" s="15">
        <v>0.08824</v>
      </c>
      <c r="Y307" s="15">
        <v>30.38</v>
      </c>
      <c r="Z307" s="15">
        <v>30.38</v>
      </c>
      <c r="AA307" s="15">
        <v>22.01</v>
      </c>
      <c r="AB307" s="15">
        <v>10</v>
      </c>
      <c r="AC307" s="15">
        <v>4</v>
      </c>
      <c r="AD307" s="15">
        <v>6</v>
      </c>
      <c r="AE307" s="15">
        <v>0.29412</v>
      </c>
      <c r="AF307" s="15">
        <v>1</v>
      </c>
      <c r="AG307" s="15">
        <v>1</v>
      </c>
      <c r="AH307" s="15">
        <v>66.02</v>
      </c>
      <c r="AI307" s="15">
        <v>12</v>
      </c>
      <c r="AJ307" s="15">
        <v>5.5</v>
      </c>
      <c r="AK307" s="15">
        <v>11</v>
      </c>
      <c r="AL307" s="15">
        <v>6</v>
      </c>
      <c r="AM307" s="15">
        <v>2</v>
      </c>
      <c r="AN307" s="15">
        <v>66.02</v>
      </c>
      <c r="AO307" s="15">
        <v>0.02941</v>
      </c>
      <c r="AP307" s="15">
        <v>6.6</v>
      </c>
      <c r="AQ307" s="15">
        <v>5</v>
      </c>
      <c r="AR307" s="15">
        <v>2480.9</v>
      </c>
      <c r="AS307" s="15">
        <v>0</v>
      </c>
      <c r="AT307" s="15">
        <v>1</v>
      </c>
      <c r="AU307" s="15">
        <v>9</v>
      </c>
      <c r="AV307" s="15">
        <v>0</v>
      </c>
      <c r="AW307" s="15">
        <v>0</v>
      </c>
      <c r="AX307" s="15">
        <v>2</v>
      </c>
      <c r="AY307" s="15">
        <v>142</v>
      </c>
      <c r="AZ307" s="15">
        <v>30</v>
      </c>
      <c r="BA307" s="15">
        <v>24</v>
      </c>
      <c r="BB307" s="15">
        <v>0.8</v>
      </c>
      <c r="BC307" s="15">
        <v>0</v>
      </c>
      <c r="BD307" s="15">
        <v>0</v>
      </c>
      <c r="BE307" s="15">
        <v>0.22118</v>
      </c>
      <c r="BF307" s="15">
        <v>104</v>
      </c>
      <c r="BG307" s="15">
        <v>5</v>
      </c>
      <c r="BH307" s="15">
        <v>2</v>
      </c>
      <c r="BI307" s="15">
        <v>1</v>
      </c>
      <c r="BJ307" s="15">
        <v>0</v>
      </c>
      <c r="BK307" s="15">
        <v>0</v>
      </c>
      <c r="BL307" s="15">
        <v>0</v>
      </c>
      <c r="BM307" s="15">
        <v>2</v>
      </c>
      <c r="BN307" s="15">
        <v>2</v>
      </c>
      <c r="BO307" s="15">
        <v>1002.86</v>
      </c>
      <c r="BP307" s="15">
        <v>3.02</v>
      </c>
      <c r="BQ307" s="15">
        <v>761</v>
      </c>
      <c r="BR307" s="15">
        <v>0</v>
      </c>
      <c r="BS307" s="15">
        <v>0</v>
      </c>
      <c r="BT307" s="15">
        <v>0</v>
      </c>
      <c r="BU307" s="15">
        <v>0</v>
      </c>
      <c r="BV307" s="15">
        <v>0</v>
      </c>
      <c r="BW307" s="15">
        <v>0</v>
      </c>
      <c r="BX307" s="15">
        <v>0</v>
      </c>
    </row>
    <row r="308" spans="1:76">
      <c r="A308" s="14" t="str">
        <f>VLOOKUP(C308,VLOOKUP!A:B,2,FALSE)</f>
        <v>福颜青</v>
      </c>
      <c r="B308" s="16">
        <v>46045</v>
      </c>
      <c r="C308" s="17">
        <v>833369552621</v>
      </c>
      <c r="D308" s="15" t="s">
        <v>151</v>
      </c>
      <c r="E308" s="15" t="s">
        <v>154</v>
      </c>
      <c r="F308" s="15">
        <v>367</v>
      </c>
      <c r="G308" s="15">
        <v>2</v>
      </c>
      <c r="H308" s="15">
        <v>1.05</v>
      </c>
      <c r="I308" s="15">
        <v>0.00545</v>
      </c>
      <c r="J308" s="15">
        <v>0.53</v>
      </c>
      <c r="K308" s="15">
        <v>2.86</v>
      </c>
      <c r="L308" s="15">
        <v>0</v>
      </c>
      <c r="M308" s="15">
        <v>0</v>
      </c>
      <c r="N308" s="15">
        <v>0</v>
      </c>
      <c r="O308" s="15">
        <v>0</v>
      </c>
      <c r="P308" s="15">
        <v>0</v>
      </c>
      <c r="Q308" s="15">
        <v>0</v>
      </c>
      <c r="R308" s="15">
        <v>0</v>
      </c>
      <c r="S308" s="15">
        <v>0</v>
      </c>
      <c r="T308" s="15">
        <v>0</v>
      </c>
      <c r="U308" s="15">
        <v>0</v>
      </c>
      <c r="V308" s="15">
        <v>0</v>
      </c>
      <c r="W308" s="15">
        <v>0</v>
      </c>
      <c r="X308" s="15">
        <v>0</v>
      </c>
      <c r="Y308" s="15">
        <v>0</v>
      </c>
      <c r="Z308" s="15">
        <v>0</v>
      </c>
      <c r="AA308" s="15"/>
      <c r="AB308" s="15">
        <v>0</v>
      </c>
      <c r="AC308" s="15">
        <v>0</v>
      </c>
      <c r="AD308" s="15">
        <v>0</v>
      </c>
      <c r="AE308" s="15">
        <v>0</v>
      </c>
      <c r="AF308" s="15">
        <v>0</v>
      </c>
      <c r="AG308" s="15">
        <v>0</v>
      </c>
      <c r="AH308" s="15"/>
      <c r="AI308" s="15">
        <v>0</v>
      </c>
      <c r="AJ308" s="15"/>
      <c r="AK308" s="15">
        <v>0</v>
      </c>
      <c r="AL308" s="15"/>
      <c r="AM308" s="15">
        <v>0</v>
      </c>
      <c r="AN308" s="15"/>
      <c r="AO308" s="15">
        <v>0</v>
      </c>
      <c r="AP308" s="15"/>
      <c r="AQ308" s="15">
        <v>0</v>
      </c>
      <c r="AR308" s="15">
        <v>0</v>
      </c>
      <c r="AS308" s="15">
        <v>0</v>
      </c>
      <c r="AT308" s="15">
        <v>0</v>
      </c>
      <c r="AU308" s="15">
        <v>0</v>
      </c>
      <c r="AV308" s="15">
        <v>0</v>
      </c>
      <c r="AW308" s="15">
        <v>0</v>
      </c>
      <c r="AX308" s="15">
        <v>0</v>
      </c>
      <c r="AY308" s="15">
        <v>3</v>
      </c>
      <c r="AZ308" s="15">
        <v>3</v>
      </c>
      <c r="BA308" s="15">
        <v>3</v>
      </c>
      <c r="BB308" s="15">
        <v>1</v>
      </c>
      <c r="BC308" s="15">
        <v>0</v>
      </c>
      <c r="BD308" s="15">
        <v>0</v>
      </c>
      <c r="BE308" s="15">
        <v>0.00817</v>
      </c>
      <c r="BF308" s="15">
        <v>0</v>
      </c>
      <c r="BG308" s="15">
        <v>1</v>
      </c>
      <c r="BH308" s="15">
        <v>0</v>
      </c>
      <c r="BI308" s="15"/>
      <c r="BJ308" s="15">
        <v>0</v>
      </c>
      <c r="BK308" s="15">
        <v>0</v>
      </c>
      <c r="BL308" s="15">
        <v>0</v>
      </c>
      <c r="BM308" s="15">
        <v>0</v>
      </c>
      <c r="BN308" s="15"/>
      <c r="BO308" s="15"/>
      <c r="BP308" s="15">
        <v>0</v>
      </c>
      <c r="BQ308" s="15">
        <v>0</v>
      </c>
      <c r="BR308" s="15">
        <v>0</v>
      </c>
      <c r="BS308" s="15">
        <v>0</v>
      </c>
      <c r="BT308" s="15">
        <v>0</v>
      </c>
      <c r="BU308" s="15">
        <v>0</v>
      </c>
      <c r="BV308" s="15">
        <v>0</v>
      </c>
      <c r="BW308" s="15">
        <v>0</v>
      </c>
      <c r="BX308" s="15">
        <v>0</v>
      </c>
    </row>
    <row r="309" spans="1:76">
      <c r="A309" s="14" t="str">
        <f>VLOOKUP(C309,VLOOKUP!A:B,2,FALSE)</f>
        <v>奇楠手串</v>
      </c>
      <c r="B309" s="16">
        <v>46045</v>
      </c>
      <c r="C309" s="17">
        <v>833035288991</v>
      </c>
      <c r="D309" s="15" t="s">
        <v>151</v>
      </c>
      <c r="E309" s="15" t="s">
        <v>159</v>
      </c>
      <c r="F309" s="15">
        <v>810</v>
      </c>
      <c r="G309" s="15">
        <v>9</v>
      </c>
      <c r="H309" s="15">
        <v>8.96</v>
      </c>
      <c r="I309" s="15">
        <v>0.01111</v>
      </c>
      <c r="J309" s="15">
        <v>1</v>
      </c>
      <c r="K309" s="15">
        <v>11.06</v>
      </c>
      <c r="L309" s="15">
        <v>0</v>
      </c>
      <c r="M309" s="15">
        <v>0</v>
      </c>
      <c r="N309" s="15">
        <v>0</v>
      </c>
      <c r="O309" s="15">
        <v>0</v>
      </c>
      <c r="P309" s="15">
        <v>0</v>
      </c>
      <c r="Q309" s="15">
        <v>0</v>
      </c>
      <c r="R309" s="15">
        <v>0</v>
      </c>
      <c r="S309" s="15">
        <v>0</v>
      </c>
      <c r="T309" s="15">
        <v>0</v>
      </c>
      <c r="U309" s="15">
        <v>0</v>
      </c>
      <c r="V309" s="15">
        <v>0</v>
      </c>
      <c r="W309" s="15">
        <v>0</v>
      </c>
      <c r="X309" s="15">
        <v>0</v>
      </c>
      <c r="Y309" s="15">
        <v>0</v>
      </c>
      <c r="Z309" s="15">
        <v>0</v>
      </c>
      <c r="AA309" s="15"/>
      <c r="AB309" s="15">
        <v>0</v>
      </c>
      <c r="AC309" s="15">
        <v>0</v>
      </c>
      <c r="AD309" s="15">
        <v>0</v>
      </c>
      <c r="AE309" s="15">
        <v>0</v>
      </c>
      <c r="AF309" s="15">
        <v>0</v>
      </c>
      <c r="AG309" s="15">
        <v>0</v>
      </c>
      <c r="AH309" s="15"/>
      <c r="AI309" s="15">
        <v>0</v>
      </c>
      <c r="AJ309" s="15"/>
      <c r="AK309" s="15">
        <v>0</v>
      </c>
      <c r="AL309" s="15"/>
      <c r="AM309" s="15">
        <v>0</v>
      </c>
      <c r="AN309" s="15"/>
      <c r="AO309" s="15">
        <v>0</v>
      </c>
      <c r="AP309" s="15"/>
      <c r="AQ309" s="15">
        <v>0</v>
      </c>
      <c r="AR309" s="15">
        <v>0</v>
      </c>
      <c r="AS309" s="15">
        <v>0</v>
      </c>
      <c r="AT309" s="15">
        <v>0</v>
      </c>
      <c r="AU309" s="15">
        <v>1</v>
      </c>
      <c r="AV309" s="15">
        <v>0</v>
      </c>
      <c r="AW309" s="15">
        <v>0</v>
      </c>
      <c r="AX309" s="15">
        <v>0</v>
      </c>
      <c r="AY309" s="15">
        <v>11</v>
      </c>
      <c r="AZ309" s="15">
        <v>10</v>
      </c>
      <c r="BA309" s="15">
        <v>10</v>
      </c>
      <c r="BB309" s="15">
        <v>1</v>
      </c>
      <c r="BC309" s="15">
        <v>0</v>
      </c>
      <c r="BD309" s="15">
        <v>0</v>
      </c>
      <c r="BE309" s="15">
        <v>0.01358</v>
      </c>
      <c r="BF309" s="15">
        <v>1</v>
      </c>
      <c r="BG309" s="15">
        <v>1</v>
      </c>
      <c r="BH309" s="15">
        <v>0</v>
      </c>
      <c r="BI309" s="15"/>
      <c r="BJ309" s="15">
        <v>0</v>
      </c>
      <c r="BK309" s="15">
        <v>0</v>
      </c>
      <c r="BL309" s="15">
        <v>0</v>
      </c>
      <c r="BM309" s="15">
        <v>0</v>
      </c>
      <c r="BN309" s="15"/>
      <c r="BO309" s="15"/>
      <c r="BP309" s="15">
        <v>0</v>
      </c>
      <c r="BQ309" s="15">
        <v>0</v>
      </c>
      <c r="BR309" s="15">
        <v>0</v>
      </c>
      <c r="BS309" s="15">
        <v>0</v>
      </c>
      <c r="BT309" s="15">
        <v>0</v>
      </c>
      <c r="BU309" s="15">
        <v>0</v>
      </c>
      <c r="BV309" s="15">
        <v>0</v>
      </c>
      <c r="BW309" s="15">
        <v>0</v>
      </c>
      <c r="BX309" s="15">
        <v>0</v>
      </c>
    </row>
    <row r="310" spans="1:76">
      <c r="A310" s="14" t="str">
        <f>VLOOKUP(C310,VLOOKUP!A:B,2,FALSE)</f>
        <v>四季线香</v>
      </c>
      <c r="B310" s="16">
        <v>46045</v>
      </c>
      <c r="C310" s="17">
        <v>742540384374</v>
      </c>
      <c r="D310" s="15" t="s">
        <v>151</v>
      </c>
      <c r="E310" s="15" t="s">
        <v>161</v>
      </c>
      <c r="F310" s="15">
        <v>366</v>
      </c>
      <c r="G310" s="15">
        <v>14</v>
      </c>
      <c r="H310" s="15">
        <v>33.55</v>
      </c>
      <c r="I310" s="15">
        <v>0.03825</v>
      </c>
      <c r="J310" s="15">
        <v>2.4</v>
      </c>
      <c r="K310" s="15">
        <v>91.67</v>
      </c>
      <c r="L310" s="15">
        <v>0</v>
      </c>
      <c r="M310" s="15">
        <v>0</v>
      </c>
      <c r="N310" s="15">
        <v>0</v>
      </c>
      <c r="O310" s="15">
        <v>0</v>
      </c>
      <c r="P310" s="15">
        <v>0</v>
      </c>
      <c r="Q310" s="15">
        <v>0</v>
      </c>
      <c r="R310" s="15">
        <v>0</v>
      </c>
      <c r="S310" s="15">
        <v>0</v>
      </c>
      <c r="T310" s="15">
        <v>0</v>
      </c>
      <c r="U310" s="15">
        <v>0</v>
      </c>
      <c r="V310" s="15">
        <v>0</v>
      </c>
      <c r="W310" s="15">
        <v>0</v>
      </c>
      <c r="X310" s="15">
        <v>0</v>
      </c>
      <c r="Y310" s="15">
        <v>0</v>
      </c>
      <c r="Z310" s="15">
        <v>0</v>
      </c>
      <c r="AA310" s="15"/>
      <c r="AB310" s="15">
        <v>0</v>
      </c>
      <c r="AC310" s="15">
        <v>0</v>
      </c>
      <c r="AD310" s="15">
        <v>0</v>
      </c>
      <c r="AE310" s="15">
        <v>0</v>
      </c>
      <c r="AF310" s="15">
        <v>0</v>
      </c>
      <c r="AG310" s="15">
        <v>0</v>
      </c>
      <c r="AH310" s="15"/>
      <c r="AI310" s="15">
        <v>0</v>
      </c>
      <c r="AJ310" s="15"/>
      <c r="AK310" s="15">
        <v>0</v>
      </c>
      <c r="AL310" s="15"/>
      <c r="AM310" s="15">
        <v>0</v>
      </c>
      <c r="AN310" s="15"/>
      <c r="AO310" s="15">
        <v>0</v>
      </c>
      <c r="AP310" s="15"/>
      <c r="AQ310" s="15">
        <v>0</v>
      </c>
      <c r="AR310" s="15">
        <v>0</v>
      </c>
      <c r="AS310" s="15">
        <v>0</v>
      </c>
      <c r="AT310" s="15">
        <v>0</v>
      </c>
      <c r="AU310" s="15">
        <v>2</v>
      </c>
      <c r="AV310" s="15">
        <v>0</v>
      </c>
      <c r="AW310" s="15">
        <v>0</v>
      </c>
      <c r="AX310" s="15">
        <v>0</v>
      </c>
      <c r="AY310" s="15">
        <v>39</v>
      </c>
      <c r="AZ310" s="15">
        <v>14</v>
      </c>
      <c r="BA310" s="15">
        <v>13</v>
      </c>
      <c r="BB310" s="15">
        <v>0.92857</v>
      </c>
      <c r="BC310" s="15">
        <v>0</v>
      </c>
      <c r="BD310" s="15">
        <v>0</v>
      </c>
      <c r="BE310" s="15">
        <v>0.10656</v>
      </c>
      <c r="BF310" s="15">
        <v>23</v>
      </c>
      <c r="BG310" s="15">
        <v>3</v>
      </c>
      <c r="BH310" s="15">
        <v>0</v>
      </c>
      <c r="BI310" s="15"/>
      <c r="BJ310" s="15">
        <v>0</v>
      </c>
      <c r="BK310" s="15">
        <v>0</v>
      </c>
      <c r="BL310" s="15">
        <v>0</v>
      </c>
      <c r="BM310" s="15">
        <v>0</v>
      </c>
      <c r="BN310" s="15"/>
      <c r="BO310" s="15"/>
      <c r="BP310" s="15">
        <v>0</v>
      </c>
      <c r="BQ310" s="15">
        <v>3</v>
      </c>
      <c r="BR310" s="15">
        <v>0</v>
      </c>
      <c r="BS310" s="15">
        <v>0</v>
      </c>
      <c r="BT310" s="15">
        <v>0</v>
      </c>
      <c r="BU310" s="15">
        <v>0</v>
      </c>
      <c r="BV310" s="15">
        <v>0</v>
      </c>
      <c r="BW310" s="15">
        <v>0</v>
      </c>
      <c r="BX310" s="15">
        <v>0</v>
      </c>
    </row>
    <row r="311" spans="1:76">
      <c r="A311" s="14" t="str">
        <f>VLOOKUP(C311,VLOOKUP!A:B,2,FALSE)</f>
        <v>车载香薰</v>
      </c>
      <c r="B311" s="16">
        <v>46045</v>
      </c>
      <c r="C311" s="17">
        <v>616090775596</v>
      </c>
      <c r="D311" s="15" t="s">
        <v>151</v>
      </c>
      <c r="E311" s="15" t="s">
        <v>162</v>
      </c>
      <c r="F311" s="15">
        <v>540</v>
      </c>
      <c r="G311" s="15">
        <v>17</v>
      </c>
      <c r="H311" s="15">
        <v>32.18</v>
      </c>
      <c r="I311" s="15">
        <v>0.03148</v>
      </c>
      <c r="J311" s="15">
        <v>1.89</v>
      </c>
      <c r="K311" s="15">
        <v>59.59</v>
      </c>
      <c r="L311" s="15">
        <v>0</v>
      </c>
      <c r="M311" s="15">
        <v>0</v>
      </c>
      <c r="N311" s="15">
        <v>0</v>
      </c>
      <c r="O311" s="15">
        <v>0</v>
      </c>
      <c r="P311" s="15">
        <v>0</v>
      </c>
      <c r="Q311" s="15">
        <v>0</v>
      </c>
      <c r="R311" s="15">
        <v>0</v>
      </c>
      <c r="S311" s="15">
        <v>0</v>
      </c>
      <c r="T311" s="15">
        <v>0</v>
      </c>
      <c r="U311" s="15">
        <v>0</v>
      </c>
      <c r="V311" s="15">
        <v>0</v>
      </c>
      <c r="W311" s="15">
        <v>0</v>
      </c>
      <c r="X311" s="15">
        <v>0</v>
      </c>
      <c r="Y311" s="15">
        <v>0</v>
      </c>
      <c r="Z311" s="15">
        <v>0</v>
      </c>
      <c r="AA311" s="15"/>
      <c r="AB311" s="15">
        <v>0</v>
      </c>
      <c r="AC311" s="15">
        <v>0</v>
      </c>
      <c r="AD311" s="15">
        <v>0</v>
      </c>
      <c r="AE311" s="15">
        <v>0</v>
      </c>
      <c r="AF311" s="15">
        <v>0</v>
      </c>
      <c r="AG311" s="15">
        <v>0</v>
      </c>
      <c r="AH311" s="15"/>
      <c r="AI311" s="15">
        <v>0</v>
      </c>
      <c r="AJ311" s="15"/>
      <c r="AK311" s="15">
        <v>0</v>
      </c>
      <c r="AL311" s="15"/>
      <c r="AM311" s="15">
        <v>0</v>
      </c>
      <c r="AN311" s="15"/>
      <c r="AO311" s="15">
        <v>0</v>
      </c>
      <c r="AP311" s="15"/>
      <c r="AQ311" s="15">
        <v>0</v>
      </c>
      <c r="AR311" s="15">
        <v>0</v>
      </c>
      <c r="AS311" s="15">
        <v>0</v>
      </c>
      <c r="AT311" s="15">
        <v>0</v>
      </c>
      <c r="AU311" s="15">
        <v>0</v>
      </c>
      <c r="AV311" s="15">
        <v>0</v>
      </c>
      <c r="AW311" s="15">
        <v>0</v>
      </c>
      <c r="AX311" s="15">
        <v>1</v>
      </c>
      <c r="AY311" s="15">
        <v>57</v>
      </c>
      <c r="AZ311" s="15">
        <v>15</v>
      </c>
      <c r="BA311" s="15">
        <v>10</v>
      </c>
      <c r="BB311" s="15">
        <v>0.66667</v>
      </c>
      <c r="BC311" s="15">
        <v>0</v>
      </c>
      <c r="BD311" s="15">
        <v>0</v>
      </c>
      <c r="BE311" s="15">
        <v>0.10556</v>
      </c>
      <c r="BF311" s="15">
        <v>37</v>
      </c>
      <c r="BG311" s="15">
        <v>4</v>
      </c>
      <c r="BH311" s="15">
        <v>0</v>
      </c>
      <c r="BI311" s="15"/>
      <c r="BJ311" s="15">
        <v>0</v>
      </c>
      <c r="BK311" s="15">
        <v>0</v>
      </c>
      <c r="BL311" s="15">
        <v>0</v>
      </c>
      <c r="BM311" s="15">
        <v>0</v>
      </c>
      <c r="BN311" s="15"/>
      <c r="BO311" s="15"/>
      <c r="BP311" s="15">
        <v>0</v>
      </c>
      <c r="BQ311" s="15">
        <v>20</v>
      </c>
      <c r="BR311" s="15">
        <v>0</v>
      </c>
      <c r="BS311" s="15">
        <v>0</v>
      </c>
      <c r="BT311" s="15">
        <v>0</v>
      </c>
      <c r="BU311" s="15">
        <v>0</v>
      </c>
      <c r="BV311" s="15">
        <v>0</v>
      </c>
      <c r="BW311" s="15">
        <v>0</v>
      </c>
      <c r="BX311" s="15">
        <v>0</v>
      </c>
    </row>
    <row r="312" spans="1:76">
      <c r="A312" s="14" t="str">
        <f>VLOOKUP(C312,VLOOKUP!A:B,2,FALSE)</f>
        <v>天官赐福</v>
      </c>
      <c r="B312" s="16">
        <v>46044</v>
      </c>
      <c r="C312" s="17">
        <v>972494676240</v>
      </c>
      <c r="D312" s="15" t="s">
        <v>151</v>
      </c>
      <c r="E312" s="15" t="s">
        <v>160</v>
      </c>
      <c r="F312" s="15">
        <v>523</v>
      </c>
      <c r="G312" s="15">
        <v>8</v>
      </c>
      <c r="H312" s="15">
        <v>8.85</v>
      </c>
      <c r="I312" s="15">
        <v>0.0153</v>
      </c>
      <c r="J312" s="15">
        <v>1.11</v>
      </c>
      <c r="K312" s="15">
        <v>16.92</v>
      </c>
      <c r="L312" s="15">
        <v>0</v>
      </c>
      <c r="M312" s="15">
        <v>0</v>
      </c>
      <c r="N312" s="15">
        <v>0</v>
      </c>
      <c r="O312" s="15">
        <v>0</v>
      </c>
      <c r="P312" s="15">
        <v>0</v>
      </c>
      <c r="Q312" s="15">
        <v>0</v>
      </c>
      <c r="R312" s="15">
        <v>0</v>
      </c>
      <c r="S312" s="15">
        <v>0</v>
      </c>
      <c r="T312" s="15">
        <v>0</v>
      </c>
      <c r="U312" s="15">
        <v>0</v>
      </c>
      <c r="V312" s="15">
        <v>0</v>
      </c>
      <c r="W312" s="15">
        <v>0</v>
      </c>
      <c r="X312" s="15">
        <v>0</v>
      </c>
      <c r="Y312" s="15">
        <v>0</v>
      </c>
      <c r="Z312" s="15">
        <v>0</v>
      </c>
      <c r="AA312" s="15"/>
      <c r="AB312" s="15">
        <v>0</v>
      </c>
      <c r="AC312" s="15">
        <v>0</v>
      </c>
      <c r="AD312" s="15">
        <v>0</v>
      </c>
      <c r="AE312" s="15">
        <v>0</v>
      </c>
      <c r="AF312" s="15">
        <v>1</v>
      </c>
      <c r="AG312" s="15">
        <v>0</v>
      </c>
      <c r="AH312" s="15"/>
      <c r="AI312" s="15">
        <v>1</v>
      </c>
      <c r="AJ312" s="15">
        <v>8.85</v>
      </c>
      <c r="AK312" s="15">
        <v>1</v>
      </c>
      <c r="AL312" s="15">
        <v>8.85</v>
      </c>
      <c r="AM312" s="15">
        <v>1</v>
      </c>
      <c r="AN312" s="15">
        <v>8.85</v>
      </c>
      <c r="AO312" s="15">
        <v>0.125</v>
      </c>
      <c r="AP312" s="15"/>
      <c r="AQ312" s="15">
        <v>0</v>
      </c>
      <c r="AR312" s="15">
        <v>0</v>
      </c>
      <c r="AS312" s="15">
        <v>1</v>
      </c>
      <c r="AT312" s="15">
        <v>0</v>
      </c>
      <c r="AU312" s="15">
        <v>1</v>
      </c>
      <c r="AV312" s="15">
        <v>0</v>
      </c>
      <c r="AW312" s="15">
        <v>0</v>
      </c>
      <c r="AX312" s="15">
        <v>0</v>
      </c>
      <c r="AY312" s="15">
        <v>14</v>
      </c>
      <c r="AZ312" s="15">
        <v>11</v>
      </c>
      <c r="BA312" s="15">
        <v>11</v>
      </c>
      <c r="BB312" s="15">
        <v>1</v>
      </c>
      <c r="BC312" s="15">
        <v>0</v>
      </c>
      <c r="BD312" s="15">
        <v>0</v>
      </c>
      <c r="BE312" s="15">
        <v>0.02677</v>
      </c>
      <c r="BF312" s="15">
        <v>3</v>
      </c>
      <c r="BG312" s="15">
        <v>1</v>
      </c>
      <c r="BH312" s="15">
        <v>0</v>
      </c>
      <c r="BI312" s="15"/>
      <c r="BJ312" s="15">
        <v>0</v>
      </c>
      <c r="BK312" s="15">
        <v>0</v>
      </c>
      <c r="BL312" s="15">
        <v>0</v>
      </c>
      <c r="BM312" s="15">
        <v>0</v>
      </c>
      <c r="BN312" s="15"/>
      <c r="BO312" s="15"/>
      <c r="BP312" s="15">
        <v>0</v>
      </c>
      <c r="BQ312" s="15">
        <v>269</v>
      </c>
      <c r="BR312" s="15">
        <v>0</v>
      </c>
      <c r="BS312" s="15">
        <v>0</v>
      </c>
      <c r="BT312" s="15">
        <v>0</v>
      </c>
      <c r="BU312" s="15">
        <v>0</v>
      </c>
      <c r="BV312" s="15">
        <v>0</v>
      </c>
      <c r="BW312" s="15">
        <v>0</v>
      </c>
      <c r="BX312" s="15">
        <v>0</v>
      </c>
    </row>
    <row r="313" spans="1:76">
      <c r="A313" s="14" t="str">
        <f>VLOOKUP(C313,VLOOKUP!A:B,2,FALSE)</f>
        <v>福到</v>
      </c>
      <c r="B313" s="16">
        <v>46044</v>
      </c>
      <c r="C313" s="17">
        <v>971856893567</v>
      </c>
      <c r="D313" s="15" t="s">
        <v>151</v>
      </c>
      <c r="E313" s="15" t="s">
        <v>152</v>
      </c>
      <c r="F313" s="15">
        <v>515</v>
      </c>
      <c r="G313" s="15">
        <v>7</v>
      </c>
      <c r="H313" s="15">
        <v>8.58</v>
      </c>
      <c r="I313" s="15">
        <v>0.01359</v>
      </c>
      <c r="J313" s="15">
        <v>1.23</v>
      </c>
      <c r="K313" s="15">
        <v>16.66</v>
      </c>
      <c r="L313" s="15">
        <v>0</v>
      </c>
      <c r="M313" s="15">
        <v>0</v>
      </c>
      <c r="N313" s="15">
        <v>0</v>
      </c>
      <c r="O313" s="15">
        <v>0</v>
      </c>
      <c r="P313" s="15">
        <v>0</v>
      </c>
      <c r="Q313" s="15">
        <v>0</v>
      </c>
      <c r="R313" s="15">
        <v>0</v>
      </c>
      <c r="S313" s="15">
        <v>0</v>
      </c>
      <c r="T313" s="15">
        <v>0</v>
      </c>
      <c r="U313" s="15">
        <v>0</v>
      </c>
      <c r="V313" s="15">
        <v>0</v>
      </c>
      <c r="W313" s="15">
        <v>0</v>
      </c>
      <c r="X313" s="15">
        <v>0</v>
      </c>
      <c r="Y313" s="15">
        <v>0</v>
      </c>
      <c r="Z313" s="15">
        <v>0</v>
      </c>
      <c r="AA313" s="15"/>
      <c r="AB313" s="15">
        <v>0</v>
      </c>
      <c r="AC313" s="15">
        <v>0</v>
      </c>
      <c r="AD313" s="15">
        <v>0</v>
      </c>
      <c r="AE313" s="15">
        <v>0</v>
      </c>
      <c r="AF313" s="15">
        <v>0</v>
      </c>
      <c r="AG313" s="15">
        <v>0</v>
      </c>
      <c r="AH313" s="15"/>
      <c r="AI313" s="15">
        <v>0</v>
      </c>
      <c r="AJ313" s="15"/>
      <c r="AK313" s="15">
        <v>0</v>
      </c>
      <c r="AL313" s="15"/>
      <c r="AM313" s="15">
        <v>0</v>
      </c>
      <c r="AN313" s="15"/>
      <c r="AO313" s="15">
        <v>0</v>
      </c>
      <c r="AP313" s="15"/>
      <c r="AQ313" s="15">
        <v>0</v>
      </c>
      <c r="AR313" s="15">
        <v>0</v>
      </c>
      <c r="AS313" s="15">
        <v>0</v>
      </c>
      <c r="AT313" s="15">
        <v>0</v>
      </c>
      <c r="AU313" s="15">
        <v>0</v>
      </c>
      <c r="AV313" s="15">
        <v>0</v>
      </c>
      <c r="AW313" s="15">
        <v>0</v>
      </c>
      <c r="AX313" s="15">
        <v>0</v>
      </c>
      <c r="AY313" s="15">
        <v>8</v>
      </c>
      <c r="AZ313" s="15">
        <v>7</v>
      </c>
      <c r="BA313" s="15">
        <v>7</v>
      </c>
      <c r="BB313" s="15">
        <v>1</v>
      </c>
      <c r="BC313" s="15">
        <v>0</v>
      </c>
      <c r="BD313" s="15">
        <v>0</v>
      </c>
      <c r="BE313" s="15">
        <v>0.01553</v>
      </c>
      <c r="BF313" s="15">
        <v>1</v>
      </c>
      <c r="BG313" s="15">
        <v>1</v>
      </c>
      <c r="BH313" s="15">
        <v>0</v>
      </c>
      <c r="BI313" s="15"/>
      <c r="BJ313" s="15">
        <v>0</v>
      </c>
      <c r="BK313" s="15">
        <v>0</v>
      </c>
      <c r="BL313" s="15">
        <v>0</v>
      </c>
      <c r="BM313" s="15">
        <v>0</v>
      </c>
      <c r="BN313" s="15"/>
      <c r="BO313" s="15"/>
      <c r="BP313" s="15">
        <v>0</v>
      </c>
      <c r="BQ313" s="15">
        <v>1</v>
      </c>
      <c r="BR313" s="15">
        <v>0</v>
      </c>
      <c r="BS313" s="15">
        <v>0</v>
      </c>
      <c r="BT313" s="15">
        <v>0</v>
      </c>
      <c r="BU313" s="15">
        <v>0</v>
      </c>
      <c r="BV313" s="15">
        <v>0</v>
      </c>
      <c r="BW313" s="15">
        <v>0</v>
      </c>
      <c r="BX313" s="15">
        <v>0</v>
      </c>
    </row>
    <row r="314" spans="1:76">
      <c r="A314" s="14" t="str">
        <f>VLOOKUP(C314,VLOOKUP!A:B,2,FALSE)</f>
        <v>鹅梨帐中香</v>
      </c>
      <c r="B314" s="16">
        <v>46044</v>
      </c>
      <c r="C314" s="17">
        <v>971317169387</v>
      </c>
      <c r="D314" s="15" t="s">
        <v>151</v>
      </c>
      <c r="E314" s="15" t="s">
        <v>155</v>
      </c>
      <c r="F314" s="15">
        <v>337</v>
      </c>
      <c r="G314" s="15">
        <v>3</v>
      </c>
      <c r="H314" s="15">
        <v>4.89</v>
      </c>
      <c r="I314" s="15">
        <v>0.0089</v>
      </c>
      <c r="J314" s="15">
        <v>1.63</v>
      </c>
      <c r="K314" s="15">
        <v>14.51</v>
      </c>
      <c r="L314" s="15">
        <v>0</v>
      </c>
      <c r="M314" s="15">
        <v>0</v>
      </c>
      <c r="N314" s="15">
        <v>0</v>
      </c>
      <c r="O314" s="15">
        <v>0</v>
      </c>
      <c r="P314" s="15">
        <v>0</v>
      </c>
      <c r="Q314" s="15">
        <v>0</v>
      </c>
      <c r="R314" s="15">
        <v>0</v>
      </c>
      <c r="S314" s="15">
        <v>0</v>
      </c>
      <c r="T314" s="15">
        <v>0</v>
      </c>
      <c r="U314" s="15">
        <v>0</v>
      </c>
      <c r="V314" s="15">
        <v>0</v>
      </c>
      <c r="W314" s="15">
        <v>0</v>
      </c>
      <c r="X314" s="15">
        <v>0</v>
      </c>
      <c r="Y314" s="15">
        <v>0</v>
      </c>
      <c r="Z314" s="15">
        <v>0</v>
      </c>
      <c r="AA314" s="15"/>
      <c r="AB314" s="15">
        <v>5</v>
      </c>
      <c r="AC314" s="15">
        <v>0</v>
      </c>
      <c r="AD314" s="15">
        <v>5</v>
      </c>
      <c r="AE314" s="15">
        <v>1.66667</v>
      </c>
      <c r="AF314" s="15">
        <v>0</v>
      </c>
      <c r="AG314" s="15">
        <v>1</v>
      </c>
      <c r="AH314" s="15">
        <v>4.89</v>
      </c>
      <c r="AI314" s="15">
        <v>6</v>
      </c>
      <c r="AJ314" s="15">
        <v>0.82</v>
      </c>
      <c r="AK314" s="15">
        <v>5</v>
      </c>
      <c r="AL314" s="15">
        <v>0.98</v>
      </c>
      <c r="AM314" s="15">
        <v>1</v>
      </c>
      <c r="AN314" s="15"/>
      <c r="AO314" s="15">
        <v>0</v>
      </c>
      <c r="AP314" s="15">
        <v>0.98</v>
      </c>
      <c r="AQ314" s="15">
        <v>0</v>
      </c>
      <c r="AR314" s="15">
        <v>0</v>
      </c>
      <c r="AS314" s="15">
        <v>0</v>
      </c>
      <c r="AT314" s="15">
        <v>0</v>
      </c>
      <c r="AU314" s="15">
        <v>1</v>
      </c>
      <c r="AV314" s="15">
        <v>0</v>
      </c>
      <c r="AW314" s="15">
        <v>0</v>
      </c>
      <c r="AX314" s="15">
        <v>3</v>
      </c>
      <c r="AY314" s="15">
        <v>26</v>
      </c>
      <c r="AZ314" s="15">
        <v>3</v>
      </c>
      <c r="BA314" s="15">
        <v>3</v>
      </c>
      <c r="BB314" s="15">
        <v>1</v>
      </c>
      <c r="BC314" s="15">
        <v>0</v>
      </c>
      <c r="BD314" s="15">
        <v>0</v>
      </c>
      <c r="BE314" s="15">
        <v>0.07715</v>
      </c>
      <c r="BF314" s="15">
        <v>23</v>
      </c>
      <c r="BG314" s="15">
        <v>9</v>
      </c>
      <c r="BH314" s="15">
        <v>0</v>
      </c>
      <c r="BI314" s="15"/>
      <c r="BJ314" s="15">
        <v>0</v>
      </c>
      <c r="BK314" s="15">
        <v>0</v>
      </c>
      <c r="BL314" s="15">
        <v>0</v>
      </c>
      <c r="BM314" s="15">
        <v>0</v>
      </c>
      <c r="BN314" s="15"/>
      <c r="BO314" s="15"/>
      <c r="BP314" s="15">
        <v>0</v>
      </c>
      <c r="BQ314" s="15">
        <v>95</v>
      </c>
      <c r="BR314" s="15">
        <v>0</v>
      </c>
      <c r="BS314" s="15">
        <v>0</v>
      </c>
      <c r="BT314" s="15">
        <v>0</v>
      </c>
      <c r="BU314" s="15">
        <v>0</v>
      </c>
      <c r="BV314" s="15">
        <v>0</v>
      </c>
      <c r="BW314" s="15">
        <v>0</v>
      </c>
      <c r="BX314" s="15">
        <v>0</v>
      </c>
    </row>
    <row r="315" spans="1:76">
      <c r="A315" s="14" t="str">
        <f>VLOOKUP(C315,VLOOKUP!A:B,2,FALSE)</f>
        <v>如意盘香</v>
      </c>
      <c r="B315" s="16">
        <v>46044</v>
      </c>
      <c r="C315" s="17">
        <v>838711327669</v>
      </c>
      <c r="D315" s="15" t="s">
        <v>151</v>
      </c>
      <c r="E315" s="15" t="s">
        <v>158</v>
      </c>
      <c r="F315" s="15">
        <v>537</v>
      </c>
      <c r="G315" s="15">
        <v>20</v>
      </c>
      <c r="H315" s="15">
        <v>80</v>
      </c>
      <c r="I315" s="15">
        <v>0.03724</v>
      </c>
      <c r="J315" s="15">
        <v>4</v>
      </c>
      <c r="K315" s="15">
        <v>148.98</v>
      </c>
      <c r="L315" s="15">
        <v>0</v>
      </c>
      <c r="M315" s="15">
        <v>0</v>
      </c>
      <c r="N315" s="15">
        <v>0</v>
      </c>
      <c r="O315" s="15">
        <v>0</v>
      </c>
      <c r="P315" s="15">
        <v>0</v>
      </c>
      <c r="Q315" s="15">
        <v>0</v>
      </c>
      <c r="R315" s="15">
        <v>0</v>
      </c>
      <c r="S315" s="15">
        <v>313.83</v>
      </c>
      <c r="T315" s="15">
        <v>313.83</v>
      </c>
      <c r="U315" s="15">
        <v>1</v>
      </c>
      <c r="V315" s="15">
        <v>0</v>
      </c>
      <c r="W315" s="15">
        <v>1</v>
      </c>
      <c r="X315" s="15">
        <v>0.05</v>
      </c>
      <c r="Y315" s="15">
        <v>3.92</v>
      </c>
      <c r="Z315" s="15">
        <v>3.92</v>
      </c>
      <c r="AA315" s="15">
        <v>80</v>
      </c>
      <c r="AB315" s="15">
        <v>2</v>
      </c>
      <c r="AC315" s="15">
        <v>0</v>
      </c>
      <c r="AD315" s="15">
        <v>2</v>
      </c>
      <c r="AE315" s="15">
        <v>0.1</v>
      </c>
      <c r="AF315" s="15">
        <v>0</v>
      </c>
      <c r="AG315" s="15">
        <v>1</v>
      </c>
      <c r="AH315" s="15">
        <v>80</v>
      </c>
      <c r="AI315" s="15">
        <v>3</v>
      </c>
      <c r="AJ315" s="15">
        <v>26.67</v>
      </c>
      <c r="AK315" s="15">
        <v>2</v>
      </c>
      <c r="AL315" s="15">
        <v>40</v>
      </c>
      <c r="AM315" s="15">
        <v>1</v>
      </c>
      <c r="AN315" s="15"/>
      <c r="AO315" s="15">
        <v>0</v>
      </c>
      <c r="AP315" s="15">
        <v>40</v>
      </c>
      <c r="AQ315" s="15">
        <v>2</v>
      </c>
      <c r="AR315" s="15">
        <v>494</v>
      </c>
      <c r="AS315" s="15">
        <v>0</v>
      </c>
      <c r="AT315" s="15">
        <v>0</v>
      </c>
      <c r="AU315" s="15">
        <v>4</v>
      </c>
      <c r="AV315" s="15">
        <v>0</v>
      </c>
      <c r="AW315" s="15">
        <v>0</v>
      </c>
      <c r="AX315" s="15">
        <v>2</v>
      </c>
      <c r="AY315" s="15">
        <v>66</v>
      </c>
      <c r="AZ315" s="15">
        <v>19</v>
      </c>
      <c r="BA315" s="15">
        <v>13</v>
      </c>
      <c r="BB315" s="15">
        <v>0.68421</v>
      </c>
      <c r="BC315" s="15">
        <v>0</v>
      </c>
      <c r="BD315" s="15">
        <v>0</v>
      </c>
      <c r="BE315" s="15">
        <v>0.12291</v>
      </c>
      <c r="BF315" s="15">
        <v>44</v>
      </c>
      <c r="BG315" s="15">
        <v>3</v>
      </c>
      <c r="BH315" s="15">
        <v>1</v>
      </c>
      <c r="BI315" s="15">
        <v>1</v>
      </c>
      <c r="BJ315" s="15">
        <v>0</v>
      </c>
      <c r="BK315" s="15">
        <v>0</v>
      </c>
      <c r="BL315" s="15">
        <v>0</v>
      </c>
      <c r="BM315" s="15">
        <v>1</v>
      </c>
      <c r="BN315" s="15">
        <v>1</v>
      </c>
      <c r="BO315" s="15">
        <v>313.83</v>
      </c>
      <c r="BP315" s="15">
        <v>0</v>
      </c>
      <c r="BQ315" s="15">
        <v>261</v>
      </c>
      <c r="BR315" s="15">
        <v>0</v>
      </c>
      <c r="BS315" s="15">
        <v>0</v>
      </c>
      <c r="BT315" s="15">
        <v>0</v>
      </c>
      <c r="BU315" s="15">
        <v>0</v>
      </c>
      <c r="BV315" s="15">
        <v>0</v>
      </c>
      <c r="BW315" s="15">
        <v>0</v>
      </c>
      <c r="BX315" s="15">
        <v>0</v>
      </c>
    </row>
    <row r="316" spans="1:76">
      <c r="A316" s="14" t="str">
        <f>VLOOKUP(C316,VLOOKUP!A:B,2,FALSE)</f>
        <v>福颜青</v>
      </c>
      <c r="B316" s="16">
        <v>46044</v>
      </c>
      <c r="C316" s="17">
        <v>833369552621</v>
      </c>
      <c r="D316" s="15" t="s">
        <v>151</v>
      </c>
      <c r="E316" s="15" t="s">
        <v>154</v>
      </c>
      <c r="F316" s="15">
        <v>329</v>
      </c>
      <c r="G316" s="15">
        <v>3</v>
      </c>
      <c r="H316" s="15">
        <v>4.65</v>
      </c>
      <c r="I316" s="15">
        <v>0.00912</v>
      </c>
      <c r="J316" s="15">
        <v>1.55</v>
      </c>
      <c r="K316" s="15">
        <v>14.13</v>
      </c>
      <c r="L316" s="15">
        <v>0</v>
      </c>
      <c r="M316" s="15">
        <v>0</v>
      </c>
      <c r="N316" s="15">
        <v>0</v>
      </c>
      <c r="O316" s="15">
        <v>0</v>
      </c>
      <c r="P316" s="15">
        <v>0</v>
      </c>
      <c r="Q316" s="15">
        <v>0</v>
      </c>
      <c r="R316" s="15">
        <v>0</v>
      </c>
      <c r="S316" s="15">
        <v>0</v>
      </c>
      <c r="T316" s="15">
        <v>0</v>
      </c>
      <c r="U316" s="15">
        <v>0</v>
      </c>
      <c r="V316" s="15">
        <v>0</v>
      </c>
      <c r="W316" s="15">
        <v>0</v>
      </c>
      <c r="X316" s="15">
        <v>0</v>
      </c>
      <c r="Y316" s="15">
        <v>0</v>
      </c>
      <c r="Z316" s="15">
        <v>0</v>
      </c>
      <c r="AA316" s="15"/>
      <c r="AB316" s="15">
        <v>0</v>
      </c>
      <c r="AC316" s="15">
        <v>0</v>
      </c>
      <c r="AD316" s="15">
        <v>0</v>
      </c>
      <c r="AE316" s="15">
        <v>0</v>
      </c>
      <c r="AF316" s="15">
        <v>0</v>
      </c>
      <c r="AG316" s="15">
        <v>0</v>
      </c>
      <c r="AH316" s="15"/>
      <c r="AI316" s="15">
        <v>0</v>
      </c>
      <c r="AJ316" s="15"/>
      <c r="AK316" s="15">
        <v>0</v>
      </c>
      <c r="AL316" s="15"/>
      <c r="AM316" s="15">
        <v>0</v>
      </c>
      <c r="AN316" s="15"/>
      <c r="AO316" s="15">
        <v>0</v>
      </c>
      <c r="AP316" s="15"/>
      <c r="AQ316" s="15">
        <v>0</v>
      </c>
      <c r="AR316" s="15">
        <v>0</v>
      </c>
      <c r="AS316" s="15">
        <v>0</v>
      </c>
      <c r="AT316" s="15">
        <v>0</v>
      </c>
      <c r="AU316" s="15">
        <v>1</v>
      </c>
      <c r="AV316" s="15">
        <v>0</v>
      </c>
      <c r="AW316" s="15">
        <v>0</v>
      </c>
      <c r="AX316" s="15">
        <v>0</v>
      </c>
      <c r="AY316" s="15">
        <v>5</v>
      </c>
      <c r="AZ316" s="15">
        <v>4</v>
      </c>
      <c r="BA316" s="15">
        <v>4</v>
      </c>
      <c r="BB316" s="15">
        <v>1</v>
      </c>
      <c r="BC316" s="15">
        <v>0</v>
      </c>
      <c r="BD316" s="15">
        <v>0</v>
      </c>
      <c r="BE316" s="15">
        <v>0.0152</v>
      </c>
      <c r="BF316" s="15">
        <v>1</v>
      </c>
      <c r="BG316" s="15">
        <v>1</v>
      </c>
      <c r="BH316" s="15">
        <v>0</v>
      </c>
      <c r="BI316" s="15"/>
      <c r="BJ316" s="15">
        <v>0</v>
      </c>
      <c r="BK316" s="15">
        <v>0</v>
      </c>
      <c r="BL316" s="15">
        <v>0</v>
      </c>
      <c r="BM316" s="15">
        <v>0</v>
      </c>
      <c r="BN316" s="15"/>
      <c r="BO316" s="15"/>
      <c r="BP316" s="15">
        <v>0</v>
      </c>
      <c r="BQ316" s="15">
        <v>0</v>
      </c>
      <c r="BR316" s="15">
        <v>0</v>
      </c>
      <c r="BS316" s="15">
        <v>0</v>
      </c>
      <c r="BT316" s="15">
        <v>0</v>
      </c>
      <c r="BU316" s="15">
        <v>0</v>
      </c>
      <c r="BV316" s="15">
        <v>0</v>
      </c>
      <c r="BW316" s="15">
        <v>0</v>
      </c>
      <c r="BX316" s="15">
        <v>0</v>
      </c>
    </row>
    <row r="317" spans="1:76">
      <c r="A317" s="14" t="str">
        <f>VLOOKUP(C317,VLOOKUP!A:B,2,FALSE)</f>
        <v>奇楠手串</v>
      </c>
      <c r="B317" s="16">
        <v>46044</v>
      </c>
      <c r="C317" s="17">
        <v>833035288991</v>
      </c>
      <c r="D317" s="15" t="s">
        <v>151</v>
      </c>
      <c r="E317" s="15" t="s">
        <v>159</v>
      </c>
      <c r="F317" s="15">
        <v>414</v>
      </c>
      <c r="G317" s="15">
        <v>5</v>
      </c>
      <c r="H317" s="15">
        <v>7.92</v>
      </c>
      <c r="I317" s="15">
        <v>0.01208</v>
      </c>
      <c r="J317" s="15">
        <v>1.58</v>
      </c>
      <c r="K317" s="15">
        <v>19.13</v>
      </c>
      <c r="L317" s="15">
        <v>0</v>
      </c>
      <c r="M317" s="15">
        <v>0</v>
      </c>
      <c r="N317" s="15">
        <v>0</v>
      </c>
      <c r="O317" s="15">
        <v>0</v>
      </c>
      <c r="P317" s="15">
        <v>0</v>
      </c>
      <c r="Q317" s="15">
        <v>0</v>
      </c>
      <c r="R317" s="15">
        <v>0</v>
      </c>
      <c r="S317" s="15">
        <v>0</v>
      </c>
      <c r="T317" s="15">
        <v>0</v>
      </c>
      <c r="U317" s="15">
        <v>0</v>
      </c>
      <c r="V317" s="15">
        <v>0</v>
      </c>
      <c r="W317" s="15">
        <v>0</v>
      </c>
      <c r="X317" s="15">
        <v>0</v>
      </c>
      <c r="Y317" s="15">
        <v>0</v>
      </c>
      <c r="Z317" s="15">
        <v>0</v>
      </c>
      <c r="AA317" s="15"/>
      <c r="AB317" s="15">
        <v>0</v>
      </c>
      <c r="AC317" s="15">
        <v>0</v>
      </c>
      <c r="AD317" s="15">
        <v>0</v>
      </c>
      <c r="AE317" s="15">
        <v>0</v>
      </c>
      <c r="AF317" s="15">
        <v>0</v>
      </c>
      <c r="AG317" s="15">
        <v>0</v>
      </c>
      <c r="AH317" s="15"/>
      <c r="AI317" s="15">
        <v>0</v>
      </c>
      <c r="AJ317" s="15"/>
      <c r="AK317" s="15">
        <v>0</v>
      </c>
      <c r="AL317" s="15"/>
      <c r="AM317" s="15">
        <v>0</v>
      </c>
      <c r="AN317" s="15"/>
      <c r="AO317" s="15">
        <v>0</v>
      </c>
      <c r="AP317" s="15"/>
      <c r="AQ317" s="15">
        <v>0</v>
      </c>
      <c r="AR317" s="15">
        <v>0</v>
      </c>
      <c r="AS317" s="15">
        <v>0</v>
      </c>
      <c r="AT317" s="15">
        <v>0</v>
      </c>
      <c r="AU317" s="15">
        <v>0</v>
      </c>
      <c r="AV317" s="15">
        <v>0</v>
      </c>
      <c r="AW317" s="15">
        <v>0</v>
      </c>
      <c r="AX317" s="15">
        <v>0</v>
      </c>
      <c r="AY317" s="15">
        <v>5</v>
      </c>
      <c r="AZ317" s="15">
        <v>5</v>
      </c>
      <c r="BA317" s="15">
        <v>5</v>
      </c>
      <c r="BB317" s="15">
        <v>1</v>
      </c>
      <c r="BC317" s="15">
        <v>0</v>
      </c>
      <c r="BD317" s="15">
        <v>0</v>
      </c>
      <c r="BE317" s="15">
        <v>0.01208</v>
      </c>
      <c r="BF317" s="15">
        <v>0</v>
      </c>
      <c r="BG317" s="15">
        <v>1</v>
      </c>
      <c r="BH317" s="15">
        <v>0</v>
      </c>
      <c r="BI317" s="15"/>
      <c r="BJ317" s="15">
        <v>0</v>
      </c>
      <c r="BK317" s="15">
        <v>0</v>
      </c>
      <c r="BL317" s="15">
        <v>0</v>
      </c>
      <c r="BM317" s="15">
        <v>0</v>
      </c>
      <c r="BN317" s="15"/>
      <c r="BO317" s="15"/>
      <c r="BP317" s="15">
        <v>0</v>
      </c>
      <c r="BQ317" s="15">
        <v>0</v>
      </c>
      <c r="BR317" s="15">
        <v>0</v>
      </c>
      <c r="BS317" s="15">
        <v>0</v>
      </c>
      <c r="BT317" s="15">
        <v>0</v>
      </c>
      <c r="BU317" s="15">
        <v>0</v>
      </c>
      <c r="BV317" s="15">
        <v>0</v>
      </c>
      <c r="BW317" s="15">
        <v>0</v>
      </c>
      <c r="BX317" s="15">
        <v>0</v>
      </c>
    </row>
    <row r="318" spans="1:76">
      <c r="A318" s="14" t="str">
        <f>VLOOKUP(C318,VLOOKUP!A:B,2,FALSE)</f>
        <v>四季线香</v>
      </c>
      <c r="B318" s="16">
        <v>46044</v>
      </c>
      <c r="C318" s="17">
        <v>742540384374</v>
      </c>
      <c r="D318" s="15" t="s">
        <v>151</v>
      </c>
      <c r="E318" s="15" t="s">
        <v>161</v>
      </c>
      <c r="F318" s="15">
        <v>121</v>
      </c>
      <c r="G318" s="15">
        <v>6</v>
      </c>
      <c r="H318" s="15">
        <v>22.49</v>
      </c>
      <c r="I318" s="15">
        <v>0.04959</v>
      </c>
      <c r="J318" s="15">
        <v>3.75</v>
      </c>
      <c r="K318" s="15">
        <v>185.87</v>
      </c>
      <c r="L318" s="15">
        <v>0</v>
      </c>
      <c r="M318" s="15">
        <v>0</v>
      </c>
      <c r="N318" s="15">
        <v>0</v>
      </c>
      <c r="O318" s="15">
        <v>0</v>
      </c>
      <c r="P318" s="15">
        <v>0</v>
      </c>
      <c r="Q318" s="15">
        <v>0</v>
      </c>
      <c r="R318" s="15">
        <v>0</v>
      </c>
      <c r="S318" s="15">
        <v>0</v>
      </c>
      <c r="T318" s="15">
        <v>0</v>
      </c>
      <c r="U318" s="15">
        <v>0</v>
      </c>
      <c r="V318" s="15">
        <v>0</v>
      </c>
      <c r="W318" s="15">
        <v>0</v>
      </c>
      <c r="X318" s="15">
        <v>0</v>
      </c>
      <c r="Y318" s="15">
        <v>0</v>
      </c>
      <c r="Z318" s="15">
        <v>0</v>
      </c>
      <c r="AA318" s="15"/>
      <c r="AB318" s="15">
        <v>1</v>
      </c>
      <c r="AC318" s="15">
        <v>0</v>
      </c>
      <c r="AD318" s="15">
        <v>1</v>
      </c>
      <c r="AE318" s="15">
        <v>0.16667</v>
      </c>
      <c r="AF318" s="15">
        <v>0</v>
      </c>
      <c r="AG318" s="15">
        <v>0</v>
      </c>
      <c r="AH318" s="15"/>
      <c r="AI318" s="15">
        <v>1</v>
      </c>
      <c r="AJ318" s="15">
        <v>22.49</v>
      </c>
      <c r="AK318" s="15">
        <v>1</v>
      </c>
      <c r="AL318" s="15">
        <v>22.49</v>
      </c>
      <c r="AM318" s="15">
        <v>0</v>
      </c>
      <c r="AN318" s="15"/>
      <c r="AO318" s="15">
        <v>0</v>
      </c>
      <c r="AP318" s="15">
        <v>22.49</v>
      </c>
      <c r="AQ318" s="15">
        <v>0</v>
      </c>
      <c r="AR318" s="15">
        <v>0</v>
      </c>
      <c r="AS318" s="15">
        <v>0</v>
      </c>
      <c r="AT318" s="15">
        <v>0</v>
      </c>
      <c r="AU318" s="15">
        <v>0</v>
      </c>
      <c r="AV318" s="15">
        <v>0</v>
      </c>
      <c r="AW318" s="15">
        <v>0</v>
      </c>
      <c r="AX318" s="15">
        <v>0</v>
      </c>
      <c r="AY318" s="15">
        <v>20</v>
      </c>
      <c r="AZ318" s="15">
        <v>6</v>
      </c>
      <c r="BA318" s="15">
        <v>5</v>
      </c>
      <c r="BB318" s="15">
        <v>0.83333</v>
      </c>
      <c r="BC318" s="15">
        <v>0</v>
      </c>
      <c r="BD318" s="15">
        <v>0</v>
      </c>
      <c r="BE318" s="15">
        <v>0.16529</v>
      </c>
      <c r="BF318" s="15">
        <v>13</v>
      </c>
      <c r="BG318" s="15">
        <v>3</v>
      </c>
      <c r="BH318" s="15">
        <v>0</v>
      </c>
      <c r="BI318" s="15"/>
      <c r="BJ318" s="15">
        <v>0</v>
      </c>
      <c r="BK318" s="15">
        <v>0</v>
      </c>
      <c r="BL318" s="15">
        <v>0</v>
      </c>
      <c r="BM318" s="15">
        <v>0</v>
      </c>
      <c r="BN318" s="15"/>
      <c r="BO318" s="15"/>
      <c r="BP318" s="15">
        <v>0.06</v>
      </c>
      <c r="BQ318" s="15">
        <v>12</v>
      </c>
      <c r="BR318" s="15">
        <v>0</v>
      </c>
      <c r="BS318" s="15">
        <v>0</v>
      </c>
      <c r="BT318" s="15">
        <v>0</v>
      </c>
      <c r="BU318" s="15">
        <v>0</v>
      </c>
      <c r="BV318" s="15">
        <v>0</v>
      </c>
      <c r="BW318" s="15">
        <v>0</v>
      </c>
      <c r="BX318" s="15">
        <v>0</v>
      </c>
    </row>
    <row r="319" spans="1:76">
      <c r="A319" s="14" t="str">
        <f>VLOOKUP(C319,VLOOKUP!A:B,2,FALSE)</f>
        <v>车载香薰</v>
      </c>
      <c r="B319" s="16">
        <v>46044</v>
      </c>
      <c r="C319" s="17">
        <v>616090775596</v>
      </c>
      <c r="D319" s="15" t="s">
        <v>151</v>
      </c>
      <c r="E319" s="15" t="s">
        <v>162</v>
      </c>
      <c r="F319" s="15">
        <v>676</v>
      </c>
      <c r="G319" s="15">
        <v>12</v>
      </c>
      <c r="H319" s="15">
        <v>38.61</v>
      </c>
      <c r="I319" s="15">
        <v>0.01775</v>
      </c>
      <c r="J319" s="15">
        <v>3.22</v>
      </c>
      <c r="K319" s="15">
        <v>57.12</v>
      </c>
      <c r="L319" s="15">
        <v>0</v>
      </c>
      <c r="M319" s="15">
        <v>0</v>
      </c>
      <c r="N319" s="15">
        <v>0</v>
      </c>
      <c r="O319" s="15">
        <v>0</v>
      </c>
      <c r="P319" s="15">
        <v>0</v>
      </c>
      <c r="Q319" s="15">
        <v>0</v>
      </c>
      <c r="R319" s="15">
        <v>0</v>
      </c>
      <c r="S319" s="15">
        <v>0</v>
      </c>
      <c r="T319" s="15">
        <v>0</v>
      </c>
      <c r="U319" s="15">
        <v>0</v>
      </c>
      <c r="V319" s="15">
        <v>0</v>
      </c>
      <c r="W319" s="15">
        <v>0</v>
      </c>
      <c r="X319" s="15">
        <v>0</v>
      </c>
      <c r="Y319" s="15">
        <v>0</v>
      </c>
      <c r="Z319" s="15">
        <v>0</v>
      </c>
      <c r="AA319" s="15"/>
      <c r="AB319" s="15">
        <v>2</v>
      </c>
      <c r="AC319" s="15">
        <v>2</v>
      </c>
      <c r="AD319" s="15">
        <v>0</v>
      </c>
      <c r="AE319" s="15">
        <v>0.16667</v>
      </c>
      <c r="AF319" s="15">
        <v>0</v>
      </c>
      <c r="AG319" s="15">
        <v>0</v>
      </c>
      <c r="AH319" s="15"/>
      <c r="AI319" s="15">
        <v>2</v>
      </c>
      <c r="AJ319" s="15">
        <v>19.31</v>
      </c>
      <c r="AK319" s="15">
        <v>2</v>
      </c>
      <c r="AL319" s="15">
        <v>19.31</v>
      </c>
      <c r="AM319" s="15">
        <v>0</v>
      </c>
      <c r="AN319" s="15"/>
      <c r="AO319" s="15">
        <v>0</v>
      </c>
      <c r="AP319" s="15">
        <v>19.31</v>
      </c>
      <c r="AQ319" s="15">
        <v>0</v>
      </c>
      <c r="AR319" s="15">
        <v>0</v>
      </c>
      <c r="AS319" s="15">
        <v>0</v>
      </c>
      <c r="AT319" s="15">
        <v>0</v>
      </c>
      <c r="AU319" s="15">
        <v>0</v>
      </c>
      <c r="AV319" s="15">
        <v>0</v>
      </c>
      <c r="AW319" s="15">
        <v>0</v>
      </c>
      <c r="AX319" s="15">
        <v>1</v>
      </c>
      <c r="AY319" s="15">
        <v>37</v>
      </c>
      <c r="AZ319" s="15">
        <v>13</v>
      </c>
      <c r="BA319" s="15">
        <v>12</v>
      </c>
      <c r="BB319" s="15">
        <v>0.92308</v>
      </c>
      <c r="BC319" s="15">
        <v>0</v>
      </c>
      <c r="BD319" s="15">
        <v>0</v>
      </c>
      <c r="BE319" s="15">
        <v>0.05473</v>
      </c>
      <c r="BF319" s="15">
        <v>23</v>
      </c>
      <c r="BG319" s="15">
        <v>3</v>
      </c>
      <c r="BH319" s="15">
        <v>0</v>
      </c>
      <c r="BI319" s="15"/>
      <c r="BJ319" s="15">
        <v>0</v>
      </c>
      <c r="BK319" s="15">
        <v>0</v>
      </c>
      <c r="BL319" s="15">
        <v>0</v>
      </c>
      <c r="BM319" s="15">
        <v>0</v>
      </c>
      <c r="BN319" s="15"/>
      <c r="BO319" s="15"/>
      <c r="BP319" s="15">
        <v>0</v>
      </c>
      <c r="BQ319" s="15">
        <v>32</v>
      </c>
      <c r="BR319" s="15">
        <v>0</v>
      </c>
      <c r="BS319" s="15">
        <v>0</v>
      </c>
      <c r="BT319" s="15">
        <v>0</v>
      </c>
      <c r="BU319" s="15">
        <v>0</v>
      </c>
      <c r="BV319" s="15">
        <v>0</v>
      </c>
      <c r="BW319" s="15">
        <v>0</v>
      </c>
      <c r="BX319" s="15">
        <v>0</v>
      </c>
    </row>
    <row r="320" spans="1:76">
      <c r="A320" s="14" t="str">
        <f>VLOOKUP(C320,VLOOKUP!A:B,2,FALSE)</f>
        <v>鹅梨帐中香</v>
      </c>
      <c r="B320" s="16">
        <v>46043</v>
      </c>
      <c r="C320" s="17">
        <v>971317169387</v>
      </c>
      <c r="D320" s="15" t="s">
        <v>151</v>
      </c>
      <c r="E320" s="15" t="s">
        <v>155</v>
      </c>
      <c r="F320" s="15">
        <v>571</v>
      </c>
      <c r="G320" s="15">
        <v>13</v>
      </c>
      <c r="H320" s="15">
        <v>21.42</v>
      </c>
      <c r="I320" s="15">
        <v>0.02277</v>
      </c>
      <c r="J320" s="15">
        <v>1.65</v>
      </c>
      <c r="K320" s="15">
        <v>37.51</v>
      </c>
      <c r="L320" s="15">
        <v>0</v>
      </c>
      <c r="M320" s="15">
        <v>0</v>
      </c>
      <c r="N320" s="15">
        <v>0</v>
      </c>
      <c r="O320" s="15">
        <v>0</v>
      </c>
      <c r="P320" s="15">
        <v>0</v>
      </c>
      <c r="Q320" s="15">
        <v>0</v>
      </c>
      <c r="R320" s="15">
        <v>0</v>
      </c>
      <c r="S320" s="15">
        <v>0</v>
      </c>
      <c r="T320" s="15">
        <v>0</v>
      </c>
      <c r="U320" s="15">
        <v>0</v>
      </c>
      <c r="V320" s="15">
        <v>0</v>
      </c>
      <c r="W320" s="15">
        <v>0</v>
      </c>
      <c r="X320" s="15">
        <v>0</v>
      </c>
      <c r="Y320" s="15">
        <v>0</v>
      </c>
      <c r="Z320" s="15">
        <v>0</v>
      </c>
      <c r="AA320" s="15"/>
      <c r="AB320" s="15">
        <v>1</v>
      </c>
      <c r="AC320" s="15">
        <v>0</v>
      </c>
      <c r="AD320" s="15">
        <v>1</v>
      </c>
      <c r="AE320" s="15">
        <v>0.07692</v>
      </c>
      <c r="AF320" s="15">
        <v>0</v>
      </c>
      <c r="AG320" s="15">
        <v>0</v>
      </c>
      <c r="AH320" s="15"/>
      <c r="AI320" s="15">
        <v>1</v>
      </c>
      <c r="AJ320" s="15">
        <v>21.42</v>
      </c>
      <c r="AK320" s="15">
        <v>1</v>
      </c>
      <c r="AL320" s="15">
        <v>21.42</v>
      </c>
      <c r="AM320" s="15">
        <v>0</v>
      </c>
      <c r="AN320" s="15"/>
      <c r="AO320" s="15">
        <v>0</v>
      </c>
      <c r="AP320" s="15">
        <v>21.42</v>
      </c>
      <c r="AQ320" s="15">
        <v>0</v>
      </c>
      <c r="AR320" s="15">
        <v>0</v>
      </c>
      <c r="AS320" s="15">
        <v>0</v>
      </c>
      <c r="AT320" s="15">
        <v>0</v>
      </c>
      <c r="AU320" s="15">
        <v>1</v>
      </c>
      <c r="AV320" s="15">
        <v>0</v>
      </c>
      <c r="AW320" s="15">
        <v>0</v>
      </c>
      <c r="AX320" s="15">
        <v>0</v>
      </c>
      <c r="AY320" s="15">
        <v>55</v>
      </c>
      <c r="AZ320" s="15">
        <v>13</v>
      </c>
      <c r="BA320" s="15">
        <v>10</v>
      </c>
      <c r="BB320" s="15">
        <v>0.76923</v>
      </c>
      <c r="BC320" s="15">
        <v>0</v>
      </c>
      <c r="BD320" s="15">
        <v>0</v>
      </c>
      <c r="BE320" s="15">
        <v>0.09632</v>
      </c>
      <c r="BF320" s="15">
        <v>38</v>
      </c>
      <c r="BG320" s="15">
        <v>4</v>
      </c>
      <c r="BH320" s="15">
        <v>0</v>
      </c>
      <c r="BI320" s="15"/>
      <c r="BJ320" s="15">
        <v>0</v>
      </c>
      <c r="BK320" s="15">
        <v>0</v>
      </c>
      <c r="BL320" s="15">
        <v>0</v>
      </c>
      <c r="BM320" s="15">
        <v>0</v>
      </c>
      <c r="BN320" s="15"/>
      <c r="BO320" s="15"/>
      <c r="BP320" s="15">
        <v>0</v>
      </c>
      <c r="BQ320" s="15">
        <v>84</v>
      </c>
      <c r="BR320" s="15">
        <v>0</v>
      </c>
      <c r="BS320" s="15">
        <v>0</v>
      </c>
      <c r="BT320" s="15">
        <v>0</v>
      </c>
      <c r="BU320" s="15">
        <v>0</v>
      </c>
      <c r="BV320" s="15">
        <v>0</v>
      </c>
      <c r="BW320" s="15">
        <v>0</v>
      </c>
      <c r="BX320" s="15">
        <v>0</v>
      </c>
    </row>
    <row r="321" spans="1:76">
      <c r="A321" s="14" t="str">
        <f>VLOOKUP(C321,VLOOKUP!A:B,2,FALSE)</f>
        <v>如意盘香</v>
      </c>
      <c r="B321" s="16">
        <v>46043</v>
      </c>
      <c r="C321" s="17">
        <v>838711327669</v>
      </c>
      <c r="D321" s="15" t="s">
        <v>151</v>
      </c>
      <c r="E321" s="15" t="s">
        <v>158</v>
      </c>
      <c r="F321" s="15">
        <v>711</v>
      </c>
      <c r="G321" s="15">
        <v>23</v>
      </c>
      <c r="H321" s="15">
        <v>73.87</v>
      </c>
      <c r="I321" s="15">
        <v>0.03235</v>
      </c>
      <c r="J321" s="15">
        <v>3.21</v>
      </c>
      <c r="K321" s="15">
        <v>103.9</v>
      </c>
      <c r="L321" s="15">
        <v>0</v>
      </c>
      <c r="M321" s="15">
        <v>0</v>
      </c>
      <c r="N321" s="15">
        <v>0</v>
      </c>
      <c r="O321" s="15">
        <v>0</v>
      </c>
      <c r="P321" s="15">
        <v>0</v>
      </c>
      <c r="Q321" s="15">
        <v>0</v>
      </c>
      <c r="R321" s="15">
        <v>0</v>
      </c>
      <c r="S321" s="15">
        <v>0</v>
      </c>
      <c r="T321" s="15">
        <v>0</v>
      </c>
      <c r="U321" s="15">
        <v>0</v>
      </c>
      <c r="V321" s="15">
        <v>0</v>
      </c>
      <c r="W321" s="15">
        <v>0</v>
      </c>
      <c r="X321" s="15">
        <v>0</v>
      </c>
      <c r="Y321" s="15">
        <v>0</v>
      </c>
      <c r="Z321" s="15">
        <v>0</v>
      </c>
      <c r="AA321" s="15"/>
      <c r="AB321" s="15">
        <v>0</v>
      </c>
      <c r="AC321" s="15">
        <v>0</v>
      </c>
      <c r="AD321" s="15">
        <v>0</v>
      </c>
      <c r="AE321" s="15">
        <v>0</v>
      </c>
      <c r="AF321" s="15">
        <v>0</v>
      </c>
      <c r="AG321" s="15">
        <v>0</v>
      </c>
      <c r="AH321" s="15"/>
      <c r="AI321" s="15">
        <v>0</v>
      </c>
      <c r="AJ321" s="15"/>
      <c r="AK321" s="15">
        <v>0</v>
      </c>
      <c r="AL321" s="15"/>
      <c r="AM321" s="15">
        <v>0</v>
      </c>
      <c r="AN321" s="15"/>
      <c r="AO321" s="15">
        <v>0</v>
      </c>
      <c r="AP321" s="15"/>
      <c r="AQ321" s="15">
        <v>0</v>
      </c>
      <c r="AR321" s="15">
        <v>0</v>
      </c>
      <c r="AS321" s="15">
        <v>0</v>
      </c>
      <c r="AT321" s="15">
        <v>0</v>
      </c>
      <c r="AU321" s="15">
        <v>2</v>
      </c>
      <c r="AV321" s="15">
        <v>0</v>
      </c>
      <c r="AW321" s="15">
        <v>0</v>
      </c>
      <c r="AX321" s="15">
        <v>0</v>
      </c>
      <c r="AY321" s="15">
        <v>79</v>
      </c>
      <c r="AZ321" s="15">
        <v>23</v>
      </c>
      <c r="BA321" s="15">
        <v>16</v>
      </c>
      <c r="BB321" s="15">
        <v>0.69565</v>
      </c>
      <c r="BC321" s="15">
        <v>0</v>
      </c>
      <c r="BD321" s="15">
        <v>0</v>
      </c>
      <c r="BE321" s="15">
        <v>0.11111</v>
      </c>
      <c r="BF321" s="15">
        <v>54</v>
      </c>
      <c r="BG321" s="15">
        <v>3</v>
      </c>
      <c r="BH321" s="15">
        <v>0</v>
      </c>
      <c r="BI321" s="15"/>
      <c r="BJ321" s="15">
        <v>0</v>
      </c>
      <c r="BK321" s="15">
        <v>0</v>
      </c>
      <c r="BL321" s="15">
        <v>0</v>
      </c>
      <c r="BM321" s="15">
        <v>0</v>
      </c>
      <c r="BN321" s="15"/>
      <c r="BO321" s="15"/>
      <c r="BP321" s="15">
        <v>0.11</v>
      </c>
      <c r="BQ321" s="15">
        <v>21</v>
      </c>
      <c r="BR321" s="15">
        <v>0</v>
      </c>
      <c r="BS321" s="15">
        <v>0</v>
      </c>
      <c r="BT321" s="15">
        <v>0</v>
      </c>
      <c r="BU321" s="15">
        <v>0</v>
      </c>
      <c r="BV321" s="15">
        <v>0</v>
      </c>
      <c r="BW321" s="15">
        <v>0</v>
      </c>
      <c r="BX321" s="15">
        <v>0</v>
      </c>
    </row>
    <row r="322" spans="1:76">
      <c r="A322" s="14" t="str">
        <f>VLOOKUP(C322,VLOOKUP!A:B,2,FALSE)</f>
        <v>车载香薰</v>
      </c>
      <c r="B322" s="16">
        <v>46043</v>
      </c>
      <c r="C322" s="17">
        <v>616090775596</v>
      </c>
      <c r="D322" s="15" t="s">
        <v>151</v>
      </c>
      <c r="E322" s="15" t="s">
        <v>162</v>
      </c>
      <c r="F322" s="15">
        <v>536</v>
      </c>
      <c r="G322" s="15">
        <v>13</v>
      </c>
      <c r="H322" s="15">
        <v>25.84</v>
      </c>
      <c r="I322" s="15">
        <v>0.02425</v>
      </c>
      <c r="J322" s="15">
        <v>1.99</v>
      </c>
      <c r="K322" s="15">
        <v>48.21</v>
      </c>
      <c r="L322" s="15">
        <v>0</v>
      </c>
      <c r="M322" s="15">
        <v>0</v>
      </c>
      <c r="N322" s="15">
        <v>0</v>
      </c>
      <c r="O322" s="15">
        <v>0</v>
      </c>
      <c r="P322" s="15">
        <v>0</v>
      </c>
      <c r="Q322" s="15">
        <v>0</v>
      </c>
      <c r="R322" s="15">
        <v>0</v>
      </c>
      <c r="S322" s="15">
        <v>0</v>
      </c>
      <c r="T322" s="15">
        <v>0</v>
      </c>
      <c r="U322" s="15">
        <v>0</v>
      </c>
      <c r="V322" s="15">
        <v>0</v>
      </c>
      <c r="W322" s="15">
        <v>0</v>
      </c>
      <c r="X322" s="15">
        <v>0</v>
      </c>
      <c r="Y322" s="15">
        <v>0</v>
      </c>
      <c r="Z322" s="15">
        <v>0</v>
      </c>
      <c r="AA322" s="15"/>
      <c r="AB322" s="15">
        <v>0</v>
      </c>
      <c r="AC322" s="15">
        <v>0</v>
      </c>
      <c r="AD322" s="15">
        <v>0</v>
      </c>
      <c r="AE322" s="15">
        <v>0</v>
      </c>
      <c r="AF322" s="15">
        <v>0</v>
      </c>
      <c r="AG322" s="15">
        <v>0</v>
      </c>
      <c r="AH322" s="15"/>
      <c r="AI322" s="15">
        <v>0</v>
      </c>
      <c r="AJ322" s="15"/>
      <c r="AK322" s="15">
        <v>0</v>
      </c>
      <c r="AL322" s="15"/>
      <c r="AM322" s="15">
        <v>0</v>
      </c>
      <c r="AN322" s="15"/>
      <c r="AO322" s="15">
        <v>0</v>
      </c>
      <c r="AP322" s="15"/>
      <c r="AQ322" s="15">
        <v>0</v>
      </c>
      <c r="AR322" s="15">
        <v>0</v>
      </c>
      <c r="AS322" s="15">
        <v>0</v>
      </c>
      <c r="AT322" s="15">
        <v>0</v>
      </c>
      <c r="AU322" s="15">
        <v>0</v>
      </c>
      <c r="AV322" s="15">
        <v>0</v>
      </c>
      <c r="AW322" s="15">
        <v>0</v>
      </c>
      <c r="AX322" s="15">
        <v>0</v>
      </c>
      <c r="AY322" s="15">
        <v>32</v>
      </c>
      <c r="AZ322" s="15">
        <v>11</v>
      </c>
      <c r="BA322" s="15">
        <v>9</v>
      </c>
      <c r="BB322" s="15">
        <v>0.81818</v>
      </c>
      <c r="BC322" s="15">
        <v>0</v>
      </c>
      <c r="BD322" s="15">
        <v>0</v>
      </c>
      <c r="BE322" s="15">
        <v>0.0597</v>
      </c>
      <c r="BF322" s="15">
        <v>17</v>
      </c>
      <c r="BG322" s="15">
        <v>3</v>
      </c>
      <c r="BH322" s="15">
        <v>0</v>
      </c>
      <c r="BI322" s="15"/>
      <c r="BJ322" s="15">
        <v>0</v>
      </c>
      <c r="BK322" s="15">
        <v>0</v>
      </c>
      <c r="BL322" s="15">
        <v>0</v>
      </c>
      <c r="BM322" s="15">
        <v>0</v>
      </c>
      <c r="BN322" s="15"/>
      <c r="BO322" s="15"/>
      <c r="BP322" s="15">
        <v>0</v>
      </c>
      <c r="BQ322" s="15">
        <v>19</v>
      </c>
      <c r="BR322" s="15">
        <v>0</v>
      </c>
      <c r="BS322" s="15">
        <v>0</v>
      </c>
      <c r="BT322" s="15">
        <v>0</v>
      </c>
      <c r="BU322" s="15">
        <v>0</v>
      </c>
      <c r="BV322" s="15">
        <v>0</v>
      </c>
      <c r="BW322" s="15">
        <v>0</v>
      </c>
      <c r="BX322" s="15">
        <v>0</v>
      </c>
    </row>
    <row r="323" spans="1:76">
      <c r="A323" s="14" t="str">
        <f>VLOOKUP(C323,VLOOKUP!A:B,2,FALSE)</f>
        <v>鹅梨帐中香</v>
      </c>
      <c r="B323" s="16">
        <v>46042</v>
      </c>
      <c r="C323" s="17">
        <v>971317169387</v>
      </c>
      <c r="D323" s="15" t="s">
        <v>151</v>
      </c>
      <c r="E323" s="15" t="s">
        <v>155</v>
      </c>
      <c r="F323" s="15">
        <v>347</v>
      </c>
      <c r="G323" s="15">
        <v>11</v>
      </c>
      <c r="H323" s="15">
        <v>18.31</v>
      </c>
      <c r="I323" s="15">
        <v>0.0317</v>
      </c>
      <c r="J323" s="15">
        <v>1.66</v>
      </c>
      <c r="K323" s="15">
        <v>52.77</v>
      </c>
      <c r="L323" s="15">
        <v>0</v>
      </c>
      <c r="M323" s="15">
        <v>0</v>
      </c>
      <c r="N323" s="15">
        <v>0</v>
      </c>
      <c r="O323" s="15">
        <v>0</v>
      </c>
      <c r="P323" s="15">
        <v>0</v>
      </c>
      <c r="Q323" s="15">
        <v>0</v>
      </c>
      <c r="R323" s="15">
        <v>0</v>
      </c>
      <c r="S323" s="15">
        <v>0</v>
      </c>
      <c r="T323" s="15">
        <v>0</v>
      </c>
      <c r="U323" s="15">
        <v>0</v>
      </c>
      <c r="V323" s="15">
        <v>0</v>
      </c>
      <c r="W323" s="15">
        <v>0</v>
      </c>
      <c r="X323" s="15">
        <v>0</v>
      </c>
      <c r="Y323" s="15">
        <v>0</v>
      </c>
      <c r="Z323" s="15">
        <v>0</v>
      </c>
      <c r="AA323" s="15"/>
      <c r="AB323" s="15">
        <v>1</v>
      </c>
      <c r="AC323" s="15">
        <v>1</v>
      </c>
      <c r="AD323" s="15">
        <v>0</v>
      </c>
      <c r="AE323" s="15">
        <v>0.09091</v>
      </c>
      <c r="AF323" s="15">
        <v>0</v>
      </c>
      <c r="AG323" s="15">
        <v>0</v>
      </c>
      <c r="AH323" s="15"/>
      <c r="AI323" s="15">
        <v>1</v>
      </c>
      <c r="AJ323" s="15">
        <v>18.31</v>
      </c>
      <c r="AK323" s="15">
        <v>1</v>
      </c>
      <c r="AL323" s="15">
        <v>18.31</v>
      </c>
      <c r="AM323" s="15">
        <v>0</v>
      </c>
      <c r="AN323" s="15"/>
      <c r="AO323" s="15">
        <v>0</v>
      </c>
      <c r="AP323" s="15">
        <v>18.31</v>
      </c>
      <c r="AQ323" s="15">
        <v>0</v>
      </c>
      <c r="AR323" s="15">
        <v>0</v>
      </c>
      <c r="AS323" s="15">
        <v>0</v>
      </c>
      <c r="AT323" s="15">
        <v>0</v>
      </c>
      <c r="AU323" s="15">
        <v>0</v>
      </c>
      <c r="AV323" s="15">
        <v>0</v>
      </c>
      <c r="AW323" s="15">
        <v>0</v>
      </c>
      <c r="AX323" s="15">
        <v>0</v>
      </c>
      <c r="AY323" s="15">
        <v>36</v>
      </c>
      <c r="AZ323" s="15">
        <v>9</v>
      </c>
      <c r="BA323" s="15">
        <v>7</v>
      </c>
      <c r="BB323" s="15">
        <v>0.77778</v>
      </c>
      <c r="BC323" s="15">
        <v>0</v>
      </c>
      <c r="BD323" s="15">
        <v>0</v>
      </c>
      <c r="BE323" s="15">
        <v>0.10375</v>
      </c>
      <c r="BF323" s="15">
        <v>26</v>
      </c>
      <c r="BG323" s="15">
        <v>4</v>
      </c>
      <c r="BH323" s="15">
        <v>0</v>
      </c>
      <c r="BI323" s="15"/>
      <c r="BJ323" s="15">
        <v>0</v>
      </c>
      <c r="BK323" s="15">
        <v>0</v>
      </c>
      <c r="BL323" s="15">
        <v>0</v>
      </c>
      <c r="BM323" s="15">
        <v>0</v>
      </c>
      <c r="BN323" s="15"/>
      <c r="BO323" s="15"/>
      <c r="BP323" s="15">
        <v>0</v>
      </c>
      <c r="BQ323" s="15">
        <v>14</v>
      </c>
      <c r="BR323" s="15">
        <v>0</v>
      </c>
      <c r="BS323" s="15">
        <v>0</v>
      </c>
      <c r="BT323" s="15">
        <v>0</v>
      </c>
      <c r="BU323" s="15">
        <v>0</v>
      </c>
      <c r="BV323" s="15">
        <v>0</v>
      </c>
      <c r="BW323" s="15">
        <v>0</v>
      </c>
      <c r="BX323" s="15">
        <v>0</v>
      </c>
    </row>
    <row r="324" spans="1:76">
      <c r="A324" s="14" t="str">
        <f>VLOOKUP(C324,VLOOKUP!A:B,2,FALSE)</f>
        <v>如意盘香</v>
      </c>
      <c r="B324" s="16">
        <v>46042</v>
      </c>
      <c r="C324" s="17">
        <v>838711327669</v>
      </c>
      <c r="D324" s="15" t="s">
        <v>151</v>
      </c>
      <c r="E324" s="15" t="s">
        <v>158</v>
      </c>
      <c r="F324" s="15">
        <v>623</v>
      </c>
      <c r="G324" s="15">
        <v>27</v>
      </c>
      <c r="H324" s="15">
        <v>73.09</v>
      </c>
      <c r="I324" s="15">
        <v>0.04334</v>
      </c>
      <c r="J324" s="15">
        <v>2.71</v>
      </c>
      <c r="K324" s="15">
        <v>117.32</v>
      </c>
      <c r="L324" s="15">
        <v>0</v>
      </c>
      <c r="M324" s="15">
        <v>0</v>
      </c>
      <c r="N324" s="15">
        <v>0</v>
      </c>
      <c r="O324" s="15">
        <v>0</v>
      </c>
      <c r="P324" s="15">
        <v>0</v>
      </c>
      <c r="Q324" s="15">
        <v>0</v>
      </c>
      <c r="R324" s="15">
        <v>0</v>
      </c>
      <c r="S324" s="15">
        <v>0</v>
      </c>
      <c r="T324" s="15">
        <v>0</v>
      </c>
      <c r="U324" s="15">
        <v>0</v>
      </c>
      <c r="V324" s="15">
        <v>0</v>
      </c>
      <c r="W324" s="15">
        <v>0</v>
      </c>
      <c r="X324" s="15">
        <v>0</v>
      </c>
      <c r="Y324" s="15">
        <v>0</v>
      </c>
      <c r="Z324" s="15">
        <v>0</v>
      </c>
      <c r="AA324" s="15"/>
      <c r="AB324" s="15">
        <v>1</v>
      </c>
      <c r="AC324" s="15">
        <v>0</v>
      </c>
      <c r="AD324" s="15">
        <v>1</v>
      </c>
      <c r="AE324" s="15">
        <v>0.03704</v>
      </c>
      <c r="AF324" s="15">
        <v>1</v>
      </c>
      <c r="AG324" s="15">
        <v>0</v>
      </c>
      <c r="AH324" s="15"/>
      <c r="AI324" s="15">
        <v>2</v>
      </c>
      <c r="AJ324" s="15">
        <v>36.55</v>
      </c>
      <c r="AK324" s="15">
        <v>2</v>
      </c>
      <c r="AL324" s="15">
        <v>36.55</v>
      </c>
      <c r="AM324" s="15">
        <v>1</v>
      </c>
      <c r="AN324" s="15">
        <v>73.09</v>
      </c>
      <c r="AO324" s="15">
        <v>0.03704</v>
      </c>
      <c r="AP324" s="15">
        <v>73.09</v>
      </c>
      <c r="AQ324" s="15">
        <v>0</v>
      </c>
      <c r="AR324" s="15">
        <v>0</v>
      </c>
      <c r="AS324" s="15">
        <v>1</v>
      </c>
      <c r="AT324" s="15">
        <v>0</v>
      </c>
      <c r="AU324" s="15">
        <v>2</v>
      </c>
      <c r="AV324" s="15">
        <v>0</v>
      </c>
      <c r="AW324" s="15">
        <v>0</v>
      </c>
      <c r="AX324" s="15">
        <v>1</v>
      </c>
      <c r="AY324" s="15">
        <v>100</v>
      </c>
      <c r="AZ324" s="15">
        <v>24</v>
      </c>
      <c r="BA324" s="15">
        <v>16</v>
      </c>
      <c r="BB324" s="15">
        <v>0.66667</v>
      </c>
      <c r="BC324" s="15">
        <v>0</v>
      </c>
      <c r="BD324" s="15">
        <v>0</v>
      </c>
      <c r="BE324" s="15">
        <v>0.16051</v>
      </c>
      <c r="BF324" s="15">
        <v>71</v>
      </c>
      <c r="BG324" s="15">
        <v>4</v>
      </c>
      <c r="BH324" s="15">
        <v>0</v>
      </c>
      <c r="BI324" s="15"/>
      <c r="BJ324" s="15">
        <v>0</v>
      </c>
      <c r="BK324" s="15">
        <v>0</v>
      </c>
      <c r="BL324" s="15">
        <v>0</v>
      </c>
      <c r="BM324" s="15">
        <v>0</v>
      </c>
      <c r="BN324" s="15"/>
      <c r="BO324" s="15"/>
      <c r="BP324" s="15">
        <v>0</v>
      </c>
      <c r="BQ324" s="15">
        <v>79</v>
      </c>
      <c r="BR324" s="15">
        <v>0</v>
      </c>
      <c r="BS324" s="15">
        <v>0</v>
      </c>
      <c r="BT324" s="15">
        <v>9</v>
      </c>
      <c r="BU324" s="15">
        <v>0</v>
      </c>
      <c r="BV324" s="15">
        <v>0</v>
      </c>
      <c r="BW324" s="15">
        <v>0</v>
      </c>
      <c r="BX324" s="15">
        <v>0</v>
      </c>
    </row>
    <row r="325" spans="1:76">
      <c r="A325" s="14" t="str">
        <f>VLOOKUP(C325,VLOOKUP!A:B,2,FALSE)</f>
        <v>四季线香</v>
      </c>
      <c r="B325" s="16">
        <v>46042</v>
      </c>
      <c r="C325" s="17">
        <v>742540384374</v>
      </c>
      <c r="D325" s="15" t="s">
        <v>151</v>
      </c>
      <c r="E325" s="15" t="s">
        <v>161</v>
      </c>
      <c r="F325" s="15">
        <v>63</v>
      </c>
      <c r="G325" s="15">
        <v>3</v>
      </c>
      <c r="H325" s="15">
        <v>5.04</v>
      </c>
      <c r="I325" s="15">
        <v>0.04762</v>
      </c>
      <c r="J325" s="15">
        <v>1.68</v>
      </c>
      <c r="K325" s="15">
        <v>80</v>
      </c>
      <c r="L325" s="15">
        <v>0</v>
      </c>
      <c r="M325" s="15">
        <v>0</v>
      </c>
      <c r="N325" s="15">
        <v>0</v>
      </c>
      <c r="O325" s="15">
        <v>0</v>
      </c>
      <c r="P325" s="15">
        <v>0</v>
      </c>
      <c r="Q325" s="15">
        <v>0</v>
      </c>
      <c r="R325" s="15">
        <v>0</v>
      </c>
      <c r="S325" s="15">
        <v>0</v>
      </c>
      <c r="T325" s="15">
        <v>0</v>
      </c>
      <c r="U325" s="15">
        <v>0</v>
      </c>
      <c r="V325" s="15">
        <v>0</v>
      </c>
      <c r="W325" s="15">
        <v>0</v>
      </c>
      <c r="X325" s="15">
        <v>0</v>
      </c>
      <c r="Y325" s="15">
        <v>0</v>
      </c>
      <c r="Z325" s="15">
        <v>0</v>
      </c>
      <c r="AA325" s="15"/>
      <c r="AB325" s="15">
        <v>0</v>
      </c>
      <c r="AC325" s="15">
        <v>0</v>
      </c>
      <c r="AD325" s="15">
        <v>0</v>
      </c>
      <c r="AE325" s="15">
        <v>0</v>
      </c>
      <c r="AF325" s="15">
        <v>0</v>
      </c>
      <c r="AG325" s="15">
        <v>0</v>
      </c>
      <c r="AH325" s="15"/>
      <c r="AI325" s="15">
        <v>0</v>
      </c>
      <c r="AJ325" s="15"/>
      <c r="AK325" s="15">
        <v>0</v>
      </c>
      <c r="AL325" s="15"/>
      <c r="AM325" s="15">
        <v>0</v>
      </c>
      <c r="AN325" s="15"/>
      <c r="AO325" s="15">
        <v>0</v>
      </c>
      <c r="AP325" s="15"/>
      <c r="AQ325" s="15">
        <v>0</v>
      </c>
      <c r="AR325" s="15">
        <v>0</v>
      </c>
      <c r="AS325" s="15">
        <v>0</v>
      </c>
      <c r="AT325" s="15">
        <v>0</v>
      </c>
      <c r="AU325" s="15">
        <v>0</v>
      </c>
      <c r="AV325" s="15">
        <v>0</v>
      </c>
      <c r="AW325" s="15">
        <v>0</v>
      </c>
      <c r="AX325" s="15">
        <v>0</v>
      </c>
      <c r="AY325" s="15">
        <v>4</v>
      </c>
      <c r="AZ325" s="15">
        <v>4</v>
      </c>
      <c r="BA325" s="15">
        <v>2</v>
      </c>
      <c r="BB325" s="15">
        <v>0.5</v>
      </c>
      <c r="BC325" s="15">
        <v>0</v>
      </c>
      <c r="BD325" s="15">
        <v>0</v>
      </c>
      <c r="BE325" s="15">
        <v>0.06349</v>
      </c>
      <c r="BF325" s="15">
        <v>0</v>
      </c>
      <c r="BG325" s="15">
        <v>1</v>
      </c>
      <c r="BH325" s="15">
        <v>0</v>
      </c>
      <c r="BI325" s="15"/>
      <c r="BJ325" s="15">
        <v>0</v>
      </c>
      <c r="BK325" s="15">
        <v>0</v>
      </c>
      <c r="BL325" s="15">
        <v>0</v>
      </c>
      <c r="BM325" s="15">
        <v>0</v>
      </c>
      <c r="BN325" s="15"/>
      <c r="BO325" s="15"/>
      <c r="BP325" s="15">
        <v>0</v>
      </c>
      <c r="BQ325" s="15">
        <v>0</v>
      </c>
      <c r="BR325" s="15">
        <v>0</v>
      </c>
      <c r="BS325" s="15">
        <v>0</v>
      </c>
      <c r="BT325" s="15">
        <v>0</v>
      </c>
      <c r="BU325" s="15">
        <v>0</v>
      </c>
      <c r="BV325" s="15">
        <v>0</v>
      </c>
      <c r="BW325" s="15">
        <v>0</v>
      </c>
      <c r="BX325" s="15">
        <v>0</v>
      </c>
    </row>
    <row r="326" spans="1:76">
      <c r="A326" s="14" t="str">
        <f>VLOOKUP(C326,VLOOKUP!A:B,2,FALSE)</f>
        <v>车载香薰</v>
      </c>
      <c r="B326" s="16">
        <v>46042</v>
      </c>
      <c r="C326" s="17">
        <v>616090775596</v>
      </c>
      <c r="D326" s="15" t="s">
        <v>151</v>
      </c>
      <c r="E326" s="15" t="s">
        <v>162</v>
      </c>
      <c r="F326" s="15">
        <v>576</v>
      </c>
      <c r="G326" s="15">
        <v>14</v>
      </c>
      <c r="H326" s="15">
        <v>41.59</v>
      </c>
      <c r="I326" s="15">
        <v>0.02431</v>
      </c>
      <c r="J326" s="15">
        <v>2.97</v>
      </c>
      <c r="K326" s="15">
        <v>72.2</v>
      </c>
      <c r="L326" s="15">
        <v>0</v>
      </c>
      <c r="M326" s="15">
        <v>0</v>
      </c>
      <c r="N326" s="15">
        <v>0</v>
      </c>
      <c r="O326" s="15">
        <v>0</v>
      </c>
      <c r="P326" s="15">
        <v>0</v>
      </c>
      <c r="Q326" s="15">
        <v>0</v>
      </c>
      <c r="R326" s="15">
        <v>0</v>
      </c>
      <c r="S326" s="15">
        <v>0</v>
      </c>
      <c r="T326" s="15">
        <v>0</v>
      </c>
      <c r="U326" s="15">
        <v>0</v>
      </c>
      <c r="V326" s="15">
        <v>0</v>
      </c>
      <c r="W326" s="15">
        <v>0</v>
      </c>
      <c r="X326" s="15">
        <v>0</v>
      </c>
      <c r="Y326" s="15">
        <v>0</v>
      </c>
      <c r="Z326" s="15">
        <v>0</v>
      </c>
      <c r="AA326" s="15"/>
      <c r="AB326" s="15">
        <v>0</v>
      </c>
      <c r="AC326" s="15">
        <v>0</v>
      </c>
      <c r="AD326" s="15">
        <v>0</v>
      </c>
      <c r="AE326" s="15">
        <v>0</v>
      </c>
      <c r="AF326" s="15">
        <v>0</v>
      </c>
      <c r="AG326" s="15">
        <v>0</v>
      </c>
      <c r="AH326" s="15"/>
      <c r="AI326" s="15">
        <v>0</v>
      </c>
      <c r="AJ326" s="15"/>
      <c r="AK326" s="15">
        <v>0</v>
      </c>
      <c r="AL326" s="15"/>
      <c r="AM326" s="15">
        <v>0</v>
      </c>
      <c r="AN326" s="15"/>
      <c r="AO326" s="15">
        <v>0</v>
      </c>
      <c r="AP326" s="15"/>
      <c r="AQ326" s="15">
        <v>0</v>
      </c>
      <c r="AR326" s="15">
        <v>0</v>
      </c>
      <c r="AS326" s="15">
        <v>0</v>
      </c>
      <c r="AT326" s="15">
        <v>0</v>
      </c>
      <c r="AU326" s="15">
        <v>0</v>
      </c>
      <c r="AV326" s="15">
        <v>0</v>
      </c>
      <c r="AW326" s="15">
        <v>0</v>
      </c>
      <c r="AX326" s="15">
        <v>0</v>
      </c>
      <c r="AY326" s="15">
        <v>42</v>
      </c>
      <c r="AZ326" s="15">
        <v>13</v>
      </c>
      <c r="BA326" s="15">
        <v>11</v>
      </c>
      <c r="BB326" s="15">
        <v>0.84615</v>
      </c>
      <c r="BC326" s="15">
        <v>0</v>
      </c>
      <c r="BD326" s="15">
        <v>0</v>
      </c>
      <c r="BE326" s="15">
        <v>0.07292</v>
      </c>
      <c r="BF326" s="15">
        <v>26</v>
      </c>
      <c r="BG326" s="15">
        <v>3</v>
      </c>
      <c r="BH326" s="15">
        <v>0</v>
      </c>
      <c r="BI326" s="15"/>
      <c r="BJ326" s="15">
        <v>0</v>
      </c>
      <c r="BK326" s="15">
        <v>0</v>
      </c>
      <c r="BL326" s="15">
        <v>0</v>
      </c>
      <c r="BM326" s="15">
        <v>0</v>
      </c>
      <c r="BN326" s="15"/>
      <c r="BO326" s="15"/>
      <c r="BP326" s="15">
        <v>0</v>
      </c>
      <c r="BQ326" s="15">
        <v>9</v>
      </c>
      <c r="BR326" s="15">
        <v>0</v>
      </c>
      <c r="BS326" s="15">
        <v>0</v>
      </c>
      <c r="BT326" s="15">
        <v>0</v>
      </c>
      <c r="BU326" s="15">
        <v>0</v>
      </c>
      <c r="BV326" s="15">
        <v>0</v>
      </c>
      <c r="BW326" s="15">
        <v>0</v>
      </c>
      <c r="BX326" s="15">
        <v>0</v>
      </c>
    </row>
    <row r="327" spans="1:76">
      <c r="A327" s="14" t="str">
        <f>VLOOKUP(C327,VLOOKUP!A:B,2,FALSE)</f>
        <v>鹅梨帐中香</v>
      </c>
      <c r="B327" s="16">
        <v>46041</v>
      </c>
      <c r="C327" s="17">
        <v>971317169387</v>
      </c>
      <c r="D327" s="15" t="s">
        <v>151</v>
      </c>
      <c r="E327" s="15" t="s">
        <v>155</v>
      </c>
      <c r="F327" s="15">
        <v>612</v>
      </c>
      <c r="G327" s="15">
        <v>23</v>
      </c>
      <c r="H327" s="15">
        <v>40.93</v>
      </c>
      <c r="I327" s="15">
        <v>0.03758</v>
      </c>
      <c r="J327" s="15">
        <v>1.78</v>
      </c>
      <c r="K327" s="15">
        <v>66.88</v>
      </c>
      <c r="L327" s="15">
        <v>0</v>
      </c>
      <c r="M327" s="15">
        <v>0</v>
      </c>
      <c r="N327" s="15">
        <v>0</v>
      </c>
      <c r="O327" s="15">
        <v>0</v>
      </c>
      <c r="P327" s="15">
        <v>0</v>
      </c>
      <c r="Q327" s="15">
        <v>0</v>
      </c>
      <c r="R327" s="15">
        <v>184.04</v>
      </c>
      <c r="S327" s="15">
        <v>0</v>
      </c>
      <c r="T327" s="15">
        <v>184.04</v>
      </c>
      <c r="U327" s="15">
        <v>2</v>
      </c>
      <c r="V327" s="15">
        <v>2</v>
      </c>
      <c r="W327" s="15">
        <v>0</v>
      </c>
      <c r="X327" s="15">
        <v>0.08696</v>
      </c>
      <c r="Y327" s="15">
        <v>4.5</v>
      </c>
      <c r="Z327" s="15">
        <v>4.5</v>
      </c>
      <c r="AA327" s="15">
        <v>20.47</v>
      </c>
      <c r="AB327" s="15">
        <v>4</v>
      </c>
      <c r="AC327" s="15">
        <v>4</v>
      </c>
      <c r="AD327" s="15">
        <v>0</v>
      </c>
      <c r="AE327" s="15">
        <v>0.17391</v>
      </c>
      <c r="AF327" s="15">
        <v>0</v>
      </c>
      <c r="AG327" s="15">
        <v>0</v>
      </c>
      <c r="AH327" s="15"/>
      <c r="AI327" s="15">
        <v>4</v>
      </c>
      <c r="AJ327" s="15">
        <v>10.23</v>
      </c>
      <c r="AK327" s="15">
        <v>4</v>
      </c>
      <c r="AL327" s="15">
        <v>10.23</v>
      </c>
      <c r="AM327" s="15">
        <v>0</v>
      </c>
      <c r="AN327" s="15"/>
      <c r="AO327" s="15">
        <v>0</v>
      </c>
      <c r="AP327" s="15">
        <v>10.23</v>
      </c>
      <c r="AQ327" s="15">
        <v>3</v>
      </c>
      <c r="AR327" s="15">
        <v>247.9</v>
      </c>
      <c r="AS327" s="15">
        <v>0</v>
      </c>
      <c r="AT327" s="15">
        <v>0</v>
      </c>
      <c r="AU327" s="15">
        <v>3</v>
      </c>
      <c r="AV327" s="15">
        <v>0</v>
      </c>
      <c r="AW327" s="15">
        <v>0</v>
      </c>
      <c r="AX327" s="15">
        <v>1</v>
      </c>
      <c r="AY327" s="15">
        <v>38</v>
      </c>
      <c r="AZ327" s="15">
        <v>18</v>
      </c>
      <c r="BA327" s="15">
        <v>12</v>
      </c>
      <c r="BB327" s="15">
        <v>0.66667</v>
      </c>
      <c r="BC327" s="15">
        <v>0</v>
      </c>
      <c r="BD327" s="15">
        <v>0</v>
      </c>
      <c r="BE327" s="15">
        <v>0.06209</v>
      </c>
      <c r="BF327" s="15">
        <v>12</v>
      </c>
      <c r="BG327" s="15">
        <v>2</v>
      </c>
      <c r="BH327" s="15">
        <v>0</v>
      </c>
      <c r="BI327" s="15">
        <v>0</v>
      </c>
      <c r="BJ327" s="15">
        <v>0</v>
      </c>
      <c r="BK327" s="15">
        <v>0</v>
      </c>
      <c r="BL327" s="15">
        <v>0</v>
      </c>
      <c r="BM327" s="15">
        <v>1</v>
      </c>
      <c r="BN327" s="15">
        <v>2</v>
      </c>
      <c r="BO327" s="15">
        <v>184.04</v>
      </c>
      <c r="BP327" s="15">
        <v>0</v>
      </c>
      <c r="BQ327" s="15">
        <v>925</v>
      </c>
      <c r="BR327" s="15">
        <v>0</v>
      </c>
      <c r="BS327" s="15">
        <v>0</v>
      </c>
      <c r="BT327" s="15">
        <v>0</v>
      </c>
      <c r="BU327" s="15">
        <v>0</v>
      </c>
      <c r="BV327" s="15">
        <v>0</v>
      </c>
      <c r="BW327" s="15">
        <v>0</v>
      </c>
      <c r="BX327" s="15">
        <v>0</v>
      </c>
    </row>
    <row r="328" spans="1:76">
      <c r="A328" s="14" t="str">
        <f>VLOOKUP(C328,VLOOKUP!A:B,2,FALSE)</f>
        <v>荔枝香</v>
      </c>
      <c r="B328" s="16">
        <v>46041</v>
      </c>
      <c r="C328" s="17">
        <v>960406497157</v>
      </c>
      <c r="D328" s="15" t="s">
        <v>151</v>
      </c>
      <c r="E328" s="15" t="s">
        <v>157</v>
      </c>
      <c r="F328" s="15">
        <v>101</v>
      </c>
      <c r="G328" s="15">
        <v>2</v>
      </c>
      <c r="H328" s="15">
        <v>9.46</v>
      </c>
      <c r="I328" s="15">
        <v>0.0198</v>
      </c>
      <c r="J328" s="15">
        <v>4.73</v>
      </c>
      <c r="K328" s="15">
        <v>93.66</v>
      </c>
      <c r="L328" s="15">
        <v>0</v>
      </c>
      <c r="M328" s="15">
        <v>0</v>
      </c>
      <c r="N328" s="15">
        <v>0</v>
      </c>
      <c r="O328" s="15">
        <v>0</v>
      </c>
      <c r="P328" s="15">
        <v>0</v>
      </c>
      <c r="Q328" s="15">
        <v>0</v>
      </c>
      <c r="R328" s="15">
        <v>0</v>
      </c>
      <c r="S328" s="15">
        <v>0</v>
      </c>
      <c r="T328" s="15">
        <v>0</v>
      </c>
      <c r="U328" s="15">
        <v>0</v>
      </c>
      <c r="V328" s="15">
        <v>0</v>
      </c>
      <c r="W328" s="15">
        <v>0</v>
      </c>
      <c r="X328" s="15">
        <v>0</v>
      </c>
      <c r="Y328" s="15">
        <v>0</v>
      </c>
      <c r="Z328" s="15">
        <v>0</v>
      </c>
      <c r="AA328" s="15"/>
      <c r="AB328" s="15">
        <v>0</v>
      </c>
      <c r="AC328" s="15">
        <v>0</v>
      </c>
      <c r="AD328" s="15">
        <v>0</v>
      </c>
      <c r="AE328" s="15">
        <v>0</v>
      </c>
      <c r="AF328" s="15">
        <v>0</v>
      </c>
      <c r="AG328" s="15">
        <v>0</v>
      </c>
      <c r="AH328" s="15"/>
      <c r="AI328" s="15">
        <v>0</v>
      </c>
      <c r="AJ328" s="15"/>
      <c r="AK328" s="15">
        <v>0</v>
      </c>
      <c r="AL328" s="15"/>
      <c r="AM328" s="15">
        <v>0</v>
      </c>
      <c r="AN328" s="15"/>
      <c r="AO328" s="15">
        <v>0</v>
      </c>
      <c r="AP328" s="15"/>
      <c r="AQ328" s="15">
        <v>0</v>
      </c>
      <c r="AR328" s="15">
        <v>0</v>
      </c>
      <c r="AS328" s="15">
        <v>0</v>
      </c>
      <c r="AT328" s="15">
        <v>0</v>
      </c>
      <c r="AU328" s="15">
        <v>0</v>
      </c>
      <c r="AV328" s="15">
        <v>0</v>
      </c>
      <c r="AW328" s="15">
        <v>0</v>
      </c>
      <c r="AX328" s="15">
        <v>0</v>
      </c>
      <c r="AY328" s="15">
        <v>4</v>
      </c>
      <c r="AZ328" s="15">
        <v>2</v>
      </c>
      <c r="BA328" s="15">
        <v>2</v>
      </c>
      <c r="BB328" s="15">
        <v>1</v>
      </c>
      <c r="BC328" s="15">
        <v>0</v>
      </c>
      <c r="BD328" s="15">
        <v>0</v>
      </c>
      <c r="BE328" s="15">
        <v>0.0396</v>
      </c>
      <c r="BF328" s="15">
        <v>2</v>
      </c>
      <c r="BG328" s="15">
        <v>2</v>
      </c>
      <c r="BH328" s="15">
        <v>0</v>
      </c>
      <c r="BI328" s="15"/>
      <c r="BJ328" s="15">
        <v>0</v>
      </c>
      <c r="BK328" s="15">
        <v>0</v>
      </c>
      <c r="BL328" s="15">
        <v>0</v>
      </c>
      <c r="BM328" s="15">
        <v>0</v>
      </c>
      <c r="BN328" s="15"/>
      <c r="BO328" s="15"/>
      <c r="BP328" s="15">
        <v>0</v>
      </c>
      <c r="BQ328" s="15">
        <v>5</v>
      </c>
      <c r="BR328" s="15">
        <v>0</v>
      </c>
      <c r="BS328" s="15">
        <v>0</v>
      </c>
      <c r="BT328" s="15">
        <v>0</v>
      </c>
      <c r="BU328" s="15">
        <v>0</v>
      </c>
      <c r="BV328" s="15">
        <v>0</v>
      </c>
      <c r="BW328" s="15">
        <v>0</v>
      </c>
      <c r="BX328" s="15">
        <v>0</v>
      </c>
    </row>
    <row r="329" spans="1:76">
      <c r="A329" s="14" t="str">
        <f>VLOOKUP(C329,VLOOKUP!A:B,2,FALSE)</f>
        <v>如意盘香</v>
      </c>
      <c r="B329" s="16">
        <v>46041</v>
      </c>
      <c r="C329" s="17">
        <v>838711327669</v>
      </c>
      <c r="D329" s="15" t="s">
        <v>151</v>
      </c>
      <c r="E329" s="15" t="s">
        <v>158</v>
      </c>
      <c r="F329" s="15">
        <v>951</v>
      </c>
      <c r="G329" s="15">
        <v>34</v>
      </c>
      <c r="H329" s="15">
        <v>199.77</v>
      </c>
      <c r="I329" s="15">
        <v>0.03575</v>
      </c>
      <c r="J329" s="15">
        <v>5.88</v>
      </c>
      <c r="K329" s="15">
        <v>210.06</v>
      </c>
      <c r="L329" s="15">
        <v>0</v>
      </c>
      <c r="M329" s="15">
        <v>0</v>
      </c>
      <c r="N329" s="15">
        <v>0</v>
      </c>
      <c r="O329" s="15">
        <v>0</v>
      </c>
      <c r="P329" s="15">
        <v>0</v>
      </c>
      <c r="Q329" s="15">
        <v>0</v>
      </c>
      <c r="R329" s="15">
        <v>0</v>
      </c>
      <c r="S329" s="15">
        <v>24.07</v>
      </c>
      <c r="T329" s="15">
        <v>24.07</v>
      </c>
      <c r="U329" s="15">
        <v>1</v>
      </c>
      <c r="V329" s="15">
        <v>0</v>
      </c>
      <c r="W329" s="15">
        <v>1</v>
      </c>
      <c r="X329" s="15">
        <v>0.02941</v>
      </c>
      <c r="Y329" s="15">
        <v>0.12</v>
      </c>
      <c r="Z329" s="15">
        <v>0.12</v>
      </c>
      <c r="AA329" s="15">
        <v>199.77</v>
      </c>
      <c r="AB329" s="15">
        <v>2</v>
      </c>
      <c r="AC329" s="15">
        <v>1</v>
      </c>
      <c r="AD329" s="15">
        <v>1</v>
      </c>
      <c r="AE329" s="15">
        <v>0.05882</v>
      </c>
      <c r="AF329" s="15">
        <v>0</v>
      </c>
      <c r="AG329" s="15">
        <v>0</v>
      </c>
      <c r="AH329" s="15"/>
      <c r="AI329" s="15">
        <v>2</v>
      </c>
      <c r="AJ329" s="15">
        <v>99.89</v>
      </c>
      <c r="AK329" s="15">
        <v>2</v>
      </c>
      <c r="AL329" s="15">
        <v>99.89</v>
      </c>
      <c r="AM329" s="15">
        <v>0</v>
      </c>
      <c r="AN329" s="15"/>
      <c r="AO329" s="15">
        <v>0</v>
      </c>
      <c r="AP329" s="15">
        <v>99.89</v>
      </c>
      <c r="AQ329" s="15">
        <v>1</v>
      </c>
      <c r="AR329" s="15">
        <v>29</v>
      </c>
      <c r="AS329" s="15">
        <v>0</v>
      </c>
      <c r="AT329" s="15">
        <v>0</v>
      </c>
      <c r="AU329" s="15">
        <v>0</v>
      </c>
      <c r="AV329" s="15">
        <v>0</v>
      </c>
      <c r="AW329" s="15">
        <v>0</v>
      </c>
      <c r="AX329" s="15">
        <v>2</v>
      </c>
      <c r="AY329" s="15">
        <v>153</v>
      </c>
      <c r="AZ329" s="15">
        <v>29</v>
      </c>
      <c r="BA329" s="15">
        <v>22</v>
      </c>
      <c r="BB329" s="15">
        <v>0.75862</v>
      </c>
      <c r="BC329" s="15">
        <v>0</v>
      </c>
      <c r="BD329" s="15">
        <v>0</v>
      </c>
      <c r="BE329" s="15">
        <v>0.16088</v>
      </c>
      <c r="BF329" s="15">
        <v>119</v>
      </c>
      <c r="BG329" s="15">
        <v>5</v>
      </c>
      <c r="BH329" s="15">
        <v>1</v>
      </c>
      <c r="BI329" s="15">
        <v>1</v>
      </c>
      <c r="BJ329" s="15">
        <v>0</v>
      </c>
      <c r="BK329" s="15">
        <v>0</v>
      </c>
      <c r="BL329" s="15">
        <v>0</v>
      </c>
      <c r="BM329" s="15">
        <v>1</v>
      </c>
      <c r="BN329" s="15">
        <v>1</v>
      </c>
      <c r="BO329" s="15">
        <v>24.07</v>
      </c>
      <c r="BP329" s="15">
        <v>0.11</v>
      </c>
      <c r="BQ329" s="15">
        <v>174</v>
      </c>
      <c r="BR329" s="15">
        <v>0</v>
      </c>
      <c r="BS329" s="15">
        <v>0</v>
      </c>
      <c r="BT329" s="15">
        <v>0</v>
      </c>
      <c r="BU329" s="15">
        <v>0</v>
      </c>
      <c r="BV329" s="15">
        <v>0</v>
      </c>
      <c r="BW329" s="15">
        <v>0</v>
      </c>
      <c r="BX329" s="15">
        <v>0</v>
      </c>
    </row>
    <row r="330" spans="1:76">
      <c r="A330" s="14" t="str">
        <f>VLOOKUP(C330,VLOOKUP!A:B,2,FALSE)</f>
        <v>四季线香</v>
      </c>
      <c r="B330" s="16">
        <v>46041</v>
      </c>
      <c r="C330" s="17">
        <v>742540384374</v>
      </c>
      <c r="D330" s="15" t="s">
        <v>151</v>
      </c>
      <c r="E330" s="15" t="s">
        <v>161</v>
      </c>
      <c r="F330" s="15">
        <v>482</v>
      </c>
      <c r="G330" s="15">
        <v>13</v>
      </c>
      <c r="H330" s="15">
        <v>34.8</v>
      </c>
      <c r="I330" s="15">
        <v>0.02697</v>
      </c>
      <c r="J330" s="15">
        <v>2.68</v>
      </c>
      <c r="K330" s="15">
        <v>72.2</v>
      </c>
      <c r="L330" s="15">
        <v>0</v>
      </c>
      <c r="M330" s="15">
        <v>0</v>
      </c>
      <c r="N330" s="15">
        <v>0</v>
      </c>
      <c r="O330" s="15">
        <v>0</v>
      </c>
      <c r="P330" s="15">
        <v>0</v>
      </c>
      <c r="Q330" s="15">
        <v>0</v>
      </c>
      <c r="R330" s="15">
        <v>0</v>
      </c>
      <c r="S330" s="15">
        <v>0</v>
      </c>
      <c r="T330" s="15">
        <v>0</v>
      </c>
      <c r="U330" s="15">
        <v>0</v>
      </c>
      <c r="V330" s="15">
        <v>0</v>
      </c>
      <c r="W330" s="15">
        <v>0</v>
      </c>
      <c r="X330" s="15">
        <v>0</v>
      </c>
      <c r="Y330" s="15">
        <v>0</v>
      </c>
      <c r="Z330" s="15">
        <v>0</v>
      </c>
      <c r="AA330" s="15"/>
      <c r="AB330" s="15">
        <v>1</v>
      </c>
      <c r="AC330" s="15">
        <v>1</v>
      </c>
      <c r="AD330" s="15">
        <v>0</v>
      </c>
      <c r="AE330" s="15">
        <v>0.07692</v>
      </c>
      <c r="AF330" s="15">
        <v>0</v>
      </c>
      <c r="AG330" s="15">
        <v>0</v>
      </c>
      <c r="AH330" s="15"/>
      <c r="AI330" s="15">
        <v>1</v>
      </c>
      <c r="AJ330" s="15">
        <v>34.8</v>
      </c>
      <c r="AK330" s="15">
        <v>1</v>
      </c>
      <c r="AL330" s="15">
        <v>34.8</v>
      </c>
      <c r="AM330" s="15">
        <v>0</v>
      </c>
      <c r="AN330" s="15"/>
      <c r="AO330" s="15">
        <v>0</v>
      </c>
      <c r="AP330" s="15">
        <v>34.8</v>
      </c>
      <c r="AQ330" s="15">
        <v>0</v>
      </c>
      <c r="AR330" s="15">
        <v>0</v>
      </c>
      <c r="AS330" s="15">
        <v>0</v>
      </c>
      <c r="AT330" s="15">
        <v>0</v>
      </c>
      <c r="AU330" s="15">
        <v>0</v>
      </c>
      <c r="AV330" s="15">
        <v>0</v>
      </c>
      <c r="AW330" s="15">
        <v>0</v>
      </c>
      <c r="AX330" s="15">
        <v>0</v>
      </c>
      <c r="AY330" s="15">
        <v>25</v>
      </c>
      <c r="AZ330" s="15">
        <v>13</v>
      </c>
      <c r="BA330" s="15">
        <v>10</v>
      </c>
      <c r="BB330" s="15">
        <v>0.76923</v>
      </c>
      <c r="BC330" s="15">
        <v>0</v>
      </c>
      <c r="BD330" s="15">
        <v>0</v>
      </c>
      <c r="BE330" s="15">
        <v>0.05187</v>
      </c>
      <c r="BF330" s="15">
        <v>8</v>
      </c>
      <c r="BG330" s="15">
        <v>2</v>
      </c>
      <c r="BH330" s="15">
        <v>0</v>
      </c>
      <c r="BI330" s="15"/>
      <c r="BJ330" s="15">
        <v>0</v>
      </c>
      <c r="BK330" s="15">
        <v>0</v>
      </c>
      <c r="BL330" s="15">
        <v>0</v>
      </c>
      <c r="BM330" s="15">
        <v>0</v>
      </c>
      <c r="BN330" s="15"/>
      <c r="BO330" s="15"/>
      <c r="BP330" s="15">
        <v>0</v>
      </c>
      <c r="BQ330" s="15">
        <v>109</v>
      </c>
      <c r="BR330" s="15">
        <v>0</v>
      </c>
      <c r="BS330" s="15">
        <v>0</v>
      </c>
      <c r="BT330" s="15">
        <v>0</v>
      </c>
      <c r="BU330" s="15">
        <v>0</v>
      </c>
      <c r="BV330" s="15">
        <v>0</v>
      </c>
      <c r="BW330" s="15">
        <v>0</v>
      </c>
      <c r="BX330" s="15">
        <v>0</v>
      </c>
    </row>
    <row r="331" spans="1:76">
      <c r="A331" s="14" t="str">
        <f>VLOOKUP(C331,VLOOKUP!A:B,2,FALSE)</f>
        <v>车载香薰</v>
      </c>
      <c r="B331" s="16">
        <v>46041</v>
      </c>
      <c r="C331" s="17">
        <v>616090775596</v>
      </c>
      <c r="D331" s="15" t="s">
        <v>151</v>
      </c>
      <c r="E331" s="15" t="s">
        <v>162</v>
      </c>
      <c r="F331" s="15">
        <v>800</v>
      </c>
      <c r="G331" s="15">
        <v>25</v>
      </c>
      <c r="H331" s="15">
        <v>34.16</v>
      </c>
      <c r="I331" s="15">
        <v>0.03125</v>
      </c>
      <c r="J331" s="15">
        <v>1.37</v>
      </c>
      <c r="K331" s="15">
        <v>42.7</v>
      </c>
      <c r="L331" s="15">
        <v>0</v>
      </c>
      <c r="M331" s="15">
        <v>0</v>
      </c>
      <c r="N331" s="15">
        <v>0</v>
      </c>
      <c r="O331" s="15">
        <v>0</v>
      </c>
      <c r="P331" s="15">
        <v>0</v>
      </c>
      <c r="Q331" s="15">
        <v>0</v>
      </c>
      <c r="R331" s="15">
        <v>0</v>
      </c>
      <c r="S331" s="15">
        <v>0</v>
      </c>
      <c r="T331" s="15">
        <v>0</v>
      </c>
      <c r="U331" s="15">
        <v>0</v>
      </c>
      <c r="V331" s="15">
        <v>0</v>
      </c>
      <c r="W331" s="15">
        <v>0</v>
      </c>
      <c r="X331" s="15">
        <v>0</v>
      </c>
      <c r="Y331" s="15">
        <v>0</v>
      </c>
      <c r="Z331" s="15">
        <v>0</v>
      </c>
      <c r="AA331" s="15"/>
      <c r="AB331" s="15">
        <v>1</v>
      </c>
      <c r="AC331" s="15">
        <v>1</v>
      </c>
      <c r="AD331" s="15">
        <v>0</v>
      </c>
      <c r="AE331" s="15">
        <v>0.04</v>
      </c>
      <c r="AF331" s="15">
        <v>1</v>
      </c>
      <c r="AG331" s="15">
        <v>0</v>
      </c>
      <c r="AH331" s="15"/>
      <c r="AI331" s="15">
        <v>2</v>
      </c>
      <c r="AJ331" s="15">
        <v>17.08</v>
      </c>
      <c r="AK331" s="15">
        <v>2</v>
      </c>
      <c r="AL331" s="15">
        <v>17.08</v>
      </c>
      <c r="AM331" s="15">
        <v>1</v>
      </c>
      <c r="AN331" s="15">
        <v>34.16</v>
      </c>
      <c r="AO331" s="15">
        <v>0.04</v>
      </c>
      <c r="AP331" s="15">
        <v>34.16</v>
      </c>
      <c r="AQ331" s="15">
        <v>0</v>
      </c>
      <c r="AR331" s="15">
        <v>0</v>
      </c>
      <c r="AS331" s="15">
        <v>1</v>
      </c>
      <c r="AT331" s="15">
        <v>0</v>
      </c>
      <c r="AU331" s="15">
        <v>1</v>
      </c>
      <c r="AV331" s="15">
        <v>0</v>
      </c>
      <c r="AW331" s="15">
        <v>0</v>
      </c>
      <c r="AX331" s="15">
        <v>2</v>
      </c>
      <c r="AY331" s="15">
        <v>86</v>
      </c>
      <c r="AZ331" s="15">
        <v>24</v>
      </c>
      <c r="BA331" s="15">
        <v>17</v>
      </c>
      <c r="BB331" s="15">
        <v>0.70833</v>
      </c>
      <c r="BC331" s="15">
        <v>0</v>
      </c>
      <c r="BD331" s="15">
        <v>0</v>
      </c>
      <c r="BE331" s="15">
        <v>0.1075</v>
      </c>
      <c r="BF331" s="15">
        <v>54</v>
      </c>
      <c r="BG331" s="15">
        <v>4</v>
      </c>
      <c r="BH331" s="15">
        <v>0</v>
      </c>
      <c r="BI331" s="15"/>
      <c r="BJ331" s="15">
        <v>0</v>
      </c>
      <c r="BK331" s="15">
        <v>0</v>
      </c>
      <c r="BL331" s="15">
        <v>0</v>
      </c>
      <c r="BM331" s="15">
        <v>0</v>
      </c>
      <c r="BN331" s="15"/>
      <c r="BO331" s="15"/>
      <c r="BP331" s="15">
        <v>0</v>
      </c>
      <c r="BQ331" s="15">
        <v>29</v>
      </c>
      <c r="BR331" s="15">
        <v>0</v>
      </c>
      <c r="BS331" s="15">
        <v>0</v>
      </c>
      <c r="BT331" s="15">
        <v>0</v>
      </c>
      <c r="BU331" s="15">
        <v>0</v>
      </c>
      <c r="BV331" s="15">
        <v>0</v>
      </c>
      <c r="BW331" s="15">
        <v>0</v>
      </c>
      <c r="BX331" s="15">
        <v>0</v>
      </c>
    </row>
    <row r="332" spans="1:76">
      <c r="A332" s="14" t="str">
        <f>VLOOKUP(C332,VLOOKUP!A:B,2,FALSE)</f>
        <v>鹅梨帐中香</v>
      </c>
      <c r="B332" s="16">
        <v>46040</v>
      </c>
      <c r="C332" s="17">
        <v>971317169387</v>
      </c>
      <c r="D332" s="15" t="s">
        <v>151</v>
      </c>
      <c r="E332" s="15" t="s">
        <v>155</v>
      </c>
      <c r="F332" s="15">
        <v>660</v>
      </c>
      <c r="G332" s="15">
        <v>21</v>
      </c>
      <c r="H332" s="15">
        <v>31.92</v>
      </c>
      <c r="I332" s="15">
        <v>0.03182</v>
      </c>
      <c r="J332" s="15">
        <v>1.52</v>
      </c>
      <c r="K332" s="15">
        <v>48.36</v>
      </c>
      <c r="L332" s="15">
        <v>0</v>
      </c>
      <c r="M332" s="15">
        <v>0</v>
      </c>
      <c r="N332" s="15">
        <v>0</v>
      </c>
      <c r="O332" s="15">
        <v>0</v>
      </c>
      <c r="P332" s="15">
        <v>0</v>
      </c>
      <c r="Q332" s="15">
        <v>0</v>
      </c>
      <c r="R332" s="15">
        <v>0</v>
      </c>
      <c r="S332" s="15">
        <v>0</v>
      </c>
      <c r="T332" s="15">
        <v>0</v>
      </c>
      <c r="U332" s="15">
        <v>0</v>
      </c>
      <c r="V332" s="15">
        <v>0</v>
      </c>
      <c r="W332" s="15">
        <v>0</v>
      </c>
      <c r="X332" s="15">
        <v>0</v>
      </c>
      <c r="Y332" s="15">
        <v>0</v>
      </c>
      <c r="Z332" s="15">
        <v>0</v>
      </c>
      <c r="AA332" s="15"/>
      <c r="AB332" s="15">
        <v>1</v>
      </c>
      <c r="AC332" s="15">
        <v>1</v>
      </c>
      <c r="AD332" s="15">
        <v>0</v>
      </c>
      <c r="AE332" s="15">
        <v>0.04762</v>
      </c>
      <c r="AF332" s="15">
        <v>0</v>
      </c>
      <c r="AG332" s="15">
        <v>0</v>
      </c>
      <c r="AH332" s="15"/>
      <c r="AI332" s="15">
        <v>1</v>
      </c>
      <c r="AJ332" s="15">
        <v>31.92</v>
      </c>
      <c r="AK332" s="15">
        <v>1</v>
      </c>
      <c r="AL332" s="15">
        <v>31.92</v>
      </c>
      <c r="AM332" s="15">
        <v>0</v>
      </c>
      <c r="AN332" s="15"/>
      <c r="AO332" s="15">
        <v>0</v>
      </c>
      <c r="AP332" s="15">
        <v>31.92</v>
      </c>
      <c r="AQ332" s="15">
        <v>0</v>
      </c>
      <c r="AR332" s="15">
        <v>0</v>
      </c>
      <c r="AS332" s="15">
        <v>0</v>
      </c>
      <c r="AT332" s="15">
        <v>0</v>
      </c>
      <c r="AU332" s="15">
        <v>2</v>
      </c>
      <c r="AV332" s="15">
        <v>0</v>
      </c>
      <c r="AW332" s="15">
        <v>0</v>
      </c>
      <c r="AX332" s="15">
        <v>0</v>
      </c>
      <c r="AY332" s="15">
        <v>40</v>
      </c>
      <c r="AZ332" s="15">
        <v>19</v>
      </c>
      <c r="BA332" s="15">
        <v>14</v>
      </c>
      <c r="BB332" s="15">
        <v>0.73684</v>
      </c>
      <c r="BC332" s="15">
        <v>0</v>
      </c>
      <c r="BD332" s="15">
        <v>0</v>
      </c>
      <c r="BE332" s="15">
        <v>0.06061</v>
      </c>
      <c r="BF332" s="15">
        <v>18</v>
      </c>
      <c r="BG332" s="15">
        <v>2</v>
      </c>
      <c r="BH332" s="15">
        <v>0</v>
      </c>
      <c r="BI332" s="15"/>
      <c r="BJ332" s="15">
        <v>0</v>
      </c>
      <c r="BK332" s="15">
        <v>0</v>
      </c>
      <c r="BL332" s="15">
        <v>0</v>
      </c>
      <c r="BM332" s="15">
        <v>0</v>
      </c>
      <c r="BN332" s="15"/>
      <c r="BO332" s="15"/>
      <c r="BP332" s="15">
        <v>0</v>
      </c>
      <c r="BQ332" s="15">
        <v>140</v>
      </c>
      <c r="BR332" s="15">
        <v>0</v>
      </c>
      <c r="BS332" s="15">
        <v>0</v>
      </c>
      <c r="BT332" s="15">
        <v>0</v>
      </c>
      <c r="BU332" s="15">
        <v>0</v>
      </c>
      <c r="BV332" s="15">
        <v>0</v>
      </c>
      <c r="BW332" s="15">
        <v>0</v>
      </c>
      <c r="BX332" s="15">
        <v>0</v>
      </c>
    </row>
    <row r="333" spans="1:76">
      <c r="A333" s="14" t="str">
        <f>VLOOKUP(C333,VLOOKUP!A:B,2,FALSE)</f>
        <v>荔枝香</v>
      </c>
      <c r="B333" s="16">
        <v>46040</v>
      </c>
      <c r="C333" s="17">
        <v>960406497157</v>
      </c>
      <c r="D333" s="15" t="s">
        <v>151</v>
      </c>
      <c r="E333" s="15" t="s">
        <v>157</v>
      </c>
      <c r="F333" s="15">
        <v>1559</v>
      </c>
      <c r="G333" s="15">
        <v>30</v>
      </c>
      <c r="H333" s="15">
        <v>51.63</v>
      </c>
      <c r="I333" s="15">
        <v>0.01924</v>
      </c>
      <c r="J333" s="15">
        <v>1.72</v>
      </c>
      <c r="K333" s="15">
        <v>33.12</v>
      </c>
      <c r="L333" s="15">
        <v>0</v>
      </c>
      <c r="M333" s="15">
        <v>0</v>
      </c>
      <c r="N333" s="15">
        <v>0</v>
      </c>
      <c r="O333" s="15">
        <v>0</v>
      </c>
      <c r="P333" s="15">
        <v>0</v>
      </c>
      <c r="Q333" s="15">
        <v>0</v>
      </c>
      <c r="R333" s="15">
        <v>0</v>
      </c>
      <c r="S333" s="15">
        <v>0</v>
      </c>
      <c r="T333" s="15">
        <v>0</v>
      </c>
      <c r="U333" s="15">
        <v>0</v>
      </c>
      <c r="V333" s="15">
        <v>0</v>
      </c>
      <c r="W333" s="15">
        <v>0</v>
      </c>
      <c r="X333" s="15">
        <v>0</v>
      </c>
      <c r="Y333" s="15">
        <v>0</v>
      </c>
      <c r="Z333" s="15">
        <v>0</v>
      </c>
      <c r="AA333" s="15"/>
      <c r="AB333" s="15">
        <v>2</v>
      </c>
      <c r="AC333" s="15">
        <v>2</v>
      </c>
      <c r="AD333" s="15">
        <v>0</v>
      </c>
      <c r="AE333" s="15">
        <v>0.06667</v>
      </c>
      <c r="AF333" s="15">
        <v>0</v>
      </c>
      <c r="AG333" s="15">
        <v>0</v>
      </c>
      <c r="AH333" s="15"/>
      <c r="AI333" s="15">
        <v>2</v>
      </c>
      <c r="AJ333" s="15">
        <v>25.82</v>
      </c>
      <c r="AK333" s="15">
        <v>2</v>
      </c>
      <c r="AL333" s="15">
        <v>25.82</v>
      </c>
      <c r="AM333" s="15">
        <v>0</v>
      </c>
      <c r="AN333" s="15"/>
      <c r="AO333" s="15">
        <v>0</v>
      </c>
      <c r="AP333" s="15">
        <v>25.82</v>
      </c>
      <c r="AQ333" s="15">
        <v>0</v>
      </c>
      <c r="AR333" s="15">
        <v>0</v>
      </c>
      <c r="AS333" s="15">
        <v>0</v>
      </c>
      <c r="AT333" s="15">
        <v>0</v>
      </c>
      <c r="AU333" s="15">
        <v>3</v>
      </c>
      <c r="AV333" s="15">
        <v>0</v>
      </c>
      <c r="AW333" s="15">
        <v>0</v>
      </c>
      <c r="AX333" s="15">
        <v>0</v>
      </c>
      <c r="AY333" s="15">
        <v>92</v>
      </c>
      <c r="AZ333" s="15">
        <v>30</v>
      </c>
      <c r="BA333" s="15">
        <v>30</v>
      </c>
      <c r="BB333" s="15">
        <v>1</v>
      </c>
      <c r="BC333" s="15">
        <v>0</v>
      </c>
      <c r="BD333" s="15">
        <v>0</v>
      </c>
      <c r="BE333" s="15">
        <v>0.05901</v>
      </c>
      <c r="BF333" s="15">
        <v>59</v>
      </c>
      <c r="BG333" s="15">
        <v>3</v>
      </c>
      <c r="BH333" s="15">
        <v>0</v>
      </c>
      <c r="BI333" s="15"/>
      <c r="BJ333" s="15">
        <v>0</v>
      </c>
      <c r="BK333" s="15">
        <v>0</v>
      </c>
      <c r="BL333" s="15">
        <v>0</v>
      </c>
      <c r="BM333" s="15">
        <v>0</v>
      </c>
      <c r="BN333" s="15"/>
      <c r="BO333" s="15"/>
      <c r="BP333" s="15">
        <v>0</v>
      </c>
      <c r="BQ333" s="15">
        <v>55</v>
      </c>
      <c r="BR333" s="15">
        <v>0</v>
      </c>
      <c r="BS333" s="15">
        <v>0</v>
      </c>
      <c r="BT333" s="15">
        <v>0</v>
      </c>
      <c r="BU333" s="15">
        <v>0</v>
      </c>
      <c r="BV333" s="15">
        <v>0</v>
      </c>
      <c r="BW333" s="15">
        <v>0</v>
      </c>
      <c r="BX333" s="15">
        <v>0</v>
      </c>
    </row>
    <row r="334" spans="1:76">
      <c r="A334" s="14" t="str">
        <f>VLOOKUP(C334,VLOOKUP!A:B,2,FALSE)</f>
        <v>如意盘香</v>
      </c>
      <c r="B334" s="16">
        <v>46040</v>
      </c>
      <c r="C334" s="17">
        <v>838711327669</v>
      </c>
      <c r="D334" s="15" t="s">
        <v>151</v>
      </c>
      <c r="E334" s="15" t="s">
        <v>158</v>
      </c>
      <c r="F334" s="15">
        <v>1044</v>
      </c>
      <c r="G334" s="15">
        <v>36</v>
      </c>
      <c r="H334" s="15">
        <v>109.81</v>
      </c>
      <c r="I334" s="15">
        <v>0.03448</v>
      </c>
      <c r="J334" s="15">
        <v>3.05</v>
      </c>
      <c r="K334" s="15">
        <v>105.18</v>
      </c>
      <c r="L334" s="15">
        <v>0</v>
      </c>
      <c r="M334" s="15">
        <v>0</v>
      </c>
      <c r="N334" s="15">
        <v>0</v>
      </c>
      <c r="O334" s="15">
        <v>0</v>
      </c>
      <c r="P334" s="15">
        <v>0</v>
      </c>
      <c r="Q334" s="15">
        <v>0</v>
      </c>
      <c r="R334" s="15">
        <v>0</v>
      </c>
      <c r="S334" s="15">
        <v>0</v>
      </c>
      <c r="T334" s="15">
        <v>0</v>
      </c>
      <c r="U334" s="15">
        <v>0</v>
      </c>
      <c r="V334" s="15">
        <v>0</v>
      </c>
      <c r="W334" s="15">
        <v>0</v>
      </c>
      <c r="X334" s="15">
        <v>0</v>
      </c>
      <c r="Y334" s="15">
        <v>0</v>
      </c>
      <c r="Z334" s="15">
        <v>0</v>
      </c>
      <c r="AA334" s="15"/>
      <c r="AB334" s="15">
        <v>1</v>
      </c>
      <c r="AC334" s="15">
        <v>0</v>
      </c>
      <c r="AD334" s="15">
        <v>1</v>
      </c>
      <c r="AE334" s="15">
        <v>0.02778</v>
      </c>
      <c r="AF334" s="15">
        <v>0</v>
      </c>
      <c r="AG334" s="15">
        <v>0</v>
      </c>
      <c r="AH334" s="15"/>
      <c r="AI334" s="15">
        <v>1</v>
      </c>
      <c r="AJ334" s="15">
        <v>109.81</v>
      </c>
      <c r="AK334" s="15">
        <v>1</v>
      </c>
      <c r="AL334" s="15">
        <v>109.81</v>
      </c>
      <c r="AM334" s="15">
        <v>0</v>
      </c>
      <c r="AN334" s="15"/>
      <c r="AO334" s="15">
        <v>0</v>
      </c>
      <c r="AP334" s="15">
        <v>109.81</v>
      </c>
      <c r="AQ334" s="15">
        <v>0</v>
      </c>
      <c r="AR334" s="15">
        <v>0</v>
      </c>
      <c r="AS334" s="15">
        <v>0</v>
      </c>
      <c r="AT334" s="15">
        <v>0</v>
      </c>
      <c r="AU334" s="15">
        <v>2</v>
      </c>
      <c r="AV334" s="15">
        <v>0</v>
      </c>
      <c r="AW334" s="15">
        <v>0</v>
      </c>
      <c r="AX334" s="15">
        <v>0</v>
      </c>
      <c r="AY334" s="15">
        <v>150</v>
      </c>
      <c r="AZ334" s="15">
        <v>31</v>
      </c>
      <c r="BA334" s="15">
        <v>21</v>
      </c>
      <c r="BB334" s="15">
        <v>0.67742</v>
      </c>
      <c r="BC334" s="15">
        <v>0</v>
      </c>
      <c r="BD334" s="15">
        <v>0</v>
      </c>
      <c r="BE334" s="15">
        <v>0.14368</v>
      </c>
      <c r="BF334" s="15">
        <v>116</v>
      </c>
      <c r="BG334" s="15">
        <v>5</v>
      </c>
      <c r="BH334" s="15">
        <v>0</v>
      </c>
      <c r="BI334" s="15"/>
      <c r="BJ334" s="15">
        <v>0</v>
      </c>
      <c r="BK334" s="15">
        <v>0</v>
      </c>
      <c r="BL334" s="15">
        <v>0</v>
      </c>
      <c r="BM334" s="15">
        <v>0</v>
      </c>
      <c r="BN334" s="15"/>
      <c r="BO334" s="15"/>
      <c r="BP334" s="15">
        <v>0</v>
      </c>
      <c r="BQ334" s="15">
        <v>63</v>
      </c>
      <c r="BR334" s="15">
        <v>0</v>
      </c>
      <c r="BS334" s="15">
        <v>0</v>
      </c>
      <c r="BT334" s="15">
        <v>0</v>
      </c>
      <c r="BU334" s="15">
        <v>0</v>
      </c>
      <c r="BV334" s="15">
        <v>0</v>
      </c>
      <c r="BW334" s="15">
        <v>0</v>
      </c>
      <c r="BX334" s="15">
        <v>0</v>
      </c>
    </row>
    <row r="335" spans="1:76">
      <c r="A335" s="14" t="str">
        <f>VLOOKUP(C335,VLOOKUP!A:B,2,FALSE)</f>
        <v>四季线香</v>
      </c>
      <c r="B335" s="16">
        <v>46040</v>
      </c>
      <c r="C335" s="17">
        <v>742540384374</v>
      </c>
      <c r="D335" s="15" t="s">
        <v>151</v>
      </c>
      <c r="E335" s="15" t="s">
        <v>161</v>
      </c>
      <c r="F335" s="15">
        <v>724</v>
      </c>
      <c r="G335" s="15">
        <v>15</v>
      </c>
      <c r="H335" s="15">
        <v>37.35</v>
      </c>
      <c r="I335" s="15">
        <v>0.02072</v>
      </c>
      <c r="J335" s="15">
        <v>2.49</v>
      </c>
      <c r="K335" s="15">
        <v>51.59</v>
      </c>
      <c r="L335" s="15">
        <v>0</v>
      </c>
      <c r="M335" s="15">
        <v>0</v>
      </c>
      <c r="N335" s="15">
        <v>0</v>
      </c>
      <c r="O335" s="15">
        <v>0</v>
      </c>
      <c r="P335" s="15">
        <v>0</v>
      </c>
      <c r="Q335" s="15">
        <v>0</v>
      </c>
      <c r="R335" s="15">
        <v>0</v>
      </c>
      <c r="S335" s="15">
        <v>0</v>
      </c>
      <c r="T335" s="15">
        <v>0</v>
      </c>
      <c r="U335" s="15">
        <v>0</v>
      </c>
      <c r="V335" s="15">
        <v>0</v>
      </c>
      <c r="W335" s="15">
        <v>0</v>
      </c>
      <c r="X335" s="15">
        <v>0</v>
      </c>
      <c r="Y335" s="15">
        <v>0</v>
      </c>
      <c r="Z335" s="15">
        <v>0</v>
      </c>
      <c r="AA335" s="15"/>
      <c r="AB335" s="15">
        <v>1</v>
      </c>
      <c r="AC335" s="15">
        <v>1</v>
      </c>
      <c r="AD335" s="15">
        <v>0</v>
      </c>
      <c r="AE335" s="15">
        <v>0.06667</v>
      </c>
      <c r="AF335" s="15">
        <v>0</v>
      </c>
      <c r="AG335" s="15">
        <v>1</v>
      </c>
      <c r="AH335" s="15">
        <v>37.35</v>
      </c>
      <c r="AI335" s="15">
        <v>2</v>
      </c>
      <c r="AJ335" s="15">
        <v>18.68</v>
      </c>
      <c r="AK335" s="15">
        <v>1</v>
      </c>
      <c r="AL335" s="15">
        <v>37.35</v>
      </c>
      <c r="AM335" s="15">
        <v>1</v>
      </c>
      <c r="AN335" s="15"/>
      <c r="AO335" s="15">
        <v>0</v>
      </c>
      <c r="AP335" s="15">
        <v>37.35</v>
      </c>
      <c r="AQ335" s="15">
        <v>0</v>
      </c>
      <c r="AR335" s="15">
        <v>0</v>
      </c>
      <c r="AS335" s="15">
        <v>0</v>
      </c>
      <c r="AT335" s="15">
        <v>0</v>
      </c>
      <c r="AU335" s="15">
        <v>1</v>
      </c>
      <c r="AV335" s="15">
        <v>0</v>
      </c>
      <c r="AW335" s="15">
        <v>0</v>
      </c>
      <c r="AX335" s="15">
        <v>0</v>
      </c>
      <c r="AY335" s="15">
        <v>46</v>
      </c>
      <c r="AZ335" s="15">
        <v>15</v>
      </c>
      <c r="BA335" s="15">
        <v>14</v>
      </c>
      <c r="BB335" s="15">
        <v>0.93333</v>
      </c>
      <c r="BC335" s="15">
        <v>0</v>
      </c>
      <c r="BD335" s="15">
        <v>0</v>
      </c>
      <c r="BE335" s="15">
        <v>0.06354</v>
      </c>
      <c r="BF335" s="15">
        <v>28</v>
      </c>
      <c r="BG335" s="15">
        <v>3</v>
      </c>
      <c r="BH335" s="15">
        <v>0</v>
      </c>
      <c r="BI335" s="15"/>
      <c r="BJ335" s="15">
        <v>0</v>
      </c>
      <c r="BK335" s="15">
        <v>0</v>
      </c>
      <c r="BL335" s="15">
        <v>0</v>
      </c>
      <c r="BM335" s="15">
        <v>0</v>
      </c>
      <c r="BN335" s="15"/>
      <c r="BO335" s="15"/>
      <c r="BP335" s="15">
        <v>0</v>
      </c>
      <c r="BQ335" s="15">
        <v>239</v>
      </c>
      <c r="BR335" s="15">
        <v>0</v>
      </c>
      <c r="BS335" s="15">
        <v>0</v>
      </c>
      <c r="BT335" s="15">
        <v>0</v>
      </c>
      <c r="BU335" s="15">
        <v>0</v>
      </c>
      <c r="BV335" s="15">
        <v>0</v>
      </c>
      <c r="BW335" s="15">
        <v>0</v>
      </c>
      <c r="BX335" s="15">
        <v>0</v>
      </c>
    </row>
    <row r="336" spans="1:76">
      <c r="A336" s="14" t="str">
        <f>VLOOKUP(C336,VLOOKUP!A:B,2,FALSE)</f>
        <v>车载香薰</v>
      </c>
      <c r="B336" s="16">
        <v>46040</v>
      </c>
      <c r="C336" s="17">
        <v>616090775596</v>
      </c>
      <c r="D336" s="15" t="s">
        <v>151</v>
      </c>
      <c r="E336" s="15" t="s">
        <v>162</v>
      </c>
      <c r="F336" s="15">
        <v>997</v>
      </c>
      <c r="G336" s="15">
        <v>26</v>
      </c>
      <c r="H336" s="15">
        <v>90.45</v>
      </c>
      <c r="I336" s="15">
        <v>0.02608</v>
      </c>
      <c r="J336" s="15">
        <v>3.48</v>
      </c>
      <c r="K336" s="15">
        <v>90.72</v>
      </c>
      <c r="L336" s="15">
        <v>0</v>
      </c>
      <c r="M336" s="15">
        <v>0</v>
      </c>
      <c r="N336" s="15">
        <v>0</v>
      </c>
      <c r="O336" s="15">
        <v>0</v>
      </c>
      <c r="P336" s="15">
        <v>0</v>
      </c>
      <c r="Q336" s="15">
        <v>0</v>
      </c>
      <c r="R336" s="15">
        <v>576.85</v>
      </c>
      <c r="S336" s="15">
        <v>0</v>
      </c>
      <c r="T336" s="15">
        <v>576.85</v>
      </c>
      <c r="U336" s="15">
        <v>1</v>
      </c>
      <c r="V336" s="15">
        <v>1</v>
      </c>
      <c r="W336" s="15">
        <v>0</v>
      </c>
      <c r="X336" s="15">
        <v>0.03846</v>
      </c>
      <c r="Y336" s="15">
        <v>6.38</v>
      </c>
      <c r="Z336" s="15">
        <v>6.38</v>
      </c>
      <c r="AA336" s="15">
        <v>90.45</v>
      </c>
      <c r="AB336" s="15">
        <v>3</v>
      </c>
      <c r="AC336" s="15">
        <v>2</v>
      </c>
      <c r="AD336" s="15">
        <v>1</v>
      </c>
      <c r="AE336" s="15">
        <v>0.11538</v>
      </c>
      <c r="AF336" s="15">
        <v>0</v>
      </c>
      <c r="AG336" s="15">
        <v>0</v>
      </c>
      <c r="AH336" s="15"/>
      <c r="AI336" s="15">
        <v>3</v>
      </c>
      <c r="AJ336" s="15">
        <v>30.15</v>
      </c>
      <c r="AK336" s="15">
        <v>3</v>
      </c>
      <c r="AL336" s="15">
        <v>30.15</v>
      </c>
      <c r="AM336" s="15">
        <v>0</v>
      </c>
      <c r="AN336" s="15"/>
      <c r="AO336" s="15">
        <v>0</v>
      </c>
      <c r="AP336" s="15">
        <v>30.15</v>
      </c>
      <c r="AQ336" s="15">
        <v>2</v>
      </c>
      <c r="AR336" s="15">
        <v>697</v>
      </c>
      <c r="AS336" s="15">
        <v>0</v>
      </c>
      <c r="AT336" s="15">
        <v>0</v>
      </c>
      <c r="AU336" s="15">
        <v>6</v>
      </c>
      <c r="AV336" s="15">
        <v>0</v>
      </c>
      <c r="AW336" s="15">
        <v>0</v>
      </c>
      <c r="AX336" s="15">
        <v>1</v>
      </c>
      <c r="AY336" s="15">
        <v>95</v>
      </c>
      <c r="AZ336" s="15">
        <v>26</v>
      </c>
      <c r="BA336" s="15">
        <v>21</v>
      </c>
      <c r="BB336" s="15">
        <v>0.80769</v>
      </c>
      <c r="BC336" s="15">
        <v>0</v>
      </c>
      <c r="BD336" s="15">
        <v>0</v>
      </c>
      <c r="BE336" s="15">
        <v>0.09529</v>
      </c>
      <c r="BF336" s="15">
        <v>63</v>
      </c>
      <c r="BG336" s="15">
        <v>4</v>
      </c>
      <c r="BH336" s="15">
        <v>1</v>
      </c>
      <c r="BI336" s="15">
        <v>1</v>
      </c>
      <c r="BJ336" s="15">
        <v>0</v>
      </c>
      <c r="BK336" s="15">
        <v>0</v>
      </c>
      <c r="BL336" s="15">
        <v>0</v>
      </c>
      <c r="BM336" s="15">
        <v>1</v>
      </c>
      <c r="BN336" s="15">
        <v>1</v>
      </c>
      <c r="BO336" s="15">
        <v>576.85</v>
      </c>
      <c r="BP336" s="15">
        <v>0</v>
      </c>
      <c r="BQ336" s="15">
        <v>204</v>
      </c>
      <c r="BR336" s="15">
        <v>0</v>
      </c>
      <c r="BS336" s="15">
        <v>0</v>
      </c>
      <c r="BT336" s="15">
        <v>0</v>
      </c>
      <c r="BU336" s="15">
        <v>0</v>
      </c>
      <c r="BV336" s="15">
        <v>0</v>
      </c>
      <c r="BW336" s="15">
        <v>0</v>
      </c>
      <c r="BX336" s="15">
        <v>0</v>
      </c>
    </row>
    <row r="337" spans="1:76">
      <c r="A337" s="14" t="str">
        <f>VLOOKUP(C337,VLOOKUP!A:B,2,FALSE)</f>
        <v>鹅梨帐中香</v>
      </c>
      <c r="B337" s="16">
        <v>46039</v>
      </c>
      <c r="C337" s="17">
        <v>971317169387</v>
      </c>
      <c r="D337" s="15" t="s">
        <v>151</v>
      </c>
      <c r="E337" s="15" t="s">
        <v>155</v>
      </c>
      <c r="F337" s="15">
        <v>1016</v>
      </c>
      <c r="G337" s="15">
        <v>22</v>
      </c>
      <c r="H337" s="15">
        <v>36.6</v>
      </c>
      <c r="I337" s="15">
        <v>0.02165</v>
      </c>
      <c r="J337" s="15">
        <v>1.66</v>
      </c>
      <c r="K337" s="15">
        <v>36.02</v>
      </c>
      <c r="L337" s="15">
        <v>0</v>
      </c>
      <c r="M337" s="15">
        <v>0</v>
      </c>
      <c r="N337" s="15">
        <v>0</v>
      </c>
      <c r="O337" s="15">
        <v>0</v>
      </c>
      <c r="P337" s="15">
        <v>0</v>
      </c>
      <c r="Q337" s="15">
        <v>0</v>
      </c>
      <c r="R337" s="15">
        <v>0</v>
      </c>
      <c r="S337" s="15">
        <v>0</v>
      </c>
      <c r="T337" s="15">
        <v>0</v>
      </c>
      <c r="U337" s="15">
        <v>0</v>
      </c>
      <c r="V337" s="15">
        <v>0</v>
      </c>
      <c r="W337" s="15">
        <v>0</v>
      </c>
      <c r="X337" s="15">
        <v>0</v>
      </c>
      <c r="Y337" s="15">
        <v>0</v>
      </c>
      <c r="Z337" s="15">
        <v>0</v>
      </c>
      <c r="AA337" s="15"/>
      <c r="AB337" s="15">
        <v>0</v>
      </c>
      <c r="AC337" s="15">
        <v>0</v>
      </c>
      <c r="AD337" s="15">
        <v>0</v>
      </c>
      <c r="AE337" s="15">
        <v>0</v>
      </c>
      <c r="AF337" s="15">
        <v>1</v>
      </c>
      <c r="AG337" s="15">
        <v>0</v>
      </c>
      <c r="AH337" s="15"/>
      <c r="AI337" s="15">
        <v>1</v>
      </c>
      <c r="AJ337" s="15">
        <v>36.6</v>
      </c>
      <c r="AK337" s="15">
        <v>1</v>
      </c>
      <c r="AL337" s="15">
        <v>36.6</v>
      </c>
      <c r="AM337" s="15">
        <v>1</v>
      </c>
      <c r="AN337" s="15">
        <v>36.6</v>
      </c>
      <c r="AO337" s="15">
        <v>0.04545</v>
      </c>
      <c r="AP337" s="15"/>
      <c r="AQ337" s="15">
        <v>0</v>
      </c>
      <c r="AR337" s="15">
        <v>0</v>
      </c>
      <c r="AS337" s="15">
        <v>1</v>
      </c>
      <c r="AT337" s="15">
        <v>0</v>
      </c>
      <c r="AU337" s="15">
        <v>2</v>
      </c>
      <c r="AV337" s="15">
        <v>0</v>
      </c>
      <c r="AW337" s="15">
        <v>0</v>
      </c>
      <c r="AX337" s="15">
        <v>1</v>
      </c>
      <c r="AY337" s="15">
        <v>57</v>
      </c>
      <c r="AZ337" s="15">
        <v>20</v>
      </c>
      <c r="BA337" s="15">
        <v>19</v>
      </c>
      <c r="BB337" s="15">
        <v>0.95</v>
      </c>
      <c r="BC337" s="15">
        <v>0</v>
      </c>
      <c r="BD337" s="15">
        <v>0</v>
      </c>
      <c r="BE337" s="15">
        <v>0.0561</v>
      </c>
      <c r="BF337" s="15">
        <v>35</v>
      </c>
      <c r="BG337" s="15">
        <v>3</v>
      </c>
      <c r="BH337" s="15">
        <v>0</v>
      </c>
      <c r="BI337" s="15"/>
      <c r="BJ337" s="15">
        <v>0</v>
      </c>
      <c r="BK337" s="15">
        <v>0</v>
      </c>
      <c r="BL337" s="15">
        <v>0</v>
      </c>
      <c r="BM337" s="15">
        <v>0</v>
      </c>
      <c r="BN337" s="15"/>
      <c r="BO337" s="15"/>
      <c r="BP337" s="15">
        <v>0</v>
      </c>
      <c r="BQ337" s="15">
        <v>105</v>
      </c>
      <c r="BR337" s="15">
        <v>0</v>
      </c>
      <c r="BS337" s="15">
        <v>0</v>
      </c>
      <c r="BT337" s="15">
        <v>0</v>
      </c>
      <c r="BU337" s="15">
        <v>0</v>
      </c>
      <c r="BV337" s="15">
        <v>0</v>
      </c>
      <c r="BW337" s="15">
        <v>0</v>
      </c>
      <c r="BX337" s="15">
        <v>0</v>
      </c>
    </row>
    <row r="338" spans="1:76">
      <c r="A338" s="14" t="str">
        <f>VLOOKUP(C338,VLOOKUP!A:B,2,FALSE)</f>
        <v>荔枝香</v>
      </c>
      <c r="B338" s="16">
        <v>46039</v>
      </c>
      <c r="C338" s="17">
        <v>960406497157</v>
      </c>
      <c r="D338" s="15" t="s">
        <v>151</v>
      </c>
      <c r="E338" s="15" t="s">
        <v>157</v>
      </c>
      <c r="F338" s="15">
        <v>543</v>
      </c>
      <c r="G338" s="15">
        <v>11</v>
      </c>
      <c r="H338" s="15">
        <v>8.67</v>
      </c>
      <c r="I338" s="15">
        <v>0.02026</v>
      </c>
      <c r="J338" s="15">
        <v>0.79</v>
      </c>
      <c r="K338" s="15">
        <v>15.97</v>
      </c>
      <c r="L338" s="15">
        <v>0</v>
      </c>
      <c r="M338" s="15">
        <v>0</v>
      </c>
      <c r="N338" s="15">
        <v>0</v>
      </c>
      <c r="O338" s="15">
        <v>0</v>
      </c>
      <c r="P338" s="15">
        <v>0</v>
      </c>
      <c r="Q338" s="15">
        <v>0</v>
      </c>
      <c r="R338" s="15">
        <v>0</v>
      </c>
      <c r="S338" s="15">
        <v>0</v>
      </c>
      <c r="T338" s="15">
        <v>0</v>
      </c>
      <c r="U338" s="15">
        <v>0</v>
      </c>
      <c r="V338" s="15">
        <v>0</v>
      </c>
      <c r="W338" s="15">
        <v>0</v>
      </c>
      <c r="X338" s="15">
        <v>0</v>
      </c>
      <c r="Y338" s="15">
        <v>0</v>
      </c>
      <c r="Z338" s="15">
        <v>0</v>
      </c>
      <c r="AA338" s="15"/>
      <c r="AB338" s="15">
        <v>1</v>
      </c>
      <c r="AC338" s="15">
        <v>1</v>
      </c>
      <c r="AD338" s="15">
        <v>0</v>
      </c>
      <c r="AE338" s="15">
        <v>0.09091</v>
      </c>
      <c r="AF338" s="15">
        <v>0</v>
      </c>
      <c r="AG338" s="15">
        <v>0</v>
      </c>
      <c r="AH338" s="15"/>
      <c r="AI338" s="15">
        <v>1</v>
      </c>
      <c r="AJ338" s="15">
        <v>8.67</v>
      </c>
      <c r="AK338" s="15">
        <v>1</v>
      </c>
      <c r="AL338" s="15">
        <v>8.67</v>
      </c>
      <c r="AM338" s="15">
        <v>0</v>
      </c>
      <c r="AN338" s="15"/>
      <c r="AO338" s="15">
        <v>0</v>
      </c>
      <c r="AP338" s="15">
        <v>8.67</v>
      </c>
      <c r="AQ338" s="15">
        <v>0</v>
      </c>
      <c r="AR338" s="15">
        <v>0</v>
      </c>
      <c r="AS338" s="15">
        <v>0</v>
      </c>
      <c r="AT338" s="15">
        <v>0</v>
      </c>
      <c r="AU338" s="15">
        <v>0</v>
      </c>
      <c r="AV338" s="15">
        <v>0</v>
      </c>
      <c r="AW338" s="15">
        <v>0</v>
      </c>
      <c r="AX338" s="15">
        <v>0</v>
      </c>
      <c r="AY338" s="15">
        <v>28</v>
      </c>
      <c r="AZ338" s="15">
        <v>11</v>
      </c>
      <c r="BA338" s="15">
        <v>11</v>
      </c>
      <c r="BB338" s="15">
        <v>1</v>
      </c>
      <c r="BC338" s="15">
        <v>0</v>
      </c>
      <c r="BD338" s="15">
        <v>0</v>
      </c>
      <c r="BE338" s="15">
        <v>0.05157</v>
      </c>
      <c r="BF338" s="15">
        <v>17</v>
      </c>
      <c r="BG338" s="15">
        <v>3</v>
      </c>
      <c r="BH338" s="15">
        <v>0</v>
      </c>
      <c r="BI338" s="15"/>
      <c r="BJ338" s="15">
        <v>0</v>
      </c>
      <c r="BK338" s="15">
        <v>0</v>
      </c>
      <c r="BL338" s="15">
        <v>0</v>
      </c>
      <c r="BM338" s="15">
        <v>0</v>
      </c>
      <c r="BN338" s="15"/>
      <c r="BO338" s="15"/>
      <c r="BP338" s="15">
        <v>0</v>
      </c>
      <c r="BQ338" s="15">
        <v>39</v>
      </c>
      <c r="BR338" s="15">
        <v>0</v>
      </c>
      <c r="BS338" s="15">
        <v>0</v>
      </c>
      <c r="BT338" s="15">
        <v>0</v>
      </c>
      <c r="BU338" s="15">
        <v>0</v>
      </c>
      <c r="BV338" s="15">
        <v>0</v>
      </c>
      <c r="BW338" s="15">
        <v>0</v>
      </c>
      <c r="BX338" s="15">
        <v>0</v>
      </c>
    </row>
    <row r="339" spans="1:76">
      <c r="A339" s="14" t="str">
        <f>VLOOKUP(C339,VLOOKUP!A:B,2,FALSE)</f>
        <v>如意盘香</v>
      </c>
      <c r="B339" s="16">
        <v>46039</v>
      </c>
      <c r="C339" s="17">
        <v>838711327669</v>
      </c>
      <c r="D339" s="15" t="s">
        <v>151</v>
      </c>
      <c r="E339" s="15" t="s">
        <v>158</v>
      </c>
      <c r="F339" s="15">
        <v>624</v>
      </c>
      <c r="G339" s="15">
        <v>34</v>
      </c>
      <c r="H339" s="15">
        <v>143.81</v>
      </c>
      <c r="I339" s="15">
        <v>0.05449</v>
      </c>
      <c r="J339" s="15">
        <v>4.23</v>
      </c>
      <c r="K339" s="15">
        <v>230.46</v>
      </c>
      <c r="L339" s="15">
        <v>0</v>
      </c>
      <c r="M339" s="15">
        <v>0</v>
      </c>
      <c r="N339" s="15">
        <v>0</v>
      </c>
      <c r="O339" s="15">
        <v>0</v>
      </c>
      <c r="P339" s="15">
        <v>0</v>
      </c>
      <c r="Q339" s="15">
        <v>0</v>
      </c>
      <c r="R339" s="15">
        <v>0</v>
      </c>
      <c r="S339" s="15">
        <v>0</v>
      </c>
      <c r="T339" s="15">
        <v>0</v>
      </c>
      <c r="U339" s="15">
        <v>0</v>
      </c>
      <c r="V339" s="15">
        <v>0</v>
      </c>
      <c r="W339" s="15">
        <v>0</v>
      </c>
      <c r="X339" s="15">
        <v>0</v>
      </c>
      <c r="Y339" s="15">
        <v>0</v>
      </c>
      <c r="Z339" s="15">
        <v>0</v>
      </c>
      <c r="AA339" s="15"/>
      <c r="AB339" s="15">
        <v>1</v>
      </c>
      <c r="AC339" s="15">
        <v>0</v>
      </c>
      <c r="AD339" s="15">
        <v>1</v>
      </c>
      <c r="AE339" s="15">
        <v>0.02941</v>
      </c>
      <c r="AF339" s="15">
        <v>1</v>
      </c>
      <c r="AG339" s="15">
        <v>0</v>
      </c>
      <c r="AH339" s="15"/>
      <c r="AI339" s="15">
        <v>2</v>
      </c>
      <c r="AJ339" s="15">
        <v>71.91</v>
      </c>
      <c r="AK339" s="15">
        <v>2</v>
      </c>
      <c r="AL339" s="15">
        <v>71.91</v>
      </c>
      <c r="AM339" s="15">
        <v>1</v>
      </c>
      <c r="AN339" s="15">
        <v>143.81</v>
      </c>
      <c r="AO339" s="15">
        <v>0.02941</v>
      </c>
      <c r="AP339" s="15">
        <v>143.81</v>
      </c>
      <c r="AQ339" s="15">
        <v>0</v>
      </c>
      <c r="AR339" s="15">
        <v>0</v>
      </c>
      <c r="AS339" s="15">
        <v>0</v>
      </c>
      <c r="AT339" s="15">
        <v>1</v>
      </c>
      <c r="AU339" s="15">
        <v>1</v>
      </c>
      <c r="AV339" s="15">
        <v>0</v>
      </c>
      <c r="AW339" s="15">
        <v>0</v>
      </c>
      <c r="AX339" s="15">
        <v>0</v>
      </c>
      <c r="AY339" s="15">
        <v>118</v>
      </c>
      <c r="AZ339" s="15">
        <v>29</v>
      </c>
      <c r="BA339" s="15">
        <v>21</v>
      </c>
      <c r="BB339" s="15">
        <v>0.72414</v>
      </c>
      <c r="BC339" s="15">
        <v>0</v>
      </c>
      <c r="BD339" s="15">
        <v>0</v>
      </c>
      <c r="BE339" s="15">
        <v>0.1891</v>
      </c>
      <c r="BF339" s="15">
        <v>86</v>
      </c>
      <c r="BG339" s="15">
        <v>4</v>
      </c>
      <c r="BH339" s="15">
        <v>0</v>
      </c>
      <c r="BI339" s="15"/>
      <c r="BJ339" s="15">
        <v>0</v>
      </c>
      <c r="BK339" s="15">
        <v>0</v>
      </c>
      <c r="BL339" s="15">
        <v>0</v>
      </c>
      <c r="BM339" s="15">
        <v>0</v>
      </c>
      <c r="BN339" s="15"/>
      <c r="BO339" s="15"/>
      <c r="BP339" s="15">
        <v>0</v>
      </c>
      <c r="BQ339" s="15">
        <v>156</v>
      </c>
      <c r="BR339" s="15">
        <v>0</v>
      </c>
      <c r="BS339" s="15">
        <v>0</v>
      </c>
      <c r="BT339" s="15">
        <v>0</v>
      </c>
      <c r="BU339" s="15">
        <v>0</v>
      </c>
      <c r="BV339" s="15">
        <v>0</v>
      </c>
      <c r="BW339" s="15">
        <v>0</v>
      </c>
      <c r="BX339" s="15">
        <v>0</v>
      </c>
    </row>
    <row r="340" spans="1:76">
      <c r="A340" s="14" t="str">
        <f>VLOOKUP(C340,VLOOKUP!A:B,2,FALSE)</f>
        <v>四季线香</v>
      </c>
      <c r="B340" s="16">
        <v>46039</v>
      </c>
      <c r="C340" s="17">
        <v>742540384374</v>
      </c>
      <c r="D340" s="15" t="s">
        <v>151</v>
      </c>
      <c r="E340" s="15" t="s">
        <v>161</v>
      </c>
      <c r="F340" s="15">
        <v>342</v>
      </c>
      <c r="G340" s="15">
        <v>17</v>
      </c>
      <c r="H340" s="15">
        <v>40.46</v>
      </c>
      <c r="I340" s="15">
        <v>0.04971</v>
      </c>
      <c r="J340" s="15">
        <v>2.38</v>
      </c>
      <c r="K340" s="15">
        <v>118.3</v>
      </c>
      <c r="L340" s="15">
        <v>0</v>
      </c>
      <c r="M340" s="15">
        <v>0</v>
      </c>
      <c r="N340" s="15">
        <v>0</v>
      </c>
      <c r="O340" s="15">
        <v>0</v>
      </c>
      <c r="P340" s="15">
        <v>0</v>
      </c>
      <c r="Q340" s="15">
        <v>0</v>
      </c>
      <c r="R340" s="15">
        <v>0</v>
      </c>
      <c r="S340" s="15">
        <v>0</v>
      </c>
      <c r="T340" s="15">
        <v>0</v>
      </c>
      <c r="U340" s="15">
        <v>0</v>
      </c>
      <c r="V340" s="15">
        <v>0</v>
      </c>
      <c r="W340" s="15">
        <v>0</v>
      </c>
      <c r="X340" s="15">
        <v>0</v>
      </c>
      <c r="Y340" s="15">
        <v>0</v>
      </c>
      <c r="Z340" s="15">
        <v>0</v>
      </c>
      <c r="AA340" s="15"/>
      <c r="AB340" s="15">
        <v>1</v>
      </c>
      <c r="AC340" s="15">
        <v>0</v>
      </c>
      <c r="AD340" s="15">
        <v>1</v>
      </c>
      <c r="AE340" s="15">
        <v>0.05882</v>
      </c>
      <c r="AF340" s="15">
        <v>1</v>
      </c>
      <c r="AG340" s="15">
        <v>0</v>
      </c>
      <c r="AH340" s="15"/>
      <c r="AI340" s="15">
        <v>2</v>
      </c>
      <c r="AJ340" s="15">
        <v>20.23</v>
      </c>
      <c r="AK340" s="15">
        <v>2</v>
      </c>
      <c r="AL340" s="15">
        <v>20.23</v>
      </c>
      <c r="AM340" s="15">
        <v>1</v>
      </c>
      <c r="AN340" s="15">
        <v>40.46</v>
      </c>
      <c r="AO340" s="15">
        <v>0.05882</v>
      </c>
      <c r="AP340" s="15">
        <v>40.46</v>
      </c>
      <c r="AQ340" s="15">
        <v>0</v>
      </c>
      <c r="AR340" s="15">
        <v>0</v>
      </c>
      <c r="AS340" s="15">
        <v>0</v>
      </c>
      <c r="AT340" s="15">
        <v>1</v>
      </c>
      <c r="AU340" s="15">
        <v>0</v>
      </c>
      <c r="AV340" s="15">
        <v>0</v>
      </c>
      <c r="AW340" s="15">
        <v>0</v>
      </c>
      <c r="AX340" s="15">
        <v>0</v>
      </c>
      <c r="AY340" s="15">
        <v>63</v>
      </c>
      <c r="AZ340" s="15">
        <v>16</v>
      </c>
      <c r="BA340" s="15">
        <v>14</v>
      </c>
      <c r="BB340" s="15">
        <v>0.875</v>
      </c>
      <c r="BC340" s="15">
        <v>0</v>
      </c>
      <c r="BD340" s="15">
        <v>0</v>
      </c>
      <c r="BE340" s="15">
        <v>0.18421</v>
      </c>
      <c r="BF340" s="15">
        <v>45</v>
      </c>
      <c r="BG340" s="15">
        <v>4</v>
      </c>
      <c r="BH340" s="15">
        <v>0</v>
      </c>
      <c r="BI340" s="15"/>
      <c r="BJ340" s="15">
        <v>0</v>
      </c>
      <c r="BK340" s="15">
        <v>0</v>
      </c>
      <c r="BL340" s="15">
        <v>0</v>
      </c>
      <c r="BM340" s="15">
        <v>0</v>
      </c>
      <c r="BN340" s="15"/>
      <c r="BO340" s="15"/>
      <c r="BP340" s="15">
        <v>0</v>
      </c>
      <c r="BQ340" s="15">
        <v>43</v>
      </c>
      <c r="BR340" s="15">
        <v>0</v>
      </c>
      <c r="BS340" s="15">
        <v>0</v>
      </c>
      <c r="BT340" s="15">
        <v>0</v>
      </c>
      <c r="BU340" s="15">
        <v>0</v>
      </c>
      <c r="BV340" s="15">
        <v>0</v>
      </c>
      <c r="BW340" s="15">
        <v>0</v>
      </c>
      <c r="BX340" s="15">
        <v>0</v>
      </c>
    </row>
    <row r="341" spans="1:76">
      <c r="A341" s="14" t="str">
        <f>VLOOKUP(C341,VLOOKUP!A:B,2,FALSE)</f>
        <v>车载香薰</v>
      </c>
      <c r="B341" s="16">
        <v>46039</v>
      </c>
      <c r="C341" s="17">
        <v>616090775596</v>
      </c>
      <c r="D341" s="15" t="s">
        <v>151</v>
      </c>
      <c r="E341" s="15" t="s">
        <v>162</v>
      </c>
      <c r="F341" s="15">
        <v>1634</v>
      </c>
      <c r="G341" s="15">
        <v>31</v>
      </c>
      <c r="H341" s="15">
        <v>40.84</v>
      </c>
      <c r="I341" s="15">
        <v>0.01897</v>
      </c>
      <c r="J341" s="15">
        <v>1.32</v>
      </c>
      <c r="K341" s="15">
        <v>24.99</v>
      </c>
      <c r="L341" s="15">
        <v>0</v>
      </c>
      <c r="M341" s="15">
        <v>0</v>
      </c>
      <c r="N341" s="15">
        <v>0</v>
      </c>
      <c r="O341" s="15">
        <v>0</v>
      </c>
      <c r="P341" s="15">
        <v>0</v>
      </c>
      <c r="Q341" s="15">
        <v>0</v>
      </c>
      <c r="R341" s="15">
        <v>0</v>
      </c>
      <c r="S341" s="15">
        <v>0</v>
      </c>
      <c r="T341" s="15">
        <v>0</v>
      </c>
      <c r="U341" s="15">
        <v>0</v>
      </c>
      <c r="V341" s="15">
        <v>0</v>
      </c>
      <c r="W341" s="15">
        <v>0</v>
      </c>
      <c r="X341" s="15">
        <v>0</v>
      </c>
      <c r="Y341" s="15">
        <v>0</v>
      </c>
      <c r="Z341" s="15">
        <v>0</v>
      </c>
      <c r="AA341" s="15"/>
      <c r="AB341" s="15">
        <v>1</v>
      </c>
      <c r="AC341" s="15">
        <v>1</v>
      </c>
      <c r="AD341" s="15">
        <v>0</v>
      </c>
      <c r="AE341" s="15">
        <v>0.03226</v>
      </c>
      <c r="AF341" s="15">
        <v>0</v>
      </c>
      <c r="AG341" s="15">
        <v>0</v>
      </c>
      <c r="AH341" s="15"/>
      <c r="AI341" s="15">
        <v>1</v>
      </c>
      <c r="AJ341" s="15">
        <v>40.84</v>
      </c>
      <c r="AK341" s="15">
        <v>1</v>
      </c>
      <c r="AL341" s="15">
        <v>40.84</v>
      </c>
      <c r="AM341" s="15">
        <v>0</v>
      </c>
      <c r="AN341" s="15"/>
      <c r="AO341" s="15">
        <v>0</v>
      </c>
      <c r="AP341" s="15">
        <v>40.84</v>
      </c>
      <c r="AQ341" s="15">
        <v>0</v>
      </c>
      <c r="AR341" s="15">
        <v>0</v>
      </c>
      <c r="AS341" s="15">
        <v>0</v>
      </c>
      <c r="AT341" s="15">
        <v>0</v>
      </c>
      <c r="AU341" s="15">
        <v>7</v>
      </c>
      <c r="AV341" s="15">
        <v>0</v>
      </c>
      <c r="AW341" s="15">
        <v>0</v>
      </c>
      <c r="AX341" s="15">
        <v>0</v>
      </c>
      <c r="AY341" s="15">
        <v>59</v>
      </c>
      <c r="AZ341" s="15">
        <v>31</v>
      </c>
      <c r="BA341" s="15">
        <v>28</v>
      </c>
      <c r="BB341" s="15">
        <v>0.90323</v>
      </c>
      <c r="BC341" s="15">
        <v>0</v>
      </c>
      <c r="BD341" s="15">
        <v>0</v>
      </c>
      <c r="BE341" s="15">
        <v>0.03611</v>
      </c>
      <c r="BF341" s="15">
        <v>17</v>
      </c>
      <c r="BG341" s="15">
        <v>2</v>
      </c>
      <c r="BH341" s="15">
        <v>0</v>
      </c>
      <c r="BI341" s="15"/>
      <c r="BJ341" s="15">
        <v>0</v>
      </c>
      <c r="BK341" s="15">
        <v>0</v>
      </c>
      <c r="BL341" s="15">
        <v>0</v>
      </c>
      <c r="BM341" s="15">
        <v>0</v>
      </c>
      <c r="BN341" s="15"/>
      <c r="BO341" s="15"/>
      <c r="BP341" s="15">
        <v>0</v>
      </c>
      <c r="BQ341" s="15">
        <v>19</v>
      </c>
      <c r="BR341" s="15">
        <v>0</v>
      </c>
      <c r="BS341" s="15">
        <v>0</v>
      </c>
      <c r="BT341" s="15">
        <v>0</v>
      </c>
      <c r="BU341" s="15">
        <v>0</v>
      </c>
      <c r="BV341" s="15">
        <v>0</v>
      </c>
      <c r="BW341" s="15">
        <v>0</v>
      </c>
      <c r="BX341" s="15">
        <v>0</v>
      </c>
    </row>
    <row r="342" spans="1:76">
      <c r="A342" s="14" t="str">
        <f>VLOOKUP(C342,VLOOKUP!A:B,2,FALSE)</f>
        <v>鹅梨帐中香</v>
      </c>
      <c r="B342" s="16">
        <v>46038</v>
      </c>
      <c r="C342" s="17">
        <v>971317169387</v>
      </c>
      <c r="D342" s="15" t="s">
        <v>151</v>
      </c>
      <c r="E342" s="15" t="s">
        <v>155</v>
      </c>
      <c r="F342" s="15">
        <v>892</v>
      </c>
      <c r="G342" s="15">
        <v>25</v>
      </c>
      <c r="H342" s="15">
        <v>38.31</v>
      </c>
      <c r="I342" s="15">
        <v>0.02803</v>
      </c>
      <c r="J342" s="15">
        <v>1.53</v>
      </c>
      <c r="K342" s="15">
        <v>42.95</v>
      </c>
      <c r="L342" s="15">
        <v>0</v>
      </c>
      <c r="M342" s="15">
        <v>0</v>
      </c>
      <c r="N342" s="15">
        <v>0</v>
      </c>
      <c r="O342" s="15">
        <v>0</v>
      </c>
      <c r="P342" s="15">
        <v>0</v>
      </c>
      <c r="Q342" s="15">
        <v>0</v>
      </c>
      <c r="R342" s="15">
        <v>0</v>
      </c>
      <c r="S342" s="15">
        <v>0</v>
      </c>
      <c r="T342" s="15">
        <v>0</v>
      </c>
      <c r="U342" s="15">
        <v>0</v>
      </c>
      <c r="V342" s="15">
        <v>0</v>
      </c>
      <c r="W342" s="15">
        <v>0</v>
      </c>
      <c r="X342" s="15">
        <v>0</v>
      </c>
      <c r="Y342" s="15">
        <v>0</v>
      </c>
      <c r="Z342" s="15">
        <v>0</v>
      </c>
      <c r="AA342" s="15"/>
      <c r="AB342" s="15">
        <v>1</v>
      </c>
      <c r="AC342" s="15">
        <v>1</v>
      </c>
      <c r="AD342" s="15">
        <v>0</v>
      </c>
      <c r="AE342" s="15">
        <v>0.04</v>
      </c>
      <c r="AF342" s="15">
        <v>0</v>
      </c>
      <c r="AG342" s="15">
        <v>1</v>
      </c>
      <c r="AH342" s="15">
        <v>38.31</v>
      </c>
      <c r="AI342" s="15">
        <v>2</v>
      </c>
      <c r="AJ342" s="15">
        <v>19.16</v>
      </c>
      <c r="AK342" s="15">
        <v>1</v>
      </c>
      <c r="AL342" s="15">
        <v>38.31</v>
      </c>
      <c r="AM342" s="15">
        <v>1</v>
      </c>
      <c r="AN342" s="15"/>
      <c r="AO342" s="15">
        <v>0</v>
      </c>
      <c r="AP342" s="15">
        <v>38.31</v>
      </c>
      <c r="AQ342" s="15">
        <v>0</v>
      </c>
      <c r="AR342" s="15">
        <v>0</v>
      </c>
      <c r="AS342" s="15">
        <v>0</v>
      </c>
      <c r="AT342" s="15">
        <v>0</v>
      </c>
      <c r="AU342" s="15">
        <v>2</v>
      </c>
      <c r="AV342" s="15">
        <v>0</v>
      </c>
      <c r="AW342" s="15">
        <v>0</v>
      </c>
      <c r="AX342" s="15">
        <v>2</v>
      </c>
      <c r="AY342" s="15">
        <v>55</v>
      </c>
      <c r="AZ342" s="15">
        <v>25</v>
      </c>
      <c r="BA342" s="15">
        <v>21</v>
      </c>
      <c r="BB342" s="15">
        <v>0.84</v>
      </c>
      <c r="BC342" s="15">
        <v>0</v>
      </c>
      <c r="BD342" s="15">
        <v>0</v>
      </c>
      <c r="BE342" s="15">
        <v>0.06166</v>
      </c>
      <c r="BF342" s="15">
        <v>28</v>
      </c>
      <c r="BG342" s="15">
        <v>2</v>
      </c>
      <c r="BH342" s="15">
        <v>0</v>
      </c>
      <c r="BI342" s="15"/>
      <c r="BJ342" s="15">
        <v>0</v>
      </c>
      <c r="BK342" s="15">
        <v>0</v>
      </c>
      <c r="BL342" s="15">
        <v>0</v>
      </c>
      <c r="BM342" s="15">
        <v>0</v>
      </c>
      <c r="BN342" s="15"/>
      <c r="BO342" s="15"/>
      <c r="BP342" s="15">
        <v>0</v>
      </c>
      <c r="BQ342" s="15">
        <v>49</v>
      </c>
      <c r="BR342" s="15">
        <v>0</v>
      </c>
      <c r="BS342" s="15">
        <v>0</v>
      </c>
      <c r="BT342" s="15">
        <v>0</v>
      </c>
      <c r="BU342" s="15">
        <v>0</v>
      </c>
      <c r="BV342" s="15">
        <v>0</v>
      </c>
      <c r="BW342" s="15">
        <v>0</v>
      </c>
      <c r="BX342" s="15">
        <v>0</v>
      </c>
    </row>
    <row r="343" spans="1:76">
      <c r="A343" s="14" t="str">
        <f>VLOOKUP(C343,VLOOKUP!A:B,2,FALSE)</f>
        <v>荔枝香</v>
      </c>
      <c r="B343" s="16">
        <v>46038</v>
      </c>
      <c r="C343" s="17">
        <v>960406497157</v>
      </c>
      <c r="D343" s="15" t="s">
        <v>151</v>
      </c>
      <c r="E343" s="15" t="s">
        <v>157</v>
      </c>
      <c r="F343" s="15">
        <v>780</v>
      </c>
      <c r="G343" s="15">
        <v>25</v>
      </c>
      <c r="H343" s="15">
        <v>37.81</v>
      </c>
      <c r="I343" s="15">
        <v>0.03205</v>
      </c>
      <c r="J343" s="15">
        <v>1.51</v>
      </c>
      <c r="K343" s="15">
        <v>48.47</v>
      </c>
      <c r="L343" s="15">
        <v>0</v>
      </c>
      <c r="M343" s="15">
        <v>0</v>
      </c>
      <c r="N343" s="15">
        <v>0</v>
      </c>
      <c r="O343" s="15">
        <v>0</v>
      </c>
      <c r="P343" s="15">
        <v>0</v>
      </c>
      <c r="Q343" s="15">
        <v>0</v>
      </c>
      <c r="R343" s="15">
        <v>0</v>
      </c>
      <c r="S343" s="15">
        <v>0</v>
      </c>
      <c r="T343" s="15">
        <v>0</v>
      </c>
      <c r="U343" s="15">
        <v>0</v>
      </c>
      <c r="V343" s="15">
        <v>0</v>
      </c>
      <c r="W343" s="15">
        <v>0</v>
      </c>
      <c r="X343" s="15">
        <v>0</v>
      </c>
      <c r="Y343" s="15">
        <v>0</v>
      </c>
      <c r="Z343" s="15">
        <v>0</v>
      </c>
      <c r="AA343" s="15"/>
      <c r="AB343" s="15">
        <v>2</v>
      </c>
      <c r="AC343" s="15">
        <v>2</v>
      </c>
      <c r="AD343" s="15">
        <v>0</v>
      </c>
      <c r="AE343" s="15">
        <v>0.08</v>
      </c>
      <c r="AF343" s="15">
        <v>0</v>
      </c>
      <c r="AG343" s="15">
        <v>0</v>
      </c>
      <c r="AH343" s="15"/>
      <c r="AI343" s="15">
        <v>2</v>
      </c>
      <c r="AJ343" s="15">
        <v>18.91</v>
      </c>
      <c r="AK343" s="15">
        <v>2</v>
      </c>
      <c r="AL343" s="15">
        <v>18.91</v>
      </c>
      <c r="AM343" s="15">
        <v>0</v>
      </c>
      <c r="AN343" s="15"/>
      <c r="AO343" s="15">
        <v>0</v>
      </c>
      <c r="AP343" s="15">
        <v>18.91</v>
      </c>
      <c r="AQ343" s="15">
        <v>0</v>
      </c>
      <c r="AR343" s="15">
        <v>0</v>
      </c>
      <c r="AS343" s="15">
        <v>0</v>
      </c>
      <c r="AT343" s="15">
        <v>0</v>
      </c>
      <c r="AU343" s="15">
        <v>0</v>
      </c>
      <c r="AV343" s="15">
        <v>0</v>
      </c>
      <c r="AW343" s="15">
        <v>0</v>
      </c>
      <c r="AX343" s="15">
        <v>0</v>
      </c>
      <c r="AY343" s="15">
        <v>55</v>
      </c>
      <c r="AZ343" s="15">
        <v>24</v>
      </c>
      <c r="BA343" s="15">
        <v>20</v>
      </c>
      <c r="BB343" s="15">
        <v>0.83333</v>
      </c>
      <c r="BC343" s="15">
        <v>0</v>
      </c>
      <c r="BD343" s="15">
        <v>0</v>
      </c>
      <c r="BE343" s="15">
        <v>0.07051</v>
      </c>
      <c r="BF343" s="15">
        <v>26</v>
      </c>
      <c r="BG343" s="15">
        <v>2</v>
      </c>
      <c r="BH343" s="15">
        <v>0</v>
      </c>
      <c r="BI343" s="15"/>
      <c r="BJ343" s="15">
        <v>0</v>
      </c>
      <c r="BK343" s="15">
        <v>0</v>
      </c>
      <c r="BL343" s="15">
        <v>0</v>
      </c>
      <c r="BM343" s="15">
        <v>0</v>
      </c>
      <c r="BN343" s="15"/>
      <c r="BO343" s="15"/>
      <c r="BP343" s="15">
        <v>0</v>
      </c>
      <c r="BQ343" s="15">
        <v>67</v>
      </c>
      <c r="BR343" s="15">
        <v>0</v>
      </c>
      <c r="BS343" s="15">
        <v>0</v>
      </c>
      <c r="BT343" s="15">
        <v>0</v>
      </c>
      <c r="BU343" s="15">
        <v>0</v>
      </c>
      <c r="BV343" s="15">
        <v>0</v>
      </c>
      <c r="BW343" s="15">
        <v>0</v>
      </c>
      <c r="BX343" s="15">
        <v>0</v>
      </c>
    </row>
    <row r="344" spans="1:76">
      <c r="A344" s="14" t="str">
        <f>VLOOKUP(C344,VLOOKUP!A:B,2,FALSE)</f>
        <v>如意盘香</v>
      </c>
      <c r="B344" s="16">
        <v>46038</v>
      </c>
      <c r="C344" s="17">
        <v>838711327669</v>
      </c>
      <c r="D344" s="15" t="s">
        <v>151</v>
      </c>
      <c r="E344" s="15" t="s">
        <v>158</v>
      </c>
      <c r="F344" s="15">
        <v>505</v>
      </c>
      <c r="G344" s="15">
        <v>31</v>
      </c>
      <c r="H344" s="15">
        <v>144.39</v>
      </c>
      <c r="I344" s="15">
        <v>0.06139</v>
      </c>
      <c r="J344" s="15">
        <v>4.66</v>
      </c>
      <c r="K344" s="15">
        <v>285.92</v>
      </c>
      <c r="L344" s="15">
        <v>0</v>
      </c>
      <c r="M344" s="15">
        <v>0</v>
      </c>
      <c r="N344" s="15">
        <v>0</v>
      </c>
      <c r="O344" s="15">
        <v>0</v>
      </c>
      <c r="P344" s="15">
        <v>0</v>
      </c>
      <c r="Q344" s="15">
        <v>0</v>
      </c>
      <c r="R344" s="15">
        <v>566.3</v>
      </c>
      <c r="S344" s="15">
        <v>247.85</v>
      </c>
      <c r="T344" s="15">
        <v>814.15</v>
      </c>
      <c r="U344" s="15">
        <v>2</v>
      </c>
      <c r="V344" s="15">
        <v>1</v>
      </c>
      <c r="W344" s="15">
        <v>1</v>
      </c>
      <c r="X344" s="15">
        <v>0.06452</v>
      </c>
      <c r="Y344" s="15">
        <v>5.64</v>
      </c>
      <c r="Z344" s="15">
        <v>5.64</v>
      </c>
      <c r="AA344" s="15">
        <v>72.2</v>
      </c>
      <c r="AB344" s="15">
        <v>7</v>
      </c>
      <c r="AC344" s="15">
        <v>1</v>
      </c>
      <c r="AD344" s="15">
        <v>6</v>
      </c>
      <c r="AE344" s="15">
        <v>0.22581</v>
      </c>
      <c r="AF344" s="15">
        <v>0</v>
      </c>
      <c r="AG344" s="15">
        <v>0</v>
      </c>
      <c r="AH344" s="15"/>
      <c r="AI344" s="15">
        <v>7</v>
      </c>
      <c r="AJ344" s="15">
        <v>20.63</v>
      </c>
      <c r="AK344" s="15">
        <v>7</v>
      </c>
      <c r="AL344" s="15">
        <v>20.63</v>
      </c>
      <c r="AM344" s="15">
        <v>0</v>
      </c>
      <c r="AN344" s="15"/>
      <c r="AO344" s="15">
        <v>0</v>
      </c>
      <c r="AP344" s="15">
        <v>20.63</v>
      </c>
      <c r="AQ344" s="15">
        <v>4</v>
      </c>
      <c r="AR344" s="15">
        <v>1033.85</v>
      </c>
      <c r="AS344" s="15">
        <v>0</v>
      </c>
      <c r="AT344" s="15">
        <v>0</v>
      </c>
      <c r="AU344" s="15">
        <v>2</v>
      </c>
      <c r="AV344" s="15">
        <v>0</v>
      </c>
      <c r="AW344" s="15">
        <v>0</v>
      </c>
      <c r="AX344" s="15">
        <v>0</v>
      </c>
      <c r="AY344" s="15">
        <v>115</v>
      </c>
      <c r="AZ344" s="15">
        <v>25</v>
      </c>
      <c r="BA344" s="15">
        <v>18</v>
      </c>
      <c r="BB344" s="15">
        <v>0.72</v>
      </c>
      <c r="BC344" s="15">
        <v>0</v>
      </c>
      <c r="BD344" s="15">
        <v>0</v>
      </c>
      <c r="BE344" s="15">
        <v>0.22772</v>
      </c>
      <c r="BF344" s="15">
        <v>85</v>
      </c>
      <c r="BG344" s="15">
        <v>5</v>
      </c>
      <c r="BH344" s="15">
        <v>2</v>
      </c>
      <c r="BI344" s="15">
        <v>1</v>
      </c>
      <c r="BJ344" s="15">
        <v>0</v>
      </c>
      <c r="BK344" s="15">
        <v>0</v>
      </c>
      <c r="BL344" s="15">
        <v>0</v>
      </c>
      <c r="BM344" s="15">
        <v>2</v>
      </c>
      <c r="BN344" s="15">
        <v>1</v>
      </c>
      <c r="BO344" s="15">
        <v>407.08</v>
      </c>
      <c r="BP344" s="15">
        <v>0</v>
      </c>
      <c r="BQ344" s="15">
        <v>2013</v>
      </c>
      <c r="BR344" s="15">
        <v>0</v>
      </c>
      <c r="BS344" s="15">
        <v>0</v>
      </c>
      <c r="BT344" s="15">
        <v>0</v>
      </c>
      <c r="BU344" s="15">
        <v>0</v>
      </c>
      <c r="BV344" s="15">
        <v>0</v>
      </c>
      <c r="BW344" s="15">
        <v>0</v>
      </c>
      <c r="BX344" s="15">
        <v>0</v>
      </c>
    </row>
    <row r="345" spans="1:76">
      <c r="A345" s="14" t="str">
        <f>VLOOKUP(C345,VLOOKUP!A:B,2,FALSE)</f>
        <v>四季线香</v>
      </c>
      <c r="B345" s="16">
        <v>46038</v>
      </c>
      <c r="C345" s="17">
        <v>742540384374</v>
      </c>
      <c r="D345" s="15" t="s">
        <v>151</v>
      </c>
      <c r="E345" s="15" t="s">
        <v>161</v>
      </c>
      <c r="F345" s="15">
        <v>602</v>
      </c>
      <c r="G345" s="15">
        <v>11</v>
      </c>
      <c r="H345" s="15">
        <v>27.75</v>
      </c>
      <c r="I345" s="15">
        <v>0.01827</v>
      </c>
      <c r="J345" s="15">
        <v>2.52</v>
      </c>
      <c r="K345" s="15">
        <v>46.1</v>
      </c>
      <c r="L345" s="15">
        <v>0</v>
      </c>
      <c r="M345" s="15">
        <v>0</v>
      </c>
      <c r="N345" s="15">
        <v>0</v>
      </c>
      <c r="O345" s="15">
        <v>0</v>
      </c>
      <c r="P345" s="15">
        <v>0</v>
      </c>
      <c r="Q345" s="15">
        <v>0</v>
      </c>
      <c r="R345" s="15">
        <v>0</v>
      </c>
      <c r="S345" s="15">
        <v>0</v>
      </c>
      <c r="T345" s="15">
        <v>0</v>
      </c>
      <c r="U345" s="15">
        <v>0</v>
      </c>
      <c r="V345" s="15">
        <v>0</v>
      </c>
      <c r="W345" s="15">
        <v>0</v>
      </c>
      <c r="X345" s="15">
        <v>0</v>
      </c>
      <c r="Y345" s="15">
        <v>0</v>
      </c>
      <c r="Z345" s="15">
        <v>0</v>
      </c>
      <c r="AA345" s="15"/>
      <c r="AB345" s="15">
        <v>0</v>
      </c>
      <c r="AC345" s="15">
        <v>0</v>
      </c>
      <c r="AD345" s="15">
        <v>0</v>
      </c>
      <c r="AE345" s="15">
        <v>0</v>
      </c>
      <c r="AF345" s="15">
        <v>0</v>
      </c>
      <c r="AG345" s="15">
        <v>0</v>
      </c>
      <c r="AH345" s="15"/>
      <c r="AI345" s="15">
        <v>0</v>
      </c>
      <c r="AJ345" s="15"/>
      <c r="AK345" s="15">
        <v>0</v>
      </c>
      <c r="AL345" s="15"/>
      <c r="AM345" s="15">
        <v>0</v>
      </c>
      <c r="AN345" s="15"/>
      <c r="AO345" s="15">
        <v>0</v>
      </c>
      <c r="AP345" s="15"/>
      <c r="AQ345" s="15">
        <v>0</v>
      </c>
      <c r="AR345" s="15">
        <v>0</v>
      </c>
      <c r="AS345" s="15">
        <v>0</v>
      </c>
      <c r="AT345" s="15">
        <v>0</v>
      </c>
      <c r="AU345" s="15">
        <v>0</v>
      </c>
      <c r="AV345" s="15">
        <v>0</v>
      </c>
      <c r="AW345" s="15">
        <v>0</v>
      </c>
      <c r="AX345" s="15">
        <v>0</v>
      </c>
      <c r="AY345" s="15">
        <v>29</v>
      </c>
      <c r="AZ345" s="15">
        <v>10</v>
      </c>
      <c r="BA345" s="15">
        <v>9</v>
      </c>
      <c r="BB345" s="15">
        <v>0.9</v>
      </c>
      <c r="BC345" s="15">
        <v>0</v>
      </c>
      <c r="BD345" s="15">
        <v>0</v>
      </c>
      <c r="BE345" s="15">
        <v>0.04817</v>
      </c>
      <c r="BF345" s="15">
        <v>19</v>
      </c>
      <c r="BG345" s="15">
        <v>3</v>
      </c>
      <c r="BH345" s="15">
        <v>0</v>
      </c>
      <c r="BI345" s="15"/>
      <c r="BJ345" s="15">
        <v>0</v>
      </c>
      <c r="BK345" s="15">
        <v>0</v>
      </c>
      <c r="BL345" s="15">
        <v>0</v>
      </c>
      <c r="BM345" s="15">
        <v>0</v>
      </c>
      <c r="BN345" s="15"/>
      <c r="BO345" s="15"/>
      <c r="BP345" s="15">
        <v>0</v>
      </c>
      <c r="BQ345" s="15">
        <v>1</v>
      </c>
      <c r="BR345" s="15">
        <v>0</v>
      </c>
      <c r="BS345" s="15">
        <v>0</v>
      </c>
      <c r="BT345" s="15">
        <v>0</v>
      </c>
      <c r="BU345" s="15">
        <v>0</v>
      </c>
      <c r="BV345" s="15">
        <v>0</v>
      </c>
      <c r="BW345" s="15">
        <v>0</v>
      </c>
      <c r="BX345" s="15">
        <v>0</v>
      </c>
    </row>
    <row r="346" spans="1:76">
      <c r="A346" s="14" t="str">
        <f>VLOOKUP(C346,VLOOKUP!A:B,2,FALSE)</f>
        <v>车载香薰</v>
      </c>
      <c r="B346" s="16">
        <v>46038</v>
      </c>
      <c r="C346" s="17">
        <v>616090775596</v>
      </c>
      <c r="D346" s="15" t="s">
        <v>151</v>
      </c>
      <c r="E346" s="15" t="s">
        <v>162</v>
      </c>
      <c r="F346" s="15">
        <v>1988</v>
      </c>
      <c r="G346" s="15">
        <v>31</v>
      </c>
      <c r="H346" s="15">
        <v>35.61</v>
      </c>
      <c r="I346" s="15">
        <v>0.01559</v>
      </c>
      <c r="J346" s="15">
        <v>1.15</v>
      </c>
      <c r="K346" s="15">
        <v>17.91</v>
      </c>
      <c r="L346" s="15">
        <v>0</v>
      </c>
      <c r="M346" s="15">
        <v>0</v>
      </c>
      <c r="N346" s="15">
        <v>0</v>
      </c>
      <c r="O346" s="15">
        <v>0</v>
      </c>
      <c r="P346" s="15">
        <v>0</v>
      </c>
      <c r="Q346" s="15">
        <v>0</v>
      </c>
      <c r="R346" s="15">
        <v>0</v>
      </c>
      <c r="S346" s="15">
        <v>0</v>
      </c>
      <c r="T346" s="15">
        <v>0</v>
      </c>
      <c r="U346" s="15">
        <v>0</v>
      </c>
      <c r="V346" s="15">
        <v>0</v>
      </c>
      <c r="W346" s="15">
        <v>0</v>
      </c>
      <c r="X346" s="15">
        <v>0</v>
      </c>
      <c r="Y346" s="15">
        <v>0</v>
      </c>
      <c r="Z346" s="15">
        <v>0</v>
      </c>
      <c r="AA346" s="15"/>
      <c r="AB346" s="15">
        <v>0</v>
      </c>
      <c r="AC346" s="15">
        <v>0</v>
      </c>
      <c r="AD346" s="15">
        <v>0</v>
      </c>
      <c r="AE346" s="15">
        <v>0</v>
      </c>
      <c r="AF346" s="15">
        <v>1</v>
      </c>
      <c r="AG346" s="15">
        <v>0</v>
      </c>
      <c r="AH346" s="15"/>
      <c r="AI346" s="15">
        <v>1</v>
      </c>
      <c r="AJ346" s="15">
        <v>35.61</v>
      </c>
      <c r="AK346" s="15">
        <v>1</v>
      </c>
      <c r="AL346" s="15">
        <v>35.61</v>
      </c>
      <c r="AM346" s="15">
        <v>1</v>
      </c>
      <c r="AN346" s="15">
        <v>35.61</v>
      </c>
      <c r="AO346" s="15">
        <v>0.03226</v>
      </c>
      <c r="AP346" s="15"/>
      <c r="AQ346" s="15">
        <v>0</v>
      </c>
      <c r="AR346" s="15">
        <v>0</v>
      </c>
      <c r="AS346" s="15">
        <v>1</v>
      </c>
      <c r="AT346" s="15">
        <v>0</v>
      </c>
      <c r="AU346" s="15">
        <v>1</v>
      </c>
      <c r="AV346" s="15">
        <v>0</v>
      </c>
      <c r="AW346" s="15">
        <v>0</v>
      </c>
      <c r="AX346" s="15">
        <v>0</v>
      </c>
      <c r="AY346" s="15">
        <v>65</v>
      </c>
      <c r="AZ346" s="15">
        <v>29</v>
      </c>
      <c r="BA346" s="15">
        <v>27</v>
      </c>
      <c r="BB346" s="15">
        <v>0.93103</v>
      </c>
      <c r="BC346" s="15">
        <v>0</v>
      </c>
      <c r="BD346" s="15">
        <v>0</v>
      </c>
      <c r="BE346" s="15">
        <v>0.0327</v>
      </c>
      <c r="BF346" s="15">
        <v>24</v>
      </c>
      <c r="BG346" s="15">
        <v>2</v>
      </c>
      <c r="BH346" s="15">
        <v>0</v>
      </c>
      <c r="BI346" s="15"/>
      <c r="BJ346" s="15">
        <v>0</v>
      </c>
      <c r="BK346" s="15">
        <v>0</v>
      </c>
      <c r="BL346" s="15">
        <v>0</v>
      </c>
      <c r="BM346" s="15">
        <v>0</v>
      </c>
      <c r="BN346" s="15"/>
      <c r="BO346" s="15"/>
      <c r="BP346" s="15">
        <v>0</v>
      </c>
      <c r="BQ346" s="15">
        <v>10</v>
      </c>
      <c r="BR346" s="15">
        <v>0</v>
      </c>
      <c r="BS346" s="15">
        <v>0</v>
      </c>
      <c r="BT346" s="15">
        <v>0</v>
      </c>
      <c r="BU346" s="15">
        <v>0</v>
      </c>
      <c r="BV346" s="15">
        <v>0</v>
      </c>
      <c r="BW346" s="15">
        <v>0</v>
      </c>
      <c r="BX346" s="15">
        <v>0</v>
      </c>
    </row>
    <row r="347" spans="1:76">
      <c r="A347" s="14" t="str">
        <f>VLOOKUP(C347,VLOOKUP!A:B,2,FALSE)</f>
        <v>鹅梨帐中香</v>
      </c>
      <c r="B347" s="16">
        <v>46037</v>
      </c>
      <c r="C347" s="17">
        <v>971317169387</v>
      </c>
      <c r="D347" s="15" t="s">
        <v>151</v>
      </c>
      <c r="E347" s="15" t="s">
        <v>155</v>
      </c>
      <c r="F347" s="15">
        <v>891</v>
      </c>
      <c r="G347" s="15">
        <v>21</v>
      </c>
      <c r="H347" s="15">
        <v>23.67</v>
      </c>
      <c r="I347" s="15">
        <v>0.02357</v>
      </c>
      <c r="J347" s="15">
        <v>1.13</v>
      </c>
      <c r="K347" s="15">
        <v>26.57</v>
      </c>
      <c r="L347" s="15">
        <v>0</v>
      </c>
      <c r="M347" s="15">
        <v>0</v>
      </c>
      <c r="N347" s="15">
        <v>0</v>
      </c>
      <c r="O347" s="15">
        <v>0</v>
      </c>
      <c r="P347" s="15">
        <v>0</v>
      </c>
      <c r="Q347" s="15">
        <v>0</v>
      </c>
      <c r="R347" s="15">
        <v>0</v>
      </c>
      <c r="S347" s="15">
        <v>0</v>
      </c>
      <c r="T347" s="15">
        <v>0</v>
      </c>
      <c r="U347" s="15">
        <v>0</v>
      </c>
      <c r="V347" s="15">
        <v>0</v>
      </c>
      <c r="W347" s="15">
        <v>0</v>
      </c>
      <c r="X347" s="15">
        <v>0</v>
      </c>
      <c r="Y347" s="15">
        <v>0</v>
      </c>
      <c r="Z347" s="15">
        <v>0</v>
      </c>
      <c r="AA347" s="15"/>
      <c r="AB347" s="15">
        <v>0</v>
      </c>
      <c r="AC347" s="15">
        <v>0</v>
      </c>
      <c r="AD347" s="15">
        <v>0</v>
      </c>
      <c r="AE347" s="15">
        <v>0</v>
      </c>
      <c r="AF347" s="15">
        <v>0</v>
      </c>
      <c r="AG347" s="15">
        <v>0</v>
      </c>
      <c r="AH347" s="15"/>
      <c r="AI347" s="15">
        <v>0</v>
      </c>
      <c r="AJ347" s="15"/>
      <c r="AK347" s="15">
        <v>0</v>
      </c>
      <c r="AL347" s="15"/>
      <c r="AM347" s="15">
        <v>0</v>
      </c>
      <c r="AN347" s="15"/>
      <c r="AO347" s="15">
        <v>0</v>
      </c>
      <c r="AP347" s="15"/>
      <c r="AQ347" s="15">
        <v>0</v>
      </c>
      <c r="AR347" s="15">
        <v>0</v>
      </c>
      <c r="AS347" s="15">
        <v>0</v>
      </c>
      <c r="AT347" s="15">
        <v>0</v>
      </c>
      <c r="AU347" s="15">
        <v>0</v>
      </c>
      <c r="AV347" s="15">
        <v>0</v>
      </c>
      <c r="AW347" s="15">
        <v>0</v>
      </c>
      <c r="AX347" s="15">
        <v>0</v>
      </c>
      <c r="AY347" s="15">
        <v>58</v>
      </c>
      <c r="AZ347" s="15">
        <v>20</v>
      </c>
      <c r="BA347" s="15">
        <v>16</v>
      </c>
      <c r="BB347" s="15">
        <v>0.8</v>
      </c>
      <c r="BC347" s="15">
        <v>0</v>
      </c>
      <c r="BD347" s="15">
        <v>0</v>
      </c>
      <c r="BE347" s="15">
        <v>0.0651</v>
      </c>
      <c r="BF347" s="15">
        <v>38</v>
      </c>
      <c r="BG347" s="15">
        <v>3</v>
      </c>
      <c r="BH347" s="15">
        <v>0</v>
      </c>
      <c r="BI347" s="15"/>
      <c r="BJ347" s="15">
        <v>0</v>
      </c>
      <c r="BK347" s="15">
        <v>0</v>
      </c>
      <c r="BL347" s="15">
        <v>0</v>
      </c>
      <c r="BM347" s="15">
        <v>0</v>
      </c>
      <c r="BN347" s="15"/>
      <c r="BO347" s="15"/>
      <c r="BP347" s="15">
        <v>0</v>
      </c>
      <c r="BQ347" s="15">
        <v>19</v>
      </c>
      <c r="BR347" s="15">
        <v>0</v>
      </c>
      <c r="BS347" s="15">
        <v>0</v>
      </c>
      <c r="BT347" s="15">
        <v>0</v>
      </c>
      <c r="BU347" s="15">
        <v>0</v>
      </c>
      <c r="BV347" s="15">
        <v>0</v>
      </c>
      <c r="BW347" s="15">
        <v>0</v>
      </c>
      <c r="BX347" s="15">
        <v>0</v>
      </c>
    </row>
    <row r="348" spans="1:76">
      <c r="A348" s="14" t="str">
        <f>VLOOKUP(C348,VLOOKUP!A:B,2,FALSE)</f>
        <v>荔枝香</v>
      </c>
      <c r="B348" s="16">
        <v>46037</v>
      </c>
      <c r="C348" s="17">
        <v>960406497157</v>
      </c>
      <c r="D348" s="15" t="s">
        <v>151</v>
      </c>
      <c r="E348" s="15" t="s">
        <v>157</v>
      </c>
      <c r="F348" s="15">
        <v>348</v>
      </c>
      <c r="G348" s="15">
        <v>13</v>
      </c>
      <c r="H348" s="15">
        <v>15.7</v>
      </c>
      <c r="I348" s="15">
        <v>0.03736</v>
      </c>
      <c r="J348" s="15">
        <v>1.21</v>
      </c>
      <c r="K348" s="15">
        <v>45.11</v>
      </c>
      <c r="L348" s="15">
        <v>0</v>
      </c>
      <c r="M348" s="15">
        <v>0</v>
      </c>
      <c r="N348" s="15">
        <v>0</v>
      </c>
      <c r="O348" s="15">
        <v>0</v>
      </c>
      <c r="P348" s="15">
        <v>0</v>
      </c>
      <c r="Q348" s="15">
        <v>0</v>
      </c>
      <c r="R348" s="15">
        <v>0</v>
      </c>
      <c r="S348" s="15">
        <v>0</v>
      </c>
      <c r="T348" s="15">
        <v>0</v>
      </c>
      <c r="U348" s="15">
        <v>0</v>
      </c>
      <c r="V348" s="15">
        <v>0</v>
      </c>
      <c r="W348" s="15">
        <v>0</v>
      </c>
      <c r="X348" s="15">
        <v>0</v>
      </c>
      <c r="Y348" s="15">
        <v>0</v>
      </c>
      <c r="Z348" s="15">
        <v>0</v>
      </c>
      <c r="AA348" s="15"/>
      <c r="AB348" s="15">
        <v>0</v>
      </c>
      <c r="AC348" s="15">
        <v>0</v>
      </c>
      <c r="AD348" s="15">
        <v>0</v>
      </c>
      <c r="AE348" s="15">
        <v>0</v>
      </c>
      <c r="AF348" s="15">
        <v>1</v>
      </c>
      <c r="AG348" s="15">
        <v>0</v>
      </c>
      <c r="AH348" s="15"/>
      <c r="AI348" s="15">
        <v>1</v>
      </c>
      <c r="AJ348" s="15">
        <v>15.7</v>
      </c>
      <c r="AK348" s="15">
        <v>1</v>
      </c>
      <c r="AL348" s="15">
        <v>15.7</v>
      </c>
      <c r="AM348" s="15">
        <v>1</v>
      </c>
      <c r="AN348" s="15">
        <v>15.7</v>
      </c>
      <c r="AO348" s="15">
        <v>0.07692</v>
      </c>
      <c r="AP348" s="15"/>
      <c r="AQ348" s="15">
        <v>0</v>
      </c>
      <c r="AR348" s="15">
        <v>0</v>
      </c>
      <c r="AS348" s="15">
        <v>0</v>
      </c>
      <c r="AT348" s="15">
        <v>1</v>
      </c>
      <c r="AU348" s="15">
        <v>0</v>
      </c>
      <c r="AV348" s="15">
        <v>0</v>
      </c>
      <c r="AW348" s="15">
        <v>0</v>
      </c>
      <c r="AX348" s="15">
        <v>0</v>
      </c>
      <c r="AY348" s="15">
        <v>31</v>
      </c>
      <c r="AZ348" s="15">
        <v>13</v>
      </c>
      <c r="BA348" s="15">
        <v>11</v>
      </c>
      <c r="BB348" s="15">
        <v>0.84615</v>
      </c>
      <c r="BC348" s="15">
        <v>0</v>
      </c>
      <c r="BD348" s="15">
        <v>0</v>
      </c>
      <c r="BE348" s="15">
        <v>0.08908</v>
      </c>
      <c r="BF348" s="15">
        <v>16</v>
      </c>
      <c r="BG348" s="15">
        <v>2</v>
      </c>
      <c r="BH348" s="15">
        <v>0</v>
      </c>
      <c r="BI348" s="15"/>
      <c r="BJ348" s="15">
        <v>0</v>
      </c>
      <c r="BK348" s="15">
        <v>0</v>
      </c>
      <c r="BL348" s="15">
        <v>0</v>
      </c>
      <c r="BM348" s="15">
        <v>0</v>
      </c>
      <c r="BN348" s="15"/>
      <c r="BO348" s="15"/>
      <c r="BP348" s="15">
        <v>0</v>
      </c>
      <c r="BQ348" s="15">
        <v>35</v>
      </c>
      <c r="BR348" s="15">
        <v>0</v>
      </c>
      <c r="BS348" s="15">
        <v>0</v>
      </c>
      <c r="BT348" s="15">
        <v>0</v>
      </c>
      <c r="BU348" s="15">
        <v>0</v>
      </c>
      <c r="BV348" s="15">
        <v>0</v>
      </c>
      <c r="BW348" s="15">
        <v>0</v>
      </c>
      <c r="BX348" s="15">
        <v>0</v>
      </c>
    </row>
    <row r="349" spans="1:76">
      <c r="A349" s="14" t="str">
        <f>VLOOKUP(C349,VLOOKUP!A:B,2,FALSE)</f>
        <v>如意盘香</v>
      </c>
      <c r="B349" s="16">
        <v>46037</v>
      </c>
      <c r="C349" s="17">
        <v>838711327669</v>
      </c>
      <c r="D349" s="15" t="s">
        <v>151</v>
      </c>
      <c r="E349" s="15" t="s">
        <v>158</v>
      </c>
      <c r="F349" s="15">
        <v>726</v>
      </c>
      <c r="G349" s="15">
        <v>28</v>
      </c>
      <c r="H349" s="15">
        <v>71.52</v>
      </c>
      <c r="I349" s="15">
        <v>0.03857</v>
      </c>
      <c r="J349" s="15">
        <v>2.55</v>
      </c>
      <c r="K349" s="15">
        <v>98.51</v>
      </c>
      <c r="L349" s="15">
        <v>0</v>
      </c>
      <c r="M349" s="15">
        <v>0</v>
      </c>
      <c r="N349" s="15">
        <v>0</v>
      </c>
      <c r="O349" s="15">
        <v>0</v>
      </c>
      <c r="P349" s="15">
        <v>0</v>
      </c>
      <c r="Q349" s="15">
        <v>0</v>
      </c>
      <c r="R349" s="15">
        <v>0</v>
      </c>
      <c r="S349" s="15">
        <v>0</v>
      </c>
      <c r="T349" s="15">
        <v>0</v>
      </c>
      <c r="U349" s="15">
        <v>0</v>
      </c>
      <c r="V349" s="15">
        <v>0</v>
      </c>
      <c r="W349" s="15">
        <v>0</v>
      </c>
      <c r="X349" s="15">
        <v>0</v>
      </c>
      <c r="Y349" s="15">
        <v>0</v>
      </c>
      <c r="Z349" s="15">
        <v>0</v>
      </c>
      <c r="AA349" s="15"/>
      <c r="AB349" s="15">
        <v>4</v>
      </c>
      <c r="AC349" s="15">
        <v>1</v>
      </c>
      <c r="AD349" s="15">
        <v>3</v>
      </c>
      <c r="AE349" s="15">
        <v>0.14286</v>
      </c>
      <c r="AF349" s="15">
        <v>1</v>
      </c>
      <c r="AG349" s="15">
        <v>0</v>
      </c>
      <c r="AH349" s="15"/>
      <c r="AI349" s="15">
        <v>5</v>
      </c>
      <c r="AJ349" s="15">
        <v>14.3</v>
      </c>
      <c r="AK349" s="15">
        <v>5</v>
      </c>
      <c r="AL349" s="15">
        <v>14.3</v>
      </c>
      <c r="AM349" s="15">
        <v>1</v>
      </c>
      <c r="AN349" s="15">
        <v>71.52</v>
      </c>
      <c r="AO349" s="15">
        <v>0.03571</v>
      </c>
      <c r="AP349" s="15">
        <v>17.88</v>
      </c>
      <c r="AQ349" s="15">
        <v>0</v>
      </c>
      <c r="AR349" s="15">
        <v>0</v>
      </c>
      <c r="AS349" s="15">
        <v>0</v>
      </c>
      <c r="AT349" s="15">
        <v>1</v>
      </c>
      <c r="AU349" s="15">
        <v>1</v>
      </c>
      <c r="AV349" s="15">
        <v>0</v>
      </c>
      <c r="AW349" s="15">
        <v>0</v>
      </c>
      <c r="AX349" s="15">
        <v>0</v>
      </c>
      <c r="AY349" s="15">
        <v>168</v>
      </c>
      <c r="AZ349" s="15">
        <v>25</v>
      </c>
      <c r="BA349" s="15">
        <v>16</v>
      </c>
      <c r="BB349" s="15">
        <v>0.64</v>
      </c>
      <c r="BC349" s="15">
        <v>0</v>
      </c>
      <c r="BD349" s="15">
        <v>0</v>
      </c>
      <c r="BE349" s="15">
        <v>0.2314</v>
      </c>
      <c r="BF349" s="15">
        <v>138</v>
      </c>
      <c r="BG349" s="15">
        <v>7</v>
      </c>
      <c r="BH349" s="15">
        <v>0</v>
      </c>
      <c r="BI349" s="15"/>
      <c r="BJ349" s="15">
        <v>0</v>
      </c>
      <c r="BK349" s="15">
        <v>0</v>
      </c>
      <c r="BL349" s="15">
        <v>0</v>
      </c>
      <c r="BM349" s="15">
        <v>0</v>
      </c>
      <c r="BN349" s="15"/>
      <c r="BO349" s="15"/>
      <c r="BP349" s="15">
        <v>0</v>
      </c>
      <c r="BQ349" s="15">
        <v>304</v>
      </c>
      <c r="BR349" s="15">
        <v>0</v>
      </c>
      <c r="BS349" s="15">
        <v>0</v>
      </c>
      <c r="BT349" s="15">
        <v>0</v>
      </c>
      <c r="BU349" s="15">
        <v>0</v>
      </c>
      <c r="BV349" s="15">
        <v>0</v>
      </c>
      <c r="BW349" s="15">
        <v>0</v>
      </c>
      <c r="BX349" s="15">
        <v>0</v>
      </c>
    </row>
    <row r="350" spans="1:76">
      <c r="A350" s="14" t="str">
        <f>VLOOKUP(C350,VLOOKUP!A:B,2,FALSE)</f>
        <v>四季线香</v>
      </c>
      <c r="B350" s="16">
        <v>46037</v>
      </c>
      <c r="C350" s="17">
        <v>742540384374</v>
      </c>
      <c r="D350" s="15" t="s">
        <v>151</v>
      </c>
      <c r="E350" s="15" t="s">
        <v>161</v>
      </c>
      <c r="F350" s="15">
        <v>471</v>
      </c>
      <c r="G350" s="15">
        <v>15</v>
      </c>
      <c r="H350" s="15">
        <v>40.73</v>
      </c>
      <c r="I350" s="15">
        <v>0.03185</v>
      </c>
      <c r="J350" s="15">
        <v>2.72</v>
      </c>
      <c r="K350" s="15">
        <v>86.48</v>
      </c>
      <c r="L350" s="15">
        <v>0</v>
      </c>
      <c r="M350" s="15">
        <v>0</v>
      </c>
      <c r="N350" s="15">
        <v>0</v>
      </c>
      <c r="O350" s="15">
        <v>0</v>
      </c>
      <c r="P350" s="15">
        <v>0</v>
      </c>
      <c r="Q350" s="15">
        <v>0</v>
      </c>
      <c r="R350" s="15">
        <v>0</v>
      </c>
      <c r="S350" s="15">
        <v>0</v>
      </c>
      <c r="T350" s="15">
        <v>0</v>
      </c>
      <c r="U350" s="15">
        <v>0</v>
      </c>
      <c r="V350" s="15">
        <v>0</v>
      </c>
      <c r="W350" s="15">
        <v>0</v>
      </c>
      <c r="X350" s="15">
        <v>0</v>
      </c>
      <c r="Y350" s="15">
        <v>0</v>
      </c>
      <c r="Z350" s="15">
        <v>0</v>
      </c>
      <c r="AA350" s="15"/>
      <c r="AB350" s="15">
        <v>1</v>
      </c>
      <c r="AC350" s="15">
        <v>1</v>
      </c>
      <c r="AD350" s="15">
        <v>0</v>
      </c>
      <c r="AE350" s="15">
        <v>0.06667</v>
      </c>
      <c r="AF350" s="15">
        <v>0</v>
      </c>
      <c r="AG350" s="15">
        <v>0</v>
      </c>
      <c r="AH350" s="15"/>
      <c r="AI350" s="15">
        <v>1</v>
      </c>
      <c r="AJ350" s="15">
        <v>40.73</v>
      </c>
      <c r="AK350" s="15">
        <v>1</v>
      </c>
      <c r="AL350" s="15">
        <v>40.73</v>
      </c>
      <c r="AM350" s="15">
        <v>0</v>
      </c>
      <c r="AN350" s="15"/>
      <c r="AO350" s="15">
        <v>0</v>
      </c>
      <c r="AP350" s="15">
        <v>40.73</v>
      </c>
      <c r="AQ350" s="15">
        <v>0</v>
      </c>
      <c r="AR350" s="15">
        <v>0</v>
      </c>
      <c r="AS350" s="15">
        <v>0</v>
      </c>
      <c r="AT350" s="15">
        <v>0</v>
      </c>
      <c r="AU350" s="15">
        <v>0</v>
      </c>
      <c r="AV350" s="15">
        <v>0</v>
      </c>
      <c r="AW350" s="15">
        <v>0</v>
      </c>
      <c r="AX350" s="15">
        <v>0</v>
      </c>
      <c r="AY350" s="15">
        <v>25</v>
      </c>
      <c r="AZ350" s="15">
        <v>14</v>
      </c>
      <c r="BA350" s="15">
        <v>12</v>
      </c>
      <c r="BB350" s="15">
        <v>0.85714</v>
      </c>
      <c r="BC350" s="15">
        <v>0</v>
      </c>
      <c r="BD350" s="15">
        <v>0</v>
      </c>
      <c r="BE350" s="15">
        <v>0.05308</v>
      </c>
      <c r="BF350" s="15">
        <v>9</v>
      </c>
      <c r="BG350" s="15">
        <v>2</v>
      </c>
      <c r="BH350" s="15">
        <v>0</v>
      </c>
      <c r="BI350" s="15"/>
      <c r="BJ350" s="15">
        <v>0</v>
      </c>
      <c r="BK350" s="15">
        <v>0</v>
      </c>
      <c r="BL350" s="15">
        <v>0</v>
      </c>
      <c r="BM350" s="15">
        <v>0</v>
      </c>
      <c r="BN350" s="15"/>
      <c r="BO350" s="15"/>
      <c r="BP350" s="15">
        <v>0</v>
      </c>
      <c r="BQ350" s="15">
        <v>50</v>
      </c>
      <c r="BR350" s="15">
        <v>0</v>
      </c>
      <c r="BS350" s="15">
        <v>0</v>
      </c>
      <c r="BT350" s="15">
        <v>0</v>
      </c>
      <c r="BU350" s="15">
        <v>0</v>
      </c>
      <c r="BV350" s="15">
        <v>0</v>
      </c>
      <c r="BW350" s="15">
        <v>0</v>
      </c>
      <c r="BX350" s="15">
        <v>0</v>
      </c>
    </row>
    <row r="351" spans="1:76">
      <c r="A351" s="14" t="str">
        <f>VLOOKUP(C351,VLOOKUP!A:B,2,FALSE)</f>
        <v>车载香薰</v>
      </c>
      <c r="B351" s="16">
        <v>46037</v>
      </c>
      <c r="C351" s="17">
        <v>616090775596</v>
      </c>
      <c r="D351" s="15" t="s">
        <v>151</v>
      </c>
      <c r="E351" s="15" t="s">
        <v>162</v>
      </c>
      <c r="F351" s="15">
        <v>1901</v>
      </c>
      <c r="G351" s="15">
        <v>53</v>
      </c>
      <c r="H351" s="15">
        <v>84.38</v>
      </c>
      <c r="I351" s="15">
        <v>0.02788</v>
      </c>
      <c r="J351" s="15">
        <v>1.59</v>
      </c>
      <c r="K351" s="15">
        <v>44.39</v>
      </c>
      <c r="L351" s="15">
        <v>0</v>
      </c>
      <c r="M351" s="15">
        <v>0</v>
      </c>
      <c r="N351" s="15">
        <v>0</v>
      </c>
      <c r="O351" s="15">
        <v>0</v>
      </c>
      <c r="P351" s="15">
        <v>0</v>
      </c>
      <c r="Q351" s="15">
        <v>0</v>
      </c>
      <c r="R351" s="15">
        <v>0</v>
      </c>
      <c r="S351" s="15">
        <v>0</v>
      </c>
      <c r="T351" s="15">
        <v>0</v>
      </c>
      <c r="U351" s="15">
        <v>0</v>
      </c>
      <c r="V351" s="15">
        <v>0</v>
      </c>
      <c r="W351" s="15">
        <v>0</v>
      </c>
      <c r="X351" s="15">
        <v>0</v>
      </c>
      <c r="Y351" s="15">
        <v>0</v>
      </c>
      <c r="Z351" s="15">
        <v>0</v>
      </c>
      <c r="AA351" s="15"/>
      <c r="AB351" s="15">
        <v>1</v>
      </c>
      <c r="AC351" s="15">
        <v>1</v>
      </c>
      <c r="AD351" s="15">
        <v>0</v>
      </c>
      <c r="AE351" s="15">
        <v>0.01887</v>
      </c>
      <c r="AF351" s="15">
        <v>0</v>
      </c>
      <c r="AG351" s="15">
        <v>0</v>
      </c>
      <c r="AH351" s="15"/>
      <c r="AI351" s="15">
        <v>1</v>
      </c>
      <c r="AJ351" s="15">
        <v>84.38</v>
      </c>
      <c r="AK351" s="15">
        <v>1</v>
      </c>
      <c r="AL351" s="15">
        <v>84.38</v>
      </c>
      <c r="AM351" s="15">
        <v>0</v>
      </c>
      <c r="AN351" s="15"/>
      <c r="AO351" s="15">
        <v>0</v>
      </c>
      <c r="AP351" s="15">
        <v>84.38</v>
      </c>
      <c r="AQ351" s="15">
        <v>1</v>
      </c>
      <c r="AR351" s="15">
        <v>2049</v>
      </c>
      <c r="AS351" s="15">
        <v>0</v>
      </c>
      <c r="AT351" s="15">
        <v>0</v>
      </c>
      <c r="AU351" s="15">
        <v>1</v>
      </c>
      <c r="AV351" s="15">
        <v>0</v>
      </c>
      <c r="AW351" s="15">
        <v>0</v>
      </c>
      <c r="AX351" s="15">
        <v>1</v>
      </c>
      <c r="AY351" s="15">
        <v>111</v>
      </c>
      <c r="AZ351" s="15">
        <v>51</v>
      </c>
      <c r="BA351" s="15">
        <v>46</v>
      </c>
      <c r="BB351" s="15">
        <v>0.90196</v>
      </c>
      <c r="BC351" s="15">
        <v>0</v>
      </c>
      <c r="BD351" s="15">
        <v>0</v>
      </c>
      <c r="BE351" s="15">
        <v>0.05839</v>
      </c>
      <c r="BF351" s="15">
        <v>40</v>
      </c>
      <c r="BG351" s="15">
        <v>2</v>
      </c>
      <c r="BH351" s="15">
        <v>0</v>
      </c>
      <c r="BI351" s="15"/>
      <c r="BJ351" s="15">
        <v>0</v>
      </c>
      <c r="BK351" s="15">
        <v>0</v>
      </c>
      <c r="BL351" s="15">
        <v>0</v>
      </c>
      <c r="BM351" s="15">
        <v>0</v>
      </c>
      <c r="BN351" s="15"/>
      <c r="BO351" s="15"/>
      <c r="BP351" s="15">
        <v>0</v>
      </c>
      <c r="BQ351" s="15">
        <v>21</v>
      </c>
      <c r="BR351" s="15">
        <v>0</v>
      </c>
      <c r="BS351" s="15">
        <v>0</v>
      </c>
      <c r="BT351" s="15">
        <v>0</v>
      </c>
      <c r="BU351" s="15">
        <v>0</v>
      </c>
      <c r="BV351" s="15">
        <v>0</v>
      </c>
      <c r="BW351" s="15">
        <v>0</v>
      </c>
      <c r="BX351" s="15">
        <v>0</v>
      </c>
    </row>
    <row r="352" spans="1:76">
      <c r="A352" s="14" t="str">
        <f>VLOOKUP(C352,VLOOKUP!A:B,2,FALSE)</f>
        <v>鹅梨帐中香</v>
      </c>
      <c r="B352" s="16">
        <v>46036</v>
      </c>
      <c r="C352" s="17">
        <v>971317169387</v>
      </c>
      <c r="D352" s="15" t="s">
        <v>151</v>
      </c>
      <c r="E352" s="15" t="s">
        <v>155</v>
      </c>
      <c r="F352" s="15">
        <v>964</v>
      </c>
      <c r="G352" s="15">
        <v>27</v>
      </c>
      <c r="H352" s="15">
        <v>24.83</v>
      </c>
      <c r="I352" s="15">
        <v>0.02801</v>
      </c>
      <c r="J352" s="15">
        <v>0.92</v>
      </c>
      <c r="K352" s="15">
        <v>25.76</v>
      </c>
      <c r="L352" s="15">
        <v>0</v>
      </c>
      <c r="M352" s="15">
        <v>0</v>
      </c>
      <c r="N352" s="15">
        <v>0</v>
      </c>
      <c r="O352" s="15">
        <v>0</v>
      </c>
      <c r="P352" s="15">
        <v>0</v>
      </c>
      <c r="Q352" s="15">
        <v>0</v>
      </c>
      <c r="R352" s="15">
        <v>0</v>
      </c>
      <c r="S352" s="15">
        <v>0</v>
      </c>
      <c r="T352" s="15">
        <v>0</v>
      </c>
      <c r="U352" s="15">
        <v>0</v>
      </c>
      <c r="V352" s="15">
        <v>0</v>
      </c>
      <c r="W352" s="15">
        <v>0</v>
      </c>
      <c r="X352" s="15">
        <v>0</v>
      </c>
      <c r="Y352" s="15">
        <v>0</v>
      </c>
      <c r="Z352" s="15">
        <v>0</v>
      </c>
      <c r="AA352" s="15"/>
      <c r="AB352" s="15">
        <v>0</v>
      </c>
      <c r="AC352" s="15">
        <v>0</v>
      </c>
      <c r="AD352" s="15">
        <v>0</v>
      </c>
      <c r="AE352" s="15">
        <v>0</v>
      </c>
      <c r="AF352" s="15">
        <v>0</v>
      </c>
      <c r="AG352" s="15">
        <v>2</v>
      </c>
      <c r="AH352" s="15">
        <v>12.42</v>
      </c>
      <c r="AI352" s="15">
        <v>2</v>
      </c>
      <c r="AJ352" s="15">
        <v>12.42</v>
      </c>
      <c r="AK352" s="15">
        <v>0</v>
      </c>
      <c r="AL352" s="15"/>
      <c r="AM352" s="15">
        <v>2</v>
      </c>
      <c r="AN352" s="15"/>
      <c r="AO352" s="15">
        <v>0</v>
      </c>
      <c r="AP352" s="15"/>
      <c r="AQ352" s="15">
        <v>0</v>
      </c>
      <c r="AR352" s="15">
        <v>0</v>
      </c>
      <c r="AS352" s="15">
        <v>0</v>
      </c>
      <c r="AT352" s="15">
        <v>0</v>
      </c>
      <c r="AU352" s="15">
        <v>0</v>
      </c>
      <c r="AV352" s="15">
        <v>0</v>
      </c>
      <c r="AW352" s="15">
        <v>0</v>
      </c>
      <c r="AX352" s="15">
        <v>0</v>
      </c>
      <c r="AY352" s="15">
        <v>95</v>
      </c>
      <c r="AZ352" s="15">
        <v>27</v>
      </c>
      <c r="BA352" s="15">
        <v>17</v>
      </c>
      <c r="BB352" s="15">
        <v>0.62963</v>
      </c>
      <c r="BC352" s="15">
        <v>0</v>
      </c>
      <c r="BD352" s="15">
        <v>0</v>
      </c>
      <c r="BE352" s="15">
        <v>0.09855</v>
      </c>
      <c r="BF352" s="15">
        <v>64</v>
      </c>
      <c r="BG352" s="15">
        <v>4</v>
      </c>
      <c r="BH352" s="15">
        <v>0</v>
      </c>
      <c r="BI352" s="15"/>
      <c r="BJ352" s="15">
        <v>0</v>
      </c>
      <c r="BK352" s="15">
        <v>0</v>
      </c>
      <c r="BL352" s="15">
        <v>0</v>
      </c>
      <c r="BM352" s="15">
        <v>0</v>
      </c>
      <c r="BN352" s="15"/>
      <c r="BO352" s="15"/>
      <c r="BP352" s="15">
        <v>0</v>
      </c>
      <c r="BQ352" s="15">
        <v>11</v>
      </c>
      <c r="BR352" s="15">
        <v>0</v>
      </c>
      <c r="BS352" s="15">
        <v>0</v>
      </c>
      <c r="BT352" s="15">
        <v>0</v>
      </c>
      <c r="BU352" s="15">
        <v>0</v>
      </c>
      <c r="BV352" s="15">
        <v>0</v>
      </c>
      <c r="BW352" s="15">
        <v>0</v>
      </c>
      <c r="BX352" s="15">
        <v>0</v>
      </c>
    </row>
    <row r="353" spans="1:76">
      <c r="A353" s="14" t="str">
        <f>VLOOKUP(C353,VLOOKUP!A:B,2,FALSE)</f>
        <v>荔枝香</v>
      </c>
      <c r="B353" s="16">
        <v>46036</v>
      </c>
      <c r="C353" s="17">
        <v>960406497157</v>
      </c>
      <c r="D353" s="15" t="s">
        <v>151</v>
      </c>
      <c r="E353" s="15" t="s">
        <v>157</v>
      </c>
      <c r="F353" s="15">
        <v>466</v>
      </c>
      <c r="G353" s="15">
        <v>13</v>
      </c>
      <c r="H353" s="15">
        <v>31.8</v>
      </c>
      <c r="I353" s="15">
        <v>0.0279</v>
      </c>
      <c r="J353" s="15">
        <v>2.45</v>
      </c>
      <c r="K353" s="15">
        <v>68.24</v>
      </c>
      <c r="L353" s="15">
        <v>0</v>
      </c>
      <c r="M353" s="15">
        <v>0</v>
      </c>
      <c r="N353" s="15">
        <v>0</v>
      </c>
      <c r="O353" s="15">
        <v>0</v>
      </c>
      <c r="P353" s="15">
        <v>0</v>
      </c>
      <c r="Q353" s="15">
        <v>0</v>
      </c>
      <c r="R353" s="15">
        <v>0</v>
      </c>
      <c r="S353" s="15">
        <v>0</v>
      </c>
      <c r="T353" s="15">
        <v>0</v>
      </c>
      <c r="U353" s="15">
        <v>0</v>
      </c>
      <c r="V353" s="15">
        <v>0</v>
      </c>
      <c r="W353" s="15">
        <v>0</v>
      </c>
      <c r="X353" s="15">
        <v>0</v>
      </c>
      <c r="Y353" s="15">
        <v>0</v>
      </c>
      <c r="Z353" s="15">
        <v>0</v>
      </c>
      <c r="AA353" s="15"/>
      <c r="AB353" s="15">
        <v>0</v>
      </c>
      <c r="AC353" s="15">
        <v>0</v>
      </c>
      <c r="AD353" s="15">
        <v>0</v>
      </c>
      <c r="AE353" s="15">
        <v>0</v>
      </c>
      <c r="AF353" s="15">
        <v>0</v>
      </c>
      <c r="AG353" s="15">
        <v>0</v>
      </c>
      <c r="AH353" s="15"/>
      <c r="AI353" s="15">
        <v>0</v>
      </c>
      <c r="AJ353" s="15"/>
      <c r="AK353" s="15">
        <v>0</v>
      </c>
      <c r="AL353" s="15"/>
      <c r="AM353" s="15">
        <v>0</v>
      </c>
      <c r="AN353" s="15"/>
      <c r="AO353" s="15">
        <v>0</v>
      </c>
      <c r="AP353" s="15"/>
      <c r="AQ353" s="15">
        <v>0</v>
      </c>
      <c r="AR353" s="15">
        <v>0</v>
      </c>
      <c r="AS353" s="15">
        <v>0</v>
      </c>
      <c r="AT353" s="15">
        <v>0</v>
      </c>
      <c r="AU353" s="15">
        <v>0</v>
      </c>
      <c r="AV353" s="15">
        <v>0</v>
      </c>
      <c r="AW353" s="15">
        <v>0</v>
      </c>
      <c r="AX353" s="15">
        <v>0</v>
      </c>
      <c r="AY353" s="15">
        <v>16</v>
      </c>
      <c r="AZ353" s="15">
        <v>13</v>
      </c>
      <c r="BA353" s="15">
        <v>11</v>
      </c>
      <c r="BB353" s="15">
        <v>0.84615</v>
      </c>
      <c r="BC353" s="15">
        <v>0</v>
      </c>
      <c r="BD353" s="15">
        <v>0</v>
      </c>
      <c r="BE353" s="15">
        <v>0.03433</v>
      </c>
      <c r="BF353" s="15">
        <v>2</v>
      </c>
      <c r="BG353" s="15">
        <v>1</v>
      </c>
      <c r="BH353" s="15">
        <v>0</v>
      </c>
      <c r="BI353" s="15"/>
      <c r="BJ353" s="15">
        <v>0</v>
      </c>
      <c r="BK353" s="15">
        <v>0</v>
      </c>
      <c r="BL353" s="15">
        <v>0</v>
      </c>
      <c r="BM353" s="15">
        <v>0</v>
      </c>
      <c r="BN353" s="15"/>
      <c r="BO353" s="15"/>
      <c r="BP353" s="15">
        <v>0</v>
      </c>
      <c r="BQ353" s="15">
        <v>9</v>
      </c>
      <c r="BR353" s="15">
        <v>0</v>
      </c>
      <c r="BS353" s="15">
        <v>0</v>
      </c>
      <c r="BT353" s="15">
        <v>0</v>
      </c>
      <c r="BU353" s="15">
        <v>0</v>
      </c>
      <c r="BV353" s="15">
        <v>0</v>
      </c>
      <c r="BW353" s="15">
        <v>0</v>
      </c>
      <c r="BX353" s="15">
        <v>0</v>
      </c>
    </row>
    <row r="354" spans="1:76">
      <c r="A354" s="14" t="str">
        <f>VLOOKUP(C354,VLOOKUP!A:B,2,FALSE)</f>
        <v>如意盘香</v>
      </c>
      <c r="B354" s="16">
        <v>46036</v>
      </c>
      <c r="C354" s="17">
        <v>838711327669</v>
      </c>
      <c r="D354" s="15" t="s">
        <v>151</v>
      </c>
      <c r="E354" s="15" t="s">
        <v>158</v>
      </c>
      <c r="F354" s="15">
        <v>392</v>
      </c>
      <c r="G354" s="15">
        <v>26</v>
      </c>
      <c r="H354" s="15">
        <v>66.95</v>
      </c>
      <c r="I354" s="15">
        <v>0.06633</v>
      </c>
      <c r="J354" s="15">
        <v>2.58</v>
      </c>
      <c r="K354" s="15">
        <v>170.79</v>
      </c>
      <c r="L354" s="15">
        <v>0</v>
      </c>
      <c r="M354" s="15">
        <v>0</v>
      </c>
      <c r="N354" s="15">
        <v>0</v>
      </c>
      <c r="O354" s="15">
        <v>0</v>
      </c>
      <c r="P354" s="15">
        <v>0</v>
      </c>
      <c r="Q354" s="15">
        <v>0</v>
      </c>
      <c r="R354" s="15">
        <v>0</v>
      </c>
      <c r="S354" s="15">
        <v>0</v>
      </c>
      <c r="T354" s="15">
        <v>0</v>
      </c>
      <c r="U354" s="15">
        <v>0</v>
      </c>
      <c r="V354" s="15">
        <v>0</v>
      </c>
      <c r="W354" s="15">
        <v>0</v>
      </c>
      <c r="X354" s="15">
        <v>0</v>
      </c>
      <c r="Y354" s="15">
        <v>0</v>
      </c>
      <c r="Z354" s="15">
        <v>0</v>
      </c>
      <c r="AA354" s="15"/>
      <c r="AB354" s="15">
        <v>2</v>
      </c>
      <c r="AC354" s="15">
        <v>0</v>
      </c>
      <c r="AD354" s="15">
        <v>2</v>
      </c>
      <c r="AE354" s="15">
        <v>0.07692</v>
      </c>
      <c r="AF354" s="15">
        <v>1</v>
      </c>
      <c r="AG354" s="15">
        <v>0</v>
      </c>
      <c r="AH354" s="15"/>
      <c r="AI354" s="15">
        <v>3</v>
      </c>
      <c r="AJ354" s="15">
        <v>22.32</v>
      </c>
      <c r="AK354" s="15">
        <v>3</v>
      </c>
      <c r="AL354" s="15">
        <v>22.32</v>
      </c>
      <c r="AM354" s="15">
        <v>1</v>
      </c>
      <c r="AN354" s="15">
        <v>66.95</v>
      </c>
      <c r="AO354" s="15">
        <v>0.03846</v>
      </c>
      <c r="AP354" s="15">
        <v>33.48</v>
      </c>
      <c r="AQ354" s="15">
        <v>0</v>
      </c>
      <c r="AR354" s="15">
        <v>0</v>
      </c>
      <c r="AS354" s="15">
        <v>0</v>
      </c>
      <c r="AT354" s="15">
        <v>1</v>
      </c>
      <c r="AU354" s="15">
        <v>0</v>
      </c>
      <c r="AV354" s="15">
        <v>0</v>
      </c>
      <c r="AW354" s="15">
        <v>0</v>
      </c>
      <c r="AX354" s="15">
        <v>0</v>
      </c>
      <c r="AY354" s="15">
        <v>173</v>
      </c>
      <c r="AZ354" s="15">
        <v>18</v>
      </c>
      <c r="BA354" s="15">
        <v>11</v>
      </c>
      <c r="BB354" s="15">
        <v>0.61111</v>
      </c>
      <c r="BC354" s="15">
        <v>0</v>
      </c>
      <c r="BD354" s="15">
        <v>0</v>
      </c>
      <c r="BE354" s="15">
        <v>0.44133</v>
      </c>
      <c r="BF354" s="15">
        <v>147</v>
      </c>
      <c r="BG354" s="15">
        <v>10</v>
      </c>
      <c r="BH354" s="15">
        <v>0</v>
      </c>
      <c r="BI354" s="15"/>
      <c r="BJ354" s="15">
        <v>0</v>
      </c>
      <c r="BK354" s="15">
        <v>0</v>
      </c>
      <c r="BL354" s="15">
        <v>0</v>
      </c>
      <c r="BM354" s="15">
        <v>0</v>
      </c>
      <c r="BN354" s="15"/>
      <c r="BO354" s="15"/>
      <c r="BP354" s="15">
        <v>0</v>
      </c>
      <c r="BQ354" s="15">
        <v>110</v>
      </c>
      <c r="BR354" s="15">
        <v>0</v>
      </c>
      <c r="BS354" s="15">
        <v>0</v>
      </c>
      <c r="BT354" s="15">
        <v>0</v>
      </c>
      <c r="BU354" s="15">
        <v>0</v>
      </c>
      <c r="BV354" s="15">
        <v>0</v>
      </c>
      <c r="BW354" s="15">
        <v>0</v>
      </c>
      <c r="BX354" s="15">
        <v>0</v>
      </c>
    </row>
    <row r="355" spans="1:76">
      <c r="A355" s="14" t="str">
        <f>VLOOKUP(C355,VLOOKUP!A:B,2,FALSE)</f>
        <v>四季线香</v>
      </c>
      <c r="B355" s="16">
        <v>46036</v>
      </c>
      <c r="C355" s="17">
        <v>742540384374</v>
      </c>
      <c r="D355" s="15" t="s">
        <v>151</v>
      </c>
      <c r="E355" s="15" t="s">
        <v>161</v>
      </c>
      <c r="F355" s="15">
        <v>541</v>
      </c>
      <c r="G355" s="15">
        <v>16</v>
      </c>
      <c r="H355" s="15">
        <v>51.69</v>
      </c>
      <c r="I355" s="15">
        <v>0.02957</v>
      </c>
      <c r="J355" s="15">
        <v>3.23</v>
      </c>
      <c r="K355" s="15">
        <v>95.55</v>
      </c>
      <c r="L355" s="15">
        <v>0</v>
      </c>
      <c r="M355" s="15">
        <v>0</v>
      </c>
      <c r="N355" s="15">
        <v>0</v>
      </c>
      <c r="O355" s="15">
        <v>0</v>
      </c>
      <c r="P355" s="15">
        <v>0</v>
      </c>
      <c r="Q355" s="15">
        <v>0</v>
      </c>
      <c r="R355" s="15">
        <v>0</v>
      </c>
      <c r="S355" s="15">
        <v>0</v>
      </c>
      <c r="T355" s="15">
        <v>0</v>
      </c>
      <c r="U355" s="15">
        <v>0</v>
      </c>
      <c r="V355" s="15">
        <v>0</v>
      </c>
      <c r="W355" s="15">
        <v>0</v>
      </c>
      <c r="X355" s="15">
        <v>0</v>
      </c>
      <c r="Y355" s="15">
        <v>0</v>
      </c>
      <c r="Z355" s="15">
        <v>0</v>
      </c>
      <c r="AA355" s="15"/>
      <c r="AB355" s="15">
        <v>0</v>
      </c>
      <c r="AC355" s="15">
        <v>0</v>
      </c>
      <c r="AD355" s="15">
        <v>0</v>
      </c>
      <c r="AE355" s="15">
        <v>0</v>
      </c>
      <c r="AF355" s="15">
        <v>0</v>
      </c>
      <c r="AG355" s="15">
        <v>1</v>
      </c>
      <c r="AH355" s="15">
        <v>51.69</v>
      </c>
      <c r="AI355" s="15">
        <v>1</v>
      </c>
      <c r="AJ355" s="15">
        <v>51.69</v>
      </c>
      <c r="AK355" s="15">
        <v>0</v>
      </c>
      <c r="AL355" s="15"/>
      <c r="AM355" s="15">
        <v>1</v>
      </c>
      <c r="AN355" s="15"/>
      <c r="AO355" s="15">
        <v>0</v>
      </c>
      <c r="AP355" s="15"/>
      <c r="AQ355" s="15">
        <v>0</v>
      </c>
      <c r="AR355" s="15">
        <v>0</v>
      </c>
      <c r="AS355" s="15">
        <v>0</v>
      </c>
      <c r="AT355" s="15">
        <v>0</v>
      </c>
      <c r="AU355" s="15">
        <v>0</v>
      </c>
      <c r="AV355" s="15">
        <v>0</v>
      </c>
      <c r="AW355" s="15">
        <v>0</v>
      </c>
      <c r="AX355" s="15">
        <v>0</v>
      </c>
      <c r="AY355" s="15">
        <v>44</v>
      </c>
      <c r="AZ355" s="15">
        <v>15</v>
      </c>
      <c r="BA355" s="15">
        <v>12</v>
      </c>
      <c r="BB355" s="15">
        <v>0.8</v>
      </c>
      <c r="BC355" s="15">
        <v>0</v>
      </c>
      <c r="BD355" s="15">
        <v>0</v>
      </c>
      <c r="BE355" s="15">
        <v>0.08133</v>
      </c>
      <c r="BF355" s="15">
        <v>26</v>
      </c>
      <c r="BG355" s="15">
        <v>3</v>
      </c>
      <c r="BH355" s="15">
        <v>0</v>
      </c>
      <c r="BI355" s="15"/>
      <c r="BJ355" s="15">
        <v>0</v>
      </c>
      <c r="BK355" s="15">
        <v>0</v>
      </c>
      <c r="BL355" s="15">
        <v>0</v>
      </c>
      <c r="BM355" s="15">
        <v>0</v>
      </c>
      <c r="BN355" s="15"/>
      <c r="BO355" s="15"/>
      <c r="BP355" s="15">
        <v>0</v>
      </c>
      <c r="BQ355" s="15">
        <v>10</v>
      </c>
      <c r="BR355" s="15">
        <v>0</v>
      </c>
      <c r="BS355" s="15">
        <v>0</v>
      </c>
      <c r="BT355" s="15">
        <v>0</v>
      </c>
      <c r="BU355" s="15">
        <v>0</v>
      </c>
      <c r="BV355" s="15">
        <v>0</v>
      </c>
      <c r="BW355" s="15">
        <v>0</v>
      </c>
      <c r="BX355" s="15">
        <v>0</v>
      </c>
    </row>
    <row r="356" spans="1:76">
      <c r="A356" s="14" t="str">
        <f>VLOOKUP(C356,VLOOKUP!A:B,2,FALSE)</f>
        <v>车载香薰</v>
      </c>
      <c r="B356" s="16">
        <v>46036</v>
      </c>
      <c r="C356" s="17">
        <v>616090775596</v>
      </c>
      <c r="D356" s="15" t="s">
        <v>151</v>
      </c>
      <c r="E356" s="15" t="s">
        <v>162</v>
      </c>
      <c r="F356" s="15">
        <v>2258</v>
      </c>
      <c r="G356" s="15">
        <v>57</v>
      </c>
      <c r="H356" s="15">
        <v>95.57</v>
      </c>
      <c r="I356" s="15">
        <v>0.02524</v>
      </c>
      <c r="J356" s="15">
        <v>1.68</v>
      </c>
      <c r="K356" s="15">
        <v>42.33</v>
      </c>
      <c r="L356" s="15">
        <v>0</v>
      </c>
      <c r="M356" s="15">
        <v>0</v>
      </c>
      <c r="N356" s="15">
        <v>0</v>
      </c>
      <c r="O356" s="15">
        <v>0</v>
      </c>
      <c r="P356" s="15">
        <v>0</v>
      </c>
      <c r="Q356" s="15">
        <v>0</v>
      </c>
      <c r="R356" s="15">
        <v>339.15</v>
      </c>
      <c r="S356" s="15">
        <v>0</v>
      </c>
      <c r="T356" s="15">
        <v>339.15</v>
      </c>
      <c r="U356" s="15">
        <v>1</v>
      </c>
      <c r="V356" s="15">
        <v>1</v>
      </c>
      <c r="W356" s="15">
        <v>0</v>
      </c>
      <c r="X356" s="15">
        <v>0.01754</v>
      </c>
      <c r="Y356" s="15">
        <v>3.55</v>
      </c>
      <c r="Z356" s="15">
        <v>3.55</v>
      </c>
      <c r="AA356" s="15">
        <v>95.57</v>
      </c>
      <c r="AB356" s="15">
        <v>4</v>
      </c>
      <c r="AC356" s="15">
        <v>3</v>
      </c>
      <c r="AD356" s="15">
        <v>1</v>
      </c>
      <c r="AE356" s="15">
        <v>0.07018</v>
      </c>
      <c r="AF356" s="15">
        <v>3</v>
      </c>
      <c r="AG356" s="15">
        <v>1</v>
      </c>
      <c r="AH356" s="15">
        <v>95.57</v>
      </c>
      <c r="AI356" s="15">
        <v>8</v>
      </c>
      <c r="AJ356" s="15">
        <v>11.95</v>
      </c>
      <c r="AK356" s="15">
        <v>7</v>
      </c>
      <c r="AL356" s="15">
        <v>13.65</v>
      </c>
      <c r="AM356" s="15">
        <v>4</v>
      </c>
      <c r="AN356" s="15">
        <v>31.86</v>
      </c>
      <c r="AO356" s="15">
        <v>0.05263</v>
      </c>
      <c r="AP356" s="15">
        <v>23.89</v>
      </c>
      <c r="AQ356" s="15">
        <v>2</v>
      </c>
      <c r="AR356" s="15">
        <v>498</v>
      </c>
      <c r="AS356" s="15">
        <v>2</v>
      </c>
      <c r="AT356" s="15">
        <v>1</v>
      </c>
      <c r="AU356" s="15">
        <v>1</v>
      </c>
      <c r="AV356" s="15">
        <v>0</v>
      </c>
      <c r="AW356" s="15">
        <v>0</v>
      </c>
      <c r="AX356" s="15">
        <v>0</v>
      </c>
      <c r="AY356" s="15">
        <v>148</v>
      </c>
      <c r="AZ356" s="15">
        <v>51</v>
      </c>
      <c r="BA356" s="15">
        <v>47</v>
      </c>
      <c r="BB356" s="15">
        <v>0.92157</v>
      </c>
      <c r="BC356" s="15">
        <v>0</v>
      </c>
      <c r="BD356" s="15">
        <v>0</v>
      </c>
      <c r="BE356" s="15">
        <v>0.06554</v>
      </c>
      <c r="BF356" s="15">
        <v>72</v>
      </c>
      <c r="BG356" s="15">
        <v>3</v>
      </c>
      <c r="BH356" s="15">
        <v>1</v>
      </c>
      <c r="BI356" s="15">
        <v>1</v>
      </c>
      <c r="BJ356" s="15">
        <v>0</v>
      </c>
      <c r="BK356" s="15">
        <v>0</v>
      </c>
      <c r="BL356" s="15">
        <v>0</v>
      </c>
      <c r="BM356" s="15">
        <v>1</v>
      </c>
      <c r="BN356" s="15">
        <v>1</v>
      </c>
      <c r="BO356" s="15">
        <v>339.15</v>
      </c>
      <c r="BP356" s="15">
        <v>0.49</v>
      </c>
      <c r="BQ356" s="15">
        <v>302</v>
      </c>
      <c r="BR356" s="15">
        <v>0</v>
      </c>
      <c r="BS356" s="15">
        <v>0</v>
      </c>
      <c r="BT356" s="15">
        <v>0</v>
      </c>
      <c r="BU356" s="15">
        <v>0</v>
      </c>
      <c r="BV356" s="15">
        <v>0</v>
      </c>
      <c r="BW356" s="15">
        <v>0</v>
      </c>
      <c r="BX356" s="15">
        <v>0</v>
      </c>
    </row>
    <row r="357" spans="1:76">
      <c r="A357" s="14" t="str">
        <f>VLOOKUP(C357,VLOOKUP!A:B,2,FALSE)</f>
        <v>鹅梨帐中香</v>
      </c>
      <c r="B357" s="16">
        <v>46035</v>
      </c>
      <c r="C357" s="17">
        <v>971317169387</v>
      </c>
      <c r="D357" s="15" t="s">
        <v>151</v>
      </c>
      <c r="E357" s="15" t="s">
        <v>155</v>
      </c>
      <c r="F357" s="15">
        <v>620</v>
      </c>
      <c r="G357" s="15">
        <v>16</v>
      </c>
      <c r="H357" s="15">
        <v>17.31</v>
      </c>
      <c r="I357" s="15">
        <v>0.02581</v>
      </c>
      <c r="J357" s="15">
        <v>1.08</v>
      </c>
      <c r="K357" s="15">
        <v>27.92</v>
      </c>
      <c r="L357" s="15">
        <v>0</v>
      </c>
      <c r="M357" s="15">
        <v>0</v>
      </c>
      <c r="N357" s="15">
        <v>0</v>
      </c>
      <c r="O357" s="15">
        <v>0</v>
      </c>
      <c r="P357" s="15">
        <v>0</v>
      </c>
      <c r="Q357" s="15">
        <v>0</v>
      </c>
      <c r="R357" s="15">
        <v>0</v>
      </c>
      <c r="S357" s="15">
        <v>0</v>
      </c>
      <c r="T357" s="15">
        <v>0</v>
      </c>
      <c r="U357" s="15">
        <v>0</v>
      </c>
      <c r="V357" s="15">
        <v>0</v>
      </c>
      <c r="W357" s="15">
        <v>0</v>
      </c>
      <c r="X357" s="15">
        <v>0</v>
      </c>
      <c r="Y357" s="15">
        <v>0</v>
      </c>
      <c r="Z357" s="15">
        <v>0</v>
      </c>
      <c r="AA357" s="15"/>
      <c r="AB357" s="15">
        <v>0</v>
      </c>
      <c r="AC357" s="15">
        <v>0</v>
      </c>
      <c r="AD357" s="15">
        <v>0</v>
      </c>
      <c r="AE357" s="15">
        <v>0</v>
      </c>
      <c r="AF357" s="15">
        <v>0</v>
      </c>
      <c r="AG357" s="15">
        <v>0</v>
      </c>
      <c r="AH357" s="15"/>
      <c r="AI357" s="15">
        <v>0</v>
      </c>
      <c r="AJ357" s="15"/>
      <c r="AK357" s="15">
        <v>0</v>
      </c>
      <c r="AL357" s="15"/>
      <c r="AM357" s="15">
        <v>0</v>
      </c>
      <c r="AN357" s="15"/>
      <c r="AO357" s="15">
        <v>0</v>
      </c>
      <c r="AP357" s="15"/>
      <c r="AQ357" s="15">
        <v>0</v>
      </c>
      <c r="AR357" s="15">
        <v>0</v>
      </c>
      <c r="AS357" s="15">
        <v>0</v>
      </c>
      <c r="AT357" s="15">
        <v>0</v>
      </c>
      <c r="AU357" s="15">
        <v>0</v>
      </c>
      <c r="AV357" s="15">
        <v>0</v>
      </c>
      <c r="AW357" s="15">
        <v>0</v>
      </c>
      <c r="AX357" s="15">
        <v>0</v>
      </c>
      <c r="AY357" s="15">
        <v>33</v>
      </c>
      <c r="AZ357" s="15">
        <v>14</v>
      </c>
      <c r="BA357" s="15">
        <v>9</v>
      </c>
      <c r="BB357" s="15">
        <v>0.64286</v>
      </c>
      <c r="BC357" s="15">
        <v>0</v>
      </c>
      <c r="BD357" s="15">
        <v>0</v>
      </c>
      <c r="BE357" s="15">
        <v>0.05323</v>
      </c>
      <c r="BF357" s="15">
        <v>16</v>
      </c>
      <c r="BG357" s="15">
        <v>2</v>
      </c>
      <c r="BH357" s="15">
        <v>0</v>
      </c>
      <c r="BI357" s="15"/>
      <c r="BJ357" s="15">
        <v>0</v>
      </c>
      <c r="BK357" s="15">
        <v>0</v>
      </c>
      <c r="BL357" s="15">
        <v>0</v>
      </c>
      <c r="BM357" s="15">
        <v>0</v>
      </c>
      <c r="BN357" s="15"/>
      <c r="BO357" s="15"/>
      <c r="BP357" s="15">
        <v>0</v>
      </c>
      <c r="BQ357" s="15">
        <v>14</v>
      </c>
      <c r="BR357" s="15">
        <v>0</v>
      </c>
      <c r="BS357" s="15">
        <v>0</v>
      </c>
      <c r="BT357" s="15">
        <v>0</v>
      </c>
      <c r="BU357" s="15">
        <v>0</v>
      </c>
      <c r="BV357" s="15">
        <v>0</v>
      </c>
      <c r="BW357" s="15">
        <v>0</v>
      </c>
      <c r="BX357" s="15">
        <v>0</v>
      </c>
    </row>
    <row r="358" spans="1:76">
      <c r="A358" s="14" t="str">
        <f>VLOOKUP(C358,VLOOKUP!A:B,2,FALSE)</f>
        <v>荔枝香</v>
      </c>
      <c r="B358" s="16">
        <v>46035</v>
      </c>
      <c r="C358" s="17">
        <v>960406497157</v>
      </c>
      <c r="D358" s="15" t="s">
        <v>151</v>
      </c>
      <c r="E358" s="15" t="s">
        <v>157</v>
      </c>
      <c r="F358" s="15">
        <v>216</v>
      </c>
      <c r="G358" s="15">
        <v>8</v>
      </c>
      <c r="H358" s="15">
        <v>21.79</v>
      </c>
      <c r="I358" s="15">
        <v>0.03704</v>
      </c>
      <c r="J358" s="15">
        <v>2.72</v>
      </c>
      <c r="K358" s="15">
        <v>100.88</v>
      </c>
      <c r="L358" s="15">
        <v>0</v>
      </c>
      <c r="M358" s="15">
        <v>0</v>
      </c>
      <c r="N358" s="15">
        <v>0</v>
      </c>
      <c r="O358" s="15">
        <v>0</v>
      </c>
      <c r="P358" s="15">
        <v>0</v>
      </c>
      <c r="Q358" s="15">
        <v>0</v>
      </c>
      <c r="R358" s="15">
        <v>0</v>
      </c>
      <c r="S358" s="15">
        <v>59.86</v>
      </c>
      <c r="T358" s="15">
        <v>59.86</v>
      </c>
      <c r="U358" s="15">
        <v>1</v>
      </c>
      <c r="V358" s="15">
        <v>0</v>
      </c>
      <c r="W358" s="15">
        <v>1</v>
      </c>
      <c r="X358" s="15">
        <v>0.125</v>
      </c>
      <c r="Y358" s="15">
        <v>2.75</v>
      </c>
      <c r="Z358" s="15">
        <v>2.75</v>
      </c>
      <c r="AA358" s="15">
        <v>21.79</v>
      </c>
      <c r="AB358" s="15">
        <v>1</v>
      </c>
      <c r="AC358" s="15">
        <v>0</v>
      </c>
      <c r="AD358" s="15">
        <v>1</v>
      </c>
      <c r="AE358" s="15">
        <v>0.125</v>
      </c>
      <c r="AF358" s="15">
        <v>0</v>
      </c>
      <c r="AG358" s="15">
        <v>0</v>
      </c>
      <c r="AH358" s="15"/>
      <c r="AI358" s="15">
        <v>1</v>
      </c>
      <c r="AJ358" s="15">
        <v>21.79</v>
      </c>
      <c r="AK358" s="15">
        <v>1</v>
      </c>
      <c r="AL358" s="15">
        <v>21.79</v>
      </c>
      <c r="AM358" s="15">
        <v>0</v>
      </c>
      <c r="AN358" s="15"/>
      <c r="AO358" s="15">
        <v>0</v>
      </c>
      <c r="AP358" s="15">
        <v>21.79</v>
      </c>
      <c r="AQ358" s="15">
        <v>2</v>
      </c>
      <c r="AR358" s="15">
        <v>149.7</v>
      </c>
      <c r="AS358" s="15">
        <v>0</v>
      </c>
      <c r="AT358" s="15">
        <v>0</v>
      </c>
      <c r="AU358" s="15">
        <v>0</v>
      </c>
      <c r="AV358" s="15">
        <v>0</v>
      </c>
      <c r="AW358" s="15">
        <v>0</v>
      </c>
      <c r="AX358" s="15">
        <v>1</v>
      </c>
      <c r="AY358" s="15">
        <v>20</v>
      </c>
      <c r="AZ358" s="15">
        <v>7</v>
      </c>
      <c r="BA358" s="15">
        <v>6</v>
      </c>
      <c r="BB358" s="15">
        <v>0.85714</v>
      </c>
      <c r="BC358" s="15">
        <v>0</v>
      </c>
      <c r="BD358" s="15">
        <v>0</v>
      </c>
      <c r="BE358" s="15">
        <v>0.09259</v>
      </c>
      <c r="BF358" s="15">
        <v>10</v>
      </c>
      <c r="BG358" s="15">
        <v>3</v>
      </c>
      <c r="BH358" s="15">
        <v>1</v>
      </c>
      <c r="BI358" s="15">
        <v>1</v>
      </c>
      <c r="BJ358" s="15">
        <v>0</v>
      </c>
      <c r="BK358" s="15">
        <v>0</v>
      </c>
      <c r="BL358" s="15">
        <v>0</v>
      </c>
      <c r="BM358" s="15">
        <v>1</v>
      </c>
      <c r="BN358" s="15">
        <v>1</v>
      </c>
      <c r="BO358" s="15">
        <v>59.86</v>
      </c>
      <c r="BP358" s="15">
        <v>9.9</v>
      </c>
      <c r="BQ358" s="15">
        <v>88</v>
      </c>
      <c r="BR358" s="15">
        <v>0</v>
      </c>
      <c r="BS358" s="15">
        <v>0</v>
      </c>
      <c r="BT358" s="15">
        <v>0</v>
      </c>
      <c r="BU358" s="15">
        <v>0</v>
      </c>
      <c r="BV358" s="15">
        <v>0</v>
      </c>
      <c r="BW358" s="15">
        <v>0</v>
      </c>
      <c r="BX358" s="15">
        <v>0</v>
      </c>
    </row>
    <row r="359" spans="1:76">
      <c r="A359" s="14" t="str">
        <f>VLOOKUP(C359,VLOOKUP!A:B,2,FALSE)</f>
        <v>如意盘香</v>
      </c>
      <c r="B359" s="16">
        <v>46035</v>
      </c>
      <c r="C359" s="17">
        <v>838711327669</v>
      </c>
      <c r="D359" s="15" t="s">
        <v>151</v>
      </c>
      <c r="E359" s="15" t="s">
        <v>158</v>
      </c>
      <c r="F359" s="15">
        <v>399</v>
      </c>
      <c r="G359" s="15">
        <v>19</v>
      </c>
      <c r="H359" s="15">
        <v>68.22</v>
      </c>
      <c r="I359" s="15">
        <v>0.04762</v>
      </c>
      <c r="J359" s="15">
        <v>3.59</v>
      </c>
      <c r="K359" s="15">
        <v>170.98</v>
      </c>
      <c r="L359" s="15">
        <v>0</v>
      </c>
      <c r="M359" s="15">
        <v>0</v>
      </c>
      <c r="N359" s="15">
        <v>0</v>
      </c>
      <c r="O359" s="15">
        <v>0</v>
      </c>
      <c r="P359" s="15">
        <v>0</v>
      </c>
      <c r="Q359" s="15">
        <v>0</v>
      </c>
      <c r="R359" s="15">
        <v>0</v>
      </c>
      <c r="S359" s="15">
        <v>868.61</v>
      </c>
      <c r="T359" s="15">
        <v>868.61</v>
      </c>
      <c r="U359" s="15">
        <v>3</v>
      </c>
      <c r="V359" s="15">
        <v>0</v>
      </c>
      <c r="W359" s="15">
        <v>3</v>
      </c>
      <c r="X359" s="15">
        <v>0.15789</v>
      </c>
      <c r="Y359" s="15">
        <v>12.73</v>
      </c>
      <c r="Z359" s="15">
        <v>12.73</v>
      </c>
      <c r="AA359" s="15">
        <v>22.74</v>
      </c>
      <c r="AB359" s="15">
        <v>11</v>
      </c>
      <c r="AC359" s="15">
        <v>2</v>
      </c>
      <c r="AD359" s="15">
        <v>9</v>
      </c>
      <c r="AE359" s="15">
        <v>0.57895</v>
      </c>
      <c r="AF359" s="15">
        <v>7</v>
      </c>
      <c r="AG359" s="15">
        <v>1</v>
      </c>
      <c r="AH359" s="15">
        <v>68.22</v>
      </c>
      <c r="AI359" s="15">
        <v>19</v>
      </c>
      <c r="AJ359" s="15">
        <v>3.59</v>
      </c>
      <c r="AK359" s="15">
        <v>18</v>
      </c>
      <c r="AL359" s="15">
        <v>3.79</v>
      </c>
      <c r="AM359" s="15">
        <v>8</v>
      </c>
      <c r="AN359" s="15">
        <v>9.75</v>
      </c>
      <c r="AO359" s="15">
        <v>0.36842</v>
      </c>
      <c r="AP359" s="15">
        <v>6.2</v>
      </c>
      <c r="AQ359" s="15">
        <v>5</v>
      </c>
      <c r="AR359" s="15">
        <v>1152</v>
      </c>
      <c r="AS359" s="15">
        <v>0</v>
      </c>
      <c r="AT359" s="15">
        <v>7</v>
      </c>
      <c r="AU359" s="15">
        <v>2</v>
      </c>
      <c r="AV359" s="15">
        <v>0</v>
      </c>
      <c r="AW359" s="15">
        <v>0</v>
      </c>
      <c r="AX359" s="15">
        <v>0</v>
      </c>
      <c r="AY359" s="15">
        <v>68</v>
      </c>
      <c r="AZ359" s="15">
        <v>16</v>
      </c>
      <c r="BA359" s="15">
        <v>10</v>
      </c>
      <c r="BB359" s="15">
        <v>0.625</v>
      </c>
      <c r="BC359" s="15">
        <v>0</v>
      </c>
      <c r="BD359" s="15">
        <v>0</v>
      </c>
      <c r="BE359" s="15">
        <v>0.17043</v>
      </c>
      <c r="BF359" s="15">
        <v>48</v>
      </c>
      <c r="BG359" s="15">
        <v>4</v>
      </c>
      <c r="BH359" s="15">
        <v>1</v>
      </c>
      <c r="BI359" s="15">
        <v>0.5</v>
      </c>
      <c r="BJ359" s="15">
        <v>0</v>
      </c>
      <c r="BK359" s="15">
        <v>0</v>
      </c>
      <c r="BL359" s="15">
        <v>0</v>
      </c>
      <c r="BM359" s="15">
        <v>2</v>
      </c>
      <c r="BN359" s="15">
        <v>2</v>
      </c>
      <c r="BO359" s="15">
        <v>434.31</v>
      </c>
      <c r="BP359" s="15">
        <v>0</v>
      </c>
      <c r="BQ359" s="15">
        <v>1529</v>
      </c>
      <c r="BR359" s="15">
        <v>0</v>
      </c>
      <c r="BS359" s="15">
        <v>0</v>
      </c>
      <c r="BT359" s="15">
        <v>0</v>
      </c>
      <c r="BU359" s="15">
        <v>0</v>
      </c>
      <c r="BV359" s="15">
        <v>0</v>
      </c>
      <c r="BW359" s="15">
        <v>0</v>
      </c>
      <c r="BX359" s="15">
        <v>0</v>
      </c>
    </row>
    <row r="360" spans="1:76">
      <c r="A360" s="14" t="str">
        <f>VLOOKUP(C360,VLOOKUP!A:B,2,FALSE)</f>
        <v>四季线香</v>
      </c>
      <c r="B360" s="16">
        <v>46035</v>
      </c>
      <c r="C360" s="17">
        <v>742540384374</v>
      </c>
      <c r="D360" s="15" t="s">
        <v>151</v>
      </c>
      <c r="E360" s="15" t="s">
        <v>161</v>
      </c>
      <c r="F360" s="15">
        <v>635</v>
      </c>
      <c r="G360" s="15">
        <v>24</v>
      </c>
      <c r="H360" s="15">
        <v>51</v>
      </c>
      <c r="I360" s="15">
        <v>0.0378</v>
      </c>
      <c r="J360" s="15">
        <v>2.13</v>
      </c>
      <c r="K360" s="15">
        <v>80.31</v>
      </c>
      <c r="L360" s="15">
        <v>0</v>
      </c>
      <c r="M360" s="15">
        <v>0</v>
      </c>
      <c r="N360" s="15">
        <v>0</v>
      </c>
      <c r="O360" s="15">
        <v>0</v>
      </c>
      <c r="P360" s="15">
        <v>0</v>
      </c>
      <c r="Q360" s="15">
        <v>0</v>
      </c>
      <c r="R360" s="15">
        <v>0</v>
      </c>
      <c r="S360" s="15">
        <v>0</v>
      </c>
      <c r="T360" s="15">
        <v>0</v>
      </c>
      <c r="U360" s="15">
        <v>0</v>
      </c>
      <c r="V360" s="15">
        <v>0</v>
      </c>
      <c r="W360" s="15">
        <v>0</v>
      </c>
      <c r="X360" s="15">
        <v>0</v>
      </c>
      <c r="Y360" s="15">
        <v>0</v>
      </c>
      <c r="Z360" s="15">
        <v>0</v>
      </c>
      <c r="AA360" s="15"/>
      <c r="AB360" s="15">
        <v>2</v>
      </c>
      <c r="AC360" s="15">
        <v>1</v>
      </c>
      <c r="AD360" s="15">
        <v>1</v>
      </c>
      <c r="AE360" s="15">
        <v>0.08333</v>
      </c>
      <c r="AF360" s="15">
        <v>1</v>
      </c>
      <c r="AG360" s="15">
        <v>1</v>
      </c>
      <c r="AH360" s="15">
        <v>51</v>
      </c>
      <c r="AI360" s="15">
        <v>4</v>
      </c>
      <c r="AJ360" s="15">
        <v>12.75</v>
      </c>
      <c r="AK360" s="15">
        <v>3</v>
      </c>
      <c r="AL360" s="15">
        <v>17</v>
      </c>
      <c r="AM360" s="15">
        <v>2</v>
      </c>
      <c r="AN360" s="15">
        <v>51</v>
      </c>
      <c r="AO360" s="15">
        <v>0.04167</v>
      </c>
      <c r="AP360" s="15">
        <v>25.5</v>
      </c>
      <c r="AQ360" s="15">
        <v>0</v>
      </c>
      <c r="AR360" s="15">
        <v>0</v>
      </c>
      <c r="AS360" s="15">
        <v>0</v>
      </c>
      <c r="AT360" s="15">
        <v>1</v>
      </c>
      <c r="AU360" s="15">
        <v>0</v>
      </c>
      <c r="AV360" s="15">
        <v>0</v>
      </c>
      <c r="AW360" s="15">
        <v>0</v>
      </c>
      <c r="AX360" s="15">
        <v>0</v>
      </c>
      <c r="AY360" s="15">
        <v>47</v>
      </c>
      <c r="AZ360" s="15">
        <v>23</v>
      </c>
      <c r="BA360" s="15">
        <v>20</v>
      </c>
      <c r="BB360" s="15">
        <v>0.86957</v>
      </c>
      <c r="BC360" s="15">
        <v>0</v>
      </c>
      <c r="BD360" s="15">
        <v>0</v>
      </c>
      <c r="BE360" s="15">
        <v>0.07402</v>
      </c>
      <c r="BF360" s="15">
        <v>20</v>
      </c>
      <c r="BG360" s="15">
        <v>2</v>
      </c>
      <c r="BH360" s="15">
        <v>0</v>
      </c>
      <c r="BI360" s="15"/>
      <c r="BJ360" s="15">
        <v>0</v>
      </c>
      <c r="BK360" s="15">
        <v>0</v>
      </c>
      <c r="BL360" s="15">
        <v>0</v>
      </c>
      <c r="BM360" s="15">
        <v>0</v>
      </c>
      <c r="BN360" s="15"/>
      <c r="BO360" s="15"/>
      <c r="BP360" s="15">
        <v>0.38</v>
      </c>
      <c r="BQ360" s="15">
        <v>26</v>
      </c>
      <c r="BR360" s="15">
        <v>0</v>
      </c>
      <c r="BS360" s="15">
        <v>0</v>
      </c>
      <c r="BT360" s="15">
        <v>0</v>
      </c>
      <c r="BU360" s="15">
        <v>0</v>
      </c>
      <c r="BV360" s="15">
        <v>0</v>
      </c>
      <c r="BW360" s="15">
        <v>0</v>
      </c>
      <c r="BX360" s="15">
        <v>0</v>
      </c>
    </row>
    <row r="361" spans="1:76">
      <c r="A361" s="14" t="str">
        <f>VLOOKUP(C361,VLOOKUP!A:B,2,FALSE)</f>
        <v>车载香薰</v>
      </c>
      <c r="B361" s="16">
        <v>46035</v>
      </c>
      <c r="C361" s="17">
        <v>616090775596</v>
      </c>
      <c r="D361" s="15" t="s">
        <v>151</v>
      </c>
      <c r="E361" s="15" t="s">
        <v>162</v>
      </c>
      <c r="F361" s="15">
        <v>2166</v>
      </c>
      <c r="G361" s="15">
        <v>39</v>
      </c>
      <c r="H361" s="15">
        <v>71.43</v>
      </c>
      <c r="I361" s="15">
        <v>0.01801</v>
      </c>
      <c r="J361" s="15">
        <v>1.83</v>
      </c>
      <c r="K361" s="15">
        <v>32.98</v>
      </c>
      <c r="L361" s="15">
        <v>0</v>
      </c>
      <c r="M361" s="15">
        <v>0</v>
      </c>
      <c r="N361" s="15">
        <v>0</v>
      </c>
      <c r="O361" s="15">
        <v>0</v>
      </c>
      <c r="P361" s="15">
        <v>0</v>
      </c>
      <c r="Q361" s="15">
        <v>0</v>
      </c>
      <c r="R361" s="15">
        <v>0</v>
      </c>
      <c r="S361" s="15">
        <v>0</v>
      </c>
      <c r="T361" s="15">
        <v>0</v>
      </c>
      <c r="U361" s="15">
        <v>0</v>
      </c>
      <c r="V361" s="15">
        <v>0</v>
      </c>
      <c r="W361" s="15">
        <v>0</v>
      </c>
      <c r="X361" s="15">
        <v>0</v>
      </c>
      <c r="Y361" s="15">
        <v>0</v>
      </c>
      <c r="Z361" s="15">
        <v>0</v>
      </c>
      <c r="AA361" s="15"/>
      <c r="AB361" s="15">
        <v>2</v>
      </c>
      <c r="AC361" s="15">
        <v>0</v>
      </c>
      <c r="AD361" s="15">
        <v>2</v>
      </c>
      <c r="AE361" s="15">
        <v>0.05128</v>
      </c>
      <c r="AF361" s="15">
        <v>1</v>
      </c>
      <c r="AG361" s="15">
        <v>0</v>
      </c>
      <c r="AH361" s="15"/>
      <c r="AI361" s="15">
        <v>3</v>
      </c>
      <c r="AJ361" s="15">
        <v>23.81</v>
      </c>
      <c r="AK361" s="15">
        <v>3</v>
      </c>
      <c r="AL361" s="15">
        <v>23.81</v>
      </c>
      <c r="AM361" s="15">
        <v>1</v>
      </c>
      <c r="AN361" s="15">
        <v>71.43</v>
      </c>
      <c r="AO361" s="15">
        <v>0.02564</v>
      </c>
      <c r="AP361" s="15">
        <v>35.72</v>
      </c>
      <c r="AQ361" s="15">
        <v>0</v>
      </c>
      <c r="AR361" s="15">
        <v>0</v>
      </c>
      <c r="AS361" s="15">
        <v>1</v>
      </c>
      <c r="AT361" s="15">
        <v>0</v>
      </c>
      <c r="AU361" s="15">
        <v>0</v>
      </c>
      <c r="AV361" s="15">
        <v>0</v>
      </c>
      <c r="AW361" s="15">
        <v>0</v>
      </c>
      <c r="AX361" s="15">
        <v>0</v>
      </c>
      <c r="AY361" s="15">
        <v>97</v>
      </c>
      <c r="AZ361" s="15">
        <v>35</v>
      </c>
      <c r="BA361" s="15">
        <v>29</v>
      </c>
      <c r="BB361" s="15">
        <v>0.82857</v>
      </c>
      <c r="BC361" s="15">
        <v>0</v>
      </c>
      <c r="BD361" s="15">
        <v>0</v>
      </c>
      <c r="BE361" s="15">
        <v>0.04478</v>
      </c>
      <c r="BF361" s="15">
        <v>54</v>
      </c>
      <c r="BG361" s="15">
        <v>3</v>
      </c>
      <c r="BH361" s="15">
        <v>0</v>
      </c>
      <c r="BI361" s="15"/>
      <c r="BJ361" s="15">
        <v>0</v>
      </c>
      <c r="BK361" s="15">
        <v>0</v>
      </c>
      <c r="BL361" s="15">
        <v>0</v>
      </c>
      <c r="BM361" s="15">
        <v>0</v>
      </c>
      <c r="BN361" s="15"/>
      <c r="BO361" s="15"/>
      <c r="BP361" s="15">
        <v>1.73</v>
      </c>
      <c r="BQ361" s="15">
        <v>17</v>
      </c>
      <c r="BR361" s="15">
        <v>0</v>
      </c>
      <c r="BS361" s="15">
        <v>0</v>
      </c>
      <c r="BT361" s="15">
        <v>0</v>
      </c>
      <c r="BU361" s="15">
        <v>0</v>
      </c>
      <c r="BV361" s="15">
        <v>0</v>
      </c>
      <c r="BW361" s="15">
        <v>0</v>
      </c>
      <c r="BX361" s="15">
        <v>0</v>
      </c>
    </row>
    <row r="362" spans="1:76">
      <c r="A362" s="14" t="str">
        <f>VLOOKUP(C362,VLOOKUP!A:B,2,FALSE)</f>
        <v>鹅梨帐中香</v>
      </c>
      <c r="B362" s="16">
        <v>46034</v>
      </c>
      <c r="C362" s="17">
        <v>971317169387</v>
      </c>
      <c r="D362" s="15" t="s">
        <v>151</v>
      </c>
      <c r="E362" s="15" t="s">
        <v>155</v>
      </c>
      <c r="F362" s="15">
        <v>632</v>
      </c>
      <c r="G362" s="15">
        <v>15</v>
      </c>
      <c r="H362" s="15">
        <v>32.64</v>
      </c>
      <c r="I362" s="15">
        <v>0.02373</v>
      </c>
      <c r="J362" s="15">
        <v>2.18</v>
      </c>
      <c r="K362" s="15">
        <v>51.65</v>
      </c>
      <c r="L362" s="15">
        <v>0</v>
      </c>
      <c r="M362" s="15">
        <v>0</v>
      </c>
      <c r="N362" s="15">
        <v>0</v>
      </c>
      <c r="O362" s="15">
        <v>0</v>
      </c>
      <c r="P362" s="15">
        <v>0</v>
      </c>
      <c r="Q362" s="15">
        <v>0</v>
      </c>
      <c r="R362" s="15">
        <v>0</v>
      </c>
      <c r="S362" s="15">
        <v>0</v>
      </c>
      <c r="T362" s="15">
        <v>0</v>
      </c>
      <c r="U362" s="15">
        <v>0</v>
      </c>
      <c r="V362" s="15">
        <v>0</v>
      </c>
      <c r="W362" s="15">
        <v>0</v>
      </c>
      <c r="X362" s="15">
        <v>0</v>
      </c>
      <c r="Y362" s="15">
        <v>0</v>
      </c>
      <c r="Z362" s="15">
        <v>0</v>
      </c>
      <c r="AA362" s="15"/>
      <c r="AB362" s="15">
        <v>8</v>
      </c>
      <c r="AC362" s="15">
        <v>3</v>
      </c>
      <c r="AD362" s="15">
        <v>5</v>
      </c>
      <c r="AE362" s="15">
        <v>0.53333</v>
      </c>
      <c r="AF362" s="15">
        <v>1</v>
      </c>
      <c r="AG362" s="15">
        <v>0</v>
      </c>
      <c r="AH362" s="15"/>
      <c r="AI362" s="15">
        <v>9</v>
      </c>
      <c r="AJ362" s="15">
        <v>3.63</v>
      </c>
      <c r="AK362" s="15">
        <v>9</v>
      </c>
      <c r="AL362" s="15">
        <v>3.63</v>
      </c>
      <c r="AM362" s="15">
        <v>1</v>
      </c>
      <c r="AN362" s="15">
        <v>32.64</v>
      </c>
      <c r="AO362" s="15">
        <v>0.06667</v>
      </c>
      <c r="AP362" s="15">
        <v>4.08</v>
      </c>
      <c r="AQ362" s="15">
        <v>0</v>
      </c>
      <c r="AR362" s="15">
        <v>0</v>
      </c>
      <c r="AS362" s="15">
        <v>0</v>
      </c>
      <c r="AT362" s="15">
        <v>1</v>
      </c>
      <c r="AU362" s="15">
        <v>0</v>
      </c>
      <c r="AV362" s="15">
        <v>0</v>
      </c>
      <c r="AW362" s="15">
        <v>0</v>
      </c>
      <c r="AX362" s="15">
        <v>1</v>
      </c>
      <c r="AY362" s="15">
        <v>91</v>
      </c>
      <c r="AZ362" s="15">
        <v>14</v>
      </c>
      <c r="BA362" s="15">
        <v>7</v>
      </c>
      <c r="BB362" s="15">
        <v>0.5</v>
      </c>
      <c r="BC362" s="15">
        <v>0</v>
      </c>
      <c r="BD362" s="15">
        <v>0</v>
      </c>
      <c r="BE362" s="15">
        <v>0.14399</v>
      </c>
      <c r="BF362" s="15">
        <v>76</v>
      </c>
      <c r="BG362" s="15">
        <v>7</v>
      </c>
      <c r="BH362" s="15">
        <v>0</v>
      </c>
      <c r="BI362" s="15"/>
      <c r="BJ362" s="15">
        <v>0</v>
      </c>
      <c r="BK362" s="15">
        <v>0</v>
      </c>
      <c r="BL362" s="15">
        <v>0</v>
      </c>
      <c r="BM362" s="15">
        <v>0</v>
      </c>
      <c r="BN362" s="15"/>
      <c r="BO362" s="15"/>
      <c r="BP362" s="15">
        <v>27.77</v>
      </c>
      <c r="BQ362" s="15">
        <v>145</v>
      </c>
      <c r="BR362" s="15">
        <v>0</v>
      </c>
      <c r="BS362" s="15">
        <v>0</v>
      </c>
      <c r="BT362" s="15">
        <v>0</v>
      </c>
      <c r="BU362" s="15">
        <v>0</v>
      </c>
      <c r="BV362" s="15">
        <v>0</v>
      </c>
      <c r="BW362" s="15">
        <v>0</v>
      </c>
      <c r="BX362" s="15">
        <v>0</v>
      </c>
    </row>
    <row r="363" spans="1:76">
      <c r="A363" s="14" t="str">
        <f>VLOOKUP(C363,VLOOKUP!A:B,2,FALSE)</f>
        <v>荔枝香</v>
      </c>
      <c r="B363" s="16">
        <v>46034</v>
      </c>
      <c r="C363" s="17">
        <v>960406497157</v>
      </c>
      <c r="D363" s="15" t="s">
        <v>151</v>
      </c>
      <c r="E363" s="15" t="s">
        <v>157</v>
      </c>
      <c r="F363" s="15">
        <v>442</v>
      </c>
      <c r="G363" s="15">
        <v>10</v>
      </c>
      <c r="H363" s="15">
        <v>18.52</v>
      </c>
      <c r="I363" s="15">
        <v>0.02262</v>
      </c>
      <c r="J363" s="15">
        <v>1.85</v>
      </c>
      <c r="K363" s="15">
        <v>41.9</v>
      </c>
      <c r="L363" s="15">
        <v>0</v>
      </c>
      <c r="M363" s="15">
        <v>0</v>
      </c>
      <c r="N363" s="15">
        <v>0</v>
      </c>
      <c r="O363" s="15">
        <v>0</v>
      </c>
      <c r="P363" s="15">
        <v>0</v>
      </c>
      <c r="Q363" s="15">
        <v>0</v>
      </c>
      <c r="R363" s="15">
        <v>0</v>
      </c>
      <c r="S363" s="15">
        <v>0</v>
      </c>
      <c r="T363" s="15">
        <v>0</v>
      </c>
      <c r="U363" s="15">
        <v>0</v>
      </c>
      <c r="V363" s="15">
        <v>0</v>
      </c>
      <c r="W363" s="15">
        <v>0</v>
      </c>
      <c r="X363" s="15">
        <v>0</v>
      </c>
      <c r="Y363" s="15">
        <v>0</v>
      </c>
      <c r="Z363" s="15">
        <v>0</v>
      </c>
      <c r="AA363" s="15"/>
      <c r="AB363" s="15">
        <v>1</v>
      </c>
      <c r="AC363" s="15">
        <v>1</v>
      </c>
      <c r="AD363" s="15">
        <v>0</v>
      </c>
      <c r="AE363" s="15">
        <v>0.1</v>
      </c>
      <c r="AF363" s="15">
        <v>0</v>
      </c>
      <c r="AG363" s="15">
        <v>0</v>
      </c>
      <c r="AH363" s="15"/>
      <c r="AI363" s="15">
        <v>1</v>
      </c>
      <c r="AJ363" s="15">
        <v>18.52</v>
      </c>
      <c r="AK363" s="15">
        <v>1</v>
      </c>
      <c r="AL363" s="15">
        <v>18.52</v>
      </c>
      <c r="AM363" s="15">
        <v>0</v>
      </c>
      <c r="AN363" s="15"/>
      <c r="AO363" s="15">
        <v>0</v>
      </c>
      <c r="AP363" s="15">
        <v>18.52</v>
      </c>
      <c r="AQ363" s="15">
        <v>0</v>
      </c>
      <c r="AR363" s="15">
        <v>0</v>
      </c>
      <c r="AS363" s="15">
        <v>0</v>
      </c>
      <c r="AT363" s="15">
        <v>0</v>
      </c>
      <c r="AU363" s="15">
        <v>0</v>
      </c>
      <c r="AV363" s="15">
        <v>0</v>
      </c>
      <c r="AW363" s="15">
        <v>0</v>
      </c>
      <c r="AX363" s="15">
        <v>0</v>
      </c>
      <c r="AY363" s="15">
        <v>19</v>
      </c>
      <c r="AZ363" s="15">
        <v>10</v>
      </c>
      <c r="BA363" s="15">
        <v>9</v>
      </c>
      <c r="BB363" s="15">
        <v>0.9</v>
      </c>
      <c r="BC363" s="15">
        <v>0</v>
      </c>
      <c r="BD363" s="15">
        <v>0</v>
      </c>
      <c r="BE363" s="15">
        <v>0.04299</v>
      </c>
      <c r="BF363" s="15">
        <v>3</v>
      </c>
      <c r="BG363" s="15">
        <v>2</v>
      </c>
      <c r="BH363" s="15">
        <v>0</v>
      </c>
      <c r="BI363" s="15"/>
      <c r="BJ363" s="15">
        <v>0</v>
      </c>
      <c r="BK363" s="15">
        <v>0</v>
      </c>
      <c r="BL363" s="15">
        <v>0</v>
      </c>
      <c r="BM363" s="15">
        <v>0</v>
      </c>
      <c r="BN363" s="15"/>
      <c r="BO363" s="15"/>
      <c r="BP363" s="15">
        <v>0.03</v>
      </c>
      <c r="BQ363" s="15">
        <v>5</v>
      </c>
      <c r="BR363" s="15">
        <v>0</v>
      </c>
      <c r="BS363" s="15">
        <v>0</v>
      </c>
      <c r="BT363" s="15">
        <v>0</v>
      </c>
      <c r="BU363" s="15">
        <v>0</v>
      </c>
      <c r="BV363" s="15">
        <v>0</v>
      </c>
      <c r="BW363" s="15">
        <v>0</v>
      </c>
      <c r="BX363" s="15">
        <v>0</v>
      </c>
    </row>
    <row r="364" spans="1:76">
      <c r="A364" s="14" t="str">
        <f>VLOOKUP(C364,VLOOKUP!A:B,2,FALSE)</f>
        <v>如意盘香</v>
      </c>
      <c r="B364" s="16">
        <v>46034</v>
      </c>
      <c r="C364" s="17">
        <v>838711327669</v>
      </c>
      <c r="D364" s="15" t="s">
        <v>151</v>
      </c>
      <c r="E364" s="15" t="s">
        <v>158</v>
      </c>
      <c r="F364" s="15">
        <v>524</v>
      </c>
      <c r="G364" s="15">
        <v>29</v>
      </c>
      <c r="H364" s="15">
        <v>73.09</v>
      </c>
      <c r="I364" s="15">
        <v>0.05534</v>
      </c>
      <c r="J364" s="15">
        <v>2.52</v>
      </c>
      <c r="K364" s="15">
        <v>139.48</v>
      </c>
      <c r="L364" s="15">
        <v>0</v>
      </c>
      <c r="M364" s="15">
        <v>0</v>
      </c>
      <c r="N364" s="15">
        <v>0</v>
      </c>
      <c r="O364" s="15">
        <v>0</v>
      </c>
      <c r="P364" s="15">
        <v>0</v>
      </c>
      <c r="Q364" s="15">
        <v>0</v>
      </c>
      <c r="R364" s="15">
        <v>0</v>
      </c>
      <c r="S364" s="15">
        <v>0</v>
      </c>
      <c r="T364" s="15">
        <v>0</v>
      </c>
      <c r="U364" s="15">
        <v>0</v>
      </c>
      <c r="V364" s="15">
        <v>0</v>
      </c>
      <c r="W364" s="15">
        <v>0</v>
      </c>
      <c r="X364" s="15">
        <v>0</v>
      </c>
      <c r="Y364" s="15">
        <v>0</v>
      </c>
      <c r="Z364" s="15">
        <v>0</v>
      </c>
      <c r="AA364" s="15"/>
      <c r="AB364" s="15">
        <v>0</v>
      </c>
      <c r="AC364" s="15">
        <v>0</v>
      </c>
      <c r="AD364" s="15">
        <v>0</v>
      </c>
      <c r="AE364" s="15">
        <v>0</v>
      </c>
      <c r="AF364" s="15">
        <v>0</v>
      </c>
      <c r="AG364" s="15">
        <v>0</v>
      </c>
      <c r="AH364" s="15"/>
      <c r="AI364" s="15">
        <v>0</v>
      </c>
      <c r="AJ364" s="15"/>
      <c r="AK364" s="15">
        <v>0</v>
      </c>
      <c r="AL364" s="15"/>
      <c r="AM364" s="15">
        <v>0</v>
      </c>
      <c r="AN364" s="15"/>
      <c r="AO364" s="15">
        <v>0</v>
      </c>
      <c r="AP364" s="15"/>
      <c r="AQ364" s="15">
        <v>0</v>
      </c>
      <c r="AR364" s="15">
        <v>0</v>
      </c>
      <c r="AS364" s="15">
        <v>0</v>
      </c>
      <c r="AT364" s="15">
        <v>0</v>
      </c>
      <c r="AU364" s="15">
        <v>0</v>
      </c>
      <c r="AV364" s="15">
        <v>0</v>
      </c>
      <c r="AW364" s="15">
        <v>0</v>
      </c>
      <c r="AX364" s="15">
        <v>1</v>
      </c>
      <c r="AY364" s="15">
        <v>85</v>
      </c>
      <c r="AZ364" s="15">
        <v>27</v>
      </c>
      <c r="BA364" s="15">
        <v>19</v>
      </c>
      <c r="BB364" s="15">
        <v>0.7037</v>
      </c>
      <c r="BC364" s="15">
        <v>0</v>
      </c>
      <c r="BD364" s="15">
        <v>0</v>
      </c>
      <c r="BE364" s="15">
        <v>0.16221</v>
      </c>
      <c r="BF364" s="15">
        <v>53</v>
      </c>
      <c r="BG364" s="15">
        <v>3</v>
      </c>
      <c r="BH364" s="15">
        <v>0</v>
      </c>
      <c r="BI364" s="15"/>
      <c r="BJ364" s="15">
        <v>0</v>
      </c>
      <c r="BK364" s="15">
        <v>0</v>
      </c>
      <c r="BL364" s="15">
        <v>0</v>
      </c>
      <c r="BM364" s="15">
        <v>0</v>
      </c>
      <c r="BN364" s="15"/>
      <c r="BO364" s="15"/>
      <c r="BP364" s="15">
        <v>0</v>
      </c>
      <c r="BQ364" s="15">
        <v>26</v>
      </c>
      <c r="BR364" s="15">
        <v>0</v>
      </c>
      <c r="BS364" s="15">
        <v>0</v>
      </c>
      <c r="BT364" s="15">
        <v>0</v>
      </c>
      <c r="BU364" s="15">
        <v>0</v>
      </c>
      <c r="BV364" s="15">
        <v>0</v>
      </c>
      <c r="BW364" s="15">
        <v>0</v>
      </c>
      <c r="BX364" s="15">
        <v>0</v>
      </c>
    </row>
    <row r="365" spans="1:76">
      <c r="A365" s="14" t="str">
        <f>VLOOKUP(C365,VLOOKUP!A:B,2,FALSE)</f>
        <v>四季线香</v>
      </c>
      <c r="B365" s="16">
        <v>46034</v>
      </c>
      <c r="C365" s="17">
        <v>742540384374</v>
      </c>
      <c r="D365" s="15" t="s">
        <v>151</v>
      </c>
      <c r="E365" s="15" t="s">
        <v>161</v>
      </c>
      <c r="F365" s="15">
        <v>522</v>
      </c>
      <c r="G365" s="15">
        <v>19</v>
      </c>
      <c r="H365" s="15">
        <v>52.37</v>
      </c>
      <c r="I365" s="15">
        <v>0.0364</v>
      </c>
      <c r="J365" s="15">
        <v>2.76</v>
      </c>
      <c r="K365" s="15">
        <v>100.33</v>
      </c>
      <c r="L365" s="15">
        <v>0</v>
      </c>
      <c r="M365" s="15">
        <v>0</v>
      </c>
      <c r="N365" s="15">
        <v>0</v>
      </c>
      <c r="O365" s="15">
        <v>0</v>
      </c>
      <c r="P365" s="15">
        <v>0</v>
      </c>
      <c r="Q365" s="15">
        <v>0</v>
      </c>
      <c r="R365" s="15">
        <v>0</v>
      </c>
      <c r="S365" s="15">
        <v>26.46</v>
      </c>
      <c r="T365" s="15">
        <v>26.46</v>
      </c>
      <c r="U365" s="15">
        <v>1</v>
      </c>
      <c r="V365" s="15">
        <v>0</v>
      </c>
      <c r="W365" s="15">
        <v>1</v>
      </c>
      <c r="X365" s="15">
        <v>0.05263</v>
      </c>
      <c r="Y365" s="15">
        <v>0.51</v>
      </c>
      <c r="Z365" s="15">
        <v>0.51</v>
      </c>
      <c r="AA365" s="15">
        <v>52.37</v>
      </c>
      <c r="AB365" s="15">
        <v>4</v>
      </c>
      <c r="AC365" s="15">
        <v>3</v>
      </c>
      <c r="AD365" s="15">
        <v>1</v>
      </c>
      <c r="AE365" s="15">
        <v>0.21053</v>
      </c>
      <c r="AF365" s="15">
        <v>1</v>
      </c>
      <c r="AG365" s="15">
        <v>0</v>
      </c>
      <c r="AH365" s="15"/>
      <c r="AI365" s="15">
        <v>5</v>
      </c>
      <c r="AJ365" s="15">
        <v>10.47</v>
      </c>
      <c r="AK365" s="15">
        <v>5</v>
      </c>
      <c r="AL365" s="15">
        <v>10.47</v>
      </c>
      <c r="AM365" s="15">
        <v>1</v>
      </c>
      <c r="AN365" s="15">
        <v>52.37</v>
      </c>
      <c r="AO365" s="15">
        <v>0.05263</v>
      </c>
      <c r="AP365" s="15">
        <v>13.09</v>
      </c>
      <c r="AQ365" s="15">
        <v>1</v>
      </c>
      <c r="AR365" s="15">
        <v>49.9</v>
      </c>
      <c r="AS365" s="15">
        <v>0</v>
      </c>
      <c r="AT365" s="15">
        <v>1</v>
      </c>
      <c r="AU365" s="15">
        <v>0</v>
      </c>
      <c r="AV365" s="15">
        <v>0</v>
      </c>
      <c r="AW365" s="15">
        <v>0</v>
      </c>
      <c r="AX365" s="15">
        <v>0</v>
      </c>
      <c r="AY365" s="15">
        <v>72</v>
      </c>
      <c r="AZ365" s="15">
        <v>16</v>
      </c>
      <c r="BA365" s="15">
        <v>10</v>
      </c>
      <c r="BB365" s="15">
        <v>0.625</v>
      </c>
      <c r="BC365" s="15">
        <v>0</v>
      </c>
      <c r="BD365" s="15">
        <v>0</v>
      </c>
      <c r="BE365" s="15">
        <v>0.13793</v>
      </c>
      <c r="BF365" s="15">
        <v>55</v>
      </c>
      <c r="BG365" s="15">
        <v>5</v>
      </c>
      <c r="BH365" s="15">
        <v>1</v>
      </c>
      <c r="BI365" s="15">
        <v>1</v>
      </c>
      <c r="BJ365" s="15">
        <v>0</v>
      </c>
      <c r="BK365" s="15">
        <v>0</v>
      </c>
      <c r="BL365" s="15">
        <v>0</v>
      </c>
      <c r="BM365" s="15">
        <v>1</v>
      </c>
      <c r="BN365" s="15">
        <v>1</v>
      </c>
      <c r="BO365" s="15">
        <v>26.46</v>
      </c>
      <c r="BP365" s="15">
        <v>2.57</v>
      </c>
      <c r="BQ365" s="15">
        <v>122</v>
      </c>
      <c r="BR365" s="15">
        <v>0</v>
      </c>
      <c r="BS365" s="15">
        <v>0</v>
      </c>
      <c r="BT365" s="15">
        <v>0</v>
      </c>
      <c r="BU365" s="15">
        <v>0</v>
      </c>
      <c r="BV365" s="15">
        <v>0</v>
      </c>
      <c r="BW365" s="15">
        <v>0</v>
      </c>
      <c r="BX365" s="15">
        <v>0</v>
      </c>
    </row>
    <row r="366" spans="1:76">
      <c r="A366" s="14" t="str">
        <f>VLOOKUP(C366,VLOOKUP!A:B,2,FALSE)</f>
        <v>车载香薰</v>
      </c>
      <c r="B366" s="16">
        <v>46034</v>
      </c>
      <c r="C366" s="17">
        <v>616090775596</v>
      </c>
      <c r="D366" s="15" t="s">
        <v>151</v>
      </c>
      <c r="E366" s="15" t="s">
        <v>162</v>
      </c>
      <c r="F366" s="15">
        <v>1860</v>
      </c>
      <c r="G366" s="15">
        <v>29</v>
      </c>
      <c r="H366" s="15">
        <v>68.15</v>
      </c>
      <c r="I366" s="15">
        <v>0.01559</v>
      </c>
      <c r="J366" s="15">
        <v>2.35</v>
      </c>
      <c r="K366" s="15">
        <v>36.64</v>
      </c>
      <c r="L366" s="15">
        <v>0</v>
      </c>
      <c r="M366" s="15">
        <v>0</v>
      </c>
      <c r="N366" s="15">
        <v>0</v>
      </c>
      <c r="O366" s="15">
        <v>0</v>
      </c>
      <c r="P366" s="15">
        <v>0</v>
      </c>
      <c r="Q366" s="15">
        <v>0</v>
      </c>
      <c r="R366" s="15">
        <v>0</v>
      </c>
      <c r="S366" s="15">
        <v>0</v>
      </c>
      <c r="T366" s="15">
        <v>0</v>
      </c>
      <c r="U366" s="15">
        <v>0</v>
      </c>
      <c r="V366" s="15">
        <v>0</v>
      </c>
      <c r="W366" s="15">
        <v>0</v>
      </c>
      <c r="X366" s="15">
        <v>0</v>
      </c>
      <c r="Y366" s="15">
        <v>0</v>
      </c>
      <c r="Z366" s="15">
        <v>0</v>
      </c>
      <c r="AA366" s="15"/>
      <c r="AB366" s="15">
        <v>1</v>
      </c>
      <c r="AC366" s="15">
        <v>1</v>
      </c>
      <c r="AD366" s="15">
        <v>0</v>
      </c>
      <c r="AE366" s="15">
        <v>0.03448</v>
      </c>
      <c r="AF366" s="15">
        <v>0</v>
      </c>
      <c r="AG366" s="15">
        <v>0</v>
      </c>
      <c r="AH366" s="15"/>
      <c r="AI366" s="15">
        <v>1</v>
      </c>
      <c r="AJ366" s="15">
        <v>68.15</v>
      </c>
      <c r="AK366" s="15">
        <v>1</v>
      </c>
      <c r="AL366" s="15">
        <v>68.15</v>
      </c>
      <c r="AM366" s="15">
        <v>0</v>
      </c>
      <c r="AN366" s="15"/>
      <c r="AO366" s="15">
        <v>0</v>
      </c>
      <c r="AP366" s="15">
        <v>68.15</v>
      </c>
      <c r="AQ366" s="15">
        <v>0</v>
      </c>
      <c r="AR366" s="15">
        <v>0</v>
      </c>
      <c r="AS366" s="15">
        <v>0</v>
      </c>
      <c r="AT366" s="15">
        <v>0</v>
      </c>
      <c r="AU366" s="15">
        <v>0</v>
      </c>
      <c r="AV366" s="15">
        <v>0</v>
      </c>
      <c r="AW366" s="15">
        <v>0</v>
      </c>
      <c r="AX366" s="15">
        <v>0</v>
      </c>
      <c r="AY366" s="15">
        <v>60</v>
      </c>
      <c r="AZ366" s="15">
        <v>29</v>
      </c>
      <c r="BA366" s="15">
        <v>23</v>
      </c>
      <c r="BB366" s="15">
        <v>0.7931</v>
      </c>
      <c r="BC366" s="15">
        <v>0</v>
      </c>
      <c r="BD366" s="15">
        <v>0</v>
      </c>
      <c r="BE366" s="15">
        <v>0.03226</v>
      </c>
      <c r="BF366" s="15">
        <v>25</v>
      </c>
      <c r="BG366" s="15">
        <v>2</v>
      </c>
      <c r="BH366" s="15">
        <v>0</v>
      </c>
      <c r="BI366" s="15"/>
      <c r="BJ366" s="15">
        <v>0</v>
      </c>
      <c r="BK366" s="15">
        <v>0</v>
      </c>
      <c r="BL366" s="15">
        <v>0</v>
      </c>
      <c r="BM366" s="15">
        <v>0</v>
      </c>
      <c r="BN366" s="15"/>
      <c r="BO366" s="15"/>
      <c r="BP366" s="15">
        <v>0</v>
      </c>
      <c r="BQ366" s="15">
        <v>11</v>
      </c>
      <c r="BR366" s="15">
        <v>0</v>
      </c>
      <c r="BS366" s="15">
        <v>0</v>
      </c>
      <c r="BT366" s="15">
        <v>0</v>
      </c>
      <c r="BU366" s="15">
        <v>0</v>
      </c>
      <c r="BV366" s="15">
        <v>0</v>
      </c>
      <c r="BW366" s="15">
        <v>0</v>
      </c>
      <c r="BX366" s="15">
        <v>0</v>
      </c>
    </row>
    <row r="367" spans="1:76">
      <c r="A367" s="14" t="str">
        <f>VLOOKUP(C367,VLOOKUP!A:B,2,FALSE)</f>
        <v>鹅梨帐中香</v>
      </c>
      <c r="B367" s="16">
        <v>46033</v>
      </c>
      <c r="C367" s="17">
        <v>971317169387</v>
      </c>
      <c r="D367" s="15" t="s">
        <v>151</v>
      </c>
      <c r="E367" s="15" t="s">
        <v>155</v>
      </c>
      <c r="F367" s="15">
        <v>696</v>
      </c>
      <c r="G367" s="15">
        <v>16</v>
      </c>
      <c r="H367" s="15">
        <v>26.97</v>
      </c>
      <c r="I367" s="15">
        <v>0.02299</v>
      </c>
      <c r="J367" s="15">
        <v>1.69</v>
      </c>
      <c r="K367" s="15">
        <v>38.75</v>
      </c>
      <c r="L367" s="15">
        <v>0</v>
      </c>
      <c r="M367" s="15">
        <v>0</v>
      </c>
      <c r="N367" s="15">
        <v>0</v>
      </c>
      <c r="O367" s="15">
        <v>0</v>
      </c>
      <c r="P367" s="15">
        <v>0</v>
      </c>
      <c r="Q367" s="15">
        <v>0</v>
      </c>
      <c r="R367" s="15">
        <v>0</v>
      </c>
      <c r="S367" s="15">
        <v>0</v>
      </c>
      <c r="T367" s="15">
        <v>0</v>
      </c>
      <c r="U367" s="15">
        <v>0</v>
      </c>
      <c r="V367" s="15">
        <v>0</v>
      </c>
      <c r="W367" s="15">
        <v>0</v>
      </c>
      <c r="X367" s="15">
        <v>0</v>
      </c>
      <c r="Y367" s="15">
        <v>0</v>
      </c>
      <c r="Z367" s="15">
        <v>0</v>
      </c>
      <c r="AA367" s="15"/>
      <c r="AB367" s="15">
        <v>1</v>
      </c>
      <c r="AC367" s="15">
        <v>1</v>
      </c>
      <c r="AD367" s="15">
        <v>0</v>
      </c>
      <c r="AE367" s="15">
        <v>0.0625</v>
      </c>
      <c r="AF367" s="15">
        <v>0</v>
      </c>
      <c r="AG367" s="15">
        <v>0</v>
      </c>
      <c r="AH367" s="15"/>
      <c r="AI367" s="15">
        <v>1</v>
      </c>
      <c r="AJ367" s="15">
        <v>26.97</v>
      </c>
      <c r="AK367" s="15">
        <v>1</v>
      </c>
      <c r="AL367" s="15">
        <v>26.97</v>
      </c>
      <c r="AM367" s="15">
        <v>0</v>
      </c>
      <c r="AN367" s="15"/>
      <c r="AO367" s="15">
        <v>0</v>
      </c>
      <c r="AP367" s="15">
        <v>26.97</v>
      </c>
      <c r="AQ367" s="15">
        <v>0</v>
      </c>
      <c r="AR367" s="15">
        <v>0</v>
      </c>
      <c r="AS367" s="15">
        <v>0</v>
      </c>
      <c r="AT367" s="15">
        <v>0</v>
      </c>
      <c r="AU367" s="15">
        <v>0</v>
      </c>
      <c r="AV367" s="15">
        <v>0</v>
      </c>
      <c r="AW367" s="15">
        <v>0</v>
      </c>
      <c r="AX367" s="15">
        <v>1</v>
      </c>
      <c r="AY367" s="15">
        <v>30</v>
      </c>
      <c r="AZ367" s="15">
        <v>16</v>
      </c>
      <c r="BA367" s="15">
        <v>14</v>
      </c>
      <c r="BB367" s="15">
        <v>0.875</v>
      </c>
      <c r="BC367" s="15">
        <v>0</v>
      </c>
      <c r="BD367" s="15">
        <v>0</v>
      </c>
      <c r="BE367" s="15">
        <v>0.0431</v>
      </c>
      <c r="BF367" s="15">
        <v>14</v>
      </c>
      <c r="BG367" s="15">
        <v>2</v>
      </c>
      <c r="BH367" s="15">
        <v>0</v>
      </c>
      <c r="BI367" s="15"/>
      <c r="BJ367" s="15">
        <v>0</v>
      </c>
      <c r="BK367" s="15">
        <v>0</v>
      </c>
      <c r="BL367" s="15">
        <v>0</v>
      </c>
      <c r="BM367" s="15">
        <v>0</v>
      </c>
      <c r="BN367" s="15"/>
      <c r="BO367" s="15"/>
      <c r="BP367" s="15">
        <v>0</v>
      </c>
      <c r="BQ367" s="15">
        <v>42</v>
      </c>
      <c r="BR367" s="15">
        <v>0</v>
      </c>
      <c r="BS367" s="15">
        <v>0</v>
      </c>
      <c r="BT367" s="15">
        <v>0</v>
      </c>
      <c r="BU367" s="15">
        <v>0</v>
      </c>
      <c r="BV367" s="15">
        <v>0</v>
      </c>
      <c r="BW367" s="15">
        <v>0</v>
      </c>
      <c r="BX367" s="15">
        <v>0</v>
      </c>
    </row>
    <row r="368" spans="1:76">
      <c r="A368" s="14" t="str">
        <f>VLOOKUP(C368,VLOOKUP!A:B,2,FALSE)</f>
        <v>荔枝香</v>
      </c>
      <c r="B368" s="16">
        <v>46033</v>
      </c>
      <c r="C368" s="17">
        <v>960406497157</v>
      </c>
      <c r="D368" s="15" t="s">
        <v>151</v>
      </c>
      <c r="E368" s="15" t="s">
        <v>157</v>
      </c>
      <c r="F368" s="15">
        <v>887</v>
      </c>
      <c r="G368" s="15">
        <v>18</v>
      </c>
      <c r="H368" s="15">
        <v>18.08</v>
      </c>
      <c r="I368" s="15">
        <v>0.02029</v>
      </c>
      <c r="J368" s="15">
        <v>1</v>
      </c>
      <c r="K368" s="15">
        <v>20.38</v>
      </c>
      <c r="L368" s="15">
        <v>0</v>
      </c>
      <c r="M368" s="15">
        <v>0</v>
      </c>
      <c r="N368" s="15">
        <v>0</v>
      </c>
      <c r="O368" s="15">
        <v>0</v>
      </c>
      <c r="P368" s="15">
        <v>0</v>
      </c>
      <c r="Q368" s="15">
        <v>0</v>
      </c>
      <c r="R368" s="15">
        <v>0</v>
      </c>
      <c r="S368" s="15">
        <v>0</v>
      </c>
      <c r="T368" s="15">
        <v>0</v>
      </c>
      <c r="U368" s="15">
        <v>0</v>
      </c>
      <c r="V368" s="15">
        <v>0</v>
      </c>
      <c r="W368" s="15">
        <v>0</v>
      </c>
      <c r="X368" s="15">
        <v>0</v>
      </c>
      <c r="Y368" s="15">
        <v>0</v>
      </c>
      <c r="Z368" s="15">
        <v>0</v>
      </c>
      <c r="AA368" s="15"/>
      <c r="AB368" s="15">
        <v>0</v>
      </c>
      <c r="AC368" s="15">
        <v>0</v>
      </c>
      <c r="AD368" s="15">
        <v>0</v>
      </c>
      <c r="AE368" s="15">
        <v>0</v>
      </c>
      <c r="AF368" s="15">
        <v>1</v>
      </c>
      <c r="AG368" s="15">
        <v>0</v>
      </c>
      <c r="AH368" s="15"/>
      <c r="AI368" s="15">
        <v>1</v>
      </c>
      <c r="AJ368" s="15">
        <v>18.08</v>
      </c>
      <c r="AK368" s="15">
        <v>1</v>
      </c>
      <c r="AL368" s="15">
        <v>18.08</v>
      </c>
      <c r="AM368" s="15">
        <v>1</v>
      </c>
      <c r="AN368" s="15">
        <v>18.08</v>
      </c>
      <c r="AO368" s="15">
        <v>0.05556</v>
      </c>
      <c r="AP368" s="15"/>
      <c r="AQ368" s="15">
        <v>0</v>
      </c>
      <c r="AR368" s="15">
        <v>0</v>
      </c>
      <c r="AS368" s="15">
        <v>1</v>
      </c>
      <c r="AT368" s="15">
        <v>0</v>
      </c>
      <c r="AU368" s="15">
        <v>0</v>
      </c>
      <c r="AV368" s="15">
        <v>0</v>
      </c>
      <c r="AW368" s="15">
        <v>0</v>
      </c>
      <c r="AX368" s="15">
        <v>0</v>
      </c>
      <c r="AY368" s="15">
        <v>28</v>
      </c>
      <c r="AZ368" s="15">
        <v>18</v>
      </c>
      <c r="BA368" s="15">
        <v>16</v>
      </c>
      <c r="BB368" s="15">
        <v>0.88889</v>
      </c>
      <c r="BC368" s="15">
        <v>0</v>
      </c>
      <c r="BD368" s="15">
        <v>0</v>
      </c>
      <c r="BE368" s="15">
        <v>0.03157</v>
      </c>
      <c r="BF368" s="15">
        <v>2</v>
      </c>
      <c r="BG368" s="15">
        <v>2</v>
      </c>
      <c r="BH368" s="15">
        <v>0</v>
      </c>
      <c r="BI368" s="15"/>
      <c r="BJ368" s="15">
        <v>0</v>
      </c>
      <c r="BK368" s="15">
        <v>0</v>
      </c>
      <c r="BL368" s="15">
        <v>0</v>
      </c>
      <c r="BM368" s="15">
        <v>0</v>
      </c>
      <c r="BN368" s="15"/>
      <c r="BO368" s="15"/>
      <c r="BP368" s="15">
        <v>0.03</v>
      </c>
      <c r="BQ368" s="15">
        <v>8</v>
      </c>
      <c r="BR368" s="15">
        <v>0</v>
      </c>
      <c r="BS368" s="15">
        <v>0</v>
      </c>
      <c r="BT368" s="15">
        <v>0</v>
      </c>
      <c r="BU368" s="15">
        <v>0</v>
      </c>
      <c r="BV368" s="15">
        <v>0</v>
      </c>
      <c r="BW368" s="15">
        <v>0</v>
      </c>
      <c r="BX368" s="15">
        <v>0</v>
      </c>
    </row>
    <row r="369" spans="1:76">
      <c r="A369" s="14" t="str">
        <f>VLOOKUP(C369,VLOOKUP!A:B,2,FALSE)</f>
        <v>如意盘香</v>
      </c>
      <c r="B369" s="16">
        <v>46033</v>
      </c>
      <c r="C369" s="17">
        <v>838711327669</v>
      </c>
      <c r="D369" s="15" t="s">
        <v>151</v>
      </c>
      <c r="E369" s="15" t="s">
        <v>158</v>
      </c>
      <c r="F369" s="15">
        <v>534</v>
      </c>
      <c r="G369" s="15">
        <v>19</v>
      </c>
      <c r="H369" s="15">
        <v>68.33</v>
      </c>
      <c r="I369" s="15">
        <v>0.03558</v>
      </c>
      <c r="J369" s="15">
        <v>3.6</v>
      </c>
      <c r="K369" s="15">
        <v>127.96</v>
      </c>
      <c r="L369" s="15">
        <v>0</v>
      </c>
      <c r="M369" s="15">
        <v>0</v>
      </c>
      <c r="N369" s="15">
        <v>0</v>
      </c>
      <c r="O369" s="15">
        <v>0</v>
      </c>
      <c r="P369" s="15">
        <v>0</v>
      </c>
      <c r="Q369" s="15">
        <v>0</v>
      </c>
      <c r="R369" s="15">
        <v>0</v>
      </c>
      <c r="S369" s="15">
        <v>0</v>
      </c>
      <c r="T369" s="15">
        <v>0</v>
      </c>
      <c r="U369" s="15">
        <v>0</v>
      </c>
      <c r="V369" s="15">
        <v>0</v>
      </c>
      <c r="W369" s="15">
        <v>0</v>
      </c>
      <c r="X369" s="15">
        <v>0</v>
      </c>
      <c r="Y369" s="15">
        <v>0</v>
      </c>
      <c r="Z369" s="15">
        <v>0</v>
      </c>
      <c r="AA369" s="15"/>
      <c r="AB369" s="15">
        <v>1</v>
      </c>
      <c r="AC369" s="15">
        <v>0</v>
      </c>
      <c r="AD369" s="15">
        <v>1</v>
      </c>
      <c r="AE369" s="15">
        <v>0.05263</v>
      </c>
      <c r="AF369" s="15">
        <v>1</v>
      </c>
      <c r="AG369" s="15">
        <v>0</v>
      </c>
      <c r="AH369" s="15"/>
      <c r="AI369" s="15">
        <v>2</v>
      </c>
      <c r="AJ369" s="15">
        <v>34.17</v>
      </c>
      <c r="AK369" s="15">
        <v>2</v>
      </c>
      <c r="AL369" s="15">
        <v>34.17</v>
      </c>
      <c r="AM369" s="15">
        <v>1</v>
      </c>
      <c r="AN369" s="15">
        <v>68.33</v>
      </c>
      <c r="AO369" s="15">
        <v>0.05263</v>
      </c>
      <c r="AP369" s="15">
        <v>68.33</v>
      </c>
      <c r="AQ369" s="15">
        <v>0</v>
      </c>
      <c r="AR369" s="15">
        <v>0</v>
      </c>
      <c r="AS369" s="15">
        <v>0</v>
      </c>
      <c r="AT369" s="15">
        <v>1</v>
      </c>
      <c r="AU369" s="15">
        <v>0</v>
      </c>
      <c r="AV369" s="15">
        <v>0</v>
      </c>
      <c r="AW369" s="15">
        <v>0</v>
      </c>
      <c r="AX369" s="15">
        <v>2</v>
      </c>
      <c r="AY369" s="15">
        <v>81</v>
      </c>
      <c r="AZ369" s="15">
        <v>15</v>
      </c>
      <c r="BA369" s="15">
        <v>10</v>
      </c>
      <c r="BB369" s="15">
        <v>0.66667</v>
      </c>
      <c r="BC369" s="15">
        <v>0</v>
      </c>
      <c r="BD369" s="15">
        <v>0</v>
      </c>
      <c r="BE369" s="15">
        <v>0.15169</v>
      </c>
      <c r="BF369" s="15">
        <v>58</v>
      </c>
      <c r="BG369" s="15">
        <v>5</v>
      </c>
      <c r="BH369" s="15">
        <v>0</v>
      </c>
      <c r="BI369" s="15"/>
      <c r="BJ369" s="15">
        <v>0</v>
      </c>
      <c r="BK369" s="15">
        <v>0</v>
      </c>
      <c r="BL369" s="15">
        <v>0</v>
      </c>
      <c r="BM369" s="15">
        <v>0</v>
      </c>
      <c r="BN369" s="15"/>
      <c r="BO369" s="15"/>
      <c r="BP369" s="15">
        <v>0.17</v>
      </c>
      <c r="BQ369" s="15">
        <v>73</v>
      </c>
      <c r="BR369" s="15">
        <v>0</v>
      </c>
      <c r="BS369" s="15">
        <v>0</v>
      </c>
      <c r="BT369" s="15">
        <v>0</v>
      </c>
      <c r="BU369" s="15">
        <v>0</v>
      </c>
      <c r="BV369" s="15">
        <v>0</v>
      </c>
      <c r="BW369" s="15">
        <v>0</v>
      </c>
      <c r="BX369" s="15">
        <v>0</v>
      </c>
    </row>
    <row r="370" spans="1:76">
      <c r="A370" s="14" t="str">
        <f>VLOOKUP(C370,VLOOKUP!A:B,2,FALSE)</f>
        <v>四季线香</v>
      </c>
      <c r="B370" s="16">
        <v>46033</v>
      </c>
      <c r="C370" s="17">
        <v>742540384374</v>
      </c>
      <c r="D370" s="15" t="s">
        <v>151</v>
      </c>
      <c r="E370" s="15" t="s">
        <v>161</v>
      </c>
      <c r="F370" s="15">
        <v>879</v>
      </c>
      <c r="G370" s="15">
        <v>14</v>
      </c>
      <c r="H370" s="15">
        <v>40.89</v>
      </c>
      <c r="I370" s="15">
        <v>0.01593</v>
      </c>
      <c r="J370" s="15">
        <v>2.92</v>
      </c>
      <c r="K370" s="15">
        <v>46.52</v>
      </c>
      <c r="L370" s="15">
        <v>0</v>
      </c>
      <c r="M370" s="15">
        <v>0</v>
      </c>
      <c r="N370" s="15">
        <v>0</v>
      </c>
      <c r="O370" s="15">
        <v>0</v>
      </c>
      <c r="P370" s="15">
        <v>0</v>
      </c>
      <c r="Q370" s="15">
        <v>0</v>
      </c>
      <c r="R370" s="15">
        <v>278.8</v>
      </c>
      <c r="S370" s="15">
        <v>0</v>
      </c>
      <c r="T370" s="15">
        <v>278.8</v>
      </c>
      <c r="U370" s="15">
        <v>1</v>
      </c>
      <c r="V370" s="15">
        <v>1</v>
      </c>
      <c r="W370" s="15">
        <v>0</v>
      </c>
      <c r="X370" s="15">
        <v>0.07143</v>
      </c>
      <c r="Y370" s="15">
        <v>6.82</v>
      </c>
      <c r="Z370" s="15">
        <v>6.82</v>
      </c>
      <c r="AA370" s="15">
        <v>40.89</v>
      </c>
      <c r="AB370" s="15">
        <v>4</v>
      </c>
      <c r="AC370" s="15">
        <v>3</v>
      </c>
      <c r="AD370" s="15">
        <v>1</v>
      </c>
      <c r="AE370" s="15">
        <v>0.28571</v>
      </c>
      <c r="AF370" s="15">
        <v>0</v>
      </c>
      <c r="AG370" s="15">
        <v>0</v>
      </c>
      <c r="AH370" s="15"/>
      <c r="AI370" s="15">
        <v>4</v>
      </c>
      <c r="AJ370" s="15">
        <v>10.22</v>
      </c>
      <c r="AK370" s="15">
        <v>4</v>
      </c>
      <c r="AL370" s="15">
        <v>10.22</v>
      </c>
      <c r="AM370" s="15">
        <v>0</v>
      </c>
      <c r="AN370" s="15"/>
      <c r="AO370" s="15">
        <v>0</v>
      </c>
      <c r="AP370" s="15">
        <v>10.22</v>
      </c>
      <c r="AQ370" s="15">
        <v>2</v>
      </c>
      <c r="AR370" s="15">
        <v>427</v>
      </c>
      <c r="AS370" s="15">
        <v>0</v>
      </c>
      <c r="AT370" s="15">
        <v>0</v>
      </c>
      <c r="AU370" s="15">
        <v>1</v>
      </c>
      <c r="AV370" s="15">
        <v>0</v>
      </c>
      <c r="AW370" s="15">
        <v>0</v>
      </c>
      <c r="AX370" s="15">
        <v>1</v>
      </c>
      <c r="AY370" s="15">
        <v>41</v>
      </c>
      <c r="AZ370" s="15">
        <v>14</v>
      </c>
      <c r="BA370" s="15">
        <v>13</v>
      </c>
      <c r="BB370" s="15">
        <v>0.92857</v>
      </c>
      <c r="BC370" s="15">
        <v>0</v>
      </c>
      <c r="BD370" s="15">
        <v>0</v>
      </c>
      <c r="BE370" s="15">
        <v>0.04664</v>
      </c>
      <c r="BF370" s="15">
        <v>27</v>
      </c>
      <c r="BG370" s="15">
        <v>3</v>
      </c>
      <c r="BH370" s="15">
        <v>1</v>
      </c>
      <c r="BI370" s="15">
        <v>1</v>
      </c>
      <c r="BJ370" s="15">
        <v>0</v>
      </c>
      <c r="BK370" s="15">
        <v>0</v>
      </c>
      <c r="BL370" s="15">
        <v>0</v>
      </c>
      <c r="BM370" s="15">
        <v>1</v>
      </c>
      <c r="BN370" s="15">
        <v>1</v>
      </c>
      <c r="BO370" s="15">
        <v>278.8</v>
      </c>
      <c r="BP370" s="15">
        <v>25.2</v>
      </c>
      <c r="BQ370" s="15">
        <v>976</v>
      </c>
      <c r="BR370" s="15">
        <v>0</v>
      </c>
      <c r="BS370" s="15">
        <v>0</v>
      </c>
      <c r="BT370" s="15">
        <v>0</v>
      </c>
      <c r="BU370" s="15">
        <v>0</v>
      </c>
      <c r="BV370" s="15">
        <v>0</v>
      </c>
      <c r="BW370" s="15">
        <v>0</v>
      </c>
      <c r="BX370" s="15">
        <v>0</v>
      </c>
    </row>
    <row r="371" spans="1:76">
      <c r="A371" s="14" t="str">
        <f>VLOOKUP(C371,VLOOKUP!A:B,2,FALSE)</f>
        <v>车载香薰</v>
      </c>
      <c r="B371" s="16">
        <v>46033</v>
      </c>
      <c r="C371" s="17">
        <v>616090775596</v>
      </c>
      <c r="D371" s="15" t="s">
        <v>151</v>
      </c>
      <c r="E371" s="15" t="s">
        <v>162</v>
      </c>
      <c r="F371" s="15">
        <v>3079</v>
      </c>
      <c r="G371" s="15">
        <v>54</v>
      </c>
      <c r="H371" s="15">
        <v>100</v>
      </c>
      <c r="I371" s="15">
        <v>0.01754</v>
      </c>
      <c r="J371" s="15">
        <v>1.85</v>
      </c>
      <c r="K371" s="15">
        <v>32.48</v>
      </c>
      <c r="L371" s="15">
        <v>0</v>
      </c>
      <c r="M371" s="15">
        <v>0</v>
      </c>
      <c r="N371" s="15">
        <v>0</v>
      </c>
      <c r="O371" s="15">
        <v>0</v>
      </c>
      <c r="P371" s="15">
        <v>0</v>
      </c>
      <c r="Q371" s="15">
        <v>0</v>
      </c>
      <c r="R371" s="15">
        <v>508.3</v>
      </c>
      <c r="S371" s="15">
        <v>0</v>
      </c>
      <c r="T371" s="15">
        <v>508.3</v>
      </c>
      <c r="U371" s="15">
        <v>1</v>
      </c>
      <c r="V371" s="15">
        <v>1</v>
      </c>
      <c r="W371" s="15">
        <v>0</v>
      </c>
      <c r="X371" s="15">
        <v>0.01852</v>
      </c>
      <c r="Y371" s="15">
        <v>5.08</v>
      </c>
      <c r="Z371" s="15">
        <v>5.08</v>
      </c>
      <c r="AA371" s="15">
        <v>100</v>
      </c>
      <c r="AB371" s="15">
        <v>0</v>
      </c>
      <c r="AC371" s="15">
        <v>0</v>
      </c>
      <c r="AD371" s="15">
        <v>0</v>
      </c>
      <c r="AE371" s="15">
        <v>0</v>
      </c>
      <c r="AF371" s="15">
        <v>0</v>
      </c>
      <c r="AG371" s="15">
        <v>0</v>
      </c>
      <c r="AH371" s="15"/>
      <c r="AI371" s="15">
        <v>0</v>
      </c>
      <c r="AJ371" s="15"/>
      <c r="AK371" s="15">
        <v>0</v>
      </c>
      <c r="AL371" s="15"/>
      <c r="AM371" s="15">
        <v>0</v>
      </c>
      <c r="AN371" s="15"/>
      <c r="AO371" s="15">
        <v>0</v>
      </c>
      <c r="AP371" s="15"/>
      <c r="AQ371" s="15">
        <v>2</v>
      </c>
      <c r="AR371" s="15">
        <v>697</v>
      </c>
      <c r="AS371" s="15">
        <v>0</v>
      </c>
      <c r="AT371" s="15">
        <v>0</v>
      </c>
      <c r="AU371" s="15">
        <v>0</v>
      </c>
      <c r="AV371" s="15">
        <v>0</v>
      </c>
      <c r="AW371" s="15">
        <v>0</v>
      </c>
      <c r="AX371" s="15">
        <v>3</v>
      </c>
      <c r="AY371" s="15">
        <v>108</v>
      </c>
      <c r="AZ371" s="15">
        <v>49</v>
      </c>
      <c r="BA371" s="15">
        <v>45</v>
      </c>
      <c r="BB371" s="15">
        <v>0.91837</v>
      </c>
      <c r="BC371" s="15">
        <v>0</v>
      </c>
      <c r="BD371" s="15">
        <v>0</v>
      </c>
      <c r="BE371" s="15">
        <v>0.03508</v>
      </c>
      <c r="BF371" s="15">
        <v>36</v>
      </c>
      <c r="BG371" s="15">
        <v>2</v>
      </c>
      <c r="BH371" s="15">
        <v>1</v>
      </c>
      <c r="BI371" s="15">
        <v>1</v>
      </c>
      <c r="BJ371" s="15">
        <v>0</v>
      </c>
      <c r="BK371" s="15">
        <v>0</v>
      </c>
      <c r="BL371" s="15">
        <v>0</v>
      </c>
      <c r="BM371" s="15">
        <v>1</v>
      </c>
      <c r="BN371" s="15">
        <v>1</v>
      </c>
      <c r="BO371" s="15">
        <v>508.3</v>
      </c>
      <c r="BP371" s="15">
        <v>0</v>
      </c>
      <c r="BQ371" s="15">
        <v>234</v>
      </c>
      <c r="BR371" s="15">
        <v>0</v>
      </c>
      <c r="BS371" s="15">
        <v>0</v>
      </c>
      <c r="BT371" s="15">
        <v>0</v>
      </c>
      <c r="BU371" s="15">
        <v>0</v>
      </c>
      <c r="BV371" s="15">
        <v>0</v>
      </c>
      <c r="BW371" s="15">
        <v>0</v>
      </c>
      <c r="BX371" s="15">
        <v>0</v>
      </c>
    </row>
    <row r="372" spans="1:76">
      <c r="A372" s="14" t="str">
        <f>VLOOKUP(C372,VLOOKUP!A:B,2,FALSE)</f>
        <v>鹅梨帐中香</v>
      </c>
      <c r="B372" s="16">
        <v>46032</v>
      </c>
      <c r="C372" s="17">
        <v>971317169387</v>
      </c>
      <c r="D372" s="15" t="s">
        <v>151</v>
      </c>
      <c r="E372" s="15" t="s">
        <v>155</v>
      </c>
      <c r="F372" s="15">
        <v>521</v>
      </c>
      <c r="G372" s="15">
        <v>16</v>
      </c>
      <c r="H372" s="15">
        <v>33.49</v>
      </c>
      <c r="I372" s="15">
        <v>0.03071</v>
      </c>
      <c r="J372" s="15">
        <v>2.09</v>
      </c>
      <c r="K372" s="15">
        <v>64.28</v>
      </c>
      <c r="L372" s="15">
        <v>0</v>
      </c>
      <c r="M372" s="15">
        <v>0</v>
      </c>
      <c r="N372" s="15">
        <v>0</v>
      </c>
      <c r="O372" s="15">
        <v>0</v>
      </c>
      <c r="P372" s="15">
        <v>0</v>
      </c>
      <c r="Q372" s="15">
        <v>0</v>
      </c>
      <c r="R372" s="15">
        <v>0</v>
      </c>
      <c r="S372" s="15">
        <v>0</v>
      </c>
      <c r="T372" s="15">
        <v>0</v>
      </c>
      <c r="U372" s="15">
        <v>0</v>
      </c>
      <c r="V372" s="15">
        <v>0</v>
      </c>
      <c r="W372" s="15">
        <v>0</v>
      </c>
      <c r="X372" s="15">
        <v>0</v>
      </c>
      <c r="Y372" s="15">
        <v>0</v>
      </c>
      <c r="Z372" s="15">
        <v>0</v>
      </c>
      <c r="AA372" s="15"/>
      <c r="AB372" s="15">
        <v>0</v>
      </c>
      <c r="AC372" s="15">
        <v>0</v>
      </c>
      <c r="AD372" s="15">
        <v>0</v>
      </c>
      <c r="AE372" s="15">
        <v>0</v>
      </c>
      <c r="AF372" s="15">
        <v>0</v>
      </c>
      <c r="AG372" s="15">
        <v>0</v>
      </c>
      <c r="AH372" s="15"/>
      <c r="AI372" s="15">
        <v>0</v>
      </c>
      <c r="AJ372" s="15"/>
      <c r="AK372" s="15">
        <v>0</v>
      </c>
      <c r="AL372" s="15"/>
      <c r="AM372" s="15">
        <v>0</v>
      </c>
      <c r="AN372" s="15"/>
      <c r="AO372" s="15">
        <v>0</v>
      </c>
      <c r="AP372" s="15"/>
      <c r="AQ372" s="15">
        <v>0</v>
      </c>
      <c r="AR372" s="15">
        <v>0</v>
      </c>
      <c r="AS372" s="15">
        <v>0</v>
      </c>
      <c r="AT372" s="15">
        <v>0</v>
      </c>
      <c r="AU372" s="15">
        <v>0</v>
      </c>
      <c r="AV372" s="15">
        <v>0</v>
      </c>
      <c r="AW372" s="15">
        <v>0</v>
      </c>
      <c r="AX372" s="15">
        <v>1</v>
      </c>
      <c r="AY372" s="15">
        <v>50</v>
      </c>
      <c r="AZ372" s="15">
        <v>16</v>
      </c>
      <c r="BA372" s="15">
        <v>13</v>
      </c>
      <c r="BB372" s="15">
        <v>0.8125</v>
      </c>
      <c r="BC372" s="15">
        <v>0</v>
      </c>
      <c r="BD372" s="15">
        <v>0</v>
      </c>
      <c r="BE372" s="15">
        <v>0.09597</v>
      </c>
      <c r="BF372" s="15">
        <v>32</v>
      </c>
      <c r="BG372" s="15">
        <v>3</v>
      </c>
      <c r="BH372" s="15">
        <v>0</v>
      </c>
      <c r="BI372" s="15"/>
      <c r="BJ372" s="15">
        <v>0</v>
      </c>
      <c r="BK372" s="15">
        <v>0</v>
      </c>
      <c r="BL372" s="15">
        <v>0</v>
      </c>
      <c r="BM372" s="15">
        <v>0</v>
      </c>
      <c r="BN372" s="15"/>
      <c r="BO372" s="15"/>
      <c r="BP372" s="15">
        <v>0</v>
      </c>
      <c r="BQ372" s="15">
        <v>10</v>
      </c>
      <c r="BR372" s="15">
        <v>0</v>
      </c>
      <c r="BS372" s="15">
        <v>0</v>
      </c>
      <c r="BT372" s="15">
        <v>0</v>
      </c>
      <c r="BU372" s="15">
        <v>0</v>
      </c>
      <c r="BV372" s="15">
        <v>0</v>
      </c>
      <c r="BW372" s="15">
        <v>0</v>
      </c>
      <c r="BX372" s="15">
        <v>0</v>
      </c>
    </row>
    <row r="373" spans="1:76">
      <c r="A373" s="14" t="str">
        <f>VLOOKUP(C373,VLOOKUP!A:B,2,FALSE)</f>
        <v>荔枝香</v>
      </c>
      <c r="B373" s="16">
        <v>46032</v>
      </c>
      <c r="C373" s="17">
        <v>960406497157</v>
      </c>
      <c r="D373" s="15" t="s">
        <v>151</v>
      </c>
      <c r="E373" s="15" t="s">
        <v>157</v>
      </c>
      <c r="F373" s="15">
        <v>1159</v>
      </c>
      <c r="G373" s="15">
        <v>23</v>
      </c>
      <c r="H373" s="15">
        <v>20.42</v>
      </c>
      <c r="I373" s="15">
        <v>0.01984</v>
      </c>
      <c r="J373" s="15">
        <v>0.89</v>
      </c>
      <c r="K373" s="15">
        <v>17.62</v>
      </c>
      <c r="L373" s="15">
        <v>0</v>
      </c>
      <c r="M373" s="15">
        <v>0</v>
      </c>
      <c r="N373" s="15">
        <v>0</v>
      </c>
      <c r="O373" s="15">
        <v>0</v>
      </c>
      <c r="P373" s="15">
        <v>0</v>
      </c>
      <c r="Q373" s="15">
        <v>0</v>
      </c>
      <c r="R373" s="15">
        <v>0</v>
      </c>
      <c r="S373" s="15">
        <v>0</v>
      </c>
      <c r="T373" s="15">
        <v>0</v>
      </c>
      <c r="U373" s="15">
        <v>0</v>
      </c>
      <c r="V373" s="15">
        <v>0</v>
      </c>
      <c r="W373" s="15">
        <v>0</v>
      </c>
      <c r="X373" s="15">
        <v>0</v>
      </c>
      <c r="Y373" s="15">
        <v>0</v>
      </c>
      <c r="Z373" s="15">
        <v>0</v>
      </c>
      <c r="AA373" s="15"/>
      <c r="AB373" s="15">
        <v>2</v>
      </c>
      <c r="AC373" s="15">
        <v>2</v>
      </c>
      <c r="AD373" s="15">
        <v>0</v>
      </c>
      <c r="AE373" s="15">
        <v>0.08696</v>
      </c>
      <c r="AF373" s="15">
        <v>0</v>
      </c>
      <c r="AG373" s="15">
        <v>0</v>
      </c>
      <c r="AH373" s="15"/>
      <c r="AI373" s="15">
        <v>2</v>
      </c>
      <c r="AJ373" s="15">
        <v>10.21</v>
      </c>
      <c r="AK373" s="15">
        <v>2</v>
      </c>
      <c r="AL373" s="15">
        <v>10.21</v>
      </c>
      <c r="AM373" s="15">
        <v>0</v>
      </c>
      <c r="AN373" s="15"/>
      <c r="AO373" s="15">
        <v>0</v>
      </c>
      <c r="AP373" s="15">
        <v>10.21</v>
      </c>
      <c r="AQ373" s="15">
        <v>0</v>
      </c>
      <c r="AR373" s="15">
        <v>0</v>
      </c>
      <c r="AS373" s="15">
        <v>0</v>
      </c>
      <c r="AT373" s="15">
        <v>0</v>
      </c>
      <c r="AU373" s="15">
        <v>0</v>
      </c>
      <c r="AV373" s="15">
        <v>0</v>
      </c>
      <c r="AW373" s="15">
        <v>0</v>
      </c>
      <c r="AX373" s="15">
        <v>0</v>
      </c>
      <c r="AY373" s="15">
        <v>49</v>
      </c>
      <c r="AZ373" s="15">
        <v>21</v>
      </c>
      <c r="BA373" s="15">
        <v>20</v>
      </c>
      <c r="BB373" s="15">
        <v>0.95238</v>
      </c>
      <c r="BC373" s="15">
        <v>0</v>
      </c>
      <c r="BD373" s="15">
        <v>0</v>
      </c>
      <c r="BE373" s="15">
        <v>0.04228</v>
      </c>
      <c r="BF373" s="15">
        <v>19</v>
      </c>
      <c r="BG373" s="15">
        <v>2</v>
      </c>
      <c r="BH373" s="15">
        <v>0</v>
      </c>
      <c r="BI373" s="15"/>
      <c r="BJ373" s="15">
        <v>0</v>
      </c>
      <c r="BK373" s="15">
        <v>0</v>
      </c>
      <c r="BL373" s="15">
        <v>0</v>
      </c>
      <c r="BM373" s="15">
        <v>0</v>
      </c>
      <c r="BN373" s="15"/>
      <c r="BO373" s="15"/>
      <c r="BP373" s="15">
        <v>0.02</v>
      </c>
      <c r="BQ373" s="15">
        <v>42</v>
      </c>
      <c r="BR373" s="15">
        <v>0</v>
      </c>
      <c r="BS373" s="15">
        <v>0</v>
      </c>
      <c r="BT373" s="15">
        <v>0</v>
      </c>
      <c r="BU373" s="15">
        <v>0</v>
      </c>
      <c r="BV373" s="15">
        <v>0</v>
      </c>
      <c r="BW373" s="15">
        <v>0</v>
      </c>
      <c r="BX373" s="15">
        <v>0</v>
      </c>
    </row>
    <row r="374" spans="1:76">
      <c r="A374" s="14" t="str">
        <f>VLOOKUP(C374,VLOOKUP!A:B,2,FALSE)</f>
        <v>如意盘香</v>
      </c>
      <c r="B374" s="16">
        <v>46032</v>
      </c>
      <c r="C374" s="17">
        <v>838711327669</v>
      </c>
      <c r="D374" s="15" t="s">
        <v>151</v>
      </c>
      <c r="E374" s="15" t="s">
        <v>158</v>
      </c>
      <c r="F374" s="15">
        <v>800</v>
      </c>
      <c r="G374" s="15">
        <v>23</v>
      </c>
      <c r="H374" s="15">
        <v>64.3</v>
      </c>
      <c r="I374" s="15">
        <v>0.02875</v>
      </c>
      <c r="J374" s="15">
        <v>2.8</v>
      </c>
      <c r="K374" s="15">
        <v>80.38</v>
      </c>
      <c r="L374" s="15">
        <v>0</v>
      </c>
      <c r="M374" s="15">
        <v>0</v>
      </c>
      <c r="N374" s="15">
        <v>0</v>
      </c>
      <c r="O374" s="15">
        <v>0</v>
      </c>
      <c r="P374" s="15">
        <v>0</v>
      </c>
      <c r="Q374" s="15">
        <v>0</v>
      </c>
      <c r="R374" s="15">
        <v>0</v>
      </c>
      <c r="S374" s="15">
        <v>0</v>
      </c>
      <c r="T374" s="15">
        <v>0</v>
      </c>
      <c r="U374" s="15">
        <v>0</v>
      </c>
      <c r="V374" s="15">
        <v>0</v>
      </c>
      <c r="W374" s="15">
        <v>0</v>
      </c>
      <c r="X374" s="15">
        <v>0</v>
      </c>
      <c r="Y374" s="15">
        <v>0</v>
      </c>
      <c r="Z374" s="15">
        <v>0</v>
      </c>
      <c r="AA374" s="15"/>
      <c r="AB374" s="15">
        <v>1</v>
      </c>
      <c r="AC374" s="15">
        <v>0</v>
      </c>
      <c r="AD374" s="15">
        <v>1</v>
      </c>
      <c r="AE374" s="15">
        <v>0.04348</v>
      </c>
      <c r="AF374" s="15">
        <v>1</v>
      </c>
      <c r="AG374" s="15">
        <v>1</v>
      </c>
      <c r="AH374" s="15">
        <v>64.3</v>
      </c>
      <c r="AI374" s="15">
        <v>3</v>
      </c>
      <c r="AJ374" s="15">
        <v>21.43</v>
      </c>
      <c r="AK374" s="15">
        <v>2</v>
      </c>
      <c r="AL374" s="15">
        <v>32.15</v>
      </c>
      <c r="AM374" s="15">
        <v>2</v>
      </c>
      <c r="AN374" s="15">
        <v>64.3</v>
      </c>
      <c r="AO374" s="15">
        <v>0.04348</v>
      </c>
      <c r="AP374" s="15">
        <v>64.3</v>
      </c>
      <c r="AQ374" s="15">
        <v>0</v>
      </c>
      <c r="AR374" s="15">
        <v>0</v>
      </c>
      <c r="AS374" s="15">
        <v>0</v>
      </c>
      <c r="AT374" s="15">
        <v>1</v>
      </c>
      <c r="AU374" s="15">
        <v>0</v>
      </c>
      <c r="AV374" s="15">
        <v>0</v>
      </c>
      <c r="AW374" s="15">
        <v>0</v>
      </c>
      <c r="AX374" s="15">
        <v>0</v>
      </c>
      <c r="AY374" s="15">
        <v>105</v>
      </c>
      <c r="AZ374" s="15">
        <v>20</v>
      </c>
      <c r="BA374" s="15">
        <v>12</v>
      </c>
      <c r="BB374" s="15">
        <v>0.6</v>
      </c>
      <c r="BC374" s="15">
        <v>0</v>
      </c>
      <c r="BD374" s="15">
        <v>0</v>
      </c>
      <c r="BE374" s="15">
        <v>0.13125</v>
      </c>
      <c r="BF374" s="15">
        <v>82</v>
      </c>
      <c r="BG374" s="15">
        <v>5</v>
      </c>
      <c r="BH374" s="15">
        <v>0</v>
      </c>
      <c r="BI374" s="15"/>
      <c r="BJ374" s="15">
        <v>0</v>
      </c>
      <c r="BK374" s="15">
        <v>0</v>
      </c>
      <c r="BL374" s="15">
        <v>0</v>
      </c>
      <c r="BM374" s="15">
        <v>0</v>
      </c>
      <c r="BN374" s="15"/>
      <c r="BO374" s="15"/>
      <c r="BP374" s="15">
        <v>0</v>
      </c>
      <c r="BQ374" s="15">
        <v>52</v>
      </c>
      <c r="BR374" s="15">
        <v>0</v>
      </c>
      <c r="BS374" s="15">
        <v>0</v>
      </c>
      <c r="BT374" s="15">
        <v>0</v>
      </c>
      <c r="BU374" s="15">
        <v>0</v>
      </c>
      <c r="BV374" s="15">
        <v>0</v>
      </c>
      <c r="BW374" s="15">
        <v>0</v>
      </c>
      <c r="BX374" s="15">
        <v>0</v>
      </c>
    </row>
    <row r="375" spans="1:76">
      <c r="A375" s="14" t="str">
        <f>VLOOKUP(C375,VLOOKUP!A:B,2,FALSE)</f>
        <v>四季线香</v>
      </c>
      <c r="B375" s="16">
        <v>46032</v>
      </c>
      <c r="C375" s="17">
        <v>742540384374</v>
      </c>
      <c r="D375" s="15" t="s">
        <v>151</v>
      </c>
      <c r="E375" s="15" t="s">
        <v>161</v>
      </c>
      <c r="F375" s="15">
        <v>771</v>
      </c>
      <c r="G375" s="15">
        <v>13</v>
      </c>
      <c r="H375" s="15">
        <v>53.86</v>
      </c>
      <c r="I375" s="15">
        <v>0.01686</v>
      </c>
      <c r="J375" s="15">
        <v>4.14</v>
      </c>
      <c r="K375" s="15">
        <v>69.86</v>
      </c>
      <c r="L375" s="15">
        <v>0</v>
      </c>
      <c r="M375" s="15">
        <v>0</v>
      </c>
      <c r="N375" s="15">
        <v>0</v>
      </c>
      <c r="O375" s="15">
        <v>0</v>
      </c>
      <c r="P375" s="15">
        <v>0</v>
      </c>
      <c r="Q375" s="15">
        <v>0</v>
      </c>
      <c r="R375" s="15">
        <v>0</v>
      </c>
      <c r="S375" s="15">
        <v>0</v>
      </c>
      <c r="T375" s="15">
        <v>0</v>
      </c>
      <c r="U375" s="15">
        <v>0</v>
      </c>
      <c r="V375" s="15">
        <v>0</v>
      </c>
      <c r="W375" s="15">
        <v>0</v>
      </c>
      <c r="X375" s="15">
        <v>0</v>
      </c>
      <c r="Y375" s="15">
        <v>0</v>
      </c>
      <c r="Z375" s="15">
        <v>0</v>
      </c>
      <c r="AA375" s="15"/>
      <c r="AB375" s="15">
        <v>0</v>
      </c>
      <c r="AC375" s="15">
        <v>0</v>
      </c>
      <c r="AD375" s="15">
        <v>0</v>
      </c>
      <c r="AE375" s="15">
        <v>0</v>
      </c>
      <c r="AF375" s="15">
        <v>0</v>
      </c>
      <c r="AG375" s="15">
        <v>0</v>
      </c>
      <c r="AH375" s="15"/>
      <c r="AI375" s="15">
        <v>0</v>
      </c>
      <c r="AJ375" s="15"/>
      <c r="AK375" s="15">
        <v>0</v>
      </c>
      <c r="AL375" s="15"/>
      <c r="AM375" s="15">
        <v>0</v>
      </c>
      <c r="AN375" s="15"/>
      <c r="AO375" s="15">
        <v>0</v>
      </c>
      <c r="AP375" s="15"/>
      <c r="AQ375" s="15">
        <v>0</v>
      </c>
      <c r="AR375" s="15">
        <v>0</v>
      </c>
      <c r="AS375" s="15">
        <v>0</v>
      </c>
      <c r="AT375" s="15">
        <v>0</v>
      </c>
      <c r="AU375" s="15">
        <v>0</v>
      </c>
      <c r="AV375" s="15">
        <v>0</v>
      </c>
      <c r="AW375" s="15">
        <v>0</v>
      </c>
      <c r="AX375" s="15">
        <v>0</v>
      </c>
      <c r="AY375" s="15">
        <v>48</v>
      </c>
      <c r="AZ375" s="15">
        <v>13</v>
      </c>
      <c r="BA375" s="15">
        <v>10</v>
      </c>
      <c r="BB375" s="15">
        <v>0.76923</v>
      </c>
      <c r="BC375" s="15">
        <v>0</v>
      </c>
      <c r="BD375" s="15">
        <v>0</v>
      </c>
      <c r="BE375" s="15">
        <v>0.06226</v>
      </c>
      <c r="BF375" s="15">
        <v>35</v>
      </c>
      <c r="BG375" s="15">
        <v>4</v>
      </c>
      <c r="BH375" s="15">
        <v>0</v>
      </c>
      <c r="BI375" s="15"/>
      <c r="BJ375" s="15">
        <v>0</v>
      </c>
      <c r="BK375" s="15">
        <v>0</v>
      </c>
      <c r="BL375" s="15">
        <v>0</v>
      </c>
      <c r="BM375" s="15">
        <v>0</v>
      </c>
      <c r="BN375" s="15"/>
      <c r="BO375" s="15"/>
      <c r="BP375" s="15">
        <v>0</v>
      </c>
      <c r="BQ375" s="15">
        <v>17</v>
      </c>
      <c r="BR375" s="15">
        <v>0</v>
      </c>
      <c r="BS375" s="15">
        <v>0</v>
      </c>
      <c r="BT375" s="15">
        <v>0</v>
      </c>
      <c r="BU375" s="15">
        <v>0</v>
      </c>
      <c r="BV375" s="15">
        <v>0</v>
      </c>
      <c r="BW375" s="15">
        <v>0</v>
      </c>
      <c r="BX375" s="15">
        <v>0</v>
      </c>
    </row>
    <row r="376" spans="1:76">
      <c r="A376" s="14" t="str">
        <f>VLOOKUP(C376,VLOOKUP!A:B,2,FALSE)</f>
        <v>车载香薰</v>
      </c>
      <c r="B376" s="16">
        <v>46032</v>
      </c>
      <c r="C376" s="17">
        <v>616090775596</v>
      </c>
      <c r="D376" s="15" t="s">
        <v>151</v>
      </c>
      <c r="E376" s="15" t="s">
        <v>162</v>
      </c>
      <c r="F376" s="15">
        <v>2347</v>
      </c>
      <c r="G376" s="15">
        <v>51</v>
      </c>
      <c r="H376" s="15">
        <v>84.47</v>
      </c>
      <c r="I376" s="15">
        <v>0.02173</v>
      </c>
      <c r="J376" s="15">
        <v>1.66</v>
      </c>
      <c r="K376" s="15">
        <v>35.99</v>
      </c>
      <c r="L376" s="15">
        <v>0</v>
      </c>
      <c r="M376" s="15">
        <v>0</v>
      </c>
      <c r="N376" s="15">
        <v>0</v>
      </c>
      <c r="O376" s="15">
        <v>0</v>
      </c>
      <c r="P376" s="15">
        <v>0</v>
      </c>
      <c r="Q376" s="15">
        <v>0</v>
      </c>
      <c r="R376" s="15">
        <v>0</v>
      </c>
      <c r="S376" s="15">
        <v>0</v>
      </c>
      <c r="T376" s="15">
        <v>0</v>
      </c>
      <c r="U376" s="15">
        <v>0</v>
      </c>
      <c r="V376" s="15">
        <v>0</v>
      </c>
      <c r="W376" s="15">
        <v>0</v>
      </c>
      <c r="X376" s="15">
        <v>0</v>
      </c>
      <c r="Y376" s="15">
        <v>0</v>
      </c>
      <c r="Z376" s="15">
        <v>0</v>
      </c>
      <c r="AA376" s="15"/>
      <c r="AB376" s="15">
        <v>2</v>
      </c>
      <c r="AC376" s="15">
        <v>1</v>
      </c>
      <c r="AD376" s="15">
        <v>1</v>
      </c>
      <c r="AE376" s="15">
        <v>0.03922</v>
      </c>
      <c r="AF376" s="15">
        <v>1</v>
      </c>
      <c r="AG376" s="15">
        <v>1</v>
      </c>
      <c r="AH376" s="15">
        <v>84.47</v>
      </c>
      <c r="AI376" s="15">
        <v>4</v>
      </c>
      <c r="AJ376" s="15">
        <v>21.12</v>
      </c>
      <c r="AK376" s="15">
        <v>3</v>
      </c>
      <c r="AL376" s="15">
        <v>28.16</v>
      </c>
      <c r="AM376" s="15">
        <v>2</v>
      </c>
      <c r="AN376" s="15">
        <v>84.47</v>
      </c>
      <c r="AO376" s="15">
        <v>0.01961</v>
      </c>
      <c r="AP376" s="15">
        <v>42.24</v>
      </c>
      <c r="AQ376" s="15">
        <v>0</v>
      </c>
      <c r="AR376" s="15">
        <v>0</v>
      </c>
      <c r="AS376" s="15">
        <v>0</v>
      </c>
      <c r="AT376" s="15">
        <v>1</v>
      </c>
      <c r="AU376" s="15">
        <v>1</v>
      </c>
      <c r="AV376" s="15">
        <v>0</v>
      </c>
      <c r="AW376" s="15">
        <v>0</v>
      </c>
      <c r="AX376" s="15">
        <v>0</v>
      </c>
      <c r="AY376" s="15">
        <v>154</v>
      </c>
      <c r="AZ376" s="15">
        <v>43</v>
      </c>
      <c r="BA376" s="15">
        <v>38</v>
      </c>
      <c r="BB376" s="15">
        <v>0.88372</v>
      </c>
      <c r="BC376" s="15">
        <v>0</v>
      </c>
      <c r="BD376" s="15">
        <v>0</v>
      </c>
      <c r="BE376" s="15">
        <v>0.06562</v>
      </c>
      <c r="BF376" s="15">
        <v>82</v>
      </c>
      <c r="BG376" s="15">
        <v>4</v>
      </c>
      <c r="BH376" s="15">
        <v>0</v>
      </c>
      <c r="BI376" s="15"/>
      <c r="BJ376" s="15">
        <v>0</v>
      </c>
      <c r="BK376" s="15">
        <v>0</v>
      </c>
      <c r="BL376" s="15">
        <v>0</v>
      </c>
      <c r="BM376" s="15">
        <v>0</v>
      </c>
      <c r="BN376" s="15"/>
      <c r="BO376" s="15"/>
      <c r="BP376" s="15">
        <v>0</v>
      </c>
      <c r="BQ376" s="15">
        <v>166</v>
      </c>
      <c r="BR376" s="15">
        <v>0</v>
      </c>
      <c r="BS376" s="15">
        <v>0</v>
      </c>
      <c r="BT376" s="15">
        <v>0</v>
      </c>
      <c r="BU376" s="15">
        <v>0</v>
      </c>
      <c r="BV376" s="15">
        <v>0</v>
      </c>
      <c r="BW376" s="15">
        <v>0</v>
      </c>
      <c r="BX376" s="15">
        <v>0</v>
      </c>
    </row>
    <row r="377" spans="1:76">
      <c r="A377" s="14" t="str">
        <f>VLOOKUP(C377,VLOOKUP!A:B,2,FALSE)</f>
        <v>鹅梨帐中香</v>
      </c>
      <c r="B377" s="16">
        <v>46031</v>
      </c>
      <c r="C377" s="17">
        <v>971317169387</v>
      </c>
      <c r="D377" s="15" t="s">
        <v>151</v>
      </c>
      <c r="E377" s="15" t="s">
        <v>155</v>
      </c>
      <c r="F377" s="15">
        <v>702</v>
      </c>
      <c r="G377" s="15">
        <v>21</v>
      </c>
      <c r="H377" s="15">
        <v>42.85</v>
      </c>
      <c r="I377" s="15">
        <v>0.02991</v>
      </c>
      <c r="J377" s="15">
        <v>2.04</v>
      </c>
      <c r="K377" s="15">
        <v>61.04</v>
      </c>
      <c r="L377" s="15">
        <v>0</v>
      </c>
      <c r="M377" s="15">
        <v>0</v>
      </c>
      <c r="N377" s="15">
        <v>0</v>
      </c>
      <c r="O377" s="15">
        <v>0</v>
      </c>
      <c r="P377" s="15">
        <v>0</v>
      </c>
      <c r="Q377" s="15">
        <v>0</v>
      </c>
      <c r="R377" s="15">
        <v>84.15</v>
      </c>
      <c r="S377" s="15">
        <v>121.8</v>
      </c>
      <c r="T377" s="15">
        <v>205.95</v>
      </c>
      <c r="U377" s="15">
        <v>2</v>
      </c>
      <c r="V377" s="15">
        <v>1</v>
      </c>
      <c r="W377" s="15">
        <v>1</v>
      </c>
      <c r="X377" s="15">
        <v>0.09524</v>
      </c>
      <c r="Y377" s="15">
        <v>4.81</v>
      </c>
      <c r="Z377" s="15">
        <v>4.81</v>
      </c>
      <c r="AA377" s="15">
        <v>21.43</v>
      </c>
      <c r="AB377" s="15">
        <v>2</v>
      </c>
      <c r="AC377" s="15">
        <v>1</v>
      </c>
      <c r="AD377" s="15">
        <v>1</v>
      </c>
      <c r="AE377" s="15">
        <v>0.09524</v>
      </c>
      <c r="AF377" s="15">
        <v>0</v>
      </c>
      <c r="AG377" s="15">
        <v>0</v>
      </c>
      <c r="AH377" s="15"/>
      <c r="AI377" s="15">
        <v>2</v>
      </c>
      <c r="AJ377" s="15">
        <v>21.43</v>
      </c>
      <c r="AK377" s="15">
        <v>2</v>
      </c>
      <c r="AL377" s="15">
        <v>21.43</v>
      </c>
      <c r="AM377" s="15">
        <v>0</v>
      </c>
      <c r="AN377" s="15"/>
      <c r="AO377" s="15">
        <v>0</v>
      </c>
      <c r="AP377" s="15">
        <v>21.43</v>
      </c>
      <c r="AQ377" s="15">
        <v>3</v>
      </c>
      <c r="AR377" s="15">
        <v>366</v>
      </c>
      <c r="AS377" s="15">
        <v>0</v>
      </c>
      <c r="AT377" s="15">
        <v>0</v>
      </c>
      <c r="AU377" s="15">
        <v>0</v>
      </c>
      <c r="AV377" s="15">
        <v>0</v>
      </c>
      <c r="AW377" s="15">
        <v>0</v>
      </c>
      <c r="AX377" s="15">
        <v>0</v>
      </c>
      <c r="AY377" s="15">
        <v>66</v>
      </c>
      <c r="AZ377" s="15">
        <v>19</v>
      </c>
      <c r="BA377" s="15">
        <v>14</v>
      </c>
      <c r="BB377" s="15">
        <v>0.73684</v>
      </c>
      <c r="BC377" s="15">
        <v>0</v>
      </c>
      <c r="BD377" s="15">
        <v>0</v>
      </c>
      <c r="BE377" s="15">
        <v>0.09402</v>
      </c>
      <c r="BF377" s="15">
        <v>42</v>
      </c>
      <c r="BG377" s="15">
        <v>3</v>
      </c>
      <c r="BH377" s="15">
        <v>1</v>
      </c>
      <c r="BI377" s="15">
        <v>1</v>
      </c>
      <c r="BJ377" s="15">
        <v>0</v>
      </c>
      <c r="BK377" s="15">
        <v>0</v>
      </c>
      <c r="BL377" s="15">
        <v>0</v>
      </c>
      <c r="BM377" s="15">
        <v>1</v>
      </c>
      <c r="BN377" s="15">
        <v>2</v>
      </c>
      <c r="BO377" s="15">
        <v>205.95</v>
      </c>
      <c r="BP377" s="15">
        <v>0</v>
      </c>
      <c r="BQ377" s="15">
        <v>425</v>
      </c>
      <c r="BR377" s="15">
        <v>0</v>
      </c>
      <c r="BS377" s="15">
        <v>0</v>
      </c>
      <c r="BT377" s="15">
        <v>0</v>
      </c>
      <c r="BU377" s="15">
        <v>0</v>
      </c>
      <c r="BV377" s="15">
        <v>0</v>
      </c>
      <c r="BW377" s="15">
        <v>0</v>
      </c>
      <c r="BX377" s="15">
        <v>0</v>
      </c>
    </row>
    <row r="378" spans="1:76">
      <c r="A378" s="14" t="str">
        <f>VLOOKUP(C378,VLOOKUP!A:B,2,FALSE)</f>
        <v>荔枝香</v>
      </c>
      <c r="B378" s="16">
        <v>46031</v>
      </c>
      <c r="C378" s="17">
        <v>960406497157</v>
      </c>
      <c r="D378" s="15" t="s">
        <v>151</v>
      </c>
      <c r="E378" s="15" t="s">
        <v>157</v>
      </c>
      <c r="F378" s="15">
        <v>855</v>
      </c>
      <c r="G378" s="15">
        <v>13</v>
      </c>
      <c r="H378" s="15">
        <v>12.26</v>
      </c>
      <c r="I378" s="15">
        <v>0.0152</v>
      </c>
      <c r="J378" s="15">
        <v>0.94</v>
      </c>
      <c r="K378" s="15">
        <v>14.34</v>
      </c>
      <c r="L378" s="15">
        <v>0</v>
      </c>
      <c r="M378" s="15">
        <v>0</v>
      </c>
      <c r="N378" s="15">
        <v>0</v>
      </c>
      <c r="O378" s="15">
        <v>0</v>
      </c>
      <c r="P378" s="15">
        <v>0</v>
      </c>
      <c r="Q378" s="15">
        <v>0</v>
      </c>
      <c r="R378" s="15">
        <v>0</v>
      </c>
      <c r="S378" s="15">
        <v>0</v>
      </c>
      <c r="T378" s="15">
        <v>0</v>
      </c>
      <c r="U378" s="15">
        <v>0</v>
      </c>
      <c r="V378" s="15">
        <v>0</v>
      </c>
      <c r="W378" s="15">
        <v>0</v>
      </c>
      <c r="X378" s="15">
        <v>0</v>
      </c>
      <c r="Y378" s="15">
        <v>0</v>
      </c>
      <c r="Z378" s="15">
        <v>0</v>
      </c>
      <c r="AA378" s="15"/>
      <c r="AB378" s="15">
        <v>0</v>
      </c>
      <c r="AC378" s="15">
        <v>0</v>
      </c>
      <c r="AD378" s="15">
        <v>0</v>
      </c>
      <c r="AE378" s="15">
        <v>0</v>
      </c>
      <c r="AF378" s="15">
        <v>2</v>
      </c>
      <c r="AG378" s="15">
        <v>0</v>
      </c>
      <c r="AH378" s="15"/>
      <c r="AI378" s="15">
        <v>2</v>
      </c>
      <c r="AJ378" s="15">
        <v>6.13</v>
      </c>
      <c r="AK378" s="15">
        <v>2</v>
      </c>
      <c r="AL378" s="15">
        <v>6.13</v>
      </c>
      <c r="AM378" s="15">
        <v>2</v>
      </c>
      <c r="AN378" s="15">
        <v>6.13</v>
      </c>
      <c r="AO378" s="15">
        <v>0.15385</v>
      </c>
      <c r="AP378" s="15"/>
      <c r="AQ378" s="15">
        <v>0</v>
      </c>
      <c r="AR378" s="15">
        <v>0</v>
      </c>
      <c r="AS378" s="15">
        <v>0</v>
      </c>
      <c r="AT378" s="15">
        <v>2</v>
      </c>
      <c r="AU378" s="15">
        <v>0</v>
      </c>
      <c r="AV378" s="15">
        <v>0</v>
      </c>
      <c r="AW378" s="15">
        <v>0</v>
      </c>
      <c r="AX378" s="15">
        <v>0</v>
      </c>
      <c r="AY378" s="15">
        <v>31</v>
      </c>
      <c r="AZ378" s="15">
        <v>13</v>
      </c>
      <c r="BA378" s="15">
        <v>7</v>
      </c>
      <c r="BB378" s="15">
        <v>0.53846</v>
      </c>
      <c r="BC378" s="15">
        <v>0</v>
      </c>
      <c r="BD378" s="15">
        <v>0</v>
      </c>
      <c r="BE378" s="15">
        <v>0.03626</v>
      </c>
      <c r="BF378" s="15">
        <v>15</v>
      </c>
      <c r="BG378" s="15">
        <v>2</v>
      </c>
      <c r="BH378" s="15">
        <v>0</v>
      </c>
      <c r="BI378" s="15"/>
      <c r="BJ378" s="15">
        <v>0</v>
      </c>
      <c r="BK378" s="15">
        <v>0</v>
      </c>
      <c r="BL378" s="15">
        <v>0</v>
      </c>
      <c r="BM378" s="15">
        <v>0</v>
      </c>
      <c r="BN378" s="15"/>
      <c r="BO378" s="15"/>
      <c r="BP378" s="15">
        <v>0</v>
      </c>
      <c r="BQ378" s="15">
        <v>30</v>
      </c>
      <c r="BR378" s="15">
        <v>0</v>
      </c>
      <c r="BS378" s="15">
        <v>0</v>
      </c>
      <c r="BT378" s="15">
        <v>0</v>
      </c>
      <c r="BU378" s="15">
        <v>0</v>
      </c>
      <c r="BV378" s="15">
        <v>0</v>
      </c>
      <c r="BW378" s="15">
        <v>0</v>
      </c>
      <c r="BX378" s="15">
        <v>0</v>
      </c>
    </row>
    <row r="379" spans="1:76">
      <c r="A379" s="14" t="str">
        <f>VLOOKUP(C379,VLOOKUP!A:B,2,FALSE)</f>
        <v>如意盘香</v>
      </c>
      <c r="B379" s="16">
        <v>46031</v>
      </c>
      <c r="C379" s="17">
        <v>838711327669</v>
      </c>
      <c r="D379" s="15" t="s">
        <v>151</v>
      </c>
      <c r="E379" s="15" t="s">
        <v>158</v>
      </c>
      <c r="F379" s="15">
        <v>474</v>
      </c>
      <c r="G379" s="15">
        <v>20</v>
      </c>
      <c r="H379" s="15">
        <v>83.19</v>
      </c>
      <c r="I379" s="15">
        <v>0.04219</v>
      </c>
      <c r="J379" s="15">
        <v>4.16</v>
      </c>
      <c r="K379" s="15">
        <v>175.51</v>
      </c>
      <c r="L379" s="15">
        <v>0</v>
      </c>
      <c r="M379" s="15">
        <v>0</v>
      </c>
      <c r="N379" s="15">
        <v>0</v>
      </c>
      <c r="O379" s="15">
        <v>0</v>
      </c>
      <c r="P379" s="15">
        <v>0</v>
      </c>
      <c r="Q379" s="15">
        <v>0</v>
      </c>
      <c r="R379" s="15">
        <v>0</v>
      </c>
      <c r="S379" s="15">
        <v>593.3</v>
      </c>
      <c r="T379" s="15">
        <v>593.3</v>
      </c>
      <c r="U379" s="15">
        <v>1</v>
      </c>
      <c r="V379" s="15">
        <v>0</v>
      </c>
      <c r="W379" s="15">
        <v>1</v>
      </c>
      <c r="X379" s="15">
        <v>0.05</v>
      </c>
      <c r="Y379" s="15">
        <v>7.13</v>
      </c>
      <c r="Z379" s="15">
        <v>7.13</v>
      </c>
      <c r="AA379" s="15">
        <v>83.19</v>
      </c>
      <c r="AB379" s="15">
        <v>1</v>
      </c>
      <c r="AC379" s="15">
        <v>0</v>
      </c>
      <c r="AD379" s="15">
        <v>1</v>
      </c>
      <c r="AE379" s="15">
        <v>0.05</v>
      </c>
      <c r="AF379" s="15">
        <v>0</v>
      </c>
      <c r="AG379" s="15">
        <v>1</v>
      </c>
      <c r="AH379" s="15">
        <v>83.19</v>
      </c>
      <c r="AI379" s="15">
        <v>2</v>
      </c>
      <c r="AJ379" s="15">
        <v>41.6</v>
      </c>
      <c r="AK379" s="15">
        <v>1</v>
      </c>
      <c r="AL379" s="15">
        <v>83.19</v>
      </c>
      <c r="AM379" s="15">
        <v>1</v>
      </c>
      <c r="AN379" s="15"/>
      <c r="AO379" s="15">
        <v>0</v>
      </c>
      <c r="AP379" s="15">
        <v>83.19</v>
      </c>
      <c r="AQ379" s="15">
        <v>2</v>
      </c>
      <c r="AR379" s="15">
        <v>806</v>
      </c>
      <c r="AS379" s="15">
        <v>0</v>
      </c>
      <c r="AT379" s="15">
        <v>0</v>
      </c>
      <c r="AU379" s="15">
        <v>0</v>
      </c>
      <c r="AV379" s="15">
        <v>0</v>
      </c>
      <c r="AW379" s="15">
        <v>0</v>
      </c>
      <c r="AX379" s="15">
        <v>0</v>
      </c>
      <c r="AY379" s="15">
        <v>60</v>
      </c>
      <c r="AZ379" s="15">
        <v>17</v>
      </c>
      <c r="BA379" s="15">
        <v>12</v>
      </c>
      <c r="BB379" s="15">
        <v>0.70588</v>
      </c>
      <c r="BC379" s="15">
        <v>0</v>
      </c>
      <c r="BD379" s="15">
        <v>0</v>
      </c>
      <c r="BE379" s="15">
        <v>0.12658</v>
      </c>
      <c r="BF379" s="15">
        <v>40</v>
      </c>
      <c r="BG379" s="15">
        <v>4</v>
      </c>
      <c r="BH379" s="15">
        <v>1</v>
      </c>
      <c r="BI379" s="15">
        <v>1</v>
      </c>
      <c r="BJ379" s="15">
        <v>0</v>
      </c>
      <c r="BK379" s="15">
        <v>0</v>
      </c>
      <c r="BL379" s="15">
        <v>0</v>
      </c>
      <c r="BM379" s="15">
        <v>1</v>
      </c>
      <c r="BN379" s="15">
        <v>1</v>
      </c>
      <c r="BO379" s="15">
        <v>593.3</v>
      </c>
      <c r="BP379" s="15">
        <v>0</v>
      </c>
      <c r="BQ379" s="15">
        <v>380</v>
      </c>
      <c r="BR379" s="15">
        <v>0</v>
      </c>
      <c r="BS379" s="15">
        <v>0</v>
      </c>
      <c r="BT379" s="15">
        <v>0</v>
      </c>
      <c r="BU379" s="15">
        <v>0</v>
      </c>
      <c r="BV379" s="15">
        <v>0</v>
      </c>
      <c r="BW379" s="15">
        <v>0</v>
      </c>
      <c r="BX379" s="15">
        <v>0</v>
      </c>
    </row>
    <row r="380" spans="1:76">
      <c r="A380" s="14" t="str">
        <f>VLOOKUP(C380,VLOOKUP!A:B,2,FALSE)</f>
        <v>四季线香</v>
      </c>
      <c r="B380" s="16">
        <v>46031</v>
      </c>
      <c r="C380" s="17">
        <v>742540384374</v>
      </c>
      <c r="D380" s="15" t="s">
        <v>151</v>
      </c>
      <c r="E380" s="15" t="s">
        <v>161</v>
      </c>
      <c r="F380" s="15">
        <v>1711</v>
      </c>
      <c r="G380" s="15">
        <v>24</v>
      </c>
      <c r="H380" s="15">
        <v>61.79</v>
      </c>
      <c r="I380" s="15">
        <v>0.01403</v>
      </c>
      <c r="J380" s="15">
        <v>2.57</v>
      </c>
      <c r="K380" s="15">
        <v>36.11</v>
      </c>
      <c r="L380" s="15">
        <v>0</v>
      </c>
      <c r="M380" s="15">
        <v>0</v>
      </c>
      <c r="N380" s="15">
        <v>0</v>
      </c>
      <c r="O380" s="15">
        <v>0</v>
      </c>
      <c r="P380" s="15">
        <v>0</v>
      </c>
      <c r="Q380" s="15">
        <v>0</v>
      </c>
      <c r="R380" s="15">
        <v>0</v>
      </c>
      <c r="S380" s="15">
        <v>0</v>
      </c>
      <c r="T380" s="15">
        <v>0</v>
      </c>
      <c r="U380" s="15">
        <v>0</v>
      </c>
      <c r="V380" s="15">
        <v>0</v>
      </c>
      <c r="W380" s="15">
        <v>0</v>
      </c>
      <c r="X380" s="15">
        <v>0</v>
      </c>
      <c r="Y380" s="15">
        <v>0</v>
      </c>
      <c r="Z380" s="15">
        <v>0</v>
      </c>
      <c r="AA380" s="15"/>
      <c r="AB380" s="15">
        <v>1</v>
      </c>
      <c r="AC380" s="15">
        <v>1</v>
      </c>
      <c r="AD380" s="15">
        <v>0</v>
      </c>
      <c r="AE380" s="15">
        <v>0.04167</v>
      </c>
      <c r="AF380" s="15">
        <v>0</v>
      </c>
      <c r="AG380" s="15">
        <v>0</v>
      </c>
      <c r="AH380" s="15"/>
      <c r="AI380" s="15">
        <v>1</v>
      </c>
      <c r="AJ380" s="15">
        <v>61.79</v>
      </c>
      <c r="AK380" s="15">
        <v>1</v>
      </c>
      <c r="AL380" s="15">
        <v>61.79</v>
      </c>
      <c r="AM380" s="15">
        <v>0</v>
      </c>
      <c r="AN380" s="15"/>
      <c r="AO380" s="15">
        <v>0</v>
      </c>
      <c r="AP380" s="15">
        <v>61.79</v>
      </c>
      <c r="AQ380" s="15">
        <v>0</v>
      </c>
      <c r="AR380" s="15">
        <v>0</v>
      </c>
      <c r="AS380" s="15">
        <v>0</v>
      </c>
      <c r="AT380" s="15">
        <v>0</v>
      </c>
      <c r="AU380" s="15">
        <v>0</v>
      </c>
      <c r="AV380" s="15">
        <v>0</v>
      </c>
      <c r="AW380" s="15">
        <v>0</v>
      </c>
      <c r="AX380" s="15">
        <v>0</v>
      </c>
      <c r="AY380" s="15">
        <v>38</v>
      </c>
      <c r="AZ380" s="15">
        <v>23</v>
      </c>
      <c r="BA380" s="15">
        <v>19</v>
      </c>
      <c r="BB380" s="15">
        <v>0.82609</v>
      </c>
      <c r="BC380" s="15">
        <v>0</v>
      </c>
      <c r="BD380" s="15">
        <v>0</v>
      </c>
      <c r="BE380" s="15">
        <v>0.02221</v>
      </c>
      <c r="BF380" s="15">
        <v>12</v>
      </c>
      <c r="BG380" s="15">
        <v>2</v>
      </c>
      <c r="BH380" s="15">
        <v>0</v>
      </c>
      <c r="BI380" s="15"/>
      <c r="BJ380" s="15">
        <v>0</v>
      </c>
      <c r="BK380" s="15">
        <v>0</v>
      </c>
      <c r="BL380" s="15">
        <v>0</v>
      </c>
      <c r="BM380" s="15">
        <v>0</v>
      </c>
      <c r="BN380" s="15"/>
      <c r="BO380" s="15"/>
      <c r="BP380" s="15">
        <v>0</v>
      </c>
      <c r="BQ380" s="15">
        <v>12</v>
      </c>
      <c r="BR380" s="15">
        <v>0</v>
      </c>
      <c r="BS380" s="15">
        <v>0</v>
      </c>
      <c r="BT380" s="15">
        <v>0</v>
      </c>
      <c r="BU380" s="15">
        <v>0</v>
      </c>
      <c r="BV380" s="15">
        <v>0</v>
      </c>
      <c r="BW380" s="15">
        <v>0</v>
      </c>
      <c r="BX380" s="15">
        <v>0</v>
      </c>
    </row>
    <row r="381" spans="1:76">
      <c r="A381" s="14" t="str">
        <f>VLOOKUP(C381,VLOOKUP!A:B,2,FALSE)</f>
        <v>车载香薰</v>
      </c>
      <c r="B381" s="16">
        <v>46031</v>
      </c>
      <c r="C381" s="17">
        <v>616090775596</v>
      </c>
      <c r="D381" s="15" t="s">
        <v>151</v>
      </c>
      <c r="E381" s="15" t="s">
        <v>162</v>
      </c>
      <c r="F381" s="15">
        <v>2874</v>
      </c>
      <c r="G381" s="15">
        <v>44</v>
      </c>
      <c r="H381" s="15">
        <v>92.43</v>
      </c>
      <c r="I381" s="15">
        <v>0.01531</v>
      </c>
      <c r="J381" s="15">
        <v>2.1</v>
      </c>
      <c r="K381" s="15">
        <v>32.16</v>
      </c>
      <c r="L381" s="15">
        <v>0</v>
      </c>
      <c r="M381" s="15">
        <v>0</v>
      </c>
      <c r="N381" s="15">
        <v>0</v>
      </c>
      <c r="O381" s="15">
        <v>0</v>
      </c>
      <c r="P381" s="15">
        <v>0</v>
      </c>
      <c r="Q381" s="15">
        <v>0</v>
      </c>
      <c r="R381" s="15">
        <v>0</v>
      </c>
      <c r="S381" s="15">
        <v>0</v>
      </c>
      <c r="T381" s="15">
        <v>0</v>
      </c>
      <c r="U381" s="15">
        <v>0</v>
      </c>
      <c r="V381" s="15">
        <v>0</v>
      </c>
      <c r="W381" s="15">
        <v>0</v>
      </c>
      <c r="X381" s="15">
        <v>0</v>
      </c>
      <c r="Y381" s="15">
        <v>0</v>
      </c>
      <c r="Z381" s="15">
        <v>0</v>
      </c>
      <c r="AA381" s="15"/>
      <c r="AB381" s="15">
        <v>0</v>
      </c>
      <c r="AC381" s="15">
        <v>0</v>
      </c>
      <c r="AD381" s="15">
        <v>0</v>
      </c>
      <c r="AE381" s="15">
        <v>0</v>
      </c>
      <c r="AF381" s="15">
        <v>1</v>
      </c>
      <c r="AG381" s="15">
        <v>0</v>
      </c>
      <c r="AH381" s="15"/>
      <c r="AI381" s="15">
        <v>1</v>
      </c>
      <c r="AJ381" s="15">
        <v>92.43</v>
      </c>
      <c r="AK381" s="15">
        <v>1</v>
      </c>
      <c r="AL381" s="15">
        <v>92.43</v>
      </c>
      <c r="AM381" s="15">
        <v>1</v>
      </c>
      <c r="AN381" s="15">
        <v>92.43</v>
      </c>
      <c r="AO381" s="15">
        <v>0.02273</v>
      </c>
      <c r="AP381" s="15"/>
      <c r="AQ381" s="15">
        <v>0</v>
      </c>
      <c r="AR381" s="15">
        <v>0</v>
      </c>
      <c r="AS381" s="15">
        <v>1</v>
      </c>
      <c r="AT381" s="15">
        <v>0</v>
      </c>
      <c r="AU381" s="15">
        <v>0</v>
      </c>
      <c r="AV381" s="15">
        <v>0</v>
      </c>
      <c r="AW381" s="15">
        <v>0</v>
      </c>
      <c r="AX381" s="15">
        <v>0</v>
      </c>
      <c r="AY381" s="15">
        <v>87</v>
      </c>
      <c r="AZ381" s="15">
        <v>39</v>
      </c>
      <c r="BA381" s="15">
        <v>36</v>
      </c>
      <c r="BB381" s="15">
        <v>0.92308</v>
      </c>
      <c r="BC381" s="15">
        <v>0</v>
      </c>
      <c r="BD381" s="15">
        <v>0</v>
      </c>
      <c r="BE381" s="15">
        <v>0.03027</v>
      </c>
      <c r="BF381" s="15">
        <v>39</v>
      </c>
      <c r="BG381" s="15">
        <v>2</v>
      </c>
      <c r="BH381" s="15">
        <v>0</v>
      </c>
      <c r="BI381" s="15"/>
      <c r="BJ381" s="15">
        <v>0</v>
      </c>
      <c r="BK381" s="15">
        <v>0</v>
      </c>
      <c r="BL381" s="15">
        <v>0</v>
      </c>
      <c r="BM381" s="15">
        <v>0</v>
      </c>
      <c r="BN381" s="15"/>
      <c r="BO381" s="15"/>
      <c r="BP381" s="15">
        <v>0.07</v>
      </c>
      <c r="BQ381" s="15">
        <v>15</v>
      </c>
      <c r="BR381" s="15">
        <v>0</v>
      </c>
      <c r="BS381" s="15">
        <v>0</v>
      </c>
      <c r="BT381" s="15">
        <v>0</v>
      </c>
      <c r="BU381" s="15">
        <v>0</v>
      </c>
      <c r="BV381" s="15">
        <v>0</v>
      </c>
      <c r="BW381" s="15">
        <v>0</v>
      </c>
      <c r="BX381" s="15">
        <v>0</v>
      </c>
    </row>
    <row r="382" spans="1:76">
      <c r="A382" s="14" t="str">
        <f>VLOOKUP(C382,VLOOKUP!A:B,2,FALSE)</f>
        <v>鹅梨帐中香</v>
      </c>
      <c r="B382" s="16">
        <v>46030</v>
      </c>
      <c r="C382" s="17">
        <v>971317169387</v>
      </c>
      <c r="D382" s="15" t="s">
        <v>151</v>
      </c>
      <c r="E382" s="15" t="s">
        <v>155</v>
      </c>
      <c r="F382" s="15">
        <v>748</v>
      </c>
      <c r="G382" s="15">
        <v>17</v>
      </c>
      <c r="H382" s="15">
        <v>32.27</v>
      </c>
      <c r="I382" s="15">
        <v>0.02273</v>
      </c>
      <c r="J382" s="15">
        <v>1.9</v>
      </c>
      <c r="K382" s="15">
        <v>43.14</v>
      </c>
      <c r="L382" s="15">
        <v>0</v>
      </c>
      <c r="M382" s="15">
        <v>0</v>
      </c>
      <c r="N382" s="15">
        <v>0</v>
      </c>
      <c r="O382" s="15">
        <v>0</v>
      </c>
      <c r="P382" s="15">
        <v>0</v>
      </c>
      <c r="Q382" s="15">
        <v>0</v>
      </c>
      <c r="R382" s="15">
        <v>0</v>
      </c>
      <c r="S382" s="15">
        <v>0</v>
      </c>
      <c r="T382" s="15">
        <v>0</v>
      </c>
      <c r="U382" s="15">
        <v>0</v>
      </c>
      <c r="V382" s="15">
        <v>0</v>
      </c>
      <c r="W382" s="15">
        <v>0</v>
      </c>
      <c r="X382" s="15">
        <v>0</v>
      </c>
      <c r="Y382" s="15">
        <v>0</v>
      </c>
      <c r="Z382" s="15">
        <v>0</v>
      </c>
      <c r="AA382" s="15"/>
      <c r="AB382" s="15">
        <v>0</v>
      </c>
      <c r="AC382" s="15">
        <v>0</v>
      </c>
      <c r="AD382" s="15">
        <v>0</v>
      </c>
      <c r="AE382" s="15">
        <v>0</v>
      </c>
      <c r="AF382" s="15">
        <v>0</v>
      </c>
      <c r="AG382" s="15">
        <v>0</v>
      </c>
      <c r="AH382" s="15"/>
      <c r="AI382" s="15">
        <v>0</v>
      </c>
      <c r="AJ382" s="15"/>
      <c r="AK382" s="15">
        <v>0</v>
      </c>
      <c r="AL382" s="15"/>
      <c r="AM382" s="15">
        <v>0</v>
      </c>
      <c r="AN382" s="15"/>
      <c r="AO382" s="15">
        <v>0</v>
      </c>
      <c r="AP382" s="15"/>
      <c r="AQ382" s="15">
        <v>0</v>
      </c>
      <c r="AR382" s="15">
        <v>0</v>
      </c>
      <c r="AS382" s="15">
        <v>0</v>
      </c>
      <c r="AT382" s="15">
        <v>0</v>
      </c>
      <c r="AU382" s="15">
        <v>0</v>
      </c>
      <c r="AV382" s="15">
        <v>0</v>
      </c>
      <c r="AW382" s="15">
        <v>0</v>
      </c>
      <c r="AX382" s="15">
        <v>1</v>
      </c>
      <c r="AY382" s="15">
        <v>64</v>
      </c>
      <c r="AZ382" s="15">
        <v>16</v>
      </c>
      <c r="BA382" s="15">
        <v>14</v>
      </c>
      <c r="BB382" s="15">
        <v>0.875</v>
      </c>
      <c r="BC382" s="15">
        <v>0</v>
      </c>
      <c r="BD382" s="15">
        <v>0</v>
      </c>
      <c r="BE382" s="15">
        <v>0.08556</v>
      </c>
      <c r="BF382" s="15">
        <v>45</v>
      </c>
      <c r="BG382" s="15">
        <v>4</v>
      </c>
      <c r="BH382" s="15">
        <v>0</v>
      </c>
      <c r="BI382" s="15"/>
      <c r="BJ382" s="15">
        <v>0</v>
      </c>
      <c r="BK382" s="15">
        <v>0</v>
      </c>
      <c r="BL382" s="15">
        <v>0</v>
      </c>
      <c r="BM382" s="15">
        <v>0</v>
      </c>
      <c r="BN382" s="15"/>
      <c r="BO382" s="15"/>
      <c r="BP382" s="15">
        <v>0</v>
      </c>
      <c r="BQ382" s="15">
        <v>23</v>
      </c>
      <c r="BR382" s="15">
        <v>0</v>
      </c>
      <c r="BS382" s="15">
        <v>0</v>
      </c>
      <c r="BT382" s="15">
        <v>0</v>
      </c>
      <c r="BU382" s="15">
        <v>0</v>
      </c>
      <c r="BV382" s="15">
        <v>0</v>
      </c>
      <c r="BW382" s="15">
        <v>0</v>
      </c>
      <c r="BX382" s="15">
        <v>0</v>
      </c>
    </row>
    <row r="383" spans="1:76">
      <c r="A383" s="14" t="str">
        <f>VLOOKUP(C383,VLOOKUP!A:B,2,FALSE)</f>
        <v>荔枝香</v>
      </c>
      <c r="B383" s="16">
        <v>46030</v>
      </c>
      <c r="C383" s="17">
        <v>960406497157</v>
      </c>
      <c r="D383" s="15" t="s">
        <v>151</v>
      </c>
      <c r="E383" s="15" t="s">
        <v>157</v>
      </c>
      <c r="F383" s="15">
        <v>854</v>
      </c>
      <c r="G383" s="15">
        <v>11</v>
      </c>
      <c r="H383" s="15">
        <v>19.2</v>
      </c>
      <c r="I383" s="15">
        <v>0.01288</v>
      </c>
      <c r="J383" s="15">
        <v>1.75</v>
      </c>
      <c r="K383" s="15">
        <v>22.48</v>
      </c>
      <c r="L383" s="15">
        <v>0</v>
      </c>
      <c r="M383" s="15">
        <v>0</v>
      </c>
      <c r="N383" s="15">
        <v>0</v>
      </c>
      <c r="O383" s="15">
        <v>0</v>
      </c>
      <c r="P383" s="15">
        <v>0</v>
      </c>
      <c r="Q383" s="15">
        <v>0</v>
      </c>
      <c r="R383" s="15">
        <v>0</v>
      </c>
      <c r="S383" s="15">
        <v>0</v>
      </c>
      <c r="T383" s="15">
        <v>0</v>
      </c>
      <c r="U383" s="15">
        <v>0</v>
      </c>
      <c r="V383" s="15">
        <v>0</v>
      </c>
      <c r="W383" s="15">
        <v>0</v>
      </c>
      <c r="X383" s="15">
        <v>0</v>
      </c>
      <c r="Y383" s="15">
        <v>0</v>
      </c>
      <c r="Z383" s="15">
        <v>0</v>
      </c>
      <c r="AA383" s="15"/>
      <c r="AB383" s="15">
        <v>0</v>
      </c>
      <c r="AC383" s="15">
        <v>0</v>
      </c>
      <c r="AD383" s="15">
        <v>0</v>
      </c>
      <c r="AE383" s="15">
        <v>0</v>
      </c>
      <c r="AF383" s="15">
        <v>0</v>
      </c>
      <c r="AG383" s="15">
        <v>0</v>
      </c>
      <c r="AH383" s="15"/>
      <c r="AI383" s="15">
        <v>0</v>
      </c>
      <c r="AJ383" s="15"/>
      <c r="AK383" s="15">
        <v>0</v>
      </c>
      <c r="AL383" s="15"/>
      <c r="AM383" s="15">
        <v>0</v>
      </c>
      <c r="AN383" s="15"/>
      <c r="AO383" s="15">
        <v>0</v>
      </c>
      <c r="AP383" s="15"/>
      <c r="AQ383" s="15">
        <v>0</v>
      </c>
      <c r="AR383" s="15">
        <v>0</v>
      </c>
      <c r="AS383" s="15">
        <v>0</v>
      </c>
      <c r="AT383" s="15">
        <v>0</v>
      </c>
      <c r="AU383" s="15">
        <v>0</v>
      </c>
      <c r="AV383" s="15">
        <v>0</v>
      </c>
      <c r="AW383" s="15">
        <v>0</v>
      </c>
      <c r="AX383" s="15">
        <v>0</v>
      </c>
      <c r="AY383" s="15">
        <v>25</v>
      </c>
      <c r="AZ383" s="15">
        <v>11</v>
      </c>
      <c r="BA383" s="15">
        <v>9</v>
      </c>
      <c r="BB383" s="15">
        <v>0.81818</v>
      </c>
      <c r="BC383" s="15">
        <v>0</v>
      </c>
      <c r="BD383" s="15">
        <v>0</v>
      </c>
      <c r="BE383" s="15">
        <v>0.02927</v>
      </c>
      <c r="BF383" s="15">
        <v>11</v>
      </c>
      <c r="BG383" s="15">
        <v>2</v>
      </c>
      <c r="BH383" s="15">
        <v>0</v>
      </c>
      <c r="BI383" s="15"/>
      <c r="BJ383" s="15">
        <v>0</v>
      </c>
      <c r="BK383" s="15">
        <v>0</v>
      </c>
      <c r="BL383" s="15">
        <v>0</v>
      </c>
      <c r="BM383" s="15">
        <v>0</v>
      </c>
      <c r="BN383" s="15"/>
      <c r="BO383" s="15"/>
      <c r="BP383" s="15">
        <v>0</v>
      </c>
      <c r="BQ383" s="15">
        <v>25</v>
      </c>
      <c r="BR383" s="15">
        <v>0</v>
      </c>
      <c r="BS383" s="15">
        <v>0</v>
      </c>
      <c r="BT383" s="15">
        <v>0</v>
      </c>
      <c r="BU383" s="15">
        <v>0</v>
      </c>
      <c r="BV383" s="15">
        <v>0</v>
      </c>
      <c r="BW383" s="15">
        <v>0</v>
      </c>
      <c r="BX383" s="15">
        <v>0</v>
      </c>
    </row>
    <row r="384" spans="1:76">
      <c r="A384" s="14" t="str">
        <f>VLOOKUP(C384,VLOOKUP!A:B,2,FALSE)</f>
        <v>如意盘香</v>
      </c>
      <c r="B384" s="16">
        <v>46030</v>
      </c>
      <c r="C384" s="17">
        <v>838711327669</v>
      </c>
      <c r="D384" s="15" t="s">
        <v>151</v>
      </c>
      <c r="E384" s="15" t="s">
        <v>158</v>
      </c>
      <c r="F384" s="15">
        <v>320</v>
      </c>
      <c r="G384" s="15">
        <v>15</v>
      </c>
      <c r="H384" s="15">
        <v>100</v>
      </c>
      <c r="I384" s="15">
        <v>0.04688</v>
      </c>
      <c r="J384" s="15">
        <v>6.67</v>
      </c>
      <c r="K384" s="15">
        <v>312.5</v>
      </c>
      <c r="L384" s="15">
        <v>0</v>
      </c>
      <c r="M384" s="15">
        <v>0</v>
      </c>
      <c r="N384" s="15">
        <v>0</v>
      </c>
      <c r="O384" s="15">
        <v>0</v>
      </c>
      <c r="P384" s="15">
        <v>0</v>
      </c>
      <c r="Q384" s="15">
        <v>0</v>
      </c>
      <c r="R384" s="15">
        <v>0</v>
      </c>
      <c r="S384" s="15">
        <v>2268</v>
      </c>
      <c r="T384" s="15">
        <v>2268</v>
      </c>
      <c r="U384" s="15">
        <v>2</v>
      </c>
      <c r="V384" s="15">
        <v>0</v>
      </c>
      <c r="W384" s="15">
        <v>2</v>
      </c>
      <c r="X384" s="15">
        <v>0.13333</v>
      </c>
      <c r="Y384" s="15">
        <v>22.68</v>
      </c>
      <c r="Z384" s="15">
        <v>22.68</v>
      </c>
      <c r="AA384" s="15">
        <v>50</v>
      </c>
      <c r="AB384" s="15">
        <v>9</v>
      </c>
      <c r="AC384" s="15">
        <v>1</v>
      </c>
      <c r="AD384" s="15">
        <v>8</v>
      </c>
      <c r="AE384" s="15">
        <v>0.6</v>
      </c>
      <c r="AF384" s="15">
        <v>0</v>
      </c>
      <c r="AG384" s="15">
        <v>0</v>
      </c>
      <c r="AH384" s="15"/>
      <c r="AI384" s="15">
        <v>9</v>
      </c>
      <c r="AJ384" s="15">
        <v>11.11</v>
      </c>
      <c r="AK384" s="15">
        <v>9</v>
      </c>
      <c r="AL384" s="15">
        <v>11.11</v>
      </c>
      <c r="AM384" s="15">
        <v>0</v>
      </c>
      <c r="AN384" s="15"/>
      <c r="AO384" s="15">
        <v>0</v>
      </c>
      <c r="AP384" s="15">
        <v>11.11</v>
      </c>
      <c r="AQ384" s="15">
        <v>3</v>
      </c>
      <c r="AR384" s="15">
        <v>3748</v>
      </c>
      <c r="AS384" s="15">
        <v>0</v>
      </c>
      <c r="AT384" s="15">
        <v>0</v>
      </c>
      <c r="AU384" s="15">
        <v>0</v>
      </c>
      <c r="AV384" s="15">
        <v>0</v>
      </c>
      <c r="AW384" s="15">
        <v>0</v>
      </c>
      <c r="AX384" s="15">
        <v>1</v>
      </c>
      <c r="AY384" s="15">
        <v>145</v>
      </c>
      <c r="AZ384" s="15">
        <v>13</v>
      </c>
      <c r="BA384" s="15">
        <v>8</v>
      </c>
      <c r="BB384" s="15">
        <v>0.61538</v>
      </c>
      <c r="BC384" s="15">
        <v>0</v>
      </c>
      <c r="BD384" s="15">
        <v>0</v>
      </c>
      <c r="BE384" s="15">
        <v>0.45313</v>
      </c>
      <c r="BF384" s="15">
        <v>130</v>
      </c>
      <c r="BG384" s="15">
        <v>11</v>
      </c>
      <c r="BH384" s="15">
        <v>1</v>
      </c>
      <c r="BI384" s="15">
        <v>1</v>
      </c>
      <c r="BJ384" s="15">
        <v>0</v>
      </c>
      <c r="BK384" s="15">
        <v>0</v>
      </c>
      <c r="BL384" s="15">
        <v>0</v>
      </c>
      <c r="BM384" s="15">
        <v>1</v>
      </c>
      <c r="BN384" s="15">
        <v>2</v>
      </c>
      <c r="BO384" s="15">
        <v>2268</v>
      </c>
      <c r="BP384" s="15">
        <v>0</v>
      </c>
      <c r="BQ384" s="15">
        <v>204</v>
      </c>
      <c r="BR384" s="15">
        <v>0</v>
      </c>
      <c r="BS384" s="15">
        <v>0</v>
      </c>
      <c r="BT384" s="15">
        <v>0</v>
      </c>
      <c r="BU384" s="15">
        <v>0</v>
      </c>
      <c r="BV384" s="15">
        <v>0</v>
      </c>
      <c r="BW384" s="15">
        <v>0</v>
      </c>
      <c r="BX384" s="15">
        <v>0</v>
      </c>
    </row>
    <row r="385" spans="1:76">
      <c r="A385" s="14" t="str">
        <f>VLOOKUP(C385,VLOOKUP!A:B,2,FALSE)</f>
        <v>四季线香</v>
      </c>
      <c r="B385" s="16">
        <v>46030</v>
      </c>
      <c r="C385" s="17">
        <v>742540384374</v>
      </c>
      <c r="D385" s="15" t="s">
        <v>151</v>
      </c>
      <c r="E385" s="15" t="s">
        <v>161</v>
      </c>
      <c r="F385" s="15">
        <v>806</v>
      </c>
      <c r="G385" s="15">
        <v>13</v>
      </c>
      <c r="H385" s="15">
        <v>57.05</v>
      </c>
      <c r="I385" s="15">
        <v>0.01613</v>
      </c>
      <c r="J385" s="15">
        <v>4.39</v>
      </c>
      <c r="K385" s="15">
        <v>70.78</v>
      </c>
      <c r="L385" s="15">
        <v>0</v>
      </c>
      <c r="M385" s="15">
        <v>0</v>
      </c>
      <c r="N385" s="15">
        <v>0</v>
      </c>
      <c r="O385" s="15">
        <v>0</v>
      </c>
      <c r="P385" s="15">
        <v>0</v>
      </c>
      <c r="Q385" s="15">
        <v>0</v>
      </c>
      <c r="R385" s="15">
        <v>0</v>
      </c>
      <c r="S385" s="15">
        <v>0</v>
      </c>
      <c r="T385" s="15">
        <v>0</v>
      </c>
      <c r="U385" s="15">
        <v>0</v>
      </c>
      <c r="V385" s="15">
        <v>0</v>
      </c>
      <c r="W385" s="15">
        <v>0</v>
      </c>
      <c r="X385" s="15">
        <v>0</v>
      </c>
      <c r="Y385" s="15">
        <v>0</v>
      </c>
      <c r="Z385" s="15">
        <v>0</v>
      </c>
      <c r="AA385" s="15"/>
      <c r="AB385" s="15">
        <v>4</v>
      </c>
      <c r="AC385" s="15">
        <v>2</v>
      </c>
      <c r="AD385" s="15">
        <v>2</v>
      </c>
      <c r="AE385" s="15">
        <v>0.30769</v>
      </c>
      <c r="AF385" s="15">
        <v>0</v>
      </c>
      <c r="AG385" s="15">
        <v>0</v>
      </c>
      <c r="AH385" s="15"/>
      <c r="AI385" s="15">
        <v>4</v>
      </c>
      <c r="AJ385" s="15">
        <v>14.26</v>
      </c>
      <c r="AK385" s="15">
        <v>4</v>
      </c>
      <c r="AL385" s="15">
        <v>14.26</v>
      </c>
      <c r="AM385" s="15">
        <v>0</v>
      </c>
      <c r="AN385" s="15"/>
      <c r="AO385" s="15">
        <v>0</v>
      </c>
      <c r="AP385" s="15">
        <v>14.26</v>
      </c>
      <c r="AQ385" s="15">
        <v>0</v>
      </c>
      <c r="AR385" s="15">
        <v>0</v>
      </c>
      <c r="AS385" s="15">
        <v>0</v>
      </c>
      <c r="AT385" s="15">
        <v>0</v>
      </c>
      <c r="AU385" s="15">
        <v>0</v>
      </c>
      <c r="AV385" s="15">
        <v>0</v>
      </c>
      <c r="AW385" s="15">
        <v>0</v>
      </c>
      <c r="AX385" s="15">
        <v>0</v>
      </c>
      <c r="AY385" s="15">
        <v>38</v>
      </c>
      <c r="AZ385" s="15">
        <v>14</v>
      </c>
      <c r="BA385" s="15">
        <v>13</v>
      </c>
      <c r="BB385" s="15">
        <v>0.92857</v>
      </c>
      <c r="BC385" s="15">
        <v>0</v>
      </c>
      <c r="BD385" s="15">
        <v>0</v>
      </c>
      <c r="BE385" s="15">
        <v>0.04715</v>
      </c>
      <c r="BF385" s="15">
        <v>21</v>
      </c>
      <c r="BG385" s="15">
        <v>3</v>
      </c>
      <c r="BH385" s="15">
        <v>0</v>
      </c>
      <c r="BI385" s="15"/>
      <c r="BJ385" s="15">
        <v>0</v>
      </c>
      <c r="BK385" s="15">
        <v>0</v>
      </c>
      <c r="BL385" s="15">
        <v>0</v>
      </c>
      <c r="BM385" s="15">
        <v>0</v>
      </c>
      <c r="BN385" s="15"/>
      <c r="BO385" s="15"/>
      <c r="BP385" s="15">
        <v>0</v>
      </c>
      <c r="BQ385" s="15">
        <v>116</v>
      </c>
      <c r="BR385" s="15">
        <v>0</v>
      </c>
      <c r="BS385" s="15">
        <v>0</v>
      </c>
      <c r="BT385" s="15">
        <v>0</v>
      </c>
      <c r="BU385" s="15">
        <v>0</v>
      </c>
      <c r="BV385" s="15">
        <v>0</v>
      </c>
      <c r="BW385" s="15">
        <v>0</v>
      </c>
      <c r="BX385" s="15">
        <v>0</v>
      </c>
    </row>
    <row r="386" spans="1:76">
      <c r="A386" s="14" t="str">
        <f>VLOOKUP(C386,VLOOKUP!A:B,2,FALSE)</f>
        <v>车载香薰</v>
      </c>
      <c r="B386" s="16">
        <v>46030</v>
      </c>
      <c r="C386" s="17">
        <v>616090775596</v>
      </c>
      <c r="D386" s="15" t="s">
        <v>151</v>
      </c>
      <c r="E386" s="15" t="s">
        <v>162</v>
      </c>
      <c r="F386" s="15">
        <v>1883</v>
      </c>
      <c r="G386" s="15">
        <v>40</v>
      </c>
      <c r="H386" s="15">
        <v>55.65</v>
      </c>
      <c r="I386" s="15">
        <v>0.02124</v>
      </c>
      <c r="J386" s="15">
        <v>1.39</v>
      </c>
      <c r="K386" s="15">
        <v>29.55</v>
      </c>
      <c r="L386" s="15">
        <v>0</v>
      </c>
      <c r="M386" s="15">
        <v>0</v>
      </c>
      <c r="N386" s="15">
        <v>0</v>
      </c>
      <c r="O386" s="15">
        <v>0</v>
      </c>
      <c r="P386" s="15">
        <v>0</v>
      </c>
      <c r="Q386" s="15">
        <v>0</v>
      </c>
      <c r="R386" s="15">
        <v>0</v>
      </c>
      <c r="S386" s="15">
        <v>0</v>
      </c>
      <c r="T386" s="15">
        <v>0</v>
      </c>
      <c r="U386" s="15">
        <v>0</v>
      </c>
      <c r="V386" s="15">
        <v>0</v>
      </c>
      <c r="W386" s="15">
        <v>0</v>
      </c>
      <c r="X386" s="15">
        <v>0</v>
      </c>
      <c r="Y386" s="15">
        <v>0</v>
      </c>
      <c r="Z386" s="15">
        <v>0</v>
      </c>
      <c r="AA386" s="15"/>
      <c r="AB386" s="15">
        <v>0</v>
      </c>
      <c r="AC386" s="15">
        <v>0</v>
      </c>
      <c r="AD386" s="15">
        <v>0</v>
      </c>
      <c r="AE386" s="15">
        <v>0</v>
      </c>
      <c r="AF386" s="15">
        <v>0</v>
      </c>
      <c r="AG386" s="15">
        <v>0</v>
      </c>
      <c r="AH386" s="15"/>
      <c r="AI386" s="15">
        <v>0</v>
      </c>
      <c r="AJ386" s="15"/>
      <c r="AK386" s="15">
        <v>0</v>
      </c>
      <c r="AL386" s="15"/>
      <c r="AM386" s="15">
        <v>0</v>
      </c>
      <c r="AN386" s="15"/>
      <c r="AO386" s="15">
        <v>0</v>
      </c>
      <c r="AP386" s="15"/>
      <c r="AQ386" s="15">
        <v>0</v>
      </c>
      <c r="AR386" s="15">
        <v>0</v>
      </c>
      <c r="AS386" s="15">
        <v>0</v>
      </c>
      <c r="AT386" s="15">
        <v>0</v>
      </c>
      <c r="AU386" s="15">
        <v>0</v>
      </c>
      <c r="AV386" s="15">
        <v>0</v>
      </c>
      <c r="AW386" s="15">
        <v>0</v>
      </c>
      <c r="AX386" s="15">
        <v>0</v>
      </c>
      <c r="AY386" s="15">
        <v>82</v>
      </c>
      <c r="AZ386" s="15">
        <v>37</v>
      </c>
      <c r="BA386" s="15">
        <v>33</v>
      </c>
      <c r="BB386" s="15">
        <v>0.89189</v>
      </c>
      <c r="BC386" s="15">
        <v>0</v>
      </c>
      <c r="BD386" s="15">
        <v>0</v>
      </c>
      <c r="BE386" s="15">
        <v>0.04355</v>
      </c>
      <c r="BF386" s="15">
        <v>18</v>
      </c>
      <c r="BG386" s="15">
        <v>2</v>
      </c>
      <c r="BH386" s="15">
        <v>0</v>
      </c>
      <c r="BI386" s="15"/>
      <c r="BJ386" s="15">
        <v>0</v>
      </c>
      <c r="BK386" s="15">
        <v>0</v>
      </c>
      <c r="BL386" s="15">
        <v>0</v>
      </c>
      <c r="BM386" s="15">
        <v>0</v>
      </c>
      <c r="BN386" s="15"/>
      <c r="BO386" s="15"/>
      <c r="BP386" s="15">
        <v>0</v>
      </c>
      <c r="BQ386" s="15">
        <v>13</v>
      </c>
      <c r="BR386" s="15">
        <v>0</v>
      </c>
      <c r="BS386" s="15">
        <v>0</v>
      </c>
      <c r="BT386" s="15">
        <v>0</v>
      </c>
      <c r="BU386" s="15">
        <v>0</v>
      </c>
      <c r="BV386" s="15">
        <v>0</v>
      </c>
      <c r="BW386" s="15">
        <v>0</v>
      </c>
      <c r="BX386" s="15">
        <v>0</v>
      </c>
    </row>
    <row r="387" spans="1:76">
      <c r="A387" s="14" t="str">
        <f>VLOOKUP(C387,VLOOKUP!A:B,2,FALSE)</f>
        <v>鹅梨帐中香</v>
      </c>
      <c r="B387" s="16">
        <v>46029</v>
      </c>
      <c r="C387" s="17">
        <v>971317169387</v>
      </c>
      <c r="D387" s="15" t="s">
        <v>151</v>
      </c>
      <c r="E387" s="15" t="s">
        <v>155</v>
      </c>
      <c r="F387" s="15">
        <v>730</v>
      </c>
      <c r="G387" s="15">
        <v>17</v>
      </c>
      <c r="H387" s="15">
        <v>36.84</v>
      </c>
      <c r="I387" s="15">
        <v>0.02329</v>
      </c>
      <c r="J387" s="15">
        <v>2.17</v>
      </c>
      <c r="K387" s="15">
        <v>50.47</v>
      </c>
      <c r="L387" s="15">
        <v>0</v>
      </c>
      <c r="M387" s="15">
        <v>0</v>
      </c>
      <c r="N387" s="15">
        <v>0</v>
      </c>
      <c r="O387" s="15">
        <v>0</v>
      </c>
      <c r="P387" s="15">
        <v>0</v>
      </c>
      <c r="Q387" s="15">
        <v>0</v>
      </c>
      <c r="R387" s="15">
        <v>0</v>
      </c>
      <c r="S387" s="15">
        <v>0</v>
      </c>
      <c r="T387" s="15">
        <v>0</v>
      </c>
      <c r="U387" s="15">
        <v>0</v>
      </c>
      <c r="V387" s="15">
        <v>0</v>
      </c>
      <c r="W387" s="15">
        <v>0</v>
      </c>
      <c r="X387" s="15">
        <v>0</v>
      </c>
      <c r="Y387" s="15">
        <v>0</v>
      </c>
      <c r="Z387" s="15">
        <v>0</v>
      </c>
      <c r="AA387" s="15"/>
      <c r="AB387" s="15">
        <v>2</v>
      </c>
      <c r="AC387" s="15">
        <v>0</v>
      </c>
      <c r="AD387" s="15">
        <v>2</v>
      </c>
      <c r="AE387" s="15">
        <v>0.11765</v>
      </c>
      <c r="AF387" s="15">
        <v>0</v>
      </c>
      <c r="AG387" s="15">
        <v>0</v>
      </c>
      <c r="AH387" s="15"/>
      <c r="AI387" s="15">
        <v>2</v>
      </c>
      <c r="AJ387" s="15">
        <v>18.42</v>
      </c>
      <c r="AK387" s="15">
        <v>2</v>
      </c>
      <c r="AL387" s="15">
        <v>18.42</v>
      </c>
      <c r="AM387" s="15">
        <v>0</v>
      </c>
      <c r="AN387" s="15"/>
      <c r="AO387" s="15">
        <v>0</v>
      </c>
      <c r="AP387" s="15">
        <v>18.42</v>
      </c>
      <c r="AQ387" s="15">
        <v>0</v>
      </c>
      <c r="AR387" s="15">
        <v>0</v>
      </c>
      <c r="AS387" s="15">
        <v>0</v>
      </c>
      <c r="AT387" s="15">
        <v>0</v>
      </c>
      <c r="AU387" s="15">
        <v>0</v>
      </c>
      <c r="AV387" s="15">
        <v>0</v>
      </c>
      <c r="AW387" s="15">
        <v>0</v>
      </c>
      <c r="AX387" s="15">
        <v>0</v>
      </c>
      <c r="AY387" s="15">
        <v>57</v>
      </c>
      <c r="AZ387" s="15">
        <v>15</v>
      </c>
      <c r="BA387" s="15">
        <v>10</v>
      </c>
      <c r="BB387" s="15">
        <v>0.66667</v>
      </c>
      <c r="BC387" s="15">
        <v>0</v>
      </c>
      <c r="BD387" s="15">
        <v>0</v>
      </c>
      <c r="BE387" s="15">
        <v>0.07808</v>
      </c>
      <c r="BF387" s="15">
        <v>41</v>
      </c>
      <c r="BG387" s="15">
        <v>4</v>
      </c>
      <c r="BH387" s="15">
        <v>0</v>
      </c>
      <c r="BI387" s="15"/>
      <c r="BJ387" s="15">
        <v>0</v>
      </c>
      <c r="BK387" s="15">
        <v>0</v>
      </c>
      <c r="BL387" s="15">
        <v>0</v>
      </c>
      <c r="BM387" s="15">
        <v>0</v>
      </c>
      <c r="BN387" s="15"/>
      <c r="BO387" s="15"/>
      <c r="BP387" s="15">
        <v>0</v>
      </c>
      <c r="BQ387" s="15">
        <v>54</v>
      </c>
      <c r="BR387" s="15">
        <v>0</v>
      </c>
      <c r="BS387" s="15">
        <v>0</v>
      </c>
      <c r="BT387" s="15">
        <v>0</v>
      </c>
      <c r="BU387" s="15">
        <v>0</v>
      </c>
      <c r="BV387" s="15">
        <v>0</v>
      </c>
      <c r="BW387" s="15">
        <v>0</v>
      </c>
      <c r="BX387" s="15">
        <v>0</v>
      </c>
    </row>
    <row r="388" spans="1:76">
      <c r="A388" s="14" t="str">
        <f>VLOOKUP(C388,VLOOKUP!A:B,2,FALSE)</f>
        <v>荔枝香</v>
      </c>
      <c r="B388" s="16">
        <v>46029</v>
      </c>
      <c r="C388" s="17">
        <v>960406497157</v>
      </c>
      <c r="D388" s="15" t="s">
        <v>151</v>
      </c>
      <c r="E388" s="15" t="s">
        <v>157</v>
      </c>
      <c r="F388" s="15">
        <v>1667</v>
      </c>
      <c r="G388" s="15">
        <v>16</v>
      </c>
      <c r="H388" s="15">
        <v>19.26</v>
      </c>
      <c r="I388" s="15">
        <v>0.0096</v>
      </c>
      <c r="J388" s="15">
        <v>1.2</v>
      </c>
      <c r="K388" s="15">
        <v>11.55</v>
      </c>
      <c r="L388" s="15">
        <v>0</v>
      </c>
      <c r="M388" s="15">
        <v>0</v>
      </c>
      <c r="N388" s="15">
        <v>0</v>
      </c>
      <c r="O388" s="15">
        <v>0</v>
      </c>
      <c r="P388" s="15">
        <v>0</v>
      </c>
      <c r="Q388" s="15">
        <v>0</v>
      </c>
      <c r="R388" s="15">
        <v>0</v>
      </c>
      <c r="S388" s="15">
        <v>0</v>
      </c>
      <c r="T388" s="15">
        <v>0</v>
      </c>
      <c r="U388" s="15">
        <v>0</v>
      </c>
      <c r="V388" s="15">
        <v>0</v>
      </c>
      <c r="W388" s="15">
        <v>0</v>
      </c>
      <c r="X388" s="15">
        <v>0</v>
      </c>
      <c r="Y388" s="15">
        <v>0</v>
      </c>
      <c r="Z388" s="15">
        <v>0</v>
      </c>
      <c r="AA388" s="15"/>
      <c r="AB388" s="15">
        <v>1</v>
      </c>
      <c r="AC388" s="15">
        <v>0</v>
      </c>
      <c r="AD388" s="15">
        <v>1</v>
      </c>
      <c r="AE388" s="15">
        <v>0.0625</v>
      </c>
      <c r="AF388" s="15">
        <v>1</v>
      </c>
      <c r="AG388" s="15">
        <v>0</v>
      </c>
      <c r="AH388" s="15"/>
      <c r="AI388" s="15">
        <v>2</v>
      </c>
      <c r="AJ388" s="15">
        <v>9.63</v>
      </c>
      <c r="AK388" s="15">
        <v>2</v>
      </c>
      <c r="AL388" s="15">
        <v>9.63</v>
      </c>
      <c r="AM388" s="15">
        <v>1</v>
      </c>
      <c r="AN388" s="15">
        <v>19.26</v>
      </c>
      <c r="AO388" s="15">
        <v>0.0625</v>
      </c>
      <c r="AP388" s="15">
        <v>19.26</v>
      </c>
      <c r="AQ388" s="15">
        <v>0</v>
      </c>
      <c r="AR388" s="15">
        <v>0</v>
      </c>
      <c r="AS388" s="15">
        <v>1</v>
      </c>
      <c r="AT388" s="15">
        <v>0</v>
      </c>
      <c r="AU388" s="15">
        <v>0</v>
      </c>
      <c r="AV388" s="15">
        <v>0</v>
      </c>
      <c r="AW388" s="15">
        <v>0</v>
      </c>
      <c r="AX388" s="15">
        <v>0</v>
      </c>
      <c r="AY388" s="15">
        <v>25</v>
      </c>
      <c r="AZ388" s="15">
        <v>15</v>
      </c>
      <c r="BA388" s="15">
        <v>12</v>
      </c>
      <c r="BB388" s="15">
        <v>0.8</v>
      </c>
      <c r="BC388" s="15">
        <v>0</v>
      </c>
      <c r="BD388" s="15">
        <v>0</v>
      </c>
      <c r="BE388" s="15">
        <v>0.015</v>
      </c>
      <c r="BF388" s="15">
        <v>9</v>
      </c>
      <c r="BG388" s="15">
        <v>2</v>
      </c>
      <c r="BH388" s="15">
        <v>0</v>
      </c>
      <c r="BI388" s="15"/>
      <c r="BJ388" s="15">
        <v>0</v>
      </c>
      <c r="BK388" s="15">
        <v>0</v>
      </c>
      <c r="BL388" s="15">
        <v>0</v>
      </c>
      <c r="BM388" s="15">
        <v>0</v>
      </c>
      <c r="BN388" s="15"/>
      <c r="BO388" s="15"/>
      <c r="BP388" s="15">
        <v>0</v>
      </c>
      <c r="BQ388" s="15">
        <v>83</v>
      </c>
      <c r="BR388" s="15">
        <v>0</v>
      </c>
      <c r="BS388" s="15">
        <v>0</v>
      </c>
      <c r="BT388" s="15">
        <v>0</v>
      </c>
      <c r="BU388" s="15">
        <v>0</v>
      </c>
      <c r="BV388" s="15">
        <v>0</v>
      </c>
      <c r="BW388" s="15">
        <v>0</v>
      </c>
      <c r="BX388" s="15">
        <v>0</v>
      </c>
    </row>
    <row r="389" spans="1:76">
      <c r="A389" s="14" t="str">
        <f>VLOOKUP(C389,VLOOKUP!A:B,2,FALSE)</f>
        <v>如意盘香</v>
      </c>
      <c r="B389" s="16">
        <v>46029</v>
      </c>
      <c r="C389" s="17">
        <v>838711327669</v>
      </c>
      <c r="D389" s="15" t="s">
        <v>151</v>
      </c>
      <c r="E389" s="15" t="s">
        <v>158</v>
      </c>
      <c r="F389" s="15">
        <v>1039</v>
      </c>
      <c r="G389" s="15">
        <v>24</v>
      </c>
      <c r="H389" s="15">
        <v>19.95</v>
      </c>
      <c r="I389" s="15">
        <v>0.0231</v>
      </c>
      <c r="J389" s="15">
        <v>0.83</v>
      </c>
      <c r="K389" s="15">
        <v>19.2</v>
      </c>
      <c r="L389" s="15">
        <v>0</v>
      </c>
      <c r="M389" s="15">
        <v>0</v>
      </c>
      <c r="N389" s="15">
        <v>0</v>
      </c>
      <c r="O389" s="15">
        <v>0</v>
      </c>
      <c r="P389" s="15">
        <v>0</v>
      </c>
      <c r="Q389" s="15">
        <v>0</v>
      </c>
      <c r="R389" s="15">
        <v>0</v>
      </c>
      <c r="S389" s="15">
        <v>0</v>
      </c>
      <c r="T389" s="15">
        <v>0</v>
      </c>
      <c r="U389" s="15">
        <v>0</v>
      </c>
      <c r="V389" s="15">
        <v>0</v>
      </c>
      <c r="W389" s="15">
        <v>0</v>
      </c>
      <c r="X389" s="15">
        <v>0</v>
      </c>
      <c r="Y389" s="15">
        <v>0</v>
      </c>
      <c r="Z389" s="15">
        <v>0</v>
      </c>
      <c r="AA389" s="15"/>
      <c r="AB389" s="15">
        <v>0</v>
      </c>
      <c r="AC389" s="15">
        <v>0</v>
      </c>
      <c r="AD389" s="15">
        <v>0</v>
      </c>
      <c r="AE389" s="15">
        <v>0</v>
      </c>
      <c r="AF389" s="15">
        <v>0</v>
      </c>
      <c r="AG389" s="15">
        <v>0</v>
      </c>
      <c r="AH389" s="15"/>
      <c r="AI389" s="15">
        <v>0</v>
      </c>
      <c r="AJ389" s="15"/>
      <c r="AK389" s="15">
        <v>0</v>
      </c>
      <c r="AL389" s="15"/>
      <c r="AM389" s="15">
        <v>0</v>
      </c>
      <c r="AN389" s="15"/>
      <c r="AO389" s="15">
        <v>0</v>
      </c>
      <c r="AP389" s="15"/>
      <c r="AQ389" s="15">
        <v>0</v>
      </c>
      <c r="AR389" s="15">
        <v>0</v>
      </c>
      <c r="AS389" s="15">
        <v>0</v>
      </c>
      <c r="AT389" s="15">
        <v>0</v>
      </c>
      <c r="AU389" s="15">
        <v>0</v>
      </c>
      <c r="AV389" s="15">
        <v>0</v>
      </c>
      <c r="AW389" s="15">
        <v>0</v>
      </c>
      <c r="AX389" s="15">
        <v>0</v>
      </c>
      <c r="AY389" s="15">
        <v>58</v>
      </c>
      <c r="AZ389" s="15">
        <v>22</v>
      </c>
      <c r="BA389" s="15">
        <v>13</v>
      </c>
      <c r="BB389" s="15">
        <v>0.59091</v>
      </c>
      <c r="BC389" s="15">
        <v>0</v>
      </c>
      <c r="BD389" s="15">
        <v>0</v>
      </c>
      <c r="BE389" s="15">
        <v>0.05582</v>
      </c>
      <c r="BF389" s="15">
        <v>22</v>
      </c>
      <c r="BG389" s="15">
        <v>3</v>
      </c>
      <c r="BH389" s="15">
        <v>0</v>
      </c>
      <c r="BI389" s="15"/>
      <c r="BJ389" s="15">
        <v>0</v>
      </c>
      <c r="BK389" s="15">
        <v>0</v>
      </c>
      <c r="BL389" s="15">
        <v>0</v>
      </c>
      <c r="BM389" s="15">
        <v>0</v>
      </c>
      <c r="BN389" s="15"/>
      <c r="BO389" s="15"/>
      <c r="BP389" s="15">
        <v>0</v>
      </c>
      <c r="BQ389" s="15">
        <v>77</v>
      </c>
      <c r="BR389" s="15">
        <v>0</v>
      </c>
      <c r="BS389" s="15">
        <v>0</v>
      </c>
      <c r="BT389" s="15">
        <v>0</v>
      </c>
      <c r="BU389" s="15">
        <v>0</v>
      </c>
      <c r="BV389" s="15">
        <v>0</v>
      </c>
      <c r="BW389" s="15">
        <v>0</v>
      </c>
      <c r="BX389" s="15">
        <v>0</v>
      </c>
    </row>
    <row r="390" spans="1:76">
      <c r="A390" s="14" t="str">
        <f>VLOOKUP(C390,VLOOKUP!A:B,2,FALSE)</f>
        <v>四季线香</v>
      </c>
      <c r="B390" s="16">
        <v>46029</v>
      </c>
      <c r="C390" s="17">
        <v>742540384374</v>
      </c>
      <c r="D390" s="15" t="s">
        <v>151</v>
      </c>
      <c r="E390" s="15" t="s">
        <v>161</v>
      </c>
      <c r="F390" s="15">
        <v>1304</v>
      </c>
      <c r="G390" s="15">
        <v>23</v>
      </c>
      <c r="H390" s="15">
        <v>52.67</v>
      </c>
      <c r="I390" s="15">
        <v>0.01764</v>
      </c>
      <c r="J390" s="15">
        <v>2.29</v>
      </c>
      <c r="K390" s="15">
        <v>40.39</v>
      </c>
      <c r="L390" s="15">
        <v>0</v>
      </c>
      <c r="M390" s="15">
        <v>0</v>
      </c>
      <c r="N390" s="15">
        <v>0</v>
      </c>
      <c r="O390" s="15">
        <v>0</v>
      </c>
      <c r="P390" s="15">
        <v>0</v>
      </c>
      <c r="Q390" s="15">
        <v>0</v>
      </c>
      <c r="R390" s="15">
        <v>0</v>
      </c>
      <c r="S390" s="15">
        <v>0</v>
      </c>
      <c r="T390" s="15">
        <v>0</v>
      </c>
      <c r="U390" s="15">
        <v>0</v>
      </c>
      <c r="V390" s="15">
        <v>0</v>
      </c>
      <c r="W390" s="15">
        <v>0</v>
      </c>
      <c r="X390" s="15">
        <v>0</v>
      </c>
      <c r="Y390" s="15">
        <v>0</v>
      </c>
      <c r="Z390" s="15">
        <v>0</v>
      </c>
      <c r="AA390" s="15"/>
      <c r="AB390" s="15">
        <v>2</v>
      </c>
      <c r="AC390" s="15">
        <v>1</v>
      </c>
      <c r="AD390" s="15">
        <v>1</v>
      </c>
      <c r="AE390" s="15">
        <v>0.08696</v>
      </c>
      <c r="AF390" s="15">
        <v>0</v>
      </c>
      <c r="AG390" s="15">
        <v>0</v>
      </c>
      <c r="AH390" s="15"/>
      <c r="AI390" s="15">
        <v>2</v>
      </c>
      <c r="AJ390" s="15">
        <v>26.34</v>
      </c>
      <c r="AK390" s="15">
        <v>2</v>
      </c>
      <c r="AL390" s="15">
        <v>26.34</v>
      </c>
      <c r="AM390" s="15">
        <v>0</v>
      </c>
      <c r="AN390" s="15"/>
      <c r="AO390" s="15">
        <v>0</v>
      </c>
      <c r="AP390" s="15">
        <v>26.34</v>
      </c>
      <c r="AQ390" s="15">
        <v>0</v>
      </c>
      <c r="AR390" s="15">
        <v>0</v>
      </c>
      <c r="AS390" s="15">
        <v>0</v>
      </c>
      <c r="AT390" s="15">
        <v>0</v>
      </c>
      <c r="AU390" s="15">
        <v>0</v>
      </c>
      <c r="AV390" s="15">
        <v>0</v>
      </c>
      <c r="AW390" s="15">
        <v>0</v>
      </c>
      <c r="AX390" s="15">
        <v>0</v>
      </c>
      <c r="AY390" s="15">
        <v>54</v>
      </c>
      <c r="AZ390" s="15">
        <v>22</v>
      </c>
      <c r="BA390" s="15">
        <v>21</v>
      </c>
      <c r="BB390" s="15">
        <v>0.95455</v>
      </c>
      <c r="BC390" s="15">
        <v>0</v>
      </c>
      <c r="BD390" s="15">
        <v>0</v>
      </c>
      <c r="BE390" s="15">
        <v>0.04141</v>
      </c>
      <c r="BF390" s="15">
        <v>31</v>
      </c>
      <c r="BG390" s="15">
        <v>2</v>
      </c>
      <c r="BH390" s="15">
        <v>0</v>
      </c>
      <c r="BI390" s="15"/>
      <c r="BJ390" s="15">
        <v>0</v>
      </c>
      <c r="BK390" s="15">
        <v>0</v>
      </c>
      <c r="BL390" s="15">
        <v>0</v>
      </c>
      <c r="BM390" s="15">
        <v>0</v>
      </c>
      <c r="BN390" s="15"/>
      <c r="BO390" s="15"/>
      <c r="BP390" s="15">
        <v>0</v>
      </c>
      <c r="BQ390" s="15">
        <v>60</v>
      </c>
      <c r="BR390" s="15">
        <v>0</v>
      </c>
      <c r="BS390" s="15">
        <v>0</v>
      </c>
      <c r="BT390" s="15">
        <v>0</v>
      </c>
      <c r="BU390" s="15">
        <v>0</v>
      </c>
      <c r="BV390" s="15">
        <v>0</v>
      </c>
      <c r="BW390" s="15">
        <v>0</v>
      </c>
      <c r="BX390" s="15">
        <v>0</v>
      </c>
    </row>
    <row r="391" spans="1:76">
      <c r="A391" s="14" t="str">
        <f>VLOOKUP(C391,VLOOKUP!A:B,2,FALSE)</f>
        <v>车载香薰</v>
      </c>
      <c r="B391" s="16">
        <v>46029</v>
      </c>
      <c r="C391" s="17">
        <v>616090775596</v>
      </c>
      <c r="D391" s="15" t="s">
        <v>151</v>
      </c>
      <c r="E391" s="15" t="s">
        <v>162</v>
      </c>
      <c r="F391" s="15">
        <v>2729</v>
      </c>
      <c r="G391" s="15">
        <v>51</v>
      </c>
      <c r="H391" s="15">
        <v>67.79</v>
      </c>
      <c r="I391" s="15">
        <v>0.01869</v>
      </c>
      <c r="J391" s="15">
        <v>1.33</v>
      </c>
      <c r="K391" s="15">
        <v>24.84</v>
      </c>
      <c r="L391" s="15">
        <v>0</v>
      </c>
      <c r="M391" s="15">
        <v>0</v>
      </c>
      <c r="N391" s="15">
        <v>0</v>
      </c>
      <c r="O391" s="15">
        <v>0</v>
      </c>
      <c r="P391" s="15">
        <v>0</v>
      </c>
      <c r="Q391" s="15">
        <v>0</v>
      </c>
      <c r="R391" s="15">
        <v>0</v>
      </c>
      <c r="S391" s="15">
        <v>0</v>
      </c>
      <c r="T391" s="15">
        <v>0</v>
      </c>
      <c r="U391" s="15">
        <v>0</v>
      </c>
      <c r="V391" s="15">
        <v>0</v>
      </c>
      <c r="W391" s="15">
        <v>0</v>
      </c>
      <c r="X391" s="15">
        <v>0</v>
      </c>
      <c r="Y391" s="15">
        <v>0</v>
      </c>
      <c r="Z391" s="15">
        <v>0</v>
      </c>
      <c r="AA391" s="15"/>
      <c r="AB391" s="15">
        <v>0</v>
      </c>
      <c r="AC391" s="15">
        <v>0</v>
      </c>
      <c r="AD391" s="15">
        <v>0</v>
      </c>
      <c r="AE391" s="15">
        <v>0</v>
      </c>
      <c r="AF391" s="15">
        <v>3</v>
      </c>
      <c r="AG391" s="15">
        <v>0</v>
      </c>
      <c r="AH391" s="15"/>
      <c r="AI391" s="15">
        <v>3</v>
      </c>
      <c r="AJ391" s="15">
        <v>22.6</v>
      </c>
      <c r="AK391" s="15">
        <v>3</v>
      </c>
      <c r="AL391" s="15">
        <v>22.6</v>
      </c>
      <c r="AM391" s="15">
        <v>3</v>
      </c>
      <c r="AN391" s="15">
        <v>22.6</v>
      </c>
      <c r="AO391" s="15">
        <v>0.05882</v>
      </c>
      <c r="AP391" s="15"/>
      <c r="AQ391" s="15">
        <v>2</v>
      </c>
      <c r="AR391" s="15">
        <v>498</v>
      </c>
      <c r="AS391" s="15">
        <v>3</v>
      </c>
      <c r="AT391" s="15">
        <v>0</v>
      </c>
      <c r="AU391" s="15">
        <v>0</v>
      </c>
      <c r="AV391" s="15">
        <v>0</v>
      </c>
      <c r="AW391" s="15">
        <v>0</v>
      </c>
      <c r="AX391" s="15">
        <v>1</v>
      </c>
      <c r="AY391" s="15">
        <v>170</v>
      </c>
      <c r="AZ391" s="15">
        <v>47</v>
      </c>
      <c r="BA391" s="15">
        <v>45</v>
      </c>
      <c r="BB391" s="15">
        <v>0.95745</v>
      </c>
      <c r="BC391" s="15">
        <v>0</v>
      </c>
      <c r="BD391" s="15">
        <v>0</v>
      </c>
      <c r="BE391" s="15">
        <v>0.06229</v>
      </c>
      <c r="BF391" s="15">
        <v>101</v>
      </c>
      <c r="BG391" s="15">
        <v>4</v>
      </c>
      <c r="BH391" s="15">
        <v>0</v>
      </c>
      <c r="BI391" s="15"/>
      <c r="BJ391" s="15">
        <v>0</v>
      </c>
      <c r="BK391" s="15">
        <v>0</v>
      </c>
      <c r="BL391" s="15">
        <v>0</v>
      </c>
      <c r="BM391" s="15">
        <v>0</v>
      </c>
      <c r="BN391" s="15"/>
      <c r="BO391" s="15"/>
      <c r="BP391" s="15">
        <v>0</v>
      </c>
      <c r="BQ391" s="15">
        <v>54</v>
      </c>
      <c r="BR391" s="15">
        <v>0</v>
      </c>
      <c r="BS391" s="15">
        <v>0</v>
      </c>
      <c r="BT391" s="15">
        <v>0</v>
      </c>
      <c r="BU391" s="15">
        <v>0</v>
      </c>
      <c r="BV391" s="15">
        <v>0</v>
      </c>
      <c r="BW391" s="15">
        <v>0</v>
      </c>
      <c r="BX391" s="15">
        <v>0</v>
      </c>
    </row>
    <row r="392" spans="1:76">
      <c r="A392" s="14" t="str">
        <f>VLOOKUP(C392,VLOOKUP!A:B,2,FALSE)</f>
        <v>鹅梨帐中香</v>
      </c>
      <c r="B392" s="16">
        <v>46028</v>
      </c>
      <c r="C392" s="17">
        <v>971317169387</v>
      </c>
      <c r="D392" s="15" t="s">
        <v>151</v>
      </c>
      <c r="E392" s="15" t="s">
        <v>155</v>
      </c>
      <c r="F392" s="15">
        <v>744</v>
      </c>
      <c r="G392" s="15">
        <v>20</v>
      </c>
      <c r="H392" s="15">
        <v>49.26</v>
      </c>
      <c r="I392" s="15">
        <v>0.02688</v>
      </c>
      <c r="J392" s="15">
        <v>2.46</v>
      </c>
      <c r="K392" s="15">
        <v>66.21</v>
      </c>
      <c r="L392" s="15">
        <v>0</v>
      </c>
      <c r="M392" s="15">
        <v>0</v>
      </c>
      <c r="N392" s="15">
        <v>0</v>
      </c>
      <c r="O392" s="15">
        <v>0</v>
      </c>
      <c r="P392" s="15">
        <v>0</v>
      </c>
      <c r="Q392" s="15">
        <v>0</v>
      </c>
      <c r="R392" s="15">
        <v>0</v>
      </c>
      <c r="S392" s="15">
        <v>262.4</v>
      </c>
      <c r="T392" s="15">
        <v>262.4</v>
      </c>
      <c r="U392" s="15">
        <v>1</v>
      </c>
      <c r="V392" s="15">
        <v>0</v>
      </c>
      <c r="W392" s="15">
        <v>1</v>
      </c>
      <c r="X392" s="15">
        <v>0.05</v>
      </c>
      <c r="Y392" s="15">
        <v>5.33</v>
      </c>
      <c r="Z392" s="15">
        <v>5.33</v>
      </c>
      <c r="AA392" s="15">
        <v>49.26</v>
      </c>
      <c r="AB392" s="15">
        <v>0</v>
      </c>
      <c r="AC392" s="15">
        <v>0</v>
      </c>
      <c r="AD392" s="15">
        <v>0</v>
      </c>
      <c r="AE392" s="15">
        <v>0</v>
      </c>
      <c r="AF392" s="15">
        <v>0</v>
      </c>
      <c r="AG392" s="15">
        <v>0</v>
      </c>
      <c r="AH392" s="15"/>
      <c r="AI392" s="15">
        <v>0</v>
      </c>
      <c r="AJ392" s="15"/>
      <c r="AK392" s="15">
        <v>0</v>
      </c>
      <c r="AL392" s="15"/>
      <c r="AM392" s="15">
        <v>0</v>
      </c>
      <c r="AN392" s="15"/>
      <c r="AO392" s="15">
        <v>0</v>
      </c>
      <c r="AP392" s="15"/>
      <c r="AQ392" s="15">
        <v>2</v>
      </c>
      <c r="AR392" s="15">
        <v>427</v>
      </c>
      <c r="AS392" s="15">
        <v>0</v>
      </c>
      <c r="AT392" s="15">
        <v>0</v>
      </c>
      <c r="AU392" s="15">
        <v>0</v>
      </c>
      <c r="AV392" s="15">
        <v>0</v>
      </c>
      <c r="AW392" s="15">
        <v>0</v>
      </c>
      <c r="AX392" s="15">
        <v>1</v>
      </c>
      <c r="AY392" s="15">
        <v>55</v>
      </c>
      <c r="AZ392" s="15">
        <v>15</v>
      </c>
      <c r="BA392" s="15">
        <v>6</v>
      </c>
      <c r="BB392" s="15">
        <v>0.4</v>
      </c>
      <c r="BC392" s="15">
        <v>0</v>
      </c>
      <c r="BD392" s="15">
        <v>0</v>
      </c>
      <c r="BE392" s="15">
        <v>0.07392</v>
      </c>
      <c r="BF392" s="15">
        <v>36</v>
      </c>
      <c r="BG392" s="15">
        <v>4</v>
      </c>
      <c r="BH392" s="15">
        <v>0</v>
      </c>
      <c r="BI392" s="15">
        <v>0</v>
      </c>
      <c r="BJ392" s="15">
        <v>0</v>
      </c>
      <c r="BK392" s="15">
        <v>0</v>
      </c>
      <c r="BL392" s="15">
        <v>0</v>
      </c>
      <c r="BM392" s="15">
        <v>1</v>
      </c>
      <c r="BN392" s="15">
        <v>1</v>
      </c>
      <c r="BO392" s="15">
        <v>262.4</v>
      </c>
      <c r="BP392" s="15">
        <v>0</v>
      </c>
      <c r="BQ392" s="15">
        <v>333</v>
      </c>
      <c r="BR392" s="15">
        <v>0</v>
      </c>
      <c r="BS392" s="15">
        <v>0</v>
      </c>
      <c r="BT392" s="15">
        <v>0</v>
      </c>
      <c r="BU392" s="15">
        <v>0</v>
      </c>
      <c r="BV392" s="15">
        <v>0</v>
      </c>
      <c r="BW392" s="15">
        <v>0</v>
      </c>
      <c r="BX392" s="15">
        <v>0</v>
      </c>
    </row>
    <row r="393" spans="1:76">
      <c r="A393" s="14" t="str">
        <f>VLOOKUP(C393,VLOOKUP!A:B,2,FALSE)</f>
        <v>荔枝香</v>
      </c>
      <c r="B393" s="16">
        <v>46028</v>
      </c>
      <c r="C393" s="17">
        <v>960406497157</v>
      </c>
      <c r="D393" s="15" t="s">
        <v>151</v>
      </c>
      <c r="E393" s="15" t="s">
        <v>157</v>
      </c>
      <c r="F393" s="15">
        <v>1721</v>
      </c>
      <c r="G393" s="15">
        <v>13</v>
      </c>
      <c r="H393" s="15">
        <v>14.44</v>
      </c>
      <c r="I393" s="15">
        <v>0.00755</v>
      </c>
      <c r="J393" s="15">
        <v>1.11</v>
      </c>
      <c r="K393" s="15">
        <v>8.39</v>
      </c>
      <c r="L393" s="15">
        <v>0</v>
      </c>
      <c r="M393" s="15">
        <v>0</v>
      </c>
      <c r="N393" s="15">
        <v>0</v>
      </c>
      <c r="O393" s="15">
        <v>0</v>
      </c>
      <c r="P393" s="15">
        <v>0</v>
      </c>
      <c r="Q393" s="15">
        <v>0</v>
      </c>
      <c r="R393" s="15">
        <v>0</v>
      </c>
      <c r="S393" s="15">
        <v>0</v>
      </c>
      <c r="T393" s="15">
        <v>0</v>
      </c>
      <c r="U393" s="15">
        <v>0</v>
      </c>
      <c r="V393" s="15">
        <v>0</v>
      </c>
      <c r="W393" s="15">
        <v>0</v>
      </c>
      <c r="X393" s="15">
        <v>0</v>
      </c>
      <c r="Y393" s="15">
        <v>0</v>
      </c>
      <c r="Z393" s="15">
        <v>0</v>
      </c>
      <c r="AA393" s="15"/>
      <c r="AB393" s="15">
        <v>3</v>
      </c>
      <c r="AC393" s="15">
        <v>3</v>
      </c>
      <c r="AD393" s="15">
        <v>0</v>
      </c>
      <c r="AE393" s="15">
        <v>0.23077</v>
      </c>
      <c r="AF393" s="15">
        <v>0</v>
      </c>
      <c r="AG393" s="15">
        <v>0</v>
      </c>
      <c r="AH393" s="15"/>
      <c r="AI393" s="15">
        <v>3</v>
      </c>
      <c r="AJ393" s="15">
        <v>4.81</v>
      </c>
      <c r="AK393" s="15">
        <v>3</v>
      </c>
      <c r="AL393" s="15">
        <v>4.81</v>
      </c>
      <c r="AM393" s="15">
        <v>0</v>
      </c>
      <c r="AN393" s="15"/>
      <c r="AO393" s="15">
        <v>0</v>
      </c>
      <c r="AP393" s="15">
        <v>4.81</v>
      </c>
      <c r="AQ393" s="15">
        <v>0</v>
      </c>
      <c r="AR393" s="15">
        <v>0</v>
      </c>
      <c r="AS393" s="15">
        <v>0</v>
      </c>
      <c r="AT393" s="15">
        <v>0</v>
      </c>
      <c r="AU393" s="15">
        <v>0</v>
      </c>
      <c r="AV393" s="15">
        <v>0</v>
      </c>
      <c r="AW393" s="15">
        <v>0</v>
      </c>
      <c r="AX393" s="15">
        <v>0</v>
      </c>
      <c r="AY393" s="15">
        <v>18</v>
      </c>
      <c r="AZ393" s="15">
        <v>13</v>
      </c>
      <c r="BA393" s="15">
        <v>13</v>
      </c>
      <c r="BB393" s="15">
        <v>1</v>
      </c>
      <c r="BC393" s="15">
        <v>0</v>
      </c>
      <c r="BD393" s="15">
        <v>0</v>
      </c>
      <c r="BE393" s="15">
        <v>0.01046</v>
      </c>
      <c r="BF393" s="15">
        <v>5</v>
      </c>
      <c r="BG393" s="15">
        <v>1</v>
      </c>
      <c r="BH393" s="15">
        <v>0</v>
      </c>
      <c r="BI393" s="15"/>
      <c r="BJ393" s="15">
        <v>0</v>
      </c>
      <c r="BK393" s="15">
        <v>0</v>
      </c>
      <c r="BL393" s="15">
        <v>0</v>
      </c>
      <c r="BM393" s="15">
        <v>0</v>
      </c>
      <c r="BN393" s="15"/>
      <c r="BO393" s="15"/>
      <c r="BP393" s="15">
        <v>0</v>
      </c>
      <c r="BQ393" s="15">
        <v>39</v>
      </c>
      <c r="BR393" s="15">
        <v>0</v>
      </c>
      <c r="BS393" s="15">
        <v>0</v>
      </c>
      <c r="BT393" s="15">
        <v>0</v>
      </c>
      <c r="BU393" s="15">
        <v>0</v>
      </c>
      <c r="BV393" s="15">
        <v>0</v>
      </c>
      <c r="BW393" s="15">
        <v>0</v>
      </c>
      <c r="BX393" s="15">
        <v>0</v>
      </c>
    </row>
    <row r="394" spans="1:76">
      <c r="A394" s="14" t="str">
        <f>VLOOKUP(C394,VLOOKUP!A:B,2,FALSE)</f>
        <v>如意盘香</v>
      </c>
      <c r="B394" s="16">
        <v>46028</v>
      </c>
      <c r="C394" s="17">
        <v>838711327669</v>
      </c>
      <c r="D394" s="15" t="s">
        <v>151</v>
      </c>
      <c r="E394" s="15" t="s">
        <v>158</v>
      </c>
      <c r="F394" s="15">
        <v>906</v>
      </c>
      <c r="G394" s="15">
        <v>25</v>
      </c>
      <c r="H394" s="15">
        <v>62.24</v>
      </c>
      <c r="I394" s="15">
        <v>0.02759</v>
      </c>
      <c r="J394" s="15">
        <v>2.49</v>
      </c>
      <c r="K394" s="15">
        <v>68.7</v>
      </c>
      <c r="L394" s="15">
        <v>0</v>
      </c>
      <c r="M394" s="15">
        <v>0</v>
      </c>
      <c r="N394" s="15">
        <v>0</v>
      </c>
      <c r="O394" s="15">
        <v>0</v>
      </c>
      <c r="P394" s="15">
        <v>0</v>
      </c>
      <c r="Q394" s="15">
        <v>0</v>
      </c>
      <c r="R394" s="15">
        <v>0</v>
      </c>
      <c r="S394" s="15">
        <v>0</v>
      </c>
      <c r="T394" s="15">
        <v>0</v>
      </c>
      <c r="U394" s="15">
        <v>0</v>
      </c>
      <c r="V394" s="15">
        <v>0</v>
      </c>
      <c r="W394" s="15">
        <v>0</v>
      </c>
      <c r="X394" s="15">
        <v>0</v>
      </c>
      <c r="Y394" s="15">
        <v>0</v>
      </c>
      <c r="Z394" s="15">
        <v>0</v>
      </c>
      <c r="AA394" s="15"/>
      <c r="AB394" s="15">
        <v>0</v>
      </c>
      <c r="AC394" s="15">
        <v>0</v>
      </c>
      <c r="AD394" s="15">
        <v>0</v>
      </c>
      <c r="AE394" s="15">
        <v>0</v>
      </c>
      <c r="AF394" s="15">
        <v>1</v>
      </c>
      <c r="AG394" s="15">
        <v>0</v>
      </c>
      <c r="AH394" s="15"/>
      <c r="AI394" s="15">
        <v>1</v>
      </c>
      <c r="AJ394" s="15">
        <v>62.24</v>
      </c>
      <c r="AK394" s="15">
        <v>1</v>
      </c>
      <c r="AL394" s="15">
        <v>62.24</v>
      </c>
      <c r="AM394" s="15">
        <v>1</v>
      </c>
      <c r="AN394" s="15">
        <v>62.24</v>
      </c>
      <c r="AO394" s="15">
        <v>0.04</v>
      </c>
      <c r="AP394" s="15"/>
      <c r="AQ394" s="15">
        <v>0</v>
      </c>
      <c r="AR394" s="15">
        <v>0</v>
      </c>
      <c r="AS394" s="15">
        <v>0</v>
      </c>
      <c r="AT394" s="15">
        <v>1</v>
      </c>
      <c r="AU394" s="15">
        <v>0</v>
      </c>
      <c r="AV394" s="15">
        <v>0</v>
      </c>
      <c r="AW394" s="15">
        <v>0</v>
      </c>
      <c r="AX394" s="15">
        <v>0</v>
      </c>
      <c r="AY394" s="15">
        <v>81</v>
      </c>
      <c r="AZ394" s="15">
        <v>24</v>
      </c>
      <c r="BA394" s="15">
        <v>17</v>
      </c>
      <c r="BB394" s="15">
        <v>0.70833</v>
      </c>
      <c r="BC394" s="15">
        <v>0</v>
      </c>
      <c r="BD394" s="15">
        <v>0</v>
      </c>
      <c r="BE394" s="15">
        <v>0.0894</v>
      </c>
      <c r="BF394" s="15">
        <v>54</v>
      </c>
      <c r="BG394" s="15">
        <v>3</v>
      </c>
      <c r="BH394" s="15">
        <v>0</v>
      </c>
      <c r="BI394" s="15"/>
      <c r="BJ394" s="15">
        <v>0</v>
      </c>
      <c r="BK394" s="15">
        <v>0</v>
      </c>
      <c r="BL394" s="15">
        <v>0</v>
      </c>
      <c r="BM394" s="15">
        <v>0</v>
      </c>
      <c r="BN394" s="15"/>
      <c r="BO394" s="15"/>
      <c r="BP394" s="15">
        <v>0</v>
      </c>
      <c r="BQ394" s="15">
        <v>30</v>
      </c>
      <c r="BR394" s="15">
        <v>0</v>
      </c>
      <c r="BS394" s="15">
        <v>0</v>
      </c>
      <c r="BT394" s="15">
        <v>0</v>
      </c>
      <c r="BU394" s="15">
        <v>0</v>
      </c>
      <c r="BV394" s="15">
        <v>0</v>
      </c>
      <c r="BW394" s="15">
        <v>0</v>
      </c>
      <c r="BX394" s="15">
        <v>0</v>
      </c>
    </row>
    <row r="395" spans="1:76">
      <c r="A395" s="14" t="str">
        <f>VLOOKUP(C395,VLOOKUP!A:B,2,FALSE)</f>
        <v>四季线香</v>
      </c>
      <c r="B395" s="16">
        <v>46028</v>
      </c>
      <c r="C395" s="17">
        <v>742540384374</v>
      </c>
      <c r="D395" s="15" t="s">
        <v>151</v>
      </c>
      <c r="E395" s="15" t="s">
        <v>161</v>
      </c>
      <c r="F395" s="15">
        <v>1442</v>
      </c>
      <c r="G395" s="15">
        <v>27</v>
      </c>
      <c r="H395" s="15">
        <v>70.82</v>
      </c>
      <c r="I395" s="15">
        <v>0.01872</v>
      </c>
      <c r="J395" s="15">
        <v>2.62</v>
      </c>
      <c r="K395" s="15">
        <v>49.11</v>
      </c>
      <c r="L395" s="15">
        <v>0</v>
      </c>
      <c r="M395" s="15">
        <v>0</v>
      </c>
      <c r="N395" s="15">
        <v>0</v>
      </c>
      <c r="O395" s="15">
        <v>0</v>
      </c>
      <c r="P395" s="15">
        <v>0</v>
      </c>
      <c r="Q395" s="15">
        <v>0</v>
      </c>
      <c r="R395" s="15">
        <v>0</v>
      </c>
      <c r="S395" s="15">
        <v>0</v>
      </c>
      <c r="T395" s="15">
        <v>0</v>
      </c>
      <c r="U395" s="15">
        <v>0</v>
      </c>
      <c r="V395" s="15">
        <v>0</v>
      </c>
      <c r="W395" s="15">
        <v>0</v>
      </c>
      <c r="X395" s="15">
        <v>0</v>
      </c>
      <c r="Y395" s="15">
        <v>0</v>
      </c>
      <c r="Z395" s="15">
        <v>0</v>
      </c>
      <c r="AA395" s="15"/>
      <c r="AB395" s="15">
        <v>0</v>
      </c>
      <c r="AC395" s="15">
        <v>0</v>
      </c>
      <c r="AD395" s="15">
        <v>0</v>
      </c>
      <c r="AE395" s="15">
        <v>0</v>
      </c>
      <c r="AF395" s="15">
        <v>0</v>
      </c>
      <c r="AG395" s="15">
        <v>0</v>
      </c>
      <c r="AH395" s="15"/>
      <c r="AI395" s="15">
        <v>0</v>
      </c>
      <c r="AJ395" s="15"/>
      <c r="AK395" s="15">
        <v>0</v>
      </c>
      <c r="AL395" s="15"/>
      <c r="AM395" s="15">
        <v>0</v>
      </c>
      <c r="AN395" s="15"/>
      <c r="AO395" s="15">
        <v>0</v>
      </c>
      <c r="AP395" s="15"/>
      <c r="AQ395" s="15">
        <v>0</v>
      </c>
      <c r="AR395" s="15">
        <v>0</v>
      </c>
      <c r="AS395" s="15">
        <v>0</v>
      </c>
      <c r="AT395" s="15">
        <v>0</v>
      </c>
      <c r="AU395" s="15">
        <v>0</v>
      </c>
      <c r="AV395" s="15">
        <v>0</v>
      </c>
      <c r="AW395" s="15">
        <v>0</v>
      </c>
      <c r="AX395" s="15">
        <v>1</v>
      </c>
      <c r="AY395" s="15">
        <v>49</v>
      </c>
      <c r="AZ395" s="15">
        <v>24</v>
      </c>
      <c r="BA395" s="15">
        <v>19</v>
      </c>
      <c r="BB395" s="15">
        <v>0.79167</v>
      </c>
      <c r="BC395" s="15">
        <v>0</v>
      </c>
      <c r="BD395" s="15">
        <v>0</v>
      </c>
      <c r="BE395" s="15">
        <v>0.03398</v>
      </c>
      <c r="BF395" s="15">
        <v>12</v>
      </c>
      <c r="BG395" s="15">
        <v>2</v>
      </c>
      <c r="BH395" s="15">
        <v>0</v>
      </c>
      <c r="BI395" s="15"/>
      <c r="BJ395" s="15">
        <v>0</v>
      </c>
      <c r="BK395" s="15">
        <v>0</v>
      </c>
      <c r="BL395" s="15">
        <v>0</v>
      </c>
      <c r="BM395" s="15">
        <v>0</v>
      </c>
      <c r="BN395" s="15"/>
      <c r="BO395" s="15"/>
      <c r="BP395" s="15">
        <v>0</v>
      </c>
      <c r="BQ395" s="15">
        <v>20</v>
      </c>
      <c r="BR395" s="15">
        <v>0</v>
      </c>
      <c r="BS395" s="15">
        <v>0</v>
      </c>
      <c r="BT395" s="15">
        <v>0</v>
      </c>
      <c r="BU395" s="15">
        <v>0</v>
      </c>
      <c r="BV395" s="15">
        <v>0</v>
      </c>
      <c r="BW395" s="15">
        <v>0</v>
      </c>
      <c r="BX395" s="15">
        <v>0</v>
      </c>
    </row>
    <row r="396" spans="1:76">
      <c r="A396" s="14" t="str">
        <f>VLOOKUP(C396,VLOOKUP!A:B,2,FALSE)</f>
        <v>车载香薰</v>
      </c>
      <c r="B396" s="16">
        <v>46028</v>
      </c>
      <c r="C396" s="17">
        <v>616090775596</v>
      </c>
      <c r="D396" s="15" t="s">
        <v>151</v>
      </c>
      <c r="E396" s="15" t="s">
        <v>162</v>
      </c>
      <c r="F396" s="15">
        <v>1467</v>
      </c>
      <c r="G396" s="15">
        <v>33</v>
      </c>
      <c r="H396" s="15">
        <v>65.77</v>
      </c>
      <c r="I396" s="15">
        <v>0.02249</v>
      </c>
      <c r="J396" s="15">
        <v>1.99</v>
      </c>
      <c r="K396" s="15">
        <v>44.83</v>
      </c>
      <c r="L396" s="15">
        <v>0</v>
      </c>
      <c r="M396" s="15">
        <v>0</v>
      </c>
      <c r="N396" s="15">
        <v>0</v>
      </c>
      <c r="O396" s="15">
        <v>0</v>
      </c>
      <c r="P396" s="15">
        <v>0</v>
      </c>
      <c r="Q396" s="15">
        <v>0</v>
      </c>
      <c r="R396" s="15">
        <v>0</v>
      </c>
      <c r="S396" s="15">
        <v>0</v>
      </c>
      <c r="T396" s="15">
        <v>0</v>
      </c>
      <c r="U396" s="15">
        <v>0</v>
      </c>
      <c r="V396" s="15">
        <v>0</v>
      </c>
      <c r="W396" s="15">
        <v>0</v>
      </c>
      <c r="X396" s="15">
        <v>0</v>
      </c>
      <c r="Y396" s="15">
        <v>0</v>
      </c>
      <c r="Z396" s="15">
        <v>0</v>
      </c>
      <c r="AA396" s="15"/>
      <c r="AB396" s="15">
        <v>0</v>
      </c>
      <c r="AC396" s="15">
        <v>0</v>
      </c>
      <c r="AD396" s="15">
        <v>0</v>
      </c>
      <c r="AE396" s="15">
        <v>0</v>
      </c>
      <c r="AF396" s="15">
        <v>0</v>
      </c>
      <c r="AG396" s="15">
        <v>0</v>
      </c>
      <c r="AH396" s="15"/>
      <c r="AI396" s="15">
        <v>0</v>
      </c>
      <c r="AJ396" s="15"/>
      <c r="AK396" s="15">
        <v>0</v>
      </c>
      <c r="AL396" s="15"/>
      <c r="AM396" s="15">
        <v>0</v>
      </c>
      <c r="AN396" s="15"/>
      <c r="AO396" s="15">
        <v>0</v>
      </c>
      <c r="AP396" s="15"/>
      <c r="AQ396" s="15">
        <v>0</v>
      </c>
      <c r="AR396" s="15">
        <v>0</v>
      </c>
      <c r="AS396" s="15">
        <v>0</v>
      </c>
      <c r="AT396" s="15">
        <v>0</v>
      </c>
      <c r="AU396" s="15">
        <v>0</v>
      </c>
      <c r="AV396" s="15">
        <v>0</v>
      </c>
      <c r="AW396" s="15">
        <v>0</v>
      </c>
      <c r="AX396" s="15">
        <v>0</v>
      </c>
      <c r="AY396" s="15">
        <v>76</v>
      </c>
      <c r="AZ396" s="15">
        <v>30</v>
      </c>
      <c r="BA396" s="15">
        <v>29</v>
      </c>
      <c r="BB396" s="15">
        <v>0.96667</v>
      </c>
      <c r="BC396" s="15">
        <v>0</v>
      </c>
      <c r="BD396" s="15">
        <v>0</v>
      </c>
      <c r="BE396" s="15">
        <v>0.05181</v>
      </c>
      <c r="BF396" s="15">
        <v>42</v>
      </c>
      <c r="BG396" s="15">
        <v>3</v>
      </c>
      <c r="BH396" s="15">
        <v>0</v>
      </c>
      <c r="BI396" s="15"/>
      <c r="BJ396" s="15">
        <v>0</v>
      </c>
      <c r="BK396" s="15">
        <v>0</v>
      </c>
      <c r="BL396" s="15">
        <v>0</v>
      </c>
      <c r="BM396" s="15">
        <v>0</v>
      </c>
      <c r="BN396" s="15"/>
      <c r="BO396" s="15"/>
      <c r="BP396" s="15">
        <v>0</v>
      </c>
      <c r="BQ396" s="15">
        <v>13</v>
      </c>
      <c r="BR396" s="15">
        <v>0</v>
      </c>
      <c r="BS396" s="15">
        <v>0</v>
      </c>
      <c r="BT396" s="15">
        <v>0</v>
      </c>
      <c r="BU396" s="15">
        <v>0</v>
      </c>
      <c r="BV396" s="15">
        <v>0</v>
      </c>
      <c r="BW396" s="15">
        <v>0</v>
      </c>
      <c r="BX396" s="15">
        <v>0</v>
      </c>
    </row>
    <row r="397" spans="1:76">
      <c r="A397" s="14" t="str">
        <f>VLOOKUP(C397,VLOOKUP!A:B,2,FALSE)</f>
        <v>鹅梨帐中香</v>
      </c>
      <c r="B397" s="16">
        <v>46027</v>
      </c>
      <c r="C397" s="17">
        <v>971317169387</v>
      </c>
      <c r="D397" s="15" t="s">
        <v>151</v>
      </c>
      <c r="E397" s="15" t="s">
        <v>155</v>
      </c>
      <c r="F397" s="15">
        <v>917</v>
      </c>
      <c r="G397" s="15">
        <v>18</v>
      </c>
      <c r="H397" s="15">
        <v>44.12</v>
      </c>
      <c r="I397" s="15">
        <v>0.01963</v>
      </c>
      <c r="J397" s="15">
        <v>2.45</v>
      </c>
      <c r="K397" s="15">
        <v>48.11</v>
      </c>
      <c r="L397" s="15">
        <v>0</v>
      </c>
      <c r="M397" s="15">
        <v>0</v>
      </c>
      <c r="N397" s="15">
        <v>0</v>
      </c>
      <c r="O397" s="15">
        <v>0</v>
      </c>
      <c r="P397" s="15">
        <v>0</v>
      </c>
      <c r="Q397" s="15">
        <v>0</v>
      </c>
      <c r="R397" s="15">
        <v>0</v>
      </c>
      <c r="S397" s="15">
        <v>0</v>
      </c>
      <c r="T397" s="15">
        <v>0</v>
      </c>
      <c r="U397" s="15">
        <v>0</v>
      </c>
      <c r="V397" s="15">
        <v>0</v>
      </c>
      <c r="W397" s="15">
        <v>0</v>
      </c>
      <c r="X397" s="15">
        <v>0</v>
      </c>
      <c r="Y397" s="15">
        <v>0</v>
      </c>
      <c r="Z397" s="15">
        <v>0</v>
      </c>
      <c r="AA397" s="15"/>
      <c r="AB397" s="15">
        <v>2</v>
      </c>
      <c r="AC397" s="15">
        <v>0</v>
      </c>
      <c r="AD397" s="15">
        <v>2</v>
      </c>
      <c r="AE397" s="15">
        <v>0.11111</v>
      </c>
      <c r="AF397" s="15">
        <v>0</v>
      </c>
      <c r="AG397" s="15">
        <v>2</v>
      </c>
      <c r="AH397" s="15">
        <v>22.06</v>
      </c>
      <c r="AI397" s="15">
        <v>4</v>
      </c>
      <c r="AJ397" s="15">
        <v>11.03</v>
      </c>
      <c r="AK397" s="15">
        <v>2</v>
      </c>
      <c r="AL397" s="15">
        <v>22.06</v>
      </c>
      <c r="AM397" s="15">
        <v>2</v>
      </c>
      <c r="AN397" s="15"/>
      <c r="AO397" s="15">
        <v>0</v>
      </c>
      <c r="AP397" s="15">
        <v>22.06</v>
      </c>
      <c r="AQ397" s="15">
        <v>0</v>
      </c>
      <c r="AR397" s="15">
        <v>0</v>
      </c>
      <c r="AS397" s="15">
        <v>0</v>
      </c>
      <c r="AT397" s="15">
        <v>0</v>
      </c>
      <c r="AU397" s="15">
        <v>0</v>
      </c>
      <c r="AV397" s="15">
        <v>0</v>
      </c>
      <c r="AW397" s="15">
        <v>0</v>
      </c>
      <c r="AX397" s="15">
        <v>0</v>
      </c>
      <c r="AY397" s="15">
        <v>100</v>
      </c>
      <c r="AZ397" s="15">
        <v>15</v>
      </c>
      <c r="BA397" s="15">
        <v>13</v>
      </c>
      <c r="BB397" s="15">
        <v>0.86667</v>
      </c>
      <c r="BC397" s="15">
        <v>0</v>
      </c>
      <c r="BD397" s="15">
        <v>0</v>
      </c>
      <c r="BE397" s="15">
        <v>0.10905</v>
      </c>
      <c r="BF397" s="15">
        <v>81</v>
      </c>
      <c r="BG397" s="15">
        <v>7</v>
      </c>
      <c r="BH397" s="15">
        <v>0</v>
      </c>
      <c r="BI397" s="15"/>
      <c r="BJ397" s="15">
        <v>0</v>
      </c>
      <c r="BK397" s="15">
        <v>0</v>
      </c>
      <c r="BL397" s="15">
        <v>0</v>
      </c>
      <c r="BM397" s="15">
        <v>0</v>
      </c>
      <c r="BN397" s="15"/>
      <c r="BO397" s="15"/>
      <c r="BP397" s="15">
        <v>0</v>
      </c>
      <c r="BQ397" s="15">
        <v>32</v>
      </c>
      <c r="BR397" s="15">
        <v>0</v>
      </c>
      <c r="BS397" s="15">
        <v>0</v>
      </c>
      <c r="BT397" s="15">
        <v>0</v>
      </c>
      <c r="BU397" s="15">
        <v>0</v>
      </c>
      <c r="BV397" s="15">
        <v>0</v>
      </c>
      <c r="BW397" s="15">
        <v>0</v>
      </c>
      <c r="BX397" s="15">
        <v>0</v>
      </c>
    </row>
    <row r="398" spans="1:76">
      <c r="A398" s="14" t="str">
        <f>VLOOKUP(C398,VLOOKUP!A:B,2,FALSE)</f>
        <v>荔枝香</v>
      </c>
      <c r="B398" s="16">
        <v>46027</v>
      </c>
      <c r="C398" s="17">
        <v>960406497157</v>
      </c>
      <c r="D398" s="15" t="s">
        <v>151</v>
      </c>
      <c r="E398" s="15" t="s">
        <v>157</v>
      </c>
      <c r="F398" s="15">
        <v>2325</v>
      </c>
      <c r="G398" s="15">
        <v>33</v>
      </c>
      <c r="H398" s="15">
        <v>33.74</v>
      </c>
      <c r="I398" s="15">
        <v>0.01419</v>
      </c>
      <c r="J398" s="15">
        <v>1.02</v>
      </c>
      <c r="K398" s="15">
        <v>14.51</v>
      </c>
      <c r="L398" s="15">
        <v>0</v>
      </c>
      <c r="M398" s="15">
        <v>0</v>
      </c>
      <c r="N398" s="15">
        <v>0</v>
      </c>
      <c r="O398" s="15">
        <v>0</v>
      </c>
      <c r="P398" s="15">
        <v>0</v>
      </c>
      <c r="Q398" s="15">
        <v>0</v>
      </c>
      <c r="R398" s="15">
        <v>0</v>
      </c>
      <c r="S398" s="15">
        <v>0</v>
      </c>
      <c r="T398" s="15">
        <v>0</v>
      </c>
      <c r="U398" s="15">
        <v>0</v>
      </c>
      <c r="V398" s="15">
        <v>0</v>
      </c>
      <c r="W398" s="15">
        <v>0</v>
      </c>
      <c r="X398" s="15">
        <v>0</v>
      </c>
      <c r="Y398" s="15">
        <v>0</v>
      </c>
      <c r="Z398" s="15">
        <v>0</v>
      </c>
      <c r="AA398" s="15"/>
      <c r="AB398" s="15">
        <v>1</v>
      </c>
      <c r="AC398" s="15">
        <v>1</v>
      </c>
      <c r="AD398" s="15">
        <v>0</v>
      </c>
      <c r="AE398" s="15">
        <v>0.0303</v>
      </c>
      <c r="AF398" s="15">
        <v>2</v>
      </c>
      <c r="AG398" s="15">
        <v>0</v>
      </c>
      <c r="AH398" s="15"/>
      <c r="AI398" s="15">
        <v>3</v>
      </c>
      <c r="AJ398" s="15">
        <v>11.25</v>
      </c>
      <c r="AK398" s="15">
        <v>3</v>
      </c>
      <c r="AL398" s="15">
        <v>11.25</v>
      </c>
      <c r="AM398" s="15">
        <v>2</v>
      </c>
      <c r="AN398" s="15">
        <v>16.87</v>
      </c>
      <c r="AO398" s="15">
        <v>0.06061</v>
      </c>
      <c r="AP398" s="15">
        <v>33.74</v>
      </c>
      <c r="AQ398" s="15">
        <v>0</v>
      </c>
      <c r="AR398" s="15">
        <v>0</v>
      </c>
      <c r="AS398" s="15">
        <v>2</v>
      </c>
      <c r="AT398" s="15">
        <v>0</v>
      </c>
      <c r="AU398" s="15">
        <v>0</v>
      </c>
      <c r="AV398" s="15">
        <v>0</v>
      </c>
      <c r="AW398" s="15">
        <v>0</v>
      </c>
      <c r="AX398" s="15">
        <v>0</v>
      </c>
      <c r="AY398" s="15">
        <v>69</v>
      </c>
      <c r="AZ398" s="15">
        <v>31</v>
      </c>
      <c r="BA398" s="15">
        <v>26</v>
      </c>
      <c r="BB398" s="15">
        <v>0.83871</v>
      </c>
      <c r="BC398" s="15">
        <v>0</v>
      </c>
      <c r="BD398" s="15">
        <v>0</v>
      </c>
      <c r="BE398" s="15">
        <v>0.02968</v>
      </c>
      <c r="BF398" s="15">
        <v>33</v>
      </c>
      <c r="BG398" s="15">
        <v>2</v>
      </c>
      <c r="BH398" s="15">
        <v>0</v>
      </c>
      <c r="BI398" s="15"/>
      <c r="BJ398" s="15">
        <v>0</v>
      </c>
      <c r="BK398" s="15">
        <v>0</v>
      </c>
      <c r="BL398" s="15">
        <v>0</v>
      </c>
      <c r="BM398" s="15">
        <v>0</v>
      </c>
      <c r="BN398" s="15"/>
      <c r="BO398" s="15"/>
      <c r="BP398" s="15">
        <v>0</v>
      </c>
      <c r="BQ398" s="15">
        <v>40</v>
      </c>
      <c r="BR398" s="15">
        <v>0</v>
      </c>
      <c r="BS398" s="15">
        <v>0</v>
      </c>
      <c r="BT398" s="15">
        <v>0</v>
      </c>
      <c r="BU398" s="15">
        <v>0</v>
      </c>
      <c r="BV398" s="15">
        <v>0</v>
      </c>
      <c r="BW398" s="15">
        <v>0</v>
      </c>
      <c r="BX398" s="15">
        <v>0</v>
      </c>
    </row>
    <row r="399" spans="1:76">
      <c r="A399" s="14" t="str">
        <f>VLOOKUP(C399,VLOOKUP!A:B,2,FALSE)</f>
        <v>如意盘香</v>
      </c>
      <c r="B399" s="16">
        <v>46027</v>
      </c>
      <c r="C399" s="17">
        <v>838711327669</v>
      </c>
      <c r="D399" s="15" t="s">
        <v>151</v>
      </c>
      <c r="E399" s="15" t="s">
        <v>158</v>
      </c>
      <c r="F399" s="15">
        <v>1508</v>
      </c>
      <c r="G399" s="15">
        <v>33</v>
      </c>
      <c r="H399" s="15">
        <v>62.47</v>
      </c>
      <c r="I399" s="15">
        <v>0.02188</v>
      </c>
      <c r="J399" s="15">
        <v>1.89</v>
      </c>
      <c r="K399" s="15">
        <v>41.43</v>
      </c>
      <c r="L399" s="15">
        <v>0</v>
      </c>
      <c r="M399" s="15">
        <v>0</v>
      </c>
      <c r="N399" s="15">
        <v>0</v>
      </c>
      <c r="O399" s="15">
        <v>0</v>
      </c>
      <c r="P399" s="15">
        <v>0</v>
      </c>
      <c r="Q399" s="15">
        <v>0</v>
      </c>
      <c r="R399" s="15">
        <v>0</v>
      </c>
      <c r="S399" s="15">
        <v>0</v>
      </c>
      <c r="T399" s="15">
        <v>0</v>
      </c>
      <c r="U399" s="15">
        <v>0</v>
      </c>
      <c r="V399" s="15">
        <v>0</v>
      </c>
      <c r="W399" s="15">
        <v>0</v>
      </c>
      <c r="X399" s="15">
        <v>0</v>
      </c>
      <c r="Y399" s="15">
        <v>0</v>
      </c>
      <c r="Z399" s="15">
        <v>0</v>
      </c>
      <c r="AA399" s="15"/>
      <c r="AB399" s="15">
        <v>6</v>
      </c>
      <c r="AC399" s="15">
        <v>4</v>
      </c>
      <c r="AD399" s="15">
        <v>2</v>
      </c>
      <c r="AE399" s="15">
        <v>0.18182</v>
      </c>
      <c r="AF399" s="15">
        <v>0</v>
      </c>
      <c r="AG399" s="15">
        <v>1</v>
      </c>
      <c r="AH399" s="15">
        <v>62.47</v>
      </c>
      <c r="AI399" s="15">
        <v>7</v>
      </c>
      <c r="AJ399" s="15">
        <v>8.92</v>
      </c>
      <c r="AK399" s="15">
        <v>6</v>
      </c>
      <c r="AL399" s="15">
        <v>10.41</v>
      </c>
      <c r="AM399" s="15">
        <v>1</v>
      </c>
      <c r="AN399" s="15"/>
      <c r="AO399" s="15">
        <v>0</v>
      </c>
      <c r="AP399" s="15">
        <v>10.41</v>
      </c>
      <c r="AQ399" s="15">
        <v>0</v>
      </c>
      <c r="AR399" s="15">
        <v>0</v>
      </c>
      <c r="AS399" s="15">
        <v>0</v>
      </c>
      <c r="AT399" s="15">
        <v>0</v>
      </c>
      <c r="AU399" s="15">
        <v>0</v>
      </c>
      <c r="AV399" s="15">
        <v>0</v>
      </c>
      <c r="AW399" s="15">
        <v>0</v>
      </c>
      <c r="AX399" s="15">
        <v>0</v>
      </c>
      <c r="AY399" s="15">
        <v>104</v>
      </c>
      <c r="AZ399" s="15">
        <v>30</v>
      </c>
      <c r="BA399" s="15">
        <v>21</v>
      </c>
      <c r="BB399" s="15">
        <v>0.7</v>
      </c>
      <c r="BC399" s="15">
        <v>0</v>
      </c>
      <c r="BD399" s="15">
        <v>0</v>
      </c>
      <c r="BE399" s="15">
        <v>0.06897</v>
      </c>
      <c r="BF399" s="15">
        <v>71</v>
      </c>
      <c r="BG399" s="15">
        <v>3</v>
      </c>
      <c r="BH399" s="15">
        <v>0</v>
      </c>
      <c r="BI399" s="15"/>
      <c r="BJ399" s="15">
        <v>0</v>
      </c>
      <c r="BK399" s="15">
        <v>0</v>
      </c>
      <c r="BL399" s="15">
        <v>0</v>
      </c>
      <c r="BM399" s="15">
        <v>0</v>
      </c>
      <c r="BN399" s="15"/>
      <c r="BO399" s="15"/>
      <c r="BP399" s="15">
        <v>0</v>
      </c>
      <c r="BQ399" s="15">
        <v>91</v>
      </c>
      <c r="BR399" s="15">
        <v>0</v>
      </c>
      <c r="BS399" s="15">
        <v>0</v>
      </c>
      <c r="BT399" s="15">
        <v>0</v>
      </c>
      <c r="BU399" s="15">
        <v>0</v>
      </c>
      <c r="BV399" s="15">
        <v>0</v>
      </c>
      <c r="BW399" s="15">
        <v>0</v>
      </c>
      <c r="BX399" s="15">
        <v>0</v>
      </c>
    </row>
    <row r="400" spans="1:76">
      <c r="A400" s="14" t="str">
        <f>VLOOKUP(C400,VLOOKUP!A:B,2,FALSE)</f>
        <v>四季线香</v>
      </c>
      <c r="B400" s="16">
        <v>46027</v>
      </c>
      <c r="C400" s="17">
        <v>742540384374</v>
      </c>
      <c r="D400" s="15" t="s">
        <v>151</v>
      </c>
      <c r="E400" s="15" t="s">
        <v>161</v>
      </c>
      <c r="F400" s="15">
        <v>1148</v>
      </c>
      <c r="G400" s="15">
        <v>22</v>
      </c>
      <c r="H400" s="15">
        <v>54.64</v>
      </c>
      <c r="I400" s="15">
        <v>0.01916</v>
      </c>
      <c r="J400" s="15">
        <v>2.48</v>
      </c>
      <c r="K400" s="15">
        <v>47.6</v>
      </c>
      <c r="L400" s="15">
        <v>0</v>
      </c>
      <c r="M400" s="15">
        <v>0</v>
      </c>
      <c r="N400" s="15">
        <v>0</v>
      </c>
      <c r="O400" s="15">
        <v>0</v>
      </c>
      <c r="P400" s="15">
        <v>0</v>
      </c>
      <c r="Q400" s="15">
        <v>0</v>
      </c>
      <c r="R400" s="15">
        <v>278.8</v>
      </c>
      <c r="S400" s="15">
        <v>0</v>
      </c>
      <c r="T400" s="15">
        <v>278.8</v>
      </c>
      <c r="U400" s="15">
        <v>1</v>
      </c>
      <c r="V400" s="15">
        <v>1</v>
      </c>
      <c r="W400" s="15">
        <v>0</v>
      </c>
      <c r="X400" s="15">
        <v>0.04545</v>
      </c>
      <c r="Y400" s="15">
        <v>5.1</v>
      </c>
      <c r="Z400" s="15">
        <v>5.1</v>
      </c>
      <c r="AA400" s="15">
        <v>54.64</v>
      </c>
      <c r="AB400" s="15">
        <v>1</v>
      </c>
      <c r="AC400" s="15">
        <v>1</v>
      </c>
      <c r="AD400" s="15">
        <v>0</v>
      </c>
      <c r="AE400" s="15">
        <v>0.04545</v>
      </c>
      <c r="AF400" s="15">
        <v>0</v>
      </c>
      <c r="AG400" s="15">
        <v>0</v>
      </c>
      <c r="AH400" s="15"/>
      <c r="AI400" s="15">
        <v>1</v>
      </c>
      <c r="AJ400" s="15">
        <v>54.64</v>
      </c>
      <c r="AK400" s="15">
        <v>1</v>
      </c>
      <c r="AL400" s="15">
        <v>54.64</v>
      </c>
      <c r="AM400" s="15">
        <v>0</v>
      </c>
      <c r="AN400" s="15"/>
      <c r="AO400" s="15">
        <v>0</v>
      </c>
      <c r="AP400" s="15">
        <v>54.64</v>
      </c>
      <c r="AQ400" s="15">
        <v>2</v>
      </c>
      <c r="AR400" s="15">
        <v>427</v>
      </c>
      <c r="AS400" s="15">
        <v>0</v>
      </c>
      <c r="AT400" s="15">
        <v>0</v>
      </c>
      <c r="AU400" s="15">
        <v>0</v>
      </c>
      <c r="AV400" s="15">
        <v>0</v>
      </c>
      <c r="AW400" s="15">
        <v>0</v>
      </c>
      <c r="AX400" s="15">
        <v>0</v>
      </c>
      <c r="AY400" s="15">
        <v>45</v>
      </c>
      <c r="AZ400" s="15">
        <v>21</v>
      </c>
      <c r="BA400" s="15">
        <v>19</v>
      </c>
      <c r="BB400" s="15">
        <v>0.90476</v>
      </c>
      <c r="BC400" s="15">
        <v>0</v>
      </c>
      <c r="BD400" s="15">
        <v>0</v>
      </c>
      <c r="BE400" s="15">
        <v>0.0392</v>
      </c>
      <c r="BF400" s="15">
        <v>19</v>
      </c>
      <c r="BG400" s="15">
        <v>2</v>
      </c>
      <c r="BH400" s="15">
        <v>1</v>
      </c>
      <c r="BI400" s="15">
        <v>1</v>
      </c>
      <c r="BJ400" s="15">
        <v>0</v>
      </c>
      <c r="BK400" s="15">
        <v>0</v>
      </c>
      <c r="BL400" s="15">
        <v>0</v>
      </c>
      <c r="BM400" s="15">
        <v>1</v>
      </c>
      <c r="BN400" s="15">
        <v>1</v>
      </c>
      <c r="BO400" s="15">
        <v>278.8</v>
      </c>
      <c r="BP400" s="15">
        <v>0</v>
      </c>
      <c r="BQ400" s="15">
        <v>232</v>
      </c>
      <c r="BR400" s="15">
        <v>0</v>
      </c>
      <c r="BS400" s="15">
        <v>0</v>
      </c>
      <c r="BT400" s="15">
        <v>0</v>
      </c>
      <c r="BU400" s="15">
        <v>0</v>
      </c>
      <c r="BV400" s="15">
        <v>0</v>
      </c>
      <c r="BW400" s="15">
        <v>0</v>
      </c>
      <c r="BX400" s="15">
        <v>0</v>
      </c>
    </row>
    <row r="401" spans="1:76">
      <c r="A401" s="14" t="str">
        <f>VLOOKUP(C401,VLOOKUP!A:B,2,FALSE)</f>
        <v>车载香薰</v>
      </c>
      <c r="B401" s="16">
        <v>46027</v>
      </c>
      <c r="C401" s="17">
        <v>616090775596</v>
      </c>
      <c r="D401" s="15" t="s">
        <v>151</v>
      </c>
      <c r="E401" s="15" t="s">
        <v>162</v>
      </c>
      <c r="F401" s="15">
        <v>1941</v>
      </c>
      <c r="G401" s="15">
        <v>57</v>
      </c>
      <c r="H401" s="15">
        <v>44.17</v>
      </c>
      <c r="I401" s="15">
        <v>0.02937</v>
      </c>
      <c r="J401" s="15">
        <v>0.77</v>
      </c>
      <c r="K401" s="15">
        <v>22.76</v>
      </c>
      <c r="L401" s="15">
        <v>0</v>
      </c>
      <c r="M401" s="15">
        <v>0</v>
      </c>
      <c r="N401" s="15">
        <v>0</v>
      </c>
      <c r="O401" s="15">
        <v>0</v>
      </c>
      <c r="P401" s="15">
        <v>0</v>
      </c>
      <c r="Q401" s="15">
        <v>0</v>
      </c>
      <c r="R401" s="15">
        <v>0</v>
      </c>
      <c r="S401" s="15">
        <v>0</v>
      </c>
      <c r="T401" s="15">
        <v>0</v>
      </c>
      <c r="U401" s="15">
        <v>0</v>
      </c>
      <c r="V401" s="15">
        <v>0</v>
      </c>
      <c r="W401" s="15">
        <v>0</v>
      </c>
      <c r="X401" s="15">
        <v>0</v>
      </c>
      <c r="Y401" s="15">
        <v>0</v>
      </c>
      <c r="Z401" s="15">
        <v>0</v>
      </c>
      <c r="AA401" s="15"/>
      <c r="AB401" s="15">
        <v>1</v>
      </c>
      <c r="AC401" s="15">
        <v>1</v>
      </c>
      <c r="AD401" s="15">
        <v>0</v>
      </c>
      <c r="AE401" s="15">
        <v>0.01754</v>
      </c>
      <c r="AF401" s="15">
        <v>1</v>
      </c>
      <c r="AG401" s="15">
        <v>0</v>
      </c>
      <c r="AH401" s="15"/>
      <c r="AI401" s="15">
        <v>2</v>
      </c>
      <c r="AJ401" s="15">
        <v>22.09</v>
      </c>
      <c r="AK401" s="15">
        <v>2</v>
      </c>
      <c r="AL401" s="15">
        <v>22.09</v>
      </c>
      <c r="AM401" s="15">
        <v>1</v>
      </c>
      <c r="AN401" s="15">
        <v>44.17</v>
      </c>
      <c r="AO401" s="15">
        <v>0.01754</v>
      </c>
      <c r="AP401" s="15">
        <v>44.17</v>
      </c>
      <c r="AQ401" s="15">
        <v>0</v>
      </c>
      <c r="AR401" s="15">
        <v>0</v>
      </c>
      <c r="AS401" s="15">
        <v>1</v>
      </c>
      <c r="AT401" s="15">
        <v>0</v>
      </c>
      <c r="AU401" s="15">
        <v>0</v>
      </c>
      <c r="AV401" s="15">
        <v>0</v>
      </c>
      <c r="AW401" s="15">
        <v>0</v>
      </c>
      <c r="AX401" s="15">
        <v>0</v>
      </c>
      <c r="AY401" s="15">
        <v>124</v>
      </c>
      <c r="AZ401" s="15">
        <v>42</v>
      </c>
      <c r="BA401" s="15">
        <v>41</v>
      </c>
      <c r="BB401" s="15">
        <v>0.97619</v>
      </c>
      <c r="BC401" s="15">
        <v>0</v>
      </c>
      <c r="BD401" s="15">
        <v>0</v>
      </c>
      <c r="BE401" s="15">
        <v>0.06388</v>
      </c>
      <c r="BF401" s="15">
        <v>45</v>
      </c>
      <c r="BG401" s="15">
        <v>3</v>
      </c>
      <c r="BH401" s="15">
        <v>0</v>
      </c>
      <c r="BI401" s="15"/>
      <c r="BJ401" s="15">
        <v>0</v>
      </c>
      <c r="BK401" s="15">
        <v>0</v>
      </c>
      <c r="BL401" s="15">
        <v>0</v>
      </c>
      <c r="BM401" s="15">
        <v>0</v>
      </c>
      <c r="BN401" s="15"/>
      <c r="BO401" s="15"/>
      <c r="BP401" s="15">
        <v>0</v>
      </c>
      <c r="BQ401" s="15">
        <v>27</v>
      </c>
      <c r="BR401" s="15">
        <v>0</v>
      </c>
      <c r="BS401" s="15">
        <v>0</v>
      </c>
      <c r="BT401" s="15">
        <v>0</v>
      </c>
      <c r="BU401" s="15">
        <v>0</v>
      </c>
      <c r="BV401" s="15">
        <v>0</v>
      </c>
      <c r="BW401" s="15">
        <v>0</v>
      </c>
      <c r="BX401" s="15">
        <v>0</v>
      </c>
    </row>
    <row r="402" spans="1:76">
      <c r="A402" s="14" t="str">
        <f>VLOOKUP(C402,VLOOKUP!A:B,2,FALSE)</f>
        <v>鹅梨帐中香</v>
      </c>
      <c r="B402" s="16">
        <v>46026</v>
      </c>
      <c r="C402" s="17">
        <v>971317169387</v>
      </c>
      <c r="D402" s="15" t="s">
        <v>151</v>
      </c>
      <c r="E402" s="15" t="s">
        <v>155</v>
      </c>
      <c r="F402" s="15">
        <v>1454</v>
      </c>
      <c r="G402" s="15">
        <v>31</v>
      </c>
      <c r="H402" s="15">
        <v>57</v>
      </c>
      <c r="I402" s="15">
        <v>0.02132</v>
      </c>
      <c r="J402" s="15">
        <v>1.84</v>
      </c>
      <c r="K402" s="15">
        <v>39.2</v>
      </c>
      <c r="L402" s="15">
        <v>0</v>
      </c>
      <c r="M402" s="15">
        <v>0</v>
      </c>
      <c r="N402" s="15">
        <v>0</v>
      </c>
      <c r="O402" s="15">
        <v>0</v>
      </c>
      <c r="P402" s="15">
        <v>0</v>
      </c>
      <c r="Q402" s="15">
        <v>0</v>
      </c>
      <c r="R402" s="15">
        <v>0</v>
      </c>
      <c r="S402" s="15">
        <v>24.96</v>
      </c>
      <c r="T402" s="15">
        <v>24.96</v>
      </c>
      <c r="U402" s="15">
        <v>1</v>
      </c>
      <c r="V402" s="15">
        <v>0</v>
      </c>
      <c r="W402" s="15">
        <v>1</v>
      </c>
      <c r="X402" s="15">
        <v>0.03226</v>
      </c>
      <c r="Y402" s="15">
        <v>0.44</v>
      </c>
      <c r="Z402" s="15">
        <v>0.44</v>
      </c>
      <c r="AA402" s="15">
        <v>57</v>
      </c>
      <c r="AB402" s="15">
        <v>0</v>
      </c>
      <c r="AC402" s="15">
        <v>0</v>
      </c>
      <c r="AD402" s="15">
        <v>0</v>
      </c>
      <c r="AE402" s="15">
        <v>0</v>
      </c>
      <c r="AF402" s="15">
        <v>0</v>
      </c>
      <c r="AG402" s="15">
        <v>0</v>
      </c>
      <c r="AH402" s="15"/>
      <c r="AI402" s="15">
        <v>0</v>
      </c>
      <c r="AJ402" s="15"/>
      <c r="AK402" s="15">
        <v>0</v>
      </c>
      <c r="AL402" s="15"/>
      <c r="AM402" s="15">
        <v>0</v>
      </c>
      <c r="AN402" s="15"/>
      <c r="AO402" s="15">
        <v>0</v>
      </c>
      <c r="AP402" s="15"/>
      <c r="AQ402" s="15">
        <v>1</v>
      </c>
      <c r="AR402" s="15">
        <v>49.9</v>
      </c>
      <c r="AS402" s="15">
        <v>0</v>
      </c>
      <c r="AT402" s="15">
        <v>0</v>
      </c>
      <c r="AU402" s="15">
        <v>0</v>
      </c>
      <c r="AV402" s="15">
        <v>0</v>
      </c>
      <c r="AW402" s="15">
        <v>0</v>
      </c>
      <c r="AX402" s="15">
        <v>2</v>
      </c>
      <c r="AY402" s="15">
        <v>50</v>
      </c>
      <c r="AZ402" s="15">
        <v>24</v>
      </c>
      <c r="BA402" s="15">
        <v>14</v>
      </c>
      <c r="BB402" s="15">
        <v>0.58333</v>
      </c>
      <c r="BC402" s="15">
        <v>0</v>
      </c>
      <c r="BD402" s="15">
        <v>0</v>
      </c>
      <c r="BE402" s="15">
        <v>0.03439</v>
      </c>
      <c r="BF402" s="15">
        <v>20</v>
      </c>
      <c r="BG402" s="15">
        <v>2</v>
      </c>
      <c r="BH402" s="15">
        <v>0</v>
      </c>
      <c r="BI402" s="15">
        <v>0</v>
      </c>
      <c r="BJ402" s="15">
        <v>0</v>
      </c>
      <c r="BK402" s="15">
        <v>0</v>
      </c>
      <c r="BL402" s="15">
        <v>0</v>
      </c>
      <c r="BM402" s="15">
        <v>1</v>
      </c>
      <c r="BN402" s="15">
        <v>1</v>
      </c>
      <c r="BO402" s="15">
        <v>24.96</v>
      </c>
      <c r="BP402" s="15">
        <v>6.52</v>
      </c>
      <c r="BQ402" s="15">
        <v>77</v>
      </c>
      <c r="BR402" s="15">
        <v>0</v>
      </c>
      <c r="BS402" s="15">
        <v>0</v>
      </c>
      <c r="BT402" s="15">
        <v>0</v>
      </c>
      <c r="BU402" s="15">
        <v>0</v>
      </c>
      <c r="BV402" s="15">
        <v>0</v>
      </c>
      <c r="BW402" s="15">
        <v>0</v>
      </c>
      <c r="BX402" s="15">
        <v>0</v>
      </c>
    </row>
    <row r="403" spans="1:76">
      <c r="A403" s="14" t="str">
        <f>VLOOKUP(C403,VLOOKUP!A:B,2,FALSE)</f>
        <v>荔枝香</v>
      </c>
      <c r="B403" s="16">
        <v>46026</v>
      </c>
      <c r="C403" s="17">
        <v>960406497157</v>
      </c>
      <c r="D403" s="15" t="s">
        <v>151</v>
      </c>
      <c r="E403" s="15" t="s">
        <v>157</v>
      </c>
      <c r="F403" s="15">
        <v>2371</v>
      </c>
      <c r="G403" s="15">
        <v>32</v>
      </c>
      <c r="H403" s="15">
        <v>34.04</v>
      </c>
      <c r="I403" s="15">
        <v>0.0135</v>
      </c>
      <c r="J403" s="15">
        <v>1.06</v>
      </c>
      <c r="K403" s="15">
        <v>14.36</v>
      </c>
      <c r="L403" s="15">
        <v>0</v>
      </c>
      <c r="M403" s="15">
        <v>0</v>
      </c>
      <c r="N403" s="15">
        <v>0</v>
      </c>
      <c r="O403" s="15">
        <v>0</v>
      </c>
      <c r="P403" s="15">
        <v>0</v>
      </c>
      <c r="Q403" s="15">
        <v>0</v>
      </c>
      <c r="R403" s="15">
        <v>0</v>
      </c>
      <c r="S403" s="15">
        <v>0</v>
      </c>
      <c r="T403" s="15">
        <v>0</v>
      </c>
      <c r="U403" s="15">
        <v>0</v>
      </c>
      <c r="V403" s="15">
        <v>0</v>
      </c>
      <c r="W403" s="15">
        <v>0</v>
      </c>
      <c r="X403" s="15">
        <v>0</v>
      </c>
      <c r="Y403" s="15">
        <v>0</v>
      </c>
      <c r="Z403" s="15">
        <v>0</v>
      </c>
      <c r="AA403" s="15"/>
      <c r="AB403" s="15">
        <v>1</v>
      </c>
      <c r="AC403" s="15">
        <v>1</v>
      </c>
      <c r="AD403" s="15">
        <v>0</v>
      </c>
      <c r="AE403" s="15">
        <v>0.03125</v>
      </c>
      <c r="AF403" s="15">
        <v>0</v>
      </c>
      <c r="AG403" s="15">
        <v>0</v>
      </c>
      <c r="AH403" s="15"/>
      <c r="AI403" s="15">
        <v>1</v>
      </c>
      <c r="AJ403" s="15">
        <v>34.04</v>
      </c>
      <c r="AK403" s="15">
        <v>1</v>
      </c>
      <c r="AL403" s="15">
        <v>34.04</v>
      </c>
      <c r="AM403" s="15">
        <v>0</v>
      </c>
      <c r="AN403" s="15"/>
      <c r="AO403" s="15">
        <v>0</v>
      </c>
      <c r="AP403" s="15">
        <v>34.04</v>
      </c>
      <c r="AQ403" s="15">
        <v>0</v>
      </c>
      <c r="AR403" s="15">
        <v>0</v>
      </c>
      <c r="AS403" s="15">
        <v>0</v>
      </c>
      <c r="AT403" s="15">
        <v>0</v>
      </c>
      <c r="AU403" s="15">
        <v>0</v>
      </c>
      <c r="AV403" s="15">
        <v>0</v>
      </c>
      <c r="AW403" s="15">
        <v>0</v>
      </c>
      <c r="AX403" s="15">
        <v>0</v>
      </c>
      <c r="AY403" s="15">
        <v>51</v>
      </c>
      <c r="AZ403" s="15">
        <v>31</v>
      </c>
      <c r="BA403" s="15">
        <v>27</v>
      </c>
      <c r="BB403" s="15">
        <v>0.87097</v>
      </c>
      <c r="BC403" s="15">
        <v>0</v>
      </c>
      <c r="BD403" s="15">
        <v>0</v>
      </c>
      <c r="BE403" s="15">
        <v>0.02151</v>
      </c>
      <c r="BF403" s="15">
        <v>15</v>
      </c>
      <c r="BG403" s="15">
        <v>2</v>
      </c>
      <c r="BH403" s="15">
        <v>0</v>
      </c>
      <c r="BI403" s="15"/>
      <c r="BJ403" s="15">
        <v>0</v>
      </c>
      <c r="BK403" s="15">
        <v>0</v>
      </c>
      <c r="BL403" s="15">
        <v>0</v>
      </c>
      <c r="BM403" s="15">
        <v>0</v>
      </c>
      <c r="BN403" s="15"/>
      <c r="BO403" s="15"/>
      <c r="BP403" s="15">
        <v>0</v>
      </c>
      <c r="BQ403" s="15">
        <v>72</v>
      </c>
      <c r="BR403" s="15">
        <v>0</v>
      </c>
      <c r="BS403" s="15">
        <v>0</v>
      </c>
      <c r="BT403" s="15">
        <v>0</v>
      </c>
      <c r="BU403" s="15">
        <v>0</v>
      </c>
      <c r="BV403" s="15">
        <v>0</v>
      </c>
      <c r="BW403" s="15">
        <v>0</v>
      </c>
      <c r="BX403" s="15">
        <v>0</v>
      </c>
    </row>
    <row r="404" spans="1:76">
      <c r="A404" s="14" t="str">
        <f>VLOOKUP(C404,VLOOKUP!A:B,2,FALSE)</f>
        <v>如意盘香</v>
      </c>
      <c r="B404" s="16">
        <v>46026</v>
      </c>
      <c r="C404" s="17">
        <v>838711327669</v>
      </c>
      <c r="D404" s="15" t="s">
        <v>151</v>
      </c>
      <c r="E404" s="15" t="s">
        <v>158</v>
      </c>
      <c r="F404" s="15">
        <v>1021</v>
      </c>
      <c r="G404" s="15">
        <v>39</v>
      </c>
      <c r="H404" s="15">
        <v>73.88</v>
      </c>
      <c r="I404" s="15">
        <v>0.0382</v>
      </c>
      <c r="J404" s="15">
        <v>1.89</v>
      </c>
      <c r="K404" s="15">
        <v>72.36</v>
      </c>
      <c r="L404" s="15">
        <v>0</v>
      </c>
      <c r="M404" s="15">
        <v>0</v>
      </c>
      <c r="N404" s="15">
        <v>0</v>
      </c>
      <c r="O404" s="15">
        <v>0</v>
      </c>
      <c r="P404" s="15">
        <v>0</v>
      </c>
      <c r="Q404" s="15">
        <v>0</v>
      </c>
      <c r="R404" s="15">
        <v>641.04</v>
      </c>
      <c r="S404" s="15">
        <v>0</v>
      </c>
      <c r="T404" s="15">
        <v>641.04</v>
      </c>
      <c r="U404" s="15">
        <v>2</v>
      </c>
      <c r="V404" s="15">
        <v>2</v>
      </c>
      <c r="W404" s="15">
        <v>0</v>
      </c>
      <c r="X404" s="15">
        <v>0.05128</v>
      </c>
      <c r="Y404" s="15">
        <v>8.68</v>
      </c>
      <c r="Z404" s="15">
        <v>8.68</v>
      </c>
      <c r="AA404" s="15">
        <v>36.94</v>
      </c>
      <c r="AB404" s="15">
        <v>2</v>
      </c>
      <c r="AC404" s="15">
        <v>2</v>
      </c>
      <c r="AD404" s="15">
        <v>0</v>
      </c>
      <c r="AE404" s="15">
        <v>0.05128</v>
      </c>
      <c r="AF404" s="15">
        <v>0</v>
      </c>
      <c r="AG404" s="15">
        <v>0</v>
      </c>
      <c r="AH404" s="15"/>
      <c r="AI404" s="15">
        <v>2</v>
      </c>
      <c r="AJ404" s="15">
        <v>36.94</v>
      </c>
      <c r="AK404" s="15">
        <v>2</v>
      </c>
      <c r="AL404" s="15">
        <v>36.94</v>
      </c>
      <c r="AM404" s="15">
        <v>0</v>
      </c>
      <c r="AN404" s="15"/>
      <c r="AO404" s="15">
        <v>0</v>
      </c>
      <c r="AP404" s="15">
        <v>36.94</v>
      </c>
      <c r="AQ404" s="15">
        <v>4</v>
      </c>
      <c r="AR404" s="15">
        <v>942</v>
      </c>
      <c r="AS404" s="15">
        <v>0</v>
      </c>
      <c r="AT404" s="15">
        <v>0</v>
      </c>
      <c r="AU404" s="15">
        <v>0</v>
      </c>
      <c r="AV404" s="15">
        <v>0</v>
      </c>
      <c r="AW404" s="15">
        <v>0</v>
      </c>
      <c r="AX404" s="15">
        <v>2</v>
      </c>
      <c r="AY404" s="15">
        <v>124</v>
      </c>
      <c r="AZ404" s="15">
        <v>37</v>
      </c>
      <c r="BA404" s="15">
        <v>31</v>
      </c>
      <c r="BB404" s="15">
        <v>0.83784</v>
      </c>
      <c r="BC404" s="15">
        <v>0</v>
      </c>
      <c r="BD404" s="15">
        <v>0</v>
      </c>
      <c r="BE404" s="15">
        <v>0.12145</v>
      </c>
      <c r="BF404" s="15">
        <v>83</v>
      </c>
      <c r="BG404" s="15">
        <v>3</v>
      </c>
      <c r="BH404" s="15">
        <v>1</v>
      </c>
      <c r="BI404" s="15">
        <v>0.5</v>
      </c>
      <c r="BJ404" s="15">
        <v>0</v>
      </c>
      <c r="BK404" s="15">
        <v>0</v>
      </c>
      <c r="BL404" s="15">
        <v>0</v>
      </c>
      <c r="BM404" s="15">
        <v>2</v>
      </c>
      <c r="BN404" s="15">
        <v>1</v>
      </c>
      <c r="BO404" s="15">
        <v>320.52</v>
      </c>
      <c r="BP404" s="15">
        <v>0</v>
      </c>
      <c r="BQ404" s="15">
        <v>758</v>
      </c>
      <c r="BR404" s="15">
        <v>0</v>
      </c>
      <c r="BS404" s="15">
        <v>0</v>
      </c>
      <c r="BT404" s="15">
        <v>0</v>
      </c>
      <c r="BU404" s="15">
        <v>0</v>
      </c>
      <c r="BV404" s="15">
        <v>0</v>
      </c>
      <c r="BW404" s="15">
        <v>0</v>
      </c>
      <c r="BX404" s="15">
        <v>0</v>
      </c>
    </row>
    <row r="405" spans="1:76">
      <c r="A405" s="14" t="str">
        <f>VLOOKUP(C405,VLOOKUP!A:B,2,FALSE)</f>
        <v>四季线香</v>
      </c>
      <c r="B405" s="16">
        <v>46026</v>
      </c>
      <c r="C405" s="17">
        <v>742540384374</v>
      </c>
      <c r="D405" s="15" t="s">
        <v>151</v>
      </c>
      <c r="E405" s="15" t="s">
        <v>161</v>
      </c>
      <c r="F405" s="15">
        <v>1377</v>
      </c>
      <c r="G405" s="15">
        <v>27</v>
      </c>
      <c r="H405" s="15">
        <v>57.63</v>
      </c>
      <c r="I405" s="15">
        <v>0.01961</v>
      </c>
      <c r="J405" s="15">
        <v>2.13</v>
      </c>
      <c r="K405" s="15">
        <v>41.85</v>
      </c>
      <c r="L405" s="15">
        <v>0</v>
      </c>
      <c r="M405" s="15">
        <v>0</v>
      </c>
      <c r="N405" s="15">
        <v>0</v>
      </c>
      <c r="O405" s="15">
        <v>0</v>
      </c>
      <c r="P405" s="15">
        <v>0</v>
      </c>
      <c r="Q405" s="15">
        <v>0</v>
      </c>
      <c r="R405" s="15">
        <v>0</v>
      </c>
      <c r="S405" s="15">
        <v>0</v>
      </c>
      <c r="T405" s="15">
        <v>0</v>
      </c>
      <c r="U405" s="15">
        <v>0</v>
      </c>
      <c r="V405" s="15">
        <v>0</v>
      </c>
      <c r="W405" s="15">
        <v>0</v>
      </c>
      <c r="X405" s="15">
        <v>0</v>
      </c>
      <c r="Y405" s="15">
        <v>0</v>
      </c>
      <c r="Z405" s="15">
        <v>0</v>
      </c>
      <c r="AA405" s="15"/>
      <c r="AB405" s="15">
        <v>0</v>
      </c>
      <c r="AC405" s="15">
        <v>0</v>
      </c>
      <c r="AD405" s="15">
        <v>0</v>
      </c>
      <c r="AE405" s="15">
        <v>0</v>
      </c>
      <c r="AF405" s="15">
        <v>0</v>
      </c>
      <c r="AG405" s="15">
        <v>0</v>
      </c>
      <c r="AH405" s="15"/>
      <c r="AI405" s="15">
        <v>0</v>
      </c>
      <c r="AJ405" s="15"/>
      <c r="AK405" s="15">
        <v>0</v>
      </c>
      <c r="AL405" s="15"/>
      <c r="AM405" s="15">
        <v>0</v>
      </c>
      <c r="AN405" s="15"/>
      <c r="AO405" s="15">
        <v>0</v>
      </c>
      <c r="AP405" s="15"/>
      <c r="AQ405" s="15">
        <v>0</v>
      </c>
      <c r="AR405" s="15">
        <v>0</v>
      </c>
      <c r="AS405" s="15">
        <v>0</v>
      </c>
      <c r="AT405" s="15">
        <v>0</v>
      </c>
      <c r="AU405" s="15">
        <v>0</v>
      </c>
      <c r="AV405" s="15">
        <v>0</v>
      </c>
      <c r="AW405" s="15">
        <v>0</v>
      </c>
      <c r="AX405" s="15">
        <v>0</v>
      </c>
      <c r="AY405" s="15">
        <v>77</v>
      </c>
      <c r="AZ405" s="15">
        <v>24</v>
      </c>
      <c r="BA405" s="15">
        <v>22</v>
      </c>
      <c r="BB405" s="15">
        <v>0.91667</v>
      </c>
      <c r="BC405" s="15">
        <v>0</v>
      </c>
      <c r="BD405" s="15">
        <v>0</v>
      </c>
      <c r="BE405" s="15">
        <v>0.05592</v>
      </c>
      <c r="BF405" s="15">
        <v>46</v>
      </c>
      <c r="BG405" s="15">
        <v>3</v>
      </c>
      <c r="BH405" s="15">
        <v>0</v>
      </c>
      <c r="BI405" s="15"/>
      <c r="BJ405" s="15">
        <v>0</v>
      </c>
      <c r="BK405" s="15">
        <v>0</v>
      </c>
      <c r="BL405" s="15">
        <v>0</v>
      </c>
      <c r="BM405" s="15">
        <v>0</v>
      </c>
      <c r="BN405" s="15"/>
      <c r="BO405" s="15"/>
      <c r="BP405" s="15">
        <v>0</v>
      </c>
      <c r="BQ405" s="15">
        <v>39</v>
      </c>
      <c r="BR405" s="15">
        <v>0</v>
      </c>
      <c r="BS405" s="15">
        <v>0</v>
      </c>
      <c r="BT405" s="15">
        <v>0</v>
      </c>
      <c r="BU405" s="15">
        <v>0</v>
      </c>
      <c r="BV405" s="15">
        <v>0</v>
      </c>
      <c r="BW405" s="15">
        <v>0</v>
      </c>
      <c r="BX405" s="15">
        <v>0</v>
      </c>
    </row>
    <row r="406" spans="1:76">
      <c r="A406" s="14" t="str">
        <f>VLOOKUP(C406,VLOOKUP!A:B,2,FALSE)</f>
        <v>车载香薰</v>
      </c>
      <c r="B406" s="16">
        <v>46026</v>
      </c>
      <c r="C406" s="17">
        <v>616090775596</v>
      </c>
      <c r="D406" s="15" t="s">
        <v>151</v>
      </c>
      <c r="E406" s="15" t="s">
        <v>162</v>
      </c>
      <c r="F406" s="15">
        <v>6008</v>
      </c>
      <c r="G406" s="15">
        <v>68</v>
      </c>
      <c r="H406" s="15">
        <v>95.67</v>
      </c>
      <c r="I406" s="15">
        <v>0.01132</v>
      </c>
      <c r="J406" s="15">
        <v>1.41</v>
      </c>
      <c r="K406" s="15">
        <v>15.92</v>
      </c>
      <c r="L406" s="15">
        <v>0</v>
      </c>
      <c r="M406" s="15">
        <v>0</v>
      </c>
      <c r="N406" s="15">
        <v>0</v>
      </c>
      <c r="O406" s="15">
        <v>0</v>
      </c>
      <c r="P406" s="15">
        <v>0</v>
      </c>
      <c r="Q406" s="15">
        <v>0</v>
      </c>
      <c r="R406" s="15">
        <v>0</v>
      </c>
      <c r="S406" s="15">
        <v>0</v>
      </c>
      <c r="T406" s="15">
        <v>0</v>
      </c>
      <c r="U406" s="15">
        <v>0</v>
      </c>
      <c r="V406" s="15">
        <v>0</v>
      </c>
      <c r="W406" s="15">
        <v>0</v>
      </c>
      <c r="X406" s="15">
        <v>0</v>
      </c>
      <c r="Y406" s="15">
        <v>0</v>
      </c>
      <c r="Z406" s="15">
        <v>0</v>
      </c>
      <c r="AA406" s="15"/>
      <c r="AB406" s="15">
        <v>1</v>
      </c>
      <c r="AC406" s="15">
        <v>1</v>
      </c>
      <c r="AD406" s="15">
        <v>0</v>
      </c>
      <c r="AE406" s="15">
        <v>0.01471</v>
      </c>
      <c r="AF406" s="15">
        <v>2</v>
      </c>
      <c r="AG406" s="15">
        <v>0</v>
      </c>
      <c r="AH406" s="15"/>
      <c r="AI406" s="15">
        <v>3</v>
      </c>
      <c r="AJ406" s="15">
        <v>31.89</v>
      </c>
      <c r="AK406" s="15">
        <v>3</v>
      </c>
      <c r="AL406" s="15">
        <v>31.89</v>
      </c>
      <c r="AM406" s="15">
        <v>2</v>
      </c>
      <c r="AN406" s="15">
        <v>47.84</v>
      </c>
      <c r="AO406" s="15">
        <v>0.02941</v>
      </c>
      <c r="AP406" s="15">
        <v>95.67</v>
      </c>
      <c r="AQ406" s="15">
        <v>0</v>
      </c>
      <c r="AR406" s="15">
        <v>0</v>
      </c>
      <c r="AS406" s="15">
        <v>2</v>
      </c>
      <c r="AT406" s="15">
        <v>0</v>
      </c>
      <c r="AU406" s="15">
        <v>0</v>
      </c>
      <c r="AV406" s="15">
        <v>0</v>
      </c>
      <c r="AW406" s="15">
        <v>0</v>
      </c>
      <c r="AX406" s="15">
        <v>1</v>
      </c>
      <c r="AY406" s="15">
        <v>143</v>
      </c>
      <c r="AZ406" s="15">
        <v>63</v>
      </c>
      <c r="BA406" s="15">
        <v>62</v>
      </c>
      <c r="BB406" s="15">
        <v>0.98413</v>
      </c>
      <c r="BC406" s="15">
        <v>0</v>
      </c>
      <c r="BD406" s="15">
        <v>0</v>
      </c>
      <c r="BE406" s="15">
        <v>0.0238</v>
      </c>
      <c r="BF406" s="15">
        <v>61</v>
      </c>
      <c r="BG406" s="15">
        <v>2</v>
      </c>
      <c r="BH406" s="15">
        <v>0</v>
      </c>
      <c r="BI406" s="15"/>
      <c r="BJ406" s="15">
        <v>0</v>
      </c>
      <c r="BK406" s="15">
        <v>0</v>
      </c>
      <c r="BL406" s="15">
        <v>0</v>
      </c>
      <c r="BM406" s="15">
        <v>0</v>
      </c>
      <c r="BN406" s="15"/>
      <c r="BO406" s="15"/>
      <c r="BP406" s="15">
        <v>0</v>
      </c>
      <c r="BQ406" s="15">
        <v>51</v>
      </c>
      <c r="BR406" s="15">
        <v>0</v>
      </c>
      <c r="BS406" s="15">
        <v>0</v>
      </c>
      <c r="BT406" s="15">
        <v>0</v>
      </c>
      <c r="BU406" s="15">
        <v>0</v>
      </c>
      <c r="BV406" s="15">
        <v>0</v>
      </c>
      <c r="BW406" s="15">
        <v>0</v>
      </c>
      <c r="BX406" s="15">
        <v>0</v>
      </c>
    </row>
    <row r="407" spans="1:76">
      <c r="A407" s="14" t="str">
        <f>VLOOKUP(C407,VLOOKUP!A:B,2,FALSE)</f>
        <v>鹅梨帐中香</v>
      </c>
      <c r="B407" s="16">
        <v>46025</v>
      </c>
      <c r="C407" s="17">
        <v>971317169387</v>
      </c>
      <c r="D407" s="15" t="s">
        <v>151</v>
      </c>
      <c r="E407" s="15" t="s">
        <v>155</v>
      </c>
      <c r="F407" s="15">
        <v>1160</v>
      </c>
      <c r="G407" s="15">
        <v>28</v>
      </c>
      <c r="H407" s="15">
        <v>65.17</v>
      </c>
      <c r="I407" s="15">
        <v>0.02414</v>
      </c>
      <c r="J407" s="15">
        <v>2.33</v>
      </c>
      <c r="K407" s="15">
        <v>56.18</v>
      </c>
      <c r="L407" s="15">
        <v>0</v>
      </c>
      <c r="M407" s="15">
        <v>0</v>
      </c>
      <c r="N407" s="15">
        <v>0</v>
      </c>
      <c r="O407" s="15">
        <v>0</v>
      </c>
      <c r="P407" s="15">
        <v>0</v>
      </c>
      <c r="Q407" s="15">
        <v>0</v>
      </c>
      <c r="R407" s="15">
        <v>0</v>
      </c>
      <c r="S407" s="15">
        <v>0</v>
      </c>
      <c r="T407" s="15">
        <v>0</v>
      </c>
      <c r="U407" s="15">
        <v>0</v>
      </c>
      <c r="V407" s="15">
        <v>0</v>
      </c>
      <c r="W407" s="15">
        <v>0</v>
      </c>
      <c r="X407" s="15">
        <v>0</v>
      </c>
      <c r="Y407" s="15">
        <v>0</v>
      </c>
      <c r="Z407" s="15">
        <v>0</v>
      </c>
      <c r="AA407" s="15"/>
      <c r="AB407" s="15">
        <v>2</v>
      </c>
      <c r="AC407" s="15">
        <v>1</v>
      </c>
      <c r="AD407" s="15">
        <v>1</v>
      </c>
      <c r="AE407" s="15">
        <v>0.07143</v>
      </c>
      <c r="AF407" s="15">
        <v>1</v>
      </c>
      <c r="AG407" s="15">
        <v>0</v>
      </c>
      <c r="AH407" s="15"/>
      <c r="AI407" s="15">
        <v>3</v>
      </c>
      <c r="AJ407" s="15">
        <v>21.72</v>
      </c>
      <c r="AK407" s="15">
        <v>3</v>
      </c>
      <c r="AL407" s="15">
        <v>21.72</v>
      </c>
      <c r="AM407" s="15">
        <v>1</v>
      </c>
      <c r="AN407" s="15">
        <v>65.17</v>
      </c>
      <c r="AO407" s="15">
        <v>0.03571</v>
      </c>
      <c r="AP407" s="15">
        <v>32.59</v>
      </c>
      <c r="AQ407" s="15">
        <v>0</v>
      </c>
      <c r="AR407" s="15">
        <v>0</v>
      </c>
      <c r="AS407" s="15">
        <v>1</v>
      </c>
      <c r="AT407" s="15">
        <v>0</v>
      </c>
      <c r="AU407" s="15">
        <v>0</v>
      </c>
      <c r="AV407" s="15">
        <v>0</v>
      </c>
      <c r="AW407" s="15">
        <v>0</v>
      </c>
      <c r="AX407" s="15">
        <v>1</v>
      </c>
      <c r="AY407" s="15">
        <v>98</v>
      </c>
      <c r="AZ407" s="15">
        <v>27</v>
      </c>
      <c r="BA407" s="15">
        <v>18</v>
      </c>
      <c r="BB407" s="15">
        <v>0.66667</v>
      </c>
      <c r="BC407" s="15">
        <v>0</v>
      </c>
      <c r="BD407" s="15">
        <v>0</v>
      </c>
      <c r="BE407" s="15">
        <v>0.08448</v>
      </c>
      <c r="BF407" s="15">
        <v>55</v>
      </c>
      <c r="BG407" s="15">
        <v>4</v>
      </c>
      <c r="BH407" s="15">
        <v>0</v>
      </c>
      <c r="BI407" s="15"/>
      <c r="BJ407" s="15">
        <v>0</v>
      </c>
      <c r="BK407" s="15">
        <v>0</v>
      </c>
      <c r="BL407" s="15">
        <v>0</v>
      </c>
      <c r="BM407" s="15">
        <v>0</v>
      </c>
      <c r="BN407" s="15"/>
      <c r="BO407" s="15"/>
      <c r="BP407" s="15">
        <v>0</v>
      </c>
      <c r="BQ407" s="15">
        <v>69</v>
      </c>
      <c r="BR407" s="15">
        <v>0</v>
      </c>
      <c r="BS407" s="15">
        <v>0</v>
      </c>
      <c r="BT407" s="15">
        <v>0</v>
      </c>
      <c r="BU407" s="15">
        <v>0</v>
      </c>
      <c r="BV407" s="15">
        <v>0</v>
      </c>
      <c r="BW407" s="15">
        <v>0</v>
      </c>
      <c r="BX407" s="15">
        <v>0</v>
      </c>
    </row>
    <row r="408" spans="1:76">
      <c r="A408" s="14" t="str">
        <f>VLOOKUP(C408,VLOOKUP!A:B,2,FALSE)</f>
        <v>荔枝香</v>
      </c>
      <c r="B408" s="16">
        <v>46025</v>
      </c>
      <c r="C408" s="17">
        <v>960406497157</v>
      </c>
      <c r="D408" s="15" t="s">
        <v>151</v>
      </c>
      <c r="E408" s="15" t="s">
        <v>157</v>
      </c>
      <c r="F408" s="15">
        <v>3419</v>
      </c>
      <c r="G408" s="15">
        <v>46</v>
      </c>
      <c r="H408" s="15">
        <v>43.16</v>
      </c>
      <c r="I408" s="15">
        <v>0.01345</v>
      </c>
      <c r="J408" s="15">
        <v>0.94</v>
      </c>
      <c r="K408" s="15">
        <v>12.62</v>
      </c>
      <c r="L408" s="15">
        <v>0</v>
      </c>
      <c r="M408" s="15">
        <v>0</v>
      </c>
      <c r="N408" s="15">
        <v>0</v>
      </c>
      <c r="O408" s="15">
        <v>0</v>
      </c>
      <c r="P408" s="15">
        <v>0</v>
      </c>
      <c r="Q408" s="15">
        <v>0</v>
      </c>
      <c r="R408" s="15">
        <v>0</v>
      </c>
      <c r="S408" s="15">
        <v>24.65</v>
      </c>
      <c r="T408" s="15">
        <v>24.65</v>
      </c>
      <c r="U408" s="15">
        <v>1</v>
      </c>
      <c r="V408" s="15">
        <v>0</v>
      </c>
      <c r="W408" s="15">
        <v>1</v>
      </c>
      <c r="X408" s="15">
        <v>0.02174</v>
      </c>
      <c r="Y408" s="15">
        <v>0.57</v>
      </c>
      <c r="Z408" s="15">
        <v>0.57</v>
      </c>
      <c r="AA408" s="15">
        <v>43.16</v>
      </c>
      <c r="AB408" s="15">
        <v>3</v>
      </c>
      <c r="AC408" s="15">
        <v>1</v>
      </c>
      <c r="AD408" s="15">
        <v>2</v>
      </c>
      <c r="AE408" s="15">
        <v>0.06522</v>
      </c>
      <c r="AF408" s="15">
        <v>1</v>
      </c>
      <c r="AG408" s="15">
        <v>0</v>
      </c>
      <c r="AH408" s="15"/>
      <c r="AI408" s="15">
        <v>4</v>
      </c>
      <c r="AJ408" s="15">
        <v>10.79</v>
      </c>
      <c r="AK408" s="15">
        <v>4</v>
      </c>
      <c r="AL408" s="15">
        <v>10.79</v>
      </c>
      <c r="AM408" s="15">
        <v>1</v>
      </c>
      <c r="AN408" s="15">
        <v>43.16</v>
      </c>
      <c r="AO408" s="15">
        <v>0.02174</v>
      </c>
      <c r="AP408" s="15">
        <v>14.39</v>
      </c>
      <c r="AQ408" s="15">
        <v>1</v>
      </c>
      <c r="AR408" s="15">
        <v>29</v>
      </c>
      <c r="AS408" s="15">
        <v>0</v>
      </c>
      <c r="AT408" s="15">
        <v>1</v>
      </c>
      <c r="AU408" s="15">
        <v>0</v>
      </c>
      <c r="AV408" s="15">
        <v>0</v>
      </c>
      <c r="AW408" s="15">
        <v>0</v>
      </c>
      <c r="AX408" s="15">
        <v>1</v>
      </c>
      <c r="AY408" s="15">
        <v>92</v>
      </c>
      <c r="AZ408" s="15">
        <v>44</v>
      </c>
      <c r="BA408" s="15">
        <v>42</v>
      </c>
      <c r="BB408" s="15">
        <v>0.95455</v>
      </c>
      <c r="BC408" s="15">
        <v>0</v>
      </c>
      <c r="BD408" s="15">
        <v>0</v>
      </c>
      <c r="BE408" s="15">
        <v>0.02691</v>
      </c>
      <c r="BF408" s="15">
        <v>44</v>
      </c>
      <c r="BG408" s="15">
        <v>2</v>
      </c>
      <c r="BH408" s="15">
        <v>1</v>
      </c>
      <c r="BI408" s="15">
        <v>1</v>
      </c>
      <c r="BJ408" s="15">
        <v>0</v>
      </c>
      <c r="BK408" s="15">
        <v>0</v>
      </c>
      <c r="BL408" s="15">
        <v>0</v>
      </c>
      <c r="BM408" s="15">
        <v>1</v>
      </c>
      <c r="BN408" s="15">
        <v>1</v>
      </c>
      <c r="BO408" s="15">
        <v>24.65</v>
      </c>
      <c r="BP408" s="15">
        <v>0</v>
      </c>
      <c r="BQ408" s="15">
        <v>166</v>
      </c>
      <c r="BR408" s="15">
        <v>0</v>
      </c>
      <c r="BS408" s="15">
        <v>0</v>
      </c>
      <c r="BT408" s="15">
        <v>0</v>
      </c>
      <c r="BU408" s="15">
        <v>0</v>
      </c>
      <c r="BV408" s="15">
        <v>0</v>
      </c>
      <c r="BW408" s="15">
        <v>0</v>
      </c>
      <c r="BX408" s="15">
        <v>0</v>
      </c>
    </row>
    <row r="409" spans="1:76">
      <c r="A409" s="14" t="str">
        <f>VLOOKUP(C409,VLOOKUP!A:B,2,FALSE)</f>
        <v>如意盘香</v>
      </c>
      <c r="B409" s="16">
        <v>46025</v>
      </c>
      <c r="C409" s="17">
        <v>838711327669</v>
      </c>
      <c r="D409" s="15" t="s">
        <v>151</v>
      </c>
      <c r="E409" s="15" t="s">
        <v>158</v>
      </c>
      <c r="F409" s="15">
        <v>1243</v>
      </c>
      <c r="G409" s="15">
        <v>35</v>
      </c>
      <c r="H409" s="15">
        <v>72.28</v>
      </c>
      <c r="I409" s="15">
        <v>0.02816</v>
      </c>
      <c r="J409" s="15">
        <v>2.07</v>
      </c>
      <c r="K409" s="15">
        <v>58.15</v>
      </c>
      <c r="L409" s="15">
        <v>0</v>
      </c>
      <c r="M409" s="15">
        <v>0</v>
      </c>
      <c r="N409" s="15">
        <v>0</v>
      </c>
      <c r="O409" s="15">
        <v>0</v>
      </c>
      <c r="P409" s="15">
        <v>0</v>
      </c>
      <c r="Q409" s="15">
        <v>0</v>
      </c>
      <c r="R409" s="15">
        <v>0</v>
      </c>
      <c r="S409" s="15">
        <v>72.25</v>
      </c>
      <c r="T409" s="15">
        <v>72.25</v>
      </c>
      <c r="U409" s="15">
        <v>1</v>
      </c>
      <c r="V409" s="15">
        <v>0</v>
      </c>
      <c r="W409" s="15">
        <v>1</v>
      </c>
      <c r="X409" s="15">
        <v>0.02857</v>
      </c>
      <c r="Y409" s="15">
        <v>1</v>
      </c>
      <c r="Z409" s="15">
        <v>1</v>
      </c>
      <c r="AA409" s="15">
        <v>72.28</v>
      </c>
      <c r="AB409" s="15">
        <v>4</v>
      </c>
      <c r="AC409" s="15">
        <v>3</v>
      </c>
      <c r="AD409" s="15">
        <v>1</v>
      </c>
      <c r="AE409" s="15">
        <v>0.11429</v>
      </c>
      <c r="AF409" s="15">
        <v>0</v>
      </c>
      <c r="AG409" s="15">
        <v>1</v>
      </c>
      <c r="AH409" s="15">
        <v>72.28</v>
      </c>
      <c r="AI409" s="15">
        <v>5</v>
      </c>
      <c r="AJ409" s="15">
        <v>14.46</v>
      </c>
      <c r="AK409" s="15">
        <v>4</v>
      </c>
      <c r="AL409" s="15">
        <v>18.07</v>
      </c>
      <c r="AM409" s="15">
        <v>1</v>
      </c>
      <c r="AN409" s="15"/>
      <c r="AO409" s="15">
        <v>0</v>
      </c>
      <c r="AP409" s="15">
        <v>18.07</v>
      </c>
      <c r="AQ409" s="15">
        <v>2</v>
      </c>
      <c r="AR409" s="15">
        <v>148.9</v>
      </c>
      <c r="AS409" s="15">
        <v>0</v>
      </c>
      <c r="AT409" s="15">
        <v>0</v>
      </c>
      <c r="AU409" s="15">
        <v>0</v>
      </c>
      <c r="AV409" s="15">
        <v>0</v>
      </c>
      <c r="AW409" s="15">
        <v>0</v>
      </c>
      <c r="AX409" s="15">
        <v>1</v>
      </c>
      <c r="AY409" s="15">
        <v>94</v>
      </c>
      <c r="AZ409" s="15">
        <v>30</v>
      </c>
      <c r="BA409" s="15">
        <v>21</v>
      </c>
      <c r="BB409" s="15">
        <v>0.7</v>
      </c>
      <c r="BC409" s="15">
        <v>0</v>
      </c>
      <c r="BD409" s="15">
        <v>0</v>
      </c>
      <c r="BE409" s="15">
        <v>0.07562</v>
      </c>
      <c r="BF409" s="15">
        <v>59</v>
      </c>
      <c r="BG409" s="15">
        <v>3</v>
      </c>
      <c r="BH409" s="15">
        <v>1</v>
      </c>
      <c r="BI409" s="15">
        <v>1</v>
      </c>
      <c r="BJ409" s="15">
        <v>0</v>
      </c>
      <c r="BK409" s="15">
        <v>0</v>
      </c>
      <c r="BL409" s="15">
        <v>0</v>
      </c>
      <c r="BM409" s="15">
        <v>1</v>
      </c>
      <c r="BN409" s="15">
        <v>1</v>
      </c>
      <c r="BO409" s="15">
        <v>72.25</v>
      </c>
      <c r="BP409" s="15">
        <v>26.08</v>
      </c>
      <c r="BQ409" s="15">
        <v>142</v>
      </c>
      <c r="BR409" s="15">
        <v>0</v>
      </c>
      <c r="BS409" s="15">
        <v>0</v>
      </c>
      <c r="BT409" s="15">
        <v>0</v>
      </c>
      <c r="BU409" s="15">
        <v>0</v>
      </c>
      <c r="BV409" s="15">
        <v>0</v>
      </c>
      <c r="BW409" s="15">
        <v>0</v>
      </c>
      <c r="BX409" s="15">
        <v>0</v>
      </c>
    </row>
    <row r="410" spans="1:76">
      <c r="A410" s="14" t="str">
        <f>VLOOKUP(C410,VLOOKUP!A:B,2,FALSE)</f>
        <v>四季线香</v>
      </c>
      <c r="B410" s="16">
        <v>46025</v>
      </c>
      <c r="C410" s="17">
        <v>742540384374</v>
      </c>
      <c r="D410" s="15" t="s">
        <v>151</v>
      </c>
      <c r="E410" s="15" t="s">
        <v>161</v>
      </c>
      <c r="F410" s="15">
        <v>1988</v>
      </c>
      <c r="G410" s="15">
        <v>39</v>
      </c>
      <c r="H410" s="15">
        <v>29.93</v>
      </c>
      <c r="I410" s="15">
        <v>0.01962</v>
      </c>
      <c r="J410" s="15">
        <v>0.77</v>
      </c>
      <c r="K410" s="15">
        <v>15.06</v>
      </c>
      <c r="L410" s="15">
        <v>0</v>
      </c>
      <c r="M410" s="15">
        <v>0</v>
      </c>
      <c r="N410" s="15">
        <v>0</v>
      </c>
      <c r="O410" s="15">
        <v>0</v>
      </c>
      <c r="P410" s="15">
        <v>0</v>
      </c>
      <c r="Q410" s="15">
        <v>0</v>
      </c>
      <c r="R410" s="15">
        <v>0</v>
      </c>
      <c r="S410" s="15">
        <v>0</v>
      </c>
      <c r="T410" s="15">
        <v>0</v>
      </c>
      <c r="U410" s="15">
        <v>0</v>
      </c>
      <c r="V410" s="15">
        <v>0</v>
      </c>
      <c r="W410" s="15">
        <v>0</v>
      </c>
      <c r="X410" s="15">
        <v>0</v>
      </c>
      <c r="Y410" s="15">
        <v>0</v>
      </c>
      <c r="Z410" s="15">
        <v>0</v>
      </c>
      <c r="AA410" s="15"/>
      <c r="AB410" s="15">
        <v>0</v>
      </c>
      <c r="AC410" s="15">
        <v>0</v>
      </c>
      <c r="AD410" s="15">
        <v>0</v>
      </c>
      <c r="AE410" s="15">
        <v>0</v>
      </c>
      <c r="AF410" s="15">
        <v>0</v>
      </c>
      <c r="AG410" s="15">
        <v>0</v>
      </c>
      <c r="AH410" s="15"/>
      <c r="AI410" s="15">
        <v>0</v>
      </c>
      <c r="AJ410" s="15"/>
      <c r="AK410" s="15">
        <v>0</v>
      </c>
      <c r="AL410" s="15"/>
      <c r="AM410" s="15">
        <v>0</v>
      </c>
      <c r="AN410" s="15"/>
      <c r="AO410" s="15">
        <v>0</v>
      </c>
      <c r="AP410" s="15"/>
      <c r="AQ410" s="15">
        <v>0</v>
      </c>
      <c r="AR410" s="15">
        <v>0</v>
      </c>
      <c r="AS410" s="15">
        <v>0</v>
      </c>
      <c r="AT410" s="15">
        <v>0</v>
      </c>
      <c r="AU410" s="15">
        <v>0</v>
      </c>
      <c r="AV410" s="15">
        <v>0</v>
      </c>
      <c r="AW410" s="15">
        <v>0</v>
      </c>
      <c r="AX410" s="15">
        <v>0</v>
      </c>
      <c r="AY410" s="15">
        <v>50</v>
      </c>
      <c r="AZ410" s="15">
        <v>32</v>
      </c>
      <c r="BA410" s="15">
        <v>26</v>
      </c>
      <c r="BB410" s="15">
        <v>0.8125</v>
      </c>
      <c r="BC410" s="15">
        <v>0</v>
      </c>
      <c r="BD410" s="15">
        <v>0</v>
      </c>
      <c r="BE410" s="15">
        <v>0.02515</v>
      </c>
      <c r="BF410" s="15">
        <v>13</v>
      </c>
      <c r="BG410" s="15">
        <v>2</v>
      </c>
      <c r="BH410" s="15">
        <v>0</v>
      </c>
      <c r="BI410" s="15"/>
      <c r="BJ410" s="15">
        <v>0</v>
      </c>
      <c r="BK410" s="15">
        <v>0</v>
      </c>
      <c r="BL410" s="15">
        <v>0</v>
      </c>
      <c r="BM410" s="15">
        <v>0</v>
      </c>
      <c r="BN410" s="15"/>
      <c r="BO410" s="15"/>
      <c r="BP410" s="15">
        <v>0</v>
      </c>
      <c r="BQ410" s="15">
        <v>11</v>
      </c>
      <c r="BR410" s="15">
        <v>0</v>
      </c>
      <c r="BS410" s="15">
        <v>0</v>
      </c>
      <c r="BT410" s="15">
        <v>0</v>
      </c>
      <c r="BU410" s="15">
        <v>0</v>
      </c>
      <c r="BV410" s="15">
        <v>0</v>
      </c>
      <c r="BW410" s="15">
        <v>0</v>
      </c>
      <c r="BX410" s="15">
        <v>0</v>
      </c>
    </row>
    <row r="411" spans="1:76">
      <c r="A411" s="14" t="str">
        <f>VLOOKUP(C411,VLOOKUP!A:B,2,FALSE)</f>
        <v>车载香薰</v>
      </c>
      <c r="B411" s="16">
        <v>46025</v>
      </c>
      <c r="C411" s="17">
        <v>616090775596</v>
      </c>
      <c r="D411" s="15" t="s">
        <v>151</v>
      </c>
      <c r="E411" s="15" t="s">
        <v>162</v>
      </c>
      <c r="F411" s="15">
        <v>3190</v>
      </c>
      <c r="G411" s="15">
        <v>42</v>
      </c>
      <c r="H411" s="15">
        <v>65.04</v>
      </c>
      <c r="I411" s="15">
        <v>0.01317</v>
      </c>
      <c r="J411" s="15">
        <v>1.55</v>
      </c>
      <c r="K411" s="15">
        <v>20.39</v>
      </c>
      <c r="L411" s="15">
        <v>0</v>
      </c>
      <c r="M411" s="15">
        <v>0</v>
      </c>
      <c r="N411" s="15">
        <v>0</v>
      </c>
      <c r="O411" s="15">
        <v>0</v>
      </c>
      <c r="P411" s="15">
        <v>0</v>
      </c>
      <c r="Q411" s="15">
        <v>0</v>
      </c>
      <c r="R411" s="15">
        <v>0</v>
      </c>
      <c r="S411" s="15">
        <v>0</v>
      </c>
      <c r="T411" s="15">
        <v>0</v>
      </c>
      <c r="U411" s="15">
        <v>0</v>
      </c>
      <c r="V411" s="15">
        <v>0</v>
      </c>
      <c r="W411" s="15">
        <v>0</v>
      </c>
      <c r="X411" s="15">
        <v>0</v>
      </c>
      <c r="Y411" s="15">
        <v>0</v>
      </c>
      <c r="Z411" s="15">
        <v>0</v>
      </c>
      <c r="AA411" s="15"/>
      <c r="AB411" s="15">
        <v>2</v>
      </c>
      <c r="AC411" s="15">
        <v>2</v>
      </c>
      <c r="AD411" s="15">
        <v>0</v>
      </c>
      <c r="AE411" s="15">
        <v>0.04762</v>
      </c>
      <c r="AF411" s="15">
        <v>1</v>
      </c>
      <c r="AG411" s="15">
        <v>0</v>
      </c>
      <c r="AH411" s="15"/>
      <c r="AI411" s="15">
        <v>3</v>
      </c>
      <c r="AJ411" s="15">
        <v>21.68</v>
      </c>
      <c r="AK411" s="15">
        <v>3</v>
      </c>
      <c r="AL411" s="15">
        <v>21.68</v>
      </c>
      <c r="AM411" s="15">
        <v>1</v>
      </c>
      <c r="AN411" s="15">
        <v>65.04</v>
      </c>
      <c r="AO411" s="15">
        <v>0.02381</v>
      </c>
      <c r="AP411" s="15">
        <v>32.52</v>
      </c>
      <c r="AQ411" s="15">
        <v>0</v>
      </c>
      <c r="AR411" s="15">
        <v>0</v>
      </c>
      <c r="AS411" s="15">
        <v>1</v>
      </c>
      <c r="AT411" s="15">
        <v>0</v>
      </c>
      <c r="AU411" s="15">
        <v>0</v>
      </c>
      <c r="AV411" s="15">
        <v>0</v>
      </c>
      <c r="AW411" s="15">
        <v>0</v>
      </c>
      <c r="AX411" s="15">
        <v>1</v>
      </c>
      <c r="AY411" s="15">
        <v>90</v>
      </c>
      <c r="AZ411" s="15">
        <v>39</v>
      </c>
      <c r="BA411" s="15">
        <v>35</v>
      </c>
      <c r="BB411" s="15">
        <v>0.89744</v>
      </c>
      <c r="BC411" s="15">
        <v>0</v>
      </c>
      <c r="BD411" s="15">
        <v>0</v>
      </c>
      <c r="BE411" s="15">
        <v>0.02821</v>
      </c>
      <c r="BF411" s="15">
        <v>22</v>
      </c>
      <c r="BG411" s="15">
        <v>2</v>
      </c>
      <c r="BH411" s="15">
        <v>0</v>
      </c>
      <c r="BI411" s="15"/>
      <c r="BJ411" s="15">
        <v>0</v>
      </c>
      <c r="BK411" s="15">
        <v>0</v>
      </c>
      <c r="BL411" s="15">
        <v>0</v>
      </c>
      <c r="BM411" s="15">
        <v>0</v>
      </c>
      <c r="BN411" s="15"/>
      <c r="BO411" s="15"/>
      <c r="BP411" s="15">
        <v>0</v>
      </c>
      <c r="BQ411" s="15">
        <v>30</v>
      </c>
      <c r="BR411" s="15">
        <v>0</v>
      </c>
      <c r="BS411" s="15">
        <v>0</v>
      </c>
      <c r="BT411" s="15">
        <v>0</v>
      </c>
      <c r="BU411" s="15">
        <v>0</v>
      </c>
      <c r="BV411" s="15">
        <v>0</v>
      </c>
      <c r="BW411" s="15">
        <v>0</v>
      </c>
      <c r="BX411" s="15">
        <v>0</v>
      </c>
    </row>
    <row r="412" spans="1:76">
      <c r="A412" s="14" t="str">
        <f>VLOOKUP(C412,VLOOKUP!A:B,2,FALSE)</f>
        <v>鹅梨帐中香</v>
      </c>
      <c r="B412" s="16">
        <v>46024</v>
      </c>
      <c r="C412" s="17">
        <v>971317169387</v>
      </c>
      <c r="D412" s="15" t="s">
        <v>151</v>
      </c>
      <c r="E412" s="15" t="s">
        <v>155</v>
      </c>
      <c r="F412" s="15">
        <v>2290</v>
      </c>
      <c r="G412" s="15">
        <v>40</v>
      </c>
      <c r="H412" s="15">
        <v>69.88</v>
      </c>
      <c r="I412" s="15">
        <v>0.01747</v>
      </c>
      <c r="J412" s="15">
        <v>1.75</v>
      </c>
      <c r="K412" s="15">
        <v>30.52</v>
      </c>
      <c r="L412" s="15">
        <v>0</v>
      </c>
      <c r="M412" s="15">
        <v>0</v>
      </c>
      <c r="N412" s="15">
        <v>0</v>
      </c>
      <c r="O412" s="15">
        <v>0</v>
      </c>
      <c r="P412" s="15">
        <v>0</v>
      </c>
      <c r="Q412" s="15">
        <v>0</v>
      </c>
      <c r="R412" s="15">
        <v>0</v>
      </c>
      <c r="S412" s="15">
        <v>255</v>
      </c>
      <c r="T412" s="15">
        <v>255</v>
      </c>
      <c r="U412" s="15">
        <v>1</v>
      </c>
      <c r="V412" s="15">
        <v>0</v>
      </c>
      <c r="W412" s="15">
        <v>1</v>
      </c>
      <c r="X412" s="15">
        <v>0.025</v>
      </c>
      <c r="Y412" s="15">
        <v>3.65</v>
      </c>
      <c r="Z412" s="15">
        <v>3.65</v>
      </c>
      <c r="AA412" s="15">
        <v>69.88</v>
      </c>
      <c r="AB412" s="15">
        <v>1</v>
      </c>
      <c r="AC412" s="15">
        <v>1</v>
      </c>
      <c r="AD412" s="15">
        <v>0</v>
      </c>
      <c r="AE412" s="15">
        <v>0.025</v>
      </c>
      <c r="AF412" s="15">
        <v>0</v>
      </c>
      <c r="AG412" s="15">
        <v>0</v>
      </c>
      <c r="AH412" s="15"/>
      <c r="AI412" s="15">
        <v>1</v>
      </c>
      <c r="AJ412" s="15">
        <v>69.88</v>
      </c>
      <c r="AK412" s="15">
        <v>1</v>
      </c>
      <c r="AL412" s="15">
        <v>69.88</v>
      </c>
      <c r="AM412" s="15">
        <v>0</v>
      </c>
      <c r="AN412" s="15"/>
      <c r="AO412" s="15">
        <v>0</v>
      </c>
      <c r="AP412" s="15">
        <v>69.88</v>
      </c>
      <c r="AQ412" s="15">
        <v>2</v>
      </c>
      <c r="AR412" s="15">
        <v>399</v>
      </c>
      <c r="AS412" s="15">
        <v>0</v>
      </c>
      <c r="AT412" s="15">
        <v>0</v>
      </c>
      <c r="AU412" s="15">
        <v>0</v>
      </c>
      <c r="AV412" s="15">
        <v>0</v>
      </c>
      <c r="AW412" s="15">
        <v>0</v>
      </c>
      <c r="AX412" s="15">
        <v>0</v>
      </c>
      <c r="AY412" s="15">
        <v>106</v>
      </c>
      <c r="AZ412" s="15">
        <v>38</v>
      </c>
      <c r="BA412" s="15">
        <v>33</v>
      </c>
      <c r="BB412" s="15">
        <v>0.86842</v>
      </c>
      <c r="BC412" s="15">
        <v>0</v>
      </c>
      <c r="BD412" s="15">
        <v>0</v>
      </c>
      <c r="BE412" s="15">
        <v>0.04629</v>
      </c>
      <c r="BF412" s="15">
        <v>66</v>
      </c>
      <c r="BG412" s="15">
        <v>3</v>
      </c>
      <c r="BH412" s="15">
        <v>1</v>
      </c>
      <c r="BI412" s="15">
        <v>1</v>
      </c>
      <c r="BJ412" s="15">
        <v>0</v>
      </c>
      <c r="BK412" s="15">
        <v>0</v>
      </c>
      <c r="BL412" s="15">
        <v>0</v>
      </c>
      <c r="BM412" s="15">
        <v>1</v>
      </c>
      <c r="BN412" s="15">
        <v>1</v>
      </c>
      <c r="BO412" s="15">
        <v>255</v>
      </c>
      <c r="BP412" s="15">
        <v>0</v>
      </c>
      <c r="BQ412" s="15">
        <v>310</v>
      </c>
      <c r="BR412" s="15">
        <v>0</v>
      </c>
      <c r="BS412" s="15">
        <v>0</v>
      </c>
      <c r="BT412" s="15">
        <v>0</v>
      </c>
      <c r="BU412" s="15">
        <v>0</v>
      </c>
      <c r="BV412" s="15">
        <v>0</v>
      </c>
      <c r="BW412" s="15">
        <v>0</v>
      </c>
      <c r="BX412" s="15">
        <v>0</v>
      </c>
    </row>
    <row r="413" spans="1:76">
      <c r="A413" s="14" t="str">
        <f>VLOOKUP(C413,VLOOKUP!A:B,2,FALSE)</f>
        <v>荔枝香</v>
      </c>
      <c r="B413" s="16">
        <v>46024</v>
      </c>
      <c r="C413" s="17">
        <v>960406497157</v>
      </c>
      <c r="D413" s="15" t="s">
        <v>151</v>
      </c>
      <c r="E413" s="15" t="s">
        <v>157</v>
      </c>
      <c r="F413" s="15">
        <v>4028</v>
      </c>
      <c r="G413" s="15">
        <v>63</v>
      </c>
      <c r="H413" s="15">
        <v>45.63</v>
      </c>
      <c r="I413" s="15">
        <v>0.01564</v>
      </c>
      <c r="J413" s="15">
        <v>0.72</v>
      </c>
      <c r="K413" s="15">
        <v>11.33</v>
      </c>
      <c r="L413" s="15">
        <v>0</v>
      </c>
      <c r="M413" s="15">
        <v>0</v>
      </c>
      <c r="N413" s="15">
        <v>0</v>
      </c>
      <c r="O413" s="15">
        <v>0</v>
      </c>
      <c r="P413" s="15">
        <v>0</v>
      </c>
      <c r="Q413" s="15">
        <v>0</v>
      </c>
      <c r="R413" s="15">
        <v>0</v>
      </c>
      <c r="S413" s="15">
        <v>82.17</v>
      </c>
      <c r="T413" s="15">
        <v>82.17</v>
      </c>
      <c r="U413" s="15">
        <v>1</v>
      </c>
      <c r="V413" s="15">
        <v>0</v>
      </c>
      <c r="W413" s="15">
        <v>1</v>
      </c>
      <c r="X413" s="15">
        <v>0.01587</v>
      </c>
      <c r="Y413" s="15">
        <v>1.8</v>
      </c>
      <c r="Z413" s="15">
        <v>1.8</v>
      </c>
      <c r="AA413" s="15">
        <v>45.63</v>
      </c>
      <c r="AB413" s="15">
        <v>6</v>
      </c>
      <c r="AC413" s="15">
        <v>3</v>
      </c>
      <c r="AD413" s="15">
        <v>3</v>
      </c>
      <c r="AE413" s="15">
        <v>0.09524</v>
      </c>
      <c r="AF413" s="15">
        <v>1</v>
      </c>
      <c r="AG413" s="15">
        <v>1</v>
      </c>
      <c r="AH413" s="15">
        <v>45.63</v>
      </c>
      <c r="AI413" s="15">
        <v>8</v>
      </c>
      <c r="AJ413" s="15">
        <v>5.7</v>
      </c>
      <c r="AK413" s="15">
        <v>7</v>
      </c>
      <c r="AL413" s="15">
        <v>6.52</v>
      </c>
      <c r="AM413" s="15">
        <v>2</v>
      </c>
      <c r="AN413" s="15">
        <v>45.63</v>
      </c>
      <c r="AO413" s="15">
        <v>0.01587</v>
      </c>
      <c r="AP413" s="15">
        <v>7.61</v>
      </c>
      <c r="AQ413" s="15">
        <v>2</v>
      </c>
      <c r="AR413" s="15">
        <v>148.9</v>
      </c>
      <c r="AS413" s="15">
        <v>1</v>
      </c>
      <c r="AT413" s="15">
        <v>0</v>
      </c>
      <c r="AU413" s="15">
        <v>0</v>
      </c>
      <c r="AV413" s="15">
        <v>0</v>
      </c>
      <c r="AW413" s="15">
        <v>0</v>
      </c>
      <c r="AX413" s="15">
        <v>0</v>
      </c>
      <c r="AY413" s="15">
        <v>106</v>
      </c>
      <c r="AZ413" s="15">
        <v>57</v>
      </c>
      <c r="BA413" s="15">
        <v>54</v>
      </c>
      <c r="BB413" s="15">
        <v>0.94737</v>
      </c>
      <c r="BC413" s="15">
        <v>0</v>
      </c>
      <c r="BD413" s="15">
        <v>0</v>
      </c>
      <c r="BE413" s="15">
        <v>0.02632</v>
      </c>
      <c r="BF413" s="15">
        <v>35</v>
      </c>
      <c r="BG413" s="15">
        <v>2</v>
      </c>
      <c r="BH413" s="15">
        <v>1</v>
      </c>
      <c r="BI413" s="15">
        <v>1</v>
      </c>
      <c r="BJ413" s="15">
        <v>0</v>
      </c>
      <c r="BK413" s="15">
        <v>0</v>
      </c>
      <c r="BL413" s="15">
        <v>0</v>
      </c>
      <c r="BM413" s="15">
        <v>1</v>
      </c>
      <c r="BN413" s="15">
        <v>1</v>
      </c>
      <c r="BO413" s="15">
        <v>82.17</v>
      </c>
      <c r="BP413" s="15">
        <v>0</v>
      </c>
      <c r="BQ413" s="15">
        <v>1047</v>
      </c>
      <c r="BR413" s="15">
        <v>0</v>
      </c>
      <c r="BS413" s="15">
        <v>0</v>
      </c>
      <c r="BT413" s="15">
        <v>0</v>
      </c>
      <c r="BU413" s="15">
        <v>0</v>
      </c>
      <c r="BV413" s="15">
        <v>0</v>
      </c>
      <c r="BW413" s="15">
        <v>0</v>
      </c>
      <c r="BX413" s="15">
        <v>0</v>
      </c>
    </row>
    <row r="414" spans="1:76">
      <c r="A414" s="14" t="str">
        <f>VLOOKUP(C414,VLOOKUP!A:B,2,FALSE)</f>
        <v>如意盘香</v>
      </c>
      <c r="B414" s="16">
        <v>46024</v>
      </c>
      <c r="C414" s="17">
        <v>838711327669</v>
      </c>
      <c r="D414" s="15" t="s">
        <v>151</v>
      </c>
      <c r="E414" s="15" t="s">
        <v>158</v>
      </c>
      <c r="F414" s="15">
        <v>1578</v>
      </c>
      <c r="G414" s="15">
        <v>37</v>
      </c>
      <c r="H414" s="15">
        <v>62.11</v>
      </c>
      <c r="I414" s="15">
        <v>0.02345</v>
      </c>
      <c r="J414" s="15">
        <v>1.68</v>
      </c>
      <c r="K414" s="15">
        <v>39.36</v>
      </c>
      <c r="L414" s="15">
        <v>0</v>
      </c>
      <c r="M414" s="15">
        <v>0</v>
      </c>
      <c r="N414" s="15">
        <v>0</v>
      </c>
      <c r="O414" s="15">
        <v>0</v>
      </c>
      <c r="P414" s="15">
        <v>0</v>
      </c>
      <c r="Q414" s="15">
        <v>0</v>
      </c>
      <c r="R414" s="15">
        <v>64.74</v>
      </c>
      <c r="S414" s="15">
        <v>0</v>
      </c>
      <c r="T414" s="15">
        <v>64.74</v>
      </c>
      <c r="U414" s="15">
        <v>1</v>
      </c>
      <c r="V414" s="15">
        <v>1</v>
      </c>
      <c r="W414" s="15">
        <v>0</v>
      </c>
      <c r="X414" s="15">
        <v>0.02703</v>
      </c>
      <c r="Y414" s="15">
        <v>1.04</v>
      </c>
      <c r="Z414" s="15">
        <v>1.04</v>
      </c>
      <c r="AA414" s="15">
        <v>62.11</v>
      </c>
      <c r="AB414" s="15">
        <v>3</v>
      </c>
      <c r="AC414" s="15">
        <v>3</v>
      </c>
      <c r="AD414" s="15">
        <v>0</v>
      </c>
      <c r="AE414" s="15">
        <v>0.08108</v>
      </c>
      <c r="AF414" s="15">
        <v>1</v>
      </c>
      <c r="AG414" s="15">
        <v>0</v>
      </c>
      <c r="AH414" s="15"/>
      <c r="AI414" s="15">
        <v>4</v>
      </c>
      <c r="AJ414" s="15">
        <v>15.53</v>
      </c>
      <c r="AK414" s="15">
        <v>4</v>
      </c>
      <c r="AL414" s="15">
        <v>15.53</v>
      </c>
      <c r="AM414" s="15">
        <v>1</v>
      </c>
      <c r="AN414" s="15">
        <v>62.11</v>
      </c>
      <c r="AO414" s="15">
        <v>0.02703</v>
      </c>
      <c r="AP414" s="15">
        <v>20.7</v>
      </c>
      <c r="AQ414" s="15">
        <v>1</v>
      </c>
      <c r="AR414" s="15">
        <v>78</v>
      </c>
      <c r="AS414" s="15">
        <v>0</v>
      </c>
      <c r="AT414" s="15">
        <v>1</v>
      </c>
      <c r="AU414" s="15">
        <v>2</v>
      </c>
      <c r="AV414" s="15">
        <v>0</v>
      </c>
      <c r="AW414" s="15">
        <v>0</v>
      </c>
      <c r="AX414" s="15">
        <v>0</v>
      </c>
      <c r="AY414" s="15">
        <v>112</v>
      </c>
      <c r="AZ414" s="15">
        <v>36</v>
      </c>
      <c r="BA414" s="15">
        <v>23</v>
      </c>
      <c r="BB414" s="15">
        <v>0.63889</v>
      </c>
      <c r="BC414" s="15">
        <v>0</v>
      </c>
      <c r="BD414" s="15">
        <v>0</v>
      </c>
      <c r="BE414" s="15">
        <v>0.07098</v>
      </c>
      <c r="BF414" s="15">
        <v>74</v>
      </c>
      <c r="BG414" s="15">
        <v>3</v>
      </c>
      <c r="BH414" s="15">
        <v>1</v>
      </c>
      <c r="BI414" s="15">
        <v>1</v>
      </c>
      <c r="BJ414" s="15">
        <v>0</v>
      </c>
      <c r="BK414" s="15">
        <v>0</v>
      </c>
      <c r="BL414" s="15">
        <v>0</v>
      </c>
      <c r="BM414" s="15">
        <v>1</v>
      </c>
      <c r="BN414" s="15">
        <v>1</v>
      </c>
      <c r="BO414" s="15">
        <v>64.74</v>
      </c>
      <c r="BP414" s="15">
        <v>0</v>
      </c>
      <c r="BQ414" s="15">
        <v>519</v>
      </c>
      <c r="BR414" s="15">
        <v>0</v>
      </c>
      <c r="BS414" s="15">
        <v>0</v>
      </c>
      <c r="BT414" s="15">
        <v>0</v>
      </c>
      <c r="BU414" s="15">
        <v>0</v>
      </c>
      <c r="BV414" s="15">
        <v>0</v>
      </c>
      <c r="BW414" s="15">
        <v>0</v>
      </c>
      <c r="BX414" s="15">
        <v>0</v>
      </c>
    </row>
    <row r="415" spans="1:76">
      <c r="A415" s="14" t="str">
        <f>VLOOKUP(C415,VLOOKUP!A:B,2,FALSE)</f>
        <v>四季线香</v>
      </c>
      <c r="B415" s="16">
        <v>46024</v>
      </c>
      <c r="C415" s="17">
        <v>742540384374</v>
      </c>
      <c r="D415" s="15" t="s">
        <v>151</v>
      </c>
      <c r="E415" s="15" t="s">
        <v>161</v>
      </c>
      <c r="F415" s="15">
        <v>1837</v>
      </c>
      <c r="G415" s="15">
        <v>23</v>
      </c>
      <c r="H415" s="15">
        <v>35.71</v>
      </c>
      <c r="I415" s="15">
        <v>0.01252</v>
      </c>
      <c r="J415" s="15">
        <v>1.55</v>
      </c>
      <c r="K415" s="15">
        <v>19.44</v>
      </c>
      <c r="L415" s="15">
        <v>0</v>
      </c>
      <c r="M415" s="15">
        <v>0</v>
      </c>
      <c r="N415" s="15">
        <v>0</v>
      </c>
      <c r="O415" s="15">
        <v>0</v>
      </c>
      <c r="P415" s="15">
        <v>0</v>
      </c>
      <c r="Q415" s="15">
        <v>0</v>
      </c>
      <c r="R415" s="15">
        <v>0</v>
      </c>
      <c r="S415" s="15">
        <v>0</v>
      </c>
      <c r="T415" s="15">
        <v>0</v>
      </c>
      <c r="U415" s="15">
        <v>0</v>
      </c>
      <c r="V415" s="15">
        <v>0</v>
      </c>
      <c r="W415" s="15">
        <v>0</v>
      </c>
      <c r="X415" s="15">
        <v>0</v>
      </c>
      <c r="Y415" s="15">
        <v>0</v>
      </c>
      <c r="Z415" s="15">
        <v>0</v>
      </c>
      <c r="AA415" s="15"/>
      <c r="AB415" s="15">
        <v>3</v>
      </c>
      <c r="AC415" s="15">
        <v>3</v>
      </c>
      <c r="AD415" s="15">
        <v>0</v>
      </c>
      <c r="AE415" s="15">
        <v>0.13043</v>
      </c>
      <c r="AF415" s="15">
        <v>0</v>
      </c>
      <c r="AG415" s="15">
        <v>0</v>
      </c>
      <c r="AH415" s="15"/>
      <c r="AI415" s="15">
        <v>3</v>
      </c>
      <c r="AJ415" s="15">
        <v>11.9</v>
      </c>
      <c r="AK415" s="15">
        <v>3</v>
      </c>
      <c r="AL415" s="15">
        <v>11.9</v>
      </c>
      <c r="AM415" s="15">
        <v>0</v>
      </c>
      <c r="AN415" s="15"/>
      <c r="AO415" s="15">
        <v>0</v>
      </c>
      <c r="AP415" s="15">
        <v>11.9</v>
      </c>
      <c r="AQ415" s="15">
        <v>0</v>
      </c>
      <c r="AR415" s="15">
        <v>0</v>
      </c>
      <c r="AS415" s="15">
        <v>0</v>
      </c>
      <c r="AT415" s="15">
        <v>0</v>
      </c>
      <c r="AU415" s="15">
        <v>0</v>
      </c>
      <c r="AV415" s="15">
        <v>0</v>
      </c>
      <c r="AW415" s="15">
        <v>0</v>
      </c>
      <c r="AX415" s="15">
        <v>0</v>
      </c>
      <c r="AY415" s="15">
        <v>33</v>
      </c>
      <c r="AZ415" s="15">
        <v>20</v>
      </c>
      <c r="BA415" s="15">
        <v>18</v>
      </c>
      <c r="BB415" s="15">
        <v>0.9</v>
      </c>
      <c r="BC415" s="15">
        <v>0</v>
      </c>
      <c r="BD415" s="15">
        <v>0</v>
      </c>
      <c r="BE415" s="15">
        <v>0.01796</v>
      </c>
      <c r="BF415" s="15">
        <v>9</v>
      </c>
      <c r="BG415" s="15">
        <v>2</v>
      </c>
      <c r="BH415" s="15">
        <v>0</v>
      </c>
      <c r="BI415" s="15"/>
      <c r="BJ415" s="15">
        <v>0</v>
      </c>
      <c r="BK415" s="15">
        <v>0</v>
      </c>
      <c r="BL415" s="15">
        <v>0</v>
      </c>
      <c r="BM415" s="15">
        <v>0</v>
      </c>
      <c r="BN415" s="15"/>
      <c r="BO415" s="15"/>
      <c r="BP415" s="15">
        <v>0</v>
      </c>
      <c r="BQ415" s="15">
        <v>15</v>
      </c>
      <c r="BR415" s="15">
        <v>0</v>
      </c>
      <c r="BS415" s="15">
        <v>0</v>
      </c>
      <c r="BT415" s="15">
        <v>0</v>
      </c>
      <c r="BU415" s="15">
        <v>0</v>
      </c>
      <c r="BV415" s="15">
        <v>0</v>
      </c>
      <c r="BW415" s="15">
        <v>0</v>
      </c>
      <c r="BX415" s="15">
        <v>0</v>
      </c>
    </row>
    <row r="416" spans="1:76">
      <c r="A416" s="14" t="str">
        <f>VLOOKUP(C416,VLOOKUP!A:B,2,FALSE)</f>
        <v>车载香薰</v>
      </c>
      <c r="B416" s="16">
        <v>46024</v>
      </c>
      <c r="C416" s="17">
        <v>616090775596</v>
      </c>
      <c r="D416" s="15" t="s">
        <v>151</v>
      </c>
      <c r="E416" s="15" t="s">
        <v>162</v>
      </c>
      <c r="F416" s="15">
        <v>1612</v>
      </c>
      <c r="G416" s="15">
        <v>9</v>
      </c>
      <c r="H416" s="15">
        <v>6.33</v>
      </c>
      <c r="I416" s="15">
        <v>0.00558</v>
      </c>
      <c r="J416" s="15">
        <v>0.7</v>
      </c>
      <c r="K416" s="15">
        <v>3.93</v>
      </c>
      <c r="L416" s="15">
        <v>0</v>
      </c>
      <c r="M416" s="15">
        <v>0</v>
      </c>
      <c r="N416" s="15">
        <v>0</v>
      </c>
      <c r="O416" s="15">
        <v>0</v>
      </c>
      <c r="P416" s="15">
        <v>0</v>
      </c>
      <c r="Q416" s="15">
        <v>0</v>
      </c>
      <c r="R416" s="15">
        <v>0</v>
      </c>
      <c r="S416" s="15">
        <v>0</v>
      </c>
      <c r="T416" s="15">
        <v>0</v>
      </c>
      <c r="U416" s="15">
        <v>0</v>
      </c>
      <c r="V416" s="15">
        <v>0</v>
      </c>
      <c r="W416" s="15">
        <v>0</v>
      </c>
      <c r="X416" s="15">
        <v>0</v>
      </c>
      <c r="Y416" s="15">
        <v>0</v>
      </c>
      <c r="Z416" s="15">
        <v>0</v>
      </c>
      <c r="AA416" s="15"/>
      <c r="AB416" s="15">
        <v>1</v>
      </c>
      <c r="AC416" s="15">
        <v>1</v>
      </c>
      <c r="AD416" s="15">
        <v>0</v>
      </c>
      <c r="AE416" s="15">
        <v>0.11111</v>
      </c>
      <c r="AF416" s="15">
        <v>0</v>
      </c>
      <c r="AG416" s="15">
        <v>0</v>
      </c>
      <c r="AH416" s="15"/>
      <c r="AI416" s="15">
        <v>1</v>
      </c>
      <c r="AJ416" s="15">
        <v>6.33</v>
      </c>
      <c r="AK416" s="15">
        <v>1</v>
      </c>
      <c r="AL416" s="15">
        <v>6.33</v>
      </c>
      <c r="AM416" s="15">
        <v>0</v>
      </c>
      <c r="AN416" s="15"/>
      <c r="AO416" s="15">
        <v>0</v>
      </c>
      <c r="AP416" s="15">
        <v>6.33</v>
      </c>
      <c r="AQ416" s="15">
        <v>0</v>
      </c>
      <c r="AR416" s="15">
        <v>0</v>
      </c>
      <c r="AS416" s="15">
        <v>0</v>
      </c>
      <c r="AT416" s="15">
        <v>0</v>
      </c>
      <c r="AU416" s="15">
        <v>0</v>
      </c>
      <c r="AV416" s="15">
        <v>0</v>
      </c>
      <c r="AW416" s="15">
        <v>0</v>
      </c>
      <c r="AX416" s="15">
        <v>1</v>
      </c>
      <c r="AY416" s="15">
        <v>18</v>
      </c>
      <c r="AZ416" s="15">
        <v>7</v>
      </c>
      <c r="BA416" s="15">
        <v>7</v>
      </c>
      <c r="BB416" s="15">
        <v>1</v>
      </c>
      <c r="BC416" s="15">
        <v>0</v>
      </c>
      <c r="BD416" s="15">
        <v>0</v>
      </c>
      <c r="BE416" s="15">
        <v>0.01117</v>
      </c>
      <c r="BF416" s="15">
        <v>7</v>
      </c>
      <c r="BG416" s="15">
        <v>3</v>
      </c>
      <c r="BH416" s="15">
        <v>0</v>
      </c>
      <c r="BI416" s="15"/>
      <c r="BJ416" s="15">
        <v>0</v>
      </c>
      <c r="BK416" s="15">
        <v>0</v>
      </c>
      <c r="BL416" s="15">
        <v>0</v>
      </c>
      <c r="BM416" s="15">
        <v>0</v>
      </c>
      <c r="BN416" s="15"/>
      <c r="BO416" s="15"/>
      <c r="BP416" s="15">
        <v>0</v>
      </c>
      <c r="BQ416" s="15">
        <v>4</v>
      </c>
      <c r="BR416" s="15">
        <v>0</v>
      </c>
      <c r="BS416" s="15">
        <v>0</v>
      </c>
      <c r="BT416" s="15">
        <v>0</v>
      </c>
      <c r="BU416" s="15">
        <v>0</v>
      </c>
      <c r="BV416" s="15">
        <v>0</v>
      </c>
      <c r="BW416" s="15">
        <v>0</v>
      </c>
      <c r="BX416" s="15">
        <v>0</v>
      </c>
    </row>
    <row r="417" spans="1:76">
      <c r="A417" s="14" t="str">
        <f>VLOOKUP(C417,VLOOKUP!A:B,2,FALSE)</f>
        <v>鹅梨帐中香</v>
      </c>
      <c r="B417" s="16">
        <v>46023</v>
      </c>
      <c r="C417" s="17">
        <v>971317169387</v>
      </c>
      <c r="D417" s="15" t="s">
        <v>151</v>
      </c>
      <c r="E417" s="15" t="s">
        <v>155</v>
      </c>
      <c r="F417" s="15">
        <v>1522</v>
      </c>
      <c r="G417" s="15">
        <v>26</v>
      </c>
      <c r="H417" s="15">
        <v>50.07</v>
      </c>
      <c r="I417" s="15">
        <v>0.01708</v>
      </c>
      <c r="J417" s="15">
        <v>1.93</v>
      </c>
      <c r="K417" s="15">
        <v>32.9</v>
      </c>
      <c r="L417" s="15">
        <v>0</v>
      </c>
      <c r="M417" s="15">
        <v>0</v>
      </c>
      <c r="N417" s="15">
        <v>0</v>
      </c>
      <c r="O417" s="15">
        <v>0</v>
      </c>
      <c r="P417" s="15">
        <v>0</v>
      </c>
      <c r="Q417" s="15">
        <v>0</v>
      </c>
      <c r="R417" s="15">
        <v>0</v>
      </c>
      <c r="S417" s="15">
        <v>0</v>
      </c>
      <c r="T417" s="15">
        <v>0</v>
      </c>
      <c r="U417" s="15">
        <v>0</v>
      </c>
      <c r="V417" s="15">
        <v>0</v>
      </c>
      <c r="W417" s="15">
        <v>0</v>
      </c>
      <c r="X417" s="15">
        <v>0</v>
      </c>
      <c r="Y417" s="15">
        <v>0</v>
      </c>
      <c r="Z417" s="15">
        <v>0</v>
      </c>
      <c r="AA417" s="15"/>
      <c r="AB417" s="15">
        <v>0</v>
      </c>
      <c r="AC417" s="15">
        <v>0</v>
      </c>
      <c r="AD417" s="15">
        <v>0</v>
      </c>
      <c r="AE417" s="15">
        <v>0</v>
      </c>
      <c r="AF417" s="15">
        <v>0</v>
      </c>
      <c r="AG417" s="15">
        <v>0</v>
      </c>
      <c r="AH417" s="15"/>
      <c r="AI417" s="15">
        <v>0</v>
      </c>
      <c r="AJ417" s="15"/>
      <c r="AK417" s="15">
        <v>0</v>
      </c>
      <c r="AL417" s="15"/>
      <c r="AM417" s="15">
        <v>0</v>
      </c>
      <c r="AN417" s="15"/>
      <c r="AO417" s="15">
        <v>0</v>
      </c>
      <c r="AP417" s="15"/>
      <c r="AQ417" s="15">
        <v>0</v>
      </c>
      <c r="AR417" s="15">
        <v>0</v>
      </c>
      <c r="AS417" s="15">
        <v>0</v>
      </c>
      <c r="AT417" s="15">
        <v>0</v>
      </c>
      <c r="AU417" s="15">
        <v>0</v>
      </c>
      <c r="AV417" s="15">
        <v>0</v>
      </c>
      <c r="AW417" s="15">
        <v>0</v>
      </c>
      <c r="AX417" s="15">
        <v>0</v>
      </c>
      <c r="AY417" s="15">
        <v>32</v>
      </c>
      <c r="AZ417" s="15">
        <v>24</v>
      </c>
      <c r="BA417" s="15">
        <v>18</v>
      </c>
      <c r="BB417" s="15">
        <v>0.75</v>
      </c>
      <c r="BC417" s="15">
        <v>0</v>
      </c>
      <c r="BD417" s="15">
        <v>0</v>
      </c>
      <c r="BE417" s="15">
        <v>0.02102</v>
      </c>
      <c r="BF417" s="15">
        <v>2</v>
      </c>
      <c r="BG417" s="15">
        <v>1</v>
      </c>
      <c r="BH417" s="15">
        <v>0</v>
      </c>
      <c r="BI417" s="15"/>
      <c r="BJ417" s="15">
        <v>0</v>
      </c>
      <c r="BK417" s="15">
        <v>0</v>
      </c>
      <c r="BL417" s="15">
        <v>0</v>
      </c>
      <c r="BM417" s="15">
        <v>0</v>
      </c>
      <c r="BN417" s="15"/>
      <c r="BO417" s="15"/>
      <c r="BP417" s="15">
        <v>0</v>
      </c>
      <c r="BQ417" s="15">
        <v>28</v>
      </c>
      <c r="BR417" s="15">
        <v>0</v>
      </c>
      <c r="BS417" s="15">
        <v>0</v>
      </c>
      <c r="BT417" s="15">
        <v>1</v>
      </c>
      <c r="BU417" s="15">
        <v>0</v>
      </c>
      <c r="BV417" s="15">
        <v>0</v>
      </c>
      <c r="BW417" s="15">
        <v>0</v>
      </c>
      <c r="BX417" s="15">
        <v>0</v>
      </c>
    </row>
    <row r="418" spans="1:76">
      <c r="A418" s="14" t="str">
        <f>VLOOKUP(C418,VLOOKUP!A:B,2,FALSE)</f>
        <v>荔枝香</v>
      </c>
      <c r="B418" s="16">
        <v>46023</v>
      </c>
      <c r="C418" s="17">
        <v>960406497157</v>
      </c>
      <c r="D418" s="15" t="s">
        <v>151</v>
      </c>
      <c r="E418" s="15" t="s">
        <v>157</v>
      </c>
      <c r="F418" s="15">
        <v>2094</v>
      </c>
      <c r="G418" s="15">
        <v>30</v>
      </c>
      <c r="H418" s="15">
        <v>40.29</v>
      </c>
      <c r="I418" s="15">
        <v>0.01433</v>
      </c>
      <c r="J418" s="15">
        <v>1.34</v>
      </c>
      <c r="K418" s="15">
        <v>19.24</v>
      </c>
      <c r="L418" s="15">
        <v>0</v>
      </c>
      <c r="M418" s="15">
        <v>0</v>
      </c>
      <c r="N418" s="15">
        <v>0</v>
      </c>
      <c r="O418" s="15">
        <v>0</v>
      </c>
      <c r="P418" s="15">
        <v>0</v>
      </c>
      <c r="Q418" s="15">
        <v>0</v>
      </c>
      <c r="R418" s="15">
        <v>0</v>
      </c>
      <c r="S418" s="15">
        <v>0</v>
      </c>
      <c r="T418" s="15">
        <v>0</v>
      </c>
      <c r="U418" s="15">
        <v>0</v>
      </c>
      <c r="V418" s="15">
        <v>0</v>
      </c>
      <c r="W418" s="15">
        <v>0</v>
      </c>
      <c r="X418" s="15">
        <v>0</v>
      </c>
      <c r="Y418" s="15">
        <v>0</v>
      </c>
      <c r="Z418" s="15">
        <v>0</v>
      </c>
      <c r="AA418" s="15"/>
      <c r="AB418" s="15">
        <v>2</v>
      </c>
      <c r="AC418" s="15">
        <v>2</v>
      </c>
      <c r="AD418" s="15">
        <v>0</v>
      </c>
      <c r="AE418" s="15">
        <v>0.06667</v>
      </c>
      <c r="AF418" s="15">
        <v>1</v>
      </c>
      <c r="AG418" s="15">
        <v>0</v>
      </c>
      <c r="AH418" s="15"/>
      <c r="AI418" s="15">
        <v>3</v>
      </c>
      <c r="AJ418" s="15">
        <v>13.43</v>
      </c>
      <c r="AK418" s="15">
        <v>3</v>
      </c>
      <c r="AL418" s="15">
        <v>13.43</v>
      </c>
      <c r="AM418" s="15">
        <v>1</v>
      </c>
      <c r="AN418" s="15">
        <v>40.29</v>
      </c>
      <c r="AO418" s="15">
        <v>0.03333</v>
      </c>
      <c r="AP418" s="15">
        <v>20.15</v>
      </c>
      <c r="AQ418" s="15">
        <v>0</v>
      </c>
      <c r="AR418" s="15">
        <v>0</v>
      </c>
      <c r="AS418" s="15">
        <v>1</v>
      </c>
      <c r="AT418" s="15">
        <v>0</v>
      </c>
      <c r="AU418" s="15">
        <v>0</v>
      </c>
      <c r="AV418" s="15">
        <v>0</v>
      </c>
      <c r="AW418" s="15">
        <v>0</v>
      </c>
      <c r="AX418" s="15">
        <v>0</v>
      </c>
      <c r="AY418" s="15">
        <v>58</v>
      </c>
      <c r="AZ418" s="15">
        <v>27</v>
      </c>
      <c r="BA418" s="15">
        <v>25</v>
      </c>
      <c r="BB418" s="15">
        <v>0.92593</v>
      </c>
      <c r="BC418" s="15">
        <v>0</v>
      </c>
      <c r="BD418" s="15">
        <v>0</v>
      </c>
      <c r="BE418" s="15">
        <v>0.0277</v>
      </c>
      <c r="BF418" s="15">
        <v>15</v>
      </c>
      <c r="BG418" s="15">
        <v>2</v>
      </c>
      <c r="BH418" s="15">
        <v>0</v>
      </c>
      <c r="BI418" s="15"/>
      <c r="BJ418" s="15">
        <v>0</v>
      </c>
      <c r="BK418" s="15">
        <v>0</v>
      </c>
      <c r="BL418" s="15">
        <v>0</v>
      </c>
      <c r="BM418" s="15">
        <v>0</v>
      </c>
      <c r="BN418" s="15"/>
      <c r="BO418" s="15"/>
      <c r="BP418" s="15">
        <v>0</v>
      </c>
      <c r="BQ418" s="15">
        <v>130</v>
      </c>
      <c r="BR418" s="15">
        <v>0</v>
      </c>
      <c r="BS418" s="15">
        <v>0</v>
      </c>
      <c r="BT418" s="15">
        <v>0</v>
      </c>
      <c r="BU418" s="15">
        <v>0</v>
      </c>
      <c r="BV418" s="15">
        <v>0</v>
      </c>
      <c r="BW418" s="15">
        <v>0</v>
      </c>
      <c r="BX418" s="15">
        <v>0</v>
      </c>
    </row>
    <row r="419" spans="1:76">
      <c r="A419" s="14" t="str">
        <f>VLOOKUP(C419,VLOOKUP!A:B,2,FALSE)</f>
        <v>如意盘香</v>
      </c>
      <c r="B419" s="16">
        <v>46023</v>
      </c>
      <c r="C419" s="17">
        <v>838711327669</v>
      </c>
      <c r="D419" s="15" t="s">
        <v>151</v>
      </c>
      <c r="E419" s="15" t="s">
        <v>158</v>
      </c>
      <c r="F419" s="15">
        <v>986</v>
      </c>
      <c r="G419" s="15">
        <v>24</v>
      </c>
      <c r="H419" s="15">
        <v>73.1</v>
      </c>
      <c r="I419" s="15">
        <v>0.02434</v>
      </c>
      <c r="J419" s="15">
        <v>3.05</v>
      </c>
      <c r="K419" s="15">
        <v>74.14</v>
      </c>
      <c r="L419" s="15">
        <v>0</v>
      </c>
      <c r="M419" s="15">
        <v>0</v>
      </c>
      <c r="N419" s="15">
        <v>0</v>
      </c>
      <c r="O419" s="15">
        <v>0</v>
      </c>
      <c r="P419" s="15">
        <v>0</v>
      </c>
      <c r="Q419" s="15">
        <v>0</v>
      </c>
      <c r="R419" s="15">
        <v>0</v>
      </c>
      <c r="S419" s="15">
        <v>0</v>
      </c>
      <c r="T419" s="15">
        <v>0</v>
      </c>
      <c r="U419" s="15">
        <v>0</v>
      </c>
      <c r="V419" s="15">
        <v>0</v>
      </c>
      <c r="W419" s="15">
        <v>0</v>
      </c>
      <c r="X419" s="15">
        <v>0</v>
      </c>
      <c r="Y419" s="15">
        <v>0</v>
      </c>
      <c r="Z419" s="15">
        <v>0</v>
      </c>
      <c r="AA419" s="15"/>
      <c r="AB419" s="15">
        <v>4</v>
      </c>
      <c r="AC419" s="15">
        <v>0</v>
      </c>
      <c r="AD419" s="15">
        <v>4</v>
      </c>
      <c r="AE419" s="15">
        <v>0.16667</v>
      </c>
      <c r="AF419" s="15">
        <v>4</v>
      </c>
      <c r="AG419" s="15">
        <v>0</v>
      </c>
      <c r="AH419" s="15"/>
      <c r="AI419" s="15">
        <v>8</v>
      </c>
      <c r="AJ419" s="15">
        <v>9.14</v>
      </c>
      <c r="AK419" s="15">
        <v>8</v>
      </c>
      <c r="AL419" s="15">
        <v>9.14</v>
      </c>
      <c r="AM419" s="15">
        <v>4</v>
      </c>
      <c r="AN419" s="15">
        <v>18.28</v>
      </c>
      <c r="AO419" s="15">
        <v>0.16667</v>
      </c>
      <c r="AP419" s="15">
        <v>18.28</v>
      </c>
      <c r="AQ419" s="15">
        <v>0</v>
      </c>
      <c r="AR419" s="15">
        <v>0</v>
      </c>
      <c r="AS419" s="15">
        <v>0</v>
      </c>
      <c r="AT419" s="15">
        <v>4</v>
      </c>
      <c r="AU419" s="15">
        <v>0</v>
      </c>
      <c r="AV419" s="15">
        <v>0</v>
      </c>
      <c r="AW419" s="15">
        <v>0</v>
      </c>
      <c r="AX419" s="15">
        <v>0</v>
      </c>
      <c r="AY419" s="15">
        <v>121</v>
      </c>
      <c r="AZ419" s="15">
        <v>22</v>
      </c>
      <c r="BA419" s="15">
        <v>14</v>
      </c>
      <c r="BB419" s="15">
        <v>0.63636</v>
      </c>
      <c r="BC419" s="15">
        <v>0</v>
      </c>
      <c r="BD419" s="15">
        <v>0</v>
      </c>
      <c r="BE419" s="15">
        <v>0.12272</v>
      </c>
      <c r="BF419" s="15">
        <v>94</v>
      </c>
      <c r="BG419" s="15">
        <v>6</v>
      </c>
      <c r="BH419" s="15">
        <v>0</v>
      </c>
      <c r="BI419" s="15"/>
      <c r="BJ419" s="15">
        <v>0</v>
      </c>
      <c r="BK419" s="15">
        <v>0</v>
      </c>
      <c r="BL419" s="15">
        <v>0</v>
      </c>
      <c r="BM419" s="15">
        <v>0</v>
      </c>
      <c r="BN419" s="15"/>
      <c r="BO419" s="15"/>
      <c r="BP419" s="15">
        <v>0.6</v>
      </c>
      <c r="BQ419" s="15">
        <v>105</v>
      </c>
      <c r="BR419" s="15">
        <v>0</v>
      </c>
      <c r="BS419" s="15">
        <v>0</v>
      </c>
      <c r="BT419" s="15">
        <v>0</v>
      </c>
      <c r="BU419" s="15">
        <v>0</v>
      </c>
      <c r="BV419" s="15">
        <v>0</v>
      </c>
      <c r="BW419" s="15">
        <v>0</v>
      </c>
      <c r="BX419" s="15">
        <v>0</v>
      </c>
    </row>
    <row r="420" spans="1:76">
      <c r="A420" s="14" t="str">
        <f>VLOOKUP(C420,VLOOKUP!A:B,2,FALSE)</f>
        <v>四季线香</v>
      </c>
      <c r="B420" s="16">
        <v>46023</v>
      </c>
      <c r="C420" s="17">
        <v>742540384374</v>
      </c>
      <c r="D420" s="15" t="s">
        <v>151</v>
      </c>
      <c r="E420" s="15" t="s">
        <v>161</v>
      </c>
      <c r="F420" s="15">
        <v>2925</v>
      </c>
      <c r="G420" s="15">
        <v>39</v>
      </c>
      <c r="H420" s="15">
        <v>48.98</v>
      </c>
      <c r="I420" s="15">
        <v>0.01333</v>
      </c>
      <c r="J420" s="15">
        <v>1.26</v>
      </c>
      <c r="K420" s="15">
        <v>16.75</v>
      </c>
      <c r="L420" s="15">
        <v>0</v>
      </c>
      <c r="M420" s="15">
        <v>0</v>
      </c>
      <c r="N420" s="15">
        <v>0</v>
      </c>
      <c r="O420" s="15">
        <v>0</v>
      </c>
      <c r="P420" s="15">
        <v>0</v>
      </c>
      <c r="Q420" s="15">
        <v>0</v>
      </c>
      <c r="R420" s="15">
        <v>338.3</v>
      </c>
      <c r="S420" s="15">
        <v>0</v>
      </c>
      <c r="T420" s="15">
        <v>338.3</v>
      </c>
      <c r="U420" s="15">
        <v>1</v>
      </c>
      <c r="V420" s="15">
        <v>1</v>
      </c>
      <c r="W420" s="15">
        <v>0</v>
      </c>
      <c r="X420" s="15">
        <v>0.02564</v>
      </c>
      <c r="Y420" s="15">
        <v>6.91</v>
      </c>
      <c r="Z420" s="15">
        <v>6.91</v>
      </c>
      <c r="AA420" s="15">
        <v>48.98</v>
      </c>
      <c r="AB420" s="15">
        <v>3</v>
      </c>
      <c r="AC420" s="15">
        <v>3</v>
      </c>
      <c r="AD420" s="15">
        <v>0</v>
      </c>
      <c r="AE420" s="15">
        <v>0.07692</v>
      </c>
      <c r="AF420" s="15">
        <v>1</v>
      </c>
      <c r="AG420" s="15">
        <v>0</v>
      </c>
      <c r="AH420" s="15"/>
      <c r="AI420" s="15">
        <v>4</v>
      </c>
      <c r="AJ420" s="15">
        <v>12.25</v>
      </c>
      <c r="AK420" s="15">
        <v>4</v>
      </c>
      <c r="AL420" s="15">
        <v>12.25</v>
      </c>
      <c r="AM420" s="15">
        <v>1</v>
      </c>
      <c r="AN420" s="15">
        <v>48.98</v>
      </c>
      <c r="AO420" s="15">
        <v>0.02564</v>
      </c>
      <c r="AP420" s="15">
        <v>16.33</v>
      </c>
      <c r="AQ420" s="15">
        <v>1</v>
      </c>
      <c r="AR420" s="15">
        <v>398</v>
      </c>
      <c r="AS420" s="15">
        <v>1</v>
      </c>
      <c r="AT420" s="15">
        <v>0</v>
      </c>
      <c r="AU420" s="15">
        <v>0</v>
      </c>
      <c r="AV420" s="15">
        <v>0</v>
      </c>
      <c r="AW420" s="15">
        <v>0</v>
      </c>
      <c r="AX420" s="15">
        <v>0</v>
      </c>
      <c r="AY420" s="15">
        <v>54</v>
      </c>
      <c r="AZ420" s="15">
        <v>36</v>
      </c>
      <c r="BA420" s="15">
        <v>30</v>
      </c>
      <c r="BB420" s="15">
        <v>0.83333</v>
      </c>
      <c r="BC420" s="15">
        <v>0</v>
      </c>
      <c r="BD420" s="15">
        <v>0</v>
      </c>
      <c r="BE420" s="15">
        <v>0.01846</v>
      </c>
      <c r="BF420" s="15">
        <v>12</v>
      </c>
      <c r="BG420" s="15">
        <v>2</v>
      </c>
      <c r="BH420" s="15">
        <v>1</v>
      </c>
      <c r="BI420" s="15">
        <v>1</v>
      </c>
      <c r="BJ420" s="15">
        <v>0</v>
      </c>
      <c r="BK420" s="15">
        <v>0</v>
      </c>
      <c r="BL420" s="15">
        <v>0</v>
      </c>
      <c r="BM420" s="15">
        <v>1</v>
      </c>
      <c r="BN420" s="15">
        <v>1</v>
      </c>
      <c r="BO420" s="15">
        <v>338.3</v>
      </c>
      <c r="BP420" s="15">
        <v>0</v>
      </c>
      <c r="BQ420" s="15">
        <v>173</v>
      </c>
      <c r="BR420" s="15">
        <v>0</v>
      </c>
      <c r="BS420" s="15">
        <v>0</v>
      </c>
      <c r="BT420" s="15">
        <v>0</v>
      </c>
      <c r="BU420" s="15">
        <v>0</v>
      </c>
      <c r="BV420" s="15">
        <v>0</v>
      </c>
      <c r="BW420" s="15">
        <v>0</v>
      </c>
      <c r="BX420" s="15">
        <v>0</v>
      </c>
    </row>
    <row r="421" spans="1:76">
      <c r="A421" s="14" t="str">
        <f>VLOOKUP(C421,VLOOKUP!A:B,2,FALSE)</f>
        <v>车载香薰</v>
      </c>
      <c r="B421" s="16">
        <v>46023</v>
      </c>
      <c r="C421" s="17">
        <v>616090775596</v>
      </c>
      <c r="D421" s="15" t="s">
        <v>151</v>
      </c>
      <c r="E421" s="15" t="s">
        <v>162</v>
      </c>
      <c r="F421" s="15">
        <v>1792</v>
      </c>
      <c r="G421" s="15">
        <v>9</v>
      </c>
      <c r="H421" s="15">
        <v>10.49</v>
      </c>
      <c r="I421" s="15">
        <v>0.00502</v>
      </c>
      <c r="J421" s="15">
        <v>1.17</v>
      </c>
      <c r="K421" s="15">
        <v>5.85</v>
      </c>
      <c r="L421" s="15">
        <v>0</v>
      </c>
      <c r="M421" s="15">
        <v>0</v>
      </c>
      <c r="N421" s="15">
        <v>0</v>
      </c>
      <c r="O421" s="15">
        <v>0</v>
      </c>
      <c r="P421" s="15">
        <v>0</v>
      </c>
      <c r="Q421" s="15">
        <v>0</v>
      </c>
      <c r="R421" s="15">
        <v>0</v>
      </c>
      <c r="S421" s="15">
        <v>0</v>
      </c>
      <c r="T421" s="15">
        <v>0</v>
      </c>
      <c r="U421" s="15">
        <v>0</v>
      </c>
      <c r="V421" s="15">
        <v>0</v>
      </c>
      <c r="W421" s="15">
        <v>0</v>
      </c>
      <c r="X421" s="15">
        <v>0</v>
      </c>
      <c r="Y421" s="15">
        <v>0</v>
      </c>
      <c r="Z421" s="15">
        <v>0</v>
      </c>
      <c r="AA421" s="15"/>
      <c r="AB421" s="15">
        <v>0</v>
      </c>
      <c r="AC421" s="15">
        <v>0</v>
      </c>
      <c r="AD421" s="15">
        <v>0</v>
      </c>
      <c r="AE421" s="15">
        <v>0</v>
      </c>
      <c r="AF421" s="15">
        <v>0</v>
      </c>
      <c r="AG421" s="15">
        <v>0</v>
      </c>
      <c r="AH421" s="15"/>
      <c r="AI421" s="15">
        <v>0</v>
      </c>
      <c r="AJ421" s="15"/>
      <c r="AK421" s="15">
        <v>0</v>
      </c>
      <c r="AL421" s="15"/>
      <c r="AM421" s="15">
        <v>0</v>
      </c>
      <c r="AN421" s="15"/>
      <c r="AO421" s="15">
        <v>0</v>
      </c>
      <c r="AP421" s="15"/>
      <c r="AQ421" s="15">
        <v>0</v>
      </c>
      <c r="AR421" s="15">
        <v>0</v>
      </c>
      <c r="AS421" s="15">
        <v>0</v>
      </c>
      <c r="AT421" s="15">
        <v>0</v>
      </c>
      <c r="AU421" s="15">
        <v>0</v>
      </c>
      <c r="AV421" s="15">
        <v>0</v>
      </c>
      <c r="AW421" s="15">
        <v>0</v>
      </c>
      <c r="AX421" s="15">
        <v>0</v>
      </c>
      <c r="AY421" s="15">
        <v>17</v>
      </c>
      <c r="AZ421" s="15">
        <v>8</v>
      </c>
      <c r="BA421" s="15">
        <v>6</v>
      </c>
      <c r="BB421" s="15">
        <v>0.75</v>
      </c>
      <c r="BC421" s="15">
        <v>0</v>
      </c>
      <c r="BD421" s="15">
        <v>0</v>
      </c>
      <c r="BE421" s="15">
        <v>0.00949</v>
      </c>
      <c r="BF421" s="15">
        <v>6</v>
      </c>
      <c r="BG421" s="15">
        <v>2</v>
      </c>
      <c r="BH421" s="15">
        <v>0</v>
      </c>
      <c r="BI421" s="15"/>
      <c r="BJ421" s="15">
        <v>0</v>
      </c>
      <c r="BK421" s="15">
        <v>0</v>
      </c>
      <c r="BL421" s="15">
        <v>0</v>
      </c>
      <c r="BM421" s="15">
        <v>0</v>
      </c>
      <c r="BN421" s="15"/>
      <c r="BO421" s="15"/>
      <c r="BP421" s="15">
        <v>0</v>
      </c>
      <c r="BQ421" s="15">
        <v>13</v>
      </c>
      <c r="BR421" s="15">
        <v>0</v>
      </c>
      <c r="BS421" s="15">
        <v>0</v>
      </c>
      <c r="BT421" s="15">
        <v>0</v>
      </c>
      <c r="BU421" s="15">
        <v>0</v>
      </c>
      <c r="BV421" s="15">
        <v>0</v>
      </c>
      <c r="BW421" s="15">
        <v>0</v>
      </c>
      <c r="BX421" s="15">
        <v>0</v>
      </c>
    </row>
    <row r="422" spans="1:76">
      <c r="A422" s="14" t="e">
        <f>VLOOKUP(C422,VLOOKUP!A:B,2,FALSE)</f>
        <v>#N/A</v>
      </c>
      <c r="B422" s="18" t="s">
        <v>3</v>
      </c>
      <c r="C422" s="18" t="s">
        <v>141</v>
      </c>
      <c r="D422" s="18" t="s">
        <v>142</v>
      </c>
      <c r="E422" s="18" t="s">
        <v>143</v>
      </c>
      <c r="F422" s="18" t="s">
        <v>54</v>
      </c>
      <c r="G422" s="18" t="s">
        <v>21</v>
      </c>
      <c r="H422" s="18" t="s">
        <v>12</v>
      </c>
      <c r="I422" s="18" t="s">
        <v>56</v>
      </c>
      <c r="J422" s="18" t="s">
        <v>82</v>
      </c>
      <c r="K422" s="18" t="s">
        <v>83</v>
      </c>
      <c r="L422" s="18" t="s">
        <v>84</v>
      </c>
      <c r="M422" s="18" t="s">
        <v>85</v>
      </c>
      <c r="N422" s="18" t="s">
        <v>86</v>
      </c>
      <c r="O422" s="18" t="s">
        <v>87</v>
      </c>
      <c r="P422" s="18" t="s">
        <v>88</v>
      </c>
      <c r="Q422" s="18" t="s">
        <v>89</v>
      </c>
      <c r="R422" s="18" t="s">
        <v>90</v>
      </c>
      <c r="S422" s="18" t="s">
        <v>91</v>
      </c>
      <c r="T422" s="18" t="s">
        <v>26</v>
      </c>
      <c r="U422" s="18" t="s">
        <v>55</v>
      </c>
      <c r="V422" s="18" t="s">
        <v>92</v>
      </c>
      <c r="W422" s="18" t="s">
        <v>93</v>
      </c>
      <c r="X422" s="18" t="s">
        <v>29</v>
      </c>
      <c r="Y422" s="18" t="s">
        <v>94</v>
      </c>
      <c r="Z422" s="18" t="s">
        <v>95</v>
      </c>
      <c r="AA422" s="18" t="s">
        <v>96</v>
      </c>
      <c r="AB422" s="18" t="s">
        <v>23</v>
      </c>
      <c r="AC422" s="18" t="s">
        <v>97</v>
      </c>
      <c r="AD422" s="18" t="s">
        <v>98</v>
      </c>
      <c r="AE422" s="18" t="s">
        <v>28</v>
      </c>
      <c r="AF422" s="18" t="s">
        <v>99</v>
      </c>
      <c r="AG422" s="18" t="s">
        <v>100</v>
      </c>
      <c r="AH422" s="18" t="s">
        <v>101</v>
      </c>
      <c r="AI422" s="18" t="s">
        <v>102</v>
      </c>
      <c r="AJ422" s="18" t="s">
        <v>103</v>
      </c>
      <c r="AK422" s="18" t="s">
        <v>104</v>
      </c>
      <c r="AL422" s="18" t="s">
        <v>105</v>
      </c>
      <c r="AM422" s="18" t="s">
        <v>106</v>
      </c>
      <c r="AN422" s="18" t="s">
        <v>107</v>
      </c>
      <c r="AO422" s="18" t="s">
        <v>108</v>
      </c>
      <c r="AP422" s="18" t="s">
        <v>24</v>
      </c>
      <c r="AQ422" s="18" t="s">
        <v>109</v>
      </c>
      <c r="AR422" s="18" t="s">
        <v>110</v>
      </c>
      <c r="AS422" s="18" t="s">
        <v>111</v>
      </c>
      <c r="AT422" s="18" t="s">
        <v>112</v>
      </c>
      <c r="AU422" s="18" t="s">
        <v>113</v>
      </c>
      <c r="AV422" s="18" t="s">
        <v>114</v>
      </c>
      <c r="AW422" s="18" t="s">
        <v>115</v>
      </c>
      <c r="AX422" s="18" t="s">
        <v>116</v>
      </c>
      <c r="AY422" s="18" t="s">
        <v>117</v>
      </c>
      <c r="AZ422" s="18" t="s">
        <v>118</v>
      </c>
      <c r="BA422" s="18" t="s">
        <v>119</v>
      </c>
      <c r="BB422" s="18" t="s">
        <v>120</v>
      </c>
      <c r="BC422" s="18" t="s">
        <v>121</v>
      </c>
      <c r="BD422" s="18" t="s">
        <v>122</v>
      </c>
      <c r="BE422" s="18" t="s">
        <v>123</v>
      </c>
      <c r="BF422" s="18" t="s">
        <v>124</v>
      </c>
      <c r="BG422" s="18" t="s">
        <v>125</v>
      </c>
      <c r="BH422" s="18" t="s">
        <v>126</v>
      </c>
      <c r="BI422" s="18" t="s">
        <v>127</v>
      </c>
      <c r="BJ422" s="18" t="s">
        <v>128</v>
      </c>
      <c r="BK422" s="18" t="s">
        <v>129</v>
      </c>
      <c r="BL422" s="18" t="s">
        <v>130</v>
      </c>
      <c r="BM422" s="18" t="s">
        <v>131</v>
      </c>
      <c r="BN422" s="18" t="s">
        <v>132</v>
      </c>
      <c r="BO422" s="18" t="s">
        <v>133</v>
      </c>
      <c r="BP422" s="18" t="s">
        <v>134</v>
      </c>
      <c r="BQ422" s="18" t="s">
        <v>135</v>
      </c>
      <c r="BR422" s="18" t="s">
        <v>144</v>
      </c>
      <c r="BS422" s="18" t="s">
        <v>145</v>
      </c>
      <c r="BT422" s="18" t="s">
        <v>146</v>
      </c>
      <c r="BU422" s="18" t="s">
        <v>136</v>
      </c>
      <c r="BV422" s="18" t="s">
        <v>137</v>
      </c>
      <c r="BW422" s="18" t="s">
        <v>138</v>
      </c>
      <c r="BX422" s="18" t="s">
        <v>139</v>
      </c>
    </row>
    <row r="423" spans="1:76">
      <c r="A423" s="14" t="str">
        <f>VLOOKUP(C423,VLOOKUP!A:B,2,FALSE)</f>
        <v>太樾归真</v>
      </c>
      <c r="B423" s="19">
        <v>46194</v>
      </c>
      <c r="C423" s="20">
        <v>1051919021880</v>
      </c>
      <c r="D423" s="18" t="s">
        <v>151</v>
      </c>
      <c r="E423" s="18" t="s">
        <v>163</v>
      </c>
      <c r="F423" s="18">
        <v>1325</v>
      </c>
      <c r="G423" s="18">
        <v>59</v>
      </c>
      <c r="H423" s="18">
        <v>38.21</v>
      </c>
      <c r="I423" s="18">
        <v>0.04453</v>
      </c>
      <c r="J423" s="18">
        <v>0.65</v>
      </c>
      <c r="K423" s="18">
        <v>28.84</v>
      </c>
      <c r="L423" s="18">
        <v>0</v>
      </c>
      <c r="M423" s="18">
        <v>0</v>
      </c>
      <c r="N423" s="18">
        <v>0</v>
      </c>
      <c r="O423" s="18">
        <v>0</v>
      </c>
      <c r="P423" s="18">
        <v>0</v>
      </c>
      <c r="Q423" s="18">
        <v>0</v>
      </c>
      <c r="R423" s="18">
        <v>0</v>
      </c>
      <c r="S423" s="18">
        <v>0</v>
      </c>
      <c r="T423" s="18">
        <v>0</v>
      </c>
      <c r="U423" s="18">
        <v>0</v>
      </c>
      <c r="V423" s="18">
        <v>0</v>
      </c>
      <c r="W423" s="18">
        <v>0</v>
      </c>
      <c r="X423" s="18">
        <v>0</v>
      </c>
      <c r="Y423" s="18">
        <v>0</v>
      </c>
      <c r="Z423" s="18">
        <v>0</v>
      </c>
      <c r="AA423" s="18"/>
      <c r="AB423" s="18">
        <v>0</v>
      </c>
      <c r="AC423" s="18">
        <v>0</v>
      </c>
      <c r="AD423" s="18">
        <v>0</v>
      </c>
      <c r="AE423" s="18">
        <v>0</v>
      </c>
      <c r="AF423" s="18">
        <v>0</v>
      </c>
      <c r="AG423" s="18">
        <v>0</v>
      </c>
      <c r="AH423" s="18"/>
      <c r="AI423" s="18">
        <v>0</v>
      </c>
      <c r="AJ423" s="18"/>
      <c r="AK423" s="18">
        <v>0</v>
      </c>
      <c r="AL423" s="18"/>
      <c r="AM423" s="18">
        <v>0</v>
      </c>
      <c r="AN423" s="18"/>
      <c r="AO423" s="18">
        <v>0</v>
      </c>
      <c r="AP423" s="18"/>
      <c r="AQ423" s="18">
        <v>0</v>
      </c>
      <c r="AR423" s="18">
        <v>0</v>
      </c>
      <c r="AS423" s="18">
        <v>0</v>
      </c>
      <c r="AT423" s="18">
        <v>0</v>
      </c>
      <c r="AU423" s="18">
        <v>0</v>
      </c>
      <c r="AV423" s="18">
        <v>0</v>
      </c>
      <c r="AW423" s="18">
        <v>0</v>
      </c>
      <c r="AX423" s="18">
        <v>0</v>
      </c>
      <c r="AY423" s="18">
        <v>73</v>
      </c>
      <c r="AZ423" s="18">
        <v>44</v>
      </c>
      <c r="BA423" s="18">
        <v>37</v>
      </c>
      <c r="BB423" s="18">
        <v>0.84091</v>
      </c>
      <c r="BC423" s="18">
        <v>0</v>
      </c>
      <c r="BD423" s="18">
        <v>0</v>
      </c>
      <c r="BE423" s="18">
        <v>0.05509</v>
      </c>
      <c r="BF423" s="18">
        <v>4</v>
      </c>
      <c r="BG423" s="18">
        <v>2</v>
      </c>
      <c r="BH423" s="18">
        <v>0</v>
      </c>
      <c r="BI423" s="18"/>
      <c r="BJ423" s="18">
        <v>0</v>
      </c>
      <c r="BK423" s="18">
        <v>0</v>
      </c>
      <c r="BL423" s="18">
        <v>0</v>
      </c>
      <c r="BM423" s="18">
        <v>0</v>
      </c>
      <c r="BN423" s="18"/>
      <c r="BO423" s="18"/>
      <c r="BP423" s="18">
        <v>0</v>
      </c>
      <c r="BQ423" s="18">
        <v>0</v>
      </c>
      <c r="BR423" s="18">
        <v>0</v>
      </c>
      <c r="BS423" s="18">
        <v>0</v>
      </c>
      <c r="BT423" s="18">
        <v>0</v>
      </c>
      <c r="BU423" s="18">
        <v>0</v>
      </c>
      <c r="BV423" s="18">
        <v>0</v>
      </c>
      <c r="BW423" s="18">
        <v>0</v>
      </c>
      <c r="BX423" s="18">
        <v>0</v>
      </c>
    </row>
    <row r="424" spans="1:76">
      <c r="A424" s="14" t="str">
        <f>VLOOKUP(C424,VLOOKUP!A:B,2,FALSE)</f>
        <v>早晚安香</v>
      </c>
      <c r="B424" s="19">
        <v>46194</v>
      </c>
      <c r="C424" s="20">
        <v>1010789122929</v>
      </c>
      <c r="D424" s="18" t="s">
        <v>151</v>
      </c>
      <c r="E424" s="18" t="s">
        <v>164</v>
      </c>
      <c r="F424" s="18">
        <v>1573</v>
      </c>
      <c r="G424" s="18">
        <v>89</v>
      </c>
      <c r="H424" s="18">
        <v>75.73</v>
      </c>
      <c r="I424" s="18">
        <v>0.05658</v>
      </c>
      <c r="J424" s="18">
        <v>0.85</v>
      </c>
      <c r="K424" s="18">
        <v>48.14</v>
      </c>
      <c r="L424" s="18">
        <v>0</v>
      </c>
      <c r="M424" s="18">
        <v>0</v>
      </c>
      <c r="N424" s="18">
        <v>0</v>
      </c>
      <c r="O424" s="18">
        <v>0</v>
      </c>
      <c r="P424" s="18">
        <v>0</v>
      </c>
      <c r="Q424" s="18">
        <v>0</v>
      </c>
      <c r="R424" s="18">
        <v>0</v>
      </c>
      <c r="S424" s="18">
        <v>0</v>
      </c>
      <c r="T424" s="18">
        <v>0</v>
      </c>
      <c r="U424" s="18">
        <v>0</v>
      </c>
      <c r="V424" s="18">
        <v>0</v>
      </c>
      <c r="W424" s="18">
        <v>0</v>
      </c>
      <c r="X424" s="18">
        <v>0</v>
      </c>
      <c r="Y424" s="18">
        <v>0</v>
      </c>
      <c r="Z424" s="18">
        <v>0</v>
      </c>
      <c r="AA424" s="18"/>
      <c r="AB424" s="18">
        <v>4</v>
      </c>
      <c r="AC424" s="18">
        <v>3</v>
      </c>
      <c r="AD424" s="18">
        <v>1</v>
      </c>
      <c r="AE424" s="18">
        <v>0.04494</v>
      </c>
      <c r="AF424" s="18">
        <v>0</v>
      </c>
      <c r="AG424" s="18">
        <v>0</v>
      </c>
      <c r="AH424" s="18"/>
      <c r="AI424" s="18">
        <v>4</v>
      </c>
      <c r="AJ424" s="18">
        <v>18.93</v>
      </c>
      <c r="AK424" s="18">
        <v>4</v>
      </c>
      <c r="AL424" s="18">
        <v>18.93</v>
      </c>
      <c r="AM424" s="18">
        <v>0</v>
      </c>
      <c r="AN424" s="18"/>
      <c r="AO424" s="18">
        <v>0</v>
      </c>
      <c r="AP424" s="18">
        <v>18.93</v>
      </c>
      <c r="AQ424" s="18">
        <v>0</v>
      </c>
      <c r="AR424" s="18">
        <v>0</v>
      </c>
      <c r="AS424" s="18">
        <v>0</v>
      </c>
      <c r="AT424" s="18">
        <v>0</v>
      </c>
      <c r="AU424" s="18">
        <v>0</v>
      </c>
      <c r="AV424" s="18">
        <v>0</v>
      </c>
      <c r="AW424" s="18">
        <v>0</v>
      </c>
      <c r="AX424" s="18">
        <v>0</v>
      </c>
      <c r="AY424" s="18">
        <v>148</v>
      </c>
      <c r="AZ424" s="18">
        <v>76</v>
      </c>
      <c r="BA424" s="18">
        <v>40</v>
      </c>
      <c r="BB424" s="18">
        <v>0.52632</v>
      </c>
      <c r="BC424" s="18">
        <v>0</v>
      </c>
      <c r="BD424" s="18">
        <v>0</v>
      </c>
      <c r="BE424" s="18">
        <v>0.09409</v>
      </c>
      <c r="BF424" s="18">
        <v>46</v>
      </c>
      <c r="BG424" s="18">
        <v>2</v>
      </c>
      <c r="BH424" s="18">
        <v>0</v>
      </c>
      <c r="BI424" s="18"/>
      <c r="BJ424" s="18">
        <v>0</v>
      </c>
      <c r="BK424" s="18">
        <v>0</v>
      </c>
      <c r="BL424" s="18">
        <v>0</v>
      </c>
      <c r="BM424" s="18">
        <v>0</v>
      </c>
      <c r="BN424" s="18"/>
      <c r="BO424" s="18"/>
      <c r="BP424" s="18">
        <v>0</v>
      </c>
      <c r="BQ424" s="18">
        <v>0</v>
      </c>
      <c r="BR424" s="18">
        <v>0</v>
      </c>
      <c r="BS424" s="18">
        <v>0</v>
      </c>
      <c r="BT424" s="18">
        <v>0</v>
      </c>
      <c r="BU424" s="18">
        <v>0</v>
      </c>
      <c r="BV424" s="18">
        <v>0</v>
      </c>
      <c r="BW424" s="18">
        <v>0</v>
      </c>
      <c r="BX424" s="18">
        <v>0</v>
      </c>
    </row>
    <row r="425" spans="1:76">
      <c r="A425" s="14" t="str">
        <f>VLOOKUP(C425,VLOOKUP!A:B,2,FALSE)</f>
        <v>荔枝香</v>
      </c>
      <c r="B425" s="19">
        <v>46194</v>
      </c>
      <c r="C425" s="20">
        <v>960406497157</v>
      </c>
      <c r="D425" s="18" t="s">
        <v>151</v>
      </c>
      <c r="E425" s="18" t="s">
        <v>165</v>
      </c>
      <c r="F425" s="18">
        <v>3213</v>
      </c>
      <c r="G425" s="18">
        <v>296</v>
      </c>
      <c r="H425" s="18">
        <v>111.89</v>
      </c>
      <c r="I425" s="18">
        <v>0.09213</v>
      </c>
      <c r="J425" s="18">
        <v>0.38</v>
      </c>
      <c r="K425" s="18">
        <v>34.82</v>
      </c>
      <c r="L425" s="18">
        <v>0</v>
      </c>
      <c r="M425" s="18">
        <v>0</v>
      </c>
      <c r="N425" s="18">
        <v>0</v>
      </c>
      <c r="O425" s="18">
        <v>0</v>
      </c>
      <c r="P425" s="18">
        <v>0</v>
      </c>
      <c r="Q425" s="18">
        <v>0</v>
      </c>
      <c r="R425" s="18">
        <v>0</v>
      </c>
      <c r="S425" s="18">
        <v>0</v>
      </c>
      <c r="T425" s="18">
        <v>0</v>
      </c>
      <c r="U425" s="18">
        <v>0</v>
      </c>
      <c r="V425" s="18">
        <v>0</v>
      </c>
      <c r="W425" s="18">
        <v>0</v>
      </c>
      <c r="X425" s="18">
        <v>0</v>
      </c>
      <c r="Y425" s="18">
        <v>0</v>
      </c>
      <c r="Z425" s="18">
        <v>0</v>
      </c>
      <c r="AA425" s="18"/>
      <c r="AB425" s="18">
        <v>6</v>
      </c>
      <c r="AC425" s="18">
        <v>5</v>
      </c>
      <c r="AD425" s="18">
        <v>1</v>
      </c>
      <c r="AE425" s="18">
        <v>0.02027</v>
      </c>
      <c r="AF425" s="18">
        <v>1</v>
      </c>
      <c r="AG425" s="18">
        <v>1</v>
      </c>
      <c r="AH425" s="18">
        <v>111.89</v>
      </c>
      <c r="AI425" s="18">
        <v>8</v>
      </c>
      <c r="AJ425" s="18">
        <v>13.99</v>
      </c>
      <c r="AK425" s="18">
        <v>7</v>
      </c>
      <c r="AL425" s="18">
        <v>15.98</v>
      </c>
      <c r="AM425" s="18">
        <v>2</v>
      </c>
      <c r="AN425" s="18">
        <v>111.89</v>
      </c>
      <c r="AO425" s="18">
        <v>0.00338</v>
      </c>
      <c r="AP425" s="18">
        <v>18.65</v>
      </c>
      <c r="AQ425" s="18">
        <v>0</v>
      </c>
      <c r="AR425" s="18">
        <v>0</v>
      </c>
      <c r="AS425" s="18">
        <v>0</v>
      </c>
      <c r="AT425" s="18">
        <v>1</v>
      </c>
      <c r="AU425" s="18">
        <v>0</v>
      </c>
      <c r="AV425" s="18">
        <v>0</v>
      </c>
      <c r="AW425" s="18">
        <v>0</v>
      </c>
      <c r="AX425" s="18">
        <v>0</v>
      </c>
      <c r="AY425" s="18">
        <v>521</v>
      </c>
      <c r="AZ425" s="18">
        <v>268</v>
      </c>
      <c r="BA425" s="18">
        <v>228</v>
      </c>
      <c r="BB425" s="18">
        <v>0.85075</v>
      </c>
      <c r="BC425" s="18">
        <v>0</v>
      </c>
      <c r="BD425" s="18">
        <v>0</v>
      </c>
      <c r="BE425" s="18">
        <v>0.16215</v>
      </c>
      <c r="BF425" s="18">
        <v>141</v>
      </c>
      <c r="BG425" s="18">
        <v>2</v>
      </c>
      <c r="BH425" s="18">
        <v>0</v>
      </c>
      <c r="BI425" s="18"/>
      <c r="BJ425" s="18">
        <v>0</v>
      </c>
      <c r="BK425" s="18">
        <v>0</v>
      </c>
      <c r="BL425" s="18">
        <v>0</v>
      </c>
      <c r="BM425" s="18">
        <v>0</v>
      </c>
      <c r="BN425" s="18"/>
      <c r="BO425" s="18"/>
      <c r="BP425" s="18">
        <v>0</v>
      </c>
      <c r="BQ425" s="18">
        <v>0</v>
      </c>
      <c r="BR425" s="18">
        <v>0</v>
      </c>
      <c r="BS425" s="18">
        <v>0</v>
      </c>
      <c r="BT425" s="18">
        <v>0</v>
      </c>
      <c r="BU425" s="18">
        <v>0</v>
      </c>
      <c r="BV425" s="18">
        <v>0</v>
      </c>
      <c r="BW425" s="18">
        <v>0</v>
      </c>
      <c r="BX425" s="18">
        <v>0</v>
      </c>
    </row>
    <row r="426" spans="1:76">
      <c r="A426" s="14" t="str">
        <f>VLOOKUP(C426,VLOOKUP!A:B,2,FALSE)</f>
        <v>如意盘香</v>
      </c>
      <c r="B426" s="19">
        <v>46194</v>
      </c>
      <c r="C426" s="20">
        <v>838711327669</v>
      </c>
      <c r="D426" s="18" t="s">
        <v>151</v>
      </c>
      <c r="E426" s="18" t="s">
        <v>166</v>
      </c>
      <c r="F426" s="18">
        <v>604</v>
      </c>
      <c r="G426" s="18">
        <v>36</v>
      </c>
      <c r="H426" s="18">
        <v>33</v>
      </c>
      <c r="I426" s="18">
        <v>0.0596</v>
      </c>
      <c r="J426" s="18">
        <v>0.92</v>
      </c>
      <c r="K426" s="18">
        <v>54.64</v>
      </c>
      <c r="L426" s="18">
        <v>0</v>
      </c>
      <c r="M426" s="18">
        <v>0</v>
      </c>
      <c r="N426" s="18">
        <v>0</v>
      </c>
      <c r="O426" s="18">
        <v>0</v>
      </c>
      <c r="P426" s="18">
        <v>0</v>
      </c>
      <c r="Q426" s="18">
        <v>0</v>
      </c>
      <c r="R426" s="18">
        <v>0</v>
      </c>
      <c r="S426" s="18">
        <v>0</v>
      </c>
      <c r="T426" s="18">
        <v>0</v>
      </c>
      <c r="U426" s="18">
        <v>0</v>
      </c>
      <c r="V426" s="18">
        <v>0</v>
      </c>
      <c r="W426" s="18">
        <v>0</v>
      </c>
      <c r="X426" s="18">
        <v>0</v>
      </c>
      <c r="Y426" s="18">
        <v>0</v>
      </c>
      <c r="Z426" s="18">
        <v>0</v>
      </c>
      <c r="AA426" s="18"/>
      <c r="AB426" s="18">
        <v>9</v>
      </c>
      <c r="AC426" s="18">
        <v>0</v>
      </c>
      <c r="AD426" s="18">
        <v>9</v>
      </c>
      <c r="AE426" s="18">
        <v>0.25</v>
      </c>
      <c r="AF426" s="18">
        <v>1</v>
      </c>
      <c r="AG426" s="18">
        <v>0</v>
      </c>
      <c r="AH426" s="18"/>
      <c r="AI426" s="18">
        <v>10</v>
      </c>
      <c r="AJ426" s="18">
        <v>3.3</v>
      </c>
      <c r="AK426" s="18">
        <v>10</v>
      </c>
      <c r="AL426" s="18">
        <v>3.3</v>
      </c>
      <c r="AM426" s="18">
        <v>1</v>
      </c>
      <c r="AN426" s="18">
        <v>33</v>
      </c>
      <c r="AO426" s="18">
        <v>0.02778</v>
      </c>
      <c r="AP426" s="18">
        <v>3.67</v>
      </c>
      <c r="AQ426" s="18">
        <v>0</v>
      </c>
      <c r="AR426" s="18">
        <v>0</v>
      </c>
      <c r="AS426" s="18">
        <v>0</v>
      </c>
      <c r="AT426" s="18">
        <v>1</v>
      </c>
      <c r="AU426" s="18">
        <v>0</v>
      </c>
      <c r="AV426" s="18">
        <v>0</v>
      </c>
      <c r="AW426" s="18">
        <v>0</v>
      </c>
      <c r="AX426" s="18">
        <v>0</v>
      </c>
      <c r="AY426" s="18">
        <v>110</v>
      </c>
      <c r="AZ426" s="18">
        <v>28</v>
      </c>
      <c r="BA426" s="18">
        <v>20</v>
      </c>
      <c r="BB426" s="18">
        <v>0.71429</v>
      </c>
      <c r="BC426" s="18">
        <v>0</v>
      </c>
      <c r="BD426" s="18">
        <v>0</v>
      </c>
      <c r="BE426" s="18">
        <v>0.18212</v>
      </c>
      <c r="BF426" s="18">
        <v>74</v>
      </c>
      <c r="BG426" s="18">
        <v>4</v>
      </c>
      <c r="BH426" s="18">
        <v>0</v>
      </c>
      <c r="BI426" s="18"/>
      <c r="BJ426" s="18">
        <v>0</v>
      </c>
      <c r="BK426" s="18">
        <v>0</v>
      </c>
      <c r="BL426" s="18">
        <v>0</v>
      </c>
      <c r="BM426" s="18">
        <v>0</v>
      </c>
      <c r="BN426" s="18"/>
      <c r="BO426" s="18"/>
      <c r="BP426" s="18">
        <v>0</v>
      </c>
      <c r="BQ426" s="18">
        <v>0</v>
      </c>
      <c r="BR426" s="18">
        <v>0</v>
      </c>
      <c r="BS426" s="18">
        <v>0</v>
      </c>
      <c r="BT426" s="18">
        <v>0</v>
      </c>
      <c r="BU426" s="18">
        <v>0</v>
      </c>
      <c r="BV426" s="18">
        <v>0</v>
      </c>
      <c r="BW426" s="18">
        <v>0</v>
      </c>
      <c r="BX426" s="18">
        <v>0</v>
      </c>
    </row>
    <row r="427" spans="1:76">
      <c r="A427" s="14" t="str">
        <f>VLOOKUP(C427,VLOOKUP!A:B,2,FALSE)</f>
        <v>太樾归真</v>
      </c>
      <c r="B427" s="19">
        <v>46193</v>
      </c>
      <c r="C427" s="20">
        <v>1051919021880</v>
      </c>
      <c r="D427" s="18" t="s">
        <v>151</v>
      </c>
      <c r="E427" s="18" t="s">
        <v>163</v>
      </c>
      <c r="F427" s="18">
        <v>1018</v>
      </c>
      <c r="G427" s="18">
        <v>52</v>
      </c>
      <c r="H427" s="18">
        <v>32.97</v>
      </c>
      <c r="I427" s="18">
        <v>0.05108</v>
      </c>
      <c r="J427" s="18">
        <v>0.63</v>
      </c>
      <c r="K427" s="18">
        <v>32.39</v>
      </c>
      <c r="L427" s="18">
        <v>0</v>
      </c>
      <c r="M427" s="18">
        <v>0</v>
      </c>
      <c r="N427" s="18">
        <v>0</v>
      </c>
      <c r="O427" s="18">
        <v>0</v>
      </c>
      <c r="P427" s="18">
        <v>0</v>
      </c>
      <c r="Q427" s="18">
        <v>0</v>
      </c>
      <c r="R427" s="18">
        <v>37.46</v>
      </c>
      <c r="S427" s="18">
        <v>0</v>
      </c>
      <c r="T427" s="18">
        <v>37.46</v>
      </c>
      <c r="U427" s="18">
        <v>1</v>
      </c>
      <c r="V427" s="18">
        <v>1</v>
      </c>
      <c r="W427" s="18">
        <v>0</v>
      </c>
      <c r="X427" s="18">
        <v>0.01923</v>
      </c>
      <c r="Y427" s="18">
        <v>1.14</v>
      </c>
      <c r="Z427" s="18">
        <v>1.14</v>
      </c>
      <c r="AA427" s="18">
        <v>32.97</v>
      </c>
      <c r="AB427" s="18">
        <v>4</v>
      </c>
      <c r="AC427" s="18">
        <v>3</v>
      </c>
      <c r="AD427" s="18">
        <v>1</v>
      </c>
      <c r="AE427" s="18">
        <v>0.07692</v>
      </c>
      <c r="AF427" s="18">
        <v>1</v>
      </c>
      <c r="AG427" s="18">
        <v>0</v>
      </c>
      <c r="AH427" s="18"/>
      <c r="AI427" s="18">
        <v>5</v>
      </c>
      <c r="AJ427" s="18">
        <v>6.59</v>
      </c>
      <c r="AK427" s="18">
        <v>5</v>
      </c>
      <c r="AL427" s="18">
        <v>6.59</v>
      </c>
      <c r="AM427" s="18">
        <v>1</v>
      </c>
      <c r="AN427" s="18">
        <v>32.97</v>
      </c>
      <c r="AO427" s="18">
        <v>0.01923</v>
      </c>
      <c r="AP427" s="18">
        <v>8.24</v>
      </c>
      <c r="AQ427" s="18">
        <v>1</v>
      </c>
      <c r="AR427" s="18">
        <v>46.9</v>
      </c>
      <c r="AS427" s="18">
        <v>1</v>
      </c>
      <c r="AT427" s="18">
        <v>0</v>
      </c>
      <c r="AU427" s="18">
        <v>0</v>
      </c>
      <c r="AV427" s="18">
        <v>0</v>
      </c>
      <c r="AW427" s="18">
        <v>0</v>
      </c>
      <c r="AX427" s="18">
        <v>0</v>
      </c>
      <c r="AY427" s="18">
        <v>112</v>
      </c>
      <c r="AZ427" s="18">
        <v>39</v>
      </c>
      <c r="BA427" s="18">
        <v>31</v>
      </c>
      <c r="BB427" s="18">
        <v>0.79487</v>
      </c>
      <c r="BC427" s="18">
        <v>0</v>
      </c>
      <c r="BD427" s="18">
        <v>0</v>
      </c>
      <c r="BE427" s="18">
        <v>0.11002</v>
      </c>
      <c r="BF427" s="18">
        <v>39</v>
      </c>
      <c r="BG427" s="18">
        <v>3</v>
      </c>
      <c r="BH427" s="18">
        <v>1</v>
      </c>
      <c r="BI427" s="18">
        <v>1</v>
      </c>
      <c r="BJ427" s="18">
        <v>0</v>
      </c>
      <c r="BK427" s="18">
        <v>0</v>
      </c>
      <c r="BL427" s="18">
        <v>0</v>
      </c>
      <c r="BM427" s="18">
        <v>1</v>
      </c>
      <c r="BN427" s="18">
        <v>1</v>
      </c>
      <c r="BO427" s="18">
        <v>37.46</v>
      </c>
      <c r="BP427" s="18">
        <v>0</v>
      </c>
      <c r="BQ427" s="18">
        <v>318</v>
      </c>
      <c r="BR427" s="18">
        <v>0</v>
      </c>
      <c r="BS427" s="18">
        <v>0</v>
      </c>
      <c r="BT427" s="18">
        <v>0</v>
      </c>
      <c r="BU427" s="18">
        <v>0</v>
      </c>
      <c r="BV427" s="18">
        <v>0</v>
      </c>
      <c r="BW427" s="18">
        <v>0</v>
      </c>
      <c r="BX427" s="18">
        <v>0</v>
      </c>
    </row>
    <row r="428" spans="1:76">
      <c r="A428" s="14" t="str">
        <f>VLOOKUP(C428,VLOOKUP!A:B,2,FALSE)</f>
        <v>早晚安香</v>
      </c>
      <c r="B428" s="19">
        <v>46193</v>
      </c>
      <c r="C428" s="20">
        <v>1010789122929</v>
      </c>
      <c r="D428" s="18" t="s">
        <v>151</v>
      </c>
      <c r="E428" s="18" t="s">
        <v>164</v>
      </c>
      <c r="F428" s="18">
        <v>1402</v>
      </c>
      <c r="G428" s="18">
        <v>54</v>
      </c>
      <c r="H428" s="18">
        <v>46.69</v>
      </c>
      <c r="I428" s="18">
        <v>0.03852</v>
      </c>
      <c r="J428" s="18">
        <v>0.86</v>
      </c>
      <c r="K428" s="18">
        <v>33.3</v>
      </c>
      <c r="L428" s="18">
        <v>0</v>
      </c>
      <c r="M428" s="18">
        <v>0</v>
      </c>
      <c r="N428" s="18">
        <v>0</v>
      </c>
      <c r="O428" s="18">
        <v>0</v>
      </c>
      <c r="P428" s="18">
        <v>0</v>
      </c>
      <c r="Q428" s="18">
        <v>0</v>
      </c>
      <c r="R428" s="18">
        <v>0</v>
      </c>
      <c r="S428" s="18">
        <v>0</v>
      </c>
      <c r="T428" s="18">
        <v>0</v>
      </c>
      <c r="U428" s="18">
        <v>0</v>
      </c>
      <c r="V428" s="18">
        <v>0</v>
      </c>
      <c r="W428" s="18">
        <v>0</v>
      </c>
      <c r="X428" s="18">
        <v>0</v>
      </c>
      <c r="Y428" s="18">
        <v>0</v>
      </c>
      <c r="Z428" s="18">
        <v>0</v>
      </c>
      <c r="AA428" s="18"/>
      <c r="AB428" s="18">
        <v>2</v>
      </c>
      <c r="AC428" s="18">
        <v>1</v>
      </c>
      <c r="AD428" s="18">
        <v>1</v>
      </c>
      <c r="AE428" s="18">
        <v>0.03704</v>
      </c>
      <c r="AF428" s="18">
        <v>1</v>
      </c>
      <c r="AG428" s="18">
        <v>0</v>
      </c>
      <c r="AH428" s="18"/>
      <c r="AI428" s="18">
        <v>3</v>
      </c>
      <c r="AJ428" s="18">
        <v>15.56</v>
      </c>
      <c r="AK428" s="18">
        <v>3</v>
      </c>
      <c r="AL428" s="18">
        <v>15.56</v>
      </c>
      <c r="AM428" s="18">
        <v>1</v>
      </c>
      <c r="AN428" s="18">
        <v>46.69</v>
      </c>
      <c r="AO428" s="18">
        <v>0.01852</v>
      </c>
      <c r="AP428" s="18">
        <v>23.35</v>
      </c>
      <c r="AQ428" s="18">
        <v>0</v>
      </c>
      <c r="AR428" s="18">
        <v>0</v>
      </c>
      <c r="AS428" s="18">
        <v>1</v>
      </c>
      <c r="AT428" s="18">
        <v>0</v>
      </c>
      <c r="AU428" s="18">
        <v>0</v>
      </c>
      <c r="AV428" s="18">
        <v>0</v>
      </c>
      <c r="AW428" s="18">
        <v>0</v>
      </c>
      <c r="AX428" s="18">
        <v>1</v>
      </c>
      <c r="AY428" s="18">
        <v>123</v>
      </c>
      <c r="AZ428" s="18">
        <v>55</v>
      </c>
      <c r="BA428" s="18">
        <v>30</v>
      </c>
      <c r="BB428" s="18">
        <v>0.54545</v>
      </c>
      <c r="BC428" s="18">
        <v>0</v>
      </c>
      <c r="BD428" s="18">
        <v>0</v>
      </c>
      <c r="BE428" s="18">
        <v>0.08773</v>
      </c>
      <c r="BF428" s="18">
        <v>52</v>
      </c>
      <c r="BG428" s="18">
        <v>2</v>
      </c>
      <c r="BH428" s="18">
        <v>0</v>
      </c>
      <c r="BI428" s="18"/>
      <c r="BJ428" s="18">
        <v>0</v>
      </c>
      <c r="BK428" s="18">
        <v>0</v>
      </c>
      <c r="BL428" s="18">
        <v>0</v>
      </c>
      <c r="BM428" s="18">
        <v>0</v>
      </c>
      <c r="BN428" s="18"/>
      <c r="BO428" s="18"/>
      <c r="BP428" s="18">
        <v>71.22</v>
      </c>
      <c r="BQ428" s="18">
        <v>130</v>
      </c>
      <c r="BR428" s="18">
        <v>0</v>
      </c>
      <c r="BS428" s="18">
        <v>0</v>
      </c>
      <c r="BT428" s="18">
        <v>0</v>
      </c>
      <c r="BU428" s="18">
        <v>0</v>
      </c>
      <c r="BV428" s="18">
        <v>0</v>
      </c>
      <c r="BW428" s="18">
        <v>0</v>
      </c>
      <c r="BX428" s="18">
        <v>0</v>
      </c>
    </row>
    <row r="429" spans="1:76">
      <c r="A429" s="14" t="str">
        <f>VLOOKUP(C429,VLOOKUP!A:B,2,FALSE)</f>
        <v>荔枝香</v>
      </c>
      <c r="B429" s="19">
        <v>46193</v>
      </c>
      <c r="C429" s="20">
        <v>960406497157</v>
      </c>
      <c r="D429" s="18" t="s">
        <v>151</v>
      </c>
      <c r="E429" s="18" t="s">
        <v>165</v>
      </c>
      <c r="F429" s="18">
        <v>2614</v>
      </c>
      <c r="G429" s="18">
        <v>252</v>
      </c>
      <c r="H429" s="18">
        <v>102.52</v>
      </c>
      <c r="I429" s="18">
        <v>0.0964</v>
      </c>
      <c r="J429" s="18">
        <v>0.41</v>
      </c>
      <c r="K429" s="18">
        <v>39.22</v>
      </c>
      <c r="L429" s="18">
        <v>0</v>
      </c>
      <c r="M429" s="18">
        <v>0</v>
      </c>
      <c r="N429" s="18">
        <v>0</v>
      </c>
      <c r="O429" s="18">
        <v>0</v>
      </c>
      <c r="P429" s="18">
        <v>0</v>
      </c>
      <c r="Q429" s="18">
        <v>0</v>
      </c>
      <c r="R429" s="18">
        <v>0</v>
      </c>
      <c r="S429" s="18">
        <v>0</v>
      </c>
      <c r="T429" s="18">
        <v>0</v>
      </c>
      <c r="U429" s="18">
        <v>0</v>
      </c>
      <c r="V429" s="18">
        <v>0</v>
      </c>
      <c r="W429" s="18">
        <v>0</v>
      </c>
      <c r="X429" s="18">
        <v>0</v>
      </c>
      <c r="Y429" s="18">
        <v>0</v>
      </c>
      <c r="Z429" s="18">
        <v>0</v>
      </c>
      <c r="AA429" s="18"/>
      <c r="AB429" s="18">
        <v>6</v>
      </c>
      <c r="AC429" s="18">
        <v>6</v>
      </c>
      <c r="AD429" s="18">
        <v>0</v>
      </c>
      <c r="AE429" s="18">
        <v>0.02381</v>
      </c>
      <c r="AF429" s="18">
        <v>4</v>
      </c>
      <c r="AG429" s="18">
        <v>0</v>
      </c>
      <c r="AH429" s="18"/>
      <c r="AI429" s="18">
        <v>10</v>
      </c>
      <c r="AJ429" s="18">
        <v>10.25</v>
      </c>
      <c r="AK429" s="18">
        <v>10</v>
      </c>
      <c r="AL429" s="18">
        <v>10.25</v>
      </c>
      <c r="AM429" s="18">
        <v>4</v>
      </c>
      <c r="AN429" s="18">
        <v>25.63</v>
      </c>
      <c r="AO429" s="18">
        <v>0.01587</v>
      </c>
      <c r="AP429" s="18">
        <v>17.09</v>
      </c>
      <c r="AQ429" s="18">
        <v>2</v>
      </c>
      <c r="AR429" s="18">
        <v>1999</v>
      </c>
      <c r="AS429" s="18">
        <v>4</v>
      </c>
      <c r="AT429" s="18">
        <v>0</v>
      </c>
      <c r="AU429" s="18">
        <v>0</v>
      </c>
      <c r="AV429" s="18">
        <v>0</v>
      </c>
      <c r="AW429" s="18">
        <v>0</v>
      </c>
      <c r="AX429" s="18">
        <v>0</v>
      </c>
      <c r="AY429" s="18">
        <v>463</v>
      </c>
      <c r="AZ429" s="18">
        <v>237</v>
      </c>
      <c r="BA429" s="18">
        <v>196</v>
      </c>
      <c r="BB429" s="18">
        <v>0.827</v>
      </c>
      <c r="BC429" s="18">
        <v>0</v>
      </c>
      <c r="BD429" s="18">
        <v>0</v>
      </c>
      <c r="BE429" s="18">
        <v>0.17712</v>
      </c>
      <c r="BF429" s="18">
        <v>137</v>
      </c>
      <c r="BG429" s="18">
        <v>2</v>
      </c>
      <c r="BH429" s="18">
        <v>0</v>
      </c>
      <c r="BI429" s="18"/>
      <c r="BJ429" s="18">
        <v>0</v>
      </c>
      <c r="BK429" s="18">
        <v>0</v>
      </c>
      <c r="BL429" s="18">
        <v>0</v>
      </c>
      <c r="BM429" s="18">
        <v>0</v>
      </c>
      <c r="BN429" s="18"/>
      <c r="BO429" s="18"/>
      <c r="BP429" s="18">
        <v>0</v>
      </c>
      <c r="BQ429" s="18">
        <v>249</v>
      </c>
      <c r="BR429" s="18">
        <v>0</v>
      </c>
      <c r="BS429" s="18">
        <v>0</v>
      </c>
      <c r="BT429" s="18">
        <v>0</v>
      </c>
      <c r="BU429" s="18">
        <v>0</v>
      </c>
      <c r="BV429" s="18">
        <v>0</v>
      </c>
      <c r="BW429" s="18">
        <v>0</v>
      </c>
      <c r="BX429" s="18">
        <v>0</v>
      </c>
    </row>
    <row r="430" spans="1:76">
      <c r="A430" s="14" t="str">
        <f>VLOOKUP(C430,VLOOKUP!A:B,2,FALSE)</f>
        <v>如意盘香</v>
      </c>
      <c r="B430" s="19">
        <v>46193</v>
      </c>
      <c r="C430" s="20">
        <v>838711327669</v>
      </c>
      <c r="D430" s="18" t="s">
        <v>151</v>
      </c>
      <c r="E430" s="18" t="s">
        <v>166</v>
      </c>
      <c r="F430" s="18">
        <v>612</v>
      </c>
      <c r="G430" s="18">
        <v>36</v>
      </c>
      <c r="H430" s="18">
        <v>50</v>
      </c>
      <c r="I430" s="18">
        <v>0.05882</v>
      </c>
      <c r="J430" s="18">
        <v>1.39</v>
      </c>
      <c r="K430" s="18">
        <v>81.7</v>
      </c>
      <c r="L430" s="18">
        <v>0</v>
      </c>
      <c r="M430" s="18">
        <v>0</v>
      </c>
      <c r="N430" s="18">
        <v>0</v>
      </c>
      <c r="O430" s="18">
        <v>0</v>
      </c>
      <c r="P430" s="18">
        <v>0</v>
      </c>
      <c r="Q430" s="18">
        <v>0</v>
      </c>
      <c r="R430" s="18">
        <v>0</v>
      </c>
      <c r="S430" s="18">
        <v>66.3</v>
      </c>
      <c r="T430" s="18">
        <v>66.3</v>
      </c>
      <c r="U430" s="18">
        <v>1</v>
      </c>
      <c r="V430" s="18">
        <v>0</v>
      </c>
      <c r="W430" s="18">
        <v>1</v>
      </c>
      <c r="X430" s="18">
        <v>0.02778</v>
      </c>
      <c r="Y430" s="18">
        <v>1.33</v>
      </c>
      <c r="Z430" s="18">
        <v>1.33</v>
      </c>
      <c r="AA430" s="18">
        <v>50</v>
      </c>
      <c r="AB430" s="18">
        <v>8</v>
      </c>
      <c r="AC430" s="18">
        <v>1</v>
      </c>
      <c r="AD430" s="18">
        <v>7</v>
      </c>
      <c r="AE430" s="18">
        <v>0.22222</v>
      </c>
      <c r="AF430" s="18">
        <v>2</v>
      </c>
      <c r="AG430" s="18">
        <v>2</v>
      </c>
      <c r="AH430" s="18">
        <v>25</v>
      </c>
      <c r="AI430" s="18">
        <v>12</v>
      </c>
      <c r="AJ430" s="18">
        <v>4.17</v>
      </c>
      <c r="AK430" s="18">
        <v>10</v>
      </c>
      <c r="AL430" s="18">
        <v>5</v>
      </c>
      <c r="AM430" s="18">
        <v>4</v>
      </c>
      <c r="AN430" s="18">
        <v>25</v>
      </c>
      <c r="AO430" s="18">
        <v>0.05556</v>
      </c>
      <c r="AP430" s="18">
        <v>6.25</v>
      </c>
      <c r="AQ430" s="18">
        <v>1</v>
      </c>
      <c r="AR430" s="18">
        <v>78</v>
      </c>
      <c r="AS430" s="18">
        <v>1</v>
      </c>
      <c r="AT430" s="18">
        <v>1</v>
      </c>
      <c r="AU430" s="18">
        <v>0</v>
      </c>
      <c r="AV430" s="18">
        <v>0</v>
      </c>
      <c r="AW430" s="18">
        <v>0</v>
      </c>
      <c r="AX430" s="18">
        <v>0</v>
      </c>
      <c r="AY430" s="18">
        <v>122</v>
      </c>
      <c r="AZ430" s="18">
        <v>29</v>
      </c>
      <c r="BA430" s="18">
        <v>22</v>
      </c>
      <c r="BB430" s="18">
        <v>0.75862</v>
      </c>
      <c r="BC430" s="18">
        <v>0</v>
      </c>
      <c r="BD430" s="18">
        <v>0</v>
      </c>
      <c r="BE430" s="18">
        <v>0.19935</v>
      </c>
      <c r="BF430" s="18">
        <v>86</v>
      </c>
      <c r="BG430" s="18">
        <v>4</v>
      </c>
      <c r="BH430" s="18">
        <v>1</v>
      </c>
      <c r="BI430" s="18">
        <v>1</v>
      </c>
      <c r="BJ430" s="18">
        <v>0</v>
      </c>
      <c r="BK430" s="18">
        <v>0</v>
      </c>
      <c r="BL430" s="18">
        <v>0</v>
      </c>
      <c r="BM430" s="18">
        <v>1</v>
      </c>
      <c r="BN430" s="18">
        <v>1</v>
      </c>
      <c r="BO430" s="18">
        <v>66.3</v>
      </c>
      <c r="BP430" s="18">
        <v>0</v>
      </c>
      <c r="BQ430" s="18">
        <v>97</v>
      </c>
      <c r="BR430" s="18">
        <v>0</v>
      </c>
      <c r="BS430" s="18">
        <v>0</v>
      </c>
      <c r="BT430" s="18">
        <v>0</v>
      </c>
      <c r="BU430" s="18">
        <v>0</v>
      </c>
      <c r="BV430" s="18">
        <v>0</v>
      </c>
      <c r="BW430" s="18">
        <v>0</v>
      </c>
      <c r="BX430" s="18">
        <v>0</v>
      </c>
    </row>
    <row r="431" spans="1:76">
      <c r="A431" s="14" t="str">
        <f>VLOOKUP(C431,VLOOKUP!A:B,2,FALSE)</f>
        <v>太樾归真</v>
      </c>
      <c r="B431" s="19">
        <v>46192</v>
      </c>
      <c r="C431" s="20">
        <v>1051919021880</v>
      </c>
      <c r="D431" s="18" t="s">
        <v>151</v>
      </c>
      <c r="E431" s="18" t="s">
        <v>163</v>
      </c>
      <c r="F431" s="18">
        <v>846</v>
      </c>
      <c r="G431" s="18">
        <v>56</v>
      </c>
      <c r="H431" s="18">
        <v>37.1</v>
      </c>
      <c r="I431" s="18">
        <v>0.06619</v>
      </c>
      <c r="J431" s="18">
        <v>0.66</v>
      </c>
      <c r="K431" s="18">
        <v>43.85</v>
      </c>
      <c r="L431" s="18">
        <v>0</v>
      </c>
      <c r="M431" s="18">
        <v>0</v>
      </c>
      <c r="N431" s="18">
        <v>0</v>
      </c>
      <c r="O431" s="18">
        <v>0</v>
      </c>
      <c r="P431" s="18">
        <v>0</v>
      </c>
      <c r="Q431" s="18">
        <v>0</v>
      </c>
      <c r="R431" s="18">
        <v>0</v>
      </c>
      <c r="S431" s="18">
        <v>0</v>
      </c>
      <c r="T431" s="18">
        <v>0</v>
      </c>
      <c r="U431" s="18">
        <v>0</v>
      </c>
      <c r="V431" s="18">
        <v>0</v>
      </c>
      <c r="W431" s="18">
        <v>0</v>
      </c>
      <c r="X431" s="18">
        <v>0</v>
      </c>
      <c r="Y431" s="18">
        <v>0</v>
      </c>
      <c r="Z431" s="18">
        <v>0</v>
      </c>
      <c r="AA431" s="18"/>
      <c r="AB431" s="18">
        <v>0</v>
      </c>
      <c r="AC431" s="18">
        <v>0</v>
      </c>
      <c r="AD431" s="18">
        <v>0</v>
      </c>
      <c r="AE431" s="18">
        <v>0</v>
      </c>
      <c r="AF431" s="18">
        <v>0</v>
      </c>
      <c r="AG431" s="18">
        <v>0</v>
      </c>
      <c r="AH431" s="18"/>
      <c r="AI431" s="18">
        <v>0</v>
      </c>
      <c r="AJ431" s="18"/>
      <c r="AK431" s="18">
        <v>0</v>
      </c>
      <c r="AL431" s="18"/>
      <c r="AM431" s="18">
        <v>0</v>
      </c>
      <c r="AN431" s="18"/>
      <c r="AO431" s="18">
        <v>0</v>
      </c>
      <c r="AP431" s="18"/>
      <c r="AQ431" s="18">
        <v>0</v>
      </c>
      <c r="AR431" s="18">
        <v>0</v>
      </c>
      <c r="AS431" s="18">
        <v>0</v>
      </c>
      <c r="AT431" s="18">
        <v>0</v>
      </c>
      <c r="AU431" s="18">
        <v>0</v>
      </c>
      <c r="AV431" s="18">
        <v>0</v>
      </c>
      <c r="AW431" s="18">
        <v>0</v>
      </c>
      <c r="AX431" s="18">
        <v>0</v>
      </c>
      <c r="AY431" s="18">
        <v>62</v>
      </c>
      <c r="AZ431" s="18">
        <v>34</v>
      </c>
      <c r="BA431" s="18">
        <v>25</v>
      </c>
      <c r="BB431" s="18">
        <v>0.73529</v>
      </c>
      <c r="BC431" s="18">
        <v>0</v>
      </c>
      <c r="BD431" s="18">
        <v>0</v>
      </c>
      <c r="BE431" s="18">
        <v>0.07329</v>
      </c>
      <c r="BF431" s="18">
        <v>4</v>
      </c>
      <c r="BG431" s="18">
        <v>2</v>
      </c>
      <c r="BH431" s="18">
        <v>0</v>
      </c>
      <c r="BI431" s="18"/>
      <c r="BJ431" s="18">
        <v>0</v>
      </c>
      <c r="BK431" s="18">
        <v>0</v>
      </c>
      <c r="BL431" s="18">
        <v>0</v>
      </c>
      <c r="BM431" s="18">
        <v>0</v>
      </c>
      <c r="BN431" s="18"/>
      <c r="BO431" s="18"/>
      <c r="BP431" s="18">
        <v>0</v>
      </c>
      <c r="BQ431" s="18">
        <v>0</v>
      </c>
      <c r="BR431" s="18">
        <v>0</v>
      </c>
      <c r="BS431" s="18">
        <v>0</v>
      </c>
      <c r="BT431" s="18">
        <v>0</v>
      </c>
      <c r="BU431" s="18">
        <v>0</v>
      </c>
      <c r="BV431" s="18">
        <v>0</v>
      </c>
      <c r="BW431" s="18">
        <v>0</v>
      </c>
      <c r="BX431" s="18">
        <v>0</v>
      </c>
    </row>
    <row r="432" spans="1:76">
      <c r="A432" s="14" t="str">
        <f>VLOOKUP(C432,VLOOKUP!A:B,2,FALSE)</f>
        <v>早晚安香</v>
      </c>
      <c r="B432" s="19">
        <v>46192</v>
      </c>
      <c r="C432" s="20">
        <v>1010789122929</v>
      </c>
      <c r="D432" s="18" t="s">
        <v>151</v>
      </c>
      <c r="E432" s="18" t="s">
        <v>164</v>
      </c>
      <c r="F432" s="18">
        <v>1416</v>
      </c>
      <c r="G432" s="18">
        <v>58</v>
      </c>
      <c r="H432" s="18">
        <v>47.73</v>
      </c>
      <c r="I432" s="18">
        <v>0.04096</v>
      </c>
      <c r="J432" s="18">
        <v>0.82</v>
      </c>
      <c r="K432" s="18">
        <v>33.71</v>
      </c>
      <c r="L432" s="18">
        <v>0</v>
      </c>
      <c r="M432" s="18">
        <v>0</v>
      </c>
      <c r="N432" s="18">
        <v>0</v>
      </c>
      <c r="O432" s="18">
        <v>0</v>
      </c>
      <c r="P432" s="18">
        <v>0</v>
      </c>
      <c r="Q432" s="18">
        <v>0</v>
      </c>
      <c r="R432" s="18">
        <v>0</v>
      </c>
      <c r="S432" s="18">
        <v>0</v>
      </c>
      <c r="T432" s="18">
        <v>0</v>
      </c>
      <c r="U432" s="18">
        <v>0</v>
      </c>
      <c r="V432" s="18">
        <v>0</v>
      </c>
      <c r="W432" s="18">
        <v>0</v>
      </c>
      <c r="X432" s="18">
        <v>0</v>
      </c>
      <c r="Y432" s="18">
        <v>0</v>
      </c>
      <c r="Z432" s="18">
        <v>0</v>
      </c>
      <c r="AA432" s="18"/>
      <c r="AB432" s="18">
        <v>4</v>
      </c>
      <c r="AC432" s="18">
        <v>2</v>
      </c>
      <c r="AD432" s="18">
        <v>2</v>
      </c>
      <c r="AE432" s="18">
        <v>0.06897</v>
      </c>
      <c r="AF432" s="18">
        <v>2</v>
      </c>
      <c r="AG432" s="18">
        <v>1</v>
      </c>
      <c r="AH432" s="18">
        <v>47.73</v>
      </c>
      <c r="AI432" s="18">
        <v>7</v>
      </c>
      <c r="AJ432" s="18">
        <v>6.82</v>
      </c>
      <c r="AK432" s="18">
        <v>6</v>
      </c>
      <c r="AL432" s="18">
        <v>7.96</v>
      </c>
      <c r="AM432" s="18">
        <v>3</v>
      </c>
      <c r="AN432" s="18">
        <v>23.87</v>
      </c>
      <c r="AO432" s="18">
        <v>0.03448</v>
      </c>
      <c r="AP432" s="18">
        <v>11.93</v>
      </c>
      <c r="AQ432" s="18">
        <v>0</v>
      </c>
      <c r="AR432" s="18">
        <v>0</v>
      </c>
      <c r="AS432" s="18">
        <v>2</v>
      </c>
      <c r="AT432" s="18">
        <v>0</v>
      </c>
      <c r="AU432" s="18">
        <v>0</v>
      </c>
      <c r="AV432" s="18">
        <v>0</v>
      </c>
      <c r="AW432" s="18">
        <v>0</v>
      </c>
      <c r="AX432" s="18">
        <v>0</v>
      </c>
      <c r="AY432" s="18">
        <v>130</v>
      </c>
      <c r="AZ432" s="18">
        <v>54</v>
      </c>
      <c r="BA432" s="18">
        <v>39</v>
      </c>
      <c r="BB432" s="18">
        <v>0.72222</v>
      </c>
      <c r="BC432" s="18">
        <v>0</v>
      </c>
      <c r="BD432" s="18">
        <v>0</v>
      </c>
      <c r="BE432" s="18">
        <v>0.09181</v>
      </c>
      <c r="BF432" s="18">
        <v>66</v>
      </c>
      <c r="BG432" s="18">
        <v>2</v>
      </c>
      <c r="BH432" s="18">
        <v>0</v>
      </c>
      <c r="BI432" s="18"/>
      <c r="BJ432" s="18">
        <v>0</v>
      </c>
      <c r="BK432" s="18">
        <v>0</v>
      </c>
      <c r="BL432" s="18">
        <v>0</v>
      </c>
      <c r="BM432" s="18">
        <v>0</v>
      </c>
      <c r="BN432" s="18"/>
      <c r="BO432" s="18"/>
      <c r="BP432" s="18">
        <v>7.61</v>
      </c>
      <c r="BQ432" s="18">
        <v>216</v>
      </c>
      <c r="BR432" s="18">
        <v>0</v>
      </c>
      <c r="BS432" s="18">
        <v>0</v>
      </c>
      <c r="BT432" s="18">
        <v>0</v>
      </c>
      <c r="BU432" s="18">
        <v>0</v>
      </c>
      <c r="BV432" s="18">
        <v>0</v>
      </c>
      <c r="BW432" s="18">
        <v>0</v>
      </c>
      <c r="BX432" s="18">
        <v>0</v>
      </c>
    </row>
    <row r="433" spans="1:76">
      <c r="A433" s="14" t="str">
        <f>VLOOKUP(C433,VLOOKUP!A:B,2,FALSE)</f>
        <v>荔枝香</v>
      </c>
      <c r="B433" s="19">
        <v>46192</v>
      </c>
      <c r="C433" s="20">
        <v>960406497157</v>
      </c>
      <c r="D433" s="18" t="s">
        <v>151</v>
      </c>
      <c r="E433" s="18" t="s">
        <v>165</v>
      </c>
      <c r="F433" s="18">
        <v>2501</v>
      </c>
      <c r="G433" s="18">
        <v>247</v>
      </c>
      <c r="H433" s="18">
        <v>98.28</v>
      </c>
      <c r="I433" s="18">
        <v>0.09876</v>
      </c>
      <c r="J433" s="18">
        <v>0.4</v>
      </c>
      <c r="K433" s="18">
        <v>39.3</v>
      </c>
      <c r="L433" s="18">
        <v>0</v>
      </c>
      <c r="M433" s="18">
        <v>0</v>
      </c>
      <c r="N433" s="18">
        <v>0</v>
      </c>
      <c r="O433" s="18">
        <v>0</v>
      </c>
      <c r="P433" s="18">
        <v>0</v>
      </c>
      <c r="Q433" s="18">
        <v>0</v>
      </c>
      <c r="R433" s="18">
        <v>0</v>
      </c>
      <c r="S433" s="18">
        <v>0</v>
      </c>
      <c r="T433" s="18">
        <v>0</v>
      </c>
      <c r="U433" s="18">
        <v>0</v>
      </c>
      <c r="V433" s="18">
        <v>0</v>
      </c>
      <c r="W433" s="18">
        <v>0</v>
      </c>
      <c r="X433" s="18">
        <v>0</v>
      </c>
      <c r="Y433" s="18">
        <v>0</v>
      </c>
      <c r="Z433" s="18">
        <v>0</v>
      </c>
      <c r="AA433" s="18"/>
      <c r="AB433" s="18">
        <v>8</v>
      </c>
      <c r="AC433" s="18">
        <v>6</v>
      </c>
      <c r="AD433" s="18">
        <v>2</v>
      </c>
      <c r="AE433" s="18">
        <v>0.03239</v>
      </c>
      <c r="AF433" s="18">
        <v>4</v>
      </c>
      <c r="AG433" s="18">
        <v>5</v>
      </c>
      <c r="AH433" s="18">
        <v>19.66</v>
      </c>
      <c r="AI433" s="18">
        <v>17</v>
      </c>
      <c r="AJ433" s="18">
        <v>5.78</v>
      </c>
      <c r="AK433" s="18">
        <v>12</v>
      </c>
      <c r="AL433" s="18">
        <v>8.19</v>
      </c>
      <c r="AM433" s="18">
        <v>9</v>
      </c>
      <c r="AN433" s="18">
        <v>24.57</v>
      </c>
      <c r="AO433" s="18">
        <v>0.01619</v>
      </c>
      <c r="AP433" s="18">
        <v>12.29</v>
      </c>
      <c r="AQ433" s="18">
        <v>0</v>
      </c>
      <c r="AR433" s="18">
        <v>0</v>
      </c>
      <c r="AS433" s="18">
        <v>4</v>
      </c>
      <c r="AT433" s="18">
        <v>0</v>
      </c>
      <c r="AU433" s="18">
        <v>0</v>
      </c>
      <c r="AV433" s="18">
        <v>0</v>
      </c>
      <c r="AW433" s="18">
        <v>0</v>
      </c>
      <c r="AX433" s="18">
        <v>1</v>
      </c>
      <c r="AY433" s="18">
        <v>421</v>
      </c>
      <c r="AZ433" s="18">
        <v>225</v>
      </c>
      <c r="BA433" s="18">
        <v>183</v>
      </c>
      <c r="BB433" s="18">
        <v>0.81333</v>
      </c>
      <c r="BC433" s="18">
        <v>0</v>
      </c>
      <c r="BD433" s="18">
        <v>0</v>
      </c>
      <c r="BE433" s="18">
        <v>0.16833</v>
      </c>
      <c r="BF433" s="18">
        <v>99</v>
      </c>
      <c r="BG433" s="18">
        <v>2</v>
      </c>
      <c r="BH433" s="18">
        <v>0</v>
      </c>
      <c r="BI433" s="18"/>
      <c r="BJ433" s="18">
        <v>0</v>
      </c>
      <c r="BK433" s="18">
        <v>0</v>
      </c>
      <c r="BL433" s="18">
        <v>0</v>
      </c>
      <c r="BM433" s="18">
        <v>0</v>
      </c>
      <c r="BN433" s="18"/>
      <c r="BO433" s="18"/>
      <c r="BP433" s="18">
        <v>0</v>
      </c>
      <c r="BQ433" s="18">
        <v>115</v>
      </c>
      <c r="BR433" s="18">
        <v>0</v>
      </c>
      <c r="BS433" s="18">
        <v>0</v>
      </c>
      <c r="BT433" s="18">
        <v>0</v>
      </c>
      <c r="BU433" s="18">
        <v>0</v>
      </c>
      <c r="BV433" s="18">
        <v>0</v>
      </c>
      <c r="BW433" s="18">
        <v>0</v>
      </c>
      <c r="BX433" s="18">
        <v>0</v>
      </c>
    </row>
    <row r="434" spans="1:76">
      <c r="A434" s="14" t="str">
        <f>VLOOKUP(C434,VLOOKUP!A:B,2,FALSE)</f>
        <v>如意盘香</v>
      </c>
      <c r="B434" s="19">
        <v>46192</v>
      </c>
      <c r="C434" s="20">
        <v>838711327669</v>
      </c>
      <c r="D434" s="18" t="s">
        <v>151</v>
      </c>
      <c r="E434" s="18" t="s">
        <v>166</v>
      </c>
      <c r="F434" s="18">
        <v>503</v>
      </c>
      <c r="G434" s="18">
        <v>20</v>
      </c>
      <c r="H434" s="18">
        <v>50</v>
      </c>
      <c r="I434" s="18">
        <v>0.03976</v>
      </c>
      <c r="J434" s="18">
        <v>2.5</v>
      </c>
      <c r="K434" s="18">
        <v>99.4</v>
      </c>
      <c r="L434" s="18">
        <v>0</v>
      </c>
      <c r="M434" s="18">
        <v>0</v>
      </c>
      <c r="N434" s="18">
        <v>0</v>
      </c>
      <c r="O434" s="18">
        <v>0</v>
      </c>
      <c r="P434" s="18">
        <v>0</v>
      </c>
      <c r="Q434" s="18">
        <v>0</v>
      </c>
      <c r="R434" s="18">
        <v>470.64</v>
      </c>
      <c r="S434" s="18">
        <v>0</v>
      </c>
      <c r="T434" s="18">
        <v>470.64</v>
      </c>
      <c r="U434" s="18">
        <v>2</v>
      </c>
      <c r="V434" s="18">
        <v>2</v>
      </c>
      <c r="W434" s="18">
        <v>0</v>
      </c>
      <c r="X434" s="18">
        <v>0.1</v>
      </c>
      <c r="Y434" s="18">
        <v>9.41</v>
      </c>
      <c r="Z434" s="18">
        <v>9.41</v>
      </c>
      <c r="AA434" s="18">
        <v>25</v>
      </c>
      <c r="AB434" s="18">
        <v>4</v>
      </c>
      <c r="AC434" s="18">
        <v>3</v>
      </c>
      <c r="AD434" s="18">
        <v>1</v>
      </c>
      <c r="AE434" s="18">
        <v>0.2</v>
      </c>
      <c r="AF434" s="18">
        <v>0</v>
      </c>
      <c r="AG434" s="18">
        <v>0</v>
      </c>
      <c r="AH434" s="18"/>
      <c r="AI434" s="18">
        <v>4</v>
      </c>
      <c r="AJ434" s="18">
        <v>12.5</v>
      </c>
      <c r="AK434" s="18">
        <v>4</v>
      </c>
      <c r="AL434" s="18">
        <v>12.5</v>
      </c>
      <c r="AM434" s="18">
        <v>0</v>
      </c>
      <c r="AN434" s="18"/>
      <c r="AO434" s="18">
        <v>0</v>
      </c>
      <c r="AP434" s="18">
        <v>12.5</v>
      </c>
      <c r="AQ434" s="18">
        <v>3</v>
      </c>
      <c r="AR434" s="18">
        <v>609.9</v>
      </c>
      <c r="AS434" s="18">
        <v>0</v>
      </c>
      <c r="AT434" s="18">
        <v>0</v>
      </c>
      <c r="AU434" s="18">
        <v>0</v>
      </c>
      <c r="AV434" s="18">
        <v>0</v>
      </c>
      <c r="AW434" s="18">
        <v>0</v>
      </c>
      <c r="AX434" s="18">
        <v>1</v>
      </c>
      <c r="AY434" s="18">
        <v>58</v>
      </c>
      <c r="AZ434" s="18">
        <v>17</v>
      </c>
      <c r="BA434" s="18">
        <v>9</v>
      </c>
      <c r="BB434" s="18">
        <v>0.52941</v>
      </c>
      <c r="BC434" s="18">
        <v>0</v>
      </c>
      <c r="BD434" s="18">
        <v>0</v>
      </c>
      <c r="BE434" s="18">
        <v>0.11531</v>
      </c>
      <c r="BF434" s="18">
        <v>38</v>
      </c>
      <c r="BG434" s="18">
        <v>3</v>
      </c>
      <c r="BH434" s="18">
        <v>0</v>
      </c>
      <c r="BI434" s="18">
        <v>0</v>
      </c>
      <c r="BJ434" s="18">
        <v>0</v>
      </c>
      <c r="BK434" s="18">
        <v>0</v>
      </c>
      <c r="BL434" s="18">
        <v>0</v>
      </c>
      <c r="BM434" s="18">
        <v>2</v>
      </c>
      <c r="BN434" s="18">
        <v>1</v>
      </c>
      <c r="BO434" s="18">
        <v>235.32</v>
      </c>
      <c r="BP434" s="18">
        <v>0</v>
      </c>
      <c r="BQ434" s="18">
        <v>201</v>
      </c>
      <c r="BR434" s="18">
        <v>0</v>
      </c>
      <c r="BS434" s="18">
        <v>0</v>
      </c>
      <c r="BT434" s="18">
        <v>0</v>
      </c>
      <c r="BU434" s="18">
        <v>0</v>
      </c>
      <c r="BV434" s="18">
        <v>0</v>
      </c>
      <c r="BW434" s="18">
        <v>0</v>
      </c>
      <c r="BX434" s="18">
        <v>0</v>
      </c>
    </row>
    <row r="435" spans="1:76">
      <c r="A435" s="14" t="str">
        <f>VLOOKUP(C435,VLOOKUP!A:B,2,FALSE)</f>
        <v>太樾归真</v>
      </c>
      <c r="B435" s="19">
        <v>46191</v>
      </c>
      <c r="C435" s="20">
        <v>1051919021880</v>
      </c>
      <c r="D435" s="18" t="s">
        <v>151</v>
      </c>
      <c r="E435" s="18" t="s">
        <v>163</v>
      </c>
      <c r="F435" s="18">
        <v>1062</v>
      </c>
      <c r="G435" s="18">
        <v>49</v>
      </c>
      <c r="H435" s="18">
        <v>34.01</v>
      </c>
      <c r="I435" s="18">
        <v>0.04614</v>
      </c>
      <c r="J435" s="18">
        <v>0.69</v>
      </c>
      <c r="K435" s="18">
        <v>32.02</v>
      </c>
      <c r="L435" s="18">
        <v>0</v>
      </c>
      <c r="M435" s="18">
        <v>0</v>
      </c>
      <c r="N435" s="18">
        <v>0</v>
      </c>
      <c r="O435" s="18">
        <v>0</v>
      </c>
      <c r="P435" s="18">
        <v>0</v>
      </c>
      <c r="Q435" s="18">
        <v>0</v>
      </c>
      <c r="R435" s="18">
        <v>74.92</v>
      </c>
      <c r="S435" s="18">
        <v>0</v>
      </c>
      <c r="T435" s="18">
        <v>74.92</v>
      </c>
      <c r="U435" s="18">
        <v>2</v>
      </c>
      <c r="V435" s="18">
        <v>2</v>
      </c>
      <c r="W435" s="18">
        <v>0</v>
      </c>
      <c r="X435" s="18">
        <v>0.04082</v>
      </c>
      <c r="Y435" s="18">
        <v>2.2</v>
      </c>
      <c r="Z435" s="18">
        <v>2.2</v>
      </c>
      <c r="AA435" s="18">
        <v>17.01</v>
      </c>
      <c r="AB435" s="18">
        <v>3</v>
      </c>
      <c r="AC435" s="18">
        <v>3</v>
      </c>
      <c r="AD435" s="18">
        <v>0</v>
      </c>
      <c r="AE435" s="18">
        <v>0.06122</v>
      </c>
      <c r="AF435" s="18">
        <v>0</v>
      </c>
      <c r="AG435" s="18">
        <v>1</v>
      </c>
      <c r="AH435" s="18">
        <v>34.01</v>
      </c>
      <c r="AI435" s="18">
        <v>4</v>
      </c>
      <c r="AJ435" s="18">
        <v>8.5</v>
      </c>
      <c r="AK435" s="18">
        <v>3</v>
      </c>
      <c r="AL435" s="18">
        <v>11.34</v>
      </c>
      <c r="AM435" s="18">
        <v>1</v>
      </c>
      <c r="AN435" s="18"/>
      <c r="AO435" s="18">
        <v>0</v>
      </c>
      <c r="AP435" s="18">
        <v>11.34</v>
      </c>
      <c r="AQ435" s="18">
        <v>2</v>
      </c>
      <c r="AR435" s="18">
        <v>93.8</v>
      </c>
      <c r="AS435" s="18">
        <v>0</v>
      </c>
      <c r="AT435" s="18">
        <v>0</v>
      </c>
      <c r="AU435" s="18">
        <v>0</v>
      </c>
      <c r="AV435" s="18">
        <v>0</v>
      </c>
      <c r="AW435" s="18">
        <v>0</v>
      </c>
      <c r="AX435" s="18">
        <v>0</v>
      </c>
      <c r="AY435" s="18">
        <v>81</v>
      </c>
      <c r="AZ435" s="18">
        <v>40</v>
      </c>
      <c r="BA435" s="18">
        <v>32</v>
      </c>
      <c r="BB435" s="18">
        <v>0.8</v>
      </c>
      <c r="BC435" s="18">
        <v>0</v>
      </c>
      <c r="BD435" s="18">
        <v>0</v>
      </c>
      <c r="BE435" s="18">
        <v>0.07627</v>
      </c>
      <c r="BF435" s="18">
        <v>23</v>
      </c>
      <c r="BG435" s="18">
        <v>2</v>
      </c>
      <c r="BH435" s="18">
        <v>0</v>
      </c>
      <c r="BI435" s="18">
        <v>0</v>
      </c>
      <c r="BJ435" s="18">
        <v>0</v>
      </c>
      <c r="BK435" s="18">
        <v>0</v>
      </c>
      <c r="BL435" s="18">
        <v>0</v>
      </c>
      <c r="BM435" s="18">
        <v>1</v>
      </c>
      <c r="BN435" s="18">
        <v>2</v>
      </c>
      <c r="BO435" s="18">
        <v>74.92</v>
      </c>
      <c r="BP435" s="18">
        <v>0</v>
      </c>
      <c r="BQ435" s="18">
        <v>231</v>
      </c>
      <c r="BR435" s="18">
        <v>0</v>
      </c>
      <c r="BS435" s="18">
        <v>0</v>
      </c>
      <c r="BT435" s="18">
        <v>0</v>
      </c>
      <c r="BU435" s="18">
        <v>2</v>
      </c>
      <c r="BV435" s="18">
        <v>74.92</v>
      </c>
      <c r="BW435" s="18">
        <v>1</v>
      </c>
      <c r="BX435" s="18">
        <v>1</v>
      </c>
    </row>
    <row r="436" spans="1:76">
      <c r="A436" s="14" t="str">
        <f>VLOOKUP(C436,VLOOKUP!A:B,2,FALSE)</f>
        <v>早晚安香</v>
      </c>
      <c r="B436" s="19">
        <v>46191</v>
      </c>
      <c r="C436" s="20">
        <v>1010789122929</v>
      </c>
      <c r="D436" s="18" t="s">
        <v>151</v>
      </c>
      <c r="E436" s="18" t="s">
        <v>164</v>
      </c>
      <c r="F436" s="18">
        <v>1891</v>
      </c>
      <c r="G436" s="18">
        <v>75</v>
      </c>
      <c r="H436" s="18">
        <v>66.63</v>
      </c>
      <c r="I436" s="18">
        <v>0.03966</v>
      </c>
      <c r="J436" s="18">
        <v>0.89</v>
      </c>
      <c r="K436" s="18">
        <v>35.24</v>
      </c>
      <c r="L436" s="18">
        <v>0</v>
      </c>
      <c r="M436" s="18">
        <v>0</v>
      </c>
      <c r="N436" s="18">
        <v>0</v>
      </c>
      <c r="O436" s="18">
        <v>0</v>
      </c>
      <c r="P436" s="18">
        <v>0</v>
      </c>
      <c r="Q436" s="18">
        <v>0</v>
      </c>
      <c r="R436" s="18">
        <v>0</v>
      </c>
      <c r="S436" s="18">
        <v>0</v>
      </c>
      <c r="T436" s="18">
        <v>0</v>
      </c>
      <c r="U436" s="18">
        <v>0</v>
      </c>
      <c r="V436" s="18">
        <v>0</v>
      </c>
      <c r="W436" s="18">
        <v>0</v>
      </c>
      <c r="X436" s="18">
        <v>0</v>
      </c>
      <c r="Y436" s="18">
        <v>0</v>
      </c>
      <c r="Z436" s="18">
        <v>0</v>
      </c>
      <c r="AA436" s="18"/>
      <c r="AB436" s="18">
        <v>1</v>
      </c>
      <c r="AC436" s="18">
        <v>1</v>
      </c>
      <c r="AD436" s="18">
        <v>0</v>
      </c>
      <c r="AE436" s="18">
        <v>0.01333</v>
      </c>
      <c r="AF436" s="18">
        <v>1</v>
      </c>
      <c r="AG436" s="18">
        <v>0</v>
      </c>
      <c r="AH436" s="18"/>
      <c r="AI436" s="18">
        <v>2</v>
      </c>
      <c r="AJ436" s="18">
        <v>33.32</v>
      </c>
      <c r="AK436" s="18">
        <v>2</v>
      </c>
      <c r="AL436" s="18">
        <v>33.32</v>
      </c>
      <c r="AM436" s="18">
        <v>1</v>
      </c>
      <c r="AN436" s="18">
        <v>66.63</v>
      </c>
      <c r="AO436" s="18">
        <v>0.01333</v>
      </c>
      <c r="AP436" s="18">
        <v>66.63</v>
      </c>
      <c r="AQ436" s="18">
        <v>0</v>
      </c>
      <c r="AR436" s="18">
        <v>0</v>
      </c>
      <c r="AS436" s="18">
        <v>1</v>
      </c>
      <c r="AT436" s="18">
        <v>0</v>
      </c>
      <c r="AU436" s="18">
        <v>0</v>
      </c>
      <c r="AV436" s="18">
        <v>0</v>
      </c>
      <c r="AW436" s="18">
        <v>0</v>
      </c>
      <c r="AX436" s="18">
        <v>0</v>
      </c>
      <c r="AY436" s="18">
        <v>133</v>
      </c>
      <c r="AZ436" s="18">
        <v>67</v>
      </c>
      <c r="BA436" s="18">
        <v>43</v>
      </c>
      <c r="BB436" s="18">
        <v>0.64179</v>
      </c>
      <c r="BC436" s="18">
        <v>0</v>
      </c>
      <c r="BD436" s="18">
        <v>0</v>
      </c>
      <c r="BE436" s="18">
        <v>0.07033</v>
      </c>
      <c r="BF436" s="18">
        <v>41</v>
      </c>
      <c r="BG436" s="18">
        <v>2</v>
      </c>
      <c r="BH436" s="18">
        <v>0</v>
      </c>
      <c r="BI436" s="18"/>
      <c r="BJ436" s="18">
        <v>0</v>
      </c>
      <c r="BK436" s="18">
        <v>0</v>
      </c>
      <c r="BL436" s="18">
        <v>0</v>
      </c>
      <c r="BM436" s="18">
        <v>0</v>
      </c>
      <c r="BN436" s="18"/>
      <c r="BO436" s="18"/>
      <c r="BP436" s="18">
        <v>1.11</v>
      </c>
      <c r="BQ436" s="18">
        <v>130</v>
      </c>
      <c r="BR436" s="18">
        <v>0</v>
      </c>
      <c r="BS436" s="18">
        <v>0</v>
      </c>
      <c r="BT436" s="18">
        <v>0</v>
      </c>
      <c r="BU436" s="18">
        <v>0</v>
      </c>
      <c r="BV436" s="18">
        <v>0</v>
      </c>
      <c r="BW436" s="18">
        <v>0</v>
      </c>
      <c r="BX436" s="18">
        <v>0</v>
      </c>
    </row>
    <row r="437" spans="1:76">
      <c r="A437" s="14" t="str">
        <f>VLOOKUP(C437,VLOOKUP!A:B,2,FALSE)</f>
        <v>荔枝香</v>
      </c>
      <c r="B437" s="19">
        <v>46191</v>
      </c>
      <c r="C437" s="20">
        <v>960406497157</v>
      </c>
      <c r="D437" s="18" t="s">
        <v>151</v>
      </c>
      <c r="E437" s="18" t="s">
        <v>165</v>
      </c>
      <c r="F437" s="18">
        <v>1862</v>
      </c>
      <c r="G437" s="18">
        <v>117</v>
      </c>
      <c r="H437" s="18">
        <v>67.65</v>
      </c>
      <c r="I437" s="18">
        <v>0.06284</v>
      </c>
      <c r="J437" s="18">
        <v>0.58</v>
      </c>
      <c r="K437" s="18">
        <v>36.33</v>
      </c>
      <c r="L437" s="18">
        <v>0</v>
      </c>
      <c r="M437" s="18">
        <v>0</v>
      </c>
      <c r="N437" s="18">
        <v>0</v>
      </c>
      <c r="O437" s="18">
        <v>0</v>
      </c>
      <c r="P437" s="18">
        <v>0</v>
      </c>
      <c r="Q437" s="18">
        <v>0</v>
      </c>
      <c r="R437" s="18">
        <v>0</v>
      </c>
      <c r="S437" s="18">
        <v>0</v>
      </c>
      <c r="T437" s="18">
        <v>0</v>
      </c>
      <c r="U437" s="18">
        <v>0</v>
      </c>
      <c r="V437" s="18">
        <v>0</v>
      </c>
      <c r="W437" s="18">
        <v>0</v>
      </c>
      <c r="X437" s="18">
        <v>0</v>
      </c>
      <c r="Y437" s="18">
        <v>0</v>
      </c>
      <c r="Z437" s="18">
        <v>0</v>
      </c>
      <c r="AA437" s="18"/>
      <c r="AB437" s="18">
        <v>5</v>
      </c>
      <c r="AC437" s="18">
        <v>3</v>
      </c>
      <c r="AD437" s="18">
        <v>2</v>
      </c>
      <c r="AE437" s="18">
        <v>0.04274</v>
      </c>
      <c r="AF437" s="18">
        <v>1</v>
      </c>
      <c r="AG437" s="18">
        <v>0</v>
      </c>
      <c r="AH437" s="18"/>
      <c r="AI437" s="18">
        <v>6</v>
      </c>
      <c r="AJ437" s="18">
        <v>11.28</v>
      </c>
      <c r="AK437" s="18">
        <v>6</v>
      </c>
      <c r="AL437" s="18">
        <v>11.28</v>
      </c>
      <c r="AM437" s="18">
        <v>1</v>
      </c>
      <c r="AN437" s="18">
        <v>67.65</v>
      </c>
      <c r="AO437" s="18">
        <v>0.00855</v>
      </c>
      <c r="AP437" s="18">
        <v>13.53</v>
      </c>
      <c r="AQ437" s="18">
        <v>0</v>
      </c>
      <c r="AR437" s="18">
        <v>0</v>
      </c>
      <c r="AS437" s="18">
        <v>1</v>
      </c>
      <c r="AT437" s="18">
        <v>0</v>
      </c>
      <c r="AU437" s="18">
        <v>0</v>
      </c>
      <c r="AV437" s="18">
        <v>0</v>
      </c>
      <c r="AW437" s="18">
        <v>0</v>
      </c>
      <c r="AX437" s="18">
        <v>0</v>
      </c>
      <c r="AY437" s="18">
        <v>270</v>
      </c>
      <c r="AZ437" s="18">
        <v>101</v>
      </c>
      <c r="BA437" s="18">
        <v>75</v>
      </c>
      <c r="BB437" s="18">
        <v>0.74257</v>
      </c>
      <c r="BC437" s="18">
        <v>0</v>
      </c>
      <c r="BD437" s="18">
        <v>0</v>
      </c>
      <c r="BE437" s="18">
        <v>0.14501</v>
      </c>
      <c r="BF437" s="18">
        <v>95</v>
      </c>
      <c r="BG437" s="18">
        <v>3</v>
      </c>
      <c r="BH437" s="18">
        <v>0</v>
      </c>
      <c r="BI437" s="18"/>
      <c r="BJ437" s="18">
        <v>0</v>
      </c>
      <c r="BK437" s="18">
        <v>0</v>
      </c>
      <c r="BL437" s="18">
        <v>0</v>
      </c>
      <c r="BM437" s="18">
        <v>0</v>
      </c>
      <c r="BN437" s="18"/>
      <c r="BO437" s="18"/>
      <c r="BP437" s="18">
        <v>0</v>
      </c>
      <c r="BQ437" s="18">
        <v>54</v>
      </c>
      <c r="BR437" s="18">
        <v>0</v>
      </c>
      <c r="BS437" s="18">
        <v>0</v>
      </c>
      <c r="BT437" s="18">
        <v>0</v>
      </c>
      <c r="BU437" s="18">
        <v>0</v>
      </c>
      <c r="BV437" s="18">
        <v>0</v>
      </c>
      <c r="BW437" s="18">
        <v>0</v>
      </c>
      <c r="BX437" s="18">
        <v>0</v>
      </c>
    </row>
    <row r="438" spans="1:76">
      <c r="A438" s="14" t="str">
        <f>VLOOKUP(C438,VLOOKUP!A:B,2,FALSE)</f>
        <v>如意盘香</v>
      </c>
      <c r="B438" s="19">
        <v>46191</v>
      </c>
      <c r="C438" s="20">
        <v>838711327669</v>
      </c>
      <c r="D438" s="18" t="s">
        <v>151</v>
      </c>
      <c r="E438" s="18" t="s">
        <v>166</v>
      </c>
      <c r="F438" s="18">
        <v>663</v>
      </c>
      <c r="G438" s="18">
        <v>36</v>
      </c>
      <c r="H438" s="18">
        <v>47.61</v>
      </c>
      <c r="I438" s="18">
        <v>0.0543</v>
      </c>
      <c r="J438" s="18">
        <v>1.32</v>
      </c>
      <c r="K438" s="18">
        <v>71.81</v>
      </c>
      <c r="L438" s="18">
        <v>0</v>
      </c>
      <c r="M438" s="18">
        <v>0</v>
      </c>
      <c r="N438" s="18">
        <v>0</v>
      </c>
      <c r="O438" s="18">
        <v>0</v>
      </c>
      <c r="P438" s="18">
        <v>0</v>
      </c>
      <c r="Q438" s="18">
        <v>0</v>
      </c>
      <c r="R438" s="18">
        <v>138.64</v>
      </c>
      <c r="S438" s="18">
        <v>0</v>
      </c>
      <c r="T438" s="18">
        <v>138.64</v>
      </c>
      <c r="U438" s="18">
        <v>1</v>
      </c>
      <c r="V438" s="18">
        <v>1</v>
      </c>
      <c r="W438" s="18">
        <v>0</v>
      </c>
      <c r="X438" s="18">
        <v>0.02778</v>
      </c>
      <c r="Y438" s="18">
        <v>2.91</v>
      </c>
      <c r="Z438" s="18">
        <v>2.91</v>
      </c>
      <c r="AA438" s="18">
        <v>47.61</v>
      </c>
      <c r="AB438" s="18">
        <v>3</v>
      </c>
      <c r="AC438" s="18">
        <v>2</v>
      </c>
      <c r="AD438" s="18">
        <v>1</v>
      </c>
      <c r="AE438" s="18">
        <v>0.08333</v>
      </c>
      <c r="AF438" s="18">
        <v>0</v>
      </c>
      <c r="AG438" s="18">
        <v>2</v>
      </c>
      <c r="AH438" s="18">
        <v>23.81</v>
      </c>
      <c r="AI438" s="18">
        <v>5</v>
      </c>
      <c r="AJ438" s="18">
        <v>9.52</v>
      </c>
      <c r="AK438" s="18">
        <v>3</v>
      </c>
      <c r="AL438" s="18">
        <v>15.87</v>
      </c>
      <c r="AM438" s="18">
        <v>2</v>
      </c>
      <c r="AN438" s="18"/>
      <c r="AO438" s="18">
        <v>0</v>
      </c>
      <c r="AP438" s="18">
        <v>15.87</v>
      </c>
      <c r="AQ438" s="18">
        <v>2</v>
      </c>
      <c r="AR438" s="18">
        <v>217.9</v>
      </c>
      <c r="AS438" s="18">
        <v>0</v>
      </c>
      <c r="AT438" s="18">
        <v>0</v>
      </c>
      <c r="AU438" s="18">
        <v>0</v>
      </c>
      <c r="AV438" s="18">
        <v>0</v>
      </c>
      <c r="AW438" s="18">
        <v>0</v>
      </c>
      <c r="AX438" s="18">
        <v>0</v>
      </c>
      <c r="AY438" s="18">
        <v>117</v>
      </c>
      <c r="AZ438" s="18">
        <v>23</v>
      </c>
      <c r="BA438" s="18">
        <v>16</v>
      </c>
      <c r="BB438" s="18">
        <v>0.69565</v>
      </c>
      <c r="BC438" s="18">
        <v>0</v>
      </c>
      <c r="BD438" s="18">
        <v>0</v>
      </c>
      <c r="BE438" s="18">
        <v>0.17647</v>
      </c>
      <c r="BF438" s="18">
        <v>83</v>
      </c>
      <c r="BG438" s="18">
        <v>5</v>
      </c>
      <c r="BH438" s="18">
        <v>1</v>
      </c>
      <c r="BI438" s="18">
        <v>1</v>
      </c>
      <c r="BJ438" s="18">
        <v>0</v>
      </c>
      <c r="BK438" s="18">
        <v>0</v>
      </c>
      <c r="BL438" s="18">
        <v>0</v>
      </c>
      <c r="BM438" s="18">
        <v>1</v>
      </c>
      <c r="BN438" s="18">
        <v>1</v>
      </c>
      <c r="BO438" s="18">
        <v>138.64</v>
      </c>
      <c r="BP438" s="18">
        <v>0</v>
      </c>
      <c r="BQ438" s="18">
        <v>154</v>
      </c>
      <c r="BR438" s="18">
        <v>0</v>
      </c>
      <c r="BS438" s="18">
        <v>0</v>
      </c>
      <c r="BT438" s="18">
        <v>0</v>
      </c>
      <c r="BU438" s="18">
        <v>0</v>
      </c>
      <c r="BV438" s="18">
        <v>0</v>
      </c>
      <c r="BW438" s="18">
        <v>0</v>
      </c>
      <c r="BX438" s="18">
        <v>0</v>
      </c>
    </row>
    <row r="439" spans="1:76">
      <c r="A439" s="14" t="str">
        <f>VLOOKUP(C439,VLOOKUP!A:B,2,FALSE)</f>
        <v>太樾归真</v>
      </c>
      <c r="B439" s="19">
        <v>46190</v>
      </c>
      <c r="C439" s="20">
        <v>1051919021880</v>
      </c>
      <c r="D439" s="18" t="s">
        <v>151</v>
      </c>
      <c r="E439" s="18" t="s">
        <v>163</v>
      </c>
      <c r="F439" s="18">
        <v>1505</v>
      </c>
      <c r="G439" s="18">
        <v>71</v>
      </c>
      <c r="H439" s="18">
        <v>48.77</v>
      </c>
      <c r="I439" s="18">
        <v>0.04718</v>
      </c>
      <c r="J439" s="18">
        <v>0.69</v>
      </c>
      <c r="K439" s="18">
        <v>32.41</v>
      </c>
      <c r="L439" s="18">
        <v>0</v>
      </c>
      <c r="M439" s="18">
        <v>0</v>
      </c>
      <c r="N439" s="18">
        <v>0</v>
      </c>
      <c r="O439" s="18">
        <v>0</v>
      </c>
      <c r="P439" s="18">
        <v>0</v>
      </c>
      <c r="Q439" s="18">
        <v>0</v>
      </c>
      <c r="R439" s="18">
        <v>0</v>
      </c>
      <c r="S439" s="18">
        <v>0</v>
      </c>
      <c r="T439" s="18">
        <v>0</v>
      </c>
      <c r="U439" s="18">
        <v>0</v>
      </c>
      <c r="V439" s="18">
        <v>0</v>
      </c>
      <c r="W439" s="18">
        <v>0</v>
      </c>
      <c r="X439" s="18">
        <v>0</v>
      </c>
      <c r="Y439" s="18">
        <v>0</v>
      </c>
      <c r="Z439" s="18">
        <v>0</v>
      </c>
      <c r="AA439" s="18"/>
      <c r="AB439" s="18">
        <v>1</v>
      </c>
      <c r="AC439" s="18">
        <v>1</v>
      </c>
      <c r="AD439" s="18">
        <v>0</v>
      </c>
      <c r="AE439" s="18">
        <v>0.01408</v>
      </c>
      <c r="AF439" s="18">
        <v>2</v>
      </c>
      <c r="AG439" s="18">
        <v>0</v>
      </c>
      <c r="AH439" s="18"/>
      <c r="AI439" s="18">
        <v>3</v>
      </c>
      <c r="AJ439" s="18">
        <v>16.26</v>
      </c>
      <c r="AK439" s="18">
        <v>3</v>
      </c>
      <c r="AL439" s="18">
        <v>16.26</v>
      </c>
      <c r="AM439" s="18">
        <v>2</v>
      </c>
      <c r="AN439" s="18">
        <v>24.39</v>
      </c>
      <c r="AO439" s="18">
        <v>0.02817</v>
      </c>
      <c r="AP439" s="18">
        <v>48.77</v>
      </c>
      <c r="AQ439" s="18">
        <v>0</v>
      </c>
      <c r="AR439" s="18">
        <v>0</v>
      </c>
      <c r="AS439" s="18">
        <v>2</v>
      </c>
      <c r="AT439" s="18">
        <v>0</v>
      </c>
      <c r="AU439" s="18">
        <v>0</v>
      </c>
      <c r="AV439" s="18">
        <v>0</v>
      </c>
      <c r="AW439" s="18">
        <v>0</v>
      </c>
      <c r="AX439" s="18">
        <v>0</v>
      </c>
      <c r="AY439" s="18">
        <v>128</v>
      </c>
      <c r="AZ439" s="18">
        <v>52</v>
      </c>
      <c r="BA439" s="18">
        <v>47</v>
      </c>
      <c r="BB439" s="18">
        <v>0.90385</v>
      </c>
      <c r="BC439" s="18">
        <v>0</v>
      </c>
      <c r="BD439" s="18">
        <v>0</v>
      </c>
      <c r="BE439" s="18">
        <v>0.08505</v>
      </c>
      <c r="BF439" s="18">
        <v>27</v>
      </c>
      <c r="BG439" s="18">
        <v>2</v>
      </c>
      <c r="BH439" s="18">
        <v>0</v>
      </c>
      <c r="BI439" s="18"/>
      <c r="BJ439" s="18">
        <v>0</v>
      </c>
      <c r="BK439" s="18">
        <v>0</v>
      </c>
      <c r="BL439" s="18">
        <v>0</v>
      </c>
      <c r="BM439" s="18">
        <v>0</v>
      </c>
      <c r="BN439" s="18"/>
      <c r="BO439" s="18"/>
      <c r="BP439" s="18">
        <v>0</v>
      </c>
      <c r="BQ439" s="18">
        <v>9</v>
      </c>
      <c r="BR439" s="18">
        <v>0</v>
      </c>
      <c r="BS439" s="18">
        <v>0</v>
      </c>
      <c r="BT439" s="18">
        <v>0</v>
      </c>
      <c r="BU439" s="18">
        <v>0</v>
      </c>
      <c r="BV439" s="18">
        <v>0</v>
      </c>
      <c r="BW439" s="18">
        <v>0</v>
      </c>
      <c r="BX439" s="18">
        <v>0</v>
      </c>
    </row>
    <row r="440" spans="1:76">
      <c r="A440" s="14" t="str">
        <f>VLOOKUP(C440,VLOOKUP!A:B,2,FALSE)</f>
        <v>早晚安香</v>
      </c>
      <c r="B440" s="19">
        <v>46190</v>
      </c>
      <c r="C440" s="20">
        <v>1010789122929</v>
      </c>
      <c r="D440" s="18" t="s">
        <v>151</v>
      </c>
      <c r="E440" s="18" t="s">
        <v>164</v>
      </c>
      <c r="F440" s="18">
        <v>2305</v>
      </c>
      <c r="G440" s="18">
        <v>76</v>
      </c>
      <c r="H440" s="18">
        <v>60.11</v>
      </c>
      <c r="I440" s="18">
        <v>0.03297</v>
      </c>
      <c r="J440" s="18">
        <v>0.79</v>
      </c>
      <c r="K440" s="18">
        <v>26.08</v>
      </c>
      <c r="L440" s="18">
        <v>0</v>
      </c>
      <c r="M440" s="18">
        <v>0</v>
      </c>
      <c r="N440" s="18">
        <v>0</v>
      </c>
      <c r="O440" s="18">
        <v>0</v>
      </c>
      <c r="P440" s="18">
        <v>0</v>
      </c>
      <c r="Q440" s="18">
        <v>0</v>
      </c>
      <c r="R440" s="18">
        <v>0</v>
      </c>
      <c r="S440" s="18">
        <v>0</v>
      </c>
      <c r="T440" s="18">
        <v>0</v>
      </c>
      <c r="U440" s="18">
        <v>0</v>
      </c>
      <c r="V440" s="18">
        <v>0</v>
      </c>
      <c r="W440" s="18">
        <v>0</v>
      </c>
      <c r="X440" s="18">
        <v>0</v>
      </c>
      <c r="Y440" s="18">
        <v>0</v>
      </c>
      <c r="Z440" s="18">
        <v>0</v>
      </c>
      <c r="AA440" s="18"/>
      <c r="AB440" s="18">
        <v>0</v>
      </c>
      <c r="AC440" s="18">
        <v>0</v>
      </c>
      <c r="AD440" s="18">
        <v>0</v>
      </c>
      <c r="AE440" s="18">
        <v>0</v>
      </c>
      <c r="AF440" s="18">
        <v>0</v>
      </c>
      <c r="AG440" s="18">
        <v>0</v>
      </c>
      <c r="AH440" s="18"/>
      <c r="AI440" s="18">
        <v>0</v>
      </c>
      <c r="AJ440" s="18"/>
      <c r="AK440" s="18">
        <v>0</v>
      </c>
      <c r="AL440" s="18"/>
      <c r="AM440" s="18">
        <v>0</v>
      </c>
      <c r="AN440" s="18"/>
      <c r="AO440" s="18">
        <v>0</v>
      </c>
      <c r="AP440" s="18"/>
      <c r="AQ440" s="18">
        <v>0</v>
      </c>
      <c r="AR440" s="18">
        <v>0</v>
      </c>
      <c r="AS440" s="18">
        <v>0</v>
      </c>
      <c r="AT440" s="18">
        <v>0</v>
      </c>
      <c r="AU440" s="18">
        <v>0</v>
      </c>
      <c r="AV440" s="18">
        <v>0</v>
      </c>
      <c r="AW440" s="18">
        <v>0</v>
      </c>
      <c r="AX440" s="18">
        <v>0</v>
      </c>
      <c r="AY440" s="18">
        <v>107</v>
      </c>
      <c r="AZ440" s="18">
        <v>70</v>
      </c>
      <c r="BA440" s="18">
        <v>51</v>
      </c>
      <c r="BB440" s="18">
        <v>0.72857</v>
      </c>
      <c r="BC440" s="18">
        <v>0</v>
      </c>
      <c r="BD440" s="18">
        <v>0</v>
      </c>
      <c r="BE440" s="18">
        <v>0.04642</v>
      </c>
      <c r="BF440" s="18">
        <v>18</v>
      </c>
      <c r="BG440" s="18">
        <v>2</v>
      </c>
      <c r="BH440" s="18">
        <v>0</v>
      </c>
      <c r="BI440" s="18"/>
      <c r="BJ440" s="18">
        <v>0</v>
      </c>
      <c r="BK440" s="18">
        <v>0</v>
      </c>
      <c r="BL440" s="18">
        <v>0</v>
      </c>
      <c r="BM440" s="18">
        <v>0</v>
      </c>
      <c r="BN440" s="18"/>
      <c r="BO440" s="18"/>
      <c r="BP440" s="18">
        <v>0</v>
      </c>
      <c r="BQ440" s="18">
        <v>35</v>
      </c>
      <c r="BR440" s="18">
        <v>0</v>
      </c>
      <c r="BS440" s="18">
        <v>0</v>
      </c>
      <c r="BT440" s="18">
        <v>0</v>
      </c>
      <c r="BU440" s="18">
        <v>0</v>
      </c>
      <c r="BV440" s="18">
        <v>0</v>
      </c>
      <c r="BW440" s="18">
        <v>0</v>
      </c>
      <c r="BX440" s="18">
        <v>0</v>
      </c>
    </row>
    <row r="441" spans="1:76">
      <c r="A441" s="14" t="str">
        <f>VLOOKUP(C441,VLOOKUP!A:B,2,FALSE)</f>
        <v>荔枝香</v>
      </c>
      <c r="B441" s="19">
        <v>46190</v>
      </c>
      <c r="C441" s="20">
        <v>960406497157</v>
      </c>
      <c r="D441" s="18" t="s">
        <v>151</v>
      </c>
      <c r="E441" s="18" t="s">
        <v>165</v>
      </c>
      <c r="F441" s="18">
        <v>2266</v>
      </c>
      <c r="G441" s="18">
        <v>143</v>
      </c>
      <c r="H441" s="18">
        <v>77.62</v>
      </c>
      <c r="I441" s="18">
        <v>0.06311</v>
      </c>
      <c r="J441" s="18">
        <v>0.54</v>
      </c>
      <c r="K441" s="18">
        <v>34.25</v>
      </c>
      <c r="L441" s="18">
        <v>0</v>
      </c>
      <c r="M441" s="18">
        <v>0</v>
      </c>
      <c r="N441" s="18">
        <v>0</v>
      </c>
      <c r="O441" s="18">
        <v>0</v>
      </c>
      <c r="P441" s="18">
        <v>0</v>
      </c>
      <c r="Q441" s="18">
        <v>0</v>
      </c>
      <c r="R441" s="18">
        <v>0</v>
      </c>
      <c r="S441" s="18">
        <v>0</v>
      </c>
      <c r="T441" s="18">
        <v>0</v>
      </c>
      <c r="U441" s="18">
        <v>0</v>
      </c>
      <c r="V441" s="18">
        <v>0</v>
      </c>
      <c r="W441" s="18">
        <v>0</v>
      </c>
      <c r="X441" s="18">
        <v>0</v>
      </c>
      <c r="Y441" s="18">
        <v>0</v>
      </c>
      <c r="Z441" s="18">
        <v>0</v>
      </c>
      <c r="AA441" s="18"/>
      <c r="AB441" s="18">
        <v>3</v>
      </c>
      <c r="AC441" s="18">
        <v>2</v>
      </c>
      <c r="AD441" s="18">
        <v>1</v>
      </c>
      <c r="AE441" s="18">
        <v>0.02098</v>
      </c>
      <c r="AF441" s="18">
        <v>2</v>
      </c>
      <c r="AG441" s="18">
        <v>1</v>
      </c>
      <c r="AH441" s="18">
        <v>77.62</v>
      </c>
      <c r="AI441" s="18">
        <v>6</v>
      </c>
      <c r="AJ441" s="18">
        <v>12.94</v>
      </c>
      <c r="AK441" s="18">
        <v>5</v>
      </c>
      <c r="AL441" s="18">
        <v>15.52</v>
      </c>
      <c r="AM441" s="18">
        <v>3</v>
      </c>
      <c r="AN441" s="18">
        <v>38.81</v>
      </c>
      <c r="AO441" s="18">
        <v>0.01399</v>
      </c>
      <c r="AP441" s="18">
        <v>25.87</v>
      </c>
      <c r="AQ441" s="18">
        <v>0</v>
      </c>
      <c r="AR441" s="18">
        <v>0</v>
      </c>
      <c r="AS441" s="18">
        <v>2</v>
      </c>
      <c r="AT441" s="18">
        <v>0</v>
      </c>
      <c r="AU441" s="18">
        <v>0</v>
      </c>
      <c r="AV441" s="18">
        <v>0</v>
      </c>
      <c r="AW441" s="18">
        <v>0</v>
      </c>
      <c r="AX441" s="18">
        <v>0</v>
      </c>
      <c r="AY441" s="18">
        <v>235</v>
      </c>
      <c r="AZ441" s="18">
        <v>123</v>
      </c>
      <c r="BA441" s="18">
        <v>92</v>
      </c>
      <c r="BB441" s="18">
        <v>0.74797</v>
      </c>
      <c r="BC441" s="18">
        <v>0</v>
      </c>
      <c r="BD441" s="18">
        <v>0</v>
      </c>
      <c r="BE441" s="18">
        <v>0.10371</v>
      </c>
      <c r="BF441" s="18">
        <v>63</v>
      </c>
      <c r="BG441" s="18">
        <v>2</v>
      </c>
      <c r="BH441" s="18">
        <v>0</v>
      </c>
      <c r="BI441" s="18"/>
      <c r="BJ441" s="18">
        <v>0</v>
      </c>
      <c r="BK441" s="18">
        <v>0</v>
      </c>
      <c r="BL441" s="18">
        <v>0</v>
      </c>
      <c r="BM441" s="18">
        <v>0</v>
      </c>
      <c r="BN441" s="18"/>
      <c r="BO441" s="18"/>
      <c r="BP441" s="18">
        <v>0</v>
      </c>
      <c r="BQ441" s="18">
        <v>84</v>
      </c>
      <c r="BR441" s="18">
        <v>0</v>
      </c>
      <c r="BS441" s="18">
        <v>0</v>
      </c>
      <c r="BT441" s="18">
        <v>0</v>
      </c>
      <c r="BU441" s="18">
        <v>0</v>
      </c>
      <c r="BV441" s="18">
        <v>0</v>
      </c>
      <c r="BW441" s="18">
        <v>0</v>
      </c>
      <c r="BX441" s="18">
        <v>0</v>
      </c>
    </row>
    <row r="442" spans="1:76">
      <c r="A442" s="14" t="str">
        <f>VLOOKUP(C442,VLOOKUP!A:B,2,FALSE)</f>
        <v>如意盘香</v>
      </c>
      <c r="B442" s="19">
        <v>46190</v>
      </c>
      <c r="C442" s="20">
        <v>838711327669</v>
      </c>
      <c r="D442" s="18" t="s">
        <v>151</v>
      </c>
      <c r="E442" s="18" t="s">
        <v>166</v>
      </c>
      <c r="F442" s="18">
        <v>522</v>
      </c>
      <c r="G442" s="18">
        <v>16</v>
      </c>
      <c r="H442" s="18">
        <v>31.78</v>
      </c>
      <c r="I442" s="18">
        <v>0.03065</v>
      </c>
      <c r="J442" s="18">
        <v>1.99</v>
      </c>
      <c r="K442" s="18">
        <v>60.88</v>
      </c>
      <c r="L442" s="18">
        <v>0</v>
      </c>
      <c r="M442" s="18">
        <v>0</v>
      </c>
      <c r="N442" s="18">
        <v>0</v>
      </c>
      <c r="O442" s="18">
        <v>0</v>
      </c>
      <c r="P442" s="18">
        <v>0</v>
      </c>
      <c r="Q442" s="18">
        <v>0</v>
      </c>
      <c r="R442" s="18">
        <v>0</v>
      </c>
      <c r="S442" s="18">
        <v>0</v>
      </c>
      <c r="T442" s="18">
        <v>0</v>
      </c>
      <c r="U442" s="18">
        <v>0</v>
      </c>
      <c r="V442" s="18">
        <v>0</v>
      </c>
      <c r="W442" s="18">
        <v>0</v>
      </c>
      <c r="X442" s="18">
        <v>0</v>
      </c>
      <c r="Y442" s="18">
        <v>0</v>
      </c>
      <c r="Z442" s="18">
        <v>0</v>
      </c>
      <c r="AA442" s="18"/>
      <c r="AB442" s="18">
        <v>3</v>
      </c>
      <c r="AC442" s="18">
        <v>0</v>
      </c>
      <c r="AD442" s="18">
        <v>3</v>
      </c>
      <c r="AE442" s="18">
        <v>0.1875</v>
      </c>
      <c r="AF442" s="18">
        <v>1</v>
      </c>
      <c r="AG442" s="18">
        <v>1</v>
      </c>
      <c r="AH442" s="18">
        <v>31.78</v>
      </c>
      <c r="AI442" s="18">
        <v>5</v>
      </c>
      <c r="AJ442" s="18">
        <v>6.36</v>
      </c>
      <c r="AK442" s="18">
        <v>4</v>
      </c>
      <c r="AL442" s="18">
        <v>7.95</v>
      </c>
      <c r="AM442" s="18">
        <v>2</v>
      </c>
      <c r="AN442" s="18">
        <v>31.78</v>
      </c>
      <c r="AO442" s="18">
        <v>0.0625</v>
      </c>
      <c r="AP442" s="18">
        <v>10.59</v>
      </c>
      <c r="AQ442" s="18">
        <v>2</v>
      </c>
      <c r="AR442" s="18">
        <v>3898</v>
      </c>
      <c r="AS442" s="18">
        <v>0</v>
      </c>
      <c r="AT442" s="18">
        <v>1</v>
      </c>
      <c r="AU442" s="18">
        <v>0</v>
      </c>
      <c r="AV442" s="18">
        <v>0</v>
      </c>
      <c r="AW442" s="18">
        <v>0</v>
      </c>
      <c r="AX442" s="18">
        <v>1</v>
      </c>
      <c r="AY442" s="18">
        <v>56</v>
      </c>
      <c r="AZ442" s="18">
        <v>14</v>
      </c>
      <c r="BA442" s="18">
        <v>9</v>
      </c>
      <c r="BB442" s="18">
        <v>0.64286</v>
      </c>
      <c r="BC442" s="18">
        <v>0</v>
      </c>
      <c r="BD442" s="18">
        <v>0</v>
      </c>
      <c r="BE442" s="18">
        <v>0.10728</v>
      </c>
      <c r="BF442" s="18">
        <v>39</v>
      </c>
      <c r="BG442" s="18">
        <v>4</v>
      </c>
      <c r="BH442" s="18">
        <v>0</v>
      </c>
      <c r="BI442" s="18"/>
      <c r="BJ442" s="18">
        <v>0</v>
      </c>
      <c r="BK442" s="18">
        <v>0</v>
      </c>
      <c r="BL442" s="18">
        <v>0</v>
      </c>
      <c r="BM442" s="18">
        <v>0</v>
      </c>
      <c r="BN442" s="18"/>
      <c r="BO442" s="18"/>
      <c r="BP442" s="18">
        <v>0</v>
      </c>
      <c r="BQ442" s="18">
        <v>33</v>
      </c>
      <c r="BR442" s="18">
        <v>0</v>
      </c>
      <c r="BS442" s="18">
        <v>0</v>
      </c>
      <c r="BT442" s="18">
        <v>0</v>
      </c>
      <c r="BU442" s="18">
        <v>0</v>
      </c>
      <c r="BV442" s="18">
        <v>0</v>
      </c>
      <c r="BW442" s="18">
        <v>0</v>
      </c>
      <c r="BX442" s="18">
        <v>0</v>
      </c>
    </row>
    <row r="443" spans="1:76">
      <c r="A443" s="14" t="str">
        <f>VLOOKUP(C443,VLOOKUP!A:B,2,FALSE)</f>
        <v>太樾归真</v>
      </c>
      <c r="B443" s="19">
        <v>46189</v>
      </c>
      <c r="C443" s="20">
        <v>1051919021880</v>
      </c>
      <c r="D443" s="18" t="s">
        <v>151</v>
      </c>
      <c r="E443" s="18" t="s">
        <v>163</v>
      </c>
      <c r="F443" s="18">
        <v>1184</v>
      </c>
      <c r="G443" s="18">
        <v>68</v>
      </c>
      <c r="H443" s="18">
        <v>48.11</v>
      </c>
      <c r="I443" s="18">
        <v>0.05743</v>
      </c>
      <c r="J443" s="18">
        <v>0.71</v>
      </c>
      <c r="K443" s="18">
        <v>40.63</v>
      </c>
      <c r="L443" s="18">
        <v>0</v>
      </c>
      <c r="M443" s="18">
        <v>0</v>
      </c>
      <c r="N443" s="18">
        <v>0</v>
      </c>
      <c r="O443" s="18">
        <v>0</v>
      </c>
      <c r="P443" s="18">
        <v>0</v>
      </c>
      <c r="Q443" s="18">
        <v>0</v>
      </c>
      <c r="R443" s="18">
        <v>37.46</v>
      </c>
      <c r="S443" s="18">
        <v>0</v>
      </c>
      <c r="T443" s="18">
        <v>37.46</v>
      </c>
      <c r="U443" s="18">
        <v>1</v>
      </c>
      <c r="V443" s="18">
        <v>1</v>
      </c>
      <c r="W443" s="18">
        <v>0</v>
      </c>
      <c r="X443" s="18">
        <v>0.01471</v>
      </c>
      <c r="Y443" s="18">
        <v>0.78</v>
      </c>
      <c r="Z443" s="18">
        <v>0.78</v>
      </c>
      <c r="AA443" s="18">
        <v>48.11</v>
      </c>
      <c r="AB443" s="18">
        <v>1</v>
      </c>
      <c r="AC443" s="18">
        <v>1</v>
      </c>
      <c r="AD443" s="18">
        <v>0</v>
      </c>
      <c r="AE443" s="18">
        <v>0.01471</v>
      </c>
      <c r="AF443" s="18">
        <v>0</v>
      </c>
      <c r="AG443" s="18">
        <v>0</v>
      </c>
      <c r="AH443" s="18"/>
      <c r="AI443" s="18">
        <v>1</v>
      </c>
      <c r="AJ443" s="18">
        <v>48.11</v>
      </c>
      <c r="AK443" s="18">
        <v>1</v>
      </c>
      <c r="AL443" s="18">
        <v>48.11</v>
      </c>
      <c r="AM443" s="18">
        <v>0</v>
      </c>
      <c r="AN443" s="18"/>
      <c r="AO443" s="18">
        <v>0</v>
      </c>
      <c r="AP443" s="18">
        <v>48.11</v>
      </c>
      <c r="AQ443" s="18">
        <v>1</v>
      </c>
      <c r="AR443" s="18">
        <v>46.9</v>
      </c>
      <c r="AS443" s="18">
        <v>0</v>
      </c>
      <c r="AT443" s="18">
        <v>0</v>
      </c>
      <c r="AU443" s="18">
        <v>0</v>
      </c>
      <c r="AV443" s="18">
        <v>0</v>
      </c>
      <c r="AW443" s="18">
        <v>0</v>
      </c>
      <c r="AX443" s="18">
        <v>0</v>
      </c>
      <c r="AY443" s="18">
        <v>110</v>
      </c>
      <c r="AZ443" s="18">
        <v>44</v>
      </c>
      <c r="BA443" s="18">
        <v>31</v>
      </c>
      <c r="BB443" s="18">
        <v>0.70455</v>
      </c>
      <c r="BC443" s="18">
        <v>0</v>
      </c>
      <c r="BD443" s="18">
        <v>0</v>
      </c>
      <c r="BE443" s="18">
        <v>0.09291</v>
      </c>
      <c r="BF443" s="18">
        <v>25</v>
      </c>
      <c r="BG443" s="18">
        <v>3</v>
      </c>
      <c r="BH443" s="18">
        <v>1</v>
      </c>
      <c r="BI443" s="18">
        <v>1</v>
      </c>
      <c r="BJ443" s="18">
        <v>0</v>
      </c>
      <c r="BK443" s="18">
        <v>0</v>
      </c>
      <c r="BL443" s="18">
        <v>0</v>
      </c>
      <c r="BM443" s="18">
        <v>1</v>
      </c>
      <c r="BN443" s="18">
        <v>1</v>
      </c>
      <c r="BO443" s="18">
        <v>37.46</v>
      </c>
      <c r="BP443" s="18">
        <v>18.86</v>
      </c>
      <c r="BQ443" s="18">
        <v>211</v>
      </c>
      <c r="BR443" s="18">
        <v>0</v>
      </c>
      <c r="BS443" s="18">
        <v>0</v>
      </c>
      <c r="BT443" s="18">
        <v>0</v>
      </c>
      <c r="BU443" s="18">
        <v>0</v>
      </c>
      <c r="BV443" s="18">
        <v>0</v>
      </c>
      <c r="BW443" s="18">
        <v>0</v>
      </c>
      <c r="BX443" s="18">
        <v>0</v>
      </c>
    </row>
    <row r="444" spans="1:76">
      <c r="A444" s="14" t="str">
        <f>VLOOKUP(C444,VLOOKUP!A:B,2,FALSE)</f>
        <v>早晚安香</v>
      </c>
      <c r="B444" s="19">
        <v>46189</v>
      </c>
      <c r="C444" s="20">
        <v>1010789122929</v>
      </c>
      <c r="D444" s="18" t="s">
        <v>151</v>
      </c>
      <c r="E444" s="18" t="s">
        <v>164</v>
      </c>
      <c r="F444" s="18">
        <v>2177</v>
      </c>
      <c r="G444" s="18">
        <v>73</v>
      </c>
      <c r="H444" s="18">
        <v>56.02</v>
      </c>
      <c r="I444" s="18">
        <v>0.03353</v>
      </c>
      <c r="J444" s="18">
        <v>0.77</v>
      </c>
      <c r="K444" s="18">
        <v>25.73</v>
      </c>
      <c r="L444" s="18">
        <v>0</v>
      </c>
      <c r="M444" s="18">
        <v>0</v>
      </c>
      <c r="N444" s="18">
        <v>0</v>
      </c>
      <c r="O444" s="18">
        <v>0</v>
      </c>
      <c r="P444" s="18">
        <v>0</v>
      </c>
      <c r="Q444" s="18">
        <v>0</v>
      </c>
      <c r="R444" s="18">
        <v>0</v>
      </c>
      <c r="S444" s="18">
        <v>0</v>
      </c>
      <c r="T444" s="18">
        <v>0</v>
      </c>
      <c r="U444" s="18">
        <v>0</v>
      </c>
      <c r="V444" s="18">
        <v>0</v>
      </c>
      <c r="W444" s="18">
        <v>0</v>
      </c>
      <c r="X444" s="18">
        <v>0</v>
      </c>
      <c r="Y444" s="18">
        <v>0</v>
      </c>
      <c r="Z444" s="18">
        <v>0</v>
      </c>
      <c r="AA444" s="18"/>
      <c r="AB444" s="18">
        <v>1</v>
      </c>
      <c r="AC444" s="18">
        <v>1</v>
      </c>
      <c r="AD444" s="18">
        <v>0</v>
      </c>
      <c r="AE444" s="18">
        <v>0.0137</v>
      </c>
      <c r="AF444" s="18">
        <v>3</v>
      </c>
      <c r="AG444" s="18">
        <v>0</v>
      </c>
      <c r="AH444" s="18"/>
      <c r="AI444" s="18">
        <v>4</v>
      </c>
      <c r="AJ444" s="18">
        <v>14.01</v>
      </c>
      <c r="AK444" s="18">
        <v>4</v>
      </c>
      <c r="AL444" s="18">
        <v>14.01</v>
      </c>
      <c r="AM444" s="18">
        <v>3</v>
      </c>
      <c r="AN444" s="18">
        <v>18.67</v>
      </c>
      <c r="AO444" s="18">
        <v>0.0411</v>
      </c>
      <c r="AP444" s="18">
        <v>56.02</v>
      </c>
      <c r="AQ444" s="18">
        <v>0</v>
      </c>
      <c r="AR444" s="18">
        <v>0</v>
      </c>
      <c r="AS444" s="18">
        <v>3</v>
      </c>
      <c r="AT444" s="18">
        <v>0</v>
      </c>
      <c r="AU444" s="18">
        <v>0</v>
      </c>
      <c r="AV444" s="18">
        <v>0</v>
      </c>
      <c r="AW444" s="18">
        <v>0</v>
      </c>
      <c r="AX444" s="18">
        <v>0</v>
      </c>
      <c r="AY444" s="18">
        <v>93</v>
      </c>
      <c r="AZ444" s="18">
        <v>64</v>
      </c>
      <c r="BA444" s="18">
        <v>40</v>
      </c>
      <c r="BB444" s="18">
        <v>0.625</v>
      </c>
      <c r="BC444" s="18">
        <v>0</v>
      </c>
      <c r="BD444" s="18">
        <v>0</v>
      </c>
      <c r="BE444" s="18">
        <v>0.04272</v>
      </c>
      <c r="BF444" s="18">
        <v>15</v>
      </c>
      <c r="BG444" s="18">
        <v>1</v>
      </c>
      <c r="BH444" s="18">
        <v>0</v>
      </c>
      <c r="BI444" s="18"/>
      <c r="BJ444" s="18">
        <v>0</v>
      </c>
      <c r="BK444" s="18">
        <v>0</v>
      </c>
      <c r="BL444" s="18">
        <v>0</v>
      </c>
      <c r="BM444" s="18">
        <v>0</v>
      </c>
      <c r="BN444" s="18"/>
      <c r="BO444" s="18"/>
      <c r="BP444" s="18">
        <v>1.01</v>
      </c>
      <c r="BQ444" s="18">
        <v>163</v>
      </c>
      <c r="BR444" s="18">
        <v>0</v>
      </c>
      <c r="BS444" s="18">
        <v>0</v>
      </c>
      <c r="BT444" s="18">
        <v>0</v>
      </c>
      <c r="BU444" s="18">
        <v>0</v>
      </c>
      <c r="BV444" s="18">
        <v>0</v>
      </c>
      <c r="BW444" s="18">
        <v>0</v>
      </c>
      <c r="BX444" s="18">
        <v>0</v>
      </c>
    </row>
    <row r="445" spans="1:76">
      <c r="A445" s="14" t="str">
        <f>VLOOKUP(C445,VLOOKUP!A:B,2,FALSE)</f>
        <v>荔枝香</v>
      </c>
      <c r="B445" s="19">
        <v>46189</v>
      </c>
      <c r="C445" s="20">
        <v>960406497157</v>
      </c>
      <c r="D445" s="18" t="s">
        <v>151</v>
      </c>
      <c r="E445" s="18" t="s">
        <v>165</v>
      </c>
      <c r="F445" s="18">
        <v>1939</v>
      </c>
      <c r="G445" s="18">
        <v>134</v>
      </c>
      <c r="H445" s="18">
        <v>83.29</v>
      </c>
      <c r="I445" s="18">
        <v>0.06911</v>
      </c>
      <c r="J445" s="18">
        <v>0.62</v>
      </c>
      <c r="K445" s="18">
        <v>42.96</v>
      </c>
      <c r="L445" s="18">
        <v>0</v>
      </c>
      <c r="M445" s="18">
        <v>0</v>
      </c>
      <c r="N445" s="18">
        <v>0</v>
      </c>
      <c r="O445" s="18">
        <v>0</v>
      </c>
      <c r="P445" s="18">
        <v>0</v>
      </c>
      <c r="Q445" s="18">
        <v>0</v>
      </c>
      <c r="R445" s="18">
        <v>277.28</v>
      </c>
      <c r="S445" s="18">
        <v>122.73</v>
      </c>
      <c r="T445" s="18">
        <v>400.01</v>
      </c>
      <c r="U445" s="18">
        <v>5</v>
      </c>
      <c r="V445" s="18">
        <v>2</v>
      </c>
      <c r="W445" s="18">
        <v>3</v>
      </c>
      <c r="X445" s="18">
        <v>0.03731</v>
      </c>
      <c r="Y445" s="18">
        <v>4.8</v>
      </c>
      <c r="Z445" s="18">
        <v>4.8</v>
      </c>
      <c r="AA445" s="18">
        <v>16.66</v>
      </c>
      <c r="AB445" s="18">
        <v>21</v>
      </c>
      <c r="AC445" s="18">
        <v>9</v>
      </c>
      <c r="AD445" s="18">
        <v>12</v>
      </c>
      <c r="AE445" s="18">
        <v>0.15672</v>
      </c>
      <c r="AF445" s="18">
        <v>3</v>
      </c>
      <c r="AG445" s="18">
        <v>0</v>
      </c>
      <c r="AH445" s="18"/>
      <c r="AI445" s="18">
        <v>24</v>
      </c>
      <c r="AJ445" s="18">
        <v>3.47</v>
      </c>
      <c r="AK445" s="18">
        <v>24</v>
      </c>
      <c r="AL445" s="18">
        <v>3.47</v>
      </c>
      <c r="AM445" s="18">
        <v>3</v>
      </c>
      <c r="AN445" s="18">
        <v>27.76</v>
      </c>
      <c r="AO445" s="18">
        <v>0.02239</v>
      </c>
      <c r="AP445" s="18">
        <v>3.97</v>
      </c>
      <c r="AQ445" s="18">
        <v>6</v>
      </c>
      <c r="AR445" s="18">
        <v>1083.7</v>
      </c>
      <c r="AS445" s="18">
        <v>2</v>
      </c>
      <c r="AT445" s="18">
        <v>1</v>
      </c>
      <c r="AU445" s="18">
        <v>0</v>
      </c>
      <c r="AV445" s="18">
        <v>0</v>
      </c>
      <c r="AW445" s="18">
        <v>0</v>
      </c>
      <c r="AX445" s="18">
        <v>1</v>
      </c>
      <c r="AY445" s="18">
        <v>391</v>
      </c>
      <c r="AZ445" s="18">
        <v>120</v>
      </c>
      <c r="BA445" s="18">
        <v>87</v>
      </c>
      <c r="BB445" s="18">
        <v>0.725</v>
      </c>
      <c r="BC445" s="18">
        <v>0</v>
      </c>
      <c r="BD445" s="18">
        <v>0</v>
      </c>
      <c r="BE445" s="18">
        <v>0.20165</v>
      </c>
      <c r="BF445" s="18">
        <v>214</v>
      </c>
      <c r="BG445" s="18">
        <v>3</v>
      </c>
      <c r="BH445" s="18">
        <v>1</v>
      </c>
      <c r="BI445" s="18">
        <v>1</v>
      </c>
      <c r="BJ445" s="18">
        <v>0</v>
      </c>
      <c r="BK445" s="18">
        <v>0</v>
      </c>
      <c r="BL445" s="18">
        <v>0</v>
      </c>
      <c r="BM445" s="18">
        <v>1</v>
      </c>
      <c r="BN445" s="18">
        <v>5</v>
      </c>
      <c r="BO445" s="18">
        <v>400.01</v>
      </c>
      <c r="BP445" s="18">
        <v>0.15</v>
      </c>
      <c r="BQ445" s="18">
        <v>853</v>
      </c>
      <c r="BR445" s="18">
        <v>0</v>
      </c>
      <c r="BS445" s="18">
        <v>0</v>
      </c>
      <c r="BT445" s="18">
        <v>0</v>
      </c>
      <c r="BU445" s="18">
        <v>0</v>
      </c>
      <c r="BV445" s="18">
        <v>0</v>
      </c>
      <c r="BW445" s="18">
        <v>0</v>
      </c>
      <c r="BX445" s="18">
        <v>0</v>
      </c>
    </row>
    <row r="446" spans="1:76">
      <c r="A446" s="14" t="str">
        <f>VLOOKUP(C446,VLOOKUP!A:B,2,FALSE)</f>
        <v>如意盘香</v>
      </c>
      <c r="B446" s="19">
        <v>46189</v>
      </c>
      <c r="C446" s="20">
        <v>838711327669</v>
      </c>
      <c r="D446" s="18" t="s">
        <v>151</v>
      </c>
      <c r="E446" s="18" t="s">
        <v>166</v>
      </c>
      <c r="F446" s="18">
        <v>847</v>
      </c>
      <c r="G446" s="18">
        <v>39</v>
      </c>
      <c r="H446" s="18">
        <v>24.82</v>
      </c>
      <c r="I446" s="18">
        <v>0.04604</v>
      </c>
      <c r="J446" s="18">
        <v>0.64</v>
      </c>
      <c r="K446" s="18">
        <v>29.3</v>
      </c>
      <c r="L446" s="18">
        <v>0</v>
      </c>
      <c r="M446" s="18">
        <v>0</v>
      </c>
      <c r="N446" s="18">
        <v>0</v>
      </c>
      <c r="O446" s="18">
        <v>0</v>
      </c>
      <c r="P446" s="18">
        <v>0</v>
      </c>
      <c r="Q446" s="18">
        <v>0</v>
      </c>
      <c r="R446" s="18">
        <v>166</v>
      </c>
      <c r="S446" s="18">
        <v>0</v>
      </c>
      <c r="T446" s="18">
        <v>166</v>
      </c>
      <c r="U446" s="18">
        <v>1</v>
      </c>
      <c r="V446" s="18">
        <v>1</v>
      </c>
      <c r="W446" s="18">
        <v>0</v>
      </c>
      <c r="X446" s="18">
        <v>0.02564</v>
      </c>
      <c r="Y446" s="18">
        <v>6.69</v>
      </c>
      <c r="Z446" s="18">
        <v>6.69</v>
      </c>
      <c r="AA446" s="18">
        <v>24.82</v>
      </c>
      <c r="AB446" s="18">
        <v>2</v>
      </c>
      <c r="AC446" s="18">
        <v>1</v>
      </c>
      <c r="AD446" s="18">
        <v>1</v>
      </c>
      <c r="AE446" s="18">
        <v>0.05128</v>
      </c>
      <c r="AF446" s="18">
        <v>0</v>
      </c>
      <c r="AG446" s="18">
        <v>2</v>
      </c>
      <c r="AH446" s="18">
        <v>12.41</v>
      </c>
      <c r="AI446" s="18">
        <v>4</v>
      </c>
      <c r="AJ446" s="18">
        <v>6.21</v>
      </c>
      <c r="AK446" s="18">
        <v>2</v>
      </c>
      <c r="AL446" s="18">
        <v>12.41</v>
      </c>
      <c r="AM446" s="18">
        <v>2</v>
      </c>
      <c r="AN446" s="18"/>
      <c r="AO446" s="18">
        <v>0</v>
      </c>
      <c r="AP446" s="18">
        <v>12.41</v>
      </c>
      <c r="AQ446" s="18">
        <v>2</v>
      </c>
      <c r="AR446" s="18">
        <v>245.9</v>
      </c>
      <c r="AS446" s="18">
        <v>0</v>
      </c>
      <c r="AT446" s="18">
        <v>0</v>
      </c>
      <c r="AU446" s="18">
        <v>0</v>
      </c>
      <c r="AV446" s="18">
        <v>0</v>
      </c>
      <c r="AW446" s="18">
        <v>0</v>
      </c>
      <c r="AX446" s="18">
        <v>3</v>
      </c>
      <c r="AY446" s="18">
        <v>154</v>
      </c>
      <c r="AZ446" s="18">
        <v>36</v>
      </c>
      <c r="BA446" s="18">
        <v>23</v>
      </c>
      <c r="BB446" s="18">
        <v>0.63889</v>
      </c>
      <c r="BC446" s="18">
        <v>0</v>
      </c>
      <c r="BD446" s="18">
        <v>0</v>
      </c>
      <c r="BE446" s="18">
        <v>0.18182</v>
      </c>
      <c r="BF446" s="18">
        <v>113</v>
      </c>
      <c r="BG446" s="18">
        <v>4</v>
      </c>
      <c r="BH446" s="18">
        <v>1</v>
      </c>
      <c r="BI446" s="18">
        <v>1</v>
      </c>
      <c r="BJ446" s="18">
        <v>0</v>
      </c>
      <c r="BK446" s="18">
        <v>0</v>
      </c>
      <c r="BL446" s="18">
        <v>0</v>
      </c>
      <c r="BM446" s="18">
        <v>1</v>
      </c>
      <c r="BN446" s="18">
        <v>1</v>
      </c>
      <c r="BO446" s="18">
        <v>166</v>
      </c>
      <c r="BP446" s="18">
        <v>0</v>
      </c>
      <c r="BQ446" s="18">
        <v>168</v>
      </c>
      <c r="BR446" s="18">
        <v>0</v>
      </c>
      <c r="BS446" s="18">
        <v>0</v>
      </c>
      <c r="BT446" s="18">
        <v>0</v>
      </c>
      <c r="BU446" s="18">
        <v>0</v>
      </c>
      <c r="BV446" s="18">
        <v>0</v>
      </c>
      <c r="BW446" s="18">
        <v>0</v>
      </c>
      <c r="BX446" s="18">
        <v>0</v>
      </c>
    </row>
    <row r="447" spans="1:76">
      <c r="A447" s="14" t="str">
        <f>VLOOKUP(C447,VLOOKUP!A:B,2,FALSE)</f>
        <v>太樾归真</v>
      </c>
      <c r="B447" s="19">
        <v>46188</v>
      </c>
      <c r="C447" s="20">
        <v>1051919021880</v>
      </c>
      <c r="D447" s="18" t="s">
        <v>151</v>
      </c>
      <c r="E447" s="18" t="s">
        <v>163</v>
      </c>
      <c r="F447" s="18">
        <v>1221</v>
      </c>
      <c r="G447" s="18">
        <v>58</v>
      </c>
      <c r="H447" s="18">
        <v>40.98</v>
      </c>
      <c r="I447" s="18">
        <v>0.0475</v>
      </c>
      <c r="J447" s="18">
        <v>0.71</v>
      </c>
      <c r="K447" s="18">
        <v>33.56</v>
      </c>
      <c r="L447" s="18">
        <v>0</v>
      </c>
      <c r="M447" s="18">
        <v>0</v>
      </c>
      <c r="N447" s="18">
        <v>0</v>
      </c>
      <c r="O447" s="18">
        <v>0</v>
      </c>
      <c r="P447" s="18">
        <v>0</v>
      </c>
      <c r="Q447" s="18">
        <v>0</v>
      </c>
      <c r="R447" s="18">
        <v>0</v>
      </c>
      <c r="S447" s="18">
        <v>0</v>
      </c>
      <c r="T447" s="18">
        <v>0</v>
      </c>
      <c r="U447" s="18">
        <v>0</v>
      </c>
      <c r="V447" s="18">
        <v>0</v>
      </c>
      <c r="W447" s="18">
        <v>0</v>
      </c>
      <c r="X447" s="18">
        <v>0</v>
      </c>
      <c r="Y447" s="18">
        <v>0</v>
      </c>
      <c r="Z447" s="18">
        <v>0</v>
      </c>
      <c r="AA447" s="18"/>
      <c r="AB447" s="18">
        <v>1</v>
      </c>
      <c r="AC447" s="18">
        <v>0</v>
      </c>
      <c r="AD447" s="18">
        <v>1</v>
      </c>
      <c r="AE447" s="18">
        <v>0.01724</v>
      </c>
      <c r="AF447" s="18">
        <v>1</v>
      </c>
      <c r="AG447" s="18">
        <v>0</v>
      </c>
      <c r="AH447" s="18"/>
      <c r="AI447" s="18">
        <v>2</v>
      </c>
      <c r="AJ447" s="18">
        <v>20.49</v>
      </c>
      <c r="AK447" s="18">
        <v>2</v>
      </c>
      <c r="AL447" s="18">
        <v>20.49</v>
      </c>
      <c r="AM447" s="18">
        <v>1</v>
      </c>
      <c r="AN447" s="18">
        <v>40.98</v>
      </c>
      <c r="AO447" s="18">
        <v>0.01724</v>
      </c>
      <c r="AP447" s="18">
        <v>40.98</v>
      </c>
      <c r="AQ447" s="18">
        <v>0</v>
      </c>
      <c r="AR447" s="18">
        <v>0</v>
      </c>
      <c r="AS447" s="18">
        <v>1</v>
      </c>
      <c r="AT447" s="18">
        <v>0</v>
      </c>
      <c r="AU447" s="18">
        <v>0</v>
      </c>
      <c r="AV447" s="18">
        <v>0</v>
      </c>
      <c r="AW447" s="18">
        <v>0</v>
      </c>
      <c r="AX447" s="18">
        <v>0</v>
      </c>
      <c r="AY447" s="18">
        <v>97</v>
      </c>
      <c r="AZ447" s="18">
        <v>37</v>
      </c>
      <c r="BA447" s="18">
        <v>28</v>
      </c>
      <c r="BB447" s="18">
        <v>0.75676</v>
      </c>
      <c r="BC447" s="18">
        <v>0</v>
      </c>
      <c r="BD447" s="18">
        <v>0</v>
      </c>
      <c r="BE447" s="18">
        <v>0.07944</v>
      </c>
      <c r="BF447" s="18">
        <v>30</v>
      </c>
      <c r="BG447" s="18">
        <v>3</v>
      </c>
      <c r="BH447" s="18">
        <v>0</v>
      </c>
      <c r="BI447" s="18"/>
      <c r="BJ447" s="18">
        <v>0</v>
      </c>
      <c r="BK447" s="18">
        <v>0</v>
      </c>
      <c r="BL447" s="18">
        <v>0</v>
      </c>
      <c r="BM447" s="18">
        <v>0</v>
      </c>
      <c r="BN447" s="18"/>
      <c r="BO447" s="18"/>
      <c r="BP447" s="18">
        <v>0.01</v>
      </c>
      <c r="BQ447" s="18">
        <v>42</v>
      </c>
      <c r="BR447" s="18">
        <v>0</v>
      </c>
      <c r="BS447" s="18">
        <v>0</v>
      </c>
      <c r="BT447" s="18">
        <v>0</v>
      </c>
      <c r="BU447" s="18">
        <v>0</v>
      </c>
      <c r="BV447" s="18">
        <v>0</v>
      </c>
      <c r="BW447" s="18">
        <v>0</v>
      </c>
      <c r="BX447" s="18">
        <v>0</v>
      </c>
    </row>
    <row r="448" spans="1:76">
      <c r="A448" s="14" t="str">
        <f>VLOOKUP(C448,VLOOKUP!A:B,2,FALSE)</f>
        <v>早晚安香</v>
      </c>
      <c r="B448" s="19">
        <v>46188</v>
      </c>
      <c r="C448" s="20">
        <v>1010789122929</v>
      </c>
      <c r="D448" s="18" t="s">
        <v>151</v>
      </c>
      <c r="E448" s="18" t="s">
        <v>164</v>
      </c>
      <c r="F448" s="18">
        <v>2290</v>
      </c>
      <c r="G448" s="18">
        <v>92</v>
      </c>
      <c r="H448" s="18">
        <v>66.89</v>
      </c>
      <c r="I448" s="18">
        <v>0.04017</v>
      </c>
      <c r="J448" s="18">
        <v>0.73</v>
      </c>
      <c r="K448" s="18">
        <v>29.21</v>
      </c>
      <c r="L448" s="18">
        <v>0</v>
      </c>
      <c r="M448" s="18">
        <v>0</v>
      </c>
      <c r="N448" s="18">
        <v>0</v>
      </c>
      <c r="O448" s="18">
        <v>0</v>
      </c>
      <c r="P448" s="18">
        <v>0</v>
      </c>
      <c r="Q448" s="18">
        <v>0</v>
      </c>
      <c r="R448" s="18">
        <v>0</v>
      </c>
      <c r="S448" s="18">
        <v>0</v>
      </c>
      <c r="T448" s="18">
        <v>0</v>
      </c>
      <c r="U448" s="18">
        <v>0</v>
      </c>
      <c r="V448" s="18">
        <v>0</v>
      </c>
      <c r="W448" s="18">
        <v>0</v>
      </c>
      <c r="X448" s="18">
        <v>0</v>
      </c>
      <c r="Y448" s="18">
        <v>0</v>
      </c>
      <c r="Z448" s="18">
        <v>0</v>
      </c>
      <c r="AA448" s="18"/>
      <c r="AB448" s="18">
        <v>2</v>
      </c>
      <c r="AC448" s="18">
        <v>1</v>
      </c>
      <c r="AD448" s="18">
        <v>1</v>
      </c>
      <c r="AE448" s="18">
        <v>0.02174</v>
      </c>
      <c r="AF448" s="18">
        <v>0</v>
      </c>
      <c r="AG448" s="18">
        <v>0</v>
      </c>
      <c r="AH448" s="18"/>
      <c r="AI448" s="18">
        <v>2</v>
      </c>
      <c r="AJ448" s="18">
        <v>33.45</v>
      </c>
      <c r="AK448" s="18">
        <v>2</v>
      </c>
      <c r="AL448" s="18">
        <v>33.45</v>
      </c>
      <c r="AM448" s="18">
        <v>0</v>
      </c>
      <c r="AN448" s="18"/>
      <c r="AO448" s="18">
        <v>0</v>
      </c>
      <c r="AP448" s="18">
        <v>33.45</v>
      </c>
      <c r="AQ448" s="18">
        <v>0</v>
      </c>
      <c r="AR448" s="18">
        <v>0</v>
      </c>
      <c r="AS448" s="18">
        <v>0</v>
      </c>
      <c r="AT448" s="18">
        <v>0</v>
      </c>
      <c r="AU448" s="18">
        <v>0</v>
      </c>
      <c r="AV448" s="18">
        <v>0</v>
      </c>
      <c r="AW448" s="18">
        <v>0</v>
      </c>
      <c r="AX448" s="18">
        <v>1</v>
      </c>
      <c r="AY448" s="18">
        <v>153</v>
      </c>
      <c r="AZ448" s="18">
        <v>79</v>
      </c>
      <c r="BA448" s="18">
        <v>50</v>
      </c>
      <c r="BB448" s="18">
        <v>0.63291</v>
      </c>
      <c r="BC448" s="18">
        <v>0</v>
      </c>
      <c r="BD448" s="18">
        <v>0</v>
      </c>
      <c r="BE448" s="18">
        <v>0.06681</v>
      </c>
      <c r="BF448" s="18">
        <v>57</v>
      </c>
      <c r="BG448" s="18">
        <v>2</v>
      </c>
      <c r="BH448" s="18">
        <v>0</v>
      </c>
      <c r="BI448" s="18"/>
      <c r="BJ448" s="18">
        <v>0</v>
      </c>
      <c r="BK448" s="18">
        <v>0</v>
      </c>
      <c r="BL448" s="18">
        <v>0</v>
      </c>
      <c r="BM448" s="18">
        <v>0</v>
      </c>
      <c r="BN448" s="18"/>
      <c r="BO448" s="18"/>
      <c r="BP448" s="18">
        <v>0.11</v>
      </c>
      <c r="BQ448" s="18">
        <v>139</v>
      </c>
      <c r="BR448" s="18">
        <v>0</v>
      </c>
      <c r="BS448" s="18">
        <v>0</v>
      </c>
      <c r="BT448" s="18">
        <v>0</v>
      </c>
      <c r="BU448" s="18">
        <v>0</v>
      </c>
      <c r="BV448" s="18">
        <v>0</v>
      </c>
      <c r="BW448" s="18">
        <v>0</v>
      </c>
      <c r="BX448" s="18">
        <v>0</v>
      </c>
    </row>
    <row r="449" spans="1:76">
      <c r="A449" s="14" t="str">
        <f>VLOOKUP(C449,VLOOKUP!A:B,2,FALSE)</f>
        <v>荔枝香</v>
      </c>
      <c r="B449" s="19">
        <v>46188</v>
      </c>
      <c r="C449" s="20">
        <v>960406497157</v>
      </c>
      <c r="D449" s="18" t="s">
        <v>151</v>
      </c>
      <c r="E449" s="18" t="s">
        <v>165</v>
      </c>
      <c r="F449" s="18">
        <v>1857</v>
      </c>
      <c r="G449" s="18">
        <v>133</v>
      </c>
      <c r="H449" s="18">
        <v>83.36</v>
      </c>
      <c r="I449" s="18">
        <v>0.07162</v>
      </c>
      <c r="J449" s="18">
        <v>0.63</v>
      </c>
      <c r="K449" s="18">
        <v>44.89</v>
      </c>
      <c r="L449" s="18">
        <v>0</v>
      </c>
      <c r="M449" s="18">
        <v>0</v>
      </c>
      <c r="N449" s="18">
        <v>0</v>
      </c>
      <c r="O449" s="18">
        <v>0</v>
      </c>
      <c r="P449" s="18">
        <v>0</v>
      </c>
      <c r="Q449" s="18">
        <v>0</v>
      </c>
      <c r="R449" s="18">
        <v>142</v>
      </c>
      <c r="S449" s="18">
        <v>0</v>
      </c>
      <c r="T449" s="18">
        <v>142</v>
      </c>
      <c r="U449" s="18">
        <v>1</v>
      </c>
      <c r="V449" s="18">
        <v>1</v>
      </c>
      <c r="W449" s="18">
        <v>0</v>
      </c>
      <c r="X449" s="18">
        <v>0.00752</v>
      </c>
      <c r="Y449" s="18">
        <v>1.7</v>
      </c>
      <c r="Z449" s="18">
        <v>1.7</v>
      </c>
      <c r="AA449" s="18">
        <v>83.36</v>
      </c>
      <c r="AB449" s="18">
        <v>7</v>
      </c>
      <c r="AC449" s="18">
        <v>6</v>
      </c>
      <c r="AD449" s="18">
        <v>1</v>
      </c>
      <c r="AE449" s="18">
        <v>0.05263</v>
      </c>
      <c r="AF449" s="18">
        <v>1</v>
      </c>
      <c r="AG449" s="18">
        <v>0</v>
      </c>
      <c r="AH449" s="18"/>
      <c r="AI449" s="18">
        <v>8</v>
      </c>
      <c r="AJ449" s="18">
        <v>10.42</v>
      </c>
      <c r="AK449" s="18">
        <v>8</v>
      </c>
      <c r="AL449" s="18">
        <v>10.42</v>
      </c>
      <c r="AM449" s="18">
        <v>1</v>
      </c>
      <c r="AN449" s="18">
        <v>83.36</v>
      </c>
      <c r="AO449" s="18">
        <v>0.00752</v>
      </c>
      <c r="AP449" s="18">
        <v>11.91</v>
      </c>
      <c r="AQ449" s="18">
        <v>2</v>
      </c>
      <c r="AR449" s="18">
        <v>217.9</v>
      </c>
      <c r="AS449" s="18">
        <v>1</v>
      </c>
      <c r="AT449" s="18">
        <v>0</v>
      </c>
      <c r="AU449" s="18">
        <v>0</v>
      </c>
      <c r="AV449" s="18">
        <v>0</v>
      </c>
      <c r="AW449" s="18">
        <v>0</v>
      </c>
      <c r="AX449" s="18">
        <v>1</v>
      </c>
      <c r="AY449" s="18">
        <v>276</v>
      </c>
      <c r="AZ449" s="18">
        <v>118</v>
      </c>
      <c r="BA449" s="18">
        <v>81</v>
      </c>
      <c r="BB449" s="18">
        <v>0.68644</v>
      </c>
      <c r="BC449" s="18">
        <v>0</v>
      </c>
      <c r="BD449" s="18">
        <v>0</v>
      </c>
      <c r="BE449" s="18">
        <v>0.14863</v>
      </c>
      <c r="BF449" s="18">
        <v>112</v>
      </c>
      <c r="BG449" s="18">
        <v>2</v>
      </c>
      <c r="BH449" s="18">
        <v>1</v>
      </c>
      <c r="BI449" s="18">
        <v>1</v>
      </c>
      <c r="BJ449" s="18">
        <v>0</v>
      </c>
      <c r="BK449" s="18">
        <v>0</v>
      </c>
      <c r="BL449" s="18">
        <v>0</v>
      </c>
      <c r="BM449" s="18">
        <v>1</v>
      </c>
      <c r="BN449" s="18">
        <v>1</v>
      </c>
      <c r="BO449" s="18">
        <v>142</v>
      </c>
      <c r="BP449" s="18">
        <v>0</v>
      </c>
      <c r="BQ449" s="18">
        <v>510</v>
      </c>
      <c r="BR449" s="18">
        <v>0</v>
      </c>
      <c r="BS449" s="18">
        <v>0</v>
      </c>
      <c r="BT449" s="18">
        <v>0</v>
      </c>
      <c r="BU449" s="18">
        <v>0</v>
      </c>
      <c r="BV449" s="18">
        <v>0</v>
      </c>
      <c r="BW449" s="18">
        <v>0</v>
      </c>
      <c r="BX449" s="18">
        <v>0</v>
      </c>
    </row>
    <row r="450" spans="1:76">
      <c r="A450" s="14" t="str">
        <f>VLOOKUP(C450,VLOOKUP!A:B,2,FALSE)</f>
        <v>如意盘香</v>
      </c>
      <c r="B450" s="19">
        <v>46188</v>
      </c>
      <c r="C450" s="20">
        <v>838711327669</v>
      </c>
      <c r="D450" s="18" t="s">
        <v>151</v>
      </c>
      <c r="E450" s="18" t="s">
        <v>166</v>
      </c>
      <c r="F450" s="18">
        <v>822</v>
      </c>
      <c r="G450" s="18">
        <v>32</v>
      </c>
      <c r="H450" s="18">
        <v>47.71</v>
      </c>
      <c r="I450" s="18">
        <v>0.03893</v>
      </c>
      <c r="J450" s="18">
        <v>1.49</v>
      </c>
      <c r="K450" s="18">
        <v>58.04</v>
      </c>
      <c r="L450" s="18">
        <v>0</v>
      </c>
      <c r="M450" s="18">
        <v>0</v>
      </c>
      <c r="N450" s="18">
        <v>0</v>
      </c>
      <c r="O450" s="18">
        <v>0</v>
      </c>
      <c r="P450" s="18">
        <v>0</v>
      </c>
      <c r="Q450" s="18">
        <v>0</v>
      </c>
      <c r="R450" s="18">
        <v>0</v>
      </c>
      <c r="S450" s="18">
        <v>16.1</v>
      </c>
      <c r="T450" s="18">
        <v>16.1</v>
      </c>
      <c r="U450" s="18">
        <v>1</v>
      </c>
      <c r="V450" s="18">
        <v>0</v>
      </c>
      <c r="W450" s="18">
        <v>1</v>
      </c>
      <c r="X450" s="18">
        <v>0.03125</v>
      </c>
      <c r="Y450" s="18">
        <v>0.34</v>
      </c>
      <c r="Z450" s="18">
        <v>0.34</v>
      </c>
      <c r="AA450" s="18">
        <v>47.71</v>
      </c>
      <c r="AB450" s="18">
        <v>2</v>
      </c>
      <c r="AC450" s="18">
        <v>0</v>
      </c>
      <c r="AD450" s="18">
        <v>2</v>
      </c>
      <c r="AE450" s="18">
        <v>0.0625</v>
      </c>
      <c r="AF450" s="18">
        <v>0</v>
      </c>
      <c r="AG450" s="18">
        <v>0</v>
      </c>
      <c r="AH450" s="18"/>
      <c r="AI450" s="18">
        <v>2</v>
      </c>
      <c r="AJ450" s="18">
        <v>23.86</v>
      </c>
      <c r="AK450" s="18">
        <v>2</v>
      </c>
      <c r="AL450" s="18">
        <v>23.86</v>
      </c>
      <c r="AM450" s="18">
        <v>0</v>
      </c>
      <c r="AN450" s="18"/>
      <c r="AO450" s="18">
        <v>0</v>
      </c>
      <c r="AP450" s="18">
        <v>23.86</v>
      </c>
      <c r="AQ450" s="18">
        <v>1</v>
      </c>
      <c r="AR450" s="18">
        <v>19</v>
      </c>
      <c r="AS450" s="18">
        <v>0</v>
      </c>
      <c r="AT450" s="18">
        <v>0</v>
      </c>
      <c r="AU450" s="18">
        <v>0</v>
      </c>
      <c r="AV450" s="18">
        <v>0</v>
      </c>
      <c r="AW450" s="18">
        <v>0</v>
      </c>
      <c r="AX450" s="18">
        <v>1</v>
      </c>
      <c r="AY450" s="18">
        <v>109</v>
      </c>
      <c r="AZ450" s="18">
        <v>30</v>
      </c>
      <c r="BA450" s="18">
        <v>19</v>
      </c>
      <c r="BB450" s="18">
        <v>0.63333</v>
      </c>
      <c r="BC450" s="18">
        <v>0</v>
      </c>
      <c r="BD450" s="18">
        <v>0</v>
      </c>
      <c r="BE450" s="18">
        <v>0.1326</v>
      </c>
      <c r="BF450" s="18">
        <v>75</v>
      </c>
      <c r="BG450" s="18">
        <v>4</v>
      </c>
      <c r="BH450" s="18">
        <v>0</v>
      </c>
      <c r="BI450" s="18">
        <v>0</v>
      </c>
      <c r="BJ450" s="18">
        <v>0</v>
      </c>
      <c r="BK450" s="18">
        <v>0</v>
      </c>
      <c r="BL450" s="18">
        <v>0</v>
      </c>
      <c r="BM450" s="18">
        <v>1</v>
      </c>
      <c r="BN450" s="18">
        <v>1</v>
      </c>
      <c r="BO450" s="18">
        <v>16.1</v>
      </c>
      <c r="BP450" s="18">
        <v>28.98</v>
      </c>
      <c r="BQ450" s="18">
        <v>38</v>
      </c>
      <c r="BR450" s="18">
        <v>0</v>
      </c>
      <c r="BS450" s="18">
        <v>0</v>
      </c>
      <c r="BT450" s="18">
        <v>0</v>
      </c>
      <c r="BU450" s="18">
        <v>0</v>
      </c>
      <c r="BV450" s="18">
        <v>0</v>
      </c>
      <c r="BW450" s="18">
        <v>0</v>
      </c>
      <c r="BX450" s="18">
        <v>0</v>
      </c>
    </row>
    <row r="451" spans="1:76">
      <c r="A451" s="14" t="str">
        <f>VLOOKUP(C451,VLOOKUP!A:B,2,FALSE)</f>
        <v>太樾归真</v>
      </c>
      <c r="B451" s="19">
        <v>46187</v>
      </c>
      <c r="C451" s="20">
        <v>1051919021880</v>
      </c>
      <c r="D451" s="18" t="s">
        <v>151</v>
      </c>
      <c r="E451" s="18" t="s">
        <v>163</v>
      </c>
      <c r="F451" s="18">
        <v>1226</v>
      </c>
      <c r="G451" s="18">
        <v>57</v>
      </c>
      <c r="H451" s="18">
        <v>38.1</v>
      </c>
      <c r="I451" s="18">
        <v>0.04649</v>
      </c>
      <c r="J451" s="18">
        <v>0.67</v>
      </c>
      <c r="K451" s="18">
        <v>31.08</v>
      </c>
      <c r="L451" s="18">
        <v>0</v>
      </c>
      <c r="M451" s="18">
        <v>0</v>
      </c>
      <c r="N451" s="18">
        <v>0</v>
      </c>
      <c r="O451" s="18">
        <v>0</v>
      </c>
      <c r="P451" s="18">
        <v>0</v>
      </c>
      <c r="Q451" s="18">
        <v>0</v>
      </c>
      <c r="R451" s="18">
        <v>0</v>
      </c>
      <c r="S451" s="18">
        <v>0</v>
      </c>
      <c r="T451" s="18">
        <v>0</v>
      </c>
      <c r="U451" s="18">
        <v>0</v>
      </c>
      <c r="V451" s="18">
        <v>0</v>
      </c>
      <c r="W451" s="18">
        <v>0</v>
      </c>
      <c r="X451" s="18">
        <v>0</v>
      </c>
      <c r="Y451" s="18">
        <v>0</v>
      </c>
      <c r="Z451" s="18">
        <v>0</v>
      </c>
      <c r="AA451" s="18"/>
      <c r="AB451" s="18">
        <v>1</v>
      </c>
      <c r="AC451" s="18">
        <v>1</v>
      </c>
      <c r="AD451" s="18">
        <v>0</v>
      </c>
      <c r="AE451" s="18">
        <v>0.01754</v>
      </c>
      <c r="AF451" s="18">
        <v>0</v>
      </c>
      <c r="AG451" s="18">
        <v>0</v>
      </c>
      <c r="AH451" s="18"/>
      <c r="AI451" s="18">
        <v>1</v>
      </c>
      <c r="AJ451" s="18">
        <v>38.1</v>
      </c>
      <c r="AK451" s="18">
        <v>1</v>
      </c>
      <c r="AL451" s="18">
        <v>38.1</v>
      </c>
      <c r="AM451" s="18">
        <v>0</v>
      </c>
      <c r="AN451" s="18"/>
      <c r="AO451" s="18">
        <v>0</v>
      </c>
      <c r="AP451" s="18">
        <v>38.1</v>
      </c>
      <c r="AQ451" s="18">
        <v>0</v>
      </c>
      <c r="AR451" s="18">
        <v>0</v>
      </c>
      <c r="AS451" s="18">
        <v>0</v>
      </c>
      <c r="AT451" s="18">
        <v>0</v>
      </c>
      <c r="AU451" s="18">
        <v>0</v>
      </c>
      <c r="AV451" s="18">
        <v>0</v>
      </c>
      <c r="AW451" s="18">
        <v>0</v>
      </c>
      <c r="AX451" s="18">
        <v>0</v>
      </c>
      <c r="AY451" s="18">
        <v>85</v>
      </c>
      <c r="AZ451" s="18">
        <v>42</v>
      </c>
      <c r="BA451" s="18">
        <v>34</v>
      </c>
      <c r="BB451" s="18">
        <v>0.80952</v>
      </c>
      <c r="BC451" s="18">
        <v>0</v>
      </c>
      <c r="BD451" s="18">
        <v>0</v>
      </c>
      <c r="BE451" s="18">
        <v>0.06933</v>
      </c>
      <c r="BF451" s="18">
        <v>25</v>
      </c>
      <c r="BG451" s="18">
        <v>2</v>
      </c>
      <c r="BH451" s="18">
        <v>0</v>
      </c>
      <c r="BI451" s="18"/>
      <c r="BJ451" s="18">
        <v>0</v>
      </c>
      <c r="BK451" s="18">
        <v>0</v>
      </c>
      <c r="BL451" s="18">
        <v>0</v>
      </c>
      <c r="BM451" s="18">
        <v>0</v>
      </c>
      <c r="BN451" s="18"/>
      <c r="BO451" s="18"/>
      <c r="BP451" s="18">
        <v>0.17</v>
      </c>
      <c r="BQ451" s="18">
        <v>26</v>
      </c>
      <c r="BR451" s="18">
        <v>0</v>
      </c>
      <c r="BS451" s="18">
        <v>0</v>
      </c>
      <c r="BT451" s="18">
        <v>0</v>
      </c>
      <c r="BU451" s="18">
        <v>0</v>
      </c>
      <c r="BV451" s="18">
        <v>0</v>
      </c>
      <c r="BW451" s="18">
        <v>0</v>
      </c>
      <c r="BX451" s="18">
        <v>0</v>
      </c>
    </row>
    <row r="452" spans="1:76">
      <c r="A452" s="14" t="str">
        <f>VLOOKUP(C452,VLOOKUP!A:B,2,FALSE)</f>
        <v>早晚安香</v>
      </c>
      <c r="B452" s="19">
        <v>46187</v>
      </c>
      <c r="C452" s="20">
        <v>1010789122929</v>
      </c>
      <c r="D452" s="18" t="s">
        <v>151</v>
      </c>
      <c r="E452" s="18" t="s">
        <v>164</v>
      </c>
      <c r="F452" s="18">
        <v>2870</v>
      </c>
      <c r="G452" s="18">
        <v>96</v>
      </c>
      <c r="H452" s="18">
        <v>75.79</v>
      </c>
      <c r="I452" s="18">
        <v>0.03345</v>
      </c>
      <c r="J452" s="18">
        <v>0.79</v>
      </c>
      <c r="K452" s="18">
        <v>26.41</v>
      </c>
      <c r="L452" s="18">
        <v>0</v>
      </c>
      <c r="M452" s="18">
        <v>0</v>
      </c>
      <c r="N452" s="18">
        <v>0</v>
      </c>
      <c r="O452" s="18">
        <v>0</v>
      </c>
      <c r="P452" s="18">
        <v>0</v>
      </c>
      <c r="Q452" s="18">
        <v>0</v>
      </c>
      <c r="R452" s="18">
        <v>0</v>
      </c>
      <c r="S452" s="18">
        <v>0</v>
      </c>
      <c r="T452" s="18">
        <v>0</v>
      </c>
      <c r="U452" s="18">
        <v>0</v>
      </c>
      <c r="V452" s="18">
        <v>0</v>
      </c>
      <c r="W452" s="18">
        <v>0</v>
      </c>
      <c r="X452" s="18">
        <v>0</v>
      </c>
      <c r="Y452" s="18">
        <v>0</v>
      </c>
      <c r="Z452" s="18">
        <v>0</v>
      </c>
      <c r="AA452" s="18"/>
      <c r="AB452" s="18">
        <v>9</v>
      </c>
      <c r="AC452" s="18">
        <v>3</v>
      </c>
      <c r="AD452" s="18">
        <v>6</v>
      </c>
      <c r="AE452" s="18">
        <v>0.09375</v>
      </c>
      <c r="AF452" s="18">
        <v>3</v>
      </c>
      <c r="AG452" s="18">
        <v>2</v>
      </c>
      <c r="AH452" s="18">
        <v>37.9</v>
      </c>
      <c r="AI452" s="18">
        <v>14</v>
      </c>
      <c r="AJ452" s="18">
        <v>5.41</v>
      </c>
      <c r="AK452" s="18">
        <v>12</v>
      </c>
      <c r="AL452" s="18">
        <v>6.32</v>
      </c>
      <c r="AM452" s="18">
        <v>5</v>
      </c>
      <c r="AN452" s="18">
        <v>25.26</v>
      </c>
      <c r="AO452" s="18">
        <v>0.03125</v>
      </c>
      <c r="AP452" s="18">
        <v>8.42</v>
      </c>
      <c r="AQ452" s="18">
        <v>0</v>
      </c>
      <c r="AR452" s="18">
        <v>0</v>
      </c>
      <c r="AS452" s="18">
        <v>2</v>
      </c>
      <c r="AT452" s="18">
        <v>1</v>
      </c>
      <c r="AU452" s="18">
        <v>0</v>
      </c>
      <c r="AV452" s="18">
        <v>0</v>
      </c>
      <c r="AW452" s="18">
        <v>0</v>
      </c>
      <c r="AX452" s="18">
        <v>0</v>
      </c>
      <c r="AY452" s="18">
        <v>168</v>
      </c>
      <c r="AZ452" s="18">
        <v>79</v>
      </c>
      <c r="BA452" s="18">
        <v>49</v>
      </c>
      <c r="BB452" s="18">
        <v>0.62025</v>
      </c>
      <c r="BC452" s="18">
        <v>0</v>
      </c>
      <c r="BD452" s="18">
        <v>0</v>
      </c>
      <c r="BE452" s="18">
        <v>0.05854</v>
      </c>
      <c r="BF452" s="18">
        <v>70</v>
      </c>
      <c r="BG452" s="18">
        <v>2</v>
      </c>
      <c r="BH452" s="18">
        <v>0</v>
      </c>
      <c r="BI452" s="18"/>
      <c r="BJ452" s="18">
        <v>0</v>
      </c>
      <c r="BK452" s="18">
        <v>0</v>
      </c>
      <c r="BL452" s="18">
        <v>0</v>
      </c>
      <c r="BM452" s="18">
        <v>0</v>
      </c>
      <c r="BN452" s="18"/>
      <c r="BO452" s="18"/>
      <c r="BP452" s="18">
        <v>31.74</v>
      </c>
      <c r="BQ452" s="18">
        <v>303</v>
      </c>
      <c r="BR452" s="18">
        <v>0</v>
      </c>
      <c r="BS452" s="18">
        <v>0</v>
      </c>
      <c r="BT452" s="18">
        <v>0</v>
      </c>
      <c r="BU452" s="18">
        <v>0</v>
      </c>
      <c r="BV452" s="18">
        <v>0</v>
      </c>
      <c r="BW452" s="18">
        <v>0</v>
      </c>
      <c r="BX452" s="18">
        <v>0</v>
      </c>
    </row>
    <row r="453" spans="1:76">
      <c r="A453" s="14" t="str">
        <f>VLOOKUP(C453,VLOOKUP!A:B,2,FALSE)</f>
        <v>荔枝香</v>
      </c>
      <c r="B453" s="19">
        <v>46187</v>
      </c>
      <c r="C453" s="20">
        <v>960406497157</v>
      </c>
      <c r="D453" s="18" t="s">
        <v>151</v>
      </c>
      <c r="E453" s="18" t="s">
        <v>165</v>
      </c>
      <c r="F453" s="18">
        <v>2453</v>
      </c>
      <c r="G453" s="18">
        <v>214</v>
      </c>
      <c r="H453" s="18">
        <v>95.11</v>
      </c>
      <c r="I453" s="18">
        <v>0.08724</v>
      </c>
      <c r="J453" s="18">
        <v>0.44</v>
      </c>
      <c r="K453" s="18">
        <v>38.77</v>
      </c>
      <c r="L453" s="18">
        <v>0</v>
      </c>
      <c r="M453" s="18">
        <v>0</v>
      </c>
      <c r="N453" s="18">
        <v>0</v>
      </c>
      <c r="O453" s="18">
        <v>0</v>
      </c>
      <c r="P453" s="18">
        <v>0</v>
      </c>
      <c r="Q453" s="18">
        <v>0</v>
      </c>
      <c r="R453" s="18">
        <v>0</v>
      </c>
      <c r="S453" s="18">
        <v>0</v>
      </c>
      <c r="T453" s="18">
        <v>0</v>
      </c>
      <c r="U453" s="18">
        <v>0</v>
      </c>
      <c r="V453" s="18">
        <v>0</v>
      </c>
      <c r="W453" s="18">
        <v>0</v>
      </c>
      <c r="X453" s="18">
        <v>0</v>
      </c>
      <c r="Y453" s="18">
        <v>0</v>
      </c>
      <c r="Z453" s="18">
        <v>0</v>
      </c>
      <c r="AA453" s="18"/>
      <c r="AB453" s="18">
        <v>4</v>
      </c>
      <c r="AC453" s="18">
        <v>4</v>
      </c>
      <c r="AD453" s="18">
        <v>0</v>
      </c>
      <c r="AE453" s="18">
        <v>0.01869</v>
      </c>
      <c r="AF453" s="18">
        <v>3</v>
      </c>
      <c r="AG453" s="18">
        <v>0</v>
      </c>
      <c r="AH453" s="18"/>
      <c r="AI453" s="18">
        <v>7</v>
      </c>
      <c r="AJ453" s="18">
        <v>13.59</v>
      </c>
      <c r="AK453" s="18">
        <v>7</v>
      </c>
      <c r="AL453" s="18">
        <v>13.59</v>
      </c>
      <c r="AM453" s="18">
        <v>3</v>
      </c>
      <c r="AN453" s="18">
        <v>31.7</v>
      </c>
      <c r="AO453" s="18">
        <v>0.01402</v>
      </c>
      <c r="AP453" s="18">
        <v>23.78</v>
      </c>
      <c r="AQ453" s="18">
        <v>0</v>
      </c>
      <c r="AR453" s="18">
        <v>0</v>
      </c>
      <c r="AS453" s="18">
        <v>3</v>
      </c>
      <c r="AT453" s="18">
        <v>0</v>
      </c>
      <c r="AU453" s="18">
        <v>0</v>
      </c>
      <c r="AV453" s="18">
        <v>0</v>
      </c>
      <c r="AW453" s="18">
        <v>0</v>
      </c>
      <c r="AX453" s="18">
        <v>0</v>
      </c>
      <c r="AY453" s="18">
        <v>385</v>
      </c>
      <c r="AZ453" s="18">
        <v>198</v>
      </c>
      <c r="BA453" s="18">
        <v>162</v>
      </c>
      <c r="BB453" s="18">
        <v>0.81818</v>
      </c>
      <c r="BC453" s="18">
        <v>0</v>
      </c>
      <c r="BD453" s="18">
        <v>0</v>
      </c>
      <c r="BE453" s="18">
        <v>0.15695</v>
      </c>
      <c r="BF453" s="18">
        <v>110</v>
      </c>
      <c r="BG453" s="18">
        <v>2</v>
      </c>
      <c r="BH453" s="18">
        <v>0</v>
      </c>
      <c r="BI453" s="18"/>
      <c r="BJ453" s="18">
        <v>0</v>
      </c>
      <c r="BK453" s="18">
        <v>0</v>
      </c>
      <c r="BL453" s="18">
        <v>0</v>
      </c>
      <c r="BM453" s="18">
        <v>0</v>
      </c>
      <c r="BN453" s="18"/>
      <c r="BO453" s="18"/>
      <c r="BP453" s="18">
        <v>18.31</v>
      </c>
      <c r="BQ453" s="18">
        <v>327</v>
      </c>
      <c r="BR453" s="18">
        <v>0</v>
      </c>
      <c r="BS453" s="18">
        <v>0</v>
      </c>
      <c r="BT453" s="18">
        <v>0</v>
      </c>
      <c r="BU453" s="18">
        <v>0</v>
      </c>
      <c r="BV453" s="18">
        <v>0</v>
      </c>
      <c r="BW453" s="18">
        <v>0</v>
      </c>
      <c r="BX453" s="18">
        <v>0</v>
      </c>
    </row>
    <row r="454" spans="1:76">
      <c r="A454" s="14" t="str">
        <f>VLOOKUP(C454,VLOOKUP!A:B,2,FALSE)</f>
        <v>如意盘香</v>
      </c>
      <c r="B454" s="19">
        <v>46187</v>
      </c>
      <c r="C454" s="20">
        <v>838711327669</v>
      </c>
      <c r="D454" s="18" t="s">
        <v>151</v>
      </c>
      <c r="E454" s="18" t="s">
        <v>166</v>
      </c>
      <c r="F454" s="18">
        <v>512</v>
      </c>
      <c r="G454" s="18">
        <v>18</v>
      </c>
      <c r="H454" s="18">
        <v>50</v>
      </c>
      <c r="I454" s="18">
        <v>0.03516</v>
      </c>
      <c r="J454" s="18">
        <v>2.78</v>
      </c>
      <c r="K454" s="18">
        <v>97.66</v>
      </c>
      <c r="L454" s="18">
        <v>0</v>
      </c>
      <c r="M454" s="18">
        <v>0</v>
      </c>
      <c r="N454" s="18">
        <v>0</v>
      </c>
      <c r="O454" s="18">
        <v>0</v>
      </c>
      <c r="P454" s="18">
        <v>0</v>
      </c>
      <c r="Q454" s="18">
        <v>0</v>
      </c>
      <c r="R454" s="18">
        <v>142</v>
      </c>
      <c r="S454" s="18">
        <v>39.8</v>
      </c>
      <c r="T454" s="18">
        <v>181.8</v>
      </c>
      <c r="U454" s="18">
        <v>2</v>
      </c>
      <c r="V454" s="18">
        <v>1</v>
      </c>
      <c r="W454" s="18">
        <v>1</v>
      </c>
      <c r="X454" s="18">
        <v>0.11111</v>
      </c>
      <c r="Y454" s="18">
        <v>3.64</v>
      </c>
      <c r="Z454" s="18">
        <v>3.64</v>
      </c>
      <c r="AA454" s="18">
        <v>25</v>
      </c>
      <c r="AB454" s="18">
        <v>5</v>
      </c>
      <c r="AC454" s="18">
        <v>2</v>
      </c>
      <c r="AD454" s="18">
        <v>3</v>
      </c>
      <c r="AE454" s="18">
        <v>0.27778</v>
      </c>
      <c r="AF454" s="18">
        <v>0</v>
      </c>
      <c r="AG454" s="18">
        <v>0</v>
      </c>
      <c r="AH454" s="18"/>
      <c r="AI454" s="18">
        <v>5</v>
      </c>
      <c r="AJ454" s="18">
        <v>10</v>
      </c>
      <c r="AK454" s="18">
        <v>5</v>
      </c>
      <c r="AL454" s="18">
        <v>10</v>
      </c>
      <c r="AM454" s="18">
        <v>0</v>
      </c>
      <c r="AN454" s="18"/>
      <c r="AO454" s="18">
        <v>0</v>
      </c>
      <c r="AP454" s="18">
        <v>10</v>
      </c>
      <c r="AQ454" s="18">
        <v>2</v>
      </c>
      <c r="AR454" s="18">
        <v>214.9</v>
      </c>
      <c r="AS454" s="18">
        <v>0</v>
      </c>
      <c r="AT454" s="18">
        <v>0</v>
      </c>
      <c r="AU454" s="18">
        <v>0</v>
      </c>
      <c r="AV454" s="18">
        <v>0</v>
      </c>
      <c r="AW454" s="18">
        <v>0</v>
      </c>
      <c r="AX454" s="18">
        <v>1</v>
      </c>
      <c r="AY454" s="18">
        <v>99</v>
      </c>
      <c r="AZ454" s="18">
        <v>17</v>
      </c>
      <c r="BA454" s="18">
        <v>15</v>
      </c>
      <c r="BB454" s="18">
        <v>0.88235</v>
      </c>
      <c r="BC454" s="18">
        <v>0</v>
      </c>
      <c r="BD454" s="18">
        <v>0</v>
      </c>
      <c r="BE454" s="18">
        <v>0.19336</v>
      </c>
      <c r="BF454" s="18">
        <v>76</v>
      </c>
      <c r="BG454" s="18">
        <v>6</v>
      </c>
      <c r="BH454" s="18">
        <v>2</v>
      </c>
      <c r="BI454" s="18">
        <v>1</v>
      </c>
      <c r="BJ454" s="18">
        <v>0</v>
      </c>
      <c r="BK454" s="18">
        <v>0</v>
      </c>
      <c r="BL454" s="18">
        <v>0</v>
      </c>
      <c r="BM454" s="18">
        <v>2</v>
      </c>
      <c r="BN454" s="18">
        <v>1</v>
      </c>
      <c r="BO454" s="18">
        <v>90.9</v>
      </c>
      <c r="BP454" s="18">
        <v>12.16</v>
      </c>
      <c r="BQ454" s="18">
        <v>572</v>
      </c>
      <c r="BR454" s="18">
        <v>0</v>
      </c>
      <c r="BS454" s="18">
        <v>0</v>
      </c>
      <c r="BT454" s="18">
        <v>0</v>
      </c>
      <c r="BU454" s="18">
        <v>0</v>
      </c>
      <c r="BV454" s="18">
        <v>0</v>
      </c>
      <c r="BW454" s="18">
        <v>0</v>
      </c>
      <c r="BX454" s="18">
        <v>0</v>
      </c>
    </row>
    <row r="455" spans="1:76">
      <c r="A455" s="14" t="str">
        <f>VLOOKUP(C455,VLOOKUP!A:B,2,FALSE)</f>
        <v>太樾归真</v>
      </c>
      <c r="B455" s="19">
        <v>46186</v>
      </c>
      <c r="C455" s="20">
        <v>1051919021880</v>
      </c>
      <c r="D455" s="18" t="s">
        <v>151</v>
      </c>
      <c r="E455" s="18" t="s">
        <v>163</v>
      </c>
      <c r="F455" s="18">
        <v>1225</v>
      </c>
      <c r="G455" s="18">
        <v>46</v>
      </c>
      <c r="H455" s="18">
        <v>24.86</v>
      </c>
      <c r="I455" s="18">
        <v>0.03755</v>
      </c>
      <c r="J455" s="18">
        <v>0.54</v>
      </c>
      <c r="K455" s="18">
        <v>20.29</v>
      </c>
      <c r="L455" s="18">
        <v>0</v>
      </c>
      <c r="M455" s="18">
        <v>0</v>
      </c>
      <c r="N455" s="18">
        <v>0</v>
      </c>
      <c r="O455" s="18">
        <v>0</v>
      </c>
      <c r="P455" s="18">
        <v>0</v>
      </c>
      <c r="Q455" s="18">
        <v>0</v>
      </c>
      <c r="R455" s="18">
        <v>0</v>
      </c>
      <c r="S455" s="18">
        <v>0</v>
      </c>
      <c r="T455" s="18">
        <v>0</v>
      </c>
      <c r="U455" s="18">
        <v>0</v>
      </c>
      <c r="V455" s="18">
        <v>0</v>
      </c>
      <c r="W455" s="18">
        <v>0</v>
      </c>
      <c r="X455" s="18">
        <v>0</v>
      </c>
      <c r="Y455" s="18">
        <v>0</v>
      </c>
      <c r="Z455" s="18">
        <v>0</v>
      </c>
      <c r="AA455" s="18"/>
      <c r="AB455" s="18">
        <v>1</v>
      </c>
      <c r="AC455" s="18">
        <v>1</v>
      </c>
      <c r="AD455" s="18">
        <v>0</v>
      </c>
      <c r="AE455" s="18">
        <v>0.02174</v>
      </c>
      <c r="AF455" s="18">
        <v>1</v>
      </c>
      <c r="AG455" s="18">
        <v>0</v>
      </c>
      <c r="AH455" s="18"/>
      <c r="AI455" s="18">
        <v>2</v>
      </c>
      <c r="AJ455" s="18">
        <v>12.43</v>
      </c>
      <c r="AK455" s="18">
        <v>2</v>
      </c>
      <c r="AL455" s="18">
        <v>12.43</v>
      </c>
      <c r="AM455" s="18">
        <v>1</v>
      </c>
      <c r="AN455" s="18">
        <v>24.86</v>
      </c>
      <c r="AO455" s="18">
        <v>0.02174</v>
      </c>
      <c r="AP455" s="18">
        <v>24.86</v>
      </c>
      <c r="AQ455" s="18">
        <v>0</v>
      </c>
      <c r="AR455" s="18">
        <v>0</v>
      </c>
      <c r="AS455" s="18">
        <v>1</v>
      </c>
      <c r="AT455" s="18">
        <v>0</v>
      </c>
      <c r="AU455" s="18">
        <v>0</v>
      </c>
      <c r="AV455" s="18">
        <v>0</v>
      </c>
      <c r="AW455" s="18">
        <v>0</v>
      </c>
      <c r="AX455" s="18">
        <v>1</v>
      </c>
      <c r="AY455" s="18">
        <v>59</v>
      </c>
      <c r="AZ455" s="18">
        <v>39</v>
      </c>
      <c r="BA455" s="18">
        <v>34</v>
      </c>
      <c r="BB455" s="18">
        <v>0.87179</v>
      </c>
      <c r="BC455" s="18">
        <v>0</v>
      </c>
      <c r="BD455" s="18">
        <v>0</v>
      </c>
      <c r="BE455" s="18">
        <v>0.04816</v>
      </c>
      <c r="BF455" s="18">
        <v>12</v>
      </c>
      <c r="BG455" s="18">
        <v>2</v>
      </c>
      <c r="BH455" s="18">
        <v>0</v>
      </c>
      <c r="BI455" s="18"/>
      <c r="BJ455" s="18">
        <v>0</v>
      </c>
      <c r="BK455" s="18">
        <v>0</v>
      </c>
      <c r="BL455" s="18">
        <v>0</v>
      </c>
      <c r="BM455" s="18">
        <v>0</v>
      </c>
      <c r="BN455" s="18"/>
      <c r="BO455" s="18"/>
      <c r="BP455" s="18">
        <v>0.02</v>
      </c>
      <c r="BQ455" s="18">
        <v>20</v>
      </c>
      <c r="BR455" s="18">
        <v>0</v>
      </c>
      <c r="BS455" s="18">
        <v>0</v>
      </c>
      <c r="BT455" s="18">
        <v>0</v>
      </c>
      <c r="BU455" s="18">
        <v>0</v>
      </c>
      <c r="BV455" s="18">
        <v>0</v>
      </c>
      <c r="BW455" s="18">
        <v>0</v>
      </c>
      <c r="BX455" s="18">
        <v>0</v>
      </c>
    </row>
    <row r="456" spans="1:76">
      <c r="A456" s="14" t="str">
        <f>VLOOKUP(C456,VLOOKUP!A:B,2,FALSE)</f>
        <v>早晚安香</v>
      </c>
      <c r="B456" s="19">
        <v>46186</v>
      </c>
      <c r="C456" s="20">
        <v>1010789122929</v>
      </c>
      <c r="D456" s="18" t="s">
        <v>151</v>
      </c>
      <c r="E456" s="18" t="s">
        <v>164</v>
      </c>
      <c r="F456" s="18">
        <v>2372</v>
      </c>
      <c r="G456" s="18">
        <v>105</v>
      </c>
      <c r="H456" s="18">
        <v>77.4</v>
      </c>
      <c r="I456" s="18">
        <v>0.04427</v>
      </c>
      <c r="J456" s="18">
        <v>0.74</v>
      </c>
      <c r="K456" s="18">
        <v>32.63</v>
      </c>
      <c r="L456" s="18">
        <v>0</v>
      </c>
      <c r="M456" s="18">
        <v>0</v>
      </c>
      <c r="N456" s="18">
        <v>0</v>
      </c>
      <c r="O456" s="18">
        <v>0</v>
      </c>
      <c r="P456" s="18">
        <v>0</v>
      </c>
      <c r="Q456" s="18">
        <v>0</v>
      </c>
      <c r="R456" s="18">
        <v>201</v>
      </c>
      <c r="S456" s="18">
        <v>236.1</v>
      </c>
      <c r="T456" s="18">
        <v>437.1</v>
      </c>
      <c r="U456" s="18">
        <v>4</v>
      </c>
      <c r="V456" s="18">
        <v>1</v>
      </c>
      <c r="W456" s="18">
        <v>3</v>
      </c>
      <c r="X456" s="18">
        <v>0.0381</v>
      </c>
      <c r="Y456" s="18">
        <v>5.65</v>
      </c>
      <c r="Z456" s="18">
        <v>5.65</v>
      </c>
      <c r="AA456" s="18">
        <v>19.35</v>
      </c>
      <c r="AB456" s="18">
        <v>6</v>
      </c>
      <c r="AC456" s="18">
        <v>3</v>
      </c>
      <c r="AD456" s="18">
        <v>3</v>
      </c>
      <c r="AE456" s="18">
        <v>0.05714</v>
      </c>
      <c r="AF456" s="18">
        <v>2</v>
      </c>
      <c r="AG456" s="18">
        <v>0</v>
      </c>
      <c r="AH456" s="18"/>
      <c r="AI456" s="18">
        <v>8</v>
      </c>
      <c r="AJ456" s="18">
        <v>9.68</v>
      </c>
      <c r="AK456" s="18">
        <v>8</v>
      </c>
      <c r="AL456" s="18">
        <v>9.68</v>
      </c>
      <c r="AM456" s="18">
        <v>2</v>
      </c>
      <c r="AN456" s="18">
        <v>38.7</v>
      </c>
      <c r="AO456" s="18">
        <v>0.01905</v>
      </c>
      <c r="AP456" s="18">
        <v>12.9</v>
      </c>
      <c r="AQ456" s="18">
        <v>7</v>
      </c>
      <c r="AR456" s="18">
        <v>919.4</v>
      </c>
      <c r="AS456" s="18">
        <v>1</v>
      </c>
      <c r="AT456" s="18">
        <v>1</v>
      </c>
      <c r="AU456" s="18">
        <v>0</v>
      </c>
      <c r="AV456" s="18">
        <v>0</v>
      </c>
      <c r="AW456" s="18">
        <v>0</v>
      </c>
      <c r="AX456" s="18">
        <v>0</v>
      </c>
      <c r="AY456" s="18">
        <v>229</v>
      </c>
      <c r="AZ456" s="18">
        <v>96</v>
      </c>
      <c r="BA456" s="18">
        <v>68</v>
      </c>
      <c r="BB456" s="18">
        <v>0.70833</v>
      </c>
      <c r="BC456" s="18">
        <v>0</v>
      </c>
      <c r="BD456" s="18">
        <v>0</v>
      </c>
      <c r="BE456" s="18">
        <v>0.09654</v>
      </c>
      <c r="BF456" s="18">
        <v>111</v>
      </c>
      <c r="BG456" s="18">
        <v>2</v>
      </c>
      <c r="BH456" s="18">
        <v>1</v>
      </c>
      <c r="BI456" s="18">
        <v>0.5</v>
      </c>
      <c r="BJ456" s="18">
        <v>0</v>
      </c>
      <c r="BK456" s="18">
        <v>0</v>
      </c>
      <c r="BL456" s="18">
        <v>0</v>
      </c>
      <c r="BM456" s="18">
        <v>2</v>
      </c>
      <c r="BN456" s="18">
        <v>2</v>
      </c>
      <c r="BO456" s="18">
        <v>218.55</v>
      </c>
      <c r="BP456" s="18">
        <v>7.58</v>
      </c>
      <c r="BQ456" s="18">
        <v>2315</v>
      </c>
      <c r="BR456" s="18">
        <v>0</v>
      </c>
      <c r="BS456" s="18">
        <v>0</v>
      </c>
      <c r="BT456" s="18">
        <v>0</v>
      </c>
      <c r="BU456" s="18">
        <v>0</v>
      </c>
      <c r="BV456" s="18">
        <v>0</v>
      </c>
      <c r="BW456" s="18">
        <v>0</v>
      </c>
      <c r="BX456" s="18">
        <v>0</v>
      </c>
    </row>
    <row r="457" spans="1:76">
      <c r="A457" s="14" t="str">
        <f>VLOOKUP(C457,VLOOKUP!A:B,2,FALSE)</f>
        <v>荔枝香</v>
      </c>
      <c r="B457" s="19">
        <v>46186</v>
      </c>
      <c r="C457" s="20">
        <v>960406497157</v>
      </c>
      <c r="D457" s="18" t="s">
        <v>151</v>
      </c>
      <c r="E457" s="18" t="s">
        <v>165</v>
      </c>
      <c r="F457" s="18">
        <v>2776</v>
      </c>
      <c r="G457" s="18">
        <v>229</v>
      </c>
      <c r="H457" s="18">
        <v>95.27</v>
      </c>
      <c r="I457" s="18">
        <v>0.08249</v>
      </c>
      <c r="J457" s="18">
        <v>0.42</v>
      </c>
      <c r="K457" s="18">
        <v>34.32</v>
      </c>
      <c r="L457" s="18">
        <v>0</v>
      </c>
      <c r="M457" s="18">
        <v>0</v>
      </c>
      <c r="N457" s="18">
        <v>0</v>
      </c>
      <c r="O457" s="18">
        <v>0</v>
      </c>
      <c r="P457" s="18">
        <v>0</v>
      </c>
      <c r="Q457" s="18">
        <v>0</v>
      </c>
      <c r="R457" s="18">
        <v>0</v>
      </c>
      <c r="S457" s="18">
        <v>0</v>
      </c>
      <c r="T457" s="18">
        <v>0</v>
      </c>
      <c r="U457" s="18">
        <v>0</v>
      </c>
      <c r="V457" s="18">
        <v>0</v>
      </c>
      <c r="W457" s="18">
        <v>0</v>
      </c>
      <c r="X457" s="18">
        <v>0</v>
      </c>
      <c r="Y457" s="18">
        <v>0</v>
      </c>
      <c r="Z457" s="18">
        <v>0</v>
      </c>
      <c r="AA457" s="18"/>
      <c r="AB457" s="18">
        <v>7</v>
      </c>
      <c r="AC457" s="18">
        <v>6</v>
      </c>
      <c r="AD457" s="18">
        <v>1</v>
      </c>
      <c r="AE457" s="18">
        <v>0.03057</v>
      </c>
      <c r="AF457" s="18">
        <v>2</v>
      </c>
      <c r="AG457" s="18">
        <v>1</v>
      </c>
      <c r="AH457" s="18">
        <v>95.27</v>
      </c>
      <c r="AI457" s="18">
        <v>10</v>
      </c>
      <c r="AJ457" s="18">
        <v>9.53</v>
      </c>
      <c r="AK457" s="18">
        <v>9</v>
      </c>
      <c r="AL457" s="18">
        <v>10.59</v>
      </c>
      <c r="AM457" s="18">
        <v>3</v>
      </c>
      <c r="AN457" s="18">
        <v>47.64</v>
      </c>
      <c r="AO457" s="18">
        <v>0.00873</v>
      </c>
      <c r="AP457" s="18">
        <v>13.61</v>
      </c>
      <c r="AQ457" s="18">
        <v>0</v>
      </c>
      <c r="AR457" s="18">
        <v>0</v>
      </c>
      <c r="AS457" s="18">
        <v>1</v>
      </c>
      <c r="AT457" s="18">
        <v>1</v>
      </c>
      <c r="AU457" s="18">
        <v>0</v>
      </c>
      <c r="AV457" s="18">
        <v>0</v>
      </c>
      <c r="AW457" s="18">
        <v>0</v>
      </c>
      <c r="AX457" s="18">
        <v>0</v>
      </c>
      <c r="AY457" s="18">
        <v>379</v>
      </c>
      <c r="AZ457" s="18">
        <v>232</v>
      </c>
      <c r="BA457" s="18">
        <v>194</v>
      </c>
      <c r="BB457" s="18">
        <v>0.83621</v>
      </c>
      <c r="BC457" s="18">
        <v>0</v>
      </c>
      <c r="BD457" s="18">
        <v>0</v>
      </c>
      <c r="BE457" s="18">
        <v>0.13653</v>
      </c>
      <c r="BF457" s="18">
        <v>70</v>
      </c>
      <c r="BG457" s="18">
        <v>2</v>
      </c>
      <c r="BH457" s="18">
        <v>0</v>
      </c>
      <c r="BI457" s="18"/>
      <c r="BJ457" s="18">
        <v>0</v>
      </c>
      <c r="BK457" s="18">
        <v>0</v>
      </c>
      <c r="BL457" s="18">
        <v>0</v>
      </c>
      <c r="BM457" s="18">
        <v>0</v>
      </c>
      <c r="BN457" s="18"/>
      <c r="BO457" s="18"/>
      <c r="BP457" s="18">
        <v>1.24</v>
      </c>
      <c r="BQ457" s="18">
        <v>312</v>
      </c>
      <c r="BR457" s="18">
        <v>0</v>
      </c>
      <c r="BS457" s="18">
        <v>0</v>
      </c>
      <c r="BT457" s="18">
        <v>0</v>
      </c>
      <c r="BU457" s="18">
        <v>0</v>
      </c>
      <c r="BV457" s="18">
        <v>0</v>
      </c>
      <c r="BW457" s="18">
        <v>0</v>
      </c>
      <c r="BX457" s="18">
        <v>0</v>
      </c>
    </row>
    <row r="458" spans="1:76">
      <c r="A458" s="14" t="str">
        <f>VLOOKUP(C458,VLOOKUP!A:B,2,FALSE)</f>
        <v>如意盘香</v>
      </c>
      <c r="B458" s="19">
        <v>46186</v>
      </c>
      <c r="C458" s="20">
        <v>838711327669</v>
      </c>
      <c r="D458" s="18" t="s">
        <v>151</v>
      </c>
      <c r="E458" s="18" t="s">
        <v>166</v>
      </c>
      <c r="F458" s="18">
        <v>572</v>
      </c>
      <c r="G458" s="18">
        <v>23</v>
      </c>
      <c r="H458" s="18">
        <v>50</v>
      </c>
      <c r="I458" s="18">
        <v>0.04021</v>
      </c>
      <c r="J458" s="18">
        <v>2.17</v>
      </c>
      <c r="K458" s="18">
        <v>87.41</v>
      </c>
      <c r="L458" s="18">
        <v>0</v>
      </c>
      <c r="M458" s="18">
        <v>0</v>
      </c>
      <c r="N458" s="18">
        <v>0</v>
      </c>
      <c r="O458" s="18">
        <v>0</v>
      </c>
      <c r="P458" s="18">
        <v>0</v>
      </c>
      <c r="Q458" s="18">
        <v>0</v>
      </c>
      <c r="R458" s="18">
        <v>642.3</v>
      </c>
      <c r="S458" s="18">
        <v>193</v>
      </c>
      <c r="T458" s="18">
        <v>835.3</v>
      </c>
      <c r="U458" s="18">
        <v>3</v>
      </c>
      <c r="V458" s="18">
        <v>2</v>
      </c>
      <c r="W458" s="18">
        <v>1</v>
      </c>
      <c r="X458" s="18">
        <v>0.13043</v>
      </c>
      <c r="Y458" s="18">
        <v>16.71</v>
      </c>
      <c r="Z458" s="18">
        <v>16.71</v>
      </c>
      <c r="AA458" s="18">
        <v>16.67</v>
      </c>
      <c r="AB458" s="18">
        <v>3</v>
      </c>
      <c r="AC458" s="18">
        <v>2</v>
      </c>
      <c r="AD458" s="18">
        <v>1</v>
      </c>
      <c r="AE458" s="18">
        <v>0.13043</v>
      </c>
      <c r="AF458" s="18">
        <v>1</v>
      </c>
      <c r="AG458" s="18">
        <v>0</v>
      </c>
      <c r="AH458" s="18"/>
      <c r="AI458" s="18">
        <v>4</v>
      </c>
      <c r="AJ458" s="18">
        <v>12.5</v>
      </c>
      <c r="AK458" s="18">
        <v>4</v>
      </c>
      <c r="AL458" s="18">
        <v>12.5</v>
      </c>
      <c r="AM458" s="18">
        <v>1</v>
      </c>
      <c r="AN458" s="18">
        <v>50</v>
      </c>
      <c r="AO458" s="18">
        <v>0.04348</v>
      </c>
      <c r="AP458" s="18">
        <v>16.67</v>
      </c>
      <c r="AQ458" s="18">
        <v>5</v>
      </c>
      <c r="AR458" s="18">
        <v>1631.9</v>
      </c>
      <c r="AS458" s="18">
        <v>1</v>
      </c>
      <c r="AT458" s="18">
        <v>0</v>
      </c>
      <c r="AU458" s="18">
        <v>0</v>
      </c>
      <c r="AV458" s="18">
        <v>0</v>
      </c>
      <c r="AW458" s="18">
        <v>0</v>
      </c>
      <c r="AX458" s="18">
        <v>2</v>
      </c>
      <c r="AY458" s="18">
        <v>58</v>
      </c>
      <c r="AZ458" s="18">
        <v>20</v>
      </c>
      <c r="BA458" s="18">
        <v>13</v>
      </c>
      <c r="BB458" s="18">
        <v>0.65</v>
      </c>
      <c r="BC458" s="18">
        <v>0</v>
      </c>
      <c r="BD458" s="18">
        <v>0</v>
      </c>
      <c r="BE458" s="18">
        <v>0.1014</v>
      </c>
      <c r="BF458" s="18">
        <v>35</v>
      </c>
      <c r="BG458" s="18">
        <v>3</v>
      </c>
      <c r="BH458" s="18">
        <v>3</v>
      </c>
      <c r="BI458" s="18">
        <v>1</v>
      </c>
      <c r="BJ458" s="18">
        <v>0</v>
      </c>
      <c r="BK458" s="18">
        <v>0</v>
      </c>
      <c r="BL458" s="18">
        <v>0</v>
      </c>
      <c r="BM458" s="18">
        <v>3</v>
      </c>
      <c r="BN458" s="18">
        <v>1</v>
      </c>
      <c r="BO458" s="18">
        <v>278.43</v>
      </c>
      <c r="BP458" s="18">
        <v>0</v>
      </c>
      <c r="BQ458" s="18">
        <v>355</v>
      </c>
      <c r="BR458" s="18">
        <v>0</v>
      </c>
      <c r="BS458" s="18">
        <v>0</v>
      </c>
      <c r="BT458" s="18">
        <v>0</v>
      </c>
      <c r="BU458" s="18">
        <v>0</v>
      </c>
      <c r="BV458" s="18">
        <v>0</v>
      </c>
      <c r="BW458" s="18">
        <v>0</v>
      </c>
      <c r="BX458" s="18">
        <v>0</v>
      </c>
    </row>
    <row r="459" spans="1:76">
      <c r="A459" s="14" t="str">
        <f>VLOOKUP(C459,VLOOKUP!A:B,2,FALSE)</f>
        <v>太樾归真</v>
      </c>
      <c r="B459" s="19">
        <v>46185</v>
      </c>
      <c r="C459" s="20">
        <v>1051919021880</v>
      </c>
      <c r="D459" s="18" t="s">
        <v>151</v>
      </c>
      <c r="E459" s="18" t="s">
        <v>163</v>
      </c>
      <c r="F459" s="18">
        <v>1124</v>
      </c>
      <c r="G459" s="18">
        <v>63</v>
      </c>
      <c r="H459" s="18">
        <v>42.83</v>
      </c>
      <c r="I459" s="18">
        <v>0.05605</v>
      </c>
      <c r="J459" s="18">
        <v>0.68</v>
      </c>
      <c r="K459" s="18">
        <v>38.1</v>
      </c>
      <c r="L459" s="18">
        <v>0</v>
      </c>
      <c r="M459" s="18">
        <v>0</v>
      </c>
      <c r="N459" s="18">
        <v>0</v>
      </c>
      <c r="O459" s="18">
        <v>0</v>
      </c>
      <c r="P459" s="18">
        <v>0</v>
      </c>
      <c r="Q459" s="18">
        <v>0</v>
      </c>
      <c r="R459" s="18">
        <v>0</v>
      </c>
      <c r="S459" s="18">
        <v>0</v>
      </c>
      <c r="T459" s="18">
        <v>0</v>
      </c>
      <c r="U459" s="18">
        <v>0</v>
      </c>
      <c r="V459" s="18">
        <v>0</v>
      </c>
      <c r="W459" s="18">
        <v>0</v>
      </c>
      <c r="X459" s="18">
        <v>0</v>
      </c>
      <c r="Y459" s="18">
        <v>0</v>
      </c>
      <c r="Z459" s="18">
        <v>0</v>
      </c>
      <c r="AA459" s="18"/>
      <c r="AB459" s="18">
        <v>2</v>
      </c>
      <c r="AC459" s="18">
        <v>1</v>
      </c>
      <c r="AD459" s="18">
        <v>1</v>
      </c>
      <c r="AE459" s="18">
        <v>0.03175</v>
      </c>
      <c r="AF459" s="18">
        <v>0</v>
      </c>
      <c r="AG459" s="18">
        <v>0</v>
      </c>
      <c r="AH459" s="18"/>
      <c r="AI459" s="18">
        <v>2</v>
      </c>
      <c r="AJ459" s="18">
        <v>21.42</v>
      </c>
      <c r="AK459" s="18">
        <v>2</v>
      </c>
      <c r="AL459" s="18">
        <v>21.42</v>
      </c>
      <c r="AM459" s="18">
        <v>0</v>
      </c>
      <c r="AN459" s="18"/>
      <c r="AO459" s="18">
        <v>0</v>
      </c>
      <c r="AP459" s="18">
        <v>21.42</v>
      </c>
      <c r="AQ459" s="18">
        <v>0</v>
      </c>
      <c r="AR459" s="18">
        <v>0</v>
      </c>
      <c r="AS459" s="18">
        <v>0</v>
      </c>
      <c r="AT459" s="18">
        <v>0</v>
      </c>
      <c r="AU459" s="18">
        <v>0</v>
      </c>
      <c r="AV459" s="18">
        <v>0</v>
      </c>
      <c r="AW459" s="18">
        <v>0</v>
      </c>
      <c r="AX459" s="18">
        <v>0</v>
      </c>
      <c r="AY459" s="18">
        <v>170</v>
      </c>
      <c r="AZ459" s="18">
        <v>45</v>
      </c>
      <c r="BA459" s="18">
        <v>35</v>
      </c>
      <c r="BB459" s="18">
        <v>0.77778</v>
      </c>
      <c r="BC459" s="18">
        <v>0</v>
      </c>
      <c r="BD459" s="18">
        <v>0</v>
      </c>
      <c r="BE459" s="18">
        <v>0.15125</v>
      </c>
      <c r="BF459" s="18">
        <v>88</v>
      </c>
      <c r="BG459" s="18">
        <v>4</v>
      </c>
      <c r="BH459" s="18">
        <v>0</v>
      </c>
      <c r="BI459" s="18"/>
      <c r="BJ459" s="18">
        <v>0</v>
      </c>
      <c r="BK459" s="18">
        <v>0</v>
      </c>
      <c r="BL459" s="18">
        <v>0</v>
      </c>
      <c r="BM459" s="18">
        <v>0</v>
      </c>
      <c r="BN459" s="18"/>
      <c r="BO459" s="18"/>
      <c r="BP459" s="18">
        <v>0</v>
      </c>
      <c r="BQ459" s="18">
        <v>58</v>
      </c>
      <c r="BR459" s="18">
        <v>0</v>
      </c>
      <c r="BS459" s="18">
        <v>0</v>
      </c>
      <c r="BT459" s="18">
        <v>0</v>
      </c>
      <c r="BU459" s="18">
        <v>0</v>
      </c>
      <c r="BV459" s="18">
        <v>0</v>
      </c>
      <c r="BW459" s="18">
        <v>0</v>
      </c>
      <c r="BX459" s="18">
        <v>0</v>
      </c>
    </row>
    <row r="460" spans="1:76">
      <c r="A460" s="14" t="str">
        <f>VLOOKUP(C460,VLOOKUP!A:B,2,FALSE)</f>
        <v>早晚安香</v>
      </c>
      <c r="B460" s="19">
        <v>46185</v>
      </c>
      <c r="C460" s="20">
        <v>1010789122929</v>
      </c>
      <c r="D460" s="18" t="s">
        <v>151</v>
      </c>
      <c r="E460" s="18" t="s">
        <v>164</v>
      </c>
      <c r="F460" s="18">
        <v>1886</v>
      </c>
      <c r="G460" s="18">
        <v>83</v>
      </c>
      <c r="H460" s="18">
        <v>71.38</v>
      </c>
      <c r="I460" s="18">
        <v>0.04401</v>
      </c>
      <c r="J460" s="18">
        <v>0.86</v>
      </c>
      <c r="K460" s="18">
        <v>37.85</v>
      </c>
      <c r="L460" s="18">
        <v>0</v>
      </c>
      <c r="M460" s="18">
        <v>0</v>
      </c>
      <c r="N460" s="18">
        <v>0</v>
      </c>
      <c r="O460" s="18">
        <v>0</v>
      </c>
      <c r="P460" s="18">
        <v>0</v>
      </c>
      <c r="Q460" s="18">
        <v>0</v>
      </c>
      <c r="R460" s="18">
        <v>0</v>
      </c>
      <c r="S460" s="18">
        <v>0</v>
      </c>
      <c r="T460" s="18">
        <v>0</v>
      </c>
      <c r="U460" s="18">
        <v>0</v>
      </c>
      <c r="V460" s="18">
        <v>0</v>
      </c>
      <c r="W460" s="18">
        <v>0</v>
      </c>
      <c r="X460" s="18">
        <v>0</v>
      </c>
      <c r="Y460" s="18">
        <v>0</v>
      </c>
      <c r="Z460" s="18">
        <v>0</v>
      </c>
      <c r="AA460" s="18"/>
      <c r="AB460" s="18">
        <v>2</v>
      </c>
      <c r="AC460" s="18">
        <v>2</v>
      </c>
      <c r="AD460" s="18">
        <v>0</v>
      </c>
      <c r="AE460" s="18">
        <v>0.0241</v>
      </c>
      <c r="AF460" s="18">
        <v>1</v>
      </c>
      <c r="AG460" s="18">
        <v>0</v>
      </c>
      <c r="AH460" s="18"/>
      <c r="AI460" s="18">
        <v>3</v>
      </c>
      <c r="AJ460" s="18">
        <v>23.79</v>
      </c>
      <c r="AK460" s="18">
        <v>3</v>
      </c>
      <c r="AL460" s="18">
        <v>23.79</v>
      </c>
      <c r="AM460" s="18">
        <v>1</v>
      </c>
      <c r="AN460" s="18">
        <v>71.38</v>
      </c>
      <c r="AO460" s="18">
        <v>0.01205</v>
      </c>
      <c r="AP460" s="18">
        <v>35.69</v>
      </c>
      <c r="AQ460" s="18">
        <v>0</v>
      </c>
      <c r="AR460" s="18">
        <v>0</v>
      </c>
      <c r="AS460" s="18">
        <v>1</v>
      </c>
      <c r="AT460" s="18">
        <v>0</v>
      </c>
      <c r="AU460" s="18">
        <v>0</v>
      </c>
      <c r="AV460" s="18">
        <v>0</v>
      </c>
      <c r="AW460" s="18">
        <v>0</v>
      </c>
      <c r="AX460" s="18">
        <v>1</v>
      </c>
      <c r="AY460" s="18">
        <v>164</v>
      </c>
      <c r="AZ460" s="18">
        <v>74</v>
      </c>
      <c r="BA460" s="18">
        <v>48</v>
      </c>
      <c r="BB460" s="18">
        <v>0.64865</v>
      </c>
      <c r="BC460" s="18">
        <v>0</v>
      </c>
      <c r="BD460" s="18">
        <v>0</v>
      </c>
      <c r="BE460" s="18">
        <v>0.08696</v>
      </c>
      <c r="BF460" s="18">
        <v>45</v>
      </c>
      <c r="BG460" s="18">
        <v>2</v>
      </c>
      <c r="BH460" s="18">
        <v>0</v>
      </c>
      <c r="BI460" s="18"/>
      <c r="BJ460" s="18">
        <v>0</v>
      </c>
      <c r="BK460" s="18">
        <v>0</v>
      </c>
      <c r="BL460" s="18">
        <v>0</v>
      </c>
      <c r="BM460" s="18">
        <v>0</v>
      </c>
      <c r="BN460" s="18"/>
      <c r="BO460" s="18"/>
      <c r="BP460" s="18">
        <v>0</v>
      </c>
      <c r="BQ460" s="18">
        <v>275</v>
      </c>
      <c r="BR460" s="18">
        <v>0</v>
      </c>
      <c r="BS460" s="18">
        <v>0</v>
      </c>
      <c r="BT460" s="18">
        <v>0</v>
      </c>
      <c r="BU460" s="18">
        <v>0</v>
      </c>
      <c r="BV460" s="18">
        <v>0</v>
      </c>
      <c r="BW460" s="18">
        <v>0</v>
      </c>
      <c r="BX460" s="18">
        <v>0</v>
      </c>
    </row>
    <row r="461" spans="1:76">
      <c r="A461" s="14" t="str">
        <f>VLOOKUP(C461,VLOOKUP!A:B,2,FALSE)</f>
        <v>荔枝香</v>
      </c>
      <c r="B461" s="19">
        <v>46185</v>
      </c>
      <c r="C461" s="20">
        <v>960406497157</v>
      </c>
      <c r="D461" s="18" t="s">
        <v>151</v>
      </c>
      <c r="E461" s="18" t="s">
        <v>165</v>
      </c>
      <c r="F461" s="18">
        <v>1471</v>
      </c>
      <c r="G461" s="18">
        <v>61</v>
      </c>
      <c r="H461" s="18">
        <v>43.21</v>
      </c>
      <c r="I461" s="18">
        <v>0.04147</v>
      </c>
      <c r="J461" s="18">
        <v>0.71</v>
      </c>
      <c r="K461" s="18">
        <v>29.37</v>
      </c>
      <c r="L461" s="18">
        <v>0</v>
      </c>
      <c r="M461" s="18">
        <v>0</v>
      </c>
      <c r="N461" s="18">
        <v>0</v>
      </c>
      <c r="O461" s="18">
        <v>0</v>
      </c>
      <c r="P461" s="18">
        <v>0</v>
      </c>
      <c r="Q461" s="18">
        <v>0</v>
      </c>
      <c r="R461" s="18">
        <v>0</v>
      </c>
      <c r="S461" s="18">
        <v>0</v>
      </c>
      <c r="T461" s="18">
        <v>0</v>
      </c>
      <c r="U461" s="18">
        <v>0</v>
      </c>
      <c r="V461" s="18">
        <v>0</v>
      </c>
      <c r="W461" s="18">
        <v>0</v>
      </c>
      <c r="X461" s="18">
        <v>0</v>
      </c>
      <c r="Y461" s="18">
        <v>0</v>
      </c>
      <c r="Z461" s="18">
        <v>0</v>
      </c>
      <c r="AA461" s="18"/>
      <c r="AB461" s="18">
        <v>1</v>
      </c>
      <c r="AC461" s="18">
        <v>1</v>
      </c>
      <c r="AD461" s="18">
        <v>0</v>
      </c>
      <c r="AE461" s="18">
        <v>0.01639</v>
      </c>
      <c r="AF461" s="18">
        <v>0</v>
      </c>
      <c r="AG461" s="18">
        <v>0</v>
      </c>
      <c r="AH461" s="18"/>
      <c r="AI461" s="18">
        <v>1</v>
      </c>
      <c r="AJ461" s="18">
        <v>43.21</v>
      </c>
      <c r="AK461" s="18">
        <v>1</v>
      </c>
      <c r="AL461" s="18">
        <v>43.21</v>
      </c>
      <c r="AM461" s="18">
        <v>0</v>
      </c>
      <c r="AN461" s="18"/>
      <c r="AO461" s="18">
        <v>0</v>
      </c>
      <c r="AP461" s="18">
        <v>43.21</v>
      </c>
      <c r="AQ461" s="18">
        <v>0</v>
      </c>
      <c r="AR461" s="18">
        <v>0</v>
      </c>
      <c r="AS461" s="18">
        <v>0</v>
      </c>
      <c r="AT461" s="18">
        <v>0</v>
      </c>
      <c r="AU461" s="18">
        <v>0</v>
      </c>
      <c r="AV461" s="18">
        <v>0</v>
      </c>
      <c r="AW461" s="18">
        <v>0</v>
      </c>
      <c r="AX461" s="18">
        <v>0</v>
      </c>
      <c r="AY461" s="18">
        <v>107</v>
      </c>
      <c r="AZ461" s="18">
        <v>59</v>
      </c>
      <c r="BA461" s="18">
        <v>35</v>
      </c>
      <c r="BB461" s="18">
        <v>0.59322</v>
      </c>
      <c r="BC461" s="18">
        <v>0</v>
      </c>
      <c r="BD461" s="18">
        <v>0</v>
      </c>
      <c r="BE461" s="18">
        <v>0.07274</v>
      </c>
      <c r="BF461" s="18">
        <v>21</v>
      </c>
      <c r="BG461" s="18">
        <v>2</v>
      </c>
      <c r="BH461" s="18">
        <v>0</v>
      </c>
      <c r="BI461" s="18"/>
      <c r="BJ461" s="18">
        <v>0</v>
      </c>
      <c r="BK461" s="18">
        <v>0</v>
      </c>
      <c r="BL461" s="18">
        <v>0</v>
      </c>
      <c r="BM461" s="18">
        <v>0</v>
      </c>
      <c r="BN461" s="18"/>
      <c r="BO461" s="18"/>
      <c r="BP461" s="18">
        <v>0.05</v>
      </c>
      <c r="BQ461" s="18">
        <v>94</v>
      </c>
      <c r="BR461" s="18">
        <v>0</v>
      </c>
      <c r="BS461" s="18">
        <v>0</v>
      </c>
      <c r="BT461" s="18">
        <v>0</v>
      </c>
      <c r="BU461" s="18">
        <v>0</v>
      </c>
      <c r="BV461" s="18">
        <v>0</v>
      </c>
      <c r="BW461" s="18">
        <v>0</v>
      </c>
      <c r="BX461" s="18">
        <v>0</v>
      </c>
    </row>
    <row r="462" spans="1:76">
      <c r="A462" s="14" t="str">
        <f>VLOOKUP(C462,VLOOKUP!A:B,2,FALSE)</f>
        <v>如意盘香</v>
      </c>
      <c r="B462" s="19">
        <v>46185</v>
      </c>
      <c r="C462" s="20">
        <v>838711327669</v>
      </c>
      <c r="D462" s="18" t="s">
        <v>151</v>
      </c>
      <c r="E462" s="18" t="s">
        <v>166</v>
      </c>
      <c r="F462" s="18">
        <v>690</v>
      </c>
      <c r="G462" s="18">
        <v>24</v>
      </c>
      <c r="H462" s="18">
        <v>48.34</v>
      </c>
      <c r="I462" s="18">
        <v>0.03478</v>
      </c>
      <c r="J462" s="18">
        <v>2.01</v>
      </c>
      <c r="K462" s="18">
        <v>70.06</v>
      </c>
      <c r="L462" s="18">
        <v>0</v>
      </c>
      <c r="M462" s="18">
        <v>0</v>
      </c>
      <c r="N462" s="18">
        <v>0</v>
      </c>
      <c r="O462" s="18">
        <v>0</v>
      </c>
      <c r="P462" s="18">
        <v>0</v>
      </c>
      <c r="Q462" s="18">
        <v>0</v>
      </c>
      <c r="R462" s="18">
        <v>0</v>
      </c>
      <c r="S462" s="18">
        <v>0</v>
      </c>
      <c r="T462" s="18">
        <v>0</v>
      </c>
      <c r="U462" s="18">
        <v>0</v>
      </c>
      <c r="V462" s="18">
        <v>0</v>
      </c>
      <c r="W462" s="18">
        <v>0</v>
      </c>
      <c r="X462" s="18">
        <v>0</v>
      </c>
      <c r="Y462" s="18">
        <v>0</v>
      </c>
      <c r="Z462" s="18">
        <v>0</v>
      </c>
      <c r="AA462" s="18"/>
      <c r="AB462" s="18">
        <v>2</v>
      </c>
      <c r="AC462" s="18">
        <v>2</v>
      </c>
      <c r="AD462" s="18">
        <v>0</v>
      </c>
      <c r="AE462" s="18">
        <v>0.08333</v>
      </c>
      <c r="AF462" s="18">
        <v>0</v>
      </c>
      <c r="AG462" s="18">
        <v>0</v>
      </c>
      <c r="AH462" s="18"/>
      <c r="AI462" s="18">
        <v>2</v>
      </c>
      <c r="AJ462" s="18">
        <v>24.17</v>
      </c>
      <c r="AK462" s="18">
        <v>2</v>
      </c>
      <c r="AL462" s="18">
        <v>24.17</v>
      </c>
      <c r="AM462" s="18">
        <v>0</v>
      </c>
      <c r="AN462" s="18"/>
      <c r="AO462" s="18">
        <v>0</v>
      </c>
      <c r="AP462" s="18">
        <v>24.17</v>
      </c>
      <c r="AQ462" s="18">
        <v>2</v>
      </c>
      <c r="AR462" s="18">
        <v>1276</v>
      </c>
      <c r="AS462" s="18">
        <v>0</v>
      </c>
      <c r="AT462" s="18">
        <v>0</v>
      </c>
      <c r="AU462" s="18">
        <v>0</v>
      </c>
      <c r="AV462" s="18">
        <v>0</v>
      </c>
      <c r="AW462" s="18">
        <v>0</v>
      </c>
      <c r="AX462" s="18">
        <v>0</v>
      </c>
      <c r="AY462" s="18">
        <v>66</v>
      </c>
      <c r="AZ462" s="18">
        <v>23</v>
      </c>
      <c r="BA462" s="18">
        <v>9</v>
      </c>
      <c r="BB462" s="18">
        <v>0.3913</v>
      </c>
      <c r="BC462" s="18">
        <v>0</v>
      </c>
      <c r="BD462" s="18">
        <v>0</v>
      </c>
      <c r="BE462" s="18">
        <v>0.09565</v>
      </c>
      <c r="BF462" s="18">
        <v>37</v>
      </c>
      <c r="BG462" s="18">
        <v>3</v>
      </c>
      <c r="BH462" s="18">
        <v>0</v>
      </c>
      <c r="BI462" s="18"/>
      <c r="BJ462" s="18">
        <v>0</v>
      </c>
      <c r="BK462" s="18">
        <v>0</v>
      </c>
      <c r="BL462" s="18">
        <v>0</v>
      </c>
      <c r="BM462" s="18">
        <v>0</v>
      </c>
      <c r="BN462" s="18"/>
      <c r="BO462" s="18"/>
      <c r="BP462" s="18">
        <v>0</v>
      </c>
      <c r="BQ462" s="18">
        <v>199</v>
      </c>
      <c r="BR462" s="18">
        <v>0</v>
      </c>
      <c r="BS462" s="18">
        <v>0</v>
      </c>
      <c r="BT462" s="18">
        <v>0</v>
      </c>
      <c r="BU462" s="18">
        <v>0</v>
      </c>
      <c r="BV462" s="18">
        <v>0</v>
      </c>
      <c r="BW462" s="18">
        <v>0</v>
      </c>
      <c r="BX462" s="18">
        <v>0</v>
      </c>
    </row>
    <row r="463" spans="1:76">
      <c r="A463" s="14" t="str">
        <f>VLOOKUP(C463,VLOOKUP!A:B,2,FALSE)</f>
        <v>太樾归真</v>
      </c>
      <c r="B463" s="19">
        <v>46184</v>
      </c>
      <c r="C463" s="20">
        <v>1051919021880</v>
      </c>
      <c r="D463" s="18" t="s">
        <v>151</v>
      </c>
      <c r="E463" s="18" t="s">
        <v>163</v>
      </c>
      <c r="F463" s="18">
        <v>1433</v>
      </c>
      <c r="G463" s="18">
        <v>75</v>
      </c>
      <c r="H463" s="18">
        <v>48.36</v>
      </c>
      <c r="I463" s="18">
        <v>0.05234</v>
      </c>
      <c r="J463" s="18">
        <v>0.64</v>
      </c>
      <c r="K463" s="18">
        <v>33.75</v>
      </c>
      <c r="L463" s="18">
        <v>0</v>
      </c>
      <c r="M463" s="18">
        <v>0</v>
      </c>
      <c r="N463" s="18">
        <v>0</v>
      </c>
      <c r="O463" s="18">
        <v>0</v>
      </c>
      <c r="P463" s="18">
        <v>0</v>
      </c>
      <c r="Q463" s="18">
        <v>0</v>
      </c>
      <c r="R463" s="18">
        <v>0</v>
      </c>
      <c r="S463" s="18">
        <v>0</v>
      </c>
      <c r="T463" s="18">
        <v>0</v>
      </c>
      <c r="U463" s="18">
        <v>0</v>
      </c>
      <c r="V463" s="18">
        <v>0</v>
      </c>
      <c r="W463" s="18">
        <v>0</v>
      </c>
      <c r="X463" s="18">
        <v>0</v>
      </c>
      <c r="Y463" s="18">
        <v>0</v>
      </c>
      <c r="Z463" s="18">
        <v>0</v>
      </c>
      <c r="AA463" s="18"/>
      <c r="AB463" s="18">
        <v>4</v>
      </c>
      <c r="AC463" s="18">
        <v>4</v>
      </c>
      <c r="AD463" s="18">
        <v>0</v>
      </c>
      <c r="AE463" s="18">
        <v>0.05333</v>
      </c>
      <c r="AF463" s="18">
        <v>2</v>
      </c>
      <c r="AG463" s="18">
        <v>1</v>
      </c>
      <c r="AH463" s="18">
        <v>48.36</v>
      </c>
      <c r="AI463" s="18">
        <v>7</v>
      </c>
      <c r="AJ463" s="18">
        <v>6.91</v>
      </c>
      <c r="AK463" s="18">
        <v>6</v>
      </c>
      <c r="AL463" s="18">
        <v>8.06</v>
      </c>
      <c r="AM463" s="18">
        <v>3</v>
      </c>
      <c r="AN463" s="18">
        <v>24.18</v>
      </c>
      <c r="AO463" s="18">
        <v>0.02667</v>
      </c>
      <c r="AP463" s="18">
        <v>12.09</v>
      </c>
      <c r="AQ463" s="18">
        <v>0</v>
      </c>
      <c r="AR463" s="18">
        <v>0</v>
      </c>
      <c r="AS463" s="18">
        <v>1</v>
      </c>
      <c r="AT463" s="18">
        <v>1</v>
      </c>
      <c r="AU463" s="18">
        <v>0</v>
      </c>
      <c r="AV463" s="18">
        <v>0</v>
      </c>
      <c r="AW463" s="18">
        <v>0</v>
      </c>
      <c r="AX463" s="18">
        <v>0</v>
      </c>
      <c r="AY463" s="18">
        <v>111</v>
      </c>
      <c r="AZ463" s="18">
        <v>56</v>
      </c>
      <c r="BA463" s="18">
        <v>42</v>
      </c>
      <c r="BB463" s="18">
        <v>0.75</v>
      </c>
      <c r="BC463" s="18">
        <v>0</v>
      </c>
      <c r="BD463" s="18">
        <v>0</v>
      </c>
      <c r="BE463" s="18">
        <v>0.07746</v>
      </c>
      <c r="BF463" s="18">
        <v>18</v>
      </c>
      <c r="BG463" s="18">
        <v>2</v>
      </c>
      <c r="BH463" s="18">
        <v>0</v>
      </c>
      <c r="BI463" s="18"/>
      <c r="BJ463" s="18">
        <v>0</v>
      </c>
      <c r="BK463" s="18">
        <v>0</v>
      </c>
      <c r="BL463" s="18">
        <v>0</v>
      </c>
      <c r="BM463" s="18">
        <v>0</v>
      </c>
      <c r="BN463" s="18"/>
      <c r="BO463" s="18"/>
      <c r="BP463" s="18">
        <v>0.04</v>
      </c>
      <c r="BQ463" s="18">
        <v>77</v>
      </c>
      <c r="BR463" s="18">
        <v>0</v>
      </c>
      <c r="BS463" s="18">
        <v>0</v>
      </c>
      <c r="BT463" s="18">
        <v>0</v>
      </c>
      <c r="BU463" s="18">
        <v>0</v>
      </c>
      <c r="BV463" s="18">
        <v>0</v>
      </c>
      <c r="BW463" s="18">
        <v>0</v>
      </c>
      <c r="BX463" s="18">
        <v>0</v>
      </c>
    </row>
    <row r="464" spans="1:76">
      <c r="A464" s="14" t="str">
        <f>VLOOKUP(C464,VLOOKUP!A:B,2,FALSE)</f>
        <v>早晚安香</v>
      </c>
      <c r="B464" s="19">
        <v>46184</v>
      </c>
      <c r="C464" s="20">
        <v>1010789122929</v>
      </c>
      <c r="D464" s="18" t="s">
        <v>151</v>
      </c>
      <c r="E464" s="18" t="s">
        <v>164</v>
      </c>
      <c r="F464" s="18">
        <v>2063</v>
      </c>
      <c r="G464" s="18">
        <v>65</v>
      </c>
      <c r="H464" s="18">
        <v>48.32</v>
      </c>
      <c r="I464" s="18">
        <v>0.03151</v>
      </c>
      <c r="J464" s="18">
        <v>0.74</v>
      </c>
      <c r="K464" s="18">
        <v>23.42</v>
      </c>
      <c r="L464" s="18">
        <v>0</v>
      </c>
      <c r="M464" s="18">
        <v>0</v>
      </c>
      <c r="N464" s="18">
        <v>0</v>
      </c>
      <c r="O464" s="18">
        <v>0</v>
      </c>
      <c r="P464" s="18">
        <v>0</v>
      </c>
      <c r="Q464" s="18">
        <v>0</v>
      </c>
      <c r="R464" s="18">
        <v>0</v>
      </c>
      <c r="S464" s="18">
        <v>0</v>
      </c>
      <c r="T464" s="18">
        <v>0</v>
      </c>
      <c r="U464" s="18">
        <v>0</v>
      </c>
      <c r="V464" s="18">
        <v>0</v>
      </c>
      <c r="W464" s="18">
        <v>0</v>
      </c>
      <c r="X464" s="18">
        <v>0</v>
      </c>
      <c r="Y464" s="18">
        <v>0</v>
      </c>
      <c r="Z464" s="18">
        <v>0</v>
      </c>
      <c r="AA464" s="18"/>
      <c r="AB464" s="18">
        <v>0</v>
      </c>
      <c r="AC464" s="18">
        <v>0</v>
      </c>
      <c r="AD464" s="18">
        <v>0</v>
      </c>
      <c r="AE464" s="18">
        <v>0</v>
      </c>
      <c r="AF464" s="18">
        <v>0</v>
      </c>
      <c r="AG464" s="18">
        <v>0</v>
      </c>
      <c r="AH464" s="18"/>
      <c r="AI464" s="18">
        <v>0</v>
      </c>
      <c r="AJ464" s="18"/>
      <c r="AK464" s="18">
        <v>0</v>
      </c>
      <c r="AL464" s="18"/>
      <c r="AM464" s="18">
        <v>0</v>
      </c>
      <c r="AN464" s="18"/>
      <c r="AO464" s="18">
        <v>0</v>
      </c>
      <c r="AP464" s="18"/>
      <c r="AQ464" s="18">
        <v>0</v>
      </c>
      <c r="AR464" s="18">
        <v>0</v>
      </c>
      <c r="AS464" s="18">
        <v>0</v>
      </c>
      <c r="AT464" s="18">
        <v>0</v>
      </c>
      <c r="AU464" s="18">
        <v>0</v>
      </c>
      <c r="AV464" s="18">
        <v>0</v>
      </c>
      <c r="AW464" s="18">
        <v>0</v>
      </c>
      <c r="AX464" s="18">
        <v>0</v>
      </c>
      <c r="AY464" s="18">
        <v>113</v>
      </c>
      <c r="AZ464" s="18">
        <v>59</v>
      </c>
      <c r="BA464" s="18">
        <v>37</v>
      </c>
      <c r="BB464" s="18">
        <v>0.62712</v>
      </c>
      <c r="BC464" s="18">
        <v>0</v>
      </c>
      <c r="BD464" s="18">
        <v>0</v>
      </c>
      <c r="BE464" s="18">
        <v>0.05477</v>
      </c>
      <c r="BF464" s="18">
        <v>45</v>
      </c>
      <c r="BG464" s="18">
        <v>2</v>
      </c>
      <c r="BH464" s="18">
        <v>0</v>
      </c>
      <c r="BI464" s="18"/>
      <c r="BJ464" s="18">
        <v>0</v>
      </c>
      <c r="BK464" s="18">
        <v>0</v>
      </c>
      <c r="BL464" s="18">
        <v>0</v>
      </c>
      <c r="BM464" s="18">
        <v>0</v>
      </c>
      <c r="BN464" s="18"/>
      <c r="BO464" s="18"/>
      <c r="BP464" s="18">
        <v>0</v>
      </c>
      <c r="BQ464" s="18">
        <v>98</v>
      </c>
      <c r="BR464" s="18">
        <v>0</v>
      </c>
      <c r="BS464" s="18">
        <v>0</v>
      </c>
      <c r="BT464" s="18">
        <v>0</v>
      </c>
      <c r="BU464" s="18">
        <v>0</v>
      </c>
      <c r="BV464" s="18">
        <v>0</v>
      </c>
      <c r="BW464" s="18">
        <v>0</v>
      </c>
      <c r="BX464" s="18">
        <v>0</v>
      </c>
    </row>
    <row r="465" spans="1:76">
      <c r="A465" s="14" t="str">
        <f>VLOOKUP(C465,VLOOKUP!A:B,2,FALSE)</f>
        <v>荔枝香</v>
      </c>
      <c r="B465" s="19">
        <v>46184</v>
      </c>
      <c r="C465" s="20">
        <v>960406497157</v>
      </c>
      <c r="D465" s="18" t="s">
        <v>151</v>
      </c>
      <c r="E465" s="18" t="s">
        <v>165</v>
      </c>
      <c r="F465" s="18">
        <v>2097</v>
      </c>
      <c r="G465" s="18">
        <v>158</v>
      </c>
      <c r="H465" s="18">
        <v>87.97</v>
      </c>
      <c r="I465" s="18">
        <v>0.07535</v>
      </c>
      <c r="J465" s="18">
        <v>0.56</v>
      </c>
      <c r="K465" s="18">
        <v>41.95</v>
      </c>
      <c r="L465" s="18">
        <v>0</v>
      </c>
      <c r="M465" s="18">
        <v>0</v>
      </c>
      <c r="N465" s="18">
        <v>0</v>
      </c>
      <c r="O465" s="18">
        <v>0</v>
      </c>
      <c r="P465" s="18">
        <v>0</v>
      </c>
      <c r="Q465" s="18">
        <v>0</v>
      </c>
      <c r="R465" s="18">
        <v>0</v>
      </c>
      <c r="S465" s="18">
        <v>0</v>
      </c>
      <c r="T465" s="18">
        <v>0</v>
      </c>
      <c r="U465" s="18">
        <v>0</v>
      </c>
      <c r="V465" s="18">
        <v>0</v>
      </c>
      <c r="W465" s="18">
        <v>0</v>
      </c>
      <c r="X465" s="18">
        <v>0</v>
      </c>
      <c r="Y465" s="18">
        <v>0</v>
      </c>
      <c r="Z465" s="18">
        <v>0</v>
      </c>
      <c r="AA465" s="18"/>
      <c r="AB465" s="18">
        <v>2</v>
      </c>
      <c r="AC465" s="18">
        <v>1</v>
      </c>
      <c r="AD465" s="18">
        <v>1</v>
      </c>
      <c r="AE465" s="18">
        <v>0.01266</v>
      </c>
      <c r="AF465" s="18">
        <v>2</v>
      </c>
      <c r="AG465" s="18">
        <v>0</v>
      </c>
      <c r="AH465" s="18"/>
      <c r="AI465" s="18">
        <v>4</v>
      </c>
      <c r="AJ465" s="18">
        <v>21.99</v>
      </c>
      <c r="AK465" s="18">
        <v>4</v>
      </c>
      <c r="AL465" s="18">
        <v>21.99</v>
      </c>
      <c r="AM465" s="18">
        <v>2</v>
      </c>
      <c r="AN465" s="18">
        <v>43.99</v>
      </c>
      <c r="AO465" s="18">
        <v>0.01266</v>
      </c>
      <c r="AP465" s="18">
        <v>43.99</v>
      </c>
      <c r="AQ465" s="18">
        <v>0</v>
      </c>
      <c r="AR465" s="18">
        <v>0</v>
      </c>
      <c r="AS465" s="18">
        <v>2</v>
      </c>
      <c r="AT465" s="18">
        <v>0</v>
      </c>
      <c r="AU465" s="18">
        <v>0</v>
      </c>
      <c r="AV465" s="18">
        <v>0</v>
      </c>
      <c r="AW465" s="18">
        <v>0</v>
      </c>
      <c r="AX465" s="18">
        <v>1</v>
      </c>
      <c r="AY465" s="18">
        <v>253</v>
      </c>
      <c r="AZ465" s="18">
        <v>145</v>
      </c>
      <c r="BA465" s="18">
        <v>116</v>
      </c>
      <c r="BB465" s="18">
        <v>0.8</v>
      </c>
      <c r="BC465" s="18">
        <v>0</v>
      </c>
      <c r="BD465" s="18">
        <v>0</v>
      </c>
      <c r="BE465" s="18">
        <v>0.12065</v>
      </c>
      <c r="BF465" s="18">
        <v>72</v>
      </c>
      <c r="BG465" s="18">
        <v>2</v>
      </c>
      <c r="BH465" s="18">
        <v>0</v>
      </c>
      <c r="BI465" s="18"/>
      <c r="BJ465" s="18">
        <v>0</v>
      </c>
      <c r="BK465" s="18">
        <v>0</v>
      </c>
      <c r="BL465" s="18">
        <v>0</v>
      </c>
      <c r="BM465" s="18">
        <v>0</v>
      </c>
      <c r="BN465" s="18"/>
      <c r="BO465" s="18"/>
      <c r="BP465" s="18">
        <v>0.08</v>
      </c>
      <c r="BQ465" s="18">
        <v>167</v>
      </c>
      <c r="BR465" s="18">
        <v>0</v>
      </c>
      <c r="BS465" s="18">
        <v>0</v>
      </c>
      <c r="BT465" s="18">
        <v>0</v>
      </c>
      <c r="BU465" s="18">
        <v>0</v>
      </c>
      <c r="BV465" s="18">
        <v>0</v>
      </c>
      <c r="BW465" s="18">
        <v>0</v>
      </c>
      <c r="BX465" s="18">
        <v>0</v>
      </c>
    </row>
    <row r="466" spans="1:76">
      <c r="A466" s="14" t="str">
        <f>VLOOKUP(C466,VLOOKUP!A:B,2,FALSE)</f>
        <v>如意盘香</v>
      </c>
      <c r="B466" s="19">
        <v>46184</v>
      </c>
      <c r="C466" s="20">
        <v>838711327669</v>
      </c>
      <c r="D466" s="18" t="s">
        <v>151</v>
      </c>
      <c r="E466" s="18" t="s">
        <v>166</v>
      </c>
      <c r="F466" s="18">
        <v>618</v>
      </c>
      <c r="G466" s="18">
        <v>25</v>
      </c>
      <c r="H466" s="18">
        <v>48.43</v>
      </c>
      <c r="I466" s="18">
        <v>0.04045</v>
      </c>
      <c r="J466" s="18">
        <v>1.94</v>
      </c>
      <c r="K466" s="18">
        <v>78.37</v>
      </c>
      <c r="L466" s="18">
        <v>0</v>
      </c>
      <c r="M466" s="18">
        <v>0</v>
      </c>
      <c r="N466" s="18">
        <v>0</v>
      </c>
      <c r="O466" s="18">
        <v>0</v>
      </c>
      <c r="P466" s="18">
        <v>0</v>
      </c>
      <c r="Q466" s="18">
        <v>0</v>
      </c>
      <c r="R466" s="18">
        <v>0</v>
      </c>
      <c r="S466" s="18">
        <v>0</v>
      </c>
      <c r="T466" s="18">
        <v>0</v>
      </c>
      <c r="U466" s="18">
        <v>0</v>
      </c>
      <c r="V466" s="18">
        <v>0</v>
      </c>
      <c r="W466" s="18">
        <v>0</v>
      </c>
      <c r="X466" s="18">
        <v>0</v>
      </c>
      <c r="Y466" s="18">
        <v>0</v>
      </c>
      <c r="Z466" s="18">
        <v>0</v>
      </c>
      <c r="AA466" s="18"/>
      <c r="AB466" s="18">
        <v>0</v>
      </c>
      <c r="AC466" s="18">
        <v>0</v>
      </c>
      <c r="AD466" s="18">
        <v>0</v>
      </c>
      <c r="AE466" s="18">
        <v>0</v>
      </c>
      <c r="AF466" s="18">
        <v>0</v>
      </c>
      <c r="AG466" s="18">
        <v>0</v>
      </c>
      <c r="AH466" s="18"/>
      <c r="AI466" s="18">
        <v>0</v>
      </c>
      <c r="AJ466" s="18"/>
      <c r="AK466" s="18">
        <v>0</v>
      </c>
      <c r="AL466" s="18"/>
      <c r="AM466" s="18">
        <v>0</v>
      </c>
      <c r="AN466" s="18"/>
      <c r="AO466" s="18">
        <v>0</v>
      </c>
      <c r="AP466" s="18"/>
      <c r="AQ466" s="18">
        <v>0</v>
      </c>
      <c r="AR466" s="18">
        <v>0</v>
      </c>
      <c r="AS466" s="18">
        <v>0</v>
      </c>
      <c r="AT466" s="18">
        <v>0</v>
      </c>
      <c r="AU466" s="18">
        <v>0</v>
      </c>
      <c r="AV466" s="18">
        <v>0</v>
      </c>
      <c r="AW466" s="18">
        <v>0</v>
      </c>
      <c r="AX466" s="18">
        <v>0</v>
      </c>
      <c r="AY466" s="18">
        <v>108</v>
      </c>
      <c r="AZ466" s="18">
        <v>20</v>
      </c>
      <c r="BA466" s="18">
        <v>11</v>
      </c>
      <c r="BB466" s="18">
        <v>0.55</v>
      </c>
      <c r="BC466" s="18">
        <v>0</v>
      </c>
      <c r="BD466" s="18">
        <v>0</v>
      </c>
      <c r="BE466" s="18">
        <v>0.17476</v>
      </c>
      <c r="BF466" s="18">
        <v>83</v>
      </c>
      <c r="BG466" s="18">
        <v>5</v>
      </c>
      <c r="BH466" s="18">
        <v>0</v>
      </c>
      <c r="BI466" s="18"/>
      <c r="BJ466" s="18">
        <v>0</v>
      </c>
      <c r="BK466" s="18">
        <v>0</v>
      </c>
      <c r="BL466" s="18">
        <v>0</v>
      </c>
      <c r="BM466" s="18">
        <v>0</v>
      </c>
      <c r="BN466" s="18"/>
      <c r="BO466" s="18"/>
      <c r="BP466" s="18">
        <v>0</v>
      </c>
      <c r="BQ466" s="18">
        <v>45</v>
      </c>
      <c r="BR466" s="18">
        <v>0</v>
      </c>
      <c r="BS466" s="18">
        <v>0</v>
      </c>
      <c r="BT466" s="18">
        <v>0</v>
      </c>
      <c r="BU466" s="18">
        <v>0</v>
      </c>
      <c r="BV466" s="18">
        <v>0</v>
      </c>
      <c r="BW466" s="18">
        <v>0</v>
      </c>
      <c r="BX466" s="18">
        <v>0</v>
      </c>
    </row>
    <row r="467" spans="1:76">
      <c r="A467" s="14" t="str">
        <f>VLOOKUP(C467,VLOOKUP!A:B,2,FALSE)</f>
        <v>太樾归真</v>
      </c>
      <c r="B467" s="19">
        <v>46183</v>
      </c>
      <c r="C467" s="20">
        <v>1051919021880</v>
      </c>
      <c r="D467" s="18" t="s">
        <v>151</v>
      </c>
      <c r="E467" s="18" t="s">
        <v>163</v>
      </c>
      <c r="F467" s="18">
        <v>1453</v>
      </c>
      <c r="G467" s="18">
        <v>69</v>
      </c>
      <c r="H467" s="18">
        <v>47.09</v>
      </c>
      <c r="I467" s="18">
        <v>0.04749</v>
      </c>
      <c r="J467" s="18">
        <v>0.68</v>
      </c>
      <c r="K467" s="18">
        <v>32.41</v>
      </c>
      <c r="L467" s="18">
        <v>0</v>
      </c>
      <c r="M467" s="18">
        <v>0</v>
      </c>
      <c r="N467" s="18">
        <v>0</v>
      </c>
      <c r="O467" s="18">
        <v>0</v>
      </c>
      <c r="P467" s="18">
        <v>0</v>
      </c>
      <c r="Q467" s="18">
        <v>0</v>
      </c>
      <c r="R467" s="18">
        <v>37.46</v>
      </c>
      <c r="S467" s="18">
        <v>0</v>
      </c>
      <c r="T467" s="18">
        <v>37.46</v>
      </c>
      <c r="U467" s="18">
        <v>1</v>
      </c>
      <c r="V467" s="18">
        <v>1</v>
      </c>
      <c r="W467" s="18">
        <v>0</v>
      </c>
      <c r="X467" s="18">
        <v>0.01449</v>
      </c>
      <c r="Y467" s="18">
        <v>0.8</v>
      </c>
      <c r="Z467" s="18">
        <v>0.8</v>
      </c>
      <c r="AA467" s="18">
        <v>47.09</v>
      </c>
      <c r="AB467" s="18">
        <v>3</v>
      </c>
      <c r="AC467" s="18">
        <v>3</v>
      </c>
      <c r="AD467" s="18">
        <v>0</v>
      </c>
      <c r="AE467" s="18">
        <v>0.04348</v>
      </c>
      <c r="AF467" s="18">
        <v>0</v>
      </c>
      <c r="AG467" s="18">
        <v>0</v>
      </c>
      <c r="AH467" s="18"/>
      <c r="AI467" s="18">
        <v>3</v>
      </c>
      <c r="AJ467" s="18">
        <v>15.7</v>
      </c>
      <c r="AK467" s="18">
        <v>3</v>
      </c>
      <c r="AL467" s="18">
        <v>15.7</v>
      </c>
      <c r="AM467" s="18">
        <v>0</v>
      </c>
      <c r="AN467" s="18"/>
      <c r="AO467" s="18">
        <v>0</v>
      </c>
      <c r="AP467" s="18">
        <v>15.7</v>
      </c>
      <c r="AQ467" s="18">
        <v>1</v>
      </c>
      <c r="AR467" s="18">
        <v>46.9</v>
      </c>
      <c r="AS467" s="18">
        <v>0</v>
      </c>
      <c r="AT467" s="18">
        <v>0</v>
      </c>
      <c r="AU467" s="18">
        <v>0</v>
      </c>
      <c r="AV467" s="18">
        <v>0</v>
      </c>
      <c r="AW467" s="18">
        <v>0</v>
      </c>
      <c r="AX467" s="18">
        <v>0</v>
      </c>
      <c r="AY467" s="18">
        <v>90</v>
      </c>
      <c r="AZ467" s="18">
        <v>44</v>
      </c>
      <c r="BA467" s="18">
        <v>35</v>
      </c>
      <c r="BB467" s="18">
        <v>0.79545</v>
      </c>
      <c r="BC467" s="18">
        <v>0</v>
      </c>
      <c r="BD467" s="18">
        <v>0</v>
      </c>
      <c r="BE467" s="18">
        <v>0.06194</v>
      </c>
      <c r="BF467" s="18">
        <v>9</v>
      </c>
      <c r="BG467" s="18">
        <v>2</v>
      </c>
      <c r="BH467" s="18">
        <v>1</v>
      </c>
      <c r="BI467" s="18">
        <v>1</v>
      </c>
      <c r="BJ467" s="18">
        <v>0</v>
      </c>
      <c r="BK467" s="18">
        <v>0</v>
      </c>
      <c r="BL467" s="18">
        <v>0</v>
      </c>
      <c r="BM467" s="18">
        <v>1</v>
      </c>
      <c r="BN467" s="18">
        <v>1</v>
      </c>
      <c r="BO467" s="18">
        <v>37.46</v>
      </c>
      <c r="BP467" s="18">
        <v>0.03</v>
      </c>
      <c r="BQ467" s="18">
        <v>223</v>
      </c>
      <c r="BR467" s="18">
        <v>0</v>
      </c>
      <c r="BS467" s="18">
        <v>0</v>
      </c>
      <c r="BT467" s="18">
        <v>0</v>
      </c>
      <c r="BU467" s="18">
        <v>0</v>
      </c>
      <c r="BV467" s="18">
        <v>0</v>
      </c>
      <c r="BW467" s="18">
        <v>0</v>
      </c>
      <c r="BX467" s="18">
        <v>0</v>
      </c>
    </row>
    <row r="468" spans="1:76">
      <c r="A468" s="14" t="str">
        <f>VLOOKUP(C468,VLOOKUP!A:B,2,FALSE)</f>
        <v>早晚安香</v>
      </c>
      <c r="B468" s="19">
        <v>46183</v>
      </c>
      <c r="C468" s="20">
        <v>1010789122929</v>
      </c>
      <c r="D468" s="18" t="s">
        <v>151</v>
      </c>
      <c r="E468" s="18" t="s">
        <v>164</v>
      </c>
      <c r="F468" s="18">
        <v>2545</v>
      </c>
      <c r="G468" s="18">
        <v>93</v>
      </c>
      <c r="H468" s="18">
        <v>79.37</v>
      </c>
      <c r="I468" s="18">
        <v>0.03654</v>
      </c>
      <c r="J468" s="18">
        <v>0.85</v>
      </c>
      <c r="K468" s="18">
        <v>31.19</v>
      </c>
      <c r="L468" s="18">
        <v>0</v>
      </c>
      <c r="M468" s="18">
        <v>0</v>
      </c>
      <c r="N468" s="18">
        <v>0</v>
      </c>
      <c r="O468" s="18">
        <v>0</v>
      </c>
      <c r="P468" s="18">
        <v>0</v>
      </c>
      <c r="Q468" s="18">
        <v>0</v>
      </c>
      <c r="R468" s="18">
        <v>0</v>
      </c>
      <c r="S468" s="18">
        <v>0</v>
      </c>
      <c r="T468" s="18">
        <v>0</v>
      </c>
      <c r="U468" s="18">
        <v>0</v>
      </c>
      <c r="V468" s="18">
        <v>0</v>
      </c>
      <c r="W468" s="18">
        <v>0</v>
      </c>
      <c r="X468" s="18">
        <v>0</v>
      </c>
      <c r="Y468" s="18">
        <v>0</v>
      </c>
      <c r="Z468" s="18">
        <v>0</v>
      </c>
      <c r="AA468" s="18"/>
      <c r="AB468" s="18">
        <v>1</v>
      </c>
      <c r="AC468" s="18">
        <v>1</v>
      </c>
      <c r="AD468" s="18">
        <v>0</v>
      </c>
      <c r="AE468" s="18">
        <v>0.01075</v>
      </c>
      <c r="AF468" s="18">
        <v>0</v>
      </c>
      <c r="AG468" s="18">
        <v>0</v>
      </c>
      <c r="AH468" s="18"/>
      <c r="AI468" s="18">
        <v>1</v>
      </c>
      <c r="AJ468" s="18">
        <v>79.37</v>
      </c>
      <c r="AK468" s="18">
        <v>1</v>
      </c>
      <c r="AL468" s="18">
        <v>79.37</v>
      </c>
      <c r="AM468" s="18">
        <v>0</v>
      </c>
      <c r="AN468" s="18"/>
      <c r="AO468" s="18">
        <v>0</v>
      </c>
      <c r="AP468" s="18">
        <v>79.37</v>
      </c>
      <c r="AQ468" s="18">
        <v>0</v>
      </c>
      <c r="AR468" s="18">
        <v>0</v>
      </c>
      <c r="AS468" s="18">
        <v>0</v>
      </c>
      <c r="AT468" s="18">
        <v>0</v>
      </c>
      <c r="AU468" s="18">
        <v>0</v>
      </c>
      <c r="AV468" s="18">
        <v>0</v>
      </c>
      <c r="AW468" s="18">
        <v>0</v>
      </c>
      <c r="AX468" s="18">
        <v>0</v>
      </c>
      <c r="AY468" s="18">
        <v>142</v>
      </c>
      <c r="AZ468" s="18">
        <v>87</v>
      </c>
      <c r="BA468" s="18">
        <v>62</v>
      </c>
      <c r="BB468" s="18">
        <v>0.71264</v>
      </c>
      <c r="BC468" s="18">
        <v>0</v>
      </c>
      <c r="BD468" s="18">
        <v>0</v>
      </c>
      <c r="BE468" s="18">
        <v>0.0558</v>
      </c>
      <c r="BF468" s="18">
        <v>35</v>
      </c>
      <c r="BG468" s="18">
        <v>2</v>
      </c>
      <c r="BH468" s="18">
        <v>0</v>
      </c>
      <c r="BI468" s="18"/>
      <c r="BJ468" s="18">
        <v>0</v>
      </c>
      <c r="BK468" s="18">
        <v>0</v>
      </c>
      <c r="BL468" s="18">
        <v>0</v>
      </c>
      <c r="BM468" s="18">
        <v>0</v>
      </c>
      <c r="BN468" s="18"/>
      <c r="BO468" s="18"/>
      <c r="BP468" s="18">
        <v>0</v>
      </c>
      <c r="BQ468" s="18">
        <v>236</v>
      </c>
      <c r="BR468" s="18">
        <v>0</v>
      </c>
      <c r="BS468" s="18">
        <v>0</v>
      </c>
      <c r="BT468" s="18">
        <v>0</v>
      </c>
      <c r="BU468" s="18">
        <v>0</v>
      </c>
      <c r="BV468" s="18">
        <v>0</v>
      </c>
      <c r="BW468" s="18">
        <v>0</v>
      </c>
      <c r="BX468" s="18">
        <v>0</v>
      </c>
    </row>
    <row r="469" spans="1:76">
      <c r="A469" s="14" t="str">
        <f>VLOOKUP(C469,VLOOKUP!A:B,2,FALSE)</f>
        <v>荔枝香</v>
      </c>
      <c r="B469" s="19">
        <v>46183</v>
      </c>
      <c r="C469" s="20">
        <v>960406497157</v>
      </c>
      <c r="D469" s="18" t="s">
        <v>151</v>
      </c>
      <c r="E469" s="18" t="s">
        <v>165</v>
      </c>
      <c r="F469" s="18">
        <v>2397</v>
      </c>
      <c r="G469" s="18">
        <v>172</v>
      </c>
      <c r="H469" s="18">
        <v>84.06</v>
      </c>
      <c r="I469" s="18">
        <v>0.07176</v>
      </c>
      <c r="J469" s="18">
        <v>0.49</v>
      </c>
      <c r="K469" s="18">
        <v>35.07</v>
      </c>
      <c r="L469" s="18">
        <v>0</v>
      </c>
      <c r="M469" s="18">
        <v>0</v>
      </c>
      <c r="N469" s="18">
        <v>0</v>
      </c>
      <c r="O469" s="18">
        <v>0</v>
      </c>
      <c r="P469" s="18">
        <v>0</v>
      </c>
      <c r="Q469" s="18">
        <v>0</v>
      </c>
      <c r="R469" s="18">
        <v>0</v>
      </c>
      <c r="S469" s="18">
        <v>0</v>
      </c>
      <c r="T469" s="18">
        <v>0</v>
      </c>
      <c r="U469" s="18">
        <v>0</v>
      </c>
      <c r="V469" s="18">
        <v>0</v>
      </c>
      <c r="W469" s="18">
        <v>0</v>
      </c>
      <c r="X469" s="18">
        <v>0</v>
      </c>
      <c r="Y469" s="18">
        <v>0</v>
      </c>
      <c r="Z469" s="18">
        <v>0</v>
      </c>
      <c r="AA469" s="18"/>
      <c r="AB469" s="18">
        <v>4</v>
      </c>
      <c r="AC469" s="18">
        <v>3</v>
      </c>
      <c r="AD469" s="18">
        <v>1</v>
      </c>
      <c r="AE469" s="18">
        <v>0.02326</v>
      </c>
      <c r="AF469" s="18">
        <v>1</v>
      </c>
      <c r="AG469" s="18">
        <v>1</v>
      </c>
      <c r="AH469" s="18">
        <v>84.06</v>
      </c>
      <c r="AI469" s="18">
        <v>6</v>
      </c>
      <c r="AJ469" s="18">
        <v>14.01</v>
      </c>
      <c r="AK469" s="18">
        <v>5</v>
      </c>
      <c r="AL469" s="18">
        <v>16.81</v>
      </c>
      <c r="AM469" s="18">
        <v>2</v>
      </c>
      <c r="AN469" s="18">
        <v>84.06</v>
      </c>
      <c r="AO469" s="18">
        <v>0.00581</v>
      </c>
      <c r="AP469" s="18">
        <v>21.02</v>
      </c>
      <c r="AQ469" s="18">
        <v>0</v>
      </c>
      <c r="AR469" s="18">
        <v>0</v>
      </c>
      <c r="AS469" s="18">
        <v>1</v>
      </c>
      <c r="AT469" s="18">
        <v>0</v>
      </c>
      <c r="AU469" s="18">
        <v>0</v>
      </c>
      <c r="AV469" s="18">
        <v>0</v>
      </c>
      <c r="AW469" s="18">
        <v>0</v>
      </c>
      <c r="AX469" s="18">
        <v>0</v>
      </c>
      <c r="AY469" s="18">
        <v>282</v>
      </c>
      <c r="AZ469" s="18">
        <v>161</v>
      </c>
      <c r="BA469" s="18">
        <v>122</v>
      </c>
      <c r="BB469" s="18">
        <v>0.75776</v>
      </c>
      <c r="BC469" s="18">
        <v>0</v>
      </c>
      <c r="BD469" s="18">
        <v>0</v>
      </c>
      <c r="BE469" s="18">
        <v>0.11765</v>
      </c>
      <c r="BF469" s="18">
        <v>68</v>
      </c>
      <c r="BG469" s="18">
        <v>2</v>
      </c>
      <c r="BH469" s="18">
        <v>0</v>
      </c>
      <c r="BI469" s="18"/>
      <c r="BJ469" s="18">
        <v>0</v>
      </c>
      <c r="BK469" s="18">
        <v>0</v>
      </c>
      <c r="BL469" s="18">
        <v>0</v>
      </c>
      <c r="BM469" s="18">
        <v>0</v>
      </c>
      <c r="BN469" s="18"/>
      <c r="BO469" s="18"/>
      <c r="BP469" s="18">
        <v>0.05</v>
      </c>
      <c r="BQ469" s="18">
        <v>118</v>
      </c>
      <c r="BR469" s="18">
        <v>0</v>
      </c>
      <c r="BS469" s="18">
        <v>0</v>
      </c>
      <c r="BT469" s="18">
        <v>0</v>
      </c>
      <c r="BU469" s="18">
        <v>0</v>
      </c>
      <c r="BV469" s="18">
        <v>0</v>
      </c>
      <c r="BW469" s="18">
        <v>0</v>
      </c>
      <c r="BX469" s="18">
        <v>0</v>
      </c>
    </row>
    <row r="470" spans="1:76">
      <c r="A470" s="14" t="str">
        <f>VLOOKUP(C470,VLOOKUP!A:B,2,FALSE)</f>
        <v>如意盘香</v>
      </c>
      <c r="B470" s="19">
        <v>46183</v>
      </c>
      <c r="C470" s="20">
        <v>838711327669</v>
      </c>
      <c r="D470" s="18" t="s">
        <v>151</v>
      </c>
      <c r="E470" s="18" t="s">
        <v>166</v>
      </c>
      <c r="F470" s="18">
        <v>383</v>
      </c>
      <c r="G470" s="18">
        <v>19</v>
      </c>
      <c r="H470" s="18">
        <v>43.89</v>
      </c>
      <c r="I470" s="18">
        <v>0.04961</v>
      </c>
      <c r="J470" s="18">
        <v>2.31</v>
      </c>
      <c r="K470" s="18">
        <v>114.6</v>
      </c>
      <c r="L470" s="18">
        <v>0</v>
      </c>
      <c r="M470" s="18">
        <v>0</v>
      </c>
      <c r="N470" s="18">
        <v>0</v>
      </c>
      <c r="O470" s="18">
        <v>0</v>
      </c>
      <c r="P470" s="18">
        <v>0</v>
      </c>
      <c r="Q470" s="18">
        <v>0</v>
      </c>
      <c r="R470" s="18">
        <v>0</v>
      </c>
      <c r="S470" s="18">
        <v>0</v>
      </c>
      <c r="T470" s="18">
        <v>0</v>
      </c>
      <c r="U470" s="18">
        <v>0</v>
      </c>
      <c r="V470" s="18">
        <v>0</v>
      </c>
      <c r="W470" s="18">
        <v>0</v>
      </c>
      <c r="X470" s="18">
        <v>0</v>
      </c>
      <c r="Y470" s="18">
        <v>0</v>
      </c>
      <c r="Z470" s="18">
        <v>0</v>
      </c>
      <c r="AA470" s="18"/>
      <c r="AB470" s="18">
        <v>2</v>
      </c>
      <c r="AC470" s="18">
        <v>2</v>
      </c>
      <c r="AD470" s="18">
        <v>0</v>
      </c>
      <c r="AE470" s="18">
        <v>0.10526</v>
      </c>
      <c r="AF470" s="18">
        <v>1</v>
      </c>
      <c r="AG470" s="18">
        <v>2</v>
      </c>
      <c r="AH470" s="18">
        <v>21.95</v>
      </c>
      <c r="AI470" s="18">
        <v>5</v>
      </c>
      <c r="AJ470" s="18">
        <v>8.78</v>
      </c>
      <c r="AK470" s="18">
        <v>3</v>
      </c>
      <c r="AL470" s="18">
        <v>14.63</v>
      </c>
      <c r="AM470" s="18">
        <v>3</v>
      </c>
      <c r="AN470" s="18">
        <v>43.89</v>
      </c>
      <c r="AO470" s="18">
        <v>0.05263</v>
      </c>
      <c r="AP470" s="18">
        <v>21.95</v>
      </c>
      <c r="AQ470" s="18">
        <v>0</v>
      </c>
      <c r="AR470" s="18">
        <v>0</v>
      </c>
      <c r="AS470" s="18">
        <v>0</v>
      </c>
      <c r="AT470" s="18">
        <v>1</v>
      </c>
      <c r="AU470" s="18">
        <v>0</v>
      </c>
      <c r="AV470" s="18">
        <v>0</v>
      </c>
      <c r="AW470" s="18">
        <v>0</v>
      </c>
      <c r="AX470" s="18">
        <v>0</v>
      </c>
      <c r="AY470" s="18">
        <v>83</v>
      </c>
      <c r="AZ470" s="18">
        <v>17</v>
      </c>
      <c r="BA470" s="18">
        <v>9</v>
      </c>
      <c r="BB470" s="18">
        <v>0.52941</v>
      </c>
      <c r="BC470" s="18">
        <v>0</v>
      </c>
      <c r="BD470" s="18">
        <v>0</v>
      </c>
      <c r="BE470" s="18">
        <v>0.21671</v>
      </c>
      <c r="BF470" s="18">
        <v>63</v>
      </c>
      <c r="BG470" s="18">
        <v>5</v>
      </c>
      <c r="BH470" s="18">
        <v>0</v>
      </c>
      <c r="BI470" s="18"/>
      <c r="BJ470" s="18">
        <v>0</v>
      </c>
      <c r="BK470" s="18">
        <v>0</v>
      </c>
      <c r="BL470" s="18">
        <v>0</v>
      </c>
      <c r="BM470" s="18">
        <v>0</v>
      </c>
      <c r="BN470" s="18"/>
      <c r="BO470" s="18"/>
      <c r="BP470" s="18">
        <v>0</v>
      </c>
      <c r="BQ470" s="18">
        <v>371</v>
      </c>
      <c r="BR470" s="18">
        <v>0</v>
      </c>
      <c r="BS470" s="18">
        <v>0</v>
      </c>
      <c r="BT470" s="18">
        <v>0</v>
      </c>
      <c r="BU470" s="18">
        <v>0</v>
      </c>
      <c r="BV470" s="18">
        <v>0</v>
      </c>
      <c r="BW470" s="18">
        <v>0</v>
      </c>
      <c r="BX470" s="18">
        <v>0</v>
      </c>
    </row>
    <row r="471" spans="1:76">
      <c r="A471" s="14" t="str">
        <f>VLOOKUP(C471,VLOOKUP!A:B,2,FALSE)</f>
        <v>太樾归真</v>
      </c>
      <c r="B471" s="19">
        <v>46182</v>
      </c>
      <c r="C471" s="20">
        <v>1051919021880</v>
      </c>
      <c r="D471" s="18" t="s">
        <v>151</v>
      </c>
      <c r="E471" s="18" t="s">
        <v>163</v>
      </c>
      <c r="F471" s="18">
        <v>1538</v>
      </c>
      <c r="G471" s="18">
        <v>61</v>
      </c>
      <c r="H471" s="18">
        <v>34.29</v>
      </c>
      <c r="I471" s="18">
        <v>0.03966</v>
      </c>
      <c r="J471" s="18">
        <v>0.56</v>
      </c>
      <c r="K471" s="18">
        <v>22.3</v>
      </c>
      <c r="L471" s="18">
        <v>0</v>
      </c>
      <c r="M471" s="18">
        <v>0</v>
      </c>
      <c r="N471" s="18">
        <v>0</v>
      </c>
      <c r="O471" s="18">
        <v>0</v>
      </c>
      <c r="P471" s="18">
        <v>0</v>
      </c>
      <c r="Q471" s="18">
        <v>0</v>
      </c>
      <c r="R471" s="18">
        <v>37.93</v>
      </c>
      <c r="S471" s="18">
        <v>264.88</v>
      </c>
      <c r="T471" s="18">
        <v>302.81</v>
      </c>
      <c r="U471" s="18">
        <v>2</v>
      </c>
      <c r="V471" s="18">
        <v>1</v>
      </c>
      <c r="W471" s="18">
        <v>1</v>
      </c>
      <c r="X471" s="18">
        <v>0.03279</v>
      </c>
      <c r="Y471" s="18">
        <v>8.83</v>
      </c>
      <c r="Z471" s="18">
        <v>8.83</v>
      </c>
      <c r="AA471" s="18">
        <v>17.15</v>
      </c>
      <c r="AB471" s="18">
        <v>1</v>
      </c>
      <c r="AC471" s="18">
        <v>1</v>
      </c>
      <c r="AD471" s="18">
        <v>0</v>
      </c>
      <c r="AE471" s="18">
        <v>0.01639</v>
      </c>
      <c r="AF471" s="18">
        <v>0</v>
      </c>
      <c r="AG471" s="18">
        <v>0</v>
      </c>
      <c r="AH471" s="18"/>
      <c r="AI471" s="18">
        <v>1</v>
      </c>
      <c r="AJ471" s="18">
        <v>34.29</v>
      </c>
      <c r="AK471" s="18">
        <v>1</v>
      </c>
      <c r="AL471" s="18">
        <v>34.29</v>
      </c>
      <c r="AM471" s="18">
        <v>0</v>
      </c>
      <c r="AN471" s="18"/>
      <c r="AO471" s="18">
        <v>0</v>
      </c>
      <c r="AP471" s="18">
        <v>34.29</v>
      </c>
      <c r="AQ471" s="18">
        <v>3</v>
      </c>
      <c r="AR471" s="18">
        <v>424.8</v>
      </c>
      <c r="AS471" s="18">
        <v>0</v>
      </c>
      <c r="AT471" s="18">
        <v>0</v>
      </c>
      <c r="AU471" s="18">
        <v>0</v>
      </c>
      <c r="AV471" s="18">
        <v>0</v>
      </c>
      <c r="AW471" s="18">
        <v>0</v>
      </c>
      <c r="AX471" s="18">
        <v>0</v>
      </c>
      <c r="AY471" s="18">
        <v>120</v>
      </c>
      <c r="AZ471" s="18">
        <v>57</v>
      </c>
      <c r="BA471" s="18">
        <v>42</v>
      </c>
      <c r="BB471" s="18">
        <v>0.73684</v>
      </c>
      <c r="BC471" s="18">
        <v>0</v>
      </c>
      <c r="BD471" s="18">
        <v>0</v>
      </c>
      <c r="BE471" s="18">
        <v>0.07802</v>
      </c>
      <c r="BF471" s="18">
        <v>27</v>
      </c>
      <c r="BG471" s="18">
        <v>2</v>
      </c>
      <c r="BH471" s="18">
        <v>1</v>
      </c>
      <c r="BI471" s="18">
        <v>0.5</v>
      </c>
      <c r="BJ471" s="18">
        <v>0</v>
      </c>
      <c r="BK471" s="18">
        <v>0</v>
      </c>
      <c r="BL471" s="18">
        <v>0</v>
      </c>
      <c r="BM471" s="18">
        <v>2</v>
      </c>
      <c r="BN471" s="18">
        <v>1</v>
      </c>
      <c r="BO471" s="18">
        <v>151.41</v>
      </c>
      <c r="BP471" s="18">
        <v>0.04</v>
      </c>
      <c r="BQ471" s="18">
        <v>226</v>
      </c>
      <c r="BR471" s="18">
        <v>0</v>
      </c>
      <c r="BS471" s="18">
        <v>0</v>
      </c>
      <c r="BT471" s="18">
        <v>0</v>
      </c>
      <c r="BU471" s="18">
        <v>0</v>
      </c>
      <c r="BV471" s="18">
        <v>0</v>
      </c>
      <c r="BW471" s="18">
        <v>0</v>
      </c>
      <c r="BX471" s="18">
        <v>0</v>
      </c>
    </row>
    <row r="472" spans="1:76">
      <c r="A472" s="14" t="str">
        <f>VLOOKUP(C472,VLOOKUP!A:B,2,FALSE)</f>
        <v>早晚安香</v>
      </c>
      <c r="B472" s="19">
        <v>46182</v>
      </c>
      <c r="C472" s="20">
        <v>1010789122929</v>
      </c>
      <c r="D472" s="18" t="s">
        <v>151</v>
      </c>
      <c r="E472" s="18" t="s">
        <v>164</v>
      </c>
      <c r="F472" s="18">
        <v>1645</v>
      </c>
      <c r="G472" s="18">
        <v>65</v>
      </c>
      <c r="H472" s="18">
        <v>55.81</v>
      </c>
      <c r="I472" s="18">
        <v>0.03951</v>
      </c>
      <c r="J472" s="18">
        <v>0.86</v>
      </c>
      <c r="K472" s="18">
        <v>33.93</v>
      </c>
      <c r="L472" s="18">
        <v>0</v>
      </c>
      <c r="M472" s="18">
        <v>0</v>
      </c>
      <c r="N472" s="18">
        <v>0</v>
      </c>
      <c r="O472" s="18">
        <v>0</v>
      </c>
      <c r="P472" s="18">
        <v>0</v>
      </c>
      <c r="Q472" s="18">
        <v>0</v>
      </c>
      <c r="R472" s="18">
        <v>0</v>
      </c>
      <c r="S472" s="18">
        <v>138.64</v>
      </c>
      <c r="T472" s="18">
        <v>138.64</v>
      </c>
      <c r="U472" s="18">
        <v>1</v>
      </c>
      <c r="V472" s="18">
        <v>0</v>
      </c>
      <c r="W472" s="18">
        <v>1</v>
      </c>
      <c r="X472" s="18">
        <v>0.01538</v>
      </c>
      <c r="Y472" s="18">
        <v>2.48</v>
      </c>
      <c r="Z472" s="18">
        <v>2.48</v>
      </c>
      <c r="AA472" s="18">
        <v>55.81</v>
      </c>
      <c r="AB472" s="18">
        <v>4</v>
      </c>
      <c r="AC472" s="18">
        <v>2</v>
      </c>
      <c r="AD472" s="18">
        <v>2</v>
      </c>
      <c r="AE472" s="18">
        <v>0.06154</v>
      </c>
      <c r="AF472" s="18">
        <v>0</v>
      </c>
      <c r="AG472" s="18">
        <v>0</v>
      </c>
      <c r="AH472" s="18"/>
      <c r="AI472" s="18">
        <v>4</v>
      </c>
      <c r="AJ472" s="18">
        <v>13.95</v>
      </c>
      <c r="AK472" s="18">
        <v>4</v>
      </c>
      <c r="AL472" s="18">
        <v>13.95</v>
      </c>
      <c r="AM472" s="18">
        <v>0</v>
      </c>
      <c r="AN472" s="18"/>
      <c r="AO472" s="18">
        <v>0</v>
      </c>
      <c r="AP472" s="18">
        <v>13.95</v>
      </c>
      <c r="AQ472" s="18">
        <v>2</v>
      </c>
      <c r="AR472" s="18">
        <v>217.9</v>
      </c>
      <c r="AS472" s="18">
        <v>0</v>
      </c>
      <c r="AT472" s="18">
        <v>0</v>
      </c>
      <c r="AU472" s="18">
        <v>0</v>
      </c>
      <c r="AV472" s="18">
        <v>0</v>
      </c>
      <c r="AW472" s="18">
        <v>0</v>
      </c>
      <c r="AX472" s="18">
        <v>1</v>
      </c>
      <c r="AY472" s="18">
        <v>135</v>
      </c>
      <c r="AZ472" s="18">
        <v>64</v>
      </c>
      <c r="BA472" s="18">
        <v>35</v>
      </c>
      <c r="BB472" s="18">
        <v>0.54688</v>
      </c>
      <c r="BC472" s="18">
        <v>0</v>
      </c>
      <c r="BD472" s="18">
        <v>0</v>
      </c>
      <c r="BE472" s="18">
        <v>0.08207</v>
      </c>
      <c r="BF472" s="18">
        <v>56</v>
      </c>
      <c r="BG472" s="18">
        <v>2</v>
      </c>
      <c r="BH472" s="18">
        <v>1</v>
      </c>
      <c r="BI472" s="18">
        <v>1</v>
      </c>
      <c r="BJ472" s="18">
        <v>0</v>
      </c>
      <c r="BK472" s="18">
        <v>0</v>
      </c>
      <c r="BL472" s="18">
        <v>0</v>
      </c>
      <c r="BM472" s="18">
        <v>1</v>
      </c>
      <c r="BN472" s="18">
        <v>1</v>
      </c>
      <c r="BO472" s="18">
        <v>138.64</v>
      </c>
      <c r="BP472" s="18">
        <v>3.55</v>
      </c>
      <c r="BQ472" s="18">
        <v>1062</v>
      </c>
      <c r="BR472" s="18">
        <v>0</v>
      </c>
      <c r="BS472" s="18">
        <v>0</v>
      </c>
      <c r="BT472" s="18">
        <v>0</v>
      </c>
      <c r="BU472" s="18">
        <v>0</v>
      </c>
      <c r="BV472" s="18">
        <v>0</v>
      </c>
      <c r="BW472" s="18">
        <v>0</v>
      </c>
      <c r="BX472" s="18">
        <v>0</v>
      </c>
    </row>
    <row r="473" spans="1:76">
      <c r="A473" s="14" t="str">
        <f>VLOOKUP(C473,VLOOKUP!A:B,2,FALSE)</f>
        <v>荔枝香</v>
      </c>
      <c r="B473" s="19">
        <v>46182</v>
      </c>
      <c r="C473" s="20">
        <v>960406497157</v>
      </c>
      <c r="D473" s="18" t="s">
        <v>151</v>
      </c>
      <c r="E473" s="18" t="s">
        <v>165</v>
      </c>
      <c r="F473" s="18">
        <v>2272</v>
      </c>
      <c r="G473" s="18">
        <v>187</v>
      </c>
      <c r="H473" s="18">
        <v>96.49</v>
      </c>
      <c r="I473" s="18">
        <v>0.08231</v>
      </c>
      <c r="J473" s="18">
        <v>0.52</v>
      </c>
      <c r="K473" s="18">
        <v>42.47</v>
      </c>
      <c r="L473" s="18">
        <v>0</v>
      </c>
      <c r="M473" s="18">
        <v>0</v>
      </c>
      <c r="N473" s="18">
        <v>0</v>
      </c>
      <c r="O473" s="18">
        <v>0</v>
      </c>
      <c r="P473" s="18">
        <v>0</v>
      </c>
      <c r="Q473" s="18">
        <v>0</v>
      </c>
      <c r="R473" s="18">
        <v>87.88</v>
      </c>
      <c r="S473" s="18">
        <v>0</v>
      </c>
      <c r="T473" s="18">
        <v>87.88</v>
      </c>
      <c r="U473" s="18">
        <v>1</v>
      </c>
      <c r="V473" s="18">
        <v>1</v>
      </c>
      <c r="W473" s="18">
        <v>0</v>
      </c>
      <c r="X473" s="18">
        <v>0.00535</v>
      </c>
      <c r="Y473" s="18">
        <v>0.91</v>
      </c>
      <c r="Z473" s="18">
        <v>0.91</v>
      </c>
      <c r="AA473" s="18">
        <v>96.49</v>
      </c>
      <c r="AB473" s="18">
        <v>5</v>
      </c>
      <c r="AC473" s="18">
        <v>4</v>
      </c>
      <c r="AD473" s="18">
        <v>1</v>
      </c>
      <c r="AE473" s="18">
        <v>0.02674</v>
      </c>
      <c r="AF473" s="18">
        <v>2</v>
      </c>
      <c r="AG473" s="18">
        <v>0</v>
      </c>
      <c r="AH473" s="18"/>
      <c r="AI473" s="18">
        <v>7</v>
      </c>
      <c r="AJ473" s="18">
        <v>13.78</v>
      </c>
      <c r="AK473" s="18">
        <v>7</v>
      </c>
      <c r="AL473" s="18">
        <v>13.78</v>
      </c>
      <c r="AM473" s="18">
        <v>2</v>
      </c>
      <c r="AN473" s="18">
        <v>48.25</v>
      </c>
      <c r="AO473" s="18">
        <v>0.0107</v>
      </c>
      <c r="AP473" s="18">
        <v>19.3</v>
      </c>
      <c r="AQ473" s="18">
        <v>2</v>
      </c>
      <c r="AR473" s="18">
        <v>155.9</v>
      </c>
      <c r="AS473" s="18">
        <v>1</v>
      </c>
      <c r="AT473" s="18">
        <v>1</v>
      </c>
      <c r="AU473" s="18">
        <v>0</v>
      </c>
      <c r="AV473" s="18">
        <v>0</v>
      </c>
      <c r="AW473" s="18">
        <v>0</v>
      </c>
      <c r="AX473" s="18">
        <v>0</v>
      </c>
      <c r="AY473" s="18">
        <v>317</v>
      </c>
      <c r="AZ473" s="18">
        <v>180</v>
      </c>
      <c r="BA473" s="18">
        <v>144</v>
      </c>
      <c r="BB473" s="18">
        <v>0.8</v>
      </c>
      <c r="BC473" s="18">
        <v>0</v>
      </c>
      <c r="BD473" s="18">
        <v>0</v>
      </c>
      <c r="BE473" s="18">
        <v>0.13952</v>
      </c>
      <c r="BF473" s="18">
        <v>86</v>
      </c>
      <c r="BG473" s="18">
        <v>2</v>
      </c>
      <c r="BH473" s="18">
        <v>1</v>
      </c>
      <c r="BI473" s="18">
        <v>1</v>
      </c>
      <c r="BJ473" s="18">
        <v>0</v>
      </c>
      <c r="BK473" s="18">
        <v>0</v>
      </c>
      <c r="BL473" s="18">
        <v>0</v>
      </c>
      <c r="BM473" s="18">
        <v>1</v>
      </c>
      <c r="BN473" s="18">
        <v>1</v>
      </c>
      <c r="BO473" s="18">
        <v>87.88</v>
      </c>
      <c r="BP473" s="18">
        <v>7.74</v>
      </c>
      <c r="BQ473" s="18">
        <v>503</v>
      </c>
      <c r="BR473" s="18">
        <v>0</v>
      </c>
      <c r="BS473" s="18">
        <v>0</v>
      </c>
      <c r="BT473" s="18">
        <v>0</v>
      </c>
      <c r="BU473" s="18">
        <v>0</v>
      </c>
      <c r="BV473" s="18">
        <v>0</v>
      </c>
      <c r="BW473" s="18">
        <v>0</v>
      </c>
      <c r="BX473" s="18">
        <v>0</v>
      </c>
    </row>
    <row r="474" spans="1:76">
      <c r="A474" s="14" t="str">
        <f>VLOOKUP(C474,VLOOKUP!A:B,2,FALSE)</f>
        <v>如意盘香</v>
      </c>
      <c r="B474" s="19">
        <v>46182</v>
      </c>
      <c r="C474" s="20">
        <v>838711327669</v>
      </c>
      <c r="D474" s="18" t="s">
        <v>151</v>
      </c>
      <c r="E474" s="18" t="s">
        <v>166</v>
      </c>
      <c r="F474" s="18">
        <v>869</v>
      </c>
      <c r="G474" s="18">
        <v>26</v>
      </c>
      <c r="H474" s="18">
        <v>50</v>
      </c>
      <c r="I474" s="18">
        <v>0.02992</v>
      </c>
      <c r="J474" s="18">
        <v>1.92</v>
      </c>
      <c r="K474" s="18">
        <v>57.54</v>
      </c>
      <c r="L474" s="18">
        <v>0</v>
      </c>
      <c r="M474" s="18">
        <v>0</v>
      </c>
      <c r="N474" s="18">
        <v>0</v>
      </c>
      <c r="O474" s="18">
        <v>0</v>
      </c>
      <c r="P474" s="18">
        <v>0</v>
      </c>
      <c r="Q474" s="18">
        <v>0</v>
      </c>
      <c r="R474" s="18">
        <v>0</v>
      </c>
      <c r="S474" s="18">
        <v>79.86</v>
      </c>
      <c r="T474" s="18">
        <v>79.86</v>
      </c>
      <c r="U474" s="18">
        <v>2</v>
      </c>
      <c r="V474" s="18">
        <v>0</v>
      </c>
      <c r="W474" s="18">
        <v>2</v>
      </c>
      <c r="X474" s="18">
        <v>0.07692</v>
      </c>
      <c r="Y474" s="18">
        <v>1.6</v>
      </c>
      <c r="Z474" s="18">
        <v>1.6</v>
      </c>
      <c r="AA474" s="18">
        <v>25</v>
      </c>
      <c r="AB474" s="18">
        <v>0</v>
      </c>
      <c r="AC474" s="18">
        <v>0</v>
      </c>
      <c r="AD474" s="18">
        <v>0</v>
      </c>
      <c r="AE474" s="18">
        <v>0</v>
      </c>
      <c r="AF474" s="18">
        <v>0</v>
      </c>
      <c r="AG474" s="18">
        <v>0</v>
      </c>
      <c r="AH474" s="18"/>
      <c r="AI474" s="18">
        <v>0</v>
      </c>
      <c r="AJ474" s="18"/>
      <c r="AK474" s="18">
        <v>0</v>
      </c>
      <c r="AL474" s="18"/>
      <c r="AM474" s="18">
        <v>0</v>
      </c>
      <c r="AN474" s="18"/>
      <c r="AO474" s="18">
        <v>0</v>
      </c>
      <c r="AP474" s="18"/>
      <c r="AQ474" s="18">
        <v>2</v>
      </c>
      <c r="AR474" s="18">
        <v>96.8</v>
      </c>
      <c r="AS474" s="18">
        <v>0</v>
      </c>
      <c r="AT474" s="18">
        <v>0</v>
      </c>
      <c r="AU474" s="18">
        <v>0</v>
      </c>
      <c r="AV474" s="18">
        <v>0</v>
      </c>
      <c r="AW474" s="18">
        <v>0</v>
      </c>
      <c r="AX474" s="18">
        <v>0</v>
      </c>
      <c r="AY474" s="18">
        <v>101</v>
      </c>
      <c r="AZ474" s="18">
        <v>24</v>
      </c>
      <c r="BA474" s="18">
        <v>16</v>
      </c>
      <c r="BB474" s="18">
        <v>0.66667</v>
      </c>
      <c r="BC474" s="18">
        <v>0</v>
      </c>
      <c r="BD474" s="18">
        <v>0</v>
      </c>
      <c r="BE474" s="18">
        <v>0.11623</v>
      </c>
      <c r="BF474" s="18">
        <v>74</v>
      </c>
      <c r="BG474" s="18">
        <v>4</v>
      </c>
      <c r="BH474" s="18">
        <v>2</v>
      </c>
      <c r="BI474" s="18">
        <v>1</v>
      </c>
      <c r="BJ474" s="18">
        <v>0</v>
      </c>
      <c r="BK474" s="18">
        <v>0</v>
      </c>
      <c r="BL474" s="18">
        <v>0</v>
      </c>
      <c r="BM474" s="18">
        <v>2</v>
      </c>
      <c r="BN474" s="18">
        <v>1</v>
      </c>
      <c r="BO474" s="18">
        <v>39.93</v>
      </c>
      <c r="BP474" s="18">
        <v>128.09</v>
      </c>
      <c r="BQ474" s="18">
        <v>290</v>
      </c>
      <c r="BR474" s="18">
        <v>0</v>
      </c>
      <c r="BS474" s="18">
        <v>0</v>
      </c>
      <c r="BT474" s="18">
        <v>0</v>
      </c>
      <c r="BU474" s="18">
        <v>0</v>
      </c>
      <c r="BV474" s="18">
        <v>0</v>
      </c>
      <c r="BW474" s="18">
        <v>0</v>
      </c>
      <c r="BX474" s="18">
        <v>0</v>
      </c>
    </row>
    <row r="475" spans="1:76">
      <c r="A475" s="14" t="str">
        <f>VLOOKUP(C475,VLOOKUP!A:B,2,FALSE)</f>
        <v>太樾归真</v>
      </c>
      <c r="B475" s="19">
        <v>46181</v>
      </c>
      <c r="C475" s="20">
        <v>1051919021880</v>
      </c>
      <c r="D475" s="18" t="s">
        <v>151</v>
      </c>
      <c r="E475" s="18" t="s">
        <v>167</v>
      </c>
      <c r="F475" s="18">
        <v>1360</v>
      </c>
      <c r="G475" s="18">
        <v>70</v>
      </c>
      <c r="H475" s="18">
        <v>43.42</v>
      </c>
      <c r="I475" s="18">
        <v>0.05147</v>
      </c>
      <c r="J475" s="18">
        <v>0.62</v>
      </c>
      <c r="K475" s="18">
        <v>31.93</v>
      </c>
      <c r="L475" s="18">
        <v>0</v>
      </c>
      <c r="M475" s="18">
        <v>0</v>
      </c>
      <c r="N475" s="18">
        <v>0</v>
      </c>
      <c r="O475" s="18">
        <v>0</v>
      </c>
      <c r="P475" s="18">
        <v>0</v>
      </c>
      <c r="Q475" s="18">
        <v>0</v>
      </c>
      <c r="R475" s="18">
        <v>77.26</v>
      </c>
      <c r="S475" s="18">
        <v>0</v>
      </c>
      <c r="T475" s="18">
        <v>77.26</v>
      </c>
      <c r="U475" s="18">
        <v>2</v>
      </c>
      <c r="V475" s="18">
        <v>2</v>
      </c>
      <c r="W475" s="18">
        <v>0</v>
      </c>
      <c r="X475" s="18">
        <v>0.02857</v>
      </c>
      <c r="Y475" s="18">
        <v>1.78</v>
      </c>
      <c r="Z475" s="18">
        <v>1.78</v>
      </c>
      <c r="AA475" s="18">
        <v>21.71</v>
      </c>
      <c r="AB475" s="18">
        <v>3</v>
      </c>
      <c r="AC475" s="18">
        <v>3</v>
      </c>
      <c r="AD475" s="18">
        <v>0</v>
      </c>
      <c r="AE475" s="18">
        <v>0.04286</v>
      </c>
      <c r="AF475" s="18">
        <v>2</v>
      </c>
      <c r="AG475" s="18">
        <v>0</v>
      </c>
      <c r="AH475" s="18"/>
      <c r="AI475" s="18">
        <v>5</v>
      </c>
      <c r="AJ475" s="18">
        <v>8.68</v>
      </c>
      <c r="AK475" s="18">
        <v>5</v>
      </c>
      <c r="AL475" s="18">
        <v>8.68</v>
      </c>
      <c r="AM475" s="18">
        <v>2</v>
      </c>
      <c r="AN475" s="18">
        <v>21.71</v>
      </c>
      <c r="AO475" s="18">
        <v>0.02857</v>
      </c>
      <c r="AP475" s="18">
        <v>14.47</v>
      </c>
      <c r="AQ475" s="18">
        <v>2</v>
      </c>
      <c r="AR475" s="18">
        <v>93.8</v>
      </c>
      <c r="AS475" s="18">
        <v>2</v>
      </c>
      <c r="AT475" s="18">
        <v>0</v>
      </c>
      <c r="AU475" s="18">
        <v>0</v>
      </c>
      <c r="AV475" s="18">
        <v>0</v>
      </c>
      <c r="AW475" s="18">
        <v>0</v>
      </c>
      <c r="AX475" s="18">
        <v>1</v>
      </c>
      <c r="AY475" s="18">
        <v>124</v>
      </c>
      <c r="AZ475" s="18">
        <v>59</v>
      </c>
      <c r="BA475" s="18">
        <v>46</v>
      </c>
      <c r="BB475" s="18">
        <v>0.77966</v>
      </c>
      <c r="BC475" s="18">
        <v>0</v>
      </c>
      <c r="BD475" s="18">
        <v>0</v>
      </c>
      <c r="BE475" s="18">
        <v>0.09118</v>
      </c>
      <c r="BF475" s="18">
        <v>48</v>
      </c>
      <c r="BG475" s="18">
        <v>2</v>
      </c>
      <c r="BH475" s="18">
        <v>2</v>
      </c>
      <c r="BI475" s="18">
        <v>1</v>
      </c>
      <c r="BJ475" s="18">
        <v>0</v>
      </c>
      <c r="BK475" s="18">
        <v>0</v>
      </c>
      <c r="BL475" s="18">
        <v>0</v>
      </c>
      <c r="BM475" s="18">
        <v>2</v>
      </c>
      <c r="BN475" s="18">
        <v>1</v>
      </c>
      <c r="BO475" s="18">
        <v>38.63</v>
      </c>
      <c r="BP475" s="18">
        <v>9</v>
      </c>
      <c r="BQ475" s="18">
        <v>657</v>
      </c>
      <c r="BR475" s="18">
        <v>0</v>
      </c>
      <c r="BS475" s="18">
        <v>0</v>
      </c>
      <c r="BT475" s="18">
        <v>0</v>
      </c>
      <c r="BU475" s="18">
        <v>0</v>
      </c>
      <c r="BV475" s="18">
        <v>0</v>
      </c>
      <c r="BW475" s="18">
        <v>0</v>
      </c>
      <c r="BX475" s="18">
        <v>0</v>
      </c>
    </row>
    <row r="476" spans="1:76">
      <c r="A476" s="14" t="str">
        <f>VLOOKUP(C476,VLOOKUP!A:B,2,FALSE)</f>
        <v>早晚安香</v>
      </c>
      <c r="B476" s="19">
        <v>46181</v>
      </c>
      <c r="C476" s="20">
        <v>1010789122929</v>
      </c>
      <c r="D476" s="18" t="s">
        <v>151</v>
      </c>
      <c r="E476" s="18" t="s">
        <v>164</v>
      </c>
      <c r="F476" s="18">
        <v>1533</v>
      </c>
      <c r="G476" s="18">
        <v>57</v>
      </c>
      <c r="H476" s="18">
        <v>52.86</v>
      </c>
      <c r="I476" s="18">
        <v>0.03718</v>
      </c>
      <c r="J476" s="18">
        <v>0.93</v>
      </c>
      <c r="K476" s="18">
        <v>34.48</v>
      </c>
      <c r="L476" s="18">
        <v>0</v>
      </c>
      <c r="M476" s="18">
        <v>0</v>
      </c>
      <c r="N476" s="18">
        <v>0</v>
      </c>
      <c r="O476" s="18">
        <v>0</v>
      </c>
      <c r="P476" s="18">
        <v>0</v>
      </c>
      <c r="Q476" s="18">
        <v>0</v>
      </c>
      <c r="R476" s="18">
        <v>0</v>
      </c>
      <c r="S476" s="18">
        <v>79.15</v>
      </c>
      <c r="T476" s="18">
        <v>79.15</v>
      </c>
      <c r="U476" s="18">
        <v>1</v>
      </c>
      <c r="V476" s="18">
        <v>0</v>
      </c>
      <c r="W476" s="18">
        <v>1</v>
      </c>
      <c r="X476" s="18">
        <v>0.01754</v>
      </c>
      <c r="Y476" s="18">
        <v>1.5</v>
      </c>
      <c r="Z476" s="18">
        <v>1.5</v>
      </c>
      <c r="AA476" s="18">
        <v>52.86</v>
      </c>
      <c r="AB476" s="18">
        <v>0</v>
      </c>
      <c r="AC476" s="18">
        <v>0</v>
      </c>
      <c r="AD476" s="18">
        <v>0</v>
      </c>
      <c r="AE476" s="18">
        <v>0</v>
      </c>
      <c r="AF476" s="18">
        <v>0</v>
      </c>
      <c r="AG476" s="18">
        <v>0</v>
      </c>
      <c r="AH476" s="18"/>
      <c r="AI476" s="18">
        <v>0</v>
      </c>
      <c r="AJ476" s="18"/>
      <c r="AK476" s="18">
        <v>0</v>
      </c>
      <c r="AL476" s="18"/>
      <c r="AM476" s="18">
        <v>0</v>
      </c>
      <c r="AN476" s="18"/>
      <c r="AO476" s="18">
        <v>0</v>
      </c>
      <c r="AP476" s="18"/>
      <c r="AQ476" s="18">
        <v>2</v>
      </c>
      <c r="AR476" s="18">
        <v>148.9</v>
      </c>
      <c r="AS476" s="18">
        <v>0</v>
      </c>
      <c r="AT476" s="18">
        <v>0</v>
      </c>
      <c r="AU476" s="18">
        <v>0</v>
      </c>
      <c r="AV476" s="18">
        <v>0</v>
      </c>
      <c r="AW476" s="18">
        <v>0</v>
      </c>
      <c r="AX476" s="18">
        <v>0</v>
      </c>
      <c r="AY476" s="18">
        <v>100</v>
      </c>
      <c r="AZ476" s="18">
        <v>57</v>
      </c>
      <c r="BA476" s="18">
        <v>29</v>
      </c>
      <c r="BB476" s="18">
        <v>0.50877</v>
      </c>
      <c r="BC476" s="18">
        <v>0</v>
      </c>
      <c r="BD476" s="18">
        <v>0</v>
      </c>
      <c r="BE476" s="18">
        <v>0.06523</v>
      </c>
      <c r="BF476" s="18">
        <v>28</v>
      </c>
      <c r="BG476" s="18">
        <v>2</v>
      </c>
      <c r="BH476" s="18">
        <v>1</v>
      </c>
      <c r="BI476" s="18">
        <v>1</v>
      </c>
      <c r="BJ476" s="18">
        <v>0</v>
      </c>
      <c r="BK476" s="18">
        <v>0</v>
      </c>
      <c r="BL476" s="18">
        <v>0</v>
      </c>
      <c r="BM476" s="18">
        <v>1</v>
      </c>
      <c r="BN476" s="18">
        <v>1</v>
      </c>
      <c r="BO476" s="18">
        <v>79.15</v>
      </c>
      <c r="BP476" s="18">
        <v>0</v>
      </c>
      <c r="BQ476" s="18">
        <v>181</v>
      </c>
      <c r="BR476" s="18">
        <v>0</v>
      </c>
      <c r="BS476" s="18">
        <v>0</v>
      </c>
      <c r="BT476" s="18">
        <v>0</v>
      </c>
      <c r="BU476" s="18">
        <v>0</v>
      </c>
      <c r="BV476" s="18">
        <v>0</v>
      </c>
      <c r="BW476" s="18">
        <v>0</v>
      </c>
      <c r="BX476" s="18">
        <v>0</v>
      </c>
    </row>
    <row r="477" spans="1:76">
      <c r="A477" s="14" t="str">
        <f>VLOOKUP(C477,VLOOKUP!A:B,2,FALSE)</f>
        <v>荔枝香</v>
      </c>
      <c r="B477" s="19">
        <v>46181</v>
      </c>
      <c r="C477" s="20">
        <v>960406497157</v>
      </c>
      <c r="D477" s="18" t="s">
        <v>151</v>
      </c>
      <c r="E477" s="18" t="s">
        <v>165</v>
      </c>
      <c r="F477" s="18">
        <v>2749</v>
      </c>
      <c r="G477" s="18">
        <v>203</v>
      </c>
      <c r="H477" s="18">
        <v>108.87</v>
      </c>
      <c r="I477" s="18">
        <v>0.07385</v>
      </c>
      <c r="J477" s="18">
        <v>0.54</v>
      </c>
      <c r="K477" s="18">
        <v>39.6</v>
      </c>
      <c r="L477" s="18">
        <v>0</v>
      </c>
      <c r="M477" s="18">
        <v>0</v>
      </c>
      <c r="N477" s="18">
        <v>0</v>
      </c>
      <c r="O477" s="18">
        <v>0</v>
      </c>
      <c r="P477" s="18">
        <v>0</v>
      </c>
      <c r="Q477" s="18">
        <v>0</v>
      </c>
      <c r="R477" s="18">
        <v>277.28</v>
      </c>
      <c r="S477" s="18">
        <v>0</v>
      </c>
      <c r="T477" s="18">
        <v>277.28</v>
      </c>
      <c r="U477" s="18">
        <v>2</v>
      </c>
      <c r="V477" s="18">
        <v>2</v>
      </c>
      <c r="W477" s="18">
        <v>0</v>
      </c>
      <c r="X477" s="18">
        <v>0.00985</v>
      </c>
      <c r="Y477" s="18">
        <v>2.55</v>
      </c>
      <c r="Z477" s="18">
        <v>2.55</v>
      </c>
      <c r="AA477" s="18">
        <v>54.44</v>
      </c>
      <c r="AB477" s="18">
        <v>6</v>
      </c>
      <c r="AC477" s="18">
        <v>6</v>
      </c>
      <c r="AD477" s="18">
        <v>0</v>
      </c>
      <c r="AE477" s="18">
        <v>0.02956</v>
      </c>
      <c r="AF477" s="18">
        <v>5</v>
      </c>
      <c r="AG477" s="18">
        <v>1</v>
      </c>
      <c r="AH477" s="18">
        <v>108.87</v>
      </c>
      <c r="AI477" s="18">
        <v>12</v>
      </c>
      <c r="AJ477" s="18">
        <v>9.07</v>
      </c>
      <c r="AK477" s="18">
        <v>11</v>
      </c>
      <c r="AL477" s="18">
        <v>9.9</v>
      </c>
      <c r="AM477" s="18">
        <v>6</v>
      </c>
      <c r="AN477" s="18">
        <v>21.77</v>
      </c>
      <c r="AO477" s="18">
        <v>0.02463</v>
      </c>
      <c r="AP477" s="18">
        <v>18.15</v>
      </c>
      <c r="AQ477" s="18">
        <v>4</v>
      </c>
      <c r="AR477" s="18">
        <v>435.8</v>
      </c>
      <c r="AS477" s="18">
        <v>5</v>
      </c>
      <c r="AT477" s="18">
        <v>0</v>
      </c>
      <c r="AU477" s="18">
        <v>0</v>
      </c>
      <c r="AV477" s="18">
        <v>0</v>
      </c>
      <c r="AW477" s="18">
        <v>0</v>
      </c>
      <c r="AX477" s="18">
        <v>0</v>
      </c>
      <c r="AY477" s="18">
        <v>342</v>
      </c>
      <c r="AZ477" s="18">
        <v>195</v>
      </c>
      <c r="BA477" s="18">
        <v>163</v>
      </c>
      <c r="BB477" s="18">
        <v>0.8359</v>
      </c>
      <c r="BC477" s="18">
        <v>0</v>
      </c>
      <c r="BD477" s="18">
        <v>0</v>
      </c>
      <c r="BE477" s="18">
        <v>0.12441</v>
      </c>
      <c r="BF477" s="18">
        <v>88</v>
      </c>
      <c r="BG477" s="18">
        <v>2</v>
      </c>
      <c r="BH477" s="18">
        <v>1</v>
      </c>
      <c r="BI477" s="18">
        <v>1</v>
      </c>
      <c r="BJ477" s="18">
        <v>0</v>
      </c>
      <c r="BK477" s="18">
        <v>0</v>
      </c>
      <c r="BL477" s="18">
        <v>0</v>
      </c>
      <c r="BM477" s="18">
        <v>1</v>
      </c>
      <c r="BN477" s="18">
        <v>2</v>
      </c>
      <c r="BO477" s="18">
        <v>277.28</v>
      </c>
      <c r="BP477" s="18">
        <v>3.98</v>
      </c>
      <c r="BQ477" s="18">
        <v>866</v>
      </c>
      <c r="BR477" s="18">
        <v>0</v>
      </c>
      <c r="BS477" s="18">
        <v>0</v>
      </c>
      <c r="BT477" s="18">
        <v>0</v>
      </c>
      <c r="BU477" s="18">
        <v>0</v>
      </c>
      <c r="BV477" s="18">
        <v>0</v>
      </c>
      <c r="BW477" s="18">
        <v>0</v>
      </c>
      <c r="BX477" s="18">
        <v>0</v>
      </c>
    </row>
    <row r="478" spans="1:76">
      <c r="A478" s="14" t="str">
        <f>VLOOKUP(C478,VLOOKUP!A:B,2,FALSE)</f>
        <v>如意盘香</v>
      </c>
      <c r="B478" s="19">
        <v>46181</v>
      </c>
      <c r="C478" s="20">
        <v>838711327669</v>
      </c>
      <c r="D478" s="18" t="s">
        <v>151</v>
      </c>
      <c r="E478" s="18" t="s">
        <v>166</v>
      </c>
      <c r="F478" s="18">
        <v>442</v>
      </c>
      <c r="G478" s="18">
        <v>21</v>
      </c>
      <c r="H478" s="18">
        <v>39.75</v>
      </c>
      <c r="I478" s="18">
        <v>0.04751</v>
      </c>
      <c r="J478" s="18">
        <v>1.89</v>
      </c>
      <c r="K478" s="18">
        <v>89.93</v>
      </c>
      <c r="L478" s="18">
        <v>0</v>
      </c>
      <c r="M478" s="18">
        <v>0</v>
      </c>
      <c r="N478" s="18">
        <v>0</v>
      </c>
      <c r="O478" s="18">
        <v>0</v>
      </c>
      <c r="P478" s="18">
        <v>0</v>
      </c>
      <c r="Q478" s="18">
        <v>0</v>
      </c>
      <c r="R478" s="18">
        <v>0</v>
      </c>
      <c r="S478" s="18">
        <v>0</v>
      </c>
      <c r="T478" s="18">
        <v>0</v>
      </c>
      <c r="U478" s="18">
        <v>0</v>
      </c>
      <c r="V478" s="18">
        <v>0</v>
      </c>
      <c r="W478" s="18">
        <v>0</v>
      </c>
      <c r="X478" s="18">
        <v>0</v>
      </c>
      <c r="Y478" s="18">
        <v>0</v>
      </c>
      <c r="Z478" s="18">
        <v>0</v>
      </c>
      <c r="AA478" s="18"/>
      <c r="AB478" s="18">
        <v>3</v>
      </c>
      <c r="AC478" s="18">
        <v>2</v>
      </c>
      <c r="AD478" s="18">
        <v>1</v>
      </c>
      <c r="AE478" s="18">
        <v>0.14286</v>
      </c>
      <c r="AF478" s="18">
        <v>0</v>
      </c>
      <c r="AG478" s="18">
        <v>0</v>
      </c>
      <c r="AH478" s="18"/>
      <c r="AI478" s="18">
        <v>3</v>
      </c>
      <c r="AJ478" s="18">
        <v>13.25</v>
      </c>
      <c r="AK478" s="18">
        <v>3</v>
      </c>
      <c r="AL478" s="18">
        <v>13.25</v>
      </c>
      <c r="AM478" s="18">
        <v>0</v>
      </c>
      <c r="AN478" s="18"/>
      <c r="AO478" s="18">
        <v>0</v>
      </c>
      <c r="AP478" s="18">
        <v>13.25</v>
      </c>
      <c r="AQ478" s="18">
        <v>0</v>
      </c>
      <c r="AR478" s="18">
        <v>0</v>
      </c>
      <c r="AS478" s="18">
        <v>0</v>
      </c>
      <c r="AT478" s="18">
        <v>0</v>
      </c>
      <c r="AU478" s="18">
        <v>0</v>
      </c>
      <c r="AV478" s="18">
        <v>0</v>
      </c>
      <c r="AW478" s="18">
        <v>0</v>
      </c>
      <c r="AX478" s="18">
        <v>2</v>
      </c>
      <c r="AY478" s="18">
        <v>103</v>
      </c>
      <c r="AZ478" s="18">
        <v>19</v>
      </c>
      <c r="BA478" s="18">
        <v>13</v>
      </c>
      <c r="BB478" s="18">
        <v>0.68421</v>
      </c>
      <c r="BC478" s="18">
        <v>0</v>
      </c>
      <c r="BD478" s="18">
        <v>0</v>
      </c>
      <c r="BE478" s="18">
        <v>0.23303</v>
      </c>
      <c r="BF478" s="18">
        <v>78</v>
      </c>
      <c r="BG478" s="18">
        <v>5</v>
      </c>
      <c r="BH478" s="18">
        <v>0</v>
      </c>
      <c r="BI478" s="18"/>
      <c r="BJ478" s="18">
        <v>0</v>
      </c>
      <c r="BK478" s="18">
        <v>0</v>
      </c>
      <c r="BL478" s="18">
        <v>0</v>
      </c>
      <c r="BM478" s="18">
        <v>0</v>
      </c>
      <c r="BN478" s="18"/>
      <c r="BO478" s="18"/>
      <c r="BP478" s="18">
        <v>0</v>
      </c>
      <c r="BQ478" s="18">
        <v>171</v>
      </c>
      <c r="BR478" s="18">
        <v>0</v>
      </c>
      <c r="BS478" s="18">
        <v>0</v>
      </c>
      <c r="BT478" s="18">
        <v>0</v>
      </c>
      <c r="BU478" s="18">
        <v>0</v>
      </c>
      <c r="BV478" s="18">
        <v>0</v>
      </c>
      <c r="BW478" s="18">
        <v>0</v>
      </c>
      <c r="BX478" s="18">
        <v>0</v>
      </c>
    </row>
    <row r="479" spans="1:76">
      <c r="A479" s="14" t="str">
        <f>VLOOKUP(C479,VLOOKUP!A:B,2,FALSE)</f>
        <v>太樾归真</v>
      </c>
      <c r="B479" s="19">
        <v>46180</v>
      </c>
      <c r="C479" s="20">
        <v>1051919021880</v>
      </c>
      <c r="D479" s="18" t="s">
        <v>151</v>
      </c>
      <c r="E479" s="18" t="s">
        <v>167</v>
      </c>
      <c r="F479" s="18">
        <v>768</v>
      </c>
      <c r="G479" s="18">
        <v>66</v>
      </c>
      <c r="H479" s="18">
        <v>40.84</v>
      </c>
      <c r="I479" s="18">
        <v>0.08594</v>
      </c>
      <c r="J479" s="18">
        <v>0.62</v>
      </c>
      <c r="K479" s="18">
        <v>53.18</v>
      </c>
      <c r="L479" s="18">
        <v>0</v>
      </c>
      <c r="M479" s="18">
        <v>0</v>
      </c>
      <c r="N479" s="18">
        <v>0</v>
      </c>
      <c r="O479" s="18">
        <v>0</v>
      </c>
      <c r="P479" s="18">
        <v>0</v>
      </c>
      <c r="Q479" s="18">
        <v>0</v>
      </c>
      <c r="R479" s="18">
        <v>75.11</v>
      </c>
      <c r="S479" s="18">
        <v>0</v>
      </c>
      <c r="T479" s="18">
        <v>75.11</v>
      </c>
      <c r="U479" s="18">
        <v>1</v>
      </c>
      <c r="V479" s="18">
        <v>1</v>
      </c>
      <c r="W479" s="18">
        <v>0</v>
      </c>
      <c r="X479" s="18">
        <v>0.01515</v>
      </c>
      <c r="Y479" s="18">
        <v>1.84</v>
      </c>
      <c r="Z479" s="18">
        <v>1.84</v>
      </c>
      <c r="AA479" s="18">
        <v>40.84</v>
      </c>
      <c r="AB479" s="18">
        <v>4</v>
      </c>
      <c r="AC479" s="18">
        <v>3</v>
      </c>
      <c r="AD479" s="18">
        <v>1</v>
      </c>
      <c r="AE479" s="18">
        <v>0.06061</v>
      </c>
      <c r="AF479" s="18">
        <v>0</v>
      </c>
      <c r="AG479" s="18">
        <v>0</v>
      </c>
      <c r="AH479" s="18"/>
      <c r="AI479" s="18">
        <v>4</v>
      </c>
      <c r="AJ479" s="18">
        <v>10.21</v>
      </c>
      <c r="AK479" s="18">
        <v>4</v>
      </c>
      <c r="AL479" s="18">
        <v>10.21</v>
      </c>
      <c r="AM479" s="18">
        <v>0</v>
      </c>
      <c r="AN479" s="18"/>
      <c r="AO479" s="18">
        <v>0</v>
      </c>
      <c r="AP479" s="18">
        <v>10.21</v>
      </c>
      <c r="AQ479" s="18">
        <v>1</v>
      </c>
      <c r="AR479" s="18">
        <v>93.9</v>
      </c>
      <c r="AS479" s="18">
        <v>0</v>
      </c>
      <c r="AT479" s="18">
        <v>0</v>
      </c>
      <c r="AU479" s="18">
        <v>0</v>
      </c>
      <c r="AV479" s="18">
        <v>0</v>
      </c>
      <c r="AW479" s="18">
        <v>0</v>
      </c>
      <c r="AX479" s="18">
        <v>0</v>
      </c>
      <c r="AY479" s="18">
        <v>108</v>
      </c>
      <c r="AZ479" s="18">
        <v>58</v>
      </c>
      <c r="BA479" s="18">
        <v>50</v>
      </c>
      <c r="BB479" s="18">
        <v>0.86207</v>
      </c>
      <c r="BC479" s="18">
        <v>0</v>
      </c>
      <c r="BD479" s="18">
        <v>0</v>
      </c>
      <c r="BE479" s="18">
        <v>0.14063</v>
      </c>
      <c r="BF479" s="18">
        <v>24</v>
      </c>
      <c r="BG479" s="18">
        <v>2</v>
      </c>
      <c r="BH479" s="18">
        <v>1</v>
      </c>
      <c r="BI479" s="18">
        <v>1</v>
      </c>
      <c r="BJ479" s="18">
        <v>0</v>
      </c>
      <c r="BK479" s="18">
        <v>0</v>
      </c>
      <c r="BL479" s="18">
        <v>0</v>
      </c>
      <c r="BM479" s="18">
        <v>1</v>
      </c>
      <c r="BN479" s="18">
        <v>1</v>
      </c>
      <c r="BO479" s="18">
        <v>75.11</v>
      </c>
      <c r="BP479" s="18">
        <v>11.26</v>
      </c>
      <c r="BQ479" s="18">
        <v>118</v>
      </c>
      <c r="BR479" s="18">
        <v>0</v>
      </c>
      <c r="BS479" s="18">
        <v>0</v>
      </c>
      <c r="BT479" s="18">
        <v>0</v>
      </c>
      <c r="BU479" s="18">
        <v>0</v>
      </c>
      <c r="BV479" s="18">
        <v>0</v>
      </c>
      <c r="BW479" s="18">
        <v>0</v>
      </c>
      <c r="BX479" s="18">
        <v>0</v>
      </c>
    </row>
    <row r="480" spans="1:76">
      <c r="A480" s="14" t="str">
        <f>VLOOKUP(C480,VLOOKUP!A:B,2,FALSE)</f>
        <v>早晚安香</v>
      </c>
      <c r="B480" s="19">
        <v>46180</v>
      </c>
      <c r="C480" s="20">
        <v>1010789122929</v>
      </c>
      <c r="D480" s="18" t="s">
        <v>151</v>
      </c>
      <c r="E480" s="18" t="s">
        <v>164</v>
      </c>
      <c r="F480" s="18">
        <v>786</v>
      </c>
      <c r="G480" s="18">
        <v>52</v>
      </c>
      <c r="H480" s="18">
        <v>42.53</v>
      </c>
      <c r="I480" s="18">
        <v>0.06616</v>
      </c>
      <c r="J480" s="18">
        <v>0.82</v>
      </c>
      <c r="K480" s="18">
        <v>54.11</v>
      </c>
      <c r="L480" s="18">
        <v>0</v>
      </c>
      <c r="M480" s="18">
        <v>0</v>
      </c>
      <c r="N480" s="18">
        <v>0</v>
      </c>
      <c r="O480" s="18">
        <v>0</v>
      </c>
      <c r="P480" s="18">
        <v>0</v>
      </c>
      <c r="Q480" s="18">
        <v>0</v>
      </c>
      <c r="R480" s="18">
        <v>0</v>
      </c>
      <c r="S480" s="18">
        <v>167.71</v>
      </c>
      <c r="T480" s="18">
        <v>167.71</v>
      </c>
      <c r="U480" s="18">
        <v>2</v>
      </c>
      <c r="V480" s="18">
        <v>0</v>
      </c>
      <c r="W480" s="18">
        <v>2</v>
      </c>
      <c r="X480" s="18">
        <v>0.03846</v>
      </c>
      <c r="Y480" s="18">
        <v>3.94</v>
      </c>
      <c r="Z480" s="18">
        <v>3.94</v>
      </c>
      <c r="AA480" s="18">
        <v>21.27</v>
      </c>
      <c r="AB480" s="18">
        <v>3</v>
      </c>
      <c r="AC480" s="18">
        <v>1</v>
      </c>
      <c r="AD480" s="18">
        <v>2</v>
      </c>
      <c r="AE480" s="18">
        <v>0.05769</v>
      </c>
      <c r="AF480" s="18">
        <v>1</v>
      </c>
      <c r="AG480" s="18">
        <v>0</v>
      </c>
      <c r="AH480" s="18"/>
      <c r="AI480" s="18">
        <v>4</v>
      </c>
      <c r="AJ480" s="18">
        <v>10.63</v>
      </c>
      <c r="AK480" s="18">
        <v>4</v>
      </c>
      <c r="AL480" s="18">
        <v>10.63</v>
      </c>
      <c r="AM480" s="18">
        <v>1</v>
      </c>
      <c r="AN480" s="18">
        <v>42.53</v>
      </c>
      <c r="AO480" s="18">
        <v>0.01923</v>
      </c>
      <c r="AP480" s="18">
        <v>14.18</v>
      </c>
      <c r="AQ480" s="18">
        <v>4</v>
      </c>
      <c r="AR480" s="18">
        <v>304.8</v>
      </c>
      <c r="AS480" s="18">
        <v>1</v>
      </c>
      <c r="AT480" s="18">
        <v>0</v>
      </c>
      <c r="AU480" s="18">
        <v>0</v>
      </c>
      <c r="AV480" s="18">
        <v>0</v>
      </c>
      <c r="AW480" s="18">
        <v>0</v>
      </c>
      <c r="AX480" s="18">
        <v>1</v>
      </c>
      <c r="AY480" s="18">
        <v>95</v>
      </c>
      <c r="AZ480" s="18">
        <v>45</v>
      </c>
      <c r="BA480" s="18">
        <v>25</v>
      </c>
      <c r="BB480" s="18">
        <v>0.55556</v>
      </c>
      <c r="BC480" s="18">
        <v>0</v>
      </c>
      <c r="BD480" s="18">
        <v>0</v>
      </c>
      <c r="BE480" s="18">
        <v>0.12087</v>
      </c>
      <c r="BF480" s="18">
        <v>29</v>
      </c>
      <c r="BG480" s="18">
        <v>2</v>
      </c>
      <c r="BH480" s="18">
        <v>1</v>
      </c>
      <c r="BI480" s="18">
        <v>1</v>
      </c>
      <c r="BJ480" s="18">
        <v>0</v>
      </c>
      <c r="BK480" s="18">
        <v>0</v>
      </c>
      <c r="BL480" s="18">
        <v>0</v>
      </c>
      <c r="BM480" s="18">
        <v>1</v>
      </c>
      <c r="BN480" s="18">
        <v>2</v>
      </c>
      <c r="BO480" s="18">
        <v>167.71</v>
      </c>
      <c r="BP480" s="18">
        <v>2.17</v>
      </c>
      <c r="BQ480" s="18">
        <v>501</v>
      </c>
      <c r="BR480" s="18">
        <v>0</v>
      </c>
      <c r="BS480" s="18">
        <v>0</v>
      </c>
      <c r="BT480" s="18">
        <v>0</v>
      </c>
      <c r="BU480" s="18">
        <v>0</v>
      </c>
      <c r="BV480" s="18">
        <v>0</v>
      </c>
      <c r="BW480" s="18">
        <v>0</v>
      </c>
      <c r="BX480" s="18">
        <v>0</v>
      </c>
    </row>
    <row r="481" spans="1:76">
      <c r="A481" s="14" t="str">
        <f>VLOOKUP(C481,VLOOKUP!A:B,2,FALSE)</f>
        <v>荔枝香</v>
      </c>
      <c r="B481" s="19">
        <v>46180</v>
      </c>
      <c r="C481" s="20">
        <v>960406497157</v>
      </c>
      <c r="D481" s="18" t="s">
        <v>151</v>
      </c>
      <c r="E481" s="18" t="s">
        <v>165</v>
      </c>
      <c r="F481" s="18">
        <v>2905</v>
      </c>
      <c r="G481" s="18">
        <v>269</v>
      </c>
      <c r="H481" s="18">
        <v>113.6</v>
      </c>
      <c r="I481" s="18">
        <v>0.0926</v>
      </c>
      <c r="J481" s="18">
        <v>0.42</v>
      </c>
      <c r="K481" s="18">
        <v>39.1</v>
      </c>
      <c r="L481" s="18">
        <v>0</v>
      </c>
      <c r="M481" s="18">
        <v>0</v>
      </c>
      <c r="N481" s="18">
        <v>0</v>
      </c>
      <c r="O481" s="18">
        <v>0</v>
      </c>
      <c r="P481" s="18">
        <v>0</v>
      </c>
      <c r="Q481" s="18">
        <v>0</v>
      </c>
      <c r="R481" s="18">
        <v>0</v>
      </c>
      <c r="S481" s="18">
        <v>0</v>
      </c>
      <c r="T481" s="18">
        <v>0</v>
      </c>
      <c r="U481" s="18">
        <v>0</v>
      </c>
      <c r="V481" s="18">
        <v>0</v>
      </c>
      <c r="W481" s="18">
        <v>0</v>
      </c>
      <c r="X481" s="18">
        <v>0</v>
      </c>
      <c r="Y481" s="18">
        <v>0</v>
      </c>
      <c r="Z481" s="18">
        <v>0</v>
      </c>
      <c r="AA481" s="18"/>
      <c r="AB481" s="18">
        <v>9</v>
      </c>
      <c r="AC481" s="18">
        <v>7</v>
      </c>
      <c r="AD481" s="18">
        <v>2</v>
      </c>
      <c r="AE481" s="18">
        <v>0.03346</v>
      </c>
      <c r="AF481" s="18">
        <v>5</v>
      </c>
      <c r="AG481" s="18">
        <v>0</v>
      </c>
      <c r="AH481" s="18"/>
      <c r="AI481" s="18">
        <v>14</v>
      </c>
      <c r="AJ481" s="18">
        <v>8.11</v>
      </c>
      <c r="AK481" s="18">
        <v>14</v>
      </c>
      <c r="AL481" s="18">
        <v>8.11</v>
      </c>
      <c r="AM481" s="18">
        <v>5</v>
      </c>
      <c r="AN481" s="18">
        <v>22.72</v>
      </c>
      <c r="AO481" s="18">
        <v>0.01859</v>
      </c>
      <c r="AP481" s="18">
        <v>12.62</v>
      </c>
      <c r="AQ481" s="18">
        <v>0</v>
      </c>
      <c r="AR481" s="18">
        <v>0</v>
      </c>
      <c r="AS481" s="18">
        <v>5</v>
      </c>
      <c r="AT481" s="18">
        <v>0</v>
      </c>
      <c r="AU481" s="18">
        <v>0</v>
      </c>
      <c r="AV481" s="18">
        <v>0</v>
      </c>
      <c r="AW481" s="18">
        <v>0</v>
      </c>
      <c r="AX481" s="18">
        <v>0</v>
      </c>
      <c r="AY481" s="18">
        <v>509</v>
      </c>
      <c r="AZ481" s="18">
        <v>270</v>
      </c>
      <c r="BA481" s="18">
        <v>227</v>
      </c>
      <c r="BB481" s="18">
        <v>0.84074</v>
      </c>
      <c r="BC481" s="18">
        <v>0</v>
      </c>
      <c r="BD481" s="18">
        <v>0</v>
      </c>
      <c r="BE481" s="18">
        <v>0.17522</v>
      </c>
      <c r="BF481" s="18">
        <v>159</v>
      </c>
      <c r="BG481" s="18">
        <v>2</v>
      </c>
      <c r="BH481" s="18">
        <v>0</v>
      </c>
      <c r="BI481" s="18"/>
      <c r="BJ481" s="18">
        <v>0</v>
      </c>
      <c r="BK481" s="18">
        <v>0</v>
      </c>
      <c r="BL481" s="18">
        <v>0</v>
      </c>
      <c r="BM481" s="18">
        <v>0</v>
      </c>
      <c r="BN481" s="18"/>
      <c r="BO481" s="18"/>
      <c r="BP481" s="18">
        <v>2.5</v>
      </c>
      <c r="BQ481" s="18">
        <v>242</v>
      </c>
      <c r="BR481" s="18">
        <v>0</v>
      </c>
      <c r="BS481" s="18">
        <v>0</v>
      </c>
      <c r="BT481" s="18">
        <v>0</v>
      </c>
      <c r="BU481" s="18">
        <v>0</v>
      </c>
      <c r="BV481" s="18">
        <v>0</v>
      </c>
      <c r="BW481" s="18">
        <v>0</v>
      </c>
      <c r="BX481" s="18">
        <v>0</v>
      </c>
    </row>
    <row r="482" spans="1:76">
      <c r="A482" s="14" t="str">
        <f>VLOOKUP(C482,VLOOKUP!A:B,2,FALSE)</f>
        <v>如意盘香</v>
      </c>
      <c r="B482" s="19">
        <v>46180</v>
      </c>
      <c r="C482" s="20">
        <v>838711327669</v>
      </c>
      <c r="D482" s="18" t="s">
        <v>151</v>
      </c>
      <c r="E482" s="18" t="s">
        <v>166</v>
      </c>
      <c r="F482" s="18">
        <v>1297</v>
      </c>
      <c r="G482" s="18">
        <v>68</v>
      </c>
      <c r="H482" s="18">
        <v>50</v>
      </c>
      <c r="I482" s="18">
        <v>0.05243</v>
      </c>
      <c r="J482" s="18">
        <v>0.74</v>
      </c>
      <c r="K482" s="18">
        <v>38.55</v>
      </c>
      <c r="L482" s="18">
        <v>0</v>
      </c>
      <c r="M482" s="18">
        <v>0</v>
      </c>
      <c r="N482" s="18">
        <v>0</v>
      </c>
      <c r="O482" s="18">
        <v>0</v>
      </c>
      <c r="P482" s="18">
        <v>0</v>
      </c>
      <c r="Q482" s="18">
        <v>0</v>
      </c>
      <c r="R482" s="18">
        <v>0</v>
      </c>
      <c r="S482" s="18">
        <v>0</v>
      </c>
      <c r="T482" s="18">
        <v>0</v>
      </c>
      <c r="U482" s="18">
        <v>0</v>
      </c>
      <c r="V482" s="18">
        <v>0</v>
      </c>
      <c r="W482" s="18">
        <v>0</v>
      </c>
      <c r="X482" s="18">
        <v>0</v>
      </c>
      <c r="Y482" s="18">
        <v>0</v>
      </c>
      <c r="Z482" s="18">
        <v>0</v>
      </c>
      <c r="AA482" s="18"/>
      <c r="AB482" s="18">
        <v>0</v>
      </c>
      <c r="AC482" s="18">
        <v>0</v>
      </c>
      <c r="AD482" s="18">
        <v>0</v>
      </c>
      <c r="AE482" s="18">
        <v>0</v>
      </c>
      <c r="AF482" s="18">
        <v>0</v>
      </c>
      <c r="AG482" s="18">
        <v>0</v>
      </c>
      <c r="AH482" s="18"/>
      <c r="AI482" s="18">
        <v>0</v>
      </c>
      <c r="AJ482" s="18"/>
      <c r="AK482" s="18">
        <v>0</v>
      </c>
      <c r="AL482" s="18"/>
      <c r="AM482" s="18">
        <v>0</v>
      </c>
      <c r="AN482" s="18"/>
      <c r="AO482" s="18">
        <v>0</v>
      </c>
      <c r="AP482" s="18"/>
      <c r="AQ482" s="18">
        <v>0</v>
      </c>
      <c r="AR482" s="18">
        <v>0</v>
      </c>
      <c r="AS482" s="18">
        <v>0</v>
      </c>
      <c r="AT482" s="18">
        <v>0</v>
      </c>
      <c r="AU482" s="18">
        <v>0</v>
      </c>
      <c r="AV482" s="18">
        <v>0</v>
      </c>
      <c r="AW482" s="18">
        <v>0</v>
      </c>
      <c r="AX482" s="18">
        <v>0</v>
      </c>
      <c r="AY482" s="18">
        <v>84</v>
      </c>
      <c r="AZ482" s="18">
        <v>64</v>
      </c>
      <c r="BA482" s="18">
        <v>59</v>
      </c>
      <c r="BB482" s="18">
        <v>0.92188</v>
      </c>
      <c r="BC482" s="18">
        <v>0</v>
      </c>
      <c r="BD482" s="18">
        <v>0</v>
      </c>
      <c r="BE482" s="18">
        <v>0.06476</v>
      </c>
      <c r="BF482" s="18">
        <v>7</v>
      </c>
      <c r="BG482" s="18">
        <v>1</v>
      </c>
      <c r="BH482" s="18">
        <v>0</v>
      </c>
      <c r="BI482" s="18"/>
      <c r="BJ482" s="18">
        <v>0</v>
      </c>
      <c r="BK482" s="18">
        <v>0</v>
      </c>
      <c r="BL482" s="18">
        <v>0</v>
      </c>
      <c r="BM482" s="18">
        <v>0</v>
      </c>
      <c r="BN482" s="18"/>
      <c r="BO482" s="18"/>
      <c r="BP482" s="18">
        <v>0</v>
      </c>
      <c r="BQ482" s="18">
        <v>14</v>
      </c>
      <c r="BR482" s="18">
        <v>0</v>
      </c>
      <c r="BS482" s="18">
        <v>0</v>
      </c>
      <c r="BT482" s="18">
        <v>0</v>
      </c>
      <c r="BU482" s="18">
        <v>0</v>
      </c>
      <c r="BV482" s="18">
        <v>0</v>
      </c>
      <c r="BW482" s="18">
        <v>0</v>
      </c>
      <c r="BX482" s="18">
        <v>0</v>
      </c>
    </row>
    <row r="483" spans="1:76">
      <c r="A483" s="14" t="str">
        <f>VLOOKUP(C483,VLOOKUP!A:B,2,FALSE)</f>
        <v>太樾归真</v>
      </c>
      <c r="B483" s="19">
        <v>46179</v>
      </c>
      <c r="C483" s="20">
        <v>1051919021880</v>
      </c>
      <c r="D483" s="18" t="s">
        <v>151</v>
      </c>
      <c r="E483" s="18" t="s">
        <v>167</v>
      </c>
      <c r="F483" s="18">
        <v>1147</v>
      </c>
      <c r="G483" s="18">
        <v>43</v>
      </c>
      <c r="H483" s="18">
        <v>26.02</v>
      </c>
      <c r="I483" s="18">
        <v>0.03749</v>
      </c>
      <c r="J483" s="18">
        <v>0.61</v>
      </c>
      <c r="K483" s="18">
        <v>22.69</v>
      </c>
      <c r="L483" s="18">
        <v>0</v>
      </c>
      <c r="M483" s="18">
        <v>0</v>
      </c>
      <c r="N483" s="18">
        <v>0</v>
      </c>
      <c r="O483" s="18">
        <v>0</v>
      </c>
      <c r="P483" s="18">
        <v>0</v>
      </c>
      <c r="Q483" s="18">
        <v>0</v>
      </c>
      <c r="R483" s="18">
        <v>113.98</v>
      </c>
      <c r="S483" s="18">
        <v>0</v>
      </c>
      <c r="T483" s="18">
        <v>113.98</v>
      </c>
      <c r="U483" s="18">
        <v>2</v>
      </c>
      <c r="V483" s="18">
        <v>2</v>
      </c>
      <c r="W483" s="18">
        <v>0</v>
      </c>
      <c r="X483" s="18">
        <v>0.04651</v>
      </c>
      <c r="Y483" s="18">
        <v>4.38</v>
      </c>
      <c r="Z483" s="18">
        <v>4.38</v>
      </c>
      <c r="AA483" s="18">
        <v>13.01</v>
      </c>
      <c r="AB483" s="18">
        <v>3</v>
      </c>
      <c r="AC483" s="18">
        <v>3</v>
      </c>
      <c r="AD483" s="18">
        <v>0</v>
      </c>
      <c r="AE483" s="18">
        <v>0.06977</v>
      </c>
      <c r="AF483" s="18">
        <v>0</v>
      </c>
      <c r="AG483" s="18">
        <v>1</v>
      </c>
      <c r="AH483" s="18">
        <v>26.02</v>
      </c>
      <c r="AI483" s="18">
        <v>4</v>
      </c>
      <c r="AJ483" s="18">
        <v>6.51</v>
      </c>
      <c r="AK483" s="18">
        <v>3</v>
      </c>
      <c r="AL483" s="18">
        <v>8.67</v>
      </c>
      <c r="AM483" s="18">
        <v>1</v>
      </c>
      <c r="AN483" s="18"/>
      <c r="AO483" s="18">
        <v>0</v>
      </c>
      <c r="AP483" s="18">
        <v>8.67</v>
      </c>
      <c r="AQ483" s="18">
        <v>2</v>
      </c>
      <c r="AR483" s="18">
        <v>140.8</v>
      </c>
      <c r="AS483" s="18">
        <v>0</v>
      </c>
      <c r="AT483" s="18">
        <v>0</v>
      </c>
      <c r="AU483" s="18">
        <v>0</v>
      </c>
      <c r="AV483" s="18">
        <v>0</v>
      </c>
      <c r="AW483" s="18">
        <v>0</v>
      </c>
      <c r="AX483" s="18">
        <v>0</v>
      </c>
      <c r="AY483" s="18">
        <v>119</v>
      </c>
      <c r="AZ483" s="18">
        <v>86</v>
      </c>
      <c r="BA483" s="18">
        <v>80</v>
      </c>
      <c r="BB483" s="18">
        <v>0.93023</v>
      </c>
      <c r="BC483" s="18">
        <v>0</v>
      </c>
      <c r="BD483" s="18">
        <v>0</v>
      </c>
      <c r="BE483" s="18">
        <v>0.10375</v>
      </c>
      <c r="BF483" s="18">
        <v>19</v>
      </c>
      <c r="BG483" s="18">
        <v>1</v>
      </c>
      <c r="BH483" s="18">
        <v>2</v>
      </c>
      <c r="BI483" s="18">
        <v>1</v>
      </c>
      <c r="BJ483" s="18">
        <v>0</v>
      </c>
      <c r="BK483" s="18">
        <v>0</v>
      </c>
      <c r="BL483" s="18">
        <v>0</v>
      </c>
      <c r="BM483" s="18">
        <v>2</v>
      </c>
      <c r="BN483" s="18">
        <v>1</v>
      </c>
      <c r="BO483" s="18">
        <v>56.99</v>
      </c>
      <c r="BP483" s="18">
        <v>31.86</v>
      </c>
      <c r="BQ483" s="18">
        <v>239</v>
      </c>
      <c r="BR483" s="18">
        <v>0</v>
      </c>
      <c r="BS483" s="18">
        <v>0</v>
      </c>
      <c r="BT483" s="18">
        <v>0</v>
      </c>
      <c r="BU483" s="18">
        <v>0</v>
      </c>
      <c r="BV483" s="18">
        <v>0</v>
      </c>
      <c r="BW483" s="18">
        <v>0</v>
      </c>
      <c r="BX483" s="18">
        <v>0</v>
      </c>
    </row>
    <row r="484" spans="1:76">
      <c r="A484" s="14" t="str">
        <f>VLOOKUP(C484,VLOOKUP!A:B,2,FALSE)</f>
        <v>早晚安香</v>
      </c>
      <c r="B484" s="19">
        <v>46179</v>
      </c>
      <c r="C484" s="20">
        <v>1010789122929</v>
      </c>
      <c r="D484" s="18" t="s">
        <v>151</v>
      </c>
      <c r="E484" s="18" t="s">
        <v>164</v>
      </c>
      <c r="F484" s="18">
        <v>1209</v>
      </c>
      <c r="G484" s="18">
        <v>46</v>
      </c>
      <c r="H484" s="18">
        <v>35.53</v>
      </c>
      <c r="I484" s="18">
        <v>0.03805</v>
      </c>
      <c r="J484" s="18">
        <v>0.77</v>
      </c>
      <c r="K484" s="18">
        <v>29.39</v>
      </c>
      <c r="L484" s="18">
        <v>0</v>
      </c>
      <c r="M484" s="18">
        <v>0</v>
      </c>
      <c r="N484" s="18">
        <v>0</v>
      </c>
      <c r="O484" s="18">
        <v>0</v>
      </c>
      <c r="P484" s="18">
        <v>0</v>
      </c>
      <c r="Q484" s="18">
        <v>0</v>
      </c>
      <c r="R484" s="18">
        <v>0</v>
      </c>
      <c r="S484" s="18">
        <v>0</v>
      </c>
      <c r="T484" s="18">
        <v>0</v>
      </c>
      <c r="U484" s="18">
        <v>0</v>
      </c>
      <c r="V484" s="18">
        <v>0</v>
      </c>
      <c r="W484" s="18">
        <v>0</v>
      </c>
      <c r="X484" s="18">
        <v>0</v>
      </c>
      <c r="Y484" s="18">
        <v>0</v>
      </c>
      <c r="Z484" s="18">
        <v>0</v>
      </c>
      <c r="AA484" s="18"/>
      <c r="AB484" s="18">
        <v>0</v>
      </c>
      <c r="AC484" s="18">
        <v>0</v>
      </c>
      <c r="AD484" s="18">
        <v>0</v>
      </c>
      <c r="AE484" s="18">
        <v>0</v>
      </c>
      <c r="AF484" s="18">
        <v>1</v>
      </c>
      <c r="AG484" s="18">
        <v>0</v>
      </c>
      <c r="AH484" s="18"/>
      <c r="AI484" s="18">
        <v>1</v>
      </c>
      <c r="AJ484" s="18">
        <v>35.53</v>
      </c>
      <c r="AK484" s="18">
        <v>1</v>
      </c>
      <c r="AL484" s="18">
        <v>35.53</v>
      </c>
      <c r="AM484" s="18">
        <v>1</v>
      </c>
      <c r="AN484" s="18">
        <v>35.53</v>
      </c>
      <c r="AO484" s="18">
        <v>0.02174</v>
      </c>
      <c r="AP484" s="18"/>
      <c r="AQ484" s="18">
        <v>0</v>
      </c>
      <c r="AR484" s="18">
        <v>0</v>
      </c>
      <c r="AS484" s="18">
        <v>1</v>
      </c>
      <c r="AT484" s="18">
        <v>0</v>
      </c>
      <c r="AU484" s="18">
        <v>0</v>
      </c>
      <c r="AV484" s="18">
        <v>0</v>
      </c>
      <c r="AW484" s="18">
        <v>0</v>
      </c>
      <c r="AX484" s="18">
        <v>0</v>
      </c>
      <c r="AY484" s="18">
        <v>101</v>
      </c>
      <c r="AZ484" s="18">
        <v>43</v>
      </c>
      <c r="BA484" s="18">
        <v>24</v>
      </c>
      <c r="BB484" s="18">
        <v>0.55814</v>
      </c>
      <c r="BC484" s="18">
        <v>0</v>
      </c>
      <c r="BD484" s="18">
        <v>0</v>
      </c>
      <c r="BE484" s="18">
        <v>0.08354</v>
      </c>
      <c r="BF484" s="18">
        <v>52</v>
      </c>
      <c r="BG484" s="18">
        <v>2</v>
      </c>
      <c r="BH484" s="18">
        <v>0</v>
      </c>
      <c r="BI484" s="18"/>
      <c r="BJ484" s="18">
        <v>0</v>
      </c>
      <c r="BK484" s="18">
        <v>0</v>
      </c>
      <c r="BL484" s="18">
        <v>0</v>
      </c>
      <c r="BM484" s="18">
        <v>0</v>
      </c>
      <c r="BN484" s="18"/>
      <c r="BO484" s="18"/>
      <c r="BP484" s="18">
        <v>0</v>
      </c>
      <c r="BQ484" s="18">
        <v>155</v>
      </c>
      <c r="BR484" s="18">
        <v>0</v>
      </c>
      <c r="BS484" s="18">
        <v>0</v>
      </c>
      <c r="BT484" s="18">
        <v>0</v>
      </c>
      <c r="BU484" s="18">
        <v>0</v>
      </c>
      <c r="BV484" s="18">
        <v>0</v>
      </c>
      <c r="BW484" s="18">
        <v>0</v>
      </c>
      <c r="BX484" s="18">
        <v>0</v>
      </c>
    </row>
    <row r="485" spans="1:76">
      <c r="A485" s="14" t="str">
        <f>VLOOKUP(C485,VLOOKUP!A:B,2,FALSE)</f>
        <v>荔枝香</v>
      </c>
      <c r="B485" s="19">
        <v>46179</v>
      </c>
      <c r="C485" s="20">
        <v>960406497157</v>
      </c>
      <c r="D485" s="18" t="s">
        <v>151</v>
      </c>
      <c r="E485" s="18" t="s">
        <v>165</v>
      </c>
      <c r="F485" s="18">
        <v>3292</v>
      </c>
      <c r="G485" s="18">
        <v>230</v>
      </c>
      <c r="H485" s="18">
        <v>116.93</v>
      </c>
      <c r="I485" s="18">
        <v>0.06987</v>
      </c>
      <c r="J485" s="18">
        <v>0.51</v>
      </c>
      <c r="K485" s="18">
        <v>35.52</v>
      </c>
      <c r="L485" s="18">
        <v>0</v>
      </c>
      <c r="M485" s="18">
        <v>0</v>
      </c>
      <c r="N485" s="18">
        <v>0</v>
      </c>
      <c r="O485" s="18">
        <v>0</v>
      </c>
      <c r="P485" s="18">
        <v>0</v>
      </c>
      <c r="Q485" s="18">
        <v>0</v>
      </c>
      <c r="R485" s="18">
        <v>47.6</v>
      </c>
      <c r="S485" s="18">
        <v>77.4</v>
      </c>
      <c r="T485" s="18">
        <v>125</v>
      </c>
      <c r="U485" s="18">
        <v>2</v>
      </c>
      <c r="V485" s="18">
        <v>1</v>
      </c>
      <c r="W485" s="18">
        <v>1</v>
      </c>
      <c r="X485" s="18">
        <v>0.0087</v>
      </c>
      <c r="Y485" s="18">
        <v>1.07</v>
      </c>
      <c r="Z485" s="18">
        <v>1.07</v>
      </c>
      <c r="AA485" s="18">
        <v>58.47</v>
      </c>
      <c r="AB485" s="18">
        <v>12</v>
      </c>
      <c r="AC485" s="18">
        <v>9</v>
      </c>
      <c r="AD485" s="18">
        <v>3</v>
      </c>
      <c r="AE485" s="18">
        <v>0.05217</v>
      </c>
      <c r="AF485" s="18">
        <v>4</v>
      </c>
      <c r="AG485" s="18">
        <v>1</v>
      </c>
      <c r="AH485" s="18">
        <v>116.93</v>
      </c>
      <c r="AI485" s="18">
        <v>17</v>
      </c>
      <c r="AJ485" s="18">
        <v>6.88</v>
      </c>
      <c r="AK485" s="18">
        <v>16</v>
      </c>
      <c r="AL485" s="18">
        <v>7.31</v>
      </c>
      <c r="AM485" s="18">
        <v>5</v>
      </c>
      <c r="AN485" s="18">
        <v>29.23</v>
      </c>
      <c r="AO485" s="18">
        <v>0.01739</v>
      </c>
      <c r="AP485" s="18">
        <v>9.74</v>
      </c>
      <c r="AQ485" s="18">
        <v>6</v>
      </c>
      <c r="AR485" s="18">
        <v>467.6</v>
      </c>
      <c r="AS485" s="18">
        <v>3</v>
      </c>
      <c r="AT485" s="18">
        <v>1</v>
      </c>
      <c r="AU485" s="18">
        <v>0</v>
      </c>
      <c r="AV485" s="18">
        <v>0</v>
      </c>
      <c r="AW485" s="18">
        <v>0</v>
      </c>
      <c r="AX485" s="18">
        <v>2</v>
      </c>
      <c r="AY485" s="18">
        <v>456</v>
      </c>
      <c r="AZ485" s="18">
        <v>237</v>
      </c>
      <c r="BA485" s="18">
        <v>198</v>
      </c>
      <c r="BB485" s="18">
        <v>0.83544</v>
      </c>
      <c r="BC485" s="18">
        <v>0</v>
      </c>
      <c r="BD485" s="18">
        <v>0</v>
      </c>
      <c r="BE485" s="18">
        <v>0.13852</v>
      </c>
      <c r="BF485" s="18">
        <v>156</v>
      </c>
      <c r="BG485" s="18">
        <v>2</v>
      </c>
      <c r="BH485" s="18">
        <v>2</v>
      </c>
      <c r="BI485" s="18">
        <v>1</v>
      </c>
      <c r="BJ485" s="18">
        <v>0</v>
      </c>
      <c r="BK485" s="18">
        <v>0</v>
      </c>
      <c r="BL485" s="18">
        <v>0</v>
      </c>
      <c r="BM485" s="18">
        <v>2</v>
      </c>
      <c r="BN485" s="18">
        <v>1</v>
      </c>
      <c r="BO485" s="18">
        <v>62.5</v>
      </c>
      <c r="BP485" s="18">
        <v>3.79</v>
      </c>
      <c r="BQ485" s="18">
        <v>1118</v>
      </c>
      <c r="BR485" s="18">
        <v>0</v>
      </c>
      <c r="BS485" s="18">
        <v>0</v>
      </c>
      <c r="BT485" s="18">
        <v>0</v>
      </c>
      <c r="BU485" s="18">
        <v>0</v>
      </c>
      <c r="BV485" s="18">
        <v>0</v>
      </c>
      <c r="BW485" s="18">
        <v>0</v>
      </c>
      <c r="BX485" s="18">
        <v>0</v>
      </c>
    </row>
    <row r="486" spans="1:76">
      <c r="A486" s="14" t="str">
        <f>VLOOKUP(C486,VLOOKUP!A:B,2,FALSE)</f>
        <v>如意盘香</v>
      </c>
      <c r="B486" s="19">
        <v>46179</v>
      </c>
      <c r="C486" s="20">
        <v>838711327669</v>
      </c>
      <c r="D486" s="18" t="s">
        <v>151</v>
      </c>
      <c r="E486" s="18" t="s">
        <v>166</v>
      </c>
      <c r="F486" s="18">
        <v>1282</v>
      </c>
      <c r="G486" s="18">
        <v>88</v>
      </c>
      <c r="H486" s="18">
        <v>48.03</v>
      </c>
      <c r="I486" s="18">
        <v>0.06864</v>
      </c>
      <c r="J486" s="18">
        <v>0.55</v>
      </c>
      <c r="K486" s="18">
        <v>37.46</v>
      </c>
      <c r="L486" s="18">
        <v>0</v>
      </c>
      <c r="M486" s="18">
        <v>0</v>
      </c>
      <c r="N486" s="18">
        <v>0</v>
      </c>
      <c r="O486" s="18">
        <v>0</v>
      </c>
      <c r="P486" s="18">
        <v>0</v>
      </c>
      <c r="Q486" s="18">
        <v>0</v>
      </c>
      <c r="R486" s="18">
        <v>0</v>
      </c>
      <c r="S486" s="18">
        <v>40.41</v>
      </c>
      <c r="T486" s="18">
        <v>40.41</v>
      </c>
      <c r="U486" s="18">
        <v>1</v>
      </c>
      <c r="V486" s="18">
        <v>0</v>
      </c>
      <c r="W486" s="18">
        <v>1</v>
      </c>
      <c r="X486" s="18">
        <v>0.01136</v>
      </c>
      <c r="Y486" s="18">
        <v>0.84</v>
      </c>
      <c r="Z486" s="18">
        <v>0.84</v>
      </c>
      <c r="AA486" s="18">
        <v>48.03</v>
      </c>
      <c r="AB486" s="18">
        <v>2</v>
      </c>
      <c r="AC486" s="18">
        <v>1</v>
      </c>
      <c r="AD486" s="18">
        <v>1</v>
      </c>
      <c r="AE486" s="18">
        <v>0.02273</v>
      </c>
      <c r="AF486" s="18">
        <v>2</v>
      </c>
      <c r="AG486" s="18">
        <v>0</v>
      </c>
      <c r="AH486" s="18"/>
      <c r="AI486" s="18">
        <v>4</v>
      </c>
      <c r="AJ486" s="18">
        <v>12.01</v>
      </c>
      <c r="AK486" s="18">
        <v>4</v>
      </c>
      <c r="AL486" s="18">
        <v>12.01</v>
      </c>
      <c r="AM486" s="18">
        <v>2</v>
      </c>
      <c r="AN486" s="18">
        <v>24.02</v>
      </c>
      <c r="AO486" s="18">
        <v>0.02273</v>
      </c>
      <c r="AP486" s="18">
        <v>24.02</v>
      </c>
      <c r="AQ486" s="18">
        <v>1</v>
      </c>
      <c r="AR486" s="18">
        <v>49.9</v>
      </c>
      <c r="AS486" s="18">
        <v>0</v>
      </c>
      <c r="AT486" s="18">
        <v>2</v>
      </c>
      <c r="AU486" s="18">
        <v>0</v>
      </c>
      <c r="AV486" s="18">
        <v>0</v>
      </c>
      <c r="AW486" s="18">
        <v>0</v>
      </c>
      <c r="AX486" s="18">
        <v>1</v>
      </c>
      <c r="AY486" s="18">
        <v>196</v>
      </c>
      <c r="AZ486" s="18">
        <v>77</v>
      </c>
      <c r="BA486" s="18">
        <v>69</v>
      </c>
      <c r="BB486" s="18">
        <v>0.8961</v>
      </c>
      <c r="BC486" s="18">
        <v>0</v>
      </c>
      <c r="BD486" s="18">
        <v>0</v>
      </c>
      <c r="BE486" s="18">
        <v>0.15289</v>
      </c>
      <c r="BF486" s="18">
        <v>102</v>
      </c>
      <c r="BG486" s="18">
        <v>3</v>
      </c>
      <c r="BH486" s="18">
        <v>0</v>
      </c>
      <c r="BI486" s="18">
        <v>0</v>
      </c>
      <c r="BJ486" s="18">
        <v>0</v>
      </c>
      <c r="BK486" s="18">
        <v>0</v>
      </c>
      <c r="BL486" s="18">
        <v>0</v>
      </c>
      <c r="BM486" s="18">
        <v>1</v>
      </c>
      <c r="BN486" s="18">
        <v>1</v>
      </c>
      <c r="BO486" s="18">
        <v>40.41</v>
      </c>
      <c r="BP486" s="18">
        <v>21.18</v>
      </c>
      <c r="BQ486" s="18">
        <v>247</v>
      </c>
      <c r="BR486" s="18">
        <v>0</v>
      </c>
      <c r="BS486" s="18">
        <v>0</v>
      </c>
      <c r="BT486" s="18">
        <v>0</v>
      </c>
      <c r="BU486" s="18">
        <v>0</v>
      </c>
      <c r="BV486" s="18">
        <v>0</v>
      </c>
      <c r="BW486" s="18">
        <v>0</v>
      </c>
      <c r="BX486" s="18">
        <v>0</v>
      </c>
    </row>
    <row r="487" spans="1:76">
      <c r="A487" s="14" t="str">
        <f>VLOOKUP(C487,VLOOKUP!A:B,2,FALSE)</f>
        <v>太樾归真</v>
      </c>
      <c r="B487" s="19">
        <v>46178</v>
      </c>
      <c r="C487" s="20">
        <v>1051919021880</v>
      </c>
      <c r="D487" s="18" t="s">
        <v>151</v>
      </c>
      <c r="E487" s="18" t="s">
        <v>167</v>
      </c>
      <c r="F487" s="18">
        <v>1059</v>
      </c>
      <c r="G487" s="18">
        <v>58</v>
      </c>
      <c r="H487" s="18">
        <v>31.39</v>
      </c>
      <c r="I487" s="18">
        <v>0.05477</v>
      </c>
      <c r="J487" s="18">
        <v>0.54</v>
      </c>
      <c r="K487" s="18">
        <v>29.64</v>
      </c>
      <c r="L487" s="18">
        <v>0</v>
      </c>
      <c r="M487" s="18">
        <v>0</v>
      </c>
      <c r="N487" s="18">
        <v>0</v>
      </c>
      <c r="O487" s="18">
        <v>0</v>
      </c>
      <c r="P487" s="18">
        <v>0</v>
      </c>
      <c r="Q487" s="18">
        <v>0</v>
      </c>
      <c r="R487" s="18">
        <v>0</v>
      </c>
      <c r="S487" s="18">
        <v>0</v>
      </c>
      <c r="T487" s="18">
        <v>0</v>
      </c>
      <c r="U487" s="18">
        <v>0</v>
      </c>
      <c r="V487" s="18">
        <v>0</v>
      </c>
      <c r="W487" s="18">
        <v>0</v>
      </c>
      <c r="X487" s="18">
        <v>0</v>
      </c>
      <c r="Y487" s="18">
        <v>0</v>
      </c>
      <c r="Z487" s="18">
        <v>0</v>
      </c>
      <c r="AA487" s="18"/>
      <c r="AB487" s="18">
        <v>0</v>
      </c>
      <c r="AC487" s="18">
        <v>0</v>
      </c>
      <c r="AD487" s="18">
        <v>0</v>
      </c>
      <c r="AE487" s="18">
        <v>0</v>
      </c>
      <c r="AF487" s="18">
        <v>0</v>
      </c>
      <c r="AG487" s="18">
        <v>1</v>
      </c>
      <c r="AH487" s="18">
        <v>31.39</v>
      </c>
      <c r="AI487" s="18">
        <v>1</v>
      </c>
      <c r="AJ487" s="18">
        <v>31.39</v>
      </c>
      <c r="AK487" s="18">
        <v>0</v>
      </c>
      <c r="AL487" s="18"/>
      <c r="AM487" s="18">
        <v>1</v>
      </c>
      <c r="AN487" s="18"/>
      <c r="AO487" s="18">
        <v>0</v>
      </c>
      <c r="AP487" s="18"/>
      <c r="AQ487" s="18">
        <v>0</v>
      </c>
      <c r="AR487" s="18">
        <v>0</v>
      </c>
      <c r="AS487" s="18">
        <v>0</v>
      </c>
      <c r="AT487" s="18">
        <v>0</v>
      </c>
      <c r="AU487" s="18">
        <v>0</v>
      </c>
      <c r="AV487" s="18">
        <v>0</v>
      </c>
      <c r="AW487" s="18">
        <v>0</v>
      </c>
      <c r="AX487" s="18">
        <v>0</v>
      </c>
      <c r="AY487" s="18">
        <v>180</v>
      </c>
      <c r="AZ487" s="18">
        <v>116</v>
      </c>
      <c r="BA487" s="18">
        <v>108</v>
      </c>
      <c r="BB487" s="18">
        <v>0.93103</v>
      </c>
      <c r="BC487" s="18">
        <v>0</v>
      </c>
      <c r="BD487" s="18">
        <v>0</v>
      </c>
      <c r="BE487" s="18">
        <v>0.16997</v>
      </c>
      <c r="BF487" s="18">
        <v>22</v>
      </c>
      <c r="BG487" s="18">
        <v>2</v>
      </c>
      <c r="BH487" s="18">
        <v>0</v>
      </c>
      <c r="BI487" s="18"/>
      <c r="BJ487" s="18">
        <v>0</v>
      </c>
      <c r="BK487" s="18">
        <v>0</v>
      </c>
      <c r="BL487" s="18">
        <v>0</v>
      </c>
      <c r="BM487" s="18">
        <v>0</v>
      </c>
      <c r="BN487" s="18"/>
      <c r="BO487" s="18"/>
      <c r="BP487" s="18">
        <v>0</v>
      </c>
      <c r="BQ487" s="18">
        <v>27</v>
      </c>
      <c r="BR487" s="18">
        <v>0</v>
      </c>
      <c r="BS487" s="18">
        <v>0</v>
      </c>
      <c r="BT487" s="18">
        <v>0</v>
      </c>
      <c r="BU487" s="18">
        <v>0</v>
      </c>
      <c r="BV487" s="18">
        <v>0</v>
      </c>
      <c r="BW487" s="18">
        <v>0</v>
      </c>
      <c r="BX487" s="18">
        <v>0</v>
      </c>
    </row>
    <row r="488" spans="1:76">
      <c r="A488" s="14" t="str">
        <f>VLOOKUP(C488,VLOOKUP!A:B,2,FALSE)</f>
        <v>早晚安香</v>
      </c>
      <c r="B488" s="19">
        <v>46178</v>
      </c>
      <c r="C488" s="20">
        <v>1010789122929</v>
      </c>
      <c r="D488" s="18" t="s">
        <v>151</v>
      </c>
      <c r="E488" s="18" t="s">
        <v>164</v>
      </c>
      <c r="F488" s="18">
        <v>1256</v>
      </c>
      <c r="G488" s="18">
        <v>44</v>
      </c>
      <c r="H488" s="18">
        <v>32.99</v>
      </c>
      <c r="I488" s="18">
        <v>0.03503</v>
      </c>
      <c r="J488" s="18">
        <v>0.75</v>
      </c>
      <c r="K488" s="18">
        <v>26.27</v>
      </c>
      <c r="L488" s="18">
        <v>0</v>
      </c>
      <c r="M488" s="18">
        <v>0</v>
      </c>
      <c r="N488" s="18">
        <v>0</v>
      </c>
      <c r="O488" s="18">
        <v>0</v>
      </c>
      <c r="P488" s="18">
        <v>0</v>
      </c>
      <c r="Q488" s="18">
        <v>0</v>
      </c>
      <c r="R488" s="18">
        <v>0</v>
      </c>
      <c r="S488" s="18">
        <v>0</v>
      </c>
      <c r="T488" s="18">
        <v>0</v>
      </c>
      <c r="U488" s="18">
        <v>0</v>
      </c>
      <c r="V488" s="18">
        <v>0</v>
      </c>
      <c r="W488" s="18">
        <v>0</v>
      </c>
      <c r="X488" s="18">
        <v>0</v>
      </c>
      <c r="Y488" s="18">
        <v>0</v>
      </c>
      <c r="Z488" s="18">
        <v>0</v>
      </c>
      <c r="AA488" s="18"/>
      <c r="AB488" s="18">
        <v>1</v>
      </c>
      <c r="AC488" s="18">
        <v>1</v>
      </c>
      <c r="AD488" s="18">
        <v>0</v>
      </c>
      <c r="AE488" s="18">
        <v>0.02273</v>
      </c>
      <c r="AF488" s="18">
        <v>1</v>
      </c>
      <c r="AG488" s="18">
        <v>0</v>
      </c>
      <c r="AH488" s="18"/>
      <c r="AI488" s="18">
        <v>2</v>
      </c>
      <c r="AJ488" s="18">
        <v>16.5</v>
      </c>
      <c r="AK488" s="18">
        <v>2</v>
      </c>
      <c r="AL488" s="18">
        <v>16.5</v>
      </c>
      <c r="AM488" s="18">
        <v>1</v>
      </c>
      <c r="AN488" s="18">
        <v>32.99</v>
      </c>
      <c r="AO488" s="18">
        <v>0.02273</v>
      </c>
      <c r="AP488" s="18">
        <v>32.99</v>
      </c>
      <c r="AQ488" s="18">
        <v>0</v>
      </c>
      <c r="AR488" s="18">
        <v>0</v>
      </c>
      <c r="AS488" s="18">
        <v>0</v>
      </c>
      <c r="AT488" s="18">
        <v>1</v>
      </c>
      <c r="AU488" s="18">
        <v>0</v>
      </c>
      <c r="AV488" s="18">
        <v>0</v>
      </c>
      <c r="AW488" s="18">
        <v>0</v>
      </c>
      <c r="AX488" s="18">
        <v>0</v>
      </c>
      <c r="AY488" s="18">
        <v>68</v>
      </c>
      <c r="AZ488" s="18">
        <v>48</v>
      </c>
      <c r="BA488" s="18">
        <v>34</v>
      </c>
      <c r="BB488" s="18">
        <v>0.70833</v>
      </c>
      <c r="BC488" s="18">
        <v>0</v>
      </c>
      <c r="BD488" s="18">
        <v>0</v>
      </c>
      <c r="BE488" s="18">
        <v>0.05414</v>
      </c>
      <c r="BF488" s="18">
        <v>16</v>
      </c>
      <c r="BG488" s="18">
        <v>1</v>
      </c>
      <c r="BH488" s="18">
        <v>0</v>
      </c>
      <c r="BI488" s="18"/>
      <c r="BJ488" s="18">
        <v>0</v>
      </c>
      <c r="BK488" s="18">
        <v>0</v>
      </c>
      <c r="BL488" s="18">
        <v>0</v>
      </c>
      <c r="BM488" s="18">
        <v>0</v>
      </c>
      <c r="BN488" s="18"/>
      <c r="BO488" s="18"/>
      <c r="BP488" s="18">
        <v>0</v>
      </c>
      <c r="BQ488" s="18">
        <v>52</v>
      </c>
      <c r="BR488" s="18">
        <v>0</v>
      </c>
      <c r="BS488" s="18">
        <v>0</v>
      </c>
      <c r="BT488" s="18">
        <v>0</v>
      </c>
      <c r="BU488" s="18">
        <v>0</v>
      </c>
      <c r="BV488" s="18">
        <v>0</v>
      </c>
      <c r="BW488" s="18">
        <v>0</v>
      </c>
      <c r="BX488" s="18">
        <v>0</v>
      </c>
    </row>
    <row r="489" spans="1:76">
      <c r="A489" s="14" t="str">
        <f>VLOOKUP(C489,VLOOKUP!A:B,2,FALSE)</f>
        <v>荔枝香</v>
      </c>
      <c r="B489" s="19">
        <v>46178</v>
      </c>
      <c r="C489" s="20">
        <v>960406497157</v>
      </c>
      <c r="D489" s="18" t="s">
        <v>151</v>
      </c>
      <c r="E489" s="18" t="s">
        <v>165</v>
      </c>
      <c r="F489" s="18">
        <v>2251</v>
      </c>
      <c r="G489" s="18">
        <v>126</v>
      </c>
      <c r="H489" s="18">
        <v>74.3</v>
      </c>
      <c r="I489" s="18">
        <v>0.05598</v>
      </c>
      <c r="J489" s="18">
        <v>0.59</v>
      </c>
      <c r="K489" s="18">
        <v>33.01</v>
      </c>
      <c r="L489" s="18">
        <v>0</v>
      </c>
      <c r="M489" s="18">
        <v>0</v>
      </c>
      <c r="N489" s="18">
        <v>0</v>
      </c>
      <c r="O489" s="18">
        <v>0</v>
      </c>
      <c r="P489" s="18">
        <v>0</v>
      </c>
      <c r="Q489" s="18">
        <v>0</v>
      </c>
      <c r="R489" s="18">
        <v>0</v>
      </c>
      <c r="S489" s="18">
        <v>0</v>
      </c>
      <c r="T489" s="18">
        <v>0</v>
      </c>
      <c r="U489" s="18">
        <v>0</v>
      </c>
      <c r="V489" s="18">
        <v>0</v>
      </c>
      <c r="W489" s="18">
        <v>0</v>
      </c>
      <c r="X489" s="18">
        <v>0</v>
      </c>
      <c r="Y489" s="18">
        <v>0</v>
      </c>
      <c r="Z489" s="18">
        <v>0</v>
      </c>
      <c r="AA489" s="18"/>
      <c r="AB489" s="18">
        <v>2</v>
      </c>
      <c r="AC489" s="18">
        <v>1</v>
      </c>
      <c r="AD489" s="18">
        <v>1</v>
      </c>
      <c r="AE489" s="18">
        <v>0.01587</v>
      </c>
      <c r="AF489" s="18">
        <v>3</v>
      </c>
      <c r="AG489" s="18">
        <v>0</v>
      </c>
      <c r="AH489" s="18"/>
      <c r="AI489" s="18">
        <v>5</v>
      </c>
      <c r="AJ489" s="18">
        <v>14.86</v>
      </c>
      <c r="AK489" s="18">
        <v>5</v>
      </c>
      <c r="AL489" s="18">
        <v>14.86</v>
      </c>
      <c r="AM489" s="18">
        <v>3</v>
      </c>
      <c r="AN489" s="18">
        <v>24.77</v>
      </c>
      <c r="AO489" s="18">
        <v>0.02381</v>
      </c>
      <c r="AP489" s="18">
        <v>37.15</v>
      </c>
      <c r="AQ489" s="18">
        <v>0</v>
      </c>
      <c r="AR489" s="18">
        <v>0</v>
      </c>
      <c r="AS489" s="18">
        <v>3</v>
      </c>
      <c r="AT489" s="18">
        <v>0</v>
      </c>
      <c r="AU489" s="18">
        <v>0</v>
      </c>
      <c r="AV489" s="18">
        <v>0</v>
      </c>
      <c r="AW489" s="18">
        <v>0</v>
      </c>
      <c r="AX489" s="18">
        <v>0</v>
      </c>
      <c r="AY489" s="18">
        <v>246</v>
      </c>
      <c r="AZ489" s="18">
        <v>128</v>
      </c>
      <c r="BA489" s="18">
        <v>102</v>
      </c>
      <c r="BB489" s="18">
        <v>0.79688</v>
      </c>
      <c r="BC489" s="18">
        <v>0</v>
      </c>
      <c r="BD489" s="18">
        <v>0</v>
      </c>
      <c r="BE489" s="18">
        <v>0.10928</v>
      </c>
      <c r="BF489" s="18">
        <v>64</v>
      </c>
      <c r="BG489" s="18">
        <v>2</v>
      </c>
      <c r="BH489" s="18">
        <v>0</v>
      </c>
      <c r="BI489" s="18"/>
      <c r="BJ489" s="18">
        <v>0</v>
      </c>
      <c r="BK489" s="18">
        <v>0</v>
      </c>
      <c r="BL489" s="18">
        <v>0</v>
      </c>
      <c r="BM489" s="18">
        <v>0</v>
      </c>
      <c r="BN489" s="18"/>
      <c r="BO489" s="18"/>
      <c r="BP489" s="18">
        <v>0.03</v>
      </c>
      <c r="BQ489" s="18">
        <v>149</v>
      </c>
      <c r="BR489" s="18">
        <v>0</v>
      </c>
      <c r="BS489" s="18">
        <v>0</v>
      </c>
      <c r="BT489" s="18">
        <v>0</v>
      </c>
      <c r="BU489" s="18">
        <v>0</v>
      </c>
      <c r="BV489" s="18">
        <v>0</v>
      </c>
      <c r="BW489" s="18">
        <v>0</v>
      </c>
      <c r="BX489" s="18">
        <v>0</v>
      </c>
    </row>
    <row r="490" spans="1:76">
      <c r="A490" s="14" t="str">
        <f>VLOOKUP(C490,VLOOKUP!A:B,2,FALSE)</f>
        <v>如意盘香</v>
      </c>
      <c r="B490" s="19">
        <v>46178</v>
      </c>
      <c r="C490" s="20">
        <v>838711327669</v>
      </c>
      <c r="D490" s="18" t="s">
        <v>151</v>
      </c>
      <c r="E490" s="18" t="s">
        <v>166</v>
      </c>
      <c r="F490" s="18">
        <v>900</v>
      </c>
      <c r="G490" s="18">
        <v>59</v>
      </c>
      <c r="H490" s="18">
        <v>42.68</v>
      </c>
      <c r="I490" s="18">
        <v>0.06556</v>
      </c>
      <c r="J490" s="18">
        <v>0.72</v>
      </c>
      <c r="K490" s="18">
        <v>47.42</v>
      </c>
      <c r="L490" s="18">
        <v>0</v>
      </c>
      <c r="M490" s="18">
        <v>0</v>
      </c>
      <c r="N490" s="18">
        <v>0</v>
      </c>
      <c r="O490" s="18">
        <v>0</v>
      </c>
      <c r="P490" s="18">
        <v>0</v>
      </c>
      <c r="Q490" s="18">
        <v>0</v>
      </c>
      <c r="R490" s="18">
        <v>0</v>
      </c>
      <c r="S490" s="18">
        <v>17623.09</v>
      </c>
      <c r="T490" s="18">
        <v>17623.09</v>
      </c>
      <c r="U490" s="18">
        <v>8</v>
      </c>
      <c r="V490" s="18">
        <v>0</v>
      </c>
      <c r="W490" s="18">
        <v>8</v>
      </c>
      <c r="X490" s="18">
        <v>0.13559</v>
      </c>
      <c r="Y490" s="18">
        <v>412.91</v>
      </c>
      <c r="Z490" s="18">
        <v>412.91</v>
      </c>
      <c r="AA490" s="18">
        <v>5.34</v>
      </c>
      <c r="AB490" s="18">
        <v>8</v>
      </c>
      <c r="AC490" s="18">
        <v>0</v>
      </c>
      <c r="AD490" s="18">
        <v>8</v>
      </c>
      <c r="AE490" s="18">
        <v>0.13559</v>
      </c>
      <c r="AF490" s="18">
        <v>1</v>
      </c>
      <c r="AG490" s="18">
        <v>1</v>
      </c>
      <c r="AH490" s="18">
        <v>42.68</v>
      </c>
      <c r="AI490" s="18">
        <v>10</v>
      </c>
      <c r="AJ490" s="18">
        <v>4.27</v>
      </c>
      <c r="AK490" s="18">
        <v>9</v>
      </c>
      <c r="AL490" s="18">
        <v>4.74</v>
      </c>
      <c r="AM490" s="18">
        <v>2</v>
      </c>
      <c r="AN490" s="18">
        <v>42.68</v>
      </c>
      <c r="AO490" s="18">
        <v>0.01695</v>
      </c>
      <c r="AP490" s="18">
        <v>5.34</v>
      </c>
      <c r="AQ490" s="18">
        <v>12</v>
      </c>
      <c r="AR490" s="18">
        <v>18491.46</v>
      </c>
      <c r="AS490" s="18">
        <v>0</v>
      </c>
      <c r="AT490" s="18">
        <v>1</v>
      </c>
      <c r="AU490" s="18">
        <v>0</v>
      </c>
      <c r="AV490" s="18">
        <v>0</v>
      </c>
      <c r="AW490" s="18">
        <v>0</v>
      </c>
      <c r="AX490" s="18">
        <v>1</v>
      </c>
      <c r="AY490" s="18">
        <v>142</v>
      </c>
      <c r="AZ490" s="18">
        <v>54</v>
      </c>
      <c r="BA490" s="18">
        <v>47</v>
      </c>
      <c r="BB490" s="18">
        <v>0.87037</v>
      </c>
      <c r="BC490" s="18">
        <v>0</v>
      </c>
      <c r="BD490" s="18">
        <v>0</v>
      </c>
      <c r="BE490" s="18">
        <v>0.15778</v>
      </c>
      <c r="BF490" s="18">
        <v>77</v>
      </c>
      <c r="BG490" s="18">
        <v>3</v>
      </c>
      <c r="BH490" s="18">
        <v>4</v>
      </c>
      <c r="BI490" s="18">
        <v>1</v>
      </c>
      <c r="BJ490" s="18">
        <v>0</v>
      </c>
      <c r="BK490" s="18">
        <v>0</v>
      </c>
      <c r="BL490" s="18">
        <v>0</v>
      </c>
      <c r="BM490" s="18">
        <v>4</v>
      </c>
      <c r="BN490" s="18">
        <v>2</v>
      </c>
      <c r="BO490" s="18">
        <v>4405.77</v>
      </c>
      <c r="BP490" s="18">
        <v>12.66</v>
      </c>
      <c r="BQ490" s="18">
        <v>830</v>
      </c>
      <c r="BR490" s="18">
        <v>0</v>
      </c>
      <c r="BS490" s="18">
        <v>0</v>
      </c>
      <c r="BT490" s="18">
        <v>0</v>
      </c>
      <c r="BU490" s="18">
        <v>0</v>
      </c>
      <c r="BV490" s="18">
        <v>0</v>
      </c>
      <c r="BW490" s="18">
        <v>0</v>
      </c>
      <c r="BX490" s="18">
        <v>0</v>
      </c>
    </row>
    <row r="491" spans="1:76">
      <c r="A491" s="14" t="str">
        <f>VLOOKUP(C491,VLOOKUP!A:B,2,FALSE)</f>
        <v>太樾归真</v>
      </c>
      <c r="B491" s="19">
        <v>46177</v>
      </c>
      <c r="C491" s="20">
        <v>1051919021880</v>
      </c>
      <c r="D491" s="18" t="s">
        <v>151</v>
      </c>
      <c r="E491" s="18" t="s">
        <v>167</v>
      </c>
      <c r="F491" s="18">
        <v>796</v>
      </c>
      <c r="G491" s="18">
        <v>45</v>
      </c>
      <c r="H491" s="18">
        <v>21.74</v>
      </c>
      <c r="I491" s="18">
        <v>0.05653</v>
      </c>
      <c r="J491" s="18">
        <v>0.48</v>
      </c>
      <c r="K491" s="18">
        <v>27.31</v>
      </c>
      <c r="L491" s="18">
        <v>0</v>
      </c>
      <c r="M491" s="18">
        <v>0</v>
      </c>
      <c r="N491" s="18">
        <v>0</v>
      </c>
      <c r="O491" s="18">
        <v>0</v>
      </c>
      <c r="P491" s="18">
        <v>0</v>
      </c>
      <c r="Q491" s="18">
        <v>0</v>
      </c>
      <c r="R491" s="18">
        <v>0</v>
      </c>
      <c r="S491" s="18">
        <v>0</v>
      </c>
      <c r="T491" s="18">
        <v>0</v>
      </c>
      <c r="U491" s="18">
        <v>0</v>
      </c>
      <c r="V491" s="18">
        <v>0</v>
      </c>
      <c r="W491" s="18">
        <v>0</v>
      </c>
      <c r="X491" s="18">
        <v>0</v>
      </c>
      <c r="Y491" s="18">
        <v>0</v>
      </c>
      <c r="Z491" s="18">
        <v>0</v>
      </c>
      <c r="AA491" s="18"/>
      <c r="AB491" s="18">
        <v>0</v>
      </c>
      <c r="AC491" s="18">
        <v>0</v>
      </c>
      <c r="AD491" s="18">
        <v>0</v>
      </c>
      <c r="AE491" s="18">
        <v>0</v>
      </c>
      <c r="AF491" s="18">
        <v>1</v>
      </c>
      <c r="AG491" s="18">
        <v>0</v>
      </c>
      <c r="AH491" s="18"/>
      <c r="AI491" s="18">
        <v>1</v>
      </c>
      <c r="AJ491" s="18">
        <v>21.74</v>
      </c>
      <c r="AK491" s="18">
        <v>1</v>
      </c>
      <c r="AL491" s="18">
        <v>21.74</v>
      </c>
      <c r="AM491" s="18">
        <v>1</v>
      </c>
      <c r="AN491" s="18">
        <v>21.74</v>
      </c>
      <c r="AO491" s="18">
        <v>0.02222</v>
      </c>
      <c r="AP491" s="18"/>
      <c r="AQ491" s="18">
        <v>0</v>
      </c>
      <c r="AR491" s="18">
        <v>0</v>
      </c>
      <c r="AS491" s="18">
        <v>0</v>
      </c>
      <c r="AT491" s="18">
        <v>1</v>
      </c>
      <c r="AU491" s="18">
        <v>0</v>
      </c>
      <c r="AV491" s="18">
        <v>0</v>
      </c>
      <c r="AW491" s="18">
        <v>0</v>
      </c>
      <c r="AX491" s="18">
        <v>2</v>
      </c>
      <c r="AY491" s="18">
        <v>63</v>
      </c>
      <c r="AZ491" s="18">
        <v>37</v>
      </c>
      <c r="BA491" s="18">
        <v>31</v>
      </c>
      <c r="BB491" s="18">
        <v>0.83784</v>
      </c>
      <c r="BC491" s="18">
        <v>0</v>
      </c>
      <c r="BD491" s="18">
        <v>0</v>
      </c>
      <c r="BE491" s="18">
        <v>0.07915</v>
      </c>
      <c r="BF491" s="18">
        <v>12</v>
      </c>
      <c r="BG491" s="18">
        <v>2</v>
      </c>
      <c r="BH491" s="18">
        <v>0</v>
      </c>
      <c r="BI491" s="18"/>
      <c r="BJ491" s="18">
        <v>0</v>
      </c>
      <c r="BK491" s="18">
        <v>0</v>
      </c>
      <c r="BL491" s="18">
        <v>0</v>
      </c>
      <c r="BM491" s="18">
        <v>0</v>
      </c>
      <c r="BN491" s="18"/>
      <c r="BO491" s="18"/>
      <c r="BP491" s="18">
        <v>0</v>
      </c>
      <c r="BQ491" s="18">
        <v>12</v>
      </c>
      <c r="BR491" s="18">
        <v>0</v>
      </c>
      <c r="BS491" s="18">
        <v>0</v>
      </c>
      <c r="BT491" s="18">
        <v>0</v>
      </c>
      <c r="BU491" s="18">
        <v>0</v>
      </c>
      <c r="BV491" s="18">
        <v>0</v>
      </c>
      <c r="BW491" s="18">
        <v>0</v>
      </c>
      <c r="BX491" s="18">
        <v>0</v>
      </c>
    </row>
    <row r="492" spans="1:76">
      <c r="A492" s="14" t="str">
        <f>VLOOKUP(C492,VLOOKUP!A:B,2,FALSE)</f>
        <v>早晚安香</v>
      </c>
      <c r="B492" s="19">
        <v>46177</v>
      </c>
      <c r="C492" s="20">
        <v>1010789122929</v>
      </c>
      <c r="D492" s="18" t="s">
        <v>151</v>
      </c>
      <c r="E492" s="18" t="s">
        <v>164</v>
      </c>
      <c r="F492" s="18">
        <v>1092</v>
      </c>
      <c r="G492" s="18">
        <v>59</v>
      </c>
      <c r="H492" s="18">
        <v>47.78</v>
      </c>
      <c r="I492" s="18">
        <v>0.05403</v>
      </c>
      <c r="J492" s="18">
        <v>0.81</v>
      </c>
      <c r="K492" s="18">
        <v>43.75</v>
      </c>
      <c r="L492" s="18">
        <v>0</v>
      </c>
      <c r="M492" s="18">
        <v>0</v>
      </c>
      <c r="N492" s="18">
        <v>0</v>
      </c>
      <c r="O492" s="18">
        <v>0</v>
      </c>
      <c r="P492" s="18">
        <v>0</v>
      </c>
      <c r="Q492" s="18">
        <v>0</v>
      </c>
      <c r="R492" s="18">
        <v>0</v>
      </c>
      <c r="S492" s="18">
        <v>0</v>
      </c>
      <c r="T492" s="18">
        <v>0</v>
      </c>
      <c r="U492" s="18">
        <v>0</v>
      </c>
      <c r="V492" s="18">
        <v>0</v>
      </c>
      <c r="W492" s="18">
        <v>0</v>
      </c>
      <c r="X492" s="18">
        <v>0</v>
      </c>
      <c r="Y492" s="18">
        <v>0</v>
      </c>
      <c r="Z492" s="18">
        <v>0</v>
      </c>
      <c r="AA492" s="18"/>
      <c r="AB492" s="18">
        <v>0</v>
      </c>
      <c r="AC492" s="18">
        <v>0</v>
      </c>
      <c r="AD492" s="18">
        <v>0</v>
      </c>
      <c r="AE492" s="18">
        <v>0</v>
      </c>
      <c r="AF492" s="18">
        <v>1</v>
      </c>
      <c r="AG492" s="18">
        <v>0</v>
      </c>
      <c r="AH492" s="18"/>
      <c r="AI492" s="18">
        <v>1</v>
      </c>
      <c r="AJ492" s="18">
        <v>47.78</v>
      </c>
      <c r="AK492" s="18">
        <v>1</v>
      </c>
      <c r="AL492" s="18">
        <v>47.78</v>
      </c>
      <c r="AM492" s="18">
        <v>1</v>
      </c>
      <c r="AN492" s="18">
        <v>47.78</v>
      </c>
      <c r="AO492" s="18">
        <v>0.01695</v>
      </c>
      <c r="AP492" s="18"/>
      <c r="AQ492" s="18">
        <v>0</v>
      </c>
      <c r="AR492" s="18">
        <v>0</v>
      </c>
      <c r="AS492" s="18">
        <v>1</v>
      </c>
      <c r="AT492" s="18">
        <v>0</v>
      </c>
      <c r="AU492" s="18">
        <v>0</v>
      </c>
      <c r="AV492" s="18">
        <v>0</v>
      </c>
      <c r="AW492" s="18">
        <v>0</v>
      </c>
      <c r="AX492" s="18">
        <v>0</v>
      </c>
      <c r="AY492" s="18">
        <v>156</v>
      </c>
      <c r="AZ492" s="18">
        <v>51</v>
      </c>
      <c r="BA492" s="18">
        <v>24</v>
      </c>
      <c r="BB492" s="18">
        <v>0.47059</v>
      </c>
      <c r="BC492" s="18">
        <v>0</v>
      </c>
      <c r="BD492" s="18">
        <v>0</v>
      </c>
      <c r="BE492" s="18">
        <v>0.14286</v>
      </c>
      <c r="BF492" s="18">
        <v>90</v>
      </c>
      <c r="BG492" s="18">
        <v>3</v>
      </c>
      <c r="BH492" s="18">
        <v>0</v>
      </c>
      <c r="BI492" s="18"/>
      <c r="BJ492" s="18">
        <v>0</v>
      </c>
      <c r="BK492" s="18">
        <v>0</v>
      </c>
      <c r="BL492" s="18">
        <v>0</v>
      </c>
      <c r="BM492" s="18">
        <v>0</v>
      </c>
      <c r="BN492" s="18"/>
      <c r="BO492" s="18"/>
      <c r="BP492" s="18">
        <v>0</v>
      </c>
      <c r="BQ492" s="18">
        <v>123</v>
      </c>
      <c r="BR492" s="18">
        <v>0</v>
      </c>
      <c r="BS492" s="18">
        <v>0</v>
      </c>
      <c r="BT492" s="18">
        <v>0</v>
      </c>
      <c r="BU492" s="18">
        <v>0</v>
      </c>
      <c r="BV492" s="18">
        <v>0</v>
      </c>
      <c r="BW492" s="18">
        <v>0</v>
      </c>
      <c r="BX492" s="18">
        <v>0</v>
      </c>
    </row>
    <row r="493" spans="1:76">
      <c r="A493" s="14" t="str">
        <f>VLOOKUP(C493,VLOOKUP!A:B,2,FALSE)</f>
        <v>荔枝香</v>
      </c>
      <c r="B493" s="19">
        <v>46177</v>
      </c>
      <c r="C493" s="20">
        <v>960406497157</v>
      </c>
      <c r="D493" s="18" t="s">
        <v>151</v>
      </c>
      <c r="E493" s="18" t="s">
        <v>165</v>
      </c>
      <c r="F493" s="18">
        <v>2953</v>
      </c>
      <c r="G493" s="18">
        <v>183</v>
      </c>
      <c r="H493" s="18">
        <v>95.8</v>
      </c>
      <c r="I493" s="18">
        <v>0.06197</v>
      </c>
      <c r="J493" s="18">
        <v>0.52</v>
      </c>
      <c r="K493" s="18">
        <v>32.44</v>
      </c>
      <c r="L493" s="18">
        <v>0</v>
      </c>
      <c r="M493" s="18">
        <v>0</v>
      </c>
      <c r="N493" s="18">
        <v>0</v>
      </c>
      <c r="O493" s="18">
        <v>0</v>
      </c>
      <c r="P493" s="18">
        <v>0</v>
      </c>
      <c r="Q493" s="18">
        <v>0</v>
      </c>
      <c r="R493" s="18">
        <v>138.64</v>
      </c>
      <c r="S493" s="18">
        <v>0</v>
      </c>
      <c r="T493" s="18">
        <v>138.64</v>
      </c>
      <c r="U493" s="18">
        <v>1</v>
      </c>
      <c r="V493" s="18">
        <v>1</v>
      </c>
      <c r="W493" s="18">
        <v>0</v>
      </c>
      <c r="X493" s="18">
        <v>0.00546</v>
      </c>
      <c r="Y493" s="18">
        <v>1.45</v>
      </c>
      <c r="Z493" s="18">
        <v>1.45</v>
      </c>
      <c r="AA493" s="18">
        <v>95.8</v>
      </c>
      <c r="AB493" s="18">
        <v>5</v>
      </c>
      <c r="AC493" s="18">
        <v>4</v>
      </c>
      <c r="AD493" s="18">
        <v>1</v>
      </c>
      <c r="AE493" s="18">
        <v>0.02732</v>
      </c>
      <c r="AF493" s="18">
        <v>2</v>
      </c>
      <c r="AG493" s="18">
        <v>1</v>
      </c>
      <c r="AH493" s="18">
        <v>95.8</v>
      </c>
      <c r="AI493" s="18">
        <v>8</v>
      </c>
      <c r="AJ493" s="18">
        <v>11.98</v>
      </c>
      <c r="AK493" s="18">
        <v>7</v>
      </c>
      <c r="AL493" s="18">
        <v>13.69</v>
      </c>
      <c r="AM493" s="18">
        <v>3</v>
      </c>
      <c r="AN493" s="18">
        <v>47.9</v>
      </c>
      <c r="AO493" s="18">
        <v>0.01093</v>
      </c>
      <c r="AP493" s="18">
        <v>19.16</v>
      </c>
      <c r="AQ493" s="18">
        <v>2</v>
      </c>
      <c r="AR493" s="18">
        <v>217.9</v>
      </c>
      <c r="AS493" s="18">
        <v>1</v>
      </c>
      <c r="AT493" s="18">
        <v>1</v>
      </c>
      <c r="AU493" s="18">
        <v>0</v>
      </c>
      <c r="AV493" s="18">
        <v>0</v>
      </c>
      <c r="AW493" s="18">
        <v>0</v>
      </c>
      <c r="AX493" s="18">
        <v>0</v>
      </c>
      <c r="AY493" s="18">
        <v>339</v>
      </c>
      <c r="AZ493" s="18">
        <v>163</v>
      </c>
      <c r="BA493" s="18">
        <v>128</v>
      </c>
      <c r="BB493" s="18">
        <v>0.78528</v>
      </c>
      <c r="BC493" s="18">
        <v>0</v>
      </c>
      <c r="BD493" s="18">
        <v>0</v>
      </c>
      <c r="BE493" s="18">
        <v>0.1148</v>
      </c>
      <c r="BF493" s="18">
        <v>91</v>
      </c>
      <c r="BG493" s="18">
        <v>2</v>
      </c>
      <c r="BH493" s="18">
        <v>1</v>
      </c>
      <c r="BI493" s="18">
        <v>1</v>
      </c>
      <c r="BJ493" s="18">
        <v>0</v>
      </c>
      <c r="BK493" s="18">
        <v>0</v>
      </c>
      <c r="BL493" s="18">
        <v>0</v>
      </c>
      <c r="BM493" s="18">
        <v>1</v>
      </c>
      <c r="BN493" s="18">
        <v>1</v>
      </c>
      <c r="BO493" s="18">
        <v>138.64</v>
      </c>
      <c r="BP493" s="18">
        <v>0.03</v>
      </c>
      <c r="BQ493" s="18">
        <v>327</v>
      </c>
      <c r="BR493" s="18">
        <v>0</v>
      </c>
      <c r="BS493" s="18">
        <v>0</v>
      </c>
      <c r="BT493" s="18">
        <v>0</v>
      </c>
      <c r="BU493" s="18">
        <v>0</v>
      </c>
      <c r="BV493" s="18">
        <v>0</v>
      </c>
      <c r="BW493" s="18">
        <v>0</v>
      </c>
      <c r="BX493" s="18">
        <v>0</v>
      </c>
    </row>
    <row r="494" spans="1:76">
      <c r="A494" s="14" t="str">
        <f>VLOOKUP(C494,VLOOKUP!A:B,2,FALSE)</f>
        <v>如意盘香</v>
      </c>
      <c r="B494" s="19">
        <v>46177</v>
      </c>
      <c r="C494" s="20">
        <v>838711327669</v>
      </c>
      <c r="D494" s="18" t="s">
        <v>151</v>
      </c>
      <c r="E494" s="18" t="s">
        <v>166</v>
      </c>
      <c r="F494" s="18">
        <v>689</v>
      </c>
      <c r="G494" s="18">
        <v>23</v>
      </c>
      <c r="H494" s="18">
        <v>49.95</v>
      </c>
      <c r="I494" s="18">
        <v>0.03338</v>
      </c>
      <c r="J494" s="18">
        <v>2.17</v>
      </c>
      <c r="K494" s="18">
        <v>72.5</v>
      </c>
      <c r="L494" s="18">
        <v>0</v>
      </c>
      <c r="M494" s="18">
        <v>0</v>
      </c>
      <c r="N494" s="18">
        <v>0</v>
      </c>
      <c r="O494" s="18">
        <v>0</v>
      </c>
      <c r="P494" s="18">
        <v>0</v>
      </c>
      <c r="Q494" s="18">
        <v>0</v>
      </c>
      <c r="R494" s="18">
        <v>0</v>
      </c>
      <c r="S494" s="18">
        <v>167.03</v>
      </c>
      <c r="T494" s="18">
        <v>167.03</v>
      </c>
      <c r="U494" s="18">
        <v>2</v>
      </c>
      <c r="V494" s="18">
        <v>0</v>
      </c>
      <c r="W494" s="18">
        <v>2</v>
      </c>
      <c r="X494" s="18">
        <v>0.08696</v>
      </c>
      <c r="Y494" s="18">
        <v>3.34</v>
      </c>
      <c r="Z494" s="18">
        <v>3.34</v>
      </c>
      <c r="AA494" s="18">
        <v>24.98</v>
      </c>
      <c r="AB494" s="18">
        <v>0</v>
      </c>
      <c r="AC494" s="18">
        <v>0</v>
      </c>
      <c r="AD494" s="18">
        <v>0</v>
      </c>
      <c r="AE494" s="18">
        <v>0</v>
      </c>
      <c r="AF494" s="18">
        <v>0</v>
      </c>
      <c r="AG494" s="18">
        <v>0</v>
      </c>
      <c r="AH494" s="18"/>
      <c r="AI494" s="18">
        <v>0</v>
      </c>
      <c r="AJ494" s="18"/>
      <c r="AK494" s="18">
        <v>0</v>
      </c>
      <c r="AL494" s="18"/>
      <c r="AM494" s="18">
        <v>0</v>
      </c>
      <c r="AN494" s="18"/>
      <c r="AO494" s="18">
        <v>0</v>
      </c>
      <c r="AP494" s="18"/>
      <c r="AQ494" s="18">
        <v>4</v>
      </c>
      <c r="AR494" s="18">
        <v>304.8</v>
      </c>
      <c r="AS494" s="18">
        <v>0</v>
      </c>
      <c r="AT494" s="18">
        <v>0</v>
      </c>
      <c r="AU494" s="18">
        <v>0</v>
      </c>
      <c r="AV494" s="18">
        <v>0</v>
      </c>
      <c r="AW494" s="18">
        <v>0</v>
      </c>
      <c r="AX494" s="18">
        <v>1</v>
      </c>
      <c r="AY494" s="18">
        <v>100</v>
      </c>
      <c r="AZ494" s="18">
        <v>22</v>
      </c>
      <c r="BA494" s="18">
        <v>15</v>
      </c>
      <c r="BB494" s="18">
        <v>0.68182</v>
      </c>
      <c r="BC494" s="18">
        <v>0</v>
      </c>
      <c r="BD494" s="18">
        <v>0</v>
      </c>
      <c r="BE494" s="18">
        <v>0.14514</v>
      </c>
      <c r="BF494" s="18">
        <v>75</v>
      </c>
      <c r="BG494" s="18">
        <v>5</v>
      </c>
      <c r="BH494" s="18">
        <v>2</v>
      </c>
      <c r="BI494" s="18">
        <v>1</v>
      </c>
      <c r="BJ494" s="18">
        <v>0</v>
      </c>
      <c r="BK494" s="18">
        <v>0</v>
      </c>
      <c r="BL494" s="18">
        <v>0</v>
      </c>
      <c r="BM494" s="18">
        <v>2</v>
      </c>
      <c r="BN494" s="18">
        <v>1</v>
      </c>
      <c r="BO494" s="18">
        <v>83.52</v>
      </c>
      <c r="BP494" s="18">
        <v>0</v>
      </c>
      <c r="BQ494" s="18">
        <v>296</v>
      </c>
      <c r="BR494" s="18">
        <v>0</v>
      </c>
      <c r="BS494" s="18">
        <v>0</v>
      </c>
      <c r="BT494" s="18">
        <v>0</v>
      </c>
      <c r="BU494" s="18">
        <v>0</v>
      </c>
      <c r="BV494" s="18">
        <v>0</v>
      </c>
      <c r="BW494" s="18">
        <v>0</v>
      </c>
      <c r="BX494" s="18">
        <v>0</v>
      </c>
    </row>
    <row r="495" spans="1:76">
      <c r="A495" s="14" t="str">
        <f>VLOOKUP(C495,VLOOKUP!A:B,2,FALSE)</f>
        <v>太樾归真</v>
      </c>
      <c r="B495" s="19">
        <v>46176</v>
      </c>
      <c r="C495" s="20">
        <v>1051919021880</v>
      </c>
      <c r="D495" s="18" t="s">
        <v>151</v>
      </c>
      <c r="E495" s="18" t="s">
        <v>167</v>
      </c>
      <c r="F495" s="18">
        <v>835</v>
      </c>
      <c r="G495" s="18">
        <v>24</v>
      </c>
      <c r="H495" s="18">
        <v>12.24</v>
      </c>
      <c r="I495" s="18">
        <v>0.02874</v>
      </c>
      <c r="J495" s="18">
        <v>0.51</v>
      </c>
      <c r="K495" s="18">
        <v>14.66</v>
      </c>
      <c r="L495" s="18">
        <v>0</v>
      </c>
      <c r="M495" s="18">
        <v>0</v>
      </c>
      <c r="N495" s="18">
        <v>0</v>
      </c>
      <c r="O495" s="18">
        <v>0</v>
      </c>
      <c r="P495" s="18">
        <v>0</v>
      </c>
      <c r="Q495" s="18">
        <v>0</v>
      </c>
      <c r="R495" s="18">
        <v>37.46</v>
      </c>
      <c r="S495" s="18">
        <v>276.15</v>
      </c>
      <c r="T495" s="18">
        <v>313.61</v>
      </c>
      <c r="U495" s="18">
        <v>3</v>
      </c>
      <c r="V495" s="18">
        <v>1</v>
      </c>
      <c r="W495" s="18">
        <v>2</v>
      </c>
      <c r="X495" s="18">
        <v>0.125</v>
      </c>
      <c r="Y495" s="18">
        <v>25.62</v>
      </c>
      <c r="Z495" s="18">
        <v>25.62</v>
      </c>
      <c r="AA495" s="18">
        <v>4.08</v>
      </c>
      <c r="AB495" s="18">
        <v>0</v>
      </c>
      <c r="AC495" s="18">
        <v>0</v>
      </c>
      <c r="AD495" s="18">
        <v>0</v>
      </c>
      <c r="AE495" s="18">
        <v>0</v>
      </c>
      <c r="AF495" s="18">
        <v>1</v>
      </c>
      <c r="AG495" s="18">
        <v>0</v>
      </c>
      <c r="AH495" s="18"/>
      <c r="AI495" s="18">
        <v>1</v>
      </c>
      <c r="AJ495" s="18">
        <v>12.24</v>
      </c>
      <c r="AK495" s="18">
        <v>1</v>
      </c>
      <c r="AL495" s="18">
        <v>12.24</v>
      </c>
      <c r="AM495" s="18">
        <v>1</v>
      </c>
      <c r="AN495" s="18">
        <v>12.24</v>
      </c>
      <c r="AO495" s="18">
        <v>0.04167</v>
      </c>
      <c r="AP495" s="18"/>
      <c r="AQ495" s="18">
        <v>4</v>
      </c>
      <c r="AR495" s="18">
        <v>474.8</v>
      </c>
      <c r="AS495" s="18">
        <v>1</v>
      </c>
      <c r="AT495" s="18">
        <v>0</v>
      </c>
      <c r="AU495" s="18">
        <v>0</v>
      </c>
      <c r="AV495" s="18">
        <v>0</v>
      </c>
      <c r="AW495" s="18">
        <v>0</v>
      </c>
      <c r="AX495" s="18">
        <v>0</v>
      </c>
      <c r="AY495" s="18">
        <v>45</v>
      </c>
      <c r="AZ495" s="18">
        <v>20</v>
      </c>
      <c r="BA495" s="18">
        <v>14</v>
      </c>
      <c r="BB495" s="18">
        <v>0.7</v>
      </c>
      <c r="BC495" s="18">
        <v>0</v>
      </c>
      <c r="BD495" s="18">
        <v>0</v>
      </c>
      <c r="BE495" s="18">
        <v>0.05389</v>
      </c>
      <c r="BF495" s="18">
        <v>4</v>
      </c>
      <c r="BG495" s="18">
        <v>2</v>
      </c>
      <c r="BH495" s="18">
        <v>1</v>
      </c>
      <c r="BI495" s="18">
        <v>0.5</v>
      </c>
      <c r="BJ495" s="18">
        <v>0</v>
      </c>
      <c r="BK495" s="18">
        <v>0</v>
      </c>
      <c r="BL495" s="18">
        <v>0</v>
      </c>
      <c r="BM495" s="18">
        <v>2</v>
      </c>
      <c r="BN495" s="18">
        <v>2</v>
      </c>
      <c r="BO495" s="18">
        <v>156.81</v>
      </c>
      <c r="BP495" s="18">
        <v>0.86</v>
      </c>
      <c r="BQ495" s="18">
        <v>159</v>
      </c>
      <c r="BR495" s="18">
        <v>0</v>
      </c>
      <c r="BS495" s="18">
        <v>0</v>
      </c>
      <c r="BT495" s="18">
        <v>0</v>
      </c>
      <c r="BU495" s="18">
        <v>0</v>
      </c>
      <c r="BV495" s="18">
        <v>0</v>
      </c>
      <c r="BW495" s="18">
        <v>0</v>
      </c>
      <c r="BX495" s="18">
        <v>0</v>
      </c>
    </row>
    <row r="496" spans="1:76">
      <c r="A496" s="14" t="str">
        <f>VLOOKUP(C496,VLOOKUP!A:B,2,FALSE)</f>
        <v>早晚安香</v>
      </c>
      <c r="B496" s="19">
        <v>46176</v>
      </c>
      <c r="C496" s="20">
        <v>1010789122929</v>
      </c>
      <c r="D496" s="18" t="s">
        <v>151</v>
      </c>
      <c r="E496" s="18" t="s">
        <v>164</v>
      </c>
      <c r="F496" s="18">
        <v>975</v>
      </c>
      <c r="G496" s="18">
        <v>42</v>
      </c>
      <c r="H496" s="18">
        <v>38.33</v>
      </c>
      <c r="I496" s="18">
        <v>0.04308</v>
      </c>
      <c r="J496" s="18">
        <v>0.91</v>
      </c>
      <c r="K496" s="18">
        <v>39.31</v>
      </c>
      <c r="L496" s="18">
        <v>0</v>
      </c>
      <c r="M496" s="18">
        <v>0</v>
      </c>
      <c r="N496" s="18">
        <v>0</v>
      </c>
      <c r="O496" s="18">
        <v>0</v>
      </c>
      <c r="P496" s="18">
        <v>0</v>
      </c>
      <c r="Q496" s="18">
        <v>0</v>
      </c>
      <c r="R496" s="18">
        <v>0</v>
      </c>
      <c r="S496" s="18">
        <v>0</v>
      </c>
      <c r="T496" s="18">
        <v>0</v>
      </c>
      <c r="U496" s="18">
        <v>0</v>
      </c>
      <c r="V496" s="18">
        <v>0</v>
      </c>
      <c r="W496" s="18">
        <v>0</v>
      </c>
      <c r="X496" s="18">
        <v>0</v>
      </c>
      <c r="Y496" s="18">
        <v>0</v>
      </c>
      <c r="Z496" s="18">
        <v>0</v>
      </c>
      <c r="AA496" s="18"/>
      <c r="AB496" s="18">
        <v>6</v>
      </c>
      <c r="AC496" s="18">
        <v>1</v>
      </c>
      <c r="AD496" s="18">
        <v>5</v>
      </c>
      <c r="AE496" s="18">
        <v>0.14286</v>
      </c>
      <c r="AF496" s="18">
        <v>1</v>
      </c>
      <c r="AG496" s="18">
        <v>0</v>
      </c>
      <c r="AH496" s="18"/>
      <c r="AI496" s="18">
        <v>7</v>
      </c>
      <c r="AJ496" s="18">
        <v>5.48</v>
      </c>
      <c r="AK496" s="18">
        <v>7</v>
      </c>
      <c r="AL496" s="18">
        <v>5.48</v>
      </c>
      <c r="AM496" s="18">
        <v>1</v>
      </c>
      <c r="AN496" s="18">
        <v>38.33</v>
      </c>
      <c r="AO496" s="18">
        <v>0.02381</v>
      </c>
      <c r="AP496" s="18">
        <v>6.39</v>
      </c>
      <c r="AQ496" s="18">
        <v>0</v>
      </c>
      <c r="AR496" s="18">
        <v>0</v>
      </c>
      <c r="AS496" s="18">
        <v>1</v>
      </c>
      <c r="AT496" s="18">
        <v>0</v>
      </c>
      <c r="AU496" s="18">
        <v>0</v>
      </c>
      <c r="AV496" s="18">
        <v>0</v>
      </c>
      <c r="AW496" s="18">
        <v>0</v>
      </c>
      <c r="AX496" s="18">
        <v>0</v>
      </c>
      <c r="AY496" s="18">
        <v>66</v>
      </c>
      <c r="AZ496" s="18">
        <v>39</v>
      </c>
      <c r="BA496" s="18">
        <v>19</v>
      </c>
      <c r="BB496" s="18">
        <v>0.48718</v>
      </c>
      <c r="BC496" s="18">
        <v>0</v>
      </c>
      <c r="BD496" s="18">
        <v>0</v>
      </c>
      <c r="BE496" s="18">
        <v>0.06769</v>
      </c>
      <c r="BF496" s="18">
        <v>20</v>
      </c>
      <c r="BG496" s="18">
        <v>2</v>
      </c>
      <c r="BH496" s="18">
        <v>0</v>
      </c>
      <c r="BI496" s="18"/>
      <c r="BJ496" s="18">
        <v>0</v>
      </c>
      <c r="BK496" s="18">
        <v>0</v>
      </c>
      <c r="BL496" s="18">
        <v>0</v>
      </c>
      <c r="BM496" s="18">
        <v>0</v>
      </c>
      <c r="BN496" s="18"/>
      <c r="BO496" s="18"/>
      <c r="BP496" s="18">
        <v>0.01</v>
      </c>
      <c r="BQ496" s="18">
        <v>184</v>
      </c>
      <c r="BR496" s="18">
        <v>0</v>
      </c>
      <c r="BS496" s="18">
        <v>0</v>
      </c>
      <c r="BT496" s="18">
        <v>0</v>
      </c>
      <c r="BU496" s="18">
        <v>0</v>
      </c>
      <c r="BV496" s="18">
        <v>0</v>
      </c>
      <c r="BW496" s="18">
        <v>0</v>
      </c>
      <c r="BX496" s="18">
        <v>0</v>
      </c>
    </row>
    <row r="497" spans="1:76">
      <c r="A497" s="14" t="str">
        <f>VLOOKUP(C497,VLOOKUP!A:B,2,FALSE)</f>
        <v>荔枝香</v>
      </c>
      <c r="B497" s="19">
        <v>46176</v>
      </c>
      <c r="C497" s="20">
        <v>960406497157</v>
      </c>
      <c r="D497" s="18" t="s">
        <v>151</v>
      </c>
      <c r="E497" s="18" t="s">
        <v>165</v>
      </c>
      <c r="F497" s="18">
        <v>1659</v>
      </c>
      <c r="G497" s="18">
        <v>114</v>
      </c>
      <c r="H497" s="18">
        <v>57.54</v>
      </c>
      <c r="I497" s="18">
        <v>0.06872</v>
      </c>
      <c r="J497" s="18">
        <v>0.5</v>
      </c>
      <c r="K497" s="18">
        <v>34.68</v>
      </c>
      <c r="L497" s="18">
        <v>0</v>
      </c>
      <c r="M497" s="18">
        <v>0</v>
      </c>
      <c r="N497" s="18">
        <v>0</v>
      </c>
      <c r="O497" s="18">
        <v>0</v>
      </c>
      <c r="P497" s="18">
        <v>0</v>
      </c>
      <c r="Q497" s="18">
        <v>0</v>
      </c>
      <c r="R497" s="18">
        <v>90</v>
      </c>
      <c r="S497" s="18">
        <v>0</v>
      </c>
      <c r="T497" s="18">
        <v>90</v>
      </c>
      <c r="U497" s="18">
        <v>1</v>
      </c>
      <c r="V497" s="18">
        <v>1</v>
      </c>
      <c r="W497" s="18">
        <v>0</v>
      </c>
      <c r="X497" s="18">
        <v>0.00877</v>
      </c>
      <c r="Y497" s="18">
        <v>1.56</v>
      </c>
      <c r="Z497" s="18">
        <v>1.56</v>
      </c>
      <c r="AA497" s="18">
        <v>57.54</v>
      </c>
      <c r="AB497" s="18">
        <v>5</v>
      </c>
      <c r="AC497" s="18">
        <v>5</v>
      </c>
      <c r="AD497" s="18">
        <v>0</v>
      </c>
      <c r="AE497" s="18">
        <v>0.04386</v>
      </c>
      <c r="AF497" s="18">
        <v>0</v>
      </c>
      <c r="AG497" s="18">
        <v>0</v>
      </c>
      <c r="AH497" s="18"/>
      <c r="AI497" s="18">
        <v>5</v>
      </c>
      <c r="AJ497" s="18">
        <v>11.51</v>
      </c>
      <c r="AK497" s="18">
        <v>5</v>
      </c>
      <c r="AL497" s="18">
        <v>11.51</v>
      </c>
      <c r="AM497" s="18">
        <v>0</v>
      </c>
      <c r="AN497" s="18"/>
      <c r="AO497" s="18">
        <v>0</v>
      </c>
      <c r="AP497" s="18">
        <v>11.51</v>
      </c>
      <c r="AQ497" s="18">
        <v>2</v>
      </c>
      <c r="AR497" s="18">
        <v>90</v>
      </c>
      <c r="AS497" s="18">
        <v>0</v>
      </c>
      <c r="AT497" s="18">
        <v>0</v>
      </c>
      <c r="AU497" s="18">
        <v>0</v>
      </c>
      <c r="AV497" s="18">
        <v>0</v>
      </c>
      <c r="AW497" s="18">
        <v>0</v>
      </c>
      <c r="AX497" s="18">
        <v>0</v>
      </c>
      <c r="AY497" s="18">
        <v>228</v>
      </c>
      <c r="AZ497" s="18">
        <v>112</v>
      </c>
      <c r="BA497" s="18">
        <v>78</v>
      </c>
      <c r="BB497" s="18">
        <v>0.69643</v>
      </c>
      <c r="BC497" s="18">
        <v>0</v>
      </c>
      <c r="BD497" s="18">
        <v>0</v>
      </c>
      <c r="BE497" s="18">
        <v>0.13743</v>
      </c>
      <c r="BF497" s="18">
        <v>94</v>
      </c>
      <c r="BG497" s="18">
        <v>2</v>
      </c>
      <c r="BH497" s="18">
        <v>0</v>
      </c>
      <c r="BI497" s="18">
        <v>0</v>
      </c>
      <c r="BJ497" s="18">
        <v>0</v>
      </c>
      <c r="BK497" s="18">
        <v>0</v>
      </c>
      <c r="BL497" s="18">
        <v>0</v>
      </c>
      <c r="BM497" s="18">
        <v>1</v>
      </c>
      <c r="BN497" s="18">
        <v>1</v>
      </c>
      <c r="BO497" s="18">
        <v>90</v>
      </c>
      <c r="BP497" s="18">
        <v>0</v>
      </c>
      <c r="BQ497" s="18">
        <v>185</v>
      </c>
      <c r="BR497" s="18">
        <v>0</v>
      </c>
      <c r="BS497" s="18">
        <v>0</v>
      </c>
      <c r="BT497" s="18">
        <v>0</v>
      </c>
      <c r="BU497" s="18">
        <v>0</v>
      </c>
      <c r="BV497" s="18">
        <v>0</v>
      </c>
      <c r="BW497" s="18">
        <v>0</v>
      </c>
      <c r="BX497" s="18">
        <v>0</v>
      </c>
    </row>
    <row r="498" spans="1:76">
      <c r="A498" s="14" t="str">
        <f>VLOOKUP(C498,VLOOKUP!A:B,2,FALSE)</f>
        <v>如意盘香</v>
      </c>
      <c r="B498" s="19">
        <v>46176</v>
      </c>
      <c r="C498" s="20">
        <v>838711327669</v>
      </c>
      <c r="D498" s="18" t="s">
        <v>151</v>
      </c>
      <c r="E498" s="18" t="s">
        <v>166</v>
      </c>
      <c r="F498" s="18">
        <v>555</v>
      </c>
      <c r="G498" s="18">
        <v>39</v>
      </c>
      <c r="H498" s="18">
        <v>50</v>
      </c>
      <c r="I498" s="18">
        <v>0.07027</v>
      </c>
      <c r="J498" s="18">
        <v>1.28</v>
      </c>
      <c r="K498" s="18">
        <v>90.09</v>
      </c>
      <c r="L498" s="18">
        <v>0</v>
      </c>
      <c r="M498" s="18">
        <v>0</v>
      </c>
      <c r="N498" s="18">
        <v>0</v>
      </c>
      <c r="O498" s="18">
        <v>0</v>
      </c>
      <c r="P498" s="18">
        <v>0</v>
      </c>
      <c r="Q498" s="18">
        <v>0</v>
      </c>
      <c r="R498" s="18">
        <v>574.5</v>
      </c>
      <c r="S498" s="18">
        <v>355.62</v>
      </c>
      <c r="T498" s="18">
        <v>930.12</v>
      </c>
      <c r="U498" s="18">
        <v>3</v>
      </c>
      <c r="V498" s="18">
        <v>1</v>
      </c>
      <c r="W498" s="18">
        <v>2</v>
      </c>
      <c r="X498" s="18">
        <v>0.07692</v>
      </c>
      <c r="Y498" s="18">
        <v>18.6</v>
      </c>
      <c r="Z498" s="18">
        <v>18.6</v>
      </c>
      <c r="AA498" s="18">
        <v>16.67</v>
      </c>
      <c r="AB498" s="18">
        <v>4</v>
      </c>
      <c r="AC498" s="18">
        <v>1</v>
      </c>
      <c r="AD498" s="18">
        <v>3</v>
      </c>
      <c r="AE498" s="18">
        <v>0.10256</v>
      </c>
      <c r="AF498" s="18">
        <v>0</v>
      </c>
      <c r="AG498" s="18">
        <v>1</v>
      </c>
      <c r="AH498" s="18">
        <v>50</v>
      </c>
      <c r="AI498" s="18">
        <v>5</v>
      </c>
      <c r="AJ498" s="18">
        <v>10</v>
      </c>
      <c r="AK498" s="18">
        <v>4</v>
      </c>
      <c r="AL498" s="18">
        <v>12.5</v>
      </c>
      <c r="AM498" s="18">
        <v>1</v>
      </c>
      <c r="AN498" s="18"/>
      <c r="AO498" s="18">
        <v>0</v>
      </c>
      <c r="AP498" s="18">
        <v>12.5</v>
      </c>
      <c r="AQ498" s="18">
        <v>5</v>
      </c>
      <c r="AR498" s="18">
        <v>1700.8</v>
      </c>
      <c r="AS498" s="18">
        <v>0</v>
      </c>
      <c r="AT498" s="18">
        <v>0</v>
      </c>
      <c r="AU498" s="18">
        <v>0</v>
      </c>
      <c r="AV498" s="18">
        <v>0</v>
      </c>
      <c r="AW498" s="18">
        <v>0</v>
      </c>
      <c r="AX498" s="18">
        <v>3</v>
      </c>
      <c r="AY498" s="18">
        <v>90</v>
      </c>
      <c r="AZ498" s="18">
        <v>34</v>
      </c>
      <c r="BA498" s="18">
        <v>25</v>
      </c>
      <c r="BB498" s="18">
        <v>0.73529</v>
      </c>
      <c r="BC498" s="18">
        <v>0</v>
      </c>
      <c r="BD498" s="18">
        <v>0</v>
      </c>
      <c r="BE498" s="18">
        <v>0.16216</v>
      </c>
      <c r="BF498" s="18">
        <v>52</v>
      </c>
      <c r="BG498" s="18">
        <v>3</v>
      </c>
      <c r="BH498" s="18">
        <v>3</v>
      </c>
      <c r="BI498" s="18">
        <v>1</v>
      </c>
      <c r="BJ498" s="18">
        <v>0</v>
      </c>
      <c r="BK498" s="18">
        <v>0</v>
      </c>
      <c r="BL498" s="18">
        <v>0</v>
      </c>
      <c r="BM498" s="18">
        <v>3</v>
      </c>
      <c r="BN498" s="18">
        <v>1</v>
      </c>
      <c r="BO498" s="18">
        <v>310.04</v>
      </c>
      <c r="BP498" s="18">
        <v>0.56</v>
      </c>
      <c r="BQ498" s="18">
        <v>743</v>
      </c>
      <c r="BR498" s="18">
        <v>0</v>
      </c>
      <c r="BS498" s="18">
        <v>0</v>
      </c>
      <c r="BT498" s="18">
        <v>0</v>
      </c>
      <c r="BU498" s="18">
        <v>0</v>
      </c>
      <c r="BV498" s="18">
        <v>0</v>
      </c>
      <c r="BW498" s="18">
        <v>0</v>
      </c>
      <c r="BX498" s="18">
        <v>0</v>
      </c>
    </row>
    <row r="499" spans="1:76">
      <c r="A499" s="14" t="str">
        <f>VLOOKUP(C499,VLOOKUP!A:B,2,FALSE)</f>
        <v>太樾归真</v>
      </c>
      <c r="B499" s="19">
        <v>46175</v>
      </c>
      <c r="C499" s="20">
        <v>1051919021880</v>
      </c>
      <c r="D499" s="18" t="s">
        <v>151</v>
      </c>
      <c r="E499" s="18" t="s">
        <v>167</v>
      </c>
      <c r="F499" s="18">
        <v>635</v>
      </c>
      <c r="G499" s="18">
        <v>45</v>
      </c>
      <c r="H499" s="18">
        <v>22.9</v>
      </c>
      <c r="I499" s="18">
        <v>0.07087</v>
      </c>
      <c r="J499" s="18">
        <v>0.51</v>
      </c>
      <c r="K499" s="18">
        <v>36.06</v>
      </c>
      <c r="L499" s="18">
        <v>0</v>
      </c>
      <c r="M499" s="18">
        <v>0</v>
      </c>
      <c r="N499" s="18">
        <v>0</v>
      </c>
      <c r="O499" s="18">
        <v>0</v>
      </c>
      <c r="P499" s="18">
        <v>0</v>
      </c>
      <c r="Q499" s="18">
        <v>0</v>
      </c>
      <c r="R499" s="18">
        <v>75.39</v>
      </c>
      <c r="S499" s="18">
        <v>0</v>
      </c>
      <c r="T499" s="18">
        <v>75.39</v>
      </c>
      <c r="U499" s="18">
        <v>2</v>
      </c>
      <c r="V499" s="18">
        <v>2</v>
      </c>
      <c r="W499" s="18">
        <v>0</v>
      </c>
      <c r="X499" s="18">
        <v>0.04444</v>
      </c>
      <c r="Y499" s="18">
        <v>3.29</v>
      </c>
      <c r="Z499" s="18">
        <v>3.29</v>
      </c>
      <c r="AA499" s="18">
        <v>11.45</v>
      </c>
      <c r="AB499" s="18">
        <v>2</v>
      </c>
      <c r="AC499" s="18">
        <v>2</v>
      </c>
      <c r="AD499" s="18">
        <v>0</v>
      </c>
      <c r="AE499" s="18">
        <v>0.04444</v>
      </c>
      <c r="AF499" s="18">
        <v>0</v>
      </c>
      <c r="AG499" s="18">
        <v>1</v>
      </c>
      <c r="AH499" s="18">
        <v>22.9</v>
      </c>
      <c r="AI499" s="18">
        <v>3</v>
      </c>
      <c r="AJ499" s="18">
        <v>7.63</v>
      </c>
      <c r="AK499" s="18">
        <v>2</v>
      </c>
      <c r="AL499" s="18">
        <v>11.45</v>
      </c>
      <c r="AM499" s="18">
        <v>1</v>
      </c>
      <c r="AN499" s="18"/>
      <c r="AO499" s="18">
        <v>0</v>
      </c>
      <c r="AP499" s="18">
        <v>11.45</v>
      </c>
      <c r="AQ499" s="18">
        <v>2</v>
      </c>
      <c r="AR499" s="18">
        <v>93.8</v>
      </c>
      <c r="AS499" s="18">
        <v>0</v>
      </c>
      <c r="AT499" s="18">
        <v>0</v>
      </c>
      <c r="AU499" s="18">
        <v>0</v>
      </c>
      <c r="AV499" s="18">
        <v>0</v>
      </c>
      <c r="AW499" s="18">
        <v>0</v>
      </c>
      <c r="AX499" s="18">
        <v>0</v>
      </c>
      <c r="AY499" s="18">
        <v>69</v>
      </c>
      <c r="AZ499" s="18">
        <v>31</v>
      </c>
      <c r="BA499" s="18">
        <v>24</v>
      </c>
      <c r="BB499" s="18">
        <v>0.77419</v>
      </c>
      <c r="BC499" s="18">
        <v>0</v>
      </c>
      <c r="BD499" s="18">
        <v>0</v>
      </c>
      <c r="BE499" s="18">
        <v>0.10866</v>
      </c>
      <c r="BF499" s="18">
        <v>25</v>
      </c>
      <c r="BG499" s="18">
        <v>2</v>
      </c>
      <c r="BH499" s="18">
        <v>2</v>
      </c>
      <c r="BI499" s="18">
        <v>1</v>
      </c>
      <c r="BJ499" s="18">
        <v>0</v>
      </c>
      <c r="BK499" s="18">
        <v>0</v>
      </c>
      <c r="BL499" s="18">
        <v>0</v>
      </c>
      <c r="BM499" s="18">
        <v>2</v>
      </c>
      <c r="BN499" s="18">
        <v>1</v>
      </c>
      <c r="BO499" s="18">
        <v>37.7</v>
      </c>
      <c r="BP499" s="18">
        <v>0.41</v>
      </c>
      <c r="BQ499" s="18">
        <v>95</v>
      </c>
      <c r="BR499" s="18">
        <v>0</v>
      </c>
      <c r="BS499" s="18">
        <v>0</v>
      </c>
      <c r="BT499" s="18">
        <v>0</v>
      </c>
      <c r="BU499" s="18">
        <v>0</v>
      </c>
      <c r="BV499" s="18">
        <v>0</v>
      </c>
      <c r="BW499" s="18">
        <v>0</v>
      </c>
      <c r="BX499" s="18">
        <v>0</v>
      </c>
    </row>
    <row r="500" spans="1:76">
      <c r="A500" s="14" t="str">
        <f>VLOOKUP(C500,VLOOKUP!A:B,2,FALSE)</f>
        <v>早晚安香</v>
      </c>
      <c r="B500" s="19">
        <v>46175</v>
      </c>
      <c r="C500" s="20">
        <v>1010789122929</v>
      </c>
      <c r="D500" s="18" t="s">
        <v>151</v>
      </c>
      <c r="E500" s="18" t="s">
        <v>164</v>
      </c>
      <c r="F500" s="18">
        <v>966</v>
      </c>
      <c r="G500" s="18">
        <v>45</v>
      </c>
      <c r="H500" s="18">
        <v>36.3</v>
      </c>
      <c r="I500" s="18">
        <v>0.04658</v>
      </c>
      <c r="J500" s="18">
        <v>0.81</v>
      </c>
      <c r="K500" s="18">
        <v>37.58</v>
      </c>
      <c r="L500" s="18">
        <v>0</v>
      </c>
      <c r="M500" s="18">
        <v>0</v>
      </c>
      <c r="N500" s="18">
        <v>0</v>
      </c>
      <c r="O500" s="18">
        <v>0</v>
      </c>
      <c r="P500" s="18">
        <v>0</v>
      </c>
      <c r="Q500" s="18">
        <v>0</v>
      </c>
      <c r="R500" s="18">
        <v>0</v>
      </c>
      <c r="S500" s="18">
        <v>0</v>
      </c>
      <c r="T500" s="18">
        <v>0</v>
      </c>
      <c r="U500" s="18">
        <v>0</v>
      </c>
      <c r="V500" s="18">
        <v>0</v>
      </c>
      <c r="W500" s="18">
        <v>0</v>
      </c>
      <c r="X500" s="18">
        <v>0</v>
      </c>
      <c r="Y500" s="18">
        <v>0</v>
      </c>
      <c r="Z500" s="18">
        <v>0</v>
      </c>
      <c r="AA500" s="18"/>
      <c r="AB500" s="18">
        <v>1</v>
      </c>
      <c r="AC500" s="18">
        <v>1</v>
      </c>
      <c r="AD500" s="18">
        <v>0</v>
      </c>
      <c r="AE500" s="18">
        <v>0.02222</v>
      </c>
      <c r="AF500" s="18">
        <v>0</v>
      </c>
      <c r="AG500" s="18">
        <v>0</v>
      </c>
      <c r="AH500" s="18"/>
      <c r="AI500" s="18">
        <v>1</v>
      </c>
      <c r="AJ500" s="18">
        <v>36.3</v>
      </c>
      <c r="AK500" s="18">
        <v>1</v>
      </c>
      <c r="AL500" s="18">
        <v>36.3</v>
      </c>
      <c r="AM500" s="18">
        <v>0</v>
      </c>
      <c r="AN500" s="18"/>
      <c r="AO500" s="18">
        <v>0</v>
      </c>
      <c r="AP500" s="18">
        <v>36.3</v>
      </c>
      <c r="AQ500" s="18">
        <v>0</v>
      </c>
      <c r="AR500" s="18">
        <v>0</v>
      </c>
      <c r="AS500" s="18">
        <v>0</v>
      </c>
      <c r="AT500" s="18">
        <v>0</v>
      </c>
      <c r="AU500" s="18">
        <v>0</v>
      </c>
      <c r="AV500" s="18">
        <v>0</v>
      </c>
      <c r="AW500" s="18">
        <v>0</v>
      </c>
      <c r="AX500" s="18">
        <v>0</v>
      </c>
      <c r="AY500" s="18">
        <v>72</v>
      </c>
      <c r="AZ500" s="18">
        <v>44</v>
      </c>
      <c r="BA500" s="18">
        <v>15</v>
      </c>
      <c r="BB500" s="18">
        <v>0.34091</v>
      </c>
      <c r="BC500" s="18">
        <v>0</v>
      </c>
      <c r="BD500" s="18">
        <v>0</v>
      </c>
      <c r="BE500" s="18">
        <v>0.07453</v>
      </c>
      <c r="BF500" s="18">
        <v>22</v>
      </c>
      <c r="BG500" s="18">
        <v>2</v>
      </c>
      <c r="BH500" s="18">
        <v>0</v>
      </c>
      <c r="BI500" s="18"/>
      <c r="BJ500" s="18">
        <v>0</v>
      </c>
      <c r="BK500" s="18">
        <v>0</v>
      </c>
      <c r="BL500" s="18">
        <v>0</v>
      </c>
      <c r="BM500" s="18">
        <v>0</v>
      </c>
      <c r="BN500" s="18"/>
      <c r="BO500" s="18"/>
      <c r="BP500" s="18">
        <v>0</v>
      </c>
      <c r="BQ500" s="18">
        <v>185</v>
      </c>
      <c r="BR500" s="18">
        <v>0</v>
      </c>
      <c r="BS500" s="18">
        <v>0</v>
      </c>
      <c r="BT500" s="18">
        <v>0</v>
      </c>
      <c r="BU500" s="18">
        <v>0</v>
      </c>
      <c r="BV500" s="18">
        <v>0</v>
      </c>
      <c r="BW500" s="18">
        <v>0</v>
      </c>
      <c r="BX500" s="18">
        <v>0</v>
      </c>
    </row>
    <row r="501" spans="1:76">
      <c r="A501" s="14" t="str">
        <f>VLOOKUP(C501,VLOOKUP!A:B,2,FALSE)</f>
        <v>荔枝香</v>
      </c>
      <c r="B501" s="19">
        <v>46175</v>
      </c>
      <c r="C501" s="20">
        <v>960406497157</v>
      </c>
      <c r="D501" s="18" t="s">
        <v>151</v>
      </c>
      <c r="E501" s="18" t="s">
        <v>165</v>
      </c>
      <c r="F501" s="18">
        <v>1886</v>
      </c>
      <c r="G501" s="18">
        <v>134</v>
      </c>
      <c r="H501" s="18">
        <v>79.09</v>
      </c>
      <c r="I501" s="18">
        <v>0.07105</v>
      </c>
      <c r="J501" s="18">
        <v>0.59</v>
      </c>
      <c r="K501" s="18">
        <v>41.94</v>
      </c>
      <c r="L501" s="18">
        <v>0</v>
      </c>
      <c r="M501" s="18">
        <v>0</v>
      </c>
      <c r="N501" s="18">
        <v>0</v>
      </c>
      <c r="O501" s="18">
        <v>0</v>
      </c>
      <c r="P501" s="18">
        <v>0</v>
      </c>
      <c r="Q501" s="18">
        <v>0</v>
      </c>
      <c r="R501" s="18">
        <v>90</v>
      </c>
      <c r="S501" s="18">
        <v>0</v>
      </c>
      <c r="T501" s="18">
        <v>90</v>
      </c>
      <c r="U501" s="18">
        <v>1</v>
      </c>
      <c r="V501" s="18">
        <v>1</v>
      </c>
      <c r="W501" s="18">
        <v>0</v>
      </c>
      <c r="X501" s="18">
        <v>0.00746</v>
      </c>
      <c r="Y501" s="18">
        <v>1.14</v>
      </c>
      <c r="Z501" s="18">
        <v>1.14</v>
      </c>
      <c r="AA501" s="18">
        <v>79.09</v>
      </c>
      <c r="AB501" s="18">
        <v>1</v>
      </c>
      <c r="AC501" s="18">
        <v>1</v>
      </c>
      <c r="AD501" s="18">
        <v>0</v>
      </c>
      <c r="AE501" s="18">
        <v>0.00746</v>
      </c>
      <c r="AF501" s="18">
        <v>0</v>
      </c>
      <c r="AG501" s="18">
        <v>0</v>
      </c>
      <c r="AH501" s="18"/>
      <c r="AI501" s="18">
        <v>1</v>
      </c>
      <c r="AJ501" s="18">
        <v>79.09</v>
      </c>
      <c r="AK501" s="18">
        <v>1</v>
      </c>
      <c r="AL501" s="18">
        <v>79.09</v>
      </c>
      <c r="AM501" s="18">
        <v>0</v>
      </c>
      <c r="AN501" s="18"/>
      <c r="AO501" s="18">
        <v>0</v>
      </c>
      <c r="AP501" s="18">
        <v>79.09</v>
      </c>
      <c r="AQ501" s="18">
        <v>2</v>
      </c>
      <c r="AR501" s="18">
        <v>155.9</v>
      </c>
      <c r="AS501" s="18">
        <v>0</v>
      </c>
      <c r="AT501" s="18">
        <v>0</v>
      </c>
      <c r="AU501" s="18">
        <v>0</v>
      </c>
      <c r="AV501" s="18">
        <v>0</v>
      </c>
      <c r="AW501" s="18">
        <v>0</v>
      </c>
      <c r="AX501" s="18">
        <v>1</v>
      </c>
      <c r="AY501" s="18">
        <v>231</v>
      </c>
      <c r="AZ501" s="18">
        <v>129</v>
      </c>
      <c r="BA501" s="18">
        <v>90</v>
      </c>
      <c r="BB501" s="18">
        <v>0.69767</v>
      </c>
      <c r="BC501" s="18">
        <v>0</v>
      </c>
      <c r="BD501" s="18">
        <v>0</v>
      </c>
      <c r="BE501" s="18">
        <v>0.12248</v>
      </c>
      <c r="BF501" s="18">
        <v>75</v>
      </c>
      <c r="BG501" s="18">
        <v>2</v>
      </c>
      <c r="BH501" s="18">
        <v>1</v>
      </c>
      <c r="BI501" s="18">
        <v>1</v>
      </c>
      <c r="BJ501" s="18">
        <v>0</v>
      </c>
      <c r="BK501" s="18">
        <v>0</v>
      </c>
      <c r="BL501" s="18">
        <v>0</v>
      </c>
      <c r="BM501" s="18">
        <v>1</v>
      </c>
      <c r="BN501" s="18">
        <v>1</v>
      </c>
      <c r="BO501" s="18">
        <v>90</v>
      </c>
      <c r="BP501" s="18">
        <v>0.08</v>
      </c>
      <c r="BQ501" s="18">
        <v>274</v>
      </c>
      <c r="BR501" s="18">
        <v>0</v>
      </c>
      <c r="BS501" s="18">
        <v>0</v>
      </c>
      <c r="BT501" s="18">
        <v>0</v>
      </c>
      <c r="BU501" s="18">
        <v>0</v>
      </c>
      <c r="BV501" s="18">
        <v>0</v>
      </c>
      <c r="BW501" s="18">
        <v>0</v>
      </c>
      <c r="BX501" s="18">
        <v>0</v>
      </c>
    </row>
    <row r="502" spans="1:76">
      <c r="A502" s="14" t="str">
        <f>VLOOKUP(C502,VLOOKUP!A:B,2,FALSE)</f>
        <v>如意盘香</v>
      </c>
      <c r="B502" s="19">
        <v>46175</v>
      </c>
      <c r="C502" s="20">
        <v>838711327669</v>
      </c>
      <c r="D502" s="18" t="s">
        <v>151</v>
      </c>
      <c r="E502" s="18" t="s">
        <v>166</v>
      </c>
      <c r="F502" s="18">
        <v>399</v>
      </c>
      <c r="G502" s="18">
        <v>25</v>
      </c>
      <c r="H502" s="18">
        <v>47.8</v>
      </c>
      <c r="I502" s="18">
        <v>0.06266</v>
      </c>
      <c r="J502" s="18">
        <v>1.91</v>
      </c>
      <c r="K502" s="18">
        <v>119.8</v>
      </c>
      <c r="L502" s="18">
        <v>0</v>
      </c>
      <c r="M502" s="18">
        <v>0</v>
      </c>
      <c r="N502" s="18">
        <v>0</v>
      </c>
      <c r="O502" s="18">
        <v>0</v>
      </c>
      <c r="P502" s="18">
        <v>0</v>
      </c>
      <c r="Q502" s="18">
        <v>0</v>
      </c>
      <c r="R502" s="18">
        <v>0</v>
      </c>
      <c r="S502" s="18">
        <v>0</v>
      </c>
      <c r="T502" s="18">
        <v>0</v>
      </c>
      <c r="U502" s="18">
        <v>0</v>
      </c>
      <c r="V502" s="18">
        <v>0</v>
      </c>
      <c r="W502" s="18">
        <v>0</v>
      </c>
      <c r="X502" s="18">
        <v>0</v>
      </c>
      <c r="Y502" s="18">
        <v>0</v>
      </c>
      <c r="Z502" s="18">
        <v>0</v>
      </c>
      <c r="AA502" s="18"/>
      <c r="AB502" s="18">
        <v>0</v>
      </c>
      <c r="AC502" s="18">
        <v>0</v>
      </c>
      <c r="AD502" s="18">
        <v>0</v>
      </c>
      <c r="AE502" s="18">
        <v>0</v>
      </c>
      <c r="AF502" s="18">
        <v>0</v>
      </c>
      <c r="AG502" s="18">
        <v>0</v>
      </c>
      <c r="AH502" s="18"/>
      <c r="AI502" s="18">
        <v>0</v>
      </c>
      <c r="AJ502" s="18"/>
      <c r="AK502" s="18">
        <v>0</v>
      </c>
      <c r="AL502" s="18"/>
      <c r="AM502" s="18">
        <v>0</v>
      </c>
      <c r="AN502" s="18"/>
      <c r="AO502" s="18">
        <v>0</v>
      </c>
      <c r="AP502" s="18"/>
      <c r="AQ502" s="18">
        <v>0</v>
      </c>
      <c r="AR502" s="18">
        <v>0</v>
      </c>
      <c r="AS502" s="18">
        <v>0</v>
      </c>
      <c r="AT502" s="18">
        <v>0</v>
      </c>
      <c r="AU502" s="18">
        <v>0</v>
      </c>
      <c r="AV502" s="18">
        <v>0</v>
      </c>
      <c r="AW502" s="18">
        <v>0</v>
      </c>
      <c r="AX502" s="18">
        <v>1</v>
      </c>
      <c r="AY502" s="18">
        <v>55</v>
      </c>
      <c r="AZ502" s="18">
        <v>21</v>
      </c>
      <c r="BA502" s="18">
        <v>11</v>
      </c>
      <c r="BB502" s="18">
        <v>0.52381</v>
      </c>
      <c r="BC502" s="18">
        <v>0</v>
      </c>
      <c r="BD502" s="18">
        <v>0</v>
      </c>
      <c r="BE502" s="18">
        <v>0.13784</v>
      </c>
      <c r="BF502" s="18">
        <v>29</v>
      </c>
      <c r="BG502" s="18">
        <v>3</v>
      </c>
      <c r="BH502" s="18">
        <v>0</v>
      </c>
      <c r="BI502" s="18"/>
      <c r="BJ502" s="18">
        <v>0</v>
      </c>
      <c r="BK502" s="18">
        <v>0</v>
      </c>
      <c r="BL502" s="18">
        <v>0</v>
      </c>
      <c r="BM502" s="18">
        <v>0</v>
      </c>
      <c r="BN502" s="18"/>
      <c r="BO502" s="18"/>
      <c r="BP502" s="18">
        <v>0</v>
      </c>
      <c r="BQ502" s="18">
        <v>40</v>
      </c>
      <c r="BR502" s="18">
        <v>0</v>
      </c>
      <c r="BS502" s="18">
        <v>0</v>
      </c>
      <c r="BT502" s="18">
        <v>0</v>
      </c>
      <c r="BU502" s="18">
        <v>0</v>
      </c>
      <c r="BV502" s="18">
        <v>0</v>
      </c>
      <c r="BW502" s="18">
        <v>0</v>
      </c>
      <c r="BX502" s="18">
        <v>0</v>
      </c>
    </row>
    <row r="503" spans="1:76">
      <c r="A503" s="14" t="str">
        <f>VLOOKUP(C503,VLOOKUP!A:B,2,FALSE)</f>
        <v>太樾归真</v>
      </c>
      <c r="B503" s="19">
        <v>46174</v>
      </c>
      <c r="C503" s="20">
        <v>1051919021880</v>
      </c>
      <c r="D503" s="18" t="s">
        <v>151</v>
      </c>
      <c r="E503" s="18" t="s">
        <v>168</v>
      </c>
      <c r="F503" s="18">
        <v>812</v>
      </c>
      <c r="G503" s="18">
        <v>57</v>
      </c>
      <c r="H503" s="18">
        <v>28.52</v>
      </c>
      <c r="I503" s="18">
        <v>0.0702</v>
      </c>
      <c r="J503" s="18">
        <v>0.5</v>
      </c>
      <c r="K503" s="18">
        <v>35.12</v>
      </c>
      <c r="L503" s="18">
        <v>0</v>
      </c>
      <c r="M503" s="18">
        <v>0</v>
      </c>
      <c r="N503" s="18">
        <v>0</v>
      </c>
      <c r="O503" s="18">
        <v>0</v>
      </c>
      <c r="P503" s="18">
        <v>0</v>
      </c>
      <c r="Q503" s="18">
        <v>0</v>
      </c>
      <c r="R503" s="18">
        <v>79.8</v>
      </c>
      <c r="S503" s="18">
        <v>0</v>
      </c>
      <c r="T503" s="18">
        <v>79.8</v>
      </c>
      <c r="U503" s="18">
        <v>1</v>
      </c>
      <c r="V503" s="18">
        <v>1</v>
      </c>
      <c r="W503" s="18">
        <v>0</v>
      </c>
      <c r="X503" s="18">
        <v>0.01754</v>
      </c>
      <c r="Y503" s="18">
        <v>2.8</v>
      </c>
      <c r="Z503" s="18">
        <v>2.8</v>
      </c>
      <c r="AA503" s="18">
        <v>28.52</v>
      </c>
      <c r="AB503" s="18">
        <v>0</v>
      </c>
      <c r="AC503" s="18">
        <v>0</v>
      </c>
      <c r="AD503" s="18">
        <v>0</v>
      </c>
      <c r="AE503" s="18">
        <v>0</v>
      </c>
      <c r="AF503" s="18">
        <v>1</v>
      </c>
      <c r="AG503" s="18">
        <v>0</v>
      </c>
      <c r="AH503" s="18"/>
      <c r="AI503" s="18">
        <v>1</v>
      </c>
      <c r="AJ503" s="18">
        <v>28.52</v>
      </c>
      <c r="AK503" s="18">
        <v>1</v>
      </c>
      <c r="AL503" s="18">
        <v>28.52</v>
      </c>
      <c r="AM503" s="18">
        <v>1</v>
      </c>
      <c r="AN503" s="18">
        <v>28.52</v>
      </c>
      <c r="AO503" s="18">
        <v>0.01754</v>
      </c>
      <c r="AP503" s="18"/>
      <c r="AQ503" s="18">
        <v>1</v>
      </c>
      <c r="AR503" s="18">
        <v>93.9</v>
      </c>
      <c r="AS503" s="18">
        <v>0</v>
      </c>
      <c r="AT503" s="18">
        <v>1</v>
      </c>
      <c r="AU503" s="18">
        <v>0</v>
      </c>
      <c r="AV503" s="18">
        <v>0</v>
      </c>
      <c r="AW503" s="18">
        <v>0</v>
      </c>
      <c r="AX503" s="18">
        <v>0</v>
      </c>
      <c r="AY503" s="18">
        <v>94</v>
      </c>
      <c r="AZ503" s="18">
        <v>45</v>
      </c>
      <c r="BA503" s="18">
        <v>36</v>
      </c>
      <c r="BB503" s="18">
        <v>0.8</v>
      </c>
      <c r="BC503" s="18">
        <v>0</v>
      </c>
      <c r="BD503" s="18">
        <v>0</v>
      </c>
      <c r="BE503" s="18">
        <v>0.11576</v>
      </c>
      <c r="BF503" s="18">
        <v>34</v>
      </c>
      <c r="BG503" s="18">
        <v>2</v>
      </c>
      <c r="BH503" s="18">
        <v>1</v>
      </c>
      <c r="BI503" s="18">
        <v>1</v>
      </c>
      <c r="BJ503" s="18">
        <v>0</v>
      </c>
      <c r="BK503" s="18">
        <v>0</v>
      </c>
      <c r="BL503" s="18">
        <v>0</v>
      </c>
      <c r="BM503" s="18">
        <v>1</v>
      </c>
      <c r="BN503" s="18">
        <v>1</v>
      </c>
      <c r="BO503" s="18">
        <v>79.8</v>
      </c>
      <c r="BP503" s="18">
        <v>0.07</v>
      </c>
      <c r="BQ503" s="18">
        <v>48</v>
      </c>
      <c r="BR503" s="18">
        <v>0</v>
      </c>
      <c r="BS503" s="18">
        <v>0</v>
      </c>
      <c r="BT503" s="18">
        <v>0</v>
      </c>
      <c r="BU503" s="18">
        <v>0</v>
      </c>
      <c r="BV503" s="18">
        <v>0</v>
      </c>
      <c r="BW503" s="18">
        <v>0</v>
      </c>
      <c r="BX503" s="18">
        <v>0</v>
      </c>
    </row>
    <row r="504" spans="1:76">
      <c r="A504" s="14" t="str">
        <f>VLOOKUP(C504,VLOOKUP!A:B,2,FALSE)</f>
        <v>早晚安香</v>
      </c>
      <c r="B504" s="19">
        <v>46174</v>
      </c>
      <c r="C504" s="20">
        <v>1010789122929</v>
      </c>
      <c r="D504" s="18" t="s">
        <v>151</v>
      </c>
      <c r="E504" s="18" t="s">
        <v>164</v>
      </c>
      <c r="F504" s="18">
        <v>1300</v>
      </c>
      <c r="G504" s="18">
        <v>55</v>
      </c>
      <c r="H504" s="18">
        <v>43.58</v>
      </c>
      <c r="I504" s="18">
        <v>0.04231</v>
      </c>
      <c r="J504" s="18">
        <v>0.79</v>
      </c>
      <c r="K504" s="18">
        <v>33.52</v>
      </c>
      <c r="L504" s="18">
        <v>0</v>
      </c>
      <c r="M504" s="18">
        <v>0</v>
      </c>
      <c r="N504" s="18">
        <v>0</v>
      </c>
      <c r="O504" s="18">
        <v>0</v>
      </c>
      <c r="P504" s="18">
        <v>0</v>
      </c>
      <c r="Q504" s="18">
        <v>0</v>
      </c>
      <c r="R504" s="18">
        <v>0</v>
      </c>
      <c r="S504" s="18">
        <v>0</v>
      </c>
      <c r="T504" s="18">
        <v>0</v>
      </c>
      <c r="U504" s="18">
        <v>0</v>
      </c>
      <c r="V504" s="18">
        <v>0</v>
      </c>
      <c r="W504" s="18">
        <v>0</v>
      </c>
      <c r="X504" s="18">
        <v>0</v>
      </c>
      <c r="Y504" s="18">
        <v>0</v>
      </c>
      <c r="Z504" s="18">
        <v>0</v>
      </c>
      <c r="AA504" s="18"/>
      <c r="AB504" s="18">
        <v>1</v>
      </c>
      <c r="AC504" s="18">
        <v>1</v>
      </c>
      <c r="AD504" s="18">
        <v>0</v>
      </c>
      <c r="AE504" s="18">
        <v>0.01818</v>
      </c>
      <c r="AF504" s="18">
        <v>0</v>
      </c>
      <c r="AG504" s="18">
        <v>0</v>
      </c>
      <c r="AH504" s="18"/>
      <c r="AI504" s="18">
        <v>1</v>
      </c>
      <c r="AJ504" s="18">
        <v>43.58</v>
      </c>
      <c r="AK504" s="18">
        <v>1</v>
      </c>
      <c r="AL504" s="18">
        <v>43.58</v>
      </c>
      <c r="AM504" s="18">
        <v>0</v>
      </c>
      <c r="AN504" s="18"/>
      <c r="AO504" s="18">
        <v>0</v>
      </c>
      <c r="AP504" s="18">
        <v>43.58</v>
      </c>
      <c r="AQ504" s="18">
        <v>0</v>
      </c>
      <c r="AR504" s="18">
        <v>0</v>
      </c>
      <c r="AS504" s="18">
        <v>0</v>
      </c>
      <c r="AT504" s="18">
        <v>0</v>
      </c>
      <c r="AU504" s="18">
        <v>0</v>
      </c>
      <c r="AV504" s="18">
        <v>0</v>
      </c>
      <c r="AW504" s="18">
        <v>0</v>
      </c>
      <c r="AX504" s="18">
        <v>0</v>
      </c>
      <c r="AY504" s="18">
        <v>122</v>
      </c>
      <c r="AZ504" s="18">
        <v>51</v>
      </c>
      <c r="BA504" s="18">
        <v>26</v>
      </c>
      <c r="BB504" s="18">
        <v>0.5098</v>
      </c>
      <c r="BC504" s="18">
        <v>0</v>
      </c>
      <c r="BD504" s="18">
        <v>0</v>
      </c>
      <c r="BE504" s="18">
        <v>0.09385</v>
      </c>
      <c r="BF504" s="18">
        <v>53</v>
      </c>
      <c r="BG504" s="18">
        <v>2</v>
      </c>
      <c r="BH504" s="18">
        <v>0</v>
      </c>
      <c r="BI504" s="18"/>
      <c r="BJ504" s="18">
        <v>0</v>
      </c>
      <c r="BK504" s="18">
        <v>0</v>
      </c>
      <c r="BL504" s="18">
        <v>0</v>
      </c>
      <c r="BM504" s="18">
        <v>0</v>
      </c>
      <c r="BN504" s="18"/>
      <c r="BO504" s="18"/>
      <c r="BP504" s="18">
        <v>0</v>
      </c>
      <c r="BQ504" s="18">
        <v>164</v>
      </c>
      <c r="BR504" s="18">
        <v>0</v>
      </c>
      <c r="BS504" s="18">
        <v>0</v>
      </c>
      <c r="BT504" s="18">
        <v>0</v>
      </c>
      <c r="BU504" s="18">
        <v>0</v>
      </c>
      <c r="BV504" s="18">
        <v>0</v>
      </c>
      <c r="BW504" s="18">
        <v>0</v>
      </c>
      <c r="BX504" s="18">
        <v>0</v>
      </c>
    </row>
    <row r="505" spans="1:76">
      <c r="A505" s="14" t="str">
        <f>VLOOKUP(C505,VLOOKUP!A:B,2,FALSE)</f>
        <v>荔枝香</v>
      </c>
      <c r="B505" s="19">
        <v>46174</v>
      </c>
      <c r="C505" s="20">
        <v>960406497157</v>
      </c>
      <c r="D505" s="18" t="s">
        <v>151</v>
      </c>
      <c r="E505" s="18" t="s">
        <v>165</v>
      </c>
      <c r="F505" s="18">
        <v>2752</v>
      </c>
      <c r="G505" s="18">
        <v>162</v>
      </c>
      <c r="H505" s="18">
        <v>74.2</v>
      </c>
      <c r="I505" s="18">
        <v>0.05887</v>
      </c>
      <c r="J505" s="18">
        <v>0.46</v>
      </c>
      <c r="K505" s="18">
        <v>26.96</v>
      </c>
      <c r="L505" s="18">
        <v>0</v>
      </c>
      <c r="M505" s="18">
        <v>0</v>
      </c>
      <c r="N505" s="18">
        <v>0</v>
      </c>
      <c r="O505" s="18">
        <v>0</v>
      </c>
      <c r="P505" s="18">
        <v>0</v>
      </c>
      <c r="Q505" s="18">
        <v>0</v>
      </c>
      <c r="R505" s="18">
        <v>0</v>
      </c>
      <c r="S505" s="18">
        <v>0</v>
      </c>
      <c r="T505" s="18">
        <v>0</v>
      </c>
      <c r="U505" s="18">
        <v>0</v>
      </c>
      <c r="V505" s="18">
        <v>0</v>
      </c>
      <c r="W505" s="18">
        <v>0</v>
      </c>
      <c r="X505" s="18">
        <v>0</v>
      </c>
      <c r="Y505" s="18">
        <v>0</v>
      </c>
      <c r="Z505" s="18">
        <v>0</v>
      </c>
      <c r="AA505" s="18"/>
      <c r="AB505" s="18">
        <v>3</v>
      </c>
      <c r="AC505" s="18">
        <v>3</v>
      </c>
      <c r="AD505" s="18">
        <v>0</v>
      </c>
      <c r="AE505" s="18">
        <v>0.01852</v>
      </c>
      <c r="AF505" s="18">
        <v>0</v>
      </c>
      <c r="AG505" s="18">
        <v>0</v>
      </c>
      <c r="AH505" s="18"/>
      <c r="AI505" s="18">
        <v>3</v>
      </c>
      <c r="AJ505" s="18">
        <v>24.73</v>
      </c>
      <c r="AK505" s="18">
        <v>3</v>
      </c>
      <c r="AL505" s="18">
        <v>24.73</v>
      </c>
      <c r="AM505" s="18">
        <v>0</v>
      </c>
      <c r="AN505" s="18"/>
      <c r="AO505" s="18">
        <v>0</v>
      </c>
      <c r="AP505" s="18">
        <v>24.73</v>
      </c>
      <c r="AQ505" s="18">
        <v>0</v>
      </c>
      <c r="AR505" s="18">
        <v>0</v>
      </c>
      <c r="AS505" s="18">
        <v>0</v>
      </c>
      <c r="AT505" s="18">
        <v>0</v>
      </c>
      <c r="AU505" s="18">
        <v>0</v>
      </c>
      <c r="AV505" s="18">
        <v>0</v>
      </c>
      <c r="AW505" s="18">
        <v>0</v>
      </c>
      <c r="AX505" s="18">
        <v>0</v>
      </c>
      <c r="AY505" s="18">
        <v>246</v>
      </c>
      <c r="AZ505" s="18">
        <v>156</v>
      </c>
      <c r="BA505" s="18">
        <v>124</v>
      </c>
      <c r="BB505" s="18">
        <v>0.79487</v>
      </c>
      <c r="BC505" s="18">
        <v>0</v>
      </c>
      <c r="BD505" s="18">
        <v>0</v>
      </c>
      <c r="BE505" s="18">
        <v>0.08939</v>
      </c>
      <c r="BF505" s="18">
        <v>55</v>
      </c>
      <c r="BG505" s="18">
        <v>2</v>
      </c>
      <c r="BH505" s="18">
        <v>0</v>
      </c>
      <c r="BI505" s="18"/>
      <c r="BJ505" s="18">
        <v>0</v>
      </c>
      <c r="BK505" s="18">
        <v>0</v>
      </c>
      <c r="BL505" s="18">
        <v>0</v>
      </c>
      <c r="BM505" s="18">
        <v>0</v>
      </c>
      <c r="BN505" s="18"/>
      <c r="BO505" s="18"/>
      <c r="BP505" s="18">
        <v>0.01</v>
      </c>
      <c r="BQ505" s="18">
        <v>209</v>
      </c>
      <c r="BR505" s="18">
        <v>0</v>
      </c>
      <c r="BS505" s="18">
        <v>0</v>
      </c>
      <c r="BT505" s="18">
        <v>0</v>
      </c>
      <c r="BU505" s="18">
        <v>0</v>
      </c>
      <c r="BV505" s="18">
        <v>0</v>
      </c>
      <c r="BW505" s="18">
        <v>0</v>
      </c>
      <c r="BX505" s="18">
        <v>0</v>
      </c>
    </row>
    <row r="506" spans="1:76">
      <c r="A506" s="14" t="str">
        <f>VLOOKUP(C506,VLOOKUP!A:B,2,FALSE)</f>
        <v>如意盘香</v>
      </c>
      <c r="B506" s="19">
        <v>46174</v>
      </c>
      <c r="C506" s="20">
        <v>838711327669</v>
      </c>
      <c r="D506" s="18" t="s">
        <v>151</v>
      </c>
      <c r="E506" s="18" t="s">
        <v>166</v>
      </c>
      <c r="F506" s="18">
        <v>401</v>
      </c>
      <c r="G506" s="18">
        <v>25</v>
      </c>
      <c r="H506" s="18">
        <v>50</v>
      </c>
      <c r="I506" s="18">
        <v>0.06234</v>
      </c>
      <c r="J506" s="18">
        <v>2</v>
      </c>
      <c r="K506" s="18">
        <v>124.69</v>
      </c>
      <c r="L506" s="18">
        <v>0</v>
      </c>
      <c r="M506" s="18">
        <v>0</v>
      </c>
      <c r="N506" s="18">
        <v>0</v>
      </c>
      <c r="O506" s="18">
        <v>0</v>
      </c>
      <c r="P506" s="18">
        <v>0</v>
      </c>
      <c r="Q506" s="18">
        <v>0</v>
      </c>
      <c r="R506" s="18">
        <v>0</v>
      </c>
      <c r="S506" s="18">
        <v>37.93</v>
      </c>
      <c r="T506" s="18">
        <v>37.93</v>
      </c>
      <c r="U506" s="18">
        <v>1</v>
      </c>
      <c r="V506" s="18">
        <v>0</v>
      </c>
      <c r="W506" s="18">
        <v>1</v>
      </c>
      <c r="X506" s="18">
        <v>0.04</v>
      </c>
      <c r="Y506" s="18">
        <v>0.76</v>
      </c>
      <c r="Z506" s="18">
        <v>0.76</v>
      </c>
      <c r="AA506" s="18">
        <v>50</v>
      </c>
      <c r="AB506" s="18">
        <v>4</v>
      </c>
      <c r="AC506" s="18">
        <v>0</v>
      </c>
      <c r="AD506" s="18">
        <v>4</v>
      </c>
      <c r="AE506" s="18">
        <v>0.16</v>
      </c>
      <c r="AF506" s="18">
        <v>0</v>
      </c>
      <c r="AG506" s="18">
        <v>0</v>
      </c>
      <c r="AH506" s="18"/>
      <c r="AI506" s="18">
        <v>4</v>
      </c>
      <c r="AJ506" s="18">
        <v>12.5</v>
      </c>
      <c r="AK506" s="18">
        <v>4</v>
      </c>
      <c r="AL506" s="18">
        <v>12.5</v>
      </c>
      <c r="AM506" s="18">
        <v>0</v>
      </c>
      <c r="AN506" s="18"/>
      <c r="AO506" s="18">
        <v>0</v>
      </c>
      <c r="AP506" s="18">
        <v>12.5</v>
      </c>
      <c r="AQ506" s="18">
        <v>1</v>
      </c>
      <c r="AR506" s="18">
        <v>46.9</v>
      </c>
      <c r="AS506" s="18">
        <v>0</v>
      </c>
      <c r="AT506" s="18">
        <v>0</v>
      </c>
      <c r="AU506" s="18">
        <v>0</v>
      </c>
      <c r="AV506" s="18">
        <v>0</v>
      </c>
      <c r="AW506" s="18">
        <v>0</v>
      </c>
      <c r="AX506" s="18">
        <v>4</v>
      </c>
      <c r="AY506" s="18">
        <v>93</v>
      </c>
      <c r="AZ506" s="18">
        <v>23</v>
      </c>
      <c r="BA506" s="18">
        <v>16</v>
      </c>
      <c r="BB506" s="18">
        <v>0.69565</v>
      </c>
      <c r="BC506" s="18">
        <v>0</v>
      </c>
      <c r="BD506" s="18">
        <v>0</v>
      </c>
      <c r="BE506" s="18">
        <v>0.23192</v>
      </c>
      <c r="BF506" s="18">
        <v>67</v>
      </c>
      <c r="BG506" s="18">
        <v>4</v>
      </c>
      <c r="BH506" s="18">
        <v>1</v>
      </c>
      <c r="BI506" s="18">
        <v>1</v>
      </c>
      <c r="BJ506" s="18">
        <v>0</v>
      </c>
      <c r="BK506" s="18">
        <v>0</v>
      </c>
      <c r="BL506" s="18">
        <v>0</v>
      </c>
      <c r="BM506" s="18">
        <v>1</v>
      </c>
      <c r="BN506" s="18">
        <v>1</v>
      </c>
      <c r="BO506" s="18">
        <v>37.93</v>
      </c>
      <c r="BP506" s="18">
        <v>0.76</v>
      </c>
      <c r="BQ506" s="18">
        <v>166</v>
      </c>
      <c r="BR506" s="18">
        <v>0</v>
      </c>
      <c r="BS506" s="18">
        <v>0</v>
      </c>
      <c r="BT506" s="18">
        <v>0</v>
      </c>
      <c r="BU506" s="18">
        <v>0</v>
      </c>
      <c r="BV506" s="18">
        <v>0</v>
      </c>
      <c r="BW506" s="18">
        <v>0</v>
      </c>
      <c r="BX506" s="18">
        <v>0</v>
      </c>
    </row>
    <row r="507" spans="1:76">
      <c r="A507" s="14" t="str">
        <f>VLOOKUP(C507,VLOOKUP!A:B,2,FALSE)</f>
        <v>太樾归真</v>
      </c>
      <c r="B507" s="19">
        <v>46173</v>
      </c>
      <c r="C507" s="20">
        <v>1051919021880</v>
      </c>
      <c r="D507" s="18" t="s">
        <v>151</v>
      </c>
      <c r="E507" s="18" t="s">
        <v>169</v>
      </c>
      <c r="F507" s="18">
        <v>245</v>
      </c>
      <c r="G507" s="18">
        <v>11</v>
      </c>
      <c r="H507" s="18">
        <v>4.78</v>
      </c>
      <c r="I507" s="18">
        <v>0.0449</v>
      </c>
      <c r="J507" s="18">
        <v>0.43</v>
      </c>
      <c r="K507" s="18">
        <v>19.51</v>
      </c>
      <c r="L507" s="18">
        <v>0</v>
      </c>
      <c r="M507" s="18">
        <v>0</v>
      </c>
      <c r="N507" s="18">
        <v>0</v>
      </c>
      <c r="O507" s="18">
        <v>0</v>
      </c>
      <c r="P507" s="18">
        <v>0</v>
      </c>
      <c r="Q507" s="18">
        <v>0</v>
      </c>
      <c r="R507" s="18">
        <v>0</v>
      </c>
      <c r="S507" s="18">
        <v>0</v>
      </c>
      <c r="T507" s="18">
        <v>0</v>
      </c>
      <c r="U507" s="18">
        <v>0</v>
      </c>
      <c r="V507" s="18">
        <v>0</v>
      </c>
      <c r="W507" s="18">
        <v>0</v>
      </c>
      <c r="X507" s="18">
        <v>0</v>
      </c>
      <c r="Y507" s="18">
        <v>0</v>
      </c>
      <c r="Z507" s="18">
        <v>0</v>
      </c>
      <c r="AA507" s="18"/>
      <c r="AB507" s="18">
        <v>0</v>
      </c>
      <c r="AC507" s="18">
        <v>0</v>
      </c>
      <c r="AD507" s="18">
        <v>0</v>
      </c>
      <c r="AE507" s="18">
        <v>0</v>
      </c>
      <c r="AF507" s="18">
        <v>0</v>
      </c>
      <c r="AG507" s="18">
        <v>0</v>
      </c>
      <c r="AH507" s="18"/>
      <c r="AI507" s="18">
        <v>0</v>
      </c>
      <c r="AJ507" s="18"/>
      <c r="AK507" s="18">
        <v>0</v>
      </c>
      <c r="AL507" s="18"/>
      <c r="AM507" s="18">
        <v>0</v>
      </c>
      <c r="AN507" s="18"/>
      <c r="AO507" s="18">
        <v>0</v>
      </c>
      <c r="AP507" s="18"/>
      <c r="AQ507" s="18">
        <v>0</v>
      </c>
      <c r="AR507" s="18">
        <v>0</v>
      </c>
      <c r="AS507" s="18">
        <v>0</v>
      </c>
      <c r="AT507" s="18">
        <v>0</v>
      </c>
      <c r="AU507" s="18">
        <v>0</v>
      </c>
      <c r="AV507" s="18">
        <v>0</v>
      </c>
      <c r="AW507" s="18">
        <v>0</v>
      </c>
      <c r="AX507" s="18">
        <v>0</v>
      </c>
      <c r="AY507" s="18">
        <v>19</v>
      </c>
      <c r="AZ507" s="18">
        <v>9</v>
      </c>
      <c r="BA507" s="18">
        <v>7</v>
      </c>
      <c r="BB507" s="18">
        <v>0.77778</v>
      </c>
      <c r="BC507" s="18">
        <v>0</v>
      </c>
      <c r="BD507" s="18">
        <v>0</v>
      </c>
      <c r="BE507" s="18">
        <v>0.07755</v>
      </c>
      <c r="BF507" s="18">
        <v>6</v>
      </c>
      <c r="BG507" s="18">
        <v>2</v>
      </c>
      <c r="BH507" s="18">
        <v>0</v>
      </c>
      <c r="BI507" s="18"/>
      <c r="BJ507" s="18">
        <v>0</v>
      </c>
      <c r="BK507" s="18">
        <v>0</v>
      </c>
      <c r="BL507" s="18">
        <v>0</v>
      </c>
      <c r="BM507" s="18">
        <v>0</v>
      </c>
      <c r="BN507" s="18"/>
      <c r="BO507" s="18"/>
      <c r="BP507" s="18">
        <v>0</v>
      </c>
      <c r="BQ507" s="18">
        <v>3</v>
      </c>
      <c r="BR507" s="18">
        <v>0</v>
      </c>
      <c r="BS507" s="18">
        <v>0</v>
      </c>
      <c r="BT507" s="18">
        <v>0</v>
      </c>
      <c r="BU507" s="18">
        <v>0</v>
      </c>
      <c r="BV507" s="18">
        <v>0</v>
      </c>
      <c r="BW507" s="18">
        <v>0</v>
      </c>
      <c r="BX507" s="18">
        <v>0</v>
      </c>
    </row>
    <row r="508" spans="1:76">
      <c r="A508" s="14" t="str">
        <f>VLOOKUP(C508,VLOOKUP!A:B,2,FALSE)</f>
        <v>早晚安香</v>
      </c>
      <c r="B508" s="19">
        <v>46173</v>
      </c>
      <c r="C508" s="20">
        <v>1010789122929</v>
      </c>
      <c r="D508" s="18" t="s">
        <v>151</v>
      </c>
      <c r="E508" s="18" t="s">
        <v>164</v>
      </c>
      <c r="F508" s="18">
        <v>1345</v>
      </c>
      <c r="G508" s="18">
        <v>56</v>
      </c>
      <c r="H508" s="18">
        <v>35.36</v>
      </c>
      <c r="I508" s="18">
        <v>0.04164</v>
      </c>
      <c r="J508" s="18">
        <v>0.63</v>
      </c>
      <c r="K508" s="18">
        <v>26.29</v>
      </c>
      <c r="L508" s="18">
        <v>0</v>
      </c>
      <c r="M508" s="18">
        <v>0</v>
      </c>
      <c r="N508" s="18">
        <v>0</v>
      </c>
      <c r="O508" s="18">
        <v>0</v>
      </c>
      <c r="P508" s="18">
        <v>0</v>
      </c>
      <c r="Q508" s="18">
        <v>0</v>
      </c>
      <c r="R508" s="18">
        <v>0</v>
      </c>
      <c r="S508" s="18">
        <v>0</v>
      </c>
      <c r="T508" s="18">
        <v>0</v>
      </c>
      <c r="U508" s="18">
        <v>0</v>
      </c>
      <c r="V508" s="18">
        <v>0</v>
      </c>
      <c r="W508" s="18">
        <v>0</v>
      </c>
      <c r="X508" s="18">
        <v>0</v>
      </c>
      <c r="Y508" s="18">
        <v>0</v>
      </c>
      <c r="Z508" s="18">
        <v>0</v>
      </c>
      <c r="AA508" s="18"/>
      <c r="AB508" s="18">
        <v>0</v>
      </c>
      <c r="AC508" s="18">
        <v>0</v>
      </c>
      <c r="AD508" s="18">
        <v>0</v>
      </c>
      <c r="AE508" s="18">
        <v>0</v>
      </c>
      <c r="AF508" s="18">
        <v>1</v>
      </c>
      <c r="AG508" s="18">
        <v>0</v>
      </c>
      <c r="AH508" s="18"/>
      <c r="AI508" s="18">
        <v>1</v>
      </c>
      <c r="AJ508" s="18">
        <v>35.36</v>
      </c>
      <c r="AK508" s="18">
        <v>1</v>
      </c>
      <c r="AL508" s="18">
        <v>35.36</v>
      </c>
      <c r="AM508" s="18">
        <v>1</v>
      </c>
      <c r="AN508" s="18">
        <v>35.36</v>
      </c>
      <c r="AO508" s="18">
        <v>0.01786</v>
      </c>
      <c r="AP508" s="18"/>
      <c r="AQ508" s="18">
        <v>0</v>
      </c>
      <c r="AR508" s="18">
        <v>0</v>
      </c>
      <c r="AS508" s="18">
        <v>1</v>
      </c>
      <c r="AT508" s="18">
        <v>0</v>
      </c>
      <c r="AU508" s="18">
        <v>0</v>
      </c>
      <c r="AV508" s="18">
        <v>0</v>
      </c>
      <c r="AW508" s="18">
        <v>0</v>
      </c>
      <c r="AX508" s="18">
        <v>0</v>
      </c>
      <c r="AY508" s="18">
        <v>85</v>
      </c>
      <c r="AZ508" s="18">
        <v>47</v>
      </c>
      <c r="BA508" s="18">
        <v>23</v>
      </c>
      <c r="BB508" s="18">
        <v>0.48936</v>
      </c>
      <c r="BC508" s="18">
        <v>0</v>
      </c>
      <c r="BD508" s="18">
        <v>0</v>
      </c>
      <c r="BE508" s="18">
        <v>0.0632</v>
      </c>
      <c r="BF508" s="18">
        <v>24</v>
      </c>
      <c r="BG508" s="18">
        <v>2</v>
      </c>
      <c r="BH508" s="18">
        <v>0</v>
      </c>
      <c r="BI508" s="18"/>
      <c r="BJ508" s="18">
        <v>0</v>
      </c>
      <c r="BK508" s="18">
        <v>0</v>
      </c>
      <c r="BL508" s="18">
        <v>0</v>
      </c>
      <c r="BM508" s="18">
        <v>0</v>
      </c>
      <c r="BN508" s="18"/>
      <c r="BO508" s="18"/>
      <c r="BP508" s="18">
        <v>0</v>
      </c>
      <c r="BQ508" s="18">
        <v>101</v>
      </c>
      <c r="BR508" s="18">
        <v>0</v>
      </c>
      <c r="BS508" s="18">
        <v>0</v>
      </c>
      <c r="BT508" s="18">
        <v>0</v>
      </c>
      <c r="BU508" s="18">
        <v>0</v>
      </c>
      <c r="BV508" s="18">
        <v>0</v>
      </c>
      <c r="BW508" s="18">
        <v>0</v>
      </c>
      <c r="BX508" s="18">
        <v>0</v>
      </c>
    </row>
    <row r="509" spans="1:76">
      <c r="A509" s="14" t="str">
        <f>VLOOKUP(C509,VLOOKUP!A:B,2,FALSE)</f>
        <v>荔枝香</v>
      </c>
      <c r="B509" s="19">
        <v>46173</v>
      </c>
      <c r="C509" s="20">
        <v>960406497157</v>
      </c>
      <c r="D509" s="18" t="s">
        <v>151</v>
      </c>
      <c r="E509" s="18" t="s">
        <v>170</v>
      </c>
      <c r="F509" s="18">
        <v>5158</v>
      </c>
      <c r="G509" s="18">
        <v>387</v>
      </c>
      <c r="H509" s="18">
        <v>151.87</v>
      </c>
      <c r="I509" s="18">
        <v>0.07503</v>
      </c>
      <c r="J509" s="18">
        <v>0.39</v>
      </c>
      <c r="K509" s="18">
        <v>29.44</v>
      </c>
      <c r="L509" s="18">
        <v>0</v>
      </c>
      <c r="M509" s="18">
        <v>0</v>
      </c>
      <c r="N509" s="18">
        <v>0</v>
      </c>
      <c r="O509" s="18">
        <v>0</v>
      </c>
      <c r="P509" s="18">
        <v>0</v>
      </c>
      <c r="Q509" s="18">
        <v>0</v>
      </c>
      <c r="R509" s="18">
        <v>0</v>
      </c>
      <c r="S509" s="18">
        <v>0</v>
      </c>
      <c r="T509" s="18">
        <v>0</v>
      </c>
      <c r="U509" s="18">
        <v>0</v>
      </c>
      <c r="V509" s="18">
        <v>0</v>
      </c>
      <c r="W509" s="18">
        <v>0</v>
      </c>
      <c r="X509" s="18">
        <v>0</v>
      </c>
      <c r="Y509" s="18">
        <v>0</v>
      </c>
      <c r="Z509" s="18">
        <v>0</v>
      </c>
      <c r="AA509" s="18"/>
      <c r="AB509" s="18">
        <v>3</v>
      </c>
      <c r="AC509" s="18">
        <v>3</v>
      </c>
      <c r="AD509" s="18">
        <v>0</v>
      </c>
      <c r="AE509" s="18">
        <v>0.00775</v>
      </c>
      <c r="AF509" s="18">
        <v>3</v>
      </c>
      <c r="AG509" s="18">
        <v>1</v>
      </c>
      <c r="AH509" s="18">
        <v>151.87</v>
      </c>
      <c r="AI509" s="18">
        <v>7</v>
      </c>
      <c r="AJ509" s="18">
        <v>21.7</v>
      </c>
      <c r="AK509" s="18">
        <v>6</v>
      </c>
      <c r="AL509" s="18">
        <v>25.31</v>
      </c>
      <c r="AM509" s="18">
        <v>4</v>
      </c>
      <c r="AN509" s="18">
        <v>50.62</v>
      </c>
      <c r="AO509" s="18">
        <v>0.00775</v>
      </c>
      <c r="AP509" s="18">
        <v>50.62</v>
      </c>
      <c r="AQ509" s="18">
        <v>2</v>
      </c>
      <c r="AR509" s="18">
        <v>217.9</v>
      </c>
      <c r="AS509" s="18">
        <v>3</v>
      </c>
      <c r="AT509" s="18">
        <v>0</v>
      </c>
      <c r="AU509" s="18">
        <v>0</v>
      </c>
      <c r="AV509" s="18">
        <v>0</v>
      </c>
      <c r="AW509" s="18">
        <v>0</v>
      </c>
      <c r="AX509" s="18">
        <v>0</v>
      </c>
      <c r="AY509" s="18">
        <v>576</v>
      </c>
      <c r="AZ509" s="18">
        <v>294</v>
      </c>
      <c r="BA509" s="18">
        <v>244</v>
      </c>
      <c r="BB509" s="18">
        <v>0.82993</v>
      </c>
      <c r="BC509" s="18">
        <v>0</v>
      </c>
      <c r="BD509" s="18">
        <v>0</v>
      </c>
      <c r="BE509" s="18">
        <v>0.11167</v>
      </c>
      <c r="BF509" s="18">
        <v>97</v>
      </c>
      <c r="BG509" s="18">
        <v>2</v>
      </c>
      <c r="BH509" s="18">
        <v>0</v>
      </c>
      <c r="BI509" s="18"/>
      <c r="BJ509" s="18">
        <v>0</v>
      </c>
      <c r="BK509" s="18">
        <v>0</v>
      </c>
      <c r="BL509" s="18">
        <v>0</v>
      </c>
      <c r="BM509" s="18">
        <v>0</v>
      </c>
      <c r="BN509" s="18"/>
      <c r="BO509" s="18"/>
      <c r="BP509" s="18">
        <v>0.01</v>
      </c>
      <c r="BQ509" s="18">
        <v>238</v>
      </c>
      <c r="BR509" s="18">
        <v>0</v>
      </c>
      <c r="BS509" s="18">
        <v>0</v>
      </c>
      <c r="BT509" s="18">
        <v>0</v>
      </c>
      <c r="BU509" s="18">
        <v>0</v>
      </c>
      <c r="BV509" s="18">
        <v>0</v>
      </c>
      <c r="BW509" s="18">
        <v>0</v>
      </c>
      <c r="BX509" s="18">
        <v>0</v>
      </c>
    </row>
    <row r="510" spans="1:76">
      <c r="A510" s="14" t="str">
        <f>VLOOKUP(C510,VLOOKUP!A:B,2,FALSE)</f>
        <v>如意盘香</v>
      </c>
      <c r="B510" s="19">
        <v>46173</v>
      </c>
      <c r="C510" s="20">
        <v>838711327669</v>
      </c>
      <c r="D510" s="18" t="s">
        <v>151</v>
      </c>
      <c r="E510" s="18" t="s">
        <v>166</v>
      </c>
      <c r="F510" s="18">
        <v>529</v>
      </c>
      <c r="G510" s="18">
        <v>31</v>
      </c>
      <c r="H510" s="18">
        <v>35.46</v>
      </c>
      <c r="I510" s="18">
        <v>0.0586</v>
      </c>
      <c r="J510" s="18">
        <v>1.14</v>
      </c>
      <c r="K510" s="18">
        <v>67.03</v>
      </c>
      <c r="L510" s="18">
        <v>0</v>
      </c>
      <c r="M510" s="18">
        <v>0</v>
      </c>
      <c r="N510" s="18">
        <v>0</v>
      </c>
      <c r="O510" s="18">
        <v>0</v>
      </c>
      <c r="P510" s="18">
        <v>0</v>
      </c>
      <c r="Q510" s="18">
        <v>0</v>
      </c>
      <c r="R510" s="18">
        <v>0</v>
      </c>
      <c r="S510" s="18">
        <v>42.4</v>
      </c>
      <c r="T510" s="18">
        <v>42.4</v>
      </c>
      <c r="U510" s="18">
        <v>1</v>
      </c>
      <c r="V510" s="18">
        <v>0</v>
      </c>
      <c r="W510" s="18">
        <v>1</v>
      </c>
      <c r="X510" s="18">
        <v>0.03226</v>
      </c>
      <c r="Y510" s="18">
        <v>1.2</v>
      </c>
      <c r="Z510" s="18">
        <v>1.2</v>
      </c>
      <c r="AA510" s="18">
        <v>35.46</v>
      </c>
      <c r="AB510" s="18">
        <v>10</v>
      </c>
      <c r="AC510" s="18">
        <v>0</v>
      </c>
      <c r="AD510" s="18">
        <v>10</v>
      </c>
      <c r="AE510" s="18">
        <v>0.32258</v>
      </c>
      <c r="AF510" s="18">
        <v>0</v>
      </c>
      <c r="AG510" s="18">
        <v>0</v>
      </c>
      <c r="AH510" s="18"/>
      <c r="AI510" s="18">
        <v>10</v>
      </c>
      <c r="AJ510" s="18">
        <v>3.55</v>
      </c>
      <c r="AK510" s="18">
        <v>10</v>
      </c>
      <c r="AL510" s="18">
        <v>3.55</v>
      </c>
      <c r="AM510" s="18">
        <v>0</v>
      </c>
      <c r="AN510" s="18"/>
      <c r="AO510" s="18">
        <v>0</v>
      </c>
      <c r="AP510" s="18">
        <v>3.55</v>
      </c>
      <c r="AQ510" s="18">
        <v>1</v>
      </c>
      <c r="AR510" s="18">
        <v>49.9</v>
      </c>
      <c r="AS510" s="18">
        <v>0</v>
      </c>
      <c r="AT510" s="18">
        <v>0</v>
      </c>
      <c r="AU510" s="18">
        <v>0</v>
      </c>
      <c r="AV510" s="18">
        <v>0</v>
      </c>
      <c r="AW510" s="18">
        <v>0</v>
      </c>
      <c r="AX510" s="18">
        <v>2</v>
      </c>
      <c r="AY510" s="18">
        <v>111</v>
      </c>
      <c r="AZ510" s="18">
        <v>28</v>
      </c>
      <c r="BA510" s="18">
        <v>21</v>
      </c>
      <c r="BB510" s="18">
        <v>0.75</v>
      </c>
      <c r="BC510" s="18">
        <v>0</v>
      </c>
      <c r="BD510" s="18">
        <v>0</v>
      </c>
      <c r="BE510" s="18">
        <v>0.20983</v>
      </c>
      <c r="BF510" s="18">
        <v>78</v>
      </c>
      <c r="BG510" s="18">
        <v>4</v>
      </c>
      <c r="BH510" s="18">
        <v>1</v>
      </c>
      <c r="BI510" s="18">
        <v>1</v>
      </c>
      <c r="BJ510" s="18">
        <v>0</v>
      </c>
      <c r="BK510" s="18">
        <v>0</v>
      </c>
      <c r="BL510" s="18">
        <v>0</v>
      </c>
      <c r="BM510" s="18">
        <v>1</v>
      </c>
      <c r="BN510" s="18">
        <v>1</v>
      </c>
      <c r="BO510" s="18">
        <v>42.4</v>
      </c>
      <c r="BP510" s="18">
        <v>0.01</v>
      </c>
      <c r="BQ510" s="18">
        <v>379</v>
      </c>
      <c r="BR510" s="18">
        <v>0</v>
      </c>
      <c r="BS510" s="18">
        <v>0</v>
      </c>
      <c r="BT510" s="18">
        <v>0</v>
      </c>
      <c r="BU510" s="18">
        <v>0</v>
      </c>
      <c r="BV510" s="18">
        <v>0</v>
      </c>
      <c r="BW510" s="18">
        <v>0</v>
      </c>
      <c r="BX510" s="18">
        <v>0</v>
      </c>
    </row>
    <row r="511" spans="1:76">
      <c r="A511" s="14" t="str">
        <f>VLOOKUP(C511,VLOOKUP!A:B,2,FALSE)</f>
        <v>太樾归真</v>
      </c>
      <c r="B511" s="19">
        <v>46172</v>
      </c>
      <c r="C511" s="20">
        <v>1051919021880</v>
      </c>
      <c r="D511" s="18" t="s">
        <v>151</v>
      </c>
      <c r="E511" s="18" t="s">
        <v>169</v>
      </c>
      <c r="F511" s="18">
        <v>141</v>
      </c>
      <c r="G511" s="18">
        <v>9</v>
      </c>
      <c r="H511" s="18">
        <v>5.87</v>
      </c>
      <c r="I511" s="18">
        <v>0.06383</v>
      </c>
      <c r="J511" s="18">
        <v>0.65</v>
      </c>
      <c r="K511" s="18">
        <v>41.63</v>
      </c>
      <c r="L511" s="18">
        <v>0</v>
      </c>
      <c r="M511" s="18">
        <v>0</v>
      </c>
      <c r="N511" s="18">
        <v>0</v>
      </c>
      <c r="O511" s="18">
        <v>0</v>
      </c>
      <c r="P511" s="18">
        <v>0</v>
      </c>
      <c r="Q511" s="18">
        <v>0</v>
      </c>
      <c r="R511" s="18">
        <v>0</v>
      </c>
      <c r="S511" s="18">
        <v>0</v>
      </c>
      <c r="T511" s="18">
        <v>0</v>
      </c>
      <c r="U511" s="18">
        <v>0</v>
      </c>
      <c r="V511" s="18">
        <v>0</v>
      </c>
      <c r="W511" s="18">
        <v>0</v>
      </c>
      <c r="X511" s="18">
        <v>0</v>
      </c>
      <c r="Y511" s="18">
        <v>0</v>
      </c>
      <c r="Z511" s="18">
        <v>0</v>
      </c>
      <c r="AA511" s="18"/>
      <c r="AB511" s="18">
        <v>0</v>
      </c>
      <c r="AC511" s="18">
        <v>0</v>
      </c>
      <c r="AD511" s="18">
        <v>0</v>
      </c>
      <c r="AE511" s="18">
        <v>0</v>
      </c>
      <c r="AF511" s="18">
        <v>0</v>
      </c>
      <c r="AG511" s="18">
        <v>0</v>
      </c>
      <c r="AH511" s="18"/>
      <c r="AI511" s="18">
        <v>0</v>
      </c>
      <c r="AJ511" s="18"/>
      <c r="AK511" s="18">
        <v>0</v>
      </c>
      <c r="AL511" s="18"/>
      <c r="AM511" s="18">
        <v>0</v>
      </c>
      <c r="AN511" s="18"/>
      <c r="AO511" s="18">
        <v>0</v>
      </c>
      <c r="AP511" s="18"/>
      <c r="AQ511" s="18">
        <v>0</v>
      </c>
      <c r="AR511" s="18">
        <v>0</v>
      </c>
      <c r="AS511" s="18">
        <v>0</v>
      </c>
      <c r="AT511" s="18">
        <v>0</v>
      </c>
      <c r="AU511" s="18">
        <v>0</v>
      </c>
      <c r="AV511" s="18">
        <v>0</v>
      </c>
      <c r="AW511" s="18">
        <v>0</v>
      </c>
      <c r="AX511" s="18">
        <v>0</v>
      </c>
      <c r="AY511" s="18">
        <v>10</v>
      </c>
      <c r="AZ511" s="18">
        <v>6</v>
      </c>
      <c r="BA511" s="18">
        <v>6</v>
      </c>
      <c r="BB511" s="18">
        <v>1</v>
      </c>
      <c r="BC511" s="18">
        <v>0</v>
      </c>
      <c r="BD511" s="18">
        <v>0</v>
      </c>
      <c r="BE511" s="18">
        <v>0.07092</v>
      </c>
      <c r="BF511" s="18">
        <v>0</v>
      </c>
      <c r="BG511" s="18">
        <v>2</v>
      </c>
      <c r="BH511" s="18">
        <v>0</v>
      </c>
      <c r="BI511" s="18"/>
      <c r="BJ511" s="18">
        <v>0</v>
      </c>
      <c r="BK511" s="18">
        <v>0</v>
      </c>
      <c r="BL511" s="18">
        <v>0</v>
      </c>
      <c r="BM511" s="18">
        <v>0</v>
      </c>
      <c r="BN511" s="18"/>
      <c r="BO511" s="18"/>
      <c r="BP511" s="18">
        <v>0</v>
      </c>
      <c r="BQ511" s="18">
        <v>0</v>
      </c>
      <c r="BR511" s="18">
        <v>0</v>
      </c>
      <c r="BS511" s="18">
        <v>0</v>
      </c>
      <c r="BT511" s="18">
        <v>0</v>
      </c>
      <c r="BU511" s="18">
        <v>0</v>
      </c>
      <c r="BV511" s="18">
        <v>0</v>
      </c>
      <c r="BW511" s="18">
        <v>0</v>
      </c>
      <c r="BX511" s="18">
        <v>0</v>
      </c>
    </row>
    <row r="512" spans="1:76">
      <c r="A512" s="14" t="str">
        <f>VLOOKUP(C512,VLOOKUP!A:B,2,FALSE)</f>
        <v>早晚安香</v>
      </c>
      <c r="B512" s="19">
        <v>46172</v>
      </c>
      <c r="C512" s="20">
        <v>1010789122929</v>
      </c>
      <c r="D512" s="18" t="s">
        <v>151</v>
      </c>
      <c r="E512" s="18" t="s">
        <v>164</v>
      </c>
      <c r="F512" s="18">
        <v>1303</v>
      </c>
      <c r="G512" s="18">
        <v>58</v>
      </c>
      <c r="H512" s="18">
        <v>47.74</v>
      </c>
      <c r="I512" s="18">
        <v>0.04451</v>
      </c>
      <c r="J512" s="18">
        <v>0.82</v>
      </c>
      <c r="K512" s="18">
        <v>36.64</v>
      </c>
      <c r="L512" s="18">
        <v>0</v>
      </c>
      <c r="M512" s="18">
        <v>0</v>
      </c>
      <c r="N512" s="18">
        <v>0</v>
      </c>
      <c r="O512" s="18">
        <v>0</v>
      </c>
      <c r="P512" s="18">
        <v>0</v>
      </c>
      <c r="Q512" s="18">
        <v>0</v>
      </c>
      <c r="R512" s="18">
        <v>0</v>
      </c>
      <c r="S512" s="18">
        <v>0</v>
      </c>
      <c r="T512" s="18">
        <v>0</v>
      </c>
      <c r="U512" s="18">
        <v>0</v>
      </c>
      <c r="V512" s="18">
        <v>0</v>
      </c>
      <c r="W512" s="18">
        <v>0</v>
      </c>
      <c r="X512" s="18">
        <v>0</v>
      </c>
      <c r="Y512" s="18">
        <v>0</v>
      </c>
      <c r="Z512" s="18">
        <v>0</v>
      </c>
      <c r="AA512" s="18"/>
      <c r="AB512" s="18">
        <v>0</v>
      </c>
      <c r="AC512" s="18">
        <v>0</v>
      </c>
      <c r="AD512" s="18">
        <v>0</v>
      </c>
      <c r="AE512" s="18">
        <v>0</v>
      </c>
      <c r="AF512" s="18">
        <v>2</v>
      </c>
      <c r="AG512" s="18">
        <v>0</v>
      </c>
      <c r="AH512" s="18"/>
      <c r="AI512" s="18">
        <v>2</v>
      </c>
      <c r="AJ512" s="18">
        <v>23.87</v>
      </c>
      <c r="AK512" s="18">
        <v>2</v>
      </c>
      <c r="AL512" s="18">
        <v>23.87</v>
      </c>
      <c r="AM512" s="18">
        <v>2</v>
      </c>
      <c r="AN512" s="18">
        <v>23.87</v>
      </c>
      <c r="AO512" s="18">
        <v>0.03448</v>
      </c>
      <c r="AP512" s="18"/>
      <c r="AQ512" s="18">
        <v>0</v>
      </c>
      <c r="AR512" s="18">
        <v>0</v>
      </c>
      <c r="AS512" s="18">
        <v>1</v>
      </c>
      <c r="AT512" s="18">
        <v>1</v>
      </c>
      <c r="AU512" s="18">
        <v>0</v>
      </c>
      <c r="AV512" s="18">
        <v>0</v>
      </c>
      <c r="AW512" s="18">
        <v>0</v>
      </c>
      <c r="AX512" s="18">
        <v>0</v>
      </c>
      <c r="AY512" s="18">
        <v>134</v>
      </c>
      <c r="AZ512" s="18">
        <v>55</v>
      </c>
      <c r="BA512" s="18">
        <v>27</v>
      </c>
      <c r="BB512" s="18">
        <v>0.49091</v>
      </c>
      <c r="BC512" s="18">
        <v>0</v>
      </c>
      <c r="BD512" s="18">
        <v>0</v>
      </c>
      <c r="BE512" s="18">
        <v>0.10284</v>
      </c>
      <c r="BF512" s="18">
        <v>61</v>
      </c>
      <c r="BG512" s="18">
        <v>2</v>
      </c>
      <c r="BH512" s="18">
        <v>0</v>
      </c>
      <c r="BI512" s="18"/>
      <c r="BJ512" s="18">
        <v>0</v>
      </c>
      <c r="BK512" s="18">
        <v>0</v>
      </c>
      <c r="BL512" s="18">
        <v>0</v>
      </c>
      <c r="BM512" s="18">
        <v>0</v>
      </c>
      <c r="BN512" s="18"/>
      <c r="BO512" s="18"/>
      <c r="BP512" s="18">
        <v>0</v>
      </c>
      <c r="BQ512" s="18">
        <v>187</v>
      </c>
      <c r="BR512" s="18">
        <v>0</v>
      </c>
      <c r="BS512" s="18">
        <v>0</v>
      </c>
      <c r="BT512" s="18">
        <v>0</v>
      </c>
      <c r="BU512" s="18">
        <v>0</v>
      </c>
      <c r="BV512" s="18">
        <v>0</v>
      </c>
      <c r="BW512" s="18">
        <v>0</v>
      </c>
      <c r="BX512" s="18">
        <v>0</v>
      </c>
    </row>
    <row r="513" spans="1:76">
      <c r="A513" s="14" t="str">
        <f>VLOOKUP(C513,VLOOKUP!A:B,2,FALSE)</f>
        <v>荔枝香</v>
      </c>
      <c r="B513" s="19">
        <v>46172</v>
      </c>
      <c r="C513" s="20">
        <v>960406497157</v>
      </c>
      <c r="D513" s="18" t="s">
        <v>151</v>
      </c>
      <c r="E513" s="18" t="s">
        <v>170</v>
      </c>
      <c r="F513" s="18">
        <v>3869</v>
      </c>
      <c r="G513" s="18">
        <v>176</v>
      </c>
      <c r="H513" s="18">
        <v>102.34</v>
      </c>
      <c r="I513" s="18">
        <v>0.04549</v>
      </c>
      <c r="J513" s="18">
        <v>0.58</v>
      </c>
      <c r="K513" s="18">
        <v>26.45</v>
      </c>
      <c r="L513" s="18">
        <v>0</v>
      </c>
      <c r="M513" s="18">
        <v>0</v>
      </c>
      <c r="N513" s="18">
        <v>0</v>
      </c>
      <c r="O513" s="18">
        <v>0</v>
      </c>
      <c r="P513" s="18">
        <v>0</v>
      </c>
      <c r="Q513" s="18">
        <v>0</v>
      </c>
      <c r="R513" s="18">
        <v>0</v>
      </c>
      <c r="S513" s="18">
        <v>0</v>
      </c>
      <c r="T513" s="18">
        <v>0</v>
      </c>
      <c r="U513" s="18">
        <v>0</v>
      </c>
      <c r="V513" s="18">
        <v>0</v>
      </c>
      <c r="W513" s="18">
        <v>0</v>
      </c>
      <c r="X513" s="18">
        <v>0</v>
      </c>
      <c r="Y513" s="18">
        <v>0</v>
      </c>
      <c r="Z513" s="18">
        <v>0</v>
      </c>
      <c r="AA513" s="18"/>
      <c r="AB513" s="18">
        <v>1</v>
      </c>
      <c r="AC513" s="18">
        <v>1</v>
      </c>
      <c r="AD513" s="18">
        <v>0</v>
      </c>
      <c r="AE513" s="18">
        <v>0.00568</v>
      </c>
      <c r="AF513" s="18">
        <v>1</v>
      </c>
      <c r="AG513" s="18">
        <v>0</v>
      </c>
      <c r="AH513" s="18"/>
      <c r="AI513" s="18">
        <v>2</v>
      </c>
      <c r="AJ513" s="18">
        <v>51.17</v>
      </c>
      <c r="AK513" s="18">
        <v>2</v>
      </c>
      <c r="AL513" s="18">
        <v>51.17</v>
      </c>
      <c r="AM513" s="18">
        <v>1</v>
      </c>
      <c r="AN513" s="18">
        <v>102.34</v>
      </c>
      <c r="AO513" s="18">
        <v>0.00568</v>
      </c>
      <c r="AP513" s="18">
        <v>102.34</v>
      </c>
      <c r="AQ513" s="18">
        <v>0</v>
      </c>
      <c r="AR513" s="18">
        <v>0</v>
      </c>
      <c r="AS513" s="18">
        <v>1</v>
      </c>
      <c r="AT513" s="18">
        <v>0</v>
      </c>
      <c r="AU513" s="18">
        <v>0</v>
      </c>
      <c r="AV513" s="18">
        <v>0</v>
      </c>
      <c r="AW513" s="18">
        <v>0</v>
      </c>
      <c r="AX513" s="18">
        <v>0</v>
      </c>
      <c r="AY513" s="18">
        <v>288</v>
      </c>
      <c r="AZ513" s="18">
        <v>130</v>
      </c>
      <c r="BA513" s="18">
        <v>107</v>
      </c>
      <c r="BB513" s="18">
        <v>0.82308</v>
      </c>
      <c r="BC513" s="18">
        <v>0</v>
      </c>
      <c r="BD513" s="18">
        <v>0</v>
      </c>
      <c r="BE513" s="18">
        <v>0.07444</v>
      </c>
      <c r="BF513" s="18">
        <v>51</v>
      </c>
      <c r="BG513" s="18">
        <v>2</v>
      </c>
      <c r="BH513" s="18">
        <v>0</v>
      </c>
      <c r="BI513" s="18"/>
      <c r="BJ513" s="18">
        <v>0</v>
      </c>
      <c r="BK513" s="18">
        <v>0</v>
      </c>
      <c r="BL513" s="18">
        <v>0</v>
      </c>
      <c r="BM513" s="18">
        <v>0</v>
      </c>
      <c r="BN513" s="18"/>
      <c r="BO513" s="18"/>
      <c r="BP513" s="18">
        <v>0</v>
      </c>
      <c r="BQ513" s="18">
        <v>86</v>
      </c>
      <c r="BR513" s="18">
        <v>0</v>
      </c>
      <c r="BS513" s="18">
        <v>0</v>
      </c>
      <c r="BT513" s="18">
        <v>0</v>
      </c>
      <c r="BU513" s="18">
        <v>0</v>
      </c>
      <c r="BV513" s="18">
        <v>0</v>
      </c>
      <c r="BW513" s="18">
        <v>0</v>
      </c>
      <c r="BX513" s="18">
        <v>0</v>
      </c>
    </row>
    <row r="514" spans="1:76">
      <c r="A514" s="14" t="str">
        <f>VLOOKUP(C514,VLOOKUP!A:B,2,FALSE)</f>
        <v>如意盘香</v>
      </c>
      <c r="B514" s="19">
        <v>46172</v>
      </c>
      <c r="C514" s="20">
        <v>838711327669</v>
      </c>
      <c r="D514" s="18" t="s">
        <v>151</v>
      </c>
      <c r="E514" s="18" t="s">
        <v>166</v>
      </c>
      <c r="F514" s="18">
        <v>359</v>
      </c>
      <c r="G514" s="18">
        <v>29</v>
      </c>
      <c r="H514" s="18">
        <v>43.81</v>
      </c>
      <c r="I514" s="18">
        <v>0.08078</v>
      </c>
      <c r="J514" s="18">
        <v>1.51</v>
      </c>
      <c r="K514" s="18">
        <v>122.03</v>
      </c>
      <c r="L514" s="18">
        <v>0</v>
      </c>
      <c r="M514" s="18">
        <v>0</v>
      </c>
      <c r="N514" s="18">
        <v>0</v>
      </c>
      <c r="O514" s="18">
        <v>0</v>
      </c>
      <c r="P514" s="18">
        <v>0</v>
      </c>
      <c r="Q514" s="18">
        <v>0</v>
      </c>
      <c r="R514" s="18">
        <v>0</v>
      </c>
      <c r="S514" s="18">
        <v>38.96</v>
      </c>
      <c r="T514" s="18">
        <v>38.96</v>
      </c>
      <c r="U514" s="18">
        <v>1</v>
      </c>
      <c r="V514" s="18">
        <v>0</v>
      </c>
      <c r="W514" s="18">
        <v>1</v>
      </c>
      <c r="X514" s="18">
        <v>0.03448</v>
      </c>
      <c r="Y514" s="18">
        <v>0.89</v>
      </c>
      <c r="Z514" s="18">
        <v>0.89</v>
      </c>
      <c r="AA514" s="18">
        <v>43.81</v>
      </c>
      <c r="AB514" s="18">
        <v>7</v>
      </c>
      <c r="AC514" s="18">
        <v>0</v>
      </c>
      <c r="AD514" s="18">
        <v>7</v>
      </c>
      <c r="AE514" s="18">
        <v>0.24138</v>
      </c>
      <c r="AF514" s="18">
        <v>0</v>
      </c>
      <c r="AG514" s="18">
        <v>0</v>
      </c>
      <c r="AH514" s="18"/>
      <c r="AI514" s="18">
        <v>7</v>
      </c>
      <c r="AJ514" s="18">
        <v>6.26</v>
      </c>
      <c r="AK514" s="18">
        <v>7</v>
      </c>
      <c r="AL514" s="18">
        <v>6.26</v>
      </c>
      <c r="AM514" s="18">
        <v>0</v>
      </c>
      <c r="AN514" s="18"/>
      <c r="AO514" s="18">
        <v>0</v>
      </c>
      <c r="AP514" s="18">
        <v>6.26</v>
      </c>
      <c r="AQ514" s="18">
        <v>1</v>
      </c>
      <c r="AR514" s="18">
        <v>79</v>
      </c>
      <c r="AS514" s="18">
        <v>0</v>
      </c>
      <c r="AT514" s="18">
        <v>0</v>
      </c>
      <c r="AU514" s="18">
        <v>0</v>
      </c>
      <c r="AV514" s="18">
        <v>0</v>
      </c>
      <c r="AW514" s="18">
        <v>0</v>
      </c>
      <c r="AX514" s="18">
        <v>1</v>
      </c>
      <c r="AY514" s="18">
        <v>66</v>
      </c>
      <c r="AZ514" s="18">
        <v>23</v>
      </c>
      <c r="BA514" s="18">
        <v>12</v>
      </c>
      <c r="BB514" s="18">
        <v>0.52174</v>
      </c>
      <c r="BC514" s="18">
        <v>0</v>
      </c>
      <c r="BD514" s="18">
        <v>0</v>
      </c>
      <c r="BE514" s="18">
        <v>0.18384</v>
      </c>
      <c r="BF514" s="18">
        <v>38</v>
      </c>
      <c r="BG514" s="18">
        <v>3</v>
      </c>
      <c r="BH514" s="18">
        <v>1</v>
      </c>
      <c r="BI514" s="18">
        <v>1</v>
      </c>
      <c r="BJ514" s="18">
        <v>0</v>
      </c>
      <c r="BK514" s="18">
        <v>0</v>
      </c>
      <c r="BL514" s="18">
        <v>0</v>
      </c>
      <c r="BM514" s="18">
        <v>1</v>
      </c>
      <c r="BN514" s="18">
        <v>1</v>
      </c>
      <c r="BO514" s="18">
        <v>38.96</v>
      </c>
      <c r="BP514" s="18">
        <v>0.32</v>
      </c>
      <c r="BQ514" s="18">
        <v>239</v>
      </c>
      <c r="BR514" s="18">
        <v>0</v>
      </c>
      <c r="BS514" s="18">
        <v>0</v>
      </c>
      <c r="BT514" s="18">
        <v>0</v>
      </c>
      <c r="BU514" s="18">
        <v>0</v>
      </c>
      <c r="BV514" s="18">
        <v>0</v>
      </c>
      <c r="BW514" s="18">
        <v>0</v>
      </c>
      <c r="BX514" s="18">
        <v>0</v>
      </c>
    </row>
    <row r="515" spans="1:76">
      <c r="A515" s="14" t="str">
        <f>VLOOKUP(C515,VLOOKUP!A:B,2,FALSE)</f>
        <v>太樾归真</v>
      </c>
      <c r="B515" s="19">
        <v>46171</v>
      </c>
      <c r="C515" s="20">
        <v>1051919021880</v>
      </c>
      <c r="D515" s="18" t="s">
        <v>151</v>
      </c>
      <c r="E515" s="18" t="s">
        <v>169</v>
      </c>
      <c r="F515" s="18">
        <v>159</v>
      </c>
      <c r="G515" s="18">
        <v>5</v>
      </c>
      <c r="H515" s="18">
        <v>3.07</v>
      </c>
      <c r="I515" s="18">
        <v>0.03145</v>
      </c>
      <c r="J515" s="18">
        <v>0.61</v>
      </c>
      <c r="K515" s="18">
        <v>19.31</v>
      </c>
      <c r="L515" s="18">
        <v>0</v>
      </c>
      <c r="M515" s="18">
        <v>0</v>
      </c>
      <c r="N515" s="18">
        <v>0</v>
      </c>
      <c r="O515" s="18">
        <v>0</v>
      </c>
      <c r="P515" s="18">
        <v>0</v>
      </c>
      <c r="Q515" s="18">
        <v>0</v>
      </c>
      <c r="R515" s="18">
        <v>0</v>
      </c>
      <c r="S515" s="18">
        <v>0</v>
      </c>
      <c r="T515" s="18">
        <v>0</v>
      </c>
      <c r="U515" s="18">
        <v>0</v>
      </c>
      <c r="V515" s="18">
        <v>0</v>
      </c>
      <c r="W515" s="18">
        <v>0</v>
      </c>
      <c r="X515" s="18">
        <v>0</v>
      </c>
      <c r="Y515" s="18">
        <v>0</v>
      </c>
      <c r="Z515" s="18">
        <v>0</v>
      </c>
      <c r="AA515" s="18"/>
      <c r="AB515" s="18">
        <v>1</v>
      </c>
      <c r="AC515" s="18">
        <v>1</v>
      </c>
      <c r="AD515" s="18">
        <v>0</v>
      </c>
      <c r="AE515" s="18">
        <v>0.2</v>
      </c>
      <c r="AF515" s="18">
        <v>0</v>
      </c>
      <c r="AG515" s="18">
        <v>0</v>
      </c>
      <c r="AH515" s="18"/>
      <c r="AI515" s="18">
        <v>1</v>
      </c>
      <c r="AJ515" s="18">
        <v>3.07</v>
      </c>
      <c r="AK515" s="18">
        <v>1</v>
      </c>
      <c r="AL515" s="18">
        <v>3.07</v>
      </c>
      <c r="AM515" s="18">
        <v>0</v>
      </c>
      <c r="AN515" s="18"/>
      <c r="AO515" s="18">
        <v>0</v>
      </c>
      <c r="AP515" s="18">
        <v>3.07</v>
      </c>
      <c r="AQ515" s="18">
        <v>0</v>
      </c>
      <c r="AR515" s="18">
        <v>0</v>
      </c>
      <c r="AS515" s="18">
        <v>0</v>
      </c>
      <c r="AT515" s="18">
        <v>0</v>
      </c>
      <c r="AU515" s="18">
        <v>0</v>
      </c>
      <c r="AV515" s="18">
        <v>0</v>
      </c>
      <c r="AW515" s="18">
        <v>0</v>
      </c>
      <c r="AX515" s="18">
        <v>0</v>
      </c>
      <c r="AY515" s="18">
        <v>11</v>
      </c>
      <c r="AZ515" s="18">
        <v>6</v>
      </c>
      <c r="BA515" s="18">
        <v>6</v>
      </c>
      <c r="BB515" s="18">
        <v>1</v>
      </c>
      <c r="BC515" s="18">
        <v>0</v>
      </c>
      <c r="BD515" s="18">
        <v>0</v>
      </c>
      <c r="BE515" s="18">
        <v>0.06918</v>
      </c>
      <c r="BF515" s="18">
        <v>5</v>
      </c>
      <c r="BG515" s="18">
        <v>2</v>
      </c>
      <c r="BH515" s="18">
        <v>0</v>
      </c>
      <c r="BI515" s="18"/>
      <c r="BJ515" s="18">
        <v>0</v>
      </c>
      <c r="BK515" s="18">
        <v>0</v>
      </c>
      <c r="BL515" s="18">
        <v>0</v>
      </c>
      <c r="BM515" s="18">
        <v>0</v>
      </c>
      <c r="BN515" s="18"/>
      <c r="BO515" s="18"/>
      <c r="BP515" s="18">
        <v>0</v>
      </c>
      <c r="BQ515" s="18">
        <v>18</v>
      </c>
      <c r="BR515" s="18">
        <v>0</v>
      </c>
      <c r="BS515" s="18">
        <v>0</v>
      </c>
      <c r="BT515" s="18">
        <v>0</v>
      </c>
      <c r="BU515" s="18">
        <v>0</v>
      </c>
      <c r="BV515" s="18">
        <v>0</v>
      </c>
      <c r="BW515" s="18">
        <v>0</v>
      </c>
      <c r="BX515" s="18">
        <v>0</v>
      </c>
    </row>
    <row r="516" spans="1:76">
      <c r="A516" s="14" t="str">
        <f>VLOOKUP(C516,VLOOKUP!A:B,2,FALSE)</f>
        <v>早晚安香</v>
      </c>
      <c r="B516" s="19">
        <v>46171</v>
      </c>
      <c r="C516" s="20">
        <v>1010789122929</v>
      </c>
      <c r="D516" s="18" t="s">
        <v>151</v>
      </c>
      <c r="E516" s="18" t="s">
        <v>164</v>
      </c>
      <c r="F516" s="18">
        <v>1467</v>
      </c>
      <c r="G516" s="18">
        <v>65</v>
      </c>
      <c r="H516" s="18">
        <v>57.48</v>
      </c>
      <c r="I516" s="18">
        <v>0.04431</v>
      </c>
      <c r="J516" s="18">
        <v>0.88</v>
      </c>
      <c r="K516" s="18">
        <v>39.18</v>
      </c>
      <c r="L516" s="18">
        <v>0</v>
      </c>
      <c r="M516" s="18">
        <v>0</v>
      </c>
      <c r="N516" s="18">
        <v>0</v>
      </c>
      <c r="O516" s="18">
        <v>0</v>
      </c>
      <c r="P516" s="18">
        <v>0</v>
      </c>
      <c r="Q516" s="18">
        <v>0</v>
      </c>
      <c r="R516" s="18">
        <v>192.93</v>
      </c>
      <c r="S516" s="18">
        <v>0</v>
      </c>
      <c r="T516" s="18">
        <v>192.93</v>
      </c>
      <c r="U516" s="18">
        <v>1</v>
      </c>
      <c r="V516" s="18">
        <v>1</v>
      </c>
      <c r="W516" s="18">
        <v>0</v>
      </c>
      <c r="X516" s="18">
        <v>0.01538</v>
      </c>
      <c r="Y516" s="18">
        <v>3.36</v>
      </c>
      <c r="Z516" s="18">
        <v>3.36</v>
      </c>
      <c r="AA516" s="18">
        <v>57.48</v>
      </c>
      <c r="AB516" s="18">
        <v>3</v>
      </c>
      <c r="AC516" s="18">
        <v>3</v>
      </c>
      <c r="AD516" s="18">
        <v>0</v>
      </c>
      <c r="AE516" s="18">
        <v>0.04615</v>
      </c>
      <c r="AF516" s="18">
        <v>0</v>
      </c>
      <c r="AG516" s="18">
        <v>1</v>
      </c>
      <c r="AH516" s="18">
        <v>57.48</v>
      </c>
      <c r="AI516" s="18">
        <v>4</v>
      </c>
      <c r="AJ516" s="18">
        <v>14.37</v>
      </c>
      <c r="AK516" s="18">
        <v>3</v>
      </c>
      <c r="AL516" s="18">
        <v>19.16</v>
      </c>
      <c r="AM516" s="18">
        <v>1</v>
      </c>
      <c r="AN516" s="18"/>
      <c r="AO516" s="18">
        <v>0</v>
      </c>
      <c r="AP516" s="18">
        <v>19.16</v>
      </c>
      <c r="AQ516" s="18">
        <v>2</v>
      </c>
      <c r="AR516" s="18">
        <v>318.9</v>
      </c>
      <c r="AS516" s="18">
        <v>0</v>
      </c>
      <c r="AT516" s="18">
        <v>0</v>
      </c>
      <c r="AU516" s="18">
        <v>0</v>
      </c>
      <c r="AV516" s="18">
        <v>0</v>
      </c>
      <c r="AW516" s="18">
        <v>0</v>
      </c>
      <c r="AX516" s="18">
        <v>1</v>
      </c>
      <c r="AY516" s="18">
        <v>89</v>
      </c>
      <c r="AZ516" s="18">
        <v>55</v>
      </c>
      <c r="BA516" s="18">
        <v>30</v>
      </c>
      <c r="BB516" s="18">
        <v>0.54545</v>
      </c>
      <c r="BC516" s="18">
        <v>0</v>
      </c>
      <c r="BD516" s="18">
        <v>0</v>
      </c>
      <c r="BE516" s="18">
        <v>0.06067</v>
      </c>
      <c r="BF516" s="18">
        <v>26</v>
      </c>
      <c r="BG516" s="18">
        <v>2</v>
      </c>
      <c r="BH516" s="18">
        <v>1</v>
      </c>
      <c r="BI516" s="18">
        <v>1</v>
      </c>
      <c r="BJ516" s="18">
        <v>0</v>
      </c>
      <c r="BK516" s="18">
        <v>0</v>
      </c>
      <c r="BL516" s="18">
        <v>0</v>
      </c>
      <c r="BM516" s="18">
        <v>1</v>
      </c>
      <c r="BN516" s="18">
        <v>1</v>
      </c>
      <c r="BO516" s="18">
        <v>192.93</v>
      </c>
      <c r="BP516" s="18">
        <v>0</v>
      </c>
      <c r="BQ516" s="18">
        <v>759</v>
      </c>
      <c r="BR516" s="18">
        <v>0</v>
      </c>
      <c r="BS516" s="18">
        <v>0</v>
      </c>
      <c r="BT516" s="18">
        <v>0</v>
      </c>
      <c r="BU516" s="18">
        <v>0</v>
      </c>
      <c r="BV516" s="18">
        <v>0</v>
      </c>
      <c r="BW516" s="18">
        <v>0</v>
      </c>
      <c r="BX516" s="18">
        <v>0</v>
      </c>
    </row>
    <row r="517" spans="1:76">
      <c r="A517" s="14" t="str">
        <f>VLOOKUP(C517,VLOOKUP!A:B,2,FALSE)</f>
        <v>荔枝香</v>
      </c>
      <c r="B517" s="19">
        <v>46171</v>
      </c>
      <c r="C517" s="20">
        <v>960406497157</v>
      </c>
      <c r="D517" s="18" t="s">
        <v>151</v>
      </c>
      <c r="E517" s="18" t="s">
        <v>170</v>
      </c>
      <c r="F517" s="18">
        <v>4325</v>
      </c>
      <c r="G517" s="18">
        <v>191</v>
      </c>
      <c r="H517" s="18">
        <v>109.34</v>
      </c>
      <c r="I517" s="18">
        <v>0.04416</v>
      </c>
      <c r="J517" s="18">
        <v>0.57</v>
      </c>
      <c r="K517" s="18">
        <v>25.28</v>
      </c>
      <c r="L517" s="18">
        <v>0</v>
      </c>
      <c r="M517" s="18">
        <v>0</v>
      </c>
      <c r="N517" s="18">
        <v>0</v>
      </c>
      <c r="O517" s="18">
        <v>0</v>
      </c>
      <c r="P517" s="18">
        <v>0</v>
      </c>
      <c r="Q517" s="18">
        <v>0</v>
      </c>
      <c r="R517" s="18">
        <v>0</v>
      </c>
      <c r="S517" s="18">
        <v>0</v>
      </c>
      <c r="T517" s="18">
        <v>0</v>
      </c>
      <c r="U517" s="18">
        <v>0</v>
      </c>
      <c r="V517" s="18">
        <v>0</v>
      </c>
      <c r="W517" s="18">
        <v>0</v>
      </c>
      <c r="X517" s="18">
        <v>0</v>
      </c>
      <c r="Y517" s="18">
        <v>0</v>
      </c>
      <c r="Z517" s="18">
        <v>0</v>
      </c>
      <c r="AA517" s="18"/>
      <c r="AB517" s="18">
        <v>4</v>
      </c>
      <c r="AC517" s="18">
        <v>2</v>
      </c>
      <c r="AD517" s="18">
        <v>2</v>
      </c>
      <c r="AE517" s="18">
        <v>0.02094</v>
      </c>
      <c r="AF517" s="18">
        <v>2</v>
      </c>
      <c r="AG517" s="18">
        <v>1</v>
      </c>
      <c r="AH517" s="18">
        <v>109.34</v>
      </c>
      <c r="AI517" s="18">
        <v>7</v>
      </c>
      <c r="AJ517" s="18">
        <v>15.62</v>
      </c>
      <c r="AK517" s="18">
        <v>6</v>
      </c>
      <c r="AL517" s="18">
        <v>18.22</v>
      </c>
      <c r="AM517" s="18">
        <v>3</v>
      </c>
      <c r="AN517" s="18">
        <v>54.67</v>
      </c>
      <c r="AO517" s="18">
        <v>0.01047</v>
      </c>
      <c r="AP517" s="18">
        <v>27.34</v>
      </c>
      <c r="AQ517" s="18">
        <v>0</v>
      </c>
      <c r="AR517" s="18">
        <v>0</v>
      </c>
      <c r="AS517" s="18">
        <v>1</v>
      </c>
      <c r="AT517" s="18">
        <v>1</v>
      </c>
      <c r="AU517" s="18">
        <v>0</v>
      </c>
      <c r="AV517" s="18">
        <v>0</v>
      </c>
      <c r="AW517" s="18">
        <v>0</v>
      </c>
      <c r="AX517" s="18">
        <v>1</v>
      </c>
      <c r="AY517" s="18">
        <v>326</v>
      </c>
      <c r="AZ517" s="18">
        <v>163</v>
      </c>
      <c r="BA517" s="18">
        <v>132</v>
      </c>
      <c r="BB517" s="18">
        <v>0.80982</v>
      </c>
      <c r="BC517" s="18">
        <v>0</v>
      </c>
      <c r="BD517" s="18">
        <v>0</v>
      </c>
      <c r="BE517" s="18">
        <v>0.07538</v>
      </c>
      <c r="BF517" s="18">
        <v>104</v>
      </c>
      <c r="BG517" s="18">
        <v>2</v>
      </c>
      <c r="BH517" s="18">
        <v>0</v>
      </c>
      <c r="BI517" s="18"/>
      <c r="BJ517" s="18">
        <v>0</v>
      </c>
      <c r="BK517" s="18">
        <v>0</v>
      </c>
      <c r="BL517" s="18">
        <v>0</v>
      </c>
      <c r="BM517" s="18">
        <v>0</v>
      </c>
      <c r="BN517" s="18"/>
      <c r="BO517" s="18"/>
      <c r="BP517" s="18">
        <v>1.93</v>
      </c>
      <c r="BQ517" s="18">
        <v>349</v>
      </c>
      <c r="BR517" s="18">
        <v>0</v>
      </c>
      <c r="BS517" s="18">
        <v>0</v>
      </c>
      <c r="BT517" s="18">
        <v>0</v>
      </c>
      <c r="BU517" s="18">
        <v>0</v>
      </c>
      <c r="BV517" s="18">
        <v>0</v>
      </c>
      <c r="BW517" s="18">
        <v>0</v>
      </c>
      <c r="BX517" s="18">
        <v>0</v>
      </c>
    </row>
    <row r="518" spans="1:76">
      <c r="A518" s="14" t="str">
        <f>VLOOKUP(C518,VLOOKUP!A:B,2,FALSE)</f>
        <v>如意盘香</v>
      </c>
      <c r="B518" s="19">
        <v>46171</v>
      </c>
      <c r="C518" s="20">
        <v>838711327669</v>
      </c>
      <c r="D518" s="18" t="s">
        <v>151</v>
      </c>
      <c r="E518" s="18" t="s">
        <v>166</v>
      </c>
      <c r="F518" s="18">
        <v>240</v>
      </c>
      <c r="G518" s="18">
        <v>19</v>
      </c>
      <c r="H518" s="18">
        <v>37.76</v>
      </c>
      <c r="I518" s="18">
        <v>0.07917</v>
      </c>
      <c r="J518" s="18">
        <v>1.99</v>
      </c>
      <c r="K518" s="18">
        <v>157.33</v>
      </c>
      <c r="L518" s="18">
        <v>0</v>
      </c>
      <c r="M518" s="18">
        <v>0</v>
      </c>
      <c r="N518" s="18">
        <v>0</v>
      </c>
      <c r="O518" s="18">
        <v>0</v>
      </c>
      <c r="P518" s="18">
        <v>0</v>
      </c>
      <c r="Q518" s="18">
        <v>0</v>
      </c>
      <c r="R518" s="18">
        <v>0</v>
      </c>
      <c r="S518" s="18">
        <v>0</v>
      </c>
      <c r="T518" s="18">
        <v>0</v>
      </c>
      <c r="U518" s="18">
        <v>0</v>
      </c>
      <c r="V518" s="18">
        <v>0</v>
      </c>
      <c r="W518" s="18">
        <v>0</v>
      </c>
      <c r="X518" s="18">
        <v>0</v>
      </c>
      <c r="Y518" s="18">
        <v>0</v>
      </c>
      <c r="Z518" s="18">
        <v>0</v>
      </c>
      <c r="AA518" s="18"/>
      <c r="AB518" s="18">
        <v>0</v>
      </c>
      <c r="AC518" s="18">
        <v>0</v>
      </c>
      <c r="AD518" s="18">
        <v>0</v>
      </c>
      <c r="AE518" s="18">
        <v>0</v>
      </c>
      <c r="AF518" s="18">
        <v>0</v>
      </c>
      <c r="AG518" s="18">
        <v>0</v>
      </c>
      <c r="AH518" s="18"/>
      <c r="AI518" s="18">
        <v>0</v>
      </c>
      <c r="AJ518" s="18"/>
      <c r="AK518" s="18">
        <v>0</v>
      </c>
      <c r="AL518" s="18"/>
      <c r="AM518" s="18">
        <v>0</v>
      </c>
      <c r="AN518" s="18"/>
      <c r="AO518" s="18">
        <v>0</v>
      </c>
      <c r="AP518" s="18"/>
      <c r="AQ518" s="18">
        <v>0</v>
      </c>
      <c r="AR518" s="18">
        <v>0</v>
      </c>
      <c r="AS518" s="18">
        <v>0</v>
      </c>
      <c r="AT518" s="18">
        <v>0</v>
      </c>
      <c r="AU518" s="18">
        <v>0</v>
      </c>
      <c r="AV518" s="18">
        <v>0</v>
      </c>
      <c r="AW518" s="18">
        <v>0</v>
      </c>
      <c r="AX518" s="18">
        <v>1</v>
      </c>
      <c r="AY518" s="18">
        <v>59</v>
      </c>
      <c r="AZ518" s="18">
        <v>15</v>
      </c>
      <c r="BA518" s="18">
        <v>8</v>
      </c>
      <c r="BB518" s="18">
        <v>0.53333</v>
      </c>
      <c r="BC518" s="18">
        <v>0</v>
      </c>
      <c r="BD518" s="18">
        <v>0</v>
      </c>
      <c r="BE518" s="18">
        <v>0.24583</v>
      </c>
      <c r="BF518" s="18">
        <v>40</v>
      </c>
      <c r="BG518" s="18">
        <v>4</v>
      </c>
      <c r="BH518" s="18">
        <v>0</v>
      </c>
      <c r="BI518" s="18"/>
      <c r="BJ518" s="18">
        <v>0</v>
      </c>
      <c r="BK518" s="18">
        <v>0</v>
      </c>
      <c r="BL518" s="18">
        <v>0</v>
      </c>
      <c r="BM518" s="18">
        <v>0</v>
      </c>
      <c r="BN518" s="18"/>
      <c r="BO518" s="18"/>
      <c r="BP518" s="18">
        <v>0</v>
      </c>
      <c r="BQ518" s="18">
        <v>39</v>
      </c>
      <c r="BR518" s="18">
        <v>0</v>
      </c>
      <c r="BS518" s="18">
        <v>0</v>
      </c>
      <c r="BT518" s="18">
        <v>0</v>
      </c>
      <c r="BU518" s="18">
        <v>0</v>
      </c>
      <c r="BV518" s="18">
        <v>0</v>
      </c>
      <c r="BW518" s="18">
        <v>0</v>
      </c>
      <c r="BX518" s="18">
        <v>0</v>
      </c>
    </row>
    <row r="519" spans="1:76">
      <c r="A519" s="14" t="str">
        <f>VLOOKUP(C519,VLOOKUP!A:B,2,FALSE)</f>
        <v>太樾归真</v>
      </c>
      <c r="B519" s="19">
        <v>46170</v>
      </c>
      <c r="C519" s="20">
        <v>1051919021880</v>
      </c>
      <c r="D519" s="18" t="s">
        <v>151</v>
      </c>
      <c r="E519" s="18" t="s">
        <v>169</v>
      </c>
      <c r="F519" s="18">
        <v>162</v>
      </c>
      <c r="G519" s="18">
        <v>6</v>
      </c>
      <c r="H519" s="18">
        <v>3.25</v>
      </c>
      <c r="I519" s="18">
        <v>0.03704</v>
      </c>
      <c r="J519" s="18">
        <v>0.54</v>
      </c>
      <c r="K519" s="18">
        <v>20.06</v>
      </c>
      <c r="L519" s="18">
        <v>0</v>
      </c>
      <c r="M519" s="18">
        <v>0</v>
      </c>
      <c r="N519" s="18">
        <v>0</v>
      </c>
      <c r="O519" s="18">
        <v>0</v>
      </c>
      <c r="P519" s="18">
        <v>0</v>
      </c>
      <c r="Q519" s="18">
        <v>0</v>
      </c>
      <c r="R519" s="18">
        <v>0</v>
      </c>
      <c r="S519" s="18">
        <v>0</v>
      </c>
      <c r="T519" s="18">
        <v>0</v>
      </c>
      <c r="U519" s="18">
        <v>0</v>
      </c>
      <c r="V519" s="18">
        <v>0</v>
      </c>
      <c r="W519" s="18">
        <v>0</v>
      </c>
      <c r="X519" s="18">
        <v>0</v>
      </c>
      <c r="Y519" s="18">
        <v>0</v>
      </c>
      <c r="Z519" s="18">
        <v>0</v>
      </c>
      <c r="AA519" s="18"/>
      <c r="AB519" s="18">
        <v>0</v>
      </c>
      <c r="AC519" s="18">
        <v>0</v>
      </c>
      <c r="AD519" s="18">
        <v>0</v>
      </c>
      <c r="AE519" s="18">
        <v>0</v>
      </c>
      <c r="AF519" s="18">
        <v>0</v>
      </c>
      <c r="AG519" s="18">
        <v>0</v>
      </c>
      <c r="AH519" s="18"/>
      <c r="AI519" s="18">
        <v>0</v>
      </c>
      <c r="AJ519" s="18"/>
      <c r="AK519" s="18">
        <v>0</v>
      </c>
      <c r="AL519" s="18"/>
      <c r="AM519" s="18">
        <v>0</v>
      </c>
      <c r="AN519" s="18"/>
      <c r="AO519" s="18">
        <v>0</v>
      </c>
      <c r="AP519" s="18"/>
      <c r="AQ519" s="18">
        <v>0</v>
      </c>
      <c r="AR519" s="18">
        <v>0</v>
      </c>
      <c r="AS519" s="18">
        <v>0</v>
      </c>
      <c r="AT519" s="18">
        <v>0</v>
      </c>
      <c r="AU519" s="18">
        <v>0</v>
      </c>
      <c r="AV519" s="18">
        <v>0</v>
      </c>
      <c r="AW519" s="18">
        <v>0</v>
      </c>
      <c r="AX519" s="18">
        <v>0</v>
      </c>
      <c r="AY519" s="18">
        <v>6</v>
      </c>
      <c r="AZ519" s="18">
        <v>6</v>
      </c>
      <c r="BA519" s="18">
        <v>6</v>
      </c>
      <c r="BB519" s="18">
        <v>1</v>
      </c>
      <c r="BC519" s="18">
        <v>0</v>
      </c>
      <c r="BD519" s="18">
        <v>0</v>
      </c>
      <c r="BE519" s="18">
        <v>0.03704</v>
      </c>
      <c r="BF519" s="18">
        <v>0</v>
      </c>
      <c r="BG519" s="18">
        <v>1</v>
      </c>
      <c r="BH519" s="18">
        <v>0</v>
      </c>
      <c r="BI519" s="18"/>
      <c r="BJ519" s="18">
        <v>0</v>
      </c>
      <c r="BK519" s="18">
        <v>0</v>
      </c>
      <c r="BL519" s="18">
        <v>0</v>
      </c>
      <c r="BM519" s="18">
        <v>0</v>
      </c>
      <c r="BN519" s="18"/>
      <c r="BO519" s="18"/>
      <c r="BP519" s="18">
        <v>0</v>
      </c>
      <c r="BQ519" s="18">
        <v>0</v>
      </c>
      <c r="BR519" s="18">
        <v>0</v>
      </c>
      <c r="BS519" s="18">
        <v>0</v>
      </c>
      <c r="BT519" s="18">
        <v>0</v>
      </c>
      <c r="BU519" s="18">
        <v>0</v>
      </c>
      <c r="BV519" s="18">
        <v>0</v>
      </c>
      <c r="BW519" s="18">
        <v>0</v>
      </c>
      <c r="BX519" s="18">
        <v>0</v>
      </c>
    </row>
    <row r="520" spans="1:76">
      <c r="A520" s="14" t="str">
        <f>VLOOKUP(C520,VLOOKUP!A:B,2,FALSE)</f>
        <v>早晚安香</v>
      </c>
      <c r="B520" s="19">
        <v>46170</v>
      </c>
      <c r="C520" s="20">
        <v>1010789122929</v>
      </c>
      <c r="D520" s="18" t="s">
        <v>151</v>
      </c>
      <c r="E520" s="18" t="s">
        <v>164</v>
      </c>
      <c r="F520" s="18">
        <v>1658</v>
      </c>
      <c r="G520" s="18">
        <v>69</v>
      </c>
      <c r="H520" s="18">
        <v>62.98</v>
      </c>
      <c r="I520" s="18">
        <v>0.04162</v>
      </c>
      <c r="J520" s="18">
        <v>0.91</v>
      </c>
      <c r="K520" s="18">
        <v>37.99</v>
      </c>
      <c r="L520" s="18">
        <v>0</v>
      </c>
      <c r="M520" s="18">
        <v>0</v>
      </c>
      <c r="N520" s="18">
        <v>0</v>
      </c>
      <c r="O520" s="18">
        <v>0</v>
      </c>
      <c r="P520" s="18">
        <v>0</v>
      </c>
      <c r="Q520" s="18">
        <v>0</v>
      </c>
      <c r="R520" s="18">
        <v>192.93</v>
      </c>
      <c r="S520" s="18">
        <v>169.6</v>
      </c>
      <c r="T520" s="18">
        <v>362.53</v>
      </c>
      <c r="U520" s="18">
        <v>4</v>
      </c>
      <c r="V520" s="18">
        <v>1</v>
      </c>
      <c r="W520" s="18">
        <v>3</v>
      </c>
      <c r="X520" s="18">
        <v>0.05797</v>
      </c>
      <c r="Y520" s="18">
        <v>5.76</v>
      </c>
      <c r="Z520" s="18">
        <v>5.76</v>
      </c>
      <c r="AA520" s="18">
        <v>15.75</v>
      </c>
      <c r="AB520" s="18">
        <v>4</v>
      </c>
      <c r="AC520" s="18">
        <v>1</v>
      </c>
      <c r="AD520" s="18">
        <v>3</v>
      </c>
      <c r="AE520" s="18">
        <v>0.05797</v>
      </c>
      <c r="AF520" s="18">
        <v>0</v>
      </c>
      <c r="AG520" s="18">
        <v>0</v>
      </c>
      <c r="AH520" s="18"/>
      <c r="AI520" s="18">
        <v>4</v>
      </c>
      <c r="AJ520" s="18">
        <v>15.75</v>
      </c>
      <c r="AK520" s="18">
        <v>4</v>
      </c>
      <c r="AL520" s="18">
        <v>15.75</v>
      </c>
      <c r="AM520" s="18">
        <v>0</v>
      </c>
      <c r="AN520" s="18"/>
      <c r="AO520" s="18">
        <v>0</v>
      </c>
      <c r="AP520" s="18">
        <v>15.75</v>
      </c>
      <c r="AQ520" s="18">
        <v>6</v>
      </c>
      <c r="AR520" s="18">
        <v>568.6</v>
      </c>
      <c r="AS520" s="18">
        <v>0</v>
      </c>
      <c r="AT520" s="18">
        <v>0</v>
      </c>
      <c r="AU520" s="18">
        <v>0</v>
      </c>
      <c r="AV520" s="18">
        <v>0</v>
      </c>
      <c r="AW520" s="18">
        <v>0</v>
      </c>
      <c r="AX520" s="18">
        <v>1</v>
      </c>
      <c r="AY520" s="18">
        <v>148</v>
      </c>
      <c r="AZ520" s="18">
        <v>61</v>
      </c>
      <c r="BA520" s="18">
        <v>30</v>
      </c>
      <c r="BB520" s="18">
        <v>0.4918</v>
      </c>
      <c r="BC520" s="18">
        <v>0</v>
      </c>
      <c r="BD520" s="18">
        <v>0</v>
      </c>
      <c r="BE520" s="18">
        <v>0.08926</v>
      </c>
      <c r="BF520" s="18">
        <v>61</v>
      </c>
      <c r="BG520" s="18">
        <v>2</v>
      </c>
      <c r="BH520" s="18">
        <v>2</v>
      </c>
      <c r="BI520" s="18">
        <v>1</v>
      </c>
      <c r="BJ520" s="18">
        <v>0</v>
      </c>
      <c r="BK520" s="18">
        <v>0</v>
      </c>
      <c r="BL520" s="18">
        <v>0</v>
      </c>
      <c r="BM520" s="18">
        <v>2</v>
      </c>
      <c r="BN520" s="18">
        <v>2</v>
      </c>
      <c r="BO520" s="18">
        <v>181.27</v>
      </c>
      <c r="BP520" s="18">
        <v>9.86</v>
      </c>
      <c r="BQ520" s="18">
        <v>1224</v>
      </c>
      <c r="BR520" s="18">
        <v>0</v>
      </c>
      <c r="BS520" s="18">
        <v>0</v>
      </c>
      <c r="BT520" s="18">
        <v>0</v>
      </c>
      <c r="BU520" s="18">
        <v>0</v>
      </c>
      <c r="BV520" s="18">
        <v>0</v>
      </c>
      <c r="BW520" s="18">
        <v>0</v>
      </c>
      <c r="BX520" s="18">
        <v>0</v>
      </c>
    </row>
    <row r="521" spans="1:76">
      <c r="A521" s="14" t="str">
        <f>VLOOKUP(C521,VLOOKUP!A:B,2,FALSE)</f>
        <v>荔枝香</v>
      </c>
      <c r="B521" s="19">
        <v>46170</v>
      </c>
      <c r="C521" s="20">
        <v>960406497157</v>
      </c>
      <c r="D521" s="18" t="s">
        <v>151</v>
      </c>
      <c r="E521" s="18" t="s">
        <v>170</v>
      </c>
      <c r="F521" s="18">
        <v>6211</v>
      </c>
      <c r="G521" s="18">
        <v>343</v>
      </c>
      <c r="H521" s="18">
        <v>136.66</v>
      </c>
      <c r="I521" s="18">
        <v>0.05522</v>
      </c>
      <c r="J521" s="18">
        <v>0.4</v>
      </c>
      <c r="K521" s="18">
        <v>22</v>
      </c>
      <c r="L521" s="18">
        <v>0</v>
      </c>
      <c r="M521" s="18">
        <v>0</v>
      </c>
      <c r="N521" s="18">
        <v>0</v>
      </c>
      <c r="O521" s="18">
        <v>0</v>
      </c>
      <c r="P521" s="18">
        <v>0</v>
      </c>
      <c r="Q521" s="18">
        <v>0</v>
      </c>
      <c r="R521" s="18">
        <v>0</v>
      </c>
      <c r="S521" s="18">
        <v>0</v>
      </c>
      <c r="T521" s="18">
        <v>0</v>
      </c>
      <c r="U521" s="18">
        <v>0</v>
      </c>
      <c r="V521" s="18">
        <v>0</v>
      </c>
      <c r="W521" s="18">
        <v>0</v>
      </c>
      <c r="X521" s="18">
        <v>0</v>
      </c>
      <c r="Y521" s="18">
        <v>0</v>
      </c>
      <c r="Z521" s="18">
        <v>0</v>
      </c>
      <c r="AA521" s="18"/>
      <c r="AB521" s="18">
        <v>7</v>
      </c>
      <c r="AC521" s="18">
        <v>6</v>
      </c>
      <c r="AD521" s="18">
        <v>1</v>
      </c>
      <c r="AE521" s="18">
        <v>0.02041</v>
      </c>
      <c r="AF521" s="18">
        <v>4</v>
      </c>
      <c r="AG521" s="18">
        <v>0</v>
      </c>
      <c r="AH521" s="18"/>
      <c r="AI521" s="18">
        <v>11</v>
      </c>
      <c r="AJ521" s="18">
        <v>12.42</v>
      </c>
      <c r="AK521" s="18">
        <v>11</v>
      </c>
      <c r="AL521" s="18">
        <v>12.42</v>
      </c>
      <c r="AM521" s="18">
        <v>4</v>
      </c>
      <c r="AN521" s="18">
        <v>34.17</v>
      </c>
      <c r="AO521" s="18">
        <v>0.01166</v>
      </c>
      <c r="AP521" s="18">
        <v>19.52</v>
      </c>
      <c r="AQ521" s="18">
        <v>0</v>
      </c>
      <c r="AR521" s="18">
        <v>0</v>
      </c>
      <c r="AS521" s="18">
        <v>3</v>
      </c>
      <c r="AT521" s="18">
        <v>1</v>
      </c>
      <c r="AU521" s="18">
        <v>0</v>
      </c>
      <c r="AV521" s="18">
        <v>0</v>
      </c>
      <c r="AW521" s="18">
        <v>0</v>
      </c>
      <c r="AX521" s="18">
        <v>0</v>
      </c>
      <c r="AY521" s="18">
        <v>540</v>
      </c>
      <c r="AZ521" s="18">
        <v>345</v>
      </c>
      <c r="BA521" s="18">
        <v>305</v>
      </c>
      <c r="BB521" s="18">
        <v>0.88406</v>
      </c>
      <c r="BC521" s="18">
        <v>0</v>
      </c>
      <c r="BD521" s="18">
        <v>0</v>
      </c>
      <c r="BE521" s="18">
        <v>0.08694</v>
      </c>
      <c r="BF521" s="18">
        <v>122</v>
      </c>
      <c r="BG521" s="18">
        <v>2</v>
      </c>
      <c r="BH521" s="18">
        <v>0</v>
      </c>
      <c r="BI521" s="18"/>
      <c r="BJ521" s="18">
        <v>0</v>
      </c>
      <c r="BK521" s="18">
        <v>0</v>
      </c>
      <c r="BL521" s="18">
        <v>0</v>
      </c>
      <c r="BM521" s="18">
        <v>0</v>
      </c>
      <c r="BN521" s="18"/>
      <c r="BO521" s="18"/>
      <c r="BP521" s="18">
        <v>0</v>
      </c>
      <c r="BQ521" s="18">
        <v>324</v>
      </c>
      <c r="BR521" s="18">
        <v>0</v>
      </c>
      <c r="BS521" s="18">
        <v>0</v>
      </c>
      <c r="BT521" s="18">
        <v>0</v>
      </c>
      <c r="BU521" s="18">
        <v>0</v>
      </c>
      <c r="BV521" s="18">
        <v>0</v>
      </c>
      <c r="BW521" s="18">
        <v>0</v>
      </c>
      <c r="BX521" s="18">
        <v>0</v>
      </c>
    </row>
    <row r="522" spans="1:76">
      <c r="A522" s="14" t="str">
        <f>VLOOKUP(C522,VLOOKUP!A:B,2,FALSE)</f>
        <v>如意盘香</v>
      </c>
      <c r="B522" s="19">
        <v>46170</v>
      </c>
      <c r="C522" s="20">
        <v>838711327669</v>
      </c>
      <c r="D522" s="18" t="s">
        <v>151</v>
      </c>
      <c r="E522" s="18" t="s">
        <v>166</v>
      </c>
      <c r="F522" s="18">
        <v>329</v>
      </c>
      <c r="G522" s="18">
        <v>22</v>
      </c>
      <c r="H522" s="18">
        <v>50</v>
      </c>
      <c r="I522" s="18">
        <v>0.06687</v>
      </c>
      <c r="J522" s="18">
        <v>2.27</v>
      </c>
      <c r="K522" s="18">
        <v>151.98</v>
      </c>
      <c r="L522" s="18">
        <v>0</v>
      </c>
      <c r="M522" s="18">
        <v>0</v>
      </c>
      <c r="N522" s="18">
        <v>0</v>
      </c>
      <c r="O522" s="18">
        <v>0</v>
      </c>
      <c r="P522" s="18">
        <v>0</v>
      </c>
      <c r="Q522" s="18">
        <v>0</v>
      </c>
      <c r="R522" s="18">
        <v>0</v>
      </c>
      <c r="S522" s="18">
        <v>0</v>
      </c>
      <c r="T522" s="18">
        <v>0</v>
      </c>
      <c r="U522" s="18">
        <v>0</v>
      </c>
      <c r="V522" s="18">
        <v>0</v>
      </c>
      <c r="W522" s="18">
        <v>0</v>
      </c>
      <c r="X522" s="18">
        <v>0</v>
      </c>
      <c r="Y522" s="18">
        <v>0</v>
      </c>
      <c r="Z522" s="18">
        <v>0</v>
      </c>
      <c r="AA522" s="18"/>
      <c r="AB522" s="18">
        <v>2</v>
      </c>
      <c r="AC522" s="18">
        <v>0</v>
      </c>
      <c r="AD522" s="18">
        <v>2</v>
      </c>
      <c r="AE522" s="18">
        <v>0.09091</v>
      </c>
      <c r="AF522" s="18">
        <v>0</v>
      </c>
      <c r="AG522" s="18">
        <v>0</v>
      </c>
      <c r="AH522" s="18"/>
      <c r="AI522" s="18">
        <v>2</v>
      </c>
      <c r="AJ522" s="18">
        <v>25</v>
      </c>
      <c r="AK522" s="18">
        <v>2</v>
      </c>
      <c r="AL522" s="18">
        <v>25</v>
      </c>
      <c r="AM522" s="18">
        <v>0</v>
      </c>
      <c r="AN522" s="18"/>
      <c r="AO522" s="18">
        <v>0</v>
      </c>
      <c r="AP522" s="18">
        <v>25</v>
      </c>
      <c r="AQ522" s="18">
        <v>0</v>
      </c>
      <c r="AR522" s="18">
        <v>0</v>
      </c>
      <c r="AS522" s="18">
        <v>0</v>
      </c>
      <c r="AT522" s="18">
        <v>0</v>
      </c>
      <c r="AU522" s="18">
        <v>0</v>
      </c>
      <c r="AV522" s="18">
        <v>0</v>
      </c>
      <c r="AW522" s="18">
        <v>0</v>
      </c>
      <c r="AX522" s="18">
        <v>1</v>
      </c>
      <c r="AY522" s="18">
        <v>74</v>
      </c>
      <c r="AZ522" s="18">
        <v>17</v>
      </c>
      <c r="BA522" s="18">
        <v>11</v>
      </c>
      <c r="BB522" s="18">
        <v>0.64706</v>
      </c>
      <c r="BC522" s="18">
        <v>0</v>
      </c>
      <c r="BD522" s="18">
        <v>0</v>
      </c>
      <c r="BE522" s="18">
        <v>0.22492</v>
      </c>
      <c r="BF522" s="18">
        <v>55</v>
      </c>
      <c r="BG522" s="18">
        <v>4</v>
      </c>
      <c r="BH522" s="18">
        <v>0</v>
      </c>
      <c r="BI522" s="18"/>
      <c r="BJ522" s="18">
        <v>0</v>
      </c>
      <c r="BK522" s="18">
        <v>0</v>
      </c>
      <c r="BL522" s="18">
        <v>0</v>
      </c>
      <c r="BM522" s="18">
        <v>0</v>
      </c>
      <c r="BN522" s="18"/>
      <c r="BO522" s="18"/>
      <c r="BP522" s="18">
        <v>0</v>
      </c>
      <c r="BQ522" s="18">
        <v>41</v>
      </c>
      <c r="BR522" s="18">
        <v>0</v>
      </c>
      <c r="BS522" s="18">
        <v>0</v>
      </c>
      <c r="BT522" s="18">
        <v>0</v>
      </c>
      <c r="BU522" s="18">
        <v>0</v>
      </c>
      <c r="BV522" s="18">
        <v>0</v>
      </c>
      <c r="BW522" s="18">
        <v>0</v>
      </c>
      <c r="BX522" s="18">
        <v>0</v>
      </c>
    </row>
    <row r="523" spans="1:76">
      <c r="A523" s="14" t="str">
        <f>VLOOKUP(C523,VLOOKUP!A:B,2,FALSE)</f>
        <v>太樾归真</v>
      </c>
      <c r="B523" s="19">
        <v>46169</v>
      </c>
      <c r="C523" s="20">
        <v>1051919021880</v>
      </c>
      <c r="D523" s="18" t="s">
        <v>151</v>
      </c>
      <c r="E523" s="18" t="s">
        <v>169</v>
      </c>
      <c r="F523" s="18">
        <v>41</v>
      </c>
      <c r="G523" s="18">
        <v>3</v>
      </c>
      <c r="H523" s="18">
        <v>0.68</v>
      </c>
      <c r="I523" s="18">
        <v>0.07317</v>
      </c>
      <c r="J523" s="18">
        <v>0.23</v>
      </c>
      <c r="K523" s="18">
        <v>16.59</v>
      </c>
      <c r="L523" s="18">
        <v>0</v>
      </c>
      <c r="M523" s="18">
        <v>0</v>
      </c>
      <c r="N523" s="18">
        <v>0</v>
      </c>
      <c r="O523" s="18">
        <v>0</v>
      </c>
      <c r="P523" s="18">
        <v>0</v>
      </c>
      <c r="Q523" s="18">
        <v>0</v>
      </c>
      <c r="R523" s="18">
        <v>0</v>
      </c>
      <c r="S523" s="18">
        <v>0</v>
      </c>
      <c r="T523" s="18">
        <v>0</v>
      </c>
      <c r="U523" s="18">
        <v>0</v>
      </c>
      <c r="V523" s="18">
        <v>0</v>
      </c>
      <c r="W523" s="18">
        <v>0</v>
      </c>
      <c r="X523" s="18">
        <v>0</v>
      </c>
      <c r="Y523" s="18">
        <v>0</v>
      </c>
      <c r="Z523" s="18">
        <v>0</v>
      </c>
      <c r="AA523" s="18"/>
      <c r="AB523" s="18">
        <v>0</v>
      </c>
      <c r="AC523" s="18">
        <v>0</v>
      </c>
      <c r="AD523" s="18">
        <v>0</v>
      </c>
      <c r="AE523" s="18">
        <v>0</v>
      </c>
      <c r="AF523" s="18">
        <v>0</v>
      </c>
      <c r="AG523" s="18">
        <v>0</v>
      </c>
      <c r="AH523" s="18"/>
      <c r="AI523" s="18">
        <v>0</v>
      </c>
      <c r="AJ523" s="18"/>
      <c r="AK523" s="18">
        <v>0</v>
      </c>
      <c r="AL523" s="18"/>
      <c r="AM523" s="18">
        <v>0</v>
      </c>
      <c r="AN523" s="18"/>
      <c r="AO523" s="18">
        <v>0</v>
      </c>
      <c r="AP523" s="18"/>
      <c r="AQ523" s="18">
        <v>0</v>
      </c>
      <c r="AR523" s="18">
        <v>0</v>
      </c>
      <c r="AS523" s="18">
        <v>0</v>
      </c>
      <c r="AT523" s="18">
        <v>0</v>
      </c>
      <c r="AU523" s="18">
        <v>0</v>
      </c>
      <c r="AV523" s="18">
        <v>0</v>
      </c>
      <c r="AW523" s="18">
        <v>0</v>
      </c>
      <c r="AX523" s="18">
        <v>0</v>
      </c>
      <c r="AY523" s="18">
        <v>5</v>
      </c>
      <c r="AZ523" s="18">
        <v>3</v>
      </c>
      <c r="BA523" s="18">
        <v>3</v>
      </c>
      <c r="BB523" s="18">
        <v>1</v>
      </c>
      <c r="BC523" s="18">
        <v>0</v>
      </c>
      <c r="BD523" s="18">
        <v>0</v>
      </c>
      <c r="BE523" s="18">
        <v>0.12195</v>
      </c>
      <c r="BF523" s="18">
        <v>0</v>
      </c>
      <c r="BG523" s="18">
        <v>2</v>
      </c>
      <c r="BH523" s="18">
        <v>0</v>
      </c>
      <c r="BI523" s="18"/>
      <c r="BJ523" s="18">
        <v>0</v>
      </c>
      <c r="BK523" s="18">
        <v>0</v>
      </c>
      <c r="BL523" s="18">
        <v>0</v>
      </c>
      <c r="BM523" s="18">
        <v>0</v>
      </c>
      <c r="BN523" s="18"/>
      <c r="BO523" s="18"/>
      <c r="BP523" s="18">
        <v>0</v>
      </c>
      <c r="BQ523" s="18">
        <v>0</v>
      </c>
      <c r="BR523" s="18">
        <v>0</v>
      </c>
      <c r="BS523" s="18">
        <v>0</v>
      </c>
      <c r="BT523" s="18">
        <v>0</v>
      </c>
      <c r="BU523" s="18">
        <v>0</v>
      </c>
      <c r="BV523" s="18">
        <v>0</v>
      </c>
      <c r="BW523" s="18">
        <v>0</v>
      </c>
      <c r="BX523" s="18">
        <v>0</v>
      </c>
    </row>
    <row r="524" spans="1:76">
      <c r="A524" s="14" t="str">
        <f>VLOOKUP(C524,VLOOKUP!A:B,2,FALSE)</f>
        <v>早晚安香</v>
      </c>
      <c r="B524" s="19">
        <v>46169</v>
      </c>
      <c r="C524" s="20">
        <v>1010789122929</v>
      </c>
      <c r="D524" s="18" t="s">
        <v>151</v>
      </c>
      <c r="E524" s="18" t="s">
        <v>164</v>
      </c>
      <c r="F524" s="18">
        <v>1737</v>
      </c>
      <c r="G524" s="18">
        <v>78</v>
      </c>
      <c r="H524" s="18">
        <v>60.37</v>
      </c>
      <c r="I524" s="18">
        <v>0.04491</v>
      </c>
      <c r="J524" s="18">
        <v>0.77</v>
      </c>
      <c r="K524" s="18">
        <v>34.76</v>
      </c>
      <c r="L524" s="18">
        <v>0</v>
      </c>
      <c r="M524" s="18">
        <v>0</v>
      </c>
      <c r="N524" s="18">
        <v>0</v>
      </c>
      <c r="O524" s="18">
        <v>0</v>
      </c>
      <c r="P524" s="18">
        <v>0</v>
      </c>
      <c r="Q524" s="18">
        <v>0</v>
      </c>
      <c r="R524" s="18">
        <v>0</v>
      </c>
      <c r="S524" s="18">
        <v>0</v>
      </c>
      <c r="T524" s="18">
        <v>0</v>
      </c>
      <c r="U524" s="18">
        <v>0</v>
      </c>
      <c r="V524" s="18">
        <v>0</v>
      </c>
      <c r="W524" s="18">
        <v>0</v>
      </c>
      <c r="X524" s="18">
        <v>0</v>
      </c>
      <c r="Y524" s="18">
        <v>0</v>
      </c>
      <c r="Z524" s="18">
        <v>0</v>
      </c>
      <c r="AA524" s="18"/>
      <c r="AB524" s="18">
        <v>0</v>
      </c>
      <c r="AC524" s="18">
        <v>0</v>
      </c>
      <c r="AD524" s="18">
        <v>0</v>
      </c>
      <c r="AE524" s="18">
        <v>0</v>
      </c>
      <c r="AF524" s="18">
        <v>2</v>
      </c>
      <c r="AG524" s="18">
        <v>0</v>
      </c>
      <c r="AH524" s="18"/>
      <c r="AI524" s="18">
        <v>2</v>
      </c>
      <c r="AJ524" s="18">
        <v>30.19</v>
      </c>
      <c r="AK524" s="18">
        <v>2</v>
      </c>
      <c r="AL524" s="18">
        <v>30.19</v>
      </c>
      <c r="AM524" s="18">
        <v>2</v>
      </c>
      <c r="AN524" s="18">
        <v>30.19</v>
      </c>
      <c r="AO524" s="18">
        <v>0.02564</v>
      </c>
      <c r="AP524" s="18"/>
      <c r="AQ524" s="18">
        <v>0</v>
      </c>
      <c r="AR524" s="18">
        <v>0</v>
      </c>
      <c r="AS524" s="18">
        <v>0</v>
      </c>
      <c r="AT524" s="18">
        <v>2</v>
      </c>
      <c r="AU524" s="18">
        <v>0</v>
      </c>
      <c r="AV524" s="18">
        <v>0</v>
      </c>
      <c r="AW524" s="18">
        <v>0</v>
      </c>
      <c r="AX524" s="18">
        <v>0</v>
      </c>
      <c r="AY524" s="18">
        <v>121</v>
      </c>
      <c r="AZ524" s="18">
        <v>65</v>
      </c>
      <c r="BA524" s="18">
        <v>33</v>
      </c>
      <c r="BB524" s="18">
        <v>0.50769</v>
      </c>
      <c r="BC524" s="18">
        <v>0</v>
      </c>
      <c r="BD524" s="18">
        <v>0</v>
      </c>
      <c r="BE524" s="18">
        <v>0.06966</v>
      </c>
      <c r="BF524" s="18">
        <v>35</v>
      </c>
      <c r="BG524" s="18">
        <v>2</v>
      </c>
      <c r="BH524" s="18">
        <v>0</v>
      </c>
      <c r="BI524" s="18"/>
      <c r="BJ524" s="18">
        <v>0</v>
      </c>
      <c r="BK524" s="18">
        <v>0</v>
      </c>
      <c r="BL524" s="18">
        <v>0</v>
      </c>
      <c r="BM524" s="18">
        <v>0</v>
      </c>
      <c r="BN524" s="18"/>
      <c r="BO524" s="18"/>
      <c r="BP524" s="18">
        <v>38.18</v>
      </c>
      <c r="BQ524" s="18">
        <v>183</v>
      </c>
      <c r="BR524" s="18">
        <v>0</v>
      </c>
      <c r="BS524" s="18">
        <v>0</v>
      </c>
      <c r="BT524" s="18">
        <v>0</v>
      </c>
      <c r="BU524" s="18">
        <v>0</v>
      </c>
      <c r="BV524" s="18">
        <v>0</v>
      </c>
      <c r="BW524" s="18">
        <v>0</v>
      </c>
      <c r="BX524" s="18">
        <v>0</v>
      </c>
    </row>
    <row r="525" spans="1:76">
      <c r="A525" s="14" t="str">
        <f>VLOOKUP(C525,VLOOKUP!A:B,2,FALSE)</f>
        <v>荔枝香</v>
      </c>
      <c r="B525" s="19">
        <v>46169</v>
      </c>
      <c r="C525" s="20">
        <v>960406497157</v>
      </c>
      <c r="D525" s="18" t="s">
        <v>151</v>
      </c>
      <c r="E525" s="18" t="s">
        <v>170</v>
      </c>
      <c r="F525" s="18">
        <v>5492</v>
      </c>
      <c r="G525" s="18">
        <v>261</v>
      </c>
      <c r="H525" s="18">
        <v>127.7</v>
      </c>
      <c r="I525" s="18">
        <v>0.04752</v>
      </c>
      <c r="J525" s="18">
        <v>0.49</v>
      </c>
      <c r="K525" s="18">
        <v>23.25</v>
      </c>
      <c r="L525" s="18">
        <v>0</v>
      </c>
      <c r="M525" s="18">
        <v>0</v>
      </c>
      <c r="N525" s="18">
        <v>0</v>
      </c>
      <c r="O525" s="18">
        <v>0</v>
      </c>
      <c r="P525" s="18">
        <v>0</v>
      </c>
      <c r="Q525" s="18">
        <v>0</v>
      </c>
      <c r="R525" s="18">
        <v>133.6</v>
      </c>
      <c r="S525" s="18">
        <v>0</v>
      </c>
      <c r="T525" s="18">
        <v>133.6</v>
      </c>
      <c r="U525" s="18">
        <v>1</v>
      </c>
      <c r="V525" s="18">
        <v>1</v>
      </c>
      <c r="W525" s="18">
        <v>0</v>
      </c>
      <c r="X525" s="18">
        <v>0.00383</v>
      </c>
      <c r="Y525" s="18">
        <v>1.05</v>
      </c>
      <c r="Z525" s="18">
        <v>1.05</v>
      </c>
      <c r="AA525" s="18">
        <v>127.7</v>
      </c>
      <c r="AB525" s="18">
        <v>5</v>
      </c>
      <c r="AC525" s="18">
        <v>5</v>
      </c>
      <c r="AD525" s="18">
        <v>0</v>
      </c>
      <c r="AE525" s="18">
        <v>0.01916</v>
      </c>
      <c r="AF525" s="18">
        <v>0</v>
      </c>
      <c r="AG525" s="18">
        <v>0</v>
      </c>
      <c r="AH525" s="18"/>
      <c r="AI525" s="18">
        <v>5</v>
      </c>
      <c r="AJ525" s="18">
        <v>25.54</v>
      </c>
      <c r="AK525" s="18">
        <v>5</v>
      </c>
      <c r="AL525" s="18">
        <v>25.54</v>
      </c>
      <c r="AM525" s="18">
        <v>0</v>
      </c>
      <c r="AN525" s="18"/>
      <c r="AO525" s="18">
        <v>0</v>
      </c>
      <c r="AP525" s="18">
        <v>25.54</v>
      </c>
      <c r="AQ525" s="18">
        <v>2</v>
      </c>
      <c r="AR525" s="18">
        <v>217.9</v>
      </c>
      <c r="AS525" s="18">
        <v>0</v>
      </c>
      <c r="AT525" s="18">
        <v>0</v>
      </c>
      <c r="AU525" s="18">
        <v>0</v>
      </c>
      <c r="AV525" s="18">
        <v>0</v>
      </c>
      <c r="AW525" s="18">
        <v>0</v>
      </c>
      <c r="AX525" s="18">
        <v>0</v>
      </c>
      <c r="AY525" s="18">
        <v>434</v>
      </c>
      <c r="AZ525" s="18">
        <v>230</v>
      </c>
      <c r="BA525" s="18">
        <v>204</v>
      </c>
      <c r="BB525" s="18">
        <v>0.88696</v>
      </c>
      <c r="BC525" s="18">
        <v>0</v>
      </c>
      <c r="BD525" s="18">
        <v>0</v>
      </c>
      <c r="BE525" s="18">
        <v>0.07902</v>
      </c>
      <c r="BF525" s="18">
        <v>123</v>
      </c>
      <c r="BG525" s="18">
        <v>2</v>
      </c>
      <c r="BH525" s="18">
        <v>1</v>
      </c>
      <c r="BI525" s="18">
        <v>1</v>
      </c>
      <c r="BJ525" s="18">
        <v>0</v>
      </c>
      <c r="BK525" s="18">
        <v>0</v>
      </c>
      <c r="BL525" s="18">
        <v>0</v>
      </c>
      <c r="BM525" s="18">
        <v>1</v>
      </c>
      <c r="BN525" s="18">
        <v>1</v>
      </c>
      <c r="BO525" s="18">
        <v>133.6</v>
      </c>
      <c r="BP525" s="18">
        <v>45.16</v>
      </c>
      <c r="BQ525" s="18">
        <v>519</v>
      </c>
      <c r="BR525" s="18">
        <v>0</v>
      </c>
      <c r="BS525" s="18">
        <v>0</v>
      </c>
      <c r="BT525" s="18">
        <v>0</v>
      </c>
      <c r="BU525" s="18">
        <v>0</v>
      </c>
      <c r="BV525" s="18">
        <v>0</v>
      </c>
      <c r="BW525" s="18">
        <v>0</v>
      </c>
      <c r="BX525" s="18">
        <v>0</v>
      </c>
    </row>
    <row r="526" spans="1:76">
      <c r="A526" s="14" t="str">
        <f>VLOOKUP(C526,VLOOKUP!A:B,2,FALSE)</f>
        <v>如意盘香</v>
      </c>
      <c r="B526" s="19">
        <v>46169</v>
      </c>
      <c r="C526" s="20">
        <v>838711327669</v>
      </c>
      <c r="D526" s="18" t="s">
        <v>151</v>
      </c>
      <c r="E526" s="18" t="s">
        <v>166</v>
      </c>
      <c r="F526" s="18">
        <v>435</v>
      </c>
      <c r="G526" s="18">
        <v>24</v>
      </c>
      <c r="H526" s="18">
        <v>50</v>
      </c>
      <c r="I526" s="18">
        <v>0.05517</v>
      </c>
      <c r="J526" s="18">
        <v>2.08</v>
      </c>
      <c r="K526" s="18">
        <v>114.94</v>
      </c>
      <c r="L526" s="18">
        <v>0</v>
      </c>
      <c r="M526" s="18">
        <v>0</v>
      </c>
      <c r="N526" s="18">
        <v>0</v>
      </c>
      <c r="O526" s="18">
        <v>0</v>
      </c>
      <c r="P526" s="18">
        <v>0</v>
      </c>
      <c r="Q526" s="18">
        <v>0</v>
      </c>
      <c r="R526" s="18">
        <v>0</v>
      </c>
      <c r="S526" s="18">
        <v>0</v>
      </c>
      <c r="T526" s="18">
        <v>0</v>
      </c>
      <c r="U526" s="18">
        <v>0</v>
      </c>
      <c r="V526" s="18">
        <v>0</v>
      </c>
      <c r="W526" s="18">
        <v>0</v>
      </c>
      <c r="X526" s="18">
        <v>0</v>
      </c>
      <c r="Y526" s="18">
        <v>0</v>
      </c>
      <c r="Z526" s="18">
        <v>0</v>
      </c>
      <c r="AA526" s="18"/>
      <c r="AB526" s="18">
        <v>1</v>
      </c>
      <c r="AC526" s="18">
        <v>0</v>
      </c>
      <c r="AD526" s="18">
        <v>1</v>
      </c>
      <c r="AE526" s="18">
        <v>0.04167</v>
      </c>
      <c r="AF526" s="18">
        <v>0</v>
      </c>
      <c r="AG526" s="18">
        <v>0</v>
      </c>
      <c r="AH526" s="18"/>
      <c r="AI526" s="18">
        <v>1</v>
      </c>
      <c r="AJ526" s="18">
        <v>50</v>
      </c>
      <c r="AK526" s="18">
        <v>1</v>
      </c>
      <c r="AL526" s="18">
        <v>50</v>
      </c>
      <c r="AM526" s="18">
        <v>0</v>
      </c>
      <c r="AN526" s="18"/>
      <c r="AO526" s="18">
        <v>0</v>
      </c>
      <c r="AP526" s="18">
        <v>50</v>
      </c>
      <c r="AQ526" s="18">
        <v>0</v>
      </c>
      <c r="AR526" s="18">
        <v>0</v>
      </c>
      <c r="AS526" s="18">
        <v>0</v>
      </c>
      <c r="AT526" s="18">
        <v>0</v>
      </c>
      <c r="AU526" s="18">
        <v>0</v>
      </c>
      <c r="AV526" s="18">
        <v>0</v>
      </c>
      <c r="AW526" s="18">
        <v>0</v>
      </c>
      <c r="AX526" s="18">
        <v>0</v>
      </c>
      <c r="AY526" s="18">
        <v>86</v>
      </c>
      <c r="AZ526" s="18">
        <v>20</v>
      </c>
      <c r="BA526" s="18">
        <v>9</v>
      </c>
      <c r="BB526" s="18">
        <v>0.45</v>
      </c>
      <c r="BC526" s="18">
        <v>0</v>
      </c>
      <c r="BD526" s="18">
        <v>0</v>
      </c>
      <c r="BE526" s="18">
        <v>0.1977</v>
      </c>
      <c r="BF526" s="18">
        <v>62</v>
      </c>
      <c r="BG526" s="18">
        <v>4</v>
      </c>
      <c r="BH526" s="18">
        <v>0</v>
      </c>
      <c r="BI526" s="18"/>
      <c r="BJ526" s="18">
        <v>0</v>
      </c>
      <c r="BK526" s="18">
        <v>0</v>
      </c>
      <c r="BL526" s="18">
        <v>0</v>
      </c>
      <c r="BM526" s="18">
        <v>0</v>
      </c>
      <c r="BN526" s="18"/>
      <c r="BO526" s="18"/>
      <c r="BP526" s="18">
        <v>0</v>
      </c>
      <c r="BQ526" s="18">
        <v>62</v>
      </c>
      <c r="BR526" s="18">
        <v>0</v>
      </c>
      <c r="BS526" s="18">
        <v>0</v>
      </c>
      <c r="BT526" s="18">
        <v>0</v>
      </c>
      <c r="BU526" s="18">
        <v>0</v>
      </c>
      <c r="BV526" s="18">
        <v>0</v>
      </c>
      <c r="BW526" s="18">
        <v>0</v>
      </c>
      <c r="BX526" s="18">
        <v>0</v>
      </c>
    </row>
    <row r="527" spans="1:76">
      <c r="A527" s="14" t="str">
        <f>VLOOKUP(C527,VLOOKUP!A:B,2,FALSE)</f>
        <v>早晚安香</v>
      </c>
      <c r="B527" s="19">
        <v>46168</v>
      </c>
      <c r="C527" s="20">
        <v>1010789122929</v>
      </c>
      <c r="D527" s="18" t="s">
        <v>151</v>
      </c>
      <c r="E527" s="18" t="s">
        <v>164</v>
      </c>
      <c r="F527" s="18">
        <v>1804</v>
      </c>
      <c r="G527" s="18">
        <v>64</v>
      </c>
      <c r="H527" s="18">
        <v>56.24</v>
      </c>
      <c r="I527" s="18">
        <v>0.03548</v>
      </c>
      <c r="J527" s="18">
        <v>0.88</v>
      </c>
      <c r="K527" s="18">
        <v>31.18</v>
      </c>
      <c r="L527" s="18">
        <v>0</v>
      </c>
      <c r="M527" s="18">
        <v>0</v>
      </c>
      <c r="N527" s="18">
        <v>0</v>
      </c>
      <c r="O527" s="18">
        <v>0</v>
      </c>
      <c r="P527" s="18">
        <v>0</v>
      </c>
      <c r="Q527" s="18">
        <v>0</v>
      </c>
      <c r="R527" s="18">
        <v>0</v>
      </c>
      <c r="S527" s="18">
        <v>0</v>
      </c>
      <c r="T527" s="18">
        <v>0</v>
      </c>
      <c r="U527" s="18">
        <v>0</v>
      </c>
      <c r="V527" s="18">
        <v>0</v>
      </c>
      <c r="W527" s="18">
        <v>0</v>
      </c>
      <c r="X527" s="18">
        <v>0</v>
      </c>
      <c r="Y527" s="18">
        <v>0</v>
      </c>
      <c r="Z527" s="18">
        <v>0</v>
      </c>
      <c r="AA527" s="18"/>
      <c r="AB527" s="18">
        <v>0</v>
      </c>
      <c r="AC527" s="18">
        <v>0</v>
      </c>
      <c r="AD527" s="18">
        <v>0</v>
      </c>
      <c r="AE527" s="18">
        <v>0</v>
      </c>
      <c r="AF527" s="18">
        <v>0</v>
      </c>
      <c r="AG527" s="18">
        <v>1</v>
      </c>
      <c r="AH527" s="18">
        <v>56.24</v>
      </c>
      <c r="AI527" s="18">
        <v>1</v>
      </c>
      <c r="AJ527" s="18">
        <v>56.24</v>
      </c>
      <c r="AK527" s="18">
        <v>0</v>
      </c>
      <c r="AL527" s="18"/>
      <c r="AM527" s="18">
        <v>1</v>
      </c>
      <c r="AN527" s="18"/>
      <c r="AO527" s="18">
        <v>0</v>
      </c>
      <c r="AP527" s="18"/>
      <c r="AQ527" s="18">
        <v>0</v>
      </c>
      <c r="AR527" s="18">
        <v>0</v>
      </c>
      <c r="AS527" s="18">
        <v>0</v>
      </c>
      <c r="AT527" s="18">
        <v>0</v>
      </c>
      <c r="AU527" s="18">
        <v>0</v>
      </c>
      <c r="AV527" s="18">
        <v>0</v>
      </c>
      <c r="AW527" s="18">
        <v>0</v>
      </c>
      <c r="AX527" s="18">
        <v>0</v>
      </c>
      <c r="AY527" s="18">
        <v>101</v>
      </c>
      <c r="AZ527" s="18">
        <v>61</v>
      </c>
      <c r="BA527" s="18">
        <v>34</v>
      </c>
      <c r="BB527" s="18">
        <v>0.55738</v>
      </c>
      <c r="BC527" s="18">
        <v>0</v>
      </c>
      <c r="BD527" s="18">
        <v>0</v>
      </c>
      <c r="BE527" s="18">
        <v>0.05599</v>
      </c>
      <c r="BF527" s="18">
        <v>30</v>
      </c>
      <c r="BG527" s="18">
        <v>2</v>
      </c>
      <c r="BH527" s="18">
        <v>0</v>
      </c>
      <c r="BI527" s="18"/>
      <c r="BJ527" s="18">
        <v>0</v>
      </c>
      <c r="BK527" s="18">
        <v>0</v>
      </c>
      <c r="BL527" s="18">
        <v>0</v>
      </c>
      <c r="BM527" s="18">
        <v>0</v>
      </c>
      <c r="BN527" s="18"/>
      <c r="BO527" s="18"/>
      <c r="BP527" s="18">
        <v>0</v>
      </c>
      <c r="BQ527" s="18">
        <v>101</v>
      </c>
      <c r="BR527" s="18">
        <v>0</v>
      </c>
      <c r="BS527" s="18">
        <v>0</v>
      </c>
      <c r="BT527" s="18">
        <v>0</v>
      </c>
      <c r="BU527" s="18">
        <v>0</v>
      </c>
      <c r="BV527" s="18">
        <v>0</v>
      </c>
      <c r="BW527" s="18">
        <v>0</v>
      </c>
      <c r="BX527" s="18">
        <v>0</v>
      </c>
    </row>
    <row r="528" spans="1:76">
      <c r="A528" s="14" t="str">
        <f>VLOOKUP(C528,VLOOKUP!A:B,2,FALSE)</f>
        <v>荔枝香</v>
      </c>
      <c r="B528" s="19">
        <v>46168</v>
      </c>
      <c r="C528" s="20">
        <v>960406497157</v>
      </c>
      <c r="D528" s="18" t="s">
        <v>151</v>
      </c>
      <c r="E528" s="18" t="s">
        <v>170</v>
      </c>
      <c r="F528" s="18">
        <v>5814</v>
      </c>
      <c r="G528" s="18">
        <v>270</v>
      </c>
      <c r="H528" s="18">
        <v>131.7</v>
      </c>
      <c r="I528" s="18">
        <v>0.04644</v>
      </c>
      <c r="J528" s="18">
        <v>0.49</v>
      </c>
      <c r="K528" s="18">
        <v>22.65</v>
      </c>
      <c r="L528" s="18">
        <v>0</v>
      </c>
      <c r="M528" s="18">
        <v>0</v>
      </c>
      <c r="N528" s="18">
        <v>0</v>
      </c>
      <c r="O528" s="18">
        <v>0</v>
      </c>
      <c r="P528" s="18">
        <v>0</v>
      </c>
      <c r="Q528" s="18">
        <v>0</v>
      </c>
      <c r="R528" s="18">
        <v>0</v>
      </c>
      <c r="S528" s="18">
        <v>0</v>
      </c>
      <c r="T528" s="18">
        <v>0</v>
      </c>
      <c r="U528" s="18">
        <v>0</v>
      </c>
      <c r="V528" s="18">
        <v>0</v>
      </c>
      <c r="W528" s="18">
        <v>0</v>
      </c>
      <c r="X528" s="18">
        <v>0</v>
      </c>
      <c r="Y528" s="18">
        <v>0</v>
      </c>
      <c r="Z528" s="18">
        <v>0</v>
      </c>
      <c r="AA528" s="18"/>
      <c r="AB528" s="18">
        <v>7</v>
      </c>
      <c r="AC528" s="18">
        <v>6</v>
      </c>
      <c r="AD528" s="18">
        <v>1</v>
      </c>
      <c r="AE528" s="18">
        <v>0.02593</v>
      </c>
      <c r="AF528" s="18">
        <v>3</v>
      </c>
      <c r="AG528" s="18">
        <v>2</v>
      </c>
      <c r="AH528" s="18">
        <v>65.85</v>
      </c>
      <c r="AI528" s="18">
        <v>12</v>
      </c>
      <c r="AJ528" s="18">
        <v>10.98</v>
      </c>
      <c r="AK528" s="18">
        <v>10</v>
      </c>
      <c r="AL528" s="18">
        <v>13.17</v>
      </c>
      <c r="AM528" s="18">
        <v>5</v>
      </c>
      <c r="AN528" s="18">
        <v>43.9</v>
      </c>
      <c r="AO528" s="18">
        <v>0.01111</v>
      </c>
      <c r="AP528" s="18">
        <v>18.81</v>
      </c>
      <c r="AQ528" s="18">
        <v>0</v>
      </c>
      <c r="AR528" s="18">
        <v>0</v>
      </c>
      <c r="AS528" s="18">
        <v>3</v>
      </c>
      <c r="AT528" s="18">
        <v>0</v>
      </c>
      <c r="AU528" s="18">
        <v>0</v>
      </c>
      <c r="AV528" s="18">
        <v>0</v>
      </c>
      <c r="AW528" s="18">
        <v>0</v>
      </c>
      <c r="AX528" s="18">
        <v>0</v>
      </c>
      <c r="AY528" s="18">
        <v>488</v>
      </c>
      <c r="AZ528" s="18">
        <v>252</v>
      </c>
      <c r="BA528" s="18">
        <v>214</v>
      </c>
      <c r="BB528" s="18">
        <v>0.84921</v>
      </c>
      <c r="BC528" s="18">
        <v>0</v>
      </c>
      <c r="BD528" s="18">
        <v>0</v>
      </c>
      <c r="BE528" s="18">
        <v>0.08394</v>
      </c>
      <c r="BF528" s="18">
        <v>168</v>
      </c>
      <c r="BG528" s="18">
        <v>2</v>
      </c>
      <c r="BH528" s="18">
        <v>0</v>
      </c>
      <c r="BI528" s="18"/>
      <c r="BJ528" s="18">
        <v>0</v>
      </c>
      <c r="BK528" s="18">
        <v>0</v>
      </c>
      <c r="BL528" s="18">
        <v>0</v>
      </c>
      <c r="BM528" s="18">
        <v>0</v>
      </c>
      <c r="BN528" s="18"/>
      <c r="BO528" s="18"/>
      <c r="BP528" s="18">
        <v>0.36</v>
      </c>
      <c r="BQ528" s="18">
        <v>411</v>
      </c>
      <c r="BR528" s="18">
        <v>0</v>
      </c>
      <c r="BS528" s="18">
        <v>0</v>
      </c>
      <c r="BT528" s="18">
        <v>0</v>
      </c>
      <c r="BU528" s="18">
        <v>0</v>
      </c>
      <c r="BV528" s="18">
        <v>0</v>
      </c>
      <c r="BW528" s="18">
        <v>0</v>
      </c>
      <c r="BX528" s="18">
        <v>0</v>
      </c>
    </row>
    <row r="529" spans="1:76">
      <c r="A529" s="14" t="str">
        <f>VLOOKUP(C529,VLOOKUP!A:B,2,FALSE)</f>
        <v>如意盘香</v>
      </c>
      <c r="B529" s="19">
        <v>46168</v>
      </c>
      <c r="C529" s="20">
        <v>838711327669</v>
      </c>
      <c r="D529" s="18" t="s">
        <v>151</v>
      </c>
      <c r="E529" s="18" t="s">
        <v>166</v>
      </c>
      <c r="F529" s="18">
        <v>632</v>
      </c>
      <c r="G529" s="18">
        <v>32</v>
      </c>
      <c r="H529" s="18">
        <v>41.64</v>
      </c>
      <c r="I529" s="18">
        <v>0.05063</v>
      </c>
      <c r="J529" s="18">
        <v>1.3</v>
      </c>
      <c r="K529" s="18">
        <v>65.89</v>
      </c>
      <c r="L529" s="18">
        <v>0</v>
      </c>
      <c r="M529" s="18">
        <v>0</v>
      </c>
      <c r="N529" s="18">
        <v>0</v>
      </c>
      <c r="O529" s="18">
        <v>0</v>
      </c>
      <c r="P529" s="18">
        <v>0</v>
      </c>
      <c r="Q529" s="18">
        <v>0</v>
      </c>
      <c r="R529" s="18">
        <v>138.64</v>
      </c>
      <c r="S529" s="18">
        <v>0</v>
      </c>
      <c r="T529" s="18">
        <v>138.64</v>
      </c>
      <c r="U529" s="18">
        <v>1</v>
      </c>
      <c r="V529" s="18">
        <v>1</v>
      </c>
      <c r="W529" s="18">
        <v>0</v>
      </c>
      <c r="X529" s="18">
        <v>0.03125</v>
      </c>
      <c r="Y529" s="18">
        <v>3.33</v>
      </c>
      <c r="Z529" s="18">
        <v>3.33</v>
      </c>
      <c r="AA529" s="18">
        <v>41.64</v>
      </c>
      <c r="AB529" s="18">
        <v>2</v>
      </c>
      <c r="AC529" s="18">
        <v>1</v>
      </c>
      <c r="AD529" s="18">
        <v>1</v>
      </c>
      <c r="AE529" s="18">
        <v>0.0625</v>
      </c>
      <c r="AF529" s="18">
        <v>0</v>
      </c>
      <c r="AG529" s="18">
        <v>0</v>
      </c>
      <c r="AH529" s="18"/>
      <c r="AI529" s="18">
        <v>2</v>
      </c>
      <c r="AJ529" s="18">
        <v>20.82</v>
      </c>
      <c r="AK529" s="18">
        <v>2</v>
      </c>
      <c r="AL529" s="18">
        <v>20.82</v>
      </c>
      <c r="AM529" s="18">
        <v>0</v>
      </c>
      <c r="AN529" s="18"/>
      <c r="AO529" s="18">
        <v>0</v>
      </c>
      <c r="AP529" s="18">
        <v>20.82</v>
      </c>
      <c r="AQ529" s="18">
        <v>2</v>
      </c>
      <c r="AR529" s="18">
        <v>217.9</v>
      </c>
      <c r="AS529" s="18">
        <v>0</v>
      </c>
      <c r="AT529" s="18">
        <v>0</v>
      </c>
      <c r="AU529" s="18">
        <v>0</v>
      </c>
      <c r="AV529" s="18">
        <v>0</v>
      </c>
      <c r="AW529" s="18">
        <v>0</v>
      </c>
      <c r="AX529" s="18">
        <v>0</v>
      </c>
      <c r="AY529" s="18">
        <v>85</v>
      </c>
      <c r="AZ529" s="18">
        <v>32</v>
      </c>
      <c r="BA529" s="18">
        <v>22</v>
      </c>
      <c r="BB529" s="18">
        <v>0.6875</v>
      </c>
      <c r="BC529" s="18">
        <v>0</v>
      </c>
      <c r="BD529" s="18">
        <v>0</v>
      </c>
      <c r="BE529" s="18">
        <v>0.13449</v>
      </c>
      <c r="BF529" s="18">
        <v>51</v>
      </c>
      <c r="BG529" s="18">
        <v>3</v>
      </c>
      <c r="BH529" s="18">
        <v>1</v>
      </c>
      <c r="BI529" s="18">
        <v>1</v>
      </c>
      <c r="BJ529" s="18">
        <v>0</v>
      </c>
      <c r="BK529" s="18">
        <v>0</v>
      </c>
      <c r="BL529" s="18">
        <v>0</v>
      </c>
      <c r="BM529" s="18">
        <v>1</v>
      </c>
      <c r="BN529" s="18">
        <v>1</v>
      </c>
      <c r="BO529" s="18">
        <v>138.64</v>
      </c>
      <c r="BP529" s="18">
        <v>8.38</v>
      </c>
      <c r="BQ529" s="18">
        <v>506</v>
      </c>
      <c r="BR529" s="18">
        <v>0</v>
      </c>
      <c r="BS529" s="18">
        <v>0</v>
      </c>
      <c r="BT529" s="18">
        <v>0</v>
      </c>
      <c r="BU529" s="18">
        <v>0</v>
      </c>
      <c r="BV529" s="18">
        <v>0</v>
      </c>
      <c r="BW529" s="18">
        <v>0</v>
      </c>
      <c r="BX529" s="18">
        <v>0</v>
      </c>
    </row>
    <row r="530" spans="1:76">
      <c r="A530" s="14" t="str">
        <f>VLOOKUP(C530,VLOOKUP!A:B,2,FALSE)</f>
        <v>早晚安香</v>
      </c>
      <c r="B530" s="19">
        <v>46167</v>
      </c>
      <c r="C530" s="20">
        <v>1010789122929</v>
      </c>
      <c r="D530" s="18" t="s">
        <v>151</v>
      </c>
      <c r="E530" s="18" t="s">
        <v>164</v>
      </c>
      <c r="F530" s="18">
        <v>1586</v>
      </c>
      <c r="G530" s="18">
        <v>58</v>
      </c>
      <c r="H530" s="18">
        <v>46.19</v>
      </c>
      <c r="I530" s="18">
        <v>0.03657</v>
      </c>
      <c r="J530" s="18">
        <v>0.8</v>
      </c>
      <c r="K530" s="18">
        <v>29.12</v>
      </c>
      <c r="L530" s="18">
        <v>0</v>
      </c>
      <c r="M530" s="18">
        <v>0</v>
      </c>
      <c r="N530" s="18">
        <v>0</v>
      </c>
      <c r="O530" s="18">
        <v>0</v>
      </c>
      <c r="P530" s="18">
        <v>0</v>
      </c>
      <c r="Q530" s="18">
        <v>0</v>
      </c>
      <c r="R530" s="18">
        <v>0</v>
      </c>
      <c r="S530" s="18">
        <v>0</v>
      </c>
      <c r="T530" s="18">
        <v>0</v>
      </c>
      <c r="U530" s="18">
        <v>0</v>
      </c>
      <c r="V530" s="18">
        <v>0</v>
      </c>
      <c r="W530" s="18">
        <v>0</v>
      </c>
      <c r="X530" s="18">
        <v>0</v>
      </c>
      <c r="Y530" s="18">
        <v>0</v>
      </c>
      <c r="Z530" s="18">
        <v>0</v>
      </c>
      <c r="AA530" s="18"/>
      <c r="AB530" s="18">
        <v>1</v>
      </c>
      <c r="AC530" s="18">
        <v>1</v>
      </c>
      <c r="AD530" s="18">
        <v>0</v>
      </c>
      <c r="AE530" s="18">
        <v>0.01724</v>
      </c>
      <c r="AF530" s="18">
        <v>0</v>
      </c>
      <c r="AG530" s="18">
        <v>0</v>
      </c>
      <c r="AH530" s="18"/>
      <c r="AI530" s="18">
        <v>1</v>
      </c>
      <c r="AJ530" s="18">
        <v>46.19</v>
      </c>
      <c r="AK530" s="18">
        <v>1</v>
      </c>
      <c r="AL530" s="18">
        <v>46.19</v>
      </c>
      <c r="AM530" s="18">
        <v>0</v>
      </c>
      <c r="AN530" s="18"/>
      <c r="AO530" s="18">
        <v>0</v>
      </c>
      <c r="AP530" s="18">
        <v>46.19</v>
      </c>
      <c r="AQ530" s="18">
        <v>1</v>
      </c>
      <c r="AR530" s="18">
        <v>49.9</v>
      </c>
      <c r="AS530" s="18">
        <v>0</v>
      </c>
      <c r="AT530" s="18">
        <v>0</v>
      </c>
      <c r="AU530" s="18">
        <v>0</v>
      </c>
      <c r="AV530" s="18">
        <v>0</v>
      </c>
      <c r="AW530" s="18">
        <v>0</v>
      </c>
      <c r="AX530" s="18">
        <v>0</v>
      </c>
      <c r="AY530" s="18">
        <v>125</v>
      </c>
      <c r="AZ530" s="18">
        <v>50</v>
      </c>
      <c r="BA530" s="18">
        <v>30</v>
      </c>
      <c r="BB530" s="18">
        <v>0.6</v>
      </c>
      <c r="BC530" s="18">
        <v>0</v>
      </c>
      <c r="BD530" s="18">
        <v>0</v>
      </c>
      <c r="BE530" s="18">
        <v>0.07881</v>
      </c>
      <c r="BF530" s="18">
        <v>51</v>
      </c>
      <c r="BG530" s="18">
        <v>3</v>
      </c>
      <c r="BH530" s="18">
        <v>0</v>
      </c>
      <c r="BI530" s="18"/>
      <c r="BJ530" s="18">
        <v>0</v>
      </c>
      <c r="BK530" s="18">
        <v>0</v>
      </c>
      <c r="BL530" s="18">
        <v>0</v>
      </c>
      <c r="BM530" s="18">
        <v>0</v>
      </c>
      <c r="BN530" s="18"/>
      <c r="BO530" s="18"/>
      <c r="BP530" s="18">
        <v>0</v>
      </c>
      <c r="BQ530" s="18">
        <v>160</v>
      </c>
      <c r="BR530" s="18">
        <v>0</v>
      </c>
      <c r="BS530" s="18">
        <v>0</v>
      </c>
      <c r="BT530" s="18">
        <v>0</v>
      </c>
      <c r="BU530" s="18">
        <v>0</v>
      </c>
      <c r="BV530" s="18">
        <v>0</v>
      </c>
      <c r="BW530" s="18">
        <v>0</v>
      </c>
      <c r="BX530" s="18">
        <v>0</v>
      </c>
    </row>
    <row r="531" spans="1:76">
      <c r="A531" s="14" t="str">
        <f>VLOOKUP(C531,VLOOKUP!A:B,2,FALSE)</f>
        <v>荔枝香</v>
      </c>
      <c r="B531" s="19">
        <v>46167</v>
      </c>
      <c r="C531" s="20">
        <v>960406497157</v>
      </c>
      <c r="D531" s="18" t="s">
        <v>151</v>
      </c>
      <c r="E531" s="18" t="s">
        <v>171</v>
      </c>
      <c r="F531" s="18">
        <v>4726</v>
      </c>
      <c r="G531" s="18">
        <v>280</v>
      </c>
      <c r="H531" s="18">
        <v>130.18</v>
      </c>
      <c r="I531" s="18">
        <v>0.05925</v>
      </c>
      <c r="J531" s="18">
        <v>0.46</v>
      </c>
      <c r="K531" s="18">
        <v>27.55</v>
      </c>
      <c r="L531" s="18">
        <v>0</v>
      </c>
      <c r="M531" s="18">
        <v>0</v>
      </c>
      <c r="N531" s="18">
        <v>0</v>
      </c>
      <c r="O531" s="18">
        <v>0</v>
      </c>
      <c r="P531" s="18">
        <v>0</v>
      </c>
      <c r="Q531" s="18">
        <v>0</v>
      </c>
      <c r="R531" s="18">
        <v>311.2</v>
      </c>
      <c r="S531" s="18">
        <v>0</v>
      </c>
      <c r="T531" s="18">
        <v>311.2</v>
      </c>
      <c r="U531" s="18">
        <v>3</v>
      </c>
      <c r="V531" s="18">
        <v>3</v>
      </c>
      <c r="W531" s="18">
        <v>0</v>
      </c>
      <c r="X531" s="18">
        <v>0.01071</v>
      </c>
      <c r="Y531" s="18">
        <v>2.39</v>
      </c>
      <c r="Z531" s="18">
        <v>2.39</v>
      </c>
      <c r="AA531" s="18">
        <v>43.39</v>
      </c>
      <c r="AB531" s="18">
        <v>10</v>
      </c>
      <c r="AC531" s="18">
        <v>9</v>
      </c>
      <c r="AD531" s="18">
        <v>1</v>
      </c>
      <c r="AE531" s="18">
        <v>0.03571</v>
      </c>
      <c r="AF531" s="18">
        <v>5</v>
      </c>
      <c r="AG531" s="18">
        <v>3</v>
      </c>
      <c r="AH531" s="18">
        <v>43.39</v>
      </c>
      <c r="AI531" s="18">
        <v>18</v>
      </c>
      <c r="AJ531" s="18">
        <v>7.23</v>
      </c>
      <c r="AK531" s="18">
        <v>15</v>
      </c>
      <c r="AL531" s="18">
        <v>8.68</v>
      </c>
      <c r="AM531" s="18">
        <v>8</v>
      </c>
      <c r="AN531" s="18">
        <v>26.04</v>
      </c>
      <c r="AO531" s="18">
        <v>0.01786</v>
      </c>
      <c r="AP531" s="18">
        <v>13.02</v>
      </c>
      <c r="AQ531" s="18">
        <v>4</v>
      </c>
      <c r="AR531" s="18">
        <v>464.9</v>
      </c>
      <c r="AS531" s="18">
        <v>5</v>
      </c>
      <c r="AT531" s="18">
        <v>0</v>
      </c>
      <c r="AU531" s="18">
        <v>0</v>
      </c>
      <c r="AV531" s="18">
        <v>0</v>
      </c>
      <c r="AW531" s="18">
        <v>0</v>
      </c>
      <c r="AX531" s="18">
        <v>5</v>
      </c>
      <c r="AY531" s="18">
        <v>581</v>
      </c>
      <c r="AZ531" s="18">
        <v>245</v>
      </c>
      <c r="BA531" s="18">
        <v>198</v>
      </c>
      <c r="BB531" s="18">
        <v>0.80816</v>
      </c>
      <c r="BC531" s="18">
        <v>0</v>
      </c>
      <c r="BD531" s="18">
        <v>0</v>
      </c>
      <c r="BE531" s="18">
        <v>0.12294</v>
      </c>
      <c r="BF531" s="18">
        <v>210</v>
      </c>
      <c r="BG531" s="18">
        <v>2</v>
      </c>
      <c r="BH531" s="18">
        <v>2</v>
      </c>
      <c r="BI531" s="18">
        <v>0.66667</v>
      </c>
      <c r="BJ531" s="18">
        <v>0</v>
      </c>
      <c r="BK531" s="18">
        <v>0</v>
      </c>
      <c r="BL531" s="18">
        <v>0</v>
      </c>
      <c r="BM531" s="18">
        <v>3</v>
      </c>
      <c r="BN531" s="18">
        <v>1</v>
      </c>
      <c r="BO531" s="18">
        <v>103.73</v>
      </c>
      <c r="BP531" s="18">
        <v>10.29</v>
      </c>
      <c r="BQ531" s="18">
        <v>1238</v>
      </c>
      <c r="BR531" s="18">
        <v>0</v>
      </c>
      <c r="BS531" s="18">
        <v>0</v>
      </c>
      <c r="BT531" s="18">
        <v>0</v>
      </c>
      <c r="BU531" s="18">
        <v>0</v>
      </c>
      <c r="BV531" s="18">
        <v>0</v>
      </c>
      <c r="BW531" s="18">
        <v>0</v>
      </c>
      <c r="BX531" s="18">
        <v>0</v>
      </c>
    </row>
    <row r="532" spans="1:76">
      <c r="A532" s="14" t="str">
        <f>VLOOKUP(C532,VLOOKUP!A:B,2,FALSE)</f>
        <v>如意盘香</v>
      </c>
      <c r="B532" s="19">
        <v>46167</v>
      </c>
      <c r="C532" s="20">
        <v>838711327669</v>
      </c>
      <c r="D532" s="18" t="s">
        <v>151</v>
      </c>
      <c r="E532" s="18" t="s">
        <v>166</v>
      </c>
      <c r="F532" s="18">
        <v>429</v>
      </c>
      <c r="G532" s="18">
        <v>22</v>
      </c>
      <c r="H532" s="18">
        <v>40.57</v>
      </c>
      <c r="I532" s="18">
        <v>0.05128</v>
      </c>
      <c r="J532" s="18">
        <v>1.84</v>
      </c>
      <c r="K532" s="18">
        <v>94.57</v>
      </c>
      <c r="L532" s="18">
        <v>0</v>
      </c>
      <c r="M532" s="18">
        <v>0</v>
      </c>
      <c r="N532" s="18">
        <v>0</v>
      </c>
      <c r="O532" s="18">
        <v>0</v>
      </c>
      <c r="P532" s="18">
        <v>0</v>
      </c>
      <c r="Q532" s="18">
        <v>0</v>
      </c>
      <c r="R532" s="18">
        <v>0</v>
      </c>
      <c r="S532" s="18">
        <v>0</v>
      </c>
      <c r="T532" s="18">
        <v>0</v>
      </c>
      <c r="U532" s="18">
        <v>0</v>
      </c>
      <c r="V532" s="18">
        <v>0</v>
      </c>
      <c r="W532" s="18">
        <v>0</v>
      </c>
      <c r="X532" s="18">
        <v>0</v>
      </c>
      <c r="Y532" s="18">
        <v>0</v>
      </c>
      <c r="Z532" s="18">
        <v>0</v>
      </c>
      <c r="AA532" s="18"/>
      <c r="AB532" s="18">
        <v>4</v>
      </c>
      <c r="AC532" s="18">
        <v>1</v>
      </c>
      <c r="AD532" s="18">
        <v>3</v>
      </c>
      <c r="AE532" s="18">
        <v>0.18182</v>
      </c>
      <c r="AF532" s="18">
        <v>0</v>
      </c>
      <c r="AG532" s="18">
        <v>0</v>
      </c>
      <c r="AH532" s="18"/>
      <c r="AI532" s="18">
        <v>4</v>
      </c>
      <c r="AJ532" s="18">
        <v>10.14</v>
      </c>
      <c r="AK532" s="18">
        <v>4</v>
      </c>
      <c r="AL532" s="18">
        <v>10.14</v>
      </c>
      <c r="AM532" s="18">
        <v>0</v>
      </c>
      <c r="AN532" s="18"/>
      <c r="AO532" s="18">
        <v>0</v>
      </c>
      <c r="AP532" s="18">
        <v>10.14</v>
      </c>
      <c r="AQ532" s="18">
        <v>0</v>
      </c>
      <c r="AR532" s="18">
        <v>0</v>
      </c>
      <c r="AS532" s="18">
        <v>0</v>
      </c>
      <c r="AT532" s="18">
        <v>0</v>
      </c>
      <c r="AU532" s="18">
        <v>0</v>
      </c>
      <c r="AV532" s="18">
        <v>0</v>
      </c>
      <c r="AW532" s="18">
        <v>0</v>
      </c>
      <c r="AX532" s="18">
        <v>0</v>
      </c>
      <c r="AY532" s="18">
        <v>79</v>
      </c>
      <c r="AZ532" s="18">
        <v>21</v>
      </c>
      <c r="BA532" s="18">
        <v>14</v>
      </c>
      <c r="BB532" s="18">
        <v>0.66667</v>
      </c>
      <c r="BC532" s="18">
        <v>0</v>
      </c>
      <c r="BD532" s="18">
        <v>0</v>
      </c>
      <c r="BE532" s="18">
        <v>0.18415</v>
      </c>
      <c r="BF532" s="18">
        <v>55</v>
      </c>
      <c r="BG532" s="18">
        <v>4</v>
      </c>
      <c r="BH532" s="18">
        <v>0</v>
      </c>
      <c r="BI532" s="18"/>
      <c r="BJ532" s="18">
        <v>0</v>
      </c>
      <c r="BK532" s="18">
        <v>0</v>
      </c>
      <c r="BL532" s="18">
        <v>0</v>
      </c>
      <c r="BM532" s="18">
        <v>0</v>
      </c>
      <c r="BN532" s="18"/>
      <c r="BO532" s="18"/>
      <c r="BP532" s="18">
        <v>3.58</v>
      </c>
      <c r="BQ532" s="18">
        <v>110</v>
      </c>
      <c r="BR532" s="18">
        <v>0</v>
      </c>
      <c r="BS532" s="18">
        <v>0</v>
      </c>
      <c r="BT532" s="18">
        <v>0</v>
      </c>
      <c r="BU532" s="18">
        <v>0</v>
      </c>
      <c r="BV532" s="18">
        <v>0</v>
      </c>
      <c r="BW532" s="18">
        <v>0</v>
      </c>
      <c r="BX532" s="18">
        <v>0</v>
      </c>
    </row>
    <row r="533" spans="1:76">
      <c r="A533" s="14" t="str">
        <f>VLOOKUP(C533,VLOOKUP!A:B,2,FALSE)</f>
        <v>早晚安香</v>
      </c>
      <c r="B533" s="19">
        <v>46166</v>
      </c>
      <c r="C533" s="20">
        <v>1010789122929</v>
      </c>
      <c r="D533" s="18" t="s">
        <v>151</v>
      </c>
      <c r="E533" s="18" t="s">
        <v>164</v>
      </c>
      <c r="F533" s="18">
        <v>1508</v>
      </c>
      <c r="G533" s="18">
        <v>61</v>
      </c>
      <c r="H533" s="18">
        <v>49.59</v>
      </c>
      <c r="I533" s="18">
        <v>0.04045</v>
      </c>
      <c r="J533" s="18">
        <v>0.81</v>
      </c>
      <c r="K533" s="18">
        <v>32.88</v>
      </c>
      <c r="L533" s="18">
        <v>0</v>
      </c>
      <c r="M533" s="18">
        <v>0</v>
      </c>
      <c r="N533" s="18">
        <v>0</v>
      </c>
      <c r="O533" s="18">
        <v>0</v>
      </c>
      <c r="P533" s="18">
        <v>0</v>
      </c>
      <c r="Q533" s="18">
        <v>0</v>
      </c>
      <c r="R533" s="18">
        <v>0</v>
      </c>
      <c r="S533" s="18">
        <v>0</v>
      </c>
      <c r="T533" s="18">
        <v>0</v>
      </c>
      <c r="U533" s="18">
        <v>0</v>
      </c>
      <c r="V533" s="18">
        <v>0</v>
      </c>
      <c r="W533" s="18">
        <v>0</v>
      </c>
      <c r="X533" s="18">
        <v>0</v>
      </c>
      <c r="Y533" s="18">
        <v>0</v>
      </c>
      <c r="Z533" s="18">
        <v>0</v>
      </c>
      <c r="AA533" s="18"/>
      <c r="AB533" s="18">
        <v>3</v>
      </c>
      <c r="AC533" s="18">
        <v>1</v>
      </c>
      <c r="AD533" s="18">
        <v>2</v>
      </c>
      <c r="AE533" s="18">
        <v>0.04918</v>
      </c>
      <c r="AF533" s="18">
        <v>2</v>
      </c>
      <c r="AG533" s="18">
        <v>0</v>
      </c>
      <c r="AH533" s="18"/>
      <c r="AI533" s="18">
        <v>5</v>
      </c>
      <c r="AJ533" s="18">
        <v>9.92</v>
      </c>
      <c r="AK533" s="18">
        <v>5</v>
      </c>
      <c r="AL533" s="18">
        <v>9.92</v>
      </c>
      <c r="AM533" s="18">
        <v>2</v>
      </c>
      <c r="AN533" s="18">
        <v>24.8</v>
      </c>
      <c r="AO533" s="18">
        <v>0.03279</v>
      </c>
      <c r="AP533" s="18">
        <v>16.53</v>
      </c>
      <c r="AQ533" s="18">
        <v>0</v>
      </c>
      <c r="AR533" s="18">
        <v>0</v>
      </c>
      <c r="AS533" s="18">
        <v>2</v>
      </c>
      <c r="AT533" s="18">
        <v>0</v>
      </c>
      <c r="AU533" s="18">
        <v>0</v>
      </c>
      <c r="AV533" s="18">
        <v>0</v>
      </c>
      <c r="AW533" s="18">
        <v>0</v>
      </c>
      <c r="AX533" s="18">
        <v>0</v>
      </c>
      <c r="AY533" s="18">
        <v>127</v>
      </c>
      <c r="AZ533" s="18">
        <v>48</v>
      </c>
      <c r="BA533" s="18">
        <v>24</v>
      </c>
      <c r="BB533" s="18">
        <v>0.5</v>
      </c>
      <c r="BC533" s="18">
        <v>0</v>
      </c>
      <c r="BD533" s="18">
        <v>0</v>
      </c>
      <c r="BE533" s="18">
        <v>0.08422</v>
      </c>
      <c r="BF533" s="18">
        <v>50</v>
      </c>
      <c r="BG533" s="18">
        <v>3</v>
      </c>
      <c r="BH533" s="18">
        <v>0</v>
      </c>
      <c r="BI533" s="18"/>
      <c r="BJ533" s="18">
        <v>0</v>
      </c>
      <c r="BK533" s="18">
        <v>0</v>
      </c>
      <c r="BL533" s="18">
        <v>0</v>
      </c>
      <c r="BM533" s="18">
        <v>0</v>
      </c>
      <c r="BN533" s="18"/>
      <c r="BO533" s="18"/>
      <c r="BP533" s="18">
        <v>0.5</v>
      </c>
      <c r="BQ533" s="18">
        <v>253</v>
      </c>
      <c r="BR533" s="18">
        <v>0</v>
      </c>
      <c r="BS533" s="18">
        <v>0</v>
      </c>
      <c r="BT533" s="18">
        <v>0</v>
      </c>
      <c r="BU533" s="18">
        <v>0</v>
      </c>
      <c r="BV533" s="18">
        <v>0</v>
      </c>
      <c r="BW533" s="18">
        <v>0</v>
      </c>
      <c r="BX533" s="18">
        <v>0</v>
      </c>
    </row>
    <row r="534" spans="1:76">
      <c r="A534" s="14" t="str">
        <f>VLOOKUP(C534,VLOOKUP!A:B,2,FALSE)</f>
        <v>荔枝香</v>
      </c>
      <c r="B534" s="19">
        <v>46166</v>
      </c>
      <c r="C534" s="20">
        <v>960406497157</v>
      </c>
      <c r="D534" s="18" t="s">
        <v>151</v>
      </c>
      <c r="E534" s="18" t="s">
        <v>171</v>
      </c>
      <c r="F534" s="18">
        <v>6179</v>
      </c>
      <c r="G534" s="18">
        <v>398</v>
      </c>
      <c r="H534" s="18">
        <v>150.68</v>
      </c>
      <c r="I534" s="18">
        <v>0.06441</v>
      </c>
      <c r="J534" s="18">
        <v>0.38</v>
      </c>
      <c r="K534" s="18">
        <v>24.39</v>
      </c>
      <c r="L534" s="18">
        <v>0</v>
      </c>
      <c r="M534" s="18">
        <v>0</v>
      </c>
      <c r="N534" s="18">
        <v>0</v>
      </c>
      <c r="O534" s="18">
        <v>0</v>
      </c>
      <c r="P534" s="18">
        <v>0</v>
      </c>
      <c r="Q534" s="18">
        <v>0</v>
      </c>
      <c r="R534" s="18">
        <v>0</v>
      </c>
      <c r="S534" s="18">
        <v>0</v>
      </c>
      <c r="T534" s="18">
        <v>0</v>
      </c>
      <c r="U534" s="18">
        <v>0</v>
      </c>
      <c r="V534" s="18">
        <v>0</v>
      </c>
      <c r="W534" s="18">
        <v>0</v>
      </c>
      <c r="X534" s="18">
        <v>0</v>
      </c>
      <c r="Y534" s="18">
        <v>0</v>
      </c>
      <c r="Z534" s="18">
        <v>0</v>
      </c>
      <c r="AA534" s="18"/>
      <c r="AB534" s="18">
        <v>4</v>
      </c>
      <c r="AC534" s="18">
        <v>2</v>
      </c>
      <c r="AD534" s="18">
        <v>2</v>
      </c>
      <c r="AE534" s="18">
        <v>0.01005</v>
      </c>
      <c r="AF534" s="18">
        <v>5</v>
      </c>
      <c r="AG534" s="18">
        <v>1</v>
      </c>
      <c r="AH534" s="18">
        <v>150.68</v>
      </c>
      <c r="AI534" s="18">
        <v>10</v>
      </c>
      <c r="AJ534" s="18">
        <v>15.07</v>
      </c>
      <c r="AK534" s="18">
        <v>9</v>
      </c>
      <c r="AL534" s="18">
        <v>16.74</v>
      </c>
      <c r="AM534" s="18">
        <v>6</v>
      </c>
      <c r="AN534" s="18">
        <v>30.14</v>
      </c>
      <c r="AO534" s="18">
        <v>0.01256</v>
      </c>
      <c r="AP534" s="18">
        <v>37.67</v>
      </c>
      <c r="AQ534" s="18">
        <v>0</v>
      </c>
      <c r="AR534" s="18">
        <v>0</v>
      </c>
      <c r="AS534" s="18">
        <v>4</v>
      </c>
      <c r="AT534" s="18">
        <v>1</v>
      </c>
      <c r="AU534" s="18">
        <v>0</v>
      </c>
      <c r="AV534" s="18">
        <v>0</v>
      </c>
      <c r="AW534" s="18">
        <v>0</v>
      </c>
      <c r="AX534" s="18">
        <v>0</v>
      </c>
      <c r="AY534" s="18">
        <v>684</v>
      </c>
      <c r="AZ534" s="18">
        <v>356</v>
      </c>
      <c r="BA534" s="18">
        <v>310</v>
      </c>
      <c r="BB534" s="18">
        <v>0.87079</v>
      </c>
      <c r="BC534" s="18">
        <v>0</v>
      </c>
      <c r="BD534" s="18">
        <v>0</v>
      </c>
      <c r="BE534" s="18">
        <v>0.1107</v>
      </c>
      <c r="BF534" s="18">
        <v>174</v>
      </c>
      <c r="BG534" s="18">
        <v>2</v>
      </c>
      <c r="BH534" s="18">
        <v>0</v>
      </c>
      <c r="BI534" s="18"/>
      <c r="BJ534" s="18">
        <v>0</v>
      </c>
      <c r="BK534" s="18">
        <v>0</v>
      </c>
      <c r="BL534" s="18">
        <v>0</v>
      </c>
      <c r="BM534" s="18">
        <v>0</v>
      </c>
      <c r="BN534" s="18"/>
      <c r="BO534" s="18"/>
      <c r="BP534" s="18">
        <v>2.16</v>
      </c>
      <c r="BQ534" s="18">
        <v>436</v>
      </c>
      <c r="BR534" s="18">
        <v>0</v>
      </c>
      <c r="BS534" s="18">
        <v>0</v>
      </c>
      <c r="BT534" s="18">
        <v>0</v>
      </c>
      <c r="BU534" s="18">
        <v>0</v>
      </c>
      <c r="BV534" s="18">
        <v>0</v>
      </c>
      <c r="BW534" s="18">
        <v>0</v>
      </c>
      <c r="BX534" s="18">
        <v>0</v>
      </c>
    </row>
    <row r="535" spans="1:76">
      <c r="A535" s="14" t="str">
        <f>VLOOKUP(C535,VLOOKUP!A:B,2,FALSE)</f>
        <v>如意盘香</v>
      </c>
      <c r="B535" s="19">
        <v>46166</v>
      </c>
      <c r="C535" s="20">
        <v>838711327669</v>
      </c>
      <c r="D535" s="18" t="s">
        <v>151</v>
      </c>
      <c r="E535" s="18" t="s">
        <v>166</v>
      </c>
      <c r="F535" s="18">
        <v>430</v>
      </c>
      <c r="G535" s="18">
        <v>21</v>
      </c>
      <c r="H535" s="18">
        <v>44.55</v>
      </c>
      <c r="I535" s="18">
        <v>0.04884</v>
      </c>
      <c r="J535" s="18">
        <v>2.12</v>
      </c>
      <c r="K535" s="18">
        <v>103.6</v>
      </c>
      <c r="L535" s="18">
        <v>0</v>
      </c>
      <c r="M535" s="18">
        <v>0</v>
      </c>
      <c r="N535" s="18">
        <v>0</v>
      </c>
      <c r="O535" s="18">
        <v>0</v>
      </c>
      <c r="P535" s="18">
        <v>0</v>
      </c>
      <c r="Q535" s="18">
        <v>0</v>
      </c>
      <c r="R535" s="18">
        <v>0</v>
      </c>
      <c r="S535" s="18">
        <v>39.9</v>
      </c>
      <c r="T535" s="18">
        <v>39.9</v>
      </c>
      <c r="U535" s="18">
        <v>1</v>
      </c>
      <c r="V535" s="18">
        <v>0</v>
      </c>
      <c r="W535" s="18">
        <v>1</v>
      </c>
      <c r="X535" s="18">
        <v>0.04762</v>
      </c>
      <c r="Y535" s="18">
        <v>0.9</v>
      </c>
      <c r="Z535" s="18">
        <v>0.9</v>
      </c>
      <c r="AA535" s="18">
        <v>44.55</v>
      </c>
      <c r="AB535" s="18">
        <v>2</v>
      </c>
      <c r="AC535" s="18">
        <v>2</v>
      </c>
      <c r="AD535" s="18">
        <v>0</v>
      </c>
      <c r="AE535" s="18">
        <v>0.09524</v>
      </c>
      <c r="AF535" s="18">
        <v>0</v>
      </c>
      <c r="AG535" s="18">
        <v>1</v>
      </c>
      <c r="AH535" s="18">
        <v>44.55</v>
      </c>
      <c r="AI535" s="18">
        <v>3</v>
      </c>
      <c r="AJ535" s="18">
        <v>14.85</v>
      </c>
      <c r="AK535" s="18">
        <v>2</v>
      </c>
      <c r="AL535" s="18">
        <v>22.28</v>
      </c>
      <c r="AM535" s="18">
        <v>1</v>
      </c>
      <c r="AN535" s="18"/>
      <c r="AO535" s="18">
        <v>0</v>
      </c>
      <c r="AP535" s="18">
        <v>22.28</v>
      </c>
      <c r="AQ535" s="18">
        <v>1</v>
      </c>
      <c r="AR535" s="18">
        <v>79</v>
      </c>
      <c r="AS535" s="18">
        <v>0</v>
      </c>
      <c r="AT535" s="18">
        <v>0</v>
      </c>
      <c r="AU535" s="18">
        <v>0</v>
      </c>
      <c r="AV535" s="18">
        <v>0</v>
      </c>
      <c r="AW535" s="18">
        <v>0</v>
      </c>
      <c r="AX535" s="18">
        <v>2</v>
      </c>
      <c r="AY535" s="18">
        <v>60</v>
      </c>
      <c r="AZ535" s="18">
        <v>17</v>
      </c>
      <c r="BA535" s="18">
        <v>9</v>
      </c>
      <c r="BB535" s="18">
        <v>0.52941</v>
      </c>
      <c r="BC535" s="18">
        <v>0</v>
      </c>
      <c r="BD535" s="18">
        <v>0</v>
      </c>
      <c r="BE535" s="18">
        <v>0.13953</v>
      </c>
      <c r="BF535" s="18">
        <v>38</v>
      </c>
      <c r="BG535" s="18">
        <v>4</v>
      </c>
      <c r="BH535" s="18">
        <v>1</v>
      </c>
      <c r="BI535" s="18">
        <v>1</v>
      </c>
      <c r="BJ535" s="18">
        <v>0</v>
      </c>
      <c r="BK535" s="18">
        <v>0</v>
      </c>
      <c r="BL535" s="18">
        <v>0</v>
      </c>
      <c r="BM535" s="18">
        <v>1</v>
      </c>
      <c r="BN535" s="18">
        <v>1</v>
      </c>
      <c r="BO535" s="18">
        <v>39.9</v>
      </c>
      <c r="BP535" s="18">
        <v>27.95</v>
      </c>
      <c r="BQ535" s="18">
        <v>280</v>
      </c>
      <c r="BR535" s="18">
        <v>0</v>
      </c>
      <c r="BS535" s="18">
        <v>0</v>
      </c>
      <c r="BT535" s="18">
        <v>0</v>
      </c>
      <c r="BU535" s="18">
        <v>0</v>
      </c>
      <c r="BV535" s="18">
        <v>0</v>
      </c>
      <c r="BW535" s="18">
        <v>0</v>
      </c>
      <c r="BX535" s="18">
        <v>0</v>
      </c>
    </row>
    <row r="536" spans="1:76">
      <c r="A536" s="14" t="str">
        <f>VLOOKUP(C536,VLOOKUP!A:B,2,FALSE)</f>
        <v>早晚安香</v>
      </c>
      <c r="B536" s="19">
        <v>46165</v>
      </c>
      <c r="C536" s="20">
        <v>1010789122929</v>
      </c>
      <c r="D536" s="18" t="s">
        <v>151</v>
      </c>
      <c r="E536" s="18" t="s">
        <v>172</v>
      </c>
      <c r="F536" s="18">
        <v>1338</v>
      </c>
      <c r="G536" s="18">
        <v>54</v>
      </c>
      <c r="H536" s="18">
        <v>47.7</v>
      </c>
      <c r="I536" s="18">
        <v>0.04036</v>
      </c>
      <c r="J536" s="18">
        <v>0.88</v>
      </c>
      <c r="K536" s="18">
        <v>35.65</v>
      </c>
      <c r="L536" s="18">
        <v>0</v>
      </c>
      <c r="M536" s="18">
        <v>0</v>
      </c>
      <c r="N536" s="18">
        <v>0</v>
      </c>
      <c r="O536" s="18">
        <v>0</v>
      </c>
      <c r="P536" s="18">
        <v>0</v>
      </c>
      <c r="Q536" s="18">
        <v>0</v>
      </c>
      <c r="R536" s="18">
        <v>0</v>
      </c>
      <c r="S536" s="18">
        <v>142</v>
      </c>
      <c r="T536" s="18">
        <v>142</v>
      </c>
      <c r="U536" s="18">
        <v>1</v>
      </c>
      <c r="V536" s="18">
        <v>0</v>
      </c>
      <c r="W536" s="18">
        <v>1</v>
      </c>
      <c r="X536" s="18">
        <v>0.01852</v>
      </c>
      <c r="Y536" s="18">
        <v>2.98</v>
      </c>
      <c r="Z536" s="18">
        <v>2.98</v>
      </c>
      <c r="AA536" s="18">
        <v>47.7</v>
      </c>
      <c r="AB536" s="18">
        <v>5</v>
      </c>
      <c r="AC536" s="18">
        <v>1</v>
      </c>
      <c r="AD536" s="18">
        <v>4</v>
      </c>
      <c r="AE536" s="18">
        <v>0.09259</v>
      </c>
      <c r="AF536" s="18">
        <v>1</v>
      </c>
      <c r="AG536" s="18">
        <v>0</v>
      </c>
      <c r="AH536" s="18"/>
      <c r="AI536" s="18">
        <v>6</v>
      </c>
      <c r="AJ536" s="18">
        <v>7.95</v>
      </c>
      <c r="AK536" s="18">
        <v>6</v>
      </c>
      <c r="AL536" s="18">
        <v>7.95</v>
      </c>
      <c r="AM536" s="18">
        <v>1</v>
      </c>
      <c r="AN536" s="18">
        <v>47.7</v>
      </c>
      <c r="AO536" s="18">
        <v>0.01852</v>
      </c>
      <c r="AP536" s="18">
        <v>9.54</v>
      </c>
      <c r="AQ536" s="18">
        <v>4</v>
      </c>
      <c r="AR536" s="18">
        <v>536.8</v>
      </c>
      <c r="AS536" s="18">
        <v>1</v>
      </c>
      <c r="AT536" s="18">
        <v>0</v>
      </c>
      <c r="AU536" s="18">
        <v>0</v>
      </c>
      <c r="AV536" s="18">
        <v>0</v>
      </c>
      <c r="AW536" s="18">
        <v>0</v>
      </c>
      <c r="AX536" s="18">
        <v>1</v>
      </c>
      <c r="AY536" s="18">
        <v>117</v>
      </c>
      <c r="AZ536" s="18">
        <v>56</v>
      </c>
      <c r="BA536" s="18">
        <v>30</v>
      </c>
      <c r="BB536" s="18">
        <v>0.53571</v>
      </c>
      <c r="BC536" s="18">
        <v>0</v>
      </c>
      <c r="BD536" s="18">
        <v>0</v>
      </c>
      <c r="BE536" s="18">
        <v>0.08744</v>
      </c>
      <c r="BF536" s="18">
        <v>53</v>
      </c>
      <c r="BG536" s="18">
        <v>2</v>
      </c>
      <c r="BH536" s="18">
        <v>1</v>
      </c>
      <c r="BI536" s="18">
        <v>1</v>
      </c>
      <c r="BJ536" s="18">
        <v>0</v>
      </c>
      <c r="BK536" s="18">
        <v>0</v>
      </c>
      <c r="BL536" s="18">
        <v>0</v>
      </c>
      <c r="BM536" s="18">
        <v>1</v>
      </c>
      <c r="BN536" s="18">
        <v>1</v>
      </c>
      <c r="BO536" s="18">
        <v>142</v>
      </c>
      <c r="BP536" s="18">
        <v>5.01</v>
      </c>
      <c r="BQ536" s="18">
        <v>350</v>
      </c>
      <c r="BR536" s="18">
        <v>0</v>
      </c>
      <c r="BS536" s="18">
        <v>0</v>
      </c>
      <c r="BT536" s="18">
        <v>0</v>
      </c>
      <c r="BU536" s="18">
        <v>0</v>
      </c>
      <c r="BV536" s="18">
        <v>0</v>
      </c>
      <c r="BW536" s="18">
        <v>0</v>
      </c>
      <c r="BX536" s="18">
        <v>0</v>
      </c>
    </row>
    <row r="537" spans="1:76">
      <c r="A537" s="14" t="str">
        <f>VLOOKUP(C537,VLOOKUP!A:B,2,FALSE)</f>
        <v>荔枝香</v>
      </c>
      <c r="B537" s="19">
        <v>46165</v>
      </c>
      <c r="C537" s="20">
        <v>960406497157</v>
      </c>
      <c r="D537" s="18" t="s">
        <v>151</v>
      </c>
      <c r="E537" s="18" t="s">
        <v>171</v>
      </c>
      <c r="F537" s="18">
        <v>4977</v>
      </c>
      <c r="G537" s="18">
        <v>308</v>
      </c>
      <c r="H537" s="18">
        <v>130.92</v>
      </c>
      <c r="I537" s="18">
        <v>0.06188</v>
      </c>
      <c r="J537" s="18">
        <v>0.43</v>
      </c>
      <c r="K537" s="18">
        <v>26.31</v>
      </c>
      <c r="L537" s="18">
        <v>0</v>
      </c>
      <c r="M537" s="18">
        <v>0</v>
      </c>
      <c r="N537" s="18">
        <v>0</v>
      </c>
      <c r="O537" s="18">
        <v>0</v>
      </c>
      <c r="P537" s="18">
        <v>0</v>
      </c>
      <c r="Q537" s="18">
        <v>0</v>
      </c>
      <c r="R537" s="18">
        <v>75.2</v>
      </c>
      <c r="S537" s="18">
        <v>40.91</v>
      </c>
      <c r="T537" s="18">
        <v>116.11</v>
      </c>
      <c r="U537" s="18">
        <v>2</v>
      </c>
      <c r="V537" s="18">
        <v>1</v>
      </c>
      <c r="W537" s="18">
        <v>1</v>
      </c>
      <c r="X537" s="18">
        <v>0.00649</v>
      </c>
      <c r="Y537" s="18">
        <v>0.89</v>
      </c>
      <c r="Z537" s="18">
        <v>0.89</v>
      </c>
      <c r="AA537" s="18">
        <v>65.46</v>
      </c>
      <c r="AB537" s="18">
        <v>8</v>
      </c>
      <c r="AC537" s="18">
        <v>7</v>
      </c>
      <c r="AD537" s="18">
        <v>1</v>
      </c>
      <c r="AE537" s="18">
        <v>0.02597</v>
      </c>
      <c r="AF537" s="18">
        <v>2</v>
      </c>
      <c r="AG537" s="18">
        <v>2</v>
      </c>
      <c r="AH537" s="18">
        <v>65.46</v>
      </c>
      <c r="AI537" s="18">
        <v>12</v>
      </c>
      <c r="AJ537" s="18">
        <v>10.91</v>
      </c>
      <c r="AK537" s="18">
        <v>10</v>
      </c>
      <c r="AL537" s="18">
        <v>13.09</v>
      </c>
      <c r="AM537" s="18">
        <v>4</v>
      </c>
      <c r="AN537" s="18">
        <v>65.46</v>
      </c>
      <c r="AO537" s="18">
        <v>0.00649</v>
      </c>
      <c r="AP537" s="18">
        <v>16.37</v>
      </c>
      <c r="AQ537" s="18">
        <v>2</v>
      </c>
      <c r="AR537" s="18">
        <v>168.9</v>
      </c>
      <c r="AS537" s="18">
        <v>2</v>
      </c>
      <c r="AT537" s="18">
        <v>0</v>
      </c>
      <c r="AU537" s="18">
        <v>0</v>
      </c>
      <c r="AV537" s="18">
        <v>0</v>
      </c>
      <c r="AW537" s="18">
        <v>0</v>
      </c>
      <c r="AX537" s="18">
        <v>1</v>
      </c>
      <c r="AY537" s="18">
        <v>597</v>
      </c>
      <c r="AZ537" s="18">
        <v>267</v>
      </c>
      <c r="BA537" s="18">
        <v>231</v>
      </c>
      <c r="BB537" s="18">
        <v>0.86517</v>
      </c>
      <c r="BC537" s="18">
        <v>0</v>
      </c>
      <c r="BD537" s="18">
        <v>0</v>
      </c>
      <c r="BE537" s="18">
        <v>0.11995</v>
      </c>
      <c r="BF537" s="18">
        <v>226</v>
      </c>
      <c r="BG537" s="18">
        <v>2</v>
      </c>
      <c r="BH537" s="18">
        <v>2</v>
      </c>
      <c r="BI537" s="18">
        <v>1</v>
      </c>
      <c r="BJ537" s="18">
        <v>0</v>
      </c>
      <c r="BK537" s="18">
        <v>0</v>
      </c>
      <c r="BL537" s="18">
        <v>0</v>
      </c>
      <c r="BM537" s="18">
        <v>2</v>
      </c>
      <c r="BN537" s="18">
        <v>1</v>
      </c>
      <c r="BO537" s="18">
        <v>58.06</v>
      </c>
      <c r="BP537" s="18">
        <v>34.75</v>
      </c>
      <c r="BQ537" s="18">
        <v>665</v>
      </c>
      <c r="BR537" s="18">
        <v>0</v>
      </c>
      <c r="BS537" s="18">
        <v>0</v>
      </c>
      <c r="BT537" s="18">
        <v>0</v>
      </c>
      <c r="BU537" s="18">
        <v>0</v>
      </c>
      <c r="BV537" s="18">
        <v>0</v>
      </c>
      <c r="BW537" s="18">
        <v>0</v>
      </c>
      <c r="BX537" s="18">
        <v>0</v>
      </c>
    </row>
    <row r="538" spans="1:76">
      <c r="A538" s="14" t="str">
        <f>VLOOKUP(C538,VLOOKUP!A:B,2,FALSE)</f>
        <v>如意盘香</v>
      </c>
      <c r="B538" s="19">
        <v>46165</v>
      </c>
      <c r="C538" s="20">
        <v>838711327669</v>
      </c>
      <c r="D538" s="18" t="s">
        <v>151</v>
      </c>
      <c r="E538" s="18" t="s">
        <v>166</v>
      </c>
      <c r="F538" s="18">
        <v>704</v>
      </c>
      <c r="G538" s="18">
        <v>21</v>
      </c>
      <c r="H538" s="18">
        <v>27.16</v>
      </c>
      <c r="I538" s="18">
        <v>0.02983</v>
      </c>
      <c r="J538" s="18">
        <v>1.29</v>
      </c>
      <c r="K538" s="18">
        <v>38.58</v>
      </c>
      <c r="L538" s="18">
        <v>0</v>
      </c>
      <c r="M538" s="18">
        <v>0</v>
      </c>
      <c r="N538" s="18">
        <v>0</v>
      </c>
      <c r="O538" s="18">
        <v>0</v>
      </c>
      <c r="P538" s="18">
        <v>0</v>
      </c>
      <c r="Q538" s="18">
        <v>0</v>
      </c>
      <c r="R538" s="18">
        <v>0</v>
      </c>
      <c r="S538" s="18">
        <v>0</v>
      </c>
      <c r="T538" s="18">
        <v>0</v>
      </c>
      <c r="U538" s="18">
        <v>0</v>
      </c>
      <c r="V538" s="18">
        <v>0</v>
      </c>
      <c r="W538" s="18">
        <v>0</v>
      </c>
      <c r="X538" s="18">
        <v>0</v>
      </c>
      <c r="Y538" s="18">
        <v>0</v>
      </c>
      <c r="Z538" s="18">
        <v>0</v>
      </c>
      <c r="AA538" s="18"/>
      <c r="AB538" s="18">
        <v>0</v>
      </c>
      <c r="AC538" s="18">
        <v>0</v>
      </c>
      <c r="AD538" s="18">
        <v>0</v>
      </c>
      <c r="AE538" s="18">
        <v>0</v>
      </c>
      <c r="AF538" s="18">
        <v>0</v>
      </c>
      <c r="AG538" s="18">
        <v>0</v>
      </c>
      <c r="AH538" s="18"/>
      <c r="AI538" s="18">
        <v>0</v>
      </c>
      <c r="AJ538" s="18"/>
      <c r="AK538" s="18">
        <v>0</v>
      </c>
      <c r="AL538" s="18"/>
      <c r="AM538" s="18">
        <v>0</v>
      </c>
      <c r="AN538" s="18"/>
      <c r="AO538" s="18">
        <v>0</v>
      </c>
      <c r="AP538" s="18"/>
      <c r="AQ538" s="18">
        <v>0</v>
      </c>
      <c r="AR538" s="18">
        <v>0</v>
      </c>
      <c r="AS538" s="18">
        <v>0</v>
      </c>
      <c r="AT538" s="18">
        <v>0</v>
      </c>
      <c r="AU538" s="18">
        <v>0</v>
      </c>
      <c r="AV538" s="18">
        <v>0</v>
      </c>
      <c r="AW538" s="18">
        <v>0</v>
      </c>
      <c r="AX538" s="18">
        <v>0</v>
      </c>
      <c r="AY538" s="18">
        <v>51</v>
      </c>
      <c r="AZ538" s="18">
        <v>20</v>
      </c>
      <c r="BA538" s="18">
        <v>13</v>
      </c>
      <c r="BB538" s="18">
        <v>0.65</v>
      </c>
      <c r="BC538" s="18">
        <v>0</v>
      </c>
      <c r="BD538" s="18">
        <v>0</v>
      </c>
      <c r="BE538" s="18">
        <v>0.07244</v>
      </c>
      <c r="BF538" s="18">
        <v>29</v>
      </c>
      <c r="BG538" s="18">
        <v>3</v>
      </c>
      <c r="BH538" s="18">
        <v>0</v>
      </c>
      <c r="BI538" s="18"/>
      <c r="BJ538" s="18">
        <v>0</v>
      </c>
      <c r="BK538" s="18">
        <v>0</v>
      </c>
      <c r="BL538" s="18">
        <v>0</v>
      </c>
      <c r="BM538" s="18">
        <v>0</v>
      </c>
      <c r="BN538" s="18"/>
      <c r="BO538" s="18"/>
      <c r="BP538" s="18">
        <v>0</v>
      </c>
      <c r="BQ538" s="18">
        <v>55</v>
      </c>
      <c r="BR538" s="18">
        <v>0</v>
      </c>
      <c r="BS538" s="18">
        <v>0</v>
      </c>
      <c r="BT538" s="18">
        <v>0</v>
      </c>
      <c r="BU538" s="18">
        <v>0</v>
      </c>
      <c r="BV538" s="18">
        <v>0</v>
      </c>
      <c r="BW538" s="18">
        <v>0</v>
      </c>
      <c r="BX538" s="18">
        <v>0</v>
      </c>
    </row>
    <row r="539" spans="1:76">
      <c r="A539" s="14" t="str">
        <f>VLOOKUP(C539,VLOOKUP!A:B,2,FALSE)</f>
        <v>早晚安香</v>
      </c>
      <c r="B539" s="19">
        <v>46164</v>
      </c>
      <c r="C539" s="20">
        <v>1010789122929</v>
      </c>
      <c r="D539" s="18" t="s">
        <v>151</v>
      </c>
      <c r="E539" s="18" t="s">
        <v>172</v>
      </c>
      <c r="F539" s="18">
        <v>1093</v>
      </c>
      <c r="G539" s="18">
        <v>63</v>
      </c>
      <c r="H539" s="18">
        <v>53.97</v>
      </c>
      <c r="I539" s="18">
        <v>0.05764</v>
      </c>
      <c r="J539" s="18">
        <v>0.86</v>
      </c>
      <c r="K539" s="18">
        <v>49.38</v>
      </c>
      <c r="L539" s="18">
        <v>0</v>
      </c>
      <c r="M539" s="18">
        <v>0</v>
      </c>
      <c r="N539" s="18">
        <v>0</v>
      </c>
      <c r="O539" s="18">
        <v>0</v>
      </c>
      <c r="P539" s="18">
        <v>0</v>
      </c>
      <c r="Q539" s="18">
        <v>0</v>
      </c>
      <c r="R539" s="18">
        <v>0</v>
      </c>
      <c r="S539" s="18">
        <v>335</v>
      </c>
      <c r="T539" s="18">
        <v>335</v>
      </c>
      <c r="U539" s="18">
        <v>1</v>
      </c>
      <c r="V539" s="18">
        <v>0</v>
      </c>
      <c r="W539" s="18">
        <v>1</v>
      </c>
      <c r="X539" s="18">
        <v>0.01587</v>
      </c>
      <c r="Y539" s="18">
        <v>6.21</v>
      </c>
      <c r="Z539" s="18">
        <v>6.21</v>
      </c>
      <c r="AA539" s="18">
        <v>53.97</v>
      </c>
      <c r="AB539" s="18">
        <v>2</v>
      </c>
      <c r="AC539" s="18">
        <v>2</v>
      </c>
      <c r="AD539" s="18">
        <v>0</v>
      </c>
      <c r="AE539" s="18">
        <v>0.03175</v>
      </c>
      <c r="AF539" s="18">
        <v>1</v>
      </c>
      <c r="AG539" s="18">
        <v>0</v>
      </c>
      <c r="AH539" s="18"/>
      <c r="AI539" s="18">
        <v>3</v>
      </c>
      <c r="AJ539" s="18">
        <v>17.99</v>
      </c>
      <c r="AK539" s="18">
        <v>3</v>
      </c>
      <c r="AL539" s="18">
        <v>17.99</v>
      </c>
      <c r="AM539" s="18">
        <v>1</v>
      </c>
      <c r="AN539" s="18">
        <v>53.97</v>
      </c>
      <c r="AO539" s="18">
        <v>0.01587</v>
      </c>
      <c r="AP539" s="18">
        <v>26.99</v>
      </c>
      <c r="AQ539" s="18">
        <v>2</v>
      </c>
      <c r="AR539" s="18">
        <v>444.9</v>
      </c>
      <c r="AS539" s="18">
        <v>1</v>
      </c>
      <c r="AT539" s="18">
        <v>0</v>
      </c>
      <c r="AU539" s="18">
        <v>0</v>
      </c>
      <c r="AV539" s="18">
        <v>0</v>
      </c>
      <c r="AW539" s="18">
        <v>0</v>
      </c>
      <c r="AX539" s="18">
        <v>0</v>
      </c>
      <c r="AY539" s="18">
        <v>112</v>
      </c>
      <c r="AZ539" s="18">
        <v>60</v>
      </c>
      <c r="BA539" s="18">
        <v>32</v>
      </c>
      <c r="BB539" s="18">
        <v>0.53333</v>
      </c>
      <c r="BC539" s="18">
        <v>0</v>
      </c>
      <c r="BD539" s="18">
        <v>0</v>
      </c>
      <c r="BE539" s="18">
        <v>0.10247</v>
      </c>
      <c r="BF539" s="18">
        <v>33</v>
      </c>
      <c r="BG539" s="18">
        <v>2</v>
      </c>
      <c r="BH539" s="18">
        <v>1</v>
      </c>
      <c r="BI539" s="18">
        <v>1</v>
      </c>
      <c r="BJ539" s="18">
        <v>0</v>
      </c>
      <c r="BK539" s="18">
        <v>0</v>
      </c>
      <c r="BL539" s="18">
        <v>0</v>
      </c>
      <c r="BM539" s="18">
        <v>1</v>
      </c>
      <c r="BN539" s="18">
        <v>1</v>
      </c>
      <c r="BO539" s="18">
        <v>335</v>
      </c>
      <c r="BP539" s="18">
        <v>0</v>
      </c>
      <c r="BQ539" s="18">
        <v>315</v>
      </c>
      <c r="BR539" s="18">
        <v>0</v>
      </c>
      <c r="BS539" s="18">
        <v>0</v>
      </c>
      <c r="BT539" s="18">
        <v>0</v>
      </c>
      <c r="BU539" s="18">
        <v>0</v>
      </c>
      <c r="BV539" s="18">
        <v>0</v>
      </c>
      <c r="BW539" s="18">
        <v>0</v>
      </c>
      <c r="BX539" s="18">
        <v>0</v>
      </c>
    </row>
    <row r="540" spans="1:76">
      <c r="A540" s="14" t="str">
        <f>VLOOKUP(C540,VLOOKUP!A:B,2,FALSE)</f>
        <v>荔枝香</v>
      </c>
      <c r="B540" s="19">
        <v>46164</v>
      </c>
      <c r="C540" s="20">
        <v>960406497157</v>
      </c>
      <c r="D540" s="18" t="s">
        <v>151</v>
      </c>
      <c r="E540" s="18" t="s">
        <v>171</v>
      </c>
      <c r="F540" s="18">
        <v>3571</v>
      </c>
      <c r="G540" s="18">
        <v>208</v>
      </c>
      <c r="H540" s="18">
        <v>105.24</v>
      </c>
      <c r="I540" s="18">
        <v>0.05825</v>
      </c>
      <c r="J540" s="18">
        <v>0.51</v>
      </c>
      <c r="K540" s="18">
        <v>29.47</v>
      </c>
      <c r="L540" s="18">
        <v>0</v>
      </c>
      <c r="M540" s="18">
        <v>0</v>
      </c>
      <c r="N540" s="18">
        <v>0</v>
      </c>
      <c r="O540" s="18">
        <v>0</v>
      </c>
      <c r="P540" s="18">
        <v>0</v>
      </c>
      <c r="Q540" s="18">
        <v>0</v>
      </c>
      <c r="R540" s="18">
        <v>133.6</v>
      </c>
      <c r="S540" s="18">
        <v>0</v>
      </c>
      <c r="T540" s="18">
        <v>133.6</v>
      </c>
      <c r="U540" s="18">
        <v>1</v>
      </c>
      <c r="V540" s="18">
        <v>1</v>
      </c>
      <c r="W540" s="18">
        <v>0</v>
      </c>
      <c r="X540" s="18">
        <v>0.00481</v>
      </c>
      <c r="Y540" s="18">
        <v>1.27</v>
      </c>
      <c r="Z540" s="18">
        <v>1.27</v>
      </c>
      <c r="AA540" s="18">
        <v>105.24</v>
      </c>
      <c r="AB540" s="18">
        <v>4</v>
      </c>
      <c r="AC540" s="18">
        <v>4</v>
      </c>
      <c r="AD540" s="18">
        <v>0</v>
      </c>
      <c r="AE540" s="18">
        <v>0.01923</v>
      </c>
      <c r="AF540" s="18">
        <v>1</v>
      </c>
      <c r="AG540" s="18">
        <v>0</v>
      </c>
      <c r="AH540" s="18"/>
      <c r="AI540" s="18">
        <v>5</v>
      </c>
      <c r="AJ540" s="18">
        <v>21.05</v>
      </c>
      <c r="AK540" s="18">
        <v>5</v>
      </c>
      <c r="AL540" s="18">
        <v>21.05</v>
      </c>
      <c r="AM540" s="18">
        <v>1</v>
      </c>
      <c r="AN540" s="18">
        <v>105.24</v>
      </c>
      <c r="AO540" s="18">
        <v>0.00481</v>
      </c>
      <c r="AP540" s="18">
        <v>26.31</v>
      </c>
      <c r="AQ540" s="18">
        <v>2</v>
      </c>
      <c r="AR540" s="18">
        <v>217.9</v>
      </c>
      <c r="AS540" s="18">
        <v>0</v>
      </c>
      <c r="AT540" s="18">
        <v>1</v>
      </c>
      <c r="AU540" s="18">
        <v>0</v>
      </c>
      <c r="AV540" s="18">
        <v>0</v>
      </c>
      <c r="AW540" s="18">
        <v>0</v>
      </c>
      <c r="AX540" s="18">
        <v>0</v>
      </c>
      <c r="AY540" s="18">
        <v>320</v>
      </c>
      <c r="AZ540" s="18">
        <v>170</v>
      </c>
      <c r="BA540" s="18">
        <v>133</v>
      </c>
      <c r="BB540" s="18">
        <v>0.78235</v>
      </c>
      <c r="BC540" s="18">
        <v>0</v>
      </c>
      <c r="BD540" s="18">
        <v>0</v>
      </c>
      <c r="BE540" s="18">
        <v>0.08961</v>
      </c>
      <c r="BF540" s="18">
        <v>62</v>
      </c>
      <c r="BG540" s="18">
        <v>2</v>
      </c>
      <c r="BH540" s="18">
        <v>1</v>
      </c>
      <c r="BI540" s="18">
        <v>1</v>
      </c>
      <c r="BJ540" s="18">
        <v>0</v>
      </c>
      <c r="BK540" s="18">
        <v>0</v>
      </c>
      <c r="BL540" s="18">
        <v>0</v>
      </c>
      <c r="BM540" s="18">
        <v>1</v>
      </c>
      <c r="BN540" s="18">
        <v>1</v>
      </c>
      <c r="BO540" s="18">
        <v>133.6</v>
      </c>
      <c r="BP540" s="18">
        <v>14.47</v>
      </c>
      <c r="BQ540" s="18">
        <v>426</v>
      </c>
      <c r="BR540" s="18">
        <v>0</v>
      </c>
      <c r="BS540" s="18">
        <v>0</v>
      </c>
      <c r="BT540" s="18">
        <v>0</v>
      </c>
      <c r="BU540" s="18">
        <v>0</v>
      </c>
      <c r="BV540" s="18">
        <v>0</v>
      </c>
      <c r="BW540" s="18">
        <v>0</v>
      </c>
      <c r="BX540" s="18">
        <v>0</v>
      </c>
    </row>
    <row r="541" spans="1:76">
      <c r="A541" s="14" t="str">
        <f>VLOOKUP(C541,VLOOKUP!A:B,2,FALSE)</f>
        <v>如意盘香</v>
      </c>
      <c r="B541" s="19">
        <v>46164</v>
      </c>
      <c r="C541" s="20">
        <v>838711327669</v>
      </c>
      <c r="D541" s="18" t="s">
        <v>151</v>
      </c>
      <c r="E541" s="18" t="s">
        <v>166</v>
      </c>
      <c r="F541" s="18">
        <v>511</v>
      </c>
      <c r="G541" s="18">
        <v>24</v>
      </c>
      <c r="H541" s="18">
        <v>42.59</v>
      </c>
      <c r="I541" s="18">
        <v>0.04697</v>
      </c>
      <c r="J541" s="18">
        <v>1.77</v>
      </c>
      <c r="K541" s="18">
        <v>83.35</v>
      </c>
      <c r="L541" s="18">
        <v>0</v>
      </c>
      <c r="M541" s="18">
        <v>0</v>
      </c>
      <c r="N541" s="18">
        <v>0</v>
      </c>
      <c r="O541" s="18">
        <v>0</v>
      </c>
      <c r="P541" s="18">
        <v>0</v>
      </c>
      <c r="Q541" s="18">
        <v>0</v>
      </c>
      <c r="R541" s="18">
        <v>0</v>
      </c>
      <c r="S541" s="18">
        <v>0</v>
      </c>
      <c r="T541" s="18">
        <v>0</v>
      </c>
      <c r="U541" s="18">
        <v>0</v>
      </c>
      <c r="V541" s="18">
        <v>0</v>
      </c>
      <c r="W541" s="18">
        <v>0</v>
      </c>
      <c r="X541" s="18">
        <v>0</v>
      </c>
      <c r="Y541" s="18">
        <v>0</v>
      </c>
      <c r="Z541" s="18">
        <v>0</v>
      </c>
      <c r="AA541" s="18"/>
      <c r="AB541" s="18">
        <v>1</v>
      </c>
      <c r="AC541" s="18">
        <v>1</v>
      </c>
      <c r="AD541" s="18">
        <v>0</v>
      </c>
      <c r="AE541" s="18">
        <v>0.04167</v>
      </c>
      <c r="AF541" s="18">
        <v>0</v>
      </c>
      <c r="AG541" s="18">
        <v>0</v>
      </c>
      <c r="AH541" s="18"/>
      <c r="AI541" s="18">
        <v>1</v>
      </c>
      <c r="AJ541" s="18">
        <v>42.59</v>
      </c>
      <c r="AK541" s="18">
        <v>1</v>
      </c>
      <c r="AL541" s="18">
        <v>42.59</v>
      </c>
      <c r="AM541" s="18">
        <v>0</v>
      </c>
      <c r="AN541" s="18"/>
      <c r="AO541" s="18">
        <v>0</v>
      </c>
      <c r="AP541" s="18">
        <v>42.59</v>
      </c>
      <c r="AQ541" s="18">
        <v>0</v>
      </c>
      <c r="AR541" s="18">
        <v>0</v>
      </c>
      <c r="AS541" s="18">
        <v>0</v>
      </c>
      <c r="AT541" s="18">
        <v>0</v>
      </c>
      <c r="AU541" s="18">
        <v>0</v>
      </c>
      <c r="AV541" s="18">
        <v>0</v>
      </c>
      <c r="AW541" s="18">
        <v>0</v>
      </c>
      <c r="AX541" s="18">
        <v>0</v>
      </c>
      <c r="AY541" s="18">
        <v>67</v>
      </c>
      <c r="AZ541" s="18">
        <v>21</v>
      </c>
      <c r="BA541" s="18">
        <v>16</v>
      </c>
      <c r="BB541" s="18">
        <v>0.7619</v>
      </c>
      <c r="BC541" s="18">
        <v>0</v>
      </c>
      <c r="BD541" s="18">
        <v>0</v>
      </c>
      <c r="BE541" s="18">
        <v>0.13112</v>
      </c>
      <c r="BF541" s="18">
        <v>40</v>
      </c>
      <c r="BG541" s="18">
        <v>3</v>
      </c>
      <c r="BH541" s="18">
        <v>0</v>
      </c>
      <c r="BI541" s="18"/>
      <c r="BJ541" s="18">
        <v>0</v>
      </c>
      <c r="BK541" s="18">
        <v>0</v>
      </c>
      <c r="BL541" s="18">
        <v>0</v>
      </c>
      <c r="BM541" s="18">
        <v>0</v>
      </c>
      <c r="BN541" s="18"/>
      <c r="BO541" s="18"/>
      <c r="BP541" s="18">
        <v>0</v>
      </c>
      <c r="BQ541" s="18">
        <v>54</v>
      </c>
      <c r="BR541" s="18">
        <v>0</v>
      </c>
      <c r="BS541" s="18">
        <v>0</v>
      </c>
      <c r="BT541" s="18">
        <v>0</v>
      </c>
      <c r="BU541" s="18">
        <v>0</v>
      </c>
      <c r="BV541" s="18">
        <v>0</v>
      </c>
      <c r="BW541" s="18">
        <v>0</v>
      </c>
      <c r="BX541" s="18">
        <v>0</v>
      </c>
    </row>
    <row r="542" spans="1:76">
      <c r="A542" s="14" t="str">
        <f>VLOOKUP(C542,VLOOKUP!A:B,2,FALSE)</f>
        <v>早晚安香</v>
      </c>
      <c r="B542" s="19">
        <v>46163</v>
      </c>
      <c r="C542" s="20">
        <v>1010789122929</v>
      </c>
      <c r="D542" s="18" t="s">
        <v>151</v>
      </c>
      <c r="E542" s="18" t="s">
        <v>172</v>
      </c>
      <c r="F542" s="18">
        <v>1130</v>
      </c>
      <c r="G542" s="18">
        <v>52</v>
      </c>
      <c r="H542" s="18">
        <v>47.14</v>
      </c>
      <c r="I542" s="18">
        <v>0.04602</v>
      </c>
      <c r="J542" s="18">
        <v>0.91</v>
      </c>
      <c r="K542" s="18">
        <v>41.72</v>
      </c>
      <c r="L542" s="18">
        <v>0</v>
      </c>
      <c r="M542" s="18">
        <v>0</v>
      </c>
      <c r="N542" s="18">
        <v>0</v>
      </c>
      <c r="O542" s="18">
        <v>0</v>
      </c>
      <c r="P542" s="18">
        <v>0</v>
      </c>
      <c r="Q542" s="18">
        <v>0</v>
      </c>
      <c r="R542" s="18">
        <v>0</v>
      </c>
      <c r="S542" s="18">
        <v>0</v>
      </c>
      <c r="T542" s="18">
        <v>0</v>
      </c>
      <c r="U542" s="18">
        <v>0</v>
      </c>
      <c r="V542" s="18">
        <v>0</v>
      </c>
      <c r="W542" s="18">
        <v>0</v>
      </c>
      <c r="X542" s="18">
        <v>0</v>
      </c>
      <c r="Y542" s="18">
        <v>0</v>
      </c>
      <c r="Z542" s="18">
        <v>0</v>
      </c>
      <c r="AA542" s="18"/>
      <c r="AB542" s="18">
        <v>1</v>
      </c>
      <c r="AC542" s="18">
        <v>1</v>
      </c>
      <c r="AD542" s="18">
        <v>0</v>
      </c>
      <c r="AE542" s="18">
        <v>0.01923</v>
      </c>
      <c r="AF542" s="18">
        <v>1</v>
      </c>
      <c r="AG542" s="18">
        <v>0</v>
      </c>
      <c r="AH542" s="18"/>
      <c r="AI542" s="18">
        <v>2</v>
      </c>
      <c r="AJ542" s="18">
        <v>23.57</v>
      </c>
      <c r="AK542" s="18">
        <v>2</v>
      </c>
      <c r="AL542" s="18">
        <v>23.57</v>
      </c>
      <c r="AM542" s="18">
        <v>1</v>
      </c>
      <c r="AN542" s="18">
        <v>47.14</v>
      </c>
      <c r="AO542" s="18">
        <v>0.01923</v>
      </c>
      <c r="AP542" s="18">
        <v>47.14</v>
      </c>
      <c r="AQ542" s="18">
        <v>0</v>
      </c>
      <c r="AR542" s="18">
        <v>0</v>
      </c>
      <c r="AS542" s="18">
        <v>1</v>
      </c>
      <c r="AT542" s="18">
        <v>0</v>
      </c>
      <c r="AU542" s="18">
        <v>0</v>
      </c>
      <c r="AV542" s="18">
        <v>0</v>
      </c>
      <c r="AW542" s="18">
        <v>0</v>
      </c>
      <c r="AX542" s="18">
        <v>0</v>
      </c>
      <c r="AY542" s="18">
        <v>117</v>
      </c>
      <c r="AZ542" s="18">
        <v>49</v>
      </c>
      <c r="BA542" s="18">
        <v>24</v>
      </c>
      <c r="BB542" s="18">
        <v>0.4898</v>
      </c>
      <c r="BC542" s="18">
        <v>0</v>
      </c>
      <c r="BD542" s="18">
        <v>0</v>
      </c>
      <c r="BE542" s="18">
        <v>0.10354</v>
      </c>
      <c r="BF542" s="18">
        <v>58</v>
      </c>
      <c r="BG542" s="18">
        <v>2</v>
      </c>
      <c r="BH542" s="18">
        <v>0</v>
      </c>
      <c r="BI542" s="18"/>
      <c r="BJ542" s="18">
        <v>0</v>
      </c>
      <c r="BK542" s="18">
        <v>0</v>
      </c>
      <c r="BL542" s="18">
        <v>0</v>
      </c>
      <c r="BM542" s="18">
        <v>0</v>
      </c>
      <c r="BN542" s="18"/>
      <c r="BO542" s="18"/>
      <c r="BP542" s="18">
        <v>0</v>
      </c>
      <c r="BQ542" s="18">
        <v>175</v>
      </c>
      <c r="BR542" s="18">
        <v>0</v>
      </c>
      <c r="BS542" s="18">
        <v>0</v>
      </c>
      <c r="BT542" s="18">
        <v>0</v>
      </c>
      <c r="BU542" s="18">
        <v>0</v>
      </c>
      <c r="BV542" s="18">
        <v>0</v>
      </c>
      <c r="BW542" s="18">
        <v>0</v>
      </c>
      <c r="BX542" s="18">
        <v>0</v>
      </c>
    </row>
    <row r="543" spans="1:76">
      <c r="A543" s="14" t="str">
        <f>VLOOKUP(C543,VLOOKUP!A:B,2,FALSE)</f>
        <v>荔枝香</v>
      </c>
      <c r="B543" s="19">
        <v>46163</v>
      </c>
      <c r="C543" s="20">
        <v>960406497157</v>
      </c>
      <c r="D543" s="18" t="s">
        <v>151</v>
      </c>
      <c r="E543" s="18" t="s">
        <v>171</v>
      </c>
      <c r="F543" s="18">
        <v>3244</v>
      </c>
      <c r="G543" s="18">
        <v>218</v>
      </c>
      <c r="H543" s="18">
        <v>111.73</v>
      </c>
      <c r="I543" s="18">
        <v>0.0672</v>
      </c>
      <c r="J543" s="18">
        <v>0.51</v>
      </c>
      <c r="K543" s="18">
        <v>34.44</v>
      </c>
      <c r="L543" s="18">
        <v>0</v>
      </c>
      <c r="M543" s="18">
        <v>0</v>
      </c>
      <c r="N543" s="18">
        <v>0</v>
      </c>
      <c r="O543" s="18">
        <v>0</v>
      </c>
      <c r="P543" s="18">
        <v>0</v>
      </c>
      <c r="Q543" s="18">
        <v>0</v>
      </c>
      <c r="R543" s="18">
        <v>39.9</v>
      </c>
      <c r="S543" s="18">
        <v>39.91</v>
      </c>
      <c r="T543" s="18">
        <v>79.81</v>
      </c>
      <c r="U543" s="18">
        <v>2</v>
      </c>
      <c r="V543" s="18">
        <v>1</v>
      </c>
      <c r="W543" s="18">
        <v>1</v>
      </c>
      <c r="X543" s="18">
        <v>0.00917</v>
      </c>
      <c r="Y543" s="18">
        <v>0.71</v>
      </c>
      <c r="Z543" s="18">
        <v>0.71</v>
      </c>
      <c r="AA543" s="18">
        <v>55.87</v>
      </c>
      <c r="AB543" s="18">
        <v>5</v>
      </c>
      <c r="AC543" s="18">
        <v>5</v>
      </c>
      <c r="AD543" s="18">
        <v>0</v>
      </c>
      <c r="AE543" s="18">
        <v>0.02294</v>
      </c>
      <c r="AF543" s="18">
        <v>1</v>
      </c>
      <c r="AG543" s="18">
        <v>0</v>
      </c>
      <c r="AH543" s="18"/>
      <c r="AI543" s="18">
        <v>6</v>
      </c>
      <c r="AJ543" s="18">
        <v>18.62</v>
      </c>
      <c r="AK543" s="18">
        <v>6</v>
      </c>
      <c r="AL543" s="18">
        <v>18.62</v>
      </c>
      <c r="AM543" s="18">
        <v>1</v>
      </c>
      <c r="AN543" s="18">
        <v>111.73</v>
      </c>
      <c r="AO543" s="18">
        <v>0.00459</v>
      </c>
      <c r="AP543" s="18">
        <v>22.35</v>
      </c>
      <c r="AQ543" s="18">
        <v>2</v>
      </c>
      <c r="AR543" s="18">
        <v>128.9</v>
      </c>
      <c r="AS543" s="18">
        <v>1</v>
      </c>
      <c r="AT543" s="18">
        <v>0</v>
      </c>
      <c r="AU543" s="18">
        <v>0</v>
      </c>
      <c r="AV543" s="18">
        <v>0</v>
      </c>
      <c r="AW543" s="18">
        <v>0</v>
      </c>
      <c r="AX543" s="18">
        <v>0</v>
      </c>
      <c r="AY543" s="18">
        <v>430</v>
      </c>
      <c r="AZ543" s="18">
        <v>184</v>
      </c>
      <c r="BA543" s="18">
        <v>139</v>
      </c>
      <c r="BB543" s="18">
        <v>0.75543</v>
      </c>
      <c r="BC543" s="18">
        <v>0</v>
      </c>
      <c r="BD543" s="18">
        <v>0</v>
      </c>
      <c r="BE543" s="18">
        <v>0.13255</v>
      </c>
      <c r="BF543" s="18">
        <v>154</v>
      </c>
      <c r="BG543" s="18">
        <v>2</v>
      </c>
      <c r="BH543" s="18">
        <v>2</v>
      </c>
      <c r="BI543" s="18">
        <v>1</v>
      </c>
      <c r="BJ543" s="18">
        <v>0</v>
      </c>
      <c r="BK543" s="18">
        <v>0</v>
      </c>
      <c r="BL543" s="18">
        <v>0</v>
      </c>
      <c r="BM543" s="18">
        <v>2</v>
      </c>
      <c r="BN543" s="18">
        <v>1</v>
      </c>
      <c r="BO543" s="18">
        <v>39.91</v>
      </c>
      <c r="BP543" s="18">
        <v>91.89</v>
      </c>
      <c r="BQ543" s="18">
        <v>603</v>
      </c>
      <c r="BR543" s="18">
        <v>0</v>
      </c>
      <c r="BS543" s="18">
        <v>0</v>
      </c>
      <c r="BT543" s="18">
        <v>0</v>
      </c>
      <c r="BU543" s="18">
        <v>0</v>
      </c>
      <c r="BV543" s="18">
        <v>0</v>
      </c>
      <c r="BW543" s="18">
        <v>0</v>
      </c>
      <c r="BX543" s="18">
        <v>0</v>
      </c>
    </row>
    <row r="544" spans="1:76">
      <c r="A544" s="14" t="str">
        <f>VLOOKUP(C544,VLOOKUP!A:B,2,FALSE)</f>
        <v>如意盘香</v>
      </c>
      <c r="B544" s="19">
        <v>46163</v>
      </c>
      <c r="C544" s="20">
        <v>838711327669</v>
      </c>
      <c r="D544" s="18" t="s">
        <v>151</v>
      </c>
      <c r="E544" s="18" t="s">
        <v>166</v>
      </c>
      <c r="F544" s="18">
        <v>379</v>
      </c>
      <c r="G544" s="18">
        <v>27</v>
      </c>
      <c r="H544" s="18">
        <v>49.19</v>
      </c>
      <c r="I544" s="18">
        <v>0.07124</v>
      </c>
      <c r="J544" s="18">
        <v>1.82</v>
      </c>
      <c r="K544" s="18">
        <v>129.79</v>
      </c>
      <c r="L544" s="18">
        <v>0</v>
      </c>
      <c r="M544" s="18">
        <v>0</v>
      </c>
      <c r="N544" s="18">
        <v>0</v>
      </c>
      <c r="O544" s="18">
        <v>0</v>
      </c>
      <c r="P544" s="18">
        <v>0</v>
      </c>
      <c r="Q544" s="18">
        <v>0</v>
      </c>
      <c r="R544" s="18">
        <v>0</v>
      </c>
      <c r="S544" s="18">
        <v>0</v>
      </c>
      <c r="T544" s="18">
        <v>0</v>
      </c>
      <c r="U544" s="18">
        <v>0</v>
      </c>
      <c r="V544" s="18">
        <v>0</v>
      </c>
      <c r="W544" s="18">
        <v>0</v>
      </c>
      <c r="X544" s="18">
        <v>0</v>
      </c>
      <c r="Y544" s="18">
        <v>0</v>
      </c>
      <c r="Z544" s="18">
        <v>0</v>
      </c>
      <c r="AA544" s="18"/>
      <c r="AB544" s="18">
        <v>1</v>
      </c>
      <c r="AC544" s="18">
        <v>0</v>
      </c>
      <c r="AD544" s="18">
        <v>1</v>
      </c>
      <c r="AE544" s="18">
        <v>0.03704</v>
      </c>
      <c r="AF544" s="18">
        <v>0</v>
      </c>
      <c r="AG544" s="18">
        <v>1</v>
      </c>
      <c r="AH544" s="18">
        <v>49.19</v>
      </c>
      <c r="AI544" s="18">
        <v>2</v>
      </c>
      <c r="AJ544" s="18">
        <v>24.6</v>
      </c>
      <c r="AK544" s="18">
        <v>1</v>
      </c>
      <c r="AL544" s="18">
        <v>49.19</v>
      </c>
      <c r="AM544" s="18">
        <v>1</v>
      </c>
      <c r="AN544" s="18"/>
      <c r="AO544" s="18">
        <v>0</v>
      </c>
      <c r="AP544" s="18">
        <v>49.19</v>
      </c>
      <c r="AQ544" s="18">
        <v>0</v>
      </c>
      <c r="AR544" s="18">
        <v>0</v>
      </c>
      <c r="AS544" s="18">
        <v>0</v>
      </c>
      <c r="AT544" s="18">
        <v>0</v>
      </c>
      <c r="AU544" s="18">
        <v>0</v>
      </c>
      <c r="AV544" s="18">
        <v>0</v>
      </c>
      <c r="AW544" s="18">
        <v>0</v>
      </c>
      <c r="AX544" s="18">
        <v>2</v>
      </c>
      <c r="AY544" s="18">
        <v>127</v>
      </c>
      <c r="AZ544" s="18">
        <v>23</v>
      </c>
      <c r="BA544" s="18">
        <v>12</v>
      </c>
      <c r="BB544" s="18">
        <v>0.52174</v>
      </c>
      <c r="BC544" s="18">
        <v>0</v>
      </c>
      <c r="BD544" s="18">
        <v>0</v>
      </c>
      <c r="BE544" s="18">
        <v>0.33509</v>
      </c>
      <c r="BF544" s="18">
        <v>101</v>
      </c>
      <c r="BG544" s="18">
        <v>6</v>
      </c>
      <c r="BH544" s="18">
        <v>0</v>
      </c>
      <c r="BI544" s="18"/>
      <c r="BJ544" s="18">
        <v>0</v>
      </c>
      <c r="BK544" s="18">
        <v>0</v>
      </c>
      <c r="BL544" s="18">
        <v>0</v>
      </c>
      <c r="BM544" s="18">
        <v>0</v>
      </c>
      <c r="BN544" s="18"/>
      <c r="BO544" s="18"/>
      <c r="BP544" s="18">
        <v>0</v>
      </c>
      <c r="BQ544" s="18">
        <v>100</v>
      </c>
      <c r="BR544" s="18">
        <v>0</v>
      </c>
      <c r="BS544" s="18">
        <v>0</v>
      </c>
      <c r="BT544" s="18">
        <v>0</v>
      </c>
      <c r="BU544" s="18">
        <v>0</v>
      </c>
      <c r="BV544" s="18">
        <v>0</v>
      </c>
      <c r="BW544" s="18">
        <v>0</v>
      </c>
      <c r="BX544" s="18">
        <v>0</v>
      </c>
    </row>
    <row r="545" spans="1:76">
      <c r="A545" s="14" t="str">
        <f>VLOOKUP(C545,VLOOKUP!A:B,2,FALSE)</f>
        <v>早晚安香</v>
      </c>
      <c r="B545" s="19">
        <v>46162</v>
      </c>
      <c r="C545" s="20">
        <v>1010789122929</v>
      </c>
      <c r="D545" s="18" t="s">
        <v>151</v>
      </c>
      <c r="E545" s="18" t="s">
        <v>173</v>
      </c>
      <c r="F545" s="18">
        <v>1049</v>
      </c>
      <c r="G545" s="18">
        <v>37</v>
      </c>
      <c r="H545" s="18">
        <v>28.83</v>
      </c>
      <c r="I545" s="18">
        <v>0.03527</v>
      </c>
      <c r="J545" s="18">
        <v>0.78</v>
      </c>
      <c r="K545" s="18">
        <v>27.48</v>
      </c>
      <c r="L545" s="18">
        <v>0</v>
      </c>
      <c r="M545" s="18">
        <v>0</v>
      </c>
      <c r="N545" s="18">
        <v>0</v>
      </c>
      <c r="O545" s="18">
        <v>0</v>
      </c>
      <c r="P545" s="18">
        <v>0</v>
      </c>
      <c r="Q545" s="18">
        <v>0</v>
      </c>
      <c r="R545" s="18">
        <v>219.93</v>
      </c>
      <c r="S545" s="18">
        <v>205.55</v>
      </c>
      <c r="T545" s="18">
        <v>425.48</v>
      </c>
      <c r="U545" s="18">
        <v>4</v>
      </c>
      <c r="V545" s="18">
        <v>1</v>
      </c>
      <c r="W545" s="18">
        <v>3</v>
      </c>
      <c r="X545" s="18">
        <v>0.10811</v>
      </c>
      <c r="Y545" s="18">
        <v>14.76</v>
      </c>
      <c r="Z545" s="18">
        <v>14.76</v>
      </c>
      <c r="AA545" s="18">
        <v>7.21</v>
      </c>
      <c r="AB545" s="18">
        <v>5</v>
      </c>
      <c r="AC545" s="18">
        <v>1</v>
      </c>
      <c r="AD545" s="18">
        <v>4</v>
      </c>
      <c r="AE545" s="18">
        <v>0.13514</v>
      </c>
      <c r="AF545" s="18">
        <v>1</v>
      </c>
      <c r="AG545" s="18">
        <v>0</v>
      </c>
      <c r="AH545" s="18"/>
      <c r="AI545" s="18">
        <v>6</v>
      </c>
      <c r="AJ545" s="18">
        <v>4.81</v>
      </c>
      <c r="AK545" s="18">
        <v>6</v>
      </c>
      <c r="AL545" s="18">
        <v>4.81</v>
      </c>
      <c r="AM545" s="18">
        <v>1</v>
      </c>
      <c r="AN545" s="18">
        <v>28.83</v>
      </c>
      <c r="AO545" s="18">
        <v>0.02703</v>
      </c>
      <c r="AP545" s="18">
        <v>5.77</v>
      </c>
      <c r="AQ545" s="18">
        <v>5</v>
      </c>
      <c r="AR545" s="18">
        <v>1114.9</v>
      </c>
      <c r="AS545" s="18">
        <v>1</v>
      </c>
      <c r="AT545" s="18">
        <v>0</v>
      </c>
      <c r="AU545" s="18">
        <v>0</v>
      </c>
      <c r="AV545" s="18">
        <v>0</v>
      </c>
      <c r="AW545" s="18">
        <v>0</v>
      </c>
      <c r="AX545" s="18">
        <v>0</v>
      </c>
      <c r="AY545" s="18">
        <v>108</v>
      </c>
      <c r="AZ545" s="18">
        <v>39</v>
      </c>
      <c r="BA545" s="18">
        <v>22</v>
      </c>
      <c r="BB545" s="18">
        <v>0.5641</v>
      </c>
      <c r="BC545" s="18">
        <v>0</v>
      </c>
      <c r="BD545" s="18">
        <v>0</v>
      </c>
      <c r="BE545" s="18">
        <v>0.10296</v>
      </c>
      <c r="BF545" s="18">
        <v>63</v>
      </c>
      <c r="BG545" s="18">
        <v>3</v>
      </c>
      <c r="BH545" s="18">
        <v>1</v>
      </c>
      <c r="BI545" s="18">
        <v>1</v>
      </c>
      <c r="BJ545" s="18">
        <v>0</v>
      </c>
      <c r="BK545" s="18">
        <v>0</v>
      </c>
      <c r="BL545" s="18">
        <v>0</v>
      </c>
      <c r="BM545" s="18">
        <v>1</v>
      </c>
      <c r="BN545" s="18">
        <v>4</v>
      </c>
      <c r="BO545" s="18">
        <v>425.48</v>
      </c>
      <c r="BP545" s="18">
        <v>13.71</v>
      </c>
      <c r="BQ545" s="18">
        <v>877</v>
      </c>
      <c r="BR545" s="18">
        <v>0</v>
      </c>
      <c r="BS545" s="18">
        <v>0</v>
      </c>
      <c r="BT545" s="18">
        <v>0</v>
      </c>
      <c r="BU545" s="18">
        <v>0</v>
      </c>
      <c r="BV545" s="18">
        <v>0</v>
      </c>
      <c r="BW545" s="18">
        <v>0</v>
      </c>
      <c r="BX545" s="18">
        <v>0</v>
      </c>
    </row>
    <row r="546" spans="1:76">
      <c r="A546" s="14" t="str">
        <f>VLOOKUP(C546,VLOOKUP!A:B,2,FALSE)</f>
        <v>荔枝香</v>
      </c>
      <c r="B546" s="19">
        <v>46162</v>
      </c>
      <c r="C546" s="20">
        <v>960406497157</v>
      </c>
      <c r="D546" s="18" t="s">
        <v>151</v>
      </c>
      <c r="E546" s="18" t="s">
        <v>174</v>
      </c>
      <c r="F546" s="18">
        <v>4074</v>
      </c>
      <c r="G546" s="18">
        <v>317</v>
      </c>
      <c r="H546" s="18">
        <v>123.48</v>
      </c>
      <c r="I546" s="18">
        <v>0.07781</v>
      </c>
      <c r="J546" s="18">
        <v>0.39</v>
      </c>
      <c r="K546" s="18">
        <v>30.31</v>
      </c>
      <c r="L546" s="18">
        <v>0</v>
      </c>
      <c r="M546" s="18">
        <v>0</v>
      </c>
      <c r="N546" s="18">
        <v>0</v>
      </c>
      <c r="O546" s="18">
        <v>0</v>
      </c>
      <c r="P546" s="18">
        <v>0</v>
      </c>
      <c r="Q546" s="18">
        <v>0</v>
      </c>
      <c r="R546" s="18">
        <v>307</v>
      </c>
      <c r="S546" s="18">
        <v>0</v>
      </c>
      <c r="T546" s="18">
        <v>307</v>
      </c>
      <c r="U546" s="18">
        <v>3</v>
      </c>
      <c r="V546" s="18">
        <v>3</v>
      </c>
      <c r="W546" s="18">
        <v>0</v>
      </c>
      <c r="X546" s="18">
        <v>0.00946</v>
      </c>
      <c r="Y546" s="18">
        <v>2.49</v>
      </c>
      <c r="Z546" s="18">
        <v>2.49</v>
      </c>
      <c r="AA546" s="18">
        <v>41.16</v>
      </c>
      <c r="AB546" s="18">
        <v>6</v>
      </c>
      <c r="AC546" s="18">
        <v>4</v>
      </c>
      <c r="AD546" s="18">
        <v>2</v>
      </c>
      <c r="AE546" s="18">
        <v>0.01893</v>
      </c>
      <c r="AF546" s="18">
        <v>5</v>
      </c>
      <c r="AG546" s="18">
        <v>0</v>
      </c>
      <c r="AH546" s="18"/>
      <c r="AI546" s="18">
        <v>11</v>
      </c>
      <c r="AJ546" s="18">
        <v>11.23</v>
      </c>
      <c r="AK546" s="18">
        <v>11</v>
      </c>
      <c r="AL546" s="18">
        <v>11.23</v>
      </c>
      <c r="AM546" s="18">
        <v>5</v>
      </c>
      <c r="AN546" s="18">
        <v>24.7</v>
      </c>
      <c r="AO546" s="18">
        <v>0.01577</v>
      </c>
      <c r="AP546" s="18">
        <v>20.58</v>
      </c>
      <c r="AQ546" s="18">
        <v>3</v>
      </c>
      <c r="AR546" s="18">
        <v>382.9</v>
      </c>
      <c r="AS546" s="18">
        <v>5</v>
      </c>
      <c r="AT546" s="18">
        <v>0</v>
      </c>
      <c r="AU546" s="18">
        <v>0</v>
      </c>
      <c r="AV546" s="18">
        <v>0</v>
      </c>
      <c r="AW546" s="18">
        <v>0</v>
      </c>
      <c r="AX546" s="18">
        <v>1</v>
      </c>
      <c r="AY546" s="18">
        <v>601</v>
      </c>
      <c r="AZ546" s="18">
        <v>259</v>
      </c>
      <c r="BA546" s="18">
        <v>220</v>
      </c>
      <c r="BB546" s="18">
        <v>0.84942</v>
      </c>
      <c r="BC546" s="18">
        <v>0</v>
      </c>
      <c r="BD546" s="18">
        <v>0</v>
      </c>
      <c r="BE546" s="18">
        <v>0.14752</v>
      </c>
      <c r="BF546" s="18">
        <v>167</v>
      </c>
      <c r="BG546" s="18">
        <v>2</v>
      </c>
      <c r="BH546" s="18">
        <v>1</v>
      </c>
      <c r="BI546" s="18">
        <v>0.5</v>
      </c>
      <c r="BJ546" s="18">
        <v>0</v>
      </c>
      <c r="BK546" s="18">
        <v>0</v>
      </c>
      <c r="BL546" s="18">
        <v>0</v>
      </c>
      <c r="BM546" s="18">
        <v>2</v>
      </c>
      <c r="BN546" s="18">
        <v>2</v>
      </c>
      <c r="BO546" s="18">
        <v>153.5</v>
      </c>
      <c r="BP546" s="18">
        <v>111.67</v>
      </c>
      <c r="BQ546" s="18">
        <v>1049</v>
      </c>
      <c r="BR546" s="18">
        <v>0</v>
      </c>
      <c r="BS546" s="18">
        <v>0</v>
      </c>
      <c r="BT546" s="18">
        <v>0</v>
      </c>
      <c r="BU546" s="18">
        <v>0</v>
      </c>
      <c r="BV546" s="18">
        <v>0</v>
      </c>
      <c r="BW546" s="18">
        <v>0</v>
      </c>
      <c r="BX546" s="18">
        <v>0</v>
      </c>
    </row>
    <row r="547" spans="1:76">
      <c r="A547" s="14" t="str">
        <f>VLOOKUP(C547,VLOOKUP!A:B,2,FALSE)</f>
        <v>如意盘香</v>
      </c>
      <c r="B547" s="19">
        <v>46162</v>
      </c>
      <c r="C547" s="20">
        <v>838711327669</v>
      </c>
      <c r="D547" s="18" t="s">
        <v>151</v>
      </c>
      <c r="E547" s="18" t="s">
        <v>175</v>
      </c>
      <c r="F547" s="18">
        <v>415</v>
      </c>
      <c r="G547" s="18">
        <v>26</v>
      </c>
      <c r="H547" s="18">
        <v>50</v>
      </c>
      <c r="I547" s="18">
        <v>0.06265</v>
      </c>
      <c r="J547" s="18">
        <v>1.92</v>
      </c>
      <c r="K547" s="18">
        <v>120.48</v>
      </c>
      <c r="L547" s="18">
        <v>0</v>
      </c>
      <c r="M547" s="18">
        <v>0</v>
      </c>
      <c r="N547" s="18">
        <v>0</v>
      </c>
      <c r="O547" s="18">
        <v>0</v>
      </c>
      <c r="P547" s="18">
        <v>0</v>
      </c>
      <c r="Q547" s="18">
        <v>0</v>
      </c>
      <c r="R547" s="18">
        <v>0</v>
      </c>
      <c r="S547" s="18">
        <v>245</v>
      </c>
      <c r="T547" s="18">
        <v>245</v>
      </c>
      <c r="U547" s="18">
        <v>1</v>
      </c>
      <c r="V547" s="18">
        <v>0</v>
      </c>
      <c r="W547" s="18">
        <v>1</v>
      </c>
      <c r="X547" s="18">
        <v>0.03846</v>
      </c>
      <c r="Y547" s="18">
        <v>4.9</v>
      </c>
      <c r="Z547" s="18">
        <v>4.9</v>
      </c>
      <c r="AA547" s="18">
        <v>50</v>
      </c>
      <c r="AB547" s="18">
        <v>1</v>
      </c>
      <c r="AC547" s="18">
        <v>1</v>
      </c>
      <c r="AD547" s="18">
        <v>0</v>
      </c>
      <c r="AE547" s="18">
        <v>0.03846</v>
      </c>
      <c r="AF547" s="18">
        <v>1</v>
      </c>
      <c r="AG547" s="18">
        <v>1</v>
      </c>
      <c r="AH547" s="18">
        <v>50</v>
      </c>
      <c r="AI547" s="18">
        <v>3</v>
      </c>
      <c r="AJ547" s="18">
        <v>16.67</v>
      </c>
      <c r="AK547" s="18">
        <v>2</v>
      </c>
      <c r="AL547" s="18">
        <v>25</v>
      </c>
      <c r="AM547" s="18">
        <v>2</v>
      </c>
      <c r="AN547" s="18">
        <v>50</v>
      </c>
      <c r="AO547" s="18">
        <v>0.03846</v>
      </c>
      <c r="AP547" s="18">
        <v>50</v>
      </c>
      <c r="AQ547" s="18">
        <v>2</v>
      </c>
      <c r="AR547" s="18">
        <v>338.9</v>
      </c>
      <c r="AS547" s="18">
        <v>1</v>
      </c>
      <c r="AT547" s="18">
        <v>0</v>
      </c>
      <c r="AU547" s="18">
        <v>0</v>
      </c>
      <c r="AV547" s="18">
        <v>0</v>
      </c>
      <c r="AW547" s="18">
        <v>0</v>
      </c>
      <c r="AX547" s="18">
        <v>0</v>
      </c>
      <c r="AY547" s="18">
        <v>73</v>
      </c>
      <c r="AZ547" s="18">
        <v>21</v>
      </c>
      <c r="BA547" s="18">
        <v>13</v>
      </c>
      <c r="BB547" s="18">
        <v>0.61905</v>
      </c>
      <c r="BC547" s="18">
        <v>0</v>
      </c>
      <c r="BD547" s="18">
        <v>0</v>
      </c>
      <c r="BE547" s="18">
        <v>0.1759</v>
      </c>
      <c r="BF547" s="18">
        <v>46</v>
      </c>
      <c r="BG547" s="18">
        <v>3</v>
      </c>
      <c r="BH547" s="18">
        <v>1</v>
      </c>
      <c r="BI547" s="18">
        <v>1</v>
      </c>
      <c r="BJ547" s="18">
        <v>0</v>
      </c>
      <c r="BK547" s="18">
        <v>0</v>
      </c>
      <c r="BL547" s="18">
        <v>0</v>
      </c>
      <c r="BM547" s="18">
        <v>1</v>
      </c>
      <c r="BN547" s="18">
        <v>1</v>
      </c>
      <c r="BO547" s="18">
        <v>245</v>
      </c>
      <c r="BP547" s="18">
        <v>0</v>
      </c>
      <c r="BQ547" s="18">
        <v>120</v>
      </c>
      <c r="BR547" s="18">
        <v>0</v>
      </c>
      <c r="BS547" s="18">
        <v>0</v>
      </c>
      <c r="BT547" s="18">
        <v>0</v>
      </c>
      <c r="BU547" s="18">
        <v>0</v>
      </c>
      <c r="BV547" s="18">
        <v>0</v>
      </c>
      <c r="BW547" s="18">
        <v>0</v>
      </c>
      <c r="BX547" s="18">
        <v>0</v>
      </c>
    </row>
    <row r="548" spans="1:76">
      <c r="A548" s="14" t="str">
        <f>VLOOKUP(C548,VLOOKUP!A:B,2,FALSE)</f>
        <v>早晚安香</v>
      </c>
      <c r="B548" s="19">
        <v>46161</v>
      </c>
      <c r="C548" s="20">
        <v>1010789122929</v>
      </c>
      <c r="D548" s="18" t="s">
        <v>151</v>
      </c>
      <c r="E548" s="18" t="s">
        <v>173</v>
      </c>
      <c r="F548" s="18">
        <v>583</v>
      </c>
      <c r="G548" s="18">
        <v>30</v>
      </c>
      <c r="H548" s="18">
        <v>21.79</v>
      </c>
      <c r="I548" s="18">
        <v>0.05146</v>
      </c>
      <c r="J548" s="18">
        <v>0.73</v>
      </c>
      <c r="K548" s="18">
        <v>37.38</v>
      </c>
      <c r="L548" s="18">
        <v>0</v>
      </c>
      <c r="M548" s="18">
        <v>0</v>
      </c>
      <c r="N548" s="18">
        <v>0</v>
      </c>
      <c r="O548" s="18">
        <v>0</v>
      </c>
      <c r="P548" s="18">
        <v>0</v>
      </c>
      <c r="Q548" s="18">
        <v>0</v>
      </c>
      <c r="R548" s="18">
        <v>0</v>
      </c>
      <c r="S548" s="18">
        <v>0</v>
      </c>
      <c r="T548" s="18">
        <v>0</v>
      </c>
      <c r="U548" s="18">
        <v>0</v>
      </c>
      <c r="V548" s="18">
        <v>0</v>
      </c>
      <c r="W548" s="18">
        <v>0</v>
      </c>
      <c r="X548" s="18">
        <v>0</v>
      </c>
      <c r="Y548" s="18">
        <v>0</v>
      </c>
      <c r="Z548" s="18">
        <v>0</v>
      </c>
      <c r="AA548" s="18"/>
      <c r="AB548" s="18">
        <v>0</v>
      </c>
      <c r="AC548" s="18">
        <v>0</v>
      </c>
      <c r="AD548" s="18">
        <v>0</v>
      </c>
      <c r="AE548" s="18">
        <v>0</v>
      </c>
      <c r="AF548" s="18">
        <v>0</v>
      </c>
      <c r="AG548" s="18">
        <v>1</v>
      </c>
      <c r="AH548" s="18">
        <v>21.79</v>
      </c>
      <c r="AI548" s="18">
        <v>1</v>
      </c>
      <c r="AJ548" s="18">
        <v>21.79</v>
      </c>
      <c r="AK548" s="18">
        <v>0</v>
      </c>
      <c r="AL548" s="18"/>
      <c r="AM548" s="18">
        <v>1</v>
      </c>
      <c r="AN548" s="18"/>
      <c r="AO548" s="18">
        <v>0</v>
      </c>
      <c r="AP548" s="18"/>
      <c r="AQ548" s="18">
        <v>0</v>
      </c>
      <c r="AR548" s="18">
        <v>0</v>
      </c>
      <c r="AS548" s="18">
        <v>0</v>
      </c>
      <c r="AT548" s="18">
        <v>0</v>
      </c>
      <c r="AU548" s="18">
        <v>0</v>
      </c>
      <c r="AV548" s="18">
        <v>0</v>
      </c>
      <c r="AW548" s="18">
        <v>0</v>
      </c>
      <c r="AX548" s="18">
        <v>0</v>
      </c>
      <c r="AY548" s="18">
        <v>54</v>
      </c>
      <c r="AZ548" s="18">
        <v>29</v>
      </c>
      <c r="BA548" s="18">
        <v>15</v>
      </c>
      <c r="BB548" s="18">
        <v>0.51724</v>
      </c>
      <c r="BC548" s="18">
        <v>0</v>
      </c>
      <c r="BD548" s="18">
        <v>0</v>
      </c>
      <c r="BE548" s="18">
        <v>0.09262</v>
      </c>
      <c r="BF548" s="18">
        <v>24</v>
      </c>
      <c r="BG548" s="18">
        <v>2</v>
      </c>
      <c r="BH548" s="18">
        <v>0</v>
      </c>
      <c r="BI548" s="18"/>
      <c r="BJ548" s="18">
        <v>0</v>
      </c>
      <c r="BK548" s="18">
        <v>0</v>
      </c>
      <c r="BL548" s="18">
        <v>0</v>
      </c>
      <c r="BM548" s="18">
        <v>0</v>
      </c>
      <c r="BN548" s="18"/>
      <c r="BO548" s="18"/>
      <c r="BP548" s="18">
        <v>0</v>
      </c>
      <c r="BQ548" s="18">
        <v>81</v>
      </c>
      <c r="BR548" s="18">
        <v>0</v>
      </c>
      <c r="BS548" s="18">
        <v>0</v>
      </c>
      <c r="BT548" s="18">
        <v>0</v>
      </c>
      <c r="BU548" s="18">
        <v>0</v>
      </c>
      <c r="BV548" s="18">
        <v>0</v>
      </c>
      <c r="BW548" s="18">
        <v>0</v>
      </c>
      <c r="BX548" s="18">
        <v>0</v>
      </c>
    </row>
    <row r="549" spans="1:76">
      <c r="A549" s="14" t="str">
        <f>VLOOKUP(C549,VLOOKUP!A:B,2,FALSE)</f>
        <v>荔枝香</v>
      </c>
      <c r="B549" s="19">
        <v>46161</v>
      </c>
      <c r="C549" s="20">
        <v>960406497157</v>
      </c>
      <c r="D549" s="18" t="s">
        <v>151</v>
      </c>
      <c r="E549" s="18" t="s">
        <v>176</v>
      </c>
      <c r="F549" s="18">
        <v>3810</v>
      </c>
      <c r="G549" s="18">
        <v>310</v>
      </c>
      <c r="H549" s="18">
        <v>107.62</v>
      </c>
      <c r="I549" s="18">
        <v>0.08136</v>
      </c>
      <c r="J549" s="18">
        <v>0.35</v>
      </c>
      <c r="K549" s="18">
        <v>28.25</v>
      </c>
      <c r="L549" s="18">
        <v>0</v>
      </c>
      <c r="M549" s="18">
        <v>0</v>
      </c>
      <c r="N549" s="18">
        <v>0</v>
      </c>
      <c r="O549" s="18">
        <v>0</v>
      </c>
      <c r="P549" s="18">
        <v>0</v>
      </c>
      <c r="Q549" s="18">
        <v>0</v>
      </c>
      <c r="R549" s="18">
        <v>177.51</v>
      </c>
      <c r="S549" s="18">
        <v>15.72</v>
      </c>
      <c r="T549" s="18">
        <v>193.23</v>
      </c>
      <c r="U549" s="18">
        <v>3</v>
      </c>
      <c r="V549" s="18">
        <v>2</v>
      </c>
      <c r="W549" s="18">
        <v>1</v>
      </c>
      <c r="X549" s="18">
        <v>0.00968</v>
      </c>
      <c r="Y549" s="18">
        <v>1.8</v>
      </c>
      <c r="Z549" s="18">
        <v>1.8</v>
      </c>
      <c r="AA549" s="18">
        <v>35.87</v>
      </c>
      <c r="AB549" s="18">
        <v>4</v>
      </c>
      <c r="AC549" s="18">
        <v>3</v>
      </c>
      <c r="AD549" s="18">
        <v>1</v>
      </c>
      <c r="AE549" s="18">
        <v>0.0129</v>
      </c>
      <c r="AF549" s="18">
        <v>1</v>
      </c>
      <c r="AG549" s="18">
        <v>0</v>
      </c>
      <c r="AH549" s="18"/>
      <c r="AI549" s="18">
        <v>5</v>
      </c>
      <c r="AJ549" s="18">
        <v>21.52</v>
      </c>
      <c r="AK549" s="18">
        <v>5</v>
      </c>
      <c r="AL549" s="18">
        <v>21.52</v>
      </c>
      <c r="AM549" s="18">
        <v>1</v>
      </c>
      <c r="AN549" s="18">
        <v>107.62</v>
      </c>
      <c r="AO549" s="18">
        <v>0.00323</v>
      </c>
      <c r="AP549" s="18">
        <v>26.91</v>
      </c>
      <c r="AQ549" s="18">
        <v>4</v>
      </c>
      <c r="AR549" s="18">
        <v>283.8</v>
      </c>
      <c r="AS549" s="18">
        <v>1</v>
      </c>
      <c r="AT549" s="18">
        <v>0</v>
      </c>
      <c r="AU549" s="18">
        <v>0</v>
      </c>
      <c r="AV549" s="18">
        <v>0</v>
      </c>
      <c r="AW549" s="18">
        <v>0</v>
      </c>
      <c r="AX549" s="18">
        <v>0</v>
      </c>
      <c r="AY549" s="18">
        <v>511</v>
      </c>
      <c r="AZ549" s="18">
        <v>255</v>
      </c>
      <c r="BA549" s="18">
        <v>226</v>
      </c>
      <c r="BB549" s="18">
        <v>0.88627</v>
      </c>
      <c r="BC549" s="18">
        <v>0</v>
      </c>
      <c r="BD549" s="18">
        <v>0</v>
      </c>
      <c r="BE549" s="18">
        <v>0.13412</v>
      </c>
      <c r="BF549" s="18">
        <v>138</v>
      </c>
      <c r="BG549" s="18">
        <v>2</v>
      </c>
      <c r="BH549" s="18">
        <v>3</v>
      </c>
      <c r="BI549" s="18">
        <v>1</v>
      </c>
      <c r="BJ549" s="18">
        <v>0</v>
      </c>
      <c r="BK549" s="18">
        <v>0</v>
      </c>
      <c r="BL549" s="18">
        <v>0</v>
      </c>
      <c r="BM549" s="18">
        <v>3</v>
      </c>
      <c r="BN549" s="18">
        <v>1</v>
      </c>
      <c r="BO549" s="18">
        <v>64.41</v>
      </c>
      <c r="BP549" s="18">
        <v>24.84</v>
      </c>
      <c r="BQ549" s="18">
        <v>685</v>
      </c>
      <c r="BR549" s="18">
        <v>0</v>
      </c>
      <c r="BS549" s="18">
        <v>0</v>
      </c>
      <c r="BT549" s="18">
        <v>0</v>
      </c>
      <c r="BU549" s="18">
        <v>0</v>
      </c>
      <c r="BV549" s="18">
        <v>0</v>
      </c>
      <c r="BW549" s="18">
        <v>0</v>
      </c>
      <c r="BX549" s="18">
        <v>0</v>
      </c>
    </row>
    <row r="550" spans="1:76">
      <c r="A550" s="14" t="str">
        <f>VLOOKUP(C550,VLOOKUP!A:B,2,FALSE)</f>
        <v>如意盘香</v>
      </c>
      <c r="B550" s="19">
        <v>46161</v>
      </c>
      <c r="C550" s="20">
        <v>838711327669</v>
      </c>
      <c r="D550" s="18" t="s">
        <v>151</v>
      </c>
      <c r="E550" s="18" t="s">
        <v>175</v>
      </c>
      <c r="F550" s="18">
        <v>548</v>
      </c>
      <c r="G550" s="18">
        <v>18</v>
      </c>
      <c r="H550" s="18">
        <v>37.45</v>
      </c>
      <c r="I550" s="18">
        <v>0.03285</v>
      </c>
      <c r="J550" s="18">
        <v>2.08</v>
      </c>
      <c r="K550" s="18">
        <v>68.34</v>
      </c>
      <c r="L550" s="18">
        <v>0</v>
      </c>
      <c r="M550" s="18">
        <v>0</v>
      </c>
      <c r="N550" s="18">
        <v>0</v>
      </c>
      <c r="O550" s="18">
        <v>0</v>
      </c>
      <c r="P550" s="18">
        <v>0</v>
      </c>
      <c r="Q550" s="18">
        <v>0</v>
      </c>
      <c r="R550" s="18">
        <v>0</v>
      </c>
      <c r="S550" s="18">
        <v>0</v>
      </c>
      <c r="T550" s="18">
        <v>0</v>
      </c>
      <c r="U550" s="18">
        <v>0</v>
      </c>
      <c r="V550" s="18">
        <v>0</v>
      </c>
      <c r="W550" s="18">
        <v>0</v>
      </c>
      <c r="X550" s="18">
        <v>0</v>
      </c>
      <c r="Y550" s="18">
        <v>0</v>
      </c>
      <c r="Z550" s="18">
        <v>0</v>
      </c>
      <c r="AA550" s="18"/>
      <c r="AB550" s="18">
        <v>1</v>
      </c>
      <c r="AC550" s="18">
        <v>1</v>
      </c>
      <c r="AD550" s="18">
        <v>0</v>
      </c>
      <c r="AE550" s="18">
        <v>0.05556</v>
      </c>
      <c r="AF550" s="18">
        <v>0</v>
      </c>
      <c r="AG550" s="18">
        <v>1</v>
      </c>
      <c r="AH550" s="18">
        <v>37.45</v>
      </c>
      <c r="AI550" s="18">
        <v>2</v>
      </c>
      <c r="AJ550" s="18">
        <v>18.73</v>
      </c>
      <c r="AK550" s="18">
        <v>1</v>
      </c>
      <c r="AL550" s="18">
        <v>37.45</v>
      </c>
      <c r="AM550" s="18">
        <v>1</v>
      </c>
      <c r="AN550" s="18"/>
      <c r="AO550" s="18">
        <v>0</v>
      </c>
      <c r="AP550" s="18">
        <v>37.45</v>
      </c>
      <c r="AQ550" s="18">
        <v>0</v>
      </c>
      <c r="AR550" s="18">
        <v>0</v>
      </c>
      <c r="AS550" s="18">
        <v>0</v>
      </c>
      <c r="AT550" s="18">
        <v>0</v>
      </c>
      <c r="AU550" s="18">
        <v>0</v>
      </c>
      <c r="AV550" s="18">
        <v>0</v>
      </c>
      <c r="AW550" s="18">
        <v>0</v>
      </c>
      <c r="AX550" s="18">
        <v>1</v>
      </c>
      <c r="AY550" s="18">
        <v>82</v>
      </c>
      <c r="AZ550" s="18">
        <v>17</v>
      </c>
      <c r="BA550" s="18">
        <v>9</v>
      </c>
      <c r="BB550" s="18">
        <v>0.52941</v>
      </c>
      <c r="BC550" s="18">
        <v>0</v>
      </c>
      <c r="BD550" s="18">
        <v>0</v>
      </c>
      <c r="BE550" s="18">
        <v>0.14964</v>
      </c>
      <c r="BF550" s="18">
        <v>64</v>
      </c>
      <c r="BG550" s="18">
        <v>5</v>
      </c>
      <c r="BH550" s="18">
        <v>0</v>
      </c>
      <c r="BI550" s="18"/>
      <c r="BJ550" s="18">
        <v>0</v>
      </c>
      <c r="BK550" s="18">
        <v>0</v>
      </c>
      <c r="BL550" s="18">
        <v>0</v>
      </c>
      <c r="BM550" s="18">
        <v>0</v>
      </c>
      <c r="BN550" s="18"/>
      <c r="BO550" s="18"/>
      <c r="BP550" s="18">
        <v>0</v>
      </c>
      <c r="BQ550" s="18">
        <v>32</v>
      </c>
      <c r="BR550" s="18">
        <v>0</v>
      </c>
      <c r="BS550" s="18">
        <v>0</v>
      </c>
      <c r="BT550" s="18">
        <v>0</v>
      </c>
      <c r="BU550" s="18">
        <v>0</v>
      </c>
      <c r="BV550" s="18">
        <v>0</v>
      </c>
      <c r="BW550" s="18">
        <v>0</v>
      </c>
      <c r="BX550" s="18">
        <v>0</v>
      </c>
    </row>
    <row r="551" spans="1:76">
      <c r="A551" s="14" t="str">
        <f>VLOOKUP(C551,VLOOKUP!A:B,2,FALSE)</f>
        <v>早晚安香</v>
      </c>
      <c r="B551" s="19">
        <v>46160</v>
      </c>
      <c r="C551" s="20">
        <v>1010789122929</v>
      </c>
      <c r="D551" s="18" t="s">
        <v>151</v>
      </c>
      <c r="E551" s="18" t="s">
        <v>173</v>
      </c>
      <c r="F551" s="18">
        <v>655</v>
      </c>
      <c r="G551" s="18">
        <v>24</v>
      </c>
      <c r="H551" s="18">
        <v>19.38</v>
      </c>
      <c r="I551" s="18">
        <v>0.03664</v>
      </c>
      <c r="J551" s="18">
        <v>0.81</v>
      </c>
      <c r="K551" s="18">
        <v>29.59</v>
      </c>
      <c r="L551" s="18">
        <v>0</v>
      </c>
      <c r="M551" s="18">
        <v>0</v>
      </c>
      <c r="N551" s="18">
        <v>0</v>
      </c>
      <c r="O551" s="18">
        <v>0</v>
      </c>
      <c r="P551" s="18">
        <v>0</v>
      </c>
      <c r="Q551" s="18">
        <v>0</v>
      </c>
      <c r="R551" s="18">
        <v>192.93</v>
      </c>
      <c r="S551" s="18">
        <v>0</v>
      </c>
      <c r="T551" s="18">
        <v>192.93</v>
      </c>
      <c r="U551" s="18">
        <v>1</v>
      </c>
      <c r="V551" s="18">
        <v>1</v>
      </c>
      <c r="W551" s="18">
        <v>0</v>
      </c>
      <c r="X551" s="18">
        <v>0.04167</v>
      </c>
      <c r="Y551" s="18">
        <v>9.96</v>
      </c>
      <c r="Z551" s="18">
        <v>9.96</v>
      </c>
      <c r="AA551" s="18">
        <v>19.38</v>
      </c>
      <c r="AB551" s="18">
        <v>0</v>
      </c>
      <c r="AC551" s="18">
        <v>0</v>
      </c>
      <c r="AD551" s="18">
        <v>0</v>
      </c>
      <c r="AE551" s="18">
        <v>0</v>
      </c>
      <c r="AF551" s="18">
        <v>0</v>
      </c>
      <c r="AG551" s="18">
        <v>0</v>
      </c>
      <c r="AH551" s="18"/>
      <c r="AI551" s="18">
        <v>0</v>
      </c>
      <c r="AJ551" s="18"/>
      <c r="AK551" s="18">
        <v>0</v>
      </c>
      <c r="AL551" s="18"/>
      <c r="AM551" s="18">
        <v>0</v>
      </c>
      <c r="AN551" s="18"/>
      <c r="AO551" s="18">
        <v>0</v>
      </c>
      <c r="AP551" s="18"/>
      <c r="AQ551" s="18">
        <v>1</v>
      </c>
      <c r="AR551" s="18">
        <v>269</v>
      </c>
      <c r="AS551" s="18">
        <v>0</v>
      </c>
      <c r="AT551" s="18">
        <v>0</v>
      </c>
      <c r="AU551" s="18">
        <v>0</v>
      </c>
      <c r="AV551" s="18">
        <v>0</v>
      </c>
      <c r="AW551" s="18">
        <v>0</v>
      </c>
      <c r="AX551" s="18">
        <v>0</v>
      </c>
      <c r="AY551" s="18">
        <v>37</v>
      </c>
      <c r="AZ551" s="18">
        <v>27</v>
      </c>
      <c r="BA551" s="18">
        <v>8</v>
      </c>
      <c r="BB551" s="18">
        <v>0.2963</v>
      </c>
      <c r="BC551" s="18">
        <v>0</v>
      </c>
      <c r="BD551" s="18">
        <v>0</v>
      </c>
      <c r="BE551" s="18">
        <v>0.05649</v>
      </c>
      <c r="BF551" s="18">
        <v>9</v>
      </c>
      <c r="BG551" s="18">
        <v>1</v>
      </c>
      <c r="BH551" s="18">
        <v>1</v>
      </c>
      <c r="BI551" s="18">
        <v>1</v>
      </c>
      <c r="BJ551" s="18">
        <v>0</v>
      </c>
      <c r="BK551" s="18">
        <v>0</v>
      </c>
      <c r="BL551" s="18">
        <v>0</v>
      </c>
      <c r="BM551" s="18">
        <v>1</v>
      </c>
      <c r="BN551" s="18">
        <v>1</v>
      </c>
      <c r="BO551" s="18">
        <v>192.93</v>
      </c>
      <c r="BP551" s="18">
        <v>0</v>
      </c>
      <c r="BQ551" s="18">
        <v>787</v>
      </c>
      <c r="BR551" s="18">
        <v>0</v>
      </c>
      <c r="BS551" s="18">
        <v>0</v>
      </c>
      <c r="BT551" s="18">
        <v>0</v>
      </c>
      <c r="BU551" s="18">
        <v>0</v>
      </c>
      <c r="BV551" s="18">
        <v>0</v>
      </c>
      <c r="BW551" s="18">
        <v>0</v>
      </c>
      <c r="BX551" s="18">
        <v>0</v>
      </c>
    </row>
    <row r="552" spans="1:76">
      <c r="A552" s="14" t="str">
        <f>VLOOKUP(C552,VLOOKUP!A:B,2,FALSE)</f>
        <v>荔枝香</v>
      </c>
      <c r="B552" s="19">
        <v>46160</v>
      </c>
      <c r="C552" s="20">
        <v>960406497157</v>
      </c>
      <c r="D552" s="18" t="s">
        <v>151</v>
      </c>
      <c r="E552" s="18" t="s">
        <v>176</v>
      </c>
      <c r="F552" s="18">
        <v>3123</v>
      </c>
      <c r="G552" s="18">
        <v>203</v>
      </c>
      <c r="H552" s="18">
        <v>77.54</v>
      </c>
      <c r="I552" s="18">
        <v>0.065</v>
      </c>
      <c r="J552" s="18">
        <v>0.38</v>
      </c>
      <c r="K552" s="18">
        <v>24.83</v>
      </c>
      <c r="L552" s="18">
        <v>0</v>
      </c>
      <c r="M552" s="18">
        <v>0</v>
      </c>
      <c r="N552" s="18">
        <v>0</v>
      </c>
      <c r="O552" s="18">
        <v>0</v>
      </c>
      <c r="P552" s="18">
        <v>0</v>
      </c>
      <c r="Q552" s="18">
        <v>0</v>
      </c>
      <c r="R552" s="18">
        <v>0</v>
      </c>
      <c r="S552" s="18">
        <v>0</v>
      </c>
      <c r="T552" s="18">
        <v>0</v>
      </c>
      <c r="U552" s="18">
        <v>0</v>
      </c>
      <c r="V552" s="18">
        <v>0</v>
      </c>
      <c r="W552" s="18">
        <v>0</v>
      </c>
      <c r="X552" s="18">
        <v>0</v>
      </c>
      <c r="Y552" s="18">
        <v>0</v>
      </c>
      <c r="Z552" s="18">
        <v>0</v>
      </c>
      <c r="AA552" s="18"/>
      <c r="AB552" s="18">
        <v>4</v>
      </c>
      <c r="AC552" s="18">
        <v>4</v>
      </c>
      <c r="AD552" s="18">
        <v>0</v>
      </c>
      <c r="AE552" s="18">
        <v>0.0197</v>
      </c>
      <c r="AF552" s="18">
        <v>1</v>
      </c>
      <c r="AG552" s="18">
        <v>0</v>
      </c>
      <c r="AH552" s="18"/>
      <c r="AI552" s="18">
        <v>5</v>
      </c>
      <c r="AJ552" s="18">
        <v>15.51</v>
      </c>
      <c r="AK552" s="18">
        <v>5</v>
      </c>
      <c r="AL552" s="18">
        <v>15.51</v>
      </c>
      <c r="AM552" s="18">
        <v>1</v>
      </c>
      <c r="AN552" s="18">
        <v>77.54</v>
      </c>
      <c r="AO552" s="18">
        <v>0.00493</v>
      </c>
      <c r="AP552" s="18">
        <v>19.39</v>
      </c>
      <c r="AQ552" s="18">
        <v>0</v>
      </c>
      <c r="AR552" s="18">
        <v>0</v>
      </c>
      <c r="AS552" s="18">
        <v>1</v>
      </c>
      <c r="AT552" s="18">
        <v>0</v>
      </c>
      <c r="AU552" s="18">
        <v>0</v>
      </c>
      <c r="AV552" s="18">
        <v>0</v>
      </c>
      <c r="AW552" s="18">
        <v>0</v>
      </c>
      <c r="AX552" s="18">
        <v>1</v>
      </c>
      <c r="AY552" s="18">
        <v>385</v>
      </c>
      <c r="AZ552" s="18">
        <v>185</v>
      </c>
      <c r="BA552" s="18">
        <v>157</v>
      </c>
      <c r="BB552" s="18">
        <v>0.84865</v>
      </c>
      <c r="BC552" s="18">
        <v>0</v>
      </c>
      <c r="BD552" s="18">
        <v>0</v>
      </c>
      <c r="BE552" s="18">
        <v>0.12328</v>
      </c>
      <c r="BF552" s="18">
        <v>115</v>
      </c>
      <c r="BG552" s="18">
        <v>2</v>
      </c>
      <c r="BH552" s="18">
        <v>0</v>
      </c>
      <c r="BI552" s="18"/>
      <c r="BJ552" s="18">
        <v>0</v>
      </c>
      <c r="BK552" s="18">
        <v>0</v>
      </c>
      <c r="BL552" s="18">
        <v>0</v>
      </c>
      <c r="BM552" s="18">
        <v>0</v>
      </c>
      <c r="BN552" s="18"/>
      <c r="BO552" s="18"/>
      <c r="BP552" s="18">
        <v>0.08</v>
      </c>
      <c r="BQ552" s="18">
        <v>288</v>
      </c>
      <c r="BR552" s="18">
        <v>0</v>
      </c>
      <c r="BS552" s="18">
        <v>0</v>
      </c>
      <c r="BT552" s="18">
        <v>0</v>
      </c>
      <c r="BU552" s="18">
        <v>0</v>
      </c>
      <c r="BV552" s="18">
        <v>0</v>
      </c>
      <c r="BW552" s="18">
        <v>0</v>
      </c>
      <c r="BX552" s="18">
        <v>0</v>
      </c>
    </row>
    <row r="553" spans="1:76">
      <c r="A553" s="14" t="str">
        <f>VLOOKUP(C553,VLOOKUP!A:B,2,FALSE)</f>
        <v>如意盘香</v>
      </c>
      <c r="B553" s="19">
        <v>46160</v>
      </c>
      <c r="C553" s="20">
        <v>838711327669</v>
      </c>
      <c r="D553" s="18" t="s">
        <v>151</v>
      </c>
      <c r="E553" s="18" t="s">
        <v>175</v>
      </c>
      <c r="F553" s="18">
        <v>615</v>
      </c>
      <c r="G553" s="18">
        <v>28</v>
      </c>
      <c r="H553" s="18">
        <v>36.84</v>
      </c>
      <c r="I553" s="18">
        <v>0.04553</v>
      </c>
      <c r="J553" s="18">
        <v>1.32</v>
      </c>
      <c r="K553" s="18">
        <v>59.9</v>
      </c>
      <c r="L553" s="18">
        <v>0</v>
      </c>
      <c r="M553" s="18">
        <v>0</v>
      </c>
      <c r="N553" s="18">
        <v>0</v>
      </c>
      <c r="O553" s="18">
        <v>0</v>
      </c>
      <c r="P553" s="18">
        <v>0</v>
      </c>
      <c r="Q553" s="18">
        <v>0</v>
      </c>
      <c r="R553" s="18">
        <v>142</v>
      </c>
      <c r="S553" s="18">
        <v>0</v>
      </c>
      <c r="T553" s="18">
        <v>142</v>
      </c>
      <c r="U553" s="18">
        <v>1</v>
      </c>
      <c r="V553" s="18">
        <v>1</v>
      </c>
      <c r="W553" s="18">
        <v>0</v>
      </c>
      <c r="X553" s="18">
        <v>0.03571</v>
      </c>
      <c r="Y553" s="18">
        <v>3.85</v>
      </c>
      <c r="Z553" s="18">
        <v>3.85</v>
      </c>
      <c r="AA553" s="18">
        <v>36.84</v>
      </c>
      <c r="AB553" s="18">
        <v>3</v>
      </c>
      <c r="AC553" s="18">
        <v>3</v>
      </c>
      <c r="AD553" s="18">
        <v>0</v>
      </c>
      <c r="AE553" s="18">
        <v>0.10714</v>
      </c>
      <c r="AF553" s="18">
        <v>0</v>
      </c>
      <c r="AG553" s="18">
        <v>1</v>
      </c>
      <c r="AH553" s="18">
        <v>36.84</v>
      </c>
      <c r="AI553" s="18">
        <v>4</v>
      </c>
      <c r="AJ553" s="18">
        <v>9.21</v>
      </c>
      <c r="AK553" s="18">
        <v>3</v>
      </c>
      <c r="AL553" s="18">
        <v>12.28</v>
      </c>
      <c r="AM553" s="18">
        <v>1</v>
      </c>
      <c r="AN553" s="18"/>
      <c r="AO553" s="18">
        <v>0</v>
      </c>
      <c r="AP553" s="18">
        <v>12.28</v>
      </c>
      <c r="AQ553" s="18">
        <v>2</v>
      </c>
      <c r="AR553" s="18">
        <v>217.9</v>
      </c>
      <c r="AS553" s="18">
        <v>0</v>
      </c>
      <c r="AT553" s="18">
        <v>0</v>
      </c>
      <c r="AU553" s="18">
        <v>0</v>
      </c>
      <c r="AV553" s="18">
        <v>0</v>
      </c>
      <c r="AW553" s="18">
        <v>0</v>
      </c>
      <c r="AX553" s="18">
        <v>1</v>
      </c>
      <c r="AY553" s="18">
        <v>143</v>
      </c>
      <c r="AZ553" s="18">
        <v>28</v>
      </c>
      <c r="BA553" s="18">
        <v>17</v>
      </c>
      <c r="BB553" s="18">
        <v>0.60714</v>
      </c>
      <c r="BC553" s="18">
        <v>0</v>
      </c>
      <c r="BD553" s="18">
        <v>0</v>
      </c>
      <c r="BE553" s="18">
        <v>0.23252</v>
      </c>
      <c r="BF553" s="18">
        <v>115</v>
      </c>
      <c r="BG553" s="18">
        <v>5</v>
      </c>
      <c r="BH553" s="18">
        <v>1</v>
      </c>
      <c r="BI553" s="18">
        <v>1</v>
      </c>
      <c r="BJ553" s="18">
        <v>0</v>
      </c>
      <c r="BK553" s="18">
        <v>0</v>
      </c>
      <c r="BL553" s="18">
        <v>0</v>
      </c>
      <c r="BM553" s="18">
        <v>1</v>
      </c>
      <c r="BN553" s="18">
        <v>1</v>
      </c>
      <c r="BO553" s="18">
        <v>142</v>
      </c>
      <c r="BP553" s="18">
        <v>0</v>
      </c>
      <c r="BQ553" s="18">
        <v>555</v>
      </c>
      <c r="BR553" s="18">
        <v>0</v>
      </c>
      <c r="BS553" s="18">
        <v>0</v>
      </c>
      <c r="BT553" s="18">
        <v>0</v>
      </c>
      <c r="BU553" s="18">
        <v>22</v>
      </c>
      <c r="BV553" s="18">
        <v>142</v>
      </c>
      <c r="BW553" s="18">
        <v>1</v>
      </c>
      <c r="BX553" s="18">
        <v>1</v>
      </c>
    </row>
    <row r="554" spans="1:76">
      <c r="A554" s="14" t="str">
        <f>VLOOKUP(C554,VLOOKUP!A:B,2,FALSE)</f>
        <v>早晚安香</v>
      </c>
      <c r="B554" s="19">
        <v>46159</v>
      </c>
      <c r="C554" s="20">
        <v>1010789122929</v>
      </c>
      <c r="D554" s="18" t="s">
        <v>151</v>
      </c>
      <c r="E554" s="18" t="s">
        <v>173</v>
      </c>
      <c r="F554" s="18">
        <v>764</v>
      </c>
      <c r="G554" s="18">
        <v>33</v>
      </c>
      <c r="H554" s="18">
        <v>22.4</v>
      </c>
      <c r="I554" s="18">
        <v>0.04319</v>
      </c>
      <c r="J554" s="18">
        <v>0.68</v>
      </c>
      <c r="K554" s="18">
        <v>29.32</v>
      </c>
      <c r="L554" s="18">
        <v>0</v>
      </c>
      <c r="M554" s="18">
        <v>0</v>
      </c>
      <c r="N554" s="18">
        <v>0</v>
      </c>
      <c r="O554" s="18">
        <v>0</v>
      </c>
      <c r="P554" s="18">
        <v>0</v>
      </c>
      <c r="Q554" s="18">
        <v>0</v>
      </c>
      <c r="R554" s="18">
        <v>192.93</v>
      </c>
      <c r="S554" s="18">
        <v>0</v>
      </c>
      <c r="T554" s="18">
        <v>192.93</v>
      </c>
      <c r="U554" s="18">
        <v>1</v>
      </c>
      <c r="V554" s="18">
        <v>1</v>
      </c>
      <c r="W554" s="18">
        <v>0</v>
      </c>
      <c r="X554" s="18">
        <v>0.0303</v>
      </c>
      <c r="Y554" s="18">
        <v>8.61</v>
      </c>
      <c r="Z554" s="18">
        <v>8.61</v>
      </c>
      <c r="AA554" s="18">
        <v>22.4</v>
      </c>
      <c r="AB554" s="18">
        <v>2</v>
      </c>
      <c r="AC554" s="18">
        <v>1</v>
      </c>
      <c r="AD554" s="18">
        <v>1</v>
      </c>
      <c r="AE554" s="18">
        <v>0.06061</v>
      </c>
      <c r="AF554" s="18">
        <v>2</v>
      </c>
      <c r="AG554" s="18">
        <v>0</v>
      </c>
      <c r="AH554" s="18"/>
      <c r="AI554" s="18">
        <v>4</v>
      </c>
      <c r="AJ554" s="18">
        <v>5.6</v>
      </c>
      <c r="AK554" s="18">
        <v>4</v>
      </c>
      <c r="AL554" s="18">
        <v>5.6</v>
      </c>
      <c r="AM554" s="18">
        <v>2</v>
      </c>
      <c r="AN554" s="18">
        <v>11.2</v>
      </c>
      <c r="AO554" s="18">
        <v>0.06061</v>
      </c>
      <c r="AP554" s="18">
        <v>11.2</v>
      </c>
      <c r="AQ554" s="18">
        <v>3</v>
      </c>
      <c r="AR554" s="18">
        <v>368.8</v>
      </c>
      <c r="AS554" s="18">
        <v>2</v>
      </c>
      <c r="AT554" s="18">
        <v>0</v>
      </c>
      <c r="AU554" s="18">
        <v>0</v>
      </c>
      <c r="AV554" s="18">
        <v>0</v>
      </c>
      <c r="AW554" s="18">
        <v>0</v>
      </c>
      <c r="AX554" s="18">
        <v>0</v>
      </c>
      <c r="AY554" s="18">
        <v>123</v>
      </c>
      <c r="AZ554" s="18">
        <v>30</v>
      </c>
      <c r="BA554" s="18">
        <v>11</v>
      </c>
      <c r="BB554" s="18">
        <v>0.36667</v>
      </c>
      <c r="BC554" s="18">
        <v>0</v>
      </c>
      <c r="BD554" s="18">
        <v>0</v>
      </c>
      <c r="BE554" s="18">
        <v>0.16099</v>
      </c>
      <c r="BF554" s="18">
        <v>73</v>
      </c>
      <c r="BG554" s="18">
        <v>4</v>
      </c>
      <c r="BH554" s="18">
        <v>0</v>
      </c>
      <c r="BI554" s="18">
        <v>0</v>
      </c>
      <c r="BJ554" s="18">
        <v>0</v>
      </c>
      <c r="BK554" s="18">
        <v>0</v>
      </c>
      <c r="BL554" s="18">
        <v>0</v>
      </c>
      <c r="BM554" s="18">
        <v>1</v>
      </c>
      <c r="BN554" s="18">
        <v>1</v>
      </c>
      <c r="BO554" s="18">
        <v>192.93</v>
      </c>
      <c r="BP554" s="18">
        <v>0</v>
      </c>
      <c r="BQ554" s="18">
        <v>473</v>
      </c>
      <c r="BR554" s="18">
        <v>0</v>
      </c>
      <c r="BS554" s="18">
        <v>0</v>
      </c>
      <c r="BT554" s="18">
        <v>0</v>
      </c>
      <c r="BU554" s="18">
        <v>0</v>
      </c>
      <c r="BV554" s="18">
        <v>0</v>
      </c>
      <c r="BW554" s="18">
        <v>0</v>
      </c>
      <c r="BX554" s="18">
        <v>0</v>
      </c>
    </row>
    <row r="555" spans="1:76">
      <c r="A555" s="14" t="str">
        <f>VLOOKUP(C555,VLOOKUP!A:B,2,FALSE)</f>
        <v>荔枝香</v>
      </c>
      <c r="B555" s="19">
        <v>46159</v>
      </c>
      <c r="C555" s="20">
        <v>960406497157</v>
      </c>
      <c r="D555" s="18" t="s">
        <v>151</v>
      </c>
      <c r="E555" s="18" t="s">
        <v>176</v>
      </c>
      <c r="F555" s="18">
        <v>4291</v>
      </c>
      <c r="G555" s="18">
        <v>287</v>
      </c>
      <c r="H555" s="18">
        <v>111.15</v>
      </c>
      <c r="I555" s="18">
        <v>0.06688</v>
      </c>
      <c r="J555" s="18">
        <v>0.39</v>
      </c>
      <c r="K555" s="18">
        <v>25.9</v>
      </c>
      <c r="L555" s="18">
        <v>0</v>
      </c>
      <c r="M555" s="18">
        <v>0</v>
      </c>
      <c r="N555" s="18">
        <v>0</v>
      </c>
      <c r="O555" s="18">
        <v>0</v>
      </c>
      <c r="P555" s="18">
        <v>0</v>
      </c>
      <c r="Q555" s="18">
        <v>0</v>
      </c>
      <c r="R555" s="18">
        <v>0</v>
      </c>
      <c r="S555" s="18">
        <v>0</v>
      </c>
      <c r="T555" s="18">
        <v>0</v>
      </c>
      <c r="U555" s="18">
        <v>0</v>
      </c>
      <c r="V555" s="18">
        <v>0</v>
      </c>
      <c r="W555" s="18">
        <v>0</v>
      </c>
      <c r="X555" s="18">
        <v>0</v>
      </c>
      <c r="Y555" s="18">
        <v>0</v>
      </c>
      <c r="Z555" s="18">
        <v>0</v>
      </c>
      <c r="AA555" s="18"/>
      <c r="AB555" s="18">
        <v>4</v>
      </c>
      <c r="AC555" s="18">
        <v>4</v>
      </c>
      <c r="AD555" s="18">
        <v>0</v>
      </c>
      <c r="AE555" s="18">
        <v>0.01394</v>
      </c>
      <c r="AF555" s="18">
        <v>3</v>
      </c>
      <c r="AG555" s="18">
        <v>1</v>
      </c>
      <c r="AH555" s="18">
        <v>111.15</v>
      </c>
      <c r="AI555" s="18">
        <v>8</v>
      </c>
      <c r="AJ555" s="18">
        <v>13.89</v>
      </c>
      <c r="AK555" s="18">
        <v>7</v>
      </c>
      <c r="AL555" s="18">
        <v>15.88</v>
      </c>
      <c r="AM555" s="18">
        <v>4</v>
      </c>
      <c r="AN555" s="18">
        <v>37.05</v>
      </c>
      <c r="AO555" s="18">
        <v>0.01045</v>
      </c>
      <c r="AP555" s="18">
        <v>27.79</v>
      </c>
      <c r="AQ555" s="18">
        <v>0</v>
      </c>
      <c r="AR555" s="18">
        <v>0</v>
      </c>
      <c r="AS555" s="18">
        <v>3</v>
      </c>
      <c r="AT555" s="18">
        <v>0</v>
      </c>
      <c r="AU555" s="18">
        <v>0</v>
      </c>
      <c r="AV555" s="18">
        <v>0</v>
      </c>
      <c r="AW555" s="18">
        <v>0</v>
      </c>
      <c r="AX555" s="18">
        <v>0</v>
      </c>
      <c r="AY555" s="18">
        <v>514</v>
      </c>
      <c r="AZ555" s="18">
        <v>274</v>
      </c>
      <c r="BA555" s="18">
        <v>239</v>
      </c>
      <c r="BB555" s="18">
        <v>0.87226</v>
      </c>
      <c r="BC555" s="18">
        <v>0</v>
      </c>
      <c r="BD555" s="18">
        <v>0</v>
      </c>
      <c r="BE555" s="18">
        <v>0.11979</v>
      </c>
      <c r="BF555" s="18">
        <v>150</v>
      </c>
      <c r="BG555" s="18">
        <v>2</v>
      </c>
      <c r="BH555" s="18">
        <v>0</v>
      </c>
      <c r="BI555" s="18"/>
      <c r="BJ555" s="18">
        <v>0</v>
      </c>
      <c r="BK555" s="18">
        <v>0</v>
      </c>
      <c r="BL555" s="18">
        <v>0</v>
      </c>
      <c r="BM555" s="18">
        <v>0</v>
      </c>
      <c r="BN555" s="18"/>
      <c r="BO555" s="18"/>
      <c r="BP555" s="18">
        <v>0.04</v>
      </c>
      <c r="BQ555" s="18">
        <v>322</v>
      </c>
      <c r="BR555" s="18">
        <v>0</v>
      </c>
      <c r="BS555" s="18">
        <v>0</v>
      </c>
      <c r="BT555" s="18">
        <v>0</v>
      </c>
      <c r="BU555" s="18">
        <v>0</v>
      </c>
      <c r="BV555" s="18">
        <v>0</v>
      </c>
      <c r="BW555" s="18">
        <v>0</v>
      </c>
      <c r="BX555" s="18">
        <v>0</v>
      </c>
    </row>
    <row r="556" spans="1:76">
      <c r="A556" s="14" t="str">
        <f>VLOOKUP(C556,VLOOKUP!A:B,2,FALSE)</f>
        <v>如意盘香</v>
      </c>
      <c r="B556" s="19">
        <v>46159</v>
      </c>
      <c r="C556" s="20">
        <v>838711327669</v>
      </c>
      <c r="D556" s="18" t="s">
        <v>151</v>
      </c>
      <c r="E556" s="18" t="s">
        <v>175</v>
      </c>
      <c r="F556" s="18">
        <v>495</v>
      </c>
      <c r="G556" s="18">
        <v>20</v>
      </c>
      <c r="H556" s="18">
        <v>36.03</v>
      </c>
      <c r="I556" s="18">
        <v>0.0404</v>
      </c>
      <c r="J556" s="18">
        <v>1.8</v>
      </c>
      <c r="K556" s="18">
        <v>72.79</v>
      </c>
      <c r="L556" s="18">
        <v>0</v>
      </c>
      <c r="M556" s="18">
        <v>0</v>
      </c>
      <c r="N556" s="18">
        <v>0</v>
      </c>
      <c r="O556" s="18">
        <v>0</v>
      </c>
      <c r="P556" s="18">
        <v>0</v>
      </c>
      <c r="Q556" s="18">
        <v>0</v>
      </c>
      <c r="R556" s="18">
        <v>0</v>
      </c>
      <c r="S556" s="18">
        <v>0</v>
      </c>
      <c r="T556" s="18">
        <v>0</v>
      </c>
      <c r="U556" s="18">
        <v>0</v>
      </c>
      <c r="V556" s="18">
        <v>0</v>
      </c>
      <c r="W556" s="18">
        <v>0</v>
      </c>
      <c r="X556" s="18">
        <v>0</v>
      </c>
      <c r="Y556" s="18">
        <v>0</v>
      </c>
      <c r="Z556" s="18">
        <v>0</v>
      </c>
      <c r="AA556" s="18"/>
      <c r="AB556" s="18">
        <v>1</v>
      </c>
      <c r="AC556" s="18">
        <v>1</v>
      </c>
      <c r="AD556" s="18">
        <v>0</v>
      </c>
      <c r="AE556" s="18">
        <v>0.05</v>
      </c>
      <c r="AF556" s="18">
        <v>1</v>
      </c>
      <c r="AG556" s="18">
        <v>0</v>
      </c>
      <c r="AH556" s="18"/>
      <c r="AI556" s="18">
        <v>2</v>
      </c>
      <c r="AJ556" s="18">
        <v>18.02</v>
      </c>
      <c r="AK556" s="18">
        <v>2</v>
      </c>
      <c r="AL556" s="18">
        <v>18.02</v>
      </c>
      <c r="AM556" s="18">
        <v>1</v>
      </c>
      <c r="AN556" s="18">
        <v>36.03</v>
      </c>
      <c r="AO556" s="18">
        <v>0.05</v>
      </c>
      <c r="AP556" s="18">
        <v>36.03</v>
      </c>
      <c r="AQ556" s="18">
        <v>0</v>
      </c>
      <c r="AR556" s="18">
        <v>0</v>
      </c>
      <c r="AS556" s="18">
        <v>1</v>
      </c>
      <c r="AT556" s="18">
        <v>0</v>
      </c>
      <c r="AU556" s="18">
        <v>0</v>
      </c>
      <c r="AV556" s="18">
        <v>0</v>
      </c>
      <c r="AW556" s="18">
        <v>0</v>
      </c>
      <c r="AX556" s="18">
        <v>1</v>
      </c>
      <c r="AY556" s="18">
        <v>59</v>
      </c>
      <c r="AZ556" s="18">
        <v>19</v>
      </c>
      <c r="BA556" s="18">
        <v>12</v>
      </c>
      <c r="BB556" s="18">
        <v>0.63158</v>
      </c>
      <c r="BC556" s="18">
        <v>0</v>
      </c>
      <c r="BD556" s="18">
        <v>0</v>
      </c>
      <c r="BE556" s="18">
        <v>0.11919</v>
      </c>
      <c r="BF556" s="18">
        <v>32</v>
      </c>
      <c r="BG556" s="18">
        <v>3</v>
      </c>
      <c r="BH556" s="18">
        <v>0</v>
      </c>
      <c r="BI556" s="18"/>
      <c r="BJ556" s="18">
        <v>0</v>
      </c>
      <c r="BK556" s="18">
        <v>0</v>
      </c>
      <c r="BL556" s="18">
        <v>0</v>
      </c>
      <c r="BM556" s="18">
        <v>0</v>
      </c>
      <c r="BN556" s="18"/>
      <c r="BO556" s="18"/>
      <c r="BP556" s="18">
        <v>0</v>
      </c>
      <c r="BQ556" s="18">
        <v>43</v>
      </c>
      <c r="BR556" s="18">
        <v>0</v>
      </c>
      <c r="BS556" s="18">
        <v>0</v>
      </c>
      <c r="BT556" s="18">
        <v>0</v>
      </c>
      <c r="BU556" s="18">
        <v>0</v>
      </c>
      <c r="BV556" s="18">
        <v>0</v>
      </c>
      <c r="BW556" s="18">
        <v>0</v>
      </c>
      <c r="BX556" s="18">
        <v>0</v>
      </c>
    </row>
    <row r="557" spans="1:76">
      <c r="A557" s="14" t="str">
        <f>VLOOKUP(C557,VLOOKUP!A:B,2,FALSE)</f>
        <v>早晚安香</v>
      </c>
      <c r="B557" s="19">
        <v>46158</v>
      </c>
      <c r="C557" s="20">
        <v>1010789122929</v>
      </c>
      <c r="D557" s="18" t="s">
        <v>151</v>
      </c>
      <c r="E557" s="18" t="s">
        <v>173</v>
      </c>
      <c r="F557" s="18">
        <v>788</v>
      </c>
      <c r="G557" s="18">
        <v>40</v>
      </c>
      <c r="H557" s="18">
        <v>25.28</v>
      </c>
      <c r="I557" s="18">
        <v>0.05076</v>
      </c>
      <c r="J557" s="18">
        <v>0.63</v>
      </c>
      <c r="K557" s="18">
        <v>32.08</v>
      </c>
      <c r="L557" s="18">
        <v>0</v>
      </c>
      <c r="M557" s="18">
        <v>0</v>
      </c>
      <c r="N557" s="18">
        <v>0</v>
      </c>
      <c r="O557" s="18">
        <v>0</v>
      </c>
      <c r="P557" s="18">
        <v>0</v>
      </c>
      <c r="Q557" s="18">
        <v>0</v>
      </c>
      <c r="R557" s="18">
        <v>201</v>
      </c>
      <c r="S557" s="18">
        <v>0</v>
      </c>
      <c r="T557" s="18">
        <v>201</v>
      </c>
      <c r="U557" s="18">
        <v>1</v>
      </c>
      <c r="V557" s="18">
        <v>1</v>
      </c>
      <c r="W557" s="18">
        <v>0</v>
      </c>
      <c r="X557" s="18">
        <v>0.025</v>
      </c>
      <c r="Y557" s="18">
        <v>7.95</v>
      </c>
      <c r="Z557" s="18">
        <v>7.95</v>
      </c>
      <c r="AA557" s="18">
        <v>25.28</v>
      </c>
      <c r="AB557" s="18">
        <v>3</v>
      </c>
      <c r="AC557" s="18">
        <v>1</v>
      </c>
      <c r="AD557" s="18">
        <v>2</v>
      </c>
      <c r="AE557" s="18">
        <v>0.075</v>
      </c>
      <c r="AF557" s="18">
        <v>0</v>
      </c>
      <c r="AG557" s="18">
        <v>0</v>
      </c>
      <c r="AH557" s="18"/>
      <c r="AI557" s="18">
        <v>3</v>
      </c>
      <c r="AJ557" s="18">
        <v>8.43</v>
      </c>
      <c r="AK557" s="18">
        <v>3</v>
      </c>
      <c r="AL557" s="18">
        <v>8.43</v>
      </c>
      <c r="AM557" s="18">
        <v>0</v>
      </c>
      <c r="AN557" s="18"/>
      <c r="AO557" s="18">
        <v>0</v>
      </c>
      <c r="AP557" s="18">
        <v>8.43</v>
      </c>
      <c r="AQ557" s="18">
        <v>2</v>
      </c>
      <c r="AR557" s="18">
        <v>318.9</v>
      </c>
      <c r="AS557" s="18">
        <v>0</v>
      </c>
      <c r="AT557" s="18">
        <v>0</v>
      </c>
      <c r="AU557" s="18">
        <v>0</v>
      </c>
      <c r="AV557" s="18">
        <v>0</v>
      </c>
      <c r="AW557" s="18">
        <v>0</v>
      </c>
      <c r="AX557" s="18">
        <v>0</v>
      </c>
      <c r="AY557" s="18">
        <v>115</v>
      </c>
      <c r="AZ557" s="18">
        <v>33</v>
      </c>
      <c r="BA557" s="18">
        <v>16</v>
      </c>
      <c r="BB557" s="18">
        <v>0.48485</v>
      </c>
      <c r="BC557" s="18">
        <v>0</v>
      </c>
      <c r="BD557" s="18">
        <v>0</v>
      </c>
      <c r="BE557" s="18">
        <v>0.14594</v>
      </c>
      <c r="BF557" s="18">
        <v>68</v>
      </c>
      <c r="BG557" s="18">
        <v>3</v>
      </c>
      <c r="BH557" s="18">
        <v>1</v>
      </c>
      <c r="BI557" s="18">
        <v>1</v>
      </c>
      <c r="BJ557" s="18">
        <v>0</v>
      </c>
      <c r="BK557" s="18">
        <v>0</v>
      </c>
      <c r="BL557" s="18">
        <v>0</v>
      </c>
      <c r="BM557" s="18">
        <v>1</v>
      </c>
      <c r="BN557" s="18">
        <v>1</v>
      </c>
      <c r="BO557" s="18">
        <v>201</v>
      </c>
      <c r="BP557" s="18">
        <v>0.34</v>
      </c>
      <c r="BQ557" s="18">
        <v>281</v>
      </c>
      <c r="BR557" s="18">
        <v>0</v>
      </c>
      <c r="BS557" s="18">
        <v>0</v>
      </c>
      <c r="BT557" s="18">
        <v>0</v>
      </c>
      <c r="BU557" s="18">
        <v>0</v>
      </c>
      <c r="BV557" s="18">
        <v>0</v>
      </c>
      <c r="BW557" s="18">
        <v>0</v>
      </c>
      <c r="BX557" s="18">
        <v>0</v>
      </c>
    </row>
    <row r="558" spans="1:76">
      <c r="A558" s="14" t="str">
        <f>VLOOKUP(C558,VLOOKUP!A:B,2,FALSE)</f>
        <v>荔枝香</v>
      </c>
      <c r="B558" s="19">
        <v>46158</v>
      </c>
      <c r="C558" s="20">
        <v>960406497157</v>
      </c>
      <c r="D558" s="18" t="s">
        <v>151</v>
      </c>
      <c r="E558" s="18" t="s">
        <v>176</v>
      </c>
      <c r="F558" s="18">
        <v>4222</v>
      </c>
      <c r="G558" s="18">
        <v>310</v>
      </c>
      <c r="H558" s="18">
        <v>106.14</v>
      </c>
      <c r="I558" s="18">
        <v>0.07342</v>
      </c>
      <c r="J558" s="18">
        <v>0.34</v>
      </c>
      <c r="K558" s="18">
        <v>25.14</v>
      </c>
      <c r="L558" s="18">
        <v>0</v>
      </c>
      <c r="M558" s="18">
        <v>0</v>
      </c>
      <c r="N558" s="18">
        <v>0</v>
      </c>
      <c r="O558" s="18">
        <v>0</v>
      </c>
      <c r="P558" s="18">
        <v>0</v>
      </c>
      <c r="Q558" s="18">
        <v>0</v>
      </c>
      <c r="R558" s="18">
        <v>0</v>
      </c>
      <c r="S558" s="18">
        <v>0</v>
      </c>
      <c r="T558" s="18">
        <v>0</v>
      </c>
      <c r="U558" s="18">
        <v>0</v>
      </c>
      <c r="V558" s="18">
        <v>0</v>
      </c>
      <c r="W558" s="18">
        <v>0</v>
      </c>
      <c r="X558" s="18">
        <v>0</v>
      </c>
      <c r="Y558" s="18">
        <v>0</v>
      </c>
      <c r="Z558" s="18">
        <v>0</v>
      </c>
      <c r="AA558" s="18"/>
      <c r="AB558" s="18">
        <v>9</v>
      </c>
      <c r="AC558" s="18">
        <v>6</v>
      </c>
      <c r="AD558" s="18">
        <v>3</v>
      </c>
      <c r="AE558" s="18">
        <v>0.02903</v>
      </c>
      <c r="AF558" s="18">
        <v>4</v>
      </c>
      <c r="AG558" s="18">
        <v>2</v>
      </c>
      <c r="AH558" s="18">
        <v>53.07</v>
      </c>
      <c r="AI558" s="18">
        <v>15</v>
      </c>
      <c r="AJ558" s="18">
        <v>7.08</v>
      </c>
      <c r="AK558" s="18">
        <v>13</v>
      </c>
      <c r="AL558" s="18">
        <v>8.16</v>
      </c>
      <c r="AM558" s="18">
        <v>6</v>
      </c>
      <c r="AN558" s="18">
        <v>26.54</v>
      </c>
      <c r="AO558" s="18">
        <v>0.0129</v>
      </c>
      <c r="AP558" s="18">
        <v>11.79</v>
      </c>
      <c r="AQ558" s="18">
        <v>0</v>
      </c>
      <c r="AR558" s="18">
        <v>0</v>
      </c>
      <c r="AS558" s="18">
        <v>4</v>
      </c>
      <c r="AT558" s="18">
        <v>0</v>
      </c>
      <c r="AU558" s="18">
        <v>0</v>
      </c>
      <c r="AV558" s="18">
        <v>0</v>
      </c>
      <c r="AW558" s="18">
        <v>0</v>
      </c>
      <c r="AX558" s="18">
        <v>0</v>
      </c>
      <c r="AY558" s="18">
        <v>495</v>
      </c>
      <c r="AZ558" s="18">
        <v>289</v>
      </c>
      <c r="BA558" s="18">
        <v>250</v>
      </c>
      <c r="BB558" s="18">
        <v>0.86505</v>
      </c>
      <c r="BC558" s="18">
        <v>0</v>
      </c>
      <c r="BD558" s="18">
        <v>0</v>
      </c>
      <c r="BE558" s="18">
        <v>0.11724</v>
      </c>
      <c r="BF558" s="18">
        <v>118</v>
      </c>
      <c r="BG558" s="18">
        <v>2</v>
      </c>
      <c r="BH558" s="18">
        <v>0</v>
      </c>
      <c r="BI558" s="18"/>
      <c r="BJ558" s="18">
        <v>0</v>
      </c>
      <c r="BK558" s="18">
        <v>0</v>
      </c>
      <c r="BL558" s="18">
        <v>0</v>
      </c>
      <c r="BM558" s="18">
        <v>0</v>
      </c>
      <c r="BN558" s="18"/>
      <c r="BO558" s="18"/>
      <c r="BP558" s="18">
        <v>2.36</v>
      </c>
      <c r="BQ558" s="18">
        <v>241</v>
      </c>
      <c r="BR558" s="18">
        <v>0</v>
      </c>
      <c r="BS558" s="18">
        <v>0</v>
      </c>
      <c r="BT558" s="18">
        <v>0</v>
      </c>
      <c r="BU558" s="18">
        <v>0</v>
      </c>
      <c r="BV558" s="18">
        <v>0</v>
      </c>
      <c r="BW558" s="18">
        <v>0</v>
      </c>
      <c r="BX558" s="18">
        <v>0</v>
      </c>
    </row>
    <row r="559" spans="1:76">
      <c r="A559" s="14" t="str">
        <f>VLOOKUP(C559,VLOOKUP!A:B,2,FALSE)</f>
        <v>如意盘香</v>
      </c>
      <c r="B559" s="19">
        <v>46158</v>
      </c>
      <c r="C559" s="20">
        <v>838711327669</v>
      </c>
      <c r="D559" s="18" t="s">
        <v>151</v>
      </c>
      <c r="E559" s="18" t="s">
        <v>175</v>
      </c>
      <c r="F559" s="18">
        <v>460</v>
      </c>
      <c r="G559" s="18">
        <v>20</v>
      </c>
      <c r="H559" s="18">
        <v>36.53</v>
      </c>
      <c r="I559" s="18">
        <v>0.04348</v>
      </c>
      <c r="J559" s="18">
        <v>1.83</v>
      </c>
      <c r="K559" s="18">
        <v>79.41</v>
      </c>
      <c r="L559" s="18">
        <v>0</v>
      </c>
      <c r="M559" s="18">
        <v>0</v>
      </c>
      <c r="N559" s="18">
        <v>0</v>
      </c>
      <c r="O559" s="18">
        <v>0</v>
      </c>
      <c r="P559" s="18">
        <v>0</v>
      </c>
      <c r="Q559" s="18">
        <v>0</v>
      </c>
      <c r="R559" s="18">
        <v>0</v>
      </c>
      <c r="S559" s="18">
        <v>0</v>
      </c>
      <c r="T559" s="18">
        <v>0</v>
      </c>
      <c r="U559" s="18">
        <v>0</v>
      </c>
      <c r="V559" s="18">
        <v>0</v>
      </c>
      <c r="W559" s="18">
        <v>0</v>
      </c>
      <c r="X559" s="18">
        <v>0</v>
      </c>
      <c r="Y559" s="18">
        <v>0</v>
      </c>
      <c r="Z559" s="18">
        <v>0</v>
      </c>
      <c r="AA559" s="18"/>
      <c r="AB559" s="18">
        <v>0</v>
      </c>
      <c r="AC559" s="18">
        <v>0</v>
      </c>
      <c r="AD559" s="18">
        <v>0</v>
      </c>
      <c r="AE559" s="18">
        <v>0</v>
      </c>
      <c r="AF559" s="18">
        <v>0</v>
      </c>
      <c r="AG559" s="18">
        <v>1</v>
      </c>
      <c r="AH559" s="18">
        <v>36.53</v>
      </c>
      <c r="AI559" s="18">
        <v>1</v>
      </c>
      <c r="AJ559" s="18">
        <v>36.53</v>
      </c>
      <c r="AK559" s="18">
        <v>0</v>
      </c>
      <c r="AL559" s="18"/>
      <c r="AM559" s="18">
        <v>1</v>
      </c>
      <c r="AN559" s="18"/>
      <c r="AO559" s="18">
        <v>0</v>
      </c>
      <c r="AP559" s="18"/>
      <c r="AQ559" s="18">
        <v>0</v>
      </c>
      <c r="AR559" s="18">
        <v>0</v>
      </c>
      <c r="AS559" s="18">
        <v>0</v>
      </c>
      <c r="AT559" s="18">
        <v>0</v>
      </c>
      <c r="AU559" s="18">
        <v>0</v>
      </c>
      <c r="AV559" s="18">
        <v>0</v>
      </c>
      <c r="AW559" s="18">
        <v>0</v>
      </c>
      <c r="AX559" s="18">
        <v>0</v>
      </c>
      <c r="AY559" s="18">
        <v>49</v>
      </c>
      <c r="AZ559" s="18">
        <v>18</v>
      </c>
      <c r="BA559" s="18">
        <v>12</v>
      </c>
      <c r="BB559" s="18">
        <v>0.66667</v>
      </c>
      <c r="BC559" s="18">
        <v>0</v>
      </c>
      <c r="BD559" s="18">
        <v>0</v>
      </c>
      <c r="BE559" s="18">
        <v>0.10652</v>
      </c>
      <c r="BF559" s="18">
        <v>29</v>
      </c>
      <c r="BG559" s="18">
        <v>3</v>
      </c>
      <c r="BH559" s="18">
        <v>0</v>
      </c>
      <c r="BI559" s="18"/>
      <c r="BJ559" s="18">
        <v>0</v>
      </c>
      <c r="BK559" s="18">
        <v>0</v>
      </c>
      <c r="BL559" s="18">
        <v>0</v>
      </c>
      <c r="BM559" s="18">
        <v>0</v>
      </c>
      <c r="BN559" s="18"/>
      <c r="BO559" s="18"/>
      <c r="BP559" s="18">
        <v>0</v>
      </c>
      <c r="BQ559" s="18">
        <v>91</v>
      </c>
      <c r="BR559" s="18">
        <v>0</v>
      </c>
      <c r="BS559" s="18">
        <v>0</v>
      </c>
      <c r="BT559" s="18">
        <v>0</v>
      </c>
      <c r="BU559" s="18">
        <v>0</v>
      </c>
      <c r="BV559" s="18">
        <v>0</v>
      </c>
      <c r="BW559" s="18">
        <v>0</v>
      </c>
      <c r="BX559" s="18">
        <v>0</v>
      </c>
    </row>
    <row r="560" spans="1:76">
      <c r="A560" s="14" t="str">
        <f>VLOOKUP(C560,VLOOKUP!A:B,2,FALSE)</f>
        <v>早晚安香</v>
      </c>
      <c r="B560" s="19">
        <v>46157</v>
      </c>
      <c r="C560" s="20">
        <v>1010789122929</v>
      </c>
      <c r="D560" s="18" t="s">
        <v>151</v>
      </c>
      <c r="E560" s="18" t="s">
        <v>173</v>
      </c>
      <c r="F560" s="18">
        <v>573</v>
      </c>
      <c r="G560" s="18">
        <v>29</v>
      </c>
      <c r="H560" s="18">
        <v>20.9</v>
      </c>
      <c r="I560" s="18">
        <v>0.05061</v>
      </c>
      <c r="J560" s="18">
        <v>0.72</v>
      </c>
      <c r="K560" s="18">
        <v>36.47</v>
      </c>
      <c r="L560" s="18">
        <v>0</v>
      </c>
      <c r="M560" s="18">
        <v>0</v>
      </c>
      <c r="N560" s="18">
        <v>0</v>
      </c>
      <c r="O560" s="18">
        <v>0</v>
      </c>
      <c r="P560" s="18">
        <v>0</v>
      </c>
      <c r="Q560" s="18">
        <v>0</v>
      </c>
      <c r="R560" s="18">
        <v>415.55</v>
      </c>
      <c r="S560" s="18">
        <v>0</v>
      </c>
      <c r="T560" s="18">
        <v>415.55</v>
      </c>
      <c r="U560" s="18">
        <v>2</v>
      </c>
      <c r="V560" s="18">
        <v>2</v>
      </c>
      <c r="W560" s="18">
        <v>0</v>
      </c>
      <c r="X560" s="18">
        <v>0.06897</v>
      </c>
      <c r="Y560" s="18">
        <v>19.88</v>
      </c>
      <c r="Z560" s="18">
        <v>19.88</v>
      </c>
      <c r="AA560" s="18">
        <v>10.45</v>
      </c>
      <c r="AB560" s="18">
        <v>0</v>
      </c>
      <c r="AC560" s="18">
        <v>0</v>
      </c>
      <c r="AD560" s="18">
        <v>0</v>
      </c>
      <c r="AE560" s="18">
        <v>0</v>
      </c>
      <c r="AF560" s="18">
        <v>1</v>
      </c>
      <c r="AG560" s="18">
        <v>1</v>
      </c>
      <c r="AH560" s="18">
        <v>20.9</v>
      </c>
      <c r="AI560" s="18">
        <v>2</v>
      </c>
      <c r="AJ560" s="18">
        <v>10.45</v>
      </c>
      <c r="AK560" s="18">
        <v>1</v>
      </c>
      <c r="AL560" s="18">
        <v>20.9</v>
      </c>
      <c r="AM560" s="18">
        <v>2</v>
      </c>
      <c r="AN560" s="18">
        <v>20.9</v>
      </c>
      <c r="AO560" s="18">
        <v>0.03448</v>
      </c>
      <c r="AP560" s="18"/>
      <c r="AQ560" s="18">
        <v>5</v>
      </c>
      <c r="AR560" s="18">
        <v>936.8</v>
      </c>
      <c r="AS560" s="18">
        <v>1</v>
      </c>
      <c r="AT560" s="18">
        <v>0</v>
      </c>
      <c r="AU560" s="18">
        <v>0</v>
      </c>
      <c r="AV560" s="18">
        <v>0</v>
      </c>
      <c r="AW560" s="18">
        <v>0</v>
      </c>
      <c r="AX560" s="18">
        <v>1</v>
      </c>
      <c r="AY560" s="18">
        <v>57</v>
      </c>
      <c r="AZ560" s="18">
        <v>31</v>
      </c>
      <c r="BA560" s="18">
        <v>12</v>
      </c>
      <c r="BB560" s="18">
        <v>0.3871</v>
      </c>
      <c r="BC560" s="18">
        <v>0</v>
      </c>
      <c r="BD560" s="18">
        <v>0</v>
      </c>
      <c r="BE560" s="18">
        <v>0.09948</v>
      </c>
      <c r="BF560" s="18">
        <v>21</v>
      </c>
      <c r="BG560" s="18">
        <v>2</v>
      </c>
      <c r="BH560" s="18">
        <v>2</v>
      </c>
      <c r="BI560" s="18">
        <v>1</v>
      </c>
      <c r="BJ560" s="18">
        <v>0</v>
      </c>
      <c r="BK560" s="18">
        <v>0</v>
      </c>
      <c r="BL560" s="18">
        <v>0</v>
      </c>
      <c r="BM560" s="18">
        <v>2</v>
      </c>
      <c r="BN560" s="18">
        <v>1</v>
      </c>
      <c r="BO560" s="18">
        <v>207.78</v>
      </c>
      <c r="BP560" s="18">
        <v>0</v>
      </c>
      <c r="BQ560" s="18">
        <v>437</v>
      </c>
      <c r="BR560" s="18">
        <v>0</v>
      </c>
      <c r="BS560" s="18">
        <v>0</v>
      </c>
      <c r="BT560" s="18">
        <v>0</v>
      </c>
      <c r="BU560" s="18">
        <v>0</v>
      </c>
      <c r="BV560" s="18">
        <v>0</v>
      </c>
      <c r="BW560" s="18">
        <v>0</v>
      </c>
      <c r="BX560" s="18">
        <v>0</v>
      </c>
    </row>
    <row r="561" spans="1:76">
      <c r="A561" s="14" t="str">
        <f>VLOOKUP(C561,VLOOKUP!A:B,2,FALSE)</f>
        <v>荔枝香</v>
      </c>
      <c r="B561" s="19">
        <v>46157</v>
      </c>
      <c r="C561" s="20">
        <v>960406497157</v>
      </c>
      <c r="D561" s="18" t="s">
        <v>151</v>
      </c>
      <c r="E561" s="18" t="s">
        <v>176</v>
      </c>
      <c r="F561" s="18">
        <v>3404</v>
      </c>
      <c r="G561" s="18">
        <v>177</v>
      </c>
      <c r="H561" s="18">
        <v>71.06</v>
      </c>
      <c r="I561" s="18">
        <v>0.052</v>
      </c>
      <c r="J561" s="18">
        <v>0.4</v>
      </c>
      <c r="K561" s="18">
        <v>20.88</v>
      </c>
      <c r="L561" s="18">
        <v>0</v>
      </c>
      <c r="M561" s="18">
        <v>0</v>
      </c>
      <c r="N561" s="18">
        <v>0</v>
      </c>
      <c r="O561" s="18">
        <v>0</v>
      </c>
      <c r="P561" s="18">
        <v>0</v>
      </c>
      <c r="Q561" s="18">
        <v>0</v>
      </c>
      <c r="R561" s="18">
        <v>0</v>
      </c>
      <c r="S561" s="18">
        <v>0</v>
      </c>
      <c r="T561" s="18">
        <v>0</v>
      </c>
      <c r="U561" s="18">
        <v>0</v>
      </c>
      <c r="V561" s="18">
        <v>0</v>
      </c>
      <c r="W561" s="18">
        <v>0</v>
      </c>
      <c r="X561" s="18">
        <v>0</v>
      </c>
      <c r="Y561" s="18">
        <v>0</v>
      </c>
      <c r="Z561" s="18">
        <v>0</v>
      </c>
      <c r="AA561" s="18"/>
      <c r="AB561" s="18">
        <v>10</v>
      </c>
      <c r="AC561" s="18">
        <v>5</v>
      </c>
      <c r="AD561" s="18">
        <v>5</v>
      </c>
      <c r="AE561" s="18">
        <v>0.0565</v>
      </c>
      <c r="AF561" s="18">
        <v>1</v>
      </c>
      <c r="AG561" s="18">
        <v>2</v>
      </c>
      <c r="AH561" s="18">
        <v>35.53</v>
      </c>
      <c r="AI561" s="18">
        <v>13</v>
      </c>
      <c r="AJ561" s="18">
        <v>5.47</v>
      </c>
      <c r="AK561" s="18">
        <v>11</v>
      </c>
      <c r="AL561" s="18">
        <v>6.46</v>
      </c>
      <c r="AM561" s="18">
        <v>3</v>
      </c>
      <c r="AN561" s="18">
        <v>71.06</v>
      </c>
      <c r="AO561" s="18">
        <v>0.00565</v>
      </c>
      <c r="AP561" s="18">
        <v>7.11</v>
      </c>
      <c r="AQ561" s="18">
        <v>0</v>
      </c>
      <c r="AR561" s="18">
        <v>0</v>
      </c>
      <c r="AS561" s="18">
        <v>0</v>
      </c>
      <c r="AT561" s="18">
        <v>1</v>
      </c>
      <c r="AU561" s="18">
        <v>0</v>
      </c>
      <c r="AV561" s="18">
        <v>0</v>
      </c>
      <c r="AW561" s="18">
        <v>0</v>
      </c>
      <c r="AX561" s="18">
        <v>0</v>
      </c>
      <c r="AY561" s="18">
        <v>389</v>
      </c>
      <c r="AZ561" s="18">
        <v>178</v>
      </c>
      <c r="BA561" s="18">
        <v>143</v>
      </c>
      <c r="BB561" s="18">
        <v>0.80337</v>
      </c>
      <c r="BC561" s="18">
        <v>0</v>
      </c>
      <c r="BD561" s="18">
        <v>0</v>
      </c>
      <c r="BE561" s="18">
        <v>0.11428</v>
      </c>
      <c r="BF561" s="18">
        <v>134</v>
      </c>
      <c r="BG561" s="18">
        <v>2</v>
      </c>
      <c r="BH561" s="18">
        <v>0</v>
      </c>
      <c r="BI561" s="18"/>
      <c r="BJ561" s="18">
        <v>0</v>
      </c>
      <c r="BK561" s="18">
        <v>0</v>
      </c>
      <c r="BL561" s="18">
        <v>0</v>
      </c>
      <c r="BM561" s="18">
        <v>0</v>
      </c>
      <c r="BN561" s="18"/>
      <c r="BO561" s="18"/>
      <c r="BP561" s="18">
        <v>105.73</v>
      </c>
      <c r="BQ561" s="18">
        <v>342</v>
      </c>
      <c r="BR561" s="18">
        <v>0</v>
      </c>
      <c r="BS561" s="18">
        <v>0</v>
      </c>
      <c r="BT561" s="18">
        <v>0</v>
      </c>
      <c r="BU561" s="18">
        <v>0</v>
      </c>
      <c r="BV561" s="18">
        <v>0</v>
      </c>
      <c r="BW561" s="18">
        <v>0</v>
      </c>
      <c r="BX561" s="18">
        <v>0</v>
      </c>
    </row>
    <row r="562" spans="1:76">
      <c r="A562" s="14" t="str">
        <f>VLOOKUP(C562,VLOOKUP!A:B,2,FALSE)</f>
        <v>如意盘香</v>
      </c>
      <c r="B562" s="19">
        <v>46157</v>
      </c>
      <c r="C562" s="20">
        <v>838711327669</v>
      </c>
      <c r="D562" s="18" t="s">
        <v>151</v>
      </c>
      <c r="E562" s="18" t="s">
        <v>175</v>
      </c>
      <c r="F562" s="18">
        <v>475</v>
      </c>
      <c r="G562" s="18">
        <v>27</v>
      </c>
      <c r="H562" s="18">
        <v>40.47</v>
      </c>
      <c r="I562" s="18">
        <v>0.05684</v>
      </c>
      <c r="J562" s="18">
        <v>1.5</v>
      </c>
      <c r="K562" s="18">
        <v>85.2</v>
      </c>
      <c r="L562" s="18">
        <v>0</v>
      </c>
      <c r="M562" s="18">
        <v>0</v>
      </c>
      <c r="N562" s="18">
        <v>0</v>
      </c>
      <c r="O562" s="18">
        <v>0</v>
      </c>
      <c r="P562" s="18">
        <v>0</v>
      </c>
      <c r="Q562" s="18">
        <v>0</v>
      </c>
      <c r="R562" s="18">
        <v>0</v>
      </c>
      <c r="S562" s="18">
        <v>0</v>
      </c>
      <c r="T562" s="18">
        <v>0</v>
      </c>
      <c r="U562" s="18">
        <v>0</v>
      </c>
      <c r="V562" s="18">
        <v>0</v>
      </c>
      <c r="W562" s="18">
        <v>0</v>
      </c>
      <c r="X562" s="18">
        <v>0</v>
      </c>
      <c r="Y562" s="18">
        <v>0</v>
      </c>
      <c r="Z562" s="18">
        <v>0</v>
      </c>
      <c r="AA562" s="18"/>
      <c r="AB562" s="18">
        <v>3</v>
      </c>
      <c r="AC562" s="18">
        <v>0</v>
      </c>
      <c r="AD562" s="18">
        <v>3</v>
      </c>
      <c r="AE562" s="18">
        <v>0.11111</v>
      </c>
      <c r="AF562" s="18">
        <v>1</v>
      </c>
      <c r="AG562" s="18">
        <v>0</v>
      </c>
      <c r="AH562" s="18"/>
      <c r="AI562" s="18">
        <v>4</v>
      </c>
      <c r="AJ562" s="18">
        <v>10.12</v>
      </c>
      <c r="AK562" s="18">
        <v>4</v>
      </c>
      <c r="AL562" s="18">
        <v>10.12</v>
      </c>
      <c r="AM562" s="18">
        <v>1</v>
      </c>
      <c r="AN562" s="18">
        <v>40.47</v>
      </c>
      <c r="AO562" s="18">
        <v>0.03704</v>
      </c>
      <c r="AP562" s="18">
        <v>13.49</v>
      </c>
      <c r="AQ562" s="18">
        <v>0</v>
      </c>
      <c r="AR562" s="18">
        <v>0</v>
      </c>
      <c r="AS562" s="18">
        <v>1</v>
      </c>
      <c r="AT562" s="18">
        <v>0</v>
      </c>
      <c r="AU562" s="18">
        <v>0</v>
      </c>
      <c r="AV562" s="18">
        <v>0</v>
      </c>
      <c r="AW562" s="18">
        <v>0</v>
      </c>
      <c r="AX562" s="18">
        <v>0</v>
      </c>
      <c r="AY562" s="18">
        <v>104</v>
      </c>
      <c r="AZ562" s="18">
        <v>23</v>
      </c>
      <c r="BA562" s="18">
        <v>16</v>
      </c>
      <c r="BB562" s="18">
        <v>0.69565</v>
      </c>
      <c r="BC562" s="18">
        <v>0</v>
      </c>
      <c r="BD562" s="18">
        <v>0</v>
      </c>
      <c r="BE562" s="18">
        <v>0.21895</v>
      </c>
      <c r="BF562" s="18">
        <v>77</v>
      </c>
      <c r="BG562" s="18">
        <v>5</v>
      </c>
      <c r="BH562" s="18">
        <v>0</v>
      </c>
      <c r="BI562" s="18"/>
      <c r="BJ562" s="18">
        <v>0</v>
      </c>
      <c r="BK562" s="18">
        <v>0</v>
      </c>
      <c r="BL562" s="18">
        <v>0</v>
      </c>
      <c r="BM562" s="18">
        <v>0</v>
      </c>
      <c r="BN562" s="18"/>
      <c r="BO562" s="18"/>
      <c r="BP562" s="18">
        <v>86.57</v>
      </c>
      <c r="BQ562" s="18">
        <v>176</v>
      </c>
      <c r="BR562" s="18">
        <v>0</v>
      </c>
      <c r="BS562" s="18">
        <v>0</v>
      </c>
      <c r="BT562" s="18">
        <v>0</v>
      </c>
      <c r="BU562" s="18">
        <v>0</v>
      </c>
      <c r="BV562" s="18">
        <v>0</v>
      </c>
      <c r="BW562" s="18">
        <v>0</v>
      </c>
      <c r="BX562" s="18">
        <v>0</v>
      </c>
    </row>
    <row r="563" spans="1:76">
      <c r="A563" s="14" t="str">
        <f>VLOOKUP(C563,VLOOKUP!A:B,2,FALSE)</f>
        <v>太樾归真</v>
      </c>
      <c r="B563" s="19">
        <v>46156</v>
      </c>
      <c r="C563" s="20">
        <v>1048251217517</v>
      </c>
      <c r="D563" s="18" t="s">
        <v>151</v>
      </c>
      <c r="E563" s="18" t="s">
        <v>177</v>
      </c>
      <c r="F563" s="18">
        <v>1416</v>
      </c>
      <c r="G563" s="18">
        <v>45</v>
      </c>
      <c r="H563" s="18">
        <v>27.87</v>
      </c>
      <c r="I563" s="18">
        <v>0.03178</v>
      </c>
      <c r="J563" s="18">
        <v>0.62</v>
      </c>
      <c r="K563" s="18">
        <v>19.68</v>
      </c>
      <c r="L563" s="18">
        <v>0</v>
      </c>
      <c r="M563" s="18">
        <v>0</v>
      </c>
      <c r="N563" s="18">
        <v>0</v>
      </c>
      <c r="O563" s="18">
        <v>0</v>
      </c>
      <c r="P563" s="18">
        <v>0</v>
      </c>
      <c r="Q563" s="18">
        <v>0</v>
      </c>
      <c r="R563" s="18">
        <v>0</v>
      </c>
      <c r="S563" s="18">
        <v>0</v>
      </c>
      <c r="T563" s="18">
        <v>0</v>
      </c>
      <c r="U563" s="18">
        <v>0</v>
      </c>
      <c r="V563" s="18">
        <v>0</v>
      </c>
      <c r="W563" s="18">
        <v>0</v>
      </c>
      <c r="X563" s="18">
        <v>0</v>
      </c>
      <c r="Y563" s="18">
        <v>0</v>
      </c>
      <c r="Z563" s="18">
        <v>0</v>
      </c>
      <c r="AA563" s="18"/>
      <c r="AB563" s="18">
        <v>0</v>
      </c>
      <c r="AC563" s="18">
        <v>0</v>
      </c>
      <c r="AD563" s="18">
        <v>0</v>
      </c>
      <c r="AE563" s="18">
        <v>0</v>
      </c>
      <c r="AF563" s="18">
        <v>0</v>
      </c>
      <c r="AG563" s="18">
        <v>0</v>
      </c>
      <c r="AH563" s="18"/>
      <c r="AI563" s="18">
        <v>0</v>
      </c>
      <c r="AJ563" s="18"/>
      <c r="AK563" s="18">
        <v>0</v>
      </c>
      <c r="AL563" s="18"/>
      <c r="AM563" s="18">
        <v>0</v>
      </c>
      <c r="AN563" s="18"/>
      <c r="AO563" s="18">
        <v>0</v>
      </c>
      <c r="AP563" s="18"/>
      <c r="AQ563" s="18">
        <v>0</v>
      </c>
      <c r="AR563" s="18">
        <v>0</v>
      </c>
      <c r="AS563" s="18">
        <v>0</v>
      </c>
      <c r="AT563" s="18">
        <v>0</v>
      </c>
      <c r="AU563" s="18">
        <v>0</v>
      </c>
      <c r="AV563" s="18">
        <v>0</v>
      </c>
      <c r="AW563" s="18">
        <v>0</v>
      </c>
      <c r="AX563" s="18">
        <v>0</v>
      </c>
      <c r="AY563" s="18">
        <v>47</v>
      </c>
      <c r="AZ563" s="18">
        <v>40</v>
      </c>
      <c r="BA563" s="18">
        <v>36</v>
      </c>
      <c r="BB563" s="18">
        <v>0.9</v>
      </c>
      <c r="BC563" s="18">
        <v>0</v>
      </c>
      <c r="BD563" s="18">
        <v>0</v>
      </c>
      <c r="BE563" s="18">
        <v>0.03319</v>
      </c>
      <c r="BF563" s="18">
        <v>5</v>
      </c>
      <c r="BG563" s="18">
        <v>1</v>
      </c>
      <c r="BH563" s="18">
        <v>0</v>
      </c>
      <c r="BI563" s="18"/>
      <c r="BJ563" s="18">
        <v>0</v>
      </c>
      <c r="BK563" s="18">
        <v>0</v>
      </c>
      <c r="BL563" s="18">
        <v>0</v>
      </c>
      <c r="BM563" s="18">
        <v>0</v>
      </c>
      <c r="BN563" s="18"/>
      <c r="BO563" s="18"/>
      <c r="BP563" s="18">
        <v>0</v>
      </c>
      <c r="BQ563" s="18">
        <v>13</v>
      </c>
      <c r="BR563" s="18">
        <v>0</v>
      </c>
      <c r="BS563" s="18">
        <v>0</v>
      </c>
      <c r="BT563" s="18">
        <v>0</v>
      </c>
      <c r="BU563" s="18">
        <v>0</v>
      </c>
      <c r="BV563" s="18">
        <v>0</v>
      </c>
      <c r="BW563" s="18">
        <v>0</v>
      </c>
      <c r="BX563" s="18">
        <v>0</v>
      </c>
    </row>
    <row r="564" spans="1:76">
      <c r="A564" s="14" t="str">
        <f>VLOOKUP(C564,VLOOKUP!A:B,2,FALSE)</f>
        <v>早晚安香</v>
      </c>
      <c r="B564" s="19">
        <v>46156</v>
      </c>
      <c r="C564" s="20">
        <v>1010789122929</v>
      </c>
      <c r="D564" s="18" t="s">
        <v>151</v>
      </c>
      <c r="E564" s="18" t="s">
        <v>173</v>
      </c>
      <c r="F564" s="18">
        <v>591</v>
      </c>
      <c r="G564" s="18">
        <v>35</v>
      </c>
      <c r="H564" s="18">
        <v>26.83</v>
      </c>
      <c r="I564" s="18">
        <v>0.05922</v>
      </c>
      <c r="J564" s="18">
        <v>0.77</v>
      </c>
      <c r="K564" s="18">
        <v>45.4</v>
      </c>
      <c r="L564" s="18">
        <v>0</v>
      </c>
      <c r="M564" s="18">
        <v>0</v>
      </c>
      <c r="N564" s="18">
        <v>0</v>
      </c>
      <c r="O564" s="18">
        <v>0</v>
      </c>
      <c r="P564" s="18">
        <v>0</v>
      </c>
      <c r="Q564" s="18">
        <v>0</v>
      </c>
      <c r="R564" s="18">
        <v>0</v>
      </c>
      <c r="S564" s="18">
        <v>0</v>
      </c>
      <c r="T564" s="18">
        <v>0</v>
      </c>
      <c r="U564" s="18">
        <v>0</v>
      </c>
      <c r="V564" s="18">
        <v>0</v>
      </c>
      <c r="W564" s="18">
        <v>0</v>
      </c>
      <c r="X564" s="18">
        <v>0</v>
      </c>
      <c r="Y564" s="18">
        <v>0</v>
      </c>
      <c r="Z564" s="18">
        <v>0</v>
      </c>
      <c r="AA564" s="18"/>
      <c r="AB564" s="18">
        <v>0</v>
      </c>
      <c r="AC564" s="18">
        <v>0</v>
      </c>
      <c r="AD564" s="18">
        <v>0</v>
      </c>
      <c r="AE564" s="18">
        <v>0</v>
      </c>
      <c r="AF564" s="18">
        <v>0</v>
      </c>
      <c r="AG564" s="18">
        <v>0</v>
      </c>
      <c r="AH564" s="18"/>
      <c r="AI564" s="18">
        <v>0</v>
      </c>
      <c r="AJ564" s="18"/>
      <c r="AK564" s="18">
        <v>0</v>
      </c>
      <c r="AL564" s="18"/>
      <c r="AM564" s="18">
        <v>0</v>
      </c>
      <c r="AN564" s="18"/>
      <c r="AO564" s="18">
        <v>0</v>
      </c>
      <c r="AP564" s="18"/>
      <c r="AQ564" s="18">
        <v>0</v>
      </c>
      <c r="AR564" s="18">
        <v>0</v>
      </c>
      <c r="AS564" s="18">
        <v>0</v>
      </c>
      <c r="AT564" s="18">
        <v>0</v>
      </c>
      <c r="AU564" s="18">
        <v>0</v>
      </c>
      <c r="AV564" s="18">
        <v>0</v>
      </c>
      <c r="AW564" s="18">
        <v>0</v>
      </c>
      <c r="AX564" s="18">
        <v>0</v>
      </c>
      <c r="AY564" s="18">
        <v>89</v>
      </c>
      <c r="AZ564" s="18">
        <v>30</v>
      </c>
      <c r="BA564" s="18">
        <v>10</v>
      </c>
      <c r="BB564" s="18">
        <v>0.33333</v>
      </c>
      <c r="BC564" s="18">
        <v>0</v>
      </c>
      <c r="BD564" s="18">
        <v>0</v>
      </c>
      <c r="BE564" s="18">
        <v>0.15059</v>
      </c>
      <c r="BF564" s="18">
        <v>51</v>
      </c>
      <c r="BG564" s="18">
        <v>3</v>
      </c>
      <c r="BH564" s="18">
        <v>0</v>
      </c>
      <c r="BI564" s="18"/>
      <c r="BJ564" s="18">
        <v>0</v>
      </c>
      <c r="BK564" s="18">
        <v>0</v>
      </c>
      <c r="BL564" s="18">
        <v>0</v>
      </c>
      <c r="BM564" s="18">
        <v>0</v>
      </c>
      <c r="BN564" s="18"/>
      <c r="BO564" s="18"/>
      <c r="BP564" s="18">
        <v>0</v>
      </c>
      <c r="BQ564" s="18">
        <v>60</v>
      </c>
      <c r="BR564" s="18">
        <v>0</v>
      </c>
      <c r="BS564" s="18">
        <v>0</v>
      </c>
      <c r="BT564" s="18">
        <v>0</v>
      </c>
      <c r="BU564" s="18">
        <v>0</v>
      </c>
      <c r="BV564" s="18">
        <v>0</v>
      </c>
      <c r="BW564" s="18">
        <v>0</v>
      </c>
      <c r="BX564" s="18">
        <v>0</v>
      </c>
    </row>
    <row r="565" spans="1:76">
      <c r="A565" s="14" t="str">
        <f>VLOOKUP(C565,VLOOKUP!A:B,2,FALSE)</f>
        <v>荔枝香</v>
      </c>
      <c r="B565" s="19">
        <v>46156</v>
      </c>
      <c r="C565" s="20">
        <v>960406497157</v>
      </c>
      <c r="D565" s="18" t="s">
        <v>151</v>
      </c>
      <c r="E565" s="18" t="s">
        <v>176</v>
      </c>
      <c r="F565" s="18">
        <v>4288</v>
      </c>
      <c r="G565" s="18">
        <v>264</v>
      </c>
      <c r="H565" s="18">
        <v>104.86</v>
      </c>
      <c r="I565" s="18">
        <v>0.06157</v>
      </c>
      <c r="J565" s="18">
        <v>0.4</v>
      </c>
      <c r="K565" s="18">
        <v>24.45</v>
      </c>
      <c r="L565" s="18">
        <v>0</v>
      </c>
      <c r="M565" s="18">
        <v>0</v>
      </c>
      <c r="N565" s="18">
        <v>0</v>
      </c>
      <c r="O565" s="18">
        <v>0</v>
      </c>
      <c r="P565" s="18">
        <v>0</v>
      </c>
      <c r="Q565" s="18">
        <v>0</v>
      </c>
      <c r="R565" s="18">
        <v>278</v>
      </c>
      <c r="S565" s="18">
        <v>0</v>
      </c>
      <c r="T565" s="18">
        <v>278</v>
      </c>
      <c r="U565" s="18">
        <v>1</v>
      </c>
      <c r="V565" s="18">
        <v>1</v>
      </c>
      <c r="W565" s="18">
        <v>0</v>
      </c>
      <c r="X565" s="18">
        <v>0.00379</v>
      </c>
      <c r="Y565" s="18">
        <v>2.65</v>
      </c>
      <c r="Z565" s="18">
        <v>2.65</v>
      </c>
      <c r="AA565" s="18">
        <v>104.86</v>
      </c>
      <c r="AB565" s="18">
        <v>13</v>
      </c>
      <c r="AC565" s="18">
        <v>6</v>
      </c>
      <c r="AD565" s="18">
        <v>7</v>
      </c>
      <c r="AE565" s="18">
        <v>0.04924</v>
      </c>
      <c r="AF565" s="18">
        <v>1</v>
      </c>
      <c r="AG565" s="18">
        <v>1</v>
      </c>
      <c r="AH565" s="18">
        <v>104.86</v>
      </c>
      <c r="AI565" s="18">
        <v>15</v>
      </c>
      <c r="AJ565" s="18">
        <v>6.99</v>
      </c>
      <c r="AK565" s="18">
        <v>14</v>
      </c>
      <c r="AL565" s="18">
        <v>7.49</v>
      </c>
      <c r="AM565" s="18">
        <v>2</v>
      </c>
      <c r="AN565" s="18">
        <v>104.86</v>
      </c>
      <c r="AO565" s="18">
        <v>0.00379</v>
      </c>
      <c r="AP565" s="18">
        <v>8.07</v>
      </c>
      <c r="AQ565" s="18">
        <v>2</v>
      </c>
      <c r="AR565" s="18">
        <v>377.9</v>
      </c>
      <c r="AS565" s="18">
        <v>1</v>
      </c>
      <c r="AT565" s="18">
        <v>0</v>
      </c>
      <c r="AU565" s="18">
        <v>0</v>
      </c>
      <c r="AV565" s="18">
        <v>0</v>
      </c>
      <c r="AW565" s="18">
        <v>0</v>
      </c>
      <c r="AX565" s="18">
        <v>0</v>
      </c>
      <c r="AY565" s="18">
        <v>498</v>
      </c>
      <c r="AZ565" s="18">
        <v>245</v>
      </c>
      <c r="BA565" s="18">
        <v>206</v>
      </c>
      <c r="BB565" s="18">
        <v>0.84082</v>
      </c>
      <c r="BC565" s="18">
        <v>0</v>
      </c>
      <c r="BD565" s="18">
        <v>0</v>
      </c>
      <c r="BE565" s="18">
        <v>0.11614</v>
      </c>
      <c r="BF565" s="18">
        <v>173</v>
      </c>
      <c r="BG565" s="18">
        <v>2</v>
      </c>
      <c r="BH565" s="18">
        <v>1</v>
      </c>
      <c r="BI565" s="18">
        <v>1</v>
      </c>
      <c r="BJ565" s="18">
        <v>0</v>
      </c>
      <c r="BK565" s="18">
        <v>0</v>
      </c>
      <c r="BL565" s="18">
        <v>0</v>
      </c>
      <c r="BM565" s="18">
        <v>1</v>
      </c>
      <c r="BN565" s="18">
        <v>1</v>
      </c>
      <c r="BO565" s="18">
        <v>278</v>
      </c>
      <c r="BP565" s="18">
        <v>7.11</v>
      </c>
      <c r="BQ565" s="18">
        <v>843</v>
      </c>
      <c r="BR565" s="18">
        <v>0</v>
      </c>
      <c r="BS565" s="18">
        <v>0</v>
      </c>
      <c r="BT565" s="18">
        <v>0</v>
      </c>
      <c r="BU565" s="18">
        <v>14</v>
      </c>
      <c r="BV565" s="18">
        <v>278</v>
      </c>
      <c r="BW565" s="18">
        <v>1</v>
      </c>
      <c r="BX565" s="18">
        <v>1</v>
      </c>
    </row>
    <row r="566" spans="1:76">
      <c r="A566" s="14" t="str">
        <f>VLOOKUP(C566,VLOOKUP!A:B,2,FALSE)</f>
        <v>如意盘香</v>
      </c>
      <c r="B566" s="19">
        <v>46156</v>
      </c>
      <c r="C566" s="20">
        <v>838711327669</v>
      </c>
      <c r="D566" s="18" t="s">
        <v>151</v>
      </c>
      <c r="E566" s="18" t="s">
        <v>175</v>
      </c>
      <c r="F566" s="18">
        <v>372</v>
      </c>
      <c r="G566" s="18">
        <v>23</v>
      </c>
      <c r="H566" s="18">
        <v>50</v>
      </c>
      <c r="I566" s="18">
        <v>0.06183</v>
      </c>
      <c r="J566" s="18">
        <v>2.17</v>
      </c>
      <c r="K566" s="18">
        <v>134.41</v>
      </c>
      <c r="L566" s="18">
        <v>0</v>
      </c>
      <c r="M566" s="18">
        <v>0</v>
      </c>
      <c r="N566" s="18">
        <v>0</v>
      </c>
      <c r="O566" s="18">
        <v>0</v>
      </c>
      <c r="P566" s="18">
        <v>0</v>
      </c>
      <c r="Q566" s="18">
        <v>0</v>
      </c>
      <c r="R566" s="18">
        <v>0</v>
      </c>
      <c r="S566" s="18">
        <v>0</v>
      </c>
      <c r="T566" s="18">
        <v>0</v>
      </c>
      <c r="U566" s="18">
        <v>0</v>
      </c>
      <c r="V566" s="18">
        <v>0</v>
      </c>
      <c r="W566" s="18">
        <v>0</v>
      </c>
      <c r="X566" s="18">
        <v>0</v>
      </c>
      <c r="Y566" s="18">
        <v>0</v>
      </c>
      <c r="Z566" s="18">
        <v>0</v>
      </c>
      <c r="AA566" s="18"/>
      <c r="AB566" s="18">
        <v>2</v>
      </c>
      <c r="AC566" s="18">
        <v>1</v>
      </c>
      <c r="AD566" s="18">
        <v>1</v>
      </c>
      <c r="AE566" s="18">
        <v>0.08696</v>
      </c>
      <c r="AF566" s="18">
        <v>0</v>
      </c>
      <c r="AG566" s="18">
        <v>0</v>
      </c>
      <c r="AH566" s="18"/>
      <c r="AI566" s="18">
        <v>2</v>
      </c>
      <c r="AJ566" s="18">
        <v>25</v>
      </c>
      <c r="AK566" s="18">
        <v>2</v>
      </c>
      <c r="AL566" s="18">
        <v>25</v>
      </c>
      <c r="AM566" s="18">
        <v>0</v>
      </c>
      <c r="AN566" s="18"/>
      <c r="AO566" s="18">
        <v>0</v>
      </c>
      <c r="AP566" s="18">
        <v>25</v>
      </c>
      <c r="AQ566" s="18">
        <v>0</v>
      </c>
      <c r="AR566" s="18">
        <v>0</v>
      </c>
      <c r="AS566" s="18">
        <v>0</v>
      </c>
      <c r="AT566" s="18">
        <v>0</v>
      </c>
      <c r="AU566" s="18">
        <v>0</v>
      </c>
      <c r="AV566" s="18">
        <v>0</v>
      </c>
      <c r="AW566" s="18">
        <v>0</v>
      </c>
      <c r="AX566" s="18">
        <v>0</v>
      </c>
      <c r="AY566" s="18">
        <v>78</v>
      </c>
      <c r="AZ566" s="18">
        <v>19</v>
      </c>
      <c r="BA566" s="18">
        <v>10</v>
      </c>
      <c r="BB566" s="18">
        <v>0.52632</v>
      </c>
      <c r="BC566" s="18">
        <v>0</v>
      </c>
      <c r="BD566" s="18">
        <v>0</v>
      </c>
      <c r="BE566" s="18">
        <v>0.20968</v>
      </c>
      <c r="BF566" s="18">
        <v>55</v>
      </c>
      <c r="BG566" s="18">
        <v>4</v>
      </c>
      <c r="BH566" s="18">
        <v>0</v>
      </c>
      <c r="BI566" s="18"/>
      <c r="BJ566" s="18">
        <v>0</v>
      </c>
      <c r="BK566" s="18">
        <v>0</v>
      </c>
      <c r="BL566" s="18">
        <v>0</v>
      </c>
      <c r="BM566" s="18">
        <v>0</v>
      </c>
      <c r="BN566" s="18"/>
      <c r="BO566" s="18"/>
      <c r="BP566" s="18">
        <v>0</v>
      </c>
      <c r="BQ566" s="18">
        <v>52</v>
      </c>
      <c r="BR566" s="18">
        <v>0</v>
      </c>
      <c r="BS566" s="18">
        <v>0</v>
      </c>
      <c r="BT566" s="18">
        <v>0</v>
      </c>
      <c r="BU566" s="18">
        <v>0</v>
      </c>
      <c r="BV566" s="18">
        <v>0</v>
      </c>
      <c r="BW566" s="18">
        <v>0</v>
      </c>
      <c r="BX566" s="18">
        <v>0</v>
      </c>
    </row>
    <row r="567" spans="1:76">
      <c r="A567" s="14" t="str">
        <f>VLOOKUP(C567,VLOOKUP!A:B,2,FALSE)</f>
        <v>太樾归真</v>
      </c>
      <c r="B567" s="19">
        <v>46155</v>
      </c>
      <c r="C567" s="20">
        <v>1048251217517</v>
      </c>
      <c r="D567" s="18" t="s">
        <v>151</v>
      </c>
      <c r="E567" s="18" t="s">
        <v>177</v>
      </c>
      <c r="F567" s="18">
        <v>2184</v>
      </c>
      <c r="G567" s="18">
        <v>92</v>
      </c>
      <c r="H567" s="18">
        <v>80.42</v>
      </c>
      <c r="I567" s="18">
        <v>0.04212</v>
      </c>
      <c r="J567" s="18">
        <v>0.87</v>
      </c>
      <c r="K567" s="18">
        <v>36.82</v>
      </c>
      <c r="L567" s="18">
        <v>0</v>
      </c>
      <c r="M567" s="18">
        <v>0</v>
      </c>
      <c r="N567" s="18">
        <v>0</v>
      </c>
      <c r="O567" s="18">
        <v>0</v>
      </c>
      <c r="P567" s="18">
        <v>0</v>
      </c>
      <c r="Q567" s="18">
        <v>0</v>
      </c>
      <c r="R567" s="18">
        <v>29.6</v>
      </c>
      <c r="S567" s="18">
        <v>0</v>
      </c>
      <c r="T567" s="18">
        <v>29.6</v>
      </c>
      <c r="U567" s="18">
        <v>1</v>
      </c>
      <c r="V567" s="18">
        <v>1</v>
      </c>
      <c r="W567" s="18">
        <v>0</v>
      </c>
      <c r="X567" s="18">
        <v>0.01087</v>
      </c>
      <c r="Y567" s="18">
        <v>0.37</v>
      </c>
      <c r="Z567" s="18">
        <v>0.37</v>
      </c>
      <c r="AA567" s="18">
        <v>80.42</v>
      </c>
      <c r="AB567" s="18">
        <v>2</v>
      </c>
      <c r="AC567" s="18">
        <v>2</v>
      </c>
      <c r="AD567" s="18">
        <v>0</v>
      </c>
      <c r="AE567" s="18">
        <v>0.02174</v>
      </c>
      <c r="AF567" s="18">
        <v>1</v>
      </c>
      <c r="AG567" s="18">
        <v>0</v>
      </c>
      <c r="AH567" s="18"/>
      <c r="AI567" s="18">
        <v>3</v>
      </c>
      <c r="AJ567" s="18">
        <v>26.81</v>
      </c>
      <c r="AK567" s="18">
        <v>3</v>
      </c>
      <c r="AL567" s="18">
        <v>26.81</v>
      </c>
      <c r="AM567" s="18">
        <v>1</v>
      </c>
      <c r="AN567" s="18">
        <v>80.42</v>
      </c>
      <c r="AO567" s="18">
        <v>0.01087</v>
      </c>
      <c r="AP567" s="18">
        <v>40.21</v>
      </c>
      <c r="AQ567" s="18">
        <v>1</v>
      </c>
      <c r="AR567" s="18">
        <v>79.9</v>
      </c>
      <c r="AS567" s="18">
        <v>1</v>
      </c>
      <c r="AT567" s="18">
        <v>0</v>
      </c>
      <c r="AU567" s="18">
        <v>0</v>
      </c>
      <c r="AV567" s="18">
        <v>0</v>
      </c>
      <c r="AW567" s="18">
        <v>0</v>
      </c>
      <c r="AX567" s="18">
        <v>0</v>
      </c>
      <c r="AY567" s="18">
        <v>167</v>
      </c>
      <c r="AZ567" s="18">
        <v>91</v>
      </c>
      <c r="BA567" s="18">
        <v>79</v>
      </c>
      <c r="BB567" s="18">
        <v>0.86813</v>
      </c>
      <c r="BC567" s="18">
        <v>0</v>
      </c>
      <c r="BD567" s="18">
        <v>0</v>
      </c>
      <c r="BE567" s="18">
        <v>0.07647</v>
      </c>
      <c r="BF567" s="18">
        <v>60</v>
      </c>
      <c r="BG567" s="18">
        <v>2</v>
      </c>
      <c r="BH567" s="18">
        <v>1</v>
      </c>
      <c r="BI567" s="18">
        <v>1</v>
      </c>
      <c r="BJ567" s="18">
        <v>0</v>
      </c>
      <c r="BK567" s="18">
        <v>0</v>
      </c>
      <c r="BL567" s="18">
        <v>0</v>
      </c>
      <c r="BM567" s="18">
        <v>1</v>
      </c>
      <c r="BN567" s="18">
        <v>1</v>
      </c>
      <c r="BO567" s="18">
        <v>29.6</v>
      </c>
      <c r="BP567" s="18">
        <v>0</v>
      </c>
      <c r="BQ567" s="18">
        <v>334</v>
      </c>
      <c r="BR567" s="18">
        <v>0</v>
      </c>
      <c r="BS567" s="18">
        <v>0</v>
      </c>
      <c r="BT567" s="18">
        <v>0</v>
      </c>
      <c r="BU567" s="18">
        <v>0</v>
      </c>
      <c r="BV567" s="18">
        <v>0</v>
      </c>
      <c r="BW567" s="18">
        <v>0</v>
      </c>
      <c r="BX567" s="18">
        <v>0</v>
      </c>
    </row>
    <row r="568" spans="1:76">
      <c r="A568" s="14" t="str">
        <f>VLOOKUP(C568,VLOOKUP!A:B,2,FALSE)</f>
        <v>早晚安香</v>
      </c>
      <c r="B568" s="19">
        <v>46155</v>
      </c>
      <c r="C568" s="20">
        <v>1010789122929</v>
      </c>
      <c r="D568" s="18" t="s">
        <v>151</v>
      </c>
      <c r="E568" s="18" t="s">
        <v>173</v>
      </c>
      <c r="F568" s="18">
        <v>490</v>
      </c>
      <c r="G568" s="18">
        <v>25</v>
      </c>
      <c r="H568" s="18">
        <v>15.63</v>
      </c>
      <c r="I568" s="18">
        <v>0.05102</v>
      </c>
      <c r="J568" s="18">
        <v>0.63</v>
      </c>
      <c r="K568" s="18">
        <v>31.9</v>
      </c>
      <c r="L568" s="18">
        <v>0</v>
      </c>
      <c r="M568" s="18">
        <v>0</v>
      </c>
      <c r="N568" s="18">
        <v>0</v>
      </c>
      <c r="O568" s="18">
        <v>0</v>
      </c>
      <c r="P568" s="18">
        <v>0</v>
      </c>
      <c r="Q568" s="18">
        <v>0</v>
      </c>
      <c r="R568" s="18">
        <v>0</v>
      </c>
      <c r="S568" s="18">
        <v>0</v>
      </c>
      <c r="T568" s="18">
        <v>0</v>
      </c>
      <c r="U568" s="18">
        <v>0</v>
      </c>
      <c r="V568" s="18">
        <v>0</v>
      </c>
      <c r="W568" s="18">
        <v>0</v>
      </c>
      <c r="X568" s="18">
        <v>0</v>
      </c>
      <c r="Y568" s="18">
        <v>0</v>
      </c>
      <c r="Z568" s="18">
        <v>0</v>
      </c>
      <c r="AA568" s="18"/>
      <c r="AB568" s="18">
        <v>2</v>
      </c>
      <c r="AC568" s="18">
        <v>2</v>
      </c>
      <c r="AD568" s="18">
        <v>0</v>
      </c>
      <c r="AE568" s="18">
        <v>0.08</v>
      </c>
      <c r="AF568" s="18">
        <v>1</v>
      </c>
      <c r="AG568" s="18">
        <v>0</v>
      </c>
      <c r="AH568" s="18"/>
      <c r="AI568" s="18">
        <v>3</v>
      </c>
      <c r="AJ568" s="18">
        <v>5.21</v>
      </c>
      <c r="AK568" s="18">
        <v>3</v>
      </c>
      <c r="AL568" s="18">
        <v>5.21</v>
      </c>
      <c r="AM568" s="18">
        <v>1</v>
      </c>
      <c r="AN568" s="18">
        <v>15.63</v>
      </c>
      <c r="AO568" s="18">
        <v>0.04</v>
      </c>
      <c r="AP568" s="18">
        <v>7.82</v>
      </c>
      <c r="AQ568" s="18">
        <v>0</v>
      </c>
      <c r="AR568" s="18">
        <v>0</v>
      </c>
      <c r="AS568" s="18">
        <v>1</v>
      </c>
      <c r="AT568" s="18">
        <v>0</v>
      </c>
      <c r="AU568" s="18">
        <v>0</v>
      </c>
      <c r="AV568" s="18">
        <v>0</v>
      </c>
      <c r="AW568" s="18">
        <v>0</v>
      </c>
      <c r="AX568" s="18">
        <v>0</v>
      </c>
      <c r="AY568" s="18">
        <v>53</v>
      </c>
      <c r="AZ568" s="18">
        <v>26</v>
      </c>
      <c r="BA568" s="18">
        <v>11</v>
      </c>
      <c r="BB568" s="18">
        <v>0.42308</v>
      </c>
      <c r="BC568" s="18">
        <v>0</v>
      </c>
      <c r="BD568" s="18">
        <v>0</v>
      </c>
      <c r="BE568" s="18">
        <v>0.10816</v>
      </c>
      <c r="BF568" s="18">
        <v>21</v>
      </c>
      <c r="BG568" s="18">
        <v>2</v>
      </c>
      <c r="BH568" s="18">
        <v>0</v>
      </c>
      <c r="BI568" s="18"/>
      <c r="BJ568" s="18">
        <v>0</v>
      </c>
      <c r="BK568" s="18">
        <v>0</v>
      </c>
      <c r="BL568" s="18">
        <v>0</v>
      </c>
      <c r="BM568" s="18">
        <v>0</v>
      </c>
      <c r="BN568" s="18"/>
      <c r="BO568" s="18"/>
      <c r="BP568" s="18">
        <v>0</v>
      </c>
      <c r="BQ568" s="18">
        <v>162</v>
      </c>
      <c r="BR568" s="18">
        <v>0</v>
      </c>
      <c r="BS568" s="18">
        <v>0</v>
      </c>
      <c r="BT568" s="18">
        <v>0</v>
      </c>
      <c r="BU568" s="18">
        <v>0</v>
      </c>
      <c r="BV568" s="18">
        <v>0</v>
      </c>
      <c r="BW568" s="18">
        <v>0</v>
      </c>
      <c r="BX568" s="18">
        <v>0</v>
      </c>
    </row>
    <row r="569" spans="1:76">
      <c r="A569" s="14" t="str">
        <f>VLOOKUP(C569,VLOOKUP!A:B,2,FALSE)</f>
        <v>荔枝香</v>
      </c>
      <c r="B569" s="19">
        <v>46155</v>
      </c>
      <c r="C569" s="20">
        <v>960406497157</v>
      </c>
      <c r="D569" s="18" t="s">
        <v>151</v>
      </c>
      <c r="E569" s="18" t="s">
        <v>176</v>
      </c>
      <c r="F569" s="18">
        <v>4684</v>
      </c>
      <c r="G569" s="18">
        <v>253</v>
      </c>
      <c r="H569" s="18">
        <v>100.09</v>
      </c>
      <c r="I569" s="18">
        <v>0.05401</v>
      </c>
      <c r="J569" s="18">
        <v>0.4</v>
      </c>
      <c r="K569" s="18">
        <v>21.37</v>
      </c>
      <c r="L569" s="18">
        <v>0</v>
      </c>
      <c r="M569" s="18">
        <v>0</v>
      </c>
      <c r="N569" s="18">
        <v>0</v>
      </c>
      <c r="O569" s="18">
        <v>0</v>
      </c>
      <c r="P569" s="18">
        <v>0</v>
      </c>
      <c r="Q569" s="18">
        <v>0</v>
      </c>
      <c r="R569" s="18">
        <v>0</v>
      </c>
      <c r="S569" s="18">
        <v>0</v>
      </c>
      <c r="T569" s="18">
        <v>0</v>
      </c>
      <c r="U569" s="18">
        <v>0</v>
      </c>
      <c r="V569" s="18">
        <v>0</v>
      </c>
      <c r="W569" s="18">
        <v>0</v>
      </c>
      <c r="X569" s="18">
        <v>0</v>
      </c>
      <c r="Y569" s="18">
        <v>0</v>
      </c>
      <c r="Z569" s="18">
        <v>0</v>
      </c>
      <c r="AA569" s="18"/>
      <c r="AB569" s="18">
        <v>4</v>
      </c>
      <c r="AC569" s="18">
        <v>4</v>
      </c>
      <c r="AD569" s="18">
        <v>0</v>
      </c>
      <c r="AE569" s="18">
        <v>0.01581</v>
      </c>
      <c r="AF569" s="18">
        <v>2</v>
      </c>
      <c r="AG569" s="18">
        <v>1</v>
      </c>
      <c r="AH569" s="18">
        <v>100.09</v>
      </c>
      <c r="AI569" s="18">
        <v>7</v>
      </c>
      <c r="AJ569" s="18">
        <v>14.3</v>
      </c>
      <c r="AK569" s="18">
        <v>6</v>
      </c>
      <c r="AL569" s="18">
        <v>16.68</v>
      </c>
      <c r="AM569" s="18">
        <v>3</v>
      </c>
      <c r="AN569" s="18">
        <v>50.05</v>
      </c>
      <c r="AO569" s="18">
        <v>0.00791</v>
      </c>
      <c r="AP569" s="18">
        <v>25.02</v>
      </c>
      <c r="AQ569" s="18">
        <v>0</v>
      </c>
      <c r="AR569" s="18">
        <v>0</v>
      </c>
      <c r="AS569" s="18">
        <v>1</v>
      </c>
      <c r="AT569" s="18">
        <v>1</v>
      </c>
      <c r="AU569" s="18">
        <v>0</v>
      </c>
      <c r="AV569" s="18">
        <v>0</v>
      </c>
      <c r="AW569" s="18">
        <v>0</v>
      </c>
      <c r="AX569" s="18">
        <v>2</v>
      </c>
      <c r="AY569" s="18">
        <v>567</v>
      </c>
      <c r="AZ569" s="18">
        <v>236</v>
      </c>
      <c r="BA569" s="18">
        <v>205</v>
      </c>
      <c r="BB569" s="18">
        <v>0.86864</v>
      </c>
      <c r="BC569" s="18">
        <v>0</v>
      </c>
      <c r="BD569" s="18">
        <v>0</v>
      </c>
      <c r="BE569" s="18">
        <v>0.12105</v>
      </c>
      <c r="BF569" s="18">
        <v>263</v>
      </c>
      <c r="BG569" s="18">
        <v>2</v>
      </c>
      <c r="BH569" s="18">
        <v>0</v>
      </c>
      <c r="BI569" s="18"/>
      <c r="BJ569" s="18">
        <v>0</v>
      </c>
      <c r="BK569" s="18">
        <v>0</v>
      </c>
      <c r="BL569" s="18">
        <v>0</v>
      </c>
      <c r="BM569" s="18">
        <v>0</v>
      </c>
      <c r="BN569" s="18"/>
      <c r="BO569" s="18"/>
      <c r="BP569" s="18">
        <v>0.01</v>
      </c>
      <c r="BQ569" s="18">
        <v>287</v>
      </c>
      <c r="BR569" s="18">
        <v>0</v>
      </c>
      <c r="BS569" s="18">
        <v>0</v>
      </c>
      <c r="BT569" s="18">
        <v>0</v>
      </c>
      <c r="BU569" s="18">
        <v>0</v>
      </c>
      <c r="BV569" s="18">
        <v>0</v>
      </c>
      <c r="BW569" s="18">
        <v>0</v>
      </c>
      <c r="BX569" s="18">
        <v>0</v>
      </c>
    </row>
    <row r="570" spans="1:76">
      <c r="A570" s="14" t="str">
        <f>VLOOKUP(C570,VLOOKUP!A:B,2,FALSE)</f>
        <v>如意盘香</v>
      </c>
      <c r="B570" s="19">
        <v>46155</v>
      </c>
      <c r="C570" s="20">
        <v>838711327669</v>
      </c>
      <c r="D570" s="18" t="s">
        <v>151</v>
      </c>
      <c r="E570" s="18" t="s">
        <v>175</v>
      </c>
      <c r="F570" s="18">
        <v>378</v>
      </c>
      <c r="G570" s="18">
        <v>20</v>
      </c>
      <c r="H570" s="18">
        <v>33.62</v>
      </c>
      <c r="I570" s="18">
        <v>0.05291</v>
      </c>
      <c r="J570" s="18">
        <v>1.68</v>
      </c>
      <c r="K570" s="18">
        <v>88.94</v>
      </c>
      <c r="L570" s="18">
        <v>0</v>
      </c>
      <c r="M570" s="18">
        <v>0</v>
      </c>
      <c r="N570" s="18">
        <v>0</v>
      </c>
      <c r="O570" s="18">
        <v>0</v>
      </c>
      <c r="P570" s="18">
        <v>0</v>
      </c>
      <c r="Q570" s="18">
        <v>0</v>
      </c>
      <c r="R570" s="18">
        <v>0</v>
      </c>
      <c r="S570" s="18">
        <v>0</v>
      </c>
      <c r="T570" s="18">
        <v>0</v>
      </c>
      <c r="U570" s="18">
        <v>0</v>
      </c>
      <c r="V570" s="18">
        <v>0</v>
      </c>
      <c r="W570" s="18">
        <v>0</v>
      </c>
      <c r="X570" s="18">
        <v>0</v>
      </c>
      <c r="Y570" s="18">
        <v>0</v>
      </c>
      <c r="Z570" s="18">
        <v>0</v>
      </c>
      <c r="AA570" s="18"/>
      <c r="AB570" s="18">
        <v>2</v>
      </c>
      <c r="AC570" s="18">
        <v>1</v>
      </c>
      <c r="AD570" s="18">
        <v>1</v>
      </c>
      <c r="AE570" s="18">
        <v>0.1</v>
      </c>
      <c r="AF570" s="18">
        <v>0</v>
      </c>
      <c r="AG570" s="18">
        <v>0</v>
      </c>
      <c r="AH570" s="18"/>
      <c r="AI570" s="18">
        <v>2</v>
      </c>
      <c r="AJ570" s="18">
        <v>16.81</v>
      </c>
      <c r="AK570" s="18">
        <v>2</v>
      </c>
      <c r="AL570" s="18">
        <v>16.81</v>
      </c>
      <c r="AM570" s="18">
        <v>0</v>
      </c>
      <c r="AN570" s="18"/>
      <c r="AO570" s="18">
        <v>0</v>
      </c>
      <c r="AP570" s="18">
        <v>16.81</v>
      </c>
      <c r="AQ570" s="18">
        <v>0</v>
      </c>
      <c r="AR570" s="18">
        <v>0</v>
      </c>
      <c r="AS570" s="18">
        <v>0</v>
      </c>
      <c r="AT570" s="18">
        <v>0</v>
      </c>
      <c r="AU570" s="18">
        <v>0</v>
      </c>
      <c r="AV570" s="18">
        <v>0</v>
      </c>
      <c r="AW570" s="18">
        <v>0</v>
      </c>
      <c r="AX570" s="18">
        <v>2</v>
      </c>
      <c r="AY570" s="18">
        <v>56</v>
      </c>
      <c r="AZ570" s="18">
        <v>17</v>
      </c>
      <c r="BA570" s="18">
        <v>12</v>
      </c>
      <c r="BB570" s="18">
        <v>0.70588</v>
      </c>
      <c r="BC570" s="18">
        <v>0</v>
      </c>
      <c r="BD570" s="18">
        <v>0</v>
      </c>
      <c r="BE570" s="18">
        <v>0.14815</v>
      </c>
      <c r="BF570" s="18">
        <v>34</v>
      </c>
      <c r="BG570" s="18">
        <v>3</v>
      </c>
      <c r="BH570" s="18">
        <v>0</v>
      </c>
      <c r="BI570" s="18"/>
      <c r="BJ570" s="18">
        <v>0</v>
      </c>
      <c r="BK570" s="18">
        <v>0</v>
      </c>
      <c r="BL570" s="18">
        <v>0</v>
      </c>
      <c r="BM570" s="18">
        <v>0</v>
      </c>
      <c r="BN570" s="18"/>
      <c r="BO570" s="18"/>
      <c r="BP570" s="18">
        <v>0</v>
      </c>
      <c r="BQ570" s="18">
        <v>54</v>
      </c>
      <c r="BR570" s="18">
        <v>0</v>
      </c>
      <c r="BS570" s="18">
        <v>0</v>
      </c>
      <c r="BT570" s="18">
        <v>0</v>
      </c>
      <c r="BU570" s="18">
        <v>0</v>
      </c>
      <c r="BV570" s="18">
        <v>0</v>
      </c>
      <c r="BW570" s="18">
        <v>0</v>
      </c>
      <c r="BX570" s="18">
        <v>0</v>
      </c>
    </row>
    <row r="571" spans="1:76">
      <c r="A571" s="14" t="str">
        <f>VLOOKUP(C571,VLOOKUP!A:B,2,FALSE)</f>
        <v>太樾归真</v>
      </c>
      <c r="B571" s="19">
        <v>46154</v>
      </c>
      <c r="C571" s="20">
        <v>1048251217517</v>
      </c>
      <c r="D571" s="18" t="s">
        <v>151</v>
      </c>
      <c r="E571" s="18" t="s">
        <v>177</v>
      </c>
      <c r="F571" s="18">
        <v>1544</v>
      </c>
      <c r="G571" s="18">
        <v>71</v>
      </c>
      <c r="H571" s="18">
        <v>83.61</v>
      </c>
      <c r="I571" s="18">
        <v>0.04598</v>
      </c>
      <c r="J571" s="18">
        <v>1.18</v>
      </c>
      <c r="K571" s="18">
        <v>54.15</v>
      </c>
      <c r="L571" s="18">
        <v>0</v>
      </c>
      <c r="M571" s="18">
        <v>0</v>
      </c>
      <c r="N571" s="18">
        <v>0</v>
      </c>
      <c r="O571" s="18">
        <v>0</v>
      </c>
      <c r="P571" s="18">
        <v>0</v>
      </c>
      <c r="Q571" s="18">
        <v>0</v>
      </c>
      <c r="R571" s="18">
        <v>0</v>
      </c>
      <c r="S571" s="18">
        <v>42.4</v>
      </c>
      <c r="T571" s="18">
        <v>42.4</v>
      </c>
      <c r="U571" s="18">
        <v>1</v>
      </c>
      <c r="V571" s="18">
        <v>0</v>
      </c>
      <c r="W571" s="18">
        <v>1</v>
      </c>
      <c r="X571" s="18">
        <v>0.01408</v>
      </c>
      <c r="Y571" s="18">
        <v>0.51</v>
      </c>
      <c r="Z571" s="18">
        <v>0.51</v>
      </c>
      <c r="AA571" s="18">
        <v>83.61</v>
      </c>
      <c r="AB571" s="18">
        <v>8</v>
      </c>
      <c r="AC571" s="18">
        <v>5</v>
      </c>
      <c r="AD571" s="18">
        <v>3</v>
      </c>
      <c r="AE571" s="18">
        <v>0.11268</v>
      </c>
      <c r="AF571" s="18">
        <v>5</v>
      </c>
      <c r="AG571" s="18">
        <v>1</v>
      </c>
      <c r="AH571" s="18">
        <v>83.61</v>
      </c>
      <c r="AI571" s="18">
        <v>14</v>
      </c>
      <c r="AJ571" s="18">
        <v>5.97</v>
      </c>
      <c r="AK571" s="18">
        <v>13</v>
      </c>
      <c r="AL571" s="18">
        <v>6.43</v>
      </c>
      <c r="AM571" s="18">
        <v>6</v>
      </c>
      <c r="AN571" s="18">
        <v>16.72</v>
      </c>
      <c r="AO571" s="18">
        <v>0.07042</v>
      </c>
      <c r="AP571" s="18">
        <v>10.45</v>
      </c>
      <c r="AQ571" s="18">
        <v>1</v>
      </c>
      <c r="AR571" s="18">
        <v>49.9</v>
      </c>
      <c r="AS571" s="18">
        <v>2</v>
      </c>
      <c r="AT571" s="18">
        <v>3</v>
      </c>
      <c r="AU571" s="18">
        <v>0</v>
      </c>
      <c r="AV571" s="18">
        <v>0</v>
      </c>
      <c r="AW571" s="18">
        <v>0</v>
      </c>
      <c r="AX571" s="18">
        <v>1</v>
      </c>
      <c r="AY571" s="18">
        <v>205</v>
      </c>
      <c r="AZ571" s="18">
        <v>59</v>
      </c>
      <c r="BA571" s="18">
        <v>49</v>
      </c>
      <c r="BB571" s="18">
        <v>0.83051</v>
      </c>
      <c r="BC571" s="18">
        <v>0</v>
      </c>
      <c r="BD571" s="18">
        <v>0</v>
      </c>
      <c r="BE571" s="18">
        <v>0.13277</v>
      </c>
      <c r="BF571" s="18">
        <v>131</v>
      </c>
      <c r="BG571" s="18">
        <v>3</v>
      </c>
      <c r="BH571" s="18">
        <v>1</v>
      </c>
      <c r="BI571" s="18">
        <v>1</v>
      </c>
      <c r="BJ571" s="18">
        <v>0</v>
      </c>
      <c r="BK571" s="18">
        <v>0</v>
      </c>
      <c r="BL571" s="18">
        <v>0</v>
      </c>
      <c r="BM571" s="18">
        <v>1</v>
      </c>
      <c r="BN571" s="18">
        <v>1</v>
      </c>
      <c r="BO571" s="18">
        <v>42.4</v>
      </c>
      <c r="BP571" s="18">
        <v>0</v>
      </c>
      <c r="BQ571" s="18">
        <v>402</v>
      </c>
      <c r="BR571" s="18">
        <v>0</v>
      </c>
      <c r="BS571" s="18">
        <v>0</v>
      </c>
      <c r="BT571" s="18">
        <v>0</v>
      </c>
      <c r="BU571" s="18">
        <v>0</v>
      </c>
      <c r="BV571" s="18">
        <v>0</v>
      </c>
      <c r="BW571" s="18">
        <v>0</v>
      </c>
      <c r="BX571" s="18">
        <v>0</v>
      </c>
    </row>
    <row r="572" spans="1:76">
      <c r="A572" s="14" t="str">
        <f>VLOOKUP(C572,VLOOKUP!A:B,2,FALSE)</f>
        <v>早晚安香</v>
      </c>
      <c r="B572" s="19">
        <v>46154</v>
      </c>
      <c r="C572" s="20">
        <v>1010789122929</v>
      </c>
      <c r="D572" s="18" t="s">
        <v>151</v>
      </c>
      <c r="E572" s="18" t="s">
        <v>173</v>
      </c>
      <c r="F572" s="18">
        <v>751</v>
      </c>
      <c r="G572" s="18">
        <v>26</v>
      </c>
      <c r="H572" s="18">
        <v>17.39</v>
      </c>
      <c r="I572" s="18">
        <v>0.03462</v>
      </c>
      <c r="J572" s="18">
        <v>0.67</v>
      </c>
      <c r="K572" s="18">
        <v>23.16</v>
      </c>
      <c r="L572" s="18">
        <v>0</v>
      </c>
      <c r="M572" s="18">
        <v>0</v>
      </c>
      <c r="N572" s="18">
        <v>0</v>
      </c>
      <c r="O572" s="18">
        <v>0</v>
      </c>
      <c r="P572" s="18">
        <v>0</v>
      </c>
      <c r="Q572" s="18">
        <v>0</v>
      </c>
      <c r="R572" s="18">
        <v>0</v>
      </c>
      <c r="S572" s="18">
        <v>0</v>
      </c>
      <c r="T572" s="18">
        <v>0</v>
      </c>
      <c r="U572" s="18">
        <v>0</v>
      </c>
      <c r="V572" s="18">
        <v>0</v>
      </c>
      <c r="W572" s="18">
        <v>0</v>
      </c>
      <c r="X572" s="18">
        <v>0</v>
      </c>
      <c r="Y572" s="18">
        <v>0</v>
      </c>
      <c r="Z572" s="18">
        <v>0</v>
      </c>
      <c r="AA572" s="18"/>
      <c r="AB572" s="18">
        <v>5</v>
      </c>
      <c r="AC572" s="18">
        <v>1</v>
      </c>
      <c r="AD572" s="18">
        <v>4</v>
      </c>
      <c r="AE572" s="18">
        <v>0.19231</v>
      </c>
      <c r="AF572" s="18">
        <v>1</v>
      </c>
      <c r="AG572" s="18">
        <v>1</v>
      </c>
      <c r="AH572" s="18">
        <v>17.39</v>
      </c>
      <c r="AI572" s="18">
        <v>7</v>
      </c>
      <c r="AJ572" s="18">
        <v>2.48</v>
      </c>
      <c r="AK572" s="18">
        <v>6</v>
      </c>
      <c r="AL572" s="18">
        <v>2.9</v>
      </c>
      <c r="AM572" s="18">
        <v>2</v>
      </c>
      <c r="AN572" s="18">
        <v>17.39</v>
      </c>
      <c r="AO572" s="18">
        <v>0.03846</v>
      </c>
      <c r="AP572" s="18">
        <v>3.48</v>
      </c>
      <c r="AQ572" s="18">
        <v>0</v>
      </c>
      <c r="AR572" s="18">
        <v>0</v>
      </c>
      <c r="AS572" s="18">
        <v>1</v>
      </c>
      <c r="AT572" s="18">
        <v>0</v>
      </c>
      <c r="AU572" s="18">
        <v>0</v>
      </c>
      <c r="AV572" s="18">
        <v>0</v>
      </c>
      <c r="AW572" s="18">
        <v>0</v>
      </c>
      <c r="AX572" s="18">
        <v>0</v>
      </c>
      <c r="AY572" s="18">
        <v>67</v>
      </c>
      <c r="AZ572" s="18">
        <v>26</v>
      </c>
      <c r="BA572" s="18">
        <v>8</v>
      </c>
      <c r="BB572" s="18">
        <v>0.30769</v>
      </c>
      <c r="BC572" s="18">
        <v>0</v>
      </c>
      <c r="BD572" s="18">
        <v>0</v>
      </c>
      <c r="BE572" s="18">
        <v>0.08921</v>
      </c>
      <c r="BF572" s="18">
        <v>38</v>
      </c>
      <c r="BG572" s="18">
        <v>3</v>
      </c>
      <c r="BH572" s="18">
        <v>0</v>
      </c>
      <c r="BI572" s="18"/>
      <c r="BJ572" s="18">
        <v>0</v>
      </c>
      <c r="BK572" s="18">
        <v>0</v>
      </c>
      <c r="BL572" s="18">
        <v>0</v>
      </c>
      <c r="BM572" s="18">
        <v>0</v>
      </c>
      <c r="BN572" s="18"/>
      <c r="BO572" s="18"/>
      <c r="BP572" s="18">
        <v>0</v>
      </c>
      <c r="BQ572" s="18">
        <v>143</v>
      </c>
      <c r="BR572" s="18">
        <v>0</v>
      </c>
      <c r="BS572" s="18">
        <v>0</v>
      </c>
      <c r="BT572" s="18">
        <v>0</v>
      </c>
      <c r="BU572" s="18">
        <v>0</v>
      </c>
      <c r="BV572" s="18">
        <v>0</v>
      </c>
      <c r="BW572" s="18">
        <v>0</v>
      </c>
      <c r="BX572" s="18">
        <v>0</v>
      </c>
    </row>
    <row r="573" spans="1:76">
      <c r="A573" s="14" t="str">
        <f>VLOOKUP(C573,VLOOKUP!A:B,2,FALSE)</f>
        <v>荔枝香</v>
      </c>
      <c r="B573" s="19">
        <v>46154</v>
      </c>
      <c r="C573" s="20">
        <v>960406497157</v>
      </c>
      <c r="D573" s="18" t="s">
        <v>151</v>
      </c>
      <c r="E573" s="18" t="s">
        <v>176</v>
      </c>
      <c r="F573" s="18">
        <v>7671</v>
      </c>
      <c r="G573" s="18">
        <v>398</v>
      </c>
      <c r="H573" s="18">
        <v>146.07</v>
      </c>
      <c r="I573" s="18">
        <v>0.05188</v>
      </c>
      <c r="J573" s="18">
        <v>0.37</v>
      </c>
      <c r="K573" s="18">
        <v>19.04</v>
      </c>
      <c r="L573" s="18">
        <v>0</v>
      </c>
      <c r="M573" s="18">
        <v>0</v>
      </c>
      <c r="N573" s="18">
        <v>0</v>
      </c>
      <c r="O573" s="18">
        <v>0</v>
      </c>
      <c r="P573" s="18">
        <v>0</v>
      </c>
      <c r="Q573" s="18">
        <v>0</v>
      </c>
      <c r="R573" s="18">
        <v>0</v>
      </c>
      <c r="S573" s="18">
        <v>0</v>
      </c>
      <c r="T573" s="18">
        <v>0</v>
      </c>
      <c r="U573" s="18">
        <v>0</v>
      </c>
      <c r="V573" s="18">
        <v>0</v>
      </c>
      <c r="W573" s="18">
        <v>0</v>
      </c>
      <c r="X573" s="18">
        <v>0</v>
      </c>
      <c r="Y573" s="18">
        <v>0</v>
      </c>
      <c r="Z573" s="18">
        <v>0</v>
      </c>
      <c r="AA573" s="18"/>
      <c r="AB573" s="18">
        <v>8</v>
      </c>
      <c r="AC573" s="18">
        <v>8</v>
      </c>
      <c r="AD573" s="18">
        <v>0</v>
      </c>
      <c r="AE573" s="18">
        <v>0.0201</v>
      </c>
      <c r="AF573" s="18">
        <v>1</v>
      </c>
      <c r="AG573" s="18">
        <v>2</v>
      </c>
      <c r="AH573" s="18">
        <v>73.04</v>
      </c>
      <c r="AI573" s="18">
        <v>11</v>
      </c>
      <c r="AJ573" s="18">
        <v>13.28</v>
      </c>
      <c r="AK573" s="18">
        <v>9</v>
      </c>
      <c r="AL573" s="18">
        <v>16.23</v>
      </c>
      <c r="AM573" s="18">
        <v>3</v>
      </c>
      <c r="AN573" s="18">
        <v>146.07</v>
      </c>
      <c r="AO573" s="18">
        <v>0.00251</v>
      </c>
      <c r="AP573" s="18">
        <v>18.26</v>
      </c>
      <c r="AQ573" s="18">
        <v>0</v>
      </c>
      <c r="AR573" s="18">
        <v>0</v>
      </c>
      <c r="AS573" s="18">
        <v>1</v>
      </c>
      <c r="AT573" s="18">
        <v>0</v>
      </c>
      <c r="AU573" s="18">
        <v>0</v>
      </c>
      <c r="AV573" s="18">
        <v>0</v>
      </c>
      <c r="AW573" s="18">
        <v>0</v>
      </c>
      <c r="AX573" s="18">
        <v>0</v>
      </c>
      <c r="AY573" s="18">
        <v>684</v>
      </c>
      <c r="AZ573" s="18">
        <v>379</v>
      </c>
      <c r="BA573" s="18">
        <v>338</v>
      </c>
      <c r="BB573" s="18">
        <v>0.89182</v>
      </c>
      <c r="BC573" s="18">
        <v>0</v>
      </c>
      <c r="BD573" s="18">
        <v>0</v>
      </c>
      <c r="BE573" s="18">
        <v>0.08917</v>
      </c>
      <c r="BF573" s="18">
        <v>214</v>
      </c>
      <c r="BG573" s="18">
        <v>2</v>
      </c>
      <c r="BH573" s="18">
        <v>0</v>
      </c>
      <c r="BI573" s="18"/>
      <c r="BJ573" s="18">
        <v>0</v>
      </c>
      <c r="BK573" s="18">
        <v>0</v>
      </c>
      <c r="BL573" s="18">
        <v>0</v>
      </c>
      <c r="BM573" s="18">
        <v>0</v>
      </c>
      <c r="BN573" s="18"/>
      <c r="BO573" s="18"/>
      <c r="BP573" s="18">
        <v>0.01</v>
      </c>
      <c r="BQ573" s="18">
        <v>520</v>
      </c>
      <c r="BR573" s="18">
        <v>0</v>
      </c>
      <c r="BS573" s="18">
        <v>0</v>
      </c>
      <c r="BT573" s="18">
        <v>0</v>
      </c>
      <c r="BU573" s="18">
        <v>0</v>
      </c>
      <c r="BV573" s="18">
        <v>0</v>
      </c>
      <c r="BW573" s="18">
        <v>0</v>
      </c>
      <c r="BX573" s="18">
        <v>0</v>
      </c>
    </row>
    <row r="574" spans="1:76">
      <c r="A574" s="14" t="str">
        <f>VLOOKUP(C574,VLOOKUP!A:B,2,FALSE)</f>
        <v>如意盘香</v>
      </c>
      <c r="B574" s="19">
        <v>46154</v>
      </c>
      <c r="C574" s="20">
        <v>838711327669</v>
      </c>
      <c r="D574" s="18" t="s">
        <v>151</v>
      </c>
      <c r="E574" s="18" t="s">
        <v>175</v>
      </c>
      <c r="F574" s="18">
        <v>452</v>
      </c>
      <c r="G574" s="18">
        <v>32</v>
      </c>
      <c r="H574" s="18">
        <v>50</v>
      </c>
      <c r="I574" s="18">
        <v>0.0708</v>
      </c>
      <c r="J574" s="18">
        <v>1.56</v>
      </c>
      <c r="K574" s="18">
        <v>110.62</v>
      </c>
      <c r="L574" s="18">
        <v>0</v>
      </c>
      <c r="M574" s="18">
        <v>0</v>
      </c>
      <c r="N574" s="18">
        <v>0</v>
      </c>
      <c r="O574" s="18">
        <v>0</v>
      </c>
      <c r="P574" s="18">
        <v>0</v>
      </c>
      <c r="Q574" s="18">
        <v>0</v>
      </c>
      <c r="R574" s="18">
        <v>0</v>
      </c>
      <c r="S574" s="18">
        <v>0</v>
      </c>
      <c r="T574" s="18">
        <v>0</v>
      </c>
      <c r="U574" s="18">
        <v>0</v>
      </c>
      <c r="V574" s="18">
        <v>0</v>
      </c>
      <c r="W574" s="18">
        <v>0</v>
      </c>
      <c r="X574" s="18">
        <v>0</v>
      </c>
      <c r="Y574" s="18">
        <v>0</v>
      </c>
      <c r="Z574" s="18">
        <v>0</v>
      </c>
      <c r="AA574" s="18"/>
      <c r="AB574" s="18">
        <v>0</v>
      </c>
      <c r="AC574" s="18">
        <v>0</v>
      </c>
      <c r="AD574" s="18">
        <v>0</v>
      </c>
      <c r="AE574" s="18">
        <v>0</v>
      </c>
      <c r="AF574" s="18">
        <v>0</v>
      </c>
      <c r="AG574" s="18">
        <v>0</v>
      </c>
      <c r="AH574" s="18"/>
      <c r="AI574" s="18">
        <v>0</v>
      </c>
      <c r="AJ574" s="18"/>
      <c r="AK574" s="18">
        <v>0</v>
      </c>
      <c r="AL574" s="18"/>
      <c r="AM574" s="18">
        <v>0</v>
      </c>
      <c r="AN574" s="18"/>
      <c r="AO574" s="18">
        <v>0</v>
      </c>
      <c r="AP574" s="18"/>
      <c r="AQ574" s="18">
        <v>0</v>
      </c>
      <c r="AR574" s="18">
        <v>0</v>
      </c>
      <c r="AS574" s="18">
        <v>0</v>
      </c>
      <c r="AT574" s="18">
        <v>0</v>
      </c>
      <c r="AU574" s="18">
        <v>0</v>
      </c>
      <c r="AV574" s="18">
        <v>0</v>
      </c>
      <c r="AW574" s="18">
        <v>0</v>
      </c>
      <c r="AX574" s="18">
        <v>1</v>
      </c>
      <c r="AY574" s="18">
        <v>60</v>
      </c>
      <c r="AZ574" s="18">
        <v>27</v>
      </c>
      <c r="BA574" s="18">
        <v>15</v>
      </c>
      <c r="BB574" s="18">
        <v>0.55556</v>
      </c>
      <c r="BC574" s="18">
        <v>0</v>
      </c>
      <c r="BD574" s="18">
        <v>0</v>
      </c>
      <c r="BE574" s="18">
        <v>0.13274</v>
      </c>
      <c r="BF574" s="18">
        <v>25</v>
      </c>
      <c r="BG574" s="18">
        <v>2</v>
      </c>
      <c r="BH574" s="18">
        <v>0</v>
      </c>
      <c r="BI574" s="18"/>
      <c r="BJ574" s="18">
        <v>0</v>
      </c>
      <c r="BK574" s="18">
        <v>0</v>
      </c>
      <c r="BL574" s="18">
        <v>0</v>
      </c>
      <c r="BM574" s="18">
        <v>0</v>
      </c>
      <c r="BN574" s="18"/>
      <c r="BO574" s="18"/>
      <c r="BP574" s="18">
        <v>0</v>
      </c>
      <c r="BQ574" s="18">
        <v>37</v>
      </c>
      <c r="BR574" s="18">
        <v>0</v>
      </c>
      <c r="BS574" s="18">
        <v>0</v>
      </c>
      <c r="BT574" s="18">
        <v>0</v>
      </c>
      <c r="BU574" s="18">
        <v>0</v>
      </c>
      <c r="BV574" s="18">
        <v>0</v>
      </c>
      <c r="BW574" s="18">
        <v>0</v>
      </c>
      <c r="BX574" s="18">
        <v>0</v>
      </c>
    </row>
    <row r="575" spans="1:76">
      <c r="A575" s="14" t="str">
        <f>VLOOKUP(C575,VLOOKUP!A:B,2,FALSE)</f>
        <v>太樾归真</v>
      </c>
      <c r="B575" s="19">
        <v>46153</v>
      </c>
      <c r="C575" s="20">
        <v>1048251217517</v>
      </c>
      <c r="D575" s="18" t="s">
        <v>151</v>
      </c>
      <c r="E575" s="18" t="s">
        <v>177</v>
      </c>
      <c r="F575" s="18">
        <v>1518</v>
      </c>
      <c r="G575" s="18">
        <v>44</v>
      </c>
      <c r="H575" s="18">
        <v>69.44</v>
      </c>
      <c r="I575" s="18">
        <v>0.02899</v>
      </c>
      <c r="J575" s="18">
        <v>1.58</v>
      </c>
      <c r="K575" s="18">
        <v>45.74</v>
      </c>
      <c r="L575" s="18">
        <v>0</v>
      </c>
      <c r="M575" s="18">
        <v>0</v>
      </c>
      <c r="N575" s="18">
        <v>0</v>
      </c>
      <c r="O575" s="18">
        <v>0</v>
      </c>
      <c r="P575" s="18">
        <v>0</v>
      </c>
      <c r="Q575" s="18">
        <v>0</v>
      </c>
      <c r="R575" s="18">
        <v>0</v>
      </c>
      <c r="S575" s="18">
        <v>0</v>
      </c>
      <c r="T575" s="18">
        <v>0</v>
      </c>
      <c r="U575" s="18">
        <v>0</v>
      </c>
      <c r="V575" s="18">
        <v>0</v>
      </c>
      <c r="W575" s="18">
        <v>0</v>
      </c>
      <c r="X575" s="18">
        <v>0</v>
      </c>
      <c r="Y575" s="18">
        <v>0</v>
      </c>
      <c r="Z575" s="18">
        <v>0</v>
      </c>
      <c r="AA575" s="18"/>
      <c r="AB575" s="18">
        <v>0</v>
      </c>
      <c r="AC575" s="18">
        <v>0</v>
      </c>
      <c r="AD575" s="18">
        <v>0</v>
      </c>
      <c r="AE575" s="18">
        <v>0</v>
      </c>
      <c r="AF575" s="18">
        <v>0</v>
      </c>
      <c r="AG575" s="18">
        <v>0</v>
      </c>
      <c r="AH575" s="18"/>
      <c r="AI575" s="18">
        <v>0</v>
      </c>
      <c r="AJ575" s="18"/>
      <c r="AK575" s="18">
        <v>0</v>
      </c>
      <c r="AL575" s="18"/>
      <c r="AM575" s="18">
        <v>0</v>
      </c>
      <c r="AN575" s="18"/>
      <c r="AO575" s="18">
        <v>0</v>
      </c>
      <c r="AP575" s="18"/>
      <c r="AQ575" s="18">
        <v>0</v>
      </c>
      <c r="AR575" s="18">
        <v>0</v>
      </c>
      <c r="AS575" s="18">
        <v>0</v>
      </c>
      <c r="AT575" s="18">
        <v>0</v>
      </c>
      <c r="AU575" s="18">
        <v>0</v>
      </c>
      <c r="AV575" s="18">
        <v>0</v>
      </c>
      <c r="AW575" s="18">
        <v>0</v>
      </c>
      <c r="AX575" s="18">
        <v>0</v>
      </c>
      <c r="AY575" s="18">
        <v>61</v>
      </c>
      <c r="AZ575" s="18">
        <v>42</v>
      </c>
      <c r="BA575" s="18">
        <v>40</v>
      </c>
      <c r="BB575" s="18">
        <v>0.95238</v>
      </c>
      <c r="BC575" s="18">
        <v>0</v>
      </c>
      <c r="BD575" s="18">
        <v>0</v>
      </c>
      <c r="BE575" s="18">
        <v>0.04018</v>
      </c>
      <c r="BF575" s="18">
        <v>15</v>
      </c>
      <c r="BG575" s="18">
        <v>1</v>
      </c>
      <c r="BH575" s="18">
        <v>0</v>
      </c>
      <c r="BI575" s="18"/>
      <c r="BJ575" s="18">
        <v>0</v>
      </c>
      <c r="BK575" s="18">
        <v>0</v>
      </c>
      <c r="BL575" s="18">
        <v>0</v>
      </c>
      <c r="BM575" s="18">
        <v>0</v>
      </c>
      <c r="BN575" s="18"/>
      <c r="BO575" s="18"/>
      <c r="BP575" s="18">
        <v>0</v>
      </c>
      <c r="BQ575" s="18">
        <v>26</v>
      </c>
      <c r="BR575" s="18">
        <v>0</v>
      </c>
      <c r="BS575" s="18">
        <v>0</v>
      </c>
      <c r="BT575" s="18">
        <v>0</v>
      </c>
      <c r="BU575" s="18">
        <v>0</v>
      </c>
      <c r="BV575" s="18">
        <v>0</v>
      </c>
      <c r="BW575" s="18">
        <v>0</v>
      </c>
      <c r="BX575" s="18">
        <v>0</v>
      </c>
    </row>
    <row r="576" spans="1:76">
      <c r="A576" s="14" t="str">
        <f>VLOOKUP(C576,VLOOKUP!A:B,2,FALSE)</f>
        <v>早晚安香</v>
      </c>
      <c r="B576" s="19">
        <v>46153</v>
      </c>
      <c r="C576" s="20">
        <v>1010789122929</v>
      </c>
      <c r="D576" s="18" t="s">
        <v>151</v>
      </c>
      <c r="E576" s="18" t="s">
        <v>173</v>
      </c>
      <c r="F576" s="18">
        <v>411</v>
      </c>
      <c r="G576" s="18">
        <v>22</v>
      </c>
      <c r="H576" s="18">
        <v>15.32</v>
      </c>
      <c r="I576" s="18">
        <v>0.05353</v>
      </c>
      <c r="J576" s="18">
        <v>0.7</v>
      </c>
      <c r="K576" s="18">
        <v>37.27</v>
      </c>
      <c r="L576" s="18">
        <v>0</v>
      </c>
      <c r="M576" s="18">
        <v>0</v>
      </c>
      <c r="N576" s="18">
        <v>0</v>
      </c>
      <c r="O576" s="18">
        <v>0</v>
      </c>
      <c r="P576" s="18">
        <v>0</v>
      </c>
      <c r="Q576" s="18">
        <v>0</v>
      </c>
      <c r="R576" s="18">
        <v>0</v>
      </c>
      <c r="S576" s="18">
        <v>0</v>
      </c>
      <c r="T576" s="18">
        <v>0</v>
      </c>
      <c r="U576" s="18">
        <v>0</v>
      </c>
      <c r="V576" s="18">
        <v>0</v>
      </c>
      <c r="W576" s="18">
        <v>0</v>
      </c>
      <c r="X576" s="18">
        <v>0</v>
      </c>
      <c r="Y576" s="18">
        <v>0</v>
      </c>
      <c r="Z576" s="18">
        <v>0</v>
      </c>
      <c r="AA576" s="18"/>
      <c r="AB576" s="18">
        <v>0</v>
      </c>
      <c r="AC576" s="18">
        <v>0</v>
      </c>
      <c r="AD576" s="18">
        <v>0</v>
      </c>
      <c r="AE576" s="18">
        <v>0</v>
      </c>
      <c r="AF576" s="18">
        <v>1</v>
      </c>
      <c r="AG576" s="18">
        <v>0</v>
      </c>
      <c r="AH576" s="18"/>
      <c r="AI576" s="18">
        <v>1</v>
      </c>
      <c r="AJ576" s="18">
        <v>15.32</v>
      </c>
      <c r="AK576" s="18">
        <v>1</v>
      </c>
      <c r="AL576" s="18">
        <v>15.32</v>
      </c>
      <c r="AM576" s="18">
        <v>1</v>
      </c>
      <c r="AN576" s="18">
        <v>15.32</v>
      </c>
      <c r="AO576" s="18">
        <v>0.04545</v>
      </c>
      <c r="AP576" s="18"/>
      <c r="AQ576" s="18">
        <v>0</v>
      </c>
      <c r="AR576" s="18">
        <v>0</v>
      </c>
      <c r="AS576" s="18">
        <v>1</v>
      </c>
      <c r="AT576" s="18">
        <v>0</v>
      </c>
      <c r="AU576" s="18">
        <v>0</v>
      </c>
      <c r="AV576" s="18">
        <v>0</v>
      </c>
      <c r="AW576" s="18">
        <v>0</v>
      </c>
      <c r="AX576" s="18">
        <v>0</v>
      </c>
      <c r="AY576" s="18">
        <v>33</v>
      </c>
      <c r="AZ576" s="18">
        <v>20</v>
      </c>
      <c r="BA576" s="18">
        <v>4</v>
      </c>
      <c r="BB576" s="18">
        <v>0.2</v>
      </c>
      <c r="BC576" s="18">
        <v>0</v>
      </c>
      <c r="BD576" s="18">
        <v>0</v>
      </c>
      <c r="BE576" s="18">
        <v>0.08029</v>
      </c>
      <c r="BF576" s="18">
        <v>11</v>
      </c>
      <c r="BG576" s="18">
        <v>2</v>
      </c>
      <c r="BH576" s="18">
        <v>0</v>
      </c>
      <c r="BI576" s="18"/>
      <c r="BJ576" s="18">
        <v>0</v>
      </c>
      <c r="BK576" s="18">
        <v>0</v>
      </c>
      <c r="BL576" s="18">
        <v>0</v>
      </c>
      <c r="BM576" s="18">
        <v>0</v>
      </c>
      <c r="BN576" s="18"/>
      <c r="BO576" s="18"/>
      <c r="BP576" s="18">
        <v>0</v>
      </c>
      <c r="BQ576" s="18">
        <v>76</v>
      </c>
      <c r="BR576" s="18">
        <v>0</v>
      </c>
      <c r="BS576" s="18">
        <v>0</v>
      </c>
      <c r="BT576" s="18">
        <v>0</v>
      </c>
      <c r="BU576" s="18">
        <v>0</v>
      </c>
      <c r="BV576" s="18">
        <v>0</v>
      </c>
      <c r="BW576" s="18">
        <v>0</v>
      </c>
      <c r="BX576" s="18">
        <v>0</v>
      </c>
    </row>
    <row r="577" spans="1:76">
      <c r="A577" s="14" t="str">
        <f>VLOOKUP(C577,VLOOKUP!A:B,2,FALSE)</f>
        <v>荔枝香</v>
      </c>
      <c r="B577" s="19">
        <v>46153</v>
      </c>
      <c r="C577" s="20">
        <v>960406497157</v>
      </c>
      <c r="D577" s="18" t="s">
        <v>151</v>
      </c>
      <c r="E577" s="18" t="s">
        <v>176</v>
      </c>
      <c r="F577" s="18">
        <v>5623</v>
      </c>
      <c r="G577" s="18">
        <v>366</v>
      </c>
      <c r="H577" s="18">
        <v>123.25</v>
      </c>
      <c r="I577" s="18">
        <v>0.06509</v>
      </c>
      <c r="J577" s="18">
        <v>0.34</v>
      </c>
      <c r="K577" s="18">
        <v>21.92</v>
      </c>
      <c r="L577" s="18">
        <v>0</v>
      </c>
      <c r="M577" s="18">
        <v>0</v>
      </c>
      <c r="N577" s="18">
        <v>0</v>
      </c>
      <c r="O577" s="18">
        <v>0</v>
      </c>
      <c r="P577" s="18">
        <v>0</v>
      </c>
      <c r="Q577" s="18">
        <v>0</v>
      </c>
      <c r="R577" s="18">
        <v>66.31</v>
      </c>
      <c r="S577" s="18">
        <v>0</v>
      </c>
      <c r="T577" s="18">
        <v>66.31</v>
      </c>
      <c r="U577" s="18">
        <v>1</v>
      </c>
      <c r="V577" s="18">
        <v>1</v>
      </c>
      <c r="W577" s="18">
        <v>0</v>
      </c>
      <c r="X577" s="18">
        <v>0.00273</v>
      </c>
      <c r="Y577" s="18">
        <v>0.54</v>
      </c>
      <c r="Z577" s="18">
        <v>0.54</v>
      </c>
      <c r="AA577" s="18">
        <v>123.25</v>
      </c>
      <c r="AB577" s="18">
        <v>11</v>
      </c>
      <c r="AC577" s="18">
        <v>11</v>
      </c>
      <c r="AD577" s="18">
        <v>0</v>
      </c>
      <c r="AE577" s="18">
        <v>0.03005</v>
      </c>
      <c r="AF577" s="18">
        <v>3</v>
      </c>
      <c r="AG577" s="18">
        <v>0</v>
      </c>
      <c r="AH577" s="18"/>
      <c r="AI577" s="18">
        <v>14</v>
      </c>
      <c r="AJ577" s="18">
        <v>8.8</v>
      </c>
      <c r="AK577" s="18">
        <v>14</v>
      </c>
      <c r="AL577" s="18">
        <v>8.8</v>
      </c>
      <c r="AM577" s="18">
        <v>3</v>
      </c>
      <c r="AN577" s="18">
        <v>41.08</v>
      </c>
      <c r="AO577" s="18">
        <v>0.0082</v>
      </c>
      <c r="AP577" s="18">
        <v>11.2</v>
      </c>
      <c r="AQ577" s="18">
        <v>1</v>
      </c>
      <c r="AR577" s="18">
        <v>79.9</v>
      </c>
      <c r="AS577" s="18">
        <v>3</v>
      </c>
      <c r="AT577" s="18">
        <v>0</v>
      </c>
      <c r="AU577" s="18">
        <v>0</v>
      </c>
      <c r="AV577" s="18">
        <v>0</v>
      </c>
      <c r="AW577" s="18">
        <v>0</v>
      </c>
      <c r="AX577" s="18">
        <v>0</v>
      </c>
      <c r="AY577" s="18">
        <v>636</v>
      </c>
      <c r="AZ577" s="18">
        <v>335</v>
      </c>
      <c r="BA577" s="18">
        <v>286</v>
      </c>
      <c r="BB577" s="18">
        <v>0.85373</v>
      </c>
      <c r="BC577" s="18">
        <v>0</v>
      </c>
      <c r="BD577" s="18">
        <v>0</v>
      </c>
      <c r="BE577" s="18">
        <v>0.11311</v>
      </c>
      <c r="BF577" s="18">
        <v>187</v>
      </c>
      <c r="BG577" s="18">
        <v>2</v>
      </c>
      <c r="BH577" s="18">
        <v>1</v>
      </c>
      <c r="BI577" s="18">
        <v>1</v>
      </c>
      <c r="BJ577" s="18">
        <v>0</v>
      </c>
      <c r="BK577" s="18">
        <v>0</v>
      </c>
      <c r="BL577" s="18">
        <v>0</v>
      </c>
      <c r="BM577" s="18">
        <v>1</v>
      </c>
      <c r="BN577" s="18">
        <v>1</v>
      </c>
      <c r="BO577" s="18">
        <v>66.31</v>
      </c>
      <c r="BP577" s="18">
        <v>2.56</v>
      </c>
      <c r="BQ577" s="18">
        <v>564</v>
      </c>
      <c r="BR577" s="18">
        <v>0</v>
      </c>
      <c r="BS577" s="18">
        <v>0</v>
      </c>
      <c r="BT577" s="18">
        <v>0</v>
      </c>
      <c r="BU577" s="18">
        <v>0</v>
      </c>
      <c r="BV577" s="18">
        <v>0</v>
      </c>
      <c r="BW577" s="18">
        <v>0</v>
      </c>
      <c r="BX577" s="18">
        <v>0</v>
      </c>
    </row>
    <row r="578" spans="1:76">
      <c r="A578" s="14" t="str">
        <f>VLOOKUP(C578,VLOOKUP!A:B,2,FALSE)</f>
        <v>如意盘香</v>
      </c>
      <c r="B578" s="19">
        <v>46153</v>
      </c>
      <c r="C578" s="20">
        <v>838711327669</v>
      </c>
      <c r="D578" s="18" t="s">
        <v>151</v>
      </c>
      <c r="E578" s="18" t="s">
        <v>153</v>
      </c>
      <c r="F578" s="18">
        <v>439</v>
      </c>
      <c r="G578" s="18">
        <v>24</v>
      </c>
      <c r="H578" s="18">
        <v>38.02</v>
      </c>
      <c r="I578" s="18">
        <v>0.05467</v>
      </c>
      <c r="J578" s="18">
        <v>1.58</v>
      </c>
      <c r="K578" s="18">
        <v>86.61</v>
      </c>
      <c r="L578" s="18">
        <v>0</v>
      </c>
      <c r="M578" s="18">
        <v>0</v>
      </c>
      <c r="N578" s="18">
        <v>0</v>
      </c>
      <c r="O578" s="18">
        <v>0</v>
      </c>
      <c r="P578" s="18">
        <v>0</v>
      </c>
      <c r="Q578" s="18">
        <v>0</v>
      </c>
      <c r="R578" s="18">
        <v>0</v>
      </c>
      <c r="S578" s="18">
        <v>0</v>
      </c>
      <c r="T578" s="18">
        <v>0</v>
      </c>
      <c r="U578" s="18">
        <v>0</v>
      </c>
      <c r="V578" s="18">
        <v>0</v>
      </c>
      <c r="W578" s="18">
        <v>0</v>
      </c>
      <c r="X578" s="18">
        <v>0</v>
      </c>
      <c r="Y578" s="18">
        <v>0</v>
      </c>
      <c r="Z578" s="18">
        <v>0</v>
      </c>
      <c r="AA578" s="18"/>
      <c r="AB578" s="18">
        <v>2</v>
      </c>
      <c r="AC578" s="18">
        <v>1</v>
      </c>
      <c r="AD578" s="18">
        <v>1</v>
      </c>
      <c r="AE578" s="18">
        <v>0.08333</v>
      </c>
      <c r="AF578" s="18">
        <v>0</v>
      </c>
      <c r="AG578" s="18">
        <v>0</v>
      </c>
      <c r="AH578" s="18"/>
      <c r="AI578" s="18">
        <v>2</v>
      </c>
      <c r="AJ578" s="18">
        <v>19.01</v>
      </c>
      <c r="AK578" s="18">
        <v>2</v>
      </c>
      <c r="AL578" s="18">
        <v>19.01</v>
      </c>
      <c r="AM578" s="18">
        <v>0</v>
      </c>
      <c r="AN578" s="18"/>
      <c r="AO578" s="18">
        <v>0</v>
      </c>
      <c r="AP578" s="18">
        <v>19.01</v>
      </c>
      <c r="AQ578" s="18">
        <v>0</v>
      </c>
      <c r="AR578" s="18">
        <v>0</v>
      </c>
      <c r="AS578" s="18">
        <v>0</v>
      </c>
      <c r="AT578" s="18">
        <v>0</v>
      </c>
      <c r="AU578" s="18">
        <v>0</v>
      </c>
      <c r="AV578" s="18">
        <v>0</v>
      </c>
      <c r="AW578" s="18">
        <v>0</v>
      </c>
      <c r="AX578" s="18">
        <v>0</v>
      </c>
      <c r="AY578" s="18">
        <v>52</v>
      </c>
      <c r="AZ578" s="18">
        <v>23</v>
      </c>
      <c r="BA578" s="18">
        <v>20</v>
      </c>
      <c r="BB578" s="18">
        <v>0.86957</v>
      </c>
      <c r="BC578" s="18">
        <v>0</v>
      </c>
      <c r="BD578" s="18">
        <v>0</v>
      </c>
      <c r="BE578" s="18">
        <v>0.11845</v>
      </c>
      <c r="BF578" s="18">
        <v>25</v>
      </c>
      <c r="BG578" s="18">
        <v>2</v>
      </c>
      <c r="BH578" s="18">
        <v>0</v>
      </c>
      <c r="BI578" s="18"/>
      <c r="BJ578" s="18">
        <v>0</v>
      </c>
      <c r="BK578" s="18">
        <v>0</v>
      </c>
      <c r="BL578" s="18">
        <v>0</v>
      </c>
      <c r="BM578" s="18">
        <v>0</v>
      </c>
      <c r="BN578" s="18"/>
      <c r="BO578" s="18"/>
      <c r="BP578" s="18">
        <v>0</v>
      </c>
      <c r="BQ578" s="18">
        <v>49</v>
      </c>
      <c r="BR578" s="18">
        <v>0</v>
      </c>
      <c r="BS578" s="18">
        <v>0</v>
      </c>
      <c r="BT578" s="18">
        <v>0</v>
      </c>
      <c r="BU578" s="18">
        <v>0</v>
      </c>
      <c r="BV578" s="18">
        <v>0</v>
      </c>
      <c r="BW578" s="18">
        <v>0</v>
      </c>
      <c r="BX578" s="18">
        <v>0</v>
      </c>
    </row>
    <row r="579" spans="1:76">
      <c r="A579" s="14" t="str">
        <f>VLOOKUP(C579,VLOOKUP!A:B,2,FALSE)</f>
        <v>太樾归真</v>
      </c>
      <c r="B579" s="19">
        <v>46152</v>
      </c>
      <c r="C579" s="20">
        <v>1048251217517</v>
      </c>
      <c r="D579" s="18" t="s">
        <v>151</v>
      </c>
      <c r="E579" s="18" t="s">
        <v>178</v>
      </c>
      <c r="F579" s="18">
        <v>491</v>
      </c>
      <c r="G579" s="18">
        <v>18</v>
      </c>
      <c r="H579" s="18">
        <v>17.89</v>
      </c>
      <c r="I579" s="18">
        <v>0.03666</v>
      </c>
      <c r="J579" s="18">
        <v>0.99</v>
      </c>
      <c r="K579" s="18">
        <v>36.44</v>
      </c>
      <c r="L579" s="18">
        <v>0</v>
      </c>
      <c r="M579" s="18">
        <v>0</v>
      </c>
      <c r="N579" s="18">
        <v>0</v>
      </c>
      <c r="O579" s="18">
        <v>0</v>
      </c>
      <c r="P579" s="18">
        <v>0</v>
      </c>
      <c r="Q579" s="18">
        <v>0</v>
      </c>
      <c r="R579" s="18">
        <v>61.36</v>
      </c>
      <c r="S579" s="18">
        <v>0</v>
      </c>
      <c r="T579" s="18">
        <v>61.36</v>
      </c>
      <c r="U579" s="18">
        <v>1</v>
      </c>
      <c r="V579" s="18">
        <v>1</v>
      </c>
      <c r="W579" s="18">
        <v>0</v>
      </c>
      <c r="X579" s="18">
        <v>0.05556</v>
      </c>
      <c r="Y579" s="18">
        <v>3.43</v>
      </c>
      <c r="Z579" s="18">
        <v>3.43</v>
      </c>
      <c r="AA579" s="18">
        <v>17.89</v>
      </c>
      <c r="AB579" s="18">
        <v>1</v>
      </c>
      <c r="AC579" s="18">
        <v>1</v>
      </c>
      <c r="AD579" s="18">
        <v>0</v>
      </c>
      <c r="AE579" s="18">
        <v>0.05556</v>
      </c>
      <c r="AF579" s="18">
        <v>1</v>
      </c>
      <c r="AG579" s="18">
        <v>0</v>
      </c>
      <c r="AH579" s="18"/>
      <c r="AI579" s="18">
        <v>2</v>
      </c>
      <c r="AJ579" s="18">
        <v>8.95</v>
      </c>
      <c r="AK579" s="18">
        <v>2</v>
      </c>
      <c r="AL579" s="18">
        <v>8.95</v>
      </c>
      <c r="AM579" s="18">
        <v>1</v>
      </c>
      <c r="AN579" s="18">
        <v>17.89</v>
      </c>
      <c r="AO579" s="18">
        <v>0.05556</v>
      </c>
      <c r="AP579" s="18">
        <v>17.89</v>
      </c>
      <c r="AQ579" s="18">
        <v>1</v>
      </c>
      <c r="AR579" s="18">
        <v>119</v>
      </c>
      <c r="AS579" s="18">
        <v>1</v>
      </c>
      <c r="AT579" s="18">
        <v>0</v>
      </c>
      <c r="AU579" s="18">
        <v>0</v>
      </c>
      <c r="AV579" s="18">
        <v>0</v>
      </c>
      <c r="AW579" s="18">
        <v>0</v>
      </c>
      <c r="AX579" s="18">
        <v>0</v>
      </c>
      <c r="AY579" s="18">
        <v>37</v>
      </c>
      <c r="AZ579" s="18">
        <v>16</v>
      </c>
      <c r="BA579" s="18">
        <v>11</v>
      </c>
      <c r="BB579" s="18">
        <v>0.6875</v>
      </c>
      <c r="BC579" s="18">
        <v>0</v>
      </c>
      <c r="BD579" s="18">
        <v>0</v>
      </c>
      <c r="BE579" s="18">
        <v>0.07536</v>
      </c>
      <c r="BF579" s="18">
        <v>20</v>
      </c>
      <c r="BG579" s="18">
        <v>2</v>
      </c>
      <c r="BH579" s="18">
        <v>0</v>
      </c>
      <c r="BI579" s="18">
        <v>0</v>
      </c>
      <c r="BJ579" s="18">
        <v>0</v>
      </c>
      <c r="BK579" s="18">
        <v>0</v>
      </c>
      <c r="BL579" s="18">
        <v>0</v>
      </c>
      <c r="BM579" s="18">
        <v>1</v>
      </c>
      <c r="BN579" s="18">
        <v>1</v>
      </c>
      <c r="BO579" s="18">
        <v>61.36</v>
      </c>
      <c r="BP579" s="18">
        <v>0</v>
      </c>
      <c r="BQ579" s="18">
        <v>315</v>
      </c>
      <c r="BR579" s="18">
        <v>0</v>
      </c>
      <c r="BS579" s="18">
        <v>0</v>
      </c>
      <c r="BT579" s="18">
        <v>0</v>
      </c>
      <c r="BU579" s="18">
        <v>0</v>
      </c>
      <c r="BV579" s="18">
        <v>0</v>
      </c>
      <c r="BW579" s="18">
        <v>0</v>
      </c>
      <c r="BX579" s="18">
        <v>0</v>
      </c>
    </row>
    <row r="580" spans="1:76">
      <c r="A580" s="14" t="str">
        <f>VLOOKUP(C580,VLOOKUP!A:B,2,FALSE)</f>
        <v>早晚安香</v>
      </c>
      <c r="B580" s="19">
        <v>46152</v>
      </c>
      <c r="C580" s="20">
        <v>1010789122929</v>
      </c>
      <c r="D580" s="18" t="s">
        <v>151</v>
      </c>
      <c r="E580" s="18" t="s">
        <v>179</v>
      </c>
      <c r="F580" s="18">
        <v>462</v>
      </c>
      <c r="G580" s="18">
        <v>22</v>
      </c>
      <c r="H580" s="18">
        <v>15.08</v>
      </c>
      <c r="I580" s="18">
        <v>0.04762</v>
      </c>
      <c r="J580" s="18">
        <v>0.69</v>
      </c>
      <c r="K580" s="18">
        <v>32.64</v>
      </c>
      <c r="L580" s="18">
        <v>0</v>
      </c>
      <c r="M580" s="18">
        <v>0</v>
      </c>
      <c r="N580" s="18">
        <v>0</v>
      </c>
      <c r="O580" s="18">
        <v>0</v>
      </c>
      <c r="P580" s="18">
        <v>0</v>
      </c>
      <c r="Q580" s="18">
        <v>0</v>
      </c>
      <c r="R580" s="18">
        <v>0</v>
      </c>
      <c r="S580" s="18">
        <v>0</v>
      </c>
      <c r="T580" s="18">
        <v>0</v>
      </c>
      <c r="U580" s="18">
        <v>0</v>
      </c>
      <c r="V580" s="18">
        <v>0</v>
      </c>
      <c r="W580" s="18">
        <v>0</v>
      </c>
      <c r="X580" s="18">
        <v>0</v>
      </c>
      <c r="Y580" s="18">
        <v>0</v>
      </c>
      <c r="Z580" s="18">
        <v>0</v>
      </c>
      <c r="AA580" s="18"/>
      <c r="AB580" s="18">
        <v>1</v>
      </c>
      <c r="AC580" s="18">
        <v>1</v>
      </c>
      <c r="AD580" s="18">
        <v>0</v>
      </c>
      <c r="AE580" s="18">
        <v>0.04545</v>
      </c>
      <c r="AF580" s="18">
        <v>2</v>
      </c>
      <c r="AG580" s="18">
        <v>0</v>
      </c>
      <c r="AH580" s="18"/>
      <c r="AI580" s="18">
        <v>3</v>
      </c>
      <c r="AJ580" s="18">
        <v>5.03</v>
      </c>
      <c r="AK580" s="18">
        <v>3</v>
      </c>
      <c r="AL580" s="18">
        <v>5.03</v>
      </c>
      <c r="AM580" s="18">
        <v>2</v>
      </c>
      <c r="AN580" s="18">
        <v>7.54</v>
      </c>
      <c r="AO580" s="18">
        <v>0.09091</v>
      </c>
      <c r="AP580" s="18">
        <v>15.08</v>
      </c>
      <c r="AQ580" s="18">
        <v>0</v>
      </c>
      <c r="AR580" s="18">
        <v>0</v>
      </c>
      <c r="AS580" s="18">
        <v>2</v>
      </c>
      <c r="AT580" s="18">
        <v>0</v>
      </c>
      <c r="AU580" s="18">
        <v>0</v>
      </c>
      <c r="AV580" s="18">
        <v>0</v>
      </c>
      <c r="AW580" s="18">
        <v>0</v>
      </c>
      <c r="AX580" s="18">
        <v>0</v>
      </c>
      <c r="AY580" s="18">
        <v>32</v>
      </c>
      <c r="AZ580" s="18">
        <v>22</v>
      </c>
      <c r="BA580" s="18">
        <v>6</v>
      </c>
      <c r="BB580" s="18">
        <v>0.27273</v>
      </c>
      <c r="BC580" s="18">
        <v>0</v>
      </c>
      <c r="BD580" s="18">
        <v>0</v>
      </c>
      <c r="BE580" s="18">
        <v>0.06926</v>
      </c>
      <c r="BF580" s="18">
        <v>6</v>
      </c>
      <c r="BG580" s="18">
        <v>1</v>
      </c>
      <c r="BH580" s="18">
        <v>0</v>
      </c>
      <c r="BI580" s="18"/>
      <c r="BJ580" s="18">
        <v>0</v>
      </c>
      <c r="BK580" s="18">
        <v>0</v>
      </c>
      <c r="BL580" s="18">
        <v>0</v>
      </c>
      <c r="BM580" s="18">
        <v>0</v>
      </c>
      <c r="BN580" s="18"/>
      <c r="BO580" s="18"/>
      <c r="BP580" s="18">
        <v>2.23</v>
      </c>
      <c r="BQ580" s="18">
        <v>114</v>
      </c>
      <c r="BR580" s="18">
        <v>0</v>
      </c>
      <c r="BS580" s="18">
        <v>0</v>
      </c>
      <c r="BT580" s="18">
        <v>0</v>
      </c>
      <c r="BU580" s="18">
        <v>0</v>
      </c>
      <c r="BV580" s="18">
        <v>0</v>
      </c>
      <c r="BW580" s="18">
        <v>0</v>
      </c>
      <c r="BX580" s="18">
        <v>0</v>
      </c>
    </row>
    <row r="581" spans="1:76">
      <c r="A581" s="14" t="str">
        <f>VLOOKUP(C581,VLOOKUP!A:B,2,FALSE)</f>
        <v>荔枝香</v>
      </c>
      <c r="B581" s="19">
        <v>46152</v>
      </c>
      <c r="C581" s="20">
        <v>960406497157</v>
      </c>
      <c r="D581" s="18" t="s">
        <v>151</v>
      </c>
      <c r="E581" s="18" t="s">
        <v>180</v>
      </c>
      <c r="F581" s="18">
        <v>4914</v>
      </c>
      <c r="G581" s="18">
        <v>424</v>
      </c>
      <c r="H581" s="18">
        <v>141.2</v>
      </c>
      <c r="I581" s="18">
        <v>0.08628</v>
      </c>
      <c r="J581" s="18">
        <v>0.33</v>
      </c>
      <c r="K581" s="18">
        <v>28.73</v>
      </c>
      <c r="L581" s="18">
        <v>0</v>
      </c>
      <c r="M581" s="18">
        <v>0</v>
      </c>
      <c r="N581" s="18">
        <v>0</v>
      </c>
      <c r="O581" s="18">
        <v>0</v>
      </c>
      <c r="P581" s="18">
        <v>0</v>
      </c>
      <c r="Q581" s="18">
        <v>0</v>
      </c>
      <c r="R581" s="18">
        <v>0</v>
      </c>
      <c r="S581" s="18">
        <v>0</v>
      </c>
      <c r="T581" s="18">
        <v>0</v>
      </c>
      <c r="U581" s="18">
        <v>0</v>
      </c>
      <c r="V581" s="18">
        <v>0</v>
      </c>
      <c r="W581" s="18">
        <v>0</v>
      </c>
      <c r="X581" s="18">
        <v>0</v>
      </c>
      <c r="Y581" s="18">
        <v>0</v>
      </c>
      <c r="Z581" s="18">
        <v>0</v>
      </c>
      <c r="AA581" s="18"/>
      <c r="AB581" s="18">
        <v>6</v>
      </c>
      <c r="AC581" s="18">
        <v>5</v>
      </c>
      <c r="AD581" s="18">
        <v>1</v>
      </c>
      <c r="AE581" s="18">
        <v>0.01415</v>
      </c>
      <c r="AF581" s="18">
        <v>1</v>
      </c>
      <c r="AG581" s="18">
        <v>1</v>
      </c>
      <c r="AH581" s="18">
        <v>141.2</v>
      </c>
      <c r="AI581" s="18">
        <v>8</v>
      </c>
      <c r="AJ581" s="18">
        <v>17.65</v>
      </c>
      <c r="AK581" s="18">
        <v>7</v>
      </c>
      <c r="AL581" s="18">
        <v>20.17</v>
      </c>
      <c r="AM581" s="18">
        <v>2</v>
      </c>
      <c r="AN581" s="18">
        <v>141.2</v>
      </c>
      <c r="AO581" s="18">
        <v>0.00236</v>
      </c>
      <c r="AP581" s="18">
        <v>23.53</v>
      </c>
      <c r="AQ581" s="18">
        <v>0</v>
      </c>
      <c r="AR581" s="18">
        <v>0</v>
      </c>
      <c r="AS581" s="18">
        <v>1</v>
      </c>
      <c r="AT581" s="18">
        <v>0</v>
      </c>
      <c r="AU581" s="18">
        <v>0</v>
      </c>
      <c r="AV581" s="18">
        <v>0</v>
      </c>
      <c r="AW581" s="18">
        <v>0</v>
      </c>
      <c r="AX581" s="18">
        <v>0</v>
      </c>
      <c r="AY581" s="18">
        <v>693</v>
      </c>
      <c r="AZ581" s="18">
        <v>357</v>
      </c>
      <c r="BA581" s="18">
        <v>314</v>
      </c>
      <c r="BB581" s="18">
        <v>0.87955</v>
      </c>
      <c r="BC581" s="18">
        <v>0</v>
      </c>
      <c r="BD581" s="18">
        <v>0</v>
      </c>
      <c r="BE581" s="18">
        <v>0.14103</v>
      </c>
      <c r="BF581" s="18">
        <v>197</v>
      </c>
      <c r="BG581" s="18">
        <v>2</v>
      </c>
      <c r="BH581" s="18">
        <v>0</v>
      </c>
      <c r="BI581" s="18"/>
      <c r="BJ581" s="18">
        <v>0</v>
      </c>
      <c r="BK581" s="18">
        <v>0</v>
      </c>
      <c r="BL581" s="18">
        <v>0</v>
      </c>
      <c r="BM581" s="18">
        <v>0</v>
      </c>
      <c r="BN581" s="18"/>
      <c r="BO581" s="18"/>
      <c r="BP581" s="18">
        <v>6.71</v>
      </c>
      <c r="BQ581" s="18">
        <v>287</v>
      </c>
      <c r="BR581" s="18">
        <v>0</v>
      </c>
      <c r="BS581" s="18">
        <v>0</v>
      </c>
      <c r="BT581" s="18">
        <v>0</v>
      </c>
      <c r="BU581" s="18">
        <v>0</v>
      </c>
      <c r="BV581" s="18">
        <v>0</v>
      </c>
      <c r="BW581" s="18">
        <v>0</v>
      </c>
      <c r="BX581" s="18">
        <v>0</v>
      </c>
    </row>
    <row r="582" spans="1:76">
      <c r="A582" s="14" t="str">
        <f>VLOOKUP(C582,VLOOKUP!A:B,2,FALSE)</f>
        <v>如意盘香</v>
      </c>
      <c r="B582" s="19">
        <v>46152</v>
      </c>
      <c r="C582" s="20">
        <v>838711327669</v>
      </c>
      <c r="D582" s="18" t="s">
        <v>151</v>
      </c>
      <c r="E582" s="18" t="s">
        <v>153</v>
      </c>
      <c r="F582" s="18">
        <v>673</v>
      </c>
      <c r="G582" s="18">
        <v>37</v>
      </c>
      <c r="H582" s="18">
        <v>36.99</v>
      </c>
      <c r="I582" s="18">
        <v>0.05498</v>
      </c>
      <c r="J582" s="18">
        <v>1</v>
      </c>
      <c r="K582" s="18">
        <v>54.96</v>
      </c>
      <c r="L582" s="18">
        <v>0</v>
      </c>
      <c r="M582" s="18">
        <v>0</v>
      </c>
      <c r="N582" s="18">
        <v>0</v>
      </c>
      <c r="O582" s="18">
        <v>0</v>
      </c>
      <c r="P582" s="18">
        <v>0</v>
      </c>
      <c r="Q582" s="18">
        <v>0</v>
      </c>
      <c r="R582" s="18">
        <v>0</v>
      </c>
      <c r="S582" s="18">
        <v>0</v>
      </c>
      <c r="T582" s="18">
        <v>0</v>
      </c>
      <c r="U582" s="18">
        <v>0</v>
      </c>
      <c r="V582" s="18">
        <v>0</v>
      </c>
      <c r="W582" s="18">
        <v>0</v>
      </c>
      <c r="X582" s="18">
        <v>0</v>
      </c>
      <c r="Y582" s="18">
        <v>0</v>
      </c>
      <c r="Z582" s="18">
        <v>0</v>
      </c>
      <c r="AA582" s="18"/>
      <c r="AB582" s="18">
        <v>1</v>
      </c>
      <c r="AC582" s="18">
        <v>1</v>
      </c>
      <c r="AD582" s="18">
        <v>0</v>
      </c>
      <c r="AE582" s="18">
        <v>0.02703</v>
      </c>
      <c r="AF582" s="18">
        <v>0</v>
      </c>
      <c r="AG582" s="18">
        <v>0</v>
      </c>
      <c r="AH582" s="18"/>
      <c r="AI582" s="18">
        <v>1</v>
      </c>
      <c r="AJ582" s="18">
        <v>36.99</v>
      </c>
      <c r="AK582" s="18">
        <v>1</v>
      </c>
      <c r="AL582" s="18">
        <v>36.99</v>
      </c>
      <c r="AM582" s="18">
        <v>0</v>
      </c>
      <c r="AN582" s="18"/>
      <c r="AO582" s="18">
        <v>0</v>
      </c>
      <c r="AP582" s="18">
        <v>36.99</v>
      </c>
      <c r="AQ582" s="18">
        <v>0</v>
      </c>
      <c r="AR582" s="18">
        <v>0</v>
      </c>
      <c r="AS582" s="18">
        <v>0</v>
      </c>
      <c r="AT582" s="18">
        <v>0</v>
      </c>
      <c r="AU582" s="18">
        <v>0</v>
      </c>
      <c r="AV582" s="18">
        <v>0</v>
      </c>
      <c r="AW582" s="18">
        <v>0</v>
      </c>
      <c r="AX582" s="18">
        <v>0</v>
      </c>
      <c r="AY582" s="18">
        <v>53</v>
      </c>
      <c r="AZ582" s="18">
        <v>33</v>
      </c>
      <c r="BA582" s="18">
        <v>25</v>
      </c>
      <c r="BB582" s="18">
        <v>0.75758</v>
      </c>
      <c r="BC582" s="18">
        <v>0</v>
      </c>
      <c r="BD582" s="18">
        <v>0</v>
      </c>
      <c r="BE582" s="18">
        <v>0.07875</v>
      </c>
      <c r="BF582" s="18">
        <v>14</v>
      </c>
      <c r="BG582" s="18">
        <v>2</v>
      </c>
      <c r="BH582" s="18">
        <v>0</v>
      </c>
      <c r="BI582" s="18"/>
      <c r="BJ582" s="18">
        <v>0</v>
      </c>
      <c r="BK582" s="18">
        <v>0</v>
      </c>
      <c r="BL582" s="18">
        <v>0</v>
      </c>
      <c r="BM582" s="18">
        <v>0</v>
      </c>
      <c r="BN582" s="18"/>
      <c r="BO582" s="18"/>
      <c r="BP582" s="18">
        <v>4.47</v>
      </c>
      <c r="BQ582" s="18">
        <v>89</v>
      </c>
      <c r="BR582" s="18">
        <v>0</v>
      </c>
      <c r="BS582" s="18">
        <v>0</v>
      </c>
      <c r="BT582" s="18">
        <v>0</v>
      </c>
      <c r="BU582" s="18">
        <v>0</v>
      </c>
      <c r="BV582" s="18">
        <v>0</v>
      </c>
      <c r="BW582" s="18">
        <v>0</v>
      </c>
      <c r="BX582" s="18">
        <v>0</v>
      </c>
    </row>
    <row r="583" spans="1:76">
      <c r="A583" s="14" t="str">
        <f>VLOOKUP(C583,VLOOKUP!A:B,2,FALSE)</f>
        <v>太樾归真</v>
      </c>
      <c r="B583" s="19">
        <v>46151</v>
      </c>
      <c r="C583" s="20">
        <v>1048251217517</v>
      </c>
      <c r="D583" s="18" t="s">
        <v>151</v>
      </c>
      <c r="E583" s="18" t="s">
        <v>178</v>
      </c>
      <c r="F583" s="18">
        <v>377</v>
      </c>
      <c r="G583" s="18">
        <v>14</v>
      </c>
      <c r="H583" s="18">
        <v>14.32</v>
      </c>
      <c r="I583" s="18">
        <v>0.03714</v>
      </c>
      <c r="J583" s="18">
        <v>1.02</v>
      </c>
      <c r="K583" s="18">
        <v>37.98</v>
      </c>
      <c r="L583" s="18">
        <v>0</v>
      </c>
      <c r="M583" s="18">
        <v>0</v>
      </c>
      <c r="N583" s="18">
        <v>0</v>
      </c>
      <c r="O583" s="18">
        <v>0</v>
      </c>
      <c r="P583" s="18">
        <v>0</v>
      </c>
      <c r="Q583" s="18">
        <v>0</v>
      </c>
      <c r="R583" s="18">
        <v>0</v>
      </c>
      <c r="S583" s="18">
        <v>0</v>
      </c>
      <c r="T583" s="18">
        <v>0</v>
      </c>
      <c r="U583" s="18">
        <v>0</v>
      </c>
      <c r="V583" s="18">
        <v>0</v>
      </c>
      <c r="W583" s="18">
        <v>0</v>
      </c>
      <c r="X583" s="18">
        <v>0</v>
      </c>
      <c r="Y583" s="18">
        <v>0</v>
      </c>
      <c r="Z583" s="18">
        <v>0</v>
      </c>
      <c r="AA583" s="18"/>
      <c r="AB583" s="18">
        <v>1</v>
      </c>
      <c r="AC583" s="18">
        <v>0</v>
      </c>
      <c r="AD583" s="18">
        <v>1</v>
      </c>
      <c r="AE583" s="18">
        <v>0.07143</v>
      </c>
      <c r="AF583" s="18">
        <v>0</v>
      </c>
      <c r="AG583" s="18">
        <v>0</v>
      </c>
      <c r="AH583" s="18"/>
      <c r="AI583" s="18">
        <v>1</v>
      </c>
      <c r="AJ583" s="18">
        <v>14.32</v>
      </c>
      <c r="AK583" s="18">
        <v>1</v>
      </c>
      <c r="AL583" s="18">
        <v>14.32</v>
      </c>
      <c r="AM583" s="18">
        <v>0</v>
      </c>
      <c r="AN583" s="18"/>
      <c r="AO583" s="18">
        <v>0</v>
      </c>
      <c r="AP583" s="18">
        <v>14.32</v>
      </c>
      <c r="AQ583" s="18">
        <v>1</v>
      </c>
      <c r="AR583" s="18">
        <v>79.9</v>
      </c>
      <c r="AS583" s="18">
        <v>0</v>
      </c>
      <c r="AT583" s="18">
        <v>0</v>
      </c>
      <c r="AU583" s="18">
        <v>0</v>
      </c>
      <c r="AV583" s="18">
        <v>0</v>
      </c>
      <c r="AW583" s="18">
        <v>0</v>
      </c>
      <c r="AX583" s="18">
        <v>0</v>
      </c>
      <c r="AY583" s="18">
        <v>63</v>
      </c>
      <c r="AZ583" s="18">
        <v>11</v>
      </c>
      <c r="BA583" s="18">
        <v>8</v>
      </c>
      <c r="BB583" s="18">
        <v>0.72727</v>
      </c>
      <c r="BC583" s="18">
        <v>0</v>
      </c>
      <c r="BD583" s="18">
        <v>0</v>
      </c>
      <c r="BE583" s="18">
        <v>0.16711</v>
      </c>
      <c r="BF583" s="18">
        <v>50</v>
      </c>
      <c r="BG583" s="18">
        <v>6</v>
      </c>
      <c r="BH583" s="18">
        <v>0</v>
      </c>
      <c r="BI583" s="18"/>
      <c r="BJ583" s="18">
        <v>0</v>
      </c>
      <c r="BK583" s="18">
        <v>0</v>
      </c>
      <c r="BL583" s="18">
        <v>0</v>
      </c>
      <c r="BM583" s="18">
        <v>0</v>
      </c>
      <c r="BN583" s="18"/>
      <c r="BO583" s="18"/>
      <c r="BP583" s="18">
        <v>0</v>
      </c>
      <c r="BQ583" s="18">
        <v>23</v>
      </c>
      <c r="BR583" s="18">
        <v>0</v>
      </c>
      <c r="BS583" s="18">
        <v>0</v>
      </c>
      <c r="BT583" s="18">
        <v>0</v>
      </c>
      <c r="BU583" s="18">
        <v>0</v>
      </c>
      <c r="BV583" s="18">
        <v>0</v>
      </c>
      <c r="BW583" s="18">
        <v>0</v>
      </c>
      <c r="BX583" s="18">
        <v>0</v>
      </c>
    </row>
    <row r="584" spans="1:76">
      <c r="A584" s="14" t="str">
        <f>VLOOKUP(C584,VLOOKUP!A:B,2,FALSE)</f>
        <v>早晚安香</v>
      </c>
      <c r="B584" s="19">
        <v>46151</v>
      </c>
      <c r="C584" s="20">
        <v>1010789122929</v>
      </c>
      <c r="D584" s="18" t="s">
        <v>151</v>
      </c>
      <c r="E584" s="18" t="s">
        <v>179</v>
      </c>
      <c r="F584" s="18">
        <v>515</v>
      </c>
      <c r="G584" s="18">
        <v>26</v>
      </c>
      <c r="H584" s="18">
        <v>15.49</v>
      </c>
      <c r="I584" s="18">
        <v>0.05049</v>
      </c>
      <c r="J584" s="18">
        <v>0.6</v>
      </c>
      <c r="K584" s="18">
        <v>30.08</v>
      </c>
      <c r="L584" s="18">
        <v>0</v>
      </c>
      <c r="M584" s="18">
        <v>0</v>
      </c>
      <c r="N584" s="18">
        <v>0</v>
      </c>
      <c r="O584" s="18">
        <v>0</v>
      </c>
      <c r="P584" s="18">
        <v>0</v>
      </c>
      <c r="Q584" s="18">
        <v>0</v>
      </c>
      <c r="R584" s="18">
        <v>0</v>
      </c>
      <c r="S584" s="18">
        <v>0</v>
      </c>
      <c r="T584" s="18">
        <v>0</v>
      </c>
      <c r="U584" s="18">
        <v>0</v>
      </c>
      <c r="V584" s="18">
        <v>0</v>
      </c>
      <c r="W584" s="18">
        <v>0</v>
      </c>
      <c r="X584" s="18">
        <v>0</v>
      </c>
      <c r="Y584" s="18">
        <v>0</v>
      </c>
      <c r="Z584" s="18">
        <v>0</v>
      </c>
      <c r="AA584" s="18"/>
      <c r="AB584" s="18">
        <v>2</v>
      </c>
      <c r="AC584" s="18">
        <v>1</v>
      </c>
      <c r="AD584" s="18">
        <v>1</v>
      </c>
      <c r="AE584" s="18">
        <v>0.07692</v>
      </c>
      <c r="AF584" s="18">
        <v>1</v>
      </c>
      <c r="AG584" s="18">
        <v>0</v>
      </c>
      <c r="AH584" s="18"/>
      <c r="AI584" s="18">
        <v>3</v>
      </c>
      <c r="AJ584" s="18">
        <v>5.16</v>
      </c>
      <c r="AK584" s="18">
        <v>3</v>
      </c>
      <c r="AL584" s="18">
        <v>5.16</v>
      </c>
      <c r="AM584" s="18">
        <v>1</v>
      </c>
      <c r="AN584" s="18">
        <v>15.49</v>
      </c>
      <c r="AO584" s="18">
        <v>0.03846</v>
      </c>
      <c r="AP584" s="18">
        <v>7.75</v>
      </c>
      <c r="AQ584" s="18">
        <v>1</v>
      </c>
      <c r="AR584" s="18">
        <v>79.9</v>
      </c>
      <c r="AS584" s="18">
        <v>0</v>
      </c>
      <c r="AT584" s="18">
        <v>1</v>
      </c>
      <c r="AU584" s="18">
        <v>0</v>
      </c>
      <c r="AV584" s="18">
        <v>0</v>
      </c>
      <c r="AW584" s="18">
        <v>0</v>
      </c>
      <c r="AX584" s="18">
        <v>0</v>
      </c>
      <c r="AY584" s="18">
        <v>66</v>
      </c>
      <c r="AZ584" s="18">
        <v>25</v>
      </c>
      <c r="BA584" s="18">
        <v>8</v>
      </c>
      <c r="BB584" s="18">
        <v>0.32</v>
      </c>
      <c r="BC584" s="18">
        <v>0</v>
      </c>
      <c r="BD584" s="18">
        <v>0</v>
      </c>
      <c r="BE584" s="18">
        <v>0.12816</v>
      </c>
      <c r="BF584" s="18">
        <v>32</v>
      </c>
      <c r="BG584" s="18">
        <v>3</v>
      </c>
      <c r="BH584" s="18">
        <v>0</v>
      </c>
      <c r="BI584" s="18"/>
      <c r="BJ584" s="18">
        <v>0</v>
      </c>
      <c r="BK584" s="18">
        <v>0</v>
      </c>
      <c r="BL584" s="18">
        <v>0</v>
      </c>
      <c r="BM584" s="18">
        <v>0</v>
      </c>
      <c r="BN584" s="18"/>
      <c r="BO584" s="18"/>
      <c r="BP584" s="18">
        <v>2.23</v>
      </c>
      <c r="BQ584" s="18">
        <v>85</v>
      </c>
      <c r="BR584" s="18">
        <v>0</v>
      </c>
      <c r="BS584" s="18">
        <v>0</v>
      </c>
      <c r="BT584" s="18">
        <v>0</v>
      </c>
      <c r="BU584" s="18">
        <v>0</v>
      </c>
      <c r="BV584" s="18">
        <v>0</v>
      </c>
      <c r="BW584" s="18">
        <v>0</v>
      </c>
      <c r="BX584" s="18">
        <v>0</v>
      </c>
    </row>
    <row r="585" spans="1:76">
      <c r="A585" s="14" t="str">
        <f>VLOOKUP(C585,VLOOKUP!A:B,2,FALSE)</f>
        <v>荔枝香</v>
      </c>
      <c r="B585" s="19">
        <v>46151</v>
      </c>
      <c r="C585" s="20">
        <v>960406497157</v>
      </c>
      <c r="D585" s="18" t="s">
        <v>151</v>
      </c>
      <c r="E585" s="18" t="s">
        <v>180</v>
      </c>
      <c r="F585" s="18">
        <v>4148</v>
      </c>
      <c r="G585" s="18">
        <v>340</v>
      </c>
      <c r="H585" s="18">
        <v>104.59</v>
      </c>
      <c r="I585" s="18">
        <v>0.08197</v>
      </c>
      <c r="J585" s="18">
        <v>0.31</v>
      </c>
      <c r="K585" s="18">
        <v>25.21</v>
      </c>
      <c r="L585" s="18">
        <v>0</v>
      </c>
      <c r="M585" s="18">
        <v>0</v>
      </c>
      <c r="N585" s="18">
        <v>0</v>
      </c>
      <c r="O585" s="18">
        <v>0</v>
      </c>
      <c r="P585" s="18">
        <v>0</v>
      </c>
      <c r="Q585" s="18">
        <v>0</v>
      </c>
      <c r="R585" s="18">
        <v>0</v>
      </c>
      <c r="S585" s="18">
        <v>0</v>
      </c>
      <c r="T585" s="18">
        <v>0</v>
      </c>
      <c r="U585" s="18">
        <v>0</v>
      </c>
      <c r="V585" s="18">
        <v>0</v>
      </c>
      <c r="W585" s="18">
        <v>0</v>
      </c>
      <c r="X585" s="18">
        <v>0</v>
      </c>
      <c r="Y585" s="18">
        <v>0</v>
      </c>
      <c r="Z585" s="18">
        <v>0</v>
      </c>
      <c r="AA585" s="18"/>
      <c r="AB585" s="18">
        <v>6</v>
      </c>
      <c r="AC585" s="18">
        <v>4</v>
      </c>
      <c r="AD585" s="18">
        <v>2</v>
      </c>
      <c r="AE585" s="18">
        <v>0.01765</v>
      </c>
      <c r="AF585" s="18">
        <v>5</v>
      </c>
      <c r="AG585" s="18">
        <v>1</v>
      </c>
      <c r="AH585" s="18">
        <v>104.59</v>
      </c>
      <c r="AI585" s="18">
        <v>12</v>
      </c>
      <c r="AJ585" s="18">
        <v>8.72</v>
      </c>
      <c r="AK585" s="18">
        <v>11</v>
      </c>
      <c r="AL585" s="18">
        <v>9.51</v>
      </c>
      <c r="AM585" s="18">
        <v>6</v>
      </c>
      <c r="AN585" s="18">
        <v>20.92</v>
      </c>
      <c r="AO585" s="18">
        <v>0.01471</v>
      </c>
      <c r="AP585" s="18">
        <v>17.43</v>
      </c>
      <c r="AQ585" s="18">
        <v>0</v>
      </c>
      <c r="AR585" s="18">
        <v>0</v>
      </c>
      <c r="AS585" s="18">
        <v>5</v>
      </c>
      <c r="AT585" s="18">
        <v>0</v>
      </c>
      <c r="AU585" s="18">
        <v>0</v>
      </c>
      <c r="AV585" s="18">
        <v>0</v>
      </c>
      <c r="AW585" s="18">
        <v>0</v>
      </c>
      <c r="AX585" s="18">
        <v>0</v>
      </c>
      <c r="AY585" s="18">
        <v>687</v>
      </c>
      <c r="AZ585" s="18">
        <v>335</v>
      </c>
      <c r="BA585" s="18">
        <v>289</v>
      </c>
      <c r="BB585" s="18">
        <v>0.86269</v>
      </c>
      <c r="BC585" s="18">
        <v>0</v>
      </c>
      <c r="BD585" s="18">
        <v>0</v>
      </c>
      <c r="BE585" s="18">
        <v>0.16562</v>
      </c>
      <c r="BF585" s="18">
        <v>175</v>
      </c>
      <c r="BG585" s="18">
        <v>2</v>
      </c>
      <c r="BH585" s="18">
        <v>0</v>
      </c>
      <c r="BI585" s="18"/>
      <c r="BJ585" s="18">
        <v>0</v>
      </c>
      <c r="BK585" s="18">
        <v>0</v>
      </c>
      <c r="BL585" s="18">
        <v>0</v>
      </c>
      <c r="BM585" s="18">
        <v>0</v>
      </c>
      <c r="BN585" s="18"/>
      <c r="BO585" s="18"/>
      <c r="BP585" s="18">
        <v>0.16</v>
      </c>
      <c r="BQ585" s="18">
        <v>214</v>
      </c>
      <c r="BR585" s="18">
        <v>0</v>
      </c>
      <c r="BS585" s="18">
        <v>0</v>
      </c>
      <c r="BT585" s="18">
        <v>0</v>
      </c>
      <c r="BU585" s="18">
        <v>0</v>
      </c>
      <c r="BV585" s="18">
        <v>0</v>
      </c>
      <c r="BW585" s="18">
        <v>0</v>
      </c>
      <c r="BX585" s="18">
        <v>0</v>
      </c>
    </row>
    <row r="586" spans="1:76">
      <c r="A586" s="14" t="str">
        <f>VLOOKUP(C586,VLOOKUP!A:B,2,FALSE)</f>
        <v>如意盘香</v>
      </c>
      <c r="B586" s="19">
        <v>46151</v>
      </c>
      <c r="C586" s="20">
        <v>838711327669</v>
      </c>
      <c r="D586" s="18" t="s">
        <v>151</v>
      </c>
      <c r="E586" s="18" t="s">
        <v>153</v>
      </c>
      <c r="F586" s="18">
        <v>551</v>
      </c>
      <c r="G586" s="18">
        <v>34</v>
      </c>
      <c r="H586" s="18">
        <v>50</v>
      </c>
      <c r="I586" s="18">
        <v>0.06171</v>
      </c>
      <c r="J586" s="18">
        <v>1.47</v>
      </c>
      <c r="K586" s="18">
        <v>90.74</v>
      </c>
      <c r="L586" s="18">
        <v>0</v>
      </c>
      <c r="M586" s="18">
        <v>0</v>
      </c>
      <c r="N586" s="18">
        <v>0</v>
      </c>
      <c r="O586" s="18">
        <v>0</v>
      </c>
      <c r="P586" s="18">
        <v>0</v>
      </c>
      <c r="Q586" s="18">
        <v>0</v>
      </c>
      <c r="R586" s="18">
        <v>0</v>
      </c>
      <c r="S586" s="18">
        <v>33.9</v>
      </c>
      <c r="T586" s="18">
        <v>33.9</v>
      </c>
      <c r="U586" s="18">
        <v>1</v>
      </c>
      <c r="V586" s="18">
        <v>0</v>
      </c>
      <c r="W586" s="18">
        <v>1</v>
      </c>
      <c r="X586" s="18">
        <v>0.02941</v>
      </c>
      <c r="Y586" s="18">
        <v>0.68</v>
      </c>
      <c r="Z586" s="18">
        <v>0.68</v>
      </c>
      <c r="AA586" s="18">
        <v>50</v>
      </c>
      <c r="AB586" s="18">
        <v>1</v>
      </c>
      <c r="AC586" s="18">
        <v>0</v>
      </c>
      <c r="AD586" s="18">
        <v>1</v>
      </c>
      <c r="AE586" s="18">
        <v>0.02941</v>
      </c>
      <c r="AF586" s="18">
        <v>0</v>
      </c>
      <c r="AG586" s="18">
        <v>0</v>
      </c>
      <c r="AH586" s="18"/>
      <c r="AI586" s="18">
        <v>1</v>
      </c>
      <c r="AJ586" s="18">
        <v>50</v>
      </c>
      <c r="AK586" s="18">
        <v>1</v>
      </c>
      <c r="AL586" s="18">
        <v>50</v>
      </c>
      <c r="AM586" s="18">
        <v>0</v>
      </c>
      <c r="AN586" s="18"/>
      <c r="AO586" s="18">
        <v>0</v>
      </c>
      <c r="AP586" s="18">
        <v>50</v>
      </c>
      <c r="AQ586" s="18">
        <v>1</v>
      </c>
      <c r="AR586" s="18">
        <v>39.9</v>
      </c>
      <c r="AS586" s="18">
        <v>0</v>
      </c>
      <c r="AT586" s="18">
        <v>0</v>
      </c>
      <c r="AU586" s="18">
        <v>0</v>
      </c>
      <c r="AV586" s="18">
        <v>0</v>
      </c>
      <c r="AW586" s="18">
        <v>0</v>
      </c>
      <c r="AX586" s="18">
        <v>0</v>
      </c>
      <c r="AY586" s="18">
        <v>101</v>
      </c>
      <c r="AZ586" s="18">
        <v>31</v>
      </c>
      <c r="BA586" s="18">
        <v>25</v>
      </c>
      <c r="BB586" s="18">
        <v>0.80645</v>
      </c>
      <c r="BC586" s="18">
        <v>0</v>
      </c>
      <c r="BD586" s="18">
        <v>0</v>
      </c>
      <c r="BE586" s="18">
        <v>0.1833</v>
      </c>
      <c r="BF586" s="18">
        <v>67</v>
      </c>
      <c r="BG586" s="18">
        <v>3</v>
      </c>
      <c r="BH586" s="18">
        <v>1</v>
      </c>
      <c r="BI586" s="18">
        <v>1</v>
      </c>
      <c r="BJ586" s="18">
        <v>0</v>
      </c>
      <c r="BK586" s="18">
        <v>0</v>
      </c>
      <c r="BL586" s="18">
        <v>0</v>
      </c>
      <c r="BM586" s="18">
        <v>1</v>
      </c>
      <c r="BN586" s="18">
        <v>1</v>
      </c>
      <c r="BO586" s="18">
        <v>33.9</v>
      </c>
      <c r="BP586" s="18">
        <v>0</v>
      </c>
      <c r="BQ586" s="18">
        <v>162</v>
      </c>
      <c r="BR586" s="18">
        <v>0</v>
      </c>
      <c r="BS586" s="18">
        <v>0</v>
      </c>
      <c r="BT586" s="18">
        <v>0</v>
      </c>
      <c r="BU586" s="18">
        <v>0</v>
      </c>
      <c r="BV586" s="18">
        <v>0</v>
      </c>
      <c r="BW586" s="18">
        <v>0</v>
      </c>
      <c r="BX586" s="18">
        <v>0</v>
      </c>
    </row>
    <row r="587" spans="1:76">
      <c r="A587" s="14" t="str">
        <f>VLOOKUP(C587,VLOOKUP!A:B,2,FALSE)</f>
        <v>太樾归真</v>
      </c>
      <c r="B587" s="19">
        <v>46150</v>
      </c>
      <c r="C587" s="20">
        <v>1048251217517</v>
      </c>
      <c r="D587" s="18" t="s">
        <v>151</v>
      </c>
      <c r="E587" s="18" t="s">
        <v>178</v>
      </c>
      <c r="F587" s="18">
        <v>140</v>
      </c>
      <c r="G587" s="18">
        <v>6</v>
      </c>
      <c r="H587" s="18">
        <v>6.28</v>
      </c>
      <c r="I587" s="18">
        <v>0.04286</v>
      </c>
      <c r="J587" s="18">
        <v>1.05</v>
      </c>
      <c r="K587" s="18">
        <v>44.86</v>
      </c>
      <c r="L587" s="18">
        <v>0</v>
      </c>
      <c r="M587" s="18">
        <v>0</v>
      </c>
      <c r="N587" s="18">
        <v>0</v>
      </c>
      <c r="O587" s="18">
        <v>0</v>
      </c>
      <c r="P587" s="18">
        <v>0</v>
      </c>
      <c r="Q587" s="18">
        <v>0</v>
      </c>
      <c r="R587" s="18">
        <v>0</v>
      </c>
      <c r="S587" s="18">
        <v>0</v>
      </c>
      <c r="T587" s="18">
        <v>0</v>
      </c>
      <c r="U587" s="18">
        <v>0</v>
      </c>
      <c r="V587" s="18">
        <v>0</v>
      </c>
      <c r="W587" s="18">
        <v>0</v>
      </c>
      <c r="X587" s="18">
        <v>0</v>
      </c>
      <c r="Y587" s="18">
        <v>0</v>
      </c>
      <c r="Z587" s="18">
        <v>0</v>
      </c>
      <c r="AA587" s="18"/>
      <c r="AB587" s="18">
        <v>1</v>
      </c>
      <c r="AC587" s="18">
        <v>1</v>
      </c>
      <c r="AD587" s="18">
        <v>0</v>
      </c>
      <c r="AE587" s="18">
        <v>0.16667</v>
      </c>
      <c r="AF587" s="18">
        <v>0</v>
      </c>
      <c r="AG587" s="18">
        <v>0</v>
      </c>
      <c r="AH587" s="18"/>
      <c r="AI587" s="18">
        <v>1</v>
      </c>
      <c r="AJ587" s="18">
        <v>6.28</v>
      </c>
      <c r="AK587" s="18">
        <v>1</v>
      </c>
      <c r="AL587" s="18">
        <v>6.28</v>
      </c>
      <c r="AM587" s="18">
        <v>0</v>
      </c>
      <c r="AN587" s="18"/>
      <c r="AO587" s="18">
        <v>0</v>
      </c>
      <c r="AP587" s="18">
        <v>6.28</v>
      </c>
      <c r="AQ587" s="18">
        <v>0</v>
      </c>
      <c r="AR587" s="18">
        <v>0</v>
      </c>
      <c r="AS587" s="18">
        <v>0</v>
      </c>
      <c r="AT587" s="18">
        <v>0</v>
      </c>
      <c r="AU587" s="18">
        <v>0</v>
      </c>
      <c r="AV587" s="18">
        <v>0</v>
      </c>
      <c r="AW587" s="18">
        <v>0</v>
      </c>
      <c r="AX587" s="18">
        <v>0</v>
      </c>
      <c r="AY587" s="18">
        <v>14</v>
      </c>
      <c r="AZ587" s="18">
        <v>5</v>
      </c>
      <c r="BA587" s="18">
        <v>2</v>
      </c>
      <c r="BB587" s="18">
        <v>0.4</v>
      </c>
      <c r="BC587" s="18">
        <v>0</v>
      </c>
      <c r="BD587" s="18">
        <v>0</v>
      </c>
      <c r="BE587" s="18">
        <v>0.1</v>
      </c>
      <c r="BF587" s="18">
        <v>8</v>
      </c>
      <c r="BG587" s="18">
        <v>3</v>
      </c>
      <c r="BH587" s="18">
        <v>0</v>
      </c>
      <c r="BI587" s="18"/>
      <c r="BJ587" s="18">
        <v>0</v>
      </c>
      <c r="BK587" s="18">
        <v>0</v>
      </c>
      <c r="BL587" s="18">
        <v>0</v>
      </c>
      <c r="BM587" s="18">
        <v>0</v>
      </c>
      <c r="BN587" s="18"/>
      <c r="BO587" s="18"/>
      <c r="BP587" s="18">
        <v>0</v>
      </c>
      <c r="BQ587" s="18">
        <v>20</v>
      </c>
      <c r="BR587" s="18">
        <v>0</v>
      </c>
      <c r="BS587" s="18">
        <v>0</v>
      </c>
      <c r="BT587" s="18">
        <v>0</v>
      </c>
      <c r="BU587" s="18">
        <v>0</v>
      </c>
      <c r="BV587" s="18">
        <v>0</v>
      </c>
      <c r="BW587" s="18">
        <v>0</v>
      </c>
      <c r="BX587" s="18">
        <v>0</v>
      </c>
    </row>
    <row r="588" spans="1:76">
      <c r="A588" s="14" t="str">
        <f>VLOOKUP(C588,VLOOKUP!A:B,2,FALSE)</f>
        <v>早晚安香</v>
      </c>
      <c r="B588" s="19">
        <v>46150</v>
      </c>
      <c r="C588" s="20">
        <v>1010789122929</v>
      </c>
      <c r="D588" s="18" t="s">
        <v>151</v>
      </c>
      <c r="E588" s="18" t="s">
        <v>179</v>
      </c>
      <c r="F588" s="18">
        <v>469</v>
      </c>
      <c r="G588" s="18">
        <v>18</v>
      </c>
      <c r="H588" s="18">
        <v>14.52</v>
      </c>
      <c r="I588" s="18">
        <v>0.03838</v>
      </c>
      <c r="J588" s="18">
        <v>0.81</v>
      </c>
      <c r="K588" s="18">
        <v>30.96</v>
      </c>
      <c r="L588" s="18">
        <v>0</v>
      </c>
      <c r="M588" s="18">
        <v>0</v>
      </c>
      <c r="N588" s="18">
        <v>0</v>
      </c>
      <c r="O588" s="18">
        <v>0</v>
      </c>
      <c r="P588" s="18">
        <v>0</v>
      </c>
      <c r="Q588" s="18">
        <v>0</v>
      </c>
      <c r="R588" s="18">
        <v>0</v>
      </c>
      <c r="S588" s="18">
        <v>0</v>
      </c>
      <c r="T588" s="18">
        <v>0</v>
      </c>
      <c r="U588" s="18">
        <v>0</v>
      </c>
      <c r="V588" s="18">
        <v>0</v>
      </c>
      <c r="W588" s="18">
        <v>0</v>
      </c>
      <c r="X588" s="18">
        <v>0</v>
      </c>
      <c r="Y588" s="18">
        <v>0</v>
      </c>
      <c r="Z588" s="18">
        <v>0</v>
      </c>
      <c r="AA588" s="18"/>
      <c r="AB588" s="18">
        <v>1</v>
      </c>
      <c r="AC588" s="18">
        <v>0</v>
      </c>
      <c r="AD588" s="18">
        <v>1</v>
      </c>
      <c r="AE588" s="18">
        <v>0.05556</v>
      </c>
      <c r="AF588" s="18">
        <v>0</v>
      </c>
      <c r="AG588" s="18">
        <v>0</v>
      </c>
      <c r="AH588" s="18"/>
      <c r="AI588" s="18">
        <v>1</v>
      </c>
      <c r="AJ588" s="18">
        <v>14.52</v>
      </c>
      <c r="AK588" s="18">
        <v>1</v>
      </c>
      <c r="AL588" s="18">
        <v>14.52</v>
      </c>
      <c r="AM588" s="18">
        <v>0</v>
      </c>
      <c r="AN588" s="18"/>
      <c r="AO588" s="18">
        <v>0</v>
      </c>
      <c r="AP588" s="18">
        <v>14.52</v>
      </c>
      <c r="AQ588" s="18">
        <v>0</v>
      </c>
      <c r="AR588" s="18">
        <v>0</v>
      </c>
      <c r="AS588" s="18">
        <v>0</v>
      </c>
      <c r="AT588" s="18">
        <v>0</v>
      </c>
      <c r="AU588" s="18">
        <v>0</v>
      </c>
      <c r="AV588" s="18">
        <v>0</v>
      </c>
      <c r="AW588" s="18">
        <v>0</v>
      </c>
      <c r="AX588" s="18">
        <v>0</v>
      </c>
      <c r="AY588" s="18">
        <v>42</v>
      </c>
      <c r="AZ588" s="18">
        <v>17</v>
      </c>
      <c r="BA588" s="18">
        <v>3</v>
      </c>
      <c r="BB588" s="18">
        <v>0.17647</v>
      </c>
      <c r="BC588" s="18">
        <v>0</v>
      </c>
      <c r="BD588" s="18">
        <v>0</v>
      </c>
      <c r="BE588" s="18">
        <v>0.08955</v>
      </c>
      <c r="BF588" s="18">
        <v>23</v>
      </c>
      <c r="BG588" s="18">
        <v>2</v>
      </c>
      <c r="BH588" s="18">
        <v>0</v>
      </c>
      <c r="BI588" s="18"/>
      <c r="BJ588" s="18">
        <v>0</v>
      </c>
      <c r="BK588" s="18">
        <v>0</v>
      </c>
      <c r="BL588" s="18">
        <v>0</v>
      </c>
      <c r="BM588" s="18">
        <v>0</v>
      </c>
      <c r="BN588" s="18"/>
      <c r="BO588" s="18"/>
      <c r="BP588" s="18">
        <v>2.23</v>
      </c>
      <c r="BQ588" s="18">
        <v>122</v>
      </c>
      <c r="BR588" s="18">
        <v>0</v>
      </c>
      <c r="BS588" s="18">
        <v>0</v>
      </c>
      <c r="BT588" s="18">
        <v>0</v>
      </c>
      <c r="BU588" s="18">
        <v>0</v>
      </c>
      <c r="BV588" s="18">
        <v>0</v>
      </c>
      <c r="BW588" s="18">
        <v>0</v>
      </c>
      <c r="BX588" s="18">
        <v>0</v>
      </c>
    </row>
    <row r="589" spans="1:76">
      <c r="A589" s="14" t="str">
        <f>VLOOKUP(C589,VLOOKUP!A:B,2,FALSE)</f>
        <v>荔枝香</v>
      </c>
      <c r="B589" s="19">
        <v>46150</v>
      </c>
      <c r="C589" s="20">
        <v>960406497157</v>
      </c>
      <c r="D589" s="18" t="s">
        <v>151</v>
      </c>
      <c r="E589" s="18" t="s">
        <v>180</v>
      </c>
      <c r="F589" s="18">
        <v>3586</v>
      </c>
      <c r="G589" s="18">
        <v>297</v>
      </c>
      <c r="H589" s="18">
        <v>93.56</v>
      </c>
      <c r="I589" s="18">
        <v>0.08282</v>
      </c>
      <c r="J589" s="18">
        <v>0.32</v>
      </c>
      <c r="K589" s="18">
        <v>26.09</v>
      </c>
      <c r="L589" s="18">
        <v>0</v>
      </c>
      <c r="M589" s="18">
        <v>0</v>
      </c>
      <c r="N589" s="18">
        <v>0</v>
      </c>
      <c r="O589" s="18">
        <v>0</v>
      </c>
      <c r="P589" s="18">
        <v>0</v>
      </c>
      <c r="Q589" s="18">
        <v>0</v>
      </c>
      <c r="R589" s="18">
        <v>0</v>
      </c>
      <c r="S589" s="18">
        <v>0</v>
      </c>
      <c r="T589" s="18">
        <v>0</v>
      </c>
      <c r="U589" s="18">
        <v>0</v>
      </c>
      <c r="V589" s="18">
        <v>0</v>
      </c>
      <c r="W589" s="18">
        <v>0</v>
      </c>
      <c r="X589" s="18">
        <v>0</v>
      </c>
      <c r="Y589" s="18">
        <v>0</v>
      </c>
      <c r="Z589" s="18">
        <v>0</v>
      </c>
      <c r="AA589" s="18"/>
      <c r="AB589" s="18">
        <v>8</v>
      </c>
      <c r="AC589" s="18">
        <v>6</v>
      </c>
      <c r="AD589" s="18">
        <v>2</v>
      </c>
      <c r="AE589" s="18">
        <v>0.02694</v>
      </c>
      <c r="AF589" s="18">
        <v>5</v>
      </c>
      <c r="AG589" s="18">
        <v>1</v>
      </c>
      <c r="AH589" s="18">
        <v>93.56</v>
      </c>
      <c r="AI589" s="18">
        <v>14</v>
      </c>
      <c r="AJ589" s="18">
        <v>6.68</v>
      </c>
      <c r="AK589" s="18">
        <v>13</v>
      </c>
      <c r="AL589" s="18">
        <v>7.2</v>
      </c>
      <c r="AM589" s="18">
        <v>6</v>
      </c>
      <c r="AN589" s="18">
        <v>18.71</v>
      </c>
      <c r="AO589" s="18">
        <v>0.01684</v>
      </c>
      <c r="AP589" s="18">
        <v>11.7</v>
      </c>
      <c r="AQ589" s="18">
        <v>0</v>
      </c>
      <c r="AR589" s="18">
        <v>0</v>
      </c>
      <c r="AS589" s="18">
        <v>5</v>
      </c>
      <c r="AT589" s="18">
        <v>0</v>
      </c>
      <c r="AU589" s="18">
        <v>0</v>
      </c>
      <c r="AV589" s="18">
        <v>0</v>
      </c>
      <c r="AW589" s="18">
        <v>0</v>
      </c>
      <c r="AX589" s="18">
        <v>0</v>
      </c>
      <c r="AY589" s="18">
        <v>589</v>
      </c>
      <c r="AZ589" s="18">
        <v>296</v>
      </c>
      <c r="BA589" s="18">
        <v>253</v>
      </c>
      <c r="BB589" s="18">
        <v>0.85473</v>
      </c>
      <c r="BC589" s="18">
        <v>0</v>
      </c>
      <c r="BD589" s="18">
        <v>0</v>
      </c>
      <c r="BE589" s="18">
        <v>0.16425</v>
      </c>
      <c r="BF589" s="18">
        <v>129</v>
      </c>
      <c r="BG589" s="18">
        <v>2</v>
      </c>
      <c r="BH589" s="18">
        <v>0</v>
      </c>
      <c r="BI589" s="18"/>
      <c r="BJ589" s="18">
        <v>0</v>
      </c>
      <c r="BK589" s="18">
        <v>0</v>
      </c>
      <c r="BL589" s="18">
        <v>0</v>
      </c>
      <c r="BM589" s="18">
        <v>0</v>
      </c>
      <c r="BN589" s="18"/>
      <c r="BO589" s="18"/>
      <c r="BP589" s="18">
        <v>0</v>
      </c>
      <c r="BQ589" s="18">
        <v>360</v>
      </c>
      <c r="BR589" s="18">
        <v>0</v>
      </c>
      <c r="BS589" s="18">
        <v>0</v>
      </c>
      <c r="BT589" s="18">
        <v>0</v>
      </c>
      <c r="BU589" s="18">
        <v>0</v>
      </c>
      <c r="BV589" s="18">
        <v>0</v>
      </c>
      <c r="BW589" s="18">
        <v>0</v>
      </c>
      <c r="BX589" s="18">
        <v>0</v>
      </c>
    </row>
    <row r="590" spans="1:76">
      <c r="A590" s="14" t="str">
        <f>VLOOKUP(C590,VLOOKUP!A:B,2,FALSE)</f>
        <v>如意盘香</v>
      </c>
      <c r="B590" s="19">
        <v>46150</v>
      </c>
      <c r="C590" s="20">
        <v>838711327669</v>
      </c>
      <c r="D590" s="18" t="s">
        <v>151</v>
      </c>
      <c r="E590" s="18" t="s">
        <v>153</v>
      </c>
      <c r="F590" s="18">
        <v>500</v>
      </c>
      <c r="G590" s="18">
        <v>24</v>
      </c>
      <c r="H590" s="18">
        <v>34.16</v>
      </c>
      <c r="I590" s="18">
        <v>0.048</v>
      </c>
      <c r="J590" s="18">
        <v>1.42</v>
      </c>
      <c r="K590" s="18">
        <v>68.32</v>
      </c>
      <c r="L590" s="18">
        <v>0</v>
      </c>
      <c r="M590" s="18">
        <v>0</v>
      </c>
      <c r="N590" s="18">
        <v>0</v>
      </c>
      <c r="O590" s="18">
        <v>0</v>
      </c>
      <c r="P590" s="18">
        <v>0</v>
      </c>
      <c r="Q590" s="18">
        <v>0</v>
      </c>
      <c r="R590" s="18">
        <v>0</v>
      </c>
      <c r="S590" s="18">
        <v>0</v>
      </c>
      <c r="T590" s="18">
        <v>0</v>
      </c>
      <c r="U590" s="18">
        <v>0</v>
      </c>
      <c r="V590" s="18">
        <v>0</v>
      </c>
      <c r="W590" s="18">
        <v>0</v>
      </c>
      <c r="X590" s="18">
        <v>0</v>
      </c>
      <c r="Y590" s="18">
        <v>0</v>
      </c>
      <c r="Z590" s="18">
        <v>0</v>
      </c>
      <c r="AA590" s="18"/>
      <c r="AB590" s="18">
        <v>0</v>
      </c>
      <c r="AC590" s="18">
        <v>0</v>
      </c>
      <c r="AD590" s="18">
        <v>0</v>
      </c>
      <c r="AE590" s="18">
        <v>0</v>
      </c>
      <c r="AF590" s="18">
        <v>0</v>
      </c>
      <c r="AG590" s="18">
        <v>0</v>
      </c>
      <c r="AH590" s="18"/>
      <c r="AI590" s="18">
        <v>0</v>
      </c>
      <c r="AJ590" s="18"/>
      <c r="AK590" s="18">
        <v>0</v>
      </c>
      <c r="AL590" s="18"/>
      <c r="AM590" s="18">
        <v>0</v>
      </c>
      <c r="AN590" s="18"/>
      <c r="AO590" s="18">
        <v>0</v>
      </c>
      <c r="AP590" s="18"/>
      <c r="AQ590" s="18">
        <v>0</v>
      </c>
      <c r="AR590" s="18">
        <v>0</v>
      </c>
      <c r="AS590" s="18">
        <v>0</v>
      </c>
      <c r="AT590" s="18">
        <v>0</v>
      </c>
      <c r="AU590" s="18">
        <v>0</v>
      </c>
      <c r="AV590" s="18">
        <v>0</v>
      </c>
      <c r="AW590" s="18">
        <v>0</v>
      </c>
      <c r="AX590" s="18">
        <v>0</v>
      </c>
      <c r="AY590" s="18">
        <v>48</v>
      </c>
      <c r="AZ590" s="18">
        <v>21</v>
      </c>
      <c r="BA590" s="18">
        <v>19</v>
      </c>
      <c r="BB590" s="18">
        <v>0.90476</v>
      </c>
      <c r="BC590" s="18">
        <v>0</v>
      </c>
      <c r="BD590" s="18">
        <v>0</v>
      </c>
      <c r="BE590" s="18">
        <v>0.096</v>
      </c>
      <c r="BF590" s="18">
        <v>21</v>
      </c>
      <c r="BG590" s="18">
        <v>2</v>
      </c>
      <c r="BH590" s="18">
        <v>0</v>
      </c>
      <c r="BI590" s="18"/>
      <c r="BJ590" s="18">
        <v>0</v>
      </c>
      <c r="BK590" s="18">
        <v>0</v>
      </c>
      <c r="BL590" s="18">
        <v>0</v>
      </c>
      <c r="BM590" s="18">
        <v>0</v>
      </c>
      <c r="BN590" s="18"/>
      <c r="BO590" s="18"/>
      <c r="BP590" s="18">
        <v>0</v>
      </c>
      <c r="BQ590" s="18">
        <v>29</v>
      </c>
      <c r="BR590" s="18">
        <v>0</v>
      </c>
      <c r="BS590" s="18">
        <v>0</v>
      </c>
      <c r="BT590" s="18">
        <v>0</v>
      </c>
      <c r="BU590" s="18">
        <v>0</v>
      </c>
      <c r="BV590" s="18">
        <v>0</v>
      </c>
      <c r="BW590" s="18">
        <v>0</v>
      </c>
      <c r="BX590" s="18">
        <v>0</v>
      </c>
    </row>
    <row r="591" spans="1:76">
      <c r="A591" s="14" t="str">
        <f>VLOOKUP(C591,VLOOKUP!A:B,2,FALSE)</f>
        <v>太樾归真</v>
      </c>
      <c r="B591" s="19">
        <v>46149</v>
      </c>
      <c r="C591" s="20">
        <v>1048251217517</v>
      </c>
      <c r="D591" s="18" t="s">
        <v>151</v>
      </c>
      <c r="E591" s="18" t="s">
        <v>181</v>
      </c>
      <c r="F591" s="18">
        <v>169</v>
      </c>
      <c r="G591" s="18">
        <v>12</v>
      </c>
      <c r="H591" s="18">
        <v>8.98</v>
      </c>
      <c r="I591" s="18">
        <v>0.07101</v>
      </c>
      <c r="J591" s="18">
        <v>0.75</v>
      </c>
      <c r="K591" s="18">
        <v>53.14</v>
      </c>
      <c r="L591" s="18">
        <v>0</v>
      </c>
      <c r="M591" s="18">
        <v>0</v>
      </c>
      <c r="N591" s="18">
        <v>0</v>
      </c>
      <c r="O591" s="18">
        <v>0</v>
      </c>
      <c r="P591" s="18">
        <v>0</v>
      </c>
      <c r="Q591" s="18">
        <v>0</v>
      </c>
      <c r="R591" s="18">
        <v>0</v>
      </c>
      <c r="S591" s="18">
        <v>8074</v>
      </c>
      <c r="T591" s="18">
        <v>8074</v>
      </c>
      <c r="U591" s="18">
        <v>1</v>
      </c>
      <c r="V591" s="18">
        <v>0</v>
      </c>
      <c r="W591" s="18">
        <v>1</v>
      </c>
      <c r="X591" s="18">
        <v>0.08333</v>
      </c>
      <c r="Y591" s="18">
        <v>899.11</v>
      </c>
      <c r="Z591" s="18">
        <v>899.11</v>
      </c>
      <c r="AA591" s="18">
        <v>8.98</v>
      </c>
      <c r="AB591" s="18">
        <v>1</v>
      </c>
      <c r="AC591" s="18">
        <v>1</v>
      </c>
      <c r="AD591" s="18">
        <v>0</v>
      </c>
      <c r="AE591" s="18">
        <v>0.08333</v>
      </c>
      <c r="AF591" s="18">
        <v>0</v>
      </c>
      <c r="AG591" s="18">
        <v>0</v>
      </c>
      <c r="AH591" s="18"/>
      <c r="AI591" s="18">
        <v>1</v>
      </c>
      <c r="AJ591" s="18">
        <v>8.98</v>
      </c>
      <c r="AK591" s="18">
        <v>1</v>
      </c>
      <c r="AL591" s="18">
        <v>8.98</v>
      </c>
      <c r="AM591" s="18">
        <v>0</v>
      </c>
      <c r="AN591" s="18"/>
      <c r="AO591" s="18">
        <v>0</v>
      </c>
      <c r="AP591" s="18">
        <v>8.98</v>
      </c>
      <c r="AQ591" s="18">
        <v>2</v>
      </c>
      <c r="AR591" s="18">
        <v>10098</v>
      </c>
      <c r="AS591" s="18">
        <v>0</v>
      </c>
      <c r="AT591" s="18">
        <v>0</v>
      </c>
      <c r="AU591" s="18">
        <v>0</v>
      </c>
      <c r="AV591" s="18">
        <v>0</v>
      </c>
      <c r="AW591" s="18">
        <v>0</v>
      </c>
      <c r="AX591" s="18">
        <v>2</v>
      </c>
      <c r="AY591" s="18">
        <v>42</v>
      </c>
      <c r="AZ591" s="18">
        <v>11</v>
      </c>
      <c r="BA591" s="18">
        <v>6</v>
      </c>
      <c r="BB591" s="18">
        <v>0.54545</v>
      </c>
      <c r="BC591" s="18">
        <v>0</v>
      </c>
      <c r="BD591" s="18">
        <v>0</v>
      </c>
      <c r="BE591" s="18">
        <v>0.24852</v>
      </c>
      <c r="BF591" s="18">
        <v>30</v>
      </c>
      <c r="BG591" s="18">
        <v>4</v>
      </c>
      <c r="BH591" s="18">
        <v>0</v>
      </c>
      <c r="BI591" s="18">
        <v>0</v>
      </c>
      <c r="BJ591" s="18">
        <v>0</v>
      </c>
      <c r="BK591" s="18">
        <v>0</v>
      </c>
      <c r="BL591" s="18">
        <v>0</v>
      </c>
      <c r="BM591" s="18">
        <v>1</v>
      </c>
      <c r="BN591" s="18">
        <v>1</v>
      </c>
      <c r="BO591" s="18">
        <v>8074</v>
      </c>
      <c r="BP591" s="18">
        <v>6.52</v>
      </c>
      <c r="BQ591" s="18">
        <v>56</v>
      </c>
      <c r="BR591" s="18">
        <v>0</v>
      </c>
      <c r="BS591" s="18">
        <v>0</v>
      </c>
      <c r="BT591" s="18">
        <v>0</v>
      </c>
      <c r="BU591" s="18">
        <v>0</v>
      </c>
      <c r="BV591" s="18">
        <v>0</v>
      </c>
      <c r="BW591" s="18">
        <v>0</v>
      </c>
      <c r="BX591" s="18">
        <v>0</v>
      </c>
    </row>
    <row r="592" spans="1:76">
      <c r="A592" s="14" t="str">
        <f>VLOOKUP(C592,VLOOKUP!A:B,2,FALSE)</f>
        <v>早晚安香</v>
      </c>
      <c r="B592" s="19">
        <v>46149</v>
      </c>
      <c r="C592" s="20">
        <v>1010789122929</v>
      </c>
      <c r="D592" s="18" t="s">
        <v>151</v>
      </c>
      <c r="E592" s="18" t="s">
        <v>179</v>
      </c>
      <c r="F592" s="18">
        <v>527</v>
      </c>
      <c r="G592" s="18">
        <v>28</v>
      </c>
      <c r="H592" s="18">
        <v>17.75</v>
      </c>
      <c r="I592" s="18">
        <v>0.05313</v>
      </c>
      <c r="J592" s="18">
        <v>0.63</v>
      </c>
      <c r="K592" s="18">
        <v>33.68</v>
      </c>
      <c r="L592" s="18">
        <v>0</v>
      </c>
      <c r="M592" s="18">
        <v>0</v>
      </c>
      <c r="N592" s="18">
        <v>0</v>
      </c>
      <c r="O592" s="18">
        <v>0</v>
      </c>
      <c r="P592" s="18">
        <v>0</v>
      </c>
      <c r="Q592" s="18">
        <v>0</v>
      </c>
      <c r="R592" s="18">
        <v>0</v>
      </c>
      <c r="S592" s="18">
        <v>0</v>
      </c>
      <c r="T592" s="18">
        <v>0</v>
      </c>
      <c r="U592" s="18">
        <v>0</v>
      </c>
      <c r="V592" s="18">
        <v>0</v>
      </c>
      <c r="W592" s="18">
        <v>0</v>
      </c>
      <c r="X592" s="18">
        <v>0</v>
      </c>
      <c r="Y592" s="18">
        <v>0</v>
      </c>
      <c r="Z592" s="18">
        <v>0</v>
      </c>
      <c r="AA592" s="18"/>
      <c r="AB592" s="18">
        <v>4</v>
      </c>
      <c r="AC592" s="18">
        <v>3</v>
      </c>
      <c r="AD592" s="18">
        <v>1</v>
      </c>
      <c r="AE592" s="18">
        <v>0.14286</v>
      </c>
      <c r="AF592" s="18">
        <v>2</v>
      </c>
      <c r="AG592" s="18">
        <v>0</v>
      </c>
      <c r="AH592" s="18"/>
      <c r="AI592" s="18">
        <v>6</v>
      </c>
      <c r="AJ592" s="18">
        <v>2.96</v>
      </c>
      <c r="AK592" s="18">
        <v>6</v>
      </c>
      <c r="AL592" s="18">
        <v>2.96</v>
      </c>
      <c r="AM592" s="18">
        <v>2</v>
      </c>
      <c r="AN592" s="18">
        <v>8.88</v>
      </c>
      <c r="AO592" s="18">
        <v>0.07143</v>
      </c>
      <c r="AP592" s="18">
        <v>4.44</v>
      </c>
      <c r="AQ592" s="18">
        <v>0</v>
      </c>
      <c r="AR592" s="18">
        <v>0</v>
      </c>
      <c r="AS592" s="18">
        <v>2</v>
      </c>
      <c r="AT592" s="18">
        <v>0</v>
      </c>
      <c r="AU592" s="18">
        <v>0</v>
      </c>
      <c r="AV592" s="18">
        <v>0</v>
      </c>
      <c r="AW592" s="18">
        <v>0</v>
      </c>
      <c r="AX592" s="18">
        <v>0</v>
      </c>
      <c r="AY592" s="18">
        <v>53</v>
      </c>
      <c r="AZ592" s="18">
        <v>23</v>
      </c>
      <c r="BA592" s="18">
        <v>8</v>
      </c>
      <c r="BB592" s="18">
        <v>0.34783</v>
      </c>
      <c r="BC592" s="18">
        <v>0</v>
      </c>
      <c r="BD592" s="18">
        <v>0</v>
      </c>
      <c r="BE592" s="18">
        <v>0.10057</v>
      </c>
      <c r="BF592" s="18">
        <v>18</v>
      </c>
      <c r="BG592" s="18">
        <v>2</v>
      </c>
      <c r="BH592" s="18">
        <v>0</v>
      </c>
      <c r="BI592" s="18"/>
      <c r="BJ592" s="18">
        <v>0</v>
      </c>
      <c r="BK592" s="18">
        <v>0</v>
      </c>
      <c r="BL592" s="18">
        <v>0</v>
      </c>
      <c r="BM592" s="18">
        <v>0</v>
      </c>
      <c r="BN592" s="18"/>
      <c r="BO592" s="18"/>
      <c r="BP592" s="18">
        <v>2.23</v>
      </c>
      <c r="BQ592" s="18">
        <v>132</v>
      </c>
      <c r="BR592" s="18">
        <v>0</v>
      </c>
      <c r="BS592" s="18">
        <v>0</v>
      </c>
      <c r="BT592" s="18">
        <v>0</v>
      </c>
      <c r="BU592" s="18">
        <v>0</v>
      </c>
      <c r="BV592" s="18">
        <v>0</v>
      </c>
      <c r="BW592" s="18">
        <v>0</v>
      </c>
      <c r="BX592" s="18">
        <v>0</v>
      </c>
    </row>
    <row r="593" spans="1:76">
      <c r="A593" s="14" t="str">
        <f>VLOOKUP(C593,VLOOKUP!A:B,2,FALSE)</f>
        <v>荔枝香</v>
      </c>
      <c r="B593" s="19">
        <v>46149</v>
      </c>
      <c r="C593" s="20">
        <v>960406497157</v>
      </c>
      <c r="D593" s="18" t="s">
        <v>151</v>
      </c>
      <c r="E593" s="18" t="s">
        <v>156</v>
      </c>
      <c r="F593" s="18">
        <v>3520</v>
      </c>
      <c r="G593" s="18">
        <v>227</v>
      </c>
      <c r="H593" s="18">
        <v>67.13</v>
      </c>
      <c r="I593" s="18">
        <v>0.06449</v>
      </c>
      <c r="J593" s="18">
        <v>0.3</v>
      </c>
      <c r="K593" s="18">
        <v>19.07</v>
      </c>
      <c r="L593" s="18">
        <v>0</v>
      </c>
      <c r="M593" s="18">
        <v>0</v>
      </c>
      <c r="N593" s="18">
        <v>0</v>
      </c>
      <c r="O593" s="18">
        <v>0</v>
      </c>
      <c r="P593" s="18">
        <v>0</v>
      </c>
      <c r="Q593" s="18">
        <v>0</v>
      </c>
      <c r="R593" s="18">
        <v>0</v>
      </c>
      <c r="S593" s="18">
        <v>0</v>
      </c>
      <c r="T593" s="18">
        <v>0</v>
      </c>
      <c r="U593" s="18">
        <v>0</v>
      </c>
      <c r="V593" s="18">
        <v>0</v>
      </c>
      <c r="W593" s="18">
        <v>0</v>
      </c>
      <c r="X593" s="18">
        <v>0</v>
      </c>
      <c r="Y593" s="18">
        <v>0</v>
      </c>
      <c r="Z593" s="18">
        <v>0</v>
      </c>
      <c r="AA593" s="18"/>
      <c r="AB593" s="18">
        <v>16</v>
      </c>
      <c r="AC593" s="18">
        <v>8</v>
      </c>
      <c r="AD593" s="18">
        <v>8</v>
      </c>
      <c r="AE593" s="18">
        <v>0.07048</v>
      </c>
      <c r="AF593" s="18">
        <v>0</v>
      </c>
      <c r="AG593" s="18">
        <v>0</v>
      </c>
      <c r="AH593" s="18"/>
      <c r="AI593" s="18">
        <v>16</v>
      </c>
      <c r="AJ593" s="18">
        <v>4.2</v>
      </c>
      <c r="AK593" s="18">
        <v>16</v>
      </c>
      <c r="AL593" s="18">
        <v>4.2</v>
      </c>
      <c r="AM593" s="18">
        <v>0</v>
      </c>
      <c r="AN593" s="18"/>
      <c r="AO593" s="18">
        <v>0</v>
      </c>
      <c r="AP593" s="18">
        <v>4.2</v>
      </c>
      <c r="AQ593" s="18">
        <v>1</v>
      </c>
      <c r="AR593" s="18">
        <v>3360</v>
      </c>
      <c r="AS593" s="18">
        <v>0</v>
      </c>
      <c r="AT593" s="18">
        <v>0</v>
      </c>
      <c r="AU593" s="18">
        <v>0</v>
      </c>
      <c r="AV593" s="18">
        <v>0</v>
      </c>
      <c r="AW593" s="18">
        <v>0</v>
      </c>
      <c r="AX593" s="18">
        <v>1</v>
      </c>
      <c r="AY593" s="18">
        <v>490</v>
      </c>
      <c r="AZ593" s="18">
        <v>219</v>
      </c>
      <c r="BA593" s="18">
        <v>182</v>
      </c>
      <c r="BB593" s="18">
        <v>0.83105</v>
      </c>
      <c r="BC593" s="18">
        <v>0</v>
      </c>
      <c r="BD593" s="18">
        <v>0</v>
      </c>
      <c r="BE593" s="18">
        <v>0.1392</v>
      </c>
      <c r="BF593" s="18">
        <v>138</v>
      </c>
      <c r="BG593" s="18">
        <v>2</v>
      </c>
      <c r="BH593" s="18">
        <v>0</v>
      </c>
      <c r="BI593" s="18"/>
      <c r="BJ593" s="18">
        <v>0</v>
      </c>
      <c r="BK593" s="18">
        <v>0</v>
      </c>
      <c r="BL593" s="18">
        <v>0</v>
      </c>
      <c r="BM593" s="18">
        <v>0</v>
      </c>
      <c r="BN593" s="18"/>
      <c r="BO593" s="18"/>
      <c r="BP593" s="18">
        <v>16.61</v>
      </c>
      <c r="BQ593" s="18">
        <v>288</v>
      </c>
      <c r="BR593" s="18">
        <v>0</v>
      </c>
      <c r="BS593" s="18">
        <v>0</v>
      </c>
      <c r="BT593" s="18">
        <v>0</v>
      </c>
      <c r="BU593" s="18">
        <v>0</v>
      </c>
      <c r="BV593" s="18">
        <v>0</v>
      </c>
      <c r="BW593" s="18">
        <v>0</v>
      </c>
      <c r="BX593" s="18">
        <v>0</v>
      </c>
    </row>
    <row r="594" spans="1:76">
      <c r="A594" s="14" t="str">
        <f>VLOOKUP(C594,VLOOKUP!A:B,2,FALSE)</f>
        <v>如意盘香</v>
      </c>
      <c r="B594" s="19">
        <v>46149</v>
      </c>
      <c r="C594" s="20">
        <v>838711327669</v>
      </c>
      <c r="D594" s="18" t="s">
        <v>151</v>
      </c>
      <c r="E594" s="18" t="s">
        <v>153</v>
      </c>
      <c r="F594" s="18">
        <v>933</v>
      </c>
      <c r="G594" s="18">
        <v>21</v>
      </c>
      <c r="H594" s="18">
        <v>35.96</v>
      </c>
      <c r="I594" s="18">
        <v>0.02251</v>
      </c>
      <c r="J594" s="18">
        <v>1.71</v>
      </c>
      <c r="K594" s="18">
        <v>38.54</v>
      </c>
      <c r="L594" s="18">
        <v>0</v>
      </c>
      <c r="M594" s="18">
        <v>0</v>
      </c>
      <c r="N594" s="18">
        <v>0</v>
      </c>
      <c r="O594" s="18">
        <v>0</v>
      </c>
      <c r="P594" s="18">
        <v>0</v>
      </c>
      <c r="Q594" s="18">
        <v>0</v>
      </c>
      <c r="R594" s="18">
        <v>0</v>
      </c>
      <c r="S594" s="18">
        <v>0</v>
      </c>
      <c r="T594" s="18">
        <v>0</v>
      </c>
      <c r="U594" s="18">
        <v>0</v>
      </c>
      <c r="V594" s="18">
        <v>0</v>
      </c>
      <c r="W594" s="18">
        <v>0</v>
      </c>
      <c r="X594" s="18">
        <v>0</v>
      </c>
      <c r="Y594" s="18">
        <v>0</v>
      </c>
      <c r="Z594" s="18">
        <v>0</v>
      </c>
      <c r="AA594" s="18"/>
      <c r="AB594" s="18">
        <v>1</v>
      </c>
      <c r="AC594" s="18">
        <v>1</v>
      </c>
      <c r="AD594" s="18">
        <v>0</v>
      </c>
      <c r="AE594" s="18">
        <v>0.04762</v>
      </c>
      <c r="AF594" s="18">
        <v>0</v>
      </c>
      <c r="AG594" s="18">
        <v>0</v>
      </c>
      <c r="AH594" s="18"/>
      <c r="AI594" s="18">
        <v>1</v>
      </c>
      <c r="AJ594" s="18">
        <v>35.96</v>
      </c>
      <c r="AK594" s="18">
        <v>1</v>
      </c>
      <c r="AL594" s="18">
        <v>35.96</v>
      </c>
      <c r="AM594" s="18">
        <v>0</v>
      </c>
      <c r="AN594" s="18"/>
      <c r="AO594" s="18">
        <v>0</v>
      </c>
      <c r="AP594" s="18">
        <v>35.96</v>
      </c>
      <c r="AQ594" s="18">
        <v>0</v>
      </c>
      <c r="AR594" s="18">
        <v>0</v>
      </c>
      <c r="AS594" s="18">
        <v>0</v>
      </c>
      <c r="AT594" s="18">
        <v>0</v>
      </c>
      <c r="AU594" s="18">
        <v>0</v>
      </c>
      <c r="AV594" s="18">
        <v>0</v>
      </c>
      <c r="AW594" s="18">
        <v>0</v>
      </c>
      <c r="AX594" s="18">
        <v>1</v>
      </c>
      <c r="AY594" s="18">
        <v>52</v>
      </c>
      <c r="AZ594" s="18">
        <v>19</v>
      </c>
      <c r="BA594" s="18">
        <v>17</v>
      </c>
      <c r="BB594" s="18">
        <v>0.89474</v>
      </c>
      <c r="BC594" s="18">
        <v>0</v>
      </c>
      <c r="BD594" s="18">
        <v>0</v>
      </c>
      <c r="BE594" s="18">
        <v>0.05573</v>
      </c>
      <c r="BF594" s="18">
        <v>30</v>
      </c>
      <c r="BG594" s="18">
        <v>3</v>
      </c>
      <c r="BH594" s="18">
        <v>0</v>
      </c>
      <c r="BI594" s="18"/>
      <c r="BJ594" s="18">
        <v>0</v>
      </c>
      <c r="BK594" s="18">
        <v>0</v>
      </c>
      <c r="BL594" s="18">
        <v>0</v>
      </c>
      <c r="BM594" s="18">
        <v>0</v>
      </c>
      <c r="BN594" s="18"/>
      <c r="BO594" s="18"/>
      <c r="BP594" s="18">
        <v>0</v>
      </c>
      <c r="BQ594" s="18">
        <v>144</v>
      </c>
      <c r="BR594" s="18">
        <v>0</v>
      </c>
      <c r="BS594" s="18">
        <v>0</v>
      </c>
      <c r="BT594" s="18">
        <v>0</v>
      </c>
      <c r="BU594" s="18">
        <v>0</v>
      </c>
      <c r="BV594" s="18">
        <v>0</v>
      </c>
      <c r="BW594" s="18">
        <v>0</v>
      </c>
      <c r="BX594" s="18">
        <v>0</v>
      </c>
    </row>
    <row r="595" spans="1:76">
      <c r="A595" s="14" t="str">
        <f>VLOOKUP(C595,VLOOKUP!A:B,2,FALSE)</f>
        <v>太樾归真</v>
      </c>
      <c r="B595" s="19">
        <v>46148</v>
      </c>
      <c r="C595" s="20">
        <v>1048251217517</v>
      </c>
      <c r="D595" s="18" t="s">
        <v>151</v>
      </c>
      <c r="E595" s="18" t="s">
        <v>181</v>
      </c>
      <c r="F595" s="18">
        <v>43</v>
      </c>
      <c r="G595" s="18">
        <v>4</v>
      </c>
      <c r="H595" s="18">
        <v>4.48</v>
      </c>
      <c r="I595" s="18">
        <v>0.09302</v>
      </c>
      <c r="J595" s="18">
        <v>1.12</v>
      </c>
      <c r="K595" s="18">
        <v>104.19</v>
      </c>
      <c r="L595" s="18">
        <v>0</v>
      </c>
      <c r="M595" s="18">
        <v>0</v>
      </c>
      <c r="N595" s="18">
        <v>0</v>
      </c>
      <c r="O595" s="18">
        <v>0</v>
      </c>
      <c r="P595" s="18">
        <v>0</v>
      </c>
      <c r="Q595" s="18">
        <v>0</v>
      </c>
      <c r="R595" s="18">
        <v>33.9</v>
      </c>
      <c r="S595" s="18">
        <v>0</v>
      </c>
      <c r="T595" s="18">
        <v>33.9</v>
      </c>
      <c r="U595" s="18">
        <v>1</v>
      </c>
      <c r="V595" s="18">
        <v>1</v>
      </c>
      <c r="W595" s="18">
        <v>0</v>
      </c>
      <c r="X595" s="18">
        <v>0.25</v>
      </c>
      <c r="Y595" s="18">
        <v>7.57</v>
      </c>
      <c r="Z595" s="18">
        <v>7.57</v>
      </c>
      <c r="AA595" s="18">
        <v>4.48</v>
      </c>
      <c r="AB595" s="18">
        <v>1</v>
      </c>
      <c r="AC595" s="18">
        <v>1</v>
      </c>
      <c r="AD595" s="18">
        <v>0</v>
      </c>
      <c r="AE595" s="18">
        <v>0.25</v>
      </c>
      <c r="AF595" s="18">
        <v>0</v>
      </c>
      <c r="AG595" s="18">
        <v>1</v>
      </c>
      <c r="AH595" s="18">
        <v>4.48</v>
      </c>
      <c r="AI595" s="18">
        <v>2</v>
      </c>
      <c r="AJ595" s="18">
        <v>2.24</v>
      </c>
      <c r="AK595" s="18">
        <v>1</v>
      </c>
      <c r="AL595" s="18">
        <v>4.48</v>
      </c>
      <c r="AM595" s="18">
        <v>1</v>
      </c>
      <c r="AN595" s="18"/>
      <c r="AO595" s="18">
        <v>0</v>
      </c>
      <c r="AP595" s="18">
        <v>4.48</v>
      </c>
      <c r="AQ595" s="18">
        <v>1</v>
      </c>
      <c r="AR595" s="18">
        <v>39.9</v>
      </c>
      <c r="AS595" s="18">
        <v>0</v>
      </c>
      <c r="AT595" s="18">
        <v>0</v>
      </c>
      <c r="AU595" s="18">
        <v>0</v>
      </c>
      <c r="AV595" s="18">
        <v>0</v>
      </c>
      <c r="AW595" s="18">
        <v>0</v>
      </c>
      <c r="AX595" s="18">
        <v>1</v>
      </c>
      <c r="AY595" s="18">
        <v>14</v>
      </c>
      <c r="AZ595" s="18">
        <v>1</v>
      </c>
      <c r="BA595" s="18">
        <v>0</v>
      </c>
      <c r="BB595" s="18">
        <v>0</v>
      </c>
      <c r="BC595" s="18">
        <v>0</v>
      </c>
      <c r="BD595" s="18">
        <v>0</v>
      </c>
      <c r="BE595" s="18">
        <v>0.32558</v>
      </c>
      <c r="BF595" s="18">
        <v>8</v>
      </c>
      <c r="BG595" s="18">
        <v>14</v>
      </c>
      <c r="BH595" s="18">
        <v>1</v>
      </c>
      <c r="BI595" s="18">
        <v>1</v>
      </c>
      <c r="BJ595" s="18">
        <v>0</v>
      </c>
      <c r="BK595" s="18">
        <v>0</v>
      </c>
      <c r="BL595" s="18">
        <v>0</v>
      </c>
      <c r="BM595" s="18">
        <v>1</v>
      </c>
      <c r="BN595" s="18">
        <v>1</v>
      </c>
      <c r="BO595" s="18">
        <v>33.9</v>
      </c>
      <c r="BP595" s="18">
        <v>0</v>
      </c>
      <c r="BQ595" s="18">
        <v>299</v>
      </c>
      <c r="BR595" s="18">
        <v>0</v>
      </c>
      <c r="BS595" s="18">
        <v>0</v>
      </c>
      <c r="BT595" s="18">
        <v>0</v>
      </c>
      <c r="BU595" s="18">
        <v>0</v>
      </c>
      <c r="BV595" s="18">
        <v>0</v>
      </c>
      <c r="BW595" s="18">
        <v>0</v>
      </c>
      <c r="BX595" s="18">
        <v>0</v>
      </c>
    </row>
    <row r="596" spans="1:76">
      <c r="A596" s="14" t="str">
        <f>VLOOKUP(C596,VLOOKUP!A:B,2,FALSE)</f>
        <v>早晚安香</v>
      </c>
      <c r="B596" s="19">
        <v>46148</v>
      </c>
      <c r="C596" s="20">
        <v>1010789122929</v>
      </c>
      <c r="D596" s="18" t="s">
        <v>151</v>
      </c>
      <c r="E596" s="18" t="s">
        <v>179</v>
      </c>
      <c r="F596" s="18">
        <v>485</v>
      </c>
      <c r="G596" s="18">
        <v>31</v>
      </c>
      <c r="H596" s="18">
        <v>17.37</v>
      </c>
      <c r="I596" s="18">
        <v>0.06392</v>
      </c>
      <c r="J596" s="18">
        <v>0.56</v>
      </c>
      <c r="K596" s="18">
        <v>35.81</v>
      </c>
      <c r="L596" s="18">
        <v>0</v>
      </c>
      <c r="M596" s="18">
        <v>0</v>
      </c>
      <c r="N596" s="18">
        <v>0</v>
      </c>
      <c r="O596" s="18">
        <v>0</v>
      </c>
      <c r="P596" s="18">
        <v>0</v>
      </c>
      <c r="Q596" s="18">
        <v>0</v>
      </c>
      <c r="R596" s="18">
        <v>221.78</v>
      </c>
      <c r="S596" s="18">
        <v>0</v>
      </c>
      <c r="T596" s="18">
        <v>221.78</v>
      </c>
      <c r="U596" s="18">
        <v>1</v>
      </c>
      <c r="V596" s="18">
        <v>1</v>
      </c>
      <c r="W596" s="18">
        <v>0</v>
      </c>
      <c r="X596" s="18">
        <v>0.03226</v>
      </c>
      <c r="Y596" s="18">
        <v>12.77</v>
      </c>
      <c r="Z596" s="18">
        <v>12.77</v>
      </c>
      <c r="AA596" s="18">
        <v>17.37</v>
      </c>
      <c r="AB596" s="18">
        <v>3</v>
      </c>
      <c r="AC596" s="18">
        <v>1</v>
      </c>
      <c r="AD596" s="18">
        <v>2</v>
      </c>
      <c r="AE596" s="18">
        <v>0.09677</v>
      </c>
      <c r="AF596" s="18">
        <v>0</v>
      </c>
      <c r="AG596" s="18">
        <v>0</v>
      </c>
      <c r="AH596" s="18"/>
      <c r="AI596" s="18">
        <v>3</v>
      </c>
      <c r="AJ596" s="18">
        <v>5.79</v>
      </c>
      <c r="AK596" s="18">
        <v>3</v>
      </c>
      <c r="AL596" s="18">
        <v>5.79</v>
      </c>
      <c r="AM596" s="18">
        <v>0</v>
      </c>
      <c r="AN596" s="18"/>
      <c r="AO596" s="18">
        <v>0</v>
      </c>
      <c r="AP596" s="18">
        <v>5.79</v>
      </c>
      <c r="AQ596" s="18">
        <v>2</v>
      </c>
      <c r="AR596" s="18">
        <v>318.9</v>
      </c>
      <c r="AS596" s="18">
        <v>0</v>
      </c>
      <c r="AT596" s="18">
        <v>0</v>
      </c>
      <c r="AU596" s="18">
        <v>0</v>
      </c>
      <c r="AV596" s="18">
        <v>0</v>
      </c>
      <c r="AW596" s="18">
        <v>0</v>
      </c>
      <c r="AX596" s="18">
        <v>1</v>
      </c>
      <c r="AY596" s="18">
        <v>54</v>
      </c>
      <c r="AZ596" s="18">
        <v>27</v>
      </c>
      <c r="BA596" s="18">
        <v>9</v>
      </c>
      <c r="BB596" s="18">
        <v>0.33333</v>
      </c>
      <c r="BC596" s="18">
        <v>0</v>
      </c>
      <c r="BD596" s="18">
        <v>0</v>
      </c>
      <c r="BE596" s="18">
        <v>0.11134</v>
      </c>
      <c r="BF596" s="18">
        <v>18</v>
      </c>
      <c r="BG596" s="18">
        <v>2</v>
      </c>
      <c r="BH596" s="18">
        <v>1</v>
      </c>
      <c r="BI596" s="18">
        <v>1</v>
      </c>
      <c r="BJ596" s="18">
        <v>0</v>
      </c>
      <c r="BK596" s="18">
        <v>0</v>
      </c>
      <c r="BL596" s="18">
        <v>0</v>
      </c>
      <c r="BM596" s="18">
        <v>1</v>
      </c>
      <c r="BN596" s="18">
        <v>1</v>
      </c>
      <c r="BO596" s="18">
        <v>221.78</v>
      </c>
      <c r="BP596" s="18">
        <v>2.05</v>
      </c>
      <c r="BQ596" s="18">
        <v>631</v>
      </c>
      <c r="BR596" s="18">
        <v>0</v>
      </c>
      <c r="BS596" s="18">
        <v>0</v>
      </c>
      <c r="BT596" s="18">
        <v>0</v>
      </c>
      <c r="BU596" s="18">
        <v>0</v>
      </c>
      <c r="BV596" s="18">
        <v>0</v>
      </c>
      <c r="BW596" s="18">
        <v>0</v>
      </c>
      <c r="BX596" s="18">
        <v>0</v>
      </c>
    </row>
    <row r="597" spans="1:76">
      <c r="A597" s="14" t="str">
        <f>VLOOKUP(C597,VLOOKUP!A:B,2,FALSE)</f>
        <v>荔枝香</v>
      </c>
      <c r="B597" s="19">
        <v>46148</v>
      </c>
      <c r="C597" s="20">
        <v>960406497157</v>
      </c>
      <c r="D597" s="18" t="s">
        <v>151</v>
      </c>
      <c r="E597" s="18" t="s">
        <v>156</v>
      </c>
      <c r="F597" s="18">
        <v>3304</v>
      </c>
      <c r="G597" s="18">
        <v>252</v>
      </c>
      <c r="H597" s="18">
        <v>76.23</v>
      </c>
      <c r="I597" s="18">
        <v>0.07627</v>
      </c>
      <c r="J597" s="18">
        <v>0.3</v>
      </c>
      <c r="K597" s="18">
        <v>23.07</v>
      </c>
      <c r="L597" s="18">
        <v>0</v>
      </c>
      <c r="M597" s="18">
        <v>0</v>
      </c>
      <c r="N597" s="18">
        <v>0</v>
      </c>
      <c r="O597" s="18">
        <v>0</v>
      </c>
      <c r="P597" s="18">
        <v>0</v>
      </c>
      <c r="Q597" s="18">
        <v>0</v>
      </c>
      <c r="R597" s="18">
        <v>133.6</v>
      </c>
      <c r="S597" s="18">
        <v>0</v>
      </c>
      <c r="T597" s="18">
        <v>133.6</v>
      </c>
      <c r="U597" s="18">
        <v>1</v>
      </c>
      <c r="V597" s="18">
        <v>1</v>
      </c>
      <c r="W597" s="18">
        <v>0</v>
      </c>
      <c r="X597" s="18">
        <v>0.00397</v>
      </c>
      <c r="Y597" s="18">
        <v>1.75</v>
      </c>
      <c r="Z597" s="18">
        <v>1.75</v>
      </c>
      <c r="AA597" s="18">
        <v>76.23</v>
      </c>
      <c r="AB597" s="18">
        <v>4</v>
      </c>
      <c r="AC597" s="18">
        <v>2</v>
      </c>
      <c r="AD597" s="18">
        <v>2</v>
      </c>
      <c r="AE597" s="18">
        <v>0.01587</v>
      </c>
      <c r="AF597" s="18">
        <v>2</v>
      </c>
      <c r="AG597" s="18">
        <v>2</v>
      </c>
      <c r="AH597" s="18">
        <v>38.12</v>
      </c>
      <c r="AI597" s="18">
        <v>8</v>
      </c>
      <c r="AJ597" s="18">
        <v>9.53</v>
      </c>
      <c r="AK597" s="18">
        <v>6</v>
      </c>
      <c r="AL597" s="18">
        <v>12.71</v>
      </c>
      <c r="AM597" s="18">
        <v>4</v>
      </c>
      <c r="AN597" s="18">
        <v>38.12</v>
      </c>
      <c r="AO597" s="18">
        <v>0.00794</v>
      </c>
      <c r="AP597" s="18">
        <v>19.06</v>
      </c>
      <c r="AQ597" s="18">
        <v>1</v>
      </c>
      <c r="AR597" s="18">
        <v>168</v>
      </c>
      <c r="AS597" s="18">
        <v>2</v>
      </c>
      <c r="AT597" s="18">
        <v>0</v>
      </c>
      <c r="AU597" s="18">
        <v>0</v>
      </c>
      <c r="AV597" s="18">
        <v>0</v>
      </c>
      <c r="AW597" s="18">
        <v>0</v>
      </c>
      <c r="AX597" s="18">
        <v>0</v>
      </c>
      <c r="AY597" s="18">
        <v>536</v>
      </c>
      <c r="AZ597" s="18">
        <v>243</v>
      </c>
      <c r="BA597" s="18">
        <v>208</v>
      </c>
      <c r="BB597" s="18">
        <v>0.85597</v>
      </c>
      <c r="BC597" s="18">
        <v>0</v>
      </c>
      <c r="BD597" s="18">
        <v>0</v>
      </c>
      <c r="BE597" s="18">
        <v>0.16223</v>
      </c>
      <c r="BF597" s="18">
        <v>140</v>
      </c>
      <c r="BG597" s="18">
        <v>2</v>
      </c>
      <c r="BH597" s="18">
        <v>1</v>
      </c>
      <c r="BI597" s="18">
        <v>1</v>
      </c>
      <c r="BJ597" s="18">
        <v>0</v>
      </c>
      <c r="BK597" s="18">
        <v>0</v>
      </c>
      <c r="BL597" s="18">
        <v>0</v>
      </c>
      <c r="BM597" s="18">
        <v>1</v>
      </c>
      <c r="BN597" s="18">
        <v>1</v>
      </c>
      <c r="BO597" s="18">
        <v>133.6</v>
      </c>
      <c r="BP597" s="18">
        <v>6.14</v>
      </c>
      <c r="BQ597" s="18">
        <v>454</v>
      </c>
      <c r="BR597" s="18">
        <v>0</v>
      </c>
      <c r="BS597" s="18">
        <v>0</v>
      </c>
      <c r="BT597" s="18">
        <v>0</v>
      </c>
      <c r="BU597" s="18">
        <v>0</v>
      </c>
      <c r="BV597" s="18">
        <v>0</v>
      </c>
      <c r="BW597" s="18">
        <v>0</v>
      </c>
      <c r="BX597" s="18">
        <v>0</v>
      </c>
    </row>
    <row r="598" spans="1:76">
      <c r="A598" s="14" t="str">
        <f>VLOOKUP(C598,VLOOKUP!A:B,2,FALSE)</f>
        <v>如意盘香</v>
      </c>
      <c r="B598" s="19">
        <v>46148</v>
      </c>
      <c r="C598" s="20">
        <v>838711327669</v>
      </c>
      <c r="D598" s="18" t="s">
        <v>151</v>
      </c>
      <c r="E598" s="18" t="s">
        <v>153</v>
      </c>
      <c r="F598" s="18">
        <v>601</v>
      </c>
      <c r="G598" s="18">
        <v>23</v>
      </c>
      <c r="H598" s="18">
        <v>41</v>
      </c>
      <c r="I598" s="18">
        <v>0.03827</v>
      </c>
      <c r="J598" s="18">
        <v>1.78</v>
      </c>
      <c r="K598" s="18">
        <v>68.22</v>
      </c>
      <c r="L598" s="18">
        <v>0</v>
      </c>
      <c r="M598" s="18">
        <v>0</v>
      </c>
      <c r="N598" s="18">
        <v>0</v>
      </c>
      <c r="O598" s="18">
        <v>0</v>
      </c>
      <c r="P598" s="18">
        <v>0</v>
      </c>
      <c r="Q598" s="18">
        <v>0</v>
      </c>
      <c r="R598" s="18">
        <v>0</v>
      </c>
      <c r="S598" s="18">
        <v>732.28</v>
      </c>
      <c r="T598" s="18">
        <v>732.28</v>
      </c>
      <c r="U598" s="18">
        <v>1</v>
      </c>
      <c r="V598" s="18">
        <v>0</v>
      </c>
      <c r="W598" s="18">
        <v>1</v>
      </c>
      <c r="X598" s="18">
        <v>0.04348</v>
      </c>
      <c r="Y598" s="18">
        <v>17.86</v>
      </c>
      <c r="Z598" s="18">
        <v>17.86</v>
      </c>
      <c r="AA598" s="18">
        <v>41</v>
      </c>
      <c r="AB598" s="18">
        <v>7</v>
      </c>
      <c r="AC598" s="18">
        <v>2</v>
      </c>
      <c r="AD598" s="18">
        <v>5</v>
      </c>
      <c r="AE598" s="18">
        <v>0.30435</v>
      </c>
      <c r="AF598" s="18">
        <v>1</v>
      </c>
      <c r="AG598" s="18">
        <v>1</v>
      </c>
      <c r="AH598" s="18">
        <v>41</v>
      </c>
      <c r="AI598" s="18">
        <v>9</v>
      </c>
      <c r="AJ598" s="18">
        <v>4.56</v>
      </c>
      <c r="AK598" s="18">
        <v>8</v>
      </c>
      <c r="AL598" s="18">
        <v>5.13</v>
      </c>
      <c r="AM598" s="18">
        <v>2</v>
      </c>
      <c r="AN598" s="18">
        <v>41</v>
      </c>
      <c r="AO598" s="18">
        <v>0.04348</v>
      </c>
      <c r="AP598" s="18">
        <v>5.86</v>
      </c>
      <c r="AQ598" s="18">
        <v>2</v>
      </c>
      <c r="AR598" s="18">
        <v>1116</v>
      </c>
      <c r="AS598" s="18">
        <v>0</v>
      </c>
      <c r="AT598" s="18">
        <v>1</v>
      </c>
      <c r="AU598" s="18">
        <v>0</v>
      </c>
      <c r="AV598" s="18">
        <v>0</v>
      </c>
      <c r="AW598" s="18">
        <v>0</v>
      </c>
      <c r="AX598" s="18">
        <v>2</v>
      </c>
      <c r="AY598" s="18">
        <v>97</v>
      </c>
      <c r="AZ598" s="18">
        <v>22</v>
      </c>
      <c r="BA598" s="18">
        <v>15</v>
      </c>
      <c r="BB598" s="18">
        <v>0.68182</v>
      </c>
      <c r="BC598" s="18">
        <v>0</v>
      </c>
      <c r="BD598" s="18">
        <v>0</v>
      </c>
      <c r="BE598" s="18">
        <v>0.1614</v>
      </c>
      <c r="BF598" s="18">
        <v>73</v>
      </c>
      <c r="BG598" s="18">
        <v>4</v>
      </c>
      <c r="BH598" s="18">
        <v>1</v>
      </c>
      <c r="BI598" s="18">
        <v>1</v>
      </c>
      <c r="BJ598" s="18">
        <v>0</v>
      </c>
      <c r="BK598" s="18">
        <v>0</v>
      </c>
      <c r="BL598" s="18">
        <v>0</v>
      </c>
      <c r="BM598" s="18">
        <v>1</v>
      </c>
      <c r="BN598" s="18">
        <v>1</v>
      </c>
      <c r="BO598" s="18">
        <v>732.28</v>
      </c>
      <c r="BP598" s="18">
        <v>0</v>
      </c>
      <c r="BQ598" s="18">
        <v>252</v>
      </c>
      <c r="BR598" s="18">
        <v>0</v>
      </c>
      <c r="BS598" s="18">
        <v>0</v>
      </c>
      <c r="BT598" s="18">
        <v>0</v>
      </c>
      <c r="BU598" s="18">
        <v>0</v>
      </c>
      <c r="BV598" s="18">
        <v>0</v>
      </c>
      <c r="BW598" s="18">
        <v>0</v>
      </c>
      <c r="BX598" s="18">
        <v>0</v>
      </c>
    </row>
    <row r="599" spans="1:76">
      <c r="A599" s="14" t="str">
        <f>VLOOKUP(C599,VLOOKUP!A:B,2,FALSE)</f>
        <v>早晚安香</v>
      </c>
      <c r="B599" s="19">
        <v>46147</v>
      </c>
      <c r="C599" s="20">
        <v>1010789122929</v>
      </c>
      <c r="D599" s="18" t="s">
        <v>151</v>
      </c>
      <c r="E599" s="18" t="s">
        <v>179</v>
      </c>
      <c r="F599" s="18">
        <v>470</v>
      </c>
      <c r="G599" s="18">
        <v>30</v>
      </c>
      <c r="H599" s="18">
        <v>20.36</v>
      </c>
      <c r="I599" s="18">
        <v>0.06383</v>
      </c>
      <c r="J599" s="18">
        <v>0.68</v>
      </c>
      <c r="K599" s="18">
        <v>43.32</v>
      </c>
      <c r="L599" s="18">
        <v>0</v>
      </c>
      <c r="M599" s="18">
        <v>0</v>
      </c>
      <c r="N599" s="18">
        <v>0</v>
      </c>
      <c r="O599" s="18">
        <v>0</v>
      </c>
      <c r="P599" s="18">
        <v>0</v>
      </c>
      <c r="Q599" s="18">
        <v>0</v>
      </c>
      <c r="R599" s="18">
        <v>0</v>
      </c>
      <c r="S599" s="18">
        <v>0</v>
      </c>
      <c r="T599" s="18">
        <v>0</v>
      </c>
      <c r="U599" s="18">
        <v>0</v>
      </c>
      <c r="V599" s="18">
        <v>0</v>
      </c>
      <c r="W599" s="18">
        <v>0</v>
      </c>
      <c r="X599" s="18">
        <v>0</v>
      </c>
      <c r="Y599" s="18">
        <v>0</v>
      </c>
      <c r="Z599" s="18">
        <v>0</v>
      </c>
      <c r="AA599" s="18"/>
      <c r="AB599" s="18">
        <v>2</v>
      </c>
      <c r="AC599" s="18">
        <v>2</v>
      </c>
      <c r="AD599" s="18">
        <v>0</v>
      </c>
      <c r="AE599" s="18">
        <v>0.06667</v>
      </c>
      <c r="AF599" s="18">
        <v>1</v>
      </c>
      <c r="AG599" s="18">
        <v>0</v>
      </c>
      <c r="AH599" s="18"/>
      <c r="AI599" s="18">
        <v>3</v>
      </c>
      <c r="AJ599" s="18">
        <v>6.79</v>
      </c>
      <c r="AK599" s="18">
        <v>3</v>
      </c>
      <c r="AL599" s="18">
        <v>6.79</v>
      </c>
      <c r="AM599" s="18">
        <v>1</v>
      </c>
      <c r="AN599" s="18">
        <v>20.36</v>
      </c>
      <c r="AO599" s="18">
        <v>0.03333</v>
      </c>
      <c r="AP599" s="18">
        <v>10.18</v>
      </c>
      <c r="AQ599" s="18">
        <v>1</v>
      </c>
      <c r="AR599" s="18">
        <v>69</v>
      </c>
      <c r="AS599" s="18">
        <v>1</v>
      </c>
      <c r="AT599" s="18">
        <v>0</v>
      </c>
      <c r="AU599" s="18">
        <v>0</v>
      </c>
      <c r="AV599" s="18">
        <v>0</v>
      </c>
      <c r="AW599" s="18">
        <v>0</v>
      </c>
      <c r="AX599" s="18">
        <v>0</v>
      </c>
      <c r="AY599" s="18">
        <v>68</v>
      </c>
      <c r="AZ599" s="18">
        <v>28</v>
      </c>
      <c r="BA599" s="18">
        <v>4</v>
      </c>
      <c r="BB599" s="18">
        <v>0.14286</v>
      </c>
      <c r="BC599" s="18">
        <v>0</v>
      </c>
      <c r="BD599" s="18">
        <v>0</v>
      </c>
      <c r="BE599" s="18">
        <v>0.14468</v>
      </c>
      <c r="BF599" s="18">
        <v>36</v>
      </c>
      <c r="BG599" s="18">
        <v>2</v>
      </c>
      <c r="BH599" s="18">
        <v>0</v>
      </c>
      <c r="BI599" s="18"/>
      <c r="BJ599" s="18">
        <v>0</v>
      </c>
      <c r="BK599" s="18">
        <v>0</v>
      </c>
      <c r="BL599" s="18">
        <v>0</v>
      </c>
      <c r="BM599" s="18">
        <v>0</v>
      </c>
      <c r="BN599" s="18"/>
      <c r="BO599" s="18"/>
      <c r="BP599" s="18">
        <v>0</v>
      </c>
      <c r="BQ599" s="18">
        <v>231</v>
      </c>
      <c r="BR599" s="18">
        <v>0</v>
      </c>
      <c r="BS599" s="18">
        <v>0</v>
      </c>
      <c r="BT599" s="18">
        <v>0</v>
      </c>
      <c r="BU599" s="18">
        <v>0</v>
      </c>
      <c r="BV599" s="18">
        <v>0</v>
      </c>
      <c r="BW599" s="18">
        <v>0</v>
      </c>
      <c r="BX599" s="18">
        <v>0</v>
      </c>
    </row>
    <row r="600" spans="1:76">
      <c r="A600" s="14" t="str">
        <f>VLOOKUP(C600,VLOOKUP!A:B,2,FALSE)</f>
        <v>荔枝香</v>
      </c>
      <c r="B600" s="19">
        <v>46147</v>
      </c>
      <c r="C600" s="20">
        <v>960406497157</v>
      </c>
      <c r="D600" s="18" t="s">
        <v>151</v>
      </c>
      <c r="E600" s="18" t="s">
        <v>156</v>
      </c>
      <c r="F600" s="18">
        <v>3876</v>
      </c>
      <c r="G600" s="18">
        <v>301</v>
      </c>
      <c r="H600" s="18">
        <v>91.44</v>
      </c>
      <c r="I600" s="18">
        <v>0.07766</v>
      </c>
      <c r="J600" s="18">
        <v>0.3</v>
      </c>
      <c r="K600" s="18">
        <v>23.59</v>
      </c>
      <c r="L600" s="18">
        <v>0</v>
      </c>
      <c r="M600" s="18">
        <v>0</v>
      </c>
      <c r="N600" s="18">
        <v>0</v>
      </c>
      <c r="O600" s="18">
        <v>0</v>
      </c>
      <c r="P600" s="18">
        <v>0</v>
      </c>
      <c r="Q600" s="18">
        <v>0</v>
      </c>
      <c r="R600" s="18">
        <v>0</v>
      </c>
      <c r="S600" s="18">
        <v>0</v>
      </c>
      <c r="T600" s="18">
        <v>0</v>
      </c>
      <c r="U600" s="18">
        <v>0</v>
      </c>
      <c r="V600" s="18">
        <v>0</v>
      </c>
      <c r="W600" s="18">
        <v>0</v>
      </c>
      <c r="X600" s="18">
        <v>0</v>
      </c>
      <c r="Y600" s="18">
        <v>0</v>
      </c>
      <c r="Z600" s="18">
        <v>0</v>
      </c>
      <c r="AA600" s="18"/>
      <c r="AB600" s="18">
        <v>8</v>
      </c>
      <c r="AC600" s="18">
        <v>6</v>
      </c>
      <c r="AD600" s="18">
        <v>2</v>
      </c>
      <c r="AE600" s="18">
        <v>0.02658</v>
      </c>
      <c r="AF600" s="18">
        <v>2</v>
      </c>
      <c r="AG600" s="18">
        <v>0</v>
      </c>
      <c r="AH600" s="18"/>
      <c r="AI600" s="18">
        <v>10</v>
      </c>
      <c r="AJ600" s="18">
        <v>9.14</v>
      </c>
      <c r="AK600" s="18">
        <v>10</v>
      </c>
      <c r="AL600" s="18">
        <v>9.14</v>
      </c>
      <c r="AM600" s="18">
        <v>2</v>
      </c>
      <c r="AN600" s="18">
        <v>45.72</v>
      </c>
      <c r="AO600" s="18">
        <v>0.00664</v>
      </c>
      <c r="AP600" s="18">
        <v>11.43</v>
      </c>
      <c r="AQ600" s="18">
        <v>0</v>
      </c>
      <c r="AR600" s="18">
        <v>0</v>
      </c>
      <c r="AS600" s="18">
        <v>2</v>
      </c>
      <c r="AT600" s="18">
        <v>0</v>
      </c>
      <c r="AU600" s="18">
        <v>0</v>
      </c>
      <c r="AV600" s="18">
        <v>0</v>
      </c>
      <c r="AW600" s="18">
        <v>0</v>
      </c>
      <c r="AX600" s="18">
        <v>1</v>
      </c>
      <c r="AY600" s="18">
        <v>729</v>
      </c>
      <c r="AZ600" s="18">
        <v>289</v>
      </c>
      <c r="BA600" s="18">
        <v>235</v>
      </c>
      <c r="BB600" s="18">
        <v>0.81315</v>
      </c>
      <c r="BC600" s="18">
        <v>0</v>
      </c>
      <c r="BD600" s="18">
        <v>0</v>
      </c>
      <c r="BE600" s="18">
        <v>0.18808</v>
      </c>
      <c r="BF600" s="18">
        <v>215</v>
      </c>
      <c r="BG600" s="18">
        <v>3</v>
      </c>
      <c r="BH600" s="18">
        <v>0</v>
      </c>
      <c r="BI600" s="18"/>
      <c r="BJ600" s="18">
        <v>0</v>
      </c>
      <c r="BK600" s="18">
        <v>0</v>
      </c>
      <c r="BL600" s="18">
        <v>0</v>
      </c>
      <c r="BM600" s="18">
        <v>0</v>
      </c>
      <c r="BN600" s="18"/>
      <c r="BO600" s="18"/>
      <c r="BP600" s="18">
        <v>7.25</v>
      </c>
      <c r="BQ600" s="18">
        <v>293</v>
      </c>
      <c r="BR600" s="18">
        <v>0</v>
      </c>
      <c r="BS600" s="18">
        <v>0</v>
      </c>
      <c r="BT600" s="18">
        <v>0</v>
      </c>
      <c r="BU600" s="18">
        <v>0</v>
      </c>
      <c r="BV600" s="18">
        <v>0</v>
      </c>
      <c r="BW600" s="18">
        <v>0</v>
      </c>
      <c r="BX600" s="18">
        <v>0</v>
      </c>
    </row>
    <row r="601" spans="1:76">
      <c r="A601" s="14" t="str">
        <f>VLOOKUP(C601,VLOOKUP!A:B,2,FALSE)</f>
        <v>如意盘香</v>
      </c>
      <c r="B601" s="19">
        <v>46147</v>
      </c>
      <c r="C601" s="20">
        <v>838711327669</v>
      </c>
      <c r="D601" s="18" t="s">
        <v>151</v>
      </c>
      <c r="E601" s="18" t="s">
        <v>153</v>
      </c>
      <c r="F601" s="18">
        <v>762</v>
      </c>
      <c r="G601" s="18">
        <v>28</v>
      </c>
      <c r="H601" s="18">
        <v>38.06</v>
      </c>
      <c r="I601" s="18">
        <v>0.03675</v>
      </c>
      <c r="J601" s="18">
        <v>1.36</v>
      </c>
      <c r="K601" s="18">
        <v>49.95</v>
      </c>
      <c r="L601" s="18">
        <v>0</v>
      </c>
      <c r="M601" s="18">
        <v>0</v>
      </c>
      <c r="N601" s="18">
        <v>0</v>
      </c>
      <c r="O601" s="18">
        <v>0</v>
      </c>
      <c r="P601" s="18">
        <v>0</v>
      </c>
      <c r="Q601" s="18">
        <v>0</v>
      </c>
      <c r="R601" s="18">
        <v>0</v>
      </c>
      <c r="S601" s="18">
        <v>138.64</v>
      </c>
      <c r="T601" s="18">
        <v>138.64</v>
      </c>
      <c r="U601" s="18">
        <v>1</v>
      </c>
      <c r="V601" s="18">
        <v>0</v>
      </c>
      <c r="W601" s="18">
        <v>1</v>
      </c>
      <c r="X601" s="18">
        <v>0.03571</v>
      </c>
      <c r="Y601" s="18">
        <v>3.64</v>
      </c>
      <c r="Z601" s="18">
        <v>3.64</v>
      </c>
      <c r="AA601" s="18">
        <v>38.06</v>
      </c>
      <c r="AB601" s="18">
        <v>2</v>
      </c>
      <c r="AC601" s="18">
        <v>0</v>
      </c>
      <c r="AD601" s="18">
        <v>2</v>
      </c>
      <c r="AE601" s="18">
        <v>0.07143</v>
      </c>
      <c r="AF601" s="18">
        <v>0</v>
      </c>
      <c r="AG601" s="18">
        <v>0</v>
      </c>
      <c r="AH601" s="18"/>
      <c r="AI601" s="18">
        <v>2</v>
      </c>
      <c r="AJ601" s="18">
        <v>19.03</v>
      </c>
      <c r="AK601" s="18">
        <v>2</v>
      </c>
      <c r="AL601" s="18">
        <v>19.03</v>
      </c>
      <c r="AM601" s="18">
        <v>0</v>
      </c>
      <c r="AN601" s="18"/>
      <c r="AO601" s="18">
        <v>0</v>
      </c>
      <c r="AP601" s="18">
        <v>19.03</v>
      </c>
      <c r="AQ601" s="18">
        <v>1</v>
      </c>
      <c r="AR601" s="18">
        <v>168</v>
      </c>
      <c r="AS601" s="18">
        <v>0</v>
      </c>
      <c r="AT601" s="18">
        <v>0</v>
      </c>
      <c r="AU601" s="18">
        <v>0</v>
      </c>
      <c r="AV601" s="18">
        <v>0</v>
      </c>
      <c r="AW601" s="18">
        <v>0</v>
      </c>
      <c r="AX601" s="18">
        <v>2</v>
      </c>
      <c r="AY601" s="18">
        <v>84</v>
      </c>
      <c r="AZ601" s="18">
        <v>22</v>
      </c>
      <c r="BA601" s="18">
        <v>15</v>
      </c>
      <c r="BB601" s="18">
        <v>0.68182</v>
      </c>
      <c r="BC601" s="18">
        <v>0</v>
      </c>
      <c r="BD601" s="18">
        <v>0</v>
      </c>
      <c r="BE601" s="18">
        <v>0.11024</v>
      </c>
      <c r="BF601" s="18">
        <v>57</v>
      </c>
      <c r="BG601" s="18">
        <v>4</v>
      </c>
      <c r="BH601" s="18">
        <v>1</v>
      </c>
      <c r="BI601" s="18">
        <v>1</v>
      </c>
      <c r="BJ601" s="18">
        <v>0</v>
      </c>
      <c r="BK601" s="18">
        <v>0</v>
      </c>
      <c r="BL601" s="18">
        <v>0</v>
      </c>
      <c r="BM601" s="18">
        <v>1</v>
      </c>
      <c r="BN601" s="18">
        <v>1</v>
      </c>
      <c r="BO601" s="18">
        <v>138.64</v>
      </c>
      <c r="BP601" s="18">
        <v>9.61</v>
      </c>
      <c r="BQ601" s="18">
        <v>244</v>
      </c>
      <c r="BR601" s="18">
        <v>0</v>
      </c>
      <c r="BS601" s="18">
        <v>0</v>
      </c>
      <c r="BT601" s="18">
        <v>0</v>
      </c>
      <c r="BU601" s="18">
        <v>0</v>
      </c>
      <c r="BV601" s="18">
        <v>0</v>
      </c>
      <c r="BW601" s="18">
        <v>0</v>
      </c>
      <c r="BX601" s="18">
        <v>0</v>
      </c>
    </row>
    <row r="602" spans="1:76">
      <c r="A602" s="14" t="str">
        <f>VLOOKUP(C602,VLOOKUP!A:B,2,FALSE)</f>
        <v>早晚安香</v>
      </c>
      <c r="B602" s="19">
        <v>46146</v>
      </c>
      <c r="C602" s="20">
        <v>1010789122929</v>
      </c>
      <c r="D602" s="18" t="s">
        <v>151</v>
      </c>
      <c r="E602" s="18" t="s">
        <v>179</v>
      </c>
      <c r="F602" s="18">
        <v>443</v>
      </c>
      <c r="G602" s="18">
        <v>19</v>
      </c>
      <c r="H602" s="18">
        <v>13.72</v>
      </c>
      <c r="I602" s="18">
        <v>0.04289</v>
      </c>
      <c r="J602" s="18">
        <v>0.72</v>
      </c>
      <c r="K602" s="18">
        <v>30.97</v>
      </c>
      <c r="L602" s="18">
        <v>0</v>
      </c>
      <c r="M602" s="18">
        <v>0</v>
      </c>
      <c r="N602" s="18">
        <v>0</v>
      </c>
      <c r="O602" s="18">
        <v>0</v>
      </c>
      <c r="P602" s="18">
        <v>0</v>
      </c>
      <c r="Q602" s="18">
        <v>0</v>
      </c>
      <c r="R602" s="18">
        <v>0</v>
      </c>
      <c r="S602" s="18">
        <v>0</v>
      </c>
      <c r="T602" s="18">
        <v>0</v>
      </c>
      <c r="U602" s="18">
        <v>0</v>
      </c>
      <c r="V602" s="18">
        <v>0</v>
      </c>
      <c r="W602" s="18">
        <v>0</v>
      </c>
      <c r="X602" s="18">
        <v>0</v>
      </c>
      <c r="Y602" s="18">
        <v>0</v>
      </c>
      <c r="Z602" s="18">
        <v>0</v>
      </c>
      <c r="AA602" s="18"/>
      <c r="AB602" s="18">
        <v>0</v>
      </c>
      <c r="AC602" s="18">
        <v>0</v>
      </c>
      <c r="AD602" s="18">
        <v>0</v>
      </c>
      <c r="AE602" s="18">
        <v>0</v>
      </c>
      <c r="AF602" s="18">
        <v>1</v>
      </c>
      <c r="AG602" s="18">
        <v>0</v>
      </c>
      <c r="AH602" s="18"/>
      <c r="AI602" s="18">
        <v>1</v>
      </c>
      <c r="AJ602" s="18">
        <v>13.72</v>
      </c>
      <c r="AK602" s="18">
        <v>1</v>
      </c>
      <c r="AL602" s="18">
        <v>13.72</v>
      </c>
      <c r="AM602" s="18">
        <v>1</v>
      </c>
      <c r="AN602" s="18">
        <v>13.72</v>
      </c>
      <c r="AO602" s="18">
        <v>0.05263</v>
      </c>
      <c r="AP602" s="18"/>
      <c r="AQ602" s="18">
        <v>0</v>
      </c>
      <c r="AR602" s="18">
        <v>0</v>
      </c>
      <c r="AS602" s="18">
        <v>1</v>
      </c>
      <c r="AT602" s="18">
        <v>0</v>
      </c>
      <c r="AU602" s="18">
        <v>0</v>
      </c>
      <c r="AV602" s="18">
        <v>0</v>
      </c>
      <c r="AW602" s="18">
        <v>0</v>
      </c>
      <c r="AX602" s="18">
        <v>0</v>
      </c>
      <c r="AY602" s="18">
        <v>30</v>
      </c>
      <c r="AZ602" s="18">
        <v>18</v>
      </c>
      <c r="BA602" s="18">
        <v>6</v>
      </c>
      <c r="BB602" s="18">
        <v>0.33333</v>
      </c>
      <c r="BC602" s="18">
        <v>0</v>
      </c>
      <c r="BD602" s="18">
        <v>0</v>
      </c>
      <c r="BE602" s="18">
        <v>0.06772</v>
      </c>
      <c r="BF602" s="18">
        <v>8</v>
      </c>
      <c r="BG602" s="18">
        <v>2</v>
      </c>
      <c r="BH602" s="18">
        <v>0</v>
      </c>
      <c r="BI602" s="18"/>
      <c r="BJ602" s="18">
        <v>0</v>
      </c>
      <c r="BK602" s="18">
        <v>0</v>
      </c>
      <c r="BL602" s="18">
        <v>0</v>
      </c>
      <c r="BM602" s="18">
        <v>0</v>
      </c>
      <c r="BN602" s="18"/>
      <c r="BO602" s="18"/>
      <c r="BP602" s="18">
        <v>0</v>
      </c>
      <c r="BQ602" s="18">
        <v>74</v>
      </c>
      <c r="BR602" s="18">
        <v>0</v>
      </c>
      <c r="BS602" s="18">
        <v>0</v>
      </c>
      <c r="BT602" s="18">
        <v>0</v>
      </c>
      <c r="BU602" s="18">
        <v>0</v>
      </c>
      <c r="BV602" s="18">
        <v>0</v>
      </c>
      <c r="BW602" s="18">
        <v>0</v>
      </c>
      <c r="BX602" s="18">
        <v>0</v>
      </c>
    </row>
    <row r="603" spans="1:76">
      <c r="A603" s="14" t="str">
        <f>VLOOKUP(C603,VLOOKUP!A:B,2,FALSE)</f>
        <v>荔枝香</v>
      </c>
      <c r="B603" s="19">
        <v>46146</v>
      </c>
      <c r="C603" s="20">
        <v>960406497157</v>
      </c>
      <c r="D603" s="18" t="s">
        <v>151</v>
      </c>
      <c r="E603" s="18" t="s">
        <v>156</v>
      </c>
      <c r="F603" s="18">
        <v>3996</v>
      </c>
      <c r="G603" s="18">
        <v>291</v>
      </c>
      <c r="H603" s="18">
        <v>88.71</v>
      </c>
      <c r="I603" s="18">
        <v>0.07282</v>
      </c>
      <c r="J603" s="18">
        <v>0.3</v>
      </c>
      <c r="K603" s="18">
        <v>22.2</v>
      </c>
      <c r="L603" s="18">
        <v>0</v>
      </c>
      <c r="M603" s="18">
        <v>0</v>
      </c>
      <c r="N603" s="18">
        <v>0</v>
      </c>
      <c r="O603" s="18">
        <v>0</v>
      </c>
      <c r="P603" s="18">
        <v>0</v>
      </c>
      <c r="Q603" s="18">
        <v>0</v>
      </c>
      <c r="R603" s="18">
        <v>0</v>
      </c>
      <c r="S603" s="18">
        <v>0</v>
      </c>
      <c r="T603" s="18">
        <v>0</v>
      </c>
      <c r="U603" s="18">
        <v>0</v>
      </c>
      <c r="V603" s="18">
        <v>0</v>
      </c>
      <c r="W603" s="18">
        <v>0</v>
      </c>
      <c r="X603" s="18">
        <v>0</v>
      </c>
      <c r="Y603" s="18">
        <v>0</v>
      </c>
      <c r="Z603" s="18">
        <v>0</v>
      </c>
      <c r="AA603" s="18"/>
      <c r="AB603" s="18">
        <v>9</v>
      </c>
      <c r="AC603" s="18">
        <v>6</v>
      </c>
      <c r="AD603" s="18">
        <v>3</v>
      </c>
      <c r="AE603" s="18">
        <v>0.03093</v>
      </c>
      <c r="AF603" s="18">
        <v>1</v>
      </c>
      <c r="AG603" s="18">
        <v>1</v>
      </c>
      <c r="AH603" s="18">
        <v>88.71</v>
      </c>
      <c r="AI603" s="18">
        <v>11</v>
      </c>
      <c r="AJ603" s="18">
        <v>8.06</v>
      </c>
      <c r="AK603" s="18">
        <v>10</v>
      </c>
      <c r="AL603" s="18">
        <v>8.87</v>
      </c>
      <c r="AM603" s="18">
        <v>2</v>
      </c>
      <c r="AN603" s="18">
        <v>88.71</v>
      </c>
      <c r="AO603" s="18">
        <v>0.00344</v>
      </c>
      <c r="AP603" s="18">
        <v>9.86</v>
      </c>
      <c r="AQ603" s="18">
        <v>0</v>
      </c>
      <c r="AR603" s="18">
        <v>0</v>
      </c>
      <c r="AS603" s="18">
        <v>1</v>
      </c>
      <c r="AT603" s="18">
        <v>0</v>
      </c>
      <c r="AU603" s="18">
        <v>0</v>
      </c>
      <c r="AV603" s="18">
        <v>0</v>
      </c>
      <c r="AW603" s="18">
        <v>0</v>
      </c>
      <c r="AX603" s="18">
        <v>1</v>
      </c>
      <c r="AY603" s="18">
        <v>606</v>
      </c>
      <c r="AZ603" s="18">
        <v>288</v>
      </c>
      <c r="BA603" s="18">
        <v>249</v>
      </c>
      <c r="BB603" s="18">
        <v>0.86458</v>
      </c>
      <c r="BC603" s="18">
        <v>0</v>
      </c>
      <c r="BD603" s="18">
        <v>0</v>
      </c>
      <c r="BE603" s="18">
        <v>0.15165</v>
      </c>
      <c r="BF603" s="18">
        <v>161</v>
      </c>
      <c r="BG603" s="18">
        <v>2</v>
      </c>
      <c r="BH603" s="18">
        <v>0</v>
      </c>
      <c r="BI603" s="18"/>
      <c r="BJ603" s="18">
        <v>0</v>
      </c>
      <c r="BK603" s="18">
        <v>0</v>
      </c>
      <c r="BL603" s="18">
        <v>0</v>
      </c>
      <c r="BM603" s="18">
        <v>0</v>
      </c>
      <c r="BN603" s="18"/>
      <c r="BO603" s="18"/>
      <c r="BP603" s="18">
        <v>4.38</v>
      </c>
      <c r="BQ603" s="18">
        <v>379</v>
      </c>
      <c r="BR603" s="18">
        <v>0</v>
      </c>
      <c r="BS603" s="18">
        <v>0</v>
      </c>
      <c r="BT603" s="18">
        <v>0</v>
      </c>
      <c r="BU603" s="18">
        <v>0</v>
      </c>
      <c r="BV603" s="18">
        <v>0</v>
      </c>
      <c r="BW603" s="18">
        <v>0</v>
      </c>
      <c r="BX603" s="18">
        <v>0</v>
      </c>
    </row>
    <row r="604" spans="1:76">
      <c r="A604" s="14" t="str">
        <f>VLOOKUP(C604,VLOOKUP!A:B,2,FALSE)</f>
        <v>如意盘香</v>
      </c>
      <c r="B604" s="19">
        <v>46146</v>
      </c>
      <c r="C604" s="20">
        <v>838711327669</v>
      </c>
      <c r="D604" s="18" t="s">
        <v>151</v>
      </c>
      <c r="E604" s="18" t="s">
        <v>153</v>
      </c>
      <c r="F604" s="18">
        <v>779</v>
      </c>
      <c r="G604" s="18">
        <v>27</v>
      </c>
      <c r="H604" s="18">
        <v>34.43</v>
      </c>
      <c r="I604" s="18">
        <v>0.03466</v>
      </c>
      <c r="J604" s="18">
        <v>1.28</v>
      </c>
      <c r="K604" s="18">
        <v>44.2</v>
      </c>
      <c r="L604" s="18">
        <v>0</v>
      </c>
      <c r="M604" s="18">
        <v>0</v>
      </c>
      <c r="N604" s="18">
        <v>0</v>
      </c>
      <c r="O604" s="18">
        <v>0</v>
      </c>
      <c r="P604" s="18">
        <v>0</v>
      </c>
      <c r="Q604" s="18">
        <v>0</v>
      </c>
      <c r="R604" s="18">
        <v>0</v>
      </c>
      <c r="S604" s="18">
        <v>0</v>
      </c>
      <c r="T604" s="18">
        <v>0</v>
      </c>
      <c r="U604" s="18">
        <v>0</v>
      </c>
      <c r="V604" s="18">
        <v>0</v>
      </c>
      <c r="W604" s="18">
        <v>0</v>
      </c>
      <c r="X604" s="18">
        <v>0</v>
      </c>
      <c r="Y604" s="18">
        <v>0</v>
      </c>
      <c r="Z604" s="18">
        <v>0</v>
      </c>
      <c r="AA604" s="18"/>
      <c r="AB604" s="18">
        <v>1</v>
      </c>
      <c r="AC604" s="18">
        <v>0</v>
      </c>
      <c r="AD604" s="18">
        <v>1</v>
      </c>
      <c r="AE604" s="18">
        <v>0.03704</v>
      </c>
      <c r="AF604" s="18">
        <v>0</v>
      </c>
      <c r="AG604" s="18">
        <v>1</v>
      </c>
      <c r="AH604" s="18">
        <v>34.43</v>
      </c>
      <c r="AI604" s="18">
        <v>2</v>
      </c>
      <c r="AJ604" s="18">
        <v>17.22</v>
      </c>
      <c r="AK604" s="18">
        <v>1</v>
      </c>
      <c r="AL604" s="18">
        <v>34.43</v>
      </c>
      <c r="AM604" s="18">
        <v>1</v>
      </c>
      <c r="AN604" s="18"/>
      <c r="AO604" s="18">
        <v>0</v>
      </c>
      <c r="AP604" s="18">
        <v>34.43</v>
      </c>
      <c r="AQ604" s="18">
        <v>0</v>
      </c>
      <c r="AR604" s="18">
        <v>0</v>
      </c>
      <c r="AS604" s="18">
        <v>0</v>
      </c>
      <c r="AT604" s="18">
        <v>0</v>
      </c>
      <c r="AU604" s="18">
        <v>0</v>
      </c>
      <c r="AV604" s="18">
        <v>0</v>
      </c>
      <c r="AW604" s="18">
        <v>0</v>
      </c>
      <c r="AX604" s="18">
        <v>1</v>
      </c>
      <c r="AY604" s="18">
        <v>116</v>
      </c>
      <c r="AZ604" s="18">
        <v>24</v>
      </c>
      <c r="BA604" s="18">
        <v>19</v>
      </c>
      <c r="BB604" s="18">
        <v>0.79167</v>
      </c>
      <c r="BC604" s="18">
        <v>0</v>
      </c>
      <c r="BD604" s="18">
        <v>0</v>
      </c>
      <c r="BE604" s="18">
        <v>0.14891</v>
      </c>
      <c r="BF604" s="18">
        <v>89</v>
      </c>
      <c r="BG604" s="18">
        <v>5</v>
      </c>
      <c r="BH604" s="18">
        <v>0</v>
      </c>
      <c r="BI604" s="18"/>
      <c r="BJ604" s="18">
        <v>0</v>
      </c>
      <c r="BK604" s="18">
        <v>0</v>
      </c>
      <c r="BL604" s="18">
        <v>0</v>
      </c>
      <c r="BM604" s="18">
        <v>0</v>
      </c>
      <c r="BN604" s="18"/>
      <c r="BO604" s="18"/>
      <c r="BP604" s="18">
        <v>2.23</v>
      </c>
      <c r="BQ604" s="18">
        <v>92</v>
      </c>
      <c r="BR604" s="18">
        <v>0</v>
      </c>
      <c r="BS604" s="18">
        <v>0</v>
      </c>
      <c r="BT604" s="18">
        <v>0</v>
      </c>
      <c r="BU604" s="18">
        <v>0</v>
      </c>
      <c r="BV604" s="18">
        <v>0</v>
      </c>
      <c r="BW604" s="18">
        <v>0</v>
      </c>
      <c r="BX604" s="18">
        <v>0</v>
      </c>
    </row>
    <row r="605" spans="1:76">
      <c r="A605" s="14" t="str">
        <f>VLOOKUP(C605,VLOOKUP!A:B,2,FALSE)</f>
        <v>早晚安香</v>
      </c>
      <c r="B605" s="19">
        <v>46145</v>
      </c>
      <c r="C605" s="20">
        <v>1010789122929</v>
      </c>
      <c r="D605" s="18" t="s">
        <v>151</v>
      </c>
      <c r="E605" s="18" t="s">
        <v>179</v>
      </c>
      <c r="F605" s="18">
        <v>421</v>
      </c>
      <c r="G605" s="18">
        <v>21</v>
      </c>
      <c r="H605" s="18">
        <v>18.13</v>
      </c>
      <c r="I605" s="18">
        <v>0.04988</v>
      </c>
      <c r="J605" s="18">
        <v>0.86</v>
      </c>
      <c r="K605" s="18">
        <v>43.06</v>
      </c>
      <c r="L605" s="18">
        <v>0</v>
      </c>
      <c r="M605" s="18">
        <v>0</v>
      </c>
      <c r="N605" s="18">
        <v>0</v>
      </c>
      <c r="O605" s="18">
        <v>0</v>
      </c>
      <c r="P605" s="18">
        <v>0</v>
      </c>
      <c r="Q605" s="18">
        <v>0</v>
      </c>
      <c r="R605" s="18">
        <v>0</v>
      </c>
      <c r="S605" s="18">
        <v>0</v>
      </c>
      <c r="T605" s="18">
        <v>0</v>
      </c>
      <c r="U605" s="18">
        <v>0</v>
      </c>
      <c r="V605" s="18">
        <v>0</v>
      </c>
      <c r="W605" s="18">
        <v>0</v>
      </c>
      <c r="X605" s="18">
        <v>0</v>
      </c>
      <c r="Y605" s="18">
        <v>0</v>
      </c>
      <c r="Z605" s="18">
        <v>0</v>
      </c>
      <c r="AA605" s="18"/>
      <c r="AB605" s="18">
        <v>0</v>
      </c>
      <c r="AC605" s="18">
        <v>0</v>
      </c>
      <c r="AD605" s="18">
        <v>0</v>
      </c>
      <c r="AE605" s="18">
        <v>0</v>
      </c>
      <c r="AF605" s="18">
        <v>1</v>
      </c>
      <c r="AG605" s="18">
        <v>0</v>
      </c>
      <c r="AH605" s="18"/>
      <c r="AI605" s="18">
        <v>1</v>
      </c>
      <c r="AJ605" s="18">
        <v>18.13</v>
      </c>
      <c r="AK605" s="18">
        <v>1</v>
      </c>
      <c r="AL605" s="18">
        <v>18.13</v>
      </c>
      <c r="AM605" s="18">
        <v>1</v>
      </c>
      <c r="AN605" s="18">
        <v>18.13</v>
      </c>
      <c r="AO605" s="18">
        <v>0.04762</v>
      </c>
      <c r="AP605" s="18"/>
      <c r="AQ605" s="18">
        <v>0</v>
      </c>
      <c r="AR605" s="18">
        <v>0</v>
      </c>
      <c r="AS605" s="18">
        <v>1</v>
      </c>
      <c r="AT605" s="18">
        <v>0</v>
      </c>
      <c r="AU605" s="18">
        <v>0</v>
      </c>
      <c r="AV605" s="18">
        <v>0</v>
      </c>
      <c r="AW605" s="18">
        <v>0</v>
      </c>
      <c r="AX605" s="18">
        <v>0</v>
      </c>
      <c r="AY605" s="18">
        <v>38</v>
      </c>
      <c r="AZ605" s="18">
        <v>21</v>
      </c>
      <c r="BA605" s="18">
        <v>5</v>
      </c>
      <c r="BB605" s="18">
        <v>0.2381</v>
      </c>
      <c r="BC605" s="18">
        <v>0</v>
      </c>
      <c r="BD605" s="18">
        <v>0</v>
      </c>
      <c r="BE605" s="18">
        <v>0.09026</v>
      </c>
      <c r="BF605" s="18">
        <v>13</v>
      </c>
      <c r="BG605" s="18">
        <v>2</v>
      </c>
      <c r="BH605" s="18">
        <v>0</v>
      </c>
      <c r="BI605" s="18"/>
      <c r="BJ605" s="18">
        <v>0</v>
      </c>
      <c r="BK605" s="18">
        <v>0</v>
      </c>
      <c r="BL605" s="18">
        <v>0</v>
      </c>
      <c r="BM605" s="18">
        <v>0</v>
      </c>
      <c r="BN605" s="18"/>
      <c r="BO605" s="18"/>
      <c r="BP605" s="18">
        <v>0</v>
      </c>
      <c r="BQ605" s="18">
        <v>92</v>
      </c>
      <c r="BR605" s="18">
        <v>0</v>
      </c>
      <c r="BS605" s="18">
        <v>0</v>
      </c>
      <c r="BT605" s="18">
        <v>0</v>
      </c>
      <c r="BU605" s="18">
        <v>0</v>
      </c>
      <c r="BV605" s="18">
        <v>0</v>
      </c>
      <c r="BW605" s="18">
        <v>0</v>
      </c>
      <c r="BX605" s="18">
        <v>0</v>
      </c>
    </row>
    <row r="606" spans="1:76">
      <c r="A606" s="14" t="str">
        <f>VLOOKUP(C606,VLOOKUP!A:B,2,FALSE)</f>
        <v>荔枝香</v>
      </c>
      <c r="B606" s="19">
        <v>46145</v>
      </c>
      <c r="C606" s="20">
        <v>960406497157</v>
      </c>
      <c r="D606" s="18" t="s">
        <v>151</v>
      </c>
      <c r="E606" s="18" t="s">
        <v>156</v>
      </c>
      <c r="F606" s="18">
        <v>3558</v>
      </c>
      <c r="G606" s="18">
        <v>301</v>
      </c>
      <c r="H606" s="18">
        <v>94.64</v>
      </c>
      <c r="I606" s="18">
        <v>0.0846</v>
      </c>
      <c r="J606" s="18">
        <v>0.31</v>
      </c>
      <c r="K606" s="18">
        <v>26.6</v>
      </c>
      <c r="L606" s="18">
        <v>0</v>
      </c>
      <c r="M606" s="18">
        <v>0</v>
      </c>
      <c r="N606" s="18">
        <v>0</v>
      </c>
      <c r="O606" s="18">
        <v>0</v>
      </c>
      <c r="P606" s="18">
        <v>0</v>
      </c>
      <c r="Q606" s="18">
        <v>0</v>
      </c>
      <c r="R606" s="18">
        <v>0</v>
      </c>
      <c r="S606" s="18">
        <v>0</v>
      </c>
      <c r="T606" s="18">
        <v>0</v>
      </c>
      <c r="U606" s="18">
        <v>0</v>
      </c>
      <c r="V606" s="18">
        <v>0</v>
      </c>
      <c r="W606" s="18">
        <v>0</v>
      </c>
      <c r="X606" s="18">
        <v>0</v>
      </c>
      <c r="Y606" s="18">
        <v>0</v>
      </c>
      <c r="Z606" s="18">
        <v>0</v>
      </c>
      <c r="AA606" s="18"/>
      <c r="AB606" s="18">
        <v>5</v>
      </c>
      <c r="AC606" s="18">
        <v>3</v>
      </c>
      <c r="AD606" s="18">
        <v>2</v>
      </c>
      <c r="AE606" s="18">
        <v>0.01661</v>
      </c>
      <c r="AF606" s="18">
        <v>0</v>
      </c>
      <c r="AG606" s="18">
        <v>0</v>
      </c>
      <c r="AH606" s="18"/>
      <c r="AI606" s="18">
        <v>5</v>
      </c>
      <c r="AJ606" s="18">
        <v>18.93</v>
      </c>
      <c r="AK606" s="18">
        <v>5</v>
      </c>
      <c r="AL606" s="18">
        <v>18.93</v>
      </c>
      <c r="AM606" s="18">
        <v>0</v>
      </c>
      <c r="AN606" s="18"/>
      <c r="AO606" s="18">
        <v>0</v>
      </c>
      <c r="AP606" s="18">
        <v>18.93</v>
      </c>
      <c r="AQ606" s="18">
        <v>0</v>
      </c>
      <c r="AR606" s="18">
        <v>0</v>
      </c>
      <c r="AS606" s="18">
        <v>0</v>
      </c>
      <c r="AT606" s="18">
        <v>0</v>
      </c>
      <c r="AU606" s="18">
        <v>0</v>
      </c>
      <c r="AV606" s="18">
        <v>0</v>
      </c>
      <c r="AW606" s="18">
        <v>0</v>
      </c>
      <c r="AX606" s="18">
        <v>0</v>
      </c>
      <c r="AY606" s="18">
        <v>644</v>
      </c>
      <c r="AZ606" s="18">
        <v>301</v>
      </c>
      <c r="BA606" s="18">
        <v>254</v>
      </c>
      <c r="BB606" s="18">
        <v>0.84385</v>
      </c>
      <c r="BC606" s="18">
        <v>0</v>
      </c>
      <c r="BD606" s="18">
        <v>0</v>
      </c>
      <c r="BE606" s="18">
        <v>0.181</v>
      </c>
      <c r="BF606" s="18">
        <v>140</v>
      </c>
      <c r="BG606" s="18">
        <v>2</v>
      </c>
      <c r="BH606" s="18">
        <v>0</v>
      </c>
      <c r="BI606" s="18"/>
      <c r="BJ606" s="18">
        <v>0</v>
      </c>
      <c r="BK606" s="18">
        <v>0</v>
      </c>
      <c r="BL606" s="18">
        <v>0</v>
      </c>
      <c r="BM606" s="18">
        <v>0</v>
      </c>
      <c r="BN606" s="18"/>
      <c r="BO606" s="18"/>
      <c r="BP606" s="18">
        <v>4.78</v>
      </c>
      <c r="BQ606" s="18">
        <v>342</v>
      </c>
      <c r="BR606" s="18">
        <v>0</v>
      </c>
      <c r="BS606" s="18">
        <v>0</v>
      </c>
      <c r="BT606" s="18">
        <v>0</v>
      </c>
      <c r="BU606" s="18">
        <v>0</v>
      </c>
      <c r="BV606" s="18">
        <v>0</v>
      </c>
      <c r="BW606" s="18">
        <v>0</v>
      </c>
      <c r="BX606" s="18">
        <v>0</v>
      </c>
    </row>
    <row r="607" spans="1:76">
      <c r="A607" s="14" t="str">
        <f>VLOOKUP(C607,VLOOKUP!A:B,2,FALSE)</f>
        <v>如意盘香</v>
      </c>
      <c r="B607" s="19">
        <v>46145</v>
      </c>
      <c r="C607" s="20">
        <v>838711327669</v>
      </c>
      <c r="D607" s="18" t="s">
        <v>151</v>
      </c>
      <c r="E607" s="18" t="s">
        <v>153</v>
      </c>
      <c r="F607" s="18">
        <v>750</v>
      </c>
      <c r="G607" s="18">
        <v>28</v>
      </c>
      <c r="H607" s="18">
        <v>35.22</v>
      </c>
      <c r="I607" s="18">
        <v>0.03733</v>
      </c>
      <c r="J607" s="18">
        <v>1.26</v>
      </c>
      <c r="K607" s="18">
        <v>46.96</v>
      </c>
      <c r="L607" s="18">
        <v>0</v>
      </c>
      <c r="M607" s="18">
        <v>0</v>
      </c>
      <c r="N607" s="18">
        <v>0</v>
      </c>
      <c r="O607" s="18">
        <v>0</v>
      </c>
      <c r="P607" s="18">
        <v>0</v>
      </c>
      <c r="Q607" s="18">
        <v>0</v>
      </c>
      <c r="R607" s="18">
        <v>0</v>
      </c>
      <c r="S607" s="18">
        <v>125.1</v>
      </c>
      <c r="T607" s="18">
        <v>125.1</v>
      </c>
      <c r="U607" s="18">
        <v>2</v>
      </c>
      <c r="V607" s="18">
        <v>0</v>
      </c>
      <c r="W607" s="18">
        <v>2</v>
      </c>
      <c r="X607" s="18">
        <v>0.07143</v>
      </c>
      <c r="Y607" s="18">
        <v>3.55</v>
      </c>
      <c r="Z607" s="18">
        <v>3.55</v>
      </c>
      <c r="AA607" s="18">
        <v>17.61</v>
      </c>
      <c r="AB607" s="18">
        <v>1</v>
      </c>
      <c r="AC607" s="18">
        <v>0</v>
      </c>
      <c r="AD607" s="18">
        <v>1</v>
      </c>
      <c r="AE607" s="18">
        <v>0.03571</v>
      </c>
      <c r="AF607" s="18">
        <v>0</v>
      </c>
      <c r="AG607" s="18">
        <v>2</v>
      </c>
      <c r="AH607" s="18">
        <v>17.61</v>
      </c>
      <c r="AI607" s="18">
        <v>3</v>
      </c>
      <c r="AJ607" s="18">
        <v>11.74</v>
      </c>
      <c r="AK607" s="18">
        <v>1</v>
      </c>
      <c r="AL607" s="18">
        <v>35.22</v>
      </c>
      <c r="AM607" s="18">
        <v>2</v>
      </c>
      <c r="AN607" s="18"/>
      <c r="AO607" s="18">
        <v>0</v>
      </c>
      <c r="AP607" s="18">
        <v>35.22</v>
      </c>
      <c r="AQ607" s="18">
        <v>3</v>
      </c>
      <c r="AR607" s="18">
        <v>176.9</v>
      </c>
      <c r="AS607" s="18">
        <v>0</v>
      </c>
      <c r="AT607" s="18">
        <v>0</v>
      </c>
      <c r="AU607" s="18">
        <v>0</v>
      </c>
      <c r="AV607" s="18">
        <v>0</v>
      </c>
      <c r="AW607" s="18">
        <v>0</v>
      </c>
      <c r="AX607" s="18">
        <v>1</v>
      </c>
      <c r="AY607" s="18">
        <v>125</v>
      </c>
      <c r="AZ607" s="18">
        <v>21</v>
      </c>
      <c r="BA607" s="18">
        <v>15</v>
      </c>
      <c r="BB607" s="18">
        <v>0.71429</v>
      </c>
      <c r="BC607" s="18">
        <v>0</v>
      </c>
      <c r="BD607" s="18">
        <v>0</v>
      </c>
      <c r="BE607" s="18">
        <v>0.16667</v>
      </c>
      <c r="BF607" s="18">
        <v>98</v>
      </c>
      <c r="BG607" s="18">
        <v>6</v>
      </c>
      <c r="BH607" s="18">
        <v>1</v>
      </c>
      <c r="BI607" s="18">
        <v>1</v>
      </c>
      <c r="BJ607" s="18">
        <v>0</v>
      </c>
      <c r="BK607" s="18">
        <v>0</v>
      </c>
      <c r="BL607" s="18">
        <v>0</v>
      </c>
      <c r="BM607" s="18">
        <v>1</v>
      </c>
      <c r="BN607" s="18">
        <v>2</v>
      </c>
      <c r="BO607" s="18">
        <v>125.1</v>
      </c>
      <c r="BP607" s="18">
        <v>0</v>
      </c>
      <c r="BQ607" s="18">
        <v>129</v>
      </c>
      <c r="BR607" s="18">
        <v>0</v>
      </c>
      <c r="BS607" s="18">
        <v>0</v>
      </c>
      <c r="BT607" s="18">
        <v>0</v>
      </c>
      <c r="BU607" s="18">
        <v>0</v>
      </c>
      <c r="BV607" s="18">
        <v>0</v>
      </c>
      <c r="BW607" s="18">
        <v>0</v>
      </c>
      <c r="BX607" s="18">
        <v>0</v>
      </c>
    </row>
    <row r="608" spans="1:76">
      <c r="A608" s="14" t="str">
        <f>VLOOKUP(C608,VLOOKUP!A:B,2,FALSE)</f>
        <v>早晚安香</v>
      </c>
      <c r="B608" s="19">
        <v>46144</v>
      </c>
      <c r="C608" s="20">
        <v>1010789122929</v>
      </c>
      <c r="D608" s="18" t="s">
        <v>151</v>
      </c>
      <c r="E608" s="18" t="s">
        <v>179</v>
      </c>
      <c r="F608" s="18">
        <v>379</v>
      </c>
      <c r="G608" s="18">
        <v>25</v>
      </c>
      <c r="H608" s="18">
        <v>15.48</v>
      </c>
      <c r="I608" s="18">
        <v>0.06596</v>
      </c>
      <c r="J608" s="18">
        <v>0.62</v>
      </c>
      <c r="K608" s="18">
        <v>40.84</v>
      </c>
      <c r="L608" s="18">
        <v>0</v>
      </c>
      <c r="M608" s="18">
        <v>0</v>
      </c>
      <c r="N608" s="18">
        <v>0</v>
      </c>
      <c r="O608" s="18">
        <v>0</v>
      </c>
      <c r="P608" s="18">
        <v>0</v>
      </c>
      <c r="Q608" s="18">
        <v>0</v>
      </c>
      <c r="R608" s="18">
        <v>0</v>
      </c>
      <c r="S608" s="18">
        <v>0</v>
      </c>
      <c r="T608" s="18">
        <v>0</v>
      </c>
      <c r="U608" s="18">
        <v>0</v>
      </c>
      <c r="V608" s="18">
        <v>0</v>
      </c>
      <c r="W608" s="18">
        <v>0</v>
      </c>
      <c r="X608" s="18">
        <v>0</v>
      </c>
      <c r="Y608" s="18">
        <v>0</v>
      </c>
      <c r="Z608" s="18">
        <v>0</v>
      </c>
      <c r="AA608" s="18"/>
      <c r="AB608" s="18">
        <v>1</v>
      </c>
      <c r="AC608" s="18">
        <v>1</v>
      </c>
      <c r="AD608" s="18">
        <v>0</v>
      </c>
      <c r="AE608" s="18">
        <v>0.04</v>
      </c>
      <c r="AF608" s="18">
        <v>1</v>
      </c>
      <c r="AG608" s="18">
        <v>1</v>
      </c>
      <c r="AH608" s="18">
        <v>15.48</v>
      </c>
      <c r="AI608" s="18">
        <v>3</v>
      </c>
      <c r="AJ608" s="18">
        <v>5.16</v>
      </c>
      <c r="AK608" s="18">
        <v>2</v>
      </c>
      <c r="AL608" s="18">
        <v>7.74</v>
      </c>
      <c r="AM608" s="18">
        <v>2</v>
      </c>
      <c r="AN608" s="18">
        <v>15.48</v>
      </c>
      <c r="AO608" s="18">
        <v>0.04</v>
      </c>
      <c r="AP608" s="18">
        <v>15.48</v>
      </c>
      <c r="AQ608" s="18">
        <v>0</v>
      </c>
      <c r="AR608" s="18">
        <v>0</v>
      </c>
      <c r="AS608" s="18">
        <v>1</v>
      </c>
      <c r="AT608" s="18">
        <v>0</v>
      </c>
      <c r="AU608" s="18">
        <v>0</v>
      </c>
      <c r="AV608" s="18">
        <v>0</v>
      </c>
      <c r="AW608" s="18">
        <v>0</v>
      </c>
      <c r="AX608" s="18">
        <v>0</v>
      </c>
      <c r="AY608" s="18">
        <v>86</v>
      </c>
      <c r="AZ608" s="18">
        <v>25</v>
      </c>
      <c r="BA608" s="18">
        <v>7</v>
      </c>
      <c r="BB608" s="18">
        <v>0.28</v>
      </c>
      <c r="BC608" s="18">
        <v>0</v>
      </c>
      <c r="BD608" s="18">
        <v>0</v>
      </c>
      <c r="BE608" s="18">
        <v>0.22691</v>
      </c>
      <c r="BF608" s="18">
        <v>54</v>
      </c>
      <c r="BG608" s="18">
        <v>3</v>
      </c>
      <c r="BH608" s="18">
        <v>0</v>
      </c>
      <c r="BI608" s="18"/>
      <c r="BJ608" s="18">
        <v>0</v>
      </c>
      <c r="BK608" s="18">
        <v>0</v>
      </c>
      <c r="BL608" s="18">
        <v>0</v>
      </c>
      <c r="BM608" s="18">
        <v>0</v>
      </c>
      <c r="BN608" s="18"/>
      <c r="BO608" s="18"/>
      <c r="BP608" s="18">
        <v>2.23</v>
      </c>
      <c r="BQ608" s="18">
        <v>150</v>
      </c>
      <c r="BR608" s="18">
        <v>0</v>
      </c>
      <c r="BS608" s="18">
        <v>0</v>
      </c>
      <c r="BT608" s="18">
        <v>0</v>
      </c>
      <c r="BU608" s="18">
        <v>0</v>
      </c>
      <c r="BV608" s="18">
        <v>0</v>
      </c>
      <c r="BW608" s="18">
        <v>0</v>
      </c>
      <c r="BX608" s="18">
        <v>0</v>
      </c>
    </row>
    <row r="609" spans="1:76">
      <c r="A609" s="14" t="str">
        <f>VLOOKUP(C609,VLOOKUP!A:B,2,FALSE)</f>
        <v>荔枝香</v>
      </c>
      <c r="B609" s="19">
        <v>46144</v>
      </c>
      <c r="C609" s="20">
        <v>960406497157</v>
      </c>
      <c r="D609" s="18" t="s">
        <v>151</v>
      </c>
      <c r="E609" s="18" t="s">
        <v>156</v>
      </c>
      <c r="F609" s="18">
        <v>4241</v>
      </c>
      <c r="G609" s="18">
        <v>278</v>
      </c>
      <c r="H609" s="18">
        <v>80.11</v>
      </c>
      <c r="I609" s="18">
        <v>0.06555</v>
      </c>
      <c r="J609" s="18">
        <v>0.29</v>
      </c>
      <c r="K609" s="18">
        <v>18.89</v>
      </c>
      <c r="L609" s="18">
        <v>0</v>
      </c>
      <c r="M609" s="18">
        <v>0</v>
      </c>
      <c r="N609" s="18">
        <v>0</v>
      </c>
      <c r="O609" s="18">
        <v>0</v>
      </c>
      <c r="P609" s="18">
        <v>0</v>
      </c>
      <c r="Q609" s="18">
        <v>0</v>
      </c>
      <c r="R609" s="18">
        <v>151</v>
      </c>
      <c r="S609" s="18">
        <v>0</v>
      </c>
      <c r="T609" s="18">
        <v>151</v>
      </c>
      <c r="U609" s="18">
        <v>1</v>
      </c>
      <c r="V609" s="18">
        <v>1</v>
      </c>
      <c r="W609" s="18">
        <v>0</v>
      </c>
      <c r="X609" s="18">
        <v>0.0036</v>
      </c>
      <c r="Y609" s="18">
        <v>1.88</v>
      </c>
      <c r="Z609" s="18">
        <v>1.88</v>
      </c>
      <c r="AA609" s="18">
        <v>80.11</v>
      </c>
      <c r="AB609" s="18">
        <v>5</v>
      </c>
      <c r="AC609" s="18">
        <v>5</v>
      </c>
      <c r="AD609" s="18">
        <v>0</v>
      </c>
      <c r="AE609" s="18">
        <v>0.01799</v>
      </c>
      <c r="AF609" s="18">
        <v>2</v>
      </c>
      <c r="AG609" s="18">
        <v>2</v>
      </c>
      <c r="AH609" s="18">
        <v>40.06</v>
      </c>
      <c r="AI609" s="18">
        <v>9</v>
      </c>
      <c r="AJ609" s="18">
        <v>8.9</v>
      </c>
      <c r="AK609" s="18">
        <v>7</v>
      </c>
      <c r="AL609" s="18">
        <v>11.44</v>
      </c>
      <c r="AM609" s="18">
        <v>4</v>
      </c>
      <c r="AN609" s="18">
        <v>40.06</v>
      </c>
      <c r="AO609" s="18">
        <v>0.00719</v>
      </c>
      <c r="AP609" s="18">
        <v>16.02</v>
      </c>
      <c r="AQ609" s="18">
        <v>2</v>
      </c>
      <c r="AR609" s="18">
        <v>217.9</v>
      </c>
      <c r="AS609" s="18">
        <v>2</v>
      </c>
      <c r="AT609" s="18">
        <v>0</v>
      </c>
      <c r="AU609" s="18">
        <v>0</v>
      </c>
      <c r="AV609" s="18">
        <v>0</v>
      </c>
      <c r="AW609" s="18">
        <v>0</v>
      </c>
      <c r="AX609" s="18">
        <v>0</v>
      </c>
      <c r="AY609" s="18">
        <v>573</v>
      </c>
      <c r="AZ609" s="18">
        <v>275</v>
      </c>
      <c r="BA609" s="18">
        <v>234</v>
      </c>
      <c r="BB609" s="18">
        <v>0.85091</v>
      </c>
      <c r="BC609" s="18">
        <v>0</v>
      </c>
      <c r="BD609" s="18">
        <v>0</v>
      </c>
      <c r="BE609" s="18">
        <v>0.13511</v>
      </c>
      <c r="BF609" s="18">
        <v>126</v>
      </c>
      <c r="BG609" s="18">
        <v>2</v>
      </c>
      <c r="BH609" s="18">
        <v>1</v>
      </c>
      <c r="BI609" s="18">
        <v>1</v>
      </c>
      <c r="BJ609" s="18">
        <v>0</v>
      </c>
      <c r="BK609" s="18">
        <v>0</v>
      </c>
      <c r="BL609" s="18">
        <v>0</v>
      </c>
      <c r="BM609" s="18">
        <v>1</v>
      </c>
      <c r="BN609" s="18">
        <v>1</v>
      </c>
      <c r="BO609" s="18">
        <v>151</v>
      </c>
      <c r="BP609" s="18">
        <v>2.9</v>
      </c>
      <c r="BQ609" s="18">
        <v>603</v>
      </c>
      <c r="BR609" s="18">
        <v>0</v>
      </c>
      <c r="BS609" s="18">
        <v>0</v>
      </c>
      <c r="BT609" s="18">
        <v>0</v>
      </c>
      <c r="BU609" s="18">
        <v>0</v>
      </c>
      <c r="BV609" s="18">
        <v>0</v>
      </c>
      <c r="BW609" s="18">
        <v>0</v>
      </c>
      <c r="BX609" s="18">
        <v>0</v>
      </c>
    </row>
    <row r="610" spans="1:76">
      <c r="A610" s="14" t="str">
        <f>VLOOKUP(C610,VLOOKUP!A:B,2,FALSE)</f>
        <v>如意盘香</v>
      </c>
      <c r="B610" s="19">
        <v>46144</v>
      </c>
      <c r="C610" s="20">
        <v>838711327669</v>
      </c>
      <c r="D610" s="18" t="s">
        <v>151</v>
      </c>
      <c r="E610" s="18" t="s">
        <v>153</v>
      </c>
      <c r="F610" s="18">
        <v>1119</v>
      </c>
      <c r="G610" s="18">
        <v>30</v>
      </c>
      <c r="H610" s="18">
        <v>32.63</v>
      </c>
      <c r="I610" s="18">
        <v>0.02681</v>
      </c>
      <c r="J610" s="18">
        <v>1.09</v>
      </c>
      <c r="K610" s="18">
        <v>29.16</v>
      </c>
      <c r="L610" s="18">
        <v>0</v>
      </c>
      <c r="M610" s="18">
        <v>0</v>
      </c>
      <c r="N610" s="18">
        <v>0</v>
      </c>
      <c r="O610" s="18">
        <v>0</v>
      </c>
      <c r="P610" s="18">
        <v>0</v>
      </c>
      <c r="Q610" s="18">
        <v>0</v>
      </c>
      <c r="R610" s="18">
        <v>0</v>
      </c>
      <c r="S610" s="18">
        <v>0</v>
      </c>
      <c r="T610" s="18">
        <v>0</v>
      </c>
      <c r="U610" s="18">
        <v>0</v>
      </c>
      <c r="V610" s="18">
        <v>0</v>
      </c>
      <c r="W610" s="18">
        <v>0</v>
      </c>
      <c r="X610" s="18">
        <v>0</v>
      </c>
      <c r="Y610" s="18">
        <v>0</v>
      </c>
      <c r="Z610" s="18">
        <v>0</v>
      </c>
      <c r="AA610" s="18"/>
      <c r="AB610" s="18">
        <v>0</v>
      </c>
      <c r="AC610" s="18">
        <v>0</v>
      </c>
      <c r="AD610" s="18">
        <v>0</v>
      </c>
      <c r="AE610" s="18">
        <v>0</v>
      </c>
      <c r="AF610" s="18">
        <v>0</v>
      </c>
      <c r="AG610" s="18">
        <v>1</v>
      </c>
      <c r="AH610" s="18">
        <v>32.63</v>
      </c>
      <c r="AI610" s="18">
        <v>1</v>
      </c>
      <c r="AJ610" s="18">
        <v>32.63</v>
      </c>
      <c r="AK610" s="18">
        <v>0</v>
      </c>
      <c r="AL610" s="18"/>
      <c r="AM610" s="18">
        <v>1</v>
      </c>
      <c r="AN610" s="18"/>
      <c r="AO610" s="18">
        <v>0</v>
      </c>
      <c r="AP610" s="18"/>
      <c r="AQ610" s="18">
        <v>0</v>
      </c>
      <c r="AR610" s="18">
        <v>0</v>
      </c>
      <c r="AS610" s="18">
        <v>0</v>
      </c>
      <c r="AT610" s="18">
        <v>0</v>
      </c>
      <c r="AU610" s="18">
        <v>0</v>
      </c>
      <c r="AV610" s="18">
        <v>0</v>
      </c>
      <c r="AW610" s="18">
        <v>0</v>
      </c>
      <c r="AX610" s="18">
        <v>0</v>
      </c>
      <c r="AY610" s="18">
        <v>75</v>
      </c>
      <c r="AZ610" s="18">
        <v>24</v>
      </c>
      <c r="BA610" s="18">
        <v>17</v>
      </c>
      <c r="BB610" s="18">
        <v>0.70833</v>
      </c>
      <c r="BC610" s="18">
        <v>0</v>
      </c>
      <c r="BD610" s="18">
        <v>0</v>
      </c>
      <c r="BE610" s="18">
        <v>0.06702</v>
      </c>
      <c r="BF610" s="18">
        <v>45</v>
      </c>
      <c r="BG610" s="18">
        <v>3</v>
      </c>
      <c r="BH610" s="18">
        <v>0</v>
      </c>
      <c r="BI610" s="18"/>
      <c r="BJ610" s="18">
        <v>0</v>
      </c>
      <c r="BK610" s="18">
        <v>0</v>
      </c>
      <c r="BL610" s="18">
        <v>0</v>
      </c>
      <c r="BM610" s="18">
        <v>0</v>
      </c>
      <c r="BN610" s="18"/>
      <c r="BO610" s="18"/>
      <c r="BP610" s="18">
        <v>0</v>
      </c>
      <c r="BQ610" s="18">
        <v>33</v>
      </c>
      <c r="BR610" s="18">
        <v>0</v>
      </c>
      <c r="BS610" s="18">
        <v>0</v>
      </c>
      <c r="BT610" s="18">
        <v>0</v>
      </c>
      <c r="BU610" s="18">
        <v>0</v>
      </c>
      <c r="BV610" s="18">
        <v>0</v>
      </c>
      <c r="BW610" s="18">
        <v>0</v>
      </c>
      <c r="BX610" s="18">
        <v>0</v>
      </c>
    </row>
    <row r="611" spans="1:76">
      <c r="A611" s="14" t="str">
        <f>VLOOKUP(C611,VLOOKUP!A:B,2,FALSE)</f>
        <v>早晚安香</v>
      </c>
      <c r="B611" s="19">
        <v>46143</v>
      </c>
      <c r="C611" s="20">
        <v>1010789122929</v>
      </c>
      <c r="D611" s="18" t="s">
        <v>151</v>
      </c>
      <c r="E611" s="18" t="s">
        <v>179</v>
      </c>
      <c r="F611" s="18">
        <v>428</v>
      </c>
      <c r="G611" s="18">
        <v>27</v>
      </c>
      <c r="H611" s="18">
        <v>14.28</v>
      </c>
      <c r="I611" s="18">
        <v>0.06308</v>
      </c>
      <c r="J611" s="18">
        <v>0.53</v>
      </c>
      <c r="K611" s="18">
        <v>33.36</v>
      </c>
      <c r="L611" s="18">
        <v>0</v>
      </c>
      <c r="M611" s="18">
        <v>0</v>
      </c>
      <c r="N611" s="18">
        <v>0</v>
      </c>
      <c r="O611" s="18">
        <v>0</v>
      </c>
      <c r="P611" s="18">
        <v>0</v>
      </c>
      <c r="Q611" s="18">
        <v>0</v>
      </c>
      <c r="R611" s="18">
        <v>0</v>
      </c>
      <c r="S611" s="18">
        <v>0</v>
      </c>
      <c r="T611" s="18">
        <v>0</v>
      </c>
      <c r="U611" s="18">
        <v>0</v>
      </c>
      <c r="V611" s="18">
        <v>0</v>
      </c>
      <c r="W611" s="18">
        <v>0</v>
      </c>
      <c r="X611" s="18">
        <v>0</v>
      </c>
      <c r="Y611" s="18">
        <v>0</v>
      </c>
      <c r="Z611" s="18">
        <v>0</v>
      </c>
      <c r="AA611" s="18"/>
      <c r="AB611" s="18">
        <v>1</v>
      </c>
      <c r="AC611" s="18">
        <v>0</v>
      </c>
      <c r="AD611" s="18">
        <v>1</v>
      </c>
      <c r="AE611" s="18">
        <v>0.03704</v>
      </c>
      <c r="AF611" s="18">
        <v>1</v>
      </c>
      <c r="AG611" s="18">
        <v>0</v>
      </c>
      <c r="AH611" s="18"/>
      <c r="AI611" s="18">
        <v>2</v>
      </c>
      <c r="AJ611" s="18">
        <v>7.14</v>
      </c>
      <c r="AK611" s="18">
        <v>2</v>
      </c>
      <c r="AL611" s="18">
        <v>7.14</v>
      </c>
      <c r="AM611" s="18">
        <v>1</v>
      </c>
      <c r="AN611" s="18">
        <v>14.28</v>
      </c>
      <c r="AO611" s="18">
        <v>0.03704</v>
      </c>
      <c r="AP611" s="18">
        <v>14.28</v>
      </c>
      <c r="AQ611" s="18">
        <v>0</v>
      </c>
      <c r="AR611" s="18">
        <v>0</v>
      </c>
      <c r="AS611" s="18">
        <v>1</v>
      </c>
      <c r="AT611" s="18">
        <v>0</v>
      </c>
      <c r="AU611" s="18">
        <v>0</v>
      </c>
      <c r="AV611" s="18">
        <v>0</v>
      </c>
      <c r="AW611" s="18">
        <v>0</v>
      </c>
      <c r="AX611" s="18">
        <v>0</v>
      </c>
      <c r="AY611" s="18">
        <v>58</v>
      </c>
      <c r="AZ611" s="18">
        <v>22</v>
      </c>
      <c r="BA611" s="18">
        <v>7</v>
      </c>
      <c r="BB611" s="18">
        <v>0.31818</v>
      </c>
      <c r="BC611" s="18">
        <v>0</v>
      </c>
      <c r="BD611" s="18">
        <v>0</v>
      </c>
      <c r="BE611" s="18">
        <v>0.13551</v>
      </c>
      <c r="BF611" s="18">
        <v>30</v>
      </c>
      <c r="BG611" s="18">
        <v>3</v>
      </c>
      <c r="BH611" s="18">
        <v>0</v>
      </c>
      <c r="BI611" s="18"/>
      <c r="BJ611" s="18">
        <v>0</v>
      </c>
      <c r="BK611" s="18">
        <v>0</v>
      </c>
      <c r="BL611" s="18">
        <v>0</v>
      </c>
      <c r="BM611" s="18">
        <v>0</v>
      </c>
      <c r="BN611" s="18"/>
      <c r="BO611" s="18"/>
      <c r="BP611" s="18">
        <v>2.05</v>
      </c>
      <c r="BQ611" s="18">
        <v>149</v>
      </c>
      <c r="BR611" s="18">
        <v>0</v>
      </c>
      <c r="BS611" s="18">
        <v>0</v>
      </c>
      <c r="BT611" s="18">
        <v>0</v>
      </c>
      <c r="BU611" s="18">
        <v>0</v>
      </c>
      <c r="BV611" s="18">
        <v>0</v>
      </c>
      <c r="BW611" s="18">
        <v>0</v>
      </c>
      <c r="BX611" s="18">
        <v>0</v>
      </c>
    </row>
    <row r="612" spans="1:76">
      <c r="A612" s="14" t="str">
        <f>VLOOKUP(C612,VLOOKUP!A:B,2,FALSE)</f>
        <v>荔枝香</v>
      </c>
      <c r="B612" s="19">
        <v>46143</v>
      </c>
      <c r="C612" s="20">
        <v>960406497157</v>
      </c>
      <c r="D612" s="18" t="s">
        <v>151</v>
      </c>
      <c r="E612" s="18" t="s">
        <v>156</v>
      </c>
      <c r="F612" s="18">
        <v>4176</v>
      </c>
      <c r="G612" s="18">
        <v>298</v>
      </c>
      <c r="H612" s="18">
        <v>87.91</v>
      </c>
      <c r="I612" s="18">
        <v>0.07136</v>
      </c>
      <c r="J612" s="18">
        <v>0.3</v>
      </c>
      <c r="K612" s="18">
        <v>21.05</v>
      </c>
      <c r="L612" s="18">
        <v>0</v>
      </c>
      <c r="M612" s="18">
        <v>0</v>
      </c>
      <c r="N612" s="18">
        <v>0</v>
      </c>
      <c r="O612" s="18">
        <v>0</v>
      </c>
      <c r="P612" s="18">
        <v>0</v>
      </c>
      <c r="Q612" s="18">
        <v>0</v>
      </c>
      <c r="R612" s="18">
        <v>0</v>
      </c>
      <c r="S612" s="18">
        <v>0</v>
      </c>
      <c r="T612" s="18">
        <v>0</v>
      </c>
      <c r="U612" s="18">
        <v>0</v>
      </c>
      <c r="V612" s="18">
        <v>0</v>
      </c>
      <c r="W612" s="18">
        <v>0</v>
      </c>
      <c r="X612" s="18">
        <v>0</v>
      </c>
      <c r="Y612" s="18">
        <v>0</v>
      </c>
      <c r="Z612" s="18">
        <v>0</v>
      </c>
      <c r="AA612" s="18"/>
      <c r="AB612" s="18">
        <v>10</v>
      </c>
      <c r="AC612" s="18">
        <v>8</v>
      </c>
      <c r="AD612" s="18">
        <v>2</v>
      </c>
      <c r="AE612" s="18">
        <v>0.03356</v>
      </c>
      <c r="AF612" s="18">
        <v>1</v>
      </c>
      <c r="AG612" s="18">
        <v>0</v>
      </c>
      <c r="AH612" s="18"/>
      <c r="AI612" s="18">
        <v>11</v>
      </c>
      <c r="AJ612" s="18">
        <v>7.99</v>
      </c>
      <c r="AK612" s="18">
        <v>11</v>
      </c>
      <c r="AL612" s="18">
        <v>7.99</v>
      </c>
      <c r="AM612" s="18">
        <v>1</v>
      </c>
      <c r="AN612" s="18">
        <v>87.91</v>
      </c>
      <c r="AO612" s="18">
        <v>0.00336</v>
      </c>
      <c r="AP612" s="18">
        <v>8.79</v>
      </c>
      <c r="AQ612" s="18">
        <v>0</v>
      </c>
      <c r="AR612" s="18">
        <v>0</v>
      </c>
      <c r="AS612" s="18">
        <v>1</v>
      </c>
      <c r="AT612" s="18">
        <v>0</v>
      </c>
      <c r="AU612" s="18">
        <v>0</v>
      </c>
      <c r="AV612" s="18">
        <v>0</v>
      </c>
      <c r="AW612" s="18">
        <v>0</v>
      </c>
      <c r="AX612" s="18">
        <v>0</v>
      </c>
      <c r="AY612" s="18">
        <v>562</v>
      </c>
      <c r="AZ612" s="18">
        <v>282</v>
      </c>
      <c r="BA612" s="18">
        <v>246</v>
      </c>
      <c r="BB612" s="18">
        <v>0.87234</v>
      </c>
      <c r="BC612" s="18">
        <v>0</v>
      </c>
      <c r="BD612" s="18">
        <v>0</v>
      </c>
      <c r="BE612" s="18">
        <v>0.13458</v>
      </c>
      <c r="BF612" s="18">
        <v>177</v>
      </c>
      <c r="BG612" s="18">
        <v>2</v>
      </c>
      <c r="BH612" s="18">
        <v>0</v>
      </c>
      <c r="BI612" s="18"/>
      <c r="BJ612" s="18">
        <v>0</v>
      </c>
      <c r="BK612" s="18">
        <v>0</v>
      </c>
      <c r="BL612" s="18">
        <v>0</v>
      </c>
      <c r="BM612" s="18">
        <v>0</v>
      </c>
      <c r="BN612" s="18"/>
      <c r="BO612" s="18"/>
      <c r="BP612" s="18">
        <v>0.08</v>
      </c>
      <c r="BQ612" s="18">
        <v>364</v>
      </c>
      <c r="BR612" s="18">
        <v>0</v>
      </c>
      <c r="BS612" s="18">
        <v>0</v>
      </c>
      <c r="BT612" s="18">
        <v>0</v>
      </c>
      <c r="BU612" s="18">
        <v>0</v>
      </c>
      <c r="BV612" s="18">
        <v>0</v>
      </c>
      <c r="BW612" s="18">
        <v>0</v>
      </c>
      <c r="BX612" s="18">
        <v>0</v>
      </c>
    </row>
    <row r="613" spans="1:76">
      <c r="A613" s="14" t="str">
        <f>VLOOKUP(C613,VLOOKUP!A:B,2,FALSE)</f>
        <v>如意盘香</v>
      </c>
      <c r="B613" s="19">
        <v>46143</v>
      </c>
      <c r="C613" s="20">
        <v>838711327669</v>
      </c>
      <c r="D613" s="18" t="s">
        <v>151</v>
      </c>
      <c r="E613" s="18" t="s">
        <v>153</v>
      </c>
      <c r="F613" s="18">
        <v>845</v>
      </c>
      <c r="G613" s="18">
        <v>34</v>
      </c>
      <c r="H613" s="18">
        <v>36.33</v>
      </c>
      <c r="I613" s="18">
        <v>0.04024</v>
      </c>
      <c r="J613" s="18">
        <v>1.07</v>
      </c>
      <c r="K613" s="18">
        <v>42.99</v>
      </c>
      <c r="L613" s="18">
        <v>0</v>
      </c>
      <c r="M613" s="18">
        <v>0</v>
      </c>
      <c r="N613" s="18">
        <v>0</v>
      </c>
      <c r="O613" s="18">
        <v>0</v>
      </c>
      <c r="P613" s="18">
        <v>0</v>
      </c>
      <c r="Q613" s="18">
        <v>0</v>
      </c>
      <c r="R613" s="18">
        <v>70.2</v>
      </c>
      <c r="S613" s="18">
        <v>0</v>
      </c>
      <c r="T613" s="18">
        <v>70.2</v>
      </c>
      <c r="U613" s="18">
        <v>1</v>
      </c>
      <c r="V613" s="18">
        <v>1</v>
      </c>
      <c r="W613" s="18">
        <v>0</v>
      </c>
      <c r="X613" s="18">
        <v>0.02941</v>
      </c>
      <c r="Y613" s="18">
        <v>1.93</v>
      </c>
      <c r="Z613" s="18">
        <v>1.93</v>
      </c>
      <c r="AA613" s="18">
        <v>36.33</v>
      </c>
      <c r="AB613" s="18">
        <v>1</v>
      </c>
      <c r="AC613" s="18">
        <v>1</v>
      </c>
      <c r="AD613" s="18">
        <v>0</v>
      </c>
      <c r="AE613" s="18">
        <v>0.02941</v>
      </c>
      <c r="AF613" s="18">
        <v>0</v>
      </c>
      <c r="AG613" s="18">
        <v>0</v>
      </c>
      <c r="AH613" s="18"/>
      <c r="AI613" s="18">
        <v>1</v>
      </c>
      <c r="AJ613" s="18">
        <v>36.33</v>
      </c>
      <c r="AK613" s="18">
        <v>1</v>
      </c>
      <c r="AL613" s="18">
        <v>36.33</v>
      </c>
      <c r="AM613" s="18">
        <v>0</v>
      </c>
      <c r="AN613" s="18"/>
      <c r="AO613" s="18">
        <v>0</v>
      </c>
      <c r="AP613" s="18">
        <v>36.33</v>
      </c>
      <c r="AQ613" s="18">
        <v>1</v>
      </c>
      <c r="AR613" s="18">
        <v>78</v>
      </c>
      <c r="AS613" s="18">
        <v>0</v>
      </c>
      <c r="AT613" s="18">
        <v>0</v>
      </c>
      <c r="AU613" s="18">
        <v>0</v>
      </c>
      <c r="AV613" s="18">
        <v>0</v>
      </c>
      <c r="AW613" s="18">
        <v>0</v>
      </c>
      <c r="AX613" s="18">
        <v>0</v>
      </c>
      <c r="AY613" s="18">
        <v>106</v>
      </c>
      <c r="AZ613" s="18">
        <v>31</v>
      </c>
      <c r="BA613" s="18">
        <v>15</v>
      </c>
      <c r="BB613" s="18">
        <v>0.48387</v>
      </c>
      <c r="BC613" s="18">
        <v>0</v>
      </c>
      <c r="BD613" s="18">
        <v>0</v>
      </c>
      <c r="BE613" s="18">
        <v>0.12544</v>
      </c>
      <c r="BF613" s="18">
        <v>71</v>
      </c>
      <c r="BG613" s="18">
        <v>3</v>
      </c>
      <c r="BH613" s="18">
        <v>1</v>
      </c>
      <c r="BI613" s="18">
        <v>1</v>
      </c>
      <c r="BJ613" s="18">
        <v>0</v>
      </c>
      <c r="BK613" s="18">
        <v>0</v>
      </c>
      <c r="BL613" s="18">
        <v>0</v>
      </c>
      <c r="BM613" s="18">
        <v>1</v>
      </c>
      <c r="BN613" s="18">
        <v>1</v>
      </c>
      <c r="BO613" s="18">
        <v>70.2</v>
      </c>
      <c r="BP613" s="18">
        <v>0</v>
      </c>
      <c r="BQ613" s="18">
        <v>499</v>
      </c>
      <c r="BR613" s="18">
        <v>0</v>
      </c>
      <c r="BS613" s="18">
        <v>0</v>
      </c>
      <c r="BT613" s="18">
        <v>0</v>
      </c>
      <c r="BU613" s="18">
        <v>4</v>
      </c>
      <c r="BV613" s="18">
        <v>70.2</v>
      </c>
      <c r="BW613" s="18">
        <v>1</v>
      </c>
      <c r="BX613" s="18">
        <v>1</v>
      </c>
    </row>
    <row r="614" spans="1:76">
      <c r="A614" s="14" t="str">
        <f>VLOOKUP(C614,VLOOKUP!A:B,2,FALSE)</f>
        <v>早晚安香</v>
      </c>
      <c r="B614" s="19">
        <v>46142</v>
      </c>
      <c r="C614" s="20">
        <v>1010789122929</v>
      </c>
      <c r="D614" s="18" t="s">
        <v>151</v>
      </c>
      <c r="E614" s="18" t="s">
        <v>179</v>
      </c>
      <c r="F614" s="18">
        <v>416</v>
      </c>
      <c r="G614" s="18">
        <v>50</v>
      </c>
      <c r="H614" s="18">
        <v>18.74</v>
      </c>
      <c r="I614" s="18">
        <v>0.12019</v>
      </c>
      <c r="J614" s="18">
        <v>0.37</v>
      </c>
      <c r="K614" s="18">
        <v>45.05</v>
      </c>
      <c r="L614" s="18">
        <v>0</v>
      </c>
      <c r="M614" s="18">
        <v>0</v>
      </c>
      <c r="N614" s="18">
        <v>0</v>
      </c>
      <c r="O614" s="18">
        <v>0</v>
      </c>
      <c r="P614" s="18">
        <v>0</v>
      </c>
      <c r="Q614" s="18">
        <v>0</v>
      </c>
      <c r="R614" s="18">
        <v>0</v>
      </c>
      <c r="S614" s="18">
        <v>0</v>
      </c>
      <c r="T614" s="18">
        <v>0</v>
      </c>
      <c r="U614" s="18">
        <v>0</v>
      </c>
      <c r="V614" s="18">
        <v>0</v>
      </c>
      <c r="W614" s="18">
        <v>0</v>
      </c>
      <c r="X614" s="18">
        <v>0</v>
      </c>
      <c r="Y614" s="18">
        <v>0</v>
      </c>
      <c r="Z614" s="18">
        <v>0</v>
      </c>
      <c r="AA614" s="18"/>
      <c r="AB614" s="18">
        <v>3</v>
      </c>
      <c r="AC614" s="18">
        <v>3</v>
      </c>
      <c r="AD614" s="18">
        <v>0</v>
      </c>
      <c r="AE614" s="18">
        <v>0.06</v>
      </c>
      <c r="AF614" s="18">
        <v>0</v>
      </c>
      <c r="AG614" s="18">
        <v>0</v>
      </c>
      <c r="AH614" s="18"/>
      <c r="AI614" s="18">
        <v>3</v>
      </c>
      <c r="AJ614" s="18">
        <v>6.25</v>
      </c>
      <c r="AK614" s="18">
        <v>3</v>
      </c>
      <c r="AL614" s="18">
        <v>6.25</v>
      </c>
      <c r="AM614" s="18">
        <v>0</v>
      </c>
      <c r="AN614" s="18"/>
      <c r="AO614" s="18">
        <v>0</v>
      </c>
      <c r="AP614" s="18">
        <v>6.25</v>
      </c>
      <c r="AQ614" s="18">
        <v>0</v>
      </c>
      <c r="AR614" s="18">
        <v>0</v>
      </c>
      <c r="AS614" s="18">
        <v>0</v>
      </c>
      <c r="AT614" s="18">
        <v>0</v>
      </c>
      <c r="AU614" s="18">
        <v>0</v>
      </c>
      <c r="AV614" s="18">
        <v>0</v>
      </c>
      <c r="AW614" s="18">
        <v>0</v>
      </c>
      <c r="AX614" s="18">
        <v>0</v>
      </c>
      <c r="AY614" s="18">
        <v>66</v>
      </c>
      <c r="AZ614" s="18">
        <v>29</v>
      </c>
      <c r="BA614" s="18">
        <v>16</v>
      </c>
      <c r="BB614" s="18">
        <v>0.55172</v>
      </c>
      <c r="BC614" s="18">
        <v>0</v>
      </c>
      <c r="BD614" s="18">
        <v>0</v>
      </c>
      <c r="BE614" s="18">
        <v>0.15865</v>
      </c>
      <c r="BF614" s="18">
        <v>14</v>
      </c>
      <c r="BG614" s="18">
        <v>2</v>
      </c>
      <c r="BH614" s="18">
        <v>0</v>
      </c>
      <c r="BI614" s="18"/>
      <c r="BJ614" s="18">
        <v>0</v>
      </c>
      <c r="BK614" s="18">
        <v>0</v>
      </c>
      <c r="BL614" s="18">
        <v>0</v>
      </c>
      <c r="BM614" s="18">
        <v>0</v>
      </c>
      <c r="BN614" s="18"/>
      <c r="BO614" s="18"/>
      <c r="BP614" s="18">
        <v>2.05</v>
      </c>
      <c r="BQ614" s="18">
        <v>103</v>
      </c>
      <c r="BR614" s="18">
        <v>0</v>
      </c>
      <c r="BS614" s="18">
        <v>0</v>
      </c>
      <c r="BT614" s="18">
        <v>0</v>
      </c>
      <c r="BU614" s="18">
        <v>0</v>
      </c>
      <c r="BV614" s="18">
        <v>0</v>
      </c>
      <c r="BW614" s="18">
        <v>0</v>
      </c>
      <c r="BX614" s="18">
        <v>0</v>
      </c>
    </row>
    <row r="615" spans="1:76">
      <c r="A615" s="14" t="str">
        <f>VLOOKUP(C615,VLOOKUP!A:B,2,FALSE)</f>
        <v>荔枝香</v>
      </c>
      <c r="B615" s="19">
        <v>46142</v>
      </c>
      <c r="C615" s="20">
        <v>960406497157</v>
      </c>
      <c r="D615" s="18" t="s">
        <v>151</v>
      </c>
      <c r="E615" s="18" t="s">
        <v>156</v>
      </c>
      <c r="F615" s="18">
        <v>2999</v>
      </c>
      <c r="G615" s="18">
        <v>242</v>
      </c>
      <c r="H615" s="18">
        <v>72.39</v>
      </c>
      <c r="I615" s="18">
        <v>0.08069</v>
      </c>
      <c r="J615" s="18">
        <v>0.3</v>
      </c>
      <c r="K615" s="18">
        <v>24.14</v>
      </c>
      <c r="L615" s="18">
        <v>0</v>
      </c>
      <c r="M615" s="18">
        <v>0</v>
      </c>
      <c r="N615" s="18">
        <v>0</v>
      </c>
      <c r="O615" s="18">
        <v>0</v>
      </c>
      <c r="P615" s="18">
        <v>0</v>
      </c>
      <c r="Q615" s="18">
        <v>0</v>
      </c>
      <c r="R615" s="18">
        <v>0</v>
      </c>
      <c r="S615" s="18">
        <v>0</v>
      </c>
      <c r="T615" s="18">
        <v>0</v>
      </c>
      <c r="U615" s="18">
        <v>0</v>
      </c>
      <c r="V615" s="18">
        <v>0</v>
      </c>
      <c r="W615" s="18">
        <v>0</v>
      </c>
      <c r="X615" s="18">
        <v>0</v>
      </c>
      <c r="Y615" s="18">
        <v>0</v>
      </c>
      <c r="Z615" s="18">
        <v>0</v>
      </c>
      <c r="AA615" s="18"/>
      <c r="AB615" s="18">
        <v>0</v>
      </c>
      <c r="AC615" s="18">
        <v>0</v>
      </c>
      <c r="AD615" s="18">
        <v>0</v>
      </c>
      <c r="AE615" s="18">
        <v>0</v>
      </c>
      <c r="AF615" s="18">
        <v>0</v>
      </c>
      <c r="AG615" s="18">
        <v>0</v>
      </c>
      <c r="AH615" s="18"/>
      <c r="AI615" s="18">
        <v>0</v>
      </c>
      <c r="AJ615" s="18"/>
      <c r="AK615" s="18">
        <v>0</v>
      </c>
      <c r="AL615" s="18"/>
      <c r="AM615" s="18">
        <v>0</v>
      </c>
      <c r="AN615" s="18"/>
      <c r="AO615" s="18">
        <v>0</v>
      </c>
      <c r="AP615" s="18"/>
      <c r="AQ615" s="18">
        <v>0</v>
      </c>
      <c r="AR615" s="18">
        <v>0</v>
      </c>
      <c r="AS615" s="18">
        <v>0</v>
      </c>
      <c r="AT615" s="18">
        <v>0</v>
      </c>
      <c r="AU615" s="18">
        <v>0</v>
      </c>
      <c r="AV615" s="18">
        <v>0</v>
      </c>
      <c r="AW615" s="18">
        <v>0</v>
      </c>
      <c r="AX615" s="18">
        <v>0</v>
      </c>
      <c r="AY615" s="18">
        <v>438</v>
      </c>
      <c r="AZ615" s="18">
        <v>235</v>
      </c>
      <c r="BA615" s="18">
        <v>206</v>
      </c>
      <c r="BB615" s="18">
        <v>0.8766</v>
      </c>
      <c r="BC615" s="18">
        <v>0</v>
      </c>
      <c r="BD615" s="18">
        <v>0</v>
      </c>
      <c r="BE615" s="18">
        <v>0.14605</v>
      </c>
      <c r="BF615" s="18">
        <v>76</v>
      </c>
      <c r="BG615" s="18">
        <v>2</v>
      </c>
      <c r="BH615" s="18">
        <v>0</v>
      </c>
      <c r="BI615" s="18"/>
      <c r="BJ615" s="18">
        <v>0</v>
      </c>
      <c r="BK615" s="18">
        <v>0</v>
      </c>
      <c r="BL615" s="18">
        <v>0</v>
      </c>
      <c r="BM615" s="18">
        <v>0</v>
      </c>
      <c r="BN615" s="18"/>
      <c r="BO615" s="18"/>
      <c r="BP615" s="18">
        <v>0</v>
      </c>
      <c r="BQ615" s="18">
        <v>258</v>
      </c>
      <c r="BR615" s="18">
        <v>0</v>
      </c>
      <c r="BS615" s="18">
        <v>0</v>
      </c>
      <c r="BT615" s="18">
        <v>0</v>
      </c>
      <c r="BU615" s="18">
        <v>0</v>
      </c>
      <c r="BV615" s="18">
        <v>0</v>
      </c>
      <c r="BW615" s="18">
        <v>0</v>
      </c>
      <c r="BX615" s="18">
        <v>0</v>
      </c>
    </row>
    <row r="616" spans="1:76">
      <c r="A616" s="14" t="str">
        <f>VLOOKUP(C616,VLOOKUP!A:B,2,FALSE)</f>
        <v>如意盘香</v>
      </c>
      <c r="B616" s="19">
        <v>46142</v>
      </c>
      <c r="C616" s="20">
        <v>838711327669</v>
      </c>
      <c r="D616" s="18" t="s">
        <v>151</v>
      </c>
      <c r="E616" s="18" t="s">
        <v>153</v>
      </c>
      <c r="F616" s="18">
        <v>879</v>
      </c>
      <c r="G616" s="18">
        <v>33</v>
      </c>
      <c r="H616" s="18">
        <v>40.19</v>
      </c>
      <c r="I616" s="18">
        <v>0.03754</v>
      </c>
      <c r="J616" s="18">
        <v>1.22</v>
      </c>
      <c r="K616" s="18">
        <v>45.72</v>
      </c>
      <c r="L616" s="18">
        <v>0</v>
      </c>
      <c r="M616" s="18">
        <v>0</v>
      </c>
      <c r="N616" s="18">
        <v>0</v>
      </c>
      <c r="O616" s="18">
        <v>0</v>
      </c>
      <c r="P616" s="18">
        <v>0</v>
      </c>
      <c r="Q616" s="18">
        <v>0</v>
      </c>
      <c r="R616" s="18">
        <v>0</v>
      </c>
      <c r="S616" s="18">
        <v>0</v>
      </c>
      <c r="T616" s="18">
        <v>0</v>
      </c>
      <c r="U616" s="18">
        <v>0</v>
      </c>
      <c r="V616" s="18">
        <v>0</v>
      </c>
      <c r="W616" s="18">
        <v>0</v>
      </c>
      <c r="X616" s="18">
        <v>0</v>
      </c>
      <c r="Y616" s="18">
        <v>0</v>
      </c>
      <c r="Z616" s="18">
        <v>0</v>
      </c>
      <c r="AA616" s="18"/>
      <c r="AB616" s="18">
        <v>1</v>
      </c>
      <c r="AC616" s="18">
        <v>1</v>
      </c>
      <c r="AD616" s="18">
        <v>0</v>
      </c>
      <c r="AE616" s="18">
        <v>0.0303</v>
      </c>
      <c r="AF616" s="18">
        <v>0</v>
      </c>
      <c r="AG616" s="18">
        <v>1</v>
      </c>
      <c r="AH616" s="18">
        <v>40.19</v>
      </c>
      <c r="AI616" s="18">
        <v>2</v>
      </c>
      <c r="AJ616" s="18">
        <v>20.1</v>
      </c>
      <c r="AK616" s="18">
        <v>1</v>
      </c>
      <c r="AL616" s="18">
        <v>40.19</v>
      </c>
      <c r="AM616" s="18">
        <v>1</v>
      </c>
      <c r="AN616" s="18"/>
      <c r="AO616" s="18">
        <v>0</v>
      </c>
      <c r="AP616" s="18">
        <v>40.19</v>
      </c>
      <c r="AQ616" s="18">
        <v>0</v>
      </c>
      <c r="AR616" s="18">
        <v>0</v>
      </c>
      <c r="AS616" s="18">
        <v>0</v>
      </c>
      <c r="AT616" s="18">
        <v>0</v>
      </c>
      <c r="AU616" s="18">
        <v>0</v>
      </c>
      <c r="AV616" s="18">
        <v>0</v>
      </c>
      <c r="AW616" s="18">
        <v>0</v>
      </c>
      <c r="AX616" s="18">
        <v>1</v>
      </c>
      <c r="AY616" s="18">
        <v>84</v>
      </c>
      <c r="AZ616" s="18">
        <v>26</v>
      </c>
      <c r="BA616" s="18">
        <v>15</v>
      </c>
      <c r="BB616" s="18">
        <v>0.57692</v>
      </c>
      <c r="BC616" s="18">
        <v>0</v>
      </c>
      <c r="BD616" s="18">
        <v>0</v>
      </c>
      <c r="BE616" s="18">
        <v>0.09556</v>
      </c>
      <c r="BF616" s="18">
        <v>52</v>
      </c>
      <c r="BG616" s="18">
        <v>3</v>
      </c>
      <c r="BH616" s="18">
        <v>0</v>
      </c>
      <c r="BI616" s="18"/>
      <c r="BJ616" s="18">
        <v>0</v>
      </c>
      <c r="BK616" s="18">
        <v>0</v>
      </c>
      <c r="BL616" s="18">
        <v>0</v>
      </c>
      <c r="BM616" s="18">
        <v>0</v>
      </c>
      <c r="BN616" s="18"/>
      <c r="BO616" s="18"/>
      <c r="BP616" s="18">
        <v>0</v>
      </c>
      <c r="BQ616" s="18">
        <v>53</v>
      </c>
      <c r="BR616" s="18">
        <v>0</v>
      </c>
      <c r="BS616" s="18">
        <v>0</v>
      </c>
      <c r="BT616" s="18">
        <v>0</v>
      </c>
      <c r="BU616" s="18">
        <v>0</v>
      </c>
      <c r="BV616" s="18">
        <v>0</v>
      </c>
      <c r="BW616" s="18">
        <v>0</v>
      </c>
      <c r="BX616" s="18">
        <v>0</v>
      </c>
    </row>
    <row r="617" spans="1:76">
      <c r="A617" s="14" t="str">
        <f>VLOOKUP(C617,VLOOKUP!A:B,2,FALSE)</f>
        <v>早晚安香</v>
      </c>
      <c r="B617" s="19">
        <v>46141</v>
      </c>
      <c r="C617" s="20">
        <v>1010789122929</v>
      </c>
      <c r="D617" s="18" t="s">
        <v>151</v>
      </c>
      <c r="E617" s="18" t="s">
        <v>179</v>
      </c>
      <c r="F617" s="18">
        <v>533</v>
      </c>
      <c r="G617" s="18">
        <v>59</v>
      </c>
      <c r="H617" s="18">
        <v>28.36</v>
      </c>
      <c r="I617" s="18">
        <v>0.11069</v>
      </c>
      <c r="J617" s="18">
        <v>0.48</v>
      </c>
      <c r="K617" s="18">
        <v>53.21</v>
      </c>
      <c r="L617" s="18">
        <v>0</v>
      </c>
      <c r="M617" s="18">
        <v>0</v>
      </c>
      <c r="N617" s="18">
        <v>0</v>
      </c>
      <c r="O617" s="18">
        <v>0</v>
      </c>
      <c r="P617" s="18">
        <v>0</v>
      </c>
      <c r="Q617" s="18">
        <v>0</v>
      </c>
      <c r="R617" s="18">
        <v>0</v>
      </c>
      <c r="S617" s="18">
        <v>600.89</v>
      </c>
      <c r="T617" s="18">
        <v>600.89</v>
      </c>
      <c r="U617" s="18">
        <v>4</v>
      </c>
      <c r="V617" s="18">
        <v>0</v>
      </c>
      <c r="W617" s="18">
        <v>4</v>
      </c>
      <c r="X617" s="18">
        <v>0.0678</v>
      </c>
      <c r="Y617" s="18">
        <v>21.19</v>
      </c>
      <c r="Z617" s="18">
        <v>21.19</v>
      </c>
      <c r="AA617" s="18">
        <v>7.09</v>
      </c>
      <c r="AB617" s="18">
        <v>8</v>
      </c>
      <c r="AC617" s="18">
        <v>2</v>
      </c>
      <c r="AD617" s="18">
        <v>6</v>
      </c>
      <c r="AE617" s="18">
        <v>0.13559</v>
      </c>
      <c r="AF617" s="18">
        <v>0</v>
      </c>
      <c r="AG617" s="18">
        <v>0</v>
      </c>
      <c r="AH617" s="18"/>
      <c r="AI617" s="18">
        <v>8</v>
      </c>
      <c r="AJ617" s="18">
        <v>3.55</v>
      </c>
      <c r="AK617" s="18">
        <v>8</v>
      </c>
      <c r="AL617" s="18">
        <v>3.55</v>
      </c>
      <c r="AM617" s="18">
        <v>0</v>
      </c>
      <c r="AN617" s="18"/>
      <c r="AO617" s="18">
        <v>0</v>
      </c>
      <c r="AP617" s="18">
        <v>3.55</v>
      </c>
      <c r="AQ617" s="18">
        <v>5</v>
      </c>
      <c r="AR617" s="18">
        <v>944.8</v>
      </c>
      <c r="AS617" s="18">
        <v>0</v>
      </c>
      <c r="AT617" s="18">
        <v>0</v>
      </c>
      <c r="AU617" s="18">
        <v>0</v>
      </c>
      <c r="AV617" s="18">
        <v>0</v>
      </c>
      <c r="AW617" s="18">
        <v>0</v>
      </c>
      <c r="AX617" s="18">
        <v>1</v>
      </c>
      <c r="AY617" s="18">
        <v>102</v>
      </c>
      <c r="AZ617" s="18">
        <v>40</v>
      </c>
      <c r="BA617" s="18">
        <v>20</v>
      </c>
      <c r="BB617" s="18">
        <v>0.5</v>
      </c>
      <c r="BC617" s="18">
        <v>0</v>
      </c>
      <c r="BD617" s="18">
        <v>0</v>
      </c>
      <c r="BE617" s="18">
        <v>0.19137</v>
      </c>
      <c r="BF617" s="18">
        <v>42</v>
      </c>
      <c r="BG617" s="18">
        <v>3</v>
      </c>
      <c r="BH617" s="18">
        <v>2</v>
      </c>
      <c r="BI617" s="18">
        <v>1</v>
      </c>
      <c r="BJ617" s="18">
        <v>0</v>
      </c>
      <c r="BK617" s="18">
        <v>0</v>
      </c>
      <c r="BL617" s="18">
        <v>0</v>
      </c>
      <c r="BM617" s="18">
        <v>2</v>
      </c>
      <c r="BN617" s="18">
        <v>2</v>
      </c>
      <c r="BO617" s="18">
        <v>300.45</v>
      </c>
      <c r="BP617" s="18">
        <v>2.12</v>
      </c>
      <c r="BQ617" s="18">
        <v>596</v>
      </c>
      <c r="BR617" s="18">
        <v>0</v>
      </c>
      <c r="BS617" s="18">
        <v>0</v>
      </c>
      <c r="BT617" s="18">
        <v>0</v>
      </c>
      <c r="BU617" s="18">
        <v>0</v>
      </c>
      <c r="BV617" s="18">
        <v>0</v>
      </c>
      <c r="BW617" s="18">
        <v>0</v>
      </c>
      <c r="BX617" s="18">
        <v>0</v>
      </c>
    </row>
    <row r="618" spans="1:76">
      <c r="A618" s="14" t="str">
        <f>VLOOKUP(C618,VLOOKUP!A:B,2,FALSE)</f>
        <v>荔枝香</v>
      </c>
      <c r="B618" s="19">
        <v>46141</v>
      </c>
      <c r="C618" s="20">
        <v>960406497157</v>
      </c>
      <c r="D618" s="18" t="s">
        <v>151</v>
      </c>
      <c r="E618" s="18" t="s">
        <v>156</v>
      </c>
      <c r="F618" s="18">
        <v>3813</v>
      </c>
      <c r="G618" s="18">
        <v>262</v>
      </c>
      <c r="H618" s="18">
        <v>85.42</v>
      </c>
      <c r="I618" s="18">
        <v>0.06871</v>
      </c>
      <c r="J618" s="18">
        <v>0.33</v>
      </c>
      <c r="K618" s="18">
        <v>22.4</v>
      </c>
      <c r="L618" s="18">
        <v>0</v>
      </c>
      <c r="M618" s="18">
        <v>0</v>
      </c>
      <c r="N618" s="18">
        <v>0</v>
      </c>
      <c r="O618" s="18">
        <v>0</v>
      </c>
      <c r="P618" s="18">
        <v>0</v>
      </c>
      <c r="Q618" s="18">
        <v>0</v>
      </c>
      <c r="R618" s="18">
        <v>146.18</v>
      </c>
      <c r="S618" s="18">
        <v>0</v>
      </c>
      <c r="T618" s="18">
        <v>146.18</v>
      </c>
      <c r="U618" s="18">
        <v>1</v>
      </c>
      <c r="V618" s="18">
        <v>1</v>
      </c>
      <c r="W618" s="18">
        <v>0</v>
      </c>
      <c r="X618" s="18">
        <v>0.00382</v>
      </c>
      <c r="Y618" s="18">
        <v>1.71</v>
      </c>
      <c r="Z618" s="18">
        <v>1.71</v>
      </c>
      <c r="AA618" s="18">
        <v>85.42</v>
      </c>
      <c r="AB618" s="18">
        <v>6</v>
      </c>
      <c r="AC618" s="18">
        <v>5</v>
      </c>
      <c r="AD618" s="18">
        <v>1</v>
      </c>
      <c r="AE618" s="18">
        <v>0.0229</v>
      </c>
      <c r="AF618" s="18">
        <v>4</v>
      </c>
      <c r="AG618" s="18">
        <v>1</v>
      </c>
      <c r="AH618" s="18">
        <v>85.42</v>
      </c>
      <c r="AI618" s="18">
        <v>11</v>
      </c>
      <c r="AJ618" s="18">
        <v>7.77</v>
      </c>
      <c r="AK618" s="18">
        <v>10</v>
      </c>
      <c r="AL618" s="18">
        <v>8.54</v>
      </c>
      <c r="AM618" s="18">
        <v>5</v>
      </c>
      <c r="AN618" s="18">
        <v>21.36</v>
      </c>
      <c r="AO618" s="18">
        <v>0.01527</v>
      </c>
      <c r="AP618" s="18">
        <v>14.24</v>
      </c>
      <c r="AQ618" s="18">
        <v>2</v>
      </c>
      <c r="AR618" s="18">
        <v>217.9</v>
      </c>
      <c r="AS618" s="18">
        <v>3</v>
      </c>
      <c r="AT618" s="18">
        <v>1</v>
      </c>
      <c r="AU618" s="18">
        <v>0</v>
      </c>
      <c r="AV618" s="18">
        <v>0</v>
      </c>
      <c r="AW618" s="18">
        <v>0</v>
      </c>
      <c r="AX618" s="18">
        <v>1</v>
      </c>
      <c r="AY618" s="18">
        <v>522</v>
      </c>
      <c r="AZ618" s="18">
        <v>257</v>
      </c>
      <c r="BA618" s="18">
        <v>219</v>
      </c>
      <c r="BB618" s="18">
        <v>0.85214</v>
      </c>
      <c r="BC618" s="18">
        <v>0</v>
      </c>
      <c r="BD618" s="18">
        <v>0</v>
      </c>
      <c r="BE618" s="18">
        <v>0.1369</v>
      </c>
      <c r="BF618" s="18">
        <v>160</v>
      </c>
      <c r="BG618" s="18">
        <v>2</v>
      </c>
      <c r="BH618" s="18">
        <v>1</v>
      </c>
      <c r="BI618" s="18">
        <v>1</v>
      </c>
      <c r="BJ618" s="18">
        <v>0</v>
      </c>
      <c r="BK618" s="18">
        <v>0</v>
      </c>
      <c r="BL618" s="18">
        <v>0</v>
      </c>
      <c r="BM618" s="18">
        <v>1</v>
      </c>
      <c r="BN618" s="18">
        <v>1</v>
      </c>
      <c r="BO618" s="18">
        <v>146.18</v>
      </c>
      <c r="BP618" s="18">
        <v>3.11</v>
      </c>
      <c r="BQ618" s="18">
        <v>515</v>
      </c>
      <c r="BR618" s="18">
        <v>0</v>
      </c>
      <c r="BS618" s="18">
        <v>0</v>
      </c>
      <c r="BT618" s="18">
        <v>0</v>
      </c>
      <c r="BU618" s="18">
        <v>0</v>
      </c>
      <c r="BV618" s="18">
        <v>0</v>
      </c>
      <c r="BW618" s="18">
        <v>0</v>
      </c>
      <c r="BX618" s="18">
        <v>0</v>
      </c>
    </row>
    <row r="619" spans="1:76">
      <c r="A619" s="14" t="str">
        <f>VLOOKUP(C619,VLOOKUP!A:B,2,FALSE)</f>
        <v>如意盘香</v>
      </c>
      <c r="B619" s="19">
        <v>46141</v>
      </c>
      <c r="C619" s="20">
        <v>838711327669</v>
      </c>
      <c r="D619" s="18" t="s">
        <v>151</v>
      </c>
      <c r="E619" s="18" t="s">
        <v>153</v>
      </c>
      <c r="F619" s="18">
        <v>805</v>
      </c>
      <c r="G619" s="18">
        <v>27</v>
      </c>
      <c r="H619" s="18">
        <v>35.75</v>
      </c>
      <c r="I619" s="18">
        <v>0.03354</v>
      </c>
      <c r="J619" s="18">
        <v>1.32</v>
      </c>
      <c r="K619" s="18">
        <v>44.41</v>
      </c>
      <c r="L619" s="18">
        <v>0</v>
      </c>
      <c r="M619" s="18">
        <v>0</v>
      </c>
      <c r="N619" s="18">
        <v>0</v>
      </c>
      <c r="O619" s="18">
        <v>0</v>
      </c>
      <c r="P619" s="18">
        <v>0</v>
      </c>
      <c r="Q619" s="18">
        <v>0</v>
      </c>
      <c r="R619" s="18">
        <v>0</v>
      </c>
      <c r="S619" s="18">
        <v>123.05</v>
      </c>
      <c r="T619" s="18">
        <v>123.05</v>
      </c>
      <c r="U619" s="18">
        <v>2</v>
      </c>
      <c r="V619" s="18">
        <v>0</v>
      </c>
      <c r="W619" s="18">
        <v>2</v>
      </c>
      <c r="X619" s="18">
        <v>0.07407</v>
      </c>
      <c r="Y619" s="18">
        <v>3.44</v>
      </c>
      <c r="Z619" s="18">
        <v>3.44</v>
      </c>
      <c r="AA619" s="18">
        <v>17.88</v>
      </c>
      <c r="AB619" s="18">
        <v>2</v>
      </c>
      <c r="AC619" s="18">
        <v>0</v>
      </c>
      <c r="AD619" s="18">
        <v>2</v>
      </c>
      <c r="AE619" s="18">
        <v>0.07407</v>
      </c>
      <c r="AF619" s="18">
        <v>0</v>
      </c>
      <c r="AG619" s="18">
        <v>0</v>
      </c>
      <c r="AH619" s="18"/>
      <c r="AI619" s="18">
        <v>2</v>
      </c>
      <c r="AJ619" s="18">
        <v>17.88</v>
      </c>
      <c r="AK619" s="18">
        <v>2</v>
      </c>
      <c r="AL619" s="18">
        <v>17.88</v>
      </c>
      <c r="AM619" s="18">
        <v>0</v>
      </c>
      <c r="AN619" s="18"/>
      <c r="AO619" s="18">
        <v>0</v>
      </c>
      <c r="AP619" s="18">
        <v>17.88</v>
      </c>
      <c r="AQ619" s="18">
        <v>3</v>
      </c>
      <c r="AR619" s="18">
        <v>198.8</v>
      </c>
      <c r="AS619" s="18">
        <v>0</v>
      </c>
      <c r="AT619" s="18">
        <v>0</v>
      </c>
      <c r="AU619" s="18">
        <v>0</v>
      </c>
      <c r="AV619" s="18">
        <v>0</v>
      </c>
      <c r="AW619" s="18">
        <v>0</v>
      </c>
      <c r="AX619" s="18">
        <v>2</v>
      </c>
      <c r="AY619" s="18">
        <v>74</v>
      </c>
      <c r="AZ619" s="18">
        <v>20</v>
      </c>
      <c r="BA619" s="18">
        <v>14</v>
      </c>
      <c r="BB619" s="18">
        <v>0.7</v>
      </c>
      <c r="BC619" s="18">
        <v>0</v>
      </c>
      <c r="BD619" s="18">
        <v>0</v>
      </c>
      <c r="BE619" s="18">
        <v>0.09193</v>
      </c>
      <c r="BF619" s="18">
        <v>47</v>
      </c>
      <c r="BG619" s="18">
        <v>4</v>
      </c>
      <c r="BH619" s="18">
        <v>1</v>
      </c>
      <c r="BI619" s="18">
        <v>1</v>
      </c>
      <c r="BJ619" s="18">
        <v>0</v>
      </c>
      <c r="BK619" s="18">
        <v>0</v>
      </c>
      <c r="BL619" s="18">
        <v>0</v>
      </c>
      <c r="BM619" s="18">
        <v>1</v>
      </c>
      <c r="BN619" s="18">
        <v>2</v>
      </c>
      <c r="BO619" s="18">
        <v>123.05</v>
      </c>
      <c r="BP619" s="18">
        <v>45.62</v>
      </c>
      <c r="BQ619" s="18">
        <v>312</v>
      </c>
      <c r="BR619" s="18">
        <v>0</v>
      </c>
      <c r="BS619" s="18">
        <v>0</v>
      </c>
      <c r="BT619" s="18">
        <v>0</v>
      </c>
      <c r="BU619" s="18">
        <v>0</v>
      </c>
      <c r="BV619" s="18">
        <v>0</v>
      </c>
      <c r="BW619" s="18">
        <v>0</v>
      </c>
      <c r="BX619" s="18">
        <v>0</v>
      </c>
    </row>
    <row r="620" spans="1:76">
      <c r="A620" s="14" t="str">
        <f>VLOOKUP(C620,VLOOKUP!A:B,2,FALSE)</f>
        <v>早晚安香</v>
      </c>
      <c r="B620" s="19">
        <v>46140</v>
      </c>
      <c r="C620" s="20">
        <v>1010789122929</v>
      </c>
      <c r="D620" s="18" t="s">
        <v>151</v>
      </c>
      <c r="E620" s="18" t="s">
        <v>179</v>
      </c>
      <c r="F620" s="18">
        <v>387</v>
      </c>
      <c r="G620" s="18">
        <v>41</v>
      </c>
      <c r="H620" s="18">
        <v>25.81</v>
      </c>
      <c r="I620" s="18">
        <v>0.10594</v>
      </c>
      <c r="J620" s="18">
        <v>0.63</v>
      </c>
      <c r="K620" s="18">
        <v>66.69</v>
      </c>
      <c r="L620" s="18">
        <v>0</v>
      </c>
      <c r="M620" s="18">
        <v>0</v>
      </c>
      <c r="N620" s="18">
        <v>0</v>
      </c>
      <c r="O620" s="18">
        <v>0</v>
      </c>
      <c r="P620" s="18">
        <v>0</v>
      </c>
      <c r="Q620" s="18">
        <v>0</v>
      </c>
      <c r="R620" s="18">
        <v>0</v>
      </c>
      <c r="S620" s="18">
        <v>0</v>
      </c>
      <c r="T620" s="18">
        <v>0</v>
      </c>
      <c r="U620" s="18">
        <v>0</v>
      </c>
      <c r="V620" s="18">
        <v>0</v>
      </c>
      <c r="W620" s="18">
        <v>0</v>
      </c>
      <c r="X620" s="18">
        <v>0</v>
      </c>
      <c r="Y620" s="18">
        <v>0</v>
      </c>
      <c r="Z620" s="18">
        <v>0</v>
      </c>
      <c r="AA620" s="18"/>
      <c r="AB620" s="18">
        <v>2</v>
      </c>
      <c r="AC620" s="18">
        <v>1</v>
      </c>
      <c r="AD620" s="18">
        <v>1</v>
      </c>
      <c r="AE620" s="18">
        <v>0.04878</v>
      </c>
      <c r="AF620" s="18">
        <v>0</v>
      </c>
      <c r="AG620" s="18">
        <v>0</v>
      </c>
      <c r="AH620" s="18"/>
      <c r="AI620" s="18">
        <v>2</v>
      </c>
      <c r="AJ620" s="18">
        <v>12.91</v>
      </c>
      <c r="AK620" s="18">
        <v>2</v>
      </c>
      <c r="AL620" s="18">
        <v>12.91</v>
      </c>
      <c r="AM620" s="18">
        <v>0</v>
      </c>
      <c r="AN620" s="18"/>
      <c r="AO620" s="18">
        <v>0</v>
      </c>
      <c r="AP620" s="18">
        <v>12.91</v>
      </c>
      <c r="AQ620" s="18">
        <v>0</v>
      </c>
      <c r="AR620" s="18">
        <v>0</v>
      </c>
      <c r="AS620" s="18">
        <v>0</v>
      </c>
      <c r="AT620" s="18">
        <v>0</v>
      </c>
      <c r="AU620" s="18">
        <v>0</v>
      </c>
      <c r="AV620" s="18">
        <v>0</v>
      </c>
      <c r="AW620" s="18">
        <v>0</v>
      </c>
      <c r="AX620" s="18">
        <v>0</v>
      </c>
      <c r="AY620" s="18">
        <v>63</v>
      </c>
      <c r="AZ620" s="18">
        <v>25</v>
      </c>
      <c r="BA620" s="18">
        <v>11</v>
      </c>
      <c r="BB620" s="18">
        <v>0.44</v>
      </c>
      <c r="BC620" s="18">
        <v>0</v>
      </c>
      <c r="BD620" s="18">
        <v>0</v>
      </c>
      <c r="BE620" s="18">
        <v>0.16279</v>
      </c>
      <c r="BF620" s="18">
        <v>19</v>
      </c>
      <c r="BG620" s="18">
        <v>3</v>
      </c>
      <c r="BH620" s="18">
        <v>0</v>
      </c>
      <c r="BI620" s="18"/>
      <c r="BJ620" s="18">
        <v>0</v>
      </c>
      <c r="BK620" s="18">
        <v>0</v>
      </c>
      <c r="BL620" s="18">
        <v>0</v>
      </c>
      <c r="BM620" s="18">
        <v>0</v>
      </c>
      <c r="BN620" s="18"/>
      <c r="BO620" s="18"/>
      <c r="BP620" s="18">
        <v>2.05</v>
      </c>
      <c r="BQ620" s="18">
        <v>107</v>
      </c>
      <c r="BR620" s="18">
        <v>0</v>
      </c>
      <c r="BS620" s="18">
        <v>0</v>
      </c>
      <c r="BT620" s="18">
        <v>0</v>
      </c>
      <c r="BU620" s="18">
        <v>0</v>
      </c>
      <c r="BV620" s="18">
        <v>0</v>
      </c>
      <c r="BW620" s="18">
        <v>0</v>
      </c>
      <c r="BX620" s="18">
        <v>0</v>
      </c>
    </row>
    <row r="621" spans="1:76">
      <c r="A621" s="14" t="str">
        <f>VLOOKUP(C621,VLOOKUP!A:B,2,FALSE)</f>
        <v>荔枝香</v>
      </c>
      <c r="B621" s="19">
        <v>46140</v>
      </c>
      <c r="C621" s="20">
        <v>960406497157</v>
      </c>
      <c r="D621" s="18" t="s">
        <v>151</v>
      </c>
      <c r="E621" s="18" t="s">
        <v>156</v>
      </c>
      <c r="F621" s="18">
        <v>4166</v>
      </c>
      <c r="G621" s="18">
        <v>332</v>
      </c>
      <c r="H621" s="18">
        <v>114.41</v>
      </c>
      <c r="I621" s="18">
        <v>0.07969</v>
      </c>
      <c r="J621" s="18">
        <v>0.34</v>
      </c>
      <c r="K621" s="18">
        <v>27.46</v>
      </c>
      <c r="L621" s="18">
        <v>0</v>
      </c>
      <c r="M621" s="18">
        <v>0</v>
      </c>
      <c r="N621" s="18">
        <v>0</v>
      </c>
      <c r="O621" s="18">
        <v>0</v>
      </c>
      <c r="P621" s="18">
        <v>0</v>
      </c>
      <c r="Q621" s="18">
        <v>0</v>
      </c>
      <c r="R621" s="18">
        <v>281.44</v>
      </c>
      <c r="S621" s="18">
        <v>24.92</v>
      </c>
      <c r="T621" s="18">
        <v>306.36</v>
      </c>
      <c r="U621" s="18">
        <v>2</v>
      </c>
      <c r="V621" s="18">
        <v>1</v>
      </c>
      <c r="W621" s="18">
        <v>1</v>
      </c>
      <c r="X621" s="18">
        <v>0.00602</v>
      </c>
      <c r="Y621" s="18">
        <v>2.68</v>
      </c>
      <c r="Z621" s="18">
        <v>2.68</v>
      </c>
      <c r="AA621" s="18">
        <v>57.21</v>
      </c>
      <c r="AB621" s="18">
        <v>9</v>
      </c>
      <c r="AC621" s="18">
        <v>6</v>
      </c>
      <c r="AD621" s="18">
        <v>3</v>
      </c>
      <c r="AE621" s="18">
        <v>0.02711</v>
      </c>
      <c r="AF621" s="18">
        <v>4</v>
      </c>
      <c r="AG621" s="18">
        <v>1</v>
      </c>
      <c r="AH621" s="18">
        <v>114.41</v>
      </c>
      <c r="AI621" s="18">
        <v>14</v>
      </c>
      <c r="AJ621" s="18">
        <v>8.17</v>
      </c>
      <c r="AK621" s="18">
        <v>13</v>
      </c>
      <c r="AL621" s="18">
        <v>8.8</v>
      </c>
      <c r="AM621" s="18">
        <v>5</v>
      </c>
      <c r="AN621" s="18">
        <v>28.6</v>
      </c>
      <c r="AO621" s="18">
        <v>0.01205</v>
      </c>
      <c r="AP621" s="18">
        <v>12.71</v>
      </c>
      <c r="AQ621" s="18">
        <v>3</v>
      </c>
      <c r="AR621" s="18">
        <v>426</v>
      </c>
      <c r="AS621" s="18">
        <v>4</v>
      </c>
      <c r="AT621" s="18">
        <v>0</v>
      </c>
      <c r="AU621" s="18">
        <v>0</v>
      </c>
      <c r="AV621" s="18">
        <v>0</v>
      </c>
      <c r="AW621" s="18">
        <v>0</v>
      </c>
      <c r="AX621" s="18">
        <v>0</v>
      </c>
      <c r="AY621" s="18">
        <v>663</v>
      </c>
      <c r="AZ621" s="18">
        <v>312</v>
      </c>
      <c r="BA621" s="18">
        <v>265</v>
      </c>
      <c r="BB621" s="18">
        <v>0.84936</v>
      </c>
      <c r="BC621" s="18">
        <v>0</v>
      </c>
      <c r="BD621" s="18">
        <v>0</v>
      </c>
      <c r="BE621" s="18">
        <v>0.15915</v>
      </c>
      <c r="BF621" s="18">
        <v>213</v>
      </c>
      <c r="BG621" s="18">
        <v>2</v>
      </c>
      <c r="BH621" s="18">
        <v>2</v>
      </c>
      <c r="BI621" s="18">
        <v>1</v>
      </c>
      <c r="BJ621" s="18">
        <v>0</v>
      </c>
      <c r="BK621" s="18">
        <v>0</v>
      </c>
      <c r="BL621" s="18">
        <v>0</v>
      </c>
      <c r="BM621" s="18">
        <v>2</v>
      </c>
      <c r="BN621" s="18">
        <v>1</v>
      </c>
      <c r="BO621" s="18">
        <v>153.18</v>
      </c>
      <c r="BP621" s="18">
        <v>0.21</v>
      </c>
      <c r="BQ621" s="18">
        <v>573</v>
      </c>
      <c r="BR621" s="18">
        <v>0</v>
      </c>
      <c r="BS621" s="18">
        <v>0</v>
      </c>
      <c r="BT621" s="18">
        <v>0</v>
      </c>
      <c r="BU621" s="18">
        <v>0</v>
      </c>
      <c r="BV621" s="18">
        <v>0</v>
      </c>
      <c r="BW621" s="18">
        <v>0</v>
      </c>
      <c r="BX621" s="18">
        <v>0</v>
      </c>
    </row>
    <row r="622" spans="1:76">
      <c r="A622" s="14" t="str">
        <f>VLOOKUP(C622,VLOOKUP!A:B,2,FALSE)</f>
        <v>如意盘香</v>
      </c>
      <c r="B622" s="19">
        <v>46140</v>
      </c>
      <c r="C622" s="20">
        <v>838711327669</v>
      </c>
      <c r="D622" s="18" t="s">
        <v>151</v>
      </c>
      <c r="E622" s="18" t="s">
        <v>153</v>
      </c>
      <c r="F622" s="18">
        <v>173</v>
      </c>
      <c r="G622" s="18">
        <v>11</v>
      </c>
      <c r="H622" s="18">
        <v>50</v>
      </c>
      <c r="I622" s="18">
        <v>0.06358</v>
      </c>
      <c r="J622" s="18">
        <v>4.55</v>
      </c>
      <c r="K622" s="18">
        <v>289.02</v>
      </c>
      <c r="L622" s="18">
        <v>0</v>
      </c>
      <c r="M622" s="18">
        <v>0</v>
      </c>
      <c r="N622" s="18">
        <v>0</v>
      </c>
      <c r="O622" s="18">
        <v>0</v>
      </c>
      <c r="P622" s="18">
        <v>0</v>
      </c>
      <c r="Q622" s="18">
        <v>0</v>
      </c>
      <c r="R622" s="18">
        <v>596</v>
      </c>
      <c r="S622" s="18">
        <v>0</v>
      </c>
      <c r="T622" s="18">
        <v>596</v>
      </c>
      <c r="U622" s="18">
        <v>1</v>
      </c>
      <c r="V622" s="18">
        <v>1</v>
      </c>
      <c r="W622" s="18">
        <v>0</v>
      </c>
      <c r="X622" s="18">
        <v>0.09091</v>
      </c>
      <c r="Y622" s="18">
        <v>11.92</v>
      </c>
      <c r="Z622" s="18">
        <v>11.92</v>
      </c>
      <c r="AA622" s="18">
        <v>50</v>
      </c>
      <c r="AB622" s="18">
        <v>1</v>
      </c>
      <c r="AC622" s="18">
        <v>1</v>
      </c>
      <c r="AD622" s="18">
        <v>0</v>
      </c>
      <c r="AE622" s="18">
        <v>0.09091</v>
      </c>
      <c r="AF622" s="18">
        <v>0</v>
      </c>
      <c r="AG622" s="18">
        <v>0</v>
      </c>
      <c r="AH622" s="18"/>
      <c r="AI622" s="18">
        <v>1</v>
      </c>
      <c r="AJ622" s="18">
        <v>50</v>
      </c>
      <c r="AK622" s="18">
        <v>1</v>
      </c>
      <c r="AL622" s="18">
        <v>50</v>
      </c>
      <c r="AM622" s="18">
        <v>0</v>
      </c>
      <c r="AN622" s="18"/>
      <c r="AO622" s="18">
        <v>0</v>
      </c>
      <c r="AP622" s="18">
        <v>50</v>
      </c>
      <c r="AQ622" s="18">
        <v>2</v>
      </c>
      <c r="AR622" s="18">
        <v>846</v>
      </c>
      <c r="AS622" s="18">
        <v>0</v>
      </c>
      <c r="AT622" s="18">
        <v>0</v>
      </c>
      <c r="AU622" s="18">
        <v>0</v>
      </c>
      <c r="AV622" s="18">
        <v>0</v>
      </c>
      <c r="AW622" s="18">
        <v>0</v>
      </c>
      <c r="AX622" s="18">
        <v>0</v>
      </c>
      <c r="AY622" s="18">
        <v>43</v>
      </c>
      <c r="AZ622" s="18">
        <v>10</v>
      </c>
      <c r="BA622" s="18">
        <v>10</v>
      </c>
      <c r="BB622" s="18">
        <v>1</v>
      </c>
      <c r="BC622" s="18">
        <v>0</v>
      </c>
      <c r="BD622" s="18">
        <v>0</v>
      </c>
      <c r="BE622" s="18">
        <v>0.24855</v>
      </c>
      <c r="BF622" s="18">
        <v>32</v>
      </c>
      <c r="BG622" s="18">
        <v>4</v>
      </c>
      <c r="BH622" s="18">
        <v>1</v>
      </c>
      <c r="BI622" s="18">
        <v>1</v>
      </c>
      <c r="BJ622" s="18">
        <v>0</v>
      </c>
      <c r="BK622" s="18">
        <v>0</v>
      </c>
      <c r="BL622" s="18">
        <v>0</v>
      </c>
      <c r="BM622" s="18">
        <v>1</v>
      </c>
      <c r="BN622" s="18">
        <v>1</v>
      </c>
      <c r="BO622" s="18">
        <v>596</v>
      </c>
      <c r="BP622" s="18">
        <v>0</v>
      </c>
      <c r="BQ622" s="18">
        <v>192</v>
      </c>
      <c r="BR622" s="18">
        <v>0</v>
      </c>
      <c r="BS622" s="18">
        <v>0</v>
      </c>
      <c r="BT622" s="18">
        <v>0</v>
      </c>
      <c r="BU622" s="18">
        <v>0</v>
      </c>
      <c r="BV622" s="18">
        <v>0</v>
      </c>
      <c r="BW622" s="18">
        <v>0</v>
      </c>
      <c r="BX622" s="18">
        <v>0</v>
      </c>
    </row>
    <row r="623" spans="1:76">
      <c r="A623" s="14" t="str">
        <f>VLOOKUP(C623,VLOOKUP!A:B,2,FALSE)</f>
        <v>早晚安香</v>
      </c>
      <c r="B623" s="19">
        <v>46139</v>
      </c>
      <c r="C623" s="20">
        <v>1010789122929</v>
      </c>
      <c r="D623" s="18" t="s">
        <v>151</v>
      </c>
      <c r="E623" s="18" t="s">
        <v>179</v>
      </c>
      <c r="F623" s="18">
        <v>304</v>
      </c>
      <c r="G623" s="18">
        <v>13</v>
      </c>
      <c r="H623" s="18">
        <v>10.42</v>
      </c>
      <c r="I623" s="18">
        <v>0.04276</v>
      </c>
      <c r="J623" s="18">
        <v>0.8</v>
      </c>
      <c r="K623" s="18">
        <v>34.28</v>
      </c>
      <c r="L623" s="18">
        <v>0</v>
      </c>
      <c r="M623" s="18">
        <v>0</v>
      </c>
      <c r="N623" s="18">
        <v>0</v>
      </c>
      <c r="O623" s="18">
        <v>0</v>
      </c>
      <c r="P623" s="18">
        <v>0</v>
      </c>
      <c r="Q623" s="18">
        <v>0</v>
      </c>
      <c r="R623" s="18">
        <v>0</v>
      </c>
      <c r="S623" s="18">
        <v>0</v>
      </c>
      <c r="T623" s="18">
        <v>0</v>
      </c>
      <c r="U623" s="18">
        <v>0</v>
      </c>
      <c r="V623" s="18">
        <v>0</v>
      </c>
      <c r="W623" s="18">
        <v>0</v>
      </c>
      <c r="X623" s="18">
        <v>0</v>
      </c>
      <c r="Y623" s="18">
        <v>0</v>
      </c>
      <c r="Z623" s="18">
        <v>0</v>
      </c>
      <c r="AA623" s="18"/>
      <c r="AB623" s="18">
        <v>1</v>
      </c>
      <c r="AC623" s="18">
        <v>0</v>
      </c>
      <c r="AD623" s="18">
        <v>1</v>
      </c>
      <c r="AE623" s="18">
        <v>0.07692</v>
      </c>
      <c r="AF623" s="18">
        <v>0</v>
      </c>
      <c r="AG623" s="18">
        <v>0</v>
      </c>
      <c r="AH623" s="18"/>
      <c r="AI623" s="18">
        <v>1</v>
      </c>
      <c r="AJ623" s="18">
        <v>10.42</v>
      </c>
      <c r="AK623" s="18">
        <v>1</v>
      </c>
      <c r="AL623" s="18">
        <v>10.42</v>
      </c>
      <c r="AM623" s="18">
        <v>0</v>
      </c>
      <c r="AN623" s="18"/>
      <c r="AO623" s="18">
        <v>0</v>
      </c>
      <c r="AP623" s="18">
        <v>10.42</v>
      </c>
      <c r="AQ623" s="18">
        <v>0</v>
      </c>
      <c r="AR623" s="18">
        <v>0</v>
      </c>
      <c r="AS623" s="18">
        <v>0</v>
      </c>
      <c r="AT623" s="18">
        <v>0</v>
      </c>
      <c r="AU623" s="18">
        <v>0</v>
      </c>
      <c r="AV623" s="18">
        <v>0</v>
      </c>
      <c r="AW623" s="18">
        <v>0</v>
      </c>
      <c r="AX623" s="18">
        <v>0</v>
      </c>
      <c r="AY623" s="18">
        <v>30</v>
      </c>
      <c r="AZ623" s="18">
        <v>14</v>
      </c>
      <c r="BA623" s="18">
        <v>3</v>
      </c>
      <c r="BB623" s="18">
        <v>0.21429</v>
      </c>
      <c r="BC623" s="18">
        <v>0</v>
      </c>
      <c r="BD623" s="18">
        <v>0</v>
      </c>
      <c r="BE623" s="18">
        <v>0.09868</v>
      </c>
      <c r="BF623" s="18">
        <v>16</v>
      </c>
      <c r="BG623" s="18">
        <v>2</v>
      </c>
      <c r="BH623" s="18">
        <v>0</v>
      </c>
      <c r="BI623" s="18"/>
      <c r="BJ623" s="18">
        <v>0</v>
      </c>
      <c r="BK623" s="18">
        <v>0</v>
      </c>
      <c r="BL623" s="18">
        <v>0</v>
      </c>
      <c r="BM623" s="18">
        <v>0</v>
      </c>
      <c r="BN623" s="18"/>
      <c r="BO623" s="18"/>
      <c r="BP623" s="18">
        <v>0</v>
      </c>
      <c r="BQ623" s="18">
        <v>68</v>
      </c>
      <c r="BR623" s="18">
        <v>0</v>
      </c>
      <c r="BS623" s="18">
        <v>0</v>
      </c>
      <c r="BT623" s="18">
        <v>0</v>
      </c>
      <c r="BU623" s="18">
        <v>0</v>
      </c>
      <c r="BV623" s="18">
        <v>0</v>
      </c>
      <c r="BW623" s="18">
        <v>0</v>
      </c>
      <c r="BX623" s="18">
        <v>0</v>
      </c>
    </row>
    <row r="624" spans="1:76">
      <c r="B624" s="19">
        <v>46139</v>
      </c>
      <c r="C624" s="20">
        <v>960406497157</v>
      </c>
      <c r="D624" s="18" t="s">
        <v>151</v>
      </c>
      <c r="E624" s="18" t="s">
        <v>156</v>
      </c>
      <c r="F624" s="18">
        <v>4673</v>
      </c>
      <c r="G624" s="18">
        <v>380</v>
      </c>
      <c r="H624" s="18">
        <v>151.49</v>
      </c>
      <c r="I624" s="18">
        <v>0.08132</v>
      </c>
      <c r="J624" s="18">
        <v>0.4</v>
      </c>
      <c r="K624" s="18">
        <v>32.42</v>
      </c>
      <c r="L624" s="18">
        <v>0</v>
      </c>
      <c r="M624" s="18">
        <v>0</v>
      </c>
      <c r="N624" s="18">
        <v>0</v>
      </c>
      <c r="O624" s="18">
        <v>0</v>
      </c>
      <c r="P624" s="18">
        <v>0</v>
      </c>
      <c r="Q624" s="18">
        <v>0</v>
      </c>
      <c r="R624" s="18">
        <v>0</v>
      </c>
      <c r="S624" s="18">
        <v>0</v>
      </c>
      <c r="T624" s="18">
        <v>0</v>
      </c>
      <c r="U624" s="18">
        <v>0</v>
      </c>
      <c r="V624" s="18">
        <v>0</v>
      </c>
      <c r="W624" s="18">
        <v>0</v>
      </c>
      <c r="X624" s="18">
        <v>0</v>
      </c>
      <c r="Y624" s="18">
        <v>0</v>
      </c>
      <c r="Z624" s="18">
        <v>0</v>
      </c>
      <c r="AA624" s="18"/>
      <c r="AB624" s="18">
        <v>8</v>
      </c>
      <c r="AC624" s="18">
        <v>6</v>
      </c>
      <c r="AD624" s="18">
        <v>2</v>
      </c>
      <c r="AE624" s="18">
        <v>0.02105</v>
      </c>
      <c r="AF624" s="18">
        <v>7</v>
      </c>
      <c r="AG624" s="18">
        <v>1</v>
      </c>
      <c r="AH624" s="18">
        <v>151.49</v>
      </c>
      <c r="AI624" s="18">
        <v>16</v>
      </c>
      <c r="AJ624" s="18">
        <v>9.47</v>
      </c>
      <c r="AK624" s="18">
        <v>15</v>
      </c>
      <c r="AL624" s="18">
        <v>10.1</v>
      </c>
      <c r="AM624" s="18">
        <v>8</v>
      </c>
      <c r="AN624" s="18">
        <v>21.64</v>
      </c>
      <c r="AO624" s="18">
        <v>0.01842</v>
      </c>
      <c r="AP624" s="18">
        <v>18.94</v>
      </c>
      <c r="AQ624" s="18">
        <v>0</v>
      </c>
      <c r="AR624" s="18">
        <v>0</v>
      </c>
      <c r="AS624" s="18">
        <v>6</v>
      </c>
      <c r="AT624" s="18">
        <v>1</v>
      </c>
      <c r="AU624" s="18">
        <v>0</v>
      </c>
      <c r="AV624" s="18">
        <v>0</v>
      </c>
      <c r="AW624" s="18">
        <v>0</v>
      </c>
      <c r="AX624" s="18">
        <v>0</v>
      </c>
      <c r="AY624" s="18">
        <v>758</v>
      </c>
      <c r="AZ624" s="18">
        <v>372</v>
      </c>
      <c r="BA624" s="18">
        <v>324</v>
      </c>
      <c r="BB624" s="18">
        <v>0.87097</v>
      </c>
      <c r="BC624" s="18">
        <v>0</v>
      </c>
      <c r="BD624" s="18">
        <v>0</v>
      </c>
      <c r="BE624" s="18">
        <v>0.16221</v>
      </c>
      <c r="BF624" s="18">
        <v>233</v>
      </c>
      <c r="BG624" s="18">
        <v>2</v>
      </c>
      <c r="BH624" s="18">
        <v>0</v>
      </c>
      <c r="BI624" s="18"/>
      <c r="BJ624" s="18">
        <v>0</v>
      </c>
      <c r="BK624" s="18">
        <v>0</v>
      </c>
      <c r="BL624" s="18">
        <v>0</v>
      </c>
      <c r="BM624" s="18">
        <v>0</v>
      </c>
      <c r="BN624" s="18"/>
      <c r="BO624" s="18"/>
      <c r="BP624" s="18">
        <v>2.12</v>
      </c>
      <c r="BQ624" s="18">
        <v>565</v>
      </c>
      <c r="BR624" s="18">
        <v>0</v>
      </c>
      <c r="BS624" s="18">
        <v>0</v>
      </c>
      <c r="BT624" s="18">
        <v>0</v>
      </c>
      <c r="BU624" s="18">
        <v>0</v>
      </c>
      <c r="BV624" s="18">
        <v>0</v>
      </c>
      <c r="BW624" s="18">
        <v>0</v>
      </c>
      <c r="BX624" s="18">
        <v>0</v>
      </c>
    </row>
    <row r="625" spans="2:76">
      <c r="B625" s="19">
        <v>46139</v>
      </c>
      <c r="C625" s="20">
        <v>838711327669</v>
      </c>
      <c r="D625" s="18" t="s">
        <v>151</v>
      </c>
      <c r="E625" s="18" t="s">
        <v>153</v>
      </c>
      <c r="F625" s="18">
        <v>658</v>
      </c>
      <c r="G625" s="18">
        <v>34</v>
      </c>
      <c r="H625" s="18">
        <v>44.18</v>
      </c>
      <c r="I625" s="18">
        <v>0.05167</v>
      </c>
      <c r="J625" s="18">
        <v>1.3</v>
      </c>
      <c r="K625" s="18">
        <v>67.14</v>
      </c>
      <c r="L625" s="18">
        <v>0</v>
      </c>
      <c r="M625" s="18">
        <v>0</v>
      </c>
      <c r="N625" s="18">
        <v>0</v>
      </c>
      <c r="O625" s="18">
        <v>0</v>
      </c>
      <c r="P625" s="18">
        <v>0</v>
      </c>
      <c r="Q625" s="18">
        <v>0</v>
      </c>
      <c r="R625" s="18">
        <v>0</v>
      </c>
      <c r="S625" s="18">
        <v>0</v>
      </c>
      <c r="T625" s="18">
        <v>0</v>
      </c>
      <c r="U625" s="18">
        <v>0</v>
      </c>
      <c r="V625" s="18">
        <v>0</v>
      </c>
      <c r="W625" s="18">
        <v>0</v>
      </c>
      <c r="X625" s="18">
        <v>0</v>
      </c>
      <c r="Y625" s="18">
        <v>0</v>
      </c>
      <c r="Z625" s="18">
        <v>0</v>
      </c>
      <c r="AA625" s="18"/>
      <c r="AB625" s="18">
        <v>2</v>
      </c>
      <c r="AC625" s="18">
        <v>0</v>
      </c>
      <c r="AD625" s="18">
        <v>2</v>
      </c>
      <c r="AE625" s="18">
        <v>0.05882</v>
      </c>
      <c r="AF625" s="18">
        <v>0</v>
      </c>
      <c r="AG625" s="18">
        <v>1</v>
      </c>
      <c r="AH625" s="18">
        <v>44.18</v>
      </c>
      <c r="AI625" s="18">
        <v>3</v>
      </c>
      <c r="AJ625" s="18">
        <v>14.73</v>
      </c>
      <c r="AK625" s="18">
        <v>2</v>
      </c>
      <c r="AL625" s="18">
        <v>22.09</v>
      </c>
      <c r="AM625" s="18">
        <v>1</v>
      </c>
      <c r="AN625" s="18"/>
      <c r="AO625" s="18">
        <v>0</v>
      </c>
      <c r="AP625" s="18">
        <v>22.09</v>
      </c>
      <c r="AQ625" s="18">
        <v>0</v>
      </c>
      <c r="AR625" s="18">
        <v>0</v>
      </c>
      <c r="AS625" s="18">
        <v>0</v>
      </c>
      <c r="AT625" s="18">
        <v>0</v>
      </c>
      <c r="AU625" s="18">
        <v>0</v>
      </c>
      <c r="AV625" s="18">
        <v>0</v>
      </c>
      <c r="AW625" s="18">
        <v>0</v>
      </c>
      <c r="AX625" s="18">
        <v>0</v>
      </c>
      <c r="AY625" s="18">
        <v>84</v>
      </c>
      <c r="AZ625" s="18">
        <v>24</v>
      </c>
      <c r="BA625" s="18">
        <v>17</v>
      </c>
      <c r="BB625" s="18">
        <v>0.70833</v>
      </c>
      <c r="BC625" s="18">
        <v>0</v>
      </c>
      <c r="BD625" s="18">
        <v>0</v>
      </c>
      <c r="BE625" s="18">
        <v>0.12766</v>
      </c>
      <c r="BF625" s="18">
        <v>46</v>
      </c>
      <c r="BG625" s="18">
        <v>4</v>
      </c>
      <c r="BH625" s="18">
        <v>0</v>
      </c>
      <c r="BI625" s="18"/>
      <c r="BJ625" s="18">
        <v>0</v>
      </c>
      <c r="BK625" s="18">
        <v>0</v>
      </c>
      <c r="BL625" s="18">
        <v>0</v>
      </c>
      <c r="BM625" s="18">
        <v>0</v>
      </c>
      <c r="BN625" s="18"/>
      <c r="BO625" s="18"/>
      <c r="BP625" s="18">
        <v>2.05</v>
      </c>
      <c r="BQ625" s="18">
        <v>35</v>
      </c>
      <c r="BR625" s="18">
        <v>0</v>
      </c>
      <c r="BS625" s="18">
        <v>0</v>
      </c>
      <c r="BT625" s="18">
        <v>0</v>
      </c>
      <c r="BU625" s="18">
        <v>0</v>
      </c>
      <c r="BV625" s="18">
        <v>0</v>
      </c>
      <c r="BW625" s="18">
        <v>0</v>
      </c>
      <c r="BX625" s="18">
        <v>0</v>
      </c>
    </row>
    <row r="626" spans="2:76">
      <c r="B626" s="19">
        <v>46138</v>
      </c>
      <c r="C626" s="20">
        <v>1010789122929</v>
      </c>
      <c r="D626" s="18" t="s">
        <v>151</v>
      </c>
      <c r="E626" s="18" t="s">
        <v>179</v>
      </c>
      <c r="F626" s="18">
        <v>34</v>
      </c>
      <c r="G626" s="18">
        <v>6</v>
      </c>
      <c r="H626" s="18">
        <v>1.78</v>
      </c>
      <c r="I626" s="18">
        <v>0.17647</v>
      </c>
      <c r="J626" s="18">
        <v>0.3</v>
      </c>
      <c r="K626" s="18">
        <v>52.35</v>
      </c>
      <c r="L626" s="18">
        <v>0</v>
      </c>
      <c r="M626" s="18">
        <v>0</v>
      </c>
      <c r="N626" s="18">
        <v>0</v>
      </c>
      <c r="O626" s="18">
        <v>0</v>
      </c>
      <c r="P626" s="18">
        <v>0</v>
      </c>
      <c r="Q626" s="18">
        <v>0</v>
      </c>
      <c r="R626" s="18">
        <v>0</v>
      </c>
      <c r="S626" s="18">
        <v>0</v>
      </c>
      <c r="T626" s="18">
        <v>0</v>
      </c>
      <c r="U626" s="18">
        <v>0</v>
      </c>
      <c r="V626" s="18">
        <v>0</v>
      </c>
      <c r="W626" s="18">
        <v>0</v>
      </c>
      <c r="X626" s="18">
        <v>0</v>
      </c>
      <c r="Y626" s="18">
        <v>0</v>
      </c>
      <c r="Z626" s="18">
        <v>0</v>
      </c>
      <c r="AA626" s="18"/>
      <c r="AB626" s="18">
        <v>0</v>
      </c>
      <c r="AC626" s="18">
        <v>0</v>
      </c>
      <c r="AD626" s="18">
        <v>0</v>
      </c>
      <c r="AE626" s="18">
        <v>0</v>
      </c>
      <c r="AF626" s="18">
        <v>0</v>
      </c>
      <c r="AG626" s="18">
        <v>0</v>
      </c>
      <c r="AH626" s="18"/>
      <c r="AI626" s="18">
        <v>0</v>
      </c>
      <c r="AJ626" s="18"/>
      <c r="AK626" s="18">
        <v>0</v>
      </c>
      <c r="AL626" s="18"/>
      <c r="AM626" s="18">
        <v>0</v>
      </c>
      <c r="AN626" s="18"/>
      <c r="AO626" s="18">
        <v>0</v>
      </c>
      <c r="AP626" s="18"/>
      <c r="AQ626" s="18">
        <v>0</v>
      </c>
      <c r="AR626" s="18">
        <v>0</v>
      </c>
      <c r="AS626" s="18">
        <v>0</v>
      </c>
      <c r="AT626" s="18">
        <v>0</v>
      </c>
      <c r="AU626" s="18">
        <v>0</v>
      </c>
      <c r="AV626" s="18">
        <v>0</v>
      </c>
      <c r="AW626" s="18">
        <v>0</v>
      </c>
      <c r="AX626" s="18">
        <v>0</v>
      </c>
      <c r="AY626" s="18">
        <v>6</v>
      </c>
      <c r="AZ626" s="18">
        <v>4</v>
      </c>
      <c r="BA626" s="18">
        <v>4</v>
      </c>
      <c r="BB626" s="18">
        <v>1</v>
      </c>
      <c r="BC626" s="18">
        <v>0</v>
      </c>
      <c r="BD626" s="18">
        <v>0</v>
      </c>
      <c r="BE626" s="18">
        <v>0.17647</v>
      </c>
      <c r="BF626" s="18">
        <v>0</v>
      </c>
      <c r="BG626" s="18">
        <v>2</v>
      </c>
      <c r="BH626" s="18">
        <v>0</v>
      </c>
      <c r="BI626" s="18"/>
      <c r="BJ626" s="18">
        <v>0</v>
      </c>
      <c r="BK626" s="18">
        <v>0</v>
      </c>
      <c r="BL626" s="18">
        <v>0</v>
      </c>
      <c r="BM626" s="18">
        <v>0</v>
      </c>
      <c r="BN626" s="18"/>
      <c r="BO626" s="18"/>
      <c r="BP626" s="18">
        <v>0</v>
      </c>
      <c r="BQ626" s="18">
        <v>0</v>
      </c>
      <c r="BR626" s="18">
        <v>0</v>
      </c>
      <c r="BS626" s="18">
        <v>0</v>
      </c>
      <c r="BT626" s="18">
        <v>0</v>
      </c>
      <c r="BU626" s="18">
        <v>0</v>
      </c>
      <c r="BV626" s="18">
        <v>0</v>
      </c>
      <c r="BW626" s="18">
        <v>0</v>
      </c>
      <c r="BX626" s="18">
        <v>0</v>
      </c>
    </row>
    <row r="627" spans="2:76">
      <c r="B627" s="19">
        <v>46138</v>
      </c>
      <c r="C627" s="20">
        <v>960406497157</v>
      </c>
      <c r="D627" s="18" t="s">
        <v>151</v>
      </c>
      <c r="E627" s="18" t="s">
        <v>156</v>
      </c>
      <c r="F627" s="18">
        <v>6404</v>
      </c>
      <c r="G627" s="18">
        <v>389</v>
      </c>
      <c r="H627" s="18">
        <v>144.42</v>
      </c>
      <c r="I627" s="18">
        <v>0.06074</v>
      </c>
      <c r="J627" s="18">
        <v>0.37</v>
      </c>
      <c r="K627" s="18">
        <v>22.55</v>
      </c>
      <c r="L627" s="18">
        <v>0</v>
      </c>
      <c r="M627" s="18">
        <v>0</v>
      </c>
      <c r="N627" s="18">
        <v>0</v>
      </c>
      <c r="O627" s="18">
        <v>0</v>
      </c>
      <c r="P627" s="18">
        <v>0</v>
      </c>
      <c r="Q627" s="18">
        <v>0</v>
      </c>
      <c r="R627" s="18">
        <v>0</v>
      </c>
      <c r="S627" s="18">
        <v>0</v>
      </c>
      <c r="T627" s="18">
        <v>0</v>
      </c>
      <c r="U627" s="18">
        <v>0</v>
      </c>
      <c r="V627" s="18">
        <v>0</v>
      </c>
      <c r="W627" s="18">
        <v>0</v>
      </c>
      <c r="X627" s="18">
        <v>0</v>
      </c>
      <c r="Y627" s="18">
        <v>0</v>
      </c>
      <c r="Z627" s="18">
        <v>0</v>
      </c>
      <c r="AA627" s="18"/>
      <c r="AB627" s="18">
        <v>6</v>
      </c>
      <c r="AC627" s="18">
        <v>5</v>
      </c>
      <c r="AD627" s="18">
        <v>1</v>
      </c>
      <c r="AE627" s="18">
        <v>0.01542</v>
      </c>
      <c r="AF627" s="18">
        <v>5</v>
      </c>
      <c r="AG627" s="18">
        <v>0</v>
      </c>
      <c r="AH627" s="18"/>
      <c r="AI627" s="18">
        <v>11</v>
      </c>
      <c r="AJ627" s="18">
        <v>13.13</v>
      </c>
      <c r="AK627" s="18">
        <v>11</v>
      </c>
      <c r="AL627" s="18">
        <v>13.13</v>
      </c>
      <c r="AM627" s="18">
        <v>5</v>
      </c>
      <c r="AN627" s="18">
        <v>28.88</v>
      </c>
      <c r="AO627" s="18">
        <v>0.01285</v>
      </c>
      <c r="AP627" s="18">
        <v>24.07</v>
      </c>
      <c r="AQ627" s="18">
        <v>0</v>
      </c>
      <c r="AR627" s="18">
        <v>0</v>
      </c>
      <c r="AS627" s="18">
        <v>3</v>
      </c>
      <c r="AT627" s="18">
        <v>2</v>
      </c>
      <c r="AU627" s="18">
        <v>0</v>
      </c>
      <c r="AV627" s="18">
        <v>0</v>
      </c>
      <c r="AW627" s="18">
        <v>0</v>
      </c>
      <c r="AX627" s="18">
        <v>0</v>
      </c>
      <c r="AY627" s="18">
        <v>714</v>
      </c>
      <c r="AZ627" s="18">
        <v>373</v>
      </c>
      <c r="BA627" s="18">
        <v>348</v>
      </c>
      <c r="BB627" s="18">
        <v>0.93298</v>
      </c>
      <c r="BC627" s="18">
        <v>0</v>
      </c>
      <c r="BD627" s="18">
        <v>0</v>
      </c>
      <c r="BE627" s="18">
        <v>0.11149</v>
      </c>
      <c r="BF627" s="18">
        <v>240</v>
      </c>
      <c r="BG627" s="18">
        <v>2</v>
      </c>
      <c r="BH627" s="18">
        <v>0</v>
      </c>
      <c r="BI627" s="18"/>
      <c r="BJ627" s="18">
        <v>0</v>
      </c>
      <c r="BK627" s="18">
        <v>0</v>
      </c>
      <c r="BL627" s="18">
        <v>0</v>
      </c>
      <c r="BM627" s="18">
        <v>0</v>
      </c>
      <c r="BN627" s="18"/>
      <c r="BO627" s="18"/>
      <c r="BP627" s="18">
        <v>4.07</v>
      </c>
      <c r="BQ627" s="18">
        <v>386</v>
      </c>
      <c r="BR627" s="18">
        <v>0</v>
      </c>
      <c r="BS627" s="18">
        <v>0</v>
      </c>
      <c r="BT627" s="18">
        <v>0</v>
      </c>
      <c r="BU627" s="18">
        <v>0</v>
      </c>
      <c r="BV627" s="18">
        <v>0</v>
      </c>
      <c r="BW627" s="18">
        <v>0</v>
      </c>
      <c r="BX627" s="18">
        <v>0</v>
      </c>
    </row>
    <row r="628" spans="2:76">
      <c r="B628" s="19">
        <v>46138</v>
      </c>
      <c r="C628" s="20">
        <v>838711327669</v>
      </c>
      <c r="D628" s="18" t="s">
        <v>151</v>
      </c>
      <c r="E628" s="18" t="s">
        <v>153</v>
      </c>
      <c r="F628" s="18">
        <v>745</v>
      </c>
      <c r="G628" s="18">
        <v>26</v>
      </c>
      <c r="H628" s="18">
        <v>50</v>
      </c>
      <c r="I628" s="18">
        <v>0.0349</v>
      </c>
      <c r="J628" s="18">
        <v>1.92</v>
      </c>
      <c r="K628" s="18">
        <v>67.11</v>
      </c>
      <c r="L628" s="18">
        <v>0</v>
      </c>
      <c r="M628" s="18">
        <v>0</v>
      </c>
      <c r="N628" s="18">
        <v>0</v>
      </c>
      <c r="O628" s="18">
        <v>0</v>
      </c>
      <c r="P628" s="18">
        <v>0</v>
      </c>
      <c r="Q628" s="18">
        <v>0</v>
      </c>
      <c r="R628" s="18">
        <v>0</v>
      </c>
      <c r="S628" s="18">
        <v>143.64</v>
      </c>
      <c r="T628" s="18">
        <v>143.64</v>
      </c>
      <c r="U628" s="18">
        <v>1</v>
      </c>
      <c r="V628" s="18">
        <v>0</v>
      </c>
      <c r="W628" s="18">
        <v>1</v>
      </c>
      <c r="X628" s="18">
        <v>0.03846</v>
      </c>
      <c r="Y628" s="18">
        <v>2.87</v>
      </c>
      <c r="Z628" s="18">
        <v>2.87</v>
      </c>
      <c r="AA628" s="18">
        <v>50</v>
      </c>
      <c r="AB628" s="18">
        <v>1</v>
      </c>
      <c r="AC628" s="18">
        <v>0</v>
      </c>
      <c r="AD628" s="18">
        <v>1</v>
      </c>
      <c r="AE628" s="18">
        <v>0.03846</v>
      </c>
      <c r="AF628" s="18">
        <v>0</v>
      </c>
      <c r="AG628" s="18">
        <v>1</v>
      </c>
      <c r="AH628" s="18">
        <v>50</v>
      </c>
      <c r="AI628" s="18">
        <v>2</v>
      </c>
      <c r="AJ628" s="18">
        <v>25</v>
      </c>
      <c r="AK628" s="18">
        <v>1</v>
      </c>
      <c r="AL628" s="18">
        <v>50</v>
      </c>
      <c r="AM628" s="18">
        <v>1</v>
      </c>
      <c r="AN628" s="18"/>
      <c r="AO628" s="18">
        <v>0</v>
      </c>
      <c r="AP628" s="18">
        <v>50</v>
      </c>
      <c r="AQ628" s="18">
        <v>2</v>
      </c>
      <c r="AR628" s="18">
        <v>217.9</v>
      </c>
      <c r="AS628" s="18">
        <v>0</v>
      </c>
      <c r="AT628" s="18">
        <v>0</v>
      </c>
      <c r="AU628" s="18">
        <v>0</v>
      </c>
      <c r="AV628" s="18">
        <v>0</v>
      </c>
      <c r="AW628" s="18">
        <v>0</v>
      </c>
      <c r="AX628" s="18">
        <v>2</v>
      </c>
      <c r="AY628" s="18">
        <v>91</v>
      </c>
      <c r="AZ628" s="18">
        <v>24</v>
      </c>
      <c r="BA628" s="18">
        <v>19</v>
      </c>
      <c r="BB628" s="18">
        <v>0.79167</v>
      </c>
      <c r="BC628" s="18">
        <v>0</v>
      </c>
      <c r="BD628" s="18">
        <v>0</v>
      </c>
      <c r="BE628" s="18">
        <v>0.12215</v>
      </c>
      <c r="BF628" s="18">
        <v>62</v>
      </c>
      <c r="BG628" s="18">
        <v>4</v>
      </c>
      <c r="BH628" s="18">
        <v>1</v>
      </c>
      <c r="BI628" s="18">
        <v>1</v>
      </c>
      <c r="BJ628" s="18">
        <v>0</v>
      </c>
      <c r="BK628" s="18">
        <v>0</v>
      </c>
      <c r="BL628" s="18">
        <v>0</v>
      </c>
      <c r="BM628" s="18">
        <v>1</v>
      </c>
      <c r="BN628" s="18">
        <v>1</v>
      </c>
      <c r="BO628" s="18">
        <v>143.64</v>
      </c>
      <c r="BP628" s="18">
        <v>32.29</v>
      </c>
      <c r="BQ628" s="18">
        <v>186</v>
      </c>
      <c r="BR628" s="18">
        <v>0</v>
      </c>
      <c r="BS628" s="18">
        <v>0</v>
      </c>
      <c r="BT628" s="18">
        <v>0</v>
      </c>
      <c r="BU628" s="18">
        <v>0</v>
      </c>
      <c r="BV628" s="18">
        <v>0</v>
      </c>
      <c r="BW628" s="18">
        <v>0</v>
      </c>
      <c r="BX628" s="18">
        <v>0</v>
      </c>
    </row>
    <row r="629" spans="2:76">
      <c r="B629" s="19">
        <v>46137</v>
      </c>
      <c r="C629" s="20">
        <v>1010789122929</v>
      </c>
      <c r="D629" s="18" t="s">
        <v>151</v>
      </c>
      <c r="E629" s="18" t="s">
        <v>179</v>
      </c>
      <c r="F629" s="18">
        <v>128</v>
      </c>
      <c r="G629" s="18">
        <v>20</v>
      </c>
      <c r="H629" s="18">
        <v>6.39</v>
      </c>
      <c r="I629" s="18">
        <v>0.15625</v>
      </c>
      <c r="J629" s="18">
        <v>0.32</v>
      </c>
      <c r="K629" s="18">
        <v>49.92</v>
      </c>
      <c r="L629" s="18">
        <v>0</v>
      </c>
      <c r="M629" s="18">
        <v>0</v>
      </c>
      <c r="N629" s="18">
        <v>0</v>
      </c>
      <c r="O629" s="18">
        <v>0</v>
      </c>
      <c r="P629" s="18">
        <v>0</v>
      </c>
      <c r="Q629" s="18">
        <v>0</v>
      </c>
      <c r="R629" s="18">
        <v>0</v>
      </c>
      <c r="S629" s="18">
        <v>0</v>
      </c>
      <c r="T629" s="18">
        <v>0</v>
      </c>
      <c r="U629" s="18">
        <v>0</v>
      </c>
      <c r="V629" s="18">
        <v>0</v>
      </c>
      <c r="W629" s="18">
        <v>0</v>
      </c>
      <c r="X629" s="18">
        <v>0</v>
      </c>
      <c r="Y629" s="18">
        <v>0</v>
      </c>
      <c r="Z629" s="18">
        <v>0</v>
      </c>
      <c r="AA629" s="18"/>
      <c r="AB629" s="18">
        <v>0</v>
      </c>
      <c r="AC629" s="18">
        <v>0</v>
      </c>
      <c r="AD629" s="18">
        <v>0</v>
      </c>
      <c r="AE629" s="18">
        <v>0</v>
      </c>
      <c r="AF629" s="18">
        <v>0</v>
      </c>
      <c r="AG629" s="18">
        <v>1</v>
      </c>
      <c r="AH629" s="18">
        <v>6.39</v>
      </c>
      <c r="AI629" s="18">
        <v>1</v>
      </c>
      <c r="AJ629" s="18">
        <v>6.39</v>
      </c>
      <c r="AK629" s="18">
        <v>0</v>
      </c>
      <c r="AL629" s="18"/>
      <c r="AM629" s="18">
        <v>1</v>
      </c>
      <c r="AN629" s="18"/>
      <c r="AO629" s="18">
        <v>0</v>
      </c>
      <c r="AP629" s="18"/>
      <c r="AQ629" s="18">
        <v>0</v>
      </c>
      <c r="AR629" s="18">
        <v>0</v>
      </c>
      <c r="AS629" s="18">
        <v>0</v>
      </c>
      <c r="AT629" s="18">
        <v>0</v>
      </c>
      <c r="AU629" s="18">
        <v>0</v>
      </c>
      <c r="AV629" s="18">
        <v>0</v>
      </c>
      <c r="AW629" s="18">
        <v>0</v>
      </c>
      <c r="AX629" s="18">
        <v>0</v>
      </c>
      <c r="AY629" s="18">
        <v>28</v>
      </c>
      <c r="AZ629" s="18">
        <v>13</v>
      </c>
      <c r="BA629" s="18">
        <v>12</v>
      </c>
      <c r="BB629" s="18">
        <v>0.92308</v>
      </c>
      <c r="BC629" s="18">
        <v>0</v>
      </c>
      <c r="BD629" s="18">
        <v>0</v>
      </c>
      <c r="BE629" s="18">
        <v>0.21875</v>
      </c>
      <c r="BF629" s="18">
        <v>8</v>
      </c>
      <c r="BG629" s="18">
        <v>2</v>
      </c>
      <c r="BH629" s="18">
        <v>0</v>
      </c>
      <c r="BI629" s="18"/>
      <c r="BJ629" s="18">
        <v>0</v>
      </c>
      <c r="BK629" s="18">
        <v>0</v>
      </c>
      <c r="BL629" s="18">
        <v>0</v>
      </c>
      <c r="BM629" s="18">
        <v>0</v>
      </c>
      <c r="BN629" s="18"/>
      <c r="BO629" s="18"/>
      <c r="BP629" s="18">
        <v>0</v>
      </c>
      <c r="BQ629" s="18">
        <v>0</v>
      </c>
      <c r="BR629" s="18">
        <v>0</v>
      </c>
      <c r="BS629" s="18">
        <v>0</v>
      </c>
      <c r="BT629" s="18">
        <v>0</v>
      </c>
      <c r="BU629" s="18">
        <v>0</v>
      </c>
      <c r="BV629" s="18">
        <v>0</v>
      </c>
      <c r="BW629" s="18">
        <v>0</v>
      </c>
      <c r="BX629" s="18">
        <v>0</v>
      </c>
    </row>
    <row r="630" spans="2:76">
      <c r="B630" s="19">
        <v>46137</v>
      </c>
      <c r="C630" s="20">
        <v>960406497157</v>
      </c>
      <c r="D630" s="18" t="s">
        <v>151</v>
      </c>
      <c r="E630" s="18" t="s">
        <v>156</v>
      </c>
      <c r="F630" s="18">
        <v>16599</v>
      </c>
      <c r="G630" s="18">
        <v>705</v>
      </c>
      <c r="H630" s="18">
        <v>281.88</v>
      </c>
      <c r="I630" s="18">
        <v>0.04247</v>
      </c>
      <c r="J630" s="18">
        <v>0.4</v>
      </c>
      <c r="K630" s="18">
        <v>16.98</v>
      </c>
      <c r="L630" s="18">
        <v>0</v>
      </c>
      <c r="M630" s="18">
        <v>0</v>
      </c>
      <c r="N630" s="18">
        <v>0</v>
      </c>
      <c r="O630" s="18">
        <v>0</v>
      </c>
      <c r="P630" s="18">
        <v>0</v>
      </c>
      <c r="Q630" s="18">
        <v>0</v>
      </c>
      <c r="R630" s="18">
        <v>287.28</v>
      </c>
      <c r="S630" s="18">
        <v>138.6</v>
      </c>
      <c r="T630" s="18">
        <v>425.88</v>
      </c>
      <c r="U630" s="18">
        <v>3</v>
      </c>
      <c r="V630" s="18">
        <v>2</v>
      </c>
      <c r="W630" s="18">
        <v>1</v>
      </c>
      <c r="X630" s="18">
        <v>0.00426</v>
      </c>
      <c r="Y630" s="18">
        <v>1.51</v>
      </c>
      <c r="Z630" s="18">
        <v>1.51</v>
      </c>
      <c r="AA630" s="18">
        <v>93.96</v>
      </c>
      <c r="AB630" s="18">
        <v>19</v>
      </c>
      <c r="AC630" s="18">
        <v>15</v>
      </c>
      <c r="AD630" s="18">
        <v>4</v>
      </c>
      <c r="AE630" s="18">
        <v>0.02695</v>
      </c>
      <c r="AF630" s="18">
        <v>9</v>
      </c>
      <c r="AG630" s="18">
        <v>5</v>
      </c>
      <c r="AH630" s="18">
        <v>56.38</v>
      </c>
      <c r="AI630" s="18">
        <v>33</v>
      </c>
      <c r="AJ630" s="18">
        <v>8.54</v>
      </c>
      <c r="AK630" s="18">
        <v>28</v>
      </c>
      <c r="AL630" s="18">
        <v>10.07</v>
      </c>
      <c r="AM630" s="18">
        <v>14</v>
      </c>
      <c r="AN630" s="18">
        <v>31.32</v>
      </c>
      <c r="AO630" s="18">
        <v>0.01277</v>
      </c>
      <c r="AP630" s="18">
        <v>14.84</v>
      </c>
      <c r="AQ630" s="18">
        <v>6</v>
      </c>
      <c r="AR630" s="18">
        <v>653.7</v>
      </c>
      <c r="AS630" s="18">
        <v>8</v>
      </c>
      <c r="AT630" s="18">
        <v>1</v>
      </c>
      <c r="AU630" s="18">
        <v>0</v>
      </c>
      <c r="AV630" s="18">
        <v>0</v>
      </c>
      <c r="AW630" s="18">
        <v>0</v>
      </c>
      <c r="AX630" s="18">
        <v>2</v>
      </c>
      <c r="AY630" s="18">
        <v>1414</v>
      </c>
      <c r="AZ630" s="18">
        <v>678</v>
      </c>
      <c r="BA630" s="18">
        <v>656</v>
      </c>
      <c r="BB630" s="18">
        <v>0.96755</v>
      </c>
      <c r="BC630" s="18">
        <v>0</v>
      </c>
      <c r="BD630" s="18">
        <v>0</v>
      </c>
      <c r="BE630" s="18">
        <v>0.08519</v>
      </c>
      <c r="BF630" s="18">
        <v>523</v>
      </c>
      <c r="BG630" s="18">
        <v>2</v>
      </c>
      <c r="BH630" s="18">
        <v>2</v>
      </c>
      <c r="BI630" s="18">
        <v>1</v>
      </c>
      <c r="BJ630" s="18">
        <v>0</v>
      </c>
      <c r="BK630" s="18">
        <v>0</v>
      </c>
      <c r="BL630" s="18">
        <v>0</v>
      </c>
      <c r="BM630" s="18">
        <v>2</v>
      </c>
      <c r="BN630" s="18">
        <v>2</v>
      </c>
      <c r="BO630" s="18">
        <v>212.94</v>
      </c>
      <c r="BP630" s="18">
        <v>5.03</v>
      </c>
      <c r="BQ630" s="18">
        <v>1422</v>
      </c>
      <c r="BR630" s="18">
        <v>0</v>
      </c>
      <c r="BS630" s="18">
        <v>0</v>
      </c>
      <c r="BT630" s="18">
        <v>0</v>
      </c>
      <c r="BU630" s="18">
        <v>0</v>
      </c>
      <c r="BV630" s="18">
        <v>0</v>
      </c>
      <c r="BW630" s="18">
        <v>0</v>
      </c>
      <c r="BX630" s="18">
        <v>0</v>
      </c>
    </row>
    <row r="631" spans="2:76">
      <c r="B631" s="19">
        <v>46137</v>
      </c>
      <c r="C631" s="20">
        <v>838711327669</v>
      </c>
      <c r="D631" s="18" t="s">
        <v>151</v>
      </c>
      <c r="E631" s="18" t="s">
        <v>153</v>
      </c>
      <c r="F631" s="18">
        <v>648</v>
      </c>
      <c r="G631" s="18">
        <v>23</v>
      </c>
      <c r="H631" s="18">
        <v>38.42</v>
      </c>
      <c r="I631" s="18">
        <v>0.03549</v>
      </c>
      <c r="J631" s="18">
        <v>1.67</v>
      </c>
      <c r="K631" s="18">
        <v>59.29</v>
      </c>
      <c r="L631" s="18">
        <v>0</v>
      </c>
      <c r="M631" s="18">
        <v>0</v>
      </c>
      <c r="N631" s="18">
        <v>0</v>
      </c>
      <c r="O631" s="18">
        <v>0</v>
      </c>
      <c r="P631" s="18">
        <v>0</v>
      </c>
      <c r="Q631" s="18">
        <v>0</v>
      </c>
      <c r="R631" s="18">
        <v>0</v>
      </c>
      <c r="S631" s="18">
        <v>0</v>
      </c>
      <c r="T631" s="18">
        <v>0</v>
      </c>
      <c r="U631" s="18">
        <v>0</v>
      </c>
      <c r="V631" s="18">
        <v>0</v>
      </c>
      <c r="W631" s="18">
        <v>0</v>
      </c>
      <c r="X631" s="18">
        <v>0</v>
      </c>
      <c r="Y631" s="18">
        <v>0</v>
      </c>
      <c r="Z631" s="18">
        <v>0</v>
      </c>
      <c r="AA631" s="18"/>
      <c r="AB631" s="18">
        <v>1</v>
      </c>
      <c r="AC631" s="18">
        <v>1</v>
      </c>
      <c r="AD631" s="18">
        <v>0</v>
      </c>
      <c r="AE631" s="18">
        <v>0.04348</v>
      </c>
      <c r="AF631" s="18">
        <v>0</v>
      </c>
      <c r="AG631" s="18">
        <v>0</v>
      </c>
      <c r="AH631" s="18"/>
      <c r="AI631" s="18">
        <v>1</v>
      </c>
      <c r="AJ631" s="18">
        <v>38.42</v>
      </c>
      <c r="AK631" s="18">
        <v>1</v>
      </c>
      <c r="AL631" s="18">
        <v>38.42</v>
      </c>
      <c r="AM631" s="18">
        <v>0</v>
      </c>
      <c r="AN631" s="18"/>
      <c r="AO631" s="18">
        <v>0</v>
      </c>
      <c r="AP631" s="18">
        <v>38.42</v>
      </c>
      <c r="AQ631" s="18">
        <v>0</v>
      </c>
      <c r="AR631" s="18">
        <v>0</v>
      </c>
      <c r="AS631" s="18">
        <v>0</v>
      </c>
      <c r="AT631" s="18">
        <v>0</v>
      </c>
      <c r="AU631" s="18">
        <v>0</v>
      </c>
      <c r="AV631" s="18">
        <v>0</v>
      </c>
      <c r="AW631" s="18">
        <v>0</v>
      </c>
      <c r="AX631" s="18">
        <v>0</v>
      </c>
      <c r="AY631" s="18">
        <v>52</v>
      </c>
      <c r="AZ631" s="18">
        <v>21</v>
      </c>
      <c r="BA631" s="18">
        <v>17</v>
      </c>
      <c r="BB631" s="18">
        <v>0.80952</v>
      </c>
      <c r="BC631" s="18">
        <v>0</v>
      </c>
      <c r="BD631" s="18">
        <v>0</v>
      </c>
      <c r="BE631" s="18">
        <v>0.08025</v>
      </c>
      <c r="BF631" s="18">
        <v>26</v>
      </c>
      <c r="BG631" s="18">
        <v>2</v>
      </c>
      <c r="BH631" s="18">
        <v>0</v>
      </c>
      <c r="BI631" s="18"/>
      <c r="BJ631" s="18">
        <v>0</v>
      </c>
      <c r="BK631" s="18">
        <v>0</v>
      </c>
      <c r="BL631" s="18">
        <v>0</v>
      </c>
      <c r="BM631" s="18">
        <v>0</v>
      </c>
      <c r="BN631" s="18"/>
      <c r="BO631" s="18"/>
      <c r="BP631" s="18">
        <v>0</v>
      </c>
      <c r="BQ631" s="18">
        <v>55</v>
      </c>
      <c r="BR631" s="18">
        <v>0</v>
      </c>
      <c r="BS631" s="18">
        <v>0</v>
      </c>
      <c r="BT631" s="18">
        <v>0</v>
      </c>
      <c r="BU631" s="18">
        <v>0</v>
      </c>
      <c r="BV631" s="18">
        <v>0</v>
      </c>
      <c r="BW631" s="18">
        <v>0</v>
      </c>
      <c r="BX631" s="18">
        <v>0</v>
      </c>
    </row>
    <row r="632" spans="2:76">
      <c r="B632" s="19">
        <v>46136</v>
      </c>
      <c r="C632" s="20">
        <v>1010789122929</v>
      </c>
      <c r="D632" s="18" t="s">
        <v>151</v>
      </c>
      <c r="E632" s="18" t="s">
        <v>179</v>
      </c>
      <c r="F632" s="18">
        <v>143</v>
      </c>
      <c r="G632" s="18">
        <v>19</v>
      </c>
      <c r="H632" s="18">
        <v>7.49</v>
      </c>
      <c r="I632" s="18">
        <v>0.13287</v>
      </c>
      <c r="J632" s="18">
        <v>0.39</v>
      </c>
      <c r="K632" s="18">
        <v>52.38</v>
      </c>
      <c r="L632" s="18">
        <v>0</v>
      </c>
      <c r="M632" s="18">
        <v>0</v>
      </c>
      <c r="N632" s="18">
        <v>0</v>
      </c>
      <c r="O632" s="18">
        <v>0</v>
      </c>
      <c r="P632" s="18">
        <v>0</v>
      </c>
      <c r="Q632" s="18">
        <v>0</v>
      </c>
      <c r="R632" s="18">
        <v>0</v>
      </c>
      <c r="S632" s="18">
        <v>218.8</v>
      </c>
      <c r="T632" s="18">
        <v>218.8</v>
      </c>
      <c r="U632" s="18">
        <v>4</v>
      </c>
      <c r="V632" s="18">
        <v>0</v>
      </c>
      <c r="W632" s="18">
        <v>4</v>
      </c>
      <c r="X632" s="18">
        <v>0.21053</v>
      </c>
      <c r="Y632" s="18">
        <v>29.21</v>
      </c>
      <c r="Z632" s="18">
        <v>29.21</v>
      </c>
      <c r="AA632" s="18">
        <v>1.87</v>
      </c>
      <c r="AB632" s="18">
        <v>6</v>
      </c>
      <c r="AC632" s="18">
        <v>0</v>
      </c>
      <c r="AD632" s="18">
        <v>6</v>
      </c>
      <c r="AE632" s="18">
        <v>0.31579</v>
      </c>
      <c r="AF632" s="18">
        <v>0</v>
      </c>
      <c r="AG632" s="18">
        <v>0</v>
      </c>
      <c r="AH632" s="18"/>
      <c r="AI632" s="18">
        <v>6</v>
      </c>
      <c r="AJ632" s="18">
        <v>1.25</v>
      </c>
      <c r="AK632" s="18">
        <v>6</v>
      </c>
      <c r="AL632" s="18">
        <v>1.25</v>
      </c>
      <c r="AM632" s="18">
        <v>0</v>
      </c>
      <c r="AN632" s="18"/>
      <c r="AO632" s="18">
        <v>0</v>
      </c>
      <c r="AP632" s="18">
        <v>1.25</v>
      </c>
      <c r="AQ632" s="18">
        <v>5</v>
      </c>
      <c r="AR632" s="18">
        <v>347.7</v>
      </c>
      <c r="AS632" s="18">
        <v>0</v>
      </c>
      <c r="AT632" s="18">
        <v>0</v>
      </c>
      <c r="AU632" s="18">
        <v>0</v>
      </c>
      <c r="AV632" s="18">
        <v>0</v>
      </c>
      <c r="AW632" s="18">
        <v>0</v>
      </c>
      <c r="AX632" s="18">
        <v>0</v>
      </c>
      <c r="AY632" s="18">
        <v>57</v>
      </c>
      <c r="AZ632" s="18">
        <v>16</v>
      </c>
      <c r="BA632" s="18">
        <v>7</v>
      </c>
      <c r="BB632" s="18">
        <v>0.4375</v>
      </c>
      <c r="BC632" s="18">
        <v>0</v>
      </c>
      <c r="BD632" s="18">
        <v>0</v>
      </c>
      <c r="BE632" s="18">
        <v>0.3986</v>
      </c>
      <c r="BF632" s="18">
        <v>35</v>
      </c>
      <c r="BG632" s="18">
        <v>4</v>
      </c>
      <c r="BH632" s="18">
        <v>1</v>
      </c>
      <c r="BI632" s="18">
        <v>1</v>
      </c>
      <c r="BJ632" s="18">
        <v>0</v>
      </c>
      <c r="BK632" s="18">
        <v>0</v>
      </c>
      <c r="BL632" s="18">
        <v>0</v>
      </c>
      <c r="BM632" s="18">
        <v>1</v>
      </c>
      <c r="BN632" s="18">
        <v>4</v>
      </c>
      <c r="BO632" s="18">
        <v>218.8</v>
      </c>
      <c r="BP632" s="18">
        <v>69.73</v>
      </c>
      <c r="BQ632" s="18">
        <v>274</v>
      </c>
      <c r="BR632" s="18">
        <v>0</v>
      </c>
      <c r="BS632" s="18">
        <v>0</v>
      </c>
      <c r="BT632" s="18">
        <v>0</v>
      </c>
      <c r="BU632" s="18">
        <v>0</v>
      </c>
      <c r="BV632" s="18">
        <v>0</v>
      </c>
      <c r="BW632" s="18">
        <v>0</v>
      </c>
      <c r="BX632" s="18">
        <v>0</v>
      </c>
    </row>
    <row r="633" spans="2:76">
      <c r="B633" s="19">
        <v>46136</v>
      </c>
      <c r="C633" s="20">
        <v>960406497157</v>
      </c>
      <c r="D633" s="18" t="s">
        <v>151</v>
      </c>
      <c r="E633" s="18" t="s">
        <v>156</v>
      </c>
      <c r="F633" s="18">
        <v>8161</v>
      </c>
      <c r="G633" s="18">
        <v>457</v>
      </c>
      <c r="H633" s="18">
        <v>184.68</v>
      </c>
      <c r="I633" s="18">
        <v>0.056</v>
      </c>
      <c r="J633" s="18">
        <v>0.4</v>
      </c>
      <c r="K633" s="18">
        <v>22.63</v>
      </c>
      <c r="L633" s="18">
        <v>0</v>
      </c>
      <c r="M633" s="18">
        <v>0</v>
      </c>
      <c r="N633" s="18">
        <v>0</v>
      </c>
      <c r="O633" s="18">
        <v>0</v>
      </c>
      <c r="P633" s="18">
        <v>0</v>
      </c>
      <c r="Q633" s="18">
        <v>0</v>
      </c>
      <c r="R633" s="18">
        <v>0</v>
      </c>
      <c r="S633" s="18">
        <v>0</v>
      </c>
      <c r="T633" s="18">
        <v>0</v>
      </c>
      <c r="U633" s="18">
        <v>0</v>
      </c>
      <c r="V633" s="18">
        <v>0</v>
      </c>
      <c r="W633" s="18">
        <v>0</v>
      </c>
      <c r="X633" s="18">
        <v>0</v>
      </c>
      <c r="Y633" s="18">
        <v>0</v>
      </c>
      <c r="Z633" s="18">
        <v>0</v>
      </c>
      <c r="AA633" s="18"/>
      <c r="AB633" s="18">
        <v>4</v>
      </c>
      <c r="AC633" s="18">
        <v>4</v>
      </c>
      <c r="AD633" s="18">
        <v>0</v>
      </c>
      <c r="AE633" s="18">
        <v>0.00875</v>
      </c>
      <c r="AF633" s="18">
        <v>3</v>
      </c>
      <c r="AG633" s="18">
        <v>2</v>
      </c>
      <c r="AH633" s="18">
        <v>92.34</v>
      </c>
      <c r="AI633" s="18">
        <v>9</v>
      </c>
      <c r="AJ633" s="18">
        <v>20.52</v>
      </c>
      <c r="AK633" s="18">
        <v>7</v>
      </c>
      <c r="AL633" s="18">
        <v>26.38</v>
      </c>
      <c r="AM633" s="18">
        <v>5</v>
      </c>
      <c r="AN633" s="18">
        <v>61.56</v>
      </c>
      <c r="AO633" s="18">
        <v>0.00656</v>
      </c>
      <c r="AP633" s="18">
        <v>46.17</v>
      </c>
      <c r="AQ633" s="18">
        <v>0</v>
      </c>
      <c r="AR633" s="18">
        <v>0</v>
      </c>
      <c r="AS633" s="18">
        <v>1</v>
      </c>
      <c r="AT633" s="18">
        <v>2</v>
      </c>
      <c r="AU633" s="18">
        <v>0</v>
      </c>
      <c r="AV633" s="18">
        <v>0</v>
      </c>
      <c r="AW633" s="18">
        <v>0</v>
      </c>
      <c r="AX633" s="18">
        <v>0</v>
      </c>
      <c r="AY633" s="18">
        <v>784</v>
      </c>
      <c r="AZ633" s="18">
        <v>411</v>
      </c>
      <c r="BA633" s="18">
        <v>394</v>
      </c>
      <c r="BB633" s="18">
        <v>0.95864</v>
      </c>
      <c r="BC633" s="18">
        <v>0</v>
      </c>
      <c r="BD633" s="18">
        <v>0</v>
      </c>
      <c r="BE633" s="18">
        <v>0.09607</v>
      </c>
      <c r="BF633" s="18">
        <v>255</v>
      </c>
      <c r="BG633" s="18">
        <v>2</v>
      </c>
      <c r="BH633" s="18">
        <v>0</v>
      </c>
      <c r="BI633" s="18"/>
      <c r="BJ633" s="18">
        <v>0</v>
      </c>
      <c r="BK633" s="18">
        <v>0</v>
      </c>
      <c r="BL633" s="18">
        <v>0</v>
      </c>
      <c r="BM633" s="18">
        <v>0</v>
      </c>
      <c r="BN633" s="18"/>
      <c r="BO633" s="18"/>
      <c r="BP633" s="18">
        <v>4.27</v>
      </c>
      <c r="BQ633" s="18">
        <v>453</v>
      </c>
      <c r="BR633" s="18">
        <v>0</v>
      </c>
      <c r="BS633" s="18">
        <v>0</v>
      </c>
      <c r="BT633" s="18">
        <v>0</v>
      </c>
      <c r="BU633" s="18">
        <v>0</v>
      </c>
      <c r="BV633" s="18">
        <v>0</v>
      </c>
      <c r="BW633" s="18">
        <v>0</v>
      </c>
      <c r="BX633" s="18">
        <v>0</v>
      </c>
    </row>
    <row r="634" spans="2:76">
      <c r="B634" s="19">
        <v>46136</v>
      </c>
      <c r="C634" s="20">
        <v>838711327669</v>
      </c>
      <c r="D634" s="18" t="s">
        <v>151</v>
      </c>
      <c r="E634" s="18" t="s">
        <v>153</v>
      </c>
      <c r="F634" s="18">
        <v>593</v>
      </c>
      <c r="G634" s="18">
        <v>33</v>
      </c>
      <c r="H634" s="18">
        <v>50</v>
      </c>
      <c r="I634" s="18">
        <v>0.05565</v>
      </c>
      <c r="J634" s="18">
        <v>1.52</v>
      </c>
      <c r="K634" s="18">
        <v>84.32</v>
      </c>
      <c r="L634" s="18">
        <v>0</v>
      </c>
      <c r="M634" s="18">
        <v>0</v>
      </c>
      <c r="N634" s="18">
        <v>0</v>
      </c>
      <c r="O634" s="18">
        <v>0</v>
      </c>
      <c r="P634" s="18">
        <v>0</v>
      </c>
      <c r="Q634" s="18">
        <v>0</v>
      </c>
      <c r="R634" s="18">
        <v>0</v>
      </c>
      <c r="S634" s="18">
        <v>0</v>
      </c>
      <c r="T634" s="18">
        <v>0</v>
      </c>
      <c r="U634" s="18">
        <v>0</v>
      </c>
      <c r="V634" s="18">
        <v>0</v>
      </c>
      <c r="W634" s="18">
        <v>0</v>
      </c>
      <c r="X634" s="18">
        <v>0</v>
      </c>
      <c r="Y634" s="18">
        <v>0</v>
      </c>
      <c r="Z634" s="18">
        <v>0</v>
      </c>
      <c r="AA634" s="18"/>
      <c r="AB634" s="18">
        <v>1</v>
      </c>
      <c r="AC634" s="18">
        <v>0</v>
      </c>
      <c r="AD634" s="18">
        <v>1</v>
      </c>
      <c r="AE634" s="18">
        <v>0.0303</v>
      </c>
      <c r="AF634" s="18">
        <v>0</v>
      </c>
      <c r="AG634" s="18">
        <v>0</v>
      </c>
      <c r="AH634" s="18"/>
      <c r="AI634" s="18">
        <v>1</v>
      </c>
      <c r="AJ634" s="18">
        <v>50</v>
      </c>
      <c r="AK634" s="18">
        <v>1</v>
      </c>
      <c r="AL634" s="18">
        <v>50</v>
      </c>
      <c r="AM634" s="18">
        <v>0</v>
      </c>
      <c r="AN634" s="18"/>
      <c r="AO634" s="18">
        <v>0</v>
      </c>
      <c r="AP634" s="18">
        <v>50</v>
      </c>
      <c r="AQ634" s="18">
        <v>0</v>
      </c>
      <c r="AR634" s="18">
        <v>0</v>
      </c>
      <c r="AS634" s="18">
        <v>0</v>
      </c>
      <c r="AT634" s="18">
        <v>0</v>
      </c>
      <c r="AU634" s="18">
        <v>0</v>
      </c>
      <c r="AV634" s="18">
        <v>0</v>
      </c>
      <c r="AW634" s="18">
        <v>0</v>
      </c>
      <c r="AX634" s="18">
        <v>0</v>
      </c>
      <c r="AY634" s="18">
        <v>96</v>
      </c>
      <c r="AZ634" s="18">
        <v>24</v>
      </c>
      <c r="BA634" s="18">
        <v>16</v>
      </c>
      <c r="BB634" s="18">
        <v>0.66667</v>
      </c>
      <c r="BC634" s="18">
        <v>0</v>
      </c>
      <c r="BD634" s="18">
        <v>0</v>
      </c>
      <c r="BE634" s="18">
        <v>0.16189</v>
      </c>
      <c r="BF634" s="18">
        <v>59</v>
      </c>
      <c r="BG634" s="18">
        <v>4</v>
      </c>
      <c r="BH634" s="18">
        <v>0</v>
      </c>
      <c r="BI634" s="18"/>
      <c r="BJ634" s="18">
        <v>0</v>
      </c>
      <c r="BK634" s="18">
        <v>0</v>
      </c>
      <c r="BL634" s="18">
        <v>0</v>
      </c>
      <c r="BM634" s="18">
        <v>0</v>
      </c>
      <c r="BN634" s="18"/>
      <c r="BO634" s="18"/>
      <c r="BP634" s="18">
        <v>0</v>
      </c>
      <c r="BQ634" s="18">
        <v>71</v>
      </c>
      <c r="BR634" s="18">
        <v>0</v>
      </c>
      <c r="BS634" s="18">
        <v>0</v>
      </c>
      <c r="BT634" s="18">
        <v>0</v>
      </c>
      <c r="BU634" s="18">
        <v>0</v>
      </c>
      <c r="BV634" s="18">
        <v>0</v>
      </c>
      <c r="BW634" s="18">
        <v>0</v>
      </c>
      <c r="BX634" s="18">
        <v>0</v>
      </c>
    </row>
    <row r="635" spans="2:76">
      <c r="B635" s="19">
        <v>46135</v>
      </c>
      <c r="C635" s="20">
        <v>1010789122929</v>
      </c>
      <c r="D635" s="18" t="s">
        <v>151</v>
      </c>
      <c r="E635" s="18" t="s">
        <v>179</v>
      </c>
      <c r="F635" s="18">
        <v>358</v>
      </c>
      <c r="G635" s="18">
        <v>28</v>
      </c>
      <c r="H635" s="18">
        <v>20.21</v>
      </c>
      <c r="I635" s="18">
        <v>0.07821</v>
      </c>
      <c r="J635" s="18">
        <v>0.72</v>
      </c>
      <c r="K635" s="18">
        <v>56.45</v>
      </c>
      <c r="L635" s="18">
        <v>0</v>
      </c>
      <c r="M635" s="18">
        <v>0</v>
      </c>
      <c r="N635" s="18">
        <v>0</v>
      </c>
      <c r="O635" s="18">
        <v>0</v>
      </c>
      <c r="P635" s="18">
        <v>0</v>
      </c>
      <c r="Q635" s="18">
        <v>0</v>
      </c>
      <c r="R635" s="18">
        <v>0</v>
      </c>
      <c r="S635" s="18">
        <v>42.91</v>
      </c>
      <c r="T635" s="18">
        <v>42.91</v>
      </c>
      <c r="U635" s="18">
        <v>1</v>
      </c>
      <c r="V635" s="18">
        <v>0</v>
      </c>
      <c r="W635" s="18">
        <v>1</v>
      </c>
      <c r="X635" s="18">
        <v>0.03571</v>
      </c>
      <c r="Y635" s="18">
        <v>2.12</v>
      </c>
      <c r="Z635" s="18">
        <v>2.12</v>
      </c>
      <c r="AA635" s="18">
        <v>20.21</v>
      </c>
      <c r="AB635" s="18">
        <v>2</v>
      </c>
      <c r="AC635" s="18">
        <v>0</v>
      </c>
      <c r="AD635" s="18">
        <v>2</v>
      </c>
      <c r="AE635" s="18">
        <v>0.07143</v>
      </c>
      <c r="AF635" s="18">
        <v>0</v>
      </c>
      <c r="AG635" s="18">
        <v>0</v>
      </c>
      <c r="AH635" s="18"/>
      <c r="AI635" s="18">
        <v>2</v>
      </c>
      <c r="AJ635" s="18">
        <v>10.11</v>
      </c>
      <c r="AK635" s="18">
        <v>2</v>
      </c>
      <c r="AL635" s="18">
        <v>10.11</v>
      </c>
      <c r="AM635" s="18">
        <v>0</v>
      </c>
      <c r="AN635" s="18"/>
      <c r="AO635" s="18">
        <v>0</v>
      </c>
      <c r="AP635" s="18">
        <v>10.11</v>
      </c>
      <c r="AQ635" s="18">
        <v>1</v>
      </c>
      <c r="AR635" s="18">
        <v>49.9</v>
      </c>
      <c r="AS635" s="18">
        <v>0</v>
      </c>
      <c r="AT635" s="18">
        <v>0</v>
      </c>
      <c r="AU635" s="18">
        <v>0</v>
      </c>
      <c r="AV635" s="18">
        <v>0</v>
      </c>
      <c r="AW635" s="18">
        <v>0</v>
      </c>
      <c r="AX635" s="18">
        <v>0</v>
      </c>
      <c r="AY635" s="18">
        <v>83</v>
      </c>
      <c r="AZ635" s="18">
        <v>29</v>
      </c>
      <c r="BA635" s="18">
        <v>10</v>
      </c>
      <c r="BB635" s="18">
        <v>0.34483</v>
      </c>
      <c r="BC635" s="18">
        <v>0</v>
      </c>
      <c r="BD635" s="18">
        <v>0</v>
      </c>
      <c r="BE635" s="18">
        <v>0.23184</v>
      </c>
      <c r="BF635" s="18">
        <v>49</v>
      </c>
      <c r="BG635" s="18">
        <v>3</v>
      </c>
      <c r="BH635" s="18">
        <v>1</v>
      </c>
      <c r="BI635" s="18">
        <v>1</v>
      </c>
      <c r="BJ635" s="18">
        <v>0</v>
      </c>
      <c r="BK635" s="18">
        <v>0</v>
      </c>
      <c r="BL635" s="18">
        <v>0</v>
      </c>
      <c r="BM635" s="18">
        <v>1</v>
      </c>
      <c r="BN635" s="18">
        <v>1</v>
      </c>
      <c r="BO635" s="18">
        <v>42.91</v>
      </c>
      <c r="BP635" s="18">
        <v>0.96</v>
      </c>
      <c r="BQ635" s="18">
        <v>274</v>
      </c>
      <c r="BR635" s="18">
        <v>0</v>
      </c>
      <c r="BS635" s="18">
        <v>0</v>
      </c>
      <c r="BT635" s="18">
        <v>0</v>
      </c>
      <c r="BU635" s="18">
        <v>0</v>
      </c>
      <c r="BV635" s="18">
        <v>0</v>
      </c>
      <c r="BW635" s="18">
        <v>0</v>
      </c>
      <c r="BX635" s="18">
        <v>0</v>
      </c>
    </row>
    <row r="636" spans="2:76">
      <c r="B636" s="19">
        <v>46135</v>
      </c>
      <c r="C636" s="20">
        <v>960406497157</v>
      </c>
      <c r="D636" s="18" t="s">
        <v>151</v>
      </c>
      <c r="E636" s="18" t="s">
        <v>156</v>
      </c>
      <c r="F636" s="18">
        <v>6216</v>
      </c>
      <c r="G636" s="18">
        <v>338</v>
      </c>
      <c r="H636" s="18">
        <v>156.25</v>
      </c>
      <c r="I636" s="18">
        <v>0.05438</v>
      </c>
      <c r="J636" s="18">
        <v>0.46</v>
      </c>
      <c r="K636" s="18">
        <v>25.14</v>
      </c>
      <c r="L636" s="18">
        <v>0</v>
      </c>
      <c r="M636" s="18">
        <v>0</v>
      </c>
      <c r="N636" s="18">
        <v>0</v>
      </c>
      <c r="O636" s="18">
        <v>0</v>
      </c>
      <c r="P636" s="18">
        <v>0</v>
      </c>
      <c r="Q636" s="18">
        <v>0</v>
      </c>
      <c r="R636" s="18">
        <v>287.28</v>
      </c>
      <c r="S636" s="18">
        <v>0</v>
      </c>
      <c r="T636" s="18">
        <v>287.28</v>
      </c>
      <c r="U636" s="18">
        <v>2</v>
      </c>
      <c r="V636" s="18">
        <v>2</v>
      </c>
      <c r="W636" s="18">
        <v>0</v>
      </c>
      <c r="X636" s="18">
        <v>0.00592</v>
      </c>
      <c r="Y636" s="18">
        <v>1.84</v>
      </c>
      <c r="Z636" s="18">
        <v>1.84</v>
      </c>
      <c r="AA636" s="18">
        <v>78.13</v>
      </c>
      <c r="AB636" s="18">
        <v>4</v>
      </c>
      <c r="AC636" s="18">
        <v>4</v>
      </c>
      <c r="AD636" s="18">
        <v>0</v>
      </c>
      <c r="AE636" s="18">
        <v>0.01183</v>
      </c>
      <c r="AF636" s="18">
        <v>1</v>
      </c>
      <c r="AG636" s="18">
        <v>0</v>
      </c>
      <c r="AH636" s="18"/>
      <c r="AI636" s="18">
        <v>5</v>
      </c>
      <c r="AJ636" s="18">
        <v>31.25</v>
      </c>
      <c r="AK636" s="18">
        <v>5</v>
      </c>
      <c r="AL636" s="18">
        <v>31.25</v>
      </c>
      <c r="AM636" s="18">
        <v>1</v>
      </c>
      <c r="AN636" s="18">
        <v>156.25</v>
      </c>
      <c r="AO636" s="18">
        <v>0.00296</v>
      </c>
      <c r="AP636" s="18">
        <v>39.06</v>
      </c>
      <c r="AQ636" s="18">
        <v>4</v>
      </c>
      <c r="AR636" s="18">
        <v>435.8</v>
      </c>
      <c r="AS636" s="18">
        <v>1</v>
      </c>
      <c r="AT636" s="18">
        <v>0</v>
      </c>
      <c r="AU636" s="18">
        <v>0</v>
      </c>
      <c r="AV636" s="18">
        <v>0</v>
      </c>
      <c r="AW636" s="18">
        <v>0</v>
      </c>
      <c r="AX636" s="18">
        <v>0</v>
      </c>
      <c r="AY636" s="18">
        <v>568</v>
      </c>
      <c r="AZ636" s="18">
        <v>306</v>
      </c>
      <c r="BA636" s="18">
        <v>281</v>
      </c>
      <c r="BB636" s="18">
        <v>0.9183</v>
      </c>
      <c r="BC636" s="18">
        <v>0</v>
      </c>
      <c r="BD636" s="18">
        <v>0</v>
      </c>
      <c r="BE636" s="18">
        <v>0.09138</v>
      </c>
      <c r="BF636" s="18">
        <v>143</v>
      </c>
      <c r="BG636" s="18">
        <v>2</v>
      </c>
      <c r="BH636" s="18">
        <v>2</v>
      </c>
      <c r="BI636" s="18">
        <v>1</v>
      </c>
      <c r="BJ636" s="18">
        <v>0</v>
      </c>
      <c r="BK636" s="18">
        <v>0</v>
      </c>
      <c r="BL636" s="18">
        <v>0</v>
      </c>
      <c r="BM636" s="18">
        <v>2</v>
      </c>
      <c r="BN636" s="18">
        <v>1</v>
      </c>
      <c r="BO636" s="18">
        <v>143.64</v>
      </c>
      <c r="BP636" s="18">
        <v>58.2</v>
      </c>
      <c r="BQ636" s="18">
        <v>608</v>
      </c>
      <c r="BR636" s="18">
        <v>0</v>
      </c>
      <c r="BS636" s="18">
        <v>0</v>
      </c>
      <c r="BT636" s="18">
        <v>0</v>
      </c>
      <c r="BU636" s="18">
        <v>0</v>
      </c>
      <c r="BV636" s="18">
        <v>0</v>
      </c>
      <c r="BW636" s="18">
        <v>0</v>
      </c>
      <c r="BX636" s="18">
        <v>0</v>
      </c>
    </row>
    <row r="637" spans="2:76">
      <c r="B637" s="19">
        <v>46135</v>
      </c>
      <c r="C637" s="20">
        <v>838711327669</v>
      </c>
      <c r="D637" s="18" t="s">
        <v>151</v>
      </c>
      <c r="E637" s="18" t="s">
        <v>153</v>
      </c>
      <c r="F637" s="18">
        <v>620</v>
      </c>
      <c r="G637" s="18">
        <v>32</v>
      </c>
      <c r="H637" s="18">
        <v>59.97</v>
      </c>
      <c r="I637" s="18">
        <v>0.05161</v>
      </c>
      <c r="J637" s="18">
        <v>1.87</v>
      </c>
      <c r="K637" s="18">
        <v>96.73</v>
      </c>
      <c r="L637" s="18">
        <v>0</v>
      </c>
      <c r="M637" s="18">
        <v>0</v>
      </c>
      <c r="N637" s="18">
        <v>0</v>
      </c>
      <c r="O637" s="18">
        <v>0</v>
      </c>
      <c r="P637" s="18">
        <v>0</v>
      </c>
      <c r="Q637" s="18">
        <v>0</v>
      </c>
      <c r="R637" s="18">
        <v>0</v>
      </c>
      <c r="S637" s="18">
        <v>0</v>
      </c>
      <c r="T637" s="18">
        <v>0</v>
      </c>
      <c r="U637" s="18">
        <v>0</v>
      </c>
      <c r="V637" s="18">
        <v>0</v>
      </c>
      <c r="W637" s="18">
        <v>0</v>
      </c>
      <c r="X637" s="18">
        <v>0</v>
      </c>
      <c r="Y637" s="18">
        <v>0</v>
      </c>
      <c r="Z637" s="18">
        <v>0</v>
      </c>
      <c r="AA637" s="18"/>
      <c r="AB637" s="18">
        <v>5</v>
      </c>
      <c r="AC637" s="18">
        <v>1</v>
      </c>
      <c r="AD637" s="18">
        <v>4</v>
      </c>
      <c r="AE637" s="18">
        <v>0.15625</v>
      </c>
      <c r="AF637" s="18">
        <v>0</v>
      </c>
      <c r="AG637" s="18">
        <v>1</v>
      </c>
      <c r="AH637" s="18">
        <v>59.97</v>
      </c>
      <c r="AI637" s="18">
        <v>6</v>
      </c>
      <c r="AJ637" s="18">
        <v>10</v>
      </c>
      <c r="AK637" s="18">
        <v>5</v>
      </c>
      <c r="AL637" s="18">
        <v>11.99</v>
      </c>
      <c r="AM637" s="18">
        <v>1</v>
      </c>
      <c r="AN637" s="18"/>
      <c r="AO637" s="18">
        <v>0</v>
      </c>
      <c r="AP637" s="18">
        <v>11.99</v>
      </c>
      <c r="AQ637" s="18">
        <v>0</v>
      </c>
      <c r="AR637" s="18">
        <v>0</v>
      </c>
      <c r="AS637" s="18">
        <v>0</v>
      </c>
      <c r="AT637" s="18">
        <v>0</v>
      </c>
      <c r="AU637" s="18">
        <v>0</v>
      </c>
      <c r="AV637" s="18">
        <v>0</v>
      </c>
      <c r="AW637" s="18">
        <v>0</v>
      </c>
      <c r="AX637" s="18">
        <v>1</v>
      </c>
      <c r="AY637" s="18">
        <v>257</v>
      </c>
      <c r="AZ637" s="18">
        <v>22</v>
      </c>
      <c r="BA637" s="18">
        <v>17</v>
      </c>
      <c r="BB637" s="18">
        <v>0.77273</v>
      </c>
      <c r="BC637" s="18">
        <v>0</v>
      </c>
      <c r="BD637" s="18">
        <v>0</v>
      </c>
      <c r="BE637" s="18">
        <v>0.41452</v>
      </c>
      <c r="BF637" s="18">
        <v>224</v>
      </c>
      <c r="BG637" s="18">
        <v>12</v>
      </c>
      <c r="BH637" s="18">
        <v>0</v>
      </c>
      <c r="BI637" s="18"/>
      <c r="BJ637" s="18">
        <v>0</v>
      </c>
      <c r="BK637" s="18">
        <v>0</v>
      </c>
      <c r="BL637" s="18">
        <v>0</v>
      </c>
      <c r="BM637" s="18">
        <v>0</v>
      </c>
      <c r="BN637" s="18"/>
      <c r="BO637" s="18"/>
      <c r="BP637" s="18">
        <v>0.3</v>
      </c>
      <c r="BQ637" s="18">
        <v>221</v>
      </c>
      <c r="BR637" s="18">
        <v>0</v>
      </c>
      <c r="BS637" s="18">
        <v>0</v>
      </c>
      <c r="BT637" s="18">
        <v>0</v>
      </c>
      <c r="BU637" s="18">
        <v>0</v>
      </c>
      <c r="BV637" s="18">
        <v>0</v>
      </c>
      <c r="BW637" s="18">
        <v>0</v>
      </c>
      <c r="BX637" s="18">
        <v>0</v>
      </c>
    </row>
    <row r="638" spans="2:76">
      <c r="B638" s="19">
        <v>46134</v>
      </c>
      <c r="C638" s="20">
        <v>1010789122929</v>
      </c>
      <c r="D638" s="18" t="s">
        <v>151</v>
      </c>
      <c r="E638" s="18" t="s">
        <v>179</v>
      </c>
      <c r="F638" s="18">
        <v>355</v>
      </c>
      <c r="G638" s="18">
        <v>24</v>
      </c>
      <c r="H638" s="18">
        <v>7.72</v>
      </c>
      <c r="I638" s="18">
        <v>0.06761</v>
      </c>
      <c r="J638" s="18">
        <v>0.32</v>
      </c>
      <c r="K638" s="18">
        <v>21.75</v>
      </c>
      <c r="L638" s="18">
        <v>0</v>
      </c>
      <c r="M638" s="18">
        <v>0</v>
      </c>
      <c r="N638" s="18">
        <v>0</v>
      </c>
      <c r="O638" s="18">
        <v>0</v>
      </c>
      <c r="P638" s="18">
        <v>0</v>
      </c>
      <c r="Q638" s="18">
        <v>0</v>
      </c>
      <c r="R638" s="18">
        <v>0</v>
      </c>
      <c r="S638" s="18">
        <v>1234.6</v>
      </c>
      <c r="T638" s="18">
        <v>1234.6</v>
      </c>
      <c r="U638" s="18">
        <v>4</v>
      </c>
      <c r="V638" s="18">
        <v>0</v>
      </c>
      <c r="W638" s="18">
        <v>4</v>
      </c>
      <c r="X638" s="18">
        <v>0.16667</v>
      </c>
      <c r="Y638" s="18">
        <v>159.92</v>
      </c>
      <c r="Z638" s="18">
        <v>159.92</v>
      </c>
      <c r="AA638" s="18">
        <v>1.93</v>
      </c>
      <c r="AB638" s="18">
        <v>12</v>
      </c>
      <c r="AC638" s="18">
        <v>0</v>
      </c>
      <c r="AD638" s="18">
        <v>12</v>
      </c>
      <c r="AE638" s="18">
        <v>0.5</v>
      </c>
      <c r="AF638" s="18">
        <v>1</v>
      </c>
      <c r="AG638" s="18">
        <v>1</v>
      </c>
      <c r="AH638" s="18">
        <v>7.72</v>
      </c>
      <c r="AI638" s="18">
        <v>14</v>
      </c>
      <c r="AJ638" s="18">
        <v>0.55</v>
      </c>
      <c r="AK638" s="18">
        <v>13</v>
      </c>
      <c r="AL638" s="18">
        <v>0.59</v>
      </c>
      <c r="AM638" s="18">
        <v>2</v>
      </c>
      <c r="AN638" s="18">
        <v>7.72</v>
      </c>
      <c r="AO638" s="18">
        <v>0.04167</v>
      </c>
      <c r="AP638" s="18">
        <v>0.64</v>
      </c>
      <c r="AQ638" s="18">
        <v>7</v>
      </c>
      <c r="AR638" s="18">
        <v>1815</v>
      </c>
      <c r="AS638" s="18">
        <v>1</v>
      </c>
      <c r="AT638" s="18">
        <v>0</v>
      </c>
      <c r="AU638" s="18">
        <v>0</v>
      </c>
      <c r="AV638" s="18">
        <v>0</v>
      </c>
      <c r="AW638" s="18">
        <v>0</v>
      </c>
      <c r="AX638" s="18">
        <v>8</v>
      </c>
      <c r="AY638" s="18">
        <v>52</v>
      </c>
      <c r="AZ638" s="18">
        <v>15</v>
      </c>
      <c r="BA638" s="18">
        <v>12</v>
      </c>
      <c r="BB638" s="18">
        <v>0.8</v>
      </c>
      <c r="BC638" s="18">
        <v>0</v>
      </c>
      <c r="BD638" s="18">
        <v>0</v>
      </c>
      <c r="BE638" s="18">
        <v>0.14648</v>
      </c>
      <c r="BF638" s="18">
        <v>26</v>
      </c>
      <c r="BG638" s="18">
        <v>3</v>
      </c>
      <c r="BH638" s="18">
        <v>1</v>
      </c>
      <c r="BI638" s="18">
        <v>1</v>
      </c>
      <c r="BJ638" s="18">
        <v>0</v>
      </c>
      <c r="BK638" s="18">
        <v>0</v>
      </c>
      <c r="BL638" s="18">
        <v>0</v>
      </c>
      <c r="BM638" s="18">
        <v>1</v>
      </c>
      <c r="BN638" s="18">
        <v>4</v>
      </c>
      <c r="BO638" s="18">
        <v>1234.6</v>
      </c>
      <c r="BP638" s="18">
        <v>0.82</v>
      </c>
      <c r="BQ638" s="18">
        <v>751</v>
      </c>
      <c r="BR638" s="18">
        <v>0</v>
      </c>
      <c r="BS638" s="18">
        <v>0</v>
      </c>
      <c r="BT638" s="18">
        <v>0</v>
      </c>
      <c r="BU638" s="18">
        <v>0</v>
      </c>
      <c r="BV638" s="18">
        <v>0</v>
      </c>
      <c r="BW638" s="18">
        <v>0</v>
      </c>
      <c r="BX638" s="18">
        <v>0</v>
      </c>
    </row>
    <row r="639" spans="2:76">
      <c r="B639" s="19">
        <v>46134</v>
      </c>
      <c r="C639" s="20">
        <v>960406497157</v>
      </c>
      <c r="D639" s="18" t="s">
        <v>151</v>
      </c>
      <c r="E639" s="18" t="s">
        <v>156</v>
      </c>
      <c r="F639" s="18">
        <v>6784</v>
      </c>
      <c r="G639" s="18">
        <v>289</v>
      </c>
      <c r="H639" s="18">
        <v>159.04</v>
      </c>
      <c r="I639" s="18">
        <v>0.0426</v>
      </c>
      <c r="J639" s="18">
        <v>0.55</v>
      </c>
      <c r="K639" s="18">
        <v>23.44</v>
      </c>
      <c r="L639" s="18">
        <v>0</v>
      </c>
      <c r="M639" s="18">
        <v>0</v>
      </c>
      <c r="N639" s="18">
        <v>0</v>
      </c>
      <c r="O639" s="18">
        <v>0</v>
      </c>
      <c r="P639" s="18">
        <v>0</v>
      </c>
      <c r="Q639" s="18">
        <v>0</v>
      </c>
      <c r="R639" s="18">
        <v>143.64</v>
      </c>
      <c r="S639" s="18">
        <v>1131.06</v>
      </c>
      <c r="T639" s="18">
        <v>1274.7</v>
      </c>
      <c r="U639" s="18">
        <v>5</v>
      </c>
      <c r="V639" s="18">
        <v>1</v>
      </c>
      <c r="W639" s="18">
        <v>4</v>
      </c>
      <c r="X639" s="18">
        <v>0.0173</v>
      </c>
      <c r="Y639" s="18">
        <v>8.01</v>
      </c>
      <c r="Z639" s="18">
        <v>8.01</v>
      </c>
      <c r="AA639" s="18">
        <v>31.81</v>
      </c>
      <c r="AB639" s="18">
        <v>16</v>
      </c>
      <c r="AC639" s="18">
        <v>5</v>
      </c>
      <c r="AD639" s="18">
        <v>11</v>
      </c>
      <c r="AE639" s="18">
        <v>0.05536</v>
      </c>
      <c r="AF639" s="18">
        <v>5</v>
      </c>
      <c r="AG639" s="18">
        <v>0</v>
      </c>
      <c r="AH639" s="18"/>
      <c r="AI639" s="18">
        <v>21</v>
      </c>
      <c r="AJ639" s="18">
        <v>7.57</v>
      </c>
      <c r="AK639" s="18">
        <v>21</v>
      </c>
      <c r="AL639" s="18">
        <v>7.57</v>
      </c>
      <c r="AM639" s="18">
        <v>5</v>
      </c>
      <c r="AN639" s="18">
        <v>31.81</v>
      </c>
      <c r="AO639" s="18">
        <v>0.0173</v>
      </c>
      <c r="AP639" s="18">
        <v>9.94</v>
      </c>
      <c r="AQ639" s="18">
        <v>9</v>
      </c>
      <c r="AR639" s="18">
        <v>1885</v>
      </c>
      <c r="AS639" s="18">
        <v>4</v>
      </c>
      <c r="AT639" s="18">
        <v>1</v>
      </c>
      <c r="AU639" s="18">
        <v>0</v>
      </c>
      <c r="AV639" s="18">
        <v>0</v>
      </c>
      <c r="AW639" s="18">
        <v>0</v>
      </c>
      <c r="AX639" s="18">
        <v>2</v>
      </c>
      <c r="AY639" s="18">
        <v>701</v>
      </c>
      <c r="AZ639" s="18">
        <v>273</v>
      </c>
      <c r="BA639" s="18">
        <v>255</v>
      </c>
      <c r="BB639" s="18">
        <v>0.93407</v>
      </c>
      <c r="BC639" s="18">
        <v>0</v>
      </c>
      <c r="BD639" s="18">
        <v>0</v>
      </c>
      <c r="BE639" s="18">
        <v>0.10333</v>
      </c>
      <c r="BF639" s="18">
        <v>346</v>
      </c>
      <c r="BG639" s="18">
        <v>3</v>
      </c>
      <c r="BH639" s="18">
        <v>3</v>
      </c>
      <c r="BI639" s="18">
        <v>1</v>
      </c>
      <c r="BJ639" s="18">
        <v>0</v>
      </c>
      <c r="BK639" s="18">
        <v>0</v>
      </c>
      <c r="BL639" s="18">
        <v>0</v>
      </c>
      <c r="BM639" s="18">
        <v>3</v>
      </c>
      <c r="BN639" s="18">
        <v>2</v>
      </c>
      <c r="BO639" s="18">
        <v>424.9</v>
      </c>
      <c r="BP639" s="18">
        <v>6.45</v>
      </c>
      <c r="BQ639" s="18">
        <v>1204</v>
      </c>
      <c r="BR639" s="18">
        <v>0</v>
      </c>
      <c r="BS639" s="18">
        <v>0</v>
      </c>
      <c r="BT639" s="18">
        <v>0</v>
      </c>
      <c r="BU639" s="18">
        <v>0</v>
      </c>
      <c r="BV639" s="18">
        <v>0</v>
      </c>
      <c r="BW639" s="18">
        <v>0</v>
      </c>
      <c r="BX639" s="18">
        <v>0</v>
      </c>
    </row>
    <row r="640" spans="2:76">
      <c r="B640" s="19">
        <v>46134</v>
      </c>
      <c r="C640" s="20">
        <v>838711327669</v>
      </c>
      <c r="D640" s="18" t="s">
        <v>151</v>
      </c>
      <c r="E640" s="18" t="s">
        <v>153</v>
      </c>
      <c r="F640" s="18">
        <v>585</v>
      </c>
      <c r="G640" s="18">
        <v>33</v>
      </c>
      <c r="H640" s="18">
        <v>58.18</v>
      </c>
      <c r="I640" s="18">
        <v>0.05641</v>
      </c>
      <c r="J640" s="18">
        <v>1.76</v>
      </c>
      <c r="K640" s="18">
        <v>99.45</v>
      </c>
      <c r="L640" s="18">
        <v>0</v>
      </c>
      <c r="M640" s="18">
        <v>0</v>
      </c>
      <c r="N640" s="18">
        <v>0</v>
      </c>
      <c r="O640" s="18">
        <v>0</v>
      </c>
      <c r="P640" s="18">
        <v>0</v>
      </c>
      <c r="Q640" s="18">
        <v>0</v>
      </c>
      <c r="R640" s="18">
        <v>0</v>
      </c>
      <c r="S640" s="18">
        <v>0</v>
      </c>
      <c r="T640" s="18">
        <v>0</v>
      </c>
      <c r="U640" s="18">
        <v>0</v>
      </c>
      <c r="V640" s="18">
        <v>0</v>
      </c>
      <c r="W640" s="18">
        <v>0</v>
      </c>
      <c r="X640" s="18">
        <v>0</v>
      </c>
      <c r="Y640" s="18">
        <v>0</v>
      </c>
      <c r="Z640" s="18">
        <v>0</v>
      </c>
      <c r="AA640" s="18"/>
      <c r="AB640" s="18">
        <v>1</v>
      </c>
      <c r="AC640" s="18">
        <v>0</v>
      </c>
      <c r="AD640" s="18">
        <v>1</v>
      </c>
      <c r="AE640" s="18">
        <v>0.0303</v>
      </c>
      <c r="AF640" s="18">
        <v>0</v>
      </c>
      <c r="AG640" s="18">
        <v>1</v>
      </c>
      <c r="AH640" s="18">
        <v>58.18</v>
      </c>
      <c r="AI640" s="18">
        <v>2</v>
      </c>
      <c r="AJ640" s="18">
        <v>29.09</v>
      </c>
      <c r="AK640" s="18">
        <v>1</v>
      </c>
      <c r="AL640" s="18">
        <v>58.18</v>
      </c>
      <c r="AM640" s="18">
        <v>1</v>
      </c>
      <c r="AN640" s="18"/>
      <c r="AO640" s="18">
        <v>0</v>
      </c>
      <c r="AP640" s="18">
        <v>58.18</v>
      </c>
      <c r="AQ640" s="18">
        <v>0</v>
      </c>
      <c r="AR640" s="18">
        <v>0</v>
      </c>
      <c r="AS640" s="18">
        <v>0</v>
      </c>
      <c r="AT640" s="18">
        <v>0</v>
      </c>
      <c r="AU640" s="18">
        <v>0</v>
      </c>
      <c r="AV640" s="18">
        <v>0</v>
      </c>
      <c r="AW640" s="18">
        <v>0</v>
      </c>
      <c r="AX640" s="18">
        <v>0</v>
      </c>
      <c r="AY640" s="18">
        <v>97</v>
      </c>
      <c r="AZ640" s="18">
        <v>21</v>
      </c>
      <c r="BA640" s="18">
        <v>14</v>
      </c>
      <c r="BB640" s="18">
        <v>0.66667</v>
      </c>
      <c r="BC640" s="18">
        <v>0</v>
      </c>
      <c r="BD640" s="18">
        <v>0</v>
      </c>
      <c r="BE640" s="18">
        <v>0.16581</v>
      </c>
      <c r="BF640" s="18">
        <v>62</v>
      </c>
      <c r="BG640" s="18">
        <v>5</v>
      </c>
      <c r="BH640" s="18">
        <v>0</v>
      </c>
      <c r="BI640" s="18"/>
      <c r="BJ640" s="18">
        <v>0</v>
      </c>
      <c r="BK640" s="18">
        <v>0</v>
      </c>
      <c r="BL640" s="18">
        <v>0</v>
      </c>
      <c r="BM640" s="18">
        <v>0</v>
      </c>
      <c r="BN640" s="18"/>
      <c r="BO640" s="18"/>
      <c r="BP640" s="18">
        <v>0</v>
      </c>
      <c r="BQ640" s="18">
        <v>80</v>
      </c>
      <c r="BR640" s="18">
        <v>0</v>
      </c>
      <c r="BS640" s="18">
        <v>0</v>
      </c>
      <c r="BT640" s="18">
        <v>0</v>
      </c>
      <c r="BU640" s="18">
        <v>0</v>
      </c>
      <c r="BV640" s="18">
        <v>0</v>
      </c>
      <c r="BW640" s="18">
        <v>0</v>
      </c>
      <c r="BX640" s="18">
        <v>0</v>
      </c>
    </row>
    <row r="641" spans="2:76">
      <c r="B641" s="19">
        <v>46133</v>
      </c>
      <c r="C641" s="20">
        <v>1010789122929</v>
      </c>
      <c r="D641" s="18" t="s">
        <v>151</v>
      </c>
      <c r="E641" s="18" t="s">
        <v>179</v>
      </c>
      <c r="F641" s="18">
        <v>213</v>
      </c>
      <c r="G641" s="18">
        <v>13</v>
      </c>
      <c r="H641" s="18">
        <v>3.92</v>
      </c>
      <c r="I641" s="18">
        <v>0.06103</v>
      </c>
      <c r="J641" s="18">
        <v>0.3</v>
      </c>
      <c r="K641" s="18">
        <v>18.4</v>
      </c>
      <c r="L641" s="18">
        <v>0</v>
      </c>
      <c r="M641" s="18">
        <v>0</v>
      </c>
      <c r="N641" s="18">
        <v>0</v>
      </c>
      <c r="O641" s="18">
        <v>0</v>
      </c>
      <c r="P641" s="18">
        <v>0</v>
      </c>
      <c r="Q641" s="18">
        <v>0</v>
      </c>
      <c r="R641" s="18">
        <v>0</v>
      </c>
      <c r="S641" s="18">
        <v>0</v>
      </c>
      <c r="T641" s="18">
        <v>0</v>
      </c>
      <c r="U641" s="18">
        <v>0</v>
      </c>
      <c r="V641" s="18">
        <v>0</v>
      </c>
      <c r="W641" s="18">
        <v>0</v>
      </c>
      <c r="X641" s="18">
        <v>0</v>
      </c>
      <c r="Y641" s="18">
        <v>0</v>
      </c>
      <c r="Z641" s="18">
        <v>0</v>
      </c>
      <c r="AA641" s="18"/>
      <c r="AB641" s="18">
        <v>0</v>
      </c>
      <c r="AC641" s="18">
        <v>0</v>
      </c>
      <c r="AD641" s="18">
        <v>0</v>
      </c>
      <c r="AE641" s="18">
        <v>0</v>
      </c>
      <c r="AF641" s="18">
        <v>0</v>
      </c>
      <c r="AG641" s="18">
        <v>0</v>
      </c>
      <c r="AH641" s="18"/>
      <c r="AI641" s="18">
        <v>0</v>
      </c>
      <c r="AJ641" s="18"/>
      <c r="AK641" s="18">
        <v>0</v>
      </c>
      <c r="AL641" s="18"/>
      <c r="AM641" s="18">
        <v>0</v>
      </c>
      <c r="AN641" s="18"/>
      <c r="AO641" s="18">
        <v>0</v>
      </c>
      <c r="AP641" s="18"/>
      <c r="AQ641" s="18">
        <v>0</v>
      </c>
      <c r="AR641" s="18">
        <v>0</v>
      </c>
      <c r="AS641" s="18">
        <v>0</v>
      </c>
      <c r="AT641" s="18">
        <v>0</v>
      </c>
      <c r="AU641" s="18">
        <v>0</v>
      </c>
      <c r="AV641" s="18">
        <v>0</v>
      </c>
      <c r="AW641" s="18">
        <v>0</v>
      </c>
      <c r="AX641" s="18">
        <v>0</v>
      </c>
      <c r="AY641" s="18">
        <v>63</v>
      </c>
      <c r="AZ641" s="18">
        <v>9</v>
      </c>
      <c r="BA641" s="18">
        <v>7</v>
      </c>
      <c r="BB641" s="18">
        <v>0.77778</v>
      </c>
      <c r="BC641" s="18">
        <v>0</v>
      </c>
      <c r="BD641" s="18">
        <v>0</v>
      </c>
      <c r="BE641" s="18">
        <v>0.29577</v>
      </c>
      <c r="BF641" s="18">
        <v>32</v>
      </c>
      <c r="BG641" s="18">
        <v>7</v>
      </c>
      <c r="BH641" s="18">
        <v>0</v>
      </c>
      <c r="BI641" s="18"/>
      <c r="BJ641" s="18">
        <v>0</v>
      </c>
      <c r="BK641" s="18">
        <v>0</v>
      </c>
      <c r="BL641" s="18">
        <v>0</v>
      </c>
      <c r="BM641" s="18">
        <v>0</v>
      </c>
      <c r="BN641" s="18"/>
      <c r="BO641" s="18"/>
      <c r="BP641" s="18">
        <v>0</v>
      </c>
      <c r="BQ641" s="18">
        <v>14</v>
      </c>
      <c r="BR641" s="18">
        <v>0</v>
      </c>
      <c r="BS641" s="18">
        <v>0</v>
      </c>
      <c r="BT641" s="18">
        <v>0</v>
      </c>
      <c r="BU641" s="18">
        <v>0</v>
      </c>
      <c r="BV641" s="18">
        <v>0</v>
      </c>
      <c r="BW641" s="18">
        <v>0</v>
      </c>
      <c r="BX641" s="18">
        <v>0</v>
      </c>
    </row>
    <row r="642" spans="2:76">
      <c r="B642" s="19">
        <v>46133</v>
      </c>
      <c r="C642" s="20">
        <v>960406497157</v>
      </c>
      <c r="D642" s="18" t="s">
        <v>151</v>
      </c>
      <c r="E642" s="18" t="s">
        <v>156</v>
      </c>
      <c r="F642" s="18">
        <v>3581</v>
      </c>
      <c r="G642" s="18">
        <v>105</v>
      </c>
      <c r="H642" s="18">
        <v>50.56</v>
      </c>
      <c r="I642" s="18">
        <v>0.02932</v>
      </c>
      <c r="J642" s="18">
        <v>0.48</v>
      </c>
      <c r="K642" s="18">
        <v>14.12</v>
      </c>
      <c r="L642" s="18">
        <v>0</v>
      </c>
      <c r="M642" s="18">
        <v>0</v>
      </c>
      <c r="N642" s="18">
        <v>0</v>
      </c>
      <c r="O642" s="18">
        <v>0</v>
      </c>
      <c r="P642" s="18">
        <v>0</v>
      </c>
      <c r="Q642" s="18">
        <v>0</v>
      </c>
      <c r="R642" s="18">
        <v>0</v>
      </c>
      <c r="S642" s="18">
        <v>0</v>
      </c>
      <c r="T642" s="18">
        <v>0</v>
      </c>
      <c r="U642" s="18">
        <v>0</v>
      </c>
      <c r="V642" s="18">
        <v>0</v>
      </c>
      <c r="W642" s="18">
        <v>0</v>
      </c>
      <c r="X642" s="18">
        <v>0</v>
      </c>
      <c r="Y642" s="18">
        <v>0</v>
      </c>
      <c r="Z642" s="18">
        <v>0</v>
      </c>
      <c r="AA642" s="18"/>
      <c r="AB642" s="18">
        <v>2</v>
      </c>
      <c r="AC642" s="18">
        <v>1</v>
      </c>
      <c r="AD642" s="18">
        <v>1</v>
      </c>
      <c r="AE642" s="18">
        <v>0.01905</v>
      </c>
      <c r="AF642" s="18">
        <v>2</v>
      </c>
      <c r="AG642" s="18">
        <v>0</v>
      </c>
      <c r="AH642" s="18"/>
      <c r="AI642" s="18">
        <v>4</v>
      </c>
      <c r="AJ642" s="18">
        <v>12.64</v>
      </c>
      <c r="AK642" s="18">
        <v>4</v>
      </c>
      <c r="AL642" s="18">
        <v>12.64</v>
      </c>
      <c r="AM642" s="18">
        <v>2</v>
      </c>
      <c r="AN642" s="18">
        <v>25.28</v>
      </c>
      <c r="AO642" s="18">
        <v>0.01905</v>
      </c>
      <c r="AP642" s="18">
        <v>25.28</v>
      </c>
      <c r="AQ642" s="18">
        <v>0</v>
      </c>
      <c r="AR642" s="18">
        <v>0</v>
      </c>
      <c r="AS642" s="18">
        <v>2</v>
      </c>
      <c r="AT642" s="18">
        <v>0</v>
      </c>
      <c r="AU642" s="18">
        <v>0</v>
      </c>
      <c r="AV642" s="18">
        <v>0</v>
      </c>
      <c r="AW642" s="18">
        <v>0</v>
      </c>
      <c r="AX642" s="18">
        <v>0</v>
      </c>
      <c r="AY642" s="18">
        <v>217</v>
      </c>
      <c r="AZ642" s="18">
        <v>97</v>
      </c>
      <c r="BA642" s="18">
        <v>90</v>
      </c>
      <c r="BB642" s="18">
        <v>0.92784</v>
      </c>
      <c r="BC642" s="18">
        <v>0</v>
      </c>
      <c r="BD642" s="18">
        <v>0</v>
      </c>
      <c r="BE642" s="18">
        <v>0.0606</v>
      </c>
      <c r="BF642" s="18">
        <v>106</v>
      </c>
      <c r="BG642" s="18">
        <v>2</v>
      </c>
      <c r="BH642" s="18">
        <v>0</v>
      </c>
      <c r="BI642" s="18"/>
      <c r="BJ642" s="18">
        <v>0</v>
      </c>
      <c r="BK642" s="18">
        <v>0</v>
      </c>
      <c r="BL642" s="18">
        <v>0</v>
      </c>
      <c r="BM642" s="18">
        <v>0</v>
      </c>
      <c r="BN642" s="18"/>
      <c r="BO642" s="18"/>
      <c r="BP642" s="18">
        <v>0.01</v>
      </c>
      <c r="BQ642" s="18">
        <v>251</v>
      </c>
      <c r="BR642" s="18">
        <v>0</v>
      </c>
      <c r="BS642" s="18">
        <v>0</v>
      </c>
      <c r="BT642" s="18">
        <v>0</v>
      </c>
      <c r="BU642" s="18">
        <v>0</v>
      </c>
      <c r="BV642" s="18">
        <v>0</v>
      </c>
      <c r="BW642" s="18">
        <v>0</v>
      </c>
      <c r="BX642" s="18">
        <v>0</v>
      </c>
    </row>
    <row r="643" spans="2:76">
      <c r="B643" s="19">
        <v>46133</v>
      </c>
      <c r="C643" s="20">
        <v>838711327669</v>
      </c>
      <c r="D643" s="18" t="s">
        <v>151</v>
      </c>
      <c r="E643" s="18" t="s">
        <v>153</v>
      </c>
      <c r="F643" s="18">
        <v>610</v>
      </c>
      <c r="G643" s="18">
        <v>28</v>
      </c>
      <c r="H643" s="18">
        <v>52.22</v>
      </c>
      <c r="I643" s="18">
        <v>0.0459</v>
      </c>
      <c r="J643" s="18">
        <v>1.87</v>
      </c>
      <c r="K643" s="18">
        <v>85.61</v>
      </c>
      <c r="L643" s="18">
        <v>0</v>
      </c>
      <c r="M643" s="18">
        <v>0</v>
      </c>
      <c r="N643" s="18">
        <v>0</v>
      </c>
      <c r="O643" s="18">
        <v>0</v>
      </c>
      <c r="P643" s="18">
        <v>0</v>
      </c>
      <c r="Q643" s="18">
        <v>0</v>
      </c>
      <c r="R643" s="18">
        <v>168.08</v>
      </c>
      <c r="S643" s="18">
        <v>68.6</v>
      </c>
      <c r="T643" s="18">
        <v>236.68</v>
      </c>
      <c r="U643" s="18">
        <v>2</v>
      </c>
      <c r="V643" s="18">
        <v>1</v>
      </c>
      <c r="W643" s="18">
        <v>1</v>
      </c>
      <c r="X643" s="18">
        <v>0.07143</v>
      </c>
      <c r="Y643" s="18">
        <v>4.53</v>
      </c>
      <c r="Z643" s="18">
        <v>4.53</v>
      </c>
      <c r="AA643" s="18">
        <v>26.11</v>
      </c>
      <c r="AB643" s="18">
        <v>5</v>
      </c>
      <c r="AC643" s="18">
        <v>4</v>
      </c>
      <c r="AD643" s="18">
        <v>1</v>
      </c>
      <c r="AE643" s="18">
        <v>0.17857</v>
      </c>
      <c r="AF643" s="18">
        <v>1</v>
      </c>
      <c r="AG643" s="18">
        <v>2</v>
      </c>
      <c r="AH643" s="18">
        <v>26.11</v>
      </c>
      <c r="AI643" s="18">
        <v>8</v>
      </c>
      <c r="AJ643" s="18">
        <v>6.53</v>
      </c>
      <c r="AK643" s="18">
        <v>6</v>
      </c>
      <c r="AL643" s="18">
        <v>8.7</v>
      </c>
      <c r="AM643" s="18">
        <v>3</v>
      </c>
      <c r="AN643" s="18">
        <v>52.22</v>
      </c>
      <c r="AO643" s="18">
        <v>0.03571</v>
      </c>
      <c r="AP643" s="18">
        <v>10.44</v>
      </c>
      <c r="AQ643" s="18">
        <v>3</v>
      </c>
      <c r="AR643" s="18">
        <v>373</v>
      </c>
      <c r="AS643" s="18">
        <v>0</v>
      </c>
      <c r="AT643" s="18">
        <v>1</v>
      </c>
      <c r="AU643" s="18">
        <v>0</v>
      </c>
      <c r="AV643" s="18">
        <v>0</v>
      </c>
      <c r="AW643" s="18">
        <v>0</v>
      </c>
      <c r="AX643" s="18">
        <v>0</v>
      </c>
      <c r="AY643" s="18">
        <v>81</v>
      </c>
      <c r="AZ643" s="18">
        <v>22</v>
      </c>
      <c r="BA643" s="18">
        <v>18</v>
      </c>
      <c r="BB643" s="18">
        <v>0.81818</v>
      </c>
      <c r="BC643" s="18">
        <v>0</v>
      </c>
      <c r="BD643" s="18">
        <v>0</v>
      </c>
      <c r="BE643" s="18">
        <v>0.13279</v>
      </c>
      <c r="BF643" s="18">
        <v>51</v>
      </c>
      <c r="BG643" s="18">
        <v>4</v>
      </c>
      <c r="BH643" s="18">
        <v>1</v>
      </c>
      <c r="BI643" s="18">
        <v>1</v>
      </c>
      <c r="BJ643" s="18">
        <v>0</v>
      </c>
      <c r="BK643" s="18">
        <v>0</v>
      </c>
      <c r="BL643" s="18">
        <v>0</v>
      </c>
      <c r="BM643" s="18">
        <v>1</v>
      </c>
      <c r="BN643" s="18">
        <v>2</v>
      </c>
      <c r="BO643" s="18">
        <v>236.68</v>
      </c>
      <c r="BP643" s="18">
        <v>0</v>
      </c>
      <c r="BQ643" s="18">
        <v>495</v>
      </c>
      <c r="BR643" s="18">
        <v>0</v>
      </c>
      <c r="BS643" s="18">
        <v>0</v>
      </c>
      <c r="BT643" s="18">
        <v>0</v>
      </c>
      <c r="BU643" s="18">
        <v>0</v>
      </c>
      <c r="BV643" s="18">
        <v>0</v>
      </c>
      <c r="BW643" s="18">
        <v>0</v>
      </c>
      <c r="BX643" s="18">
        <v>0</v>
      </c>
    </row>
    <row r="644" spans="2:76">
      <c r="B644" s="19">
        <v>46132</v>
      </c>
      <c r="C644" s="20">
        <v>1010789122929</v>
      </c>
      <c r="D644" s="18" t="s">
        <v>151</v>
      </c>
      <c r="E644" s="18" t="s">
        <v>179</v>
      </c>
      <c r="F644" s="18">
        <v>242</v>
      </c>
      <c r="G644" s="18">
        <v>13</v>
      </c>
      <c r="H644" s="18">
        <v>4.17</v>
      </c>
      <c r="I644" s="18">
        <v>0.05372</v>
      </c>
      <c r="J644" s="18">
        <v>0.32</v>
      </c>
      <c r="K644" s="18">
        <v>17.23</v>
      </c>
      <c r="L644" s="18">
        <v>0</v>
      </c>
      <c r="M644" s="18">
        <v>0</v>
      </c>
      <c r="N644" s="18">
        <v>0</v>
      </c>
      <c r="O644" s="18">
        <v>0</v>
      </c>
      <c r="P644" s="18">
        <v>0</v>
      </c>
      <c r="Q644" s="18">
        <v>0</v>
      </c>
      <c r="R644" s="18">
        <v>0</v>
      </c>
      <c r="S644" s="18">
        <v>0</v>
      </c>
      <c r="T644" s="18">
        <v>0</v>
      </c>
      <c r="U644" s="18">
        <v>0</v>
      </c>
      <c r="V644" s="18">
        <v>0</v>
      </c>
      <c r="W644" s="18">
        <v>0</v>
      </c>
      <c r="X644" s="18">
        <v>0</v>
      </c>
      <c r="Y644" s="18">
        <v>0</v>
      </c>
      <c r="Z644" s="18">
        <v>0</v>
      </c>
      <c r="AA644" s="18"/>
      <c r="AB644" s="18">
        <v>0</v>
      </c>
      <c r="AC644" s="18">
        <v>0</v>
      </c>
      <c r="AD644" s="18">
        <v>0</v>
      </c>
      <c r="AE644" s="18">
        <v>0</v>
      </c>
      <c r="AF644" s="18">
        <v>0</v>
      </c>
      <c r="AG644" s="18">
        <v>0</v>
      </c>
      <c r="AH644" s="18"/>
      <c r="AI644" s="18">
        <v>0</v>
      </c>
      <c r="AJ644" s="18"/>
      <c r="AK644" s="18">
        <v>0</v>
      </c>
      <c r="AL644" s="18"/>
      <c r="AM644" s="18">
        <v>0</v>
      </c>
      <c r="AN644" s="18"/>
      <c r="AO644" s="18">
        <v>0</v>
      </c>
      <c r="AP644" s="18"/>
      <c r="AQ644" s="18">
        <v>0</v>
      </c>
      <c r="AR644" s="18">
        <v>0</v>
      </c>
      <c r="AS644" s="18">
        <v>0</v>
      </c>
      <c r="AT644" s="18">
        <v>0</v>
      </c>
      <c r="AU644" s="18">
        <v>0</v>
      </c>
      <c r="AV644" s="18">
        <v>0</v>
      </c>
      <c r="AW644" s="18">
        <v>0</v>
      </c>
      <c r="AX644" s="18">
        <v>0</v>
      </c>
      <c r="AY644" s="18">
        <v>13</v>
      </c>
      <c r="AZ644" s="18">
        <v>10</v>
      </c>
      <c r="BA644" s="18">
        <v>9</v>
      </c>
      <c r="BB644" s="18">
        <v>0.9</v>
      </c>
      <c r="BC644" s="18">
        <v>0</v>
      </c>
      <c r="BD644" s="18">
        <v>0</v>
      </c>
      <c r="BE644" s="18">
        <v>0.05372</v>
      </c>
      <c r="BF644" s="18">
        <v>0</v>
      </c>
      <c r="BG644" s="18">
        <v>1</v>
      </c>
      <c r="BH644" s="18">
        <v>0</v>
      </c>
      <c r="BI644" s="18"/>
      <c r="BJ644" s="18">
        <v>0</v>
      </c>
      <c r="BK644" s="18">
        <v>0</v>
      </c>
      <c r="BL644" s="18">
        <v>0</v>
      </c>
      <c r="BM644" s="18">
        <v>0</v>
      </c>
      <c r="BN644" s="18"/>
      <c r="BO644" s="18"/>
      <c r="BP644" s="18">
        <v>0</v>
      </c>
      <c r="BQ644" s="18">
        <v>4</v>
      </c>
      <c r="BR644" s="18">
        <v>0</v>
      </c>
      <c r="BS644" s="18">
        <v>0</v>
      </c>
      <c r="BT644" s="18">
        <v>0</v>
      </c>
      <c r="BU644" s="18">
        <v>0</v>
      </c>
      <c r="BV644" s="18">
        <v>0</v>
      </c>
      <c r="BW644" s="18">
        <v>0</v>
      </c>
      <c r="BX644" s="18">
        <v>0</v>
      </c>
    </row>
    <row r="645" spans="2:76">
      <c r="B645" s="19">
        <v>46132</v>
      </c>
      <c r="C645" s="20">
        <v>960406497157</v>
      </c>
      <c r="D645" s="18" t="s">
        <v>151</v>
      </c>
      <c r="E645" s="18" t="s">
        <v>156</v>
      </c>
      <c r="F645" s="18">
        <v>4689</v>
      </c>
      <c r="G645" s="18">
        <v>123</v>
      </c>
      <c r="H645" s="18">
        <v>53.9</v>
      </c>
      <c r="I645" s="18">
        <v>0.02623</v>
      </c>
      <c r="J645" s="18">
        <v>0.44</v>
      </c>
      <c r="K645" s="18">
        <v>11.49</v>
      </c>
      <c r="L645" s="18">
        <v>0</v>
      </c>
      <c r="M645" s="18">
        <v>0</v>
      </c>
      <c r="N645" s="18">
        <v>0</v>
      </c>
      <c r="O645" s="18">
        <v>0</v>
      </c>
      <c r="P645" s="18">
        <v>0</v>
      </c>
      <c r="Q645" s="18">
        <v>0</v>
      </c>
      <c r="R645" s="18">
        <v>0</v>
      </c>
      <c r="S645" s="18">
        <v>0</v>
      </c>
      <c r="T645" s="18">
        <v>0</v>
      </c>
      <c r="U645" s="18">
        <v>0</v>
      </c>
      <c r="V645" s="18">
        <v>0</v>
      </c>
      <c r="W645" s="18">
        <v>0</v>
      </c>
      <c r="X645" s="18">
        <v>0</v>
      </c>
      <c r="Y645" s="18">
        <v>0</v>
      </c>
      <c r="Z645" s="18">
        <v>0</v>
      </c>
      <c r="AA645" s="18"/>
      <c r="AB645" s="18">
        <v>2</v>
      </c>
      <c r="AC645" s="18">
        <v>1</v>
      </c>
      <c r="AD645" s="18">
        <v>1</v>
      </c>
      <c r="AE645" s="18">
        <v>0.01626</v>
      </c>
      <c r="AF645" s="18">
        <v>1</v>
      </c>
      <c r="AG645" s="18">
        <v>1</v>
      </c>
      <c r="AH645" s="18">
        <v>53.9</v>
      </c>
      <c r="AI645" s="18">
        <v>4</v>
      </c>
      <c r="AJ645" s="18">
        <v>13.48</v>
      </c>
      <c r="AK645" s="18">
        <v>3</v>
      </c>
      <c r="AL645" s="18">
        <v>17.97</v>
      </c>
      <c r="AM645" s="18">
        <v>2</v>
      </c>
      <c r="AN645" s="18">
        <v>53.9</v>
      </c>
      <c r="AO645" s="18">
        <v>0.00813</v>
      </c>
      <c r="AP645" s="18">
        <v>26.95</v>
      </c>
      <c r="AQ645" s="18">
        <v>0</v>
      </c>
      <c r="AR645" s="18">
        <v>0</v>
      </c>
      <c r="AS645" s="18">
        <v>1</v>
      </c>
      <c r="AT645" s="18">
        <v>0</v>
      </c>
      <c r="AU645" s="18">
        <v>0</v>
      </c>
      <c r="AV645" s="18">
        <v>0</v>
      </c>
      <c r="AW645" s="18">
        <v>0</v>
      </c>
      <c r="AX645" s="18">
        <v>0</v>
      </c>
      <c r="AY645" s="18">
        <v>257</v>
      </c>
      <c r="AZ645" s="18">
        <v>119</v>
      </c>
      <c r="BA645" s="18">
        <v>113</v>
      </c>
      <c r="BB645" s="18">
        <v>0.94958</v>
      </c>
      <c r="BC645" s="18">
        <v>0</v>
      </c>
      <c r="BD645" s="18">
        <v>0</v>
      </c>
      <c r="BE645" s="18">
        <v>0.05481</v>
      </c>
      <c r="BF645" s="18">
        <v>126</v>
      </c>
      <c r="BG645" s="18">
        <v>2</v>
      </c>
      <c r="BH645" s="18">
        <v>0</v>
      </c>
      <c r="BI645" s="18"/>
      <c r="BJ645" s="18">
        <v>0</v>
      </c>
      <c r="BK645" s="18">
        <v>0</v>
      </c>
      <c r="BL645" s="18">
        <v>0</v>
      </c>
      <c r="BM645" s="18">
        <v>0</v>
      </c>
      <c r="BN645" s="18"/>
      <c r="BO645" s="18"/>
      <c r="BP645" s="18">
        <v>3.78</v>
      </c>
      <c r="BQ645" s="18">
        <v>257</v>
      </c>
      <c r="BR645" s="18">
        <v>0</v>
      </c>
      <c r="BS645" s="18">
        <v>0</v>
      </c>
      <c r="BT645" s="18">
        <v>0</v>
      </c>
      <c r="BU645" s="18">
        <v>0</v>
      </c>
      <c r="BV645" s="18">
        <v>0</v>
      </c>
      <c r="BW645" s="18">
        <v>0</v>
      </c>
      <c r="BX645" s="18">
        <v>0</v>
      </c>
    </row>
    <row r="646" spans="2:76">
      <c r="B646" s="19">
        <v>46132</v>
      </c>
      <c r="C646" s="20">
        <v>838711327669</v>
      </c>
      <c r="D646" s="18" t="s">
        <v>151</v>
      </c>
      <c r="E646" s="18" t="s">
        <v>153</v>
      </c>
      <c r="F646" s="18">
        <v>717</v>
      </c>
      <c r="G646" s="18">
        <v>37</v>
      </c>
      <c r="H646" s="18">
        <v>74.87</v>
      </c>
      <c r="I646" s="18">
        <v>0.0516</v>
      </c>
      <c r="J646" s="18">
        <v>2.02</v>
      </c>
      <c r="K646" s="18">
        <v>104.42</v>
      </c>
      <c r="L646" s="18">
        <v>0</v>
      </c>
      <c r="M646" s="18">
        <v>0</v>
      </c>
      <c r="N646" s="18">
        <v>0</v>
      </c>
      <c r="O646" s="18">
        <v>0</v>
      </c>
      <c r="P646" s="18">
        <v>0</v>
      </c>
      <c r="Q646" s="18">
        <v>0</v>
      </c>
      <c r="R646" s="18">
        <v>0</v>
      </c>
      <c r="S646" s="18">
        <v>0</v>
      </c>
      <c r="T646" s="18">
        <v>0</v>
      </c>
      <c r="U646" s="18">
        <v>0</v>
      </c>
      <c r="V646" s="18">
        <v>0</v>
      </c>
      <c r="W646" s="18">
        <v>0</v>
      </c>
      <c r="X646" s="18">
        <v>0</v>
      </c>
      <c r="Y646" s="18">
        <v>0</v>
      </c>
      <c r="Z646" s="18">
        <v>0</v>
      </c>
      <c r="AA646" s="18"/>
      <c r="AB646" s="18">
        <v>1</v>
      </c>
      <c r="AC646" s="18">
        <v>0</v>
      </c>
      <c r="AD646" s="18">
        <v>1</v>
      </c>
      <c r="AE646" s="18">
        <v>0.02703</v>
      </c>
      <c r="AF646" s="18">
        <v>0</v>
      </c>
      <c r="AG646" s="18">
        <v>0</v>
      </c>
      <c r="AH646" s="18"/>
      <c r="AI646" s="18">
        <v>1</v>
      </c>
      <c r="AJ646" s="18">
        <v>74.87</v>
      </c>
      <c r="AK646" s="18">
        <v>1</v>
      </c>
      <c r="AL646" s="18">
        <v>74.87</v>
      </c>
      <c r="AM646" s="18">
        <v>0</v>
      </c>
      <c r="AN646" s="18"/>
      <c r="AO646" s="18">
        <v>0</v>
      </c>
      <c r="AP646" s="18">
        <v>74.87</v>
      </c>
      <c r="AQ646" s="18">
        <v>0</v>
      </c>
      <c r="AR646" s="18">
        <v>0</v>
      </c>
      <c r="AS646" s="18">
        <v>0</v>
      </c>
      <c r="AT646" s="18">
        <v>0</v>
      </c>
      <c r="AU646" s="18">
        <v>0</v>
      </c>
      <c r="AV646" s="18">
        <v>0</v>
      </c>
      <c r="AW646" s="18">
        <v>0</v>
      </c>
      <c r="AX646" s="18">
        <v>0</v>
      </c>
      <c r="AY646" s="18">
        <v>180</v>
      </c>
      <c r="AZ646" s="18">
        <v>31</v>
      </c>
      <c r="BA646" s="18">
        <v>25</v>
      </c>
      <c r="BB646" s="18">
        <v>0.80645</v>
      </c>
      <c r="BC646" s="18">
        <v>0</v>
      </c>
      <c r="BD646" s="18">
        <v>0</v>
      </c>
      <c r="BE646" s="18">
        <v>0.25105</v>
      </c>
      <c r="BF646" s="18">
        <v>142</v>
      </c>
      <c r="BG646" s="18">
        <v>6</v>
      </c>
      <c r="BH646" s="18">
        <v>0</v>
      </c>
      <c r="BI646" s="18"/>
      <c r="BJ646" s="18">
        <v>0</v>
      </c>
      <c r="BK646" s="18">
        <v>0</v>
      </c>
      <c r="BL646" s="18">
        <v>0</v>
      </c>
      <c r="BM646" s="18">
        <v>0</v>
      </c>
      <c r="BN646" s="18"/>
      <c r="BO646" s="18"/>
      <c r="BP646" s="18">
        <v>0</v>
      </c>
      <c r="BQ646" s="18">
        <v>66</v>
      </c>
      <c r="BR646" s="18">
        <v>0</v>
      </c>
      <c r="BS646" s="18">
        <v>0</v>
      </c>
      <c r="BT646" s="18">
        <v>0</v>
      </c>
      <c r="BU646" s="18">
        <v>0</v>
      </c>
      <c r="BV646" s="18">
        <v>0</v>
      </c>
      <c r="BW646" s="18">
        <v>0</v>
      </c>
      <c r="BX646" s="18">
        <v>0</v>
      </c>
    </row>
    <row r="647" spans="2:76">
      <c r="B647" s="19">
        <v>46131</v>
      </c>
      <c r="C647" s="20">
        <v>1010789122929</v>
      </c>
      <c r="D647" s="18" t="s">
        <v>151</v>
      </c>
      <c r="E647" s="18" t="s">
        <v>179</v>
      </c>
      <c r="F647" s="18">
        <v>443</v>
      </c>
      <c r="G647" s="18">
        <v>19</v>
      </c>
      <c r="H647" s="18">
        <v>5.9</v>
      </c>
      <c r="I647" s="18">
        <v>0.04289</v>
      </c>
      <c r="J647" s="18">
        <v>0.31</v>
      </c>
      <c r="K647" s="18">
        <v>13.32</v>
      </c>
      <c r="L647" s="18">
        <v>0</v>
      </c>
      <c r="M647" s="18">
        <v>0</v>
      </c>
      <c r="N647" s="18">
        <v>0</v>
      </c>
      <c r="O647" s="18">
        <v>0</v>
      </c>
      <c r="P647" s="18">
        <v>0</v>
      </c>
      <c r="Q647" s="18">
        <v>0</v>
      </c>
      <c r="R647" s="18">
        <v>0</v>
      </c>
      <c r="S647" s="18">
        <v>0</v>
      </c>
      <c r="T647" s="18">
        <v>0</v>
      </c>
      <c r="U647" s="18">
        <v>0</v>
      </c>
      <c r="V647" s="18">
        <v>0</v>
      </c>
      <c r="W647" s="18">
        <v>0</v>
      </c>
      <c r="X647" s="18">
        <v>0</v>
      </c>
      <c r="Y647" s="18">
        <v>0</v>
      </c>
      <c r="Z647" s="18">
        <v>0</v>
      </c>
      <c r="AA647" s="18"/>
      <c r="AB647" s="18">
        <v>1</v>
      </c>
      <c r="AC647" s="18">
        <v>0</v>
      </c>
      <c r="AD647" s="18">
        <v>1</v>
      </c>
      <c r="AE647" s="18">
        <v>0.05263</v>
      </c>
      <c r="AF647" s="18">
        <v>0</v>
      </c>
      <c r="AG647" s="18">
        <v>0</v>
      </c>
      <c r="AH647" s="18"/>
      <c r="AI647" s="18">
        <v>1</v>
      </c>
      <c r="AJ647" s="18">
        <v>5.9</v>
      </c>
      <c r="AK647" s="18">
        <v>1</v>
      </c>
      <c r="AL647" s="18">
        <v>5.9</v>
      </c>
      <c r="AM647" s="18">
        <v>0</v>
      </c>
      <c r="AN647" s="18"/>
      <c r="AO647" s="18">
        <v>0</v>
      </c>
      <c r="AP647" s="18">
        <v>5.9</v>
      </c>
      <c r="AQ647" s="18">
        <v>0</v>
      </c>
      <c r="AR647" s="18">
        <v>0</v>
      </c>
      <c r="AS647" s="18">
        <v>0</v>
      </c>
      <c r="AT647" s="18">
        <v>0</v>
      </c>
      <c r="AU647" s="18">
        <v>0</v>
      </c>
      <c r="AV647" s="18">
        <v>0</v>
      </c>
      <c r="AW647" s="18">
        <v>0</v>
      </c>
      <c r="AX647" s="18">
        <v>0</v>
      </c>
      <c r="AY647" s="18">
        <v>49</v>
      </c>
      <c r="AZ647" s="18">
        <v>12</v>
      </c>
      <c r="BA647" s="18">
        <v>10</v>
      </c>
      <c r="BB647" s="18">
        <v>0.83333</v>
      </c>
      <c r="BC647" s="18">
        <v>0</v>
      </c>
      <c r="BD647" s="18">
        <v>0</v>
      </c>
      <c r="BE647" s="18">
        <v>0.11061</v>
      </c>
      <c r="BF647" s="18">
        <v>17</v>
      </c>
      <c r="BG647" s="18">
        <v>4</v>
      </c>
      <c r="BH647" s="18">
        <v>0</v>
      </c>
      <c r="BI647" s="18"/>
      <c r="BJ647" s="18">
        <v>0</v>
      </c>
      <c r="BK647" s="18">
        <v>0</v>
      </c>
      <c r="BL647" s="18">
        <v>0</v>
      </c>
      <c r="BM647" s="18">
        <v>0</v>
      </c>
      <c r="BN647" s="18"/>
      <c r="BO647" s="18"/>
      <c r="BP647" s="18">
        <v>0</v>
      </c>
      <c r="BQ647" s="18">
        <v>5</v>
      </c>
      <c r="BR647" s="18">
        <v>0</v>
      </c>
      <c r="BS647" s="18">
        <v>0</v>
      </c>
      <c r="BT647" s="18">
        <v>0</v>
      </c>
      <c r="BU647" s="18">
        <v>0</v>
      </c>
      <c r="BV647" s="18">
        <v>0</v>
      </c>
      <c r="BW647" s="18">
        <v>0</v>
      </c>
      <c r="BX647" s="18">
        <v>0</v>
      </c>
    </row>
    <row r="648" spans="2:76">
      <c r="B648" s="19">
        <v>46131</v>
      </c>
      <c r="C648" s="20">
        <v>960406497157</v>
      </c>
      <c r="D648" s="18" t="s">
        <v>151</v>
      </c>
      <c r="E648" s="18" t="s">
        <v>156</v>
      </c>
      <c r="F648" s="18">
        <v>6556</v>
      </c>
      <c r="G648" s="18">
        <v>196</v>
      </c>
      <c r="H648" s="18">
        <v>92.59</v>
      </c>
      <c r="I648" s="18">
        <v>0.0299</v>
      </c>
      <c r="J648" s="18">
        <v>0.47</v>
      </c>
      <c r="K648" s="18">
        <v>14.12</v>
      </c>
      <c r="L648" s="18">
        <v>0</v>
      </c>
      <c r="M648" s="18">
        <v>0</v>
      </c>
      <c r="N648" s="18">
        <v>0</v>
      </c>
      <c r="O648" s="18">
        <v>0</v>
      </c>
      <c r="P648" s="18">
        <v>0</v>
      </c>
      <c r="Q648" s="18">
        <v>0</v>
      </c>
      <c r="R648" s="18">
        <v>138.6</v>
      </c>
      <c r="S648" s="18">
        <v>0</v>
      </c>
      <c r="T648" s="18">
        <v>138.6</v>
      </c>
      <c r="U648" s="18">
        <v>1</v>
      </c>
      <c r="V648" s="18">
        <v>1</v>
      </c>
      <c r="W648" s="18">
        <v>0</v>
      </c>
      <c r="X648" s="18">
        <v>0.0051</v>
      </c>
      <c r="Y648" s="18">
        <v>1.5</v>
      </c>
      <c r="Z648" s="18">
        <v>1.5</v>
      </c>
      <c r="AA648" s="18">
        <v>92.59</v>
      </c>
      <c r="AB648" s="18">
        <v>3</v>
      </c>
      <c r="AC648" s="18">
        <v>3</v>
      </c>
      <c r="AD648" s="18">
        <v>0</v>
      </c>
      <c r="AE648" s="18">
        <v>0.01531</v>
      </c>
      <c r="AF648" s="18">
        <v>1</v>
      </c>
      <c r="AG648" s="18">
        <v>1</v>
      </c>
      <c r="AH648" s="18">
        <v>92.59</v>
      </c>
      <c r="AI648" s="18">
        <v>5</v>
      </c>
      <c r="AJ648" s="18">
        <v>18.52</v>
      </c>
      <c r="AK648" s="18">
        <v>4</v>
      </c>
      <c r="AL648" s="18">
        <v>23.15</v>
      </c>
      <c r="AM648" s="18">
        <v>2</v>
      </c>
      <c r="AN648" s="18">
        <v>92.59</v>
      </c>
      <c r="AO648" s="18">
        <v>0.0051</v>
      </c>
      <c r="AP648" s="18">
        <v>30.86</v>
      </c>
      <c r="AQ648" s="18">
        <v>2</v>
      </c>
      <c r="AR648" s="18">
        <v>217.9</v>
      </c>
      <c r="AS648" s="18">
        <v>1</v>
      </c>
      <c r="AT648" s="18">
        <v>0</v>
      </c>
      <c r="AU648" s="18">
        <v>0</v>
      </c>
      <c r="AV648" s="18">
        <v>0</v>
      </c>
      <c r="AW648" s="18">
        <v>0</v>
      </c>
      <c r="AX648" s="18">
        <v>0</v>
      </c>
      <c r="AY648" s="18">
        <v>323</v>
      </c>
      <c r="AZ648" s="18">
        <v>191</v>
      </c>
      <c r="BA648" s="18">
        <v>182</v>
      </c>
      <c r="BB648" s="18">
        <v>0.95288</v>
      </c>
      <c r="BC648" s="18">
        <v>0</v>
      </c>
      <c r="BD648" s="18">
        <v>0</v>
      </c>
      <c r="BE648" s="18">
        <v>0.04927</v>
      </c>
      <c r="BF648" s="18">
        <v>121</v>
      </c>
      <c r="BG648" s="18">
        <v>2</v>
      </c>
      <c r="BH648" s="18">
        <v>1</v>
      </c>
      <c r="BI648" s="18">
        <v>1</v>
      </c>
      <c r="BJ648" s="18">
        <v>0</v>
      </c>
      <c r="BK648" s="18">
        <v>0</v>
      </c>
      <c r="BL648" s="18">
        <v>0</v>
      </c>
      <c r="BM648" s="18">
        <v>1</v>
      </c>
      <c r="BN648" s="18">
        <v>1</v>
      </c>
      <c r="BO648" s="18">
        <v>138.6</v>
      </c>
      <c r="BP648" s="18">
        <v>21.56</v>
      </c>
      <c r="BQ648" s="18">
        <v>860</v>
      </c>
      <c r="BR648" s="18">
        <v>0</v>
      </c>
      <c r="BS648" s="18">
        <v>0</v>
      </c>
      <c r="BT648" s="18">
        <v>0</v>
      </c>
      <c r="BU648" s="18">
        <v>0</v>
      </c>
      <c r="BV648" s="18">
        <v>0</v>
      </c>
      <c r="BW648" s="18">
        <v>0</v>
      </c>
      <c r="BX648" s="18">
        <v>0</v>
      </c>
    </row>
    <row r="649" spans="2:76">
      <c r="B649" s="19">
        <v>46131</v>
      </c>
      <c r="C649" s="20">
        <v>838711327669</v>
      </c>
      <c r="D649" s="18" t="s">
        <v>151</v>
      </c>
      <c r="E649" s="18" t="s">
        <v>153</v>
      </c>
      <c r="F649" s="18">
        <v>862</v>
      </c>
      <c r="G649" s="18">
        <v>50</v>
      </c>
      <c r="H649" s="18">
        <v>64.1</v>
      </c>
      <c r="I649" s="18">
        <v>0.058</v>
      </c>
      <c r="J649" s="18">
        <v>1.28</v>
      </c>
      <c r="K649" s="18">
        <v>74.36</v>
      </c>
      <c r="L649" s="18">
        <v>0</v>
      </c>
      <c r="M649" s="18">
        <v>0</v>
      </c>
      <c r="N649" s="18">
        <v>0</v>
      </c>
      <c r="O649" s="18">
        <v>0</v>
      </c>
      <c r="P649" s="18">
        <v>0</v>
      </c>
      <c r="Q649" s="18">
        <v>0</v>
      </c>
      <c r="R649" s="18">
        <v>0</v>
      </c>
      <c r="S649" s="18">
        <v>0</v>
      </c>
      <c r="T649" s="18">
        <v>0</v>
      </c>
      <c r="U649" s="18">
        <v>0</v>
      </c>
      <c r="V649" s="18">
        <v>0</v>
      </c>
      <c r="W649" s="18">
        <v>0</v>
      </c>
      <c r="X649" s="18">
        <v>0</v>
      </c>
      <c r="Y649" s="18">
        <v>0</v>
      </c>
      <c r="Z649" s="18">
        <v>0</v>
      </c>
      <c r="AA649" s="18"/>
      <c r="AB649" s="18">
        <v>5</v>
      </c>
      <c r="AC649" s="18">
        <v>0</v>
      </c>
      <c r="AD649" s="18">
        <v>5</v>
      </c>
      <c r="AE649" s="18">
        <v>0.1</v>
      </c>
      <c r="AF649" s="18">
        <v>1</v>
      </c>
      <c r="AG649" s="18">
        <v>1</v>
      </c>
      <c r="AH649" s="18">
        <v>64.1</v>
      </c>
      <c r="AI649" s="18">
        <v>7</v>
      </c>
      <c r="AJ649" s="18">
        <v>9.16</v>
      </c>
      <c r="AK649" s="18">
        <v>6</v>
      </c>
      <c r="AL649" s="18">
        <v>10.68</v>
      </c>
      <c r="AM649" s="18">
        <v>2</v>
      </c>
      <c r="AN649" s="18">
        <v>64.1</v>
      </c>
      <c r="AO649" s="18">
        <v>0.02</v>
      </c>
      <c r="AP649" s="18">
        <v>12.82</v>
      </c>
      <c r="AQ649" s="18">
        <v>0</v>
      </c>
      <c r="AR649" s="18">
        <v>0</v>
      </c>
      <c r="AS649" s="18">
        <v>0</v>
      </c>
      <c r="AT649" s="18">
        <v>1</v>
      </c>
      <c r="AU649" s="18">
        <v>0</v>
      </c>
      <c r="AV649" s="18">
        <v>0</v>
      </c>
      <c r="AW649" s="18">
        <v>0</v>
      </c>
      <c r="AX649" s="18">
        <v>0</v>
      </c>
      <c r="AY649" s="18">
        <v>122</v>
      </c>
      <c r="AZ649" s="18">
        <v>41</v>
      </c>
      <c r="BA649" s="18">
        <v>28</v>
      </c>
      <c r="BB649" s="18">
        <v>0.68293</v>
      </c>
      <c r="BC649" s="18">
        <v>0</v>
      </c>
      <c r="BD649" s="18">
        <v>0</v>
      </c>
      <c r="BE649" s="18">
        <v>0.14153</v>
      </c>
      <c r="BF649" s="18">
        <v>69</v>
      </c>
      <c r="BG649" s="18">
        <v>3</v>
      </c>
      <c r="BH649" s="18">
        <v>0</v>
      </c>
      <c r="BI649" s="18"/>
      <c r="BJ649" s="18">
        <v>0</v>
      </c>
      <c r="BK649" s="18">
        <v>0</v>
      </c>
      <c r="BL649" s="18">
        <v>0</v>
      </c>
      <c r="BM649" s="18">
        <v>0</v>
      </c>
      <c r="BN649" s="18"/>
      <c r="BO649" s="18"/>
      <c r="BP649" s="18">
        <v>3.06</v>
      </c>
      <c r="BQ649" s="18">
        <v>239</v>
      </c>
      <c r="BR649" s="18">
        <v>0</v>
      </c>
      <c r="BS649" s="18">
        <v>0</v>
      </c>
      <c r="BT649" s="18">
        <v>0</v>
      </c>
      <c r="BU649" s="18">
        <v>0</v>
      </c>
      <c r="BV649" s="18">
        <v>0</v>
      </c>
      <c r="BW649" s="18">
        <v>0</v>
      </c>
      <c r="BX649" s="18">
        <v>0</v>
      </c>
    </row>
    <row r="650" spans="2:76">
      <c r="B650" s="19">
        <v>46130</v>
      </c>
      <c r="C650" s="20">
        <v>1010789122929</v>
      </c>
      <c r="D650" s="18" t="s">
        <v>151</v>
      </c>
      <c r="E650" s="18" t="s">
        <v>179</v>
      </c>
      <c r="F650" s="18">
        <v>231</v>
      </c>
      <c r="G650" s="18">
        <v>8</v>
      </c>
      <c r="H650" s="18">
        <v>2.33</v>
      </c>
      <c r="I650" s="18">
        <v>0.03463</v>
      </c>
      <c r="J650" s="18">
        <v>0.29</v>
      </c>
      <c r="K650" s="18">
        <v>10.09</v>
      </c>
      <c r="L650" s="18">
        <v>0</v>
      </c>
      <c r="M650" s="18">
        <v>0</v>
      </c>
      <c r="N650" s="18">
        <v>0</v>
      </c>
      <c r="O650" s="18">
        <v>0</v>
      </c>
      <c r="P650" s="18">
        <v>0</v>
      </c>
      <c r="Q650" s="18">
        <v>0</v>
      </c>
      <c r="R650" s="18">
        <v>0</v>
      </c>
      <c r="S650" s="18">
        <v>0</v>
      </c>
      <c r="T650" s="18">
        <v>0</v>
      </c>
      <c r="U650" s="18">
        <v>0</v>
      </c>
      <c r="V650" s="18">
        <v>0</v>
      </c>
      <c r="W650" s="18">
        <v>0</v>
      </c>
      <c r="X650" s="18">
        <v>0</v>
      </c>
      <c r="Y650" s="18">
        <v>0</v>
      </c>
      <c r="Z650" s="18">
        <v>0</v>
      </c>
      <c r="AA650" s="18"/>
      <c r="AB650" s="18">
        <v>0</v>
      </c>
      <c r="AC650" s="18">
        <v>0</v>
      </c>
      <c r="AD650" s="18">
        <v>0</v>
      </c>
      <c r="AE650" s="18">
        <v>0</v>
      </c>
      <c r="AF650" s="18">
        <v>0</v>
      </c>
      <c r="AG650" s="18">
        <v>0</v>
      </c>
      <c r="AH650" s="18"/>
      <c r="AI650" s="18">
        <v>0</v>
      </c>
      <c r="AJ650" s="18"/>
      <c r="AK650" s="18">
        <v>0</v>
      </c>
      <c r="AL650" s="18"/>
      <c r="AM650" s="18">
        <v>0</v>
      </c>
      <c r="AN650" s="18"/>
      <c r="AO650" s="18">
        <v>0</v>
      </c>
      <c r="AP650" s="18"/>
      <c r="AQ650" s="18">
        <v>0</v>
      </c>
      <c r="AR650" s="18">
        <v>0</v>
      </c>
      <c r="AS650" s="18">
        <v>0</v>
      </c>
      <c r="AT650" s="18">
        <v>0</v>
      </c>
      <c r="AU650" s="18">
        <v>0</v>
      </c>
      <c r="AV650" s="18">
        <v>0</v>
      </c>
      <c r="AW650" s="18">
        <v>0</v>
      </c>
      <c r="AX650" s="18">
        <v>0</v>
      </c>
      <c r="AY650" s="18">
        <v>11</v>
      </c>
      <c r="AZ650" s="18">
        <v>10</v>
      </c>
      <c r="BA650" s="18">
        <v>9</v>
      </c>
      <c r="BB650" s="18">
        <v>0.9</v>
      </c>
      <c r="BC650" s="18">
        <v>0</v>
      </c>
      <c r="BD650" s="18">
        <v>0</v>
      </c>
      <c r="BE650" s="18">
        <v>0.04762</v>
      </c>
      <c r="BF650" s="18">
        <v>0</v>
      </c>
      <c r="BG650" s="18">
        <v>1</v>
      </c>
      <c r="BH650" s="18">
        <v>0</v>
      </c>
      <c r="BI650" s="18"/>
      <c r="BJ650" s="18">
        <v>0</v>
      </c>
      <c r="BK650" s="18">
        <v>0</v>
      </c>
      <c r="BL650" s="18">
        <v>0</v>
      </c>
      <c r="BM650" s="18">
        <v>0</v>
      </c>
      <c r="BN650" s="18"/>
      <c r="BO650" s="18"/>
      <c r="BP650" s="18">
        <v>0</v>
      </c>
      <c r="BQ650" s="18">
        <v>0</v>
      </c>
      <c r="BR650" s="18">
        <v>0</v>
      </c>
      <c r="BS650" s="18">
        <v>0</v>
      </c>
      <c r="BT650" s="18">
        <v>0</v>
      </c>
      <c r="BU650" s="18">
        <v>0</v>
      </c>
      <c r="BV650" s="18">
        <v>0</v>
      </c>
      <c r="BW650" s="18">
        <v>0</v>
      </c>
      <c r="BX650" s="18">
        <v>0</v>
      </c>
    </row>
    <row r="651" spans="2:76">
      <c r="B651" s="19">
        <v>46130</v>
      </c>
      <c r="C651" s="20">
        <v>960406497157</v>
      </c>
      <c r="D651" s="18" t="s">
        <v>151</v>
      </c>
      <c r="E651" s="18" t="s">
        <v>156</v>
      </c>
      <c r="F651" s="18">
        <v>3816</v>
      </c>
      <c r="G651" s="18">
        <v>113</v>
      </c>
      <c r="H651" s="18">
        <v>56.8</v>
      </c>
      <c r="I651" s="18">
        <v>0.02961</v>
      </c>
      <c r="J651" s="18">
        <v>0.5</v>
      </c>
      <c r="K651" s="18">
        <v>14.88</v>
      </c>
      <c r="L651" s="18">
        <v>0</v>
      </c>
      <c r="M651" s="18">
        <v>0</v>
      </c>
      <c r="N651" s="18">
        <v>0</v>
      </c>
      <c r="O651" s="18">
        <v>0</v>
      </c>
      <c r="P651" s="18">
        <v>0</v>
      </c>
      <c r="Q651" s="18">
        <v>0</v>
      </c>
      <c r="R651" s="18">
        <v>0</v>
      </c>
      <c r="S651" s="18">
        <v>0</v>
      </c>
      <c r="T651" s="18">
        <v>0</v>
      </c>
      <c r="U651" s="18">
        <v>0</v>
      </c>
      <c r="V651" s="18">
        <v>0</v>
      </c>
      <c r="W651" s="18">
        <v>0</v>
      </c>
      <c r="X651" s="18">
        <v>0</v>
      </c>
      <c r="Y651" s="18">
        <v>0</v>
      </c>
      <c r="Z651" s="18">
        <v>0</v>
      </c>
      <c r="AA651" s="18"/>
      <c r="AB651" s="18">
        <v>2</v>
      </c>
      <c r="AC651" s="18">
        <v>2</v>
      </c>
      <c r="AD651" s="18">
        <v>0</v>
      </c>
      <c r="AE651" s="18">
        <v>0.0177</v>
      </c>
      <c r="AF651" s="18">
        <v>3</v>
      </c>
      <c r="AG651" s="18">
        <v>0</v>
      </c>
      <c r="AH651" s="18"/>
      <c r="AI651" s="18">
        <v>5</v>
      </c>
      <c r="AJ651" s="18">
        <v>11.36</v>
      </c>
      <c r="AK651" s="18">
        <v>5</v>
      </c>
      <c r="AL651" s="18">
        <v>11.36</v>
      </c>
      <c r="AM651" s="18">
        <v>3</v>
      </c>
      <c r="AN651" s="18">
        <v>18.93</v>
      </c>
      <c r="AO651" s="18">
        <v>0.02655</v>
      </c>
      <c r="AP651" s="18">
        <v>28.4</v>
      </c>
      <c r="AQ651" s="18">
        <v>0</v>
      </c>
      <c r="AR651" s="18">
        <v>0</v>
      </c>
      <c r="AS651" s="18">
        <v>3</v>
      </c>
      <c r="AT651" s="18">
        <v>0</v>
      </c>
      <c r="AU651" s="18">
        <v>0</v>
      </c>
      <c r="AV651" s="18">
        <v>0</v>
      </c>
      <c r="AW651" s="18">
        <v>0</v>
      </c>
      <c r="AX651" s="18">
        <v>1</v>
      </c>
      <c r="AY651" s="18">
        <v>228</v>
      </c>
      <c r="AZ651" s="18">
        <v>113</v>
      </c>
      <c r="BA651" s="18">
        <v>110</v>
      </c>
      <c r="BB651" s="18">
        <v>0.97345</v>
      </c>
      <c r="BC651" s="18">
        <v>0</v>
      </c>
      <c r="BD651" s="18">
        <v>0</v>
      </c>
      <c r="BE651" s="18">
        <v>0.05975</v>
      </c>
      <c r="BF651" s="18">
        <v>101</v>
      </c>
      <c r="BG651" s="18">
        <v>2</v>
      </c>
      <c r="BH651" s="18">
        <v>0</v>
      </c>
      <c r="BI651" s="18"/>
      <c r="BJ651" s="18">
        <v>0</v>
      </c>
      <c r="BK651" s="18">
        <v>0</v>
      </c>
      <c r="BL651" s="18">
        <v>0</v>
      </c>
      <c r="BM651" s="18">
        <v>0</v>
      </c>
      <c r="BN651" s="18"/>
      <c r="BO651" s="18"/>
      <c r="BP651" s="18">
        <v>57.58</v>
      </c>
      <c r="BQ651" s="18">
        <v>265</v>
      </c>
      <c r="BR651" s="18">
        <v>0</v>
      </c>
      <c r="BS651" s="18">
        <v>0</v>
      </c>
      <c r="BT651" s="18">
        <v>0</v>
      </c>
      <c r="BU651" s="18">
        <v>0</v>
      </c>
      <c r="BV651" s="18">
        <v>0</v>
      </c>
      <c r="BW651" s="18">
        <v>0</v>
      </c>
      <c r="BX651" s="18">
        <v>0</v>
      </c>
    </row>
    <row r="652" spans="2:76">
      <c r="B652" s="19">
        <v>46130</v>
      </c>
      <c r="C652" s="20">
        <v>838711327669</v>
      </c>
      <c r="D652" s="18" t="s">
        <v>151</v>
      </c>
      <c r="E652" s="18" t="s">
        <v>153</v>
      </c>
      <c r="F652" s="18">
        <v>1073</v>
      </c>
      <c r="G652" s="18">
        <v>39</v>
      </c>
      <c r="H652" s="18">
        <v>68.38</v>
      </c>
      <c r="I652" s="18">
        <v>0.03635</v>
      </c>
      <c r="J652" s="18">
        <v>1.75</v>
      </c>
      <c r="K652" s="18">
        <v>63.73</v>
      </c>
      <c r="L652" s="18">
        <v>0</v>
      </c>
      <c r="M652" s="18">
        <v>0</v>
      </c>
      <c r="N652" s="18">
        <v>0</v>
      </c>
      <c r="O652" s="18">
        <v>0</v>
      </c>
      <c r="P652" s="18">
        <v>0</v>
      </c>
      <c r="Q652" s="18">
        <v>0</v>
      </c>
      <c r="R652" s="18">
        <v>0</v>
      </c>
      <c r="S652" s="18">
        <v>190.9</v>
      </c>
      <c r="T652" s="18">
        <v>190.9</v>
      </c>
      <c r="U652" s="18">
        <v>2</v>
      </c>
      <c r="V652" s="18">
        <v>0</v>
      </c>
      <c r="W652" s="18">
        <v>2</v>
      </c>
      <c r="X652" s="18">
        <v>0.05128</v>
      </c>
      <c r="Y652" s="18">
        <v>2.79</v>
      </c>
      <c r="Z652" s="18">
        <v>2.79</v>
      </c>
      <c r="AA652" s="18">
        <v>34.19</v>
      </c>
      <c r="AB652" s="18">
        <v>6</v>
      </c>
      <c r="AC652" s="18">
        <v>1</v>
      </c>
      <c r="AD652" s="18">
        <v>5</v>
      </c>
      <c r="AE652" s="18">
        <v>0.15385</v>
      </c>
      <c r="AF652" s="18">
        <v>1</v>
      </c>
      <c r="AG652" s="18">
        <v>0</v>
      </c>
      <c r="AH652" s="18"/>
      <c r="AI652" s="18">
        <v>7</v>
      </c>
      <c r="AJ652" s="18">
        <v>9.77</v>
      </c>
      <c r="AK652" s="18">
        <v>7</v>
      </c>
      <c r="AL652" s="18">
        <v>9.77</v>
      </c>
      <c r="AM652" s="18">
        <v>1</v>
      </c>
      <c r="AN652" s="18">
        <v>68.38</v>
      </c>
      <c r="AO652" s="18">
        <v>0.02564</v>
      </c>
      <c r="AP652" s="18">
        <v>11.4</v>
      </c>
      <c r="AQ652" s="18">
        <v>3</v>
      </c>
      <c r="AR652" s="18">
        <v>316.9</v>
      </c>
      <c r="AS652" s="18">
        <v>0</v>
      </c>
      <c r="AT652" s="18">
        <v>1</v>
      </c>
      <c r="AU652" s="18">
        <v>0</v>
      </c>
      <c r="AV652" s="18">
        <v>0</v>
      </c>
      <c r="AW652" s="18">
        <v>0</v>
      </c>
      <c r="AX652" s="18">
        <v>1</v>
      </c>
      <c r="AY652" s="18">
        <v>124</v>
      </c>
      <c r="AZ652" s="18">
        <v>35</v>
      </c>
      <c r="BA652" s="18">
        <v>23</v>
      </c>
      <c r="BB652" s="18">
        <v>0.65714</v>
      </c>
      <c r="BC652" s="18">
        <v>0</v>
      </c>
      <c r="BD652" s="18">
        <v>0</v>
      </c>
      <c r="BE652" s="18">
        <v>0.11556</v>
      </c>
      <c r="BF652" s="18">
        <v>83</v>
      </c>
      <c r="BG652" s="18">
        <v>4</v>
      </c>
      <c r="BH652" s="18">
        <v>1</v>
      </c>
      <c r="BI652" s="18">
        <v>1</v>
      </c>
      <c r="BJ652" s="18">
        <v>0</v>
      </c>
      <c r="BK652" s="18">
        <v>0</v>
      </c>
      <c r="BL652" s="18">
        <v>0</v>
      </c>
      <c r="BM652" s="18">
        <v>1</v>
      </c>
      <c r="BN652" s="18">
        <v>2</v>
      </c>
      <c r="BO652" s="18">
        <v>190.9</v>
      </c>
      <c r="BP652" s="18">
        <v>18.5</v>
      </c>
      <c r="BQ652" s="18">
        <v>603</v>
      </c>
      <c r="BR652" s="18">
        <v>0</v>
      </c>
      <c r="BS652" s="18">
        <v>0</v>
      </c>
      <c r="BT652" s="18">
        <v>0</v>
      </c>
      <c r="BU652" s="18">
        <v>0</v>
      </c>
      <c r="BV652" s="18">
        <v>0</v>
      </c>
      <c r="BW652" s="18">
        <v>0</v>
      </c>
      <c r="BX652" s="18">
        <v>0</v>
      </c>
    </row>
    <row r="653" spans="2:76">
      <c r="B653" s="19">
        <v>46129</v>
      </c>
      <c r="C653" s="20">
        <v>1010789122929</v>
      </c>
      <c r="D653" s="18" t="s">
        <v>151</v>
      </c>
      <c r="E653" s="18" t="s">
        <v>179</v>
      </c>
      <c r="F653" s="18">
        <v>107</v>
      </c>
      <c r="G653" s="18">
        <v>5</v>
      </c>
      <c r="H653" s="18">
        <v>1.89</v>
      </c>
      <c r="I653" s="18">
        <v>0.04673</v>
      </c>
      <c r="J653" s="18">
        <v>0.38</v>
      </c>
      <c r="K653" s="18">
        <v>17.66</v>
      </c>
      <c r="L653" s="18">
        <v>0</v>
      </c>
      <c r="M653" s="18">
        <v>0</v>
      </c>
      <c r="N653" s="18">
        <v>0</v>
      </c>
      <c r="O653" s="18">
        <v>0</v>
      </c>
      <c r="P653" s="18">
        <v>0</v>
      </c>
      <c r="Q653" s="18">
        <v>0</v>
      </c>
      <c r="R653" s="18">
        <v>0</v>
      </c>
      <c r="S653" s="18">
        <v>0</v>
      </c>
      <c r="T653" s="18">
        <v>0</v>
      </c>
      <c r="U653" s="18">
        <v>0</v>
      </c>
      <c r="V653" s="18">
        <v>0</v>
      </c>
      <c r="W653" s="18">
        <v>0</v>
      </c>
      <c r="X653" s="18">
        <v>0</v>
      </c>
      <c r="Y653" s="18">
        <v>0</v>
      </c>
      <c r="Z653" s="18">
        <v>0</v>
      </c>
      <c r="AA653" s="18"/>
      <c r="AB653" s="18">
        <v>0</v>
      </c>
      <c r="AC653" s="18">
        <v>0</v>
      </c>
      <c r="AD653" s="18">
        <v>0</v>
      </c>
      <c r="AE653" s="18">
        <v>0</v>
      </c>
      <c r="AF653" s="18">
        <v>0</v>
      </c>
      <c r="AG653" s="18">
        <v>0</v>
      </c>
      <c r="AH653" s="18"/>
      <c r="AI653" s="18">
        <v>0</v>
      </c>
      <c r="AJ653" s="18"/>
      <c r="AK653" s="18">
        <v>0</v>
      </c>
      <c r="AL653" s="18"/>
      <c r="AM653" s="18">
        <v>0</v>
      </c>
      <c r="AN653" s="18"/>
      <c r="AO653" s="18">
        <v>0</v>
      </c>
      <c r="AP653" s="18"/>
      <c r="AQ653" s="18">
        <v>0</v>
      </c>
      <c r="AR653" s="18">
        <v>0</v>
      </c>
      <c r="AS653" s="18">
        <v>0</v>
      </c>
      <c r="AT653" s="18">
        <v>0</v>
      </c>
      <c r="AU653" s="18">
        <v>0</v>
      </c>
      <c r="AV653" s="18">
        <v>0</v>
      </c>
      <c r="AW653" s="18">
        <v>0</v>
      </c>
      <c r="AX653" s="18">
        <v>0</v>
      </c>
      <c r="AY653" s="18">
        <v>18</v>
      </c>
      <c r="AZ653" s="18">
        <v>5</v>
      </c>
      <c r="BA653" s="18">
        <v>2</v>
      </c>
      <c r="BB653" s="18">
        <v>0.4</v>
      </c>
      <c r="BC653" s="18">
        <v>0</v>
      </c>
      <c r="BD653" s="18">
        <v>0</v>
      </c>
      <c r="BE653" s="18">
        <v>0.16822</v>
      </c>
      <c r="BF653" s="18">
        <v>11</v>
      </c>
      <c r="BG653" s="18">
        <v>4</v>
      </c>
      <c r="BH653" s="18">
        <v>0</v>
      </c>
      <c r="BI653" s="18"/>
      <c r="BJ653" s="18">
        <v>0</v>
      </c>
      <c r="BK653" s="18">
        <v>0</v>
      </c>
      <c r="BL653" s="18">
        <v>0</v>
      </c>
      <c r="BM653" s="18">
        <v>0</v>
      </c>
      <c r="BN653" s="18"/>
      <c r="BO653" s="18"/>
      <c r="BP653" s="18">
        <v>0</v>
      </c>
      <c r="BQ653" s="18">
        <v>30</v>
      </c>
      <c r="BR653" s="18">
        <v>0</v>
      </c>
      <c r="BS653" s="18">
        <v>0</v>
      </c>
      <c r="BT653" s="18">
        <v>0</v>
      </c>
      <c r="BU653" s="18">
        <v>0</v>
      </c>
      <c r="BV653" s="18">
        <v>0</v>
      </c>
      <c r="BW653" s="18">
        <v>0</v>
      </c>
      <c r="BX653" s="18">
        <v>0</v>
      </c>
    </row>
    <row r="654" spans="2:76">
      <c r="B654" s="19">
        <v>46129</v>
      </c>
      <c r="C654" s="20">
        <v>960406497157</v>
      </c>
      <c r="D654" s="18" t="s">
        <v>151</v>
      </c>
      <c r="E654" s="18" t="s">
        <v>156</v>
      </c>
      <c r="F654" s="18">
        <v>4859</v>
      </c>
      <c r="G654" s="18">
        <v>143</v>
      </c>
      <c r="H654" s="18">
        <v>79.58</v>
      </c>
      <c r="I654" s="18">
        <v>0.02943</v>
      </c>
      <c r="J654" s="18">
        <v>0.56</v>
      </c>
      <c r="K654" s="18">
        <v>16.38</v>
      </c>
      <c r="L654" s="18">
        <v>0</v>
      </c>
      <c r="M654" s="18">
        <v>0</v>
      </c>
      <c r="N654" s="18">
        <v>0</v>
      </c>
      <c r="O654" s="18">
        <v>0</v>
      </c>
      <c r="P654" s="18">
        <v>0</v>
      </c>
      <c r="Q654" s="18">
        <v>0</v>
      </c>
      <c r="R654" s="18">
        <v>143.64</v>
      </c>
      <c r="S654" s="18">
        <v>371.57</v>
      </c>
      <c r="T654" s="18">
        <v>515.21</v>
      </c>
      <c r="U654" s="18">
        <v>3</v>
      </c>
      <c r="V654" s="18">
        <v>1</v>
      </c>
      <c r="W654" s="18">
        <v>2</v>
      </c>
      <c r="X654" s="18">
        <v>0.02098</v>
      </c>
      <c r="Y654" s="18">
        <v>6.47</v>
      </c>
      <c r="Z654" s="18">
        <v>6.47</v>
      </c>
      <c r="AA654" s="18">
        <v>26.53</v>
      </c>
      <c r="AB654" s="18">
        <v>3</v>
      </c>
      <c r="AC654" s="18">
        <v>1</v>
      </c>
      <c r="AD654" s="18">
        <v>2</v>
      </c>
      <c r="AE654" s="18">
        <v>0.02098</v>
      </c>
      <c r="AF654" s="18">
        <v>1</v>
      </c>
      <c r="AG654" s="18">
        <v>0</v>
      </c>
      <c r="AH654" s="18"/>
      <c r="AI654" s="18">
        <v>4</v>
      </c>
      <c r="AJ654" s="18">
        <v>19.9</v>
      </c>
      <c r="AK654" s="18">
        <v>4</v>
      </c>
      <c r="AL654" s="18">
        <v>19.9</v>
      </c>
      <c r="AM654" s="18">
        <v>1</v>
      </c>
      <c r="AN654" s="18">
        <v>79.58</v>
      </c>
      <c r="AO654" s="18">
        <v>0.00699</v>
      </c>
      <c r="AP654" s="18">
        <v>26.53</v>
      </c>
      <c r="AQ654" s="18">
        <v>5</v>
      </c>
      <c r="AR654" s="18">
        <v>803</v>
      </c>
      <c r="AS654" s="18">
        <v>1</v>
      </c>
      <c r="AT654" s="18">
        <v>0</v>
      </c>
      <c r="AU654" s="18">
        <v>0</v>
      </c>
      <c r="AV654" s="18">
        <v>0</v>
      </c>
      <c r="AW654" s="18">
        <v>0</v>
      </c>
      <c r="AX654" s="18">
        <v>1</v>
      </c>
      <c r="AY654" s="18">
        <v>250</v>
      </c>
      <c r="AZ654" s="18">
        <v>142</v>
      </c>
      <c r="BA654" s="18">
        <v>122</v>
      </c>
      <c r="BB654" s="18">
        <v>0.85915</v>
      </c>
      <c r="BC654" s="18">
        <v>0</v>
      </c>
      <c r="BD654" s="18">
        <v>0</v>
      </c>
      <c r="BE654" s="18">
        <v>0.05145</v>
      </c>
      <c r="BF654" s="18">
        <v>91</v>
      </c>
      <c r="BG654" s="18">
        <v>2</v>
      </c>
      <c r="BH654" s="18">
        <v>1</v>
      </c>
      <c r="BI654" s="18">
        <v>1</v>
      </c>
      <c r="BJ654" s="18">
        <v>0</v>
      </c>
      <c r="BK654" s="18">
        <v>0</v>
      </c>
      <c r="BL654" s="18">
        <v>0</v>
      </c>
      <c r="BM654" s="18">
        <v>1</v>
      </c>
      <c r="BN654" s="18">
        <v>3</v>
      </c>
      <c r="BO654" s="18">
        <v>515.21</v>
      </c>
      <c r="BP654" s="18">
        <v>23.8</v>
      </c>
      <c r="BQ654" s="18">
        <v>1101</v>
      </c>
      <c r="BR654" s="18">
        <v>0</v>
      </c>
      <c r="BS654" s="18">
        <v>0</v>
      </c>
      <c r="BT654" s="18">
        <v>0</v>
      </c>
      <c r="BU654" s="18">
        <v>0</v>
      </c>
      <c r="BV654" s="18">
        <v>0</v>
      </c>
      <c r="BW654" s="18">
        <v>0</v>
      </c>
      <c r="BX654" s="18">
        <v>0</v>
      </c>
    </row>
    <row r="655" spans="2:76">
      <c r="B655" s="19">
        <v>46129</v>
      </c>
      <c r="C655" s="20">
        <v>838711327669</v>
      </c>
      <c r="D655" s="18" t="s">
        <v>151</v>
      </c>
      <c r="E655" s="18" t="s">
        <v>153</v>
      </c>
      <c r="F655" s="18">
        <v>1320</v>
      </c>
      <c r="G655" s="18">
        <v>33</v>
      </c>
      <c r="H655" s="18">
        <v>61.95</v>
      </c>
      <c r="I655" s="18">
        <v>0.025</v>
      </c>
      <c r="J655" s="18">
        <v>1.88</v>
      </c>
      <c r="K655" s="18">
        <v>46.93</v>
      </c>
      <c r="L655" s="18">
        <v>0</v>
      </c>
      <c r="M655" s="18">
        <v>0</v>
      </c>
      <c r="N655" s="18">
        <v>0</v>
      </c>
      <c r="O655" s="18">
        <v>0</v>
      </c>
      <c r="P655" s="18">
        <v>0</v>
      </c>
      <c r="Q655" s="18">
        <v>0</v>
      </c>
      <c r="R655" s="18">
        <v>0</v>
      </c>
      <c r="S655" s="18">
        <v>0</v>
      </c>
      <c r="T655" s="18">
        <v>0</v>
      </c>
      <c r="U655" s="18">
        <v>0</v>
      </c>
      <c r="V655" s="18">
        <v>0</v>
      </c>
      <c r="W655" s="18">
        <v>0</v>
      </c>
      <c r="X655" s="18">
        <v>0</v>
      </c>
      <c r="Y655" s="18">
        <v>0</v>
      </c>
      <c r="Z655" s="18">
        <v>0</v>
      </c>
      <c r="AA655" s="18"/>
      <c r="AB655" s="18">
        <v>2</v>
      </c>
      <c r="AC655" s="18">
        <v>0</v>
      </c>
      <c r="AD655" s="18">
        <v>2</v>
      </c>
      <c r="AE655" s="18">
        <v>0.06061</v>
      </c>
      <c r="AF655" s="18">
        <v>0</v>
      </c>
      <c r="AG655" s="18">
        <v>0</v>
      </c>
      <c r="AH655" s="18"/>
      <c r="AI655" s="18">
        <v>2</v>
      </c>
      <c r="AJ655" s="18">
        <v>30.98</v>
      </c>
      <c r="AK655" s="18">
        <v>2</v>
      </c>
      <c r="AL655" s="18">
        <v>30.98</v>
      </c>
      <c r="AM655" s="18">
        <v>0</v>
      </c>
      <c r="AN655" s="18"/>
      <c r="AO655" s="18">
        <v>0</v>
      </c>
      <c r="AP655" s="18">
        <v>30.98</v>
      </c>
      <c r="AQ655" s="18">
        <v>0</v>
      </c>
      <c r="AR655" s="18">
        <v>0</v>
      </c>
      <c r="AS655" s="18">
        <v>0</v>
      </c>
      <c r="AT655" s="18">
        <v>0</v>
      </c>
      <c r="AU655" s="18">
        <v>0</v>
      </c>
      <c r="AV655" s="18">
        <v>0</v>
      </c>
      <c r="AW655" s="18">
        <v>0</v>
      </c>
      <c r="AX655" s="18">
        <v>0</v>
      </c>
      <c r="AY655" s="18">
        <v>67</v>
      </c>
      <c r="AZ655" s="18">
        <v>30</v>
      </c>
      <c r="BA655" s="18">
        <v>20</v>
      </c>
      <c r="BB655" s="18">
        <v>0.66667</v>
      </c>
      <c r="BC655" s="18">
        <v>0</v>
      </c>
      <c r="BD655" s="18">
        <v>0</v>
      </c>
      <c r="BE655" s="18">
        <v>0.05076</v>
      </c>
      <c r="BF655" s="18">
        <v>34</v>
      </c>
      <c r="BG655" s="18">
        <v>2</v>
      </c>
      <c r="BH655" s="18">
        <v>0</v>
      </c>
      <c r="BI655" s="18"/>
      <c r="BJ655" s="18">
        <v>0</v>
      </c>
      <c r="BK655" s="18">
        <v>0</v>
      </c>
      <c r="BL655" s="18">
        <v>0</v>
      </c>
      <c r="BM655" s="18">
        <v>0</v>
      </c>
      <c r="BN655" s="18"/>
      <c r="BO655" s="18"/>
      <c r="BP655" s="18">
        <v>0.05</v>
      </c>
      <c r="BQ655" s="18">
        <v>36</v>
      </c>
      <c r="BR655" s="18">
        <v>0</v>
      </c>
      <c r="BS655" s="18">
        <v>0</v>
      </c>
      <c r="BT655" s="18">
        <v>0</v>
      </c>
      <c r="BU655" s="18">
        <v>0</v>
      </c>
      <c r="BV655" s="18">
        <v>0</v>
      </c>
      <c r="BW655" s="18">
        <v>0</v>
      </c>
      <c r="BX655" s="18">
        <v>0</v>
      </c>
    </row>
    <row r="656" spans="2:76">
      <c r="B656" s="19">
        <v>46128</v>
      </c>
      <c r="C656" s="20">
        <v>1010789122929</v>
      </c>
      <c r="D656" s="18" t="s">
        <v>151</v>
      </c>
      <c r="E656" s="18" t="s">
        <v>179</v>
      </c>
      <c r="F656" s="18">
        <v>170</v>
      </c>
      <c r="G656" s="18">
        <v>8</v>
      </c>
      <c r="H656" s="18">
        <v>3.49</v>
      </c>
      <c r="I656" s="18">
        <v>0.04706</v>
      </c>
      <c r="J656" s="18">
        <v>0.44</v>
      </c>
      <c r="K656" s="18">
        <v>20.53</v>
      </c>
      <c r="L656" s="18">
        <v>0</v>
      </c>
      <c r="M656" s="18">
        <v>0</v>
      </c>
      <c r="N656" s="18">
        <v>0</v>
      </c>
      <c r="O656" s="18">
        <v>0</v>
      </c>
      <c r="P656" s="18">
        <v>0</v>
      </c>
      <c r="Q656" s="18">
        <v>0</v>
      </c>
      <c r="R656" s="18">
        <v>0</v>
      </c>
      <c r="S656" s="18">
        <v>0</v>
      </c>
      <c r="T656" s="18">
        <v>0</v>
      </c>
      <c r="U656" s="18">
        <v>0</v>
      </c>
      <c r="V656" s="18">
        <v>0</v>
      </c>
      <c r="W656" s="18">
        <v>0</v>
      </c>
      <c r="X656" s="18">
        <v>0</v>
      </c>
      <c r="Y656" s="18">
        <v>0</v>
      </c>
      <c r="Z656" s="18">
        <v>0</v>
      </c>
      <c r="AA656" s="18"/>
      <c r="AB656" s="18">
        <v>0</v>
      </c>
      <c r="AC656" s="18">
        <v>0</v>
      </c>
      <c r="AD656" s="18">
        <v>0</v>
      </c>
      <c r="AE656" s="18">
        <v>0</v>
      </c>
      <c r="AF656" s="18">
        <v>0</v>
      </c>
      <c r="AG656" s="18">
        <v>0</v>
      </c>
      <c r="AH656" s="18"/>
      <c r="AI656" s="18">
        <v>0</v>
      </c>
      <c r="AJ656" s="18"/>
      <c r="AK656" s="18">
        <v>0</v>
      </c>
      <c r="AL656" s="18"/>
      <c r="AM656" s="18">
        <v>0</v>
      </c>
      <c r="AN656" s="18"/>
      <c r="AO656" s="18">
        <v>0</v>
      </c>
      <c r="AP656" s="18"/>
      <c r="AQ656" s="18">
        <v>0</v>
      </c>
      <c r="AR656" s="18">
        <v>0</v>
      </c>
      <c r="AS656" s="18">
        <v>0</v>
      </c>
      <c r="AT656" s="18">
        <v>0</v>
      </c>
      <c r="AU656" s="18">
        <v>0</v>
      </c>
      <c r="AV656" s="18">
        <v>0</v>
      </c>
      <c r="AW656" s="18">
        <v>0</v>
      </c>
      <c r="AX656" s="18">
        <v>0</v>
      </c>
      <c r="AY656" s="18">
        <v>11</v>
      </c>
      <c r="AZ656" s="18">
        <v>7</v>
      </c>
      <c r="BA656" s="18">
        <v>4</v>
      </c>
      <c r="BB656" s="18">
        <v>0.57143</v>
      </c>
      <c r="BC656" s="18">
        <v>0</v>
      </c>
      <c r="BD656" s="18">
        <v>0</v>
      </c>
      <c r="BE656" s="18">
        <v>0.06471</v>
      </c>
      <c r="BF656" s="18">
        <v>1</v>
      </c>
      <c r="BG656" s="18">
        <v>2</v>
      </c>
      <c r="BH656" s="18">
        <v>0</v>
      </c>
      <c r="BI656" s="18"/>
      <c r="BJ656" s="18">
        <v>0</v>
      </c>
      <c r="BK656" s="18">
        <v>0</v>
      </c>
      <c r="BL656" s="18">
        <v>0</v>
      </c>
      <c r="BM656" s="18">
        <v>0</v>
      </c>
      <c r="BN656" s="18"/>
      <c r="BO656" s="18"/>
      <c r="BP656" s="18">
        <v>0</v>
      </c>
      <c r="BQ656" s="18">
        <v>2</v>
      </c>
      <c r="BR656" s="18">
        <v>0</v>
      </c>
      <c r="BS656" s="18">
        <v>0</v>
      </c>
      <c r="BT656" s="18">
        <v>0</v>
      </c>
      <c r="BU656" s="18">
        <v>0</v>
      </c>
      <c r="BV656" s="18">
        <v>0</v>
      </c>
      <c r="BW656" s="18">
        <v>0</v>
      </c>
      <c r="BX656" s="18">
        <v>0</v>
      </c>
    </row>
    <row r="657" spans="2:76">
      <c r="B657" s="19">
        <v>46128</v>
      </c>
      <c r="C657" s="20">
        <v>960406497157</v>
      </c>
      <c r="D657" s="18" t="s">
        <v>151</v>
      </c>
      <c r="E657" s="18" t="s">
        <v>156</v>
      </c>
      <c r="F657" s="18">
        <v>8858</v>
      </c>
      <c r="G657" s="18">
        <v>229</v>
      </c>
      <c r="H657" s="18">
        <v>161.37</v>
      </c>
      <c r="I657" s="18">
        <v>0.02585</v>
      </c>
      <c r="J657" s="18">
        <v>0.7</v>
      </c>
      <c r="K657" s="18">
        <v>18.22</v>
      </c>
      <c r="L657" s="18">
        <v>0</v>
      </c>
      <c r="M657" s="18">
        <v>0</v>
      </c>
      <c r="N657" s="18">
        <v>0</v>
      </c>
      <c r="O657" s="18">
        <v>0</v>
      </c>
      <c r="P657" s="18">
        <v>0</v>
      </c>
      <c r="Q657" s="18">
        <v>0</v>
      </c>
      <c r="R657" s="18">
        <v>421.32</v>
      </c>
      <c r="S657" s="18">
        <v>24.05</v>
      </c>
      <c r="T657" s="18">
        <v>445.37</v>
      </c>
      <c r="U657" s="18">
        <v>4</v>
      </c>
      <c r="V657" s="18">
        <v>3</v>
      </c>
      <c r="W657" s="18">
        <v>1</v>
      </c>
      <c r="X657" s="18">
        <v>0.01747</v>
      </c>
      <c r="Y657" s="18">
        <v>2.76</v>
      </c>
      <c r="Z657" s="18">
        <v>2.76</v>
      </c>
      <c r="AA657" s="18">
        <v>40.34</v>
      </c>
      <c r="AB657" s="18">
        <v>7</v>
      </c>
      <c r="AC657" s="18">
        <v>5</v>
      </c>
      <c r="AD657" s="18">
        <v>2</v>
      </c>
      <c r="AE657" s="18">
        <v>0.03057</v>
      </c>
      <c r="AF657" s="18">
        <v>3</v>
      </c>
      <c r="AG657" s="18">
        <v>2</v>
      </c>
      <c r="AH657" s="18">
        <v>80.69</v>
      </c>
      <c r="AI657" s="18">
        <v>12</v>
      </c>
      <c r="AJ657" s="18">
        <v>13.45</v>
      </c>
      <c r="AK657" s="18">
        <v>10</v>
      </c>
      <c r="AL657" s="18">
        <v>16.14</v>
      </c>
      <c r="AM657" s="18">
        <v>5</v>
      </c>
      <c r="AN657" s="18">
        <v>53.79</v>
      </c>
      <c r="AO657" s="18">
        <v>0.0131</v>
      </c>
      <c r="AP657" s="18">
        <v>23.05</v>
      </c>
      <c r="AQ657" s="18">
        <v>6</v>
      </c>
      <c r="AR657" s="18">
        <v>632.8</v>
      </c>
      <c r="AS657" s="18">
        <v>2</v>
      </c>
      <c r="AT657" s="18">
        <v>1</v>
      </c>
      <c r="AU657" s="18">
        <v>0</v>
      </c>
      <c r="AV657" s="18">
        <v>0</v>
      </c>
      <c r="AW657" s="18">
        <v>0</v>
      </c>
      <c r="AX657" s="18">
        <v>0</v>
      </c>
      <c r="AY657" s="18">
        <v>333</v>
      </c>
      <c r="AZ657" s="18">
        <v>222</v>
      </c>
      <c r="BA657" s="18">
        <v>197</v>
      </c>
      <c r="BB657" s="18">
        <v>0.88739</v>
      </c>
      <c r="BC657" s="18">
        <v>0</v>
      </c>
      <c r="BD657" s="18">
        <v>0</v>
      </c>
      <c r="BE657" s="18">
        <v>0.03759</v>
      </c>
      <c r="BF657" s="18">
        <v>90</v>
      </c>
      <c r="BG657" s="18">
        <v>2</v>
      </c>
      <c r="BH657" s="18">
        <v>4</v>
      </c>
      <c r="BI657" s="18">
        <v>1</v>
      </c>
      <c r="BJ657" s="18">
        <v>0</v>
      </c>
      <c r="BK657" s="18">
        <v>0</v>
      </c>
      <c r="BL657" s="18">
        <v>0</v>
      </c>
      <c r="BM657" s="18">
        <v>4</v>
      </c>
      <c r="BN657" s="18">
        <v>1</v>
      </c>
      <c r="BO657" s="18">
        <v>111.34</v>
      </c>
      <c r="BP657" s="18">
        <v>50.28</v>
      </c>
      <c r="BQ657" s="18">
        <v>1579</v>
      </c>
      <c r="BR657" s="18">
        <v>0</v>
      </c>
      <c r="BS657" s="18">
        <v>0</v>
      </c>
      <c r="BT657" s="18">
        <v>0</v>
      </c>
      <c r="BU657" s="18">
        <v>0</v>
      </c>
      <c r="BV657" s="18">
        <v>0</v>
      </c>
      <c r="BW657" s="18">
        <v>0</v>
      </c>
      <c r="BX657" s="18">
        <v>0</v>
      </c>
    </row>
    <row r="658" spans="2:76">
      <c r="B658" s="19">
        <v>46128</v>
      </c>
      <c r="C658" s="20">
        <v>838711327669</v>
      </c>
      <c r="D658" s="18" t="s">
        <v>151</v>
      </c>
      <c r="E658" s="18" t="s">
        <v>153</v>
      </c>
      <c r="F658" s="18">
        <v>1525</v>
      </c>
      <c r="G658" s="18">
        <v>50</v>
      </c>
      <c r="H658" s="18">
        <v>52.68</v>
      </c>
      <c r="I658" s="18">
        <v>0.03279</v>
      </c>
      <c r="J658" s="18">
        <v>1.05</v>
      </c>
      <c r="K658" s="18">
        <v>34.54</v>
      </c>
      <c r="L658" s="18">
        <v>0</v>
      </c>
      <c r="M658" s="18">
        <v>0</v>
      </c>
      <c r="N658" s="18">
        <v>0</v>
      </c>
      <c r="O658" s="18">
        <v>0</v>
      </c>
      <c r="P658" s="18">
        <v>0</v>
      </c>
      <c r="Q658" s="18">
        <v>0</v>
      </c>
      <c r="R658" s="18">
        <v>0</v>
      </c>
      <c r="S658" s="18">
        <v>42.91</v>
      </c>
      <c r="T658" s="18">
        <v>42.91</v>
      </c>
      <c r="U658" s="18">
        <v>1</v>
      </c>
      <c r="V658" s="18">
        <v>0</v>
      </c>
      <c r="W658" s="18">
        <v>1</v>
      </c>
      <c r="X658" s="18">
        <v>0.02</v>
      </c>
      <c r="Y658" s="18">
        <v>0.81</v>
      </c>
      <c r="Z658" s="18">
        <v>0.81</v>
      </c>
      <c r="AA658" s="18">
        <v>52.68</v>
      </c>
      <c r="AB658" s="18">
        <v>4</v>
      </c>
      <c r="AC658" s="18">
        <v>1</v>
      </c>
      <c r="AD658" s="18">
        <v>3</v>
      </c>
      <c r="AE658" s="18">
        <v>0.08</v>
      </c>
      <c r="AF658" s="18">
        <v>0</v>
      </c>
      <c r="AG658" s="18">
        <v>0</v>
      </c>
      <c r="AH658" s="18"/>
      <c r="AI658" s="18">
        <v>4</v>
      </c>
      <c r="AJ658" s="18">
        <v>13.17</v>
      </c>
      <c r="AK658" s="18">
        <v>4</v>
      </c>
      <c r="AL658" s="18">
        <v>13.17</v>
      </c>
      <c r="AM658" s="18">
        <v>0</v>
      </c>
      <c r="AN658" s="18"/>
      <c r="AO658" s="18">
        <v>0</v>
      </c>
      <c r="AP658" s="18">
        <v>13.17</v>
      </c>
      <c r="AQ658" s="18">
        <v>1</v>
      </c>
      <c r="AR658" s="18">
        <v>49.9</v>
      </c>
      <c r="AS658" s="18">
        <v>0</v>
      </c>
      <c r="AT658" s="18">
        <v>0</v>
      </c>
      <c r="AU658" s="18">
        <v>0</v>
      </c>
      <c r="AV658" s="18">
        <v>0</v>
      </c>
      <c r="AW658" s="18">
        <v>0</v>
      </c>
      <c r="AX658" s="18">
        <v>2</v>
      </c>
      <c r="AY658" s="18">
        <v>111</v>
      </c>
      <c r="AZ658" s="18">
        <v>41</v>
      </c>
      <c r="BA658" s="18">
        <v>31</v>
      </c>
      <c r="BB658" s="18">
        <v>0.7561</v>
      </c>
      <c r="BC658" s="18">
        <v>0</v>
      </c>
      <c r="BD658" s="18">
        <v>0</v>
      </c>
      <c r="BE658" s="18">
        <v>0.07279</v>
      </c>
      <c r="BF658" s="18">
        <v>57</v>
      </c>
      <c r="BG658" s="18">
        <v>3</v>
      </c>
      <c r="BH658" s="18">
        <v>1</v>
      </c>
      <c r="BI658" s="18">
        <v>1</v>
      </c>
      <c r="BJ658" s="18">
        <v>0</v>
      </c>
      <c r="BK658" s="18">
        <v>0</v>
      </c>
      <c r="BL658" s="18">
        <v>0</v>
      </c>
      <c r="BM658" s="18">
        <v>1</v>
      </c>
      <c r="BN658" s="18">
        <v>1</v>
      </c>
      <c r="BO658" s="18">
        <v>42.91</v>
      </c>
      <c r="BP658" s="18">
        <v>0.1</v>
      </c>
      <c r="BQ658" s="18">
        <v>128</v>
      </c>
      <c r="BR658" s="18">
        <v>0</v>
      </c>
      <c r="BS658" s="18">
        <v>0</v>
      </c>
      <c r="BT658" s="18">
        <v>0</v>
      </c>
      <c r="BU658" s="18">
        <v>0</v>
      </c>
      <c r="BV658" s="18">
        <v>0</v>
      </c>
      <c r="BW658" s="18">
        <v>0</v>
      </c>
      <c r="BX658" s="18">
        <v>0</v>
      </c>
    </row>
    <row r="659" spans="2:76">
      <c r="B659" s="19">
        <v>46127</v>
      </c>
      <c r="C659" s="20">
        <v>1010789122929</v>
      </c>
      <c r="D659" s="18" t="s">
        <v>151</v>
      </c>
      <c r="E659" s="18" t="s">
        <v>179</v>
      </c>
      <c r="F659" s="18">
        <v>1121</v>
      </c>
      <c r="G659" s="18">
        <v>22</v>
      </c>
      <c r="H659" s="18">
        <v>18.69</v>
      </c>
      <c r="I659" s="18">
        <v>0.01963</v>
      </c>
      <c r="J659" s="18">
        <v>0.85</v>
      </c>
      <c r="K659" s="18">
        <v>16.67</v>
      </c>
      <c r="L659" s="18">
        <v>0</v>
      </c>
      <c r="M659" s="18">
        <v>0</v>
      </c>
      <c r="N659" s="18">
        <v>0</v>
      </c>
      <c r="O659" s="18">
        <v>0</v>
      </c>
      <c r="P659" s="18">
        <v>0</v>
      </c>
      <c r="Q659" s="18">
        <v>0</v>
      </c>
      <c r="R659" s="18">
        <v>0</v>
      </c>
      <c r="S659" s="18">
        <v>0</v>
      </c>
      <c r="T659" s="18">
        <v>0</v>
      </c>
      <c r="U659" s="18">
        <v>0</v>
      </c>
      <c r="V659" s="18">
        <v>0</v>
      </c>
      <c r="W659" s="18">
        <v>0</v>
      </c>
      <c r="X659" s="18">
        <v>0</v>
      </c>
      <c r="Y659" s="18">
        <v>0</v>
      </c>
      <c r="Z659" s="18">
        <v>0</v>
      </c>
      <c r="AA659" s="18"/>
      <c r="AB659" s="18">
        <v>0</v>
      </c>
      <c r="AC659" s="18">
        <v>0</v>
      </c>
      <c r="AD659" s="18">
        <v>0</v>
      </c>
      <c r="AE659" s="18">
        <v>0</v>
      </c>
      <c r="AF659" s="18">
        <v>0</v>
      </c>
      <c r="AG659" s="18">
        <v>0</v>
      </c>
      <c r="AH659" s="18"/>
      <c r="AI659" s="18">
        <v>0</v>
      </c>
      <c r="AJ659" s="18"/>
      <c r="AK659" s="18">
        <v>0</v>
      </c>
      <c r="AL659" s="18"/>
      <c r="AM659" s="18">
        <v>0</v>
      </c>
      <c r="AN659" s="18"/>
      <c r="AO659" s="18">
        <v>0</v>
      </c>
      <c r="AP659" s="18"/>
      <c r="AQ659" s="18">
        <v>0</v>
      </c>
      <c r="AR659" s="18">
        <v>0</v>
      </c>
      <c r="AS659" s="18">
        <v>0</v>
      </c>
      <c r="AT659" s="18">
        <v>0</v>
      </c>
      <c r="AU659" s="18">
        <v>0</v>
      </c>
      <c r="AV659" s="18">
        <v>0</v>
      </c>
      <c r="AW659" s="18">
        <v>0</v>
      </c>
      <c r="AX659" s="18">
        <v>0</v>
      </c>
      <c r="AY659" s="18">
        <v>35</v>
      </c>
      <c r="AZ659" s="18">
        <v>23</v>
      </c>
      <c r="BA659" s="18">
        <v>19</v>
      </c>
      <c r="BB659" s="18">
        <v>0.82609</v>
      </c>
      <c r="BC659" s="18">
        <v>0</v>
      </c>
      <c r="BD659" s="18">
        <v>0</v>
      </c>
      <c r="BE659" s="18">
        <v>0.03122</v>
      </c>
      <c r="BF659" s="18">
        <v>10</v>
      </c>
      <c r="BG659" s="18">
        <v>2</v>
      </c>
      <c r="BH659" s="18">
        <v>0</v>
      </c>
      <c r="BI659" s="18"/>
      <c r="BJ659" s="18">
        <v>0</v>
      </c>
      <c r="BK659" s="18">
        <v>0</v>
      </c>
      <c r="BL659" s="18">
        <v>0</v>
      </c>
      <c r="BM659" s="18">
        <v>0</v>
      </c>
      <c r="BN659" s="18"/>
      <c r="BO659" s="18"/>
      <c r="BP659" s="18">
        <v>0</v>
      </c>
      <c r="BQ659" s="18">
        <v>9</v>
      </c>
      <c r="BR659" s="18">
        <v>0</v>
      </c>
      <c r="BS659" s="18">
        <v>0</v>
      </c>
      <c r="BT659" s="18">
        <v>0</v>
      </c>
      <c r="BU659" s="18">
        <v>0</v>
      </c>
      <c r="BV659" s="18">
        <v>0</v>
      </c>
      <c r="BW659" s="18">
        <v>0</v>
      </c>
      <c r="BX659" s="18">
        <v>0</v>
      </c>
    </row>
    <row r="660" spans="2:76">
      <c r="B660" s="19">
        <v>46127</v>
      </c>
      <c r="C660" s="20">
        <v>960406497157</v>
      </c>
      <c r="D660" s="18" t="s">
        <v>151</v>
      </c>
      <c r="E660" s="18" t="s">
        <v>156</v>
      </c>
      <c r="F660" s="18">
        <v>4110</v>
      </c>
      <c r="G660" s="18">
        <v>138</v>
      </c>
      <c r="H660" s="18">
        <v>105.17</v>
      </c>
      <c r="I660" s="18">
        <v>0.03358</v>
      </c>
      <c r="J660" s="18">
        <v>0.76</v>
      </c>
      <c r="K660" s="18">
        <v>25.59</v>
      </c>
      <c r="L660" s="18">
        <v>0</v>
      </c>
      <c r="M660" s="18">
        <v>0</v>
      </c>
      <c r="N660" s="18">
        <v>0</v>
      </c>
      <c r="O660" s="18">
        <v>0</v>
      </c>
      <c r="P660" s="18">
        <v>0</v>
      </c>
      <c r="Q660" s="18">
        <v>0</v>
      </c>
      <c r="R660" s="18">
        <v>138.6</v>
      </c>
      <c r="S660" s="18">
        <v>0</v>
      </c>
      <c r="T660" s="18">
        <v>138.6</v>
      </c>
      <c r="U660" s="18">
        <v>1</v>
      </c>
      <c r="V660" s="18">
        <v>1</v>
      </c>
      <c r="W660" s="18">
        <v>0</v>
      </c>
      <c r="X660" s="18">
        <v>0.00725</v>
      </c>
      <c r="Y660" s="18">
        <v>1.32</v>
      </c>
      <c r="Z660" s="18">
        <v>1.32</v>
      </c>
      <c r="AA660" s="18">
        <v>105.17</v>
      </c>
      <c r="AB660" s="18">
        <v>8</v>
      </c>
      <c r="AC660" s="18">
        <v>7</v>
      </c>
      <c r="AD660" s="18">
        <v>1</v>
      </c>
      <c r="AE660" s="18">
        <v>0.05797</v>
      </c>
      <c r="AF660" s="18">
        <v>2</v>
      </c>
      <c r="AG660" s="18">
        <v>0</v>
      </c>
      <c r="AH660" s="18"/>
      <c r="AI660" s="18">
        <v>10</v>
      </c>
      <c r="AJ660" s="18">
        <v>10.52</v>
      </c>
      <c r="AK660" s="18">
        <v>10</v>
      </c>
      <c r="AL660" s="18">
        <v>10.52</v>
      </c>
      <c r="AM660" s="18">
        <v>2</v>
      </c>
      <c r="AN660" s="18">
        <v>52.59</v>
      </c>
      <c r="AO660" s="18">
        <v>0.01449</v>
      </c>
      <c r="AP660" s="18">
        <v>13.15</v>
      </c>
      <c r="AQ660" s="18">
        <v>4</v>
      </c>
      <c r="AR660" s="18">
        <v>435.8</v>
      </c>
      <c r="AS660" s="18">
        <v>2</v>
      </c>
      <c r="AT660" s="18">
        <v>0</v>
      </c>
      <c r="AU660" s="18">
        <v>0</v>
      </c>
      <c r="AV660" s="18">
        <v>0</v>
      </c>
      <c r="AW660" s="18">
        <v>0</v>
      </c>
      <c r="AX660" s="18">
        <v>0</v>
      </c>
      <c r="AY660" s="18">
        <v>244</v>
      </c>
      <c r="AZ660" s="18">
        <v>130</v>
      </c>
      <c r="BA660" s="18">
        <v>119</v>
      </c>
      <c r="BB660" s="18">
        <v>0.91538</v>
      </c>
      <c r="BC660" s="18">
        <v>0</v>
      </c>
      <c r="BD660" s="18">
        <v>0</v>
      </c>
      <c r="BE660" s="18">
        <v>0.05937</v>
      </c>
      <c r="BF660" s="18">
        <v>90</v>
      </c>
      <c r="BG660" s="18">
        <v>2</v>
      </c>
      <c r="BH660" s="18">
        <v>1</v>
      </c>
      <c r="BI660" s="18">
        <v>1</v>
      </c>
      <c r="BJ660" s="18">
        <v>0</v>
      </c>
      <c r="BK660" s="18">
        <v>0</v>
      </c>
      <c r="BL660" s="18">
        <v>0</v>
      </c>
      <c r="BM660" s="18">
        <v>1</v>
      </c>
      <c r="BN660" s="18">
        <v>1</v>
      </c>
      <c r="BO660" s="18">
        <v>138.6</v>
      </c>
      <c r="BP660" s="18">
        <v>16.3</v>
      </c>
      <c r="BQ660" s="18">
        <v>468</v>
      </c>
      <c r="BR660" s="18">
        <v>0</v>
      </c>
      <c r="BS660" s="18">
        <v>0</v>
      </c>
      <c r="BT660" s="18">
        <v>0</v>
      </c>
      <c r="BU660" s="18">
        <v>0</v>
      </c>
      <c r="BV660" s="18">
        <v>0</v>
      </c>
      <c r="BW660" s="18">
        <v>0</v>
      </c>
      <c r="BX660" s="18">
        <v>0</v>
      </c>
    </row>
    <row r="661" spans="2:76">
      <c r="B661" s="19">
        <v>46127</v>
      </c>
      <c r="C661" s="20">
        <v>838711327669</v>
      </c>
      <c r="D661" s="18" t="s">
        <v>151</v>
      </c>
      <c r="E661" s="18" t="s">
        <v>153</v>
      </c>
      <c r="F661" s="18">
        <v>1329</v>
      </c>
      <c r="G661" s="18">
        <v>41</v>
      </c>
      <c r="H661" s="18">
        <v>64.03</v>
      </c>
      <c r="I661" s="18">
        <v>0.03085</v>
      </c>
      <c r="J661" s="18">
        <v>1.56</v>
      </c>
      <c r="K661" s="18">
        <v>48.18</v>
      </c>
      <c r="L661" s="18">
        <v>0</v>
      </c>
      <c r="M661" s="18">
        <v>0</v>
      </c>
      <c r="N661" s="18">
        <v>0</v>
      </c>
      <c r="O661" s="18">
        <v>0</v>
      </c>
      <c r="P661" s="18">
        <v>0</v>
      </c>
      <c r="Q661" s="18">
        <v>0</v>
      </c>
      <c r="R661" s="18">
        <v>0</v>
      </c>
      <c r="S661" s="18">
        <v>24.92</v>
      </c>
      <c r="T661" s="18">
        <v>24.92</v>
      </c>
      <c r="U661" s="18">
        <v>1</v>
      </c>
      <c r="V661" s="18">
        <v>0</v>
      </c>
      <c r="W661" s="18">
        <v>1</v>
      </c>
      <c r="X661" s="18">
        <v>0.02439</v>
      </c>
      <c r="Y661" s="18">
        <v>0.39</v>
      </c>
      <c r="Z661" s="18">
        <v>0.39</v>
      </c>
      <c r="AA661" s="18">
        <v>64.03</v>
      </c>
      <c r="AB661" s="18">
        <v>7</v>
      </c>
      <c r="AC661" s="18">
        <v>0</v>
      </c>
      <c r="AD661" s="18">
        <v>7</v>
      </c>
      <c r="AE661" s="18">
        <v>0.17073</v>
      </c>
      <c r="AF661" s="18">
        <v>0</v>
      </c>
      <c r="AG661" s="18">
        <v>0</v>
      </c>
      <c r="AH661" s="18"/>
      <c r="AI661" s="18">
        <v>7</v>
      </c>
      <c r="AJ661" s="18">
        <v>9.15</v>
      </c>
      <c r="AK661" s="18">
        <v>7</v>
      </c>
      <c r="AL661" s="18">
        <v>9.15</v>
      </c>
      <c r="AM661" s="18">
        <v>0</v>
      </c>
      <c r="AN661" s="18"/>
      <c r="AO661" s="18">
        <v>0</v>
      </c>
      <c r="AP661" s="18">
        <v>9.15</v>
      </c>
      <c r="AQ661" s="18">
        <v>1</v>
      </c>
      <c r="AR661" s="18">
        <v>29</v>
      </c>
      <c r="AS661" s="18">
        <v>0</v>
      </c>
      <c r="AT661" s="18">
        <v>0</v>
      </c>
      <c r="AU661" s="18">
        <v>0</v>
      </c>
      <c r="AV661" s="18">
        <v>0</v>
      </c>
      <c r="AW661" s="18">
        <v>0</v>
      </c>
      <c r="AX661" s="18">
        <v>4</v>
      </c>
      <c r="AY661" s="18">
        <v>171</v>
      </c>
      <c r="AZ661" s="18">
        <v>36</v>
      </c>
      <c r="BA661" s="18">
        <v>20</v>
      </c>
      <c r="BB661" s="18">
        <v>0.55556</v>
      </c>
      <c r="BC661" s="18">
        <v>0</v>
      </c>
      <c r="BD661" s="18">
        <v>0</v>
      </c>
      <c r="BE661" s="18">
        <v>0.12867</v>
      </c>
      <c r="BF661" s="18">
        <v>131</v>
      </c>
      <c r="BG661" s="18">
        <v>5</v>
      </c>
      <c r="BH661" s="18">
        <v>1</v>
      </c>
      <c r="BI661" s="18">
        <v>1</v>
      </c>
      <c r="BJ661" s="18">
        <v>0</v>
      </c>
      <c r="BK661" s="18">
        <v>0</v>
      </c>
      <c r="BL661" s="18">
        <v>0</v>
      </c>
      <c r="BM661" s="18">
        <v>1</v>
      </c>
      <c r="BN661" s="18">
        <v>1</v>
      </c>
      <c r="BO661" s="18">
        <v>24.92</v>
      </c>
      <c r="BP661" s="18">
        <v>0.67</v>
      </c>
      <c r="BQ661" s="18">
        <v>282</v>
      </c>
      <c r="BR661" s="18">
        <v>0</v>
      </c>
      <c r="BS661" s="18">
        <v>0</v>
      </c>
      <c r="BT661" s="18">
        <v>0</v>
      </c>
      <c r="BU661" s="18">
        <v>0</v>
      </c>
      <c r="BV661" s="18">
        <v>0</v>
      </c>
      <c r="BW661" s="18">
        <v>0</v>
      </c>
      <c r="BX661" s="18">
        <v>0</v>
      </c>
    </row>
    <row r="662" spans="2:76">
      <c r="B662" s="19">
        <v>46126</v>
      </c>
      <c r="C662" s="20">
        <v>1010789122929</v>
      </c>
      <c r="D662" s="18" t="s">
        <v>151</v>
      </c>
      <c r="E662" s="18" t="s">
        <v>179</v>
      </c>
      <c r="F662" s="18">
        <v>2577</v>
      </c>
      <c r="G662" s="18">
        <v>54</v>
      </c>
      <c r="H662" s="18">
        <v>50.06</v>
      </c>
      <c r="I662" s="18">
        <v>0.02095</v>
      </c>
      <c r="J662" s="18">
        <v>0.93</v>
      </c>
      <c r="K662" s="18">
        <v>19.43</v>
      </c>
      <c r="L662" s="18">
        <v>0</v>
      </c>
      <c r="M662" s="18">
        <v>0</v>
      </c>
      <c r="N662" s="18">
        <v>0</v>
      </c>
      <c r="O662" s="18">
        <v>0</v>
      </c>
      <c r="P662" s="18">
        <v>0</v>
      </c>
      <c r="Q662" s="18">
        <v>0</v>
      </c>
      <c r="R662" s="18">
        <v>0</v>
      </c>
      <c r="S662" s="18">
        <v>0</v>
      </c>
      <c r="T662" s="18">
        <v>0</v>
      </c>
      <c r="U662" s="18">
        <v>0</v>
      </c>
      <c r="V662" s="18">
        <v>0</v>
      </c>
      <c r="W662" s="18">
        <v>0</v>
      </c>
      <c r="X662" s="18">
        <v>0</v>
      </c>
      <c r="Y662" s="18">
        <v>0</v>
      </c>
      <c r="Z662" s="18">
        <v>0</v>
      </c>
      <c r="AA662" s="18"/>
      <c r="AB662" s="18">
        <v>3</v>
      </c>
      <c r="AC662" s="18">
        <v>2</v>
      </c>
      <c r="AD662" s="18">
        <v>1</v>
      </c>
      <c r="AE662" s="18">
        <v>0.05556</v>
      </c>
      <c r="AF662" s="18">
        <v>0</v>
      </c>
      <c r="AG662" s="18">
        <v>0</v>
      </c>
      <c r="AH662" s="18"/>
      <c r="AI662" s="18">
        <v>3</v>
      </c>
      <c r="AJ662" s="18">
        <v>16.69</v>
      </c>
      <c r="AK662" s="18">
        <v>3</v>
      </c>
      <c r="AL662" s="18">
        <v>16.69</v>
      </c>
      <c r="AM662" s="18">
        <v>0</v>
      </c>
      <c r="AN662" s="18"/>
      <c r="AO662" s="18">
        <v>0</v>
      </c>
      <c r="AP662" s="18">
        <v>16.69</v>
      </c>
      <c r="AQ662" s="18">
        <v>0</v>
      </c>
      <c r="AR662" s="18">
        <v>0</v>
      </c>
      <c r="AS662" s="18">
        <v>0</v>
      </c>
      <c r="AT662" s="18">
        <v>0</v>
      </c>
      <c r="AU662" s="18">
        <v>0</v>
      </c>
      <c r="AV662" s="18">
        <v>0</v>
      </c>
      <c r="AW662" s="18">
        <v>0</v>
      </c>
      <c r="AX662" s="18">
        <v>0</v>
      </c>
      <c r="AY662" s="18">
        <v>103</v>
      </c>
      <c r="AZ662" s="18">
        <v>53</v>
      </c>
      <c r="BA662" s="18">
        <v>39</v>
      </c>
      <c r="BB662" s="18">
        <v>0.73585</v>
      </c>
      <c r="BC662" s="18">
        <v>0</v>
      </c>
      <c r="BD662" s="18">
        <v>0</v>
      </c>
      <c r="BE662" s="18">
        <v>0.03997</v>
      </c>
      <c r="BF662" s="18">
        <v>47</v>
      </c>
      <c r="BG662" s="18">
        <v>2</v>
      </c>
      <c r="BH662" s="18">
        <v>0</v>
      </c>
      <c r="BI662" s="18"/>
      <c r="BJ662" s="18">
        <v>0</v>
      </c>
      <c r="BK662" s="18">
        <v>0</v>
      </c>
      <c r="BL662" s="18">
        <v>0</v>
      </c>
      <c r="BM662" s="18">
        <v>0</v>
      </c>
      <c r="BN662" s="18"/>
      <c r="BO662" s="18"/>
      <c r="BP662" s="18">
        <v>34.19</v>
      </c>
      <c r="BQ662" s="18">
        <v>215</v>
      </c>
      <c r="BR662" s="18">
        <v>0</v>
      </c>
      <c r="BS662" s="18">
        <v>0</v>
      </c>
      <c r="BT662" s="18">
        <v>0</v>
      </c>
      <c r="BU662" s="18">
        <v>0</v>
      </c>
      <c r="BV662" s="18">
        <v>0</v>
      </c>
      <c r="BW662" s="18">
        <v>0</v>
      </c>
      <c r="BX662" s="18">
        <v>0</v>
      </c>
    </row>
    <row r="663" spans="2:76">
      <c r="B663" s="19">
        <v>46126</v>
      </c>
      <c r="C663" s="20">
        <v>971859969014</v>
      </c>
      <c r="D663" s="18" t="s">
        <v>151</v>
      </c>
      <c r="E663" s="18" t="s">
        <v>182</v>
      </c>
      <c r="F663" s="18">
        <v>14</v>
      </c>
      <c r="G663" s="18">
        <v>1</v>
      </c>
      <c r="H663" s="18">
        <v>0.2</v>
      </c>
      <c r="I663" s="18">
        <v>0.07143</v>
      </c>
      <c r="J663" s="18">
        <v>0.2</v>
      </c>
      <c r="K663" s="18">
        <v>14.29</v>
      </c>
      <c r="L663" s="18">
        <v>0</v>
      </c>
      <c r="M663" s="18">
        <v>0</v>
      </c>
      <c r="N663" s="18">
        <v>0</v>
      </c>
      <c r="O663" s="18">
        <v>0</v>
      </c>
      <c r="P663" s="18">
        <v>0</v>
      </c>
      <c r="Q663" s="18">
        <v>0</v>
      </c>
      <c r="R663" s="18">
        <v>0</v>
      </c>
      <c r="S663" s="18">
        <v>0</v>
      </c>
      <c r="T663" s="18">
        <v>0</v>
      </c>
      <c r="U663" s="18">
        <v>0</v>
      </c>
      <c r="V663" s="18">
        <v>0</v>
      </c>
      <c r="W663" s="18">
        <v>0</v>
      </c>
      <c r="X663" s="18">
        <v>0</v>
      </c>
      <c r="Y663" s="18">
        <v>0</v>
      </c>
      <c r="Z663" s="18">
        <v>0</v>
      </c>
      <c r="AA663" s="18"/>
      <c r="AB663" s="18">
        <v>0</v>
      </c>
      <c r="AC663" s="18">
        <v>0</v>
      </c>
      <c r="AD663" s="18">
        <v>0</v>
      </c>
      <c r="AE663" s="18">
        <v>0</v>
      </c>
      <c r="AF663" s="18">
        <v>0</v>
      </c>
      <c r="AG663" s="18">
        <v>0</v>
      </c>
      <c r="AH663" s="18"/>
      <c r="AI663" s="18">
        <v>0</v>
      </c>
      <c r="AJ663" s="18"/>
      <c r="AK663" s="18">
        <v>0</v>
      </c>
      <c r="AL663" s="18"/>
      <c r="AM663" s="18">
        <v>0</v>
      </c>
      <c r="AN663" s="18"/>
      <c r="AO663" s="18">
        <v>0</v>
      </c>
      <c r="AP663" s="18"/>
      <c r="AQ663" s="18">
        <v>0</v>
      </c>
      <c r="AR663" s="18">
        <v>0</v>
      </c>
      <c r="AS663" s="18">
        <v>0</v>
      </c>
      <c r="AT663" s="18">
        <v>0</v>
      </c>
      <c r="AU663" s="18">
        <v>0</v>
      </c>
      <c r="AV663" s="18">
        <v>0</v>
      </c>
      <c r="AW663" s="18">
        <v>0</v>
      </c>
      <c r="AX663" s="18">
        <v>0</v>
      </c>
      <c r="AY663" s="18">
        <v>1</v>
      </c>
      <c r="AZ663" s="18">
        <v>1</v>
      </c>
      <c r="BA663" s="18">
        <v>1</v>
      </c>
      <c r="BB663" s="18">
        <v>1</v>
      </c>
      <c r="BC663" s="18">
        <v>0</v>
      </c>
      <c r="BD663" s="18">
        <v>0</v>
      </c>
      <c r="BE663" s="18">
        <v>0.07143</v>
      </c>
      <c r="BF663" s="18">
        <v>0</v>
      </c>
      <c r="BG663" s="18">
        <v>1</v>
      </c>
      <c r="BH663" s="18">
        <v>0</v>
      </c>
      <c r="BI663" s="18"/>
      <c r="BJ663" s="18">
        <v>0</v>
      </c>
      <c r="BK663" s="18">
        <v>0</v>
      </c>
      <c r="BL663" s="18">
        <v>0</v>
      </c>
      <c r="BM663" s="18">
        <v>0</v>
      </c>
      <c r="BN663" s="18"/>
      <c r="BO663" s="18"/>
      <c r="BP663" s="18">
        <v>0</v>
      </c>
      <c r="BQ663" s="18">
        <v>0</v>
      </c>
      <c r="BR663" s="18">
        <v>0</v>
      </c>
      <c r="BS663" s="18">
        <v>0</v>
      </c>
      <c r="BT663" s="18">
        <v>0</v>
      </c>
      <c r="BU663" s="18">
        <v>0</v>
      </c>
      <c r="BV663" s="18">
        <v>0</v>
      </c>
      <c r="BW663" s="18">
        <v>0</v>
      </c>
      <c r="BX663" s="18">
        <v>0</v>
      </c>
    </row>
    <row r="664" spans="2:76">
      <c r="B664" s="19">
        <v>46126</v>
      </c>
      <c r="C664" s="20">
        <v>971856893567</v>
      </c>
      <c r="D664" s="18" t="s">
        <v>151</v>
      </c>
      <c r="E664" s="18" t="s">
        <v>152</v>
      </c>
      <c r="F664" s="18">
        <v>701</v>
      </c>
      <c r="G664" s="18">
        <v>10</v>
      </c>
      <c r="H664" s="18">
        <v>2.08</v>
      </c>
      <c r="I664" s="18">
        <v>0.01427</v>
      </c>
      <c r="J664" s="18">
        <v>0.21</v>
      </c>
      <c r="K664" s="18">
        <v>2.97</v>
      </c>
      <c r="L664" s="18">
        <v>0</v>
      </c>
      <c r="M664" s="18">
        <v>0</v>
      </c>
      <c r="N664" s="18">
        <v>0</v>
      </c>
      <c r="O664" s="18">
        <v>0</v>
      </c>
      <c r="P664" s="18">
        <v>0</v>
      </c>
      <c r="Q664" s="18">
        <v>0</v>
      </c>
      <c r="R664" s="18">
        <v>0</v>
      </c>
      <c r="S664" s="18">
        <v>0</v>
      </c>
      <c r="T664" s="18">
        <v>0</v>
      </c>
      <c r="U664" s="18">
        <v>0</v>
      </c>
      <c r="V664" s="18">
        <v>0</v>
      </c>
      <c r="W664" s="18">
        <v>0</v>
      </c>
      <c r="X664" s="18">
        <v>0</v>
      </c>
      <c r="Y664" s="18">
        <v>0</v>
      </c>
      <c r="Z664" s="18">
        <v>0</v>
      </c>
      <c r="AA664" s="18"/>
      <c r="AB664" s="18">
        <v>0</v>
      </c>
      <c r="AC664" s="18">
        <v>0</v>
      </c>
      <c r="AD664" s="18">
        <v>0</v>
      </c>
      <c r="AE664" s="18">
        <v>0</v>
      </c>
      <c r="AF664" s="18">
        <v>0</v>
      </c>
      <c r="AG664" s="18">
        <v>0</v>
      </c>
      <c r="AH664" s="18"/>
      <c r="AI664" s="18">
        <v>0</v>
      </c>
      <c r="AJ664" s="18"/>
      <c r="AK664" s="18">
        <v>0</v>
      </c>
      <c r="AL664" s="18"/>
      <c r="AM664" s="18">
        <v>0</v>
      </c>
      <c r="AN664" s="18"/>
      <c r="AO664" s="18">
        <v>0</v>
      </c>
      <c r="AP664" s="18"/>
      <c r="AQ664" s="18">
        <v>0</v>
      </c>
      <c r="AR664" s="18">
        <v>0</v>
      </c>
      <c r="AS664" s="18">
        <v>0</v>
      </c>
      <c r="AT664" s="18">
        <v>0</v>
      </c>
      <c r="AU664" s="18">
        <v>0</v>
      </c>
      <c r="AV664" s="18">
        <v>0</v>
      </c>
      <c r="AW664" s="18">
        <v>0</v>
      </c>
      <c r="AX664" s="18">
        <v>0</v>
      </c>
      <c r="AY664" s="18">
        <v>19</v>
      </c>
      <c r="AZ664" s="18">
        <v>14</v>
      </c>
      <c r="BA664" s="18">
        <v>14</v>
      </c>
      <c r="BB664" s="18">
        <v>1</v>
      </c>
      <c r="BC664" s="18">
        <v>0</v>
      </c>
      <c r="BD664" s="18">
        <v>0</v>
      </c>
      <c r="BE664" s="18">
        <v>0.0271</v>
      </c>
      <c r="BF664" s="18">
        <v>1</v>
      </c>
      <c r="BG664" s="18">
        <v>1</v>
      </c>
      <c r="BH664" s="18">
        <v>0</v>
      </c>
      <c r="BI664" s="18"/>
      <c r="BJ664" s="18">
        <v>0</v>
      </c>
      <c r="BK664" s="18">
        <v>0</v>
      </c>
      <c r="BL664" s="18">
        <v>0</v>
      </c>
      <c r="BM664" s="18">
        <v>0</v>
      </c>
      <c r="BN664" s="18"/>
      <c r="BO664" s="18"/>
      <c r="BP664" s="18">
        <v>0</v>
      </c>
      <c r="BQ664" s="18">
        <v>0</v>
      </c>
      <c r="BR664" s="18">
        <v>0</v>
      </c>
      <c r="BS664" s="18">
        <v>0</v>
      </c>
      <c r="BT664" s="18">
        <v>0</v>
      </c>
      <c r="BU664" s="18">
        <v>0</v>
      </c>
      <c r="BV664" s="18">
        <v>0</v>
      </c>
      <c r="BW664" s="18">
        <v>0</v>
      </c>
      <c r="BX664" s="18">
        <v>0</v>
      </c>
    </row>
    <row r="665" spans="2:76">
      <c r="B665" s="19">
        <v>46126</v>
      </c>
      <c r="C665" s="20">
        <v>960406497157</v>
      </c>
      <c r="D665" s="18" t="s">
        <v>151</v>
      </c>
      <c r="E665" s="18" t="s">
        <v>156</v>
      </c>
      <c r="F665" s="18">
        <v>3740</v>
      </c>
      <c r="G665" s="18">
        <v>75</v>
      </c>
      <c r="H665" s="18">
        <v>37.37</v>
      </c>
      <c r="I665" s="18">
        <v>0.02005</v>
      </c>
      <c r="J665" s="18">
        <v>0.5</v>
      </c>
      <c r="K665" s="18">
        <v>9.99</v>
      </c>
      <c r="L665" s="18">
        <v>0</v>
      </c>
      <c r="M665" s="18">
        <v>0</v>
      </c>
      <c r="N665" s="18">
        <v>0</v>
      </c>
      <c r="O665" s="18">
        <v>0</v>
      </c>
      <c r="P665" s="18">
        <v>0</v>
      </c>
      <c r="Q665" s="18">
        <v>0</v>
      </c>
      <c r="R665" s="18">
        <v>0</v>
      </c>
      <c r="S665" s="18">
        <v>0</v>
      </c>
      <c r="T665" s="18">
        <v>0</v>
      </c>
      <c r="U665" s="18">
        <v>0</v>
      </c>
      <c r="V665" s="18">
        <v>0</v>
      </c>
      <c r="W665" s="18">
        <v>0</v>
      </c>
      <c r="X665" s="18">
        <v>0</v>
      </c>
      <c r="Y665" s="18">
        <v>0</v>
      </c>
      <c r="Z665" s="18">
        <v>0</v>
      </c>
      <c r="AA665" s="18"/>
      <c r="AB665" s="18">
        <v>6</v>
      </c>
      <c r="AC665" s="18">
        <v>3</v>
      </c>
      <c r="AD665" s="18">
        <v>3</v>
      </c>
      <c r="AE665" s="18">
        <v>0.08</v>
      </c>
      <c r="AF665" s="18">
        <v>0</v>
      </c>
      <c r="AG665" s="18">
        <v>0</v>
      </c>
      <c r="AH665" s="18"/>
      <c r="AI665" s="18">
        <v>6</v>
      </c>
      <c r="AJ665" s="18">
        <v>6.23</v>
      </c>
      <c r="AK665" s="18">
        <v>6</v>
      </c>
      <c r="AL665" s="18">
        <v>6.23</v>
      </c>
      <c r="AM665" s="18">
        <v>0</v>
      </c>
      <c r="AN665" s="18"/>
      <c r="AO665" s="18">
        <v>0</v>
      </c>
      <c r="AP665" s="18">
        <v>6.23</v>
      </c>
      <c r="AQ665" s="18">
        <v>0</v>
      </c>
      <c r="AR665" s="18">
        <v>0</v>
      </c>
      <c r="AS665" s="18">
        <v>0</v>
      </c>
      <c r="AT665" s="18">
        <v>0</v>
      </c>
      <c r="AU665" s="18">
        <v>0</v>
      </c>
      <c r="AV665" s="18">
        <v>0</v>
      </c>
      <c r="AW665" s="18">
        <v>0</v>
      </c>
      <c r="AX665" s="18">
        <v>0</v>
      </c>
      <c r="AY665" s="18">
        <v>152</v>
      </c>
      <c r="AZ665" s="18">
        <v>71</v>
      </c>
      <c r="BA665" s="18">
        <v>64</v>
      </c>
      <c r="BB665" s="18">
        <v>0.90141</v>
      </c>
      <c r="BC665" s="18">
        <v>0</v>
      </c>
      <c r="BD665" s="18">
        <v>0</v>
      </c>
      <c r="BE665" s="18">
        <v>0.04064</v>
      </c>
      <c r="BF665" s="18">
        <v>70</v>
      </c>
      <c r="BG665" s="18">
        <v>2</v>
      </c>
      <c r="BH665" s="18">
        <v>0</v>
      </c>
      <c r="BI665" s="18"/>
      <c r="BJ665" s="18">
        <v>0</v>
      </c>
      <c r="BK665" s="18">
        <v>0</v>
      </c>
      <c r="BL665" s="18">
        <v>0</v>
      </c>
      <c r="BM665" s="18">
        <v>0</v>
      </c>
      <c r="BN665" s="18"/>
      <c r="BO665" s="18"/>
      <c r="BP665" s="18">
        <v>19.47</v>
      </c>
      <c r="BQ665" s="18">
        <v>263</v>
      </c>
      <c r="BR665" s="18">
        <v>0</v>
      </c>
      <c r="BS665" s="18">
        <v>0</v>
      </c>
      <c r="BT665" s="18">
        <v>0</v>
      </c>
      <c r="BU665" s="18">
        <v>0</v>
      </c>
      <c r="BV665" s="18">
        <v>0</v>
      </c>
      <c r="BW665" s="18">
        <v>0</v>
      </c>
      <c r="BX665" s="18">
        <v>0</v>
      </c>
    </row>
    <row r="666" spans="2:76">
      <c r="B666" s="19">
        <v>46126</v>
      </c>
      <c r="C666" s="20">
        <v>838711327669</v>
      </c>
      <c r="D666" s="18" t="s">
        <v>151</v>
      </c>
      <c r="E666" s="18" t="s">
        <v>153</v>
      </c>
      <c r="F666" s="18">
        <v>800</v>
      </c>
      <c r="G666" s="18">
        <v>27</v>
      </c>
      <c r="H666" s="18">
        <v>70.22</v>
      </c>
      <c r="I666" s="18">
        <v>0.03375</v>
      </c>
      <c r="J666" s="18">
        <v>2.6</v>
      </c>
      <c r="K666" s="18">
        <v>87.78</v>
      </c>
      <c r="L666" s="18">
        <v>0</v>
      </c>
      <c r="M666" s="18">
        <v>0</v>
      </c>
      <c r="N666" s="18">
        <v>0</v>
      </c>
      <c r="O666" s="18">
        <v>0</v>
      </c>
      <c r="P666" s="18">
        <v>0</v>
      </c>
      <c r="Q666" s="18">
        <v>0</v>
      </c>
      <c r="R666" s="18">
        <v>0</v>
      </c>
      <c r="S666" s="18">
        <v>143.64</v>
      </c>
      <c r="T666" s="18">
        <v>143.64</v>
      </c>
      <c r="U666" s="18">
        <v>1</v>
      </c>
      <c r="V666" s="18">
        <v>0</v>
      </c>
      <c r="W666" s="18">
        <v>1</v>
      </c>
      <c r="X666" s="18">
        <v>0.03704</v>
      </c>
      <c r="Y666" s="18">
        <v>2.05</v>
      </c>
      <c r="Z666" s="18">
        <v>2.05</v>
      </c>
      <c r="AA666" s="18">
        <v>70.22</v>
      </c>
      <c r="AB666" s="18">
        <v>1</v>
      </c>
      <c r="AC666" s="18">
        <v>0</v>
      </c>
      <c r="AD666" s="18">
        <v>1</v>
      </c>
      <c r="AE666" s="18">
        <v>0.03704</v>
      </c>
      <c r="AF666" s="18">
        <v>0</v>
      </c>
      <c r="AG666" s="18">
        <v>0</v>
      </c>
      <c r="AH666" s="18"/>
      <c r="AI666" s="18">
        <v>1</v>
      </c>
      <c r="AJ666" s="18">
        <v>70.22</v>
      </c>
      <c r="AK666" s="18">
        <v>1</v>
      </c>
      <c r="AL666" s="18">
        <v>70.22</v>
      </c>
      <c r="AM666" s="18">
        <v>0</v>
      </c>
      <c r="AN666" s="18"/>
      <c r="AO666" s="18">
        <v>0</v>
      </c>
      <c r="AP666" s="18">
        <v>70.22</v>
      </c>
      <c r="AQ666" s="18">
        <v>2</v>
      </c>
      <c r="AR666" s="18">
        <v>217.9</v>
      </c>
      <c r="AS666" s="18">
        <v>0</v>
      </c>
      <c r="AT666" s="18">
        <v>0</v>
      </c>
      <c r="AU666" s="18">
        <v>0</v>
      </c>
      <c r="AV666" s="18">
        <v>0</v>
      </c>
      <c r="AW666" s="18">
        <v>0</v>
      </c>
      <c r="AX666" s="18">
        <v>1</v>
      </c>
      <c r="AY666" s="18">
        <v>88</v>
      </c>
      <c r="AZ666" s="18">
        <v>26</v>
      </c>
      <c r="BA666" s="18">
        <v>14</v>
      </c>
      <c r="BB666" s="18">
        <v>0.53846</v>
      </c>
      <c r="BC666" s="18">
        <v>0</v>
      </c>
      <c r="BD666" s="18">
        <v>0</v>
      </c>
      <c r="BE666" s="18">
        <v>0.11</v>
      </c>
      <c r="BF666" s="18">
        <v>61</v>
      </c>
      <c r="BG666" s="18">
        <v>3</v>
      </c>
      <c r="BH666" s="18">
        <v>1</v>
      </c>
      <c r="BI666" s="18">
        <v>1</v>
      </c>
      <c r="BJ666" s="18">
        <v>0</v>
      </c>
      <c r="BK666" s="18">
        <v>0</v>
      </c>
      <c r="BL666" s="18">
        <v>0</v>
      </c>
      <c r="BM666" s="18">
        <v>1</v>
      </c>
      <c r="BN666" s="18">
        <v>1</v>
      </c>
      <c r="BO666" s="18">
        <v>143.64</v>
      </c>
      <c r="BP666" s="18">
        <v>7.16</v>
      </c>
      <c r="BQ666" s="18">
        <v>284</v>
      </c>
      <c r="BR666" s="18">
        <v>0</v>
      </c>
      <c r="BS666" s="18">
        <v>0</v>
      </c>
      <c r="BT666" s="18">
        <v>0</v>
      </c>
      <c r="BU666" s="18">
        <v>0</v>
      </c>
      <c r="BV666" s="18">
        <v>0</v>
      </c>
      <c r="BW666" s="18">
        <v>0</v>
      </c>
      <c r="BX666" s="18">
        <v>0</v>
      </c>
    </row>
    <row r="667" spans="2:76">
      <c r="B667" s="19">
        <v>46126</v>
      </c>
      <c r="C667" s="20">
        <v>833369552621</v>
      </c>
      <c r="D667" s="18" t="s">
        <v>151</v>
      </c>
      <c r="E667" s="18" t="s">
        <v>154</v>
      </c>
      <c r="F667" s="18">
        <v>190</v>
      </c>
      <c r="G667" s="18">
        <v>1</v>
      </c>
      <c r="H667" s="18">
        <v>0.23</v>
      </c>
      <c r="I667" s="18">
        <v>0.00526</v>
      </c>
      <c r="J667" s="18">
        <v>0.23</v>
      </c>
      <c r="K667" s="18">
        <v>1.21</v>
      </c>
      <c r="L667" s="18">
        <v>0</v>
      </c>
      <c r="M667" s="18">
        <v>0</v>
      </c>
      <c r="N667" s="18">
        <v>0</v>
      </c>
      <c r="O667" s="18">
        <v>0</v>
      </c>
      <c r="P667" s="18">
        <v>0</v>
      </c>
      <c r="Q667" s="18">
        <v>0</v>
      </c>
      <c r="R667" s="18">
        <v>0</v>
      </c>
      <c r="S667" s="18">
        <v>0</v>
      </c>
      <c r="T667" s="18">
        <v>0</v>
      </c>
      <c r="U667" s="18">
        <v>0</v>
      </c>
      <c r="V667" s="18">
        <v>0</v>
      </c>
      <c r="W667" s="18">
        <v>0</v>
      </c>
      <c r="X667" s="18">
        <v>0</v>
      </c>
      <c r="Y667" s="18">
        <v>0</v>
      </c>
      <c r="Z667" s="18">
        <v>0</v>
      </c>
      <c r="AA667" s="18"/>
      <c r="AB667" s="18">
        <v>0</v>
      </c>
      <c r="AC667" s="18">
        <v>0</v>
      </c>
      <c r="AD667" s="18">
        <v>0</v>
      </c>
      <c r="AE667" s="18">
        <v>0</v>
      </c>
      <c r="AF667" s="18">
        <v>0</v>
      </c>
      <c r="AG667" s="18">
        <v>0</v>
      </c>
      <c r="AH667" s="18"/>
      <c r="AI667" s="18">
        <v>0</v>
      </c>
      <c r="AJ667" s="18"/>
      <c r="AK667" s="18">
        <v>0</v>
      </c>
      <c r="AL667" s="18"/>
      <c r="AM667" s="18">
        <v>0</v>
      </c>
      <c r="AN667" s="18"/>
      <c r="AO667" s="18">
        <v>0</v>
      </c>
      <c r="AP667" s="18"/>
      <c r="AQ667" s="18">
        <v>0</v>
      </c>
      <c r="AR667" s="18">
        <v>0</v>
      </c>
      <c r="AS667" s="18">
        <v>0</v>
      </c>
      <c r="AT667" s="18">
        <v>0</v>
      </c>
      <c r="AU667" s="18">
        <v>0</v>
      </c>
      <c r="AV667" s="18">
        <v>0</v>
      </c>
      <c r="AW667" s="18">
        <v>0</v>
      </c>
      <c r="AX667" s="18">
        <v>0</v>
      </c>
      <c r="AY667" s="18">
        <v>1</v>
      </c>
      <c r="AZ667" s="18">
        <v>1</v>
      </c>
      <c r="BA667" s="18">
        <v>1</v>
      </c>
      <c r="BB667" s="18">
        <v>1</v>
      </c>
      <c r="BC667" s="18">
        <v>0</v>
      </c>
      <c r="BD667" s="18">
        <v>0</v>
      </c>
      <c r="BE667" s="18">
        <v>0.00526</v>
      </c>
      <c r="BF667" s="18">
        <v>0</v>
      </c>
      <c r="BG667" s="18">
        <v>1</v>
      </c>
      <c r="BH667" s="18">
        <v>0</v>
      </c>
      <c r="BI667" s="18"/>
      <c r="BJ667" s="18">
        <v>0</v>
      </c>
      <c r="BK667" s="18">
        <v>0</v>
      </c>
      <c r="BL667" s="18">
        <v>0</v>
      </c>
      <c r="BM667" s="18">
        <v>0</v>
      </c>
      <c r="BN667" s="18"/>
      <c r="BO667" s="18"/>
      <c r="BP667" s="18">
        <v>0</v>
      </c>
      <c r="BQ667" s="18">
        <v>0</v>
      </c>
      <c r="BR667" s="18">
        <v>0</v>
      </c>
      <c r="BS667" s="18">
        <v>0</v>
      </c>
      <c r="BT667" s="18">
        <v>0</v>
      </c>
      <c r="BU667" s="18">
        <v>0</v>
      </c>
      <c r="BV667" s="18">
        <v>0</v>
      </c>
      <c r="BW667" s="18">
        <v>0</v>
      </c>
      <c r="BX667" s="18">
        <v>0</v>
      </c>
    </row>
    <row r="668" spans="2:76">
      <c r="B668" s="19">
        <v>46125</v>
      </c>
      <c r="C668" s="20">
        <v>1010789122929</v>
      </c>
      <c r="D668" s="18" t="s">
        <v>151</v>
      </c>
      <c r="E668" s="18" t="s">
        <v>179</v>
      </c>
      <c r="F668" s="18">
        <v>4060</v>
      </c>
      <c r="G668" s="18">
        <v>71</v>
      </c>
      <c r="H668" s="18">
        <v>50.28</v>
      </c>
      <c r="I668" s="18">
        <v>0.01749</v>
      </c>
      <c r="J668" s="18">
        <v>0.71</v>
      </c>
      <c r="K668" s="18">
        <v>12.38</v>
      </c>
      <c r="L668" s="18">
        <v>0</v>
      </c>
      <c r="M668" s="18">
        <v>0</v>
      </c>
      <c r="N668" s="18">
        <v>0</v>
      </c>
      <c r="O668" s="18">
        <v>0</v>
      </c>
      <c r="P668" s="18">
        <v>0</v>
      </c>
      <c r="Q668" s="18">
        <v>0</v>
      </c>
      <c r="R668" s="18">
        <v>0</v>
      </c>
      <c r="S668" s="18">
        <v>0</v>
      </c>
      <c r="T668" s="18">
        <v>0</v>
      </c>
      <c r="U668" s="18">
        <v>0</v>
      </c>
      <c r="V668" s="18">
        <v>0</v>
      </c>
      <c r="W668" s="18">
        <v>0</v>
      </c>
      <c r="X668" s="18">
        <v>0</v>
      </c>
      <c r="Y668" s="18">
        <v>0</v>
      </c>
      <c r="Z668" s="18">
        <v>0</v>
      </c>
      <c r="AA668" s="18"/>
      <c r="AB668" s="18">
        <v>1</v>
      </c>
      <c r="AC668" s="18">
        <v>1</v>
      </c>
      <c r="AD668" s="18">
        <v>0</v>
      </c>
      <c r="AE668" s="18">
        <v>0.01408</v>
      </c>
      <c r="AF668" s="18">
        <v>0</v>
      </c>
      <c r="AG668" s="18">
        <v>0</v>
      </c>
      <c r="AH668" s="18"/>
      <c r="AI668" s="18">
        <v>1</v>
      </c>
      <c r="AJ668" s="18">
        <v>50.28</v>
      </c>
      <c r="AK668" s="18">
        <v>1</v>
      </c>
      <c r="AL668" s="18">
        <v>50.28</v>
      </c>
      <c r="AM668" s="18">
        <v>0</v>
      </c>
      <c r="AN668" s="18"/>
      <c r="AO668" s="18">
        <v>0</v>
      </c>
      <c r="AP668" s="18">
        <v>50.28</v>
      </c>
      <c r="AQ668" s="18">
        <v>0</v>
      </c>
      <c r="AR668" s="18">
        <v>0</v>
      </c>
      <c r="AS668" s="18">
        <v>0</v>
      </c>
      <c r="AT668" s="18">
        <v>0</v>
      </c>
      <c r="AU668" s="18">
        <v>0</v>
      </c>
      <c r="AV668" s="18">
        <v>0</v>
      </c>
      <c r="AW668" s="18">
        <v>0</v>
      </c>
      <c r="AX668" s="18">
        <v>0</v>
      </c>
      <c r="AY668" s="18">
        <v>102</v>
      </c>
      <c r="AZ668" s="18">
        <v>68</v>
      </c>
      <c r="BA668" s="18">
        <v>59</v>
      </c>
      <c r="BB668" s="18">
        <v>0.86765</v>
      </c>
      <c r="BC668" s="18">
        <v>0</v>
      </c>
      <c r="BD668" s="18">
        <v>0</v>
      </c>
      <c r="BE668" s="18">
        <v>0.02512</v>
      </c>
      <c r="BF668" s="18">
        <v>27</v>
      </c>
      <c r="BG668" s="18">
        <v>2</v>
      </c>
      <c r="BH668" s="18">
        <v>0</v>
      </c>
      <c r="BI668" s="18"/>
      <c r="BJ668" s="18">
        <v>0</v>
      </c>
      <c r="BK668" s="18">
        <v>0</v>
      </c>
      <c r="BL668" s="18">
        <v>0</v>
      </c>
      <c r="BM668" s="18">
        <v>0</v>
      </c>
      <c r="BN668" s="18"/>
      <c r="BO668" s="18"/>
      <c r="BP668" s="18">
        <v>11.12</v>
      </c>
      <c r="BQ668" s="18">
        <v>85</v>
      </c>
      <c r="BR668" s="18">
        <v>0</v>
      </c>
      <c r="BS668" s="18">
        <v>0</v>
      </c>
      <c r="BT668" s="18">
        <v>0</v>
      </c>
      <c r="BU668" s="18">
        <v>0</v>
      </c>
      <c r="BV668" s="18">
        <v>0</v>
      </c>
      <c r="BW668" s="18">
        <v>0</v>
      </c>
      <c r="BX668" s="18">
        <v>0</v>
      </c>
    </row>
    <row r="669" spans="2:76">
      <c r="B669" s="19">
        <v>46125</v>
      </c>
      <c r="C669" s="20">
        <v>971859969014</v>
      </c>
      <c r="D669" s="18" t="s">
        <v>151</v>
      </c>
      <c r="E669" s="18" t="s">
        <v>182</v>
      </c>
      <c r="F669" s="18">
        <v>302</v>
      </c>
      <c r="G669" s="18">
        <v>10</v>
      </c>
      <c r="H669" s="18">
        <v>2.02</v>
      </c>
      <c r="I669" s="18">
        <v>0.03311</v>
      </c>
      <c r="J669" s="18">
        <v>0.2</v>
      </c>
      <c r="K669" s="18">
        <v>6.69</v>
      </c>
      <c r="L669" s="18">
        <v>0</v>
      </c>
      <c r="M669" s="18">
        <v>0</v>
      </c>
      <c r="N669" s="18">
        <v>0</v>
      </c>
      <c r="O669" s="18">
        <v>0</v>
      </c>
      <c r="P669" s="18">
        <v>0</v>
      </c>
      <c r="Q669" s="18">
        <v>0</v>
      </c>
      <c r="R669" s="18">
        <v>0</v>
      </c>
      <c r="S669" s="18">
        <v>0</v>
      </c>
      <c r="T669" s="18">
        <v>0</v>
      </c>
      <c r="U669" s="18">
        <v>0</v>
      </c>
      <c r="V669" s="18">
        <v>0</v>
      </c>
      <c r="W669" s="18">
        <v>0</v>
      </c>
      <c r="X669" s="18">
        <v>0</v>
      </c>
      <c r="Y669" s="18">
        <v>0</v>
      </c>
      <c r="Z669" s="18">
        <v>0</v>
      </c>
      <c r="AA669" s="18"/>
      <c r="AB669" s="18">
        <v>0</v>
      </c>
      <c r="AC669" s="18">
        <v>0</v>
      </c>
      <c r="AD669" s="18">
        <v>0</v>
      </c>
      <c r="AE669" s="18">
        <v>0</v>
      </c>
      <c r="AF669" s="18">
        <v>0</v>
      </c>
      <c r="AG669" s="18">
        <v>0</v>
      </c>
      <c r="AH669" s="18"/>
      <c r="AI669" s="18">
        <v>0</v>
      </c>
      <c r="AJ669" s="18"/>
      <c r="AK669" s="18">
        <v>0</v>
      </c>
      <c r="AL669" s="18"/>
      <c r="AM669" s="18">
        <v>0</v>
      </c>
      <c r="AN669" s="18"/>
      <c r="AO669" s="18">
        <v>0</v>
      </c>
      <c r="AP669" s="18"/>
      <c r="AQ669" s="18">
        <v>0</v>
      </c>
      <c r="AR669" s="18">
        <v>0</v>
      </c>
      <c r="AS669" s="18">
        <v>0</v>
      </c>
      <c r="AT669" s="18">
        <v>0</v>
      </c>
      <c r="AU669" s="18">
        <v>0</v>
      </c>
      <c r="AV669" s="18">
        <v>0</v>
      </c>
      <c r="AW669" s="18">
        <v>0</v>
      </c>
      <c r="AX669" s="18">
        <v>0</v>
      </c>
      <c r="AY669" s="18">
        <v>37</v>
      </c>
      <c r="AZ669" s="18">
        <v>15</v>
      </c>
      <c r="BA669" s="18">
        <v>13</v>
      </c>
      <c r="BB669" s="18">
        <v>0.86667</v>
      </c>
      <c r="BC669" s="18">
        <v>0</v>
      </c>
      <c r="BD669" s="18">
        <v>0</v>
      </c>
      <c r="BE669" s="18">
        <v>0.12252</v>
      </c>
      <c r="BF669" s="18">
        <v>20</v>
      </c>
      <c r="BG669" s="18">
        <v>2</v>
      </c>
      <c r="BH669" s="18">
        <v>0</v>
      </c>
      <c r="BI669" s="18"/>
      <c r="BJ669" s="18">
        <v>0</v>
      </c>
      <c r="BK669" s="18">
        <v>0</v>
      </c>
      <c r="BL669" s="18">
        <v>0</v>
      </c>
      <c r="BM669" s="18">
        <v>0</v>
      </c>
      <c r="BN669" s="18"/>
      <c r="BO669" s="18"/>
      <c r="BP669" s="18">
        <v>0</v>
      </c>
      <c r="BQ669" s="18">
        <v>6</v>
      </c>
      <c r="BR669" s="18">
        <v>0</v>
      </c>
      <c r="BS669" s="18">
        <v>0</v>
      </c>
      <c r="BT669" s="18">
        <v>0</v>
      </c>
      <c r="BU669" s="18">
        <v>0</v>
      </c>
      <c r="BV669" s="18">
        <v>0</v>
      </c>
      <c r="BW669" s="18">
        <v>0</v>
      </c>
      <c r="BX669" s="18">
        <v>0</v>
      </c>
    </row>
    <row r="670" spans="2:76">
      <c r="B670" s="19">
        <v>46125</v>
      </c>
      <c r="C670" s="20">
        <v>971856893567</v>
      </c>
      <c r="D670" s="18" t="s">
        <v>151</v>
      </c>
      <c r="E670" s="18" t="s">
        <v>152</v>
      </c>
      <c r="F670" s="18">
        <v>4222</v>
      </c>
      <c r="G670" s="18">
        <v>158</v>
      </c>
      <c r="H670" s="18">
        <v>31.11</v>
      </c>
      <c r="I670" s="18">
        <v>0.03742</v>
      </c>
      <c r="J670" s="18">
        <v>0.2</v>
      </c>
      <c r="K670" s="18">
        <v>7.37</v>
      </c>
      <c r="L670" s="18">
        <v>0</v>
      </c>
      <c r="M670" s="18">
        <v>0</v>
      </c>
      <c r="N670" s="18">
        <v>0</v>
      </c>
      <c r="O670" s="18">
        <v>0</v>
      </c>
      <c r="P670" s="18">
        <v>0</v>
      </c>
      <c r="Q670" s="18">
        <v>0</v>
      </c>
      <c r="R670" s="18">
        <v>0</v>
      </c>
      <c r="S670" s="18">
        <v>0</v>
      </c>
      <c r="T670" s="18">
        <v>0</v>
      </c>
      <c r="U670" s="18">
        <v>0</v>
      </c>
      <c r="V670" s="18">
        <v>0</v>
      </c>
      <c r="W670" s="18">
        <v>0</v>
      </c>
      <c r="X670" s="18">
        <v>0</v>
      </c>
      <c r="Y670" s="18">
        <v>0</v>
      </c>
      <c r="Z670" s="18">
        <v>0</v>
      </c>
      <c r="AA670" s="18"/>
      <c r="AB670" s="18">
        <v>0</v>
      </c>
      <c r="AC670" s="18">
        <v>0</v>
      </c>
      <c r="AD670" s="18">
        <v>0</v>
      </c>
      <c r="AE670" s="18">
        <v>0</v>
      </c>
      <c r="AF670" s="18">
        <v>0</v>
      </c>
      <c r="AG670" s="18">
        <v>0</v>
      </c>
      <c r="AH670" s="18"/>
      <c r="AI670" s="18">
        <v>0</v>
      </c>
      <c r="AJ670" s="18"/>
      <c r="AK670" s="18">
        <v>0</v>
      </c>
      <c r="AL670" s="18"/>
      <c r="AM670" s="18">
        <v>0</v>
      </c>
      <c r="AN670" s="18"/>
      <c r="AO670" s="18">
        <v>0</v>
      </c>
      <c r="AP670" s="18"/>
      <c r="AQ670" s="18">
        <v>2</v>
      </c>
      <c r="AR670" s="18">
        <v>1868</v>
      </c>
      <c r="AS670" s="18">
        <v>0</v>
      </c>
      <c r="AT670" s="18">
        <v>0</v>
      </c>
      <c r="AU670" s="18">
        <v>0</v>
      </c>
      <c r="AV670" s="18">
        <v>0</v>
      </c>
      <c r="AW670" s="18">
        <v>0</v>
      </c>
      <c r="AX670" s="18">
        <v>0</v>
      </c>
      <c r="AY670" s="18">
        <v>247</v>
      </c>
      <c r="AZ670" s="18">
        <v>169</v>
      </c>
      <c r="BA670" s="18">
        <v>163</v>
      </c>
      <c r="BB670" s="18">
        <v>0.9645</v>
      </c>
      <c r="BC670" s="18">
        <v>0</v>
      </c>
      <c r="BD670" s="18">
        <v>0</v>
      </c>
      <c r="BE670" s="18">
        <v>0.0585</v>
      </c>
      <c r="BF670" s="18">
        <v>49</v>
      </c>
      <c r="BG670" s="18">
        <v>1</v>
      </c>
      <c r="BH670" s="18">
        <v>0</v>
      </c>
      <c r="BI670" s="18"/>
      <c r="BJ670" s="18">
        <v>0</v>
      </c>
      <c r="BK670" s="18">
        <v>0</v>
      </c>
      <c r="BL670" s="18">
        <v>0</v>
      </c>
      <c r="BM670" s="18">
        <v>0</v>
      </c>
      <c r="BN670" s="18"/>
      <c r="BO670" s="18"/>
      <c r="BP670" s="18">
        <v>0</v>
      </c>
      <c r="BQ670" s="18">
        <v>4</v>
      </c>
      <c r="BR670" s="18">
        <v>0</v>
      </c>
      <c r="BS670" s="18">
        <v>0</v>
      </c>
      <c r="BT670" s="18">
        <v>0</v>
      </c>
      <c r="BU670" s="18">
        <v>0</v>
      </c>
      <c r="BV670" s="18">
        <v>0</v>
      </c>
      <c r="BW670" s="18">
        <v>0</v>
      </c>
      <c r="BX670" s="18">
        <v>0</v>
      </c>
    </row>
    <row r="671" spans="2:76">
      <c r="B671" s="19">
        <v>46125</v>
      </c>
      <c r="C671" s="20">
        <v>960406497157</v>
      </c>
      <c r="D671" s="18" t="s">
        <v>151</v>
      </c>
      <c r="E671" s="18" t="s">
        <v>156</v>
      </c>
      <c r="F671" s="18">
        <v>1939</v>
      </c>
      <c r="G671" s="18">
        <v>61</v>
      </c>
      <c r="H671" s="18">
        <v>26.76</v>
      </c>
      <c r="I671" s="18">
        <v>0.03146</v>
      </c>
      <c r="J671" s="18">
        <v>0.44</v>
      </c>
      <c r="K671" s="18">
        <v>13.8</v>
      </c>
      <c r="L671" s="18">
        <v>0</v>
      </c>
      <c r="M671" s="18">
        <v>0</v>
      </c>
      <c r="N671" s="18">
        <v>0</v>
      </c>
      <c r="O671" s="18">
        <v>0</v>
      </c>
      <c r="P671" s="18">
        <v>0</v>
      </c>
      <c r="Q671" s="18">
        <v>0</v>
      </c>
      <c r="R671" s="18">
        <v>147.64</v>
      </c>
      <c r="S671" s="18">
        <v>0</v>
      </c>
      <c r="T671" s="18">
        <v>147.64</v>
      </c>
      <c r="U671" s="18">
        <v>1</v>
      </c>
      <c r="V671" s="18">
        <v>1</v>
      </c>
      <c r="W671" s="18">
        <v>0</v>
      </c>
      <c r="X671" s="18">
        <v>0.01639</v>
      </c>
      <c r="Y671" s="18">
        <v>5.52</v>
      </c>
      <c r="Z671" s="18">
        <v>5.52</v>
      </c>
      <c r="AA671" s="18">
        <v>26.76</v>
      </c>
      <c r="AB671" s="18">
        <v>3</v>
      </c>
      <c r="AC671" s="18">
        <v>2</v>
      </c>
      <c r="AD671" s="18">
        <v>1</v>
      </c>
      <c r="AE671" s="18">
        <v>0.04918</v>
      </c>
      <c r="AF671" s="18">
        <v>1</v>
      </c>
      <c r="AG671" s="18">
        <v>1</v>
      </c>
      <c r="AH671" s="18">
        <v>26.76</v>
      </c>
      <c r="AI671" s="18">
        <v>5</v>
      </c>
      <c r="AJ671" s="18">
        <v>5.35</v>
      </c>
      <c r="AK671" s="18">
        <v>4</v>
      </c>
      <c r="AL671" s="18">
        <v>6.69</v>
      </c>
      <c r="AM671" s="18">
        <v>2</v>
      </c>
      <c r="AN671" s="18">
        <v>26.76</v>
      </c>
      <c r="AO671" s="18">
        <v>0.01639</v>
      </c>
      <c r="AP671" s="18">
        <v>8.92</v>
      </c>
      <c r="AQ671" s="18">
        <v>2</v>
      </c>
      <c r="AR671" s="18">
        <v>217.9</v>
      </c>
      <c r="AS671" s="18">
        <v>1</v>
      </c>
      <c r="AT671" s="18">
        <v>0</v>
      </c>
      <c r="AU671" s="18">
        <v>0</v>
      </c>
      <c r="AV671" s="18">
        <v>0</v>
      </c>
      <c r="AW671" s="18">
        <v>0</v>
      </c>
      <c r="AX671" s="18">
        <v>0</v>
      </c>
      <c r="AY671" s="18">
        <v>173</v>
      </c>
      <c r="AZ671" s="18">
        <v>60</v>
      </c>
      <c r="BA671" s="18">
        <v>51</v>
      </c>
      <c r="BB671" s="18">
        <v>0.85</v>
      </c>
      <c r="BC671" s="18">
        <v>0</v>
      </c>
      <c r="BD671" s="18">
        <v>0</v>
      </c>
      <c r="BE671" s="18">
        <v>0.08922</v>
      </c>
      <c r="BF671" s="18">
        <v>111</v>
      </c>
      <c r="BG671" s="18">
        <v>3</v>
      </c>
      <c r="BH671" s="18">
        <v>1</v>
      </c>
      <c r="BI671" s="18">
        <v>1</v>
      </c>
      <c r="BJ671" s="18">
        <v>0</v>
      </c>
      <c r="BK671" s="18">
        <v>0</v>
      </c>
      <c r="BL671" s="18">
        <v>0</v>
      </c>
      <c r="BM671" s="18">
        <v>1</v>
      </c>
      <c r="BN671" s="18">
        <v>1</v>
      </c>
      <c r="BO671" s="18">
        <v>147.64</v>
      </c>
      <c r="BP671" s="18">
        <v>65.37</v>
      </c>
      <c r="BQ671" s="18">
        <v>382</v>
      </c>
      <c r="BR671" s="18">
        <v>0</v>
      </c>
      <c r="BS671" s="18">
        <v>0</v>
      </c>
      <c r="BT671" s="18">
        <v>0</v>
      </c>
      <c r="BU671" s="18">
        <v>0</v>
      </c>
      <c r="BV671" s="18">
        <v>0</v>
      </c>
      <c r="BW671" s="18">
        <v>0</v>
      </c>
      <c r="BX671" s="18">
        <v>0</v>
      </c>
    </row>
    <row r="672" spans="2:76">
      <c r="B672" s="19">
        <v>46125</v>
      </c>
      <c r="C672" s="20">
        <v>838711327669</v>
      </c>
      <c r="D672" s="18" t="s">
        <v>151</v>
      </c>
      <c r="E672" s="18" t="s">
        <v>153</v>
      </c>
      <c r="F672" s="18">
        <v>1301</v>
      </c>
      <c r="G672" s="18">
        <v>45</v>
      </c>
      <c r="H672" s="18">
        <v>64.98</v>
      </c>
      <c r="I672" s="18">
        <v>0.03459</v>
      </c>
      <c r="J672" s="18">
        <v>1.44</v>
      </c>
      <c r="K672" s="18">
        <v>49.95</v>
      </c>
      <c r="L672" s="18">
        <v>0</v>
      </c>
      <c r="M672" s="18">
        <v>0</v>
      </c>
      <c r="N672" s="18">
        <v>0</v>
      </c>
      <c r="O672" s="18">
        <v>0</v>
      </c>
      <c r="P672" s="18">
        <v>0</v>
      </c>
      <c r="Q672" s="18">
        <v>0</v>
      </c>
      <c r="R672" s="18">
        <v>0</v>
      </c>
      <c r="S672" s="18">
        <v>150.91</v>
      </c>
      <c r="T672" s="18">
        <v>150.91</v>
      </c>
      <c r="U672" s="18">
        <v>1</v>
      </c>
      <c r="V672" s="18">
        <v>0</v>
      </c>
      <c r="W672" s="18">
        <v>1</v>
      </c>
      <c r="X672" s="18">
        <v>0.02222</v>
      </c>
      <c r="Y672" s="18">
        <v>2.32</v>
      </c>
      <c r="Z672" s="18">
        <v>2.32</v>
      </c>
      <c r="AA672" s="18">
        <v>64.98</v>
      </c>
      <c r="AB672" s="18">
        <v>3</v>
      </c>
      <c r="AC672" s="18">
        <v>1</v>
      </c>
      <c r="AD672" s="18">
        <v>2</v>
      </c>
      <c r="AE672" s="18">
        <v>0.06667</v>
      </c>
      <c r="AF672" s="18">
        <v>0</v>
      </c>
      <c r="AG672" s="18">
        <v>1</v>
      </c>
      <c r="AH672" s="18">
        <v>64.98</v>
      </c>
      <c r="AI672" s="18">
        <v>4</v>
      </c>
      <c r="AJ672" s="18">
        <v>16.25</v>
      </c>
      <c r="AK672" s="18">
        <v>3</v>
      </c>
      <c r="AL672" s="18">
        <v>21.66</v>
      </c>
      <c r="AM672" s="18">
        <v>1</v>
      </c>
      <c r="AN672" s="18"/>
      <c r="AO672" s="18">
        <v>0</v>
      </c>
      <c r="AP672" s="18">
        <v>21.66</v>
      </c>
      <c r="AQ672" s="18">
        <v>2</v>
      </c>
      <c r="AR672" s="18">
        <v>217.9</v>
      </c>
      <c r="AS672" s="18">
        <v>0</v>
      </c>
      <c r="AT672" s="18">
        <v>0</v>
      </c>
      <c r="AU672" s="18">
        <v>0</v>
      </c>
      <c r="AV672" s="18">
        <v>0</v>
      </c>
      <c r="AW672" s="18">
        <v>0</v>
      </c>
      <c r="AX672" s="18">
        <v>5</v>
      </c>
      <c r="AY672" s="18">
        <v>315</v>
      </c>
      <c r="AZ672" s="18">
        <v>42</v>
      </c>
      <c r="BA672" s="18">
        <v>32</v>
      </c>
      <c r="BB672" s="18">
        <v>0.7619</v>
      </c>
      <c r="BC672" s="18">
        <v>0</v>
      </c>
      <c r="BD672" s="18">
        <v>0</v>
      </c>
      <c r="BE672" s="18">
        <v>0.24212</v>
      </c>
      <c r="BF672" s="18">
        <v>264</v>
      </c>
      <c r="BG672" s="18">
        <v>8</v>
      </c>
      <c r="BH672" s="18">
        <v>1</v>
      </c>
      <c r="BI672" s="18">
        <v>1</v>
      </c>
      <c r="BJ672" s="18">
        <v>0</v>
      </c>
      <c r="BK672" s="18">
        <v>0</v>
      </c>
      <c r="BL672" s="18">
        <v>0</v>
      </c>
      <c r="BM672" s="18">
        <v>1</v>
      </c>
      <c r="BN672" s="18">
        <v>1</v>
      </c>
      <c r="BO672" s="18">
        <v>150.91</v>
      </c>
      <c r="BP672" s="18">
        <v>80.8</v>
      </c>
      <c r="BQ672" s="18">
        <v>381</v>
      </c>
      <c r="BR672" s="18">
        <v>0</v>
      </c>
      <c r="BS672" s="18">
        <v>0</v>
      </c>
      <c r="BT672" s="18">
        <v>0</v>
      </c>
      <c r="BU672" s="18">
        <v>0</v>
      </c>
      <c r="BV672" s="18">
        <v>0</v>
      </c>
      <c r="BW672" s="18">
        <v>0</v>
      </c>
      <c r="BX672" s="18">
        <v>0</v>
      </c>
    </row>
    <row r="673" spans="2:76">
      <c r="B673" s="19">
        <v>46125</v>
      </c>
      <c r="C673" s="20">
        <v>833369552621</v>
      </c>
      <c r="D673" s="18" t="s">
        <v>151</v>
      </c>
      <c r="E673" s="18" t="s">
        <v>154</v>
      </c>
      <c r="F673" s="18">
        <v>1192</v>
      </c>
      <c r="G673" s="18">
        <v>41</v>
      </c>
      <c r="H673" s="18">
        <v>9.65</v>
      </c>
      <c r="I673" s="18">
        <v>0.0344</v>
      </c>
      <c r="J673" s="18">
        <v>0.24</v>
      </c>
      <c r="K673" s="18">
        <v>8.1</v>
      </c>
      <c r="L673" s="18">
        <v>0</v>
      </c>
      <c r="M673" s="18">
        <v>0</v>
      </c>
      <c r="N673" s="18">
        <v>0</v>
      </c>
      <c r="O673" s="18">
        <v>0</v>
      </c>
      <c r="P673" s="18">
        <v>0</v>
      </c>
      <c r="Q673" s="18">
        <v>0</v>
      </c>
      <c r="R673" s="18">
        <v>0</v>
      </c>
      <c r="S673" s="18">
        <v>0</v>
      </c>
      <c r="T673" s="18">
        <v>0</v>
      </c>
      <c r="U673" s="18">
        <v>0</v>
      </c>
      <c r="V673" s="18">
        <v>0</v>
      </c>
      <c r="W673" s="18">
        <v>0</v>
      </c>
      <c r="X673" s="18">
        <v>0</v>
      </c>
      <c r="Y673" s="18">
        <v>0</v>
      </c>
      <c r="Z673" s="18">
        <v>0</v>
      </c>
      <c r="AA673" s="18"/>
      <c r="AB673" s="18">
        <v>0</v>
      </c>
      <c r="AC673" s="18">
        <v>0</v>
      </c>
      <c r="AD673" s="18">
        <v>0</v>
      </c>
      <c r="AE673" s="18">
        <v>0</v>
      </c>
      <c r="AF673" s="18">
        <v>0</v>
      </c>
      <c r="AG673" s="18">
        <v>0</v>
      </c>
      <c r="AH673" s="18"/>
      <c r="AI673" s="18">
        <v>0</v>
      </c>
      <c r="AJ673" s="18"/>
      <c r="AK673" s="18">
        <v>0</v>
      </c>
      <c r="AL673" s="18"/>
      <c r="AM673" s="18">
        <v>0</v>
      </c>
      <c r="AN673" s="18"/>
      <c r="AO673" s="18">
        <v>0</v>
      </c>
      <c r="AP673" s="18"/>
      <c r="AQ673" s="18">
        <v>0</v>
      </c>
      <c r="AR673" s="18">
        <v>0</v>
      </c>
      <c r="AS673" s="18">
        <v>0</v>
      </c>
      <c r="AT673" s="18">
        <v>0</v>
      </c>
      <c r="AU673" s="18">
        <v>0</v>
      </c>
      <c r="AV673" s="18">
        <v>0</v>
      </c>
      <c r="AW673" s="18">
        <v>0</v>
      </c>
      <c r="AX673" s="18">
        <v>0</v>
      </c>
      <c r="AY673" s="18">
        <v>60</v>
      </c>
      <c r="AZ673" s="18">
        <v>41</v>
      </c>
      <c r="BA673" s="18">
        <v>39</v>
      </c>
      <c r="BB673" s="18">
        <v>0.95122</v>
      </c>
      <c r="BC673" s="18">
        <v>0</v>
      </c>
      <c r="BD673" s="18">
        <v>0</v>
      </c>
      <c r="BE673" s="18">
        <v>0.05034</v>
      </c>
      <c r="BF673" s="18">
        <v>11</v>
      </c>
      <c r="BG673" s="18">
        <v>1</v>
      </c>
      <c r="BH673" s="18">
        <v>0</v>
      </c>
      <c r="BI673" s="18"/>
      <c r="BJ673" s="18">
        <v>0</v>
      </c>
      <c r="BK673" s="18">
        <v>0</v>
      </c>
      <c r="BL673" s="18">
        <v>0</v>
      </c>
      <c r="BM673" s="18">
        <v>0</v>
      </c>
      <c r="BN673" s="18"/>
      <c r="BO673" s="18"/>
      <c r="BP673" s="18">
        <v>0</v>
      </c>
      <c r="BQ673" s="18">
        <v>4</v>
      </c>
      <c r="BR673" s="18">
        <v>0</v>
      </c>
      <c r="BS673" s="18">
        <v>0</v>
      </c>
      <c r="BT673" s="18">
        <v>0</v>
      </c>
      <c r="BU673" s="18">
        <v>0</v>
      </c>
      <c r="BV673" s="18">
        <v>0</v>
      </c>
      <c r="BW673" s="18">
        <v>0</v>
      </c>
      <c r="BX673" s="18">
        <v>0</v>
      </c>
    </row>
    <row r="674" spans="2:76">
      <c r="B674" s="19">
        <v>46124</v>
      </c>
      <c r="C674" s="20">
        <v>1010789122929</v>
      </c>
      <c r="D674" s="18" t="s">
        <v>151</v>
      </c>
      <c r="E674" s="18" t="s">
        <v>179</v>
      </c>
      <c r="F674" s="18">
        <v>9786</v>
      </c>
      <c r="G674" s="18">
        <v>180</v>
      </c>
      <c r="H674" s="18">
        <v>74.47</v>
      </c>
      <c r="I674" s="18">
        <v>0.01839</v>
      </c>
      <c r="J674" s="18">
        <v>0.41</v>
      </c>
      <c r="K674" s="18">
        <v>7.61</v>
      </c>
      <c r="L674" s="18">
        <v>0</v>
      </c>
      <c r="M674" s="18">
        <v>0</v>
      </c>
      <c r="N674" s="18">
        <v>0</v>
      </c>
      <c r="O674" s="18">
        <v>0</v>
      </c>
      <c r="P674" s="18">
        <v>0</v>
      </c>
      <c r="Q674" s="18">
        <v>0</v>
      </c>
      <c r="R674" s="18">
        <v>0</v>
      </c>
      <c r="S674" s="18">
        <v>0</v>
      </c>
      <c r="T674" s="18">
        <v>0</v>
      </c>
      <c r="U674" s="18">
        <v>0</v>
      </c>
      <c r="V674" s="18">
        <v>0</v>
      </c>
      <c r="W674" s="18">
        <v>0</v>
      </c>
      <c r="X674" s="18">
        <v>0</v>
      </c>
      <c r="Y674" s="18">
        <v>0</v>
      </c>
      <c r="Z674" s="18">
        <v>0</v>
      </c>
      <c r="AA674" s="18"/>
      <c r="AB674" s="18">
        <v>4</v>
      </c>
      <c r="AC674" s="18">
        <v>1</v>
      </c>
      <c r="AD674" s="18">
        <v>3</v>
      </c>
      <c r="AE674" s="18">
        <v>0.02222</v>
      </c>
      <c r="AF674" s="18">
        <v>1</v>
      </c>
      <c r="AG674" s="18">
        <v>1</v>
      </c>
      <c r="AH674" s="18">
        <v>74.47</v>
      </c>
      <c r="AI674" s="18">
        <v>6</v>
      </c>
      <c r="AJ674" s="18">
        <v>12.41</v>
      </c>
      <c r="AK674" s="18">
        <v>5</v>
      </c>
      <c r="AL674" s="18">
        <v>14.89</v>
      </c>
      <c r="AM674" s="18">
        <v>2</v>
      </c>
      <c r="AN674" s="18">
        <v>74.47</v>
      </c>
      <c r="AO674" s="18">
        <v>0.00556</v>
      </c>
      <c r="AP674" s="18">
        <v>18.62</v>
      </c>
      <c r="AQ674" s="18">
        <v>0</v>
      </c>
      <c r="AR674" s="18">
        <v>0</v>
      </c>
      <c r="AS674" s="18">
        <v>1</v>
      </c>
      <c r="AT674" s="18">
        <v>0</v>
      </c>
      <c r="AU674" s="18">
        <v>0</v>
      </c>
      <c r="AV674" s="18">
        <v>0</v>
      </c>
      <c r="AW674" s="18">
        <v>0</v>
      </c>
      <c r="AX674" s="18">
        <v>0</v>
      </c>
      <c r="AY674" s="18">
        <v>238</v>
      </c>
      <c r="AZ674" s="18">
        <v>177</v>
      </c>
      <c r="BA674" s="18">
        <v>166</v>
      </c>
      <c r="BB674" s="18">
        <v>0.93785</v>
      </c>
      <c r="BC674" s="18">
        <v>0</v>
      </c>
      <c r="BD674" s="18">
        <v>0</v>
      </c>
      <c r="BE674" s="18">
        <v>0.02432</v>
      </c>
      <c r="BF674" s="18">
        <v>49</v>
      </c>
      <c r="BG674" s="18">
        <v>1</v>
      </c>
      <c r="BH674" s="18">
        <v>0</v>
      </c>
      <c r="BI674" s="18"/>
      <c r="BJ674" s="18">
        <v>0</v>
      </c>
      <c r="BK674" s="18">
        <v>0</v>
      </c>
      <c r="BL674" s="18">
        <v>0</v>
      </c>
      <c r="BM674" s="18">
        <v>0</v>
      </c>
      <c r="BN674" s="18"/>
      <c r="BO674" s="18"/>
      <c r="BP674" s="18">
        <v>11.55</v>
      </c>
      <c r="BQ674" s="18">
        <v>128</v>
      </c>
      <c r="BR674" s="18">
        <v>0</v>
      </c>
      <c r="BS674" s="18">
        <v>0</v>
      </c>
      <c r="BT674" s="18">
        <v>0</v>
      </c>
      <c r="BU674" s="18">
        <v>0</v>
      </c>
      <c r="BV674" s="18">
        <v>0</v>
      </c>
      <c r="BW674" s="18">
        <v>0</v>
      </c>
      <c r="BX674" s="18">
        <v>0</v>
      </c>
    </row>
    <row r="675" spans="2:76">
      <c r="B675" s="19">
        <v>46124</v>
      </c>
      <c r="C675" s="20">
        <v>971859969014</v>
      </c>
      <c r="D675" s="18" t="s">
        <v>151</v>
      </c>
      <c r="E675" s="18" t="s">
        <v>182</v>
      </c>
      <c r="F675" s="18">
        <v>275</v>
      </c>
      <c r="G675" s="18">
        <v>10</v>
      </c>
      <c r="H675" s="18">
        <v>1.94</v>
      </c>
      <c r="I675" s="18">
        <v>0.03636</v>
      </c>
      <c r="J675" s="18">
        <v>0.19</v>
      </c>
      <c r="K675" s="18">
        <v>7.05</v>
      </c>
      <c r="L675" s="18">
        <v>0</v>
      </c>
      <c r="M675" s="18">
        <v>0</v>
      </c>
      <c r="N675" s="18">
        <v>0</v>
      </c>
      <c r="O675" s="18">
        <v>0</v>
      </c>
      <c r="P675" s="18">
        <v>0</v>
      </c>
      <c r="Q675" s="18">
        <v>0</v>
      </c>
      <c r="R675" s="18">
        <v>0</v>
      </c>
      <c r="S675" s="18">
        <v>0</v>
      </c>
      <c r="T675" s="18">
        <v>0</v>
      </c>
      <c r="U675" s="18">
        <v>0</v>
      </c>
      <c r="V675" s="18">
        <v>0</v>
      </c>
      <c r="W675" s="18">
        <v>0</v>
      </c>
      <c r="X675" s="18">
        <v>0</v>
      </c>
      <c r="Y675" s="18">
        <v>0</v>
      </c>
      <c r="Z675" s="18">
        <v>0</v>
      </c>
      <c r="AA675" s="18"/>
      <c r="AB675" s="18">
        <v>0</v>
      </c>
      <c r="AC675" s="18">
        <v>0</v>
      </c>
      <c r="AD675" s="18">
        <v>0</v>
      </c>
      <c r="AE675" s="18">
        <v>0</v>
      </c>
      <c r="AF675" s="18">
        <v>0</v>
      </c>
      <c r="AG675" s="18">
        <v>0</v>
      </c>
      <c r="AH675" s="18"/>
      <c r="AI675" s="18">
        <v>0</v>
      </c>
      <c r="AJ675" s="18"/>
      <c r="AK675" s="18">
        <v>0</v>
      </c>
      <c r="AL675" s="18"/>
      <c r="AM675" s="18">
        <v>0</v>
      </c>
      <c r="AN675" s="18"/>
      <c r="AO675" s="18">
        <v>0</v>
      </c>
      <c r="AP675" s="18"/>
      <c r="AQ675" s="18">
        <v>0</v>
      </c>
      <c r="AR675" s="18">
        <v>0</v>
      </c>
      <c r="AS675" s="18">
        <v>0</v>
      </c>
      <c r="AT675" s="18">
        <v>0</v>
      </c>
      <c r="AU675" s="18">
        <v>0</v>
      </c>
      <c r="AV675" s="18">
        <v>0</v>
      </c>
      <c r="AW675" s="18">
        <v>0</v>
      </c>
      <c r="AX675" s="18">
        <v>0</v>
      </c>
      <c r="AY675" s="18">
        <v>16</v>
      </c>
      <c r="AZ675" s="18">
        <v>13</v>
      </c>
      <c r="BA675" s="18">
        <v>12</v>
      </c>
      <c r="BB675" s="18">
        <v>0.92308</v>
      </c>
      <c r="BC675" s="18">
        <v>0</v>
      </c>
      <c r="BD675" s="18">
        <v>0</v>
      </c>
      <c r="BE675" s="18">
        <v>0.05818</v>
      </c>
      <c r="BF675" s="18">
        <v>2</v>
      </c>
      <c r="BG675" s="18">
        <v>1</v>
      </c>
      <c r="BH675" s="18">
        <v>0</v>
      </c>
      <c r="BI675" s="18"/>
      <c r="BJ675" s="18">
        <v>0</v>
      </c>
      <c r="BK675" s="18">
        <v>0</v>
      </c>
      <c r="BL675" s="18">
        <v>0</v>
      </c>
      <c r="BM675" s="18">
        <v>0</v>
      </c>
      <c r="BN675" s="18"/>
      <c r="BO675" s="18"/>
      <c r="BP675" s="18">
        <v>0</v>
      </c>
      <c r="BQ675" s="18">
        <v>2</v>
      </c>
      <c r="BR675" s="18">
        <v>0</v>
      </c>
      <c r="BS675" s="18">
        <v>0</v>
      </c>
      <c r="BT675" s="18">
        <v>0</v>
      </c>
      <c r="BU675" s="18">
        <v>0</v>
      </c>
      <c r="BV675" s="18">
        <v>0</v>
      </c>
      <c r="BW675" s="18">
        <v>0</v>
      </c>
      <c r="BX675" s="18">
        <v>0</v>
      </c>
    </row>
    <row r="676" spans="2:76">
      <c r="B676" s="19">
        <v>46124</v>
      </c>
      <c r="C676" s="20">
        <v>971856893567</v>
      </c>
      <c r="D676" s="18" t="s">
        <v>151</v>
      </c>
      <c r="E676" s="18" t="s">
        <v>152</v>
      </c>
      <c r="F676" s="18">
        <v>4488</v>
      </c>
      <c r="G676" s="18">
        <v>178</v>
      </c>
      <c r="H676" s="18">
        <v>37.36</v>
      </c>
      <c r="I676" s="18">
        <v>0.03966</v>
      </c>
      <c r="J676" s="18">
        <v>0.21</v>
      </c>
      <c r="K676" s="18">
        <v>8.32</v>
      </c>
      <c r="L676" s="18">
        <v>0</v>
      </c>
      <c r="M676" s="18">
        <v>0</v>
      </c>
      <c r="N676" s="18">
        <v>0</v>
      </c>
      <c r="O676" s="18">
        <v>0</v>
      </c>
      <c r="P676" s="18">
        <v>0</v>
      </c>
      <c r="Q676" s="18">
        <v>0</v>
      </c>
      <c r="R676" s="18">
        <v>0</v>
      </c>
      <c r="S676" s="18">
        <v>0</v>
      </c>
      <c r="T676" s="18">
        <v>0</v>
      </c>
      <c r="U676" s="18">
        <v>0</v>
      </c>
      <c r="V676" s="18">
        <v>0</v>
      </c>
      <c r="W676" s="18">
        <v>0</v>
      </c>
      <c r="X676" s="18">
        <v>0</v>
      </c>
      <c r="Y676" s="18">
        <v>0</v>
      </c>
      <c r="Z676" s="18">
        <v>0</v>
      </c>
      <c r="AA676" s="18"/>
      <c r="AB676" s="18">
        <v>0</v>
      </c>
      <c r="AC676" s="18">
        <v>0</v>
      </c>
      <c r="AD676" s="18">
        <v>0</v>
      </c>
      <c r="AE676" s="18">
        <v>0</v>
      </c>
      <c r="AF676" s="18">
        <v>0</v>
      </c>
      <c r="AG676" s="18">
        <v>0</v>
      </c>
      <c r="AH676" s="18"/>
      <c r="AI676" s="18">
        <v>0</v>
      </c>
      <c r="AJ676" s="18"/>
      <c r="AK676" s="18">
        <v>0</v>
      </c>
      <c r="AL676" s="18"/>
      <c r="AM676" s="18">
        <v>0</v>
      </c>
      <c r="AN676" s="18"/>
      <c r="AO676" s="18">
        <v>0</v>
      </c>
      <c r="AP676" s="18"/>
      <c r="AQ676" s="18">
        <v>0</v>
      </c>
      <c r="AR676" s="18">
        <v>0</v>
      </c>
      <c r="AS676" s="18">
        <v>0</v>
      </c>
      <c r="AT676" s="18">
        <v>0</v>
      </c>
      <c r="AU676" s="18">
        <v>0</v>
      </c>
      <c r="AV676" s="18">
        <v>0</v>
      </c>
      <c r="AW676" s="18">
        <v>0</v>
      </c>
      <c r="AX676" s="18">
        <v>0</v>
      </c>
      <c r="AY676" s="18">
        <v>245</v>
      </c>
      <c r="AZ676" s="18">
        <v>197</v>
      </c>
      <c r="BA676" s="18">
        <v>191</v>
      </c>
      <c r="BB676" s="18">
        <v>0.96954</v>
      </c>
      <c r="BC676" s="18">
        <v>0</v>
      </c>
      <c r="BD676" s="18">
        <v>0</v>
      </c>
      <c r="BE676" s="18">
        <v>0.05459</v>
      </c>
      <c r="BF676" s="18">
        <v>28</v>
      </c>
      <c r="BG676" s="18">
        <v>1</v>
      </c>
      <c r="BH676" s="18">
        <v>0</v>
      </c>
      <c r="BI676" s="18"/>
      <c r="BJ676" s="18">
        <v>0</v>
      </c>
      <c r="BK676" s="18">
        <v>0</v>
      </c>
      <c r="BL676" s="18">
        <v>0</v>
      </c>
      <c r="BM676" s="18">
        <v>0</v>
      </c>
      <c r="BN676" s="18"/>
      <c r="BO676" s="18"/>
      <c r="BP676" s="18">
        <v>0</v>
      </c>
      <c r="BQ676" s="18">
        <v>32</v>
      </c>
      <c r="BR676" s="18">
        <v>0</v>
      </c>
      <c r="BS676" s="18">
        <v>0</v>
      </c>
      <c r="BT676" s="18">
        <v>0</v>
      </c>
      <c r="BU676" s="18">
        <v>0</v>
      </c>
      <c r="BV676" s="18">
        <v>0</v>
      </c>
      <c r="BW676" s="18">
        <v>0</v>
      </c>
      <c r="BX676" s="18">
        <v>0</v>
      </c>
    </row>
    <row r="677" spans="2:76">
      <c r="B677" s="19">
        <v>46124</v>
      </c>
      <c r="C677" s="20">
        <v>960406497157</v>
      </c>
      <c r="D677" s="18" t="s">
        <v>151</v>
      </c>
      <c r="E677" s="18" t="s">
        <v>156</v>
      </c>
      <c r="F677" s="18">
        <v>518</v>
      </c>
      <c r="G677" s="18">
        <v>20</v>
      </c>
      <c r="H677" s="18">
        <v>7.96</v>
      </c>
      <c r="I677" s="18">
        <v>0.03861</v>
      </c>
      <c r="J677" s="18">
        <v>0.4</v>
      </c>
      <c r="K677" s="18">
        <v>15.37</v>
      </c>
      <c r="L677" s="18">
        <v>0</v>
      </c>
      <c r="M677" s="18">
        <v>0</v>
      </c>
      <c r="N677" s="18">
        <v>0</v>
      </c>
      <c r="O677" s="18">
        <v>0</v>
      </c>
      <c r="P677" s="18">
        <v>0</v>
      </c>
      <c r="Q677" s="18">
        <v>0</v>
      </c>
      <c r="R677" s="18">
        <v>0</v>
      </c>
      <c r="S677" s="18">
        <v>0</v>
      </c>
      <c r="T677" s="18">
        <v>0</v>
      </c>
      <c r="U677" s="18">
        <v>0</v>
      </c>
      <c r="V677" s="18">
        <v>0</v>
      </c>
      <c r="W677" s="18">
        <v>0</v>
      </c>
      <c r="X677" s="18">
        <v>0</v>
      </c>
      <c r="Y677" s="18">
        <v>0</v>
      </c>
      <c r="Z677" s="18">
        <v>0</v>
      </c>
      <c r="AA677" s="18"/>
      <c r="AB677" s="18">
        <v>2</v>
      </c>
      <c r="AC677" s="18">
        <v>2</v>
      </c>
      <c r="AD677" s="18">
        <v>0</v>
      </c>
      <c r="AE677" s="18">
        <v>0.1</v>
      </c>
      <c r="AF677" s="18">
        <v>1</v>
      </c>
      <c r="AG677" s="18">
        <v>0</v>
      </c>
      <c r="AH677" s="18"/>
      <c r="AI677" s="18">
        <v>3</v>
      </c>
      <c r="AJ677" s="18">
        <v>2.65</v>
      </c>
      <c r="AK677" s="18">
        <v>3</v>
      </c>
      <c r="AL677" s="18">
        <v>2.65</v>
      </c>
      <c r="AM677" s="18">
        <v>1</v>
      </c>
      <c r="AN677" s="18">
        <v>7.96</v>
      </c>
      <c r="AO677" s="18">
        <v>0.05</v>
      </c>
      <c r="AP677" s="18">
        <v>3.98</v>
      </c>
      <c r="AQ677" s="18">
        <v>0</v>
      </c>
      <c r="AR677" s="18">
        <v>0</v>
      </c>
      <c r="AS677" s="18">
        <v>0</v>
      </c>
      <c r="AT677" s="18">
        <v>1</v>
      </c>
      <c r="AU677" s="18">
        <v>0</v>
      </c>
      <c r="AV677" s="18">
        <v>0</v>
      </c>
      <c r="AW677" s="18">
        <v>0</v>
      </c>
      <c r="AX677" s="18">
        <v>0</v>
      </c>
      <c r="AY677" s="18">
        <v>40</v>
      </c>
      <c r="AZ677" s="18">
        <v>19</v>
      </c>
      <c r="BA677" s="18">
        <v>16</v>
      </c>
      <c r="BB677" s="18">
        <v>0.84211</v>
      </c>
      <c r="BC677" s="18">
        <v>0</v>
      </c>
      <c r="BD677" s="18">
        <v>0</v>
      </c>
      <c r="BE677" s="18">
        <v>0.07722</v>
      </c>
      <c r="BF677" s="18">
        <v>20</v>
      </c>
      <c r="BG677" s="18">
        <v>2</v>
      </c>
      <c r="BH677" s="18">
        <v>0</v>
      </c>
      <c r="BI677" s="18"/>
      <c r="BJ677" s="18">
        <v>0</v>
      </c>
      <c r="BK677" s="18">
        <v>0</v>
      </c>
      <c r="BL677" s="18">
        <v>0</v>
      </c>
      <c r="BM677" s="18">
        <v>0</v>
      </c>
      <c r="BN677" s="18"/>
      <c r="BO677" s="18"/>
      <c r="BP677" s="18">
        <v>0.23</v>
      </c>
      <c r="BQ677" s="18">
        <v>52</v>
      </c>
      <c r="BR677" s="18">
        <v>0</v>
      </c>
      <c r="BS677" s="18">
        <v>0</v>
      </c>
      <c r="BT677" s="18">
        <v>0</v>
      </c>
      <c r="BU677" s="18">
        <v>0</v>
      </c>
      <c r="BV677" s="18">
        <v>0</v>
      </c>
      <c r="BW677" s="18">
        <v>0</v>
      </c>
      <c r="BX677" s="18">
        <v>0</v>
      </c>
    </row>
    <row r="678" spans="2:76">
      <c r="B678" s="19">
        <v>46124</v>
      </c>
      <c r="C678" s="20">
        <v>838711327669</v>
      </c>
      <c r="D678" s="18" t="s">
        <v>151</v>
      </c>
      <c r="E678" s="18" t="s">
        <v>153</v>
      </c>
      <c r="F678" s="18">
        <v>994</v>
      </c>
      <c r="G678" s="18">
        <v>43</v>
      </c>
      <c r="H678" s="18">
        <v>51.22</v>
      </c>
      <c r="I678" s="18">
        <v>0.04326</v>
      </c>
      <c r="J678" s="18">
        <v>1.19</v>
      </c>
      <c r="K678" s="18">
        <v>51.53</v>
      </c>
      <c r="L678" s="18">
        <v>0</v>
      </c>
      <c r="M678" s="18">
        <v>0</v>
      </c>
      <c r="N678" s="18">
        <v>0</v>
      </c>
      <c r="O678" s="18">
        <v>0</v>
      </c>
      <c r="P678" s="18">
        <v>0</v>
      </c>
      <c r="Q678" s="18">
        <v>0</v>
      </c>
      <c r="R678" s="18">
        <v>0</v>
      </c>
      <c r="S678" s="18">
        <v>195.9</v>
      </c>
      <c r="T678" s="18">
        <v>195.9</v>
      </c>
      <c r="U678" s="18">
        <v>2</v>
      </c>
      <c r="V678" s="18">
        <v>0</v>
      </c>
      <c r="W678" s="18">
        <v>2</v>
      </c>
      <c r="X678" s="18">
        <v>0.04651</v>
      </c>
      <c r="Y678" s="18">
        <v>3.82</v>
      </c>
      <c r="Z678" s="18">
        <v>3.82</v>
      </c>
      <c r="AA678" s="18">
        <v>25.61</v>
      </c>
      <c r="AB678" s="18">
        <v>4</v>
      </c>
      <c r="AC678" s="18">
        <v>0</v>
      </c>
      <c r="AD678" s="18">
        <v>4</v>
      </c>
      <c r="AE678" s="18">
        <v>0.09302</v>
      </c>
      <c r="AF678" s="18">
        <v>3</v>
      </c>
      <c r="AG678" s="18">
        <v>0</v>
      </c>
      <c r="AH678" s="18"/>
      <c r="AI678" s="18">
        <v>7</v>
      </c>
      <c r="AJ678" s="18">
        <v>7.32</v>
      </c>
      <c r="AK678" s="18">
        <v>7</v>
      </c>
      <c r="AL678" s="18">
        <v>7.32</v>
      </c>
      <c r="AM678" s="18">
        <v>3</v>
      </c>
      <c r="AN678" s="18">
        <v>17.07</v>
      </c>
      <c r="AO678" s="18">
        <v>0.06977</v>
      </c>
      <c r="AP678" s="18">
        <v>12.81</v>
      </c>
      <c r="AQ678" s="18">
        <v>3</v>
      </c>
      <c r="AR678" s="18">
        <v>267.8</v>
      </c>
      <c r="AS678" s="18">
        <v>2</v>
      </c>
      <c r="AT678" s="18">
        <v>1</v>
      </c>
      <c r="AU678" s="18">
        <v>0</v>
      </c>
      <c r="AV678" s="18">
        <v>0</v>
      </c>
      <c r="AW678" s="18">
        <v>0</v>
      </c>
      <c r="AX678" s="18">
        <v>3</v>
      </c>
      <c r="AY678" s="18">
        <v>122</v>
      </c>
      <c r="AZ678" s="18">
        <v>38</v>
      </c>
      <c r="BA678" s="18">
        <v>24</v>
      </c>
      <c r="BB678" s="18">
        <v>0.63158</v>
      </c>
      <c r="BC678" s="18">
        <v>0</v>
      </c>
      <c r="BD678" s="18">
        <v>0</v>
      </c>
      <c r="BE678" s="18">
        <v>0.12274</v>
      </c>
      <c r="BF678" s="18">
        <v>75</v>
      </c>
      <c r="BG678" s="18">
        <v>3</v>
      </c>
      <c r="BH678" s="18">
        <v>2</v>
      </c>
      <c r="BI678" s="18">
        <v>1</v>
      </c>
      <c r="BJ678" s="18">
        <v>0</v>
      </c>
      <c r="BK678" s="18">
        <v>0</v>
      </c>
      <c r="BL678" s="18">
        <v>0</v>
      </c>
      <c r="BM678" s="18">
        <v>2</v>
      </c>
      <c r="BN678" s="18">
        <v>1</v>
      </c>
      <c r="BO678" s="18">
        <v>97.95</v>
      </c>
      <c r="BP678" s="18">
        <v>7.86</v>
      </c>
      <c r="BQ678" s="18">
        <v>334</v>
      </c>
      <c r="BR678" s="18">
        <v>0</v>
      </c>
      <c r="BS678" s="18">
        <v>0</v>
      </c>
      <c r="BT678" s="18">
        <v>0</v>
      </c>
      <c r="BU678" s="18">
        <v>0</v>
      </c>
      <c r="BV678" s="18">
        <v>0</v>
      </c>
      <c r="BW678" s="18">
        <v>0</v>
      </c>
      <c r="BX678" s="18">
        <v>0</v>
      </c>
    </row>
    <row r="679" spans="2:76">
      <c r="B679" s="19">
        <v>46124</v>
      </c>
      <c r="C679" s="20">
        <v>833369552621</v>
      </c>
      <c r="D679" s="18" t="s">
        <v>151</v>
      </c>
      <c r="E679" s="18" t="s">
        <v>154</v>
      </c>
      <c r="F679" s="18">
        <v>953</v>
      </c>
      <c r="G679" s="18">
        <v>27</v>
      </c>
      <c r="H679" s="18">
        <v>6.24</v>
      </c>
      <c r="I679" s="18">
        <v>0.02833</v>
      </c>
      <c r="J679" s="18">
        <v>0.23</v>
      </c>
      <c r="K679" s="18">
        <v>6.55</v>
      </c>
      <c r="L679" s="18">
        <v>0</v>
      </c>
      <c r="M679" s="18">
        <v>0</v>
      </c>
      <c r="N679" s="18">
        <v>0</v>
      </c>
      <c r="O679" s="18">
        <v>0</v>
      </c>
      <c r="P679" s="18">
        <v>0</v>
      </c>
      <c r="Q679" s="18">
        <v>0</v>
      </c>
      <c r="R679" s="18">
        <v>0</v>
      </c>
      <c r="S679" s="18">
        <v>0</v>
      </c>
      <c r="T679" s="18">
        <v>0</v>
      </c>
      <c r="U679" s="18">
        <v>0</v>
      </c>
      <c r="V679" s="18">
        <v>0</v>
      </c>
      <c r="W679" s="18">
        <v>0</v>
      </c>
      <c r="X679" s="18">
        <v>0</v>
      </c>
      <c r="Y679" s="18">
        <v>0</v>
      </c>
      <c r="Z679" s="18">
        <v>0</v>
      </c>
      <c r="AA679" s="18"/>
      <c r="AB679" s="18">
        <v>0</v>
      </c>
      <c r="AC679" s="18">
        <v>0</v>
      </c>
      <c r="AD679" s="18">
        <v>0</v>
      </c>
      <c r="AE679" s="18">
        <v>0</v>
      </c>
      <c r="AF679" s="18">
        <v>0</v>
      </c>
      <c r="AG679" s="18">
        <v>0</v>
      </c>
      <c r="AH679" s="18"/>
      <c r="AI679" s="18">
        <v>0</v>
      </c>
      <c r="AJ679" s="18"/>
      <c r="AK679" s="18">
        <v>0</v>
      </c>
      <c r="AL679" s="18"/>
      <c r="AM679" s="18">
        <v>0</v>
      </c>
      <c r="AN679" s="18"/>
      <c r="AO679" s="18">
        <v>0</v>
      </c>
      <c r="AP679" s="18"/>
      <c r="AQ679" s="18">
        <v>0</v>
      </c>
      <c r="AR679" s="18">
        <v>0</v>
      </c>
      <c r="AS679" s="18">
        <v>0</v>
      </c>
      <c r="AT679" s="18">
        <v>0</v>
      </c>
      <c r="AU679" s="18">
        <v>0</v>
      </c>
      <c r="AV679" s="18">
        <v>0</v>
      </c>
      <c r="AW679" s="18">
        <v>0</v>
      </c>
      <c r="AX679" s="18">
        <v>0</v>
      </c>
      <c r="AY679" s="18">
        <v>41</v>
      </c>
      <c r="AZ679" s="18">
        <v>27</v>
      </c>
      <c r="BA679" s="18">
        <v>24</v>
      </c>
      <c r="BB679" s="18">
        <v>0.88889</v>
      </c>
      <c r="BC679" s="18">
        <v>0</v>
      </c>
      <c r="BD679" s="18">
        <v>0</v>
      </c>
      <c r="BE679" s="18">
        <v>0.04302</v>
      </c>
      <c r="BF679" s="18">
        <v>13</v>
      </c>
      <c r="BG679" s="18">
        <v>2</v>
      </c>
      <c r="BH679" s="18">
        <v>0</v>
      </c>
      <c r="BI679" s="18"/>
      <c r="BJ679" s="18">
        <v>0</v>
      </c>
      <c r="BK679" s="18">
        <v>0</v>
      </c>
      <c r="BL679" s="18">
        <v>0</v>
      </c>
      <c r="BM679" s="18">
        <v>0</v>
      </c>
      <c r="BN679" s="18"/>
      <c r="BO679" s="18"/>
      <c r="BP679" s="18">
        <v>0</v>
      </c>
      <c r="BQ679" s="18">
        <v>1</v>
      </c>
      <c r="BR679" s="18">
        <v>0</v>
      </c>
      <c r="BS679" s="18">
        <v>0</v>
      </c>
      <c r="BT679" s="18">
        <v>0</v>
      </c>
      <c r="BU679" s="18">
        <v>0</v>
      </c>
      <c r="BV679" s="18">
        <v>0</v>
      </c>
      <c r="BW679" s="18">
        <v>0</v>
      </c>
      <c r="BX679" s="18">
        <v>0</v>
      </c>
    </row>
    <row r="680" spans="2:76">
      <c r="B680" s="19">
        <v>46123</v>
      </c>
      <c r="C680" s="20">
        <v>1010789122929</v>
      </c>
      <c r="D680" s="18" t="s">
        <v>151</v>
      </c>
      <c r="E680" s="18" t="s">
        <v>179</v>
      </c>
      <c r="F680" s="18">
        <v>2328</v>
      </c>
      <c r="G680" s="18">
        <v>41</v>
      </c>
      <c r="H680" s="18">
        <v>74.87</v>
      </c>
      <c r="I680" s="18">
        <v>0.01761</v>
      </c>
      <c r="J680" s="18">
        <v>1.83</v>
      </c>
      <c r="K680" s="18">
        <v>32.16</v>
      </c>
      <c r="L680" s="18">
        <v>0</v>
      </c>
      <c r="M680" s="18">
        <v>0</v>
      </c>
      <c r="N680" s="18">
        <v>0</v>
      </c>
      <c r="O680" s="18">
        <v>0</v>
      </c>
      <c r="P680" s="18">
        <v>0</v>
      </c>
      <c r="Q680" s="18">
        <v>0</v>
      </c>
      <c r="R680" s="18">
        <v>0</v>
      </c>
      <c r="S680" s="18">
        <v>202.4</v>
      </c>
      <c r="T680" s="18">
        <v>202.4</v>
      </c>
      <c r="U680" s="18">
        <v>1</v>
      </c>
      <c r="V680" s="18">
        <v>0</v>
      </c>
      <c r="W680" s="18">
        <v>1</v>
      </c>
      <c r="X680" s="18">
        <v>0.02439</v>
      </c>
      <c r="Y680" s="18">
        <v>2.7</v>
      </c>
      <c r="Z680" s="18">
        <v>2.7</v>
      </c>
      <c r="AA680" s="18">
        <v>74.87</v>
      </c>
      <c r="AB680" s="18">
        <v>1</v>
      </c>
      <c r="AC680" s="18">
        <v>1</v>
      </c>
      <c r="AD680" s="18">
        <v>0</v>
      </c>
      <c r="AE680" s="18">
        <v>0.02439</v>
      </c>
      <c r="AF680" s="18">
        <v>0</v>
      </c>
      <c r="AG680" s="18">
        <v>1</v>
      </c>
      <c r="AH680" s="18">
        <v>74.87</v>
      </c>
      <c r="AI680" s="18">
        <v>2</v>
      </c>
      <c r="AJ680" s="18">
        <v>37.44</v>
      </c>
      <c r="AK680" s="18">
        <v>1</v>
      </c>
      <c r="AL680" s="18">
        <v>74.87</v>
      </c>
      <c r="AM680" s="18">
        <v>1</v>
      </c>
      <c r="AN680" s="18"/>
      <c r="AO680" s="18">
        <v>0</v>
      </c>
      <c r="AP680" s="18">
        <v>74.87</v>
      </c>
      <c r="AQ680" s="18">
        <v>2</v>
      </c>
      <c r="AR680" s="18">
        <v>329</v>
      </c>
      <c r="AS680" s="18">
        <v>0</v>
      </c>
      <c r="AT680" s="18">
        <v>0</v>
      </c>
      <c r="AU680" s="18">
        <v>0</v>
      </c>
      <c r="AV680" s="18">
        <v>0</v>
      </c>
      <c r="AW680" s="18">
        <v>0</v>
      </c>
      <c r="AX680" s="18">
        <v>1</v>
      </c>
      <c r="AY680" s="18">
        <v>71</v>
      </c>
      <c r="AZ680" s="18">
        <v>41</v>
      </c>
      <c r="BA680" s="18">
        <v>30</v>
      </c>
      <c r="BB680" s="18">
        <v>0.73171</v>
      </c>
      <c r="BC680" s="18">
        <v>0</v>
      </c>
      <c r="BD680" s="18">
        <v>0</v>
      </c>
      <c r="BE680" s="18">
        <v>0.0305</v>
      </c>
      <c r="BF680" s="18">
        <v>29</v>
      </c>
      <c r="BG680" s="18">
        <v>2</v>
      </c>
      <c r="BH680" s="18">
        <v>1</v>
      </c>
      <c r="BI680" s="18">
        <v>1</v>
      </c>
      <c r="BJ680" s="18">
        <v>0</v>
      </c>
      <c r="BK680" s="18">
        <v>0</v>
      </c>
      <c r="BL680" s="18">
        <v>0</v>
      </c>
      <c r="BM680" s="18">
        <v>1</v>
      </c>
      <c r="BN680" s="18">
        <v>1</v>
      </c>
      <c r="BO680" s="18">
        <v>202.4</v>
      </c>
      <c r="BP680" s="18">
        <v>2.64</v>
      </c>
      <c r="BQ680" s="18">
        <v>497</v>
      </c>
      <c r="BR680" s="18">
        <v>0</v>
      </c>
      <c r="BS680" s="18">
        <v>0</v>
      </c>
      <c r="BT680" s="18">
        <v>0</v>
      </c>
      <c r="BU680" s="18">
        <v>0</v>
      </c>
      <c r="BV680" s="18">
        <v>0</v>
      </c>
      <c r="BW680" s="18">
        <v>0</v>
      </c>
      <c r="BX680" s="18">
        <v>0</v>
      </c>
    </row>
    <row r="681" spans="2:76">
      <c r="B681" s="19">
        <v>46123</v>
      </c>
      <c r="C681" s="20">
        <v>971859969014</v>
      </c>
      <c r="D681" s="18" t="s">
        <v>151</v>
      </c>
      <c r="E681" s="18" t="s">
        <v>182</v>
      </c>
      <c r="F681" s="18">
        <v>319</v>
      </c>
      <c r="G681" s="18">
        <v>10</v>
      </c>
      <c r="H681" s="18">
        <v>1.94</v>
      </c>
      <c r="I681" s="18">
        <v>0.03135</v>
      </c>
      <c r="J681" s="18">
        <v>0.19</v>
      </c>
      <c r="K681" s="18">
        <v>6.08</v>
      </c>
      <c r="L681" s="18">
        <v>0</v>
      </c>
      <c r="M681" s="18">
        <v>0</v>
      </c>
      <c r="N681" s="18">
        <v>0</v>
      </c>
      <c r="O681" s="18">
        <v>0</v>
      </c>
      <c r="P681" s="18">
        <v>0</v>
      </c>
      <c r="Q681" s="18">
        <v>0</v>
      </c>
      <c r="R681" s="18">
        <v>0</v>
      </c>
      <c r="S681" s="18">
        <v>0</v>
      </c>
      <c r="T681" s="18">
        <v>0</v>
      </c>
      <c r="U681" s="18">
        <v>0</v>
      </c>
      <c r="V681" s="18">
        <v>0</v>
      </c>
      <c r="W681" s="18">
        <v>0</v>
      </c>
      <c r="X681" s="18">
        <v>0</v>
      </c>
      <c r="Y681" s="18">
        <v>0</v>
      </c>
      <c r="Z681" s="18">
        <v>0</v>
      </c>
      <c r="AA681" s="18"/>
      <c r="AB681" s="18">
        <v>0</v>
      </c>
      <c r="AC681" s="18">
        <v>0</v>
      </c>
      <c r="AD681" s="18">
        <v>0</v>
      </c>
      <c r="AE681" s="18">
        <v>0</v>
      </c>
      <c r="AF681" s="18">
        <v>0</v>
      </c>
      <c r="AG681" s="18">
        <v>0</v>
      </c>
      <c r="AH681" s="18"/>
      <c r="AI681" s="18">
        <v>0</v>
      </c>
      <c r="AJ681" s="18"/>
      <c r="AK681" s="18">
        <v>0</v>
      </c>
      <c r="AL681" s="18"/>
      <c r="AM681" s="18">
        <v>0</v>
      </c>
      <c r="AN681" s="18"/>
      <c r="AO681" s="18">
        <v>0</v>
      </c>
      <c r="AP681" s="18"/>
      <c r="AQ681" s="18">
        <v>0</v>
      </c>
      <c r="AR681" s="18">
        <v>0</v>
      </c>
      <c r="AS681" s="18">
        <v>0</v>
      </c>
      <c r="AT681" s="18">
        <v>0</v>
      </c>
      <c r="AU681" s="18">
        <v>0</v>
      </c>
      <c r="AV681" s="18">
        <v>0</v>
      </c>
      <c r="AW681" s="18">
        <v>0</v>
      </c>
      <c r="AX681" s="18">
        <v>0</v>
      </c>
      <c r="AY681" s="18">
        <v>31</v>
      </c>
      <c r="AZ681" s="18">
        <v>12</v>
      </c>
      <c r="BA681" s="18">
        <v>10</v>
      </c>
      <c r="BB681" s="18">
        <v>0.83333</v>
      </c>
      <c r="BC681" s="18">
        <v>0</v>
      </c>
      <c r="BD681" s="18">
        <v>0</v>
      </c>
      <c r="BE681" s="18">
        <v>0.09718</v>
      </c>
      <c r="BF681" s="18">
        <v>18</v>
      </c>
      <c r="BG681" s="18">
        <v>3</v>
      </c>
      <c r="BH681" s="18">
        <v>0</v>
      </c>
      <c r="BI681" s="18"/>
      <c r="BJ681" s="18">
        <v>0</v>
      </c>
      <c r="BK681" s="18">
        <v>0</v>
      </c>
      <c r="BL681" s="18">
        <v>0</v>
      </c>
      <c r="BM681" s="18">
        <v>0</v>
      </c>
      <c r="BN681" s="18"/>
      <c r="BO681" s="18"/>
      <c r="BP681" s="18">
        <v>0</v>
      </c>
      <c r="BQ681" s="18">
        <v>19</v>
      </c>
      <c r="BR681" s="18">
        <v>0</v>
      </c>
      <c r="BS681" s="18">
        <v>0</v>
      </c>
      <c r="BT681" s="18">
        <v>0</v>
      </c>
      <c r="BU681" s="18">
        <v>0</v>
      </c>
      <c r="BV681" s="18">
        <v>0</v>
      </c>
      <c r="BW681" s="18">
        <v>0</v>
      </c>
      <c r="BX681" s="18">
        <v>0</v>
      </c>
    </row>
    <row r="682" spans="2:76">
      <c r="B682" s="19">
        <v>46123</v>
      </c>
      <c r="C682" s="20">
        <v>971856893567</v>
      </c>
      <c r="D682" s="18" t="s">
        <v>151</v>
      </c>
      <c r="E682" s="18" t="s">
        <v>152</v>
      </c>
      <c r="F682" s="18">
        <v>4499</v>
      </c>
      <c r="G682" s="18">
        <v>174</v>
      </c>
      <c r="H682" s="18">
        <v>36.05</v>
      </c>
      <c r="I682" s="18">
        <v>0.03868</v>
      </c>
      <c r="J682" s="18">
        <v>0.21</v>
      </c>
      <c r="K682" s="18">
        <v>8.01</v>
      </c>
      <c r="L682" s="18">
        <v>0</v>
      </c>
      <c r="M682" s="18">
        <v>0</v>
      </c>
      <c r="N682" s="18">
        <v>0</v>
      </c>
      <c r="O682" s="18">
        <v>0</v>
      </c>
      <c r="P682" s="18">
        <v>0</v>
      </c>
      <c r="Q682" s="18">
        <v>0</v>
      </c>
      <c r="R682" s="18">
        <v>0</v>
      </c>
      <c r="S682" s="18">
        <v>0</v>
      </c>
      <c r="T682" s="18">
        <v>0</v>
      </c>
      <c r="U682" s="18">
        <v>0</v>
      </c>
      <c r="V682" s="18">
        <v>0</v>
      </c>
      <c r="W682" s="18">
        <v>0</v>
      </c>
      <c r="X682" s="18">
        <v>0</v>
      </c>
      <c r="Y682" s="18">
        <v>0</v>
      </c>
      <c r="Z682" s="18">
        <v>0</v>
      </c>
      <c r="AA682" s="18"/>
      <c r="AB682" s="18">
        <v>2</v>
      </c>
      <c r="AC682" s="18">
        <v>2</v>
      </c>
      <c r="AD682" s="18">
        <v>0</v>
      </c>
      <c r="AE682" s="18">
        <v>0.01149</v>
      </c>
      <c r="AF682" s="18">
        <v>1</v>
      </c>
      <c r="AG682" s="18">
        <v>0</v>
      </c>
      <c r="AH682" s="18"/>
      <c r="AI682" s="18">
        <v>3</v>
      </c>
      <c r="AJ682" s="18">
        <v>12.02</v>
      </c>
      <c r="AK682" s="18">
        <v>3</v>
      </c>
      <c r="AL682" s="18">
        <v>12.02</v>
      </c>
      <c r="AM682" s="18">
        <v>1</v>
      </c>
      <c r="AN682" s="18">
        <v>36.05</v>
      </c>
      <c r="AO682" s="18">
        <v>0.00575</v>
      </c>
      <c r="AP682" s="18">
        <v>18.03</v>
      </c>
      <c r="AQ682" s="18">
        <v>0</v>
      </c>
      <c r="AR682" s="18">
        <v>0</v>
      </c>
      <c r="AS682" s="18">
        <v>1</v>
      </c>
      <c r="AT682" s="18">
        <v>0</v>
      </c>
      <c r="AU682" s="18">
        <v>0</v>
      </c>
      <c r="AV682" s="18">
        <v>0</v>
      </c>
      <c r="AW682" s="18">
        <v>0</v>
      </c>
      <c r="AX682" s="18">
        <v>0</v>
      </c>
      <c r="AY682" s="18">
        <v>287</v>
      </c>
      <c r="AZ682" s="18">
        <v>185</v>
      </c>
      <c r="BA682" s="18">
        <v>180</v>
      </c>
      <c r="BB682" s="18">
        <v>0.97297</v>
      </c>
      <c r="BC682" s="18">
        <v>0</v>
      </c>
      <c r="BD682" s="18">
        <v>0</v>
      </c>
      <c r="BE682" s="18">
        <v>0.06379</v>
      </c>
      <c r="BF682" s="18">
        <v>77</v>
      </c>
      <c r="BG682" s="18">
        <v>2</v>
      </c>
      <c r="BH682" s="18">
        <v>0</v>
      </c>
      <c r="BI682" s="18"/>
      <c r="BJ682" s="18">
        <v>0</v>
      </c>
      <c r="BK682" s="18">
        <v>0</v>
      </c>
      <c r="BL682" s="18">
        <v>0</v>
      </c>
      <c r="BM682" s="18">
        <v>0</v>
      </c>
      <c r="BN682" s="18"/>
      <c r="BO682" s="18"/>
      <c r="BP682" s="18">
        <v>0</v>
      </c>
      <c r="BQ682" s="18">
        <v>3164</v>
      </c>
      <c r="BR682" s="18">
        <v>0</v>
      </c>
      <c r="BS682" s="18">
        <v>0</v>
      </c>
      <c r="BT682" s="18">
        <v>0</v>
      </c>
      <c r="BU682" s="18">
        <v>0</v>
      </c>
      <c r="BV682" s="18">
        <v>0</v>
      </c>
      <c r="BW682" s="18">
        <v>0</v>
      </c>
      <c r="BX682" s="18">
        <v>0</v>
      </c>
    </row>
    <row r="683" spans="2:76">
      <c r="B683" s="19">
        <v>46123</v>
      </c>
      <c r="C683" s="20">
        <v>960406497157</v>
      </c>
      <c r="D683" s="18" t="s">
        <v>151</v>
      </c>
      <c r="E683" s="18" t="s">
        <v>156</v>
      </c>
      <c r="F683" s="18">
        <v>491</v>
      </c>
      <c r="G683" s="18">
        <v>16</v>
      </c>
      <c r="H683" s="18">
        <v>5.36</v>
      </c>
      <c r="I683" s="18">
        <v>0.03259</v>
      </c>
      <c r="J683" s="18">
        <v>0.34</v>
      </c>
      <c r="K683" s="18">
        <v>10.92</v>
      </c>
      <c r="L683" s="18">
        <v>0</v>
      </c>
      <c r="M683" s="18">
        <v>0</v>
      </c>
      <c r="N683" s="18">
        <v>0</v>
      </c>
      <c r="O683" s="18">
        <v>0</v>
      </c>
      <c r="P683" s="18">
        <v>0</v>
      </c>
      <c r="Q683" s="18">
        <v>0</v>
      </c>
      <c r="R683" s="18">
        <v>289.6</v>
      </c>
      <c r="S683" s="18">
        <v>0</v>
      </c>
      <c r="T683" s="18">
        <v>289.6</v>
      </c>
      <c r="U683" s="18">
        <v>2</v>
      </c>
      <c r="V683" s="18">
        <v>2</v>
      </c>
      <c r="W683" s="18">
        <v>0</v>
      </c>
      <c r="X683" s="18">
        <v>0.125</v>
      </c>
      <c r="Y683" s="18">
        <v>54.03</v>
      </c>
      <c r="Z683" s="18">
        <v>54.03</v>
      </c>
      <c r="AA683" s="18">
        <v>2.68</v>
      </c>
      <c r="AB683" s="18">
        <v>3</v>
      </c>
      <c r="AC683" s="18">
        <v>3</v>
      </c>
      <c r="AD683" s="18">
        <v>0</v>
      </c>
      <c r="AE683" s="18">
        <v>0.1875</v>
      </c>
      <c r="AF683" s="18">
        <v>0</v>
      </c>
      <c r="AG683" s="18">
        <v>1</v>
      </c>
      <c r="AH683" s="18">
        <v>5.36</v>
      </c>
      <c r="AI683" s="18">
        <v>4</v>
      </c>
      <c r="AJ683" s="18">
        <v>1.34</v>
      </c>
      <c r="AK683" s="18">
        <v>3</v>
      </c>
      <c r="AL683" s="18">
        <v>1.79</v>
      </c>
      <c r="AM683" s="18">
        <v>1</v>
      </c>
      <c r="AN683" s="18"/>
      <c r="AO683" s="18">
        <v>0</v>
      </c>
      <c r="AP683" s="18">
        <v>1.79</v>
      </c>
      <c r="AQ683" s="18">
        <v>4</v>
      </c>
      <c r="AR683" s="18">
        <v>435.8</v>
      </c>
      <c r="AS683" s="18">
        <v>0</v>
      </c>
      <c r="AT683" s="18">
        <v>0</v>
      </c>
      <c r="AU683" s="18">
        <v>0</v>
      </c>
      <c r="AV683" s="18">
        <v>0</v>
      </c>
      <c r="AW683" s="18">
        <v>0</v>
      </c>
      <c r="AX683" s="18">
        <v>0</v>
      </c>
      <c r="AY683" s="18">
        <v>34</v>
      </c>
      <c r="AZ683" s="18">
        <v>15</v>
      </c>
      <c r="BA683" s="18">
        <v>11</v>
      </c>
      <c r="BB683" s="18">
        <v>0.73333</v>
      </c>
      <c r="BC683" s="18">
        <v>0</v>
      </c>
      <c r="BD683" s="18">
        <v>0</v>
      </c>
      <c r="BE683" s="18">
        <v>0.06925</v>
      </c>
      <c r="BF683" s="18">
        <v>14</v>
      </c>
      <c r="BG683" s="18">
        <v>2</v>
      </c>
      <c r="BH683" s="18">
        <v>1</v>
      </c>
      <c r="BI683" s="18">
        <v>0.5</v>
      </c>
      <c r="BJ683" s="18">
        <v>0</v>
      </c>
      <c r="BK683" s="18">
        <v>0</v>
      </c>
      <c r="BL683" s="18">
        <v>0</v>
      </c>
      <c r="BM683" s="18">
        <v>2</v>
      </c>
      <c r="BN683" s="18">
        <v>1</v>
      </c>
      <c r="BO683" s="18">
        <v>144.8</v>
      </c>
      <c r="BP683" s="18">
        <v>4.07</v>
      </c>
      <c r="BQ683" s="18">
        <v>441</v>
      </c>
      <c r="BR683" s="18">
        <v>0</v>
      </c>
      <c r="BS683" s="18">
        <v>0</v>
      </c>
      <c r="BT683" s="18">
        <v>0</v>
      </c>
      <c r="BU683" s="18">
        <v>0</v>
      </c>
      <c r="BV683" s="18">
        <v>0</v>
      </c>
      <c r="BW683" s="18">
        <v>0</v>
      </c>
      <c r="BX683" s="18">
        <v>0</v>
      </c>
    </row>
    <row r="684" spans="2:76">
      <c r="B684" s="19">
        <v>46123</v>
      </c>
      <c r="C684" s="20">
        <v>838711327669</v>
      </c>
      <c r="D684" s="18" t="s">
        <v>151</v>
      </c>
      <c r="E684" s="18" t="s">
        <v>153</v>
      </c>
      <c r="F684" s="18">
        <v>1567</v>
      </c>
      <c r="G684" s="18">
        <v>49</v>
      </c>
      <c r="H684" s="18">
        <v>59.63</v>
      </c>
      <c r="I684" s="18">
        <v>0.03127</v>
      </c>
      <c r="J684" s="18">
        <v>1.22</v>
      </c>
      <c r="K684" s="18">
        <v>38.05</v>
      </c>
      <c r="L684" s="18">
        <v>0</v>
      </c>
      <c r="M684" s="18">
        <v>0</v>
      </c>
      <c r="N684" s="18">
        <v>0</v>
      </c>
      <c r="O684" s="18">
        <v>0</v>
      </c>
      <c r="P684" s="18">
        <v>0</v>
      </c>
      <c r="Q684" s="18">
        <v>0</v>
      </c>
      <c r="R684" s="18">
        <v>0</v>
      </c>
      <c r="S684" s="18">
        <v>142.6</v>
      </c>
      <c r="T684" s="18">
        <v>142.6</v>
      </c>
      <c r="U684" s="18">
        <v>1</v>
      </c>
      <c r="V684" s="18">
        <v>0</v>
      </c>
      <c r="W684" s="18">
        <v>1</v>
      </c>
      <c r="X684" s="18">
        <v>0.02041</v>
      </c>
      <c r="Y684" s="18">
        <v>2.39</v>
      </c>
      <c r="Z684" s="18">
        <v>2.39</v>
      </c>
      <c r="AA684" s="18">
        <v>59.63</v>
      </c>
      <c r="AB684" s="18">
        <v>2</v>
      </c>
      <c r="AC684" s="18">
        <v>2</v>
      </c>
      <c r="AD684" s="18">
        <v>0</v>
      </c>
      <c r="AE684" s="18">
        <v>0.04082</v>
      </c>
      <c r="AF684" s="18">
        <v>1</v>
      </c>
      <c r="AG684" s="18">
        <v>1</v>
      </c>
      <c r="AH684" s="18">
        <v>59.63</v>
      </c>
      <c r="AI684" s="18">
        <v>4</v>
      </c>
      <c r="AJ684" s="18">
        <v>14.91</v>
      </c>
      <c r="AK684" s="18">
        <v>3</v>
      </c>
      <c r="AL684" s="18">
        <v>19.88</v>
      </c>
      <c r="AM684" s="18">
        <v>2</v>
      </c>
      <c r="AN684" s="18">
        <v>59.63</v>
      </c>
      <c r="AO684" s="18">
        <v>0.02041</v>
      </c>
      <c r="AP684" s="18">
        <v>29.82</v>
      </c>
      <c r="AQ684" s="18">
        <v>6</v>
      </c>
      <c r="AR684" s="18">
        <v>730.8</v>
      </c>
      <c r="AS684" s="18">
        <v>0</v>
      </c>
      <c r="AT684" s="18">
        <v>1</v>
      </c>
      <c r="AU684" s="18">
        <v>0</v>
      </c>
      <c r="AV684" s="18">
        <v>0</v>
      </c>
      <c r="AW684" s="18">
        <v>0</v>
      </c>
      <c r="AX684" s="18">
        <v>3</v>
      </c>
      <c r="AY684" s="18">
        <v>116</v>
      </c>
      <c r="AZ684" s="18">
        <v>47</v>
      </c>
      <c r="BA684" s="18">
        <v>32</v>
      </c>
      <c r="BB684" s="18">
        <v>0.68085</v>
      </c>
      <c r="BC684" s="18">
        <v>0</v>
      </c>
      <c r="BD684" s="18">
        <v>0</v>
      </c>
      <c r="BE684" s="18">
        <v>0.07403</v>
      </c>
      <c r="BF684" s="18">
        <v>62</v>
      </c>
      <c r="BG684" s="18">
        <v>2</v>
      </c>
      <c r="BH684" s="18">
        <v>1</v>
      </c>
      <c r="BI684" s="18">
        <v>1</v>
      </c>
      <c r="BJ684" s="18">
        <v>0</v>
      </c>
      <c r="BK684" s="18">
        <v>0</v>
      </c>
      <c r="BL684" s="18">
        <v>0</v>
      </c>
      <c r="BM684" s="18">
        <v>1</v>
      </c>
      <c r="BN684" s="18">
        <v>1</v>
      </c>
      <c r="BO684" s="18">
        <v>142.6</v>
      </c>
      <c r="BP684" s="18">
        <v>63.96</v>
      </c>
      <c r="BQ684" s="18">
        <v>304</v>
      </c>
      <c r="BR684" s="18">
        <v>0</v>
      </c>
      <c r="BS684" s="18">
        <v>0</v>
      </c>
      <c r="BT684" s="18">
        <v>0</v>
      </c>
      <c r="BU684" s="18">
        <v>0</v>
      </c>
      <c r="BV684" s="18">
        <v>0</v>
      </c>
      <c r="BW684" s="18">
        <v>0</v>
      </c>
      <c r="BX684" s="18">
        <v>0</v>
      </c>
    </row>
    <row r="685" spans="2:76">
      <c r="B685" s="19">
        <v>46123</v>
      </c>
      <c r="C685" s="20">
        <v>833369552621</v>
      </c>
      <c r="D685" s="18" t="s">
        <v>151</v>
      </c>
      <c r="E685" s="18" t="s">
        <v>154</v>
      </c>
      <c r="F685" s="18">
        <v>997</v>
      </c>
      <c r="G685" s="18">
        <v>41</v>
      </c>
      <c r="H685" s="18">
        <v>8.9</v>
      </c>
      <c r="I685" s="18">
        <v>0.04112</v>
      </c>
      <c r="J685" s="18">
        <v>0.22</v>
      </c>
      <c r="K685" s="18">
        <v>8.93</v>
      </c>
      <c r="L685" s="18">
        <v>0</v>
      </c>
      <c r="M685" s="18">
        <v>0</v>
      </c>
      <c r="N685" s="18">
        <v>0</v>
      </c>
      <c r="O685" s="18">
        <v>0</v>
      </c>
      <c r="P685" s="18">
        <v>0</v>
      </c>
      <c r="Q685" s="18">
        <v>0</v>
      </c>
      <c r="R685" s="18">
        <v>0</v>
      </c>
      <c r="S685" s="18">
        <v>0</v>
      </c>
      <c r="T685" s="18">
        <v>0</v>
      </c>
      <c r="U685" s="18">
        <v>0</v>
      </c>
      <c r="V685" s="18">
        <v>0</v>
      </c>
      <c r="W685" s="18">
        <v>0</v>
      </c>
      <c r="X685" s="18">
        <v>0</v>
      </c>
      <c r="Y685" s="18">
        <v>0</v>
      </c>
      <c r="Z685" s="18">
        <v>0</v>
      </c>
      <c r="AA685" s="18"/>
      <c r="AB685" s="18">
        <v>0</v>
      </c>
      <c r="AC685" s="18">
        <v>0</v>
      </c>
      <c r="AD685" s="18">
        <v>0</v>
      </c>
      <c r="AE685" s="18">
        <v>0</v>
      </c>
      <c r="AF685" s="18">
        <v>0</v>
      </c>
      <c r="AG685" s="18">
        <v>0</v>
      </c>
      <c r="AH685" s="18"/>
      <c r="AI685" s="18">
        <v>0</v>
      </c>
      <c r="AJ685" s="18"/>
      <c r="AK685" s="18">
        <v>0</v>
      </c>
      <c r="AL685" s="18"/>
      <c r="AM685" s="18">
        <v>0</v>
      </c>
      <c r="AN685" s="18"/>
      <c r="AO685" s="18">
        <v>0</v>
      </c>
      <c r="AP685" s="18"/>
      <c r="AQ685" s="18">
        <v>0</v>
      </c>
      <c r="AR685" s="18">
        <v>0</v>
      </c>
      <c r="AS685" s="18">
        <v>0</v>
      </c>
      <c r="AT685" s="18">
        <v>0</v>
      </c>
      <c r="AU685" s="18">
        <v>0</v>
      </c>
      <c r="AV685" s="18">
        <v>0</v>
      </c>
      <c r="AW685" s="18">
        <v>0</v>
      </c>
      <c r="AX685" s="18">
        <v>0</v>
      </c>
      <c r="AY685" s="18">
        <v>108</v>
      </c>
      <c r="AZ685" s="18">
        <v>40</v>
      </c>
      <c r="BA685" s="18">
        <v>35</v>
      </c>
      <c r="BB685" s="18">
        <v>0.875</v>
      </c>
      <c r="BC685" s="18">
        <v>0</v>
      </c>
      <c r="BD685" s="18">
        <v>0</v>
      </c>
      <c r="BE685" s="18">
        <v>0.10832</v>
      </c>
      <c r="BF685" s="18">
        <v>65</v>
      </c>
      <c r="BG685" s="18">
        <v>3</v>
      </c>
      <c r="BH685" s="18">
        <v>0</v>
      </c>
      <c r="BI685" s="18"/>
      <c r="BJ685" s="18">
        <v>0</v>
      </c>
      <c r="BK685" s="18">
        <v>0</v>
      </c>
      <c r="BL685" s="18">
        <v>0</v>
      </c>
      <c r="BM685" s="18">
        <v>0</v>
      </c>
      <c r="BN685" s="18"/>
      <c r="BO685" s="18"/>
      <c r="BP685" s="18">
        <v>0</v>
      </c>
      <c r="BQ685" s="18">
        <v>11</v>
      </c>
      <c r="BR685" s="18">
        <v>0</v>
      </c>
      <c r="BS685" s="18">
        <v>0</v>
      </c>
      <c r="BT685" s="18">
        <v>0</v>
      </c>
      <c r="BU685" s="18">
        <v>0</v>
      </c>
      <c r="BV685" s="18">
        <v>0</v>
      </c>
      <c r="BW685" s="18">
        <v>0</v>
      </c>
      <c r="BX685" s="18">
        <v>0</v>
      </c>
    </row>
    <row r="686" spans="2:76">
      <c r="B686" s="19">
        <v>46122</v>
      </c>
      <c r="C686" s="20">
        <v>1010789122929</v>
      </c>
      <c r="D686" s="18" t="s">
        <v>151</v>
      </c>
      <c r="E686" s="18" t="s">
        <v>179</v>
      </c>
      <c r="F686" s="18">
        <v>4941</v>
      </c>
      <c r="G686" s="18">
        <v>76</v>
      </c>
      <c r="H686" s="18">
        <v>71.51</v>
      </c>
      <c r="I686" s="18">
        <v>0.01538</v>
      </c>
      <c r="J686" s="18">
        <v>0.94</v>
      </c>
      <c r="K686" s="18">
        <v>14.47</v>
      </c>
      <c r="L686" s="18">
        <v>0</v>
      </c>
      <c r="M686" s="18">
        <v>0</v>
      </c>
      <c r="N686" s="18">
        <v>0</v>
      </c>
      <c r="O686" s="18">
        <v>0</v>
      </c>
      <c r="P686" s="18">
        <v>0</v>
      </c>
      <c r="Q686" s="18">
        <v>0</v>
      </c>
      <c r="R686" s="18">
        <v>0</v>
      </c>
      <c r="S686" s="18">
        <v>0</v>
      </c>
      <c r="T686" s="18">
        <v>0</v>
      </c>
      <c r="U686" s="18">
        <v>0</v>
      </c>
      <c r="V686" s="18">
        <v>0</v>
      </c>
      <c r="W686" s="18">
        <v>0</v>
      </c>
      <c r="X686" s="18">
        <v>0</v>
      </c>
      <c r="Y686" s="18">
        <v>0</v>
      </c>
      <c r="Z686" s="18">
        <v>0</v>
      </c>
      <c r="AA686" s="18"/>
      <c r="AB686" s="18">
        <v>1</v>
      </c>
      <c r="AC686" s="18">
        <v>1</v>
      </c>
      <c r="AD686" s="18">
        <v>0</v>
      </c>
      <c r="AE686" s="18">
        <v>0.01316</v>
      </c>
      <c r="AF686" s="18">
        <v>0</v>
      </c>
      <c r="AG686" s="18">
        <v>0</v>
      </c>
      <c r="AH686" s="18"/>
      <c r="AI686" s="18">
        <v>1</v>
      </c>
      <c r="AJ686" s="18">
        <v>71.51</v>
      </c>
      <c r="AK686" s="18">
        <v>1</v>
      </c>
      <c r="AL686" s="18">
        <v>71.51</v>
      </c>
      <c r="AM686" s="18">
        <v>0</v>
      </c>
      <c r="AN686" s="18"/>
      <c r="AO686" s="18">
        <v>0</v>
      </c>
      <c r="AP686" s="18">
        <v>71.51</v>
      </c>
      <c r="AQ686" s="18">
        <v>0</v>
      </c>
      <c r="AR686" s="18">
        <v>0</v>
      </c>
      <c r="AS686" s="18">
        <v>0</v>
      </c>
      <c r="AT686" s="18">
        <v>0</v>
      </c>
      <c r="AU686" s="18">
        <v>0</v>
      </c>
      <c r="AV686" s="18">
        <v>0</v>
      </c>
      <c r="AW686" s="18">
        <v>0</v>
      </c>
      <c r="AX686" s="18">
        <v>0</v>
      </c>
      <c r="AY686" s="18">
        <v>114</v>
      </c>
      <c r="AZ686" s="18">
        <v>74</v>
      </c>
      <c r="BA686" s="18">
        <v>65</v>
      </c>
      <c r="BB686" s="18">
        <v>0.87838</v>
      </c>
      <c r="BC686" s="18">
        <v>0</v>
      </c>
      <c r="BD686" s="18">
        <v>0</v>
      </c>
      <c r="BE686" s="18">
        <v>0.02307</v>
      </c>
      <c r="BF686" s="18">
        <v>36</v>
      </c>
      <c r="BG686" s="18">
        <v>2</v>
      </c>
      <c r="BH686" s="18">
        <v>0</v>
      </c>
      <c r="BI686" s="18"/>
      <c r="BJ686" s="18">
        <v>0</v>
      </c>
      <c r="BK686" s="18">
        <v>0</v>
      </c>
      <c r="BL686" s="18">
        <v>0</v>
      </c>
      <c r="BM686" s="18">
        <v>0</v>
      </c>
      <c r="BN686" s="18"/>
      <c r="BO686" s="18"/>
      <c r="BP686" s="18">
        <v>113.79</v>
      </c>
      <c r="BQ686" s="18">
        <v>84</v>
      </c>
      <c r="BR686" s="18">
        <v>0</v>
      </c>
      <c r="BS686" s="18">
        <v>0</v>
      </c>
      <c r="BT686" s="18">
        <v>0</v>
      </c>
      <c r="BU686" s="18">
        <v>0</v>
      </c>
      <c r="BV686" s="18">
        <v>0</v>
      </c>
      <c r="BW686" s="18">
        <v>0</v>
      </c>
      <c r="BX686" s="18">
        <v>0</v>
      </c>
    </row>
    <row r="687" spans="2:76">
      <c r="B687" s="19">
        <v>46122</v>
      </c>
      <c r="C687" s="20">
        <v>971859969014</v>
      </c>
      <c r="D687" s="18" t="s">
        <v>151</v>
      </c>
      <c r="E687" s="18" t="s">
        <v>182</v>
      </c>
      <c r="F687" s="18">
        <v>327</v>
      </c>
      <c r="G687" s="18">
        <v>8</v>
      </c>
      <c r="H687" s="18">
        <v>1.84</v>
      </c>
      <c r="I687" s="18">
        <v>0.02446</v>
      </c>
      <c r="J687" s="18">
        <v>0.23</v>
      </c>
      <c r="K687" s="18">
        <v>5.63</v>
      </c>
      <c r="L687" s="18">
        <v>0</v>
      </c>
      <c r="M687" s="18">
        <v>0</v>
      </c>
      <c r="N687" s="18">
        <v>0</v>
      </c>
      <c r="O687" s="18">
        <v>0</v>
      </c>
      <c r="P687" s="18">
        <v>0</v>
      </c>
      <c r="Q687" s="18">
        <v>0</v>
      </c>
      <c r="R687" s="18">
        <v>0</v>
      </c>
      <c r="S687" s="18">
        <v>0</v>
      </c>
      <c r="T687" s="18">
        <v>0</v>
      </c>
      <c r="U687" s="18">
        <v>0</v>
      </c>
      <c r="V687" s="18">
        <v>0</v>
      </c>
      <c r="W687" s="18">
        <v>0</v>
      </c>
      <c r="X687" s="18">
        <v>0</v>
      </c>
      <c r="Y687" s="18">
        <v>0</v>
      </c>
      <c r="Z687" s="18">
        <v>0</v>
      </c>
      <c r="AA687" s="18"/>
      <c r="AB687" s="18">
        <v>0</v>
      </c>
      <c r="AC687" s="18">
        <v>0</v>
      </c>
      <c r="AD687" s="18">
        <v>0</v>
      </c>
      <c r="AE687" s="18">
        <v>0</v>
      </c>
      <c r="AF687" s="18">
        <v>0</v>
      </c>
      <c r="AG687" s="18">
        <v>0</v>
      </c>
      <c r="AH687" s="18"/>
      <c r="AI687" s="18">
        <v>0</v>
      </c>
      <c r="AJ687" s="18"/>
      <c r="AK687" s="18">
        <v>0</v>
      </c>
      <c r="AL687" s="18"/>
      <c r="AM687" s="18">
        <v>0</v>
      </c>
      <c r="AN687" s="18"/>
      <c r="AO687" s="18">
        <v>0</v>
      </c>
      <c r="AP687" s="18"/>
      <c r="AQ687" s="18">
        <v>0</v>
      </c>
      <c r="AR687" s="18">
        <v>0</v>
      </c>
      <c r="AS687" s="18">
        <v>0</v>
      </c>
      <c r="AT687" s="18">
        <v>0</v>
      </c>
      <c r="AU687" s="18">
        <v>0</v>
      </c>
      <c r="AV687" s="18">
        <v>0</v>
      </c>
      <c r="AW687" s="18">
        <v>0</v>
      </c>
      <c r="AX687" s="18">
        <v>0</v>
      </c>
      <c r="AY687" s="18">
        <v>15</v>
      </c>
      <c r="AZ687" s="18">
        <v>12</v>
      </c>
      <c r="BA687" s="18">
        <v>10</v>
      </c>
      <c r="BB687" s="18">
        <v>0.83333</v>
      </c>
      <c r="BC687" s="18">
        <v>0</v>
      </c>
      <c r="BD687" s="18">
        <v>0</v>
      </c>
      <c r="BE687" s="18">
        <v>0.04587</v>
      </c>
      <c r="BF687" s="18">
        <v>1</v>
      </c>
      <c r="BG687" s="18">
        <v>1</v>
      </c>
      <c r="BH687" s="18">
        <v>0</v>
      </c>
      <c r="BI687" s="18"/>
      <c r="BJ687" s="18">
        <v>0</v>
      </c>
      <c r="BK687" s="18">
        <v>0</v>
      </c>
      <c r="BL687" s="18">
        <v>0</v>
      </c>
      <c r="BM687" s="18">
        <v>0</v>
      </c>
      <c r="BN687" s="18"/>
      <c r="BO687" s="18"/>
      <c r="BP687" s="18">
        <v>1.95</v>
      </c>
      <c r="BQ687" s="18">
        <v>15</v>
      </c>
      <c r="BR687" s="18">
        <v>0</v>
      </c>
      <c r="BS687" s="18">
        <v>0</v>
      </c>
      <c r="BT687" s="18">
        <v>0</v>
      </c>
      <c r="BU687" s="18">
        <v>0</v>
      </c>
      <c r="BV687" s="18">
        <v>0</v>
      </c>
      <c r="BW687" s="18">
        <v>0</v>
      </c>
      <c r="BX687" s="18">
        <v>0</v>
      </c>
    </row>
    <row r="688" spans="2:76">
      <c r="B688" s="19">
        <v>46122</v>
      </c>
      <c r="C688" s="20">
        <v>971856893567</v>
      </c>
      <c r="D688" s="18" t="s">
        <v>151</v>
      </c>
      <c r="E688" s="18" t="s">
        <v>152</v>
      </c>
      <c r="F688" s="18">
        <v>3529</v>
      </c>
      <c r="G688" s="18">
        <v>122</v>
      </c>
      <c r="H688" s="18">
        <v>26.36</v>
      </c>
      <c r="I688" s="18">
        <v>0.03457</v>
      </c>
      <c r="J688" s="18">
        <v>0.22</v>
      </c>
      <c r="K688" s="18">
        <v>7.47</v>
      </c>
      <c r="L688" s="18">
        <v>0</v>
      </c>
      <c r="M688" s="18">
        <v>0</v>
      </c>
      <c r="N688" s="18">
        <v>0</v>
      </c>
      <c r="O688" s="18">
        <v>0</v>
      </c>
      <c r="P688" s="18">
        <v>0</v>
      </c>
      <c r="Q688" s="18">
        <v>0</v>
      </c>
      <c r="R688" s="18">
        <v>0</v>
      </c>
      <c r="S688" s="18">
        <v>0</v>
      </c>
      <c r="T688" s="18">
        <v>0</v>
      </c>
      <c r="U688" s="18">
        <v>0</v>
      </c>
      <c r="V688" s="18">
        <v>0</v>
      </c>
      <c r="W688" s="18">
        <v>0</v>
      </c>
      <c r="X688" s="18">
        <v>0</v>
      </c>
      <c r="Y688" s="18">
        <v>0</v>
      </c>
      <c r="Z688" s="18">
        <v>0</v>
      </c>
      <c r="AA688" s="18"/>
      <c r="AB688" s="18">
        <v>0</v>
      </c>
      <c r="AC688" s="18">
        <v>0</v>
      </c>
      <c r="AD688" s="18">
        <v>0</v>
      </c>
      <c r="AE688" s="18">
        <v>0</v>
      </c>
      <c r="AF688" s="18">
        <v>1</v>
      </c>
      <c r="AG688" s="18">
        <v>0</v>
      </c>
      <c r="AH688" s="18"/>
      <c r="AI688" s="18">
        <v>1</v>
      </c>
      <c r="AJ688" s="18">
        <v>26.36</v>
      </c>
      <c r="AK688" s="18">
        <v>1</v>
      </c>
      <c r="AL688" s="18">
        <v>26.36</v>
      </c>
      <c r="AM688" s="18">
        <v>1</v>
      </c>
      <c r="AN688" s="18">
        <v>26.36</v>
      </c>
      <c r="AO688" s="18">
        <v>0.0082</v>
      </c>
      <c r="AP688" s="18"/>
      <c r="AQ688" s="18">
        <v>0</v>
      </c>
      <c r="AR688" s="18">
        <v>0</v>
      </c>
      <c r="AS688" s="18">
        <v>0</v>
      </c>
      <c r="AT688" s="18">
        <v>1</v>
      </c>
      <c r="AU688" s="18">
        <v>0</v>
      </c>
      <c r="AV688" s="18">
        <v>0</v>
      </c>
      <c r="AW688" s="18">
        <v>0</v>
      </c>
      <c r="AX688" s="18">
        <v>0</v>
      </c>
      <c r="AY688" s="18">
        <v>273</v>
      </c>
      <c r="AZ688" s="18">
        <v>143</v>
      </c>
      <c r="BA688" s="18">
        <v>140</v>
      </c>
      <c r="BB688" s="18">
        <v>0.97902</v>
      </c>
      <c r="BC688" s="18">
        <v>0</v>
      </c>
      <c r="BD688" s="18">
        <v>0</v>
      </c>
      <c r="BE688" s="18">
        <v>0.07736</v>
      </c>
      <c r="BF688" s="18">
        <v>115</v>
      </c>
      <c r="BG688" s="18">
        <v>2</v>
      </c>
      <c r="BH688" s="18">
        <v>0</v>
      </c>
      <c r="BI688" s="18"/>
      <c r="BJ688" s="18">
        <v>0</v>
      </c>
      <c r="BK688" s="18">
        <v>0</v>
      </c>
      <c r="BL688" s="18">
        <v>0</v>
      </c>
      <c r="BM688" s="18">
        <v>0</v>
      </c>
      <c r="BN688" s="18"/>
      <c r="BO688" s="18"/>
      <c r="BP688" s="18">
        <v>0</v>
      </c>
      <c r="BQ688" s="18">
        <v>20</v>
      </c>
      <c r="BR688" s="18">
        <v>0</v>
      </c>
      <c r="BS688" s="18">
        <v>0</v>
      </c>
      <c r="BT688" s="18">
        <v>0</v>
      </c>
      <c r="BU688" s="18">
        <v>0</v>
      </c>
      <c r="BV688" s="18">
        <v>0</v>
      </c>
      <c r="BW688" s="18">
        <v>0</v>
      </c>
      <c r="BX688" s="18">
        <v>0</v>
      </c>
    </row>
    <row r="689" spans="2:76">
      <c r="B689" s="19">
        <v>46122</v>
      </c>
      <c r="C689" s="20">
        <v>960406497157</v>
      </c>
      <c r="D689" s="18" t="s">
        <v>151</v>
      </c>
      <c r="E689" s="18" t="s">
        <v>156</v>
      </c>
      <c r="F689" s="18">
        <v>274</v>
      </c>
      <c r="G689" s="18">
        <v>10</v>
      </c>
      <c r="H689" s="18">
        <v>3.71</v>
      </c>
      <c r="I689" s="18">
        <v>0.0365</v>
      </c>
      <c r="J689" s="18">
        <v>0.37</v>
      </c>
      <c r="K689" s="18">
        <v>13.54</v>
      </c>
      <c r="L689" s="18">
        <v>0</v>
      </c>
      <c r="M689" s="18">
        <v>0</v>
      </c>
      <c r="N689" s="18">
        <v>0</v>
      </c>
      <c r="O689" s="18">
        <v>0</v>
      </c>
      <c r="P689" s="18">
        <v>0</v>
      </c>
      <c r="Q689" s="18">
        <v>0</v>
      </c>
      <c r="R689" s="18">
        <v>0</v>
      </c>
      <c r="S689" s="18">
        <v>0</v>
      </c>
      <c r="T689" s="18">
        <v>0</v>
      </c>
      <c r="U689" s="18">
        <v>0</v>
      </c>
      <c r="V689" s="18">
        <v>0</v>
      </c>
      <c r="W689" s="18">
        <v>0</v>
      </c>
      <c r="X689" s="18">
        <v>0</v>
      </c>
      <c r="Y689" s="18">
        <v>0</v>
      </c>
      <c r="Z689" s="18">
        <v>0</v>
      </c>
      <c r="AA689" s="18"/>
      <c r="AB689" s="18">
        <v>1</v>
      </c>
      <c r="AC689" s="18">
        <v>0</v>
      </c>
      <c r="AD689" s="18">
        <v>1</v>
      </c>
      <c r="AE689" s="18">
        <v>0.1</v>
      </c>
      <c r="AF689" s="18">
        <v>0</v>
      </c>
      <c r="AG689" s="18">
        <v>1</v>
      </c>
      <c r="AH689" s="18">
        <v>3.71</v>
      </c>
      <c r="AI689" s="18">
        <v>2</v>
      </c>
      <c r="AJ689" s="18">
        <v>1.86</v>
      </c>
      <c r="AK689" s="18">
        <v>1</v>
      </c>
      <c r="AL689" s="18">
        <v>3.71</v>
      </c>
      <c r="AM689" s="18">
        <v>1</v>
      </c>
      <c r="AN689" s="18"/>
      <c r="AO689" s="18">
        <v>0</v>
      </c>
      <c r="AP689" s="18">
        <v>3.71</v>
      </c>
      <c r="AQ689" s="18">
        <v>0</v>
      </c>
      <c r="AR689" s="18">
        <v>0</v>
      </c>
      <c r="AS689" s="18">
        <v>0</v>
      </c>
      <c r="AT689" s="18">
        <v>0</v>
      </c>
      <c r="AU689" s="18">
        <v>0</v>
      </c>
      <c r="AV689" s="18">
        <v>0</v>
      </c>
      <c r="AW689" s="18">
        <v>0</v>
      </c>
      <c r="AX689" s="18">
        <v>1</v>
      </c>
      <c r="AY689" s="18">
        <v>31</v>
      </c>
      <c r="AZ689" s="18">
        <v>9</v>
      </c>
      <c r="BA689" s="18">
        <v>7</v>
      </c>
      <c r="BB689" s="18">
        <v>0.77778</v>
      </c>
      <c r="BC689" s="18">
        <v>0</v>
      </c>
      <c r="BD689" s="18">
        <v>0</v>
      </c>
      <c r="BE689" s="18">
        <v>0.11314</v>
      </c>
      <c r="BF689" s="18">
        <v>21</v>
      </c>
      <c r="BG689" s="18">
        <v>3</v>
      </c>
      <c r="BH689" s="18">
        <v>0</v>
      </c>
      <c r="BI689" s="18"/>
      <c r="BJ689" s="18">
        <v>0</v>
      </c>
      <c r="BK689" s="18">
        <v>0</v>
      </c>
      <c r="BL689" s="18">
        <v>0</v>
      </c>
      <c r="BM689" s="18">
        <v>0</v>
      </c>
      <c r="BN689" s="18"/>
      <c r="BO689" s="18"/>
      <c r="BP689" s="18">
        <v>0</v>
      </c>
      <c r="BQ689" s="18">
        <v>29</v>
      </c>
      <c r="BR689" s="18">
        <v>0</v>
      </c>
      <c r="BS689" s="18">
        <v>0</v>
      </c>
      <c r="BT689" s="18">
        <v>0</v>
      </c>
      <c r="BU689" s="18">
        <v>0</v>
      </c>
      <c r="BV689" s="18">
        <v>0</v>
      </c>
      <c r="BW689" s="18">
        <v>0</v>
      </c>
      <c r="BX689" s="18">
        <v>0</v>
      </c>
    </row>
    <row r="690" spans="2:76">
      <c r="B690" s="19">
        <v>46122</v>
      </c>
      <c r="C690" s="20">
        <v>838711327669</v>
      </c>
      <c r="D690" s="18" t="s">
        <v>151</v>
      </c>
      <c r="E690" s="18" t="s">
        <v>153</v>
      </c>
      <c r="F690" s="18">
        <v>1055</v>
      </c>
      <c r="G690" s="18">
        <v>33</v>
      </c>
      <c r="H690" s="18">
        <v>86.07</v>
      </c>
      <c r="I690" s="18">
        <v>0.03128</v>
      </c>
      <c r="J690" s="18">
        <v>2.61</v>
      </c>
      <c r="K690" s="18">
        <v>81.58</v>
      </c>
      <c r="L690" s="18">
        <v>0</v>
      </c>
      <c r="M690" s="18">
        <v>0</v>
      </c>
      <c r="N690" s="18">
        <v>0</v>
      </c>
      <c r="O690" s="18">
        <v>0</v>
      </c>
      <c r="P690" s="18">
        <v>0</v>
      </c>
      <c r="Q690" s="18">
        <v>0</v>
      </c>
      <c r="R690" s="18">
        <v>0</v>
      </c>
      <c r="S690" s="18">
        <v>42.91</v>
      </c>
      <c r="T690" s="18">
        <v>42.91</v>
      </c>
      <c r="U690" s="18">
        <v>1</v>
      </c>
      <c r="V690" s="18">
        <v>0</v>
      </c>
      <c r="W690" s="18">
        <v>1</v>
      </c>
      <c r="X690" s="18">
        <v>0.0303</v>
      </c>
      <c r="Y690" s="18">
        <v>0.5</v>
      </c>
      <c r="Z690" s="18">
        <v>0.5</v>
      </c>
      <c r="AA690" s="18">
        <v>86.07</v>
      </c>
      <c r="AB690" s="18">
        <v>1</v>
      </c>
      <c r="AC690" s="18">
        <v>0</v>
      </c>
      <c r="AD690" s="18">
        <v>1</v>
      </c>
      <c r="AE690" s="18">
        <v>0.0303</v>
      </c>
      <c r="AF690" s="18">
        <v>1</v>
      </c>
      <c r="AG690" s="18">
        <v>1</v>
      </c>
      <c r="AH690" s="18">
        <v>86.07</v>
      </c>
      <c r="AI690" s="18">
        <v>3</v>
      </c>
      <c r="AJ690" s="18">
        <v>28.69</v>
      </c>
      <c r="AK690" s="18">
        <v>2</v>
      </c>
      <c r="AL690" s="18">
        <v>43.04</v>
      </c>
      <c r="AM690" s="18">
        <v>2</v>
      </c>
      <c r="AN690" s="18">
        <v>86.07</v>
      </c>
      <c r="AO690" s="18">
        <v>0.0303</v>
      </c>
      <c r="AP690" s="18">
        <v>86.07</v>
      </c>
      <c r="AQ690" s="18">
        <v>1</v>
      </c>
      <c r="AR690" s="18">
        <v>49.9</v>
      </c>
      <c r="AS690" s="18">
        <v>1</v>
      </c>
      <c r="AT690" s="18">
        <v>0</v>
      </c>
      <c r="AU690" s="18">
        <v>0</v>
      </c>
      <c r="AV690" s="18">
        <v>0</v>
      </c>
      <c r="AW690" s="18">
        <v>0</v>
      </c>
      <c r="AX690" s="18">
        <v>1</v>
      </c>
      <c r="AY690" s="18">
        <v>116</v>
      </c>
      <c r="AZ690" s="18">
        <v>27</v>
      </c>
      <c r="BA690" s="18">
        <v>21</v>
      </c>
      <c r="BB690" s="18">
        <v>0.77778</v>
      </c>
      <c r="BC690" s="18">
        <v>0</v>
      </c>
      <c r="BD690" s="18">
        <v>0</v>
      </c>
      <c r="BE690" s="18">
        <v>0.10995</v>
      </c>
      <c r="BF690" s="18">
        <v>86</v>
      </c>
      <c r="BG690" s="18">
        <v>4</v>
      </c>
      <c r="BH690" s="18">
        <v>1</v>
      </c>
      <c r="BI690" s="18">
        <v>1</v>
      </c>
      <c r="BJ690" s="18">
        <v>0</v>
      </c>
      <c r="BK690" s="18">
        <v>0</v>
      </c>
      <c r="BL690" s="18">
        <v>0</v>
      </c>
      <c r="BM690" s="18">
        <v>1</v>
      </c>
      <c r="BN690" s="18">
        <v>1</v>
      </c>
      <c r="BO690" s="18">
        <v>42.91</v>
      </c>
      <c r="BP690" s="18">
        <v>0</v>
      </c>
      <c r="BQ690" s="18">
        <v>102</v>
      </c>
      <c r="BR690" s="18">
        <v>0</v>
      </c>
      <c r="BS690" s="18">
        <v>0</v>
      </c>
      <c r="BT690" s="18">
        <v>0</v>
      </c>
      <c r="BU690" s="18">
        <v>0</v>
      </c>
      <c r="BV690" s="18">
        <v>0</v>
      </c>
      <c r="BW690" s="18">
        <v>0</v>
      </c>
      <c r="BX690" s="18">
        <v>0</v>
      </c>
    </row>
    <row r="691" spans="2:76">
      <c r="B691" s="19">
        <v>46122</v>
      </c>
      <c r="C691" s="20">
        <v>833369552621</v>
      </c>
      <c r="D691" s="18" t="s">
        <v>151</v>
      </c>
      <c r="E691" s="18" t="s">
        <v>154</v>
      </c>
      <c r="F691" s="18">
        <v>1923</v>
      </c>
      <c r="G691" s="18">
        <v>51</v>
      </c>
      <c r="H691" s="18">
        <v>11.63</v>
      </c>
      <c r="I691" s="18">
        <v>0.02652</v>
      </c>
      <c r="J691" s="18">
        <v>0.23</v>
      </c>
      <c r="K691" s="18">
        <v>6.05</v>
      </c>
      <c r="L691" s="18">
        <v>0</v>
      </c>
      <c r="M691" s="18">
        <v>0</v>
      </c>
      <c r="N691" s="18">
        <v>0</v>
      </c>
      <c r="O691" s="18">
        <v>0</v>
      </c>
      <c r="P691" s="18">
        <v>0</v>
      </c>
      <c r="Q691" s="18">
        <v>0</v>
      </c>
      <c r="R691" s="18">
        <v>0</v>
      </c>
      <c r="S691" s="18">
        <v>0</v>
      </c>
      <c r="T691" s="18">
        <v>0</v>
      </c>
      <c r="U691" s="18">
        <v>0</v>
      </c>
      <c r="V691" s="18">
        <v>0</v>
      </c>
      <c r="W691" s="18">
        <v>0</v>
      </c>
      <c r="X691" s="18">
        <v>0</v>
      </c>
      <c r="Y691" s="18">
        <v>0</v>
      </c>
      <c r="Z691" s="18">
        <v>0</v>
      </c>
      <c r="AA691" s="18"/>
      <c r="AB691" s="18">
        <v>0</v>
      </c>
      <c r="AC691" s="18">
        <v>0</v>
      </c>
      <c r="AD691" s="18">
        <v>0</v>
      </c>
      <c r="AE691" s="18">
        <v>0</v>
      </c>
      <c r="AF691" s="18">
        <v>0</v>
      </c>
      <c r="AG691" s="18">
        <v>0</v>
      </c>
      <c r="AH691" s="18"/>
      <c r="AI691" s="18">
        <v>0</v>
      </c>
      <c r="AJ691" s="18"/>
      <c r="AK691" s="18">
        <v>0</v>
      </c>
      <c r="AL691" s="18"/>
      <c r="AM691" s="18">
        <v>0</v>
      </c>
      <c r="AN691" s="18"/>
      <c r="AO691" s="18">
        <v>0</v>
      </c>
      <c r="AP691" s="18"/>
      <c r="AQ691" s="18">
        <v>0</v>
      </c>
      <c r="AR691" s="18">
        <v>0</v>
      </c>
      <c r="AS691" s="18">
        <v>0</v>
      </c>
      <c r="AT691" s="18">
        <v>0</v>
      </c>
      <c r="AU691" s="18">
        <v>0</v>
      </c>
      <c r="AV691" s="18">
        <v>0</v>
      </c>
      <c r="AW691" s="18">
        <v>0</v>
      </c>
      <c r="AX691" s="18">
        <v>0</v>
      </c>
      <c r="AY691" s="18">
        <v>65</v>
      </c>
      <c r="AZ691" s="18">
        <v>45</v>
      </c>
      <c r="BA691" s="18">
        <v>41</v>
      </c>
      <c r="BB691" s="18">
        <v>0.91111</v>
      </c>
      <c r="BC691" s="18">
        <v>0</v>
      </c>
      <c r="BD691" s="18">
        <v>0</v>
      </c>
      <c r="BE691" s="18">
        <v>0.0338</v>
      </c>
      <c r="BF691" s="18">
        <v>8</v>
      </c>
      <c r="BG691" s="18">
        <v>1</v>
      </c>
      <c r="BH691" s="18">
        <v>0</v>
      </c>
      <c r="BI691" s="18"/>
      <c r="BJ691" s="18">
        <v>0</v>
      </c>
      <c r="BK691" s="18">
        <v>0</v>
      </c>
      <c r="BL691" s="18">
        <v>0</v>
      </c>
      <c r="BM691" s="18">
        <v>0</v>
      </c>
      <c r="BN691" s="18"/>
      <c r="BO691" s="18"/>
      <c r="BP691" s="18">
        <v>0</v>
      </c>
      <c r="BQ691" s="18">
        <v>2</v>
      </c>
      <c r="BR691" s="18">
        <v>0</v>
      </c>
      <c r="BS691" s="18">
        <v>0</v>
      </c>
      <c r="BT691" s="18">
        <v>0</v>
      </c>
      <c r="BU691" s="18">
        <v>0</v>
      </c>
      <c r="BV691" s="18">
        <v>0</v>
      </c>
      <c r="BW691" s="18">
        <v>0</v>
      </c>
      <c r="BX691" s="18">
        <v>0</v>
      </c>
    </row>
    <row r="692" spans="2:76">
      <c r="B692" s="19">
        <v>46121</v>
      </c>
      <c r="C692" s="20">
        <v>1010789122929</v>
      </c>
      <c r="D692" s="18" t="s">
        <v>151</v>
      </c>
      <c r="E692" s="18" t="s">
        <v>179</v>
      </c>
      <c r="F692" s="18">
        <v>9087</v>
      </c>
      <c r="G692" s="18">
        <v>201</v>
      </c>
      <c r="H692" s="18">
        <v>215</v>
      </c>
      <c r="I692" s="18">
        <v>0.02212</v>
      </c>
      <c r="J692" s="18">
        <v>1.07</v>
      </c>
      <c r="K692" s="18">
        <v>23.66</v>
      </c>
      <c r="L692" s="18">
        <v>0</v>
      </c>
      <c r="M692" s="18">
        <v>0</v>
      </c>
      <c r="N692" s="18">
        <v>0</v>
      </c>
      <c r="O692" s="18">
        <v>0</v>
      </c>
      <c r="P692" s="18">
        <v>0</v>
      </c>
      <c r="Q692" s="18">
        <v>0</v>
      </c>
      <c r="R692" s="18">
        <v>233.93</v>
      </c>
      <c r="S692" s="18">
        <v>0</v>
      </c>
      <c r="T692" s="18">
        <v>233.93</v>
      </c>
      <c r="U692" s="18">
        <v>1</v>
      </c>
      <c r="V692" s="18">
        <v>1</v>
      </c>
      <c r="W692" s="18">
        <v>0</v>
      </c>
      <c r="X692" s="18">
        <v>0.00498</v>
      </c>
      <c r="Y692" s="18">
        <v>1.09</v>
      </c>
      <c r="Z692" s="18">
        <v>1.09</v>
      </c>
      <c r="AA692" s="18">
        <v>215</v>
      </c>
      <c r="AB692" s="18">
        <v>2</v>
      </c>
      <c r="AC692" s="18">
        <v>2</v>
      </c>
      <c r="AD692" s="18">
        <v>0</v>
      </c>
      <c r="AE692" s="18">
        <v>0.00995</v>
      </c>
      <c r="AF692" s="18">
        <v>2</v>
      </c>
      <c r="AG692" s="18">
        <v>0</v>
      </c>
      <c r="AH692" s="18"/>
      <c r="AI692" s="18">
        <v>4</v>
      </c>
      <c r="AJ692" s="18">
        <v>53.75</v>
      </c>
      <c r="AK692" s="18">
        <v>4</v>
      </c>
      <c r="AL692" s="18">
        <v>53.75</v>
      </c>
      <c r="AM692" s="18">
        <v>2</v>
      </c>
      <c r="AN692" s="18">
        <v>107.5</v>
      </c>
      <c r="AO692" s="18">
        <v>0.00995</v>
      </c>
      <c r="AP692" s="18">
        <v>107.5</v>
      </c>
      <c r="AQ692" s="18">
        <v>2</v>
      </c>
      <c r="AR692" s="18">
        <v>368</v>
      </c>
      <c r="AS692" s="18">
        <v>1</v>
      </c>
      <c r="AT692" s="18">
        <v>1</v>
      </c>
      <c r="AU692" s="18">
        <v>0</v>
      </c>
      <c r="AV692" s="18">
        <v>0</v>
      </c>
      <c r="AW692" s="18">
        <v>0</v>
      </c>
      <c r="AX692" s="18">
        <v>0</v>
      </c>
      <c r="AY692" s="18">
        <v>335</v>
      </c>
      <c r="AZ692" s="18">
        <v>194</v>
      </c>
      <c r="BA692" s="18">
        <v>183</v>
      </c>
      <c r="BB692" s="18">
        <v>0.9433</v>
      </c>
      <c r="BC692" s="18">
        <v>0</v>
      </c>
      <c r="BD692" s="18">
        <v>0</v>
      </c>
      <c r="BE692" s="18">
        <v>0.03687</v>
      </c>
      <c r="BF692" s="18">
        <v>121</v>
      </c>
      <c r="BG692" s="18">
        <v>2</v>
      </c>
      <c r="BH692" s="18">
        <v>1</v>
      </c>
      <c r="BI692" s="18">
        <v>1</v>
      </c>
      <c r="BJ692" s="18">
        <v>0</v>
      </c>
      <c r="BK692" s="18">
        <v>0</v>
      </c>
      <c r="BL692" s="18">
        <v>0</v>
      </c>
      <c r="BM692" s="18">
        <v>1</v>
      </c>
      <c r="BN692" s="18">
        <v>1</v>
      </c>
      <c r="BO692" s="18">
        <v>233.93</v>
      </c>
      <c r="BP692" s="18">
        <v>556.94</v>
      </c>
      <c r="BQ692" s="18">
        <v>504</v>
      </c>
      <c r="BR692" s="18">
        <v>0</v>
      </c>
      <c r="BS692" s="18">
        <v>0</v>
      </c>
      <c r="BT692" s="18">
        <v>0</v>
      </c>
      <c r="BU692" s="18">
        <v>0</v>
      </c>
      <c r="BV692" s="18">
        <v>0</v>
      </c>
      <c r="BW692" s="18">
        <v>0</v>
      </c>
      <c r="BX692" s="18">
        <v>0</v>
      </c>
    </row>
    <row r="693" spans="2:76">
      <c r="B693" s="19">
        <v>46121</v>
      </c>
      <c r="C693" s="20">
        <v>971859969014</v>
      </c>
      <c r="D693" s="18" t="s">
        <v>151</v>
      </c>
      <c r="E693" s="18" t="s">
        <v>182</v>
      </c>
      <c r="F693" s="18">
        <v>254</v>
      </c>
      <c r="G693" s="18">
        <v>13</v>
      </c>
      <c r="H693" s="18">
        <v>2.98</v>
      </c>
      <c r="I693" s="18">
        <v>0.05118</v>
      </c>
      <c r="J693" s="18">
        <v>0.23</v>
      </c>
      <c r="K693" s="18">
        <v>11.73</v>
      </c>
      <c r="L693" s="18">
        <v>0</v>
      </c>
      <c r="M693" s="18">
        <v>0</v>
      </c>
      <c r="N693" s="18">
        <v>0</v>
      </c>
      <c r="O693" s="18">
        <v>0</v>
      </c>
      <c r="P693" s="18">
        <v>0</v>
      </c>
      <c r="Q693" s="18">
        <v>0</v>
      </c>
      <c r="R693" s="18">
        <v>0</v>
      </c>
      <c r="S693" s="18">
        <v>0</v>
      </c>
      <c r="T693" s="18">
        <v>0</v>
      </c>
      <c r="U693" s="18">
        <v>0</v>
      </c>
      <c r="V693" s="18">
        <v>0</v>
      </c>
      <c r="W693" s="18">
        <v>0</v>
      </c>
      <c r="X693" s="18">
        <v>0</v>
      </c>
      <c r="Y693" s="18">
        <v>0</v>
      </c>
      <c r="Z693" s="18">
        <v>0</v>
      </c>
      <c r="AA693" s="18"/>
      <c r="AB693" s="18">
        <v>1</v>
      </c>
      <c r="AC693" s="18">
        <v>0</v>
      </c>
      <c r="AD693" s="18">
        <v>1</v>
      </c>
      <c r="AE693" s="18">
        <v>0.07692</v>
      </c>
      <c r="AF693" s="18">
        <v>0</v>
      </c>
      <c r="AG693" s="18">
        <v>1</v>
      </c>
      <c r="AH693" s="18">
        <v>2.98</v>
      </c>
      <c r="AI693" s="18">
        <v>2</v>
      </c>
      <c r="AJ693" s="18">
        <v>1.49</v>
      </c>
      <c r="AK693" s="18">
        <v>1</v>
      </c>
      <c r="AL693" s="18">
        <v>2.98</v>
      </c>
      <c r="AM693" s="18">
        <v>1</v>
      </c>
      <c r="AN693" s="18"/>
      <c r="AO693" s="18">
        <v>0</v>
      </c>
      <c r="AP693" s="18">
        <v>2.98</v>
      </c>
      <c r="AQ693" s="18">
        <v>0</v>
      </c>
      <c r="AR693" s="18">
        <v>0</v>
      </c>
      <c r="AS693" s="18">
        <v>0</v>
      </c>
      <c r="AT693" s="18">
        <v>0</v>
      </c>
      <c r="AU693" s="18">
        <v>0</v>
      </c>
      <c r="AV693" s="18">
        <v>0</v>
      </c>
      <c r="AW693" s="18">
        <v>0</v>
      </c>
      <c r="AX693" s="18">
        <v>0</v>
      </c>
      <c r="AY693" s="18">
        <v>51</v>
      </c>
      <c r="AZ693" s="18">
        <v>13</v>
      </c>
      <c r="BA693" s="18">
        <v>8</v>
      </c>
      <c r="BB693" s="18">
        <v>0.61538</v>
      </c>
      <c r="BC693" s="18">
        <v>0</v>
      </c>
      <c r="BD693" s="18">
        <v>0</v>
      </c>
      <c r="BE693" s="18">
        <v>0.20079</v>
      </c>
      <c r="BF693" s="18">
        <v>35</v>
      </c>
      <c r="BG693" s="18">
        <v>4</v>
      </c>
      <c r="BH693" s="18">
        <v>0</v>
      </c>
      <c r="BI693" s="18"/>
      <c r="BJ693" s="18">
        <v>0</v>
      </c>
      <c r="BK693" s="18">
        <v>0</v>
      </c>
      <c r="BL693" s="18">
        <v>0</v>
      </c>
      <c r="BM693" s="18">
        <v>0</v>
      </c>
      <c r="BN693" s="18"/>
      <c r="BO693" s="18"/>
      <c r="BP693" s="18">
        <v>10.44</v>
      </c>
      <c r="BQ693" s="18">
        <v>7</v>
      </c>
      <c r="BR693" s="18">
        <v>0</v>
      </c>
      <c r="BS693" s="18">
        <v>0</v>
      </c>
      <c r="BT693" s="18">
        <v>0</v>
      </c>
      <c r="BU693" s="18">
        <v>0</v>
      </c>
      <c r="BV693" s="18">
        <v>0</v>
      </c>
      <c r="BW693" s="18">
        <v>0</v>
      </c>
      <c r="BX693" s="18">
        <v>0</v>
      </c>
    </row>
    <row r="694" spans="2:76">
      <c r="B694" s="19">
        <v>46121</v>
      </c>
      <c r="C694" s="20">
        <v>971856893567</v>
      </c>
      <c r="D694" s="18" t="s">
        <v>151</v>
      </c>
      <c r="E694" s="18" t="s">
        <v>152</v>
      </c>
      <c r="F694" s="18">
        <v>1568</v>
      </c>
      <c r="G694" s="18">
        <v>84</v>
      </c>
      <c r="H694" s="18">
        <v>20.12</v>
      </c>
      <c r="I694" s="18">
        <v>0.05357</v>
      </c>
      <c r="J694" s="18">
        <v>0.24</v>
      </c>
      <c r="K694" s="18">
        <v>12.83</v>
      </c>
      <c r="L694" s="18">
        <v>0</v>
      </c>
      <c r="M694" s="18">
        <v>0</v>
      </c>
      <c r="N694" s="18">
        <v>0</v>
      </c>
      <c r="O694" s="18">
        <v>0</v>
      </c>
      <c r="P694" s="18">
        <v>0</v>
      </c>
      <c r="Q694" s="18">
        <v>0</v>
      </c>
      <c r="R694" s="18">
        <v>0</v>
      </c>
      <c r="S694" s="18">
        <v>0</v>
      </c>
      <c r="T694" s="18">
        <v>0</v>
      </c>
      <c r="U694" s="18">
        <v>0</v>
      </c>
      <c r="V694" s="18">
        <v>0</v>
      </c>
      <c r="W694" s="18">
        <v>0</v>
      </c>
      <c r="X694" s="18">
        <v>0</v>
      </c>
      <c r="Y694" s="18">
        <v>0</v>
      </c>
      <c r="Z694" s="18">
        <v>0</v>
      </c>
      <c r="AA694" s="18"/>
      <c r="AB694" s="18">
        <v>2</v>
      </c>
      <c r="AC694" s="18">
        <v>1</v>
      </c>
      <c r="AD694" s="18">
        <v>1</v>
      </c>
      <c r="AE694" s="18">
        <v>0.02381</v>
      </c>
      <c r="AF694" s="18">
        <v>1</v>
      </c>
      <c r="AG694" s="18">
        <v>0</v>
      </c>
      <c r="AH694" s="18"/>
      <c r="AI694" s="18">
        <v>3</v>
      </c>
      <c r="AJ694" s="18">
        <v>6.71</v>
      </c>
      <c r="AK694" s="18">
        <v>3</v>
      </c>
      <c r="AL694" s="18">
        <v>6.71</v>
      </c>
      <c r="AM694" s="18">
        <v>1</v>
      </c>
      <c r="AN694" s="18">
        <v>20.12</v>
      </c>
      <c r="AO694" s="18">
        <v>0.0119</v>
      </c>
      <c r="AP694" s="18">
        <v>10.06</v>
      </c>
      <c r="AQ694" s="18">
        <v>0</v>
      </c>
      <c r="AR694" s="18">
        <v>0</v>
      </c>
      <c r="AS694" s="18">
        <v>1</v>
      </c>
      <c r="AT694" s="18">
        <v>0</v>
      </c>
      <c r="AU694" s="18">
        <v>0</v>
      </c>
      <c r="AV694" s="18">
        <v>0</v>
      </c>
      <c r="AW694" s="18">
        <v>0</v>
      </c>
      <c r="AX694" s="18">
        <v>0</v>
      </c>
      <c r="AY694" s="18">
        <v>157</v>
      </c>
      <c r="AZ694" s="18">
        <v>84</v>
      </c>
      <c r="BA694" s="18">
        <v>80</v>
      </c>
      <c r="BB694" s="18">
        <v>0.95238</v>
      </c>
      <c r="BC694" s="18">
        <v>0</v>
      </c>
      <c r="BD694" s="18">
        <v>0</v>
      </c>
      <c r="BE694" s="18">
        <v>0.10013</v>
      </c>
      <c r="BF694" s="18">
        <v>68</v>
      </c>
      <c r="BG694" s="18">
        <v>2</v>
      </c>
      <c r="BH694" s="18">
        <v>0</v>
      </c>
      <c r="BI694" s="18"/>
      <c r="BJ694" s="18">
        <v>0</v>
      </c>
      <c r="BK694" s="18">
        <v>0</v>
      </c>
      <c r="BL694" s="18">
        <v>0</v>
      </c>
      <c r="BM694" s="18">
        <v>0</v>
      </c>
      <c r="BN694" s="18"/>
      <c r="BO694" s="18"/>
      <c r="BP694" s="18">
        <v>0</v>
      </c>
      <c r="BQ694" s="18">
        <v>2450</v>
      </c>
      <c r="BR694" s="18">
        <v>0</v>
      </c>
      <c r="BS694" s="18">
        <v>0</v>
      </c>
      <c r="BT694" s="18">
        <v>0</v>
      </c>
      <c r="BU694" s="18">
        <v>0</v>
      </c>
      <c r="BV694" s="18">
        <v>0</v>
      </c>
      <c r="BW694" s="18">
        <v>0</v>
      </c>
      <c r="BX694" s="18">
        <v>0</v>
      </c>
    </row>
    <row r="695" spans="2:76">
      <c r="B695" s="19">
        <v>46121</v>
      </c>
      <c r="C695" s="20">
        <v>960406497157</v>
      </c>
      <c r="D695" s="18" t="s">
        <v>151</v>
      </c>
      <c r="E695" s="18" t="s">
        <v>156</v>
      </c>
      <c r="F695" s="18">
        <v>37</v>
      </c>
      <c r="G695" s="18">
        <v>0</v>
      </c>
      <c r="H695" s="18">
        <v>0</v>
      </c>
      <c r="I695" s="18">
        <v>0</v>
      </c>
      <c r="J695" s="18"/>
      <c r="K695" s="18">
        <v>0</v>
      </c>
      <c r="L695" s="18">
        <v>0</v>
      </c>
      <c r="M695" s="18">
        <v>0</v>
      </c>
      <c r="N695" s="18">
        <v>0</v>
      </c>
      <c r="O695" s="18">
        <v>0</v>
      </c>
      <c r="P695" s="18">
        <v>0</v>
      </c>
      <c r="Q695" s="18">
        <v>0</v>
      </c>
      <c r="R695" s="18">
        <v>0</v>
      </c>
      <c r="S695" s="18">
        <v>0</v>
      </c>
      <c r="T695" s="18">
        <v>0</v>
      </c>
      <c r="U695" s="18">
        <v>0</v>
      </c>
      <c r="V695" s="18">
        <v>0</v>
      </c>
      <c r="W695" s="18">
        <v>0</v>
      </c>
      <c r="X695" s="18"/>
      <c r="Y695" s="18"/>
      <c r="Z695" s="18"/>
      <c r="AA695" s="18"/>
      <c r="AB695" s="18">
        <v>0</v>
      </c>
      <c r="AC695" s="18">
        <v>0</v>
      </c>
      <c r="AD695" s="18">
        <v>0</v>
      </c>
      <c r="AE695" s="18"/>
      <c r="AF695" s="18">
        <v>0</v>
      </c>
      <c r="AG695" s="18">
        <v>0</v>
      </c>
      <c r="AH695" s="18"/>
      <c r="AI695" s="18">
        <v>0</v>
      </c>
      <c r="AJ695" s="18"/>
      <c r="AK695" s="18">
        <v>0</v>
      </c>
      <c r="AL695" s="18"/>
      <c r="AM695" s="18">
        <v>0</v>
      </c>
      <c r="AN695" s="18"/>
      <c r="AO695" s="18"/>
      <c r="AP695" s="18"/>
      <c r="AQ695" s="18">
        <v>0</v>
      </c>
      <c r="AR695" s="18">
        <v>0</v>
      </c>
      <c r="AS695" s="18">
        <v>0</v>
      </c>
      <c r="AT695" s="18">
        <v>0</v>
      </c>
      <c r="AU695" s="18">
        <v>0</v>
      </c>
      <c r="AV695" s="18">
        <v>0</v>
      </c>
      <c r="AW695" s="18">
        <v>0</v>
      </c>
      <c r="AX695" s="18">
        <v>0</v>
      </c>
      <c r="AY695" s="18">
        <v>0</v>
      </c>
      <c r="AZ695" s="18">
        <v>0</v>
      </c>
      <c r="BA695" s="18">
        <v>0</v>
      </c>
      <c r="BB695" s="18"/>
      <c r="BC695" s="18"/>
      <c r="BD695" s="18">
        <v>0</v>
      </c>
      <c r="BE695" s="18">
        <v>0</v>
      </c>
      <c r="BF695" s="18">
        <v>0</v>
      </c>
      <c r="BG695" s="18"/>
      <c r="BH695" s="18">
        <v>0</v>
      </c>
      <c r="BI695" s="18"/>
      <c r="BJ695" s="18">
        <v>0</v>
      </c>
      <c r="BK695" s="18">
        <v>0</v>
      </c>
      <c r="BL695" s="18">
        <v>0</v>
      </c>
      <c r="BM695" s="18">
        <v>0</v>
      </c>
      <c r="BN695" s="18"/>
      <c r="BO695" s="18"/>
      <c r="BP695" s="18">
        <v>0</v>
      </c>
      <c r="BQ695" s="18">
        <v>0</v>
      </c>
      <c r="BR695" s="18">
        <v>0</v>
      </c>
      <c r="BS695" s="18">
        <v>0</v>
      </c>
      <c r="BT695" s="18">
        <v>0</v>
      </c>
      <c r="BU695" s="18">
        <v>0</v>
      </c>
      <c r="BV695" s="18">
        <v>0</v>
      </c>
      <c r="BW695" s="18">
        <v>0</v>
      </c>
      <c r="BX695" s="18">
        <v>0</v>
      </c>
    </row>
    <row r="696" spans="2:76">
      <c r="B696" s="19">
        <v>46121</v>
      </c>
      <c r="C696" s="20">
        <v>838711327669</v>
      </c>
      <c r="D696" s="18" t="s">
        <v>151</v>
      </c>
      <c r="E696" s="18" t="s">
        <v>153</v>
      </c>
      <c r="F696" s="18">
        <v>730</v>
      </c>
      <c r="G696" s="18">
        <v>36</v>
      </c>
      <c r="H696" s="18">
        <v>180</v>
      </c>
      <c r="I696" s="18">
        <v>0.04932</v>
      </c>
      <c r="J696" s="18">
        <v>5</v>
      </c>
      <c r="K696" s="18">
        <v>246.58</v>
      </c>
      <c r="L696" s="18">
        <v>0</v>
      </c>
      <c r="M696" s="18">
        <v>0</v>
      </c>
      <c r="N696" s="18">
        <v>0</v>
      </c>
      <c r="O696" s="18">
        <v>0</v>
      </c>
      <c r="P696" s="18">
        <v>0</v>
      </c>
      <c r="Q696" s="18">
        <v>0</v>
      </c>
      <c r="R696" s="18">
        <v>0</v>
      </c>
      <c r="S696" s="18">
        <v>2574</v>
      </c>
      <c r="T696" s="18">
        <v>2574</v>
      </c>
      <c r="U696" s="18">
        <v>3</v>
      </c>
      <c r="V696" s="18">
        <v>0</v>
      </c>
      <c r="W696" s="18">
        <v>3</v>
      </c>
      <c r="X696" s="18">
        <v>0.08333</v>
      </c>
      <c r="Y696" s="18">
        <v>14.3</v>
      </c>
      <c r="Z696" s="18">
        <v>14.3</v>
      </c>
      <c r="AA696" s="18">
        <v>60</v>
      </c>
      <c r="AB696" s="18">
        <v>3</v>
      </c>
      <c r="AC696" s="18">
        <v>0</v>
      </c>
      <c r="AD696" s="18">
        <v>3</v>
      </c>
      <c r="AE696" s="18">
        <v>0.08333</v>
      </c>
      <c r="AF696" s="18">
        <v>0</v>
      </c>
      <c r="AG696" s="18">
        <v>1</v>
      </c>
      <c r="AH696" s="18">
        <v>180</v>
      </c>
      <c r="AI696" s="18">
        <v>4</v>
      </c>
      <c r="AJ696" s="18">
        <v>45</v>
      </c>
      <c r="AK696" s="18">
        <v>3</v>
      </c>
      <c r="AL696" s="18">
        <v>60</v>
      </c>
      <c r="AM696" s="18">
        <v>1</v>
      </c>
      <c r="AN696" s="18"/>
      <c r="AO696" s="18">
        <v>0</v>
      </c>
      <c r="AP696" s="18">
        <v>60</v>
      </c>
      <c r="AQ696" s="18">
        <v>4</v>
      </c>
      <c r="AR696" s="18">
        <v>3336.9</v>
      </c>
      <c r="AS696" s="18">
        <v>0</v>
      </c>
      <c r="AT696" s="18">
        <v>0</v>
      </c>
      <c r="AU696" s="18">
        <v>0</v>
      </c>
      <c r="AV696" s="18">
        <v>0</v>
      </c>
      <c r="AW696" s="18">
        <v>0</v>
      </c>
      <c r="AX696" s="18">
        <v>1</v>
      </c>
      <c r="AY696" s="18">
        <v>59</v>
      </c>
      <c r="AZ696" s="18">
        <v>22</v>
      </c>
      <c r="BA696" s="18">
        <v>15</v>
      </c>
      <c r="BB696" s="18">
        <v>0.68182</v>
      </c>
      <c r="BC696" s="18">
        <v>0</v>
      </c>
      <c r="BD696" s="18">
        <v>0</v>
      </c>
      <c r="BE696" s="18">
        <v>0.08082</v>
      </c>
      <c r="BF696" s="18">
        <v>24</v>
      </c>
      <c r="BG696" s="18">
        <v>3</v>
      </c>
      <c r="BH696" s="18">
        <v>1</v>
      </c>
      <c r="BI696" s="18">
        <v>1</v>
      </c>
      <c r="BJ696" s="18">
        <v>0</v>
      </c>
      <c r="BK696" s="18">
        <v>0</v>
      </c>
      <c r="BL696" s="18">
        <v>0</v>
      </c>
      <c r="BM696" s="18">
        <v>1</v>
      </c>
      <c r="BN696" s="18">
        <v>3</v>
      </c>
      <c r="BO696" s="18">
        <v>2574</v>
      </c>
      <c r="BP696" s="18">
        <v>12.29</v>
      </c>
      <c r="BQ696" s="18">
        <v>257</v>
      </c>
      <c r="BR696" s="18">
        <v>0</v>
      </c>
      <c r="BS696" s="18">
        <v>0</v>
      </c>
      <c r="BT696" s="18">
        <v>0</v>
      </c>
      <c r="BU696" s="18">
        <v>0</v>
      </c>
      <c r="BV696" s="18">
        <v>0</v>
      </c>
      <c r="BW696" s="18">
        <v>0</v>
      </c>
      <c r="BX696" s="18">
        <v>0</v>
      </c>
    </row>
    <row r="697" spans="2:76">
      <c r="B697" s="19">
        <v>46121</v>
      </c>
      <c r="C697" s="20">
        <v>833369552621</v>
      </c>
      <c r="D697" s="18" t="s">
        <v>151</v>
      </c>
      <c r="E697" s="18" t="s">
        <v>154</v>
      </c>
      <c r="F697" s="18">
        <v>2061</v>
      </c>
      <c r="G697" s="18">
        <v>87</v>
      </c>
      <c r="H697" s="18">
        <v>24.04</v>
      </c>
      <c r="I697" s="18">
        <v>0.04221</v>
      </c>
      <c r="J697" s="18">
        <v>0.28</v>
      </c>
      <c r="K697" s="18">
        <v>11.66</v>
      </c>
      <c r="L697" s="18">
        <v>0</v>
      </c>
      <c r="M697" s="18">
        <v>0</v>
      </c>
      <c r="N697" s="18">
        <v>0</v>
      </c>
      <c r="O697" s="18">
        <v>0</v>
      </c>
      <c r="P697" s="18">
        <v>0</v>
      </c>
      <c r="Q697" s="18">
        <v>0</v>
      </c>
      <c r="R697" s="18">
        <v>0</v>
      </c>
      <c r="S697" s="18">
        <v>0</v>
      </c>
      <c r="T697" s="18">
        <v>0</v>
      </c>
      <c r="U697" s="18">
        <v>0</v>
      </c>
      <c r="V697" s="18">
        <v>0</v>
      </c>
      <c r="W697" s="18">
        <v>0</v>
      </c>
      <c r="X697" s="18">
        <v>0</v>
      </c>
      <c r="Y697" s="18">
        <v>0</v>
      </c>
      <c r="Z697" s="18">
        <v>0</v>
      </c>
      <c r="AA697" s="18"/>
      <c r="AB697" s="18">
        <v>0</v>
      </c>
      <c r="AC697" s="18">
        <v>0</v>
      </c>
      <c r="AD697" s="18">
        <v>0</v>
      </c>
      <c r="AE697" s="18">
        <v>0</v>
      </c>
      <c r="AF697" s="18">
        <v>0</v>
      </c>
      <c r="AG697" s="18">
        <v>0</v>
      </c>
      <c r="AH697" s="18"/>
      <c r="AI697" s="18">
        <v>0</v>
      </c>
      <c r="AJ697" s="18"/>
      <c r="AK697" s="18">
        <v>0</v>
      </c>
      <c r="AL697" s="18"/>
      <c r="AM697" s="18">
        <v>0</v>
      </c>
      <c r="AN697" s="18"/>
      <c r="AO697" s="18">
        <v>0</v>
      </c>
      <c r="AP697" s="18"/>
      <c r="AQ697" s="18">
        <v>0</v>
      </c>
      <c r="AR697" s="18">
        <v>0</v>
      </c>
      <c r="AS697" s="18">
        <v>0</v>
      </c>
      <c r="AT697" s="18">
        <v>0</v>
      </c>
      <c r="AU697" s="18">
        <v>0</v>
      </c>
      <c r="AV697" s="18">
        <v>0</v>
      </c>
      <c r="AW697" s="18">
        <v>0</v>
      </c>
      <c r="AX697" s="18">
        <v>0</v>
      </c>
      <c r="AY697" s="18">
        <v>167</v>
      </c>
      <c r="AZ697" s="18">
        <v>91</v>
      </c>
      <c r="BA697" s="18">
        <v>79</v>
      </c>
      <c r="BB697" s="18">
        <v>0.86813</v>
      </c>
      <c r="BC697" s="18">
        <v>0</v>
      </c>
      <c r="BD697" s="18">
        <v>0</v>
      </c>
      <c r="BE697" s="18">
        <v>0.08103</v>
      </c>
      <c r="BF697" s="18">
        <v>49</v>
      </c>
      <c r="BG697" s="18">
        <v>2</v>
      </c>
      <c r="BH697" s="18">
        <v>0</v>
      </c>
      <c r="BI697" s="18"/>
      <c r="BJ697" s="18">
        <v>0</v>
      </c>
      <c r="BK697" s="18">
        <v>0</v>
      </c>
      <c r="BL697" s="18">
        <v>0</v>
      </c>
      <c r="BM697" s="18">
        <v>0</v>
      </c>
      <c r="BN697" s="18"/>
      <c r="BO697" s="18"/>
      <c r="BP697" s="18">
        <v>0</v>
      </c>
      <c r="BQ697" s="18">
        <v>10</v>
      </c>
      <c r="BR697" s="18">
        <v>0</v>
      </c>
      <c r="BS697" s="18">
        <v>0</v>
      </c>
      <c r="BT697" s="18">
        <v>0</v>
      </c>
      <c r="BU697" s="18">
        <v>0</v>
      </c>
      <c r="BV697" s="18">
        <v>0</v>
      </c>
      <c r="BW697" s="18">
        <v>0</v>
      </c>
      <c r="BX697" s="18">
        <v>0</v>
      </c>
    </row>
    <row r="698" spans="2:76">
      <c r="B698" s="19">
        <v>46120</v>
      </c>
      <c r="C698" s="20">
        <v>1010789122929</v>
      </c>
      <c r="D698" s="18" t="s">
        <v>151</v>
      </c>
      <c r="E698" s="18" t="s">
        <v>179</v>
      </c>
      <c r="F698" s="18">
        <v>6613</v>
      </c>
      <c r="G698" s="18">
        <v>148</v>
      </c>
      <c r="H698" s="18">
        <v>211.61</v>
      </c>
      <c r="I698" s="18">
        <v>0.02238</v>
      </c>
      <c r="J698" s="18">
        <v>1.43</v>
      </c>
      <c r="K698" s="18">
        <v>32</v>
      </c>
      <c r="L698" s="18">
        <v>0</v>
      </c>
      <c r="M698" s="18">
        <v>0</v>
      </c>
      <c r="N698" s="18">
        <v>0</v>
      </c>
      <c r="O698" s="18">
        <v>0</v>
      </c>
      <c r="P698" s="18">
        <v>0</v>
      </c>
      <c r="Q698" s="18">
        <v>0</v>
      </c>
      <c r="R698" s="18">
        <v>233.93</v>
      </c>
      <c r="S698" s="18">
        <v>0</v>
      </c>
      <c r="T698" s="18">
        <v>233.93</v>
      </c>
      <c r="U698" s="18">
        <v>1</v>
      </c>
      <c r="V698" s="18">
        <v>1</v>
      </c>
      <c r="W698" s="18">
        <v>0</v>
      </c>
      <c r="X698" s="18">
        <v>0.00676</v>
      </c>
      <c r="Y698" s="18">
        <v>1.11</v>
      </c>
      <c r="Z698" s="18">
        <v>1.11</v>
      </c>
      <c r="AA698" s="18">
        <v>211.61</v>
      </c>
      <c r="AB698" s="18">
        <v>3</v>
      </c>
      <c r="AC698" s="18">
        <v>2</v>
      </c>
      <c r="AD698" s="18">
        <v>1</v>
      </c>
      <c r="AE698" s="18">
        <v>0.02027</v>
      </c>
      <c r="AF698" s="18">
        <v>3</v>
      </c>
      <c r="AG698" s="18">
        <v>3</v>
      </c>
      <c r="AH698" s="18">
        <v>70.54</v>
      </c>
      <c r="AI698" s="18">
        <v>9</v>
      </c>
      <c r="AJ698" s="18">
        <v>23.51</v>
      </c>
      <c r="AK698" s="18">
        <v>6</v>
      </c>
      <c r="AL698" s="18">
        <v>35.27</v>
      </c>
      <c r="AM698" s="18">
        <v>6</v>
      </c>
      <c r="AN698" s="18">
        <v>70.54</v>
      </c>
      <c r="AO698" s="18">
        <v>0.02027</v>
      </c>
      <c r="AP698" s="18">
        <v>70.54</v>
      </c>
      <c r="AQ698" s="18">
        <v>2</v>
      </c>
      <c r="AR698" s="18">
        <v>368</v>
      </c>
      <c r="AS698" s="18">
        <v>1</v>
      </c>
      <c r="AT698" s="18">
        <v>2</v>
      </c>
      <c r="AU698" s="18">
        <v>0</v>
      </c>
      <c r="AV698" s="18">
        <v>0</v>
      </c>
      <c r="AW698" s="18">
        <v>0</v>
      </c>
      <c r="AX698" s="18">
        <v>0</v>
      </c>
      <c r="AY698" s="18">
        <v>268</v>
      </c>
      <c r="AZ698" s="18">
        <v>143</v>
      </c>
      <c r="BA698" s="18">
        <v>124</v>
      </c>
      <c r="BB698" s="18">
        <v>0.86713</v>
      </c>
      <c r="BC698" s="18">
        <v>0</v>
      </c>
      <c r="BD698" s="18">
        <v>0</v>
      </c>
      <c r="BE698" s="18">
        <v>0.04053</v>
      </c>
      <c r="BF698" s="18">
        <v>106</v>
      </c>
      <c r="BG698" s="18">
        <v>2</v>
      </c>
      <c r="BH698" s="18">
        <v>1</v>
      </c>
      <c r="BI698" s="18">
        <v>1</v>
      </c>
      <c r="BJ698" s="18">
        <v>0</v>
      </c>
      <c r="BK698" s="18">
        <v>0</v>
      </c>
      <c r="BL698" s="18">
        <v>0</v>
      </c>
      <c r="BM698" s="18">
        <v>1</v>
      </c>
      <c r="BN698" s="18">
        <v>1</v>
      </c>
      <c r="BO698" s="18">
        <v>233.93</v>
      </c>
      <c r="BP698" s="18">
        <v>162.21</v>
      </c>
      <c r="BQ698" s="18">
        <v>416</v>
      </c>
      <c r="BR698" s="18">
        <v>0</v>
      </c>
      <c r="BS698" s="18">
        <v>0</v>
      </c>
      <c r="BT698" s="18">
        <v>0</v>
      </c>
      <c r="BU698" s="18">
        <v>0</v>
      </c>
      <c r="BV698" s="18">
        <v>0</v>
      </c>
      <c r="BW698" s="18">
        <v>0</v>
      </c>
      <c r="BX698" s="18">
        <v>0</v>
      </c>
    </row>
    <row r="699" spans="2:76">
      <c r="B699" s="19">
        <v>46120</v>
      </c>
      <c r="C699" s="20">
        <v>971859969014</v>
      </c>
      <c r="D699" s="18" t="s">
        <v>151</v>
      </c>
      <c r="E699" s="18" t="s">
        <v>182</v>
      </c>
      <c r="F699" s="18">
        <v>135</v>
      </c>
      <c r="G699" s="18">
        <v>6</v>
      </c>
      <c r="H699" s="18">
        <v>1.94</v>
      </c>
      <c r="I699" s="18">
        <v>0.04444</v>
      </c>
      <c r="J699" s="18">
        <v>0.32</v>
      </c>
      <c r="K699" s="18">
        <v>14.37</v>
      </c>
      <c r="L699" s="18">
        <v>0</v>
      </c>
      <c r="M699" s="18">
        <v>0</v>
      </c>
      <c r="N699" s="18">
        <v>0</v>
      </c>
      <c r="O699" s="18">
        <v>0</v>
      </c>
      <c r="P699" s="18">
        <v>0</v>
      </c>
      <c r="Q699" s="18">
        <v>0</v>
      </c>
      <c r="R699" s="18">
        <v>0</v>
      </c>
      <c r="S699" s="18">
        <v>0</v>
      </c>
      <c r="T699" s="18">
        <v>0</v>
      </c>
      <c r="U699" s="18">
        <v>0</v>
      </c>
      <c r="V699" s="18">
        <v>0</v>
      </c>
      <c r="W699" s="18">
        <v>0</v>
      </c>
      <c r="X699" s="18">
        <v>0</v>
      </c>
      <c r="Y699" s="18">
        <v>0</v>
      </c>
      <c r="Z699" s="18">
        <v>0</v>
      </c>
      <c r="AA699" s="18"/>
      <c r="AB699" s="18">
        <v>0</v>
      </c>
      <c r="AC699" s="18">
        <v>0</v>
      </c>
      <c r="AD699" s="18">
        <v>0</v>
      </c>
      <c r="AE699" s="18">
        <v>0</v>
      </c>
      <c r="AF699" s="18">
        <v>0</v>
      </c>
      <c r="AG699" s="18">
        <v>0</v>
      </c>
      <c r="AH699" s="18"/>
      <c r="AI699" s="18">
        <v>0</v>
      </c>
      <c r="AJ699" s="18"/>
      <c r="AK699" s="18">
        <v>0</v>
      </c>
      <c r="AL699" s="18"/>
      <c r="AM699" s="18">
        <v>0</v>
      </c>
      <c r="AN699" s="18"/>
      <c r="AO699" s="18">
        <v>0</v>
      </c>
      <c r="AP699" s="18"/>
      <c r="AQ699" s="18">
        <v>0</v>
      </c>
      <c r="AR699" s="18">
        <v>0</v>
      </c>
      <c r="AS699" s="18">
        <v>0</v>
      </c>
      <c r="AT699" s="18">
        <v>0</v>
      </c>
      <c r="AU699" s="18">
        <v>0</v>
      </c>
      <c r="AV699" s="18">
        <v>0</v>
      </c>
      <c r="AW699" s="18">
        <v>0</v>
      </c>
      <c r="AX699" s="18">
        <v>0</v>
      </c>
      <c r="AY699" s="18">
        <v>7</v>
      </c>
      <c r="AZ699" s="18">
        <v>6</v>
      </c>
      <c r="BA699" s="18">
        <v>5</v>
      </c>
      <c r="BB699" s="18">
        <v>0.83333</v>
      </c>
      <c r="BC699" s="18">
        <v>0</v>
      </c>
      <c r="BD699" s="18">
        <v>0</v>
      </c>
      <c r="BE699" s="18">
        <v>0.05185</v>
      </c>
      <c r="BF699" s="18">
        <v>1</v>
      </c>
      <c r="BG699" s="18">
        <v>1</v>
      </c>
      <c r="BH699" s="18">
        <v>0</v>
      </c>
      <c r="BI699" s="18"/>
      <c r="BJ699" s="18">
        <v>0</v>
      </c>
      <c r="BK699" s="18">
        <v>0</v>
      </c>
      <c r="BL699" s="18">
        <v>0</v>
      </c>
      <c r="BM699" s="18">
        <v>0</v>
      </c>
      <c r="BN699" s="18"/>
      <c r="BO699" s="18"/>
      <c r="BP699" s="18">
        <v>0</v>
      </c>
      <c r="BQ699" s="18">
        <v>0</v>
      </c>
      <c r="BR699" s="18">
        <v>0</v>
      </c>
      <c r="BS699" s="18">
        <v>0</v>
      </c>
      <c r="BT699" s="18">
        <v>0</v>
      </c>
      <c r="BU699" s="18">
        <v>0</v>
      </c>
      <c r="BV699" s="18">
        <v>0</v>
      </c>
      <c r="BW699" s="18">
        <v>0</v>
      </c>
      <c r="BX699" s="18">
        <v>0</v>
      </c>
    </row>
    <row r="700" spans="2:76">
      <c r="B700" s="19">
        <v>46120</v>
      </c>
      <c r="C700" s="20">
        <v>971856893567</v>
      </c>
      <c r="D700" s="18" t="s">
        <v>151</v>
      </c>
      <c r="E700" s="18" t="s">
        <v>152</v>
      </c>
      <c r="F700" s="18">
        <v>1879</v>
      </c>
      <c r="G700" s="18">
        <v>97</v>
      </c>
      <c r="H700" s="18">
        <v>28.63</v>
      </c>
      <c r="I700" s="18">
        <v>0.05162</v>
      </c>
      <c r="J700" s="18">
        <v>0.3</v>
      </c>
      <c r="K700" s="18">
        <v>15.24</v>
      </c>
      <c r="L700" s="18">
        <v>0</v>
      </c>
      <c r="M700" s="18">
        <v>0</v>
      </c>
      <c r="N700" s="18">
        <v>0</v>
      </c>
      <c r="O700" s="18">
        <v>0</v>
      </c>
      <c r="P700" s="18">
        <v>0</v>
      </c>
      <c r="Q700" s="18">
        <v>0</v>
      </c>
      <c r="R700" s="18">
        <v>0</v>
      </c>
      <c r="S700" s="18">
        <v>0</v>
      </c>
      <c r="T700" s="18">
        <v>0</v>
      </c>
      <c r="U700" s="18">
        <v>0</v>
      </c>
      <c r="V700" s="18">
        <v>0</v>
      </c>
      <c r="W700" s="18">
        <v>0</v>
      </c>
      <c r="X700" s="18">
        <v>0</v>
      </c>
      <c r="Y700" s="18">
        <v>0</v>
      </c>
      <c r="Z700" s="18">
        <v>0</v>
      </c>
      <c r="AA700" s="18"/>
      <c r="AB700" s="18">
        <v>0</v>
      </c>
      <c r="AC700" s="18">
        <v>0</v>
      </c>
      <c r="AD700" s="18">
        <v>0</v>
      </c>
      <c r="AE700" s="18">
        <v>0</v>
      </c>
      <c r="AF700" s="18">
        <v>0</v>
      </c>
      <c r="AG700" s="18">
        <v>1</v>
      </c>
      <c r="AH700" s="18">
        <v>28.63</v>
      </c>
      <c r="AI700" s="18">
        <v>1</v>
      </c>
      <c r="AJ700" s="18">
        <v>28.63</v>
      </c>
      <c r="AK700" s="18">
        <v>0</v>
      </c>
      <c r="AL700" s="18"/>
      <c r="AM700" s="18">
        <v>1</v>
      </c>
      <c r="AN700" s="18"/>
      <c r="AO700" s="18">
        <v>0</v>
      </c>
      <c r="AP700" s="18"/>
      <c r="AQ700" s="18">
        <v>0</v>
      </c>
      <c r="AR700" s="18">
        <v>0</v>
      </c>
      <c r="AS700" s="18">
        <v>0</v>
      </c>
      <c r="AT700" s="18">
        <v>0</v>
      </c>
      <c r="AU700" s="18">
        <v>0</v>
      </c>
      <c r="AV700" s="18">
        <v>0</v>
      </c>
      <c r="AW700" s="18">
        <v>0</v>
      </c>
      <c r="AX700" s="18">
        <v>1</v>
      </c>
      <c r="AY700" s="18">
        <v>138</v>
      </c>
      <c r="AZ700" s="18">
        <v>79</v>
      </c>
      <c r="BA700" s="18">
        <v>77</v>
      </c>
      <c r="BB700" s="18">
        <v>0.97468</v>
      </c>
      <c r="BC700" s="18">
        <v>0</v>
      </c>
      <c r="BD700" s="18">
        <v>0</v>
      </c>
      <c r="BE700" s="18">
        <v>0.07344</v>
      </c>
      <c r="BF700" s="18">
        <v>32</v>
      </c>
      <c r="BG700" s="18">
        <v>2</v>
      </c>
      <c r="BH700" s="18">
        <v>0</v>
      </c>
      <c r="BI700" s="18"/>
      <c r="BJ700" s="18">
        <v>0</v>
      </c>
      <c r="BK700" s="18">
        <v>0</v>
      </c>
      <c r="BL700" s="18">
        <v>0</v>
      </c>
      <c r="BM700" s="18">
        <v>0</v>
      </c>
      <c r="BN700" s="18"/>
      <c r="BO700" s="18"/>
      <c r="BP700" s="18">
        <v>0</v>
      </c>
      <c r="BQ700" s="18">
        <v>11</v>
      </c>
      <c r="BR700" s="18">
        <v>0</v>
      </c>
      <c r="BS700" s="18">
        <v>0</v>
      </c>
      <c r="BT700" s="18">
        <v>0</v>
      </c>
      <c r="BU700" s="18">
        <v>0</v>
      </c>
      <c r="BV700" s="18">
        <v>0</v>
      </c>
      <c r="BW700" s="18">
        <v>0</v>
      </c>
      <c r="BX700" s="18">
        <v>0</v>
      </c>
    </row>
    <row r="701" spans="2:76">
      <c r="B701" s="19">
        <v>46120</v>
      </c>
      <c r="C701" s="20">
        <v>838711327669</v>
      </c>
      <c r="D701" s="18" t="s">
        <v>151</v>
      </c>
      <c r="E701" s="18" t="s">
        <v>153</v>
      </c>
      <c r="F701" s="18">
        <v>1338</v>
      </c>
      <c r="G701" s="18">
        <v>44</v>
      </c>
      <c r="H701" s="18">
        <v>55.65</v>
      </c>
      <c r="I701" s="18">
        <v>0.03288</v>
      </c>
      <c r="J701" s="18">
        <v>1.26</v>
      </c>
      <c r="K701" s="18">
        <v>41.59</v>
      </c>
      <c r="L701" s="18">
        <v>0</v>
      </c>
      <c r="M701" s="18">
        <v>0</v>
      </c>
      <c r="N701" s="18">
        <v>0</v>
      </c>
      <c r="O701" s="18">
        <v>0</v>
      </c>
      <c r="P701" s="18">
        <v>0</v>
      </c>
      <c r="Q701" s="18">
        <v>0</v>
      </c>
      <c r="R701" s="18">
        <v>0</v>
      </c>
      <c r="S701" s="18">
        <v>0</v>
      </c>
      <c r="T701" s="18">
        <v>0</v>
      </c>
      <c r="U701" s="18">
        <v>0</v>
      </c>
      <c r="V701" s="18">
        <v>0</v>
      </c>
      <c r="W701" s="18">
        <v>0</v>
      </c>
      <c r="X701" s="18">
        <v>0</v>
      </c>
      <c r="Y701" s="18">
        <v>0</v>
      </c>
      <c r="Z701" s="18">
        <v>0</v>
      </c>
      <c r="AA701" s="18"/>
      <c r="AB701" s="18">
        <v>3</v>
      </c>
      <c r="AC701" s="18">
        <v>3</v>
      </c>
      <c r="AD701" s="18">
        <v>0</v>
      </c>
      <c r="AE701" s="18">
        <v>0.06818</v>
      </c>
      <c r="AF701" s="18">
        <v>0</v>
      </c>
      <c r="AG701" s="18">
        <v>0</v>
      </c>
      <c r="AH701" s="18"/>
      <c r="AI701" s="18">
        <v>3</v>
      </c>
      <c r="AJ701" s="18">
        <v>18.55</v>
      </c>
      <c r="AK701" s="18">
        <v>3</v>
      </c>
      <c r="AL701" s="18">
        <v>18.55</v>
      </c>
      <c r="AM701" s="18">
        <v>0</v>
      </c>
      <c r="AN701" s="18"/>
      <c r="AO701" s="18">
        <v>0</v>
      </c>
      <c r="AP701" s="18">
        <v>18.55</v>
      </c>
      <c r="AQ701" s="18">
        <v>0</v>
      </c>
      <c r="AR701" s="18">
        <v>0</v>
      </c>
      <c r="AS701" s="18">
        <v>0</v>
      </c>
      <c r="AT701" s="18">
        <v>0</v>
      </c>
      <c r="AU701" s="18">
        <v>0</v>
      </c>
      <c r="AV701" s="18">
        <v>0</v>
      </c>
      <c r="AW701" s="18">
        <v>0</v>
      </c>
      <c r="AX701" s="18">
        <v>1</v>
      </c>
      <c r="AY701" s="18">
        <v>125</v>
      </c>
      <c r="AZ701" s="18">
        <v>38</v>
      </c>
      <c r="BA701" s="18">
        <v>27</v>
      </c>
      <c r="BB701" s="18">
        <v>0.71053</v>
      </c>
      <c r="BC701" s="18">
        <v>0</v>
      </c>
      <c r="BD701" s="18">
        <v>0</v>
      </c>
      <c r="BE701" s="18">
        <v>0.09342</v>
      </c>
      <c r="BF701" s="18">
        <v>74</v>
      </c>
      <c r="BG701" s="18">
        <v>3</v>
      </c>
      <c r="BH701" s="18">
        <v>0</v>
      </c>
      <c r="BI701" s="18"/>
      <c r="BJ701" s="18">
        <v>0</v>
      </c>
      <c r="BK701" s="18">
        <v>0</v>
      </c>
      <c r="BL701" s="18">
        <v>0</v>
      </c>
      <c r="BM701" s="18">
        <v>0</v>
      </c>
      <c r="BN701" s="18"/>
      <c r="BO701" s="18"/>
      <c r="BP701" s="18">
        <v>0</v>
      </c>
      <c r="BQ701" s="18">
        <v>147</v>
      </c>
      <c r="BR701" s="18">
        <v>0</v>
      </c>
      <c r="BS701" s="18">
        <v>0</v>
      </c>
      <c r="BT701" s="18">
        <v>0</v>
      </c>
      <c r="BU701" s="18">
        <v>0</v>
      </c>
      <c r="BV701" s="18">
        <v>0</v>
      </c>
      <c r="BW701" s="18">
        <v>0</v>
      </c>
      <c r="BX701" s="18">
        <v>0</v>
      </c>
    </row>
    <row r="702" spans="2:76">
      <c r="B702" s="19">
        <v>46120</v>
      </c>
      <c r="C702" s="20">
        <v>833369552621</v>
      </c>
      <c r="D702" s="18" t="s">
        <v>151</v>
      </c>
      <c r="E702" s="18" t="s">
        <v>154</v>
      </c>
      <c r="F702" s="18">
        <v>3258</v>
      </c>
      <c r="G702" s="18">
        <v>78</v>
      </c>
      <c r="H702" s="18">
        <v>26.6</v>
      </c>
      <c r="I702" s="18">
        <v>0.02394</v>
      </c>
      <c r="J702" s="18">
        <v>0.34</v>
      </c>
      <c r="K702" s="18">
        <v>8.16</v>
      </c>
      <c r="L702" s="18">
        <v>0</v>
      </c>
      <c r="M702" s="18">
        <v>0</v>
      </c>
      <c r="N702" s="18">
        <v>0</v>
      </c>
      <c r="O702" s="18">
        <v>0</v>
      </c>
      <c r="P702" s="18">
        <v>0</v>
      </c>
      <c r="Q702" s="18">
        <v>0</v>
      </c>
      <c r="R702" s="18">
        <v>0</v>
      </c>
      <c r="S702" s="18">
        <v>0</v>
      </c>
      <c r="T702" s="18">
        <v>0</v>
      </c>
      <c r="U702" s="18">
        <v>0</v>
      </c>
      <c r="V702" s="18">
        <v>0</v>
      </c>
      <c r="W702" s="18">
        <v>0</v>
      </c>
      <c r="X702" s="18">
        <v>0</v>
      </c>
      <c r="Y702" s="18">
        <v>0</v>
      </c>
      <c r="Z702" s="18">
        <v>0</v>
      </c>
      <c r="AA702" s="18"/>
      <c r="AB702" s="18">
        <v>0</v>
      </c>
      <c r="AC702" s="18">
        <v>0</v>
      </c>
      <c r="AD702" s="18">
        <v>0</v>
      </c>
      <c r="AE702" s="18">
        <v>0</v>
      </c>
      <c r="AF702" s="18">
        <v>1</v>
      </c>
      <c r="AG702" s="18">
        <v>0</v>
      </c>
      <c r="AH702" s="18"/>
      <c r="AI702" s="18">
        <v>1</v>
      </c>
      <c r="AJ702" s="18">
        <v>26.6</v>
      </c>
      <c r="AK702" s="18">
        <v>1</v>
      </c>
      <c r="AL702" s="18">
        <v>26.6</v>
      </c>
      <c r="AM702" s="18">
        <v>1</v>
      </c>
      <c r="AN702" s="18">
        <v>26.6</v>
      </c>
      <c r="AO702" s="18">
        <v>0.01282</v>
      </c>
      <c r="AP702" s="18"/>
      <c r="AQ702" s="18">
        <v>0</v>
      </c>
      <c r="AR702" s="18">
        <v>0</v>
      </c>
      <c r="AS702" s="18">
        <v>1</v>
      </c>
      <c r="AT702" s="18">
        <v>0</v>
      </c>
      <c r="AU702" s="18">
        <v>0</v>
      </c>
      <c r="AV702" s="18">
        <v>0</v>
      </c>
      <c r="AW702" s="18">
        <v>0</v>
      </c>
      <c r="AX702" s="18">
        <v>0</v>
      </c>
      <c r="AY702" s="18">
        <v>123</v>
      </c>
      <c r="AZ702" s="18">
        <v>83</v>
      </c>
      <c r="BA702" s="18">
        <v>76</v>
      </c>
      <c r="BB702" s="18">
        <v>0.91566</v>
      </c>
      <c r="BC702" s="18">
        <v>0</v>
      </c>
      <c r="BD702" s="18">
        <v>0</v>
      </c>
      <c r="BE702" s="18">
        <v>0.03775</v>
      </c>
      <c r="BF702" s="18">
        <v>19</v>
      </c>
      <c r="BG702" s="18">
        <v>1</v>
      </c>
      <c r="BH702" s="18">
        <v>0</v>
      </c>
      <c r="BI702" s="18"/>
      <c r="BJ702" s="18">
        <v>0</v>
      </c>
      <c r="BK702" s="18">
        <v>0</v>
      </c>
      <c r="BL702" s="18">
        <v>0</v>
      </c>
      <c r="BM702" s="18">
        <v>0</v>
      </c>
      <c r="BN702" s="18"/>
      <c r="BO702" s="18"/>
      <c r="BP702" s="18">
        <v>0</v>
      </c>
      <c r="BQ702" s="18">
        <v>1544</v>
      </c>
      <c r="BR702" s="18">
        <v>0</v>
      </c>
      <c r="BS702" s="18">
        <v>0</v>
      </c>
      <c r="BT702" s="18">
        <v>0</v>
      </c>
      <c r="BU702" s="18">
        <v>0</v>
      </c>
      <c r="BV702" s="18">
        <v>0</v>
      </c>
      <c r="BW702" s="18">
        <v>0</v>
      </c>
      <c r="BX702" s="18">
        <v>0</v>
      </c>
    </row>
    <row r="703" spans="2:76">
      <c r="B703" s="19">
        <v>46119</v>
      </c>
      <c r="C703" s="20">
        <v>1010789122929</v>
      </c>
      <c r="D703" s="18" t="s">
        <v>151</v>
      </c>
      <c r="E703" s="18" t="s">
        <v>179</v>
      </c>
      <c r="F703" s="18">
        <v>2533</v>
      </c>
      <c r="G703" s="18">
        <v>64</v>
      </c>
      <c r="H703" s="18">
        <v>100</v>
      </c>
      <c r="I703" s="18">
        <v>0.02527</v>
      </c>
      <c r="J703" s="18">
        <v>1.56</v>
      </c>
      <c r="K703" s="18">
        <v>39.48</v>
      </c>
      <c r="L703" s="18">
        <v>0</v>
      </c>
      <c r="M703" s="18">
        <v>0</v>
      </c>
      <c r="N703" s="18">
        <v>0</v>
      </c>
      <c r="O703" s="18">
        <v>0</v>
      </c>
      <c r="P703" s="18">
        <v>0</v>
      </c>
      <c r="Q703" s="18">
        <v>0</v>
      </c>
      <c r="R703" s="18">
        <v>0</v>
      </c>
      <c r="S703" s="18">
        <v>43.9</v>
      </c>
      <c r="T703" s="18">
        <v>43.9</v>
      </c>
      <c r="U703" s="18">
        <v>1</v>
      </c>
      <c r="V703" s="18">
        <v>0</v>
      </c>
      <c r="W703" s="18">
        <v>1</v>
      </c>
      <c r="X703" s="18">
        <v>0.01563</v>
      </c>
      <c r="Y703" s="18">
        <v>0.44</v>
      </c>
      <c r="Z703" s="18">
        <v>0.44</v>
      </c>
      <c r="AA703" s="18">
        <v>100</v>
      </c>
      <c r="AB703" s="18">
        <v>3</v>
      </c>
      <c r="AC703" s="18">
        <v>0</v>
      </c>
      <c r="AD703" s="18">
        <v>3</v>
      </c>
      <c r="AE703" s="18">
        <v>0.04688</v>
      </c>
      <c r="AF703" s="18">
        <v>1</v>
      </c>
      <c r="AG703" s="18">
        <v>0</v>
      </c>
      <c r="AH703" s="18"/>
      <c r="AI703" s="18">
        <v>4</v>
      </c>
      <c r="AJ703" s="18">
        <v>25</v>
      </c>
      <c r="AK703" s="18">
        <v>4</v>
      </c>
      <c r="AL703" s="18">
        <v>25</v>
      </c>
      <c r="AM703" s="18">
        <v>1</v>
      </c>
      <c r="AN703" s="18">
        <v>100</v>
      </c>
      <c r="AO703" s="18">
        <v>0.01563</v>
      </c>
      <c r="AP703" s="18">
        <v>33.33</v>
      </c>
      <c r="AQ703" s="18">
        <v>1</v>
      </c>
      <c r="AR703" s="18">
        <v>49.9</v>
      </c>
      <c r="AS703" s="18">
        <v>0</v>
      </c>
      <c r="AT703" s="18">
        <v>1</v>
      </c>
      <c r="AU703" s="18">
        <v>0</v>
      </c>
      <c r="AV703" s="18">
        <v>0</v>
      </c>
      <c r="AW703" s="18">
        <v>0</v>
      </c>
      <c r="AX703" s="18">
        <v>0</v>
      </c>
      <c r="AY703" s="18">
        <v>182</v>
      </c>
      <c r="AZ703" s="18">
        <v>63</v>
      </c>
      <c r="BA703" s="18">
        <v>49</v>
      </c>
      <c r="BB703" s="18">
        <v>0.77778</v>
      </c>
      <c r="BC703" s="18">
        <v>0</v>
      </c>
      <c r="BD703" s="18">
        <v>0</v>
      </c>
      <c r="BE703" s="18">
        <v>0.07185</v>
      </c>
      <c r="BF703" s="18">
        <v>119</v>
      </c>
      <c r="BG703" s="18">
        <v>3</v>
      </c>
      <c r="BH703" s="18">
        <v>1</v>
      </c>
      <c r="BI703" s="18">
        <v>1</v>
      </c>
      <c r="BJ703" s="18">
        <v>0</v>
      </c>
      <c r="BK703" s="18">
        <v>0</v>
      </c>
      <c r="BL703" s="18">
        <v>0</v>
      </c>
      <c r="BM703" s="18">
        <v>1</v>
      </c>
      <c r="BN703" s="18">
        <v>1</v>
      </c>
      <c r="BO703" s="18">
        <v>43.9</v>
      </c>
      <c r="BP703" s="18">
        <v>5.56</v>
      </c>
      <c r="BQ703" s="18">
        <v>125</v>
      </c>
      <c r="BR703" s="18">
        <v>0</v>
      </c>
      <c r="BS703" s="18">
        <v>0</v>
      </c>
      <c r="BT703" s="18">
        <v>0</v>
      </c>
      <c r="BU703" s="18">
        <v>0</v>
      </c>
      <c r="BV703" s="18">
        <v>0</v>
      </c>
      <c r="BW703" s="18">
        <v>0</v>
      </c>
      <c r="BX703" s="18">
        <v>0</v>
      </c>
    </row>
    <row r="704" spans="2:76">
      <c r="B704" s="19">
        <v>46119</v>
      </c>
      <c r="C704" s="20">
        <v>971859969014</v>
      </c>
      <c r="D704" s="18" t="s">
        <v>151</v>
      </c>
      <c r="E704" s="18" t="s">
        <v>182</v>
      </c>
      <c r="F704" s="18">
        <v>141</v>
      </c>
      <c r="G704" s="18">
        <v>8</v>
      </c>
      <c r="H704" s="18">
        <v>3.29</v>
      </c>
      <c r="I704" s="18">
        <v>0.05674</v>
      </c>
      <c r="J704" s="18">
        <v>0.41</v>
      </c>
      <c r="K704" s="18">
        <v>23.33</v>
      </c>
      <c r="L704" s="18">
        <v>0</v>
      </c>
      <c r="M704" s="18">
        <v>0</v>
      </c>
      <c r="N704" s="18">
        <v>0</v>
      </c>
      <c r="O704" s="18">
        <v>0</v>
      </c>
      <c r="P704" s="18">
        <v>0</v>
      </c>
      <c r="Q704" s="18">
        <v>0</v>
      </c>
      <c r="R704" s="18">
        <v>0</v>
      </c>
      <c r="S704" s="18">
        <v>0</v>
      </c>
      <c r="T704" s="18">
        <v>0</v>
      </c>
      <c r="U704" s="18">
        <v>0</v>
      </c>
      <c r="V704" s="18">
        <v>0</v>
      </c>
      <c r="W704" s="18">
        <v>0</v>
      </c>
      <c r="X704" s="18">
        <v>0</v>
      </c>
      <c r="Y704" s="18">
        <v>0</v>
      </c>
      <c r="Z704" s="18">
        <v>0</v>
      </c>
      <c r="AA704" s="18"/>
      <c r="AB704" s="18">
        <v>0</v>
      </c>
      <c r="AC704" s="18">
        <v>0</v>
      </c>
      <c r="AD704" s="18">
        <v>0</v>
      </c>
      <c r="AE704" s="18">
        <v>0</v>
      </c>
      <c r="AF704" s="18">
        <v>0</v>
      </c>
      <c r="AG704" s="18">
        <v>0</v>
      </c>
      <c r="AH704" s="18"/>
      <c r="AI704" s="18">
        <v>0</v>
      </c>
      <c r="AJ704" s="18"/>
      <c r="AK704" s="18">
        <v>0</v>
      </c>
      <c r="AL704" s="18"/>
      <c r="AM704" s="18">
        <v>0</v>
      </c>
      <c r="AN704" s="18"/>
      <c r="AO704" s="18">
        <v>0</v>
      </c>
      <c r="AP704" s="18"/>
      <c r="AQ704" s="18">
        <v>0</v>
      </c>
      <c r="AR704" s="18">
        <v>0</v>
      </c>
      <c r="AS704" s="18">
        <v>0</v>
      </c>
      <c r="AT704" s="18">
        <v>0</v>
      </c>
      <c r="AU704" s="18">
        <v>0</v>
      </c>
      <c r="AV704" s="18">
        <v>0</v>
      </c>
      <c r="AW704" s="18">
        <v>0</v>
      </c>
      <c r="AX704" s="18">
        <v>0</v>
      </c>
      <c r="AY704" s="18">
        <v>17</v>
      </c>
      <c r="AZ704" s="18">
        <v>8</v>
      </c>
      <c r="BA704" s="18">
        <v>8</v>
      </c>
      <c r="BB704" s="18">
        <v>1</v>
      </c>
      <c r="BC704" s="18">
        <v>0</v>
      </c>
      <c r="BD704" s="18">
        <v>0</v>
      </c>
      <c r="BE704" s="18">
        <v>0.12057</v>
      </c>
      <c r="BF704" s="18">
        <v>5</v>
      </c>
      <c r="BG704" s="18">
        <v>2</v>
      </c>
      <c r="BH704" s="18">
        <v>0</v>
      </c>
      <c r="BI704" s="18"/>
      <c r="BJ704" s="18">
        <v>0</v>
      </c>
      <c r="BK704" s="18">
        <v>0</v>
      </c>
      <c r="BL704" s="18">
        <v>0</v>
      </c>
      <c r="BM704" s="18">
        <v>0</v>
      </c>
      <c r="BN704" s="18"/>
      <c r="BO704" s="18"/>
      <c r="BP704" s="18">
        <v>0</v>
      </c>
      <c r="BQ704" s="18">
        <v>0</v>
      </c>
      <c r="BR704" s="18">
        <v>0</v>
      </c>
      <c r="BS704" s="18">
        <v>0</v>
      </c>
      <c r="BT704" s="18">
        <v>0</v>
      </c>
      <c r="BU704" s="18">
        <v>0</v>
      </c>
      <c r="BV704" s="18">
        <v>0</v>
      </c>
      <c r="BW704" s="18">
        <v>0</v>
      </c>
      <c r="BX704" s="18">
        <v>0</v>
      </c>
    </row>
    <row r="705" spans="2:76">
      <c r="B705" s="19">
        <v>46119</v>
      </c>
      <c r="C705" s="20">
        <v>971856893567</v>
      </c>
      <c r="D705" s="18" t="s">
        <v>151</v>
      </c>
      <c r="E705" s="18" t="s">
        <v>152</v>
      </c>
      <c r="F705" s="18">
        <v>2161</v>
      </c>
      <c r="G705" s="18">
        <v>82</v>
      </c>
      <c r="H705" s="18">
        <v>27.41</v>
      </c>
      <c r="I705" s="18">
        <v>0.03795</v>
      </c>
      <c r="J705" s="18">
        <v>0.33</v>
      </c>
      <c r="K705" s="18">
        <v>12.68</v>
      </c>
      <c r="L705" s="18">
        <v>0</v>
      </c>
      <c r="M705" s="18">
        <v>0</v>
      </c>
      <c r="N705" s="18">
        <v>0</v>
      </c>
      <c r="O705" s="18">
        <v>0</v>
      </c>
      <c r="P705" s="18">
        <v>0</v>
      </c>
      <c r="Q705" s="18">
        <v>0</v>
      </c>
      <c r="R705" s="18">
        <v>0</v>
      </c>
      <c r="S705" s="18">
        <v>0</v>
      </c>
      <c r="T705" s="18">
        <v>0</v>
      </c>
      <c r="U705" s="18">
        <v>0</v>
      </c>
      <c r="V705" s="18">
        <v>0</v>
      </c>
      <c r="W705" s="18">
        <v>0</v>
      </c>
      <c r="X705" s="18">
        <v>0</v>
      </c>
      <c r="Y705" s="18">
        <v>0</v>
      </c>
      <c r="Z705" s="18">
        <v>0</v>
      </c>
      <c r="AA705" s="18"/>
      <c r="AB705" s="18">
        <v>0</v>
      </c>
      <c r="AC705" s="18">
        <v>0</v>
      </c>
      <c r="AD705" s="18">
        <v>0</v>
      </c>
      <c r="AE705" s="18">
        <v>0</v>
      </c>
      <c r="AF705" s="18">
        <v>0</v>
      </c>
      <c r="AG705" s="18">
        <v>0</v>
      </c>
      <c r="AH705" s="18"/>
      <c r="AI705" s="18">
        <v>0</v>
      </c>
      <c r="AJ705" s="18"/>
      <c r="AK705" s="18">
        <v>0</v>
      </c>
      <c r="AL705" s="18"/>
      <c r="AM705" s="18">
        <v>0</v>
      </c>
      <c r="AN705" s="18"/>
      <c r="AO705" s="18">
        <v>0</v>
      </c>
      <c r="AP705" s="18"/>
      <c r="AQ705" s="18">
        <v>0</v>
      </c>
      <c r="AR705" s="18">
        <v>0</v>
      </c>
      <c r="AS705" s="18">
        <v>0</v>
      </c>
      <c r="AT705" s="18">
        <v>0</v>
      </c>
      <c r="AU705" s="18">
        <v>0</v>
      </c>
      <c r="AV705" s="18">
        <v>0</v>
      </c>
      <c r="AW705" s="18">
        <v>0</v>
      </c>
      <c r="AX705" s="18">
        <v>0</v>
      </c>
      <c r="AY705" s="18">
        <v>97</v>
      </c>
      <c r="AZ705" s="18">
        <v>79</v>
      </c>
      <c r="BA705" s="18">
        <v>76</v>
      </c>
      <c r="BB705" s="18">
        <v>0.96203</v>
      </c>
      <c r="BC705" s="18">
        <v>0</v>
      </c>
      <c r="BD705" s="18">
        <v>0</v>
      </c>
      <c r="BE705" s="18">
        <v>0.04489</v>
      </c>
      <c r="BF705" s="18">
        <v>17</v>
      </c>
      <c r="BG705" s="18">
        <v>1</v>
      </c>
      <c r="BH705" s="18">
        <v>0</v>
      </c>
      <c r="BI705" s="18"/>
      <c r="BJ705" s="18">
        <v>0</v>
      </c>
      <c r="BK705" s="18">
        <v>0</v>
      </c>
      <c r="BL705" s="18">
        <v>0</v>
      </c>
      <c r="BM705" s="18">
        <v>0</v>
      </c>
      <c r="BN705" s="18"/>
      <c r="BO705" s="18"/>
      <c r="BP705" s="18">
        <v>0</v>
      </c>
      <c r="BQ705" s="18">
        <v>11</v>
      </c>
      <c r="BR705" s="18">
        <v>0</v>
      </c>
      <c r="BS705" s="18">
        <v>0</v>
      </c>
      <c r="BT705" s="18">
        <v>0</v>
      </c>
      <c r="BU705" s="18">
        <v>0</v>
      </c>
      <c r="BV705" s="18">
        <v>0</v>
      </c>
      <c r="BW705" s="18">
        <v>0</v>
      </c>
      <c r="BX705" s="18">
        <v>0</v>
      </c>
    </row>
    <row r="706" spans="2:76">
      <c r="B706" s="19">
        <v>46119</v>
      </c>
      <c r="C706" s="20">
        <v>971317169387</v>
      </c>
      <c r="D706" s="18" t="s">
        <v>151</v>
      </c>
      <c r="E706" s="18" t="s">
        <v>155</v>
      </c>
      <c r="F706" s="18">
        <v>0</v>
      </c>
      <c r="G706" s="18">
        <v>0</v>
      </c>
      <c r="H706" s="18">
        <v>0</v>
      </c>
      <c r="I706" s="18"/>
      <c r="J706" s="18"/>
      <c r="K706" s="18"/>
      <c r="L706" s="18">
        <v>0</v>
      </c>
      <c r="M706" s="18">
        <v>0</v>
      </c>
      <c r="N706" s="18">
        <v>0</v>
      </c>
      <c r="O706" s="18">
        <v>0</v>
      </c>
      <c r="P706" s="18">
        <v>0</v>
      </c>
      <c r="Q706" s="18">
        <v>0</v>
      </c>
      <c r="R706" s="18">
        <v>0</v>
      </c>
      <c r="S706" s="18">
        <v>0</v>
      </c>
      <c r="T706" s="18">
        <v>0</v>
      </c>
      <c r="U706" s="18">
        <v>0</v>
      </c>
      <c r="V706" s="18">
        <v>0</v>
      </c>
      <c r="W706" s="18">
        <v>0</v>
      </c>
      <c r="X706" s="18"/>
      <c r="Y706" s="18"/>
      <c r="Z706" s="18"/>
      <c r="AA706" s="18"/>
      <c r="AB706" s="18">
        <v>0</v>
      </c>
      <c r="AC706" s="18">
        <v>0</v>
      </c>
      <c r="AD706" s="18">
        <v>0</v>
      </c>
      <c r="AE706" s="18"/>
      <c r="AF706" s="18">
        <v>0</v>
      </c>
      <c r="AG706" s="18">
        <v>0</v>
      </c>
      <c r="AH706" s="18"/>
      <c r="AI706" s="18">
        <v>0</v>
      </c>
      <c r="AJ706" s="18"/>
      <c r="AK706" s="18">
        <v>0</v>
      </c>
      <c r="AL706" s="18"/>
      <c r="AM706" s="18">
        <v>0</v>
      </c>
      <c r="AN706" s="18"/>
      <c r="AO706" s="18"/>
      <c r="AP706" s="18"/>
      <c r="AQ706" s="18">
        <v>0</v>
      </c>
      <c r="AR706" s="18">
        <v>0</v>
      </c>
      <c r="AS706" s="18">
        <v>0</v>
      </c>
      <c r="AT706" s="18">
        <v>0</v>
      </c>
      <c r="AU706" s="18">
        <v>0</v>
      </c>
      <c r="AV706" s="18">
        <v>0</v>
      </c>
      <c r="AW706" s="18">
        <v>0</v>
      </c>
      <c r="AX706" s="18">
        <v>0</v>
      </c>
      <c r="AY706" s="18">
        <v>0</v>
      </c>
      <c r="AZ706" s="18">
        <v>0</v>
      </c>
      <c r="BA706" s="18">
        <v>0</v>
      </c>
      <c r="BB706" s="18"/>
      <c r="BC706" s="18"/>
      <c r="BD706" s="18">
        <v>0</v>
      </c>
      <c r="BE706" s="18"/>
      <c r="BF706" s="18">
        <v>0</v>
      </c>
      <c r="BG706" s="18"/>
      <c r="BH706" s="18">
        <v>0</v>
      </c>
      <c r="BI706" s="18"/>
      <c r="BJ706" s="18">
        <v>0</v>
      </c>
      <c r="BK706" s="18">
        <v>0</v>
      </c>
      <c r="BL706" s="18">
        <v>0</v>
      </c>
      <c r="BM706" s="18">
        <v>0</v>
      </c>
      <c r="BN706" s="18"/>
      <c r="BO706" s="18"/>
      <c r="BP706" s="18">
        <v>0</v>
      </c>
      <c r="BQ706" s="18">
        <v>0</v>
      </c>
      <c r="BR706" s="18">
        <v>0</v>
      </c>
      <c r="BS706" s="18">
        <v>0</v>
      </c>
      <c r="BT706" s="18">
        <v>0</v>
      </c>
      <c r="BU706" s="18">
        <v>0</v>
      </c>
      <c r="BV706" s="18">
        <v>0</v>
      </c>
      <c r="BW706" s="18">
        <v>0</v>
      </c>
      <c r="BX706" s="18">
        <v>0</v>
      </c>
    </row>
    <row r="707" spans="2:76">
      <c r="B707" s="19">
        <v>46119</v>
      </c>
      <c r="C707" s="20">
        <v>838711327669</v>
      </c>
      <c r="D707" s="18" t="s">
        <v>151</v>
      </c>
      <c r="E707" s="18" t="s">
        <v>153</v>
      </c>
      <c r="F707" s="18">
        <v>979</v>
      </c>
      <c r="G707" s="18">
        <v>40</v>
      </c>
      <c r="H707" s="18">
        <v>91</v>
      </c>
      <c r="I707" s="18">
        <v>0.04086</v>
      </c>
      <c r="J707" s="18">
        <v>2.28</v>
      </c>
      <c r="K707" s="18">
        <v>92.95</v>
      </c>
      <c r="L707" s="18">
        <v>0</v>
      </c>
      <c r="M707" s="18">
        <v>0</v>
      </c>
      <c r="N707" s="18">
        <v>0</v>
      </c>
      <c r="O707" s="18">
        <v>0</v>
      </c>
      <c r="P707" s="18">
        <v>0</v>
      </c>
      <c r="Q707" s="18">
        <v>0</v>
      </c>
      <c r="R707" s="18">
        <v>0</v>
      </c>
      <c r="S707" s="18">
        <v>512.34</v>
      </c>
      <c r="T707" s="18">
        <v>512.34</v>
      </c>
      <c r="U707" s="18">
        <v>3</v>
      </c>
      <c r="V707" s="18">
        <v>0</v>
      </c>
      <c r="W707" s="18">
        <v>3</v>
      </c>
      <c r="X707" s="18">
        <v>0.075</v>
      </c>
      <c r="Y707" s="18">
        <v>5.63</v>
      </c>
      <c r="Z707" s="18">
        <v>5.63</v>
      </c>
      <c r="AA707" s="18">
        <v>30.33</v>
      </c>
      <c r="AB707" s="18">
        <v>2</v>
      </c>
      <c r="AC707" s="18">
        <v>0</v>
      </c>
      <c r="AD707" s="18">
        <v>2</v>
      </c>
      <c r="AE707" s="18">
        <v>0.05</v>
      </c>
      <c r="AF707" s="18">
        <v>2</v>
      </c>
      <c r="AG707" s="18">
        <v>0</v>
      </c>
      <c r="AH707" s="18"/>
      <c r="AI707" s="18">
        <v>4</v>
      </c>
      <c r="AJ707" s="18">
        <v>22.75</v>
      </c>
      <c r="AK707" s="18">
        <v>4</v>
      </c>
      <c r="AL707" s="18">
        <v>22.75</v>
      </c>
      <c r="AM707" s="18">
        <v>2</v>
      </c>
      <c r="AN707" s="18">
        <v>45.5</v>
      </c>
      <c r="AO707" s="18">
        <v>0.05</v>
      </c>
      <c r="AP707" s="18">
        <v>45.5</v>
      </c>
      <c r="AQ707" s="18">
        <v>5</v>
      </c>
      <c r="AR707" s="18">
        <v>794</v>
      </c>
      <c r="AS707" s="18">
        <v>1</v>
      </c>
      <c r="AT707" s="18">
        <v>1</v>
      </c>
      <c r="AU707" s="18">
        <v>0</v>
      </c>
      <c r="AV707" s="18">
        <v>0</v>
      </c>
      <c r="AW707" s="18">
        <v>0</v>
      </c>
      <c r="AX707" s="18">
        <v>1</v>
      </c>
      <c r="AY707" s="18">
        <v>129</v>
      </c>
      <c r="AZ707" s="18">
        <v>35</v>
      </c>
      <c r="BA707" s="18">
        <v>24</v>
      </c>
      <c r="BB707" s="18">
        <v>0.68571</v>
      </c>
      <c r="BC707" s="18">
        <v>0</v>
      </c>
      <c r="BD707" s="18">
        <v>0</v>
      </c>
      <c r="BE707" s="18">
        <v>0.13177</v>
      </c>
      <c r="BF707" s="18">
        <v>86</v>
      </c>
      <c r="BG707" s="18">
        <v>4</v>
      </c>
      <c r="BH707" s="18">
        <v>2</v>
      </c>
      <c r="BI707" s="18">
        <v>1</v>
      </c>
      <c r="BJ707" s="18">
        <v>0</v>
      </c>
      <c r="BK707" s="18">
        <v>0</v>
      </c>
      <c r="BL707" s="18">
        <v>0</v>
      </c>
      <c r="BM707" s="18">
        <v>2</v>
      </c>
      <c r="BN707" s="18">
        <v>2</v>
      </c>
      <c r="BO707" s="18">
        <v>256.17</v>
      </c>
      <c r="BP707" s="18">
        <v>39.49</v>
      </c>
      <c r="BQ707" s="18">
        <v>388</v>
      </c>
      <c r="BR707" s="18">
        <v>0</v>
      </c>
      <c r="BS707" s="18">
        <v>0</v>
      </c>
      <c r="BT707" s="18">
        <v>0</v>
      </c>
      <c r="BU707" s="18">
        <v>0</v>
      </c>
      <c r="BV707" s="18">
        <v>0</v>
      </c>
      <c r="BW707" s="18">
        <v>0</v>
      </c>
      <c r="BX707" s="18">
        <v>0</v>
      </c>
    </row>
    <row r="708" spans="2:76">
      <c r="B708" s="19">
        <v>46119</v>
      </c>
      <c r="C708" s="20">
        <v>833369552621</v>
      </c>
      <c r="D708" s="18" t="s">
        <v>151</v>
      </c>
      <c r="E708" s="18" t="s">
        <v>154</v>
      </c>
      <c r="F708" s="18">
        <v>3060</v>
      </c>
      <c r="G708" s="18">
        <v>81</v>
      </c>
      <c r="H708" s="18">
        <v>27.76</v>
      </c>
      <c r="I708" s="18">
        <v>0.02647</v>
      </c>
      <c r="J708" s="18">
        <v>0.34</v>
      </c>
      <c r="K708" s="18">
        <v>9.07</v>
      </c>
      <c r="L708" s="18">
        <v>0</v>
      </c>
      <c r="M708" s="18">
        <v>0</v>
      </c>
      <c r="N708" s="18">
        <v>0</v>
      </c>
      <c r="O708" s="18">
        <v>0</v>
      </c>
      <c r="P708" s="18">
        <v>0</v>
      </c>
      <c r="Q708" s="18">
        <v>0</v>
      </c>
      <c r="R708" s="18">
        <v>0</v>
      </c>
      <c r="S708" s="18">
        <v>0</v>
      </c>
      <c r="T708" s="18">
        <v>0</v>
      </c>
      <c r="U708" s="18">
        <v>0</v>
      </c>
      <c r="V708" s="18">
        <v>0</v>
      </c>
      <c r="W708" s="18">
        <v>0</v>
      </c>
      <c r="X708" s="18">
        <v>0</v>
      </c>
      <c r="Y708" s="18">
        <v>0</v>
      </c>
      <c r="Z708" s="18">
        <v>0</v>
      </c>
      <c r="AA708" s="18"/>
      <c r="AB708" s="18">
        <v>0</v>
      </c>
      <c r="AC708" s="18">
        <v>0</v>
      </c>
      <c r="AD708" s="18">
        <v>0</v>
      </c>
      <c r="AE708" s="18">
        <v>0</v>
      </c>
      <c r="AF708" s="18">
        <v>1</v>
      </c>
      <c r="AG708" s="18">
        <v>0</v>
      </c>
      <c r="AH708" s="18"/>
      <c r="AI708" s="18">
        <v>1</v>
      </c>
      <c r="AJ708" s="18">
        <v>27.76</v>
      </c>
      <c r="AK708" s="18">
        <v>1</v>
      </c>
      <c r="AL708" s="18">
        <v>27.76</v>
      </c>
      <c r="AM708" s="18">
        <v>1</v>
      </c>
      <c r="AN708" s="18">
        <v>27.76</v>
      </c>
      <c r="AO708" s="18">
        <v>0.01235</v>
      </c>
      <c r="AP708" s="18"/>
      <c r="AQ708" s="18">
        <v>0</v>
      </c>
      <c r="AR708" s="18">
        <v>0</v>
      </c>
      <c r="AS708" s="18">
        <v>0</v>
      </c>
      <c r="AT708" s="18">
        <v>1</v>
      </c>
      <c r="AU708" s="18">
        <v>0</v>
      </c>
      <c r="AV708" s="18">
        <v>0</v>
      </c>
      <c r="AW708" s="18">
        <v>0</v>
      </c>
      <c r="AX708" s="18">
        <v>0</v>
      </c>
      <c r="AY708" s="18">
        <v>146</v>
      </c>
      <c r="AZ708" s="18">
        <v>97</v>
      </c>
      <c r="BA708" s="18">
        <v>91</v>
      </c>
      <c r="BB708" s="18">
        <v>0.93814</v>
      </c>
      <c r="BC708" s="18">
        <v>0</v>
      </c>
      <c r="BD708" s="18">
        <v>0</v>
      </c>
      <c r="BE708" s="18">
        <v>0.04771</v>
      </c>
      <c r="BF708" s="18">
        <v>22</v>
      </c>
      <c r="BG708" s="18">
        <v>2</v>
      </c>
      <c r="BH708" s="18">
        <v>0</v>
      </c>
      <c r="BI708" s="18"/>
      <c r="BJ708" s="18">
        <v>0</v>
      </c>
      <c r="BK708" s="18">
        <v>0</v>
      </c>
      <c r="BL708" s="18">
        <v>0</v>
      </c>
      <c r="BM708" s="18">
        <v>0</v>
      </c>
      <c r="BN708" s="18"/>
      <c r="BO708" s="18"/>
      <c r="BP708" s="18">
        <v>0</v>
      </c>
      <c r="BQ708" s="18">
        <v>1</v>
      </c>
      <c r="BR708" s="18">
        <v>0</v>
      </c>
      <c r="BS708" s="18">
        <v>0</v>
      </c>
      <c r="BT708" s="18">
        <v>0</v>
      </c>
      <c r="BU708" s="18">
        <v>0</v>
      </c>
      <c r="BV708" s="18">
        <v>0</v>
      </c>
      <c r="BW708" s="18">
        <v>0</v>
      </c>
      <c r="BX708" s="18">
        <v>0</v>
      </c>
    </row>
    <row r="709" spans="2:76">
      <c r="B709" s="19">
        <v>46118</v>
      </c>
      <c r="C709" s="20">
        <v>1010789122929</v>
      </c>
      <c r="D709" s="18" t="s">
        <v>151</v>
      </c>
      <c r="E709" s="18" t="s">
        <v>179</v>
      </c>
      <c r="F709" s="18">
        <v>719</v>
      </c>
      <c r="G709" s="18">
        <v>23</v>
      </c>
      <c r="H709" s="18">
        <v>50</v>
      </c>
      <c r="I709" s="18">
        <v>0.03199</v>
      </c>
      <c r="J709" s="18">
        <v>2.17</v>
      </c>
      <c r="K709" s="18">
        <v>69.54</v>
      </c>
      <c r="L709" s="18">
        <v>0</v>
      </c>
      <c r="M709" s="18">
        <v>0</v>
      </c>
      <c r="N709" s="18">
        <v>0</v>
      </c>
      <c r="O709" s="18">
        <v>0</v>
      </c>
      <c r="P709" s="18">
        <v>0</v>
      </c>
      <c r="Q709" s="18">
        <v>0</v>
      </c>
      <c r="R709" s="18">
        <v>0</v>
      </c>
      <c r="S709" s="18">
        <v>0</v>
      </c>
      <c r="T709" s="18">
        <v>0</v>
      </c>
      <c r="U709" s="18">
        <v>0</v>
      </c>
      <c r="V709" s="18">
        <v>0</v>
      </c>
      <c r="W709" s="18">
        <v>0</v>
      </c>
      <c r="X709" s="18">
        <v>0</v>
      </c>
      <c r="Y709" s="18">
        <v>0</v>
      </c>
      <c r="Z709" s="18">
        <v>0</v>
      </c>
      <c r="AA709" s="18"/>
      <c r="AB709" s="18">
        <v>1</v>
      </c>
      <c r="AC709" s="18">
        <v>1</v>
      </c>
      <c r="AD709" s="18">
        <v>0</v>
      </c>
      <c r="AE709" s="18">
        <v>0.04348</v>
      </c>
      <c r="AF709" s="18">
        <v>0</v>
      </c>
      <c r="AG709" s="18">
        <v>3</v>
      </c>
      <c r="AH709" s="18">
        <v>16.67</v>
      </c>
      <c r="AI709" s="18">
        <v>4</v>
      </c>
      <c r="AJ709" s="18">
        <v>12.5</v>
      </c>
      <c r="AK709" s="18">
        <v>1</v>
      </c>
      <c r="AL709" s="18">
        <v>50</v>
      </c>
      <c r="AM709" s="18">
        <v>3</v>
      </c>
      <c r="AN709" s="18"/>
      <c r="AO709" s="18">
        <v>0</v>
      </c>
      <c r="AP709" s="18">
        <v>50</v>
      </c>
      <c r="AQ709" s="18">
        <v>0</v>
      </c>
      <c r="AR709" s="18">
        <v>0</v>
      </c>
      <c r="AS709" s="18">
        <v>0</v>
      </c>
      <c r="AT709" s="18">
        <v>0</v>
      </c>
      <c r="AU709" s="18">
        <v>0</v>
      </c>
      <c r="AV709" s="18">
        <v>0</v>
      </c>
      <c r="AW709" s="18">
        <v>0</v>
      </c>
      <c r="AX709" s="18">
        <v>0</v>
      </c>
      <c r="AY709" s="18">
        <v>61</v>
      </c>
      <c r="AZ709" s="18">
        <v>21</v>
      </c>
      <c r="BA709" s="18">
        <v>17</v>
      </c>
      <c r="BB709" s="18">
        <v>0.80952</v>
      </c>
      <c r="BC709" s="18">
        <v>0</v>
      </c>
      <c r="BD709" s="18">
        <v>0</v>
      </c>
      <c r="BE709" s="18">
        <v>0.08484</v>
      </c>
      <c r="BF709" s="18">
        <v>34</v>
      </c>
      <c r="BG709" s="18">
        <v>3</v>
      </c>
      <c r="BH709" s="18">
        <v>0</v>
      </c>
      <c r="BI709" s="18"/>
      <c r="BJ709" s="18">
        <v>0</v>
      </c>
      <c r="BK709" s="18">
        <v>0</v>
      </c>
      <c r="BL709" s="18">
        <v>0</v>
      </c>
      <c r="BM709" s="18">
        <v>0</v>
      </c>
      <c r="BN709" s="18"/>
      <c r="BO709" s="18"/>
      <c r="BP709" s="18">
        <v>0.28</v>
      </c>
      <c r="BQ709" s="18">
        <v>18</v>
      </c>
      <c r="BR709" s="18">
        <v>0</v>
      </c>
      <c r="BS709" s="18">
        <v>0</v>
      </c>
      <c r="BT709" s="18">
        <v>0</v>
      </c>
      <c r="BU709" s="18">
        <v>0</v>
      </c>
      <c r="BV709" s="18">
        <v>0</v>
      </c>
      <c r="BW709" s="18">
        <v>0</v>
      </c>
      <c r="BX709" s="18">
        <v>0</v>
      </c>
    </row>
    <row r="710" spans="2:76">
      <c r="B710" s="19">
        <v>46118</v>
      </c>
      <c r="C710" s="20">
        <v>971859969014</v>
      </c>
      <c r="D710" s="18" t="s">
        <v>151</v>
      </c>
      <c r="E710" s="18" t="s">
        <v>182</v>
      </c>
      <c r="F710" s="18">
        <v>55</v>
      </c>
      <c r="G710" s="18">
        <v>1</v>
      </c>
      <c r="H710" s="18">
        <v>0.29</v>
      </c>
      <c r="I710" s="18">
        <v>0.01818</v>
      </c>
      <c r="J710" s="18">
        <v>0.29</v>
      </c>
      <c r="K710" s="18">
        <v>5.27</v>
      </c>
      <c r="L710" s="18">
        <v>0</v>
      </c>
      <c r="M710" s="18">
        <v>0</v>
      </c>
      <c r="N710" s="18">
        <v>0</v>
      </c>
      <c r="O710" s="18">
        <v>0</v>
      </c>
      <c r="P710" s="18">
        <v>0</v>
      </c>
      <c r="Q710" s="18">
        <v>0</v>
      </c>
      <c r="R710" s="18">
        <v>0</v>
      </c>
      <c r="S710" s="18">
        <v>0</v>
      </c>
      <c r="T710" s="18">
        <v>0</v>
      </c>
      <c r="U710" s="18">
        <v>0</v>
      </c>
      <c r="V710" s="18">
        <v>0</v>
      </c>
      <c r="W710" s="18">
        <v>0</v>
      </c>
      <c r="X710" s="18">
        <v>0</v>
      </c>
      <c r="Y710" s="18">
        <v>0</v>
      </c>
      <c r="Z710" s="18">
        <v>0</v>
      </c>
      <c r="AA710" s="18"/>
      <c r="AB710" s="18">
        <v>0</v>
      </c>
      <c r="AC710" s="18">
        <v>0</v>
      </c>
      <c r="AD710" s="18">
        <v>0</v>
      </c>
      <c r="AE710" s="18">
        <v>0</v>
      </c>
      <c r="AF710" s="18">
        <v>0</v>
      </c>
      <c r="AG710" s="18">
        <v>0</v>
      </c>
      <c r="AH710" s="18"/>
      <c r="AI710" s="18">
        <v>0</v>
      </c>
      <c r="AJ710" s="18"/>
      <c r="AK710" s="18">
        <v>0</v>
      </c>
      <c r="AL710" s="18"/>
      <c r="AM710" s="18">
        <v>0</v>
      </c>
      <c r="AN710" s="18"/>
      <c r="AO710" s="18">
        <v>0</v>
      </c>
      <c r="AP710" s="18"/>
      <c r="AQ710" s="18">
        <v>0</v>
      </c>
      <c r="AR710" s="18">
        <v>0</v>
      </c>
      <c r="AS710" s="18">
        <v>0</v>
      </c>
      <c r="AT710" s="18">
        <v>0</v>
      </c>
      <c r="AU710" s="18">
        <v>0</v>
      </c>
      <c r="AV710" s="18">
        <v>0</v>
      </c>
      <c r="AW710" s="18">
        <v>0</v>
      </c>
      <c r="AX710" s="18">
        <v>0</v>
      </c>
      <c r="AY710" s="18">
        <v>1</v>
      </c>
      <c r="AZ710" s="18">
        <v>1</v>
      </c>
      <c r="BA710" s="18">
        <v>1</v>
      </c>
      <c r="BB710" s="18">
        <v>1</v>
      </c>
      <c r="BC710" s="18">
        <v>0</v>
      </c>
      <c r="BD710" s="18">
        <v>0</v>
      </c>
      <c r="BE710" s="18">
        <v>0.01818</v>
      </c>
      <c r="BF710" s="18">
        <v>0</v>
      </c>
      <c r="BG710" s="18">
        <v>1</v>
      </c>
      <c r="BH710" s="18">
        <v>0</v>
      </c>
      <c r="BI710" s="18"/>
      <c r="BJ710" s="18">
        <v>0</v>
      </c>
      <c r="BK710" s="18">
        <v>0</v>
      </c>
      <c r="BL710" s="18">
        <v>0</v>
      </c>
      <c r="BM710" s="18">
        <v>0</v>
      </c>
      <c r="BN710" s="18"/>
      <c r="BO710" s="18"/>
      <c r="BP710" s="18">
        <v>0</v>
      </c>
      <c r="BQ710" s="18">
        <v>0</v>
      </c>
      <c r="BR710" s="18">
        <v>0</v>
      </c>
      <c r="BS710" s="18">
        <v>0</v>
      </c>
      <c r="BT710" s="18">
        <v>0</v>
      </c>
      <c r="BU710" s="18">
        <v>0</v>
      </c>
      <c r="BV710" s="18">
        <v>0</v>
      </c>
      <c r="BW710" s="18">
        <v>0</v>
      </c>
      <c r="BX710" s="18">
        <v>0</v>
      </c>
    </row>
    <row r="711" spans="2:76">
      <c r="B711" s="19">
        <v>46118</v>
      </c>
      <c r="C711" s="20">
        <v>971856893567</v>
      </c>
      <c r="D711" s="18" t="s">
        <v>151</v>
      </c>
      <c r="E711" s="18" t="s">
        <v>152</v>
      </c>
      <c r="F711" s="18">
        <v>2214</v>
      </c>
      <c r="G711" s="18">
        <v>80</v>
      </c>
      <c r="H711" s="18">
        <v>26.66</v>
      </c>
      <c r="I711" s="18">
        <v>0.03613</v>
      </c>
      <c r="J711" s="18">
        <v>0.33</v>
      </c>
      <c r="K711" s="18">
        <v>12.04</v>
      </c>
      <c r="L711" s="18">
        <v>0</v>
      </c>
      <c r="M711" s="18">
        <v>0</v>
      </c>
      <c r="N711" s="18">
        <v>0</v>
      </c>
      <c r="O711" s="18">
        <v>0</v>
      </c>
      <c r="P711" s="18">
        <v>0</v>
      </c>
      <c r="Q711" s="18">
        <v>0</v>
      </c>
      <c r="R711" s="18">
        <v>0</v>
      </c>
      <c r="S711" s="18">
        <v>0</v>
      </c>
      <c r="T711" s="18">
        <v>0</v>
      </c>
      <c r="U711" s="18">
        <v>0</v>
      </c>
      <c r="V711" s="18">
        <v>0</v>
      </c>
      <c r="W711" s="18">
        <v>0</v>
      </c>
      <c r="X711" s="18">
        <v>0</v>
      </c>
      <c r="Y711" s="18">
        <v>0</v>
      </c>
      <c r="Z711" s="18">
        <v>0</v>
      </c>
      <c r="AA711" s="18"/>
      <c r="AB711" s="18">
        <v>0</v>
      </c>
      <c r="AC711" s="18">
        <v>0</v>
      </c>
      <c r="AD711" s="18">
        <v>0</v>
      </c>
      <c r="AE711" s="18">
        <v>0</v>
      </c>
      <c r="AF711" s="18">
        <v>0</v>
      </c>
      <c r="AG711" s="18">
        <v>1</v>
      </c>
      <c r="AH711" s="18">
        <v>26.66</v>
      </c>
      <c r="AI711" s="18">
        <v>1</v>
      </c>
      <c r="AJ711" s="18">
        <v>26.66</v>
      </c>
      <c r="AK711" s="18">
        <v>0</v>
      </c>
      <c r="AL711" s="18"/>
      <c r="AM711" s="18">
        <v>1</v>
      </c>
      <c r="AN711" s="18"/>
      <c r="AO711" s="18">
        <v>0</v>
      </c>
      <c r="AP711" s="18"/>
      <c r="AQ711" s="18">
        <v>0</v>
      </c>
      <c r="AR711" s="18">
        <v>0</v>
      </c>
      <c r="AS711" s="18">
        <v>0</v>
      </c>
      <c r="AT711" s="18">
        <v>0</v>
      </c>
      <c r="AU711" s="18">
        <v>0</v>
      </c>
      <c r="AV711" s="18">
        <v>0</v>
      </c>
      <c r="AW711" s="18">
        <v>0</v>
      </c>
      <c r="AX711" s="18">
        <v>0</v>
      </c>
      <c r="AY711" s="18">
        <v>123</v>
      </c>
      <c r="AZ711" s="18">
        <v>76</v>
      </c>
      <c r="BA711" s="18">
        <v>72</v>
      </c>
      <c r="BB711" s="18">
        <v>0.94737</v>
      </c>
      <c r="BC711" s="18">
        <v>0</v>
      </c>
      <c r="BD711" s="18">
        <v>0</v>
      </c>
      <c r="BE711" s="18">
        <v>0.05556</v>
      </c>
      <c r="BF711" s="18">
        <v>40</v>
      </c>
      <c r="BG711" s="18">
        <v>2</v>
      </c>
      <c r="BH711" s="18">
        <v>0</v>
      </c>
      <c r="BI711" s="18"/>
      <c r="BJ711" s="18">
        <v>0</v>
      </c>
      <c r="BK711" s="18">
        <v>0</v>
      </c>
      <c r="BL711" s="18">
        <v>0</v>
      </c>
      <c r="BM711" s="18">
        <v>0</v>
      </c>
      <c r="BN711" s="18"/>
      <c r="BO711" s="18"/>
      <c r="BP711" s="18">
        <v>0</v>
      </c>
      <c r="BQ711" s="18">
        <v>4</v>
      </c>
      <c r="BR711" s="18">
        <v>0</v>
      </c>
      <c r="BS711" s="18">
        <v>0</v>
      </c>
      <c r="BT711" s="18">
        <v>0</v>
      </c>
      <c r="BU711" s="18">
        <v>0</v>
      </c>
      <c r="BV711" s="18">
        <v>0</v>
      </c>
      <c r="BW711" s="18">
        <v>0</v>
      </c>
      <c r="BX711" s="18">
        <v>0</v>
      </c>
    </row>
    <row r="712" spans="2:76">
      <c r="B712" s="19">
        <v>46118</v>
      </c>
      <c r="C712" s="20">
        <v>838711327669</v>
      </c>
      <c r="D712" s="18" t="s">
        <v>151</v>
      </c>
      <c r="E712" s="18" t="s">
        <v>153</v>
      </c>
      <c r="F712" s="18">
        <v>1212</v>
      </c>
      <c r="G712" s="18">
        <v>45</v>
      </c>
      <c r="H712" s="18">
        <v>46.25</v>
      </c>
      <c r="I712" s="18">
        <v>0.03713</v>
      </c>
      <c r="J712" s="18">
        <v>1.03</v>
      </c>
      <c r="K712" s="18">
        <v>38.16</v>
      </c>
      <c r="L712" s="18">
        <v>0</v>
      </c>
      <c r="M712" s="18">
        <v>0</v>
      </c>
      <c r="N712" s="18">
        <v>0</v>
      </c>
      <c r="O712" s="18">
        <v>0</v>
      </c>
      <c r="P712" s="18">
        <v>0</v>
      </c>
      <c r="Q712" s="18">
        <v>0</v>
      </c>
      <c r="R712" s="18">
        <v>0</v>
      </c>
      <c r="S712" s="18">
        <v>0</v>
      </c>
      <c r="T712" s="18">
        <v>0</v>
      </c>
      <c r="U712" s="18">
        <v>0</v>
      </c>
      <c r="V712" s="18">
        <v>0</v>
      </c>
      <c r="W712" s="18">
        <v>0</v>
      </c>
      <c r="X712" s="18">
        <v>0</v>
      </c>
      <c r="Y712" s="18">
        <v>0</v>
      </c>
      <c r="Z712" s="18">
        <v>0</v>
      </c>
      <c r="AA712" s="18"/>
      <c r="AB712" s="18">
        <v>5</v>
      </c>
      <c r="AC712" s="18">
        <v>1</v>
      </c>
      <c r="AD712" s="18">
        <v>4</v>
      </c>
      <c r="AE712" s="18">
        <v>0.11111</v>
      </c>
      <c r="AF712" s="18">
        <v>0</v>
      </c>
      <c r="AG712" s="18">
        <v>1</v>
      </c>
      <c r="AH712" s="18">
        <v>46.25</v>
      </c>
      <c r="AI712" s="18">
        <v>6</v>
      </c>
      <c r="AJ712" s="18">
        <v>7.71</v>
      </c>
      <c r="AK712" s="18">
        <v>5</v>
      </c>
      <c r="AL712" s="18">
        <v>9.25</v>
      </c>
      <c r="AM712" s="18">
        <v>1</v>
      </c>
      <c r="AN712" s="18"/>
      <c r="AO712" s="18">
        <v>0</v>
      </c>
      <c r="AP712" s="18">
        <v>9.25</v>
      </c>
      <c r="AQ712" s="18">
        <v>0</v>
      </c>
      <c r="AR712" s="18">
        <v>0</v>
      </c>
      <c r="AS712" s="18">
        <v>0</v>
      </c>
      <c r="AT712" s="18">
        <v>0</v>
      </c>
      <c r="AU712" s="18">
        <v>0</v>
      </c>
      <c r="AV712" s="18">
        <v>0</v>
      </c>
      <c r="AW712" s="18">
        <v>0</v>
      </c>
      <c r="AX712" s="18">
        <v>0</v>
      </c>
      <c r="AY712" s="18">
        <v>165</v>
      </c>
      <c r="AZ712" s="18">
        <v>40</v>
      </c>
      <c r="BA712" s="18">
        <v>29</v>
      </c>
      <c r="BB712" s="18">
        <v>0.725</v>
      </c>
      <c r="BC712" s="18">
        <v>0</v>
      </c>
      <c r="BD712" s="18">
        <v>0</v>
      </c>
      <c r="BE712" s="18">
        <v>0.13614</v>
      </c>
      <c r="BF712" s="18">
        <v>120</v>
      </c>
      <c r="BG712" s="18">
        <v>4</v>
      </c>
      <c r="BH712" s="18">
        <v>0</v>
      </c>
      <c r="BI712" s="18"/>
      <c r="BJ712" s="18">
        <v>0</v>
      </c>
      <c r="BK712" s="18">
        <v>0</v>
      </c>
      <c r="BL712" s="18">
        <v>0</v>
      </c>
      <c r="BM712" s="18">
        <v>0</v>
      </c>
      <c r="BN712" s="18"/>
      <c r="BO712" s="18"/>
      <c r="BP712" s="18">
        <v>0.02</v>
      </c>
      <c r="BQ712" s="18">
        <v>230</v>
      </c>
      <c r="BR712" s="18">
        <v>0</v>
      </c>
      <c r="BS712" s="18">
        <v>0</v>
      </c>
      <c r="BT712" s="18">
        <v>0</v>
      </c>
      <c r="BU712" s="18">
        <v>0</v>
      </c>
      <c r="BV712" s="18">
        <v>0</v>
      </c>
      <c r="BW712" s="18">
        <v>0</v>
      </c>
      <c r="BX712" s="18">
        <v>0</v>
      </c>
    </row>
    <row r="713" spans="2:76">
      <c r="B713" s="19">
        <v>46118</v>
      </c>
      <c r="C713" s="20">
        <v>833369552621</v>
      </c>
      <c r="D713" s="18" t="s">
        <v>151</v>
      </c>
      <c r="E713" s="18" t="s">
        <v>154</v>
      </c>
      <c r="F713" s="18">
        <v>3199</v>
      </c>
      <c r="G713" s="18">
        <v>93</v>
      </c>
      <c r="H713" s="18">
        <v>31.3</v>
      </c>
      <c r="I713" s="18">
        <v>0.02907</v>
      </c>
      <c r="J713" s="18">
        <v>0.34</v>
      </c>
      <c r="K713" s="18">
        <v>9.78</v>
      </c>
      <c r="L713" s="18">
        <v>0</v>
      </c>
      <c r="M713" s="18">
        <v>0</v>
      </c>
      <c r="N713" s="18">
        <v>0</v>
      </c>
      <c r="O713" s="18">
        <v>0</v>
      </c>
      <c r="P713" s="18">
        <v>0</v>
      </c>
      <c r="Q713" s="18">
        <v>0</v>
      </c>
      <c r="R713" s="18">
        <v>0</v>
      </c>
      <c r="S713" s="18">
        <v>0</v>
      </c>
      <c r="T713" s="18">
        <v>0</v>
      </c>
      <c r="U713" s="18">
        <v>0</v>
      </c>
      <c r="V713" s="18">
        <v>0</v>
      </c>
      <c r="W713" s="18">
        <v>0</v>
      </c>
      <c r="X713" s="18">
        <v>0</v>
      </c>
      <c r="Y713" s="18">
        <v>0</v>
      </c>
      <c r="Z713" s="18">
        <v>0</v>
      </c>
      <c r="AA713" s="18"/>
      <c r="AB713" s="18">
        <v>1</v>
      </c>
      <c r="AC713" s="18">
        <v>0</v>
      </c>
      <c r="AD713" s="18">
        <v>1</v>
      </c>
      <c r="AE713" s="18">
        <v>0.01075</v>
      </c>
      <c r="AF713" s="18">
        <v>2</v>
      </c>
      <c r="AG713" s="18">
        <v>1</v>
      </c>
      <c r="AH713" s="18">
        <v>31.3</v>
      </c>
      <c r="AI713" s="18">
        <v>4</v>
      </c>
      <c r="AJ713" s="18">
        <v>7.83</v>
      </c>
      <c r="AK713" s="18">
        <v>3</v>
      </c>
      <c r="AL713" s="18">
        <v>10.43</v>
      </c>
      <c r="AM713" s="18">
        <v>3</v>
      </c>
      <c r="AN713" s="18">
        <v>15.65</v>
      </c>
      <c r="AO713" s="18">
        <v>0.02151</v>
      </c>
      <c r="AP713" s="18">
        <v>31.3</v>
      </c>
      <c r="AQ713" s="18">
        <v>0</v>
      </c>
      <c r="AR713" s="18">
        <v>0</v>
      </c>
      <c r="AS713" s="18">
        <v>1</v>
      </c>
      <c r="AT713" s="18">
        <v>1</v>
      </c>
      <c r="AU713" s="18">
        <v>0</v>
      </c>
      <c r="AV713" s="18">
        <v>0</v>
      </c>
      <c r="AW713" s="18">
        <v>0</v>
      </c>
      <c r="AX713" s="18">
        <v>0</v>
      </c>
      <c r="AY713" s="18">
        <v>149</v>
      </c>
      <c r="AZ713" s="18">
        <v>108</v>
      </c>
      <c r="BA713" s="18">
        <v>98</v>
      </c>
      <c r="BB713" s="18">
        <v>0.90741</v>
      </c>
      <c r="BC713" s="18">
        <v>0</v>
      </c>
      <c r="BD713" s="18">
        <v>0</v>
      </c>
      <c r="BE713" s="18">
        <v>0.04658</v>
      </c>
      <c r="BF713" s="18">
        <v>21</v>
      </c>
      <c r="BG713" s="18">
        <v>1</v>
      </c>
      <c r="BH713" s="18">
        <v>0</v>
      </c>
      <c r="BI713" s="18"/>
      <c r="BJ713" s="18">
        <v>0</v>
      </c>
      <c r="BK713" s="18">
        <v>0</v>
      </c>
      <c r="BL713" s="18">
        <v>0</v>
      </c>
      <c r="BM713" s="18">
        <v>0</v>
      </c>
      <c r="BN713" s="18"/>
      <c r="BO713" s="18"/>
      <c r="BP713" s="18">
        <v>0</v>
      </c>
      <c r="BQ713" s="18">
        <v>1369</v>
      </c>
      <c r="BR713" s="18">
        <v>0</v>
      </c>
      <c r="BS713" s="18">
        <v>0</v>
      </c>
      <c r="BT713" s="18">
        <v>0</v>
      </c>
      <c r="BU713" s="18">
        <v>0</v>
      </c>
      <c r="BV713" s="18">
        <v>0</v>
      </c>
      <c r="BW713" s="18">
        <v>0</v>
      </c>
      <c r="BX713" s="18">
        <v>0</v>
      </c>
    </row>
    <row r="714" spans="2:76">
      <c r="B714" s="19">
        <v>46117</v>
      </c>
      <c r="C714" s="20">
        <v>1010789122929</v>
      </c>
      <c r="D714" s="18" t="s">
        <v>151</v>
      </c>
      <c r="E714" s="18" t="s">
        <v>179</v>
      </c>
      <c r="F714" s="18">
        <v>2835</v>
      </c>
      <c r="G714" s="18">
        <v>75</v>
      </c>
      <c r="H714" s="18">
        <v>108</v>
      </c>
      <c r="I714" s="18">
        <v>0.02646</v>
      </c>
      <c r="J714" s="18">
        <v>1.44</v>
      </c>
      <c r="K714" s="18">
        <v>38.1</v>
      </c>
      <c r="L714" s="18">
        <v>0</v>
      </c>
      <c r="M714" s="18">
        <v>0</v>
      </c>
      <c r="N714" s="18">
        <v>0</v>
      </c>
      <c r="O714" s="18">
        <v>0</v>
      </c>
      <c r="P714" s="18">
        <v>0</v>
      </c>
      <c r="Q714" s="18">
        <v>0</v>
      </c>
      <c r="R714" s="18">
        <v>709.86</v>
      </c>
      <c r="S714" s="18">
        <v>0</v>
      </c>
      <c r="T714" s="18">
        <v>709.86</v>
      </c>
      <c r="U714" s="18">
        <v>3</v>
      </c>
      <c r="V714" s="18">
        <v>3</v>
      </c>
      <c r="W714" s="18">
        <v>0</v>
      </c>
      <c r="X714" s="18">
        <v>0.04</v>
      </c>
      <c r="Y714" s="18">
        <v>6.57</v>
      </c>
      <c r="Z714" s="18">
        <v>6.57</v>
      </c>
      <c r="AA714" s="18">
        <v>36</v>
      </c>
      <c r="AB714" s="18">
        <v>7</v>
      </c>
      <c r="AC714" s="18">
        <v>6</v>
      </c>
      <c r="AD714" s="18">
        <v>1</v>
      </c>
      <c r="AE714" s="18">
        <v>0.09333</v>
      </c>
      <c r="AF714" s="18">
        <v>0</v>
      </c>
      <c r="AG714" s="18">
        <v>0</v>
      </c>
      <c r="AH714" s="18"/>
      <c r="AI714" s="18">
        <v>7</v>
      </c>
      <c r="AJ714" s="18">
        <v>15.43</v>
      </c>
      <c r="AK714" s="18">
        <v>7</v>
      </c>
      <c r="AL714" s="18">
        <v>15.43</v>
      </c>
      <c r="AM714" s="18">
        <v>0</v>
      </c>
      <c r="AN714" s="18"/>
      <c r="AO714" s="18">
        <v>0</v>
      </c>
      <c r="AP714" s="18">
        <v>15.43</v>
      </c>
      <c r="AQ714" s="18">
        <v>7</v>
      </c>
      <c r="AR714" s="18">
        <v>1019.83</v>
      </c>
      <c r="AS714" s="18">
        <v>0</v>
      </c>
      <c r="AT714" s="18">
        <v>0</v>
      </c>
      <c r="AU714" s="18">
        <v>0</v>
      </c>
      <c r="AV714" s="18">
        <v>0</v>
      </c>
      <c r="AW714" s="18">
        <v>0</v>
      </c>
      <c r="AX714" s="18">
        <v>0</v>
      </c>
      <c r="AY714" s="18">
        <v>157</v>
      </c>
      <c r="AZ714" s="18">
        <v>72</v>
      </c>
      <c r="BA714" s="18">
        <v>56</v>
      </c>
      <c r="BB714" s="18">
        <v>0.77778</v>
      </c>
      <c r="BC714" s="18">
        <v>0</v>
      </c>
      <c r="BD714" s="18">
        <v>0</v>
      </c>
      <c r="BE714" s="18">
        <v>0.05538</v>
      </c>
      <c r="BF714" s="18">
        <v>72</v>
      </c>
      <c r="BG714" s="18">
        <v>2</v>
      </c>
      <c r="BH714" s="18">
        <v>2</v>
      </c>
      <c r="BI714" s="18">
        <v>1</v>
      </c>
      <c r="BJ714" s="18">
        <v>0</v>
      </c>
      <c r="BK714" s="18">
        <v>0</v>
      </c>
      <c r="BL714" s="18">
        <v>0</v>
      </c>
      <c r="BM714" s="18">
        <v>2</v>
      </c>
      <c r="BN714" s="18">
        <v>2</v>
      </c>
      <c r="BO714" s="18">
        <v>354.93</v>
      </c>
      <c r="BP714" s="18">
        <v>242</v>
      </c>
      <c r="BQ714" s="18">
        <v>376</v>
      </c>
      <c r="BR714" s="18">
        <v>0</v>
      </c>
      <c r="BS714" s="18">
        <v>0</v>
      </c>
      <c r="BT714" s="18">
        <v>0</v>
      </c>
      <c r="BU714" s="18">
        <v>0</v>
      </c>
      <c r="BV714" s="18">
        <v>0</v>
      </c>
      <c r="BW714" s="18">
        <v>0</v>
      </c>
      <c r="BX714" s="18">
        <v>0</v>
      </c>
    </row>
    <row r="715" spans="2:76">
      <c r="B715" s="19">
        <v>46117</v>
      </c>
      <c r="C715" s="20">
        <v>971859969014</v>
      </c>
      <c r="D715" s="18" t="s">
        <v>151</v>
      </c>
      <c r="E715" s="18" t="s">
        <v>182</v>
      </c>
      <c r="F715" s="18">
        <v>33</v>
      </c>
      <c r="G715" s="18">
        <v>2</v>
      </c>
      <c r="H715" s="18">
        <v>0.71</v>
      </c>
      <c r="I715" s="18">
        <v>0.06061</v>
      </c>
      <c r="J715" s="18">
        <v>0.36</v>
      </c>
      <c r="K715" s="18">
        <v>21.52</v>
      </c>
      <c r="L715" s="18">
        <v>0</v>
      </c>
      <c r="M715" s="18">
        <v>0</v>
      </c>
      <c r="N715" s="18">
        <v>0</v>
      </c>
      <c r="O715" s="18">
        <v>0</v>
      </c>
      <c r="P715" s="18">
        <v>0</v>
      </c>
      <c r="Q715" s="18">
        <v>0</v>
      </c>
      <c r="R715" s="18">
        <v>0</v>
      </c>
      <c r="S715" s="18">
        <v>0</v>
      </c>
      <c r="T715" s="18">
        <v>0</v>
      </c>
      <c r="U715" s="18">
        <v>0</v>
      </c>
      <c r="V715" s="18">
        <v>0</v>
      </c>
      <c r="W715" s="18">
        <v>0</v>
      </c>
      <c r="X715" s="18">
        <v>0</v>
      </c>
      <c r="Y715" s="18">
        <v>0</v>
      </c>
      <c r="Z715" s="18">
        <v>0</v>
      </c>
      <c r="AA715" s="18"/>
      <c r="AB715" s="18">
        <v>0</v>
      </c>
      <c r="AC715" s="18">
        <v>0</v>
      </c>
      <c r="AD715" s="18">
        <v>0</v>
      </c>
      <c r="AE715" s="18">
        <v>0</v>
      </c>
      <c r="AF715" s="18">
        <v>0</v>
      </c>
      <c r="AG715" s="18">
        <v>0</v>
      </c>
      <c r="AH715" s="18"/>
      <c r="AI715" s="18">
        <v>0</v>
      </c>
      <c r="AJ715" s="18"/>
      <c r="AK715" s="18">
        <v>0</v>
      </c>
      <c r="AL715" s="18"/>
      <c r="AM715" s="18">
        <v>0</v>
      </c>
      <c r="AN715" s="18"/>
      <c r="AO715" s="18">
        <v>0</v>
      </c>
      <c r="AP715" s="18"/>
      <c r="AQ715" s="18">
        <v>0</v>
      </c>
      <c r="AR715" s="18">
        <v>0</v>
      </c>
      <c r="AS715" s="18">
        <v>0</v>
      </c>
      <c r="AT715" s="18">
        <v>0</v>
      </c>
      <c r="AU715" s="18">
        <v>0</v>
      </c>
      <c r="AV715" s="18">
        <v>0</v>
      </c>
      <c r="AW715" s="18">
        <v>0</v>
      </c>
      <c r="AX715" s="18">
        <v>0</v>
      </c>
      <c r="AY715" s="18">
        <v>4</v>
      </c>
      <c r="AZ715" s="18">
        <v>2</v>
      </c>
      <c r="BA715" s="18">
        <v>2</v>
      </c>
      <c r="BB715" s="18">
        <v>1</v>
      </c>
      <c r="BC715" s="18">
        <v>0</v>
      </c>
      <c r="BD715" s="18">
        <v>0</v>
      </c>
      <c r="BE715" s="18">
        <v>0.12121</v>
      </c>
      <c r="BF715" s="18">
        <v>1</v>
      </c>
      <c r="BG715" s="18">
        <v>2</v>
      </c>
      <c r="BH715" s="18">
        <v>0</v>
      </c>
      <c r="BI715" s="18"/>
      <c r="BJ715" s="18">
        <v>0</v>
      </c>
      <c r="BK715" s="18">
        <v>0</v>
      </c>
      <c r="BL715" s="18">
        <v>0</v>
      </c>
      <c r="BM715" s="18">
        <v>0</v>
      </c>
      <c r="BN715" s="18"/>
      <c r="BO715" s="18"/>
      <c r="BP715" s="18">
        <v>0</v>
      </c>
      <c r="BQ715" s="18">
        <v>0</v>
      </c>
      <c r="BR715" s="18">
        <v>0</v>
      </c>
      <c r="BS715" s="18">
        <v>0</v>
      </c>
      <c r="BT715" s="18">
        <v>0</v>
      </c>
      <c r="BU715" s="18">
        <v>0</v>
      </c>
      <c r="BV715" s="18">
        <v>0</v>
      </c>
      <c r="BW715" s="18">
        <v>0</v>
      </c>
      <c r="BX715" s="18">
        <v>0</v>
      </c>
    </row>
    <row r="716" spans="2:76">
      <c r="B716" s="19">
        <v>46117</v>
      </c>
      <c r="C716" s="20">
        <v>971856893567</v>
      </c>
      <c r="D716" s="18" t="s">
        <v>151</v>
      </c>
      <c r="E716" s="18" t="s">
        <v>152</v>
      </c>
      <c r="F716" s="18">
        <v>1823</v>
      </c>
      <c r="G716" s="18">
        <v>79</v>
      </c>
      <c r="H716" s="18">
        <v>25.9</v>
      </c>
      <c r="I716" s="18">
        <v>0.04334</v>
      </c>
      <c r="J716" s="18">
        <v>0.33</v>
      </c>
      <c r="K716" s="18">
        <v>14.21</v>
      </c>
      <c r="L716" s="18">
        <v>0</v>
      </c>
      <c r="M716" s="18">
        <v>0</v>
      </c>
      <c r="N716" s="18">
        <v>0</v>
      </c>
      <c r="O716" s="18">
        <v>0</v>
      </c>
      <c r="P716" s="18">
        <v>0</v>
      </c>
      <c r="Q716" s="18">
        <v>0</v>
      </c>
      <c r="R716" s="18">
        <v>0</v>
      </c>
      <c r="S716" s="18">
        <v>0</v>
      </c>
      <c r="T716" s="18">
        <v>0</v>
      </c>
      <c r="U716" s="18">
        <v>0</v>
      </c>
      <c r="V716" s="18">
        <v>0</v>
      </c>
      <c r="W716" s="18">
        <v>0</v>
      </c>
      <c r="X716" s="18">
        <v>0</v>
      </c>
      <c r="Y716" s="18">
        <v>0</v>
      </c>
      <c r="Z716" s="18">
        <v>0</v>
      </c>
      <c r="AA716" s="18"/>
      <c r="AB716" s="18">
        <v>0</v>
      </c>
      <c r="AC716" s="18">
        <v>0</v>
      </c>
      <c r="AD716" s="18">
        <v>0</v>
      </c>
      <c r="AE716" s="18">
        <v>0</v>
      </c>
      <c r="AF716" s="18">
        <v>0</v>
      </c>
      <c r="AG716" s="18">
        <v>0</v>
      </c>
      <c r="AH716" s="18"/>
      <c r="AI716" s="18">
        <v>0</v>
      </c>
      <c r="AJ716" s="18"/>
      <c r="AK716" s="18">
        <v>0</v>
      </c>
      <c r="AL716" s="18"/>
      <c r="AM716" s="18">
        <v>0</v>
      </c>
      <c r="AN716" s="18"/>
      <c r="AO716" s="18">
        <v>0</v>
      </c>
      <c r="AP716" s="18"/>
      <c r="AQ716" s="18">
        <v>0</v>
      </c>
      <c r="AR716" s="18">
        <v>0</v>
      </c>
      <c r="AS716" s="18">
        <v>0</v>
      </c>
      <c r="AT716" s="18">
        <v>0</v>
      </c>
      <c r="AU716" s="18">
        <v>0</v>
      </c>
      <c r="AV716" s="18">
        <v>0</v>
      </c>
      <c r="AW716" s="18">
        <v>0</v>
      </c>
      <c r="AX716" s="18">
        <v>0</v>
      </c>
      <c r="AY716" s="18">
        <v>111</v>
      </c>
      <c r="AZ716" s="18">
        <v>79</v>
      </c>
      <c r="BA716" s="18">
        <v>77</v>
      </c>
      <c r="BB716" s="18">
        <v>0.97468</v>
      </c>
      <c r="BC716" s="18">
        <v>0</v>
      </c>
      <c r="BD716" s="18">
        <v>0</v>
      </c>
      <c r="BE716" s="18">
        <v>0.06089</v>
      </c>
      <c r="BF716" s="18">
        <v>28</v>
      </c>
      <c r="BG716" s="18">
        <v>1</v>
      </c>
      <c r="BH716" s="18">
        <v>0</v>
      </c>
      <c r="BI716" s="18"/>
      <c r="BJ716" s="18">
        <v>0</v>
      </c>
      <c r="BK716" s="18">
        <v>0</v>
      </c>
      <c r="BL716" s="18">
        <v>0</v>
      </c>
      <c r="BM716" s="18">
        <v>0</v>
      </c>
      <c r="BN716" s="18"/>
      <c r="BO716" s="18"/>
      <c r="BP716" s="18">
        <v>0</v>
      </c>
      <c r="BQ716" s="18">
        <v>2</v>
      </c>
      <c r="BR716" s="18">
        <v>0</v>
      </c>
      <c r="BS716" s="18">
        <v>0</v>
      </c>
      <c r="BT716" s="18">
        <v>0</v>
      </c>
      <c r="BU716" s="18">
        <v>0</v>
      </c>
      <c r="BV716" s="18">
        <v>0</v>
      </c>
      <c r="BW716" s="18">
        <v>0</v>
      </c>
      <c r="BX716" s="18">
        <v>0</v>
      </c>
    </row>
    <row r="717" spans="2:76">
      <c r="B717" s="19">
        <v>46117</v>
      </c>
      <c r="C717" s="20">
        <v>838711327669</v>
      </c>
      <c r="D717" s="18" t="s">
        <v>151</v>
      </c>
      <c r="E717" s="18" t="s">
        <v>153</v>
      </c>
      <c r="F717" s="18">
        <v>533</v>
      </c>
      <c r="G717" s="18">
        <v>16</v>
      </c>
      <c r="H717" s="18">
        <v>60</v>
      </c>
      <c r="I717" s="18">
        <v>0.03002</v>
      </c>
      <c r="J717" s="18">
        <v>3.75</v>
      </c>
      <c r="K717" s="18">
        <v>112.57</v>
      </c>
      <c r="L717" s="18">
        <v>0</v>
      </c>
      <c r="M717" s="18">
        <v>0</v>
      </c>
      <c r="N717" s="18">
        <v>0</v>
      </c>
      <c r="O717" s="18">
        <v>0</v>
      </c>
      <c r="P717" s="18">
        <v>0</v>
      </c>
      <c r="Q717" s="18">
        <v>0</v>
      </c>
      <c r="R717" s="18">
        <v>0</v>
      </c>
      <c r="S717" s="18">
        <v>295</v>
      </c>
      <c r="T717" s="18">
        <v>295</v>
      </c>
      <c r="U717" s="18">
        <v>1</v>
      </c>
      <c r="V717" s="18">
        <v>0</v>
      </c>
      <c r="W717" s="18">
        <v>1</v>
      </c>
      <c r="X717" s="18">
        <v>0.0625</v>
      </c>
      <c r="Y717" s="18">
        <v>4.92</v>
      </c>
      <c r="Z717" s="18">
        <v>4.92</v>
      </c>
      <c r="AA717" s="18">
        <v>60</v>
      </c>
      <c r="AB717" s="18">
        <v>2</v>
      </c>
      <c r="AC717" s="18">
        <v>1</v>
      </c>
      <c r="AD717" s="18">
        <v>1</v>
      </c>
      <c r="AE717" s="18">
        <v>0.125</v>
      </c>
      <c r="AF717" s="18">
        <v>0</v>
      </c>
      <c r="AG717" s="18">
        <v>0</v>
      </c>
      <c r="AH717" s="18"/>
      <c r="AI717" s="18">
        <v>2</v>
      </c>
      <c r="AJ717" s="18">
        <v>30</v>
      </c>
      <c r="AK717" s="18">
        <v>2</v>
      </c>
      <c r="AL717" s="18">
        <v>30</v>
      </c>
      <c r="AM717" s="18">
        <v>0</v>
      </c>
      <c r="AN717" s="18"/>
      <c r="AO717" s="18">
        <v>0</v>
      </c>
      <c r="AP717" s="18">
        <v>30</v>
      </c>
      <c r="AQ717" s="18">
        <v>2</v>
      </c>
      <c r="AR717" s="18">
        <v>427</v>
      </c>
      <c r="AS717" s="18">
        <v>0</v>
      </c>
      <c r="AT717" s="18">
        <v>0</v>
      </c>
      <c r="AU717" s="18">
        <v>0</v>
      </c>
      <c r="AV717" s="18">
        <v>0</v>
      </c>
      <c r="AW717" s="18">
        <v>0</v>
      </c>
      <c r="AX717" s="18">
        <v>1</v>
      </c>
      <c r="AY717" s="18">
        <v>53</v>
      </c>
      <c r="AZ717" s="18">
        <v>12</v>
      </c>
      <c r="BA717" s="18">
        <v>8</v>
      </c>
      <c r="BB717" s="18">
        <v>0.66667</v>
      </c>
      <c r="BC717" s="18">
        <v>0</v>
      </c>
      <c r="BD717" s="18">
        <v>0</v>
      </c>
      <c r="BE717" s="18">
        <v>0.09944</v>
      </c>
      <c r="BF717" s="18">
        <v>35</v>
      </c>
      <c r="BG717" s="18">
        <v>4</v>
      </c>
      <c r="BH717" s="18">
        <v>1</v>
      </c>
      <c r="BI717" s="18">
        <v>1</v>
      </c>
      <c r="BJ717" s="18">
        <v>0</v>
      </c>
      <c r="BK717" s="18">
        <v>0</v>
      </c>
      <c r="BL717" s="18">
        <v>0</v>
      </c>
      <c r="BM717" s="18">
        <v>1</v>
      </c>
      <c r="BN717" s="18">
        <v>1</v>
      </c>
      <c r="BO717" s="18">
        <v>295</v>
      </c>
      <c r="BP717" s="18">
        <v>0</v>
      </c>
      <c r="BQ717" s="18">
        <v>213</v>
      </c>
      <c r="BR717" s="18">
        <v>0</v>
      </c>
      <c r="BS717" s="18">
        <v>0</v>
      </c>
      <c r="BT717" s="18">
        <v>0</v>
      </c>
      <c r="BU717" s="18">
        <v>0</v>
      </c>
      <c r="BV717" s="18">
        <v>0</v>
      </c>
      <c r="BW717" s="18">
        <v>0</v>
      </c>
      <c r="BX717" s="18">
        <v>0</v>
      </c>
    </row>
    <row r="718" spans="2:76">
      <c r="B718" s="19">
        <v>46117</v>
      </c>
      <c r="C718" s="20">
        <v>833369552621</v>
      </c>
      <c r="D718" s="18" t="s">
        <v>151</v>
      </c>
      <c r="E718" s="18" t="s">
        <v>154</v>
      </c>
      <c r="F718" s="18">
        <v>2470</v>
      </c>
      <c r="G718" s="18">
        <v>102</v>
      </c>
      <c r="H718" s="18">
        <v>32.72</v>
      </c>
      <c r="I718" s="18">
        <v>0.0413</v>
      </c>
      <c r="J718" s="18">
        <v>0.32</v>
      </c>
      <c r="K718" s="18">
        <v>13.25</v>
      </c>
      <c r="L718" s="18">
        <v>0</v>
      </c>
      <c r="M718" s="18">
        <v>0</v>
      </c>
      <c r="N718" s="18">
        <v>0</v>
      </c>
      <c r="O718" s="18">
        <v>0</v>
      </c>
      <c r="P718" s="18">
        <v>0</v>
      </c>
      <c r="Q718" s="18">
        <v>0</v>
      </c>
      <c r="R718" s="18">
        <v>0</v>
      </c>
      <c r="S718" s="18">
        <v>0</v>
      </c>
      <c r="T718" s="18">
        <v>0</v>
      </c>
      <c r="U718" s="18">
        <v>0</v>
      </c>
      <c r="V718" s="18">
        <v>0</v>
      </c>
      <c r="W718" s="18">
        <v>0</v>
      </c>
      <c r="X718" s="18">
        <v>0</v>
      </c>
      <c r="Y718" s="18">
        <v>0</v>
      </c>
      <c r="Z718" s="18">
        <v>0</v>
      </c>
      <c r="AA718" s="18"/>
      <c r="AB718" s="18">
        <v>0</v>
      </c>
      <c r="AC718" s="18">
        <v>0</v>
      </c>
      <c r="AD718" s="18">
        <v>0</v>
      </c>
      <c r="AE718" s="18">
        <v>0</v>
      </c>
      <c r="AF718" s="18">
        <v>0</v>
      </c>
      <c r="AG718" s="18">
        <v>0</v>
      </c>
      <c r="AH718" s="18"/>
      <c r="AI718" s="18">
        <v>0</v>
      </c>
      <c r="AJ718" s="18"/>
      <c r="AK718" s="18">
        <v>0</v>
      </c>
      <c r="AL718" s="18"/>
      <c r="AM718" s="18">
        <v>0</v>
      </c>
      <c r="AN718" s="18"/>
      <c r="AO718" s="18">
        <v>0</v>
      </c>
      <c r="AP718" s="18"/>
      <c r="AQ718" s="18">
        <v>0</v>
      </c>
      <c r="AR718" s="18">
        <v>0</v>
      </c>
      <c r="AS718" s="18">
        <v>0</v>
      </c>
      <c r="AT718" s="18">
        <v>0</v>
      </c>
      <c r="AU718" s="18">
        <v>0</v>
      </c>
      <c r="AV718" s="18">
        <v>0</v>
      </c>
      <c r="AW718" s="18">
        <v>0</v>
      </c>
      <c r="AX718" s="18">
        <v>0</v>
      </c>
      <c r="AY718" s="18">
        <v>180</v>
      </c>
      <c r="AZ718" s="18">
        <v>99</v>
      </c>
      <c r="BA718" s="18">
        <v>93</v>
      </c>
      <c r="BB718" s="18">
        <v>0.93939</v>
      </c>
      <c r="BC718" s="18">
        <v>0</v>
      </c>
      <c r="BD718" s="18">
        <v>0</v>
      </c>
      <c r="BE718" s="18">
        <v>0.07287</v>
      </c>
      <c r="BF718" s="18">
        <v>50</v>
      </c>
      <c r="BG718" s="18">
        <v>2</v>
      </c>
      <c r="BH718" s="18">
        <v>0</v>
      </c>
      <c r="BI718" s="18"/>
      <c r="BJ718" s="18">
        <v>0</v>
      </c>
      <c r="BK718" s="18">
        <v>0</v>
      </c>
      <c r="BL718" s="18">
        <v>0</v>
      </c>
      <c r="BM718" s="18">
        <v>0</v>
      </c>
      <c r="BN718" s="18"/>
      <c r="BO718" s="18"/>
      <c r="BP718" s="18">
        <v>0</v>
      </c>
      <c r="BQ718" s="18">
        <v>12</v>
      </c>
      <c r="BR718" s="18">
        <v>0</v>
      </c>
      <c r="BS718" s="18">
        <v>0</v>
      </c>
      <c r="BT718" s="18">
        <v>0</v>
      </c>
      <c r="BU718" s="18">
        <v>0</v>
      </c>
      <c r="BV718" s="18">
        <v>0</v>
      </c>
      <c r="BW718" s="18">
        <v>0</v>
      </c>
      <c r="BX718" s="18">
        <v>0</v>
      </c>
    </row>
    <row r="719" spans="2:76">
      <c r="B719" s="19">
        <v>46116</v>
      </c>
      <c r="C719" s="20">
        <v>1010789122929</v>
      </c>
      <c r="D719" s="18" t="s">
        <v>151</v>
      </c>
      <c r="E719" s="18" t="s">
        <v>179</v>
      </c>
      <c r="F719" s="18">
        <v>1784</v>
      </c>
      <c r="G719" s="18">
        <v>27</v>
      </c>
      <c r="H719" s="18">
        <v>50</v>
      </c>
      <c r="I719" s="18">
        <v>0.01513</v>
      </c>
      <c r="J719" s="18">
        <v>1.85</v>
      </c>
      <c r="K719" s="18">
        <v>28.03</v>
      </c>
      <c r="L719" s="18">
        <v>0</v>
      </c>
      <c r="M719" s="18">
        <v>0</v>
      </c>
      <c r="N719" s="18">
        <v>0</v>
      </c>
      <c r="O719" s="18">
        <v>0</v>
      </c>
      <c r="P719" s="18">
        <v>0</v>
      </c>
      <c r="Q719" s="18">
        <v>0</v>
      </c>
      <c r="R719" s="18">
        <v>0</v>
      </c>
      <c r="S719" s="18">
        <v>0</v>
      </c>
      <c r="T719" s="18">
        <v>0</v>
      </c>
      <c r="U719" s="18">
        <v>0</v>
      </c>
      <c r="V719" s="18">
        <v>0</v>
      </c>
      <c r="W719" s="18">
        <v>0</v>
      </c>
      <c r="X719" s="18">
        <v>0</v>
      </c>
      <c r="Y719" s="18">
        <v>0</v>
      </c>
      <c r="Z719" s="18">
        <v>0</v>
      </c>
      <c r="AA719" s="18"/>
      <c r="AB719" s="18">
        <v>2</v>
      </c>
      <c r="AC719" s="18">
        <v>1</v>
      </c>
      <c r="AD719" s="18">
        <v>1</v>
      </c>
      <c r="AE719" s="18">
        <v>0.07407</v>
      </c>
      <c r="AF719" s="18">
        <v>0</v>
      </c>
      <c r="AG719" s="18">
        <v>0</v>
      </c>
      <c r="AH719" s="18"/>
      <c r="AI719" s="18">
        <v>2</v>
      </c>
      <c r="AJ719" s="18">
        <v>25</v>
      </c>
      <c r="AK719" s="18">
        <v>2</v>
      </c>
      <c r="AL719" s="18">
        <v>25</v>
      </c>
      <c r="AM719" s="18">
        <v>0</v>
      </c>
      <c r="AN719" s="18"/>
      <c r="AO719" s="18">
        <v>0</v>
      </c>
      <c r="AP719" s="18">
        <v>25</v>
      </c>
      <c r="AQ719" s="18">
        <v>0</v>
      </c>
      <c r="AR719" s="18">
        <v>0</v>
      </c>
      <c r="AS719" s="18">
        <v>0</v>
      </c>
      <c r="AT719" s="18">
        <v>0</v>
      </c>
      <c r="AU719" s="18">
        <v>0</v>
      </c>
      <c r="AV719" s="18">
        <v>0</v>
      </c>
      <c r="AW719" s="18">
        <v>0</v>
      </c>
      <c r="AX719" s="18">
        <v>0</v>
      </c>
      <c r="AY719" s="18">
        <v>63</v>
      </c>
      <c r="AZ719" s="18">
        <v>27</v>
      </c>
      <c r="BA719" s="18">
        <v>24</v>
      </c>
      <c r="BB719" s="18">
        <v>0.88889</v>
      </c>
      <c r="BC719" s="18">
        <v>0</v>
      </c>
      <c r="BD719" s="18">
        <v>0</v>
      </c>
      <c r="BE719" s="18">
        <v>0.03531</v>
      </c>
      <c r="BF719" s="18">
        <v>32</v>
      </c>
      <c r="BG719" s="18">
        <v>2</v>
      </c>
      <c r="BH719" s="18">
        <v>0</v>
      </c>
      <c r="BI719" s="18"/>
      <c r="BJ719" s="18">
        <v>0</v>
      </c>
      <c r="BK719" s="18">
        <v>0</v>
      </c>
      <c r="BL719" s="18">
        <v>0</v>
      </c>
      <c r="BM719" s="18">
        <v>0</v>
      </c>
      <c r="BN719" s="18"/>
      <c r="BO719" s="18"/>
      <c r="BP719" s="18">
        <v>0.08</v>
      </c>
      <c r="BQ719" s="18">
        <v>58</v>
      </c>
      <c r="BR719" s="18">
        <v>0</v>
      </c>
      <c r="BS719" s="18">
        <v>0</v>
      </c>
      <c r="BT719" s="18">
        <v>0</v>
      </c>
      <c r="BU719" s="18">
        <v>0</v>
      </c>
      <c r="BV719" s="18">
        <v>0</v>
      </c>
      <c r="BW719" s="18">
        <v>0</v>
      </c>
      <c r="BX719" s="18">
        <v>0</v>
      </c>
    </row>
    <row r="720" spans="2:76">
      <c r="B720" s="19">
        <v>46116</v>
      </c>
      <c r="C720" s="20">
        <v>971859969014</v>
      </c>
      <c r="D720" s="18" t="s">
        <v>151</v>
      </c>
      <c r="E720" s="18" t="s">
        <v>182</v>
      </c>
      <c r="F720" s="18">
        <v>14</v>
      </c>
      <c r="G720" s="18">
        <v>0</v>
      </c>
      <c r="H720" s="18">
        <v>0</v>
      </c>
      <c r="I720" s="18">
        <v>0</v>
      </c>
      <c r="J720" s="18"/>
      <c r="K720" s="18">
        <v>0</v>
      </c>
      <c r="L720" s="18">
        <v>0</v>
      </c>
      <c r="M720" s="18">
        <v>0</v>
      </c>
      <c r="N720" s="18">
        <v>0</v>
      </c>
      <c r="O720" s="18">
        <v>0</v>
      </c>
      <c r="P720" s="18">
        <v>0</v>
      </c>
      <c r="Q720" s="18">
        <v>0</v>
      </c>
      <c r="R720" s="18">
        <v>0</v>
      </c>
      <c r="S720" s="18">
        <v>0</v>
      </c>
      <c r="T720" s="18">
        <v>0</v>
      </c>
      <c r="U720" s="18">
        <v>0</v>
      </c>
      <c r="V720" s="18">
        <v>0</v>
      </c>
      <c r="W720" s="18">
        <v>0</v>
      </c>
      <c r="X720" s="18"/>
      <c r="Y720" s="18"/>
      <c r="Z720" s="18"/>
      <c r="AA720" s="18"/>
      <c r="AB720" s="18">
        <v>0</v>
      </c>
      <c r="AC720" s="18">
        <v>0</v>
      </c>
      <c r="AD720" s="18">
        <v>0</v>
      </c>
      <c r="AE720" s="18"/>
      <c r="AF720" s="18">
        <v>0</v>
      </c>
      <c r="AG720" s="18">
        <v>0</v>
      </c>
      <c r="AH720" s="18"/>
      <c r="AI720" s="18">
        <v>0</v>
      </c>
      <c r="AJ720" s="18"/>
      <c r="AK720" s="18">
        <v>0</v>
      </c>
      <c r="AL720" s="18"/>
      <c r="AM720" s="18">
        <v>0</v>
      </c>
      <c r="AN720" s="18"/>
      <c r="AO720" s="18"/>
      <c r="AP720" s="18"/>
      <c r="AQ720" s="18">
        <v>0</v>
      </c>
      <c r="AR720" s="18">
        <v>0</v>
      </c>
      <c r="AS720" s="18">
        <v>0</v>
      </c>
      <c r="AT720" s="18">
        <v>0</v>
      </c>
      <c r="AU720" s="18">
        <v>0</v>
      </c>
      <c r="AV720" s="18">
        <v>0</v>
      </c>
      <c r="AW720" s="18">
        <v>0</v>
      </c>
      <c r="AX720" s="18">
        <v>0</v>
      </c>
      <c r="AY720" s="18">
        <v>0</v>
      </c>
      <c r="AZ720" s="18">
        <v>0</v>
      </c>
      <c r="BA720" s="18">
        <v>0</v>
      </c>
      <c r="BB720" s="18"/>
      <c r="BC720" s="18"/>
      <c r="BD720" s="18">
        <v>0</v>
      </c>
      <c r="BE720" s="18">
        <v>0</v>
      </c>
      <c r="BF720" s="18">
        <v>0</v>
      </c>
      <c r="BG720" s="18"/>
      <c r="BH720" s="18">
        <v>0</v>
      </c>
      <c r="BI720" s="18"/>
      <c r="BJ720" s="18">
        <v>0</v>
      </c>
      <c r="BK720" s="18">
        <v>0</v>
      </c>
      <c r="BL720" s="18">
        <v>0</v>
      </c>
      <c r="BM720" s="18">
        <v>0</v>
      </c>
      <c r="BN720" s="18"/>
      <c r="BO720" s="18"/>
      <c r="BP720" s="18">
        <v>0</v>
      </c>
      <c r="BQ720" s="18">
        <v>0</v>
      </c>
      <c r="BR720" s="18">
        <v>0</v>
      </c>
      <c r="BS720" s="18">
        <v>0</v>
      </c>
      <c r="BT720" s="18">
        <v>0</v>
      </c>
      <c r="BU720" s="18">
        <v>0</v>
      </c>
      <c r="BV720" s="18">
        <v>0</v>
      </c>
      <c r="BW720" s="18">
        <v>0</v>
      </c>
      <c r="BX720" s="18">
        <v>0</v>
      </c>
    </row>
    <row r="721" spans="2:76">
      <c r="B721" s="19">
        <v>46116</v>
      </c>
      <c r="C721" s="20">
        <v>971856893567</v>
      </c>
      <c r="D721" s="18" t="s">
        <v>151</v>
      </c>
      <c r="E721" s="18" t="s">
        <v>152</v>
      </c>
      <c r="F721" s="18">
        <v>4577</v>
      </c>
      <c r="G721" s="18">
        <v>138</v>
      </c>
      <c r="H721" s="18">
        <v>38.01</v>
      </c>
      <c r="I721" s="18">
        <v>0.03015</v>
      </c>
      <c r="J721" s="18">
        <v>0.28</v>
      </c>
      <c r="K721" s="18">
        <v>8.3</v>
      </c>
      <c r="L721" s="18">
        <v>0</v>
      </c>
      <c r="M721" s="18">
        <v>0</v>
      </c>
      <c r="N721" s="18">
        <v>0</v>
      </c>
      <c r="O721" s="18">
        <v>0</v>
      </c>
      <c r="P721" s="18">
        <v>0</v>
      </c>
      <c r="Q721" s="18">
        <v>0</v>
      </c>
      <c r="R721" s="18">
        <v>0</v>
      </c>
      <c r="S721" s="18">
        <v>0</v>
      </c>
      <c r="T721" s="18">
        <v>0</v>
      </c>
      <c r="U721" s="18">
        <v>0</v>
      </c>
      <c r="V721" s="18">
        <v>0</v>
      </c>
      <c r="W721" s="18">
        <v>0</v>
      </c>
      <c r="X721" s="18">
        <v>0</v>
      </c>
      <c r="Y721" s="18">
        <v>0</v>
      </c>
      <c r="Z721" s="18">
        <v>0</v>
      </c>
      <c r="AA721" s="18"/>
      <c r="AB721" s="18">
        <v>0</v>
      </c>
      <c r="AC721" s="18">
        <v>0</v>
      </c>
      <c r="AD721" s="18">
        <v>0</v>
      </c>
      <c r="AE721" s="18">
        <v>0</v>
      </c>
      <c r="AF721" s="18">
        <v>1</v>
      </c>
      <c r="AG721" s="18">
        <v>0</v>
      </c>
      <c r="AH721" s="18"/>
      <c r="AI721" s="18">
        <v>1</v>
      </c>
      <c r="AJ721" s="18">
        <v>38.01</v>
      </c>
      <c r="AK721" s="18">
        <v>1</v>
      </c>
      <c r="AL721" s="18">
        <v>38.01</v>
      </c>
      <c r="AM721" s="18">
        <v>1</v>
      </c>
      <c r="AN721" s="18">
        <v>38.01</v>
      </c>
      <c r="AO721" s="18">
        <v>0.00725</v>
      </c>
      <c r="AP721" s="18"/>
      <c r="AQ721" s="18">
        <v>0</v>
      </c>
      <c r="AR721" s="18">
        <v>0</v>
      </c>
      <c r="AS721" s="18">
        <v>1</v>
      </c>
      <c r="AT721" s="18">
        <v>0</v>
      </c>
      <c r="AU721" s="18">
        <v>0</v>
      </c>
      <c r="AV721" s="18">
        <v>0</v>
      </c>
      <c r="AW721" s="18">
        <v>0</v>
      </c>
      <c r="AX721" s="18">
        <v>0</v>
      </c>
      <c r="AY721" s="18">
        <v>211</v>
      </c>
      <c r="AZ721" s="18">
        <v>135</v>
      </c>
      <c r="BA721" s="18">
        <v>128</v>
      </c>
      <c r="BB721" s="18">
        <v>0.94815</v>
      </c>
      <c r="BC721" s="18">
        <v>0</v>
      </c>
      <c r="BD721" s="18">
        <v>0</v>
      </c>
      <c r="BE721" s="18">
        <v>0.0461</v>
      </c>
      <c r="BF721" s="18">
        <v>51</v>
      </c>
      <c r="BG721" s="18">
        <v>2</v>
      </c>
      <c r="BH721" s="18">
        <v>0</v>
      </c>
      <c r="BI721" s="18"/>
      <c r="BJ721" s="18">
        <v>0</v>
      </c>
      <c r="BK721" s="18">
        <v>0</v>
      </c>
      <c r="BL721" s="18">
        <v>0</v>
      </c>
      <c r="BM721" s="18">
        <v>0</v>
      </c>
      <c r="BN721" s="18"/>
      <c r="BO721" s="18"/>
      <c r="BP721" s="18">
        <v>0</v>
      </c>
      <c r="BQ721" s="18">
        <v>2777</v>
      </c>
      <c r="BR721" s="18">
        <v>0</v>
      </c>
      <c r="BS721" s="18">
        <v>0</v>
      </c>
      <c r="BT721" s="18">
        <v>0</v>
      </c>
      <c r="BU721" s="18">
        <v>0</v>
      </c>
      <c r="BV721" s="18">
        <v>0</v>
      </c>
      <c r="BW721" s="18">
        <v>0</v>
      </c>
      <c r="BX721" s="18">
        <v>0</v>
      </c>
    </row>
    <row r="722" spans="2:76">
      <c r="B722" s="19">
        <v>46116</v>
      </c>
      <c r="C722" s="20">
        <v>838711327669</v>
      </c>
      <c r="D722" s="18" t="s">
        <v>151</v>
      </c>
      <c r="E722" s="18" t="s">
        <v>153</v>
      </c>
      <c r="F722" s="18">
        <v>1249</v>
      </c>
      <c r="G722" s="18">
        <v>62</v>
      </c>
      <c r="H722" s="18">
        <v>48.02</v>
      </c>
      <c r="I722" s="18">
        <v>0.04964</v>
      </c>
      <c r="J722" s="18">
        <v>0.77</v>
      </c>
      <c r="K722" s="18">
        <v>38.45</v>
      </c>
      <c r="L722" s="18">
        <v>0</v>
      </c>
      <c r="M722" s="18">
        <v>0</v>
      </c>
      <c r="N722" s="18">
        <v>0</v>
      </c>
      <c r="O722" s="18">
        <v>0</v>
      </c>
      <c r="P722" s="18">
        <v>0</v>
      </c>
      <c r="Q722" s="18">
        <v>0</v>
      </c>
      <c r="R722" s="18">
        <v>0</v>
      </c>
      <c r="S722" s="18">
        <v>84.15</v>
      </c>
      <c r="T722" s="18">
        <v>84.15</v>
      </c>
      <c r="U722" s="18">
        <v>1</v>
      </c>
      <c r="V722" s="18">
        <v>0</v>
      </c>
      <c r="W722" s="18">
        <v>1</v>
      </c>
      <c r="X722" s="18">
        <v>0.01613</v>
      </c>
      <c r="Y722" s="18">
        <v>1.75</v>
      </c>
      <c r="Z722" s="18">
        <v>1.75</v>
      </c>
      <c r="AA722" s="18">
        <v>48.02</v>
      </c>
      <c r="AB722" s="18">
        <v>4</v>
      </c>
      <c r="AC722" s="18">
        <v>0</v>
      </c>
      <c r="AD722" s="18">
        <v>4</v>
      </c>
      <c r="AE722" s="18">
        <v>0.06452</v>
      </c>
      <c r="AF722" s="18">
        <v>0</v>
      </c>
      <c r="AG722" s="18">
        <v>0</v>
      </c>
      <c r="AH722" s="18"/>
      <c r="AI722" s="18">
        <v>4</v>
      </c>
      <c r="AJ722" s="18">
        <v>12.01</v>
      </c>
      <c r="AK722" s="18">
        <v>4</v>
      </c>
      <c r="AL722" s="18">
        <v>12.01</v>
      </c>
      <c r="AM722" s="18">
        <v>0</v>
      </c>
      <c r="AN722" s="18"/>
      <c r="AO722" s="18">
        <v>0</v>
      </c>
      <c r="AP722" s="18">
        <v>12.01</v>
      </c>
      <c r="AQ722" s="18">
        <v>2</v>
      </c>
      <c r="AR722" s="18">
        <v>148.9</v>
      </c>
      <c r="AS722" s="18">
        <v>0</v>
      </c>
      <c r="AT722" s="18">
        <v>0</v>
      </c>
      <c r="AU722" s="18">
        <v>0</v>
      </c>
      <c r="AV722" s="18">
        <v>0</v>
      </c>
      <c r="AW722" s="18">
        <v>0</v>
      </c>
      <c r="AX722" s="18">
        <v>1</v>
      </c>
      <c r="AY722" s="18">
        <v>130</v>
      </c>
      <c r="AZ722" s="18">
        <v>39</v>
      </c>
      <c r="BA722" s="18">
        <v>23</v>
      </c>
      <c r="BB722" s="18">
        <v>0.58974</v>
      </c>
      <c r="BC722" s="18">
        <v>0</v>
      </c>
      <c r="BD722" s="18">
        <v>0</v>
      </c>
      <c r="BE722" s="18">
        <v>0.10408</v>
      </c>
      <c r="BF722" s="18">
        <v>69</v>
      </c>
      <c r="BG722" s="18">
        <v>3</v>
      </c>
      <c r="BH722" s="18">
        <v>1</v>
      </c>
      <c r="BI722" s="18">
        <v>1</v>
      </c>
      <c r="BJ722" s="18">
        <v>0</v>
      </c>
      <c r="BK722" s="18">
        <v>0</v>
      </c>
      <c r="BL722" s="18">
        <v>0</v>
      </c>
      <c r="BM722" s="18">
        <v>1</v>
      </c>
      <c r="BN722" s="18">
        <v>1</v>
      </c>
      <c r="BO722" s="18">
        <v>84.15</v>
      </c>
      <c r="BP722" s="18">
        <v>0.29</v>
      </c>
      <c r="BQ722" s="18">
        <v>190</v>
      </c>
      <c r="BR722" s="18">
        <v>0</v>
      </c>
      <c r="BS722" s="18">
        <v>0</v>
      </c>
      <c r="BT722" s="18">
        <v>0</v>
      </c>
      <c r="BU722" s="18">
        <v>0</v>
      </c>
      <c r="BV722" s="18">
        <v>0</v>
      </c>
      <c r="BW722" s="18">
        <v>0</v>
      </c>
      <c r="BX722" s="18">
        <v>0</v>
      </c>
    </row>
    <row r="723" spans="2:76">
      <c r="B723" s="19">
        <v>46116</v>
      </c>
      <c r="C723" s="20">
        <v>833369552621</v>
      </c>
      <c r="D723" s="18" t="s">
        <v>151</v>
      </c>
      <c r="E723" s="18" t="s">
        <v>154</v>
      </c>
      <c r="F723" s="18">
        <v>2586</v>
      </c>
      <c r="G723" s="18">
        <v>70</v>
      </c>
      <c r="H723" s="18">
        <v>21.4</v>
      </c>
      <c r="I723" s="18">
        <v>0.02707</v>
      </c>
      <c r="J723" s="18">
        <v>0.31</v>
      </c>
      <c r="K723" s="18">
        <v>8.28</v>
      </c>
      <c r="L723" s="18">
        <v>0</v>
      </c>
      <c r="M723" s="18">
        <v>0</v>
      </c>
      <c r="N723" s="18">
        <v>0</v>
      </c>
      <c r="O723" s="18">
        <v>0</v>
      </c>
      <c r="P723" s="18">
        <v>0</v>
      </c>
      <c r="Q723" s="18">
        <v>0</v>
      </c>
      <c r="R723" s="18">
        <v>0</v>
      </c>
      <c r="S723" s="18">
        <v>0</v>
      </c>
      <c r="T723" s="18">
        <v>0</v>
      </c>
      <c r="U723" s="18">
        <v>0</v>
      </c>
      <c r="V723" s="18">
        <v>0</v>
      </c>
      <c r="W723" s="18">
        <v>0</v>
      </c>
      <c r="X723" s="18">
        <v>0</v>
      </c>
      <c r="Y723" s="18">
        <v>0</v>
      </c>
      <c r="Z723" s="18">
        <v>0</v>
      </c>
      <c r="AA723" s="18"/>
      <c r="AB723" s="18">
        <v>0</v>
      </c>
      <c r="AC723" s="18">
        <v>0</v>
      </c>
      <c r="AD723" s="18">
        <v>0</v>
      </c>
      <c r="AE723" s="18">
        <v>0</v>
      </c>
      <c r="AF723" s="18">
        <v>0</v>
      </c>
      <c r="AG723" s="18">
        <v>0</v>
      </c>
      <c r="AH723" s="18"/>
      <c r="AI723" s="18">
        <v>0</v>
      </c>
      <c r="AJ723" s="18"/>
      <c r="AK723" s="18">
        <v>0</v>
      </c>
      <c r="AL723" s="18"/>
      <c r="AM723" s="18">
        <v>0</v>
      </c>
      <c r="AN723" s="18"/>
      <c r="AO723" s="18">
        <v>0</v>
      </c>
      <c r="AP723" s="18"/>
      <c r="AQ723" s="18">
        <v>0</v>
      </c>
      <c r="AR723" s="18">
        <v>0</v>
      </c>
      <c r="AS723" s="18">
        <v>0</v>
      </c>
      <c r="AT723" s="18">
        <v>0</v>
      </c>
      <c r="AU723" s="18">
        <v>0</v>
      </c>
      <c r="AV723" s="18">
        <v>0</v>
      </c>
      <c r="AW723" s="18">
        <v>0</v>
      </c>
      <c r="AX723" s="18">
        <v>0</v>
      </c>
      <c r="AY723" s="18">
        <v>113</v>
      </c>
      <c r="AZ723" s="18">
        <v>79</v>
      </c>
      <c r="BA723" s="18">
        <v>73</v>
      </c>
      <c r="BB723" s="18">
        <v>0.92405</v>
      </c>
      <c r="BC723" s="18">
        <v>0</v>
      </c>
      <c r="BD723" s="18">
        <v>0</v>
      </c>
      <c r="BE723" s="18">
        <v>0.0437</v>
      </c>
      <c r="BF723" s="18">
        <v>24</v>
      </c>
      <c r="BG723" s="18">
        <v>1</v>
      </c>
      <c r="BH723" s="18">
        <v>0</v>
      </c>
      <c r="BI723" s="18"/>
      <c r="BJ723" s="18">
        <v>0</v>
      </c>
      <c r="BK723" s="18">
        <v>0</v>
      </c>
      <c r="BL723" s="18">
        <v>0</v>
      </c>
      <c r="BM723" s="18">
        <v>0</v>
      </c>
      <c r="BN723" s="18"/>
      <c r="BO723" s="18"/>
      <c r="BP723" s="18">
        <v>0</v>
      </c>
      <c r="BQ723" s="18">
        <v>0</v>
      </c>
      <c r="BR723" s="18">
        <v>0</v>
      </c>
      <c r="BS723" s="18">
        <v>0</v>
      </c>
      <c r="BT723" s="18">
        <v>0</v>
      </c>
      <c r="BU723" s="18">
        <v>0</v>
      </c>
      <c r="BV723" s="18">
        <v>0</v>
      </c>
      <c r="BW723" s="18">
        <v>0</v>
      </c>
      <c r="BX723" s="18">
        <v>0</v>
      </c>
    </row>
    <row r="724" spans="2:76">
      <c r="B724" s="19">
        <v>46115</v>
      </c>
      <c r="C724" s="20">
        <v>1010789122929</v>
      </c>
      <c r="D724" s="18" t="s">
        <v>151</v>
      </c>
      <c r="E724" s="18" t="s">
        <v>179</v>
      </c>
      <c r="F724" s="18">
        <v>1492</v>
      </c>
      <c r="G724" s="18">
        <v>40</v>
      </c>
      <c r="H724" s="18">
        <v>49.84</v>
      </c>
      <c r="I724" s="18">
        <v>0.02681</v>
      </c>
      <c r="J724" s="18">
        <v>1.25</v>
      </c>
      <c r="K724" s="18">
        <v>33.4</v>
      </c>
      <c r="L724" s="18">
        <v>0</v>
      </c>
      <c r="M724" s="18">
        <v>0</v>
      </c>
      <c r="N724" s="18">
        <v>0</v>
      </c>
      <c r="O724" s="18">
        <v>0</v>
      </c>
      <c r="P724" s="18">
        <v>0</v>
      </c>
      <c r="Q724" s="18">
        <v>0</v>
      </c>
      <c r="R724" s="18">
        <v>0</v>
      </c>
      <c r="S724" s="18">
        <v>0</v>
      </c>
      <c r="T724" s="18">
        <v>0</v>
      </c>
      <c r="U724" s="18">
        <v>0</v>
      </c>
      <c r="V724" s="18">
        <v>0</v>
      </c>
      <c r="W724" s="18">
        <v>0</v>
      </c>
      <c r="X724" s="18">
        <v>0</v>
      </c>
      <c r="Y724" s="18">
        <v>0</v>
      </c>
      <c r="Z724" s="18">
        <v>0</v>
      </c>
      <c r="AA724" s="18"/>
      <c r="AB724" s="18">
        <v>6</v>
      </c>
      <c r="AC724" s="18">
        <v>2</v>
      </c>
      <c r="AD724" s="18">
        <v>4</v>
      </c>
      <c r="AE724" s="18">
        <v>0.15</v>
      </c>
      <c r="AF724" s="18">
        <v>0</v>
      </c>
      <c r="AG724" s="18">
        <v>0</v>
      </c>
      <c r="AH724" s="18"/>
      <c r="AI724" s="18">
        <v>6</v>
      </c>
      <c r="AJ724" s="18">
        <v>8.31</v>
      </c>
      <c r="AK724" s="18">
        <v>6</v>
      </c>
      <c r="AL724" s="18">
        <v>8.31</v>
      </c>
      <c r="AM724" s="18">
        <v>0</v>
      </c>
      <c r="AN724" s="18"/>
      <c r="AO724" s="18">
        <v>0</v>
      </c>
      <c r="AP724" s="18">
        <v>8.31</v>
      </c>
      <c r="AQ724" s="18">
        <v>0</v>
      </c>
      <c r="AR724" s="18">
        <v>0</v>
      </c>
      <c r="AS724" s="18">
        <v>0</v>
      </c>
      <c r="AT724" s="18">
        <v>0</v>
      </c>
      <c r="AU724" s="18">
        <v>0</v>
      </c>
      <c r="AV724" s="18">
        <v>0</v>
      </c>
      <c r="AW724" s="18">
        <v>0</v>
      </c>
      <c r="AX724" s="18">
        <v>0</v>
      </c>
      <c r="AY724" s="18">
        <v>123</v>
      </c>
      <c r="AZ724" s="18">
        <v>39</v>
      </c>
      <c r="BA724" s="18">
        <v>29</v>
      </c>
      <c r="BB724" s="18">
        <v>0.74359</v>
      </c>
      <c r="BC724" s="18">
        <v>0</v>
      </c>
      <c r="BD724" s="18">
        <v>0</v>
      </c>
      <c r="BE724" s="18">
        <v>0.08244</v>
      </c>
      <c r="BF724" s="18">
        <v>79</v>
      </c>
      <c r="BG724" s="18">
        <v>3</v>
      </c>
      <c r="BH724" s="18">
        <v>0</v>
      </c>
      <c r="BI724" s="18"/>
      <c r="BJ724" s="18">
        <v>0</v>
      </c>
      <c r="BK724" s="18">
        <v>0</v>
      </c>
      <c r="BL724" s="18">
        <v>0</v>
      </c>
      <c r="BM724" s="18">
        <v>0</v>
      </c>
      <c r="BN724" s="18"/>
      <c r="BO724" s="18"/>
      <c r="BP724" s="18">
        <v>42.81</v>
      </c>
      <c r="BQ724" s="18">
        <v>198</v>
      </c>
      <c r="BR724" s="18">
        <v>0</v>
      </c>
      <c r="BS724" s="18">
        <v>0</v>
      </c>
      <c r="BT724" s="18">
        <v>0</v>
      </c>
      <c r="BU724" s="18">
        <v>0</v>
      </c>
      <c r="BV724" s="18">
        <v>0</v>
      </c>
      <c r="BW724" s="18">
        <v>0</v>
      </c>
      <c r="BX724" s="18">
        <v>0</v>
      </c>
    </row>
    <row r="725" spans="2:76">
      <c r="B725" s="19">
        <v>46115</v>
      </c>
      <c r="C725" s="20">
        <v>971859969014</v>
      </c>
      <c r="D725" s="18" t="s">
        <v>151</v>
      </c>
      <c r="E725" s="18" t="s">
        <v>182</v>
      </c>
      <c r="F725" s="18">
        <v>13</v>
      </c>
      <c r="G725" s="18">
        <v>0</v>
      </c>
      <c r="H725" s="18">
        <v>0</v>
      </c>
      <c r="I725" s="18">
        <v>0</v>
      </c>
      <c r="J725" s="18"/>
      <c r="K725" s="18">
        <v>0</v>
      </c>
      <c r="L725" s="18">
        <v>0</v>
      </c>
      <c r="M725" s="18">
        <v>0</v>
      </c>
      <c r="N725" s="18">
        <v>0</v>
      </c>
      <c r="O725" s="18">
        <v>0</v>
      </c>
      <c r="P725" s="18">
        <v>0</v>
      </c>
      <c r="Q725" s="18">
        <v>0</v>
      </c>
      <c r="R725" s="18">
        <v>0</v>
      </c>
      <c r="S725" s="18">
        <v>0</v>
      </c>
      <c r="T725" s="18">
        <v>0</v>
      </c>
      <c r="U725" s="18">
        <v>0</v>
      </c>
      <c r="V725" s="18">
        <v>0</v>
      </c>
      <c r="W725" s="18">
        <v>0</v>
      </c>
      <c r="X725" s="18"/>
      <c r="Y725" s="18"/>
      <c r="Z725" s="18"/>
      <c r="AA725" s="18"/>
      <c r="AB725" s="18">
        <v>0</v>
      </c>
      <c r="AC725" s="18">
        <v>0</v>
      </c>
      <c r="AD725" s="18">
        <v>0</v>
      </c>
      <c r="AE725" s="18"/>
      <c r="AF725" s="18">
        <v>0</v>
      </c>
      <c r="AG725" s="18">
        <v>0</v>
      </c>
      <c r="AH725" s="18"/>
      <c r="AI725" s="18">
        <v>0</v>
      </c>
      <c r="AJ725" s="18"/>
      <c r="AK725" s="18">
        <v>0</v>
      </c>
      <c r="AL725" s="18"/>
      <c r="AM725" s="18">
        <v>0</v>
      </c>
      <c r="AN725" s="18"/>
      <c r="AO725" s="18"/>
      <c r="AP725" s="18"/>
      <c r="AQ725" s="18">
        <v>0</v>
      </c>
      <c r="AR725" s="18">
        <v>0</v>
      </c>
      <c r="AS725" s="18">
        <v>0</v>
      </c>
      <c r="AT725" s="18">
        <v>0</v>
      </c>
      <c r="AU725" s="18">
        <v>0</v>
      </c>
      <c r="AV725" s="18">
        <v>0</v>
      </c>
      <c r="AW725" s="18">
        <v>0</v>
      </c>
      <c r="AX725" s="18">
        <v>0</v>
      </c>
      <c r="AY725" s="18">
        <v>0</v>
      </c>
      <c r="AZ725" s="18">
        <v>0</v>
      </c>
      <c r="BA725" s="18">
        <v>0</v>
      </c>
      <c r="BB725" s="18"/>
      <c r="BC725" s="18"/>
      <c r="BD725" s="18">
        <v>0</v>
      </c>
      <c r="BE725" s="18">
        <v>0</v>
      </c>
      <c r="BF725" s="18">
        <v>0</v>
      </c>
      <c r="BG725" s="18"/>
      <c r="BH725" s="18">
        <v>0</v>
      </c>
      <c r="BI725" s="18"/>
      <c r="BJ725" s="18">
        <v>0</v>
      </c>
      <c r="BK725" s="18">
        <v>0</v>
      </c>
      <c r="BL725" s="18">
        <v>0</v>
      </c>
      <c r="BM725" s="18">
        <v>0</v>
      </c>
      <c r="BN725" s="18"/>
      <c r="BO725" s="18"/>
      <c r="BP725" s="18">
        <v>0</v>
      </c>
      <c r="BQ725" s="18">
        <v>0</v>
      </c>
      <c r="BR725" s="18">
        <v>0</v>
      </c>
      <c r="BS725" s="18">
        <v>0</v>
      </c>
      <c r="BT725" s="18">
        <v>0</v>
      </c>
      <c r="BU725" s="18">
        <v>0</v>
      </c>
      <c r="BV725" s="18">
        <v>0</v>
      </c>
      <c r="BW725" s="18">
        <v>0</v>
      </c>
      <c r="BX725" s="18">
        <v>0</v>
      </c>
    </row>
    <row r="726" spans="2:76">
      <c r="B726" s="19">
        <v>46115</v>
      </c>
      <c r="C726" s="20">
        <v>971856893567</v>
      </c>
      <c r="D726" s="18" t="s">
        <v>151</v>
      </c>
      <c r="E726" s="18" t="s">
        <v>152</v>
      </c>
      <c r="F726" s="18">
        <v>5004</v>
      </c>
      <c r="G726" s="18">
        <v>142</v>
      </c>
      <c r="H726" s="18">
        <v>35.5</v>
      </c>
      <c r="I726" s="18">
        <v>0.02838</v>
      </c>
      <c r="J726" s="18">
        <v>0.25</v>
      </c>
      <c r="K726" s="18">
        <v>7.09</v>
      </c>
      <c r="L726" s="18">
        <v>0</v>
      </c>
      <c r="M726" s="18">
        <v>0</v>
      </c>
      <c r="N726" s="18">
        <v>0</v>
      </c>
      <c r="O726" s="18">
        <v>0</v>
      </c>
      <c r="P726" s="18">
        <v>0</v>
      </c>
      <c r="Q726" s="18">
        <v>0</v>
      </c>
      <c r="R726" s="18">
        <v>0</v>
      </c>
      <c r="S726" s="18">
        <v>0</v>
      </c>
      <c r="T726" s="18">
        <v>0</v>
      </c>
      <c r="U726" s="18">
        <v>0</v>
      </c>
      <c r="V726" s="18">
        <v>0</v>
      </c>
      <c r="W726" s="18">
        <v>0</v>
      </c>
      <c r="X726" s="18">
        <v>0</v>
      </c>
      <c r="Y726" s="18">
        <v>0</v>
      </c>
      <c r="Z726" s="18">
        <v>0</v>
      </c>
      <c r="AA726" s="18"/>
      <c r="AB726" s="18">
        <v>1</v>
      </c>
      <c r="AC726" s="18">
        <v>0</v>
      </c>
      <c r="AD726" s="18">
        <v>1</v>
      </c>
      <c r="AE726" s="18">
        <v>0.00704</v>
      </c>
      <c r="AF726" s="18">
        <v>0</v>
      </c>
      <c r="AG726" s="18">
        <v>2</v>
      </c>
      <c r="AH726" s="18">
        <v>17.75</v>
      </c>
      <c r="AI726" s="18">
        <v>3</v>
      </c>
      <c r="AJ726" s="18">
        <v>11.83</v>
      </c>
      <c r="AK726" s="18">
        <v>1</v>
      </c>
      <c r="AL726" s="18">
        <v>35.5</v>
      </c>
      <c r="AM726" s="18">
        <v>2</v>
      </c>
      <c r="AN726" s="18"/>
      <c r="AO726" s="18">
        <v>0</v>
      </c>
      <c r="AP726" s="18">
        <v>35.5</v>
      </c>
      <c r="AQ726" s="18">
        <v>0</v>
      </c>
      <c r="AR726" s="18">
        <v>0</v>
      </c>
      <c r="AS726" s="18">
        <v>0</v>
      </c>
      <c r="AT726" s="18">
        <v>0</v>
      </c>
      <c r="AU726" s="18">
        <v>0</v>
      </c>
      <c r="AV726" s="18">
        <v>0</v>
      </c>
      <c r="AW726" s="18">
        <v>0</v>
      </c>
      <c r="AX726" s="18">
        <v>0</v>
      </c>
      <c r="AY726" s="18">
        <v>240</v>
      </c>
      <c r="AZ726" s="18">
        <v>121</v>
      </c>
      <c r="BA726" s="18">
        <v>118</v>
      </c>
      <c r="BB726" s="18">
        <v>0.97521</v>
      </c>
      <c r="BC726" s="18">
        <v>0</v>
      </c>
      <c r="BD726" s="18">
        <v>0</v>
      </c>
      <c r="BE726" s="18">
        <v>0.04796</v>
      </c>
      <c r="BF726" s="18">
        <v>103</v>
      </c>
      <c r="BG726" s="18">
        <v>2</v>
      </c>
      <c r="BH726" s="18">
        <v>0</v>
      </c>
      <c r="BI726" s="18"/>
      <c r="BJ726" s="18">
        <v>0</v>
      </c>
      <c r="BK726" s="18">
        <v>0</v>
      </c>
      <c r="BL726" s="18">
        <v>0</v>
      </c>
      <c r="BM726" s="18">
        <v>0</v>
      </c>
      <c r="BN726" s="18"/>
      <c r="BO726" s="18"/>
      <c r="BP726" s="18">
        <v>18.72</v>
      </c>
      <c r="BQ726" s="18">
        <v>27</v>
      </c>
      <c r="BR726" s="18">
        <v>0</v>
      </c>
      <c r="BS726" s="18">
        <v>0</v>
      </c>
      <c r="BT726" s="18">
        <v>0</v>
      </c>
      <c r="BU726" s="18">
        <v>0</v>
      </c>
      <c r="BV726" s="18">
        <v>0</v>
      </c>
      <c r="BW726" s="18">
        <v>0</v>
      </c>
      <c r="BX726" s="18">
        <v>0</v>
      </c>
    </row>
    <row r="727" spans="2:76">
      <c r="B727" s="19">
        <v>46115</v>
      </c>
      <c r="C727" s="20">
        <v>838711327669</v>
      </c>
      <c r="D727" s="18" t="s">
        <v>151</v>
      </c>
      <c r="E727" s="18" t="s">
        <v>153</v>
      </c>
      <c r="F727" s="18">
        <v>698</v>
      </c>
      <c r="G727" s="18">
        <v>25</v>
      </c>
      <c r="H727" s="18">
        <v>60</v>
      </c>
      <c r="I727" s="18">
        <v>0.03582</v>
      </c>
      <c r="J727" s="18">
        <v>2.4</v>
      </c>
      <c r="K727" s="18">
        <v>85.96</v>
      </c>
      <c r="L727" s="18">
        <v>0</v>
      </c>
      <c r="M727" s="18">
        <v>0</v>
      </c>
      <c r="N727" s="18">
        <v>0</v>
      </c>
      <c r="O727" s="18">
        <v>0</v>
      </c>
      <c r="P727" s="18">
        <v>0</v>
      </c>
      <c r="Q727" s="18">
        <v>0</v>
      </c>
      <c r="R727" s="18">
        <v>0</v>
      </c>
      <c r="S727" s="18">
        <v>302.72</v>
      </c>
      <c r="T727" s="18">
        <v>302.72</v>
      </c>
      <c r="U727" s="18">
        <v>2</v>
      </c>
      <c r="V727" s="18">
        <v>0</v>
      </c>
      <c r="W727" s="18">
        <v>2</v>
      </c>
      <c r="X727" s="18">
        <v>0.08</v>
      </c>
      <c r="Y727" s="18">
        <v>5.05</v>
      </c>
      <c r="Z727" s="18">
        <v>5.05</v>
      </c>
      <c r="AA727" s="18">
        <v>30</v>
      </c>
      <c r="AB727" s="18">
        <v>1</v>
      </c>
      <c r="AC727" s="18">
        <v>0</v>
      </c>
      <c r="AD727" s="18">
        <v>1</v>
      </c>
      <c r="AE727" s="18">
        <v>0.04</v>
      </c>
      <c r="AF727" s="18">
        <v>0</v>
      </c>
      <c r="AG727" s="18">
        <v>1</v>
      </c>
      <c r="AH727" s="18">
        <v>60</v>
      </c>
      <c r="AI727" s="18">
        <v>2</v>
      </c>
      <c r="AJ727" s="18">
        <v>30</v>
      </c>
      <c r="AK727" s="18">
        <v>1</v>
      </c>
      <c r="AL727" s="18">
        <v>60</v>
      </c>
      <c r="AM727" s="18">
        <v>1</v>
      </c>
      <c r="AN727" s="18"/>
      <c r="AO727" s="18">
        <v>0</v>
      </c>
      <c r="AP727" s="18">
        <v>60</v>
      </c>
      <c r="AQ727" s="18">
        <v>3</v>
      </c>
      <c r="AR727" s="18">
        <v>437</v>
      </c>
      <c r="AS727" s="18">
        <v>0</v>
      </c>
      <c r="AT727" s="18">
        <v>0</v>
      </c>
      <c r="AU727" s="18">
        <v>0</v>
      </c>
      <c r="AV727" s="18">
        <v>0</v>
      </c>
      <c r="AW727" s="18">
        <v>0</v>
      </c>
      <c r="AX727" s="18">
        <v>0</v>
      </c>
      <c r="AY727" s="18">
        <v>75</v>
      </c>
      <c r="AZ727" s="18">
        <v>22</v>
      </c>
      <c r="BA727" s="18">
        <v>14</v>
      </c>
      <c r="BB727" s="18">
        <v>0.63636</v>
      </c>
      <c r="BC727" s="18">
        <v>0</v>
      </c>
      <c r="BD727" s="18">
        <v>0</v>
      </c>
      <c r="BE727" s="18">
        <v>0.10745</v>
      </c>
      <c r="BF727" s="18">
        <v>51</v>
      </c>
      <c r="BG727" s="18">
        <v>3</v>
      </c>
      <c r="BH727" s="18">
        <v>2</v>
      </c>
      <c r="BI727" s="18">
        <v>1</v>
      </c>
      <c r="BJ727" s="18">
        <v>0</v>
      </c>
      <c r="BK727" s="18">
        <v>0</v>
      </c>
      <c r="BL727" s="18">
        <v>0</v>
      </c>
      <c r="BM727" s="18">
        <v>2</v>
      </c>
      <c r="BN727" s="18">
        <v>1</v>
      </c>
      <c r="BO727" s="18">
        <v>151.36</v>
      </c>
      <c r="BP727" s="18">
        <v>1.6</v>
      </c>
      <c r="BQ727" s="18">
        <v>217</v>
      </c>
      <c r="BR727" s="18">
        <v>0</v>
      </c>
      <c r="BS727" s="18">
        <v>0</v>
      </c>
      <c r="BT727" s="18">
        <v>0</v>
      </c>
      <c r="BU727" s="18">
        <v>0</v>
      </c>
      <c r="BV727" s="18">
        <v>0</v>
      </c>
      <c r="BW727" s="18">
        <v>0</v>
      </c>
      <c r="BX727" s="18">
        <v>0</v>
      </c>
    </row>
    <row r="728" spans="2:76">
      <c r="B728" s="19">
        <v>46115</v>
      </c>
      <c r="C728" s="20">
        <v>833369552621</v>
      </c>
      <c r="D728" s="18" t="s">
        <v>151</v>
      </c>
      <c r="E728" s="18" t="s">
        <v>154</v>
      </c>
      <c r="F728" s="18">
        <v>2815</v>
      </c>
      <c r="G728" s="18">
        <v>80</v>
      </c>
      <c r="H728" s="18">
        <v>24.03</v>
      </c>
      <c r="I728" s="18">
        <v>0.02842</v>
      </c>
      <c r="J728" s="18">
        <v>0.3</v>
      </c>
      <c r="K728" s="18">
        <v>8.54</v>
      </c>
      <c r="L728" s="18">
        <v>0</v>
      </c>
      <c r="M728" s="18">
        <v>0</v>
      </c>
      <c r="N728" s="18">
        <v>0</v>
      </c>
      <c r="O728" s="18">
        <v>0</v>
      </c>
      <c r="P728" s="18">
        <v>0</v>
      </c>
      <c r="Q728" s="18">
        <v>0</v>
      </c>
      <c r="R728" s="18">
        <v>0</v>
      </c>
      <c r="S728" s="18">
        <v>0</v>
      </c>
      <c r="T728" s="18">
        <v>0</v>
      </c>
      <c r="U728" s="18">
        <v>0</v>
      </c>
      <c r="V728" s="18">
        <v>0</v>
      </c>
      <c r="W728" s="18">
        <v>0</v>
      </c>
      <c r="X728" s="18">
        <v>0</v>
      </c>
      <c r="Y728" s="18">
        <v>0</v>
      </c>
      <c r="Z728" s="18">
        <v>0</v>
      </c>
      <c r="AA728" s="18"/>
      <c r="AB728" s="18">
        <v>1</v>
      </c>
      <c r="AC728" s="18">
        <v>0</v>
      </c>
      <c r="AD728" s="18">
        <v>1</v>
      </c>
      <c r="AE728" s="18">
        <v>0.0125</v>
      </c>
      <c r="AF728" s="18">
        <v>0</v>
      </c>
      <c r="AG728" s="18">
        <v>0</v>
      </c>
      <c r="AH728" s="18"/>
      <c r="AI728" s="18">
        <v>1</v>
      </c>
      <c r="AJ728" s="18">
        <v>24.03</v>
      </c>
      <c r="AK728" s="18">
        <v>1</v>
      </c>
      <c r="AL728" s="18">
        <v>24.03</v>
      </c>
      <c r="AM728" s="18">
        <v>0</v>
      </c>
      <c r="AN728" s="18"/>
      <c r="AO728" s="18">
        <v>0</v>
      </c>
      <c r="AP728" s="18">
        <v>24.03</v>
      </c>
      <c r="AQ728" s="18">
        <v>0</v>
      </c>
      <c r="AR728" s="18">
        <v>0</v>
      </c>
      <c r="AS728" s="18">
        <v>0</v>
      </c>
      <c r="AT728" s="18">
        <v>0</v>
      </c>
      <c r="AU728" s="18">
        <v>0</v>
      </c>
      <c r="AV728" s="18">
        <v>0</v>
      </c>
      <c r="AW728" s="18">
        <v>0</v>
      </c>
      <c r="AX728" s="18">
        <v>0</v>
      </c>
      <c r="AY728" s="18">
        <v>151</v>
      </c>
      <c r="AZ728" s="18">
        <v>71</v>
      </c>
      <c r="BA728" s="18">
        <v>62</v>
      </c>
      <c r="BB728" s="18">
        <v>0.87324</v>
      </c>
      <c r="BC728" s="18">
        <v>0</v>
      </c>
      <c r="BD728" s="18">
        <v>0</v>
      </c>
      <c r="BE728" s="18">
        <v>0.05364</v>
      </c>
      <c r="BF728" s="18">
        <v>63</v>
      </c>
      <c r="BG728" s="18">
        <v>2</v>
      </c>
      <c r="BH728" s="18">
        <v>0</v>
      </c>
      <c r="BI728" s="18"/>
      <c r="BJ728" s="18">
        <v>0</v>
      </c>
      <c r="BK728" s="18">
        <v>0</v>
      </c>
      <c r="BL728" s="18">
        <v>0</v>
      </c>
      <c r="BM728" s="18">
        <v>0</v>
      </c>
      <c r="BN728" s="18"/>
      <c r="BO728" s="18"/>
      <c r="BP728" s="18">
        <v>0</v>
      </c>
      <c r="BQ728" s="18">
        <v>7</v>
      </c>
      <c r="BR728" s="18">
        <v>0</v>
      </c>
      <c r="BS728" s="18">
        <v>0</v>
      </c>
      <c r="BT728" s="18">
        <v>0</v>
      </c>
      <c r="BU728" s="18">
        <v>0</v>
      </c>
      <c r="BV728" s="18">
        <v>0</v>
      </c>
      <c r="BW728" s="18">
        <v>0</v>
      </c>
      <c r="BX728" s="18">
        <v>0</v>
      </c>
    </row>
    <row r="729" spans="2:76">
      <c r="B729" s="19">
        <v>46114</v>
      </c>
      <c r="C729" s="20">
        <v>971856893567</v>
      </c>
      <c r="D729" s="18" t="s">
        <v>151</v>
      </c>
      <c r="E729" s="18" t="s">
        <v>152</v>
      </c>
      <c r="F729" s="18">
        <v>3202</v>
      </c>
      <c r="G729" s="18">
        <v>114</v>
      </c>
      <c r="H729" s="18">
        <v>25.57</v>
      </c>
      <c r="I729" s="18">
        <v>0.0356</v>
      </c>
      <c r="J729" s="18">
        <v>0.22</v>
      </c>
      <c r="K729" s="18">
        <v>7.99</v>
      </c>
      <c r="L729" s="18">
        <v>0</v>
      </c>
      <c r="M729" s="18">
        <v>0</v>
      </c>
      <c r="N729" s="18">
        <v>0</v>
      </c>
      <c r="O729" s="18">
        <v>0</v>
      </c>
      <c r="P729" s="18">
        <v>0</v>
      </c>
      <c r="Q729" s="18">
        <v>0</v>
      </c>
      <c r="R729" s="18">
        <v>0</v>
      </c>
      <c r="S729" s="18">
        <v>0</v>
      </c>
      <c r="T729" s="18">
        <v>0</v>
      </c>
      <c r="U729" s="18">
        <v>0</v>
      </c>
      <c r="V729" s="18">
        <v>0</v>
      </c>
      <c r="W729" s="18">
        <v>0</v>
      </c>
      <c r="X729" s="18">
        <v>0</v>
      </c>
      <c r="Y729" s="18">
        <v>0</v>
      </c>
      <c r="Z729" s="18">
        <v>0</v>
      </c>
      <c r="AA729" s="18"/>
      <c r="AB729" s="18">
        <v>3</v>
      </c>
      <c r="AC729" s="18">
        <v>2</v>
      </c>
      <c r="AD729" s="18">
        <v>1</v>
      </c>
      <c r="AE729" s="18">
        <v>0.02632</v>
      </c>
      <c r="AF729" s="18">
        <v>0</v>
      </c>
      <c r="AG729" s="18">
        <v>1</v>
      </c>
      <c r="AH729" s="18">
        <v>25.57</v>
      </c>
      <c r="AI729" s="18">
        <v>4</v>
      </c>
      <c r="AJ729" s="18">
        <v>6.39</v>
      </c>
      <c r="AK729" s="18">
        <v>3</v>
      </c>
      <c r="AL729" s="18">
        <v>8.52</v>
      </c>
      <c r="AM729" s="18">
        <v>1</v>
      </c>
      <c r="AN729" s="18"/>
      <c r="AO729" s="18">
        <v>0</v>
      </c>
      <c r="AP729" s="18">
        <v>8.52</v>
      </c>
      <c r="AQ729" s="18">
        <v>0</v>
      </c>
      <c r="AR729" s="18">
        <v>0</v>
      </c>
      <c r="AS729" s="18">
        <v>0</v>
      </c>
      <c r="AT729" s="18">
        <v>0</v>
      </c>
      <c r="AU729" s="18">
        <v>0</v>
      </c>
      <c r="AV729" s="18">
        <v>0</v>
      </c>
      <c r="AW729" s="18">
        <v>0</v>
      </c>
      <c r="AX729" s="18">
        <v>1</v>
      </c>
      <c r="AY729" s="18">
        <v>255</v>
      </c>
      <c r="AZ729" s="18">
        <v>110</v>
      </c>
      <c r="BA729" s="18">
        <v>99</v>
      </c>
      <c r="BB729" s="18">
        <v>0.9</v>
      </c>
      <c r="BC729" s="18">
        <v>0</v>
      </c>
      <c r="BD729" s="18">
        <v>0</v>
      </c>
      <c r="BE729" s="18">
        <v>0.07964</v>
      </c>
      <c r="BF729" s="18">
        <v>132</v>
      </c>
      <c r="BG729" s="18">
        <v>2</v>
      </c>
      <c r="BH729" s="18">
        <v>0</v>
      </c>
      <c r="BI729" s="18"/>
      <c r="BJ729" s="18">
        <v>0</v>
      </c>
      <c r="BK729" s="18">
        <v>0</v>
      </c>
      <c r="BL729" s="18">
        <v>0</v>
      </c>
      <c r="BM729" s="18">
        <v>0</v>
      </c>
      <c r="BN729" s="18"/>
      <c r="BO729" s="18"/>
      <c r="BP729" s="18">
        <v>0.08</v>
      </c>
      <c r="BQ729" s="18">
        <v>2005</v>
      </c>
      <c r="BR729" s="18">
        <v>0</v>
      </c>
      <c r="BS729" s="18">
        <v>0</v>
      </c>
      <c r="BT729" s="18">
        <v>0</v>
      </c>
      <c r="BU729" s="18">
        <v>0</v>
      </c>
      <c r="BV729" s="18">
        <v>0</v>
      </c>
      <c r="BW729" s="18">
        <v>0</v>
      </c>
      <c r="BX729" s="18">
        <v>0</v>
      </c>
    </row>
    <row r="730" spans="2:76">
      <c r="B730" s="19">
        <v>46114</v>
      </c>
      <c r="C730" s="20">
        <v>838711327669</v>
      </c>
      <c r="D730" s="18" t="s">
        <v>151</v>
      </c>
      <c r="E730" s="18" t="s">
        <v>153</v>
      </c>
      <c r="F730" s="18">
        <v>842</v>
      </c>
      <c r="G730" s="18">
        <v>25</v>
      </c>
      <c r="H730" s="18">
        <v>60</v>
      </c>
      <c r="I730" s="18">
        <v>0.02969</v>
      </c>
      <c r="J730" s="18">
        <v>2.4</v>
      </c>
      <c r="K730" s="18">
        <v>71.26</v>
      </c>
      <c r="L730" s="18">
        <v>0</v>
      </c>
      <c r="M730" s="18">
        <v>0</v>
      </c>
      <c r="N730" s="18">
        <v>0</v>
      </c>
      <c r="O730" s="18">
        <v>0</v>
      </c>
      <c r="P730" s="18">
        <v>0</v>
      </c>
      <c r="Q730" s="18">
        <v>0</v>
      </c>
      <c r="R730" s="18">
        <v>0</v>
      </c>
      <c r="S730" s="18">
        <v>269.64</v>
      </c>
      <c r="T730" s="18">
        <v>269.64</v>
      </c>
      <c r="U730" s="18">
        <v>1</v>
      </c>
      <c r="V730" s="18">
        <v>0</v>
      </c>
      <c r="W730" s="18">
        <v>1</v>
      </c>
      <c r="X730" s="18">
        <v>0.04</v>
      </c>
      <c r="Y730" s="18">
        <v>4.49</v>
      </c>
      <c r="Z730" s="18">
        <v>4.49</v>
      </c>
      <c r="AA730" s="18">
        <v>60</v>
      </c>
      <c r="AB730" s="18">
        <v>0</v>
      </c>
      <c r="AC730" s="18">
        <v>0</v>
      </c>
      <c r="AD730" s="18">
        <v>0</v>
      </c>
      <c r="AE730" s="18">
        <v>0</v>
      </c>
      <c r="AF730" s="18">
        <v>1</v>
      </c>
      <c r="AG730" s="18">
        <v>0</v>
      </c>
      <c r="AH730" s="18"/>
      <c r="AI730" s="18">
        <v>1</v>
      </c>
      <c r="AJ730" s="18">
        <v>60</v>
      </c>
      <c r="AK730" s="18">
        <v>1</v>
      </c>
      <c r="AL730" s="18">
        <v>60</v>
      </c>
      <c r="AM730" s="18">
        <v>1</v>
      </c>
      <c r="AN730" s="18">
        <v>60</v>
      </c>
      <c r="AO730" s="18">
        <v>0.04</v>
      </c>
      <c r="AP730" s="18"/>
      <c r="AQ730" s="18">
        <v>2</v>
      </c>
      <c r="AR730" s="18">
        <v>399</v>
      </c>
      <c r="AS730" s="18">
        <v>1</v>
      </c>
      <c r="AT730" s="18">
        <v>0</v>
      </c>
      <c r="AU730" s="18">
        <v>0</v>
      </c>
      <c r="AV730" s="18">
        <v>0</v>
      </c>
      <c r="AW730" s="18">
        <v>0</v>
      </c>
      <c r="AX730" s="18">
        <v>1</v>
      </c>
      <c r="AY730" s="18">
        <v>86</v>
      </c>
      <c r="AZ730" s="18">
        <v>23</v>
      </c>
      <c r="BA730" s="18">
        <v>12</v>
      </c>
      <c r="BB730" s="18">
        <v>0.52174</v>
      </c>
      <c r="BC730" s="18">
        <v>0</v>
      </c>
      <c r="BD730" s="18">
        <v>0</v>
      </c>
      <c r="BE730" s="18">
        <v>0.10214</v>
      </c>
      <c r="BF730" s="18">
        <v>55</v>
      </c>
      <c r="BG730" s="18">
        <v>4</v>
      </c>
      <c r="BH730" s="18">
        <v>1</v>
      </c>
      <c r="BI730" s="18">
        <v>1</v>
      </c>
      <c r="BJ730" s="18">
        <v>0</v>
      </c>
      <c r="BK730" s="18">
        <v>0</v>
      </c>
      <c r="BL730" s="18">
        <v>0</v>
      </c>
      <c r="BM730" s="18">
        <v>1</v>
      </c>
      <c r="BN730" s="18">
        <v>1</v>
      </c>
      <c r="BO730" s="18">
        <v>269.64</v>
      </c>
      <c r="BP730" s="18">
        <v>0.08</v>
      </c>
      <c r="BQ730" s="18">
        <v>458</v>
      </c>
      <c r="BR730" s="18">
        <v>0</v>
      </c>
      <c r="BS730" s="18">
        <v>0</v>
      </c>
      <c r="BT730" s="18">
        <v>0</v>
      </c>
      <c r="BU730" s="18">
        <v>0</v>
      </c>
      <c r="BV730" s="18">
        <v>0</v>
      </c>
      <c r="BW730" s="18">
        <v>0</v>
      </c>
      <c r="BX730" s="18">
        <v>0</v>
      </c>
    </row>
    <row r="731" spans="2:76">
      <c r="B731" s="19">
        <v>46114</v>
      </c>
      <c r="C731" s="20">
        <v>833369552621</v>
      </c>
      <c r="D731" s="18" t="s">
        <v>151</v>
      </c>
      <c r="E731" s="18" t="s">
        <v>154</v>
      </c>
      <c r="F731" s="18">
        <v>3653</v>
      </c>
      <c r="G731" s="18">
        <v>101</v>
      </c>
      <c r="H731" s="18">
        <v>26.79</v>
      </c>
      <c r="I731" s="18">
        <v>0.02765</v>
      </c>
      <c r="J731" s="18">
        <v>0.27</v>
      </c>
      <c r="K731" s="18">
        <v>7.33</v>
      </c>
      <c r="L731" s="18">
        <v>0</v>
      </c>
      <c r="M731" s="18">
        <v>0</v>
      </c>
      <c r="N731" s="18">
        <v>0</v>
      </c>
      <c r="O731" s="18">
        <v>0</v>
      </c>
      <c r="P731" s="18">
        <v>0</v>
      </c>
      <c r="Q731" s="18">
        <v>0</v>
      </c>
      <c r="R731" s="18">
        <v>0</v>
      </c>
      <c r="S731" s="18">
        <v>0</v>
      </c>
      <c r="T731" s="18">
        <v>0</v>
      </c>
      <c r="U731" s="18">
        <v>0</v>
      </c>
      <c r="V731" s="18">
        <v>0</v>
      </c>
      <c r="W731" s="18">
        <v>0</v>
      </c>
      <c r="X731" s="18">
        <v>0</v>
      </c>
      <c r="Y731" s="18">
        <v>0</v>
      </c>
      <c r="Z731" s="18">
        <v>0</v>
      </c>
      <c r="AA731" s="18"/>
      <c r="AB731" s="18">
        <v>1</v>
      </c>
      <c r="AC731" s="18">
        <v>1</v>
      </c>
      <c r="AD731" s="18">
        <v>0</v>
      </c>
      <c r="AE731" s="18">
        <v>0.0099</v>
      </c>
      <c r="AF731" s="18">
        <v>1</v>
      </c>
      <c r="AG731" s="18">
        <v>0</v>
      </c>
      <c r="AH731" s="18"/>
      <c r="AI731" s="18">
        <v>2</v>
      </c>
      <c r="AJ731" s="18">
        <v>13.4</v>
      </c>
      <c r="AK731" s="18">
        <v>2</v>
      </c>
      <c r="AL731" s="18">
        <v>13.4</v>
      </c>
      <c r="AM731" s="18">
        <v>1</v>
      </c>
      <c r="AN731" s="18">
        <v>26.79</v>
      </c>
      <c r="AO731" s="18">
        <v>0.0099</v>
      </c>
      <c r="AP731" s="18">
        <v>26.79</v>
      </c>
      <c r="AQ731" s="18">
        <v>0</v>
      </c>
      <c r="AR731" s="18">
        <v>0</v>
      </c>
      <c r="AS731" s="18">
        <v>0</v>
      </c>
      <c r="AT731" s="18">
        <v>1</v>
      </c>
      <c r="AU731" s="18">
        <v>0</v>
      </c>
      <c r="AV731" s="18">
        <v>0</v>
      </c>
      <c r="AW731" s="18">
        <v>0</v>
      </c>
      <c r="AX731" s="18">
        <v>0</v>
      </c>
      <c r="AY731" s="18">
        <v>178</v>
      </c>
      <c r="AZ731" s="18">
        <v>86</v>
      </c>
      <c r="BA731" s="18">
        <v>76</v>
      </c>
      <c r="BB731" s="18">
        <v>0.88372</v>
      </c>
      <c r="BC731" s="18">
        <v>0</v>
      </c>
      <c r="BD731" s="18">
        <v>0</v>
      </c>
      <c r="BE731" s="18">
        <v>0.04873</v>
      </c>
      <c r="BF731" s="18">
        <v>75</v>
      </c>
      <c r="BG731" s="18">
        <v>2</v>
      </c>
      <c r="BH731" s="18">
        <v>0</v>
      </c>
      <c r="BI731" s="18"/>
      <c r="BJ731" s="18">
        <v>0</v>
      </c>
      <c r="BK731" s="18">
        <v>0</v>
      </c>
      <c r="BL731" s="18">
        <v>0</v>
      </c>
      <c r="BM731" s="18">
        <v>0</v>
      </c>
      <c r="BN731" s="18"/>
      <c r="BO731" s="18"/>
      <c r="BP731" s="18">
        <v>0</v>
      </c>
      <c r="BQ731" s="18">
        <v>1393</v>
      </c>
      <c r="BR731" s="18">
        <v>0</v>
      </c>
      <c r="BS731" s="18">
        <v>0</v>
      </c>
      <c r="BT731" s="18">
        <v>0</v>
      </c>
      <c r="BU731" s="18">
        <v>0</v>
      </c>
      <c r="BV731" s="18">
        <v>0</v>
      </c>
      <c r="BW731" s="18">
        <v>0</v>
      </c>
      <c r="BX731" s="18">
        <v>0</v>
      </c>
    </row>
    <row r="732" spans="2:76">
      <c r="B732" s="19">
        <v>46113</v>
      </c>
      <c r="C732" s="20">
        <v>971856893567</v>
      </c>
      <c r="D732" s="18" t="s">
        <v>151</v>
      </c>
      <c r="E732" s="18" t="s">
        <v>152</v>
      </c>
      <c r="F732" s="18">
        <v>3657</v>
      </c>
      <c r="G732" s="18">
        <v>114</v>
      </c>
      <c r="H732" s="18">
        <v>26.16</v>
      </c>
      <c r="I732" s="18">
        <v>0.03117</v>
      </c>
      <c r="J732" s="18">
        <v>0.23</v>
      </c>
      <c r="K732" s="18">
        <v>7.15</v>
      </c>
      <c r="L732" s="18">
        <v>0</v>
      </c>
      <c r="M732" s="18">
        <v>0</v>
      </c>
      <c r="N732" s="18">
        <v>0</v>
      </c>
      <c r="O732" s="18">
        <v>0</v>
      </c>
      <c r="P732" s="18">
        <v>0</v>
      </c>
      <c r="Q732" s="18">
        <v>0</v>
      </c>
      <c r="R732" s="18">
        <v>0</v>
      </c>
      <c r="S732" s="18">
        <v>0</v>
      </c>
      <c r="T732" s="18">
        <v>0</v>
      </c>
      <c r="U732" s="18">
        <v>0</v>
      </c>
      <c r="V732" s="18">
        <v>0</v>
      </c>
      <c r="W732" s="18">
        <v>0</v>
      </c>
      <c r="X732" s="18">
        <v>0</v>
      </c>
      <c r="Y732" s="18">
        <v>0</v>
      </c>
      <c r="Z732" s="18">
        <v>0</v>
      </c>
      <c r="AA732" s="18"/>
      <c r="AB732" s="18">
        <v>2</v>
      </c>
      <c r="AC732" s="18">
        <v>2</v>
      </c>
      <c r="AD732" s="18">
        <v>0</v>
      </c>
      <c r="AE732" s="18">
        <v>0.01754</v>
      </c>
      <c r="AF732" s="18">
        <v>1</v>
      </c>
      <c r="AG732" s="18">
        <v>2</v>
      </c>
      <c r="AH732" s="18">
        <v>13.08</v>
      </c>
      <c r="AI732" s="18">
        <v>5</v>
      </c>
      <c r="AJ732" s="18">
        <v>5.23</v>
      </c>
      <c r="AK732" s="18">
        <v>3</v>
      </c>
      <c r="AL732" s="18">
        <v>8.72</v>
      </c>
      <c r="AM732" s="18">
        <v>3</v>
      </c>
      <c r="AN732" s="18">
        <v>26.16</v>
      </c>
      <c r="AO732" s="18">
        <v>0.00877</v>
      </c>
      <c r="AP732" s="18">
        <v>13.08</v>
      </c>
      <c r="AQ732" s="18">
        <v>0</v>
      </c>
      <c r="AR732" s="18">
        <v>0</v>
      </c>
      <c r="AS732" s="18">
        <v>0</v>
      </c>
      <c r="AT732" s="18">
        <v>1</v>
      </c>
      <c r="AU732" s="18">
        <v>0</v>
      </c>
      <c r="AV732" s="18">
        <v>0</v>
      </c>
      <c r="AW732" s="18">
        <v>0</v>
      </c>
      <c r="AX732" s="18">
        <v>0</v>
      </c>
      <c r="AY732" s="18">
        <v>318</v>
      </c>
      <c r="AZ732" s="18">
        <v>108</v>
      </c>
      <c r="BA732" s="18">
        <v>101</v>
      </c>
      <c r="BB732" s="18">
        <v>0.93519</v>
      </c>
      <c r="BC732" s="18">
        <v>0</v>
      </c>
      <c r="BD732" s="18">
        <v>0</v>
      </c>
      <c r="BE732" s="18">
        <v>0.08696</v>
      </c>
      <c r="BF732" s="18">
        <v>189</v>
      </c>
      <c r="BG732" s="18">
        <v>3</v>
      </c>
      <c r="BH732" s="18">
        <v>0</v>
      </c>
      <c r="BI732" s="18"/>
      <c r="BJ732" s="18">
        <v>0</v>
      </c>
      <c r="BK732" s="18">
        <v>0</v>
      </c>
      <c r="BL732" s="18">
        <v>0</v>
      </c>
      <c r="BM732" s="18">
        <v>0</v>
      </c>
      <c r="BN732" s="18"/>
      <c r="BO732" s="18"/>
      <c r="BP732" s="18">
        <v>0</v>
      </c>
      <c r="BQ732" s="18">
        <v>1130</v>
      </c>
      <c r="BR732" s="18">
        <v>0</v>
      </c>
      <c r="BS732" s="18">
        <v>0</v>
      </c>
      <c r="BT732" s="18">
        <v>0</v>
      </c>
      <c r="BU732" s="18">
        <v>0</v>
      </c>
      <c r="BV732" s="18">
        <v>0</v>
      </c>
      <c r="BW732" s="18">
        <v>0</v>
      </c>
      <c r="BX732" s="18">
        <v>0</v>
      </c>
    </row>
    <row r="733" spans="2:76">
      <c r="B733" s="19">
        <v>46113</v>
      </c>
      <c r="C733" s="20">
        <v>838711327669</v>
      </c>
      <c r="D733" s="18" t="s">
        <v>151</v>
      </c>
      <c r="E733" s="18" t="s">
        <v>153</v>
      </c>
      <c r="F733" s="18">
        <v>616</v>
      </c>
      <c r="G733" s="18">
        <v>24</v>
      </c>
      <c r="H733" s="18">
        <v>49.76</v>
      </c>
      <c r="I733" s="18">
        <v>0.03896</v>
      </c>
      <c r="J733" s="18">
        <v>2.07</v>
      </c>
      <c r="K733" s="18">
        <v>80.78</v>
      </c>
      <c r="L733" s="18">
        <v>0</v>
      </c>
      <c r="M733" s="18">
        <v>0</v>
      </c>
      <c r="N733" s="18">
        <v>0</v>
      </c>
      <c r="O733" s="18">
        <v>0</v>
      </c>
      <c r="P733" s="18">
        <v>0</v>
      </c>
      <c r="Q733" s="18">
        <v>0</v>
      </c>
      <c r="R733" s="18">
        <v>0</v>
      </c>
      <c r="S733" s="18">
        <v>0</v>
      </c>
      <c r="T733" s="18">
        <v>0</v>
      </c>
      <c r="U733" s="18">
        <v>0</v>
      </c>
      <c r="V733" s="18">
        <v>0</v>
      </c>
      <c r="W733" s="18">
        <v>0</v>
      </c>
      <c r="X733" s="18">
        <v>0</v>
      </c>
      <c r="Y733" s="18">
        <v>0</v>
      </c>
      <c r="Z733" s="18">
        <v>0</v>
      </c>
      <c r="AA733" s="18"/>
      <c r="AB733" s="18">
        <v>1</v>
      </c>
      <c r="AC733" s="18">
        <v>1</v>
      </c>
      <c r="AD733" s="18">
        <v>0</v>
      </c>
      <c r="AE733" s="18">
        <v>0.04167</v>
      </c>
      <c r="AF733" s="18">
        <v>0</v>
      </c>
      <c r="AG733" s="18">
        <v>1</v>
      </c>
      <c r="AH733" s="18">
        <v>49.76</v>
      </c>
      <c r="AI733" s="18">
        <v>2</v>
      </c>
      <c r="AJ733" s="18">
        <v>24.88</v>
      </c>
      <c r="AK733" s="18">
        <v>1</v>
      </c>
      <c r="AL733" s="18">
        <v>49.76</v>
      </c>
      <c r="AM733" s="18">
        <v>1</v>
      </c>
      <c r="AN733" s="18"/>
      <c r="AO733" s="18">
        <v>0</v>
      </c>
      <c r="AP733" s="18">
        <v>49.76</v>
      </c>
      <c r="AQ733" s="18">
        <v>0</v>
      </c>
      <c r="AR733" s="18">
        <v>0</v>
      </c>
      <c r="AS733" s="18">
        <v>0</v>
      </c>
      <c r="AT733" s="18">
        <v>0</v>
      </c>
      <c r="AU733" s="18">
        <v>0</v>
      </c>
      <c r="AV733" s="18">
        <v>0</v>
      </c>
      <c r="AW733" s="18">
        <v>0</v>
      </c>
      <c r="AX733" s="18">
        <v>0</v>
      </c>
      <c r="AY733" s="18">
        <v>79</v>
      </c>
      <c r="AZ733" s="18">
        <v>22</v>
      </c>
      <c r="BA733" s="18">
        <v>12</v>
      </c>
      <c r="BB733" s="18">
        <v>0.54545</v>
      </c>
      <c r="BC733" s="18">
        <v>0</v>
      </c>
      <c r="BD733" s="18">
        <v>0</v>
      </c>
      <c r="BE733" s="18">
        <v>0.12825</v>
      </c>
      <c r="BF733" s="18">
        <v>55</v>
      </c>
      <c r="BG733" s="18">
        <v>4</v>
      </c>
      <c r="BH733" s="18">
        <v>0</v>
      </c>
      <c r="BI733" s="18"/>
      <c r="BJ733" s="18">
        <v>0</v>
      </c>
      <c r="BK733" s="18">
        <v>0</v>
      </c>
      <c r="BL733" s="18">
        <v>0</v>
      </c>
      <c r="BM733" s="18">
        <v>0</v>
      </c>
      <c r="BN733" s="18"/>
      <c r="BO733" s="18"/>
      <c r="BP733" s="18">
        <v>0.16</v>
      </c>
      <c r="BQ733" s="18">
        <v>151</v>
      </c>
      <c r="BR733" s="18">
        <v>0</v>
      </c>
      <c r="BS733" s="18">
        <v>0</v>
      </c>
      <c r="BT733" s="18">
        <v>0</v>
      </c>
      <c r="BU733" s="18">
        <v>0</v>
      </c>
      <c r="BV733" s="18">
        <v>0</v>
      </c>
      <c r="BW733" s="18">
        <v>0</v>
      </c>
      <c r="BX733" s="18">
        <v>0</v>
      </c>
    </row>
    <row r="734" spans="2:76">
      <c r="B734" s="19">
        <v>46113</v>
      </c>
      <c r="C734" s="20">
        <v>833369552621</v>
      </c>
      <c r="D734" s="18" t="s">
        <v>151</v>
      </c>
      <c r="E734" s="18" t="s">
        <v>154</v>
      </c>
      <c r="F734" s="18">
        <v>3177</v>
      </c>
      <c r="G734" s="18">
        <v>123</v>
      </c>
      <c r="H734" s="18">
        <v>33.56</v>
      </c>
      <c r="I734" s="18">
        <v>0.03872</v>
      </c>
      <c r="J734" s="18">
        <v>0.27</v>
      </c>
      <c r="K734" s="18">
        <v>10.56</v>
      </c>
      <c r="L734" s="18">
        <v>0</v>
      </c>
      <c r="M734" s="18">
        <v>0</v>
      </c>
      <c r="N734" s="18">
        <v>0</v>
      </c>
      <c r="O734" s="18">
        <v>0</v>
      </c>
      <c r="P734" s="18">
        <v>0</v>
      </c>
      <c r="Q734" s="18">
        <v>0</v>
      </c>
      <c r="R734" s="18">
        <v>0</v>
      </c>
      <c r="S734" s="18">
        <v>0</v>
      </c>
      <c r="T734" s="18">
        <v>0</v>
      </c>
      <c r="U734" s="18">
        <v>0</v>
      </c>
      <c r="V734" s="18">
        <v>0</v>
      </c>
      <c r="W734" s="18">
        <v>0</v>
      </c>
      <c r="X734" s="18">
        <v>0</v>
      </c>
      <c r="Y734" s="18">
        <v>0</v>
      </c>
      <c r="Z734" s="18">
        <v>0</v>
      </c>
      <c r="AA734" s="18"/>
      <c r="AB734" s="18">
        <v>0</v>
      </c>
      <c r="AC734" s="18">
        <v>0</v>
      </c>
      <c r="AD734" s="18">
        <v>0</v>
      </c>
      <c r="AE734" s="18">
        <v>0</v>
      </c>
      <c r="AF734" s="18">
        <v>0</v>
      </c>
      <c r="AG734" s="18">
        <v>0</v>
      </c>
      <c r="AH734" s="18"/>
      <c r="AI734" s="18">
        <v>0</v>
      </c>
      <c r="AJ734" s="18"/>
      <c r="AK734" s="18">
        <v>0</v>
      </c>
      <c r="AL734" s="18"/>
      <c r="AM734" s="18">
        <v>0</v>
      </c>
      <c r="AN734" s="18"/>
      <c r="AO734" s="18">
        <v>0</v>
      </c>
      <c r="AP734" s="18"/>
      <c r="AQ734" s="18">
        <v>0</v>
      </c>
      <c r="AR734" s="18">
        <v>0</v>
      </c>
      <c r="AS734" s="18">
        <v>0</v>
      </c>
      <c r="AT734" s="18">
        <v>0</v>
      </c>
      <c r="AU734" s="18">
        <v>0</v>
      </c>
      <c r="AV734" s="18">
        <v>0</v>
      </c>
      <c r="AW734" s="18">
        <v>0</v>
      </c>
      <c r="AX734" s="18">
        <v>1</v>
      </c>
      <c r="AY734" s="18">
        <v>278</v>
      </c>
      <c r="AZ734" s="18">
        <v>130</v>
      </c>
      <c r="BA734" s="18">
        <v>116</v>
      </c>
      <c r="BB734" s="18">
        <v>0.89231</v>
      </c>
      <c r="BC734" s="18">
        <v>0</v>
      </c>
      <c r="BD734" s="18">
        <v>0</v>
      </c>
      <c r="BE734" s="18">
        <v>0.0875</v>
      </c>
      <c r="BF734" s="18">
        <v>113</v>
      </c>
      <c r="BG734" s="18">
        <v>2</v>
      </c>
      <c r="BH734" s="18">
        <v>0</v>
      </c>
      <c r="BI734" s="18"/>
      <c r="BJ734" s="18">
        <v>0</v>
      </c>
      <c r="BK734" s="18">
        <v>0</v>
      </c>
      <c r="BL734" s="18">
        <v>0</v>
      </c>
      <c r="BM734" s="18">
        <v>0</v>
      </c>
      <c r="BN734" s="18"/>
      <c r="BO734" s="18"/>
      <c r="BP734" s="18">
        <v>0</v>
      </c>
      <c r="BQ734" s="18">
        <v>13</v>
      </c>
      <c r="BR734" s="18">
        <v>0</v>
      </c>
      <c r="BS734" s="18">
        <v>0</v>
      </c>
      <c r="BT734" s="18">
        <v>0</v>
      </c>
      <c r="BU734" s="18">
        <v>0</v>
      </c>
      <c r="BV734" s="18">
        <v>0</v>
      </c>
      <c r="BW734" s="18">
        <v>0</v>
      </c>
      <c r="BX734" s="18">
        <v>0</v>
      </c>
    </row>
  </sheetData>
  <autoFilter xmlns:etc="http://www.wps.cn/officeDocument/2017/etCustomData" ref="A1:BX718"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4"/>
  </sheetPr>
  <dimension ref="A1:K68"/>
  <sheetViews>
    <sheetView workbookViewId="0">
      <selection activeCell="G25" sqref="G25"/>
    </sheetView>
  </sheetViews>
  <sheetFormatPr defaultColWidth="8.88888888888889" defaultRowHeight="14.4"/>
  <cols>
    <col min="1" max="1" width="20.1111111111111" style="4" customWidth="1"/>
    <col min="2" max="2" width="33.1111111111111" style="4" customWidth="1"/>
    <col min="3" max="3" width="18" style="4" customWidth="1"/>
    <col min="4" max="5" width="8.88888888888889" style="4"/>
    <col min="6" max="6" width="14.1111111111111" style="4" customWidth="1"/>
    <col min="7" max="8" width="11.8888888888889" style="4" customWidth="1"/>
    <col min="9" max="9" width="8.88888888888889" style="4"/>
    <col min="10" max="11" width="17.7777777777778" style="4" customWidth="1"/>
    <col min="12" max="16384" width="8.88888888888889" style="4"/>
  </cols>
  <sheetData>
    <row r="1" ht="15.6" spans="1:11">
      <c r="A1" s="5" t="s">
        <v>183</v>
      </c>
      <c r="B1" s="5" t="s">
        <v>184</v>
      </c>
      <c r="C1" s="5" t="s">
        <v>185</v>
      </c>
      <c r="F1" s="5" t="s">
        <v>79</v>
      </c>
      <c r="G1" s="5" t="s">
        <v>186</v>
      </c>
      <c r="H1" s="5" t="s">
        <v>187</v>
      </c>
      <c r="J1" s="5" t="s">
        <v>188</v>
      </c>
      <c r="K1" s="5" t="s">
        <v>184</v>
      </c>
    </row>
    <row r="2" ht="15.6" spans="1:11">
      <c r="A2" s="6">
        <v>838711327669</v>
      </c>
      <c r="B2" s="4" t="s">
        <v>44</v>
      </c>
      <c r="C2" s="4" t="s">
        <v>44</v>
      </c>
      <c r="F2" s="7" t="s">
        <v>32</v>
      </c>
      <c r="G2" s="8" t="s">
        <v>189</v>
      </c>
      <c r="H2" s="8" t="s">
        <v>189</v>
      </c>
      <c r="J2" s="9">
        <v>547696268016</v>
      </c>
      <c r="K2" s="9" t="s">
        <v>43</v>
      </c>
    </row>
    <row r="3" ht="15.6" spans="1:11">
      <c r="A3" s="6">
        <v>742540384374</v>
      </c>
      <c r="B3" s="4" t="s">
        <v>43</v>
      </c>
      <c r="C3" s="4" t="s">
        <v>43</v>
      </c>
      <c r="F3" s="7" t="s">
        <v>61</v>
      </c>
      <c r="G3" s="8" t="s">
        <v>37</v>
      </c>
      <c r="H3" s="8" t="s">
        <v>37</v>
      </c>
      <c r="J3" s="9">
        <v>547695520482</v>
      </c>
      <c r="K3" s="10" t="s">
        <v>42</v>
      </c>
    </row>
    <row r="4" ht="15.6" spans="1:11">
      <c r="A4" s="6">
        <v>960406497157</v>
      </c>
      <c r="B4" s="4" t="s">
        <v>42</v>
      </c>
      <c r="C4" s="4" t="s">
        <v>42</v>
      </c>
      <c r="F4" s="7" t="s">
        <v>190</v>
      </c>
      <c r="G4" s="7" t="s">
        <v>190</v>
      </c>
      <c r="H4" s="7" t="s">
        <v>190</v>
      </c>
      <c r="J4" s="9">
        <v>547694940651</v>
      </c>
      <c r="K4" s="10" t="s">
        <v>74</v>
      </c>
    </row>
    <row r="5" ht="15.6" spans="1:11">
      <c r="A5" s="6">
        <v>971317169387</v>
      </c>
      <c r="B5" s="4" t="s">
        <v>74</v>
      </c>
      <c r="C5" s="4" t="s">
        <v>74</v>
      </c>
      <c r="F5" s="7" t="s">
        <v>191</v>
      </c>
      <c r="G5" s="7" t="s">
        <v>191</v>
      </c>
      <c r="H5" s="7" t="s">
        <v>191</v>
      </c>
      <c r="J5" s="9">
        <v>547718804525</v>
      </c>
      <c r="K5" s="10" t="s">
        <v>44</v>
      </c>
    </row>
    <row r="6" ht="15.6" spans="1:11">
      <c r="A6" s="6">
        <v>971308425357</v>
      </c>
      <c r="B6" s="4" t="s">
        <v>47</v>
      </c>
      <c r="C6" s="4" t="s">
        <v>47</v>
      </c>
      <c r="F6" s="7" t="s">
        <v>192</v>
      </c>
      <c r="G6" s="7" t="s">
        <v>192</v>
      </c>
      <c r="H6" s="7" t="s">
        <v>192</v>
      </c>
      <c r="J6" s="9">
        <v>547719492158</v>
      </c>
      <c r="K6" s="10" t="s">
        <v>47</v>
      </c>
    </row>
    <row r="7" ht="15.6" spans="1:11">
      <c r="A7" s="6">
        <v>616090775596</v>
      </c>
      <c r="B7" s="4" t="s">
        <v>46</v>
      </c>
      <c r="C7" s="4" t="s">
        <v>46</v>
      </c>
      <c r="F7" s="7" t="s">
        <v>193</v>
      </c>
      <c r="G7" s="7" t="s">
        <v>193</v>
      </c>
      <c r="H7" s="7" t="s">
        <v>193</v>
      </c>
      <c r="J7" s="6">
        <v>547522582809</v>
      </c>
      <c r="K7" s="11" t="s">
        <v>74</v>
      </c>
    </row>
    <row r="8" ht="15.6" spans="1:11">
      <c r="A8" s="9">
        <v>1010744514993</v>
      </c>
      <c r="B8" s="12" t="s">
        <v>194</v>
      </c>
      <c r="C8" s="12" t="s">
        <v>194</v>
      </c>
      <c r="F8" s="7" t="s">
        <v>195</v>
      </c>
      <c r="G8" s="7" t="s">
        <v>195</v>
      </c>
      <c r="H8" s="7" t="s">
        <v>195</v>
      </c>
      <c r="J8" s="6">
        <v>544597419395</v>
      </c>
      <c r="K8" s="11" t="s">
        <v>42</v>
      </c>
    </row>
    <row r="9" ht="15.6" spans="1:11">
      <c r="A9" s="6">
        <v>1010789122929</v>
      </c>
      <c r="B9" s="12" t="s">
        <v>196</v>
      </c>
      <c r="C9" s="12" t="s">
        <v>196</v>
      </c>
      <c r="F9" s="7" t="s">
        <v>197</v>
      </c>
      <c r="G9" s="7" t="s">
        <v>197</v>
      </c>
      <c r="H9" s="7" t="s">
        <v>197</v>
      </c>
      <c r="J9" s="6">
        <v>547694680015</v>
      </c>
      <c r="K9" s="4" t="s">
        <v>47</v>
      </c>
    </row>
    <row r="10" ht="15.6" spans="1:11">
      <c r="A10" s="6">
        <v>833369552621</v>
      </c>
      <c r="B10" s="4" t="s">
        <v>71</v>
      </c>
      <c r="C10" s="4" t="s">
        <v>71</v>
      </c>
      <c r="F10" s="7" t="s">
        <v>198</v>
      </c>
      <c r="G10" s="7" t="s">
        <v>190</v>
      </c>
      <c r="H10" s="7" t="s">
        <v>190</v>
      </c>
      <c r="J10" s="6">
        <v>439579396048</v>
      </c>
      <c r="K10" s="11" t="s">
        <v>43</v>
      </c>
    </row>
    <row r="11" ht="15.6" spans="1:11">
      <c r="A11" s="6">
        <v>972494676240</v>
      </c>
      <c r="B11" s="4" t="s">
        <v>73</v>
      </c>
      <c r="C11" s="4" t="s">
        <v>73</v>
      </c>
      <c r="F11" s="7" t="s">
        <v>37</v>
      </c>
      <c r="G11" s="7" t="s">
        <v>199</v>
      </c>
      <c r="H11" s="7" t="s">
        <v>199</v>
      </c>
      <c r="J11" s="6">
        <v>495370308941</v>
      </c>
      <c r="K11" s="11" t="s">
        <v>44</v>
      </c>
    </row>
    <row r="12" ht="15.6" spans="1:11">
      <c r="A12" s="6">
        <v>971859969014</v>
      </c>
      <c r="B12" s="4" t="s">
        <v>200</v>
      </c>
      <c r="C12" s="4" t="s">
        <v>200</v>
      </c>
      <c r="F12" s="7" t="s">
        <v>40</v>
      </c>
      <c r="G12" s="7" t="s">
        <v>40</v>
      </c>
      <c r="H12" s="7" t="s">
        <v>40</v>
      </c>
    </row>
    <row r="13" ht="15.6" spans="1:11">
      <c r="A13" s="6">
        <v>833033948216</v>
      </c>
      <c r="B13" s="4" t="s">
        <v>201</v>
      </c>
      <c r="C13" s="4" t="s">
        <v>201</v>
      </c>
      <c r="F13" s="7" t="s">
        <v>40</v>
      </c>
      <c r="G13" s="7" t="s">
        <v>40</v>
      </c>
      <c r="H13" s="7" t="s">
        <v>40</v>
      </c>
    </row>
    <row r="14" ht="15.6" spans="1:11">
      <c r="A14" s="6">
        <v>971856893567</v>
      </c>
      <c r="B14" s="4" t="s">
        <v>70</v>
      </c>
      <c r="C14" s="4" t="s">
        <v>70</v>
      </c>
      <c r="F14" s="7" t="s">
        <v>202</v>
      </c>
      <c r="G14" s="7" t="s">
        <v>202</v>
      </c>
      <c r="H14" s="7" t="s">
        <v>202</v>
      </c>
    </row>
    <row r="15" spans="1:11">
      <c r="A15" s="6">
        <v>833035288991</v>
      </c>
      <c r="B15" s="4" t="s">
        <v>72</v>
      </c>
      <c r="C15" s="4" t="s">
        <v>72</v>
      </c>
    </row>
    <row r="16" spans="1:11">
      <c r="A16" s="13">
        <v>1048251217517</v>
      </c>
      <c r="B16" s="4" t="s">
        <v>45</v>
      </c>
      <c r="C16" s="4" t="s">
        <v>45</v>
      </c>
    </row>
    <row r="17" spans="1:3">
      <c r="A17" s="13">
        <v>1051919021880</v>
      </c>
      <c r="B17" s="4" t="s">
        <v>45</v>
      </c>
      <c r="C17" s="4" t="s">
        <v>45</v>
      </c>
    </row>
    <row r="29" spans="1:3">
      <c r="A29" s="13"/>
    </row>
    <row r="67" spans="1:1">
      <c r="A67" s="13"/>
    </row>
    <row r="68" spans="1:1">
      <c r="A68" s="13"/>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16"/>
  <sheetViews>
    <sheetView workbookViewId="0">
      <selection activeCell="I2" sqref="I2:M16"/>
    </sheetView>
  </sheetViews>
  <sheetFormatPr defaultColWidth="8.73148148148148" defaultRowHeight="14.4"/>
  <sheetData>
    <row r="2" spans="1:13">
      <c r="A2" s="3" t="s">
        <v>203</v>
      </c>
      <c r="B2" s="3"/>
      <c r="C2" s="3"/>
      <c r="D2" s="3"/>
      <c r="E2" s="3"/>
      <c r="F2" s="3"/>
      <c r="I2" s="4" t="s">
        <v>204</v>
      </c>
      <c r="J2" s="4"/>
      <c r="K2" s="4"/>
      <c r="L2" s="4"/>
      <c r="M2" s="4"/>
    </row>
    <row r="3" spans="1:13">
      <c r="A3" s="3"/>
      <c r="B3" s="3"/>
      <c r="C3" s="3"/>
      <c r="D3" s="3"/>
      <c r="E3" s="3"/>
      <c r="F3" s="3"/>
      <c r="I3" s="4"/>
      <c r="J3" s="4"/>
      <c r="K3" s="4"/>
      <c r="L3" s="4"/>
      <c r="M3" s="4"/>
    </row>
    <row r="4" spans="1:13">
      <c r="A4" s="3"/>
      <c r="B4" s="3"/>
      <c r="C4" s="3"/>
      <c r="D4" s="3"/>
      <c r="E4" s="3"/>
      <c r="F4" s="3"/>
      <c r="I4" s="4"/>
      <c r="J4" s="4"/>
      <c r="K4" s="4"/>
      <c r="L4" s="4"/>
      <c r="M4" s="4"/>
    </row>
    <row r="5" spans="1:13">
      <c r="A5" s="3"/>
      <c r="B5" s="3"/>
      <c r="C5" s="3"/>
      <c r="D5" s="3"/>
      <c r="E5" s="3"/>
      <c r="F5" s="3"/>
      <c r="I5" s="4"/>
      <c r="J5" s="4"/>
      <c r="K5" s="4"/>
      <c r="L5" s="4"/>
      <c r="M5" s="4"/>
    </row>
    <row r="6" spans="1:13">
      <c r="A6" s="3"/>
      <c r="B6" s="3"/>
      <c r="C6" s="3"/>
      <c r="D6" s="3"/>
      <c r="E6" s="3"/>
      <c r="F6" s="3"/>
      <c r="I6" s="4"/>
      <c r="J6" s="4"/>
      <c r="K6" s="4"/>
      <c r="L6" s="4"/>
      <c r="M6" s="4"/>
    </row>
    <row r="7" spans="1:13">
      <c r="A7" s="3"/>
      <c r="B7" s="3"/>
      <c r="C7" s="3"/>
      <c r="D7" s="3"/>
      <c r="E7" s="3"/>
      <c r="F7" s="3"/>
      <c r="I7" s="4"/>
      <c r="J7" s="4"/>
      <c r="K7" s="4"/>
      <c r="L7" s="4"/>
      <c r="M7" s="4"/>
    </row>
    <row r="8" spans="1:13">
      <c r="A8" s="3"/>
      <c r="B8" s="3"/>
      <c r="C8" s="3"/>
      <c r="D8" s="3"/>
      <c r="E8" s="3"/>
      <c r="F8" s="3"/>
      <c r="I8" s="4"/>
      <c r="J8" s="4"/>
      <c r="K8" s="4"/>
      <c r="L8" s="4"/>
      <c r="M8" s="4"/>
    </row>
    <row r="9" spans="1:13">
      <c r="A9" s="3"/>
      <c r="B9" s="3"/>
      <c r="C9" s="3"/>
      <c r="D9" s="3"/>
      <c r="E9" s="3"/>
      <c r="F9" s="3"/>
      <c r="I9" s="4"/>
      <c r="J9" s="4"/>
      <c r="K9" s="4"/>
      <c r="L9" s="4"/>
      <c r="M9" s="4"/>
    </row>
    <row r="10" spans="1:13">
      <c r="A10" s="3"/>
      <c r="B10" s="3"/>
      <c r="C10" s="3"/>
      <c r="D10" s="3"/>
      <c r="E10" s="3"/>
      <c r="F10" s="3"/>
      <c r="I10" s="4"/>
      <c r="J10" s="4"/>
      <c r="K10" s="4"/>
      <c r="L10" s="4"/>
      <c r="M10" s="4"/>
    </row>
    <row r="11" spans="1:13">
      <c r="A11" s="3"/>
      <c r="B11" s="3"/>
      <c r="C11" s="3"/>
      <c r="D11" s="3"/>
      <c r="E11" s="3"/>
      <c r="F11" s="3"/>
      <c r="I11" s="4"/>
      <c r="J11" s="4"/>
      <c r="K11" s="4"/>
      <c r="L11" s="4"/>
      <c r="M11" s="4"/>
    </row>
    <row r="12" spans="1:13">
      <c r="A12" s="3"/>
      <c r="B12" s="3"/>
      <c r="C12" s="3"/>
      <c r="D12" s="3"/>
      <c r="E12" s="3"/>
      <c r="F12" s="3"/>
      <c r="I12" s="4"/>
      <c r="J12" s="4"/>
      <c r="K12" s="4"/>
      <c r="L12" s="4"/>
      <c r="M12" s="4"/>
    </row>
    <row r="13" spans="1:13">
      <c r="A13" s="3"/>
      <c r="B13" s="3"/>
      <c r="C13" s="3"/>
      <c r="D13" s="3"/>
      <c r="E13" s="3"/>
      <c r="F13" s="3"/>
      <c r="I13" s="4"/>
      <c r="J13" s="4"/>
      <c r="K13" s="4"/>
      <c r="L13" s="4"/>
      <c r="M13" s="4"/>
    </row>
    <row r="14" spans="1:13">
      <c r="A14" s="3"/>
      <c r="B14" s="3"/>
      <c r="C14" s="3"/>
      <c r="D14" s="3"/>
      <c r="E14" s="3"/>
      <c r="F14" s="3"/>
      <c r="I14" s="4"/>
      <c r="J14" s="4"/>
      <c r="K14" s="4"/>
      <c r="L14" s="4"/>
      <c r="M14" s="4"/>
    </row>
    <row r="15" spans="1:13">
      <c r="A15" s="3"/>
      <c r="B15" s="3"/>
      <c r="C15" s="3"/>
      <c r="D15" s="3"/>
      <c r="E15" s="3"/>
      <c r="F15" s="3"/>
      <c r="I15" s="4"/>
      <c r="J15" s="4"/>
      <c r="K15" s="4"/>
      <c r="L15" s="4"/>
      <c r="M15" s="4"/>
    </row>
    <row r="16" spans="1:13">
      <c r="A16" s="3"/>
      <c r="B16" s="3"/>
      <c r="C16" s="3"/>
      <c r="D16" s="3"/>
      <c r="E16" s="3"/>
      <c r="F16" s="3"/>
      <c r="I16" s="4"/>
      <c r="J16" s="4"/>
      <c r="K16" s="4"/>
      <c r="L16" s="4"/>
      <c r="M16" s="4"/>
    </row>
  </sheetData>
  <mergeCells count="2">
    <mergeCell ref="A2:F16"/>
    <mergeCell ref="I2:M1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L16:S21"/>
  <sheetViews>
    <sheetView workbookViewId="0">
      <selection activeCell="L21" sqref="L21"/>
    </sheetView>
  </sheetViews>
  <sheetFormatPr defaultColWidth="8.66666666666667" defaultRowHeight="14.4"/>
  <cols>
    <col min="11" max="11" width="10.1111111111111" customWidth="1"/>
    <col min="14" max="16" width="12.7777777777778"/>
  </cols>
  <sheetData>
    <row r="16" ht="15" spans="12:19">
      <c r="L16" s="1">
        <v>4716.14</v>
      </c>
      <c r="M16" s="1">
        <v>3861.39</v>
      </c>
      <c r="N16" s="1">
        <v>4425.3</v>
      </c>
      <c r="O16" s="1">
        <v>4613.31</v>
      </c>
      <c r="P16" s="1">
        <v>4499.57</v>
      </c>
      <c r="Q16" s="1">
        <v>5044.84</v>
      </c>
      <c r="R16" s="1">
        <v>5624.2</v>
      </c>
      <c r="S16">
        <f>SUM(L16:R16)</f>
        <v>32784.75</v>
      </c>
    </row>
    <row r="17" ht="15" spans="12:19">
      <c r="L17" s="2">
        <v>5.43195706658411</v>
      </c>
      <c r="M17" s="2">
        <v>3.35995069133136</v>
      </c>
      <c r="N17" s="2">
        <v>2.69681377533726</v>
      </c>
      <c r="O17" s="2">
        <v>5.01440397458658</v>
      </c>
      <c r="P17" s="2">
        <v>6.68881470896108</v>
      </c>
      <c r="Q17" s="2">
        <v>2.91744634121201</v>
      </c>
      <c r="R17" s="2">
        <v>2.12404253049323</v>
      </c>
      <c r="S17">
        <f>S18/S16</f>
        <v>3.97807029182776</v>
      </c>
    </row>
    <row r="18" spans="12:19">
      <c r="L18">
        <f>L16*L17</f>
        <v>25617.87</v>
      </c>
      <c r="M18">
        <f t="shared" ref="M18:R18" si="0">M16*M17</f>
        <v>12974.08</v>
      </c>
      <c r="N18">
        <f t="shared" si="0"/>
        <v>11934.21</v>
      </c>
      <c r="O18">
        <f t="shared" si="0"/>
        <v>23133</v>
      </c>
      <c r="P18">
        <f t="shared" si="0"/>
        <v>30096.79</v>
      </c>
      <c r="Q18">
        <f t="shared" si="0"/>
        <v>14718.05</v>
      </c>
      <c r="R18">
        <f t="shared" si="0"/>
        <v>11946.04</v>
      </c>
      <c r="S18">
        <f>SUM(L18:R18)</f>
        <v>130420.04</v>
      </c>
    </row>
    <row r="21" spans="12:19">
      <c r="L21">
        <f>4/4.2</f>
        <v>0.952380952380952</v>
      </c>
    </row>
  </sheetData>
  <pageMargins left="0.75" right="0.75" top="1" bottom="1" header="0.5" footer="0.5"/>
  <pageSetup paperSize="9" orientation="portrait" horizontalDpi="360" verticalDpi="360"/>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日报</vt:lpstr>
      <vt:lpstr>复盘</vt:lpstr>
      <vt:lpstr>营销场景数据源</vt:lpstr>
      <vt:lpstr>商品数据源</vt:lpstr>
      <vt:lpstr>VLOOKUP</vt:lpstr>
      <vt:lpstr>会议记录留存</vt:lpstr>
      <vt:lpstr>周报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10949</dc:creator>
  <cp:lastModifiedBy>生鱼片</cp:lastModifiedBy>
  <dcterms:created xsi:type="dcterms:W3CDTF">2023-11-17T06:01:00Z</dcterms:created>
  <dcterms:modified xsi:type="dcterms:W3CDTF">2026-06-22T03:01:14Z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F3D04FA4F1DD467BAA382E15D646FF44_13</vt:lpwstr>
  </property>
  <property fmtid="{D5CDD505-2E9C-101B-9397-08002B2CF9AE}" pid="3" name="KSOProductBuildVer">
    <vt:lpwstr>2052-12.1.0.26375</vt:lpwstr>
  </property>
  <property fmtid="{D5CDD505-2E9C-101B-9397-08002B2CF9AE}" pid="4" name="CalculationRule">
    <vt:i4>0</vt:i4>
  </property>
  <property fmtid="{D5CDD505-2E9C-101B-9397-08002B2CF9AE}" pid="5" name="KSOReadingLayout">
    <vt:bool>true</vt:bool>
  </property>
</Properties>
</file>