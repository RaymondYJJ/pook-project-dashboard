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30" activeTab="1"/>
  </bookViews>
  <sheets>
    <sheet name="【项目看板】 " sheetId="1" r:id="rId1"/>
    <sheet name="Sheet1" sheetId="2" r:id="rId2"/>
  </sheets>
  <externalReferences>
    <externalReference r:id="rId3"/>
  </externalReferences>
  <definedNames>
    <definedName name="家电家居事业部">'[1]附表 '!#REF!</definedName>
    <definedName name="母婴快消事业部">'[1]附表 '!#REF!</definedName>
    <definedName name="时尚潮玩事业部">'[1]附表 '!#REF!</definedName>
    <definedName name="直播事业部">'[1]附表 '!#REF!</definedName>
    <definedName name="食品酒水事业部">'[1]附表 '!#REF!</definedName>
    <definedName name="本地生活业务部">'[1]附表 '!#REF!</definedName>
    <definedName name="创新战略事业部">'[1]附表 '!#REF!</definedName>
    <definedName name="乐高教育业务部">'[1]附表 '!#REF!</definedName>
    <definedName name="信息技术中心">'[1]附表 '!#REF!</definedName>
    <definedName name="供应链管理中心">'[1]附表 '!#REF!</definedName>
    <definedName name="其他">'[1]附表 '!#REF!</definedName>
    <definedName name="_xlnm._FilterDatabase" localSheetId="0" hidden="1">'【项目看板】 '!$A$5:$CI$50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R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计提璞康数据&amp;璞樾-2月拍摄、设计、方案策划服务费3.25万，领用1.17万</t>
        </r>
      </text>
    </comment>
    <comment ref="R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计提璞康实业&amp;太樾-2月视频号直播</t>
        </r>
      </text>
    </comment>
    <comment ref="W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2.12支付太樾直播设备
</t>
        </r>
      </text>
    </comment>
    <comment ref="R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计提2月成都声云抖音直播费用&amp;计提璞樾&amp;杭州照茗2026.02服务费结算-太樾抖音</t>
        </r>
      </text>
    </comment>
    <comment ref="R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前台3.3万，后台0.94万
</t>
        </r>
      </text>
    </comment>
    <comment ref="R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领用</t>
        </r>
      </text>
    </comment>
    <comment ref="R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计提璞康数据&amp;璞樾-2月拍摄、设计、方案策划服务费3.25万，领用1.17万</t>
        </r>
      </text>
    </comment>
    <comment ref="R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成都声云直播</t>
        </r>
      </text>
    </comment>
    <comment ref="R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前台3.3万，后台0.94万
</t>
        </r>
      </text>
    </comment>
    <comment ref="Y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4月物料费3.13万,5月2.13万</t>
        </r>
      </text>
    </comment>
    <comment ref="Z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4月0.16万</t>
        </r>
      </text>
    </comment>
  </commentList>
</comments>
</file>

<file path=xl/sharedStrings.xml><?xml version="1.0" encoding="utf-8"?>
<sst xmlns="http://schemas.openxmlformats.org/spreadsheetml/2006/main" count="492" uniqueCount="138">
  <si>
    <t>项目</t>
  </si>
  <si>
    <t>太樾沉香经销项目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</si>
  <si>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</si>
  <si>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</si>
  <si>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</si>
  <si>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</si>
  <si>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</si>
  <si>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</si>
  <si>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</si>
  <si>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</si>
  <si>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</si>
  <si>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</si>
  <si>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</si>
  <si>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</si>
  <si>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输入标签A，可自由组合想看的报表期间</t>
  </si>
  <si>
    <t>A</t>
  </si>
  <si>
    <t>合计</t>
  </si>
  <si>
    <t>科目</t>
  </si>
  <si>
    <t>同期金额</t>
  </si>
  <si>
    <t>同期费率</t>
  </si>
  <si>
    <t>预算金额</t>
  </si>
  <si>
    <t>预算费率</t>
  </si>
  <si>
    <t>执行金额</t>
  </si>
  <si>
    <t>执行费率</t>
  </si>
  <si>
    <t>A006</t>
  </si>
  <si>
    <t>GMV</t>
  </si>
  <si>
    <t>A008</t>
  </si>
  <si>
    <t>销售出库</t>
  </si>
  <si>
    <t>A022</t>
  </si>
  <si>
    <t>销售成本</t>
  </si>
  <si>
    <t>A037</t>
  </si>
  <si>
    <t>进销差</t>
  </si>
  <si>
    <t>A010</t>
  </si>
  <si>
    <t>毛保返利</t>
  </si>
  <si>
    <t>A018</t>
  </si>
  <si>
    <t>品牌补贴收入</t>
  </si>
  <si>
    <t>A014</t>
  </si>
  <si>
    <t>TP固定收入</t>
  </si>
  <si>
    <t>A015</t>
  </si>
  <si>
    <t>TP提成收入</t>
  </si>
  <si>
    <t>A019</t>
  </si>
  <si>
    <t>其他收入</t>
  </si>
  <si>
    <t>A038</t>
  </si>
  <si>
    <t>销售毛利</t>
  </si>
  <si>
    <t>A039</t>
  </si>
  <si>
    <t>平台扣点</t>
  </si>
  <si>
    <t>A042</t>
  </si>
  <si>
    <t>投放费用</t>
  </si>
  <si>
    <t>A044</t>
  </si>
  <si>
    <t>促销推广费</t>
  </si>
  <si>
    <t>A045</t>
  </si>
  <si>
    <t>直播推广费</t>
  </si>
  <si>
    <t>A046</t>
  </si>
  <si>
    <t>营销设计费</t>
  </si>
  <si>
    <t>A047</t>
  </si>
  <si>
    <t>促销赠品费</t>
  </si>
  <si>
    <t>A048</t>
  </si>
  <si>
    <t>内部领用费</t>
  </si>
  <si>
    <t>A049</t>
  </si>
  <si>
    <t>其他费用</t>
  </si>
  <si>
    <t>A051</t>
  </si>
  <si>
    <t>运营费用小计</t>
  </si>
  <si>
    <t>A052</t>
  </si>
  <si>
    <t>物料费</t>
  </si>
  <si>
    <t>A053</t>
  </si>
  <si>
    <t>物流费</t>
  </si>
  <si>
    <t>A054</t>
  </si>
  <si>
    <t>仓储费</t>
  </si>
  <si>
    <t>A055</t>
  </si>
  <si>
    <t>仓储物流小计</t>
  </si>
  <si>
    <t>A056</t>
  </si>
  <si>
    <t>客服外包费</t>
  </si>
  <si>
    <t>A057</t>
  </si>
  <si>
    <t>客服服务费</t>
  </si>
  <si>
    <t>A058</t>
  </si>
  <si>
    <t>推广服务费</t>
  </si>
  <si>
    <t>A060</t>
  </si>
  <si>
    <t>设计服务费</t>
  </si>
  <si>
    <t>A063</t>
  </si>
  <si>
    <t>直播服务费</t>
  </si>
  <si>
    <t>A061</t>
  </si>
  <si>
    <t>仓储服务费</t>
  </si>
  <si>
    <t>A059</t>
  </si>
  <si>
    <t>商品服务费</t>
  </si>
  <si>
    <t>中台人员小计</t>
  </si>
  <si>
    <t>A064</t>
  </si>
  <si>
    <t>运营人员工资</t>
  </si>
  <si>
    <t>A068</t>
  </si>
  <si>
    <t>业务招待费</t>
  </si>
  <si>
    <t>A069</t>
  </si>
  <si>
    <t>团建费</t>
  </si>
  <si>
    <t>A070</t>
  </si>
  <si>
    <t>差旅费</t>
  </si>
  <si>
    <t>运营人员小计</t>
  </si>
  <si>
    <t>A062</t>
  </si>
  <si>
    <t>销售费用合计</t>
  </si>
  <si>
    <t>业务利润</t>
  </si>
  <si>
    <t>A074</t>
  </si>
  <si>
    <t>资金占用费</t>
  </si>
  <si>
    <t>A075</t>
  </si>
  <si>
    <t>行政费分摊</t>
  </si>
  <si>
    <t>A076</t>
  </si>
  <si>
    <t>财税商费用</t>
  </si>
  <si>
    <t>A080</t>
  </si>
  <si>
    <t>1%税费</t>
  </si>
  <si>
    <t>A078</t>
  </si>
  <si>
    <t>管理费用合计</t>
  </si>
  <si>
    <t>A083</t>
  </si>
  <si>
    <t>项目利润</t>
  </si>
  <si>
    <t>月份</t>
  </si>
  <si>
    <t>事业部</t>
  </si>
  <si>
    <t>项目名称</t>
  </si>
  <si>
    <t>利润中心</t>
  </si>
  <si>
    <t>店铺</t>
  </si>
  <si>
    <t>固定服务收入</t>
  </si>
  <si>
    <t>提成服务收入</t>
  </si>
  <si>
    <t>扣点佣金</t>
  </si>
  <si>
    <t>外包客服费</t>
  </si>
  <si>
    <t>收入</t>
  </si>
  <si>
    <t>项目看板</t>
  </si>
  <si>
    <t>店铺看板</t>
  </si>
  <si>
    <t>成长</t>
  </si>
  <si>
    <t>16I3060001</t>
  </si>
  <si>
    <t>璞樾太樾沉香京东POP专营店</t>
  </si>
  <si>
    <t>16I3190001</t>
  </si>
  <si>
    <t>璞樾太樾沉香线下分销项目</t>
  </si>
  <si>
    <t>16I3200001</t>
  </si>
  <si>
    <t>璞樾太樾沉香小红书旗舰店</t>
  </si>
  <si>
    <t>16I3210001</t>
  </si>
  <si>
    <t>璞樾太樾沉香新零售店</t>
  </si>
  <si>
    <t>16I3030001</t>
  </si>
  <si>
    <t>璞樾太樾抖音旗舰店</t>
  </si>
  <si>
    <t>16I3140001</t>
  </si>
  <si>
    <t>璞樾太樾天猫旗舰店</t>
  </si>
  <si>
    <t>47I3210001</t>
  </si>
  <si>
    <t>璞樾太樾微信沉香店</t>
  </si>
  <si>
    <t>16I3280001</t>
  </si>
  <si>
    <t>璞樾太樾沉香得物旗舰店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</si>
</sst>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45"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微软雅黑 Light"/>
      <charset val="134"/>
    </font>
    <font>
      <sz val="9"/>
      <color theme="1"/>
      <name val="宋体"/>
      <charset val="134"/>
      <scheme val="minor"/>
    </font>
    <font>
      <sz val="10"/>
      <color theme="1"/>
      <name val="等线"/>
      <charset val="134"/>
    </font>
    <font>
      <sz val="10"/>
      <name val="等线"/>
      <charset val="134"/>
    </font>
    <font>
      <b/>
      <sz val="10"/>
      <name val="等线"/>
      <charset val="134"/>
    </font>
    <font>
      <sz val="8"/>
      <name val="等线"/>
      <charset val="134"/>
    </font>
    <font>
      <sz val="8"/>
      <name val="等线"/>
      <charset val="0"/>
    </font>
    <font>
      <b/>
      <sz val="10"/>
      <color rgb="FFFF0000"/>
      <name val="等线"/>
      <charset val="134"/>
    </font>
    <font>
      <b/>
      <sz val="8"/>
      <color rgb="FFFF0000"/>
      <name val="等线"/>
      <charset val="134"/>
    </font>
    <font>
      <sz val="8"/>
      <color rgb="FFFF0000"/>
      <name val="等线"/>
      <charset val="0"/>
    </font>
    <font>
      <b/>
      <sz val="8"/>
      <color theme="1"/>
      <name val="等线"/>
      <charset val="134"/>
    </font>
    <font>
      <sz val="8"/>
      <color rgb="FFFF0000"/>
      <name val="等线"/>
      <charset val="134"/>
    </font>
    <font>
      <sz val="8"/>
      <color rgb="FF000000"/>
      <name val="等线"/>
      <charset val="134"/>
    </font>
    <font>
      <sz val="8"/>
      <color theme="1"/>
      <name val="等线"/>
      <charset val="134"/>
    </font>
    <font>
      <b/>
      <sz val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7F2D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11" borderId="2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24" applyNumberFormat="0" applyAlignment="0" applyProtection="0">
      <alignment vertical="center"/>
    </xf>
    <xf numFmtId="0" fontId="33" fillId="13" borderId="25" applyNumberFormat="0" applyAlignment="0" applyProtection="0">
      <alignment vertical="center"/>
    </xf>
    <xf numFmtId="0" fontId="34" fillId="13" borderId="24" applyNumberFormat="0" applyAlignment="0" applyProtection="0">
      <alignment vertical="center"/>
    </xf>
    <xf numFmtId="0" fontId="35" fillId="14" borderId="26" applyNumberFormat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43" fontId="2" fillId="3" borderId="0" xfId="0" applyNumberFormat="1" applyFont="1" applyFill="1" applyAlignment="1">
      <alignment horizontal="center" vertical="center"/>
    </xf>
    <xf numFmtId="43" fontId="1" fillId="4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vertical="center"/>
    </xf>
    <xf numFmtId="43" fontId="6" fillId="3" borderId="0" xfId="0" applyNumberFormat="1" applyFont="1" applyFill="1" applyAlignment="1">
      <alignment vertical="center"/>
    </xf>
    <xf numFmtId="43" fontId="4" fillId="7" borderId="0" xfId="0" applyNumberFormat="1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2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Alignment="1">
      <alignment vertical="center"/>
    </xf>
    <xf numFmtId="43" fontId="4" fillId="0" borderId="0" xfId="0" applyNumberFormat="1" applyFont="1" applyFill="1" applyBorder="1" applyAlignment="1">
      <alignment vertical="center"/>
    </xf>
    <xf numFmtId="43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4" fillId="0" borderId="0" xfId="0" applyFont="1" applyFill="1" applyAlignment="1"/>
    <xf numFmtId="0" fontId="4" fillId="5" borderId="0" xfId="0" applyFont="1" applyFill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left" vertical="center"/>
    </xf>
    <xf numFmtId="49" fontId="9" fillId="0" borderId="0" xfId="0" applyNumberFormat="1" applyFont="1" applyFill="1" applyBorder="1" applyAlignment="1" applyProtection="1">
      <alignment horizontal="left" vertical="center"/>
    </xf>
    <xf numFmtId="43" fontId="9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left" vertical="center"/>
    </xf>
    <xf numFmtId="49" fontId="9" fillId="0" borderId="0" xfId="0" applyNumberFormat="1" applyFont="1" applyFill="1" applyBorder="1" applyAlignment="1" applyProtection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/>
    <xf numFmtId="0" fontId="12" fillId="0" borderId="0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horizontal="center"/>
    </xf>
    <xf numFmtId="10" fontId="14" fillId="0" borderId="0" xfId="3" applyNumberFormat="1" applyFont="1" applyAlignment="1"/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2" borderId="3" xfId="0" applyNumberFormat="1" applyFont="1" applyFill="1" applyBorder="1" applyAlignment="1" applyProtection="1">
      <alignment vertical="center"/>
    </xf>
    <xf numFmtId="0" fontId="16" fillId="5" borderId="4" xfId="0" applyNumberFormat="1" applyFont="1" applyFill="1" applyBorder="1" applyAlignment="1" applyProtection="1">
      <alignment horizontal="center" vertical="center"/>
    </xf>
    <xf numFmtId="0" fontId="16" fillId="5" borderId="5" xfId="0" applyNumberFormat="1" applyFont="1" applyFill="1" applyBorder="1" applyAlignment="1" applyProtection="1">
      <alignment horizontal="center" vertical="center"/>
    </xf>
    <xf numFmtId="10" fontId="14" fillId="2" borderId="6" xfId="3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 applyProtection="1">
      <alignment horizontal="center" vertical="center"/>
    </xf>
    <xf numFmtId="10" fontId="14" fillId="2" borderId="7" xfId="3" applyNumberFormat="1" applyFont="1" applyFill="1" applyBorder="1" applyAlignment="1">
      <alignment horizontal="center" vertical="center"/>
    </xf>
    <xf numFmtId="0" fontId="14" fillId="2" borderId="8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/>
    <xf numFmtId="10" fontId="14" fillId="0" borderId="0" xfId="3" applyNumberFormat="1" applyFont="1" applyFill="1" applyBorder="1" applyAlignment="1" applyProtection="1">
      <alignment vertical="center"/>
    </xf>
    <xf numFmtId="10" fontId="14" fillId="0" borderId="0" xfId="3" applyNumberFormat="1" applyFont="1" applyAlignment="1">
      <alignment vertical="center"/>
    </xf>
    <xf numFmtId="0" fontId="14" fillId="0" borderId="0" xfId="0" applyNumberFormat="1" applyFont="1" applyFill="1" applyBorder="1" applyAlignment="1" applyProtection="1">
      <alignment vertical="center"/>
    </xf>
    <xf numFmtId="176" fontId="14" fillId="0" borderId="0" xfId="3" applyNumberFormat="1" applyFont="1" applyAlignment="1">
      <alignment vertical="center"/>
    </xf>
    <xf numFmtId="0" fontId="13" fillId="0" borderId="0" xfId="0" applyNumberFormat="1" applyFont="1" applyFill="1" applyBorder="1" applyAlignment="1" applyProtection="1">
      <alignment horizontal="center"/>
    </xf>
    <xf numFmtId="0" fontId="18" fillId="0" borderId="9" xfId="0" applyNumberFormat="1" applyFont="1" applyFill="1" applyBorder="1" applyAlignment="1" applyProtection="1">
      <alignment horizontal="center" vertical="center"/>
    </xf>
    <xf numFmtId="0" fontId="18" fillId="0" borderId="10" xfId="0" applyNumberFormat="1" applyFont="1" applyFill="1" applyBorder="1" applyAlignment="1" applyProtection="1">
      <alignment horizontal="center" vertical="center"/>
    </xf>
    <xf numFmtId="0" fontId="18" fillId="0" borderId="11" xfId="0" applyNumberFormat="1" applyFont="1" applyFill="1" applyBorder="1" applyAlignment="1" applyProtection="1">
      <alignment horizontal="center" vertical="center"/>
    </xf>
    <xf numFmtId="0" fontId="17" fillId="0" borderId="12" xfId="3" applyNumberFormat="1" applyFont="1" applyFill="1" applyBorder="1" applyAlignment="1" applyProtection="1">
      <alignment horizontal="center" vertical="center"/>
    </xf>
    <xf numFmtId="10" fontId="17" fillId="0" borderId="0" xfId="0" applyNumberFormat="1" applyFont="1" applyFill="1" applyBorder="1" applyAlignment="1" applyProtection="1"/>
    <xf numFmtId="10" fontId="17" fillId="0" borderId="0" xfId="3" applyNumberFormat="1" applyFont="1" applyFill="1" applyBorder="1" applyAlignment="1" applyProtection="1"/>
    <xf numFmtId="10" fontId="17" fillId="0" borderId="0" xfId="3" applyNumberFormat="1" applyFont="1" applyBorder="1" applyAlignment="1"/>
    <xf numFmtId="0" fontId="17" fillId="0" borderId="0" xfId="3" applyNumberFormat="1" applyFont="1" applyFill="1" applyBorder="1" applyAlignment="1" applyProtection="1"/>
    <xf numFmtId="176" fontId="17" fillId="0" borderId="0" xfId="3" applyNumberFormat="1" applyFont="1" applyBorder="1" applyAlignment="1"/>
    <xf numFmtId="176" fontId="17" fillId="0" borderId="0" xfId="0" applyNumberFormat="1" applyFont="1" applyFill="1" applyBorder="1" applyAlignment="1" applyProtection="1"/>
    <xf numFmtId="0" fontId="19" fillId="8" borderId="13" xfId="0" applyNumberFormat="1" applyFont="1" applyFill="1" applyBorder="1" applyAlignment="1" applyProtection="1">
      <alignment horizontal="center"/>
    </xf>
    <xf numFmtId="0" fontId="19" fillId="8" borderId="14" xfId="0" applyNumberFormat="1" applyFont="1" applyFill="1" applyBorder="1" applyAlignment="1" applyProtection="1">
      <alignment horizontal="center"/>
    </xf>
    <xf numFmtId="10" fontId="19" fillId="8" borderId="14" xfId="3" applyNumberFormat="1" applyFont="1" applyFill="1" applyBorder="1" applyAlignment="1">
      <alignment horizontal="center"/>
    </xf>
    <xf numFmtId="10" fontId="19" fillId="8" borderId="15" xfId="3" applyNumberFormat="1" applyFont="1" applyFill="1" applyBorder="1" applyAlignment="1">
      <alignment horizontal="center"/>
    </xf>
    <xf numFmtId="0" fontId="19" fillId="8" borderId="16" xfId="0" applyNumberFormat="1" applyFont="1" applyFill="1" applyBorder="1" applyAlignment="1" applyProtection="1">
      <alignment horizontal="center"/>
    </xf>
    <xf numFmtId="0" fontId="19" fillId="8" borderId="17" xfId="0" applyNumberFormat="1" applyFont="1" applyFill="1" applyBorder="1" applyAlignment="1" applyProtection="1">
      <alignment horizontal="center"/>
    </xf>
    <xf numFmtId="10" fontId="19" fillId="8" borderId="17" xfId="3" applyNumberFormat="1" applyFont="1" applyFill="1" applyBorder="1" applyAlignment="1">
      <alignment horizontal="center"/>
    </xf>
    <xf numFmtId="10" fontId="19" fillId="8" borderId="18" xfId="3" applyNumberFormat="1" applyFont="1" applyFill="1" applyBorder="1" applyAlignment="1">
      <alignment horizontal="center"/>
    </xf>
    <xf numFmtId="176" fontId="20" fillId="9" borderId="19" xfId="0" applyNumberFormat="1" applyFont="1" applyFill="1" applyBorder="1" applyAlignment="1" applyProtection="1">
      <alignment horizontal="center" vertical="center"/>
    </xf>
    <xf numFmtId="43" fontId="20" fillId="9" borderId="0" xfId="0" applyNumberFormat="1" applyFont="1" applyFill="1" applyBorder="1" applyAlignment="1" applyProtection="1">
      <alignment horizontal="right" vertical="center"/>
    </xf>
    <xf numFmtId="10" fontId="20" fillId="9" borderId="0" xfId="3" applyNumberFormat="1" applyFont="1" applyFill="1" applyAlignment="1">
      <alignment horizontal="right" vertical="center"/>
    </xf>
    <xf numFmtId="10" fontId="20" fillId="9" borderId="20" xfId="3" applyNumberFormat="1" applyFont="1" applyFill="1" applyBorder="1" applyAlignment="1">
      <alignment horizontal="right" vertical="center"/>
    </xf>
    <xf numFmtId="176" fontId="21" fillId="0" borderId="19" xfId="0" applyNumberFormat="1" applyFont="1" applyFill="1" applyBorder="1" applyAlignment="1" applyProtection="1">
      <alignment horizontal="center" vertical="center"/>
    </xf>
    <xf numFmtId="43" fontId="21" fillId="0" borderId="0" xfId="0" applyNumberFormat="1" applyFont="1" applyFill="1" applyBorder="1" applyAlignment="1" applyProtection="1">
      <alignment horizontal="right" vertical="center"/>
    </xf>
    <xf numFmtId="10" fontId="21" fillId="0" borderId="0" xfId="3" applyNumberFormat="1" applyFont="1" applyAlignment="1">
      <alignment horizontal="right" vertical="center"/>
    </xf>
    <xf numFmtId="10" fontId="21" fillId="0" borderId="20" xfId="3" applyNumberFormat="1" applyFont="1" applyBorder="1" applyAlignment="1">
      <alignment horizontal="right" vertical="center"/>
    </xf>
    <xf numFmtId="176" fontId="14" fillId="9" borderId="19" xfId="0" applyNumberFormat="1" applyFont="1" applyFill="1" applyBorder="1" applyAlignment="1" applyProtection="1">
      <alignment horizontal="center"/>
    </xf>
    <xf numFmtId="43" fontId="14" fillId="9" borderId="0" xfId="0" applyNumberFormat="1" applyFont="1" applyFill="1" applyBorder="1" applyAlignment="1" applyProtection="1">
      <alignment horizontal="right"/>
    </xf>
    <xf numFmtId="10" fontId="14" fillId="9" borderId="0" xfId="3" applyNumberFormat="1" applyFont="1" applyFill="1" applyAlignment="1">
      <alignment horizontal="right"/>
    </xf>
    <xf numFmtId="10" fontId="14" fillId="9" borderId="20" xfId="3" applyNumberFormat="1" applyFont="1" applyFill="1" applyBorder="1" applyAlignment="1">
      <alignment horizontal="right"/>
    </xf>
    <xf numFmtId="176" fontId="15" fillId="0" borderId="19" xfId="0" applyNumberFormat="1" applyFont="1" applyFill="1" applyBorder="1" applyAlignment="1" applyProtection="1">
      <alignment horizontal="center"/>
    </xf>
    <xf numFmtId="176" fontId="14" fillId="0" borderId="19" xfId="0" applyNumberFormat="1" applyFont="1" applyFill="1" applyBorder="1" applyAlignment="1" applyProtection="1">
      <alignment horizontal="center"/>
    </xf>
    <xf numFmtId="43" fontId="14" fillId="0" borderId="0" xfId="0" applyNumberFormat="1" applyFont="1" applyFill="1" applyBorder="1" applyAlignment="1" applyProtection="1">
      <alignment horizontal="right"/>
    </xf>
    <xf numFmtId="10" fontId="14" fillId="0" borderId="0" xfId="3" applyNumberFormat="1" applyFont="1" applyAlignment="1">
      <alignment horizontal="right"/>
    </xf>
    <xf numFmtId="10" fontId="14" fillId="0" borderId="20" xfId="3" applyNumberFormat="1" applyFont="1" applyBorder="1" applyAlignment="1">
      <alignment horizontal="right"/>
    </xf>
    <xf numFmtId="176" fontId="21" fillId="9" borderId="16" xfId="0" applyNumberFormat="1" applyFont="1" applyFill="1" applyBorder="1" applyAlignment="1" applyProtection="1">
      <alignment horizontal="center" vertical="center"/>
    </xf>
    <xf numFmtId="43" fontId="21" fillId="9" borderId="17" xfId="0" applyNumberFormat="1" applyFont="1" applyFill="1" applyBorder="1" applyAlignment="1" applyProtection="1">
      <alignment horizontal="right" vertical="center"/>
    </xf>
    <xf numFmtId="10" fontId="21" fillId="9" borderId="17" xfId="3" applyNumberFormat="1" applyFont="1" applyFill="1" applyBorder="1" applyAlignment="1">
      <alignment horizontal="right" vertical="center"/>
    </xf>
    <xf numFmtId="10" fontId="21" fillId="9" borderId="18" xfId="3" applyNumberFormat="1" applyFont="1" applyFill="1" applyBorder="1" applyAlignment="1">
      <alignment horizontal="right" vertical="center"/>
    </xf>
    <xf numFmtId="10" fontId="21" fillId="0" borderId="0" xfId="3" applyNumberFormat="1" applyFont="1" applyFill="1" applyAlignment="1">
      <alignment horizontal="right" vertical="center"/>
    </xf>
    <xf numFmtId="10" fontId="21" fillId="0" borderId="20" xfId="3" applyNumberFormat="1" applyFont="1" applyFill="1" applyBorder="1" applyAlignment="1">
      <alignment horizontal="right" vertical="center"/>
    </xf>
    <xf numFmtId="176" fontId="22" fillId="9" borderId="19" xfId="0" applyNumberFormat="1" applyFont="1" applyFill="1" applyBorder="1" applyAlignment="1" applyProtection="1">
      <alignment horizontal="center" vertical="center"/>
    </xf>
    <xf numFmtId="43" fontId="22" fillId="9" borderId="0" xfId="0" applyNumberFormat="1" applyFont="1" applyFill="1" applyBorder="1" applyAlignment="1" applyProtection="1">
      <alignment horizontal="right" vertical="center"/>
    </xf>
    <xf numFmtId="10" fontId="22" fillId="9" borderId="0" xfId="3" applyNumberFormat="1" applyFont="1" applyFill="1" applyAlignment="1">
      <alignment horizontal="right" vertical="center"/>
    </xf>
    <xf numFmtId="10" fontId="22" fillId="9" borderId="20" xfId="3" applyNumberFormat="1" applyFont="1" applyFill="1" applyBorder="1" applyAlignment="1">
      <alignment horizontal="right" vertical="center"/>
    </xf>
    <xf numFmtId="0" fontId="23" fillId="0" borderId="0" xfId="0" applyNumberFormat="1" applyFont="1" applyFill="1" applyBorder="1" applyAlignment="1" applyProtection="1"/>
    <xf numFmtId="176" fontId="19" fillId="9" borderId="19" xfId="0" applyNumberFormat="1" applyFont="1" applyFill="1" applyBorder="1" applyAlignment="1" applyProtection="1">
      <alignment horizontal="center" vertical="center"/>
    </xf>
    <xf numFmtId="43" fontId="19" fillId="9" borderId="0" xfId="0" applyNumberFormat="1" applyFont="1" applyFill="1" applyBorder="1" applyAlignment="1" applyProtection="1">
      <alignment horizontal="right" vertical="center"/>
    </xf>
    <xf numFmtId="10" fontId="19" fillId="9" borderId="0" xfId="3" applyNumberFormat="1" applyFont="1" applyFill="1" applyAlignment="1">
      <alignment horizontal="right" vertical="center"/>
    </xf>
    <xf numFmtId="10" fontId="19" fillId="9" borderId="20" xfId="3" applyNumberFormat="1" applyFont="1" applyFill="1" applyBorder="1" applyAlignment="1">
      <alignment horizontal="right" vertical="center"/>
    </xf>
    <xf numFmtId="176" fontId="15" fillId="10" borderId="19" xfId="0" applyNumberFormat="1" applyFont="1" applyFill="1" applyBorder="1" applyAlignment="1" applyProtection="1">
      <alignment horizontal="center"/>
    </xf>
    <xf numFmtId="176" fontId="14" fillId="10" borderId="19" xfId="0" applyNumberFormat="1" applyFont="1" applyFill="1" applyBorder="1" applyAlignment="1" applyProtection="1">
      <alignment horizontal="center"/>
    </xf>
    <xf numFmtId="43" fontId="14" fillId="10" borderId="0" xfId="0" applyNumberFormat="1" applyFont="1" applyFill="1" applyBorder="1" applyAlignment="1" applyProtection="1">
      <alignment horizontal="right"/>
    </xf>
    <xf numFmtId="10" fontId="14" fillId="10" borderId="0" xfId="3" applyNumberFormat="1" applyFont="1" applyFill="1" applyAlignment="1">
      <alignment horizontal="right"/>
    </xf>
    <xf numFmtId="10" fontId="14" fillId="10" borderId="20" xfId="3" applyNumberFormat="1" applyFont="1" applyFill="1" applyBorder="1" applyAlignment="1">
      <alignment horizontal="right"/>
    </xf>
    <xf numFmtId="176" fontId="19" fillId="9" borderId="16" xfId="0" applyNumberFormat="1" applyFont="1" applyFill="1" applyBorder="1" applyAlignment="1" applyProtection="1">
      <alignment horizontal="center" vertical="center"/>
    </xf>
    <xf numFmtId="43" fontId="19" fillId="9" borderId="17" xfId="0" applyNumberFormat="1" applyFont="1" applyFill="1" applyBorder="1" applyAlignment="1" applyProtection="1">
      <alignment horizontal="right" vertical="center"/>
    </xf>
    <xf numFmtId="10" fontId="19" fillId="9" borderId="17" xfId="3" applyNumberFormat="1" applyFont="1" applyFill="1" applyBorder="1" applyAlignment="1">
      <alignment horizontal="right" vertical="center"/>
    </xf>
    <xf numFmtId="10" fontId="19" fillId="9" borderId="18" xfId="3" applyNumberFormat="1" applyFont="1" applyFill="1" applyBorder="1" applyAlignment="1">
      <alignment horizontal="right" vertical="center"/>
    </xf>
    <xf numFmtId="9" fontId="14" fillId="0" borderId="0" xfId="3" applyFont="1" applyFill="1" applyBorder="1" applyAlignment="1" applyProtection="1"/>
    <xf numFmtId="177" fontId="14" fillId="0" borderId="0" xfId="3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&#24180;&#31649;&#252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6年执行"/>
      <sheetName val="26年执行-绿雪芽2.0"/>
      <sheetName val="【项目看板】 (5)"/>
      <sheetName val="【项目看板】 (3)"/>
      <sheetName val="【项目看板】-绿雪芽合并"/>
      <sheetName val="【店铺1】"/>
      <sheetName val="26年预算"/>
      <sheetName val="【项目看板】-林内自营"/>
      <sheetName val="【项目看板】-东芝"/>
      <sheetName val="【项目看板】-外交官天猫"/>
      <sheetName val="【项目看板】-外交官天猫 (2)"/>
      <sheetName val="【项目看板】-林内POP1"/>
      <sheetName val="主数据"/>
      <sheetName val="25年执行"/>
      <sheetName val="【项目看板】 (4)"/>
      <sheetName val="【项目看板】 (2)"/>
      <sheetName val="【项目看板】"/>
      <sheetName val="Sheet1"/>
      <sheetName val="【店铺N】"/>
      <sheetName val="财税商"/>
      <sheetName val="附表 "/>
      <sheetName val="Sheet2"/>
      <sheetName val="Sheet3"/>
      <sheetName val="简表"/>
      <sheetName val="事业部"/>
      <sheetName val="项目"/>
      <sheetName val="人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C55"/>
  <sheetViews>
    <sheetView showGridLines="0" zoomScale="85" zoomScaleNormal="85" workbookViewId="0">
      <pane xSplit="3" ySplit="8" topLeftCell="D45" activePane="bottomRight" state="frozen"/>
      <selection/>
      <selection pane="topRight"/>
      <selection pane="bottomLeft"/>
      <selection pane="bottomRight" activeCell="H54" sqref="H54"/>
    </sheetView>
  </sheetViews>
  <sheetFormatPr defaultColWidth="9.6" defaultRowHeight="13"/>
  <cols>
    <col min="1" max="1" width="16.74" style="43" customWidth="1"/>
    <col min="2" max="2" width="7.09" style="44" customWidth="1"/>
    <col min="3" max="3" width="24.25" style="45" customWidth="1"/>
    <col min="4" max="4" width="9.99" style="43" customWidth="1"/>
    <col min="5" max="5" width="8.5" style="46" customWidth="1"/>
    <col min="6" max="6" width="10.11" style="43" customWidth="1"/>
    <col min="7" max="7" width="8.78" style="46" customWidth="1"/>
    <col min="8" max="8" width="10.88" style="43" customWidth="1"/>
    <col min="9" max="9" width="10.5" style="46" customWidth="1"/>
    <col min="10" max="10" width="9.22" style="43" customWidth="1"/>
    <col min="11" max="11" width="8.5" style="46" customWidth="1"/>
    <col min="12" max="12" width="8.7" style="43" customWidth="1"/>
    <col min="13" max="13" width="8.5" style="46" customWidth="1"/>
    <col min="14" max="14" width="10.33" style="43" customWidth="1"/>
    <col min="15" max="15" width="8.5" style="46" customWidth="1"/>
    <col min="16" max="16" width="8.5" style="43" customWidth="1"/>
    <col min="17" max="17" width="8.5" style="46" customWidth="1"/>
    <col min="18" max="18" width="8.7" style="43" customWidth="1"/>
    <col min="19" max="19" width="8.5" style="46" customWidth="1"/>
    <col min="20" max="20" width="13.5" style="43" customWidth="1"/>
    <col min="21" max="21" width="8.5" style="46" customWidth="1"/>
    <col min="22" max="22" width="8.5" style="43" customWidth="1"/>
    <col min="23" max="23" width="8.5" style="46" customWidth="1"/>
    <col min="24" max="24" width="8.7" style="43" customWidth="1"/>
    <col min="25" max="25" width="8.5" style="46" customWidth="1"/>
    <col min="26" max="26" width="13" style="43" customWidth="1"/>
    <col min="27" max="27" width="8.5" style="46" customWidth="1"/>
    <col min="28" max="28" width="8.5" style="43" customWidth="1"/>
    <col min="29" max="29" width="8.5" style="46" customWidth="1"/>
    <col min="30" max="30" width="8.7" style="43" customWidth="1"/>
    <col min="31" max="31" width="8.5" style="46" customWidth="1"/>
    <col min="32" max="32" width="13.2" style="43" customWidth="1"/>
    <col min="33" max="33" width="8.5" style="46" customWidth="1"/>
    <col min="34" max="34" width="8.5" style="43" customWidth="1"/>
    <col min="35" max="35" width="8.5" style="46" customWidth="1"/>
    <col min="36" max="36" width="8.7" style="43" customWidth="1"/>
    <col min="37" max="37" width="8.5" style="46" customWidth="1"/>
    <col min="38" max="38" width="14" style="43" customWidth="1"/>
    <col min="39" max="39" width="8.5" style="46" customWidth="1"/>
    <col min="40" max="40" width="8.5" style="43" customWidth="1"/>
    <col min="41" max="41" width="8.5" style="46" customWidth="1"/>
    <col min="42" max="42" width="8.7" style="43" customWidth="1"/>
    <col min="43" max="43" width="8.5" style="46" customWidth="1"/>
    <col min="44" max="44" width="14" style="43" customWidth="1"/>
    <col min="45" max="45" width="8.5" style="46" customWidth="1"/>
    <col min="46" max="46" width="8.5" style="43" customWidth="1"/>
    <col min="47" max="47" width="8.5" style="46" customWidth="1"/>
    <col min="48" max="48" width="8.7" style="43" customWidth="1"/>
    <col min="49" max="49" width="8.5" style="46" customWidth="1"/>
    <col min="50" max="50" width="13.2" style="43" customWidth="1"/>
    <col min="51" max="51" width="8.5" style="46" customWidth="1"/>
    <col min="52" max="52" width="8.5" style="43" customWidth="1"/>
    <col min="53" max="53" width="8.5" style="46" customWidth="1"/>
    <col min="54" max="54" width="8.7" style="43" customWidth="1"/>
    <col min="55" max="55" width="8.5" style="46" customWidth="1"/>
    <col min="56" max="56" width="13" style="43" customWidth="1"/>
    <col min="57" max="57" width="8.5" style="46" customWidth="1"/>
    <col min="58" max="58" width="8.5" style="43" customWidth="1"/>
    <col min="59" max="59" width="8.5" style="46" customWidth="1"/>
    <col min="60" max="60" width="8.7" style="43" customWidth="1"/>
    <col min="61" max="61" width="8.5" style="46" customWidth="1"/>
    <col min="62" max="62" width="13" style="43" customWidth="1"/>
    <col min="63" max="63" width="8.5" style="46" customWidth="1"/>
    <col min="64" max="64" width="8.5" style="43" customWidth="1"/>
    <col min="65" max="65" width="8.5" style="46" customWidth="1"/>
    <col min="66" max="66" width="8.7" style="43" customWidth="1"/>
    <col min="67" max="67" width="8.5" style="46" customWidth="1"/>
    <col min="68" max="68" width="13.2" style="43" customWidth="1"/>
    <col min="69" max="69" width="8.5" style="46" customWidth="1"/>
    <col min="70" max="70" width="8.5" style="43" customWidth="1"/>
    <col min="71" max="71" width="8.5" style="46" customWidth="1"/>
    <col min="72" max="72" width="8.7" style="43" customWidth="1"/>
    <col min="73" max="73" width="8.5" style="46" customWidth="1"/>
    <col min="74" max="74" width="13.2" style="43" customWidth="1"/>
    <col min="75" max="75" width="8.5" style="46" customWidth="1"/>
    <col min="76" max="76" width="8.5" style="43" customWidth="1"/>
    <col min="77" max="77" width="8.5" style="46" customWidth="1"/>
    <col min="78" max="78" width="8.7" style="43" customWidth="1"/>
    <col min="79" max="79" width="8.5" style="46" customWidth="1"/>
    <col min="80" max="80" width="13" style="43" customWidth="1"/>
    <col min="81" max="81" width="8.5" style="46" customWidth="1"/>
    <col min="82" max="16384" width="9.6" style="41"/>
  </cols>
  <sheetData>
    <row r="1" s="40" customFormat="1" ht="13.75" spans="1:81">
      <c r="A1" s="47"/>
      <c r="B1" s="48" t="s">
        <v>0</v>
      </c>
      <c r="C1" s="49" t="s">
        <v>1</v>
      </c>
      <c r="D1" s="50"/>
      <c r="E1" s="51" t="s">
        <v>2</v>
      </c>
      <c r="F1" s="52" t="s">
        <v>3</v>
      </c>
      <c r="G1" s="52" t="s">
        <v>4</v>
      </c>
      <c r="H1" s="52" t="s">
        <v>5</v>
      </c>
      <c r="I1" s="52" t="s">
        <v>6</v>
      </c>
      <c r="J1" s="52" t="s">
        <v>7</v>
      </c>
      <c r="K1" s="52" t="s">
        <v>8</v>
      </c>
      <c r="L1" s="52" t="s">
        <v>9</v>
      </c>
      <c r="M1" s="52" t="s">
        <v>10</v>
      </c>
      <c r="N1" s="52" t="s">
        <v>11</v>
      </c>
      <c r="O1" s="53" t="s">
        <v>12</v>
      </c>
      <c r="P1" s="54" t="s">
        <v>13</v>
      </c>
      <c r="Q1" s="55"/>
      <c r="R1" s="56"/>
      <c r="S1" s="57"/>
      <c r="T1" s="58"/>
      <c r="U1" s="57"/>
      <c r="V1" s="58"/>
      <c r="W1" s="57"/>
      <c r="X1" s="58"/>
      <c r="Y1" s="57"/>
      <c r="Z1" s="58"/>
      <c r="AA1" s="57"/>
      <c r="AB1" s="58"/>
      <c r="AC1" s="57"/>
      <c r="AD1" s="58"/>
      <c r="AE1" s="57"/>
      <c r="AF1" s="58"/>
      <c r="AG1" s="57"/>
      <c r="AH1" s="58"/>
      <c r="AI1" s="57"/>
      <c r="AJ1" s="58"/>
      <c r="AK1" s="57"/>
      <c r="AL1" s="58"/>
      <c r="AM1" s="57"/>
      <c r="AN1" s="58"/>
      <c r="AO1" s="57"/>
      <c r="AP1" s="58"/>
      <c r="AQ1" s="57"/>
      <c r="AR1" s="58"/>
      <c r="AS1" s="57"/>
      <c r="AT1" s="58"/>
      <c r="AU1" s="57"/>
      <c r="AV1" s="58"/>
      <c r="AW1" s="57"/>
      <c r="AX1" s="58"/>
      <c r="AY1" s="57"/>
      <c r="AZ1" s="58"/>
      <c r="BA1" s="57"/>
      <c r="BB1" s="58"/>
      <c r="BC1" s="57"/>
      <c r="BD1" s="58"/>
      <c r="BE1" s="57"/>
      <c r="BF1" s="58"/>
      <c r="BG1" s="57"/>
      <c r="BH1" s="58"/>
      <c r="BI1" s="57"/>
      <c r="BJ1" s="1"/>
      <c r="BK1" s="57"/>
      <c r="BL1" s="58"/>
      <c r="BM1" s="57"/>
      <c r="BN1" s="58"/>
      <c r="BO1" s="59"/>
      <c r="BP1" s="58"/>
      <c r="BQ1" s="57"/>
      <c r="BR1" s="58"/>
      <c r="BS1" s="57"/>
      <c r="BT1" s="58"/>
      <c r="BU1" s="59"/>
      <c r="BV1" s="58"/>
      <c r="BW1" s="57"/>
      <c r="BX1" s="58"/>
      <c r="BY1" s="57"/>
      <c r="BZ1" s="58"/>
      <c r="CA1" s="59"/>
      <c r="CB1" s="58"/>
      <c r="CC1" s="57"/>
    </row>
    <row r="2" ht="13.75" spans="1:81">
      <c r="A2" s="60"/>
      <c r="B2" s="61" t="s">
        <v>14</v>
      </c>
      <c r="C2" s="62"/>
      <c r="D2" s="63"/>
      <c r="E2" s="64" t="s">
        <v>15</v>
      </c>
      <c r="F2" s="64" t="s">
        <v>15</v>
      </c>
      <c r="G2" s="64" t="s">
        <v>15</v>
      </c>
      <c r="H2" s="64" t="s">
        <v>15</v>
      </c>
      <c r="I2" s="64" t="s">
        <v>15</v>
      </c>
      <c r="J2" s="64"/>
      <c r="K2" s="64"/>
      <c r="L2" s="64"/>
      <c r="M2" s="64"/>
      <c r="N2" s="64"/>
      <c r="O2" s="64"/>
      <c r="P2" s="64"/>
      <c r="Q2" s="65"/>
      <c r="R2" s="66"/>
      <c r="S2" s="67"/>
      <c r="T2" s="55"/>
      <c r="U2" s="67"/>
      <c r="V2" s="55"/>
      <c r="W2" s="55"/>
      <c r="X2" s="55"/>
      <c r="Y2" s="67"/>
      <c r="Z2" s="65"/>
      <c r="AA2" s="67"/>
      <c r="AB2" s="55"/>
      <c r="AC2" s="55"/>
      <c r="AD2" s="55"/>
      <c r="AE2" s="67"/>
      <c r="AF2" s="55"/>
      <c r="AG2" s="67"/>
      <c r="AH2" s="66"/>
      <c r="AI2" s="55"/>
      <c r="AJ2" s="55"/>
      <c r="AK2" s="68"/>
      <c r="AL2" s="55"/>
      <c r="AM2" s="67"/>
      <c r="AN2" s="55"/>
      <c r="AO2" s="55"/>
      <c r="AP2" s="55"/>
      <c r="AQ2" s="67"/>
      <c r="AR2" s="55"/>
      <c r="AS2" s="67"/>
      <c r="AT2" s="55"/>
      <c r="AU2" s="55"/>
      <c r="AV2" s="55"/>
      <c r="AW2" s="67"/>
      <c r="AX2" s="55"/>
      <c r="AY2" s="67"/>
      <c r="AZ2" s="55"/>
      <c r="BA2" s="55"/>
      <c r="BB2" s="55"/>
      <c r="BC2" s="67"/>
      <c r="BD2" s="55"/>
      <c r="BE2" s="67"/>
      <c r="BF2" s="55"/>
      <c r="BG2" s="55"/>
      <c r="BH2" s="55"/>
      <c r="BI2" s="67"/>
      <c r="BJ2" s="1"/>
      <c r="BK2" s="67"/>
      <c r="BL2" s="55"/>
      <c r="BM2" s="55"/>
      <c r="BN2" s="55"/>
      <c r="BO2" s="69"/>
      <c r="BP2" s="55"/>
      <c r="BQ2" s="67"/>
      <c r="BR2" s="55"/>
      <c r="BS2" s="55"/>
      <c r="BT2" s="55"/>
      <c r="BU2" s="69"/>
      <c r="BW2" s="67"/>
      <c r="BX2" s="55"/>
      <c r="BY2" s="70"/>
      <c r="BZ2" s="55"/>
      <c r="CA2" s="69"/>
      <c r="CB2" s="55"/>
      <c r="CC2" s="67"/>
    </row>
    <row r="3" ht="13.75" spans="1:81">
      <c r="A3" s="42"/>
      <c r="B3" s="55"/>
      <c r="C3" s="55"/>
      <c r="D3" s="55"/>
      <c r="E3" s="55"/>
      <c r="F3" s="55"/>
      <c r="G3" s="67"/>
      <c r="H3" s="55"/>
      <c r="I3" s="67"/>
      <c r="J3" s="55"/>
      <c r="K3" s="67"/>
      <c r="L3" s="55"/>
      <c r="M3" s="67"/>
      <c r="N3" s="55"/>
      <c r="O3" s="67"/>
      <c r="P3" s="55"/>
      <c r="Q3" s="67"/>
      <c r="R3" s="55"/>
      <c r="S3" s="67"/>
      <c r="T3" s="55"/>
      <c r="U3" s="67"/>
      <c r="V3" s="55"/>
      <c r="W3" s="67"/>
      <c r="X3" s="55"/>
      <c r="Y3" s="67"/>
      <c r="Z3" s="66"/>
      <c r="AA3" s="67"/>
      <c r="AB3" s="55"/>
      <c r="AC3" s="67"/>
      <c r="AD3" s="55"/>
      <c r="AE3" s="67"/>
      <c r="AF3" s="55"/>
      <c r="AG3" s="67"/>
      <c r="AI3" s="67"/>
      <c r="AJ3" s="55"/>
      <c r="AK3" s="67"/>
      <c r="AL3" s="55"/>
      <c r="AM3" s="67"/>
      <c r="AN3" s="55"/>
      <c r="AO3" s="67"/>
      <c r="AP3" s="55"/>
      <c r="AQ3" s="67"/>
      <c r="AR3" s="55"/>
      <c r="AS3" s="67"/>
      <c r="AT3" s="55"/>
      <c r="AU3" s="67"/>
      <c r="AV3" s="55"/>
      <c r="AW3" s="67"/>
      <c r="AX3" s="55"/>
      <c r="AY3" s="67"/>
      <c r="AZ3" s="55"/>
      <c r="BA3" s="67"/>
      <c r="BB3" s="55"/>
      <c r="BC3" s="67"/>
      <c r="BD3" s="55"/>
      <c r="BE3" s="67"/>
      <c r="BF3" s="55"/>
      <c r="BG3" s="67"/>
      <c r="BH3" s="55"/>
      <c r="BI3" s="67"/>
      <c r="BJ3" s="1"/>
      <c r="BK3" s="67"/>
      <c r="BL3" s="55"/>
      <c r="BM3" s="67"/>
      <c r="BN3" s="55"/>
      <c r="BO3" s="67"/>
      <c r="BP3" s="55"/>
      <c r="BQ3" s="67"/>
      <c r="BR3" s="55"/>
      <c r="BS3" s="67"/>
      <c r="BT3" s="55"/>
      <c r="BU3" s="67"/>
      <c r="BV3" s="55"/>
      <c r="BW3" s="67"/>
      <c r="BX3" s="55"/>
      <c r="BY3" s="69"/>
      <c r="BZ3" s="55"/>
      <c r="CA3" s="67"/>
      <c r="CB3" s="55"/>
      <c r="CC3" s="67"/>
    </row>
    <row r="4" ht="13.75" spans="1:81">
      <c r="B4" s="71"/>
      <c r="C4" s="71"/>
      <c r="D4" s="72"/>
      <c r="E4" s="73"/>
      <c r="F4" s="72" t="s">
        <v>16</v>
      </c>
      <c r="G4" s="73"/>
      <c r="H4" s="72"/>
      <c r="I4" s="74"/>
      <c r="J4" s="72"/>
      <c r="K4" s="73"/>
      <c r="L4" s="72" t="s">
        <v>2</v>
      </c>
      <c r="M4" s="73"/>
      <c r="N4" s="72" t="s">
        <v>2</v>
      </c>
      <c r="O4" s="74"/>
      <c r="P4" s="72"/>
      <c r="Q4" s="73"/>
      <c r="R4" s="72" t="s">
        <v>3</v>
      </c>
      <c r="S4" s="73"/>
      <c r="T4" s="72" t="s">
        <v>3</v>
      </c>
      <c r="U4" s="74"/>
      <c r="V4" s="72"/>
      <c r="W4" s="73"/>
      <c r="X4" s="72" t="s">
        <v>4</v>
      </c>
      <c r="Y4" s="73"/>
      <c r="Z4" s="72" t="s">
        <v>4</v>
      </c>
      <c r="AA4" s="74"/>
      <c r="AB4" s="72"/>
      <c r="AC4" s="73"/>
      <c r="AD4" s="73"/>
      <c r="AE4" s="73"/>
      <c r="AF4" s="72" t="s">
        <v>5</v>
      </c>
      <c r="AG4" s="74"/>
      <c r="AH4" s="72"/>
      <c r="AI4" s="73"/>
      <c r="AJ4" s="72" t="s">
        <v>6</v>
      </c>
      <c r="AK4" s="73"/>
      <c r="AL4" s="72"/>
      <c r="AM4" s="74"/>
      <c r="AN4" s="72"/>
      <c r="AO4" s="73"/>
      <c r="AP4" s="72" t="s">
        <v>7</v>
      </c>
      <c r="AQ4" s="73"/>
      <c r="AR4" s="72"/>
      <c r="AS4" s="74"/>
      <c r="AT4" s="72"/>
      <c r="AU4" s="73"/>
      <c r="AV4" s="72" t="s">
        <v>8</v>
      </c>
      <c r="AW4" s="73"/>
      <c r="AX4" s="72"/>
      <c r="AY4" s="74"/>
      <c r="AZ4" s="72"/>
      <c r="BA4" s="73"/>
      <c r="BB4" s="72" t="s">
        <v>9</v>
      </c>
      <c r="BC4" s="73"/>
      <c r="BD4" s="72"/>
      <c r="BE4" s="74"/>
      <c r="BF4" s="72"/>
      <c r="BG4" s="73"/>
      <c r="BH4" s="72" t="s">
        <v>10</v>
      </c>
      <c r="BI4" s="73"/>
      <c r="BJ4" s="72"/>
      <c r="BK4" s="74"/>
      <c r="BL4" s="72"/>
      <c r="BM4" s="73"/>
      <c r="BN4" s="72" t="s">
        <v>11</v>
      </c>
      <c r="BO4" s="73"/>
      <c r="BP4" s="72"/>
      <c r="BQ4" s="74"/>
      <c r="BR4" s="72"/>
      <c r="BS4" s="73"/>
      <c r="BT4" s="72" t="s">
        <v>12</v>
      </c>
      <c r="BU4" s="73"/>
      <c r="BV4" s="72"/>
      <c r="BW4" s="74"/>
      <c r="BX4" s="72"/>
      <c r="BY4" s="73"/>
      <c r="BZ4" s="72" t="s">
        <v>13</v>
      </c>
      <c r="CA4" s="73"/>
      <c r="CB4" s="72"/>
      <c r="CC4" s="74"/>
    </row>
    <row r="5" ht="13.75" spans="1:81">
      <c r="B5" s="75"/>
      <c r="C5" s="75" t="s">
        <v>17</v>
      </c>
      <c r="D5" s="76" t="s">
        <v>18</v>
      </c>
      <c r="E5" s="77" t="s">
        <v>19</v>
      </c>
      <c r="F5" s="76" t="s">
        <v>20</v>
      </c>
      <c r="G5" s="77" t="s">
        <v>21</v>
      </c>
      <c r="H5" s="76" t="s">
        <v>22</v>
      </c>
      <c r="I5" s="78" t="s">
        <v>23</v>
      </c>
      <c r="J5" s="76" t="s">
        <v>18</v>
      </c>
      <c r="K5" s="77" t="s">
        <v>19</v>
      </c>
      <c r="L5" s="76" t="s">
        <v>20</v>
      </c>
      <c r="M5" s="77" t="s">
        <v>21</v>
      </c>
      <c r="N5" s="76" t="s">
        <v>22</v>
      </c>
      <c r="O5" s="78" t="s">
        <v>23</v>
      </c>
      <c r="P5" s="76" t="s">
        <v>18</v>
      </c>
      <c r="Q5" s="77" t="s">
        <v>19</v>
      </c>
      <c r="R5" s="76" t="s">
        <v>20</v>
      </c>
      <c r="S5" s="77" t="s">
        <v>21</v>
      </c>
      <c r="T5" s="76" t="s">
        <v>22</v>
      </c>
      <c r="U5" s="78" t="s">
        <v>23</v>
      </c>
      <c r="V5" s="76" t="s">
        <v>18</v>
      </c>
      <c r="W5" s="77" t="s">
        <v>19</v>
      </c>
      <c r="X5" s="76" t="s">
        <v>20</v>
      </c>
      <c r="Y5" s="77" t="s">
        <v>21</v>
      </c>
      <c r="Z5" s="76" t="s">
        <v>22</v>
      </c>
      <c r="AA5" s="78" t="s">
        <v>23</v>
      </c>
      <c r="AB5" s="76" t="s">
        <v>18</v>
      </c>
      <c r="AC5" s="77" t="s">
        <v>19</v>
      </c>
      <c r="AD5" s="76" t="s">
        <v>20</v>
      </c>
      <c r="AE5" s="77" t="s">
        <v>21</v>
      </c>
      <c r="AF5" s="76" t="s">
        <v>22</v>
      </c>
      <c r="AG5" s="78" t="s">
        <v>23</v>
      </c>
      <c r="AH5" s="76" t="s">
        <v>18</v>
      </c>
      <c r="AI5" s="77" t="s">
        <v>19</v>
      </c>
      <c r="AJ5" s="76" t="s">
        <v>20</v>
      </c>
      <c r="AK5" s="77" t="s">
        <v>21</v>
      </c>
      <c r="AL5" s="76" t="s">
        <v>22</v>
      </c>
      <c r="AM5" s="78" t="s">
        <v>23</v>
      </c>
      <c r="AN5" s="76" t="s">
        <v>18</v>
      </c>
      <c r="AO5" s="77" t="s">
        <v>19</v>
      </c>
      <c r="AP5" s="76" t="s">
        <v>20</v>
      </c>
      <c r="AQ5" s="77" t="s">
        <v>21</v>
      </c>
      <c r="AR5" s="76" t="s">
        <v>22</v>
      </c>
      <c r="AS5" s="78" t="s">
        <v>23</v>
      </c>
      <c r="AT5" s="76" t="s">
        <v>18</v>
      </c>
      <c r="AU5" s="77" t="s">
        <v>19</v>
      </c>
      <c r="AV5" s="76" t="s">
        <v>20</v>
      </c>
      <c r="AW5" s="77" t="s">
        <v>21</v>
      </c>
      <c r="AX5" s="76" t="s">
        <v>22</v>
      </c>
      <c r="AY5" s="78" t="s">
        <v>23</v>
      </c>
      <c r="AZ5" s="76" t="s">
        <v>18</v>
      </c>
      <c r="BA5" s="77" t="s">
        <v>19</v>
      </c>
      <c r="BB5" s="76" t="s">
        <v>20</v>
      </c>
      <c r="BC5" s="77" t="s">
        <v>21</v>
      </c>
      <c r="BD5" s="76" t="s">
        <v>22</v>
      </c>
      <c r="BE5" s="78" t="s">
        <v>23</v>
      </c>
      <c r="BF5" s="76" t="s">
        <v>18</v>
      </c>
      <c r="BG5" s="77" t="s">
        <v>19</v>
      </c>
      <c r="BH5" s="76" t="s">
        <v>20</v>
      </c>
      <c r="BI5" s="77" t="s">
        <v>21</v>
      </c>
      <c r="BJ5" s="76" t="s">
        <v>22</v>
      </c>
      <c r="BK5" s="78" t="s">
        <v>23</v>
      </c>
      <c r="BL5" s="76" t="s">
        <v>18</v>
      </c>
      <c r="BM5" s="77" t="s">
        <v>19</v>
      </c>
      <c r="BN5" s="76" t="s">
        <v>20</v>
      </c>
      <c r="BO5" s="77" t="s">
        <v>21</v>
      </c>
      <c r="BP5" s="76" t="s">
        <v>22</v>
      </c>
      <c r="BQ5" s="78" t="s">
        <v>23</v>
      </c>
      <c r="BR5" s="76" t="s">
        <v>18</v>
      </c>
      <c r="BS5" s="77" t="s">
        <v>19</v>
      </c>
      <c r="BT5" s="76" t="s">
        <v>20</v>
      </c>
      <c r="BU5" s="77" t="s">
        <v>21</v>
      </c>
      <c r="BV5" s="76" t="s">
        <v>22</v>
      </c>
      <c r="BW5" s="78" t="s">
        <v>23</v>
      </c>
      <c r="BX5" s="76" t="s">
        <v>18</v>
      </c>
      <c r="BY5" s="77" t="s">
        <v>19</v>
      </c>
      <c r="BZ5" s="76" t="s">
        <v>20</v>
      </c>
      <c r="CA5" s="77" t="s">
        <v>21</v>
      </c>
      <c r="CB5" s="76" t="s">
        <v>22</v>
      </c>
      <c r="CC5" s="78" t="s">
        <v>23</v>
      </c>
    </row>
    <row r="6" ht="13.75" spans="1:81">
      <c r="B6" s="79" t="s">
        <v>24</v>
      </c>
      <c r="C6" s="79" t="s">
        <v>25</v>
      </c>
      <c r="D6" s="80">
        <f t="shared" ref="D6:H6" si="0">SUMIFS($J6:$CC6,$J$5:$CC$5,D$5)</f>
        <v>0</v>
      </c>
      <c r="E6" s="81"/>
      <c r="F6" s="80">
        <f t="shared" si="0"/>
        <v>0</v>
      </c>
      <c r="G6" s="81"/>
      <c r="H6" s="80">
        <f t="shared" si="0"/>
        <v>62.674948</v>
      </c>
      <c r="I6" s="82"/>
      <c r="J6" s="80">
        <v>0</v>
      </c>
      <c r="K6" s="81"/>
      <c r="L6" s="80">
        <v>0</v>
      </c>
      <c r="M6" s="81"/>
      <c r="N6" s="80">
        <v>8.818914</v>
      </c>
      <c r="O6" s="82"/>
      <c r="P6" s="80">
        <v>0</v>
      </c>
      <c r="Q6" s="81"/>
      <c r="R6" s="80">
        <v>0</v>
      </c>
      <c r="S6" s="81"/>
      <c r="T6" s="80">
        <v>27.839964</v>
      </c>
      <c r="U6" s="82"/>
      <c r="V6" s="80">
        <v>0</v>
      </c>
      <c r="W6" s="81"/>
      <c r="X6" s="80">
        <v>0</v>
      </c>
      <c r="Y6" s="81"/>
      <c r="Z6" s="80">
        <v>9.151194</v>
      </c>
      <c r="AA6" s="82"/>
      <c r="AB6" s="80">
        <v>0</v>
      </c>
      <c r="AC6" s="81"/>
      <c r="AD6" s="80">
        <v>0</v>
      </c>
      <c r="AE6" s="81"/>
      <c r="AF6" s="80">
        <v>7.636278</v>
      </c>
      <c r="AG6" s="82"/>
      <c r="AH6" s="80">
        <v>0</v>
      </c>
      <c r="AI6" s="81"/>
      <c r="AJ6" s="80">
        <v>0</v>
      </c>
      <c r="AK6" s="81"/>
      <c r="AL6" s="80">
        <v>9.228598</v>
      </c>
      <c r="AM6" s="82"/>
      <c r="AN6" s="80">
        <v>0</v>
      </c>
      <c r="AO6" s="81"/>
      <c r="AP6" s="80">
        <v>0</v>
      </c>
      <c r="AQ6" s="81"/>
      <c r="AR6" s="80">
        <v>0</v>
      </c>
      <c r="AS6" s="82"/>
      <c r="AT6" s="80">
        <v>0</v>
      </c>
      <c r="AU6" s="81"/>
      <c r="AV6" s="80">
        <v>0</v>
      </c>
      <c r="AW6" s="81"/>
      <c r="AX6" s="80">
        <v>0</v>
      </c>
      <c r="AY6" s="82"/>
      <c r="AZ6" s="80">
        <v>0</v>
      </c>
      <c r="BA6" s="81"/>
      <c r="BB6" s="80">
        <v>0</v>
      </c>
      <c r="BC6" s="81"/>
      <c r="BD6" s="80">
        <v>0</v>
      </c>
      <c r="BE6" s="82"/>
      <c r="BF6" s="80">
        <v>0</v>
      </c>
      <c r="BG6" s="81"/>
      <c r="BH6" s="80">
        <v>0</v>
      </c>
      <c r="BI6" s="81"/>
      <c r="BJ6" s="80">
        <v>0</v>
      </c>
      <c r="BK6" s="82"/>
      <c r="BL6" s="80">
        <v>0</v>
      </c>
      <c r="BM6" s="81"/>
      <c r="BN6" s="80">
        <v>0</v>
      </c>
      <c r="BO6" s="81"/>
      <c r="BP6" s="80">
        <v>0</v>
      </c>
      <c r="BQ6" s="82"/>
      <c r="BR6" s="80">
        <v>0</v>
      </c>
      <c r="BS6" s="81"/>
      <c r="BT6" s="80">
        <v>0</v>
      </c>
      <c r="BU6" s="81"/>
      <c r="BV6" s="80">
        <v>0</v>
      </c>
      <c r="BW6" s="82"/>
      <c r="BX6" s="80">
        <v>0</v>
      </c>
      <c r="BY6" s="81"/>
      <c r="BZ6" s="80">
        <v>0</v>
      </c>
      <c r="CA6" s="81"/>
      <c r="CB6" s="80">
        <v>0</v>
      </c>
      <c r="CC6" s="82"/>
    </row>
    <row r="7" spans="1:81">
      <c r="B7" s="83" t="s">
        <v>26</v>
      </c>
      <c r="C7" s="83" t="s">
        <v>27</v>
      </c>
      <c r="D7" s="84">
        <f t="shared" ref="D7:H7" si="1">SUMIFS($J7:$CC7,$J$5:$CC$5,D$5)</f>
        <v>0</v>
      </c>
      <c r="E7" s="85">
        <f t="shared" ref="E7:I7" si="2">IFERROR(D7/(D$7+D$12+D$13+D$14),)</f>
        <v>0</v>
      </c>
      <c r="F7" s="84">
        <f t="shared" si="1"/>
        <v>0</v>
      </c>
      <c r="G7" s="85">
        <f t="shared" si="2"/>
        <v>0</v>
      </c>
      <c r="H7" s="84">
        <f t="shared" si="1"/>
        <v>60.919554</v>
      </c>
      <c r="I7" s="86">
        <f t="shared" si="2"/>
        <v>0.999398371556035</v>
      </c>
      <c r="J7" s="84">
        <v>0</v>
      </c>
      <c r="K7" s="85">
        <f t="shared" ref="K7:O7" si="3">IFERROR(J7/(J$7+J$12+J$13+J$14),)</f>
        <v>0</v>
      </c>
      <c r="L7" s="84">
        <v>0</v>
      </c>
      <c r="M7" s="85">
        <f t="shared" si="3"/>
        <v>0</v>
      </c>
      <c r="N7" s="84">
        <v>8.577646</v>
      </c>
      <c r="O7" s="86">
        <f t="shared" si="3"/>
        <v>0.995850297716729</v>
      </c>
      <c r="P7" s="84">
        <v>0</v>
      </c>
      <c r="Q7" s="85">
        <f t="shared" ref="Q7:U7" si="4">IFERROR(P7/(P$7+P$12+P$13+P$14),)</f>
        <v>0</v>
      </c>
      <c r="R7" s="84">
        <v>0</v>
      </c>
      <c r="S7" s="85">
        <f t="shared" si="4"/>
        <v>0</v>
      </c>
      <c r="T7" s="84">
        <v>16.078432</v>
      </c>
      <c r="U7" s="86">
        <f t="shared" si="4"/>
        <v>1</v>
      </c>
      <c r="V7" s="84">
        <v>0</v>
      </c>
      <c r="W7" s="85">
        <f t="shared" ref="W7:AA7" si="5">IFERROR(V7/(V$7+V$12+V$13+V$14),)</f>
        <v>0</v>
      </c>
      <c r="X7" s="84">
        <v>0</v>
      </c>
      <c r="Y7" s="85">
        <f t="shared" si="5"/>
        <v>0</v>
      </c>
      <c r="Z7" s="84">
        <v>17.390092</v>
      </c>
      <c r="AA7" s="86">
        <f t="shared" si="5"/>
        <v>0.999973261350974</v>
      </c>
      <c r="AB7" s="84">
        <v>0</v>
      </c>
      <c r="AC7" s="85">
        <f t="shared" ref="AC7:AG7" si="6">IFERROR(AB7/(AB$7+AB$12+AB$13+AB$14),)</f>
        <v>0</v>
      </c>
      <c r="AD7" s="84">
        <v>0</v>
      </c>
      <c r="AE7" s="85">
        <f t="shared" si="6"/>
        <v>0</v>
      </c>
      <c r="AF7" s="84">
        <v>13.530872</v>
      </c>
      <c r="AG7" s="86">
        <f t="shared" si="6"/>
        <v>1</v>
      </c>
      <c r="AH7" s="84">
        <v>0</v>
      </c>
      <c r="AI7" s="85">
        <f t="shared" ref="AI7:AM7" si="7">IFERROR(AH7/(AH$7+AH$12+AH$13+AH$14),)</f>
        <v>0</v>
      </c>
      <c r="AJ7" s="84">
        <v>0</v>
      </c>
      <c r="AK7" s="85">
        <f t="shared" si="7"/>
        <v>0</v>
      </c>
      <c r="AL7" s="84">
        <v>5.342512</v>
      </c>
      <c r="AM7" s="86">
        <f t="shared" si="7"/>
        <v>0.999912969866799</v>
      </c>
      <c r="AN7" s="84">
        <v>0</v>
      </c>
      <c r="AO7" s="85">
        <f t="shared" ref="AO7:AS7" si="8">IFERROR(AN7/(AN$7+AN$12+AN$13+AN$14),)</f>
        <v>0</v>
      </c>
      <c r="AP7" s="84">
        <v>0</v>
      </c>
      <c r="AQ7" s="85">
        <f t="shared" si="8"/>
        <v>0</v>
      </c>
      <c r="AR7" s="84">
        <v>0</v>
      </c>
      <c r="AS7" s="86">
        <f t="shared" si="8"/>
        <v>0</v>
      </c>
      <c r="AT7" s="84">
        <v>0</v>
      </c>
      <c r="AU7" s="85">
        <f t="shared" ref="AU7:AY7" si="9">IFERROR(AT7/(AT$7+AT$12+AT$13+AT$14),)</f>
        <v>0</v>
      </c>
      <c r="AV7" s="84">
        <v>0</v>
      </c>
      <c r="AW7" s="85">
        <f t="shared" si="9"/>
        <v>0</v>
      </c>
      <c r="AX7" s="84">
        <v>0</v>
      </c>
      <c r="AY7" s="86">
        <f t="shared" si="9"/>
        <v>0</v>
      </c>
      <c r="AZ7" s="84">
        <v>0</v>
      </c>
      <c r="BA7" s="85">
        <f t="shared" ref="BA7:BE7" si="10">IFERROR(AZ7/(AZ$7+AZ$12+AZ$13+AZ$14),)</f>
        <v>0</v>
      </c>
      <c r="BB7" s="84">
        <v>0</v>
      </c>
      <c r="BC7" s="85">
        <f t="shared" si="10"/>
        <v>0</v>
      </c>
      <c r="BD7" s="84">
        <v>0</v>
      </c>
      <c r="BE7" s="86">
        <f t="shared" si="10"/>
        <v>0</v>
      </c>
      <c r="BF7" s="84">
        <v>0</v>
      </c>
      <c r="BG7" s="85">
        <f t="shared" ref="BG7:BK7" si="11">IFERROR(BF7/(BF$7+BF$12+BF$13+BF$14),)</f>
        <v>0</v>
      </c>
      <c r="BH7" s="84">
        <v>0</v>
      </c>
      <c r="BI7" s="85">
        <f t="shared" si="11"/>
        <v>0</v>
      </c>
      <c r="BJ7" s="84">
        <v>0</v>
      </c>
      <c r="BK7" s="86">
        <f t="shared" si="11"/>
        <v>0</v>
      </c>
      <c r="BL7" s="84">
        <v>0</v>
      </c>
      <c r="BM7" s="85">
        <f t="shared" ref="BM7:BQ7" si="12">IFERROR(BL7/(BL$7+BL$12+BL$13+BL$14),)</f>
        <v>0</v>
      </c>
      <c r="BN7" s="84">
        <v>0</v>
      </c>
      <c r="BO7" s="85">
        <f t="shared" si="12"/>
        <v>0</v>
      </c>
      <c r="BP7" s="84">
        <v>0</v>
      </c>
      <c r="BQ7" s="86">
        <f t="shared" si="12"/>
        <v>0</v>
      </c>
      <c r="BR7" s="84">
        <v>0</v>
      </c>
      <c r="BS7" s="85">
        <f t="shared" ref="BS7:BW7" si="13">IFERROR(BR7/(BR$7+BR$12+BR$13+BR$14),)</f>
        <v>0</v>
      </c>
      <c r="BT7" s="84">
        <v>0</v>
      </c>
      <c r="BU7" s="85">
        <f t="shared" si="13"/>
        <v>0</v>
      </c>
      <c r="BV7" s="84">
        <v>0</v>
      </c>
      <c r="BW7" s="86">
        <f t="shared" si="13"/>
        <v>0</v>
      </c>
      <c r="BX7" s="84">
        <v>0</v>
      </c>
      <c r="BY7" s="85">
        <f t="shared" ref="BY7:CC7" si="14">IFERROR(BX7/(BX$7+BX$12+BX$13+BX$14),)</f>
        <v>0</v>
      </c>
      <c r="BZ7" s="84">
        <v>0</v>
      </c>
      <c r="CA7" s="85">
        <f t="shared" si="14"/>
        <v>0</v>
      </c>
      <c r="CB7" s="84">
        <v>0</v>
      </c>
      <c r="CC7" s="86">
        <f t="shared" si="14"/>
        <v>0</v>
      </c>
    </row>
    <row r="8" spans="1:81">
      <c r="B8" s="83" t="s">
        <v>28</v>
      </c>
      <c r="C8" s="83" t="s">
        <v>29</v>
      </c>
      <c r="D8" s="84">
        <f t="shared" ref="D8:H8" si="15">SUMIFS($J8:$CC8,$J$5:$CC$5,D$5)</f>
        <v>0</v>
      </c>
      <c r="E8" s="85">
        <f t="shared" ref="E8:I8" si="16">IFERROR(D8/(D$7+D$12+D$13+D$14),)</f>
        <v>0</v>
      </c>
      <c r="F8" s="84">
        <f t="shared" si="15"/>
        <v>0</v>
      </c>
      <c r="G8" s="85">
        <f t="shared" si="16"/>
        <v>0</v>
      </c>
      <c r="H8" s="84">
        <f t="shared" si="15"/>
        <v>30.423076</v>
      </c>
      <c r="I8" s="86">
        <f t="shared" si="16"/>
        <v>0.499097097988036</v>
      </c>
      <c r="J8" s="84">
        <v>0</v>
      </c>
      <c r="K8" s="85">
        <f t="shared" ref="K8:O8" si="17">IFERROR(J8/(J$7+J$12+J$13+J$14),)</f>
        <v>0</v>
      </c>
      <c r="L8" s="84">
        <v>0</v>
      </c>
      <c r="M8" s="85">
        <f t="shared" si="17"/>
        <v>0</v>
      </c>
      <c r="N8" s="84">
        <v>4.61519</v>
      </c>
      <c r="O8" s="86">
        <f t="shared" si="17"/>
        <v>0.535815809549528</v>
      </c>
      <c r="P8" s="84">
        <v>0</v>
      </c>
      <c r="Q8" s="85">
        <f t="shared" ref="Q8:U8" si="18">IFERROR(P8/(P$7+P$12+P$13+P$14),)</f>
        <v>0</v>
      </c>
      <c r="R8" s="84">
        <v>0</v>
      </c>
      <c r="S8" s="85">
        <f t="shared" si="18"/>
        <v>0</v>
      </c>
      <c r="T8" s="84">
        <v>8.730166</v>
      </c>
      <c r="U8" s="86">
        <f t="shared" si="18"/>
        <v>0.542973717835172</v>
      </c>
      <c r="V8" s="84">
        <v>0</v>
      </c>
      <c r="W8" s="85">
        <f t="shared" ref="W8:AA8" si="19">IFERROR(V8/(V$7+V$12+V$13+V$14),)</f>
        <v>0</v>
      </c>
      <c r="X8" s="84">
        <v>0</v>
      </c>
      <c r="Y8" s="85">
        <f t="shared" si="19"/>
        <v>0</v>
      </c>
      <c r="Z8" s="84">
        <v>7.526774</v>
      </c>
      <c r="AA8" s="86">
        <f t="shared" si="19"/>
        <v>0.432808103846243</v>
      </c>
      <c r="AB8" s="84">
        <v>0</v>
      </c>
      <c r="AC8" s="85">
        <f t="shared" ref="AC8:AG8" si="20">IFERROR(AB8/(AB$7+AB$12+AB$13+AB$14),)</f>
        <v>0</v>
      </c>
      <c r="AD8" s="84">
        <v>0</v>
      </c>
      <c r="AE8" s="85">
        <f t="shared" si="20"/>
        <v>0</v>
      </c>
      <c r="AF8" s="84">
        <v>7.165589</v>
      </c>
      <c r="AG8" s="86">
        <f t="shared" si="20"/>
        <v>0.529573334224136</v>
      </c>
      <c r="AH8" s="84">
        <v>0</v>
      </c>
      <c r="AI8" s="85">
        <f t="shared" ref="AI8:AM8" si="21">IFERROR(AH8/(AH$7+AH$12+AH$13+AH$14),)</f>
        <v>0</v>
      </c>
      <c r="AJ8" s="84">
        <v>0</v>
      </c>
      <c r="AK8" s="85">
        <f t="shared" si="21"/>
        <v>0</v>
      </c>
      <c r="AL8" s="84">
        <v>2.385357</v>
      </c>
      <c r="AM8" s="86">
        <f t="shared" si="21"/>
        <v>0.446447177294605</v>
      </c>
      <c r="AN8" s="84">
        <v>0</v>
      </c>
      <c r="AO8" s="85">
        <f t="shared" ref="AO8:AS8" si="22">IFERROR(AN8/(AN$7+AN$12+AN$13+AN$14),)</f>
        <v>0</v>
      </c>
      <c r="AP8" s="84">
        <v>0</v>
      </c>
      <c r="AQ8" s="85">
        <f t="shared" si="22"/>
        <v>0</v>
      </c>
      <c r="AR8" s="84">
        <v>0</v>
      </c>
      <c r="AS8" s="86">
        <f t="shared" si="22"/>
        <v>0</v>
      </c>
      <c r="AT8" s="84">
        <v>0</v>
      </c>
      <c r="AU8" s="85">
        <f t="shared" ref="AU8:AY8" si="23">IFERROR(AT8/(AT$7+AT$12+AT$13+AT$14),)</f>
        <v>0</v>
      </c>
      <c r="AV8" s="84">
        <v>0</v>
      </c>
      <c r="AW8" s="85">
        <f t="shared" si="23"/>
        <v>0</v>
      </c>
      <c r="AX8" s="84">
        <v>0</v>
      </c>
      <c r="AY8" s="86">
        <f t="shared" si="23"/>
        <v>0</v>
      </c>
      <c r="AZ8" s="84">
        <v>0</v>
      </c>
      <c r="BA8" s="85">
        <f t="shared" ref="BA8:BE8" si="24">IFERROR(AZ8/(AZ$7+AZ$12+AZ$13+AZ$14),)</f>
        <v>0</v>
      </c>
      <c r="BB8" s="84">
        <v>0</v>
      </c>
      <c r="BC8" s="85">
        <f t="shared" si="24"/>
        <v>0</v>
      </c>
      <c r="BD8" s="84">
        <v>0</v>
      </c>
      <c r="BE8" s="86">
        <f t="shared" si="24"/>
        <v>0</v>
      </c>
      <c r="BF8" s="84">
        <v>0</v>
      </c>
      <c r="BG8" s="85">
        <f t="shared" ref="BG8:BK8" si="25">IFERROR(BF8/(BF$7+BF$12+BF$13+BF$14),)</f>
        <v>0</v>
      </c>
      <c r="BH8" s="84">
        <v>0</v>
      </c>
      <c r="BI8" s="85">
        <f t="shared" si="25"/>
        <v>0</v>
      </c>
      <c r="BJ8" s="84">
        <v>0</v>
      </c>
      <c r="BK8" s="86">
        <f t="shared" si="25"/>
        <v>0</v>
      </c>
      <c r="BL8" s="84">
        <v>0</v>
      </c>
      <c r="BM8" s="85">
        <f t="shared" ref="BM8:BQ8" si="26">IFERROR(BL8/(BL$7+BL$12+BL$13+BL$14),)</f>
        <v>0</v>
      </c>
      <c r="BN8" s="84">
        <v>0</v>
      </c>
      <c r="BO8" s="85">
        <f t="shared" si="26"/>
        <v>0</v>
      </c>
      <c r="BP8" s="84">
        <v>0</v>
      </c>
      <c r="BQ8" s="86">
        <f t="shared" si="26"/>
        <v>0</v>
      </c>
      <c r="BR8" s="84">
        <v>0</v>
      </c>
      <c r="BS8" s="85">
        <f t="shared" ref="BS8:BW8" si="27">IFERROR(BR8/(BR$7+BR$12+BR$13+BR$14),)</f>
        <v>0</v>
      </c>
      <c r="BT8" s="84">
        <v>0</v>
      </c>
      <c r="BU8" s="85">
        <f t="shared" si="27"/>
        <v>0</v>
      </c>
      <c r="BV8" s="84">
        <v>0</v>
      </c>
      <c r="BW8" s="86">
        <f t="shared" si="27"/>
        <v>0</v>
      </c>
      <c r="BX8" s="84">
        <v>0</v>
      </c>
      <c r="BY8" s="85">
        <f t="shared" ref="BY8:CC8" si="28">IFERROR(BX8/(BX$7+BX$12+BX$13+BX$14),)</f>
        <v>0</v>
      </c>
      <c r="BZ8" s="84">
        <v>0</v>
      </c>
      <c r="CA8" s="85">
        <f t="shared" si="28"/>
        <v>0</v>
      </c>
      <c r="CB8" s="84">
        <v>0</v>
      </c>
      <c r="CC8" s="86">
        <f t="shared" si="28"/>
        <v>0</v>
      </c>
    </row>
    <row r="9" s="41" customFormat="1" spans="1:81">
      <c r="A9" s="43"/>
      <c r="B9" s="87" t="s">
        <v>30</v>
      </c>
      <c r="C9" s="87" t="s">
        <v>31</v>
      </c>
      <c r="D9" s="88">
        <f t="shared" ref="D9:H9" si="29">SUMIFS($J9:$CC9,$J$5:$CC$5,D$5)</f>
        <v>0</v>
      </c>
      <c r="E9" s="89">
        <f t="shared" ref="E9:I9" si="30">IFERROR(D9/(D$7+D$12+D$13+D$14),)</f>
        <v>0</v>
      </c>
      <c r="F9" s="88">
        <f t="shared" si="29"/>
        <v>0</v>
      </c>
      <c r="G9" s="89">
        <f t="shared" si="30"/>
        <v>0</v>
      </c>
      <c r="H9" s="88">
        <f t="shared" si="29"/>
        <v>30.496478</v>
      </c>
      <c r="I9" s="90">
        <f t="shared" si="30"/>
        <v>0.500301273567998</v>
      </c>
      <c r="J9" s="88">
        <f t="shared" ref="J9:N9" si="31">J7-J8</f>
        <v>0</v>
      </c>
      <c r="K9" s="89">
        <f t="shared" ref="K9:O9" si="32">IFERROR(J9/(J$7+J$12+J$13+J$14),)</f>
        <v>0</v>
      </c>
      <c r="L9" s="88">
        <f t="shared" si="31"/>
        <v>0</v>
      </c>
      <c r="M9" s="89">
        <f t="shared" si="32"/>
        <v>0</v>
      </c>
      <c r="N9" s="88">
        <f t="shared" si="31"/>
        <v>3.962456</v>
      </c>
      <c r="O9" s="90">
        <f t="shared" si="32"/>
        <v>0.460034488167201</v>
      </c>
      <c r="P9" s="88">
        <f t="shared" ref="P9:T9" si="33">P7-P8</f>
        <v>0</v>
      </c>
      <c r="Q9" s="89">
        <f t="shared" ref="Q9:U9" si="34">IFERROR(P9/(P$7+P$12+P$13+P$14),)</f>
        <v>0</v>
      </c>
      <c r="R9" s="88">
        <f t="shared" si="33"/>
        <v>0</v>
      </c>
      <c r="S9" s="89">
        <f t="shared" si="34"/>
        <v>0</v>
      </c>
      <c r="T9" s="88">
        <f t="shared" si="33"/>
        <v>7.348266</v>
      </c>
      <c r="U9" s="90">
        <f t="shared" si="34"/>
        <v>0.457026282164828</v>
      </c>
      <c r="V9" s="88">
        <f t="shared" ref="V9:Z9" si="35">V7-V8</f>
        <v>0</v>
      </c>
      <c r="W9" s="89">
        <f t="shared" ref="W9:AA9" si="36">IFERROR(V9/(V$7+V$12+V$13+V$14),)</f>
        <v>0</v>
      </c>
      <c r="X9" s="88">
        <f t="shared" si="35"/>
        <v>0</v>
      </c>
      <c r="Y9" s="89">
        <f t="shared" si="36"/>
        <v>0</v>
      </c>
      <c r="Z9" s="88">
        <f t="shared" si="35"/>
        <v>9.863318</v>
      </c>
      <c r="AA9" s="90">
        <f t="shared" si="36"/>
        <v>0.567165157504731</v>
      </c>
      <c r="AB9" s="88">
        <f t="shared" ref="AB9:AF9" si="37">AB7-AB8</f>
        <v>0</v>
      </c>
      <c r="AC9" s="89">
        <f t="shared" ref="AC9:AG9" si="38">IFERROR(AB9/(AB$7+AB$12+AB$13+AB$14),)</f>
        <v>0</v>
      </c>
      <c r="AD9" s="88">
        <f t="shared" si="37"/>
        <v>0</v>
      </c>
      <c r="AE9" s="89">
        <f t="shared" si="38"/>
        <v>0</v>
      </c>
      <c r="AF9" s="88">
        <f t="shared" si="37"/>
        <v>6.365283</v>
      </c>
      <c r="AG9" s="90">
        <f t="shared" si="38"/>
        <v>0.470426665775864</v>
      </c>
      <c r="AH9" s="88">
        <f t="shared" ref="AH9:AL9" si="39">AH7-AH8</f>
        <v>0</v>
      </c>
      <c r="AI9" s="89">
        <f t="shared" ref="AI9:AM9" si="40">IFERROR(AH9/(AH$7+AH$12+AH$13+AH$14),)</f>
        <v>0</v>
      </c>
      <c r="AJ9" s="88">
        <f t="shared" si="39"/>
        <v>0</v>
      </c>
      <c r="AK9" s="89">
        <f t="shared" si="40"/>
        <v>0</v>
      </c>
      <c r="AL9" s="88">
        <f t="shared" si="39"/>
        <v>2.957155</v>
      </c>
      <c r="AM9" s="90">
        <f t="shared" si="40"/>
        <v>0.553465792572193</v>
      </c>
      <c r="AN9" s="88">
        <f t="shared" ref="AN9:AR9" si="41">AN7-AN8</f>
        <v>0</v>
      </c>
      <c r="AO9" s="89">
        <f t="shared" ref="AO9:AS9" si="42">IFERROR(AN9/(AN$7+AN$12+AN$13+AN$14),)</f>
        <v>0</v>
      </c>
      <c r="AP9" s="88">
        <f t="shared" si="41"/>
        <v>0</v>
      </c>
      <c r="AQ9" s="89">
        <f t="shared" si="42"/>
        <v>0</v>
      </c>
      <c r="AR9" s="88">
        <f t="shared" si="41"/>
        <v>0</v>
      </c>
      <c r="AS9" s="90">
        <f t="shared" si="42"/>
        <v>0</v>
      </c>
      <c r="AT9" s="88">
        <f t="shared" ref="AT9:AX9" si="43">AT7-AT8</f>
        <v>0</v>
      </c>
      <c r="AU9" s="89">
        <f t="shared" ref="AU9:AY9" si="44">IFERROR(AT9/(AT$7+AT$12+AT$13+AT$14),)</f>
        <v>0</v>
      </c>
      <c r="AV9" s="88">
        <f t="shared" si="43"/>
        <v>0</v>
      </c>
      <c r="AW9" s="89">
        <f t="shared" si="44"/>
        <v>0</v>
      </c>
      <c r="AX9" s="88">
        <f t="shared" si="43"/>
        <v>0</v>
      </c>
      <c r="AY9" s="90">
        <f t="shared" si="44"/>
        <v>0</v>
      </c>
      <c r="AZ9" s="88">
        <f t="shared" ref="AZ9:BD9" si="45">AZ7-AZ8</f>
        <v>0</v>
      </c>
      <c r="BA9" s="89">
        <f t="shared" ref="BA9:BE9" si="46">IFERROR(AZ9/(AZ$7+AZ$12+AZ$13+AZ$14),)</f>
        <v>0</v>
      </c>
      <c r="BB9" s="88">
        <f t="shared" si="45"/>
        <v>0</v>
      </c>
      <c r="BC9" s="89">
        <f t="shared" si="46"/>
        <v>0</v>
      </c>
      <c r="BD9" s="88">
        <f t="shared" si="45"/>
        <v>0</v>
      </c>
      <c r="BE9" s="90">
        <f t="shared" si="46"/>
        <v>0</v>
      </c>
      <c r="BF9" s="88">
        <f t="shared" ref="BF9:BJ9" si="47">BF7-BF8</f>
        <v>0</v>
      </c>
      <c r="BG9" s="89">
        <f t="shared" ref="BG9:BK9" si="48">IFERROR(BF9/(BF$7+BF$12+BF$13+BF$14),)</f>
        <v>0</v>
      </c>
      <c r="BH9" s="88">
        <f t="shared" si="47"/>
        <v>0</v>
      </c>
      <c r="BI9" s="89">
        <f t="shared" si="48"/>
        <v>0</v>
      </c>
      <c r="BJ9" s="88">
        <f t="shared" si="47"/>
        <v>0</v>
      </c>
      <c r="BK9" s="90">
        <f t="shared" si="48"/>
        <v>0</v>
      </c>
      <c r="BL9" s="88">
        <f t="shared" ref="BL9:BP9" si="49">BL7-BL8</f>
        <v>0</v>
      </c>
      <c r="BM9" s="89">
        <f t="shared" ref="BM9:BQ9" si="50">IFERROR(BL9/(BL$7+BL$12+BL$13+BL$14),)</f>
        <v>0</v>
      </c>
      <c r="BN9" s="88">
        <f t="shared" si="49"/>
        <v>0</v>
      </c>
      <c r="BO9" s="89">
        <f t="shared" si="50"/>
        <v>0</v>
      </c>
      <c r="BP9" s="88">
        <f t="shared" si="49"/>
        <v>0</v>
      </c>
      <c r="BQ9" s="90">
        <f t="shared" si="50"/>
        <v>0</v>
      </c>
      <c r="BR9" s="88">
        <f t="shared" ref="BR9:BV9" si="51">BR7-BR8</f>
        <v>0</v>
      </c>
      <c r="BS9" s="89">
        <f t="shared" ref="BS9:BW9" si="52">IFERROR(BR9/(BR$7+BR$12+BR$13+BR$14),)</f>
        <v>0</v>
      </c>
      <c r="BT9" s="88">
        <f t="shared" si="51"/>
        <v>0</v>
      </c>
      <c r="BU9" s="89">
        <f t="shared" si="52"/>
        <v>0</v>
      </c>
      <c r="BV9" s="88">
        <f t="shared" si="51"/>
        <v>0</v>
      </c>
      <c r="BW9" s="90">
        <f t="shared" si="52"/>
        <v>0</v>
      </c>
      <c r="BX9" s="88">
        <f t="shared" ref="BX9:CB9" si="53">BX7-BX8</f>
        <v>0</v>
      </c>
      <c r="BY9" s="89">
        <f t="shared" ref="BY9:CC9" si="54">IFERROR(BX9/(BX$7+BX$12+BX$13+BX$14),)</f>
        <v>0</v>
      </c>
      <c r="BZ9" s="88">
        <f t="shared" si="53"/>
        <v>0</v>
      </c>
      <c r="CA9" s="89">
        <f t="shared" si="54"/>
        <v>0</v>
      </c>
      <c r="CB9" s="88">
        <f t="shared" si="53"/>
        <v>0</v>
      </c>
      <c r="CC9" s="90">
        <f t="shared" si="54"/>
        <v>0</v>
      </c>
    </row>
    <row r="10" outlineLevel="1" spans="1:81">
      <c r="B10" s="83" t="s">
        <v>32</v>
      </c>
      <c r="C10" s="83" t="s">
        <v>33</v>
      </c>
      <c r="D10" s="84">
        <f t="shared" ref="D10:H10" si="55">SUMIFS($J10:$CC10,$J$5:$CC$5,D$5)</f>
        <v>0</v>
      </c>
      <c r="E10" s="85">
        <f t="shared" ref="E10:I10" si="56">IFERROR(D10/(D$7+D$12+D$13+D$14),)</f>
        <v>0</v>
      </c>
      <c r="F10" s="84">
        <f t="shared" si="55"/>
        <v>0</v>
      </c>
      <c r="G10" s="85">
        <f t="shared" si="56"/>
        <v>0</v>
      </c>
      <c r="H10" s="84">
        <f t="shared" si="55"/>
        <v>0</v>
      </c>
      <c r="I10" s="86">
        <f t="shared" si="56"/>
        <v>0</v>
      </c>
      <c r="J10" s="84">
        <v>0</v>
      </c>
      <c r="K10" s="85">
        <f t="shared" ref="K10:O10" si="57">IFERROR(J10/(J$7+J$12+J$13+J$14),)</f>
        <v>0</v>
      </c>
      <c r="L10" s="84">
        <v>0</v>
      </c>
      <c r="M10" s="85">
        <f t="shared" si="57"/>
        <v>0</v>
      </c>
      <c r="N10" s="84">
        <v>0</v>
      </c>
      <c r="O10" s="86">
        <f t="shared" si="57"/>
        <v>0</v>
      </c>
      <c r="P10" s="84">
        <v>0</v>
      </c>
      <c r="Q10" s="85">
        <f t="shared" ref="Q10:U10" si="58">IFERROR(P10/(P$7+P$12+P$13+P$14),)</f>
        <v>0</v>
      </c>
      <c r="R10" s="84">
        <v>0</v>
      </c>
      <c r="S10" s="85">
        <f t="shared" si="58"/>
        <v>0</v>
      </c>
      <c r="T10" s="84">
        <v>0</v>
      </c>
      <c r="U10" s="86">
        <f t="shared" si="58"/>
        <v>0</v>
      </c>
      <c r="V10" s="84">
        <v>0</v>
      </c>
      <c r="W10" s="85">
        <f t="shared" ref="W10:AA10" si="59">IFERROR(V10/(V$7+V$12+V$13+V$14),)</f>
        <v>0</v>
      </c>
      <c r="X10" s="84">
        <v>0</v>
      </c>
      <c r="Y10" s="85">
        <f t="shared" si="59"/>
        <v>0</v>
      </c>
      <c r="Z10" s="84">
        <v>0</v>
      </c>
      <c r="AA10" s="86">
        <f t="shared" si="59"/>
        <v>0</v>
      </c>
      <c r="AB10" s="84">
        <v>0</v>
      </c>
      <c r="AC10" s="85">
        <f t="shared" ref="AC10:AG10" si="60">IFERROR(AB10/(AB$7+AB$12+AB$13+AB$14),)</f>
        <v>0</v>
      </c>
      <c r="AD10" s="84">
        <v>0</v>
      </c>
      <c r="AE10" s="85">
        <f t="shared" si="60"/>
        <v>0</v>
      </c>
      <c r="AF10" s="84">
        <v>0</v>
      </c>
      <c r="AG10" s="86">
        <f t="shared" si="60"/>
        <v>0</v>
      </c>
      <c r="AH10" s="84">
        <v>0</v>
      </c>
      <c r="AI10" s="85">
        <f t="shared" ref="AI10:AM10" si="61">IFERROR(AH10/(AH$7+AH$12+AH$13+AH$14),)</f>
        <v>0</v>
      </c>
      <c r="AJ10" s="84">
        <v>0</v>
      </c>
      <c r="AK10" s="85">
        <f t="shared" si="61"/>
        <v>0</v>
      </c>
      <c r="AL10" s="84">
        <v>0</v>
      </c>
      <c r="AM10" s="86">
        <f t="shared" si="61"/>
        <v>0</v>
      </c>
      <c r="AN10" s="84">
        <v>0</v>
      </c>
      <c r="AO10" s="85">
        <f t="shared" ref="AO10:AS10" si="62">IFERROR(AN10/(AN$7+AN$12+AN$13+AN$14),)</f>
        <v>0</v>
      </c>
      <c r="AP10" s="84">
        <v>0</v>
      </c>
      <c r="AQ10" s="85">
        <f t="shared" si="62"/>
        <v>0</v>
      </c>
      <c r="AR10" s="84">
        <v>0</v>
      </c>
      <c r="AS10" s="86">
        <f t="shared" si="62"/>
        <v>0</v>
      </c>
      <c r="AT10" s="84">
        <v>0</v>
      </c>
      <c r="AU10" s="85">
        <f t="shared" ref="AU10:AY10" si="63">IFERROR(AT10/(AT$7+AT$12+AT$13+AT$14),)</f>
        <v>0</v>
      </c>
      <c r="AV10" s="84">
        <v>0</v>
      </c>
      <c r="AW10" s="85">
        <f t="shared" si="63"/>
        <v>0</v>
      </c>
      <c r="AX10" s="84">
        <v>0</v>
      </c>
      <c r="AY10" s="86">
        <f t="shared" si="63"/>
        <v>0</v>
      </c>
      <c r="AZ10" s="84">
        <v>0</v>
      </c>
      <c r="BA10" s="85">
        <f t="shared" ref="BA10:BE10" si="64">IFERROR(AZ10/(AZ$7+AZ$12+AZ$13+AZ$14),)</f>
        <v>0</v>
      </c>
      <c r="BB10" s="84">
        <v>0</v>
      </c>
      <c r="BC10" s="85">
        <f t="shared" si="64"/>
        <v>0</v>
      </c>
      <c r="BD10" s="84">
        <v>0</v>
      </c>
      <c r="BE10" s="86">
        <f t="shared" si="64"/>
        <v>0</v>
      </c>
      <c r="BF10" s="84">
        <v>0</v>
      </c>
      <c r="BG10" s="85">
        <f t="shared" ref="BG10:BK10" si="65">IFERROR(BF10/(BF$7+BF$12+BF$13+BF$14),)</f>
        <v>0</v>
      </c>
      <c r="BH10" s="84">
        <v>0</v>
      </c>
      <c r="BI10" s="85">
        <f t="shared" si="65"/>
        <v>0</v>
      </c>
      <c r="BJ10" s="84">
        <v>0</v>
      </c>
      <c r="BK10" s="86">
        <f t="shared" si="65"/>
        <v>0</v>
      </c>
      <c r="BL10" s="84">
        <v>0</v>
      </c>
      <c r="BM10" s="85">
        <f t="shared" ref="BM10:BQ10" si="66">IFERROR(BL10/(BL$7+BL$12+BL$13+BL$14),)</f>
        <v>0</v>
      </c>
      <c r="BN10" s="84">
        <v>0</v>
      </c>
      <c r="BO10" s="85">
        <f t="shared" si="66"/>
        <v>0</v>
      </c>
      <c r="BP10" s="84">
        <v>0</v>
      </c>
      <c r="BQ10" s="86">
        <f t="shared" si="66"/>
        <v>0</v>
      </c>
      <c r="BR10" s="84">
        <v>0</v>
      </c>
      <c r="BS10" s="85">
        <f t="shared" ref="BS10:BW10" si="67">IFERROR(BR10/(BR$7+BR$12+BR$13+BR$14),)</f>
        <v>0</v>
      </c>
      <c r="BT10" s="84">
        <v>0</v>
      </c>
      <c r="BU10" s="85">
        <f t="shared" si="67"/>
        <v>0</v>
      </c>
      <c r="BV10" s="84">
        <v>0</v>
      </c>
      <c r="BW10" s="86">
        <f t="shared" si="67"/>
        <v>0</v>
      </c>
      <c r="BX10" s="84">
        <v>0</v>
      </c>
      <c r="BY10" s="85">
        <f t="shared" ref="BY10:CC10" si="68">IFERROR(BX10/(BX$7+BX$12+BX$13+BX$14),)</f>
        <v>0</v>
      </c>
      <c r="BZ10" s="84">
        <v>0</v>
      </c>
      <c r="CA10" s="85">
        <f t="shared" si="68"/>
        <v>0</v>
      </c>
      <c r="CB10" s="84">
        <v>0</v>
      </c>
      <c r="CC10" s="86">
        <f t="shared" si="68"/>
        <v>0</v>
      </c>
    </row>
    <row r="11" outlineLevel="1" spans="1:81">
      <c r="B11" s="83" t="s">
        <v>34</v>
      </c>
      <c r="C11" s="83" t="s">
        <v>35</v>
      </c>
      <c r="D11" s="84">
        <f t="shared" ref="D11:H11" si="69">SUMIFS($J11:$CC11,$J$5:$CC$5,D$5)</f>
        <v>0</v>
      </c>
      <c r="E11" s="85">
        <f t="shared" ref="E11:I11" si="70">IFERROR(D11/(D$7+D$12+D$13+D$14),)</f>
        <v>0</v>
      </c>
      <c r="F11" s="84">
        <f t="shared" si="69"/>
        <v>0</v>
      </c>
      <c r="G11" s="85">
        <f t="shared" si="70"/>
        <v>0</v>
      </c>
      <c r="H11" s="84">
        <f t="shared" si="69"/>
        <v>0</v>
      </c>
      <c r="I11" s="86">
        <f t="shared" si="70"/>
        <v>0</v>
      </c>
      <c r="J11" s="84">
        <v>0</v>
      </c>
      <c r="K11" s="85">
        <f t="shared" ref="K11:O11" si="71">IFERROR(J11/(J$7+J$12+J$13+J$14),)</f>
        <v>0</v>
      </c>
      <c r="L11" s="84">
        <v>0</v>
      </c>
      <c r="M11" s="85">
        <f t="shared" si="71"/>
        <v>0</v>
      </c>
      <c r="N11" s="84">
        <v>0</v>
      </c>
      <c r="O11" s="86">
        <f t="shared" si="71"/>
        <v>0</v>
      </c>
      <c r="P11" s="84">
        <v>0</v>
      </c>
      <c r="Q11" s="85">
        <f t="shared" ref="Q11:U11" si="72">IFERROR(P11/(P$7+P$12+P$13+P$14),)</f>
        <v>0</v>
      </c>
      <c r="R11" s="84">
        <v>0</v>
      </c>
      <c r="S11" s="85">
        <f t="shared" si="72"/>
        <v>0</v>
      </c>
      <c r="T11" s="84">
        <v>0</v>
      </c>
      <c r="U11" s="86">
        <f t="shared" si="72"/>
        <v>0</v>
      </c>
      <c r="V11" s="84">
        <v>0</v>
      </c>
      <c r="W11" s="85">
        <f t="shared" ref="W11:AA11" si="73">IFERROR(V11/(V$7+V$12+V$13+V$14),)</f>
        <v>0</v>
      </c>
      <c r="X11" s="84">
        <v>0</v>
      </c>
      <c r="Y11" s="85">
        <f t="shared" si="73"/>
        <v>0</v>
      </c>
      <c r="Z11" s="84">
        <v>0</v>
      </c>
      <c r="AA11" s="86">
        <f t="shared" si="73"/>
        <v>0</v>
      </c>
      <c r="AB11" s="84">
        <v>0</v>
      </c>
      <c r="AC11" s="85">
        <f t="shared" ref="AC11:AG11" si="74">IFERROR(AB11/(AB$7+AB$12+AB$13+AB$14),)</f>
        <v>0</v>
      </c>
      <c r="AD11" s="84">
        <v>0</v>
      </c>
      <c r="AE11" s="85">
        <f t="shared" si="74"/>
        <v>0</v>
      </c>
      <c r="AF11" s="84">
        <v>0</v>
      </c>
      <c r="AG11" s="86">
        <f t="shared" si="74"/>
        <v>0</v>
      </c>
      <c r="AH11" s="84">
        <v>0</v>
      </c>
      <c r="AI11" s="85">
        <f t="shared" ref="AI11:AM11" si="75">IFERROR(AH11/(AH$7+AH$12+AH$13+AH$14),)</f>
        <v>0</v>
      </c>
      <c r="AJ11" s="84">
        <v>0</v>
      </c>
      <c r="AK11" s="85">
        <f t="shared" si="75"/>
        <v>0</v>
      </c>
      <c r="AL11" s="84">
        <v>0</v>
      </c>
      <c r="AM11" s="86">
        <f t="shared" si="75"/>
        <v>0</v>
      </c>
      <c r="AN11" s="84">
        <v>0</v>
      </c>
      <c r="AO11" s="85">
        <f t="shared" ref="AO11:AS11" si="76">IFERROR(AN11/(AN$7+AN$12+AN$13+AN$14),)</f>
        <v>0</v>
      </c>
      <c r="AP11" s="84">
        <v>0</v>
      </c>
      <c r="AQ11" s="85">
        <f t="shared" si="76"/>
        <v>0</v>
      </c>
      <c r="AR11" s="84">
        <v>0</v>
      </c>
      <c r="AS11" s="86">
        <f t="shared" si="76"/>
        <v>0</v>
      </c>
      <c r="AT11" s="84">
        <v>0</v>
      </c>
      <c r="AU11" s="85">
        <f t="shared" ref="AU11:AY11" si="77">IFERROR(AT11/(AT$7+AT$12+AT$13+AT$14),)</f>
        <v>0</v>
      </c>
      <c r="AV11" s="84">
        <v>0</v>
      </c>
      <c r="AW11" s="85">
        <f t="shared" si="77"/>
        <v>0</v>
      </c>
      <c r="AX11" s="84">
        <v>0</v>
      </c>
      <c r="AY11" s="86">
        <f t="shared" si="77"/>
        <v>0</v>
      </c>
      <c r="AZ11" s="84">
        <v>0</v>
      </c>
      <c r="BA11" s="85">
        <f t="shared" ref="BA11:BE11" si="78">IFERROR(AZ11/(AZ$7+AZ$12+AZ$13+AZ$14),)</f>
        <v>0</v>
      </c>
      <c r="BB11" s="84">
        <v>0</v>
      </c>
      <c r="BC11" s="85">
        <f t="shared" si="78"/>
        <v>0</v>
      </c>
      <c r="BD11" s="84">
        <v>0</v>
      </c>
      <c r="BE11" s="86">
        <f t="shared" si="78"/>
        <v>0</v>
      </c>
      <c r="BF11" s="84">
        <v>0</v>
      </c>
      <c r="BG11" s="85">
        <f t="shared" ref="BG11:BK11" si="79">IFERROR(BF11/(BF$7+BF$12+BF$13+BF$14),)</f>
        <v>0</v>
      </c>
      <c r="BH11" s="84">
        <v>0</v>
      </c>
      <c r="BI11" s="85">
        <f t="shared" si="79"/>
        <v>0</v>
      </c>
      <c r="BJ11" s="84">
        <v>0</v>
      </c>
      <c r="BK11" s="86">
        <f t="shared" si="79"/>
        <v>0</v>
      </c>
      <c r="BL11" s="84">
        <v>0</v>
      </c>
      <c r="BM11" s="85">
        <f t="shared" ref="BM11:BQ11" si="80">IFERROR(BL11/(BL$7+BL$12+BL$13+BL$14),)</f>
        <v>0</v>
      </c>
      <c r="BN11" s="84">
        <v>0</v>
      </c>
      <c r="BO11" s="85">
        <f t="shared" si="80"/>
        <v>0</v>
      </c>
      <c r="BP11" s="84">
        <v>0</v>
      </c>
      <c r="BQ11" s="86">
        <f t="shared" si="80"/>
        <v>0</v>
      </c>
      <c r="BR11" s="84">
        <v>0</v>
      </c>
      <c r="BS11" s="85">
        <f t="shared" ref="BS11:BW11" si="81">IFERROR(BR11/(BR$7+BR$12+BR$13+BR$14),)</f>
        <v>0</v>
      </c>
      <c r="BT11" s="84">
        <v>0</v>
      </c>
      <c r="BU11" s="85">
        <f t="shared" si="81"/>
        <v>0</v>
      </c>
      <c r="BV11" s="84">
        <v>0</v>
      </c>
      <c r="BW11" s="86">
        <f t="shared" si="81"/>
        <v>0</v>
      </c>
      <c r="BX11" s="84">
        <v>0</v>
      </c>
      <c r="BY11" s="85">
        <f t="shared" ref="BY11:CC11" si="82">IFERROR(BX11/(BX$7+BX$12+BX$13+BX$14),)</f>
        <v>0</v>
      </c>
      <c r="BZ11" s="84">
        <v>0</v>
      </c>
      <c r="CA11" s="85">
        <f t="shared" si="82"/>
        <v>0</v>
      </c>
      <c r="CB11" s="84">
        <v>0</v>
      </c>
      <c r="CC11" s="86">
        <f t="shared" si="82"/>
        <v>0</v>
      </c>
    </row>
    <row r="12" outlineLevel="2" spans="1:81">
      <c r="B12" s="83" t="s">
        <v>36</v>
      </c>
      <c r="C12" s="83" t="s">
        <v>37</v>
      </c>
      <c r="D12" s="84">
        <f t="shared" ref="D12:H12" si="83">SUMIFS($J12:$CC12,$J$5:$CC$5,D$5)</f>
        <v>0</v>
      </c>
      <c r="E12" s="85">
        <f t="shared" ref="E12:I12" si="84">IFERROR(D12/(D$7+D$12+D$13+D$14),)</f>
        <v>0</v>
      </c>
      <c r="F12" s="84">
        <f t="shared" si="83"/>
        <v>0</v>
      </c>
      <c r="G12" s="85">
        <f t="shared" si="84"/>
        <v>0</v>
      </c>
      <c r="H12" s="84">
        <f t="shared" si="83"/>
        <v>0</v>
      </c>
      <c r="I12" s="86">
        <f t="shared" si="84"/>
        <v>0</v>
      </c>
      <c r="J12" s="84">
        <v>0</v>
      </c>
      <c r="K12" s="85">
        <f t="shared" ref="K12:O12" si="85">IFERROR(J12/(J$7+J$12+J$13+J$14),)</f>
        <v>0</v>
      </c>
      <c r="L12" s="84">
        <v>0</v>
      </c>
      <c r="M12" s="85">
        <f t="shared" si="85"/>
        <v>0</v>
      </c>
      <c r="N12" s="84">
        <v>0</v>
      </c>
      <c r="O12" s="86">
        <f t="shared" si="85"/>
        <v>0</v>
      </c>
      <c r="P12" s="84">
        <v>0</v>
      </c>
      <c r="Q12" s="85">
        <f t="shared" ref="Q12:U12" si="86">IFERROR(P12/(P$7+P$12+P$13+P$14),)</f>
        <v>0</v>
      </c>
      <c r="R12" s="84">
        <v>0</v>
      </c>
      <c r="S12" s="85">
        <f t="shared" si="86"/>
        <v>0</v>
      </c>
      <c r="T12" s="84">
        <v>0</v>
      </c>
      <c r="U12" s="86">
        <f t="shared" si="86"/>
        <v>0</v>
      </c>
      <c r="V12" s="84">
        <v>0</v>
      </c>
      <c r="W12" s="85">
        <f t="shared" ref="W12:AA12" si="87">IFERROR(V12/(V$7+V$12+V$13+V$14),)</f>
        <v>0</v>
      </c>
      <c r="X12" s="84">
        <v>0</v>
      </c>
      <c r="Y12" s="85">
        <f t="shared" si="87"/>
        <v>0</v>
      </c>
      <c r="Z12" s="84">
        <v>0</v>
      </c>
      <c r="AA12" s="86">
        <f t="shared" si="87"/>
        <v>0</v>
      </c>
      <c r="AB12" s="84">
        <v>0</v>
      </c>
      <c r="AC12" s="85">
        <f t="shared" ref="AC12:AG12" si="88">IFERROR(AB12/(AB$7+AB$12+AB$13+AB$14),)</f>
        <v>0</v>
      </c>
      <c r="AD12" s="84">
        <v>0</v>
      </c>
      <c r="AE12" s="85">
        <f t="shared" si="88"/>
        <v>0</v>
      </c>
      <c r="AF12" s="84">
        <v>0</v>
      </c>
      <c r="AG12" s="86">
        <f t="shared" si="88"/>
        <v>0</v>
      </c>
      <c r="AH12" s="84">
        <v>0</v>
      </c>
      <c r="AI12" s="85">
        <f t="shared" ref="AI12:AM12" si="89">IFERROR(AH12/(AH$7+AH$12+AH$13+AH$14),)</f>
        <v>0</v>
      </c>
      <c r="AJ12" s="84">
        <v>0</v>
      </c>
      <c r="AK12" s="85">
        <f t="shared" si="89"/>
        <v>0</v>
      </c>
      <c r="AL12" s="84">
        <v>0</v>
      </c>
      <c r="AM12" s="86">
        <f t="shared" si="89"/>
        <v>0</v>
      </c>
      <c r="AN12" s="84">
        <v>0</v>
      </c>
      <c r="AO12" s="85">
        <f t="shared" ref="AO12:AS12" si="90">IFERROR(AN12/(AN$7+AN$12+AN$13+AN$14),)</f>
        <v>0</v>
      </c>
      <c r="AP12" s="84">
        <v>0</v>
      </c>
      <c r="AQ12" s="85">
        <f t="shared" si="90"/>
        <v>0</v>
      </c>
      <c r="AR12" s="84">
        <v>0</v>
      </c>
      <c r="AS12" s="86">
        <f t="shared" si="90"/>
        <v>0</v>
      </c>
      <c r="AT12" s="84">
        <v>0</v>
      </c>
      <c r="AU12" s="85">
        <f t="shared" ref="AU12:AY12" si="91">IFERROR(AT12/(AT$7+AT$12+AT$13+AT$14),)</f>
        <v>0</v>
      </c>
      <c r="AV12" s="84">
        <v>0</v>
      </c>
      <c r="AW12" s="85">
        <f t="shared" si="91"/>
        <v>0</v>
      </c>
      <c r="AX12" s="84">
        <v>0</v>
      </c>
      <c r="AY12" s="86">
        <f t="shared" si="91"/>
        <v>0</v>
      </c>
      <c r="AZ12" s="84">
        <v>0</v>
      </c>
      <c r="BA12" s="85">
        <f t="shared" ref="BA12:BE12" si="92">IFERROR(AZ12/(AZ$7+AZ$12+AZ$13+AZ$14),)</f>
        <v>0</v>
      </c>
      <c r="BB12" s="84">
        <v>0</v>
      </c>
      <c r="BC12" s="85">
        <f t="shared" si="92"/>
        <v>0</v>
      </c>
      <c r="BD12" s="84">
        <v>0</v>
      </c>
      <c r="BE12" s="86">
        <f t="shared" si="92"/>
        <v>0</v>
      </c>
      <c r="BF12" s="84">
        <v>0</v>
      </c>
      <c r="BG12" s="85">
        <f t="shared" ref="BG12:BK12" si="93">IFERROR(BF12/(BF$7+BF$12+BF$13+BF$14),)</f>
        <v>0</v>
      </c>
      <c r="BH12" s="84">
        <v>0</v>
      </c>
      <c r="BI12" s="85">
        <f t="shared" si="93"/>
        <v>0</v>
      </c>
      <c r="BJ12" s="84">
        <v>0</v>
      </c>
      <c r="BK12" s="86">
        <f t="shared" si="93"/>
        <v>0</v>
      </c>
      <c r="BL12" s="84">
        <v>0</v>
      </c>
      <c r="BM12" s="85">
        <f t="shared" ref="BM12:BQ12" si="94">IFERROR(BL12/(BL$7+BL$12+BL$13+BL$14),)</f>
        <v>0</v>
      </c>
      <c r="BN12" s="84">
        <v>0</v>
      </c>
      <c r="BO12" s="85">
        <f t="shared" si="94"/>
        <v>0</v>
      </c>
      <c r="BP12" s="84">
        <v>0</v>
      </c>
      <c r="BQ12" s="86">
        <f t="shared" si="94"/>
        <v>0</v>
      </c>
      <c r="BR12" s="84">
        <v>0</v>
      </c>
      <c r="BS12" s="85">
        <f t="shared" ref="BS12:BW12" si="95">IFERROR(BR12/(BR$7+BR$12+BR$13+BR$14),)</f>
        <v>0</v>
      </c>
      <c r="BT12" s="84">
        <v>0</v>
      </c>
      <c r="BU12" s="85">
        <f t="shared" si="95"/>
        <v>0</v>
      </c>
      <c r="BV12" s="84">
        <v>0</v>
      </c>
      <c r="BW12" s="86">
        <f t="shared" si="95"/>
        <v>0</v>
      </c>
      <c r="BX12" s="84">
        <v>0</v>
      </c>
      <c r="BY12" s="85">
        <f t="shared" ref="BY12:CC12" si="96">IFERROR(BX12/(BX$7+BX$12+BX$13+BX$14),)</f>
        <v>0</v>
      </c>
      <c r="BZ12" s="84">
        <v>0</v>
      </c>
      <c r="CA12" s="85">
        <f t="shared" si="96"/>
        <v>0</v>
      </c>
      <c r="CB12" s="84">
        <v>0</v>
      </c>
      <c r="CC12" s="86">
        <f t="shared" si="96"/>
        <v>0</v>
      </c>
    </row>
    <row r="13" outlineLevel="2" spans="1:81">
      <c r="B13" s="83" t="s">
        <v>38</v>
      </c>
      <c r="C13" s="83" t="s">
        <v>39</v>
      </c>
      <c r="D13" s="84">
        <f t="shared" ref="D13:H13" si="97">SUMIFS($J13:$CC13,$J$5:$CC$5,D$5)</f>
        <v>0</v>
      </c>
      <c r="E13" s="85">
        <f t="shared" ref="E13:I13" si="98">IFERROR(D13/(D$7+D$12+D$13+D$14),)</f>
        <v>0</v>
      </c>
      <c r="F13" s="84">
        <f t="shared" si="97"/>
        <v>0</v>
      </c>
      <c r="G13" s="85">
        <f t="shared" si="98"/>
        <v>0</v>
      </c>
      <c r="H13" s="84">
        <f t="shared" si="97"/>
        <v>0</v>
      </c>
      <c r="I13" s="86">
        <f t="shared" si="98"/>
        <v>0</v>
      </c>
      <c r="J13" s="84">
        <v>0</v>
      </c>
      <c r="K13" s="85">
        <f t="shared" ref="K13:O13" si="99">IFERROR(J13/(J$7+J$12+J$13+J$14),)</f>
        <v>0</v>
      </c>
      <c r="L13" s="84">
        <v>0</v>
      </c>
      <c r="M13" s="85">
        <f t="shared" si="99"/>
        <v>0</v>
      </c>
      <c r="N13" s="84">
        <v>0</v>
      </c>
      <c r="O13" s="86">
        <f t="shared" si="99"/>
        <v>0</v>
      </c>
      <c r="P13" s="84">
        <v>0</v>
      </c>
      <c r="Q13" s="85">
        <f t="shared" ref="Q13:U13" si="100">IFERROR(P13/(P$7+P$12+P$13+P$14),)</f>
        <v>0</v>
      </c>
      <c r="R13" s="84">
        <v>0</v>
      </c>
      <c r="S13" s="85">
        <f t="shared" si="100"/>
        <v>0</v>
      </c>
      <c r="T13" s="84">
        <v>0</v>
      </c>
      <c r="U13" s="86">
        <f t="shared" si="100"/>
        <v>0</v>
      </c>
      <c r="V13" s="84">
        <v>0</v>
      </c>
      <c r="W13" s="85">
        <f t="shared" ref="W13:AA13" si="101">IFERROR(V13/(V$7+V$12+V$13+V$14),)</f>
        <v>0</v>
      </c>
      <c r="X13" s="84">
        <v>0</v>
      </c>
      <c r="Y13" s="85">
        <f t="shared" si="101"/>
        <v>0</v>
      </c>
      <c r="Z13" s="84">
        <v>0</v>
      </c>
      <c r="AA13" s="86">
        <f t="shared" si="101"/>
        <v>0</v>
      </c>
      <c r="AB13" s="84">
        <v>0</v>
      </c>
      <c r="AC13" s="85">
        <f t="shared" ref="AC13:AG13" si="102">IFERROR(AB13/(AB$7+AB$12+AB$13+AB$14),)</f>
        <v>0</v>
      </c>
      <c r="AD13" s="84">
        <v>0</v>
      </c>
      <c r="AE13" s="85">
        <f t="shared" si="102"/>
        <v>0</v>
      </c>
      <c r="AF13" s="84">
        <v>0</v>
      </c>
      <c r="AG13" s="86">
        <f t="shared" si="102"/>
        <v>0</v>
      </c>
      <c r="AH13" s="84">
        <v>0</v>
      </c>
      <c r="AI13" s="85">
        <f t="shared" ref="AI13:AM13" si="103">IFERROR(AH13/(AH$7+AH$12+AH$13+AH$14),)</f>
        <v>0</v>
      </c>
      <c r="AJ13" s="84">
        <v>0</v>
      </c>
      <c r="AK13" s="85">
        <f t="shared" si="103"/>
        <v>0</v>
      </c>
      <c r="AL13" s="84">
        <v>0</v>
      </c>
      <c r="AM13" s="86">
        <f t="shared" si="103"/>
        <v>0</v>
      </c>
      <c r="AN13" s="84">
        <v>0</v>
      </c>
      <c r="AO13" s="85">
        <f t="shared" ref="AO13:AS13" si="104">IFERROR(AN13/(AN$7+AN$12+AN$13+AN$14),)</f>
        <v>0</v>
      </c>
      <c r="AP13" s="84">
        <v>0</v>
      </c>
      <c r="AQ13" s="85">
        <f t="shared" si="104"/>
        <v>0</v>
      </c>
      <c r="AR13" s="84">
        <v>0</v>
      </c>
      <c r="AS13" s="86">
        <f t="shared" si="104"/>
        <v>0</v>
      </c>
      <c r="AT13" s="84">
        <v>0</v>
      </c>
      <c r="AU13" s="85">
        <f t="shared" ref="AU13:AY13" si="105">IFERROR(AT13/(AT$7+AT$12+AT$13+AT$14),)</f>
        <v>0</v>
      </c>
      <c r="AV13" s="84">
        <v>0</v>
      </c>
      <c r="AW13" s="85">
        <f t="shared" si="105"/>
        <v>0</v>
      </c>
      <c r="AX13" s="84">
        <v>0</v>
      </c>
      <c r="AY13" s="86">
        <f t="shared" si="105"/>
        <v>0</v>
      </c>
      <c r="AZ13" s="84">
        <v>0</v>
      </c>
      <c r="BA13" s="85">
        <f t="shared" ref="BA13:BE13" si="106">IFERROR(AZ13/(AZ$7+AZ$12+AZ$13+AZ$14),)</f>
        <v>0</v>
      </c>
      <c r="BB13" s="84">
        <v>0</v>
      </c>
      <c r="BC13" s="85">
        <f t="shared" si="106"/>
        <v>0</v>
      </c>
      <c r="BD13" s="84">
        <v>0</v>
      </c>
      <c r="BE13" s="86">
        <f t="shared" si="106"/>
        <v>0</v>
      </c>
      <c r="BF13" s="84">
        <v>0</v>
      </c>
      <c r="BG13" s="85">
        <f t="shared" ref="BG13:BK13" si="107">IFERROR(BF13/(BF$7+BF$12+BF$13+BF$14),)</f>
        <v>0</v>
      </c>
      <c r="BH13" s="84">
        <v>0</v>
      </c>
      <c r="BI13" s="85">
        <f t="shared" si="107"/>
        <v>0</v>
      </c>
      <c r="BJ13" s="84">
        <v>0</v>
      </c>
      <c r="BK13" s="86">
        <f t="shared" si="107"/>
        <v>0</v>
      </c>
      <c r="BL13" s="84">
        <v>0</v>
      </c>
      <c r="BM13" s="85">
        <f t="shared" ref="BM13:BQ13" si="108">IFERROR(BL13/(BL$7+BL$12+BL$13+BL$14),)</f>
        <v>0</v>
      </c>
      <c r="BN13" s="84">
        <v>0</v>
      </c>
      <c r="BO13" s="85">
        <f t="shared" si="108"/>
        <v>0</v>
      </c>
      <c r="BP13" s="84">
        <v>0</v>
      </c>
      <c r="BQ13" s="86">
        <f t="shared" si="108"/>
        <v>0</v>
      </c>
      <c r="BR13" s="84">
        <v>0</v>
      </c>
      <c r="BS13" s="85">
        <f t="shared" ref="BS13:BW13" si="109">IFERROR(BR13/(BR$7+BR$12+BR$13+BR$14),)</f>
        <v>0</v>
      </c>
      <c r="BT13" s="84">
        <v>0</v>
      </c>
      <c r="BU13" s="85">
        <f t="shared" si="109"/>
        <v>0</v>
      </c>
      <c r="BV13" s="84">
        <v>0</v>
      </c>
      <c r="BW13" s="86">
        <f t="shared" si="109"/>
        <v>0</v>
      </c>
      <c r="BX13" s="84">
        <v>0</v>
      </c>
      <c r="BY13" s="85">
        <f t="shared" ref="BY13:CC13" si="110">IFERROR(BX13/(BX$7+BX$12+BX$13+BX$14),)</f>
        <v>0</v>
      </c>
      <c r="BZ13" s="84">
        <v>0</v>
      </c>
      <c r="CA13" s="85">
        <f t="shared" si="110"/>
        <v>0</v>
      </c>
      <c r="CB13" s="84">
        <v>0</v>
      </c>
      <c r="CC13" s="86">
        <f t="shared" si="110"/>
        <v>0</v>
      </c>
    </row>
    <row r="14" outlineLevel="2" spans="1:81">
      <c r="B14" s="91" t="s">
        <v>40</v>
      </c>
      <c r="C14" s="92" t="s">
        <v>41</v>
      </c>
      <c r="D14" s="93">
        <f t="shared" ref="D14:H14" si="111">SUMIFS($J14:$CC14,$J$5:$CC$5,D$5)</f>
        <v>0</v>
      </c>
      <c r="E14" s="94">
        <f t="shared" ref="E14:I14" si="112">IFERROR(D14/(D$7+D$12+D$13+D$14),)</f>
        <v>0</v>
      </c>
      <c r="F14" s="93">
        <f t="shared" si="111"/>
        <v>0</v>
      </c>
      <c r="G14" s="94">
        <f t="shared" si="112"/>
        <v>0</v>
      </c>
      <c r="H14" s="93">
        <f t="shared" si="111"/>
        <v>0.036673</v>
      </c>
      <c r="I14" s="95">
        <f t="shared" si="112"/>
        <v>0.000601628443965208</v>
      </c>
      <c r="J14" s="93">
        <v>0</v>
      </c>
      <c r="K14" s="94">
        <f t="shared" ref="K14:O14" si="113">IFERROR(J14/(J$7+J$12+J$13+J$14),)</f>
        <v>0</v>
      </c>
      <c r="L14" s="93">
        <v>0</v>
      </c>
      <c r="M14" s="94">
        <f t="shared" si="113"/>
        <v>0</v>
      </c>
      <c r="N14" s="93">
        <v>0.035743</v>
      </c>
      <c r="O14" s="95">
        <f t="shared" si="113"/>
        <v>0.00414970228327085</v>
      </c>
      <c r="P14" s="93">
        <v>0</v>
      </c>
      <c r="Q14" s="94">
        <f t="shared" ref="Q14:U14" si="114">IFERROR(P14/(P$7+P$12+P$13+P$14),)</f>
        <v>0</v>
      </c>
      <c r="R14" s="93">
        <v>0</v>
      </c>
      <c r="S14" s="94">
        <f t="shared" si="114"/>
        <v>0</v>
      </c>
      <c r="T14" s="93">
        <v>0</v>
      </c>
      <c r="U14" s="95">
        <f t="shared" si="114"/>
        <v>0</v>
      </c>
      <c r="V14" s="93">
        <v>0</v>
      </c>
      <c r="W14" s="94">
        <f t="shared" ref="W14:AA14" si="115">IFERROR(V14/(V$7+V$12+V$13+V$14),)</f>
        <v>0</v>
      </c>
      <c r="X14" s="93">
        <v>0</v>
      </c>
      <c r="Y14" s="94">
        <f t="shared" si="115"/>
        <v>0</v>
      </c>
      <c r="Z14" s="93">
        <v>0.000465</v>
      </c>
      <c r="AA14" s="95">
        <f t="shared" si="115"/>
        <v>2.67386490265953e-5</v>
      </c>
      <c r="AB14" s="93">
        <v>0</v>
      </c>
      <c r="AC14" s="94">
        <f t="shared" ref="AC14:AG14" si="116">IFERROR(AB14/(AB$7+AB$12+AB$13+AB$14),)</f>
        <v>0</v>
      </c>
      <c r="AD14" s="93">
        <v>0</v>
      </c>
      <c r="AE14" s="94">
        <f t="shared" si="116"/>
        <v>0</v>
      </c>
      <c r="AF14" s="93">
        <v>0</v>
      </c>
      <c r="AG14" s="95">
        <f t="shared" si="116"/>
        <v>0</v>
      </c>
      <c r="AH14" s="93">
        <v>0</v>
      </c>
      <c r="AI14" s="94">
        <f t="shared" ref="AI14:AM14" si="117">IFERROR(AH14/(AH$7+AH$12+AH$13+AH$14),)</f>
        <v>0</v>
      </c>
      <c r="AJ14" s="93">
        <v>0</v>
      </c>
      <c r="AK14" s="94">
        <f t="shared" si="117"/>
        <v>0</v>
      </c>
      <c r="AL14" s="93">
        <v>0.000465</v>
      </c>
      <c r="AM14" s="95">
        <f t="shared" si="117"/>
        <v>8.70301332010226e-5</v>
      </c>
      <c r="AN14" s="93">
        <v>0</v>
      </c>
      <c r="AO14" s="94">
        <f t="shared" ref="AO14:AS14" si="118">IFERROR(AN14/(AN$7+AN$12+AN$13+AN$14),)</f>
        <v>0</v>
      </c>
      <c r="AP14" s="93">
        <v>0</v>
      </c>
      <c r="AQ14" s="94">
        <f t="shared" si="118"/>
        <v>0</v>
      </c>
      <c r="AR14" s="93">
        <v>0</v>
      </c>
      <c r="AS14" s="95">
        <f t="shared" si="118"/>
        <v>0</v>
      </c>
      <c r="AT14" s="93">
        <v>0</v>
      </c>
      <c r="AU14" s="94">
        <f t="shared" ref="AU14:AY14" si="119">IFERROR(AT14/(AT$7+AT$12+AT$13+AT$14),)</f>
        <v>0</v>
      </c>
      <c r="AV14" s="93">
        <v>0</v>
      </c>
      <c r="AW14" s="94">
        <f t="shared" si="119"/>
        <v>0</v>
      </c>
      <c r="AX14" s="93">
        <v>0</v>
      </c>
      <c r="AY14" s="95">
        <f t="shared" si="119"/>
        <v>0</v>
      </c>
      <c r="AZ14" s="93">
        <v>0</v>
      </c>
      <c r="BA14" s="94">
        <f t="shared" ref="BA14:BE14" si="120">IFERROR(AZ14/(AZ$7+AZ$12+AZ$13+AZ$14),)</f>
        <v>0</v>
      </c>
      <c r="BB14" s="93">
        <v>0</v>
      </c>
      <c r="BC14" s="94">
        <f t="shared" si="120"/>
        <v>0</v>
      </c>
      <c r="BD14" s="93">
        <v>0</v>
      </c>
      <c r="BE14" s="95">
        <f t="shared" si="120"/>
        <v>0</v>
      </c>
      <c r="BF14" s="93">
        <v>0</v>
      </c>
      <c r="BG14" s="94">
        <f t="shared" ref="BG14:BK14" si="121">IFERROR(BF14/(BF$7+BF$12+BF$13+BF$14),)</f>
        <v>0</v>
      </c>
      <c r="BH14" s="93">
        <v>0</v>
      </c>
      <c r="BI14" s="94">
        <f t="shared" si="121"/>
        <v>0</v>
      </c>
      <c r="BJ14" s="93">
        <v>0</v>
      </c>
      <c r="BK14" s="95">
        <f t="shared" si="121"/>
        <v>0</v>
      </c>
      <c r="BL14" s="93">
        <v>0</v>
      </c>
      <c r="BM14" s="94">
        <f t="shared" ref="BM14:BQ14" si="122">IFERROR(BL14/(BL$7+BL$12+BL$13+BL$14),)</f>
        <v>0</v>
      </c>
      <c r="BN14" s="93">
        <v>0</v>
      </c>
      <c r="BO14" s="94">
        <f t="shared" si="122"/>
        <v>0</v>
      </c>
      <c r="BP14" s="93">
        <v>0</v>
      </c>
      <c r="BQ14" s="95">
        <f t="shared" si="122"/>
        <v>0</v>
      </c>
      <c r="BR14" s="93">
        <v>0</v>
      </c>
      <c r="BS14" s="94">
        <f t="shared" ref="BS14:BW14" si="123">IFERROR(BR14/(BR$7+BR$12+BR$13+BR$14),)</f>
        <v>0</v>
      </c>
      <c r="BT14" s="93">
        <v>0</v>
      </c>
      <c r="BU14" s="94">
        <f t="shared" si="123"/>
        <v>0</v>
      </c>
      <c r="BV14" s="93">
        <v>0</v>
      </c>
      <c r="BW14" s="95">
        <f t="shared" si="123"/>
        <v>0</v>
      </c>
      <c r="BX14" s="93">
        <v>0</v>
      </c>
      <c r="BY14" s="94">
        <f t="shared" ref="BY14:CC14" si="124">IFERROR(BX14/(BX$7+BX$12+BX$13+BX$14),)</f>
        <v>0</v>
      </c>
      <c r="BZ14" s="93">
        <v>0</v>
      </c>
      <c r="CA14" s="94">
        <f t="shared" si="124"/>
        <v>0</v>
      </c>
      <c r="CB14" s="93">
        <v>0</v>
      </c>
      <c r="CC14" s="95">
        <f t="shared" si="124"/>
        <v>0</v>
      </c>
    </row>
    <row r="15" ht="13.75" spans="1:81">
      <c r="B15" s="96" t="s">
        <v>42</v>
      </c>
      <c r="C15" s="96" t="s">
        <v>43</v>
      </c>
      <c r="D15" s="97">
        <f t="shared" ref="D15:H15" si="125">SUMIFS($J15:$CC15,$J$5:$CC$5,D$5)</f>
        <v>0</v>
      </c>
      <c r="E15" s="98">
        <f t="shared" ref="E15:I15" si="126">IFERROR(D15/(D$7+D$12+D$13+D$14),)</f>
        <v>0</v>
      </c>
      <c r="F15" s="97">
        <f t="shared" si="125"/>
        <v>0</v>
      </c>
      <c r="G15" s="98">
        <f t="shared" si="126"/>
        <v>0</v>
      </c>
      <c r="H15" s="97">
        <f t="shared" si="125"/>
        <v>30.533151</v>
      </c>
      <c r="I15" s="99">
        <f t="shared" si="126"/>
        <v>0.500902902011963</v>
      </c>
      <c r="J15" s="97">
        <f t="shared" ref="J15:N15" si="127">J9-J10+SUM(J11:J14)</f>
        <v>0</v>
      </c>
      <c r="K15" s="98">
        <f t="shared" ref="K15:O15" si="128">IFERROR(J15/(J$7+J$12+J$13+J$14),)</f>
        <v>0</v>
      </c>
      <c r="L15" s="97">
        <f t="shared" si="127"/>
        <v>0</v>
      </c>
      <c r="M15" s="98">
        <f t="shared" si="128"/>
        <v>0</v>
      </c>
      <c r="N15" s="97">
        <f t="shared" si="127"/>
        <v>3.998199</v>
      </c>
      <c r="O15" s="99">
        <f t="shared" si="128"/>
        <v>0.464184190450472</v>
      </c>
      <c r="P15" s="97">
        <f t="shared" ref="P15:T15" si="129">P9-P10+SUM(P11:P14)</f>
        <v>0</v>
      </c>
      <c r="Q15" s="98">
        <f t="shared" ref="Q15:U15" si="130">IFERROR(P15/(P$7+P$12+P$13+P$14),)</f>
        <v>0</v>
      </c>
      <c r="R15" s="97">
        <f t="shared" si="129"/>
        <v>0</v>
      </c>
      <c r="S15" s="98">
        <f t="shared" si="130"/>
        <v>0</v>
      </c>
      <c r="T15" s="97">
        <f t="shared" si="129"/>
        <v>7.348266</v>
      </c>
      <c r="U15" s="99">
        <f t="shared" si="130"/>
        <v>0.457026282164828</v>
      </c>
      <c r="V15" s="97">
        <f t="shared" ref="V15:Z15" si="131">V9-V10+SUM(V11:V14)</f>
        <v>0</v>
      </c>
      <c r="W15" s="98">
        <f t="shared" ref="W15:AA15" si="132">IFERROR(V15/(V$7+V$12+V$13+V$14),)</f>
        <v>0</v>
      </c>
      <c r="X15" s="97">
        <f t="shared" si="131"/>
        <v>0</v>
      </c>
      <c r="Y15" s="98">
        <f t="shared" si="132"/>
        <v>0</v>
      </c>
      <c r="Z15" s="97">
        <f t="shared" si="131"/>
        <v>9.863783</v>
      </c>
      <c r="AA15" s="99">
        <f t="shared" si="132"/>
        <v>0.567191896153758</v>
      </c>
      <c r="AB15" s="97">
        <f t="shared" ref="AB15:AF15" si="133">AB9-AB10+SUM(AB11:AB14)</f>
        <v>0</v>
      </c>
      <c r="AC15" s="98">
        <f t="shared" ref="AC15:AG15" si="134">IFERROR(AB15/(AB$7+AB$12+AB$13+AB$14),)</f>
        <v>0</v>
      </c>
      <c r="AD15" s="97">
        <f t="shared" si="133"/>
        <v>0</v>
      </c>
      <c r="AE15" s="98">
        <f t="shared" si="134"/>
        <v>0</v>
      </c>
      <c r="AF15" s="97">
        <f t="shared" si="133"/>
        <v>6.365283</v>
      </c>
      <c r="AG15" s="99">
        <f t="shared" si="134"/>
        <v>0.470426665775864</v>
      </c>
      <c r="AH15" s="97">
        <f t="shared" ref="AH15:AL15" si="135">AH9-AH10+SUM(AH11:AH14)</f>
        <v>0</v>
      </c>
      <c r="AI15" s="98">
        <f t="shared" ref="AI15:AM15" si="136">IFERROR(AH15/(AH$7+AH$12+AH$13+AH$14),)</f>
        <v>0</v>
      </c>
      <c r="AJ15" s="97">
        <f t="shared" si="135"/>
        <v>0</v>
      </c>
      <c r="AK15" s="98">
        <f t="shared" si="136"/>
        <v>0</v>
      </c>
      <c r="AL15" s="97">
        <f t="shared" si="135"/>
        <v>2.95762</v>
      </c>
      <c r="AM15" s="99">
        <f t="shared" si="136"/>
        <v>0.553552822705395</v>
      </c>
      <c r="AN15" s="97">
        <f t="shared" ref="AN15:AR15" si="137">AN9-AN10+SUM(AN11:AN14)</f>
        <v>0</v>
      </c>
      <c r="AO15" s="98">
        <f t="shared" ref="AO15:AS15" si="138">IFERROR(AN15/(AN$7+AN$12+AN$13+AN$14),)</f>
        <v>0</v>
      </c>
      <c r="AP15" s="97">
        <f t="shared" si="137"/>
        <v>0</v>
      </c>
      <c r="AQ15" s="98">
        <f t="shared" si="138"/>
        <v>0</v>
      </c>
      <c r="AR15" s="97">
        <f t="shared" si="137"/>
        <v>0</v>
      </c>
      <c r="AS15" s="99">
        <f t="shared" si="138"/>
        <v>0</v>
      </c>
      <c r="AT15" s="97">
        <f t="shared" ref="AT15:AX15" si="139">AT9-AT10+SUM(AT11:AT14)</f>
        <v>0</v>
      </c>
      <c r="AU15" s="98">
        <f t="shared" ref="AU15:AY15" si="140">IFERROR(AT15/(AT$7+AT$12+AT$13+AT$14),)</f>
        <v>0</v>
      </c>
      <c r="AV15" s="97">
        <f t="shared" si="139"/>
        <v>0</v>
      </c>
      <c r="AW15" s="98">
        <f t="shared" si="140"/>
        <v>0</v>
      </c>
      <c r="AX15" s="97">
        <f t="shared" si="139"/>
        <v>0</v>
      </c>
      <c r="AY15" s="99">
        <f t="shared" si="140"/>
        <v>0</v>
      </c>
      <c r="AZ15" s="97">
        <f t="shared" ref="AZ15:BD15" si="141">AZ9-AZ10+SUM(AZ11:AZ14)</f>
        <v>0</v>
      </c>
      <c r="BA15" s="98">
        <f t="shared" ref="BA15:BE15" si="142">IFERROR(AZ15/(AZ$7+AZ$12+AZ$13+AZ$14),)</f>
        <v>0</v>
      </c>
      <c r="BB15" s="97">
        <f t="shared" si="141"/>
        <v>0</v>
      </c>
      <c r="BC15" s="98">
        <f t="shared" si="142"/>
        <v>0</v>
      </c>
      <c r="BD15" s="97">
        <f t="shared" si="141"/>
        <v>0</v>
      </c>
      <c r="BE15" s="99">
        <f t="shared" si="142"/>
        <v>0</v>
      </c>
      <c r="BF15" s="97">
        <f t="shared" ref="BF15:BJ15" si="143">BF9-BF10+SUM(BF11:BF14)</f>
        <v>0</v>
      </c>
      <c r="BG15" s="98">
        <f t="shared" ref="BG15:BK15" si="144">IFERROR(BF15/(BF$7+BF$12+BF$13+BF$14),)</f>
        <v>0</v>
      </c>
      <c r="BH15" s="97">
        <f t="shared" si="143"/>
        <v>0</v>
      </c>
      <c r="BI15" s="98">
        <f t="shared" si="144"/>
        <v>0</v>
      </c>
      <c r="BJ15" s="97">
        <f t="shared" si="143"/>
        <v>0</v>
      </c>
      <c r="BK15" s="99">
        <f t="shared" si="144"/>
        <v>0</v>
      </c>
      <c r="BL15" s="97">
        <f t="shared" ref="BL15:BP15" si="145">BL9-BL10+SUM(BL11:BL14)</f>
        <v>0</v>
      </c>
      <c r="BM15" s="98">
        <f t="shared" ref="BM15:BQ15" si="146">IFERROR(BL15/(BL$7+BL$12+BL$13+BL$14),)</f>
        <v>0</v>
      </c>
      <c r="BN15" s="97">
        <f t="shared" si="145"/>
        <v>0</v>
      </c>
      <c r="BO15" s="98">
        <f t="shared" si="146"/>
        <v>0</v>
      </c>
      <c r="BP15" s="97">
        <f t="shared" si="145"/>
        <v>0</v>
      </c>
      <c r="BQ15" s="99">
        <f t="shared" si="146"/>
        <v>0</v>
      </c>
      <c r="BR15" s="97">
        <f t="shared" ref="BR15:BV15" si="147">BR9-BR10+SUM(BR11:BR14)</f>
        <v>0</v>
      </c>
      <c r="BS15" s="98">
        <f t="shared" ref="BS15:BW15" si="148">IFERROR(BR15/(BR$7+BR$12+BR$13+BR$14),)</f>
        <v>0</v>
      </c>
      <c r="BT15" s="97">
        <f t="shared" si="147"/>
        <v>0</v>
      </c>
      <c r="BU15" s="98">
        <f t="shared" si="148"/>
        <v>0</v>
      </c>
      <c r="BV15" s="97">
        <f t="shared" si="147"/>
        <v>0</v>
      </c>
      <c r="BW15" s="99">
        <f t="shared" si="148"/>
        <v>0</v>
      </c>
      <c r="BX15" s="97">
        <f t="shared" ref="BX15:CB15" si="149">BX9-BX10+SUM(BX11:BX14)</f>
        <v>0</v>
      </c>
      <c r="BY15" s="98">
        <f t="shared" ref="BY15:CC15" si="150">IFERROR(BX15/(BX$7+BX$12+BX$13+BX$14),)</f>
        <v>0</v>
      </c>
      <c r="BZ15" s="97">
        <f t="shared" si="149"/>
        <v>0</v>
      </c>
      <c r="CA15" s="98">
        <f t="shared" si="150"/>
        <v>0</v>
      </c>
      <c r="CB15" s="97">
        <f t="shared" si="149"/>
        <v>0</v>
      </c>
      <c r="CC15" s="99">
        <f t="shared" si="150"/>
        <v>0</v>
      </c>
    </row>
    <row r="16" ht="13.75" outlineLevel="2" spans="1:81">
      <c r="B16" s="83" t="s">
        <v>44</v>
      </c>
      <c r="C16" s="83" t="s">
        <v>45</v>
      </c>
      <c r="D16" s="84">
        <f t="shared" ref="D16:H16" si="151">SUMIFS($J16:$CC16,$J$5:$CC$5,D$5)</f>
        <v>0</v>
      </c>
      <c r="E16" s="85">
        <f t="shared" ref="E16:I16" si="152">IFERROR(D16/(D$7+D$12+D$13+D$14),)</f>
        <v>0</v>
      </c>
      <c r="F16" s="84">
        <f t="shared" si="151"/>
        <v>0</v>
      </c>
      <c r="G16" s="85">
        <f t="shared" si="152"/>
        <v>0</v>
      </c>
      <c r="H16" s="84">
        <f t="shared" si="151"/>
        <v>0.9103922913</v>
      </c>
      <c r="I16" s="86">
        <f t="shared" si="152"/>
        <v>0.0149351811308794</v>
      </c>
      <c r="J16" s="84">
        <v>0</v>
      </c>
      <c r="K16" s="85">
        <f t="shared" ref="K16:O16" si="153">IFERROR(J16/(J$7+J$12+J$13+J$14),)</f>
        <v>0</v>
      </c>
      <c r="L16" s="84">
        <v>0</v>
      </c>
      <c r="M16" s="85">
        <f t="shared" si="153"/>
        <v>0</v>
      </c>
      <c r="N16" s="84">
        <v>0.206283</v>
      </c>
      <c r="O16" s="86">
        <f t="shared" si="153"/>
        <v>0.023949109926418</v>
      </c>
      <c r="P16" s="84">
        <v>0</v>
      </c>
      <c r="Q16" s="85">
        <f t="shared" ref="Q16:U16" si="154">IFERROR(P16/(P$7+P$12+P$13+P$14),)</f>
        <v>0</v>
      </c>
      <c r="R16" s="84">
        <v>0</v>
      </c>
      <c r="S16" s="85">
        <f t="shared" si="154"/>
        <v>0</v>
      </c>
      <c r="T16" s="84">
        <v>0.2249</v>
      </c>
      <c r="U16" s="86">
        <f t="shared" si="154"/>
        <v>0.0139876823809685</v>
      </c>
      <c r="V16" s="84">
        <v>0</v>
      </c>
      <c r="W16" s="85">
        <f t="shared" ref="W16:AA16" si="155">IFERROR(V16/(V$7+V$12+V$13+V$14),)</f>
        <v>0</v>
      </c>
      <c r="X16" s="84">
        <v>0</v>
      </c>
      <c r="Y16" s="85">
        <f t="shared" si="155"/>
        <v>0</v>
      </c>
      <c r="Z16" s="84">
        <v>0.272183</v>
      </c>
      <c r="AA16" s="86">
        <f t="shared" si="155"/>
        <v>0.0156511950709802</v>
      </c>
      <c r="AB16" s="84">
        <v>0</v>
      </c>
      <c r="AC16" s="85">
        <f t="shared" ref="AC16:AG16" si="156">IFERROR(AB16/(AB$7+AB$12+AB$13+AB$14),)</f>
        <v>0</v>
      </c>
      <c r="AD16" s="84">
        <v>0</v>
      </c>
      <c r="AE16" s="85">
        <f t="shared" si="156"/>
        <v>0</v>
      </c>
      <c r="AF16" s="84">
        <v>0.139312</v>
      </c>
      <c r="AG16" s="86">
        <f t="shared" si="156"/>
        <v>0.0102958626761084</v>
      </c>
      <c r="AH16" s="84">
        <v>0</v>
      </c>
      <c r="AI16" s="85">
        <f t="shared" ref="AI16:AM16" si="157">IFERROR(AH16/(AH$7+AH$12+AH$13+AH$14),)</f>
        <v>0</v>
      </c>
      <c r="AJ16" s="84">
        <v>0</v>
      </c>
      <c r="AK16" s="85">
        <f t="shared" si="157"/>
        <v>0</v>
      </c>
      <c r="AL16" s="84">
        <v>0.0677142913</v>
      </c>
      <c r="AM16" s="86">
        <f t="shared" si="157"/>
        <v>0.012673513530004</v>
      </c>
      <c r="AN16" s="84">
        <v>0</v>
      </c>
      <c r="AO16" s="85">
        <f t="shared" ref="AO16:AS16" si="158">IFERROR(AN16/(AN$7+AN$12+AN$13+AN$14),)</f>
        <v>0</v>
      </c>
      <c r="AP16" s="84">
        <v>0</v>
      </c>
      <c r="AQ16" s="85">
        <f t="shared" si="158"/>
        <v>0</v>
      </c>
      <c r="AR16" s="84">
        <v>0</v>
      </c>
      <c r="AS16" s="86">
        <f t="shared" si="158"/>
        <v>0</v>
      </c>
      <c r="AT16" s="84">
        <v>0</v>
      </c>
      <c r="AU16" s="85">
        <f t="shared" ref="AU16:AY16" si="159">IFERROR(AT16/(AT$7+AT$12+AT$13+AT$14),)</f>
        <v>0</v>
      </c>
      <c r="AV16" s="84">
        <v>0</v>
      </c>
      <c r="AW16" s="85">
        <f t="shared" si="159"/>
        <v>0</v>
      </c>
      <c r="AX16" s="84">
        <v>0</v>
      </c>
      <c r="AY16" s="86">
        <f t="shared" si="159"/>
        <v>0</v>
      </c>
      <c r="AZ16" s="84">
        <v>0</v>
      </c>
      <c r="BA16" s="85">
        <f t="shared" ref="BA16:BE16" si="160">IFERROR(AZ16/(AZ$7+AZ$12+AZ$13+AZ$14),)</f>
        <v>0</v>
      </c>
      <c r="BB16" s="84">
        <v>0</v>
      </c>
      <c r="BC16" s="85">
        <f t="shared" si="160"/>
        <v>0</v>
      </c>
      <c r="BD16" s="84">
        <v>0</v>
      </c>
      <c r="BE16" s="86">
        <f t="shared" si="160"/>
        <v>0</v>
      </c>
      <c r="BF16" s="84">
        <v>0</v>
      </c>
      <c r="BG16" s="85">
        <f t="shared" ref="BG16:BK16" si="161">IFERROR(BF16/(BF$7+BF$12+BF$13+BF$14),)</f>
        <v>0</v>
      </c>
      <c r="BH16" s="84">
        <v>0</v>
      </c>
      <c r="BI16" s="85">
        <f t="shared" si="161"/>
        <v>0</v>
      </c>
      <c r="BJ16" s="84">
        <v>0</v>
      </c>
      <c r="BK16" s="86">
        <f t="shared" si="161"/>
        <v>0</v>
      </c>
      <c r="BL16" s="84">
        <v>0</v>
      </c>
      <c r="BM16" s="85">
        <f t="shared" ref="BM16:BQ16" si="162">IFERROR(BL16/(BL$7+BL$12+BL$13+BL$14),)</f>
        <v>0</v>
      </c>
      <c r="BN16" s="84">
        <v>0</v>
      </c>
      <c r="BO16" s="85">
        <f t="shared" si="162"/>
        <v>0</v>
      </c>
      <c r="BP16" s="84">
        <v>0</v>
      </c>
      <c r="BQ16" s="86">
        <f t="shared" si="162"/>
        <v>0</v>
      </c>
      <c r="BR16" s="84">
        <v>0</v>
      </c>
      <c r="BS16" s="85">
        <f t="shared" ref="BS16:BW16" si="163">IFERROR(BR16/(BR$7+BR$12+BR$13+BR$14),)</f>
        <v>0</v>
      </c>
      <c r="BT16" s="84">
        <v>0</v>
      </c>
      <c r="BU16" s="85">
        <f t="shared" si="163"/>
        <v>0</v>
      </c>
      <c r="BV16" s="84">
        <v>0</v>
      </c>
      <c r="BW16" s="86">
        <f t="shared" si="163"/>
        <v>0</v>
      </c>
      <c r="BX16" s="84">
        <v>0</v>
      </c>
      <c r="BY16" s="85">
        <f t="shared" ref="BY16:CC16" si="164">IFERROR(BX16/(BX$7+BX$12+BX$13+BX$14),)</f>
        <v>0</v>
      </c>
      <c r="BZ16" s="84">
        <v>0</v>
      </c>
      <c r="CA16" s="85">
        <f t="shared" si="164"/>
        <v>0</v>
      </c>
      <c r="CB16" s="84">
        <v>0</v>
      </c>
      <c r="CC16" s="86">
        <f t="shared" si="164"/>
        <v>0</v>
      </c>
    </row>
    <row r="17" outlineLevel="2" spans="1:81">
      <c r="B17" s="83" t="s">
        <v>46</v>
      </c>
      <c r="C17" s="83" t="s">
        <v>47</v>
      </c>
      <c r="D17" s="84">
        <f t="shared" ref="D17:H17" si="165">SUMIFS($J17:$CC17,$J$5:$CC$5,D$5)</f>
        <v>0</v>
      </c>
      <c r="E17" s="100">
        <f t="shared" ref="E17:I17" si="166">IFERROR(D17/(D$7+D$12+D$13+D$14),)</f>
        <v>0</v>
      </c>
      <c r="F17" s="84">
        <f t="shared" si="165"/>
        <v>0</v>
      </c>
      <c r="G17" s="100">
        <f t="shared" si="166"/>
        <v>0</v>
      </c>
      <c r="H17" s="84">
        <f t="shared" si="165"/>
        <v>4.68131</v>
      </c>
      <c r="I17" s="101">
        <f t="shared" si="166"/>
        <v>0.0767978963002418</v>
      </c>
      <c r="J17" s="84">
        <v>0</v>
      </c>
      <c r="K17" s="100">
        <f t="shared" ref="K17:O17" si="167">IFERROR(J17/(J$7+J$12+J$13+J$14),)</f>
        <v>0</v>
      </c>
      <c r="L17" s="84">
        <v>0</v>
      </c>
      <c r="M17" s="100">
        <f t="shared" si="167"/>
        <v>0</v>
      </c>
      <c r="N17" s="84">
        <v>0.961664</v>
      </c>
      <c r="O17" s="101">
        <f t="shared" si="167"/>
        <v>0.111647575652278</v>
      </c>
      <c r="P17" s="84">
        <v>0</v>
      </c>
      <c r="Q17" s="100">
        <f t="shared" ref="Q17:U17" si="168">IFERROR(P17/(P$7+P$12+P$13+P$14),)</f>
        <v>0</v>
      </c>
      <c r="R17" s="84">
        <v>0</v>
      </c>
      <c r="S17" s="100">
        <f t="shared" si="168"/>
        <v>0</v>
      </c>
      <c r="T17" s="84">
        <v>0.535813</v>
      </c>
      <c r="U17" s="101">
        <f t="shared" si="168"/>
        <v>0.0333249535775628</v>
      </c>
      <c r="V17" s="84">
        <v>0</v>
      </c>
      <c r="W17" s="100">
        <f t="shared" ref="W17:AA17" si="169">IFERROR(V17/(V$7+V$12+V$13+V$14),)</f>
        <v>0</v>
      </c>
      <c r="X17" s="84">
        <v>0</v>
      </c>
      <c r="Y17" s="100">
        <f t="shared" si="169"/>
        <v>0</v>
      </c>
      <c r="Z17" s="84">
        <v>1.078581</v>
      </c>
      <c r="AA17" s="101">
        <f t="shared" si="169"/>
        <v>0.0620210727005466</v>
      </c>
      <c r="AB17" s="84">
        <v>0</v>
      </c>
      <c r="AC17" s="100">
        <f t="shared" ref="AC17:AG17" si="170">IFERROR(AB17/(AB$7+AB$12+AB$13+AB$14),)</f>
        <v>0</v>
      </c>
      <c r="AD17" s="84">
        <v>0</v>
      </c>
      <c r="AE17" s="100">
        <f t="shared" si="170"/>
        <v>0</v>
      </c>
      <c r="AF17" s="84">
        <v>1.025157</v>
      </c>
      <c r="AG17" s="101">
        <f t="shared" si="170"/>
        <v>0.0757642966395662</v>
      </c>
      <c r="AH17" s="84">
        <v>0</v>
      </c>
      <c r="AI17" s="100">
        <f t="shared" ref="AI17:AM17" si="171">IFERROR(AH17/(AH$7+AH$12+AH$13+AH$14),)</f>
        <v>0</v>
      </c>
      <c r="AJ17" s="84">
        <v>0</v>
      </c>
      <c r="AK17" s="100">
        <f t="shared" si="171"/>
        <v>0</v>
      </c>
      <c r="AL17" s="84">
        <v>1.080095</v>
      </c>
      <c r="AM17" s="101">
        <f t="shared" si="171"/>
        <v>0.202152283268298</v>
      </c>
      <c r="AN17" s="84">
        <v>0</v>
      </c>
      <c r="AO17" s="100">
        <f t="shared" ref="AO17:AS17" si="172">IFERROR(AN17/(AN$7+AN$12+AN$13+AN$14),)</f>
        <v>0</v>
      </c>
      <c r="AP17" s="84">
        <v>0</v>
      </c>
      <c r="AQ17" s="100">
        <f t="shared" si="172"/>
        <v>0</v>
      </c>
      <c r="AR17" s="84">
        <v>0</v>
      </c>
      <c r="AS17" s="101">
        <f t="shared" si="172"/>
        <v>0</v>
      </c>
      <c r="AT17" s="84">
        <v>0</v>
      </c>
      <c r="AU17" s="100">
        <f t="shared" ref="AU17:AY17" si="173">IFERROR(AT17/(AT$7+AT$12+AT$13+AT$14),)</f>
        <v>0</v>
      </c>
      <c r="AV17" s="84">
        <v>0</v>
      </c>
      <c r="AW17" s="100">
        <f t="shared" si="173"/>
        <v>0</v>
      </c>
      <c r="AX17" s="84">
        <v>0</v>
      </c>
      <c r="AY17" s="101">
        <f t="shared" si="173"/>
        <v>0</v>
      </c>
      <c r="AZ17" s="84">
        <v>0</v>
      </c>
      <c r="BA17" s="100">
        <f t="shared" ref="BA17:BE17" si="174">IFERROR(AZ17/(AZ$7+AZ$12+AZ$13+AZ$14),)</f>
        <v>0</v>
      </c>
      <c r="BB17" s="84">
        <v>0</v>
      </c>
      <c r="BC17" s="100">
        <f t="shared" si="174"/>
        <v>0</v>
      </c>
      <c r="BD17" s="84">
        <v>0</v>
      </c>
      <c r="BE17" s="101">
        <f t="shared" si="174"/>
        <v>0</v>
      </c>
      <c r="BF17" s="84">
        <v>0</v>
      </c>
      <c r="BG17" s="100">
        <f t="shared" ref="BG17:BK17" si="175">IFERROR(BF17/(BF$7+BF$12+BF$13+BF$14),)</f>
        <v>0</v>
      </c>
      <c r="BH17" s="84">
        <v>0</v>
      </c>
      <c r="BI17" s="100">
        <f t="shared" si="175"/>
        <v>0</v>
      </c>
      <c r="BJ17" s="84">
        <v>0</v>
      </c>
      <c r="BK17" s="101">
        <f t="shared" si="175"/>
        <v>0</v>
      </c>
      <c r="BL17" s="84">
        <v>0</v>
      </c>
      <c r="BM17" s="100">
        <f t="shared" ref="BM17:BQ17" si="176">IFERROR(BL17/(BL$7+BL$12+BL$13+BL$14),)</f>
        <v>0</v>
      </c>
      <c r="BN17" s="84">
        <v>0</v>
      </c>
      <c r="BO17" s="100">
        <f t="shared" si="176"/>
        <v>0</v>
      </c>
      <c r="BP17" s="84">
        <v>0</v>
      </c>
      <c r="BQ17" s="101">
        <f t="shared" si="176"/>
        <v>0</v>
      </c>
      <c r="BR17" s="84">
        <v>0</v>
      </c>
      <c r="BS17" s="100">
        <f t="shared" ref="BS17:BW17" si="177">IFERROR(BR17/(BR$7+BR$12+BR$13+BR$14),)</f>
        <v>0</v>
      </c>
      <c r="BT17" s="84">
        <v>0</v>
      </c>
      <c r="BU17" s="100">
        <f t="shared" si="177"/>
        <v>0</v>
      </c>
      <c r="BV17" s="84">
        <v>0</v>
      </c>
      <c r="BW17" s="101">
        <f t="shared" si="177"/>
        <v>0</v>
      </c>
      <c r="BX17" s="84">
        <v>0</v>
      </c>
      <c r="BY17" s="100">
        <f t="shared" ref="BY17:CC17" si="178">IFERROR(BX17/(BX$7+BX$12+BX$13+BX$14),)</f>
        <v>0</v>
      </c>
      <c r="BZ17" s="84">
        <v>0</v>
      </c>
      <c r="CA17" s="100">
        <f t="shared" si="178"/>
        <v>0</v>
      </c>
      <c r="CB17" s="84">
        <v>0</v>
      </c>
      <c r="CC17" s="101">
        <f t="shared" si="178"/>
        <v>0</v>
      </c>
    </row>
    <row r="18" outlineLevel="2" spans="1:81">
      <c r="B18" s="83" t="s">
        <v>48</v>
      </c>
      <c r="C18" s="83" t="s">
        <v>49</v>
      </c>
      <c r="D18" s="84">
        <f t="shared" ref="D18:H18" si="179">SUMIFS($J18:$CC18,$J$5:$CC$5,D$5)</f>
        <v>0</v>
      </c>
      <c r="E18" s="85">
        <f t="shared" ref="E18:I18" si="180">IFERROR(D18/(D$7+D$12+D$13+D$14),)</f>
        <v>0</v>
      </c>
      <c r="F18" s="84">
        <f t="shared" si="179"/>
        <v>0</v>
      </c>
      <c r="G18" s="85">
        <f t="shared" si="180"/>
        <v>0</v>
      </c>
      <c r="H18" s="84">
        <f t="shared" si="179"/>
        <v>55.452816</v>
      </c>
      <c r="I18" s="86">
        <f t="shared" si="180"/>
        <v>0.909715360171488</v>
      </c>
      <c r="J18" s="84">
        <v>0</v>
      </c>
      <c r="K18" s="85">
        <f t="shared" ref="K18:O18" si="181">IFERROR(J18/(J$7+J$12+J$13+J$14),)</f>
        <v>0</v>
      </c>
      <c r="L18" s="84">
        <v>0</v>
      </c>
      <c r="M18" s="85">
        <f t="shared" si="181"/>
        <v>0</v>
      </c>
      <c r="N18" s="84">
        <v>9.660936</v>
      </c>
      <c r="O18" s="86">
        <f t="shared" si="181"/>
        <v>1.12161844774455</v>
      </c>
      <c r="P18" s="84">
        <v>0</v>
      </c>
      <c r="Q18" s="85">
        <f t="shared" ref="Q18:U18" si="182">IFERROR(P18/(P$7+P$12+P$13+P$14),)</f>
        <v>0</v>
      </c>
      <c r="R18" s="84">
        <v>0</v>
      </c>
      <c r="S18" s="85">
        <f t="shared" si="182"/>
        <v>0</v>
      </c>
      <c r="T18" s="84">
        <v>15.139083</v>
      </c>
      <c r="U18" s="86">
        <f t="shared" si="182"/>
        <v>0.941577076670163</v>
      </c>
      <c r="V18" s="84">
        <v>0</v>
      </c>
      <c r="W18" s="85">
        <f t="shared" ref="W18:AA18" si="183">IFERROR(V18/(V$7+V$12+V$13+V$14),)</f>
        <v>0</v>
      </c>
      <c r="X18" s="84">
        <v>0</v>
      </c>
      <c r="Y18" s="85">
        <f t="shared" si="183"/>
        <v>0</v>
      </c>
      <c r="Z18" s="84">
        <v>8.365962</v>
      </c>
      <c r="AA18" s="86">
        <f t="shared" si="183"/>
        <v>0.481063487500717</v>
      </c>
      <c r="AB18" s="84">
        <v>0</v>
      </c>
      <c r="AC18" s="85">
        <f t="shared" ref="AC18:AG18" si="184">IFERROR(AB18/(AB$7+AB$12+AB$13+AB$14),)</f>
        <v>0</v>
      </c>
      <c r="AD18" s="84">
        <v>0</v>
      </c>
      <c r="AE18" s="85">
        <f t="shared" si="184"/>
        <v>0</v>
      </c>
      <c r="AF18" s="84">
        <v>15.81359</v>
      </c>
      <c r="AG18" s="86">
        <f t="shared" si="184"/>
        <v>1.16870442644051</v>
      </c>
      <c r="AH18" s="84">
        <v>0</v>
      </c>
      <c r="AI18" s="85">
        <f t="shared" ref="AI18:AM18" si="185">IFERROR(AH18/(AH$7+AH$12+AH$13+AH$14),)</f>
        <v>0</v>
      </c>
      <c r="AJ18" s="84">
        <v>0</v>
      </c>
      <c r="AK18" s="85">
        <f t="shared" si="185"/>
        <v>0</v>
      </c>
      <c r="AL18" s="84">
        <v>6.473245</v>
      </c>
      <c r="AM18" s="86">
        <f t="shared" si="185"/>
        <v>1.2115427410599</v>
      </c>
      <c r="AN18" s="84">
        <v>0</v>
      </c>
      <c r="AO18" s="85">
        <f t="shared" ref="AO18:AS18" si="186">IFERROR(AN18/(AN$7+AN$12+AN$13+AN$14),)</f>
        <v>0</v>
      </c>
      <c r="AP18" s="84">
        <v>0</v>
      </c>
      <c r="AQ18" s="85">
        <f t="shared" si="186"/>
        <v>0</v>
      </c>
      <c r="AR18" s="84">
        <v>0</v>
      </c>
      <c r="AS18" s="86">
        <f t="shared" si="186"/>
        <v>0</v>
      </c>
      <c r="AT18" s="84">
        <v>0</v>
      </c>
      <c r="AU18" s="85">
        <f t="shared" ref="AU18:AY18" si="187">IFERROR(AT18/(AT$7+AT$12+AT$13+AT$14),)</f>
        <v>0</v>
      </c>
      <c r="AV18" s="84">
        <v>0</v>
      </c>
      <c r="AW18" s="85">
        <f t="shared" si="187"/>
        <v>0</v>
      </c>
      <c r="AX18" s="84">
        <v>0</v>
      </c>
      <c r="AY18" s="86">
        <f t="shared" si="187"/>
        <v>0</v>
      </c>
      <c r="AZ18" s="84">
        <v>0</v>
      </c>
      <c r="BA18" s="85">
        <f t="shared" ref="BA18:BE18" si="188">IFERROR(AZ18/(AZ$7+AZ$12+AZ$13+AZ$14),)</f>
        <v>0</v>
      </c>
      <c r="BB18" s="84">
        <v>0</v>
      </c>
      <c r="BC18" s="85">
        <f t="shared" si="188"/>
        <v>0</v>
      </c>
      <c r="BD18" s="84">
        <v>0</v>
      </c>
      <c r="BE18" s="86">
        <f t="shared" si="188"/>
        <v>0</v>
      </c>
      <c r="BF18" s="84">
        <v>0</v>
      </c>
      <c r="BG18" s="85">
        <f t="shared" ref="BG18:BK18" si="189">IFERROR(BF18/(BF$7+BF$12+BF$13+BF$14),)</f>
        <v>0</v>
      </c>
      <c r="BH18" s="84">
        <v>0</v>
      </c>
      <c r="BI18" s="85">
        <f t="shared" si="189"/>
        <v>0</v>
      </c>
      <c r="BJ18" s="84">
        <v>0</v>
      </c>
      <c r="BK18" s="86">
        <f t="shared" si="189"/>
        <v>0</v>
      </c>
      <c r="BL18" s="84">
        <v>0</v>
      </c>
      <c r="BM18" s="85">
        <f t="shared" ref="BM18:BQ18" si="190">IFERROR(BL18/(BL$7+BL$12+BL$13+BL$14),)</f>
        <v>0</v>
      </c>
      <c r="BN18" s="84">
        <v>0</v>
      </c>
      <c r="BO18" s="85">
        <f t="shared" si="190"/>
        <v>0</v>
      </c>
      <c r="BP18" s="84">
        <v>0</v>
      </c>
      <c r="BQ18" s="86">
        <f t="shared" si="190"/>
        <v>0</v>
      </c>
      <c r="BR18" s="84">
        <v>0</v>
      </c>
      <c r="BS18" s="85">
        <f t="shared" ref="BS18:BW18" si="191">IFERROR(BR18/(BR$7+BR$12+BR$13+BR$14),)</f>
        <v>0</v>
      </c>
      <c r="BT18" s="84">
        <v>0</v>
      </c>
      <c r="BU18" s="85">
        <f t="shared" si="191"/>
        <v>0</v>
      </c>
      <c r="BV18" s="84">
        <v>0</v>
      </c>
      <c r="BW18" s="86">
        <f t="shared" si="191"/>
        <v>0</v>
      </c>
      <c r="BX18" s="84">
        <v>0</v>
      </c>
      <c r="BY18" s="85">
        <f t="shared" ref="BY18:CC18" si="192">IFERROR(BX18/(BX$7+BX$12+BX$13+BX$14),)</f>
        <v>0</v>
      </c>
      <c r="BZ18" s="84">
        <v>0</v>
      </c>
      <c r="CA18" s="85">
        <f t="shared" si="192"/>
        <v>0</v>
      </c>
      <c r="CB18" s="84">
        <v>0</v>
      </c>
      <c r="CC18" s="86">
        <f t="shared" si="192"/>
        <v>0</v>
      </c>
    </row>
    <row r="19" outlineLevel="2" spans="1:81">
      <c r="B19" s="83" t="s">
        <v>50</v>
      </c>
      <c r="C19" s="83" t="s">
        <v>51</v>
      </c>
      <c r="D19" s="84">
        <f t="shared" ref="D19:H19" si="193">SUMIFS($J19:$CC19,$J$5:$CC$5,D$5)</f>
        <v>0</v>
      </c>
      <c r="E19" s="85">
        <f t="shared" ref="E19:I19" si="194">IFERROR(D19/(D$7+D$12+D$13+D$14),)</f>
        <v>0</v>
      </c>
      <c r="F19" s="84">
        <f t="shared" si="193"/>
        <v>0</v>
      </c>
      <c r="G19" s="85">
        <f t="shared" si="194"/>
        <v>0</v>
      </c>
      <c r="H19" s="84">
        <f t="shared" si="193"/>
        <v>0</v>
      </c>
      <c r="I19" s="86">
        <f t="shared" si="194"/>
        <v>0</v>
      </c>
      <c r="J19" s="84">
        <v>0</v>
      </c>
      <c r="K19" s="85">
        <f t="shared" ref="K19:O19" si="195">IFERROR(J19/(J$7+J$12+J$13+J$14),)</f>
        <v>0</v>
      </c>
      <c r="L19" s="84">
        <v>0</v>
      </c>
      <c r="M19" s="85">
        <f t="shared" si="195"/>
        <v>0</v>
      </c>
      <c r="N19" s="84">
        <v>0</v>
      </c>
      <c r="O19" s="86">
        <f t="shared" si="195"/>
        <v>0</v>
      </c>
      <c r="P19" s="84">
        <v>0</v>
      </c>
      <c r="Q19" s="85">
        <f t="shared" ref="Q19:U19" si="196">IFERROR(P19/(P$7+P$12+P$13+P$14),)</f>
        <v>0</v>
      </c>
      <c r="R19" s="84">
        <v>0</v>
      </c>
      <c r="S19" s="85">
        <f t="shared" si="196"/>
        <v>0</v>
      </c>
      <c r="T19" s="84">
        <v>0</v>
      </c>
      <c r="U19" s="86">
        <f t="shared" si="196"/>
        <v>0</v>
      </c>
      <c r="V19" s="84">
        <v>0</v>
      </c>
      <c r="W19" s="85">
        <f t="shared" ref="W19:AA19" si="197">IFERROR(V19/(V$7+V$12+V$13+V$14),)</f>
        <v>0</v>
      </c>
      <c r="X19" s="84">
        <v>0</v>
      </c>
      <c r="Y19" s="85">
        <f t="shared" si="197"/>
        <v>0</v>
      </c>
      <c r="Z19" s="84">
        <v>0</v>
      </c>
      <c r="AA19" s="86">
        <f t="shared" si="197"/>
        <v>0</v>
      </c>
      <c r="AB19" s="84">
        <v>0</v>
      </c>
      <c r="AC19" s="85">
        <f t="shared" ref="AC19:AG19" si="198">IFERROR(AB19/(AB$7+AB$12+AB$13+AB$14),)</f>
        <v>0</v>
      </c>
      <c r="AD19" s="84">
        <v>0</v>
      </c>
      <c r="AE19" s="85">
        <f t="shared" si="198"/>
        <v>0</v>
      </c>
      <c r="AF19" s="84">
        <v>0</v>
      </c>
      <c r="AG19" s="86">
        <f t="shared" si="198"/>
        <v>0</v>
      </c>
      <c r="AH19" s="84">
        <v>0</v>
      </c>
      <c r="AI19" s="85">
        <f t="shared" ref="AI19:AM19" si="199">IFERROR(AH19/(AH$7+AH$12+AH$13+AH$14),)</f>
        <v>0</v>
      </c>
      <c r="AJ19" s="84">
        <v>0</v>
      </c>
      <c r="AK19" s="85">
        <f t="shared" si="199"/>
        <v>0</v>
      </c>
      <c r="AL19" s="84">
        <v>0</v>
      </c>
      <c r="AM19" s="86">
        <f t="shared" si="199"/>
        <v>0</v>
      </c>
      <c r="AN19" s="84">
        <v>0</v>
      </c>
      <c r="AO19" s="85">
        <f t="shared" ref="AO19:AS19" si="200">IFERROR(AN19/(AN$7+AN$12+AN$13+AN$14),)</f>
        <v>0</v>
      </c>
      <c r="AP19" s="84">
        <v>0</v>
      </c>
      <c r="AQ19" s="85">
        <f t="shared" si="200"/>
        <v>0</v>
      </c>
      <c r="AR19" s="84">
        <v>0</v>
      </c>
      <c r="AS19" s="86">
        <f t="shared" si="200"/>
        <v>0</v>
      </c>
      <c r="AT19" s="84">
        <v>0</v>
      </c>
      <c r="AU19" s="85">
        <f t="shared" ref="AU19:AY19" si="201">IFERROR(AT19/(AT$7+AT$12+AT$13+AT$14),)</f>
        <v>0</v>
      </c>
      <c r="AV19" s="84">
        <v>0</v>
      </c>
      <c r="AW19" s="85">
        <f t="shared" si="201"/>
        <v>0</v>
      </c>
      <c r="AX19" s="84">
        <v>0</v>
      </c>
      <c r="AY19" s="86">
        <f t="shared" si="201"/>
        <v>0</v>
      </c>
      <c r="AZ19" s="84">
        <v>0</v>
      </c>
      <c r="BA19" s="85">
        <f t="shared" ref="BA19:BE19" si="202">IFERROR(AZ19/(AZ$7+AZ$12+AZ$13+AZ$14),)</f>
        <v>0</v>
      </c>
      <c r="BB19" s="84">
        <v>0</v>
      </c>
      <c r="BC19" s="85">
        <f t="shared" si="202"/>
        <v>0</v>
      </c>
      <c r="BD19" s="84">
        <v>0</v>
      </c>
      <c r="BE19" s="86">
        <f t="shared" si="202"/>
        <v>0</v>
      </c>
      <c r="BF19" s="84">
        <v>0</v>
      </c>
      <c r="BG19" s="85">
        <f t="shared" ref="BG19:BK19" si="203">IFERROR(BF19/(BF$7+BF$12+BF$13+BF$14),)</f>
        <v>0</v>
      </c>
      <c r="BH19" s="84">
        <v>0</v>
      </c>
      <c r="BI19" s="85">
        <f t="shared" si="203"/>
        <v>0</v>
      </c>
      <c r="BJ19" s="84">
        <v>0</v>
      </c>
      <c r="BK19" s="86">
        <f t="shared" si="203"/>
        <v>0</v>
      </c>
      <c r="BL19" s="84">
        <v>0</v>
      </c>
      <c r="BM19" s="85">
        <f t="shared" ref="BM19:BQ19" si="204">IFERROR(BL19/(BL$7+BL$12+BL$13+BL$14),)</f>
        <v>0</v>
      </c>
      <c r="BN19" s="84">
        <v>0</v>
      </c>
      <c r="BO19" s="85">
        <f t="shared" si="204"/>
        <v>0</v>
      </c>
      <c r="BP19" s="84">
        <v>0</v>
      </c>
      <c r="BQ19" s="86">
        <f t="shared" si="204"/>
        <v>0</v>
      </c>
      <c r="BR19" s="84">
        <v>0</v>
      </c>
      <c r="BS19" s="85">
        <f t="shared" ref="BS19:BW19" si="205">IFERROR(BR19/(BR$7+BR$12+BR$13+BR$14),)</f>
        <v>0</v>
      </c>
      <c r="BT19" s="84">
        <v>0</v>
      </c>
      <c r="BU19" s="85">
        <f t="shared" si="205"/>
        <v>0</v>
      </c>
      <c r="BV19" s="84">
        <v>0</v>
      </c>
      <c r="BW19" s="86">
        <f t="shared" si="205"/>
        <v>0</v>
      </c>
      <c r="BX19" s="84">
        <v>0</v>
      </c>
      <c r="BY19" s="85">
        <f t="shared" ref="BY19:CC19" si="206">IFERROR(BX19/(BX$7+BX$12+BX$13+BX$14),)</f>
        <v>0</v>
      </c>
      <c r="BZ19" s="84">
        <v>0</v>
      </c>
      <c r="CA19" s="85">
        <f t="shared" si="206"/>
        <v>0</v>
      </c>
      <c r="CB19" s="84">
        <v>0</v>
      </c>
      <c r="CC19" s="86">
        <f t="shared" si="206"/>
        <v>0</v>
      </c>
    </row>
    <row r="20" outlineLevel="2" spans="1:81">
      <c r="B20" s="83" t="s">
        <v>52</v>
      </c>
      <c r="C20" s="83" t="s">
        <v>53</v>
      </c>
      <c r="D20" s="84">
        <f t="shared" ref="D20:H20" si="207">SUMIFS($J20:$CC20,$J$5:$CC$5,D$5)</f>
        <v>0</v>
      </c>
      <c r="E20" s="85">
        <f t="shared" ref="E20:I20" si="208">IFERROR(D20/(D$7+D$12+D$13+D$14),)</f>
        <v>0</v>
      </c>
      <c r="F20" s="84">
        <f t="shared" si="207"/>
        <v>0</v>
      </c>
      <c r="G20" s="85">
        <f t="shared" si="208"/>
        <v>0</v>
      </c>
      <c r="H20" s="84">
        <f t="shared" si="207"/>
        <v>0</v>
      </c>
      <c r="I20" s="86">
        <f t="shared" si="208"/>
        <v>0</v>
      </c>
      <c r="J20" s="84">
        <v>0</v>
      </c>
      <c r="K20" s="85">
        <f t="shared" ref="K20:O20" si="209">IFERROR(J20/(J$7+J$12+J$13+J$14),)</f>
        <v>0</v>
      </c>
      <c r="L20" s="84">
        <v>0</v>
      </c>
      <c r="M20" s="85">
        <f t="shared" si="209"/>
        <v>0</v>
      </c>
      <c r="N20" s="84">
        <v>0</v>
      </c>
      <c r="O20" s="86">
        <f t="shared" si="209"/>
        <v>0</v>
      </c>
      <c r="P20" s="84">
        <v>0</v>
      </c>
      <c r="Q20" s="85">
        <f t="shared" ref="Q20:U20" si="210">IFERROR(P20/(P$7+P$12+P$13+P$14),)</f>
        <v>0</v>
      </c>
      <c r="R20" s="84">
        <v>0</v>
      </c>
      <c r="S20" s="85">
        <f t="shared" si="210"/>
        <v>0</v>
      </c>
      <c r="T20" s="84">
        <v>0</v>
      </c>
      <c r="U20" s="86">
        <f t="shared" si="210"/>
        <v>0</v>
      </c>
      <c r="V20" s="84">
        <v>0</v>
      </c>
      <c r="W20" s="85">
        <f t="shared" ref="W20:AA20" si="211">IFERROR(V20/(V$7+V$12+V$13+V$14),)</f>
        <v>0</v>
      </c>
      <c r="X20" s="84">
        <v>0</v>
      </c>
      <c r="Y20" s="85">
        <f t="shared" si="211"/>
        <v>0</v>
      </c>
      <c r="Z20" s="84">
        <v>0</v>
      </c>
      <c r="AA20" s="86">
        <f t="shared" si="211"/>
        <v>0</v>
      </c>
      <c r="AB20" s="84">
        <v>0</v>
      </c>
      <c r="AC20" s="85">
        <f t="shared" ref="AC20:AG20" si="212">IFERROR(AB20/(AB$7+AB$12+AB$13+AB$14),)</f>
        <v>0</v>
      </c>
      <c r="AD20" s="84">
        <v>0</v>
      </c>
      <c r="AE20" s="85">
        <f t="shared" si="212"/>
        <v>0</v>
      </c>
      <c r="AF20" s="84">
        <v>0</v>
      </c>
      <c r="AG20" s="86">
        <f t="shared" si="212"/>
        <v>0</v>
      </c>
      <c r="AH20" s="84">
        <v>0</v>
      </c>
      <c r="AI20" s="85">
        <f t="shared" ref="AI20:AM20" si="213">IFERROR(AH20/(AH$7+AH$12+AH$13+AH$14),)</f>
        <v>0</v>
      </c>
      <c r="AJ20" s="84">
        <v>0</v>
      </c>
      <c r="AK20" s="85">
        <f t="shared" si="213"/>
        <v>0</v>
      </c>
      <c r="AL20" s="84">
        <v>0</v>
      </c>
      <c r="AM20" s="86">
        <f t="shared" si="213"/>
        <v>0</v>
      </c>
      <c r="AN20" s="84">
        <v>0</v>
      </c>
      <c r="AO20" s="85">
        <f t="shared" ref="AO20:AS20" si="214">IFERROR(AN20/(AN$7+AN$12+AN$13+AN$14),)</f>
        <v>0</v>
      </c>
      <c r="AP20" s="84">
        <v>0</v>
      </c>
      <c r="AQ20" s="85">
        <f t="shared" si="214"/>
        <v>0</v>
      </c>
      <c r="AR20" s="84">
        <v>0</v>
      </c>
      <c r="AS20" s="86">
        <f t="shared" si="214"/>
        <v>0</v>
      </c>
      <c r="AT20" s="84">
        <v>0</v>
      </c>
      <c r="AU20" s="85">
        <f t="shared" ref="AU20:AY20" si="215">IFERROR(AT20/(AT$7+AT$12+AT$13+AT$14),)</f>
        <v>0</v>
      </c>
      <c r="AV20" s="84">
        <v>0</v>
      </c>
      <c r="AW20" s="85">
        <f t="shared" si="215"/>
        <v>0</v>
      </c>
      <c r="AX20" s="84">
        <v>0</v>
      </c>
      <c r="AY20" s="86">
        <f t="shared" si="215"/>
        <v>0</v>
      </c>
      <c r="AZ20" s="84">
        <v>0</v>
      </c>
      <c r="BA20" s="85">
        <f t="shared" ref="BA20:BE20" si="216">IFERROR(AZ20/(AZ$7+AZ$12+AZ$13+AZ$14),)</f>
        <v>0</v>
      </c>
      <c r="BB20" s="84">
        <v>0</v>
      </c>
      <c r="BC20" s="85">
        <f t="shared" si="216"/>
        <v>0</v>
      </c>
      <c r="BD20" s="84">
        <v>0</v>
      </c>
      <c r="BE20" s="86">
        <f t="shared" si="216"/>
        <v>0</v>
      </c>
      <c r="BF20" s="84">
        <v>0</v>
      </c>
      <c r="BG20" s="85">
        <f t="shared" ref="BG20:BK20" si="217">IFERROR(BF20/(BF$7+BF$12+BF$13+BF$14),)</f>
        <v>0</v>
      </c>
      <c r="BH20" s="84">
        <v>0</v>
      </c>
      <c r="BI20" s="85">
        <f t="shared" si="217"/>
        <v>0</v>
      </c>
      <c r="BJ20" s="84">
        <v>0</v>
      </c>
      <c r="BK20" s="86">
        <f t="shared" si="217"/>
        <v>0</v>
      </c>
      <c r="BL20" s="84">
        <v>0</v>
      </c>
      <c r="BM20" s="85">
        <f t="shared" ref="BM20:BQ20" si="218">IFERROR(BL20/(BL$7+BL$12+BL$13+BL$14),)</f>
        <v>0</v>
      </c>
      <c r="BN20" s="84">
        <v>0</v>
      </c>
      <c r="BO20" s="85">
        <f t="shared" si="218"/>
        <v>0</v>
      </c>
      <c r="BP20" s="84">
        <v>0</v>
      </c>
      <c r="BQ20" s="86">
        <f t="shared" si="218"/>
        <v>0</v>
      </c>
      <c r="BR20" s="84">
        <v>0</v>
      </c>
      <c r="BS20" s="85">
        <f t="shared" ref="BS20:BW20" si="219">IFERROR(BR20/(BR$7+BR$12+BR$13+BR$14),)</f>
        <v>0</v>
      </c>
      <c r="BT20" s="84">
        <v>0</v>
      </c>
      <c r="BU20" s="85">
        <f t="shared" si="219"/>
        <v>0</v>
      </c>
      <c r="BV20" s="84">
        <v>0</v>
      </c>
      <c r="BW20" s="86">
        <f t="shared" si="219"/>
        <v>0</v>
      </c>
      <c r="BX20" s="84">
        <v>0</v>
      </c>
      <c r="BY20" s="85">
        <f t="shared" ref="BY20:CC20" si="220">IFERROR(BX20/(BX$7+BX$12+BX$13+BX$14),)</f>
        <v>0</v>
      </c>
      <c r="BZ20" s="84">
        <v>0</v>
      </c>
      <c r="CA20" s="85">
        <f t="shared" si="220"/>
        <v>0</v>
      </c>
      <c r="CB20" s="84">
        <v>0</v>
      </c>
      <c r="CC20" s="86">
        <f t="shared" si="220"/>
        <v>0</v>
      </c>
    </row>
    <row r="21" outlineLevel="2" spans="1:81">
      <c r="B21" s="83" t="s">
        <v>54</v>
      </c>
      <c r="C21" s="83" t="s">
        <v>55</v>
      </c>
      <c r="D21" s="84">
        <f t="shared" ref="D21:H21" si="221">SUMIFS($J21:$CC21,$J$5:$CC$5,D$5)</f>
        <v>0</v>
      </c>
      <c r="E21" s="85">
        <f t="shared" ref="E21:I21" si="222">IFERROR(D21/(D$7+D$12+D$13+D$14),)</f>
        <v>0</v>
      </c>
      <c r="F21" s="84">
        <f t="shared" si="221"/>
        <v>0</v>
      </c>
      <c r="G21" s="85">
        <f t="shared" si="222"/>
        <v>0</v>
      </c>
      <c r="H21" s="84">
        <f t="shared" si="221"/>
        <v>0</v>
      </c>
      <c r="I21" s="86">
        <f t="shared" si="222"/>
        <v>0</v>
      </c>
      <c r="J21" s="84">
        <v>0</v>
      </c>
      <c r="K21" s="85">
        <f t="shared" ref="K21:O21" si="223">IFERROR(J21/(J$7+J$12+J$13+J$14),)</f>
        <v>0</v>
      </c>
      <c r="L21" s="84">
        <v>0</v>
      </c>
      <c r="M21" s="85">
        <f t="shared" si="223"/>
        <v>0</v>
      </c>
      <c r="N21" s="84">
        <v>0</v>
      </c>
      <c r="O21" s="86">
        <f t="shared" si="223"/>
        <v>0</v>
      </c>
      <c r="P21" s="84">
        <v>0</v>
      </c>
      <c r="Q21" s="85">
        <f t="shared" ref="Q21:U21" si="224">IFERROR(P21/(P$7+P$12+P$13+P$14),)</f>
        <v>0</v>
      </c>
      <c r="R21" s="84">
        <v>0</v>
      </c>
      <c r="S21" s="85">
        <f t="shared" si="224"/>
        <v>0</v>
      </c>
      <c r="T21" s="84">
        <v>0</v>
      </c>
      <c r="U21" s="86">
        <f t="shared" si="224"/>
        <v>0</v>
      </c>
      <c r="V21" s="84">
        <v>0</v>
      </c>
      <c r="W21" s="85">
        <f t="shared" ref="W21:AA21" si="225">IFERROR(V21/(V$7+V$12+V$13+V$14),)</f>
        <v>0</v>
      </c>
      <c r="X21" s="84">
        <v>0</v>
      </c>
      <c r="Y21" s="85">
        <f t="shared" si="225"/>
        <v>0</v>
      </c>
      <c r="Z21" s="84">
        <v>0</v>
      </c>
      <c r="AA21" s="86">
        <f t="shared" si="225"/>
        <v>0</v>
      </c>
      <c r="AB21" s="84">
        <v>0</v>
      </c>
      <c r="AC21" s="85">
        <f t="shared" ref="AC21:AG21" si="226">IFERROR(AB21/(AB$7+AB$12+AB$13+AB$14),)</f>
        <v>0</v>
      </c>
      <c r="AD21" s="84">
        <v>0</v>
      </c>
      <c r="AE21" s="85">
        <f t="shared" si="226"/>
        <v>0</v>
      </c>
      <c r="AF21" s="84">
        <v>0</v>
      </c>
      <c r="AG21" s="86">
        <f t="shared" si="226"/>
        <v>0</v>
      </c>
      <c r="AH21" s="84">
        <v>0</v>
      </c>
      <c r="AI21" s="85">
        <f t="shared" ref="AI21:AM21" si="227">IFERROR(AH21/(AH$7+AH$12+AH$13+AH$14),)</f>
        <v>0</v>
      </c>
      <c r="AJ21" s="84">
        <v>0</v>
      </c>
      <c r="AK21" s="85">
        <f t="shared" si="227"/>
        <v>0</v>
      </c>
      <c r="AL21" s="84">
        <v>0</v>
      </c>
      <c r="AM21" s="86">
        <f t="shared" si="227"/>
        <v>0</v>
      </c>
      <c r="AN21" s="84">
        <v>0</v>
      </c>
      <c r="AO21" s="85">
        <f t="shared" ref="AO21:AS21" si="228">IFERROR(AN21/(AN$7+AN$12+AN$13+AN$14),)</f>
        <v>0</v>
      </c>
      <c r="AP21" s="84">
        <v>0</v>
      </c>
      <c r="AQ21" s="85">
        <f t="shared" si="228"/>
        <v>0</v>
      </c>
      <c r="AR21" s="84">
        <v>0</v>
      </c>
      <c r="AS21" s="86">
        <f t="shared" si="228"/>
        <v>0</v>
      </c>
      <c r="AT21" s="84">
        <v>0</v>
      </c>
      <c r="AU21" s="85">
        <f t="shared" ref="AU21:AY21" si="229">IFERROR(AT21/(AT$7+AT$12+AT$13+AT$14),)</f>
        <v>0</v>
      </c>
      <c r="AV21" s="84">
        <v>0</v>
      </c>
      <c r="AW21" s="85">
        <f t="shared" si="229"/>
        <v>0</v>
      </c>
      <c r="AX21" s="84">
        <v>0</v>
      </c>
      <c r="AY21" s="86">
        <f t="shared" si="229"/>
        <v>0</v>
      </c>
      <c r="AZ21" s="84">
        <v>0</v>
      </c>
      <c r="BA21" s="85">
        <f t="shared" ref="BA21:BE21" si="230">IFERROR(AZ21/(AZ$7+AZ$12+AZ$13+AZ$14),)</f>
        <v>0</v>
      </c>
      <c r="BB21" s="84">
        <v>0</v>
      </c>
      <c r="BC21" s="85">
        <f t="shared" si="230"/>
        <v>0</v>
      </c>
      <c r="BD21" s="84">
        <v>0</v>
      </c>
      <c r="BE21" s="86">
        <f t="shared" si="230"/>
        <v>0</v>
      </c>
      <c r="BF21" s="84">
        <v>0</v>
      </c>
      <c r="BG21" s="85">
        <f t="shared" ref="BG21:BK21" si="231">IFERROR(BF21/(BF$7+BF$12+BF$13+BF$14),)</f>
        <v>0</v>
      </c>
      <c r="BH21" s="84">
        <v>0</v>
      </c>
      <c r="BI21" s="85">
        <f t="shared" si="231"/>
        <v>0</v>
      </c>
      <c r="BJ21" s="84">
        <v>0</v>
      </c>
      <c r="BK21" s="86">
        <f t="shared" si="231"/>
        <v>0</v>
      </c>
      <c r="BL21" s="84">
        <v>0</v>
      </c>
      <c r="BM21" s="85">
        <f t="shared" ref="BM21:BQ21" si="232">IFERROR(BL21/(BL$7+BL$12+BL$13+BL$14),)</f>
        <v>0</v>
      </c>
      <c r="BN21" s="84">
        <v>0</v>
      </c>
      <c r="BO21" s="85">
        <f t="shared" si="232"/>
        <v>0</v>
      </c>
      <c r="BP21" s="84">
        <v>0</v>
      </c>
      <c r="BQ21" s="86">
        <f t="shared" si="232"/>
        <v>0</v>
      </c>
      <c r="BR21" s="84">
        <v>0</v>
      </c>
      <c r="BS21" s="85">
        <f t="shared" ref="BS21:BW21" si="233">IFERROR(BR21/(BR$7+BR$12+BR$13+BR$14),)</f>
        <v>0</v>
      </c>
      <c r="BT21" s="84">
        <v>0</v>
      </c>
      <c r="BU21" s="85">
        <f t="shared" si="233"/>
        <v>0</v>
      </c>
      <c r="BV21" s="84">
        <v>0</v>
      </c>
      <c r="BW21" s="86">
        <f t="shared" si="233"/>
        <v>0</v>
      </c>
      <c r="BX21" s="84">
        <v>0</v>
      </c>
      <c r="BY21" s="85">
        <f t="shared" ref="BY21:CC21" si="234">IFERROR(BX21/(BX$7+BX$12+BX$13+BX$14),)</f>
        <v>0</v>
      </c>
      <c r="BZ21" s="84">
        <v>0</v>
      </c>
      <c r="CA21" s="85">
        <f t="shared" si="234"/>
        <v>0</v>
      </c>
      <c r="CB21" s="84">
        <v>0</v>
      </c>
      <c r="CC21" s="86">
        <f t="shared" si="234"/>
        <v>0</v>
      </c>
    </row>
    <row r="22" s="41" customFormat="1" outlineLevel="2" spans="1:81">
      <c r="A22" s="43"/>
      <c r="B22" s="83" t="s">
        <v>56</v>
      </c>
      <c r="C22" s="83" t="s">
        <v>57</v>
      </c>
      <c r="D22" s="84">
        <f t="shared" ref="D22:H22" si="235">SUMIFS($J22:$CC22,$J$5:$CC$5,D$5)</f>
        <v>0</v>
      </c>
      <c r="E22" s="100">
        <f t="shared" ref="E22:I22" si="236">IFERROR(D22/(D$7+D$12+D$13+D$14),)</f>
        <v>0</v>
      </c>
      <c r="F22" s="84">
        <f t="shared" si="235"/>
        <v>0</v>
      </c>
      <c r="G22" s="100">
        <f t="shared" si="236"/>
        <v>0</v>
      </c>
      <c r="H22" s="84">
        <f t="shared" si="235"/>
        <v>0</v>
      </c>
      <c r="I22" s="101">
        <f t="shared" si="236"/>
        <v>0</v>
      </c>
      <c r="J22" s="84">
        <v>0</v>
      </c>
      <c r="K22" s="100">
        <f t="shared" ref="K22:O22" si="237">IFERROR(J22/(J$7+J$12+J$13+J$14),)</f>
        <v>0</v>
      </c>
      <c r="L22" s="84"/>
      <c r="M22" s="100">
        <f t="shared" si="237"/>
        <v>0</v>
      </c>
      <c r="N22" s="84">
        <v>0</v>
      </c>
      <c r="O22" s="101">
        <f t="shared" si="237"/>
        <v>0</v>
      </c>
      <c r="P22" s="84">
        <v>0</v>
      </c>
      <c r="Q22" s="100">
        <f t="shared" ref="Q22:U22" si="238">IFERROR(P22/(P$7+P$12+P$13+P$14),)</f>
        <v>0</v>
      </c>
      <c r="R22" s="84"/>
      <c r="S22" s="100">
        <f t="shared" si="238"/>
        <v>0</v>
      </c>
      <c r="T22" s="84">
        <v>0</v>
      </c>
      <c r="U22" s="101">
        <f t="shared" si="238"/>
        <v>0</v>
      </c>
      <c r="V22" s="84">
        <v>0</v>
      </c>
      <c r="W22" s="100">
        <f t="shared" ref="W22:AA22" si="239">IFERROR(V22/(V$7+V$12+V$13+V$14),)</f>
        <v>0</v>
      </c>
      <c r="X22" s="84"/>
      <c r="Y22" s="100">
        <f t="shared" si="239"/>
        <v>0</v>
      </c>
      <c r="Z22" s="84">
        <v>0</v>
      </c>
      <c r="AA22" s="101">
        <f t="shared" si="239"/>
        <v>0</v>
      </c>
      <c r="AB22" s="84">
        <v>0</v>
      </c>
      <c r="AC22" s="100">
        <f t="shared" ref="AC22:AG22" si="240">IFERROR(AB22/(AB$7+AB$12+AB$13+AB$14),)</f>
        <v>0</v>
      </c>
      <c r="AD22" s="84"/>
      <c r="AE22" s="100">
        <f t="shared" si="240"/>
        <v>0</v>
      </c>
      <c r="AF22" s="84">
        <v>0</v>
      </c>
      <c r="AG22" s="101">
        <f t="shared" si="240"/>
        <v>0</v>
      </c>
      <c r="AH22" s="84">
        <v>0</v>
      </c>
      <c r="AI22" s="100">
        <f t="shared" ref="AI22:AM22" si="241">IFERROR(AH22/(AH$7+AH$12+AH$13+AH$14),)</f>
        <v>0</v>
      </c>
      <c r="AJ22" s="84"/>
      <c r="AK22" s="100">
        <f t="shared" si="241"/>
        <v>0</v>
      </c>
      <c r="AL22" s="84">
        <v>0</v>
      </c>
      <c r="AM22" s="101">
        <f t="shared" si="241"/>
        <v>0</v>
      </c>
      <c r="AN22" s="84">
        <v>0</v>
      </c>
      <c r="AO22" s="100">
        <f t="shared" ref="AO22:AS22" si="242">IFERROR(AN22/(AN$7+AN$12+AN$13+AN$14),)</f>
        <v>0</v>
      </c>
      <c r="AP22" s="84"/>
      <c r="AQ22" s="100">
        <f t="shared" si="242"/>
        <v>0</v>
      </c>
      <c r="AR22" s="84">
        <v>0</v>
      </c>
      <c r="AS22" s="101">
        <f t="shared" si="242"/>
        <v>0</v>
      </c>
      <c r="AT22" s="84">
        <v>0</v>
      </c>
      <c r="AU22" s="100">
        <f t="shared" ref="AU22:AY22" si="243">IFERROR(AT22/(AT$7+AT$12+AT$13+AT$14),)</f>
        <v>0</v>
      </c>
      <c r="AV22" s="84"/>
      <c r="AW22" s="100">
        <f t="shared" si="243"/>
        <v>0</v>
      </c>
      <c r="AX22" s="84">
        <v>0</v>
      </c>
      <c r="AY22" s="101">
        <f t="shared" si="243"/>
        <v>0</v>
      </c>
      <c r="AZ22" s="84">
        <v>0</v>
      </c>
      <c r="BA22" s="100">
        <f t="shared" ref="BA22:BE22" si="244">IFERROR(AZ22/(AZ$7+AZ$12+AZ$13+AZ$14),)</f>
        <v>0</v>
      </c>
      <c r="BB22" s="84"/>
      <c r="BC22" s="100">
        <f t="shared" si="244"/>
        <v>0</v>
      </c>
      <c r="BD22" s="84">
        <v>0</v>
      </c>
      <c r="BE22" s="101">
        <f t="shared" si="244"/>
        <v>0</v>
      </c>
      <c r="BF22" s="84">
        <v>0</v>
      </c>
      <c r="BG22" s="100">
        <f t="shared" ref="BG22:BK22" si="245">IFERROR(BF22/(BF$7+BF$12+BF$13+BF$14),)</f>
        <v>0</v>
      </c>
      <c r="BH22" s="84"/>
      <c r="BI22" s="100">
        <f t="shared" si="245"/>
        <v>0</v>
      </c>
      <c r="BJ22" s="84">
        <v>0</v>
      </c>
      <c r="BK22" s="101">
        <f t="shared" si="245"/>
        <v>0</v>
      </c>
      <c r="BL22" s="84">
        <v>0</v>
      </c>
      <c r="BM22" s="100">
        <f t="shared" ref="BM22:BQ22" si="246">IFERROR(BL22/(BL$7+BL$12+BL$13+BL$14),)</f>
        <v>0</v>
      </c>
      <c r="BN22" s="84"/>
      <c r="BO22" s="100">
        <f t="shared" si="246"/>
        <v>0</v>
      </c>
      <c r="BP22" s="84">
        <v>0</v>
      </c>
      <c r="BQ22" s="101">
        <f t="shared" si="246"/>
        <v>0</v>
      </c>
      <c r="BR22" s="84">
        <v>0</v>
      </c>
      <c r="BS22" s="100">
        <f t="shared" ref="BS22:BW22" si="247">IFERROR(BR22/(BR$7+BR$12+BR$13+BR$14),)</f>
        <v>0</v>
      </c>
      <c r="BT22" s="84"/>
      <c r="BU22" s="100">
        <f t="shared" si="247"/>
        <v>0</v>
      </c>
      <c r="BV22" s="84">
        <v>0</v>
      </c>
      <c r="BW22" s="101">
        <f t="shared" si="247"/>
        <v>0</v>
      </c>
      <c r="BX22" s="84">
        <v>0</v>
      </c>
      <c r="BY22" s="100">
        <f t="shared" ref="BY22:CC22" si="248">IFERROR(BX22/(BX$7+BX$12+BX$13+BX$14),)</f>
        <v>0</v>
      </c>
      <c r="BZ22" s="84"/>
      <c r="CA22" s="100">
        <f t="shared" si="248"/>
        <v>0</v>
      </c>
      <c r="CB22" s="84">
        <v>0</v>
      </c>
      <c r="CC22" s="101">
        <f t="shared" si="248"/>
        <v>0</v>
      </c>
    </row>
    <row r="23" outlineLevel="2" spans="1:81">
      <c r="B23" s="83" t="s">
        <v>58</v>
      </c>
      <c r="C23" s="83" t="s">
        <v>59</v>
      </c>
      <c r="D23" s="84">
        <f t="shared" ref="D23:H23" si="249">SUMIFS($J23:$CC23,$J$5:$CC$5,D$5)</f>
        <v>0</v>
      </c>
      <c r="E23" s="85">
        <f t="shared" ref="E23:I23" si="250">IFERROR(D23/(D$7+D$12+D$13+D$14),)</f>
        <v>0</v>
      </c>
      <c r="F23" s="84">
        <f t="shared" si="249"/>
        <v>0</v>
      </c>
      <c r="G23" s="85">
        <f t="shared" si="250"/>
        <v>0</v>
      </c>
      <c r="H23" s="84">
        <f t="shared" si="249"/>
        <v>0.65551</v>
      </c>
      <c r="I23" s="86">
        <f t="shared" si="250"/>
        <v>0.0107537823822331</v>
      </c>
      <c r="J23" s="84">
        <v>0</v>
      </c>
      <c r="K23" s="85">
        <f t="shared" ref="K23:O23" si="251">IFERROR(J23/(J$7+J$12+J$13+J$14),)</f>
        <v>0</v>
      </c>
      <c r="L23" s="84">
        <v>0</v>
      </c>
      <c r="M23" s="85">
        <f t="shared" si="251"/>
        <v>0</v>
      </c>
      <c r="N23" s="84">
        <v>-0.257135</v>
      </c>
      <c r="O23" s="86">
        <f t="shared" si="251"/>
        <v>-0.0298529417398889</v>
      </c>
      <c r="P23" s="84">
        <v>0</v>
      </c>
      <c r="Q23" s="85">
        <f t="shared" ref="Q23:U23" si="252">IFERROR(P23/(P$7+P$12+P$13+P$14),)</f>
        <v>0</v>
      </c>
      <c r="R23" s="84">
        <v>0</v>
      </c>
      <c r="S23" s="85">
        <f t="shared" si="252"/>
        <v>0</v>
      </c>
      <c r="T23" s="84">
        <v>0.7522</v>
      </c>
      <c r="U23" s="86">
        <f t="shared" si="252"/>
        <v>0.0467831689060227</v>
      </c>
      <c r="V23" s="84">
        <v>0</v>
      </c>
      <c r="W23" s="85">
        <f t="shared" ref="W23:AA23" si="253">IFERROR(V23/(V$7+V$12+V$13+V$14),)</f>
        <v>0</v>
      </c>
      <c r="X23" s="84">
        <v>0</v>
      </c>
      <c r="Y23" s="85">
        <f t="shared" si="253"/>
        <v>0</v>
      </c>
      <c r="Z23" s="84">
        <v>0.001017</v>
      </c>
      <c r="AA23" s="86">
        <f t="shared" si="253"/>
        <v>5.848001303236e-5</v>
      </c>
      <c r="AB23" s="84">
        <v>0</v>
      </c>
      <c r="AC23" s="85">
        <f t="shared" ref="AC23:AG23" si="254">IFERROR(AB23/(AB$7+AB$12+AB$13+AB$14),)</f>
        <v>0</v>
      </c>
      <c r="AD23" s="84">
        <v>0</v>
      </c>
      <c r="AE23" s="85">
        <f t="shared" si="254"/>
        <v>0</v>
      </c>
      <c r="AF23" s="84">
        <v>0.140345</v>
      </c>
      <c r="AG23" s="86">
        <f t="shared" si="254"/>
        <v>0.0103722066101874</v>
      </c>
      <c r="AH23" s="84">
        <v>0</v>
      </c>
      <c r="AI23" s="85">
        <f t="shared" ref="AI23:AM23" si="255">IFERROR(AH23/(AH$7+AH$12+AH$13+AH$14),)</f>
        <v>0</v>
      </c>
      <c r="AJ23" s="84">
        <v>0</v>
      </c>
      <c r="AK23" s="85">
        <f t="shared" si="255"/>
        <v>0</v>
      </c>
      <c r="AL23" s="84">
        <v>0.019083</v>
      </c>
      <c r="AM23" s="86">
        <f t="shared" si="255"/>
        <v>0.0035716043696239</v>
      </c>
      <c r="AN23" s="84">
        <v>0</v>
      </c>
      <c r="AO23" s="85">
        <f t="shared" ref="AO23:AS23" si="256">IFERROR(AN23/(AN$7+AN$12+AN$13+AN$14),)</f>
        <v>0</v>
      </c>
      <c r="AP23" s="84">
        <v>0</v>
      </c>
      <c r="AQ23" s="85">
        <f t="shared" si="256"/>
        <v>0</v>
      </c>
      <c r="AR23" s="84">
        <v>0</v>
      </c>
      <c r="AS23" s="86">
        <f t="shared" si="256"/>
        <v>0</v>
      </c>
      <c r="AT23" s="84">
        <v>0</v>
      </c>
      <c r="AU23" s="85">
        <f t="shared" ref="AU23:AY23" si="257">IFERROR(AT23/(AT$7+AT$12+AT$13+AT$14),)</f>
        <v>0</v>
      </c>
      <c r="AV23" s="84">
        <v>0</v>
      </c>
      <c r="AW23" s="85">
        <f t="shared" si="257"/>
        <v>0</v>
      </c>
      <c r="AX23" s="84">
        <v>0</v>
      </c>
      <c r="AY23" s="86">
        <f t="shared" si="257"/>
        <v>0</v>
      </c>
      <c r="AZ23" s="84">
        <v>0</v>
      </c>
      <c r="BA23" s="85">
        <f t="shared" ref="BA23:BE23" si="258">IFERROR(AZ23/(AZ$7+AZ$12+AZ$13+AZ$14),)</f>
        <v>0</v>
      </c>
      <c r="BB23" s="84">
        <v>0</v>
      </c>
      <c r="BC23" s="85">
        <f t="shared" si="258"/>
        <v>0</v>
      </c>
      <c r="BD23" s="84">
        <v>0</v>
      </c>
      <c r="BE23" s="86">
        <f t="shared" si="258"/>
        <v>0</v>
      </c>
      <c r="BF23" s="84">
        <v>0</v>
      </c>
      <c r="BG23" s="85">
        <f t="shared" ref="BG23:BK23" si="259">IFERROR(BF23/(BF$7+BF$12+BF$13+BF$14),)</f>
        <v>0</v>
      </c>
      <c r="BH23" s="84">
        <v>0</v>
      </c>
      <c r="BI23" s="85">
        <f t="shared" si="259"/>
        <v>0</v>
      </c>
      <c r="BJ23" s="84">
        <v>0</v>
      </c>
      <c r="BK23" s="86">
        <f t="shared" si="259"/>
        <v>0</v>
      </c>
      <c r="BL23" s="84">
        <v>0</v>
      </c>
      <c r="BM23" s="85">
        <f t="shared" ref="BM23:BQ23" si="260">IFERROR(BL23/(BL$7+BL$12+BL$13+BL$14),)</f>
        <v>0</v>
      </c>
      <c r="BN23" s="84">
        <v>0</v>
      </c>
      <c r="BO23" s="85">
        <f t="shared" si="260"/>
        <v>0</v>
      </c>
      <c r="BP23" s="84">
        <v>0</v>
      </c>
      <c r="BQ23" s="86">
        <f t="shared" si="260"/>
        <v>0</v>
      </c>
      <c r="BR23" s="84">
        <v>0</v>
      </c>
      <c r="BS23" s="85">
        <f t="shared" ref="BS23:BW23" si="261">IFERROR(BR23/(BR$7+BR$12+BR$13+BR$14),)</f>
        <v>0</v>
      </c>
      <c r="BT23" s="84">
        <v>0</v>
      </c>
      <c r="BU23" s="85">
        <f t="shared" si="261"/>
        <v>0</v>
      </c>
      <c r="BV23" s="84">
        <v>0</v>
      </c>
      <c r="BW23" s="86">
        <f t="shared" si="261"/>
        <v>0</v>
      </c>
      <c r="BX23" s="84">
        <v>0</v>
      </c>
      <c r="BY23" s="85">
        <f t="shared" ref="BY23:CC23" si="262">IFERROR(BX23/(BX$7+BX$12+BX$13+BX$14),)</f>
        <v>0</v>
      </c>
      <c r="BZ23" s="84">
        <v>0</v>
      </c>
      <c r="CA23" s="85">
        <f t="shared" si="262"/>
        <v>0</v>
      </c>
      <c r="CB23" s="84">
        <v>0</v>
      </c>
      <c r="CC23" s="86">
        <f t="shared" si="262"/>
        <v>0</v>
      </c>
    </row>
    <row r="24" spans="1:81">
      <c r="B24" s="102" t="s">
        <v>60</v>
      </c>
      <c r="C24" s="102" t="s">
        <v>61</v>
      </c>
      <c r="D24" s="103">
        <f t="shared" ref="D24:H24" si="263">SUMIFS($J24:$CC24,$J$5:$CC$5,D$5)</f>
        <v>0</v>
      </c>
      <c r="E24" s="104">
        <f t="shared" ref="E24:I24" si="264">IFERROR(D24/(D$7+D$12+D$13+D$14),)</f>
        <v>0</v>
      </c>
      <c r="F24" s="103">
        <f t="shared" si="263"/>
        <v>0</v>
      </c>
      <c r="G24" s="104">
        <f t="shared" si="264"/>
        <v>0</v>
      </c>
      <c r="H24" s="103">
        <f t="shared" si="263"/>
        <v>61.7000282913</v>
      </c>
      <c r="I24" s="105">
        <f t="shared" si="264"/>
        <v>1.01220221998484</v>
      </c>
      <c r="J24" s="103">
        <f t="shared" ref="J24:N24" si="265">SUM(J16:J23)</f>
        <v>0</v>
      </c>
      <c r="K24" s="104">
        <f t="shared" ref="K24:O24" si="266">IFERROR(J24/(J$7+J$12+J$13+J$14),)</f>
        <v>0</v>
      </c>
      <c r="L24" s="103">
        <f t="shared" si="265"/>
        <v>0</v>
      </c>
      <c r="M24" s="104">
        <f t="shared" si="266"/>
        <v>0</v>
      </c>
      <c r="N24" s="103">
        <f t="shared" si="265"/>
        <v>10.571748</v>
      </c>
      <c r="O24" s="105">
        <f t="shared" si="266"/>
        <v>1.22736219158336</v>
      </c>
      <c r="P24" s="103">
        <f t="shared" ref="P24:T24" si="267">SUM(P16:P23)</f>
        <v>0</v>
      </c>
      <c r="Q24" s="104">
        <f t="shared" ref="Q24:U24" si="268">IFERROR(P24/(P$7+P$12+P$13+P$14),)</f>
        <v>0</v>
      </c>
      <c r="R24" s="103">
        <f t="shared" si="267"/>
        <v>0</v>
      </c>
      <c r="S24" s="104">
        <f t="shared" si="268"/>
        <v>0</v>
      </c>
      <c r="T24" s="103">
        <f t="shared" si="267"/>
        <v>16.651996</v>
      </c>
      <c r="U24" s="105">
        <f t="shared" si="268"/>
        <v>1.03567288153472</v>
      </c>
      <c r="V24" s="103">
        <f t="shared" ref="V24:Z24" si="269">SUM(V16:V23)</f>
        <v>0</v>
      </c>
      <c r="W24" s="104">
        <f t="shared" ref="W24:AA24" si="270">IFERROR(V24/(V$7+V$12+V$13+V$14),)</f>
        <v>0</v>
      </c>
      <c r="X24" s="103">
        <f t="shared" si="269"/>
        <v>0</v>
      </c>
      <c r="Y24" s="104">
        <f t="shared" si="270"/>
        <v>0</v>
      </c>
      <c r="Z24" s="103">
        <f t="shared" si="269"/>
        <v>9.717743</v>
      </c>
      <c r="AA24" s="105">
        <f t="shared" si="270"/>
        <v>0.558794235285276</v>
      </c>
      <c r="AB24" s="103">
        <f t="shared" ref="AB24:AF24" si="271">SUM(AB16:AB23)</f>
        <v>0</v>
      </c>
      <c r="AC24" s="104">
        <f t="shared" ref="AC24:AG24" si="272">IFERROR(AB24/(AB$7+AB$12+AB$13+AB$14),)</f>
        <v>0</v>
      </c>
      <c r="AD24" s="103">
        <f t="shared" si="271"/>
        <v>0</v>
      </c>
      <c r="AE24" s="104">
        <f t="shared" si="272"/>
        <v>0</v>
      </c>
      <c r="AF24" s="103">
        <f t="shared" si="271"/>
        <v>17.118404</v>
      </c>
      <c r="AG24" s="105">
        <f t="shared" si="272"/>
        <v>1.26513679236638</v>
      </c>
      <c r="AH24" s="103">
        <f t="shared" ref="AH24:AL24" si="273">SUM(AH16:AH23)</f>
        <v>0</v>
      </c>
      <c r="AI24" s="104">
        <f t="shared" ref="AI24:AM24" si="274">IFERROR(AH24/(AH$7+AH$12+AH$13+AH$14),)</f>
        <v>0</v>
      </c>
      <c r="AJ24" s="103">
        <f t="shared" si="273"/>
        <v>0</v>
      </c>
      <c r="AK24" s="104">
        <f t="shared" si="274"/>
        <v>0</v>
      </c>
      <c r="AL24" s="103">
        <f t="shared" si="273"/>
        <v>7.6401372913</v>
      </c>
      <c r="AM24" s="105">
        <f t="shared" si="274"/>
        <v>1.42994014222783</v>
      </c>
      <c r="AN24" s="103">
        <f t="shared" ref="AN24:AR24" si="275">SUM(AN16:AN23)</f>
        <v>0</v>
      </c>
      <c r="AO24" s="104">
        <f t="shared" ref="AO24:AS24" si="276">IFERROR(AN24/(AN$7+AN$12+AN$13+AN$14),)</f>
        <v>0</v>
      </c>
      <c r="AP24" s="103">
        <f t="shared" si="275"/>
        <v>0</v>
      </c>
      <c r="AQ24" s="104">
        <f t="shared" si="276"/>
        <v>0</v>
      </c>
      <c r="AR24" s="103">
        <f t="shared" si="275"/>
        <v>0</v>
      </c>
      <c r="AS24" s="105">
        <f t="shared" si="276"/>
        <v>0</v>
      </c>
      <c r="AT24" s="103">
        <f t="shared" ref="AT24:AX24" si="277">SUM(AT16:AT23)</f>
        <v>0</v>
      </c>
      <c r="AU24" s="104">
        <f t="shared" ref="AU24:AY24" si="278">IFERROR(AT24/(AT$7+AT$12+AT$13+AT$14),)</f>
        <v>0</v>
      </c>
      <c r="AV24" s="103">
        <f t="shared" si="277"/>
        <v>0</v>
      </c>
      <c r="AW24" s="104">
        <f t="shared" si="278"/>
        <v>0</v>
      </c>
      <c r="AX24" s="103">
        <f t="shared" si="277"/>
        <v>0</v>
      </c>
      <c r="AY24" s="105">
        <f t="shared" si="278"/>
        <v>0</v>
      </c>
      <c r="AZ24" s="103">
        <f t="shared" ref="AZ24:BD24" si="279">SUM(AZ16:AZ23)</f>
        <v>0</v>
      </c>
      <c r="BA24" s="104">
        <f t="shared" ref="BA24:BE24" si="280">IFERROR(AZ24/(AZ$7+AZ$12+AZ$13+AZ$14),)</f>
        <v>0</v>
      </c>
      <c r="BB24" s="103">
        <f t="shared" si="279"/>
        <v>0</v>
      </c>
      <c r="BC24" s="104">
        <f t="shared" si="280"/>
        <v>0</v>
      </c>
      <c r="BD24" s="103">
        <f t="shared" si="279"/>
        <v>0</v>
      </c>
      <c r="BE24" s="105">
        <f t="shared" si="280"/>
        <v>0</v>
      </c>
      <c r="BF24" s="103">
        <f t="shared" ref="BF24:BJ24" si="281">SUM(BF16:BF23)</f>
        <v>0</v>
      </c>
      <c r="BG24" s="104">
        <f t="shared" ref="BG24:BK24" si="282">IFERROR(BF24/(BF$7+BF$12+BF$13+BF$14),)</f>
        <v>0</v>
      </c>
      <c r="BH24" s="103">
        <f t="shared" si="281"/>
        <v>0</v>
      </c>
      <c r="BI24" s="104">
        <f t="shared" si="282"/>
        <v>0</v>
      </c>
      <c r="BJ24" s="103">
        <f t="shared" si="281"/>
        <v>0</v>
      </c>
      <c r="BK24" s="105">
        <f t="shared" si="282"/>
        <v>0</v>
      </c>
      <c r="BL24" s="103">
        <f t="shared" ref="BL24:BP24" si="283">SUM(BL16:BL23)</f>
        <v>0</v>
      </c>
      <c r="BM24" s="104">
        <f t="shared" ref="BM24:BQ24" si="284">IFERROR(BL24/(BL$7+BL$12+BL$13+BL$14),)</f>
        <v>0</v>
      </c>
      <c r="BN24" s="103">
        <f t="shared" si="283"/>
        <v>0</v>
      </c>
      <c r="BO24" s="104">
        <f t="shared" si="284"/>
        <v>0</v>
      </c>
      <c r="BP24" s="103">
        <f t="shared" si="283"/>
        <v>0</v>
      </c>
      <c r="BQ24" s="105">
        <f t="shared" si="284"/>
        <v>0</v>
      </c>
      <c r="BR24" s="103">
        <f t="shared" ref="BR24:BV24" si="285">SUM(BR16:BR23)</f>
        <v>0</v>
      </c>
      <c r="BS24" s="104">
        <f t="shared" ref="BS24:BW24" si="286">IFERROR(BR24/(BR$7+BR$12+BR$13+BR$14),)</f>
        <v>0</v>
      </c>
      <c r="BT24" s="103">
        <f t="shared" si="285"/>
        <v>0</v>
      </c>
      <c r="BU24" s="104">
        <f t="shared" si="286"/>
        <v>0</v>
      </c>
      <c r="BV24" s="103">
        <f t="shared" si="285"/>
        <v>0</v>
      </c>
      <c r="BW24" s="105">
        <f t="shared" si="286"/>
        <v>0</v>
      </c>
      <c r="BX24" s="103">
        <f t="shared" ref="BX24:CB24" si="287">SUM(BX16:BX23)</f>
        <v>0</v>
      </c>
      <c r="BY24" s="104">
        <f t="shared" ref="BY24:CC24" si="288">IFERROR(BX24/(BX$7+BX$12+BX$13+BX$14),)</f>
        <v>0</v>
      </c>
      <c r="BZ24" s="103">
        <f t="shared" si="287"/>
        <v>0</v>
      </c>
      <c r="CA24" s="104">
        <f t="shared" si="288"/>
        <v>0</v>
      </c>
      <c r="CB24" s="103">
        <f t="shared" si="287"/>
        <v>0</v>
      </c>
      <c r="CC24" s="105">
        <f t="shared" si="288"/>
        <v>0</v>
      </c>
    </row>
    <row r="25" outlineLevel="2" spans="1:81">
      <c r="B25" s="83" t="s">
        <v>62</v>
      </c>
      <c r="C25" s="83" t="s">
        <v>63</v>
      </c>
      <c r="D25" s="84">
        <f t="shared" ref="D25:H25" si="289">SUMIFS($J25:$CC25,$J$5:$CC$5,D$5)</f>
        <v>0</v>
      </c>
      <c r="E25" s="100">
        <f t="shared" ref="E25:I25" si="290">IFERROR(D25/(D$7+D$12+D$13+D$14),)</f>
        <v>0</v>
      </c>
      <c r="F25" s="84">
        <f t="shared" si="289"/>
        <v>0</v>
      </c>
      <c r="G25" s="100">
        <f t="shared" si="290"/>
        <v>0</v>
      </c>
      <c r="H25" s="84">
        <f t="shared" si="289"/>
        <v>9.639822</v>
      </c>
      <c r="I25" s="101">
        <f t="shared" si="290"/>
        <v>0.158143350965604</v>
      </c>
      <c r="J25" s="84">
        <v>0</v>
      </c>
      <c r="K25" s="100">
        <f t="shared" ref="K25:O25" si="291">IFERROR(J25/(J$7+J$12+J$13+J$14),)</f>
        <v>0</v>
      </c>
      <c r="L25" s="84">
        <v>0</v>
      </c>
      <c r="M25" s="100">
        <f t="shared" si="291"/>
        <v>0</v>
      </c>
      <c r="N25" s="84">
        <v>2.27</v>
      </c>
      <c r="O25" s="101">
        <f t="shared" si="291"/>
        <v>0.26354318840122</v>
      </c>
      <c r="P25" s="84">
        <v>0</v>
      </c>
      <c r="Q25" s="100">
        <f t="shared" ref="Q25:U25" si="292">IFERROR(P25/(P$7+P$12+P$13+P$14),)</f>
        <v>0</v>
      </c>
      <c r="R25" s="84">
        <v>0</v>
      </c>
      <c r="S25" s="100">
        <f t="shared" si="292"/>
        <v>0</v>
      </c>
      <c r="T25" s="84">
        <v>0.147346</v>
      </c>
      <c r="U25" s="101">
        <f t="shared" si="292"/>
        <v>0.00916420208139699</v>
      </c>
      <c r="V25" s="84">
        <v>0</v>
      </c>
      <c r="W25" s="100">
        <f t="shared" ref="W25:AA25" si="293">IFERROR(V25/(V$7+V$12+V$13+V$14),)</f>
        <v>0</v>
      </c>
      <c r="X25" s="84">
        <v>0</v>
      </c>
      <c r="Y25" s="100">
        <f t="shared" si="293"/>
        <v>0</v>
      </c>
      <c r="Z25" s="84">
        <v>1.851856</v>
      </c>
      <c r="AA25" s="101">
        <f t="shared" si="293"/>
        <v>0.106486295982354</v>
      </c>
      <c r="AB25" s="84">
        <v>0</v>
      </c>
      <c r="AC25" s="100">
        <f t="shared" ref="AC25:AG25" si="294">IFERROR(AB25/(AB$7+AB$12+AB$13+AB$14),)</f>
        <v>0</v>
      </c>
      <c r="AD25" s="84">
        <v>0</v>
      </c>
      <c r="AE25" s="100">
        <f t="shared" si="294"/>
        <v>0</v>
      </c>
      <c r="AF25" s="84">
        <v>0</v>
      </c>
      <c r="AG25" s="101">
        <f t="shared" si="294"/>
        <v>0</v>
      </c>
      <c r="AH25" s="84">
        <v>0</v>
      </c>
      <c r="AI25" s="100">
        <f t="shared" ref="AI25:AM25" si="295">IFERROR(AH25/(AH$7+AH$12+AH$13+AH$14),)</f>
        <v>0</v>
      </c>
      <c r="AJ25" s="84">
        <v>0</v>
      </c>
      <c r="AK25" s="100">
        <f t="shared" si="295"/>
        <v>0</v>
      </c>
      <c r="AL25" s="84">
        <v>5.37062</v>
      </c>
      <c r="AM25" s="101">
        <f t="shared" si="295"/>
        <v>1.00517370746683</v>
      </c>
      <c r="AN25" s="84">
        <v>0</v>
      </c>
      <c r="AO25" s="100">
        <f t="shared" ref="AO25:AS25" si="296">IFERROR(AN25/(AN$7+AN$12+AN$13+AN$14),)</f>
        <v>0</v>
      </c>
      <c r="AP25" s="84">
        <v>0</v>
      </c>
      <c r="AQ25" s="100">
        <f t="shared" si="296"/>
        <v>0</v>
      </c>
      <c r="AR25" s="84">
        <v>0</v>
      </c>
      <c r="AS25" s="101">
        <f t="shared" si="296"/>
        <v>0</v>
      </c>
      <c r="AT25" s="84">
        <v>0</v>
      </c>
      <c r="AU25" s="100">
        <f t="shared" ref="AU25:AY25" si="297">IFERROR(AT25/(AT$7+AT$12+AT$13+AT$14),)</f>
        <v>0</v>
      </c>
      <c r="AV25" s="84">
        <v>0</v>
      </c>
      <c r="AW25" s="100">
        <f t="shared" si="297"/>
        <v>0</v>
      </c>
      <c r="AX25" s="84">
        <v>0</v>
      </c>
      <c r="AY25" s="101">
        <f t="shared" si="297"/>
        <v>0</v>
      </c>
      <c r="AZ25" s="84">
        <v>0</v>
      </c>
      <c r="BA25" s="100">
        <f t="shared" ref="BA25:BE25" si="298">IFERROR(AZ25/(AZ$7+AZ$12+AZ$13+AZ$14),)</f>
        <v>0</v>
      </c>
      <c r="BB25" s="84">
        <v>0</v>
      </c>
      <c r="BC25" s="100">
        <f t="shared" si="298"/>
        <v>0</v>
      </c>
      <c r="BD25" s="84">
        <v>0</v>
      </c>
      <c r="BE25" s="101">
        <f t="shared" si="298"/>
        <v>0</v>
      </c>
      <c r="BF25" s="84">
        <v>0</v>
      </c>
      <c r="BG25" s="100">
        <f t="shared" ref="BG25:BK25" si="299">IFERROR(BF25/(BF$7+BF$12+BF$13+BF$14),)</f>
        <v>0</v>
      </c>
      <c r="BH25" s="84">
        <v>0</v>
      </c>
      <c r="BI25" s="100">
        <f t="shared" si="299"/>
        <v>0</v>
      </c>
      <c r="BJ25" s="84">
        <v>0</v>
      </c>
      <c r="BK25" s="101">
        <f t="shared" si="299"/>
        <v>0</v>
      </c>
      <c r="BL25" s="84">
        <v>0</v>
      </c>
      <c r="BM25" s="100">
        <f t="shared" ref="BM25:BQ25" si="300">IFERROR(BL25/(BL$7+BL$12+BL$13+BL$14),)</f>
        <v>0</v>
      </c>
      <c r="BN25" s="84">
        <v>0</v>
      </c>
      <c r="BO25" s="100">
        <f t="shared" si="300"/>
        <v>0</v>
      </c>
      <c r="BP25" s="84">
        <v>0</v>
      </c>
      <c r="BQ25" s="101">
        <f t="shared" si="300"/>
        <v>0</v>
      </c>
      <c r="BR25" s="84">
        <v>0</v>
      </c>
      <c r="BS25" s="100">
        <f t="shared" ref="BS25:BW25" si="301">IFERROR(BR25/(BR$7+BR$12+BR$13+BR$14),)</f>
        <v>0</v>
      </c>
      <c r="BT25" s="84">
        <v>0</v>
      </c>
      <c r="BU25" s="100">
        <f t="shared" si="301"/>
        <v>0</v>
      </c>
      <c r="BV25" s="84">
        <v>0</v>
      </c>
      <c r="BW25" s="101">
        <f t="shared" si="301"/>
        <v>0</v>
      </c>
      <c r="BX25" s="84">
        <v>0</v>
      </c>
      <c r="BY25" s="100">
        <f t="shared" ref="BY25:CC25" si="302">IFERROR(BX25/(BX$7+BX$12+BX$13+BX$14),)</f>
        <v>0</v>
      </c>
      <c r="BZ25" s="84">
        <v>0</v>
      </c>
      <c r="CA25" s="100">
        <f t="shared" si="302"/>
        <v>0</v>
      </c>
      <c r="CB25" s="84">
        <v>0</v>
      </c>
      <c r="CC25" s="101">
        <f t="shared" si="302"/>
        <v>0</v>
      </c>
    </row>
    <row r="26" outlineLevel="2" spans="1:81">
      <c r="B26" s="83" t="s">
        <v>64</v>
      </c>
      <c r="C26" s="83" t="s">
        <v>65</v>
      </c>
      <c r="D26" s="84">
        <f t="shared" ref="D26:H26" si="303">SUMIFS($J26:$CC26,$J$5:$CC$5,D$5)</f>
        <v>0</v>
      </c>
      <c r="E26" s="100">
        <f t="shared" ref="E26:I26" si="304">IFERROR(D26/(D$7+D$12+D$13+D$14),)</f>
        <v>0</v>
      </c>
      <c r="F26" s="84">
        <f t="shared" si="303"/>
        <v>0</v>
      </c>
      <c r="G26" s="100">
        <f t="shared" si="304"/>
        <v>0</v>
      </c>
      <c r="H26" s="84">
        <f t="shared" si="303"/>
        <v>2.40728</v>
      </c>
      <c r="I26" s="101">
        <f t="shared" si="304"/>
        <v>0.0394919455890864</v>
      </c>
      <c r="J26" s="84">
        <v>0</v>
      </c>
      <c r="K26" s="100">
        <f t="shared" ref="K26:O26" si="305">IFERROR(J26/(J$7+J$12+J$13+J$14),)</f>
        <v>0</v>
      </c>
      <c r="L26" s="84">
        <v>0</v>
      </c>
      <c r="M26" s="100">
        <f t="shared" si="305"/>
        <v>0</v>
      </c>
      <c r="N26" s="84">
        <v>0.213848</v>
      </c>
      <c r="O26" s="101">
        <f t="shared" si="305"/>
        <v>0.0248273937238873</v>
      </c>
      <c r="P26" s="84">
        <v>0</v>
      </c>
      <c r="Q26" s="100">
        <f t="shared" ref="Q26:U26" si="306">IFERROR(P26/(P$7+P$12+P$13+P$14),)</f>
        <v>0</v>
      </c>
      <c r="R26" s="84">
        <v>0</v>
      </c>
      <c r="S26" s="100">
        <f t="shared" si="306"/>
        <v>0</v>
      </c>
      <c r="T26" s="84">
        <v>0.391941</v>
      </c>
      <c r="U26" s="101">
        <f t="shared" si="306"/>
        <v>0.0243768173413925</v>
      </c>
      <c r="V26" s="84">
        <v>0</v>
      </c>
      <c r="W26" s="100">
        <f t="shared" ref="W26:AA26" si="307">IFERROR(V26/(V$7+V$12+V$13+V$14),)</f>
        <v>0</v>
      </c>
      <c r="X26" s="84">
        <v>0</v>
      </c>
      <c r="Y26" s="100">
        <f t="shared" si="307"/>
        <v>0</v>
      </c>
      <c r="Z26" s="84">
        <v>0.324903</v>
      </c>
      <c r="AA26" s="101">
        <f t="shared" si="307"/>
        <v>0.0186827253434148</v>
      </c>
      <c r="AB26" s="84">
        <v>0</v>
      </c>
      <c r="AC26" s="100">
        <f t="shared" ref="AC26:AG26" si="308">IFERROR(AB26/(AB$7+AB$12+AB$13+AB$14),)</f>
        <v>0</v>
      </c>
      <c r="AD26" s="84">
        <v>0</v>
      </c>
      <c r="AE26" s="100">
        <f t="shared" si="308"/>
        <v>0</v>
      </c>
      <c r="AF26" s="84">
        <v>0</v>
      </c>
      <c r="AG26" s="101">
        <f t="shared" si="308"/>
        <v>0</v>
      </c>
      <c r="AH26" s="84">
        <v>0</v>
      </c>
      <c r="AI26" s="100">
        <f t="shared" ref="AI26:AM26" si="309">IFERROR(AH26/(AH$7+AH$12+AH$13+AH$14),)</f>
        <v>0</v>
      </c>
      <c r="AJ26" s="84">
        <v>0</v>
      </c>
      <c r="AK26" s="100">
        <f t="shared" si="309"/>
        <v>0</v>
      </c>
      <c r="AL26" s="84">
        <v>1.476588</v>
      </c>
      <c r="AM26" s="101">
        <f t="shared" si="309"/>
        <v>0.2763605383291</v>
      </c>
      <c r="AN26" s="84">
        <v>0</v>
      </c>
      <c r="AO26" s="100">
        <f t="shared" ref="AO26:AS26" si="310">IFERROR(AN26/(AN$7+AN$12+AN$13+AN$14),)</f>
        <v>0</v>
      </c>
      <c r="AP26" s="84">
        <v>0</v>
      </c>
      <c r="AQ26" s="100">
        <f t="shared" si="310"/>
        <v>0</v>
      </c>
      <c r="AR26" s="84">
        <v>0</v>
      </c>
      <c r="AS26" s="101">
        <f t="shared" si="310"/>
        <v>0</v>
      </c>
      <c r="AT26" s="84">
        <v>0</v>
      </c>
      <c r="AU26" s="100">
        <f t="shared" ref="AU26:AY26" si="311">IFERROR(AT26/(AT$7+AT$12+AT$13+AT$14),)</f>
        <v>0</v>
      </c>
      <c r="AV26" s="84">
        <v>0</v>
      </c>
      <c r="AW26" s="100">
        <f t="shared" si="311"/>
        <v>0</v>
      </c>
      <c r="AX26" s="84">
        <v>0</v>
      </c>
      <c r="AY26" s="101">
        <f t="shared" si="311"/>
        <v>0</v>
      </c>
      <c r="AZ26" s="84">
        <v>0</v>
      </c>
      <c r="BA26" s="100">
        <f t="shared" ref="BA26:BE26" si="312">IFERROR(AZ26/(AZ$7+AZ$12+AZ$13+AZ$14),)</f>
        <v>0</v>
      </c>
      <c r="BB26" s="84">
        <v>0</v>
      </c>
      <c r="BC26" s="100">
        <f t="shared" si="312"/>
        <v>0</v>
      </c>
      <c r="BD26" s="84">
        <v>0</v>
      </c>
      <c r="BE26" s="101">
        <f t="shared" si="312"/>
        <v>0</v>
      </c>
      <c r="BF26" s="84">
        <v>0</v>
      </c>
      <c r="BG26" s="100">
        <f t="shared" ref="BG26:BK26" si="313">IFERROR(BF26/(BF$7+BF$12+BF$13+BF$14),)</f>
        <v>0</v>
      </c>
      <c r="BH26" s="84">
        <v>0</v>
      </c>
      <c r="BI26" s="100">
        <f t="shared" si="313"/>
        <v>0</v>
      </c>
      <c r="BJ26" s="84">
        <v>0</v>
      </c>
      <c r="BK26" s="101">
        <f t="shared" si="313"/>
        <v>0</v>
      </c>
      <c r="BL26" s="84">
        <v>0</v>
      </c>
      <c r="BM26" s="100">
        <f t="shared" ref="BM26:BQ26" si="314">IFERROR(BL26/(BL$7+BL$12+BL$13+BL$14),)</f>
        <v>0</v>
      </c>
      <c r="BN26" s="84">
        <v>0</v>
      </c>
      <c r="BO26" s="100">
        <f t="shared" si="314"/>
        <v>0</v>
      </c>
      <c r="BP26" s="84">
        <v>0</v>
      </c>
      <c r="BQ26" s="101">
        <f t="shared" si="314"/>
        <v>0</v>
      </c>
      <c r="BR26" s="84">
        <v>0</v>
      </c>
      <c r="BS26" s="100">
        <f t="shared" ref="BS26:BW26" si="315">IFERROR(BR26/(BR$7+BR$12+BR$13+BR$14),)</f>
        <v>0</v>
      </c>
      <c r="BT26" s="84">
        <v>0</v>
      </c>
      <c r="BU26" s="100">
        <f t="shared" si="315"/>
        <v>0</v>
      </c>
      <c r="BV26" s="84">
        <v>0</v>
      </c>
      <c r="BW26" s="101">
        <f t="shared" si="315"/>
        <v>0</v>
      </c>
      <c r="BX26" s="84">
        <v>0</v>
      </c>
      <c r="BY26" s="100">
        <f t="shared" ref="BY26:CC26" si="316">IFERROR(BX26/(BX$7+BX$12+BX$13+BX$14),)</f>
        <v>0</v>
      </c>
      <c r="BZ26" s="84">
        <v>0</v>
      </c>
      <c r="CA26" s="100">
        <f t="shared" si="316"/>
        <v>0</v>
      </c>
      <c r="CB26" s="84">
        <v>0</v>
      </c>
      <c r="CC26" s="101">
        <f t="shared" si="316"/>
        <v>0</v>
      </c>
    </row>
    <row r="27" outlineLevel="2" spans="1:81">
      <c r="B27" s="83" t="s">
        <v>66</v>
      </c>
      <c r="C27" s="83" t="s">
        <v>67</v>
      </c>
      <c r="D27" s="84">
        <f t="shared" ref="D27:H27" si="317">SUMIFS($J27:$CC27,$J$5:$CC$5,D$5)</f>
        <v>0</v>
      </c>
      <c r="E27" s="100">
        <f t="shared" ref="E27:I27" si="318">IFERROR(D27/(D$7+D$12+D$13+D$14),)</f>
        <v>0</v>
      </c>
      <c r="F27" s="84">
        <f t="shared" si="317"/>
        <v>0</v>
      </c>
      <c r="G27" s="100">
        <f t="shared" si="318"/>
        <v>0</v>
      </c>
      <c r="H27" s="84">
        <f t="shared" si="317"/>
        <v>0.696023</v>
      </c>
      <c r="I27" s="101">
        <f t="shared" si="318"/>
        <v>0.0114184068511983</v>
      </c>
      <c r="J27" s="84">
        <v>0</v>
      </c>
      <c r="K27" s="100">
        <f t="shared" ref="K27:O27" si="319">IFERROR(J27/(J$7+J$12+J$13+J$14),)</f>
        <v>0</v>
      </c>
      <c r="L27" s="84">
        <v>0</v>
      </c>
      <c r="M27" s="100">
        <f t="shared" si="319"/>
        <v>0</v>
      </c>
      <c r="N27" s="84">
        <v>0</v>
      </c>
      <c r="O27" s="101">
        <f t="shared" si="319"/>
        <v>0</v>
      </c>
      <c r="P27" s="84">
        <v>0</v>
      </c>
      <c r="Q27" s="100">
        <f t="shared" ref="Q27:U27" si="320">IFERROR(P27/(P$7+P$12+P$13+P$14),)</f>
        <v>0</v>
      </c>
      <c r="R27" s="84">
        <v>0</v>
      </c>
      <c r="S27" s="100">
        <f t="shared" si="320"/>
        <v>0</v>
      </c>
      <c r="T27" s="84">
        <v>0</v>
      </c>
      <c r="U27" s="101">
        <f t="shared" si="320"/>
        <v>0</v>
      </c>
      <c r="V27" s="84">
        <v>0</v>
      </c>
      <c r="W27" s="100">
        <f t="shared" ref="W27:AA27" si="321">IFERROR(V27/(V$7+V$12+V$13+V$14),)</f>
        <v>0</v>
      </c>
      <c r="X27" s="84">
        <v>0</v>
      </c>
      <c r="Y27" s="100">
        <f t="shared" si="321"/>
        <v>0</v>
      </c>
      <c r="Z27" s="84">
        <v>0.23947</v>
      </c>
      <c r="AA27" s="101">
        <f t="shared" si="321"/>
        <v>0.0137701167363415</v>
      </c>
      <c r="AB27" s="84">
        <v>0</v>
      </c>
      <c r="AC27" s="100">
        <f t="shared" ref="AC27:AG27" si="322">IFERROR(AB27/(AB$7+AB$12+AB$13+AB$14),)</f>
        <v>0</v>
      </c>
      <c r="AD27" s="84">
        <v>0</v>
      </c>
      <c r="AE27" s="100">
        <f t="shared" si="322"/>
        <v>0</v>
      </c>
      <c r="AF27" s="84">
        <v>0</v>
      </c>
      <c r="AG27" s="101">
        <f t="shared" si="322"/>
        <v>0</v>
      </c>
      <c r="AH27" s="84">
        <v>0</v>
      </c>
      <c r="AI27" s="100">
        <f t="shared" ref="AI27:AM27" si="323">IFERROR(AH27/(AH$7+AH$12+AH$13+AH$14),)</f>
        <v>0</v>
      </c>
      <c r="AJ27" s="84">
        <v>0</v>
      </c>
      <c r="AK27" s="100">
        <f t="shared" si="323"/>
        <v>0</v>
      </c>
      <c r="AL27" s="84">
        <v>0.456553</v>
      </c>
      <c r="AM27" s="101">
        <f t="shared" si="323"/>
        <v>0.0854491793619924</v>
      </c>
      <c r="AN27" s="84">
        <v>0</v>
      </c>
      <c r="AO27" s="100">
        <f t="shared" ref="AO27:AS27" si="324">IFERROR(AN27/(AN$7+AN$12+AN$13+AN$14),)</f>
        <v>0</v>
      </c>
      <c r="AP27" s="84">
        <v>0</v>
      </c>
      <c r="AQ27" s="100">
        <f t="shared" si="324"/>
        <v>0</v>
      </c>
      <c r="AR27" s="84">
        <v>0</v>
      </c>
      <c r="AS27" s="101">
        <f t="shared" si="324"/>
        <v>0</v>
      </c>
      <c r="AT27" s="84">
        <v>0</v>
      </c>
      <c r="AU27" s="100">
        <f t="shared" ref="AU27:AY27" si="325">IFERROR(AT27/(AT$7+AT$12+AT$13+AT$14),)</f>
        <v>0</v>
      </c>
      <c r="AV27" s="84">
        <v>0</v>
      </c>
      <c r="AW27" s="100">
        <f t="shared" si="325"/>
        <v>0</v>
      </c>
      <c r="AX27" s="84">
        <v>0</v>
      </c>
      <c r="AY27" s="101">
        <f t="shared" si="325"/>
        <v>0</v>
      </c>
      <c r="AZ27" s="84">
        <v>0</v>
      </c>
      <c r="BA27" s="100">
        <f t="shared" ref="BA27:BE27" si="326">IFERROR(AZ27/(AZ$7+AZ$12+AZ$13+AZ$14),)</f>
        <v>0</v>
      </c>
      <c r="BB27" s="84">
        <v>0</v>
      </c>
      <c r="BC27" s="100">
        <f t="shared" si="326"/>
        <v>0</v>
      </c>
      <c r="BD27" s="84">
        <v>0</v>
      </c>
      <c r="BE27" s="101">
        <f t="shared" si="326"/>
        <v>0</v>
      </c>
      <c r="BF27" s="84">
        <v>0</v>
      </c>
      <c r="BG27" s="100">
        <f t="shared" ref="BG27:BK27" si="327">IFERROR(BF27/(BF$7+BF$12+BF$13+BF$14),)</f>
        <v>0</v>
      </c>
      <c r="BH27" s="84">
        <v>0</v>
      </c>
      <c r="BI27" s="100">
        <f t="shared" si="327"/>
        <v>0</v>
      </c>
      <c r="BJ27" s="84">
        <v>0</v>
      </c>
      <c r="BK27" s="101">
        <f t="shared" si="327"/>
        <v>0</v>
      </c>
      <c r="BL27" s="84">
        <v>0</v>
      </c>
      <c r="BM27" s="100">
        <f t="shared" ref="BM27:BQ27" si="328">IFERROR(BL27/(BL$7+BL$12+BL$13+BL$14),)</f>
        <v>0</v>
      </c>
      <c r="BN27" s="84">
        <v>0</v>
      </c>
      <c r="BO27" s="100">
        <f t="shared" si="328"/>
        <v>0</v>
      </c>
      <c r="BP27" s="84">
        <v>0</v>
      </c>
      <c r="BQ27" s="101">
        <f t="shared" si="328"/>
        <v>0</v>
      </c>
      <c r="BR27" s="84">
        <v>0</v>
      </c>
      <c r="BS27" s="100">
        <f t="shared" ref="BS27:BW27" si="329">IFERROR(BR27/(BR$7+BR$12+BR$13+BR$14),)</f>
        <v>0</v>
      </c>
      <c r="BT27" s="84">
        <v>0</v>
      </c>
      <c r="BU27" s="100">
        <f t="shared" si="329"/>
        <v>0</v>
      </c>
      <c r="BV27" s="84">
        <v>0</v>
      </c>
      <c r="BW27" s="101">
        <f t="shared" si="329"/>
        <v>0</v>
      </c>
      <c r="BX27" s="84">
        <v>0</v>
      </c>
      <c r="BY27" s="100">
        <f t="shared" ref="BY27:CC27" si="330">IFERROR(BX27/(BX$7+BX$12+BX$13+BX$14),)</f>
        <v>0</v>
      </c>
      <c r="BZ27" s="84">
        <v>0</v>
      </c>
      <c r="CA27" s="100">
        <f t="shared" si="330"/>
        <v>0</v>
      </c>
      <c r="CB27" s="84">
        <v>0</v>
      </c>
      <c r="CC27" s="101">
        <f t="shared" si="330"/>
        <v>0</v>
      </c>
    </row>
    <row r="28" spans="1:81">
      <c r="B28" s="102" t="s">
        <v>68</v>
      </c>
      <c r="C28" s="102" t="s">
        <v>69</v>
      </c>
      <c r="D28" s="103">
        <f t="shared" ref="D28:H28" si="331">SUMIFS($J28:$CC28,$J$5:$CC$5,D$5)</f>
        <v>0</v>
      </c>
      <c r="E28" s="104">
        <f t="shared" ref="E28:I28" si="332">IFERROR(D28/(D$7+D$12+D$13+D$14),)</f>
        <v>0</v>
      </c>
      <c r="F28" s="103">
        <f t="shared" si="331"/>
        <v>0</v>
      </c>
      <c r="G28" s="104">
        <f t="shared" si="332"/>
        <v>0</v>
      </c>
      <c r="H28" s="103">
        <f t="shared" si="331"/>
        <v>12.743125</v>
      </c>
      <c r="I28" s="105">
        <f t="shared" si="332"/>
        <v>0.209053703405888</v>
      </c>
      <c r="J28" s="103">
        <f t="shared" ref="J28:N28" si="333">SUM(J25:J27)</f>
        <v>0</v>
      </c>
      <c r="K28" s="104">
        <f t="shared" ref="K28:O28" si="334">IFERROR(J28/(J$7+J$12+J$13+J$14),)</f>
        <v>0</v>
      </c>
      <c r="L28" s="103">
        <f t="shared" si="333"/>
        <v>0</v>
      </c>
      <c r="M28" s="104">
        <f t="shared" si="334"/>
        <v>0</v>
      </c>
      <c r="N28" s="103">
        <f t="shared" si="333"/>
        <v>2.483848</v>
      </c>
      <c r="O28" s="105">
        <f t="shared" si="334"/>
        <v>0.288370582125108</v>
      </c>
      <c r="P28" s="103">
        <f t="shared" ref="P28:T28" si="335">SUM(P25:P27)</f>
        <v>0</v>
      </c>
      <c r="Q28" s="104">
        <f t="shared" ref="Q28:U28" si="336">IFERROR(P28/(P$7+P$12+P$13+P$14),)</f>
        <v>0</v>
      </c>
      <c r="R28" s="103">
        <f t="shared" si="335"/>
        <v>0</v>
      </c>
      <c r="S28" s="104">
        <f t="shared" si="336"/>
        <v>0</v>
      </c>
      <c r="T28" s="103">
        <f t="shared" si="335"/>
        <v>0.539287</v>
      </c>
      <c r="U28" s="105">
        <f t="shared" si="336"/>
        <v>0.0335410194227895</v>
      </c>
      <c r="V28" s="103">
        <f t="shared" ref="V28:Z28" si="337">SUM(V25:V27)</f>
        <v>0</v>
      </c>
      <c r="W28" s="104">
        <f t="shared" ref="W28:AA28" si="338">IFERROR(V28/(V$7+V$12+V$13+V$14),)</f>
        <v>0</v>
      </c>
      <c r="X28" s="103">
        <f t="shared" si="337"/>
        <v>0</v>
      </c>
      <c r="Y28" s="104">
        <f t="shared" si="338"/>
        <v>0</v>
      </c>
      <c r="Z28" s="103">
        <f t="shared" si="337"/>
        <v>2.416229</v>
      </c>
      <c r="AA28" s="105">
        <f t="shared" si="338"/>
        <v>0.13893913806211</v>
      </c>
      <c r="AB28" s="103">
        <f t="shared" ref="AB28:AF28" si="339">SUM(AB25:AB27)</f>
        <v>0</v>
      </c>
      <c r="AC28" s="104">
        <f t="shared" ref="AC28:AG28" si="340">IFERROR(AB28/(AB$7+AB$12+AB$13+AB$14),)</f>
        <v>0</v>
      </c>
      <c r="AD28" s="103">
        <f t="shared" si="339"/>
        <v>0</v>
      </c>
      <c r="AE28" s="104">
        <f t="shared" si="340"/>
        <v>0</v>
      </c>
      <c r="AF28" s="103">
        <f t="shared" si="339"/>
        <v>0</v>
      </c>
      <c r="AG28" s="105">
        <f t="shared" si="340"/>
        <v>0</v>
      </c>
      <c r="AH28" s="103">
        <f t="shared" ref="AH28:AL28" si="341">SUM(AH25:AH27)</f>
        <v>0</v>
      </c>
      <c r="AI28" s="104">
        <f t="shared" ref="AI28:AM28" si="342">IFERROR(AH28/(AH$7+AH$12+AH$13+AH$14),)</f>
        <v>0</v>
      </c>
      <c r="AJ28" s="103">
        <f t="shared" si="341"/>
        <v>0</v>
      </c>
      <c r="AK28" s="104">
        <f t="shared" si="342"/>
        <v>0</v>
      </c>
      <c r="AL28" s="103">
        <f t="shared" si="341"/>
        <v>7.303761</v>
      </c>
      <c r="AM28" s="105">
        <f t="shared" si="342"/>
        <v>1.36698342515792</v>
      </c>
      <c r="AN28" s="103">
        <f t="shared" ref="AN28:AR28" si="343">SUM(AN25:AN27)</f>
        <v>0</v>
      </c>
      <c r="AO28" s="104">
        <f t="shared" ref="AO28:AS28" si="344">IFERROR(AN28/(AN$7+AN$12+AN$13+AN$14),)</f>
        <v>0</v>
      </c>
      <c r="AP28" s="103">
        <f t="shared" si="343"/>
        <v>0</v>
      </c>
      <c r="AQ28" s="104">
        <f t="shared" si="344"/>
        <v>0</v>
      </c>
      <c r="AR28" s="103">
        <f t="shared" si="343"/>
        <v>0</v>
      </c>
      <c r="AS28" s="105">
        <f t="shared" si="344"/>
        <v>0</v>
      </c>
      <c r="AT28" s="103">
        <f t="shared" ref="AT28:AX28" si="345">SUM(AT25:AT27)</f>
        <v>0</v>
      </c>
      <c r="AU28" s="104">
        <f t="shared" ref="AU28:AY28" si="346">IFERROR(AT28/(AT$7+AT$12+AT$13+AT$14),)</f>
        <v>0</v>
      </c>
      <c r="AV28" s="103">
        <f t="shared" si="345"/>
        <v>0</v>
      </c>
      <c r="AW28" s="104">
        <f t="shared" si="346"/>
        <v>0</v>
      </c>
      <c r="AX28" s="103">
        <f t="shared" si="345"/>
        <v>0</v>
      </c>
      <c r="AY28" s="105">
        <f t="shared" si="346"/>
        <v>0</v>
      </c>
      <c r="AZ28" s="103">
        <f t="shared" ref="AZ28:BD28" si="347">SUM(AZ25:AZ27)</f>
        <v>0</v>
      </c>
      <c r="BA28" s="104">
        <f t="shared" ref="BA28:BE28" si="348">IFERROR(AZ28/(AZ$7+AZ$12+AZ$13+AZ$14),)</f>
        <v>0</v>
      </c>
      <c r="BB28" s="103">
        <f t="shared" si="347"/>
        <v>0</v>
      </c>
      <c r="BC28" s="104">
        <f t="shared" si="348"/>
        <v>0</v>
      </c>
      <c r="BD28" s="103">
        <f t="shared" si="347"/>
        <v>0</v>
      </c>
      <c r="BE28" s="105">
        <f t="shared" si="348"/>
        <v>0</v>
      </c>
      <c r="BF28" s="103">
        <f t="shared" ref="BF28:BJ28" si="349">SUM(BF25:BF27)</f>
        <v>0</v>
      </c>
      <c r="BG28" s="104">
        <f t="shared" ref="BG28:BK28" si="350">IFERROR(BF28/(BF$7+BF$12+BF$13+BF$14),)</f>
        <v>0</v>
      </c>
      <c r="BH28" s="103">
        <f t="shared" si="349"/>
        <v>0</v>
      </c>
      <c r="BI28" s="104">
        <f t="shared" si="350"/>
        <v>0</v>
      </c>
      <c r="BJ28" s="103">
        <f t="shared" si="349"/>
        <v>0</v>
      </c>
      <c r="BK28" s="105">
        <f t="shared" si="350"/>
        <v>0</v>
      </c>
      <c r="BL28" s="103">
        <f t="shared" ref="BL28:BP28" si="351">SUM(BL25:BL27)</f>
        <v>0</v>
      </c>
      <c r="BM28" s="104">
        <f t="shared" ref="BM28:BQ28" si="352">IFERROR(BL28/(BL$7+BL$12+BL$13+BL$14),)</f>
        <v>0</v>
      </c>
      <c r="BN28" s="103">
        <f t="shared" si="351"/>
        <v>0</v>
      </c>
      <c r="BO28" s="104">
        <f t="shared" si="352"/>
        <v>0</v>
      </c>
      <c r="BP28" s="103">
        <f t="shared" si="351"/>
        <v>0</v>
      </c>
      <c r="BQ28" s="105">
        <f t="shared" si="352"/>
        <v>0</v>
      </c>
      <c r="BR28" s="103">
        <f t="shared" ref="BR28:BV28" si="353">SUM(BR25:BR27)</f>
        <v>0</v>
      </c>
      <c r="BS28" s="104">
        <f t="shared" ref="BS28:BW28" si="354">IFERROR(BR28/(BR$7+BR$12+BR$13+BR$14),)</f>
        <v>0</v>
      </c>
      <c r="BT28" s="103">
        <f t="shared" si="353"/>
        <v>0</v>
      </c>
      <c r="BU28" s="104">
        <f t="shared" si="354"/>
        <v>0</v>
      </c>
      <c r="BV28" s="103">
        <f t="shared" si="353"/>
        <v>0</v>
      </c>
      <c r="BW28" s="105">
        <f t="shared" si="354"/>
        <v>0</v>
      </c>
      <c r="BX28" s="103">
        <f t="shared" ref="BX28:CB28" si="355">SUM(BX25:BX27)</f>
        <v>0</v>
      </c>
      <c r="BY28" s="104">
        <f t="shared" ref="BY28:CC28" si="356">IFERROR(BX28/(BX$7+BX$12+BX$13+BX$14),)</f>
        <v>0</v>
      </c>
      <c r="BZ28" s="103">
        <f t="shared" si="355"/>
        <v>0</v>
      </c>
      <c r="CA28" s="104">
        <f t="shared" si="356"/>
        <v>0</v>
      </c>
      <c r="CB28" s="103">
        <f t="shared" si="355"/>
        <v>0</v>
      </c>
      <c r="CC28" s="105">
        <f t="shared" si="356"/>
        <v>0</v>
      </c>
    </row>
    <row r="29" outlineLevel="2" spans="1:81">
      <c r="B29" s="83" t="s">
        <v>70</v>
      </c>
      <c r="C29" s="83" t="s">
        <v>71</v>
      </c>
      <c r="D29" s="84">
        <f t="shared" ref="D29:H29" si="357">SUMIFS($J29:$CC29,$J$5:$CC$5,D$5)</f>
        <v>0</v>
      </c>
      <c r="E29" s="100">
        <f t="shared" ref="E29:I29" si="358">IFERROR(D29/(D$7+D$12+D$13+D$14),)</f>
        <v>0</v>
      </c>
      <c r="F29" s="84">
        <f t="shared" si="357"/>
        <v>0</v>
      </c>
      <c r="G29" s="100">
        <f t="shared" si="358"/>
        <v>0</v>
      </c>
      <c r="H29" s="84">
        <f t="shared" si="357"/>
        <v>2.144169</v>
      </c>
      <c r="I29" s="101">
        <f t="shared" si="358"/>
        <v>0.0351755531063299</v>
      </c>
      <c r="J29" s="84">
        <v>0</v>
      </c>
      <c r="K29" s="100">
        <f t="shared" ref="K29:O29" si="359">IFERROR(J29/(J$7+J$12+J$13+J$14),)</f>
        <v>0</v>
      </c>
      <c r="L29" s="84">
        <v>0</v>
      </c>
      <c r="M29" s="100">
        <f t="shared" si="359"/>
        <v>0</v>
      </c>
      <c r="N29" s="84">
        <v>1.167832</v>
      </c>
      <c r="O29" s="101">
        <f t="shared" si="359"/>
        <v>0.135583334271795</v>
      </c>
      <c r="P29" s="84">
        <v>0</v>
      </c>
      <c r="Q29" s="100">
        <f t="shared" ref="Q29:U29" si="360">IFERROR(P29/(P$7+P$12+P$13+P$14),)</f>
        <v>0</v>
      </c>
      <c r="R29" s="84">
        <v>0</v>
      </c>
      <c r="S29" s="100">
        <f t="shared" si="360"/>
        <v>0</v>
      </c>
      <c r="T29" s="84">
        <v>0.547176</v>
      </c>
      <c r="U29" s="101">
        <f t="shared" si="360"/>
        <v>0.034031676720715</v>
      </c>
      <c r="V29" s="84">
        <v>0</v>
      </c>
      <c r="W29" s="100">
        <f t="shared" ref="W29:AA29" si="361">IFERROR(V29/(V$7+V$12+V$13+V$14),)</f>
        <v>0</v>
      </c>
      <c r="X29" s="84">
        <v>0</v>
      </c>
      <c r="Y29" s="100">
        <f t="shared" si="361"/>
        <v>0</v>
      </c>
      <c r="Z29" s="84">
        <v>0.547181</v>
      </c>
      <c r="AA29" s="101">
        <f t="shared" si="361"/>
        <v>0.0314642595978956</v>
      </c>
      <c r="AB29" s="84">
        <v>0</v>
      </c>
      <c r="AC29" s="100">
        <f t="shared" ref="AC29:AG29" si="362">IFERROR(AB29/(AB$7+AB$12+AB$13+AB$14),)</f>
        <v>0</v>
      </c>
      <c r="AD29" s="84">
        <v>0</v>
      </c>
      <c r="AE29" s="100">
        <f t="shared" si="362"/>
        <v>0</v>
      </c>
      <c r="AF29" s="84">
        <v>-0.11802</v>
      </c>
      <c r="AG29" s="101">
        <f t="shared" si="362"/>
        <v>-0.00872227599226421</v>
      </c>
      <c r="AH29" s="84">
        <v>0</v>
      </c>
      <c r="AI29" s="100">
        <f t="shared" ref="AI29:AM29" si="363">IFERROR(AH29/(AH$7+AH$12+AH$13+AH$14),)</f>
        <v>0</v>
      </c>
      <c r="AJ29" s="84">
        <v>0</v>
      </c>
      <c r="AK29" s="100">
        <f t="shared" si="363"/>
        <v>0</v>
      </c>
      <c r="AL29" s="84">
        <v>0</v>
      </c>
      <c r="AM29" s="101">
        <f t="shared" si="363"/>
        <v>0</v>
      </c>
      <c r="AN29" s="84">
        <v>0</v>
      </c>
      <c r="AO29" s="100">
        <f t="shared" ref="AO29:AS29" si="364">IFERROR(AN29/(AN$7+AN$12+AN$13+AN$14),)</f>
        <v>0</v>
      </c>
      <c r="AP29" s="84">
        <v>0</v>
      </c>
      <c r="AQ29" s="100">
        <f t="shared" si="364"/>
        <v>0</v>
      </c>
      <c r="AR29" s="84">
        <v>0</v>
      </c>
      <c r="AS29" s="101">
        <f t="shared" si="364"/>
        <v>0</v>
      </c>
      <c r="AT29" s="84">
        <v>0</v>
      </c>
      <c r="AU29" s="100">
        <f t="shared" ref="AU29:AY29" si="365">IFERROR(AT29/(AT$7+AT$12+AT$13+AT$14),)</f>
        <v>0</v>
      </c>
      <c r="AV29" s="84">
        <v>0</v>
      </c>
      <c r="AW29" s="100">
        <f t="shared" si="365"/>
        <v>0</v>
      </c>
      <c r="AX29" s="84">
        <v>0</v>
      </c>
      <c r="AY29" s="101">
        <f t="shared" si="365"/>
        <v>0</v>
      </c>
      <c r="AZ29" s="84">
        <v>0</v>
      </c>
      <c r="BA29" s="100">
        <f t="shared" ref="BA29:BE29" si="366">IFERROR(AZ29/(AZ$7+AZ$12+AZ$13+AZ$14),)</f>
        <v>0</v>
      </c>
      <c r="BB29" s="84">
        <v>0</v>
      </c>
      <c r="BC29" s="100">
        <f t="shared" si="366"/>
        <v>0</v>
      </c>
      <c r="BD29" s="84">
        <v>0</v>
      </c>
      <c r="BE29" s="101">
        <f t="shared" si="366"/>
        <v>0</v>
      </c>
      <c r="BF29" s="84">
        <v>0</v>
      </c>
      <c r="BG29" s="100">
        <f t="shared" ref="BG29:BK29" si="367">IFERROR(BF29/(BF$7+BF$12+BF$13+BF$14),)</f>
        <v>0</v>
      </c>
      <c r="BH29" s="84">
        <v>0</v>
      </c>
      <c r="BI29" s="100">
        <f t="shared" si="367"/>
        <v>0</v>
      </c>
      <c r="BJ29" s="84">
        <v>0</v>
      </c>
      <c r="BK29" s="101">
        <f t="shared" si="367"/>
        <v>0</v>
      </c>
      <c r="BL29" s="84">
        <v>0</v>
      </c>
      <c r="BM29" s="100">
        <f t="shared" ref="BM29:BQ29" si="368">IFERROR(BL29/(BL$7+BL$12+BL$13+BL$14),)</f>
        <v>0</v>
      </c>
      <c r="BN29" s="84">
        <v>0</v>
      </c>
      <c r="BO29" s="100">
        <f t="shared" si="368"/>
        <v>0</v>
      </c>
      <c r="BP29" s="84">
        <v>0</v>
      </c>
      <c r="BQ29" s="101">
        <f t="shared" si="368"/>
        <v>0</v>
      </c>
      <c r="BR29" s="84">
        <v>0</v>
      </c>
      <c r="BS29" s="100">
        <f t="shared" ref="BS29:BW29" si="369">IFERROR(BR29/(BR$7+BR$12+BR$13+BR$14),)</f>
        <v>0</v>
      </c>
      <c r="BT29" s="84">
        <v>0</v>
      </c>
      <c r="BU29" s="100">
        <f t="shared" si="369"/>
        <v>0</v>
      </c>
      <c r="BV29" s="84">
        <v>0</v>
      </c>
      <c r="BW29" s="101">
        <f t="shared" si="369"/>
        <v>0</v>
      </c>
      <c r="BX29" s="84">
        <v>0</v>
      </c>
      <c r="BY29" s="100">
        <f t="shared" ref="BY29:CC29" si="370">IFERROR(BX29/(BX$7+BX$12+BX$13+BX$14),)</f>
        <v>0</v>
      </c>
      <c r="BZ29" s="84">
        <v>0</v>
      </c>
      <c r="CA29" s="100">
        <f t="shared" si="370"/>
        <v>0</v>
      </c>
      <c r="CB29" s="84">
        <v>0</v>
      </c>
      <c r="CC29" s="101">
        <f t="shared" si="370"/>
        <v>0</v>
      </c>
    </row>
    <row r="30" outlineLevel="2" spans="1:81">
      <c r="B30" s="83" t="s">
        <v>72</v>
      </c>
      <c r="C30" s="83" t="s">
        <v>73</v>
      </c>
      <c r="D30" s="84">
        <f t="shared" ref="D30:H30" si="371">SUMIFS($J30:$CC30,$J$5:$CC$5,D$5)</f>
        <v>0</v>
      </c>
      <c r="E30" s="100">
        <f t="shared" ref="E30:I30" si="372">IFERROR(D30/(D$7+D$12+D$13+D$14),)</f>
        <v>0</v>
      </c>
      <c r="F30" s="84">
        <f t="shared" si="371"/>
        <v>0</v>
      </c>
      <c r="G30" s="100">
        <f t="shared" si="372"/>
        <v>0</v>
      </c>
      <c r="H30" s="84">
        <f t="shared" si="371"/>
        <v>0</v>
      </c>
      <c r="I30" s="101">
        <f t="shared" si="372"/>
        <v>0</v>
      </c>
      <c r="J30" s="84">
        <v>0</v>
      </c>
      <c r="K30" s="100">
        <f t="shared" ref="K30:O30" si="373">IFERROR(J30/(J$7+J$12+J$13+J$14),)</f>
        <v>0</v>
      </c>
      <c r="L30" s="84">
        <v>0</v>
      </c>
      <c r="M30" s="100">
        <f t="shared" si="373"/>
        <v>0</v>
      </c>
      <c r="N30" s="84">
        <v>0</v>
      </c>
      <c r="O30" s="101">
        <f t="shared" si="373"/>
        <v>0</v>
      </c>
      <c r="P30" s="84">
        <v>0</v>
      </c>
      <c r="Q30" s="100">
        <f t="shared" ref="Q30:U30" si="374">IFERROR(P30/(P$7+P$12+P$13+P$14),)</f>
        <v>0</v>
      </c>
      <c r="R30" s="84">
        <v>0</v>
      </c>
      <c r="S30" s="100">
        <f t="shared" si="374"/>
        <v>0</v>
      </c>
      <c r="T30" s="84">
        <v>0</v>
      </c>
      <c r="U30" s="101">
        <f t="shared" si="374"/>
        <v>0</v>
      </c>
      <c r="V30" s="84">
        <v>0</v>
      </c>
      <c r="W30" s="100">
        <f t="shared" ref="W30:AA30" si="375">IFERROR(V30/(V$7+V$12+V$13+V$14),)</f>
        <v>0</v>
      </c>
      <c r="X30" s="84">
        <v>0</v>
      </c>
      <c r="Y30" s="100">
        <f t="shared" si="375"/>
        <v>0</v>
      </c>
      <c r="Z30" s="84">
        <v>0</v>
      </c>
      <c r="AA30" s="101">
        <f t="shared" si="375"/>
        <v>0</v>
      </c>
      <c r="AB30" s="84">
        <v>0</v>
      </c>
      <c r="AC30" s="100">
        <f t="shared" ref="AC30:AG30" si="376">IFERROR(AB30/(AB$7+AB$12+AB$13+AB$14),)</f>
        <v>0</v>
      </c>
      <c r="AD30" s="84">
        <v>0</v>
      </c>
      <c r="AE30" s="100">
        <f t="shared" si="376"/>
        <v>0</v>
      </c>
      <c r="AF30" s="84">
        <v>0</v>
      </c>
      <c r="AG30" s="101">
        <f t="shared" si="376"/>
        <v>0</v>
      </c>
      <c r="AH30" s="84">
        <v>0</v>
      </c>
      <c r="AI30" s="100">
        <f t="shared" ref="AI30:AM30" si="377">IFERROR(AH30/(AH$7+AH$12+AH$13+AH$14),)</f>
        <v>0</v>
      </c>
      <c r="AJ30" s="84">
        <v>0</v>
      </c>
      <c r="AK30" s="100">
        <f t="shared" si="377"/>
        <v>0</v>
      </c>
      <c r="AL30" s="84">
        <v>0</v>
      </c>
      <c r="AM30" s="101">
        <f t="shared" si="377"/>
        <v>0</v>
      </c>
      <c r="AN30" s="84">
        <v>0</v>
      </c>
      <c r="AO30" s="100">
        <f t="shared" ref="AO30:AS30" si="378">IFERROR(AN30/(AN$7+AN$12+AN$13+AN$14),)</f>
        <v>0</v>
      </c>
      <c r="AP30" s="84">
        <v>0</v>
      </c>
      <c r="AQ30" s="100">
        <f t="shared" si="378"/>
        <v>0</v>
      </c>
      <c r="AR30" s="84">
        <v>0</v>
      </c>
      <c r="AS30" s="101">
        <f t="shared" si="378"/>
        <v>0</v>
      </c>
      <c r="AT30" s="84">
        <v>0</v>
      </c>
      <c r="AU30" s="100">
        <f t="shared" ref="AU30:AY30" si="379">IFERROR(AT30/(AT$7+AT$12+AT$13+AT$14),)</f>
        <v>0</v>
      </c>
      <c r="AV30" s="84">
        <v>0</v>
      </c>
      <c r="AW30" s="100">
        <f t="shared" si="379"/>
        <v>0</v>
      </c>
      <c r="AX30" s="84">
        <v>0</v>
      </c>
      <c r="AY30" s="101">
        <f t="shared" si="379"/>
        <v>0</v>
      </c>
      <c r="AZ30" s="84">
        <v>0</v>
      </c>
      <c r="BA30" s="100">
        <f t="shared" ref="BA30:BE30" si="380">IFERROR(AZ30/(AZ$7+AZ$12+AZ$13+AZ$14),)</f>
        <v>0</v>
      </c>
      <c r="BB30" s="84">
        <v>0</v>
      </c>
      <c r="BC30" s="100">
        <f t="shared" si="380"/>
        <v>0</v>
      </c>
      <c r="BD30" s="84">
        <v>0</v>
      </c>
      <c r="BE30" s="101">
        <f t="shared" si="380"/>
        <v>0</v>
      </c>
      <c r="BF30" s="84">
        <v>0</v>
      </c>
      <c r="BG30" s="100">
        <f t="shared" ref="BG30:BK30" si="381">IFERROR(BF30/(BF$7+BF$12+BF$13+BF$14),)</f>
        <v>0</v>
      </c>
      <c r="BH30" s="84">
        <v>0</v>
      </c>
      <c r="BI30" s="100">
        <f t="shared" si="381"/>
        <v>0</v>
      </c>
      <c r="BJ30" s="84">
        <v>0</v>
      </c>
      <c r="BK30" s="101">
        <f t="shared" si="381"/>
        <v>0</v>
      </c>
      <c r="BL30" s="84">
        <v>0</v>
      </c>
      <c r="BM30" s="100">
        <f t="shared" ref="BM30:BQ30" si="382">IFERROR(BL30/(BL$7+BL$12+BL$13+BL$14),)</f>
        <v>0</v>
      </c>
      <c r="BN30" s="84">
        <v>0</v>
      </c>
      <c r="BO30" s="100">
        <f t="shared" si="382"/>
        <v>0</v>
      </c>
      <c r="BP30" s="84">
        <v>0</v>
      </c>
      <c r="BQ30" s="101">
        <f t="shared" si="382"/>
        <v>0</v>
      </c>
      <c r="BR30" s="84">
        <v>0</v>
      </c>
      <c r="BS30" s="100">
        <f t="shared" ref="BS30:BW30" si="383">IFERROR(BR30/(BR$7+BR$12+BR$13+BR$14),)</f>
        <v>0</v>
      </c>
      <c r="BT30" s="84">
        <v>0</v>
      </c>
      <c r="BU30" s="100">
        <f t="shared" si="383"/>
        <v>0</v>
      </c>
      <c r="BV30" s="84">
        <v>0</v>
      </c>
      <c r="BW30" s="101">
        <f t="shared" si="383"/>
        <v>0</v>
      </c>
      <c r="BX30" s="84">
        <v>0</v>
      </c>
      <c r="BY30" s="100">
        <f t="shared" ref="BY30:CC30" si="384">IFERROR(BX30/(BX$7+BX$12+BX$13+BX$14),)</f>
        <v>0</v>
      </c>
      <c r="BZ30" s="84">
        <v>0</v>
      </c>
      <c r="CA30" s="100">
        <f t="shared" si="384"/>
        <v>0</v>
      </c>
      <c r="CB30" s="84">
        <v>0</v>
      </c>
      <c r="CC30" s="101">
        <f t="shared" si="384"/>
        <v>0</v>
      </c>
    </row>
    <row r="31" outlineLevel="2" spans="1:81">
      <c r="B31" s="83" t="s">
        <v>74</v>
      </c>
      <c r="C31" s="83" t="s">
        <v>75</v>
      </c>
      <c r="D31" s="84">
        <f t="shared" ref="D31:H31" si="385">SUMIFS($J31:$CC31,$J$5:$CC$5,D$5)</f>
        <v>0</v>
      </c>
      <c r="E31" s="100">
        <f t="shared" ref="E31:I31" si="386">IFERROR(D31/(D$7+D$12+D$13+D$14),)</f>
        <v>0</v>
      </c>
      <c r="F31" s="84">
        <f t="shared" si="385"/>
        <v>0</v>
      </c>
      <c r="G31" s="100">
        <f t="shared" si="386"/>
        <v>0</v>
      </c>
      <c r="H31" s="84">
        <f t="shared" si="385"/>
        <v>0</v>
      </c>
      <c r="I31" s="101">
        <f t="shared" si="386"/>
        <v>0</v>
      </c>
      <c r="J31" s="84">
        <v>0</v>
      </c>
      <c r="K31" s="100">
        <f t="shared" ref="K31:O31" si="387">IFERROR(J31/(J$7+J$12+J$13+J$14),)</f>
        <v>0</v>
      </c>
      <c r="L31" s="84">
        <v>0</v>
      </c>
      <c r="M31" s="100">
        <f t="shared" si="387"/>
        <v>0</v>
      </c>
      <c r="N31" s="84">
        <v>0</v>
      </c>
      <c r="O31" s="101">
        <f t="shared" si="387"/>
        <v>0</v>
      </c>
      <c r="P31" s="84">
        <v>0</v>
      </c>
      <c r="Q31" s="100">
        <f t="shared" ref="Q31:U31" si="388">IFERROR(P31/(P$7+P$12+P$13+P$14),)</f>
        <v>0</v>
      </c>
      <c r="R31" s="84">
        <v>0</v>
      </c>
      <c r="S31" s="100">
        <f t="shared" si="388"/>
        <v>0</v>
      </c>
      <c r="T31" s="84">
        <v>0</v>
      </c>
      <c r="U31" s="101">
        <f t="shared" si="388"/>
        <v>0</v>
      </c>
      <c r="V31" s="84">
        <v>0</v>
      </c>
      <c r="W31" s="100">
        <f t="shared" ref="W31:AA31" si="389">IFERROR(V31/(V$7+V$12+V$13+V$14),)</f>
        <v>0</v>
      </c>
      <c r="X31" s="84">
        <v>0</v>
      </c>
      <c r="Y31" s="100">
        <f t="shared" si="389"/>
        <v>0</v>
      </c>
      <c r="Z31" s="84">
        <v>0</v>
      </c>
      <c r="AA31" s="101">
        <f t="shared" si="389"/>
        <v>0</v>
      </c>
      <c r="AB31" s="84">
        <v>0</v>
      </c>
      <c r="AC31" s="100">
        <f t="shared" ref="AC31:AG31" si="390">IFERROR(AB31/(AB$7+AB$12+AB$13+AB$14),)</f>
        <v>0</v>
      </c>
      <c r="AD31" s="84">
        <v>0</v>
      </c>
      <c r="AE31" s="100">
        <f t="shared" si="390"/>
        <v>0</v>
      </c>
      <c r="AF31" s="84">
        <v>0</v>
      </c>
      <c r="AG31" s="101">
        <f t="shared" si="390"/>
        <v>0</v>
      </c>
      <c r="AH31" s="84">
        <v>0</v>
      </c>
      <c r="AI31" s="100">
        <f t="shared" ref="AI31:AM31" si="391">IFERROR(AH31/(AH$7+AH$12+AH$13+AH$14),)</f>
        <v>0</v>
      </c>
      <c r="AJ31" s="84">
        <v>0</v>
      </c>
      <c r="AK31" s="100">
        <f t="shared" si="391"/>
        <v>0</v>
      </c>
      <c r="AL31" s="84">
        <v>0</v>
      </c>
      <c r="AM31" s="101">
        <f t="shared" si="391"/>
        <v>0</v>
      </c>
      <c r="AN31" s="84">
        <v>0</v>
      </c>
      <c r="AO31" s="100">
        <f t="shared" ref="AO31:AS31" si="392">IFERROR(AN31/(AN$7+AN$12+AN$13+AN$14),)</f>
        <v>0</v>
      </c>
      <c r="AP31" s="84">
        <v>0</v>
      </c>
      <c r="AQ31" s="100">
        <f t="shared" si="392"/>
        <v>0</v>
      </c>
      <c r="AR31" s="84">
        <v>0</v>
      </c>
      <c r="AS31" s="101">
        <f t="shared" si="392"/>
        <v>0</v>
      </c>
      <c r="AT31" s="84">
        <v>0</v>
      </c>
      <c r="AU31" s="100">
        <f t="shared" ref="AU31:AY31" si="393">IFERROR(AT31/(AT$7+AT$12+AT$13+AT$14),)</f>
        <v>0</v>
      </c>
      <c r="AV31" s="84">
        <v>0</v>
      </c>
      <c r="AW31" s="100">
        <f t="shared" si="393"/>
        <v>0</v>
      </c>
      <c r="AX31" s="84">
        <v>0</v>
      </c>
      <c r="AY31" s="101">
        <f t="shared" si="393"/>
        <v>0</v>
      </c>
      <c r="AZ31" s="84">
        <v>0</v>
      </c>
      <c r="BA31" s="100">
        <f t="shared" ref="BA31:BE31" si="394">IFERROR(AZ31/(AZ$7+AZ$12+AZ$13+AZ$14),)</f>
        <v>0</v>
      </c>
      <c r="BB31" s="84">
        <v>0</v>
      </c>
      <c r="BC31" s="100">
        <f t="shared" si="394"/>
        <v>0</v>
      </c>
      <c r="BD31" s="84">
        <v>0</v>
      </c>
      <c r="BE31" s="101">
        <f t="shared" si="394"/>
        <v>0</v>
      </c>
      <c r="BF31" s="84">
        <v>0</v>
      </c>
      <c r="BG31" s="100">
        <f t="shared" ref="BG31:BK31" si="395">IFERROR(BF31/(BF$7+BF$12+BF$13+BF$14),)</f>
        <v>0</v>
      </c>
      <c r="BH31" s="84">
        <v>0</v>
      </c>
      <c r="BI31" s="100">
        <f t="shared" si="395"/>
        <v>0</v>
      </c>
      <c r="BJ31" s="84">
        <v>0</v>
      </c>
      <c r="BK31" s="101">
        <f t="shared" si="395"/>
        <v>0</v>
      </c>
      <c r="BL31" s="84">
        <v>0</v>
      </c>
      <c r="BM31" s="100">
        <f t="shared" ref="BM31:BQ31" si="396">IFERROR(BL31/(BL$7+BL$12+BL$13+BL$14),)</f>
        <v>0</v>
      </c>
      <c r="BN31" s="84">
        <v>0</v>
      </c>
      <c r="BO31" s="100">
        <f t="shared" si="396"/>
        <v>0</v>
      </c>
      <c r="BP31" s="84">
        <v>0</v>
      </c>
      <c r="BQ31" s="101">
        <f t="shared" si="396"/>
        <v>0</v>
      </c>
      <c r="BR31" s="84">
        <v>0</v>
      </c>
      <c r="BS31" s="100">
        <f t="shared" ref="BS31:BW31" si="397">IFERROR(BR31/(BR$7+BR$12+BR$13+BR$14),)</f>
        <v>0</v>
      </c>
      <c r="BT31" s="84">
        <v>0</v>
      </c>
      <c r="BU31" s="100">
        <f t="shared" si="397"/>
        <v>0</v>
      </c>
      <c r="BV31" s="84">
        <v>0</v>
      </c>
      <c r="BW31" s="101">
        <f t="shared" si="397"/>
        <v>0</v>
      </c>
      <c r="BX31" s="84">
        <v>0</v>
      </c>
      <c r="BY31" s="100">
        <f t="shared" ref="BY31:CC31" si="398">IFERROR(BX31/(BX$7+BX$12+BX$13+BX$14),)</f>
        <v>0</v>
      </c>
      <c r="BZ31" s="84">
        <v>0</v>
      </c>
      <c r="CA31" s="100">
        <f t="shared" si="398"/>
        <v>0</v>
      </c>
      <c r="CB31" s="84">
        <v>0</v>
      </c>
      <c r="CC31" s="101">
        <f t="shared" si="398"/>
        <v>0</v>
      </c>
    </row>
    <row r="32" outlineLevel="2" spans="1:81">
      <c r="B32" s="83" t="s">
        <v>76</v>
      </c>
      <c r="C32" s="83" t="s">
        <v>77</v>
      </c>
      <c r="D32" s="84">
        <f t="shared" ref="D32:H32" si="399">SUMIFS($J32:$CC32,$J$5:$CC$5,D$5)</f>
        <v>0</v>
      </c>
      <c r="E32" s="100">
        <f t="shared" ref="E32:I32" si="400">IFERROR(D32/(D$7+D$12+D$13+D$14),)</f>
        <v>0</v>
      </c>
      <c r="F32" s="84">
        <f t="shared" si="399"/>
        <v>0</v>
      </c>
      <c r="G32" s="100">
        <f t="shared" si="400"/>
        <v>0</v>
      </c>
      <c r="H32" s="84">
        <f t="shared" si="399"/>
        <v>18.107796</v>
      </c>
      <c r="I32" s="101">
        <f t="shared" si="400"/>
        <v>0.297062283726977</v>
      </c>
      <c r="J32" s="84">
        <v>0</v>
      </c>
      <c r="K32" s="100">
        <f t="shared" ref="K32:O32" si="401">IFERROR(J32/(J$7+J$12+J$13+J$14),)</f>
        <v>0</v>
      </c>
      <c r="L32" s="84">
        <v>0</v>
      </c>
      <c r="M32" s="100">
        <f t="shared" si="401"/>
        <v>0</v>
      </c>
      <c r="N32" s="84">
        <v>4.518374</v>
      </c>
      <c r="O32" s="101">
        <f t="shared" si="401"/>
        <v>0.524575634515056</v>
      </c>
      <c r="P32" s="84">
        <v>0</v>
      </c>
      <c r="Q32" s="100">
        <f t="shared" ref="Q32:U32" si="402">IFERROR(P32/(P$7+P$12+P$13+P$14),)</f>
        <v>0</v>
      </c>
      <c r="R32" s="84">
        <v>0</v>
      </c>
      <c r="S32" s="100">
        <f t="shared" si="402"/>
        <v>0</v>
      </c>
      <c r="T32" s="84">
        <v>3.886288</v>
      </c>
      <c r="U32" s="101">
        <f t="shared" si="402"/>
        <v>0.241708146665048</v>
      </c>
      <c r="V32" s="84">
        <v>0</v>
      </c>
      <c r="W32" s="100">
        <f t="shared" ref="W32:AA32" si="403">IFERROR(V32/(V$7+V$12+V$13+V$14),)</f>
        <v>0</v>
      </c>
      <c r="X32" s="84">
        <v>0</v>
      </c>
      <c r="Y32" s="100">
        <f t="shared" si="403"/>
        <v>0</v>
      </c>
      <c r="Z32" s="84">
        <v>3.234354</v>
      </c>
      <c r="AA32" s="101">
        <f t="shared" si="403"/>
        <v>0.185983347169386</v>
      </c>
      <c r="AB32" s="84">
        <v>0</v>
      </c>
      <c r="AC32" s="100">
        <f t="shared" ref="AC32:AG32" si="404">IFERROR(AB32/(AB$7+AB$12+AB$13+AB$14),)</f>
        <v>0</v>
      </c>
      <c r="AD32" s="84">
        <v>0</v>
      </c>
      <c r="AE32" s="100">
        <f t="shared" si="404"/>
        <v>0</v>
      </c>
      <c r="AF32" s="84">
        <v>3.23439</v>
      </c>
      <c r="AG32" s="101">
        <f t="shared" si="404"/>
        <v>0.239037809240971</v>
      </c>
      <c r="AH32" s="84">
        <v>0</v>
      </c>
      <c r="AI32" s="100">
        <f t="shared" ref="AI32:AM32" si="405">IFERROR(AH32/(AH$7+AH$12+AH$13+AH$14),)</f>
        <v>0</v>
      </c>
      <c r="AJ32" s="84">
        <v>0</v>
      </c>
      <c r="AK32" s="100">
        <f t="shared" si="405"/>
        <v>0</v>
      </c>
      <c r="AL32" s="84">
        <v>3.23439</v>
      </c>
      <c r="AM32" s="101">
        <f t="shared" si="405"/>
        <v>0.605353532309796</v>
      </c>
      <c r="AN32" s="84">
        <v>0</v>
      </c>
      <c r="AO32" s="100">
        <f t="shared" ref="AO32:AS32" si="406">IFERROR(AN32/(AN$7+AN$12+AN$13+AN$14),)</f>
        <v>0</v>
      </c>
      <c r="AP32" s="84">
        <v>0</v>
      </c>
      <c r="AQ32" s="100">
        <f t="shared" si="406"/>
        <v>0</v>
      </c>
      <c r="AR32" s="84">
        <v>0</v>
      </c>
      <c r="AS32" s="101">
        <f t="shared" si="406"/>
        <v>0</v>
      </c>
      <c r="AT32" s="84">
        <v>0</v>
      </c>
      <c r="AU32" s="100">
        <f t="shared" ref="AU32:AY32" si="407">IFERROR(AT32/(AT$7+AT$12+AT$13+AT$14),)</f>
        <v>0</v>
      </c>
      <c r="AV32" s="84">
        <v>0</v>
      </c>
      <c r="AW32" s="100">
        <f t="shared" si="407"/>
        <v>0</v>
      </c>
      <c r="AX32" s="84">
        <v>0</v>
      </c>
      <c r="AY32" s="101">
        <f t="shared" si="407"/>
        <v>0</v>
      </c>
      <c r="AZ32" s="84">
        <v>0</v>
      </c>
      <c r="BA32" s="100">
        <f t="shared" ref="BA32:BE32" si="408">IFERROR(AZ32/(AZ$7+AZ$12+AZ$13+AZ$14),)</f>
        <v>0</v>
      </c>
      <c r="BB32" s="84">
        <v>0</v>
      </c>
      <c r="BC32" s="100">
        <f t="shared" si="408"/>
        <v>0</v>
      </c>
      <c r="BD32" s="84">
        <v>0</v>
      </c>
      <c r="BE32" s="101">
        <f t="shared" si="408"/>
        <v>0</v>
      </c>
      <c r="BF32" s="84">
        <v>0</v>
      </c>
      <c r="BG32" s="100">
        <f t="shared" ref="BG32:BK32" si="409">IFERROR(BF32/(BF$7+BF$12+BF$13+BF$14),)</f>
        <v>0</v>
      </c>
      <c r="BH32" s="84">
        <v>0</v>
      </c>
      <c r="BI32" s="100">
        <f t="shared" si="409"/>
        <v>0</v>
      </c>
      <c r="BJ32" s="84">
        <v>0</v>
      </c>
      <c r="BK32" s="101">
        <f t="shared" si="409"/>
        <v>0</v>
      </c>
      <c r="BL32" s="84">
        <v>0</v>
      </c>
      <c r="BM32" s="100">
        <f t="shared" ref="BM32:BQ32" si="410">IFERROR(BL32/(BL$7+BL$12+BL$13+BL$14),)</f>
        <v>0</v>
      </c>
      <c r="BN32" s="84">
        <v>0</v>
      </c>
      <c r="BO32" s="100">
        <f t="shared" si="410"/>
        <v>0</v>
      </c>
      <c r="BP32" s="84">
        <v>0</v>
      </c>
      <c r="BQ32" s="101">
        <f t="shared" si="410"/>
        <v>0</v>
      </c>
      <c r="BR32" s="84">
        <v>0</v>
      </c>
      <c r="BS32" s="100">
        <f t="shared" ref="BS32:BW32" si="411">IFERROR(BR32/(BR$7+BR$12+BR$13+BR$14),)</f>
        <v>0</v>
      </c>
      <c r="BT32" s="84">
        <v>0</v>
      </c>
      <c r="BU32" s="100">
        <f t="shared" si="411"/>
        <v>0</v>
      </c>
      <c r="BV32" s="84">
        <v>0</v>
      </c>
      <c r="BW32" s="101">
        <f t="shared" si="411"/>
        <v>0</v>
      </c>
      <c r="BX32" s="84">
        <v>0</v>
      </c>
      <c r="BY32" s="100">
        <f t="shared" ref="BY32:CC32" si="412">IFERROR(BX32/(BX$7+BX$12+BX$13+BX$14),)</f>
        <v>0</v>
      </c>
      <c r="BZ32" s="84">
        <v>0</v>
      </c>
      <c r="CA32" s="100">
        <f t="shared" si="412"/>
        <v>0</v>
      </c>
      <c r="CB32" s="84">
        <v>0</v>
      </c>
      <c r="CC32" s="101">
        <f t="shared" si="412"/>
        <v>0</v>
      </c>
    </row>
    <row r="33" outlineLevel="2" spans="1:81">
      <c r="B33" s="83" t="s">
        <v>78</v>
      </c>
      <c r="C33" s="83" t="s">
        <v>79</v>
      </c>
      <c r="D33" s="84">
        <f t="shared" ref="D33:H33" si="413">SUMIFS($J33:$CC33,$J$5:$CC$5,D$5)</f>
        <v>0</v>
      </c>
      <c r="E33" s="100">
        <f t="shared" ref="E33:I33" si="414">IFERROR(D33/(D$7+D$12+D$13+D$14),)</f>
        <v>0</v>
      </c>
      <c r="F33" s="84">
        <f t="shared" si="413"/>
        <v>0</v>
      </c>
      <c r="G33" s="100">
        <f t="shared" si="414"/>
        <v>0</v>
      </c>
      <c r="H33" s="84">
        <f t="shared" si="413"/>
        <v>0</v>
      </c>
      <c r="I33" s="101">
        <f t="shared" si="414"/>
        <v>0</v>
      </c>
      <c r="J33" s="84">
        <v>0</v>
      </c>
      <c r="K33" s="100">
        <f t="shared" ref="K33:O33" si="415">IFERROR(J33/(J$7+J$12+J$13+J$14),)</f>
        <v>0</v>
      </c>
      <c r="L33" s="84">
        <v>0</v>
      </c>
      <c r="M33" s="100">
        <f t="shared" si="415"/>
        <v>0</v>
      </c>
      <c r="N33" s="84">
        <v>0</v>
      </c>
      <c r="O33" s="101">
        <f t="shared" si="415"/>
        <v>0</v>
      </c>
      <c r="P33" s="84">
        <v>0</v>
      </c>
      <c r="Q33" s="100">
        <f t="shared" ref="Q33:U33" si="416">IFERROR(P33/(P$7+P$12+P$13+P$14),)</f>
        <v>0</v>
      </c>
      <c r="R33" s="84">
        <v>0</v>
      </c>
      <c r="S33" s="100">
        <f t="shared" si="416"/>
        <v>0</v>
      </c>
      <c r="T33" s="84">
        <v>0</v>
      </c>
      <c r="U33" s="101">
        <f t="shared" si="416"/>
        <v>0</v>
      </c>
      <c r="V33" s="84">
        <v>0</v>
      </c>
      <c r="W33" s="100">
        <f t="shared" ref="W33:AA33" si="417">IFERROR(V33/(V$7+V$12+V$13+V$14),)</f>
        <v>0</v>
      </c>
      <c r="X33" s="84">
        <v>0</v>
      </c>
      <c r="Y33" s="100">
        <f t="shared" si="417"/>
        <v>0</v>
      </c>
      <c r="Z33" s="84">
        <v>0</v>
      </c>
      <c r="AA33" s="101">
        <f t="shared" si="417"/>
        <v>0</v>
      </c>
      <c r="AB33" s="84">
        <v>0</v>
      </c>
      <c r="AC33" s="100">
        <f t="shared" ref="AC33:AG33" si="418">IFERROR(AB33/(AB$7+AB$12+AB$13+AB$14),)</f>
        <v>0</v>
      </c>
      <c r="AD33" s="84">
        <v>0</v>
      </c>
      <c r="AE33" s="100">
        <f t="shared" si="418"/>
        <v>0</v>
      </c>
      <c r="AF33" s="84">
        <v>0</v>
      </c>
      <c r="AG33" s="101">
        <f t="shared" si="418"/>
        <v>0</v>
      </c>
      <c r="AH33" s="84">
        <v>0</v>
      </c>
      <c r="AI33" s="100">
        <f t="shared" ref="AI33:AM33" si="419">IFERROR(AH33/(AH$7+AH$12+AH$13+AH$14),)</f>
        <v>0</v>
      </c>
      <c r="AJ33" s="84">
        <v>0</v>
      </c>
      <c r="AK33" s="100">
        <f t="shared" si="419"/>
        <v>0</v>
      </c>
      <c r="AL33" s="84">
        <v>0</v>
      </c>
      <c r="AM33" s="101">
        <f t="shared" si="419"/>
        <v>0</v>
      </c>
      <c r="AN33" s="84">
        <v>0</v>
      </c>
      <c r="AO33" s="100">
        <f t="shared" ref="AO33:AS33" si="420">IFERROR(AN33/(AN$7+AN$12+AN$13+AN$14),)</f>
        <v>0</v>
      </c>
      <c r="AP33" s="84">
        <v>0</v>
      </c>
      <c r="AQ33" s="100">
        <f t="shared" si="420"/>
        <v>0</v>
      </c>
      <c r="AR33" s="84">
        <v>0</v>
      </c>
      <c r="AS33" s="101">
        <f t="shared" si="420"/>
        <v>0</v>
      </c>
      <c r="AT33" s="84">
        <v>0</v>
      </c>
      <c r="AU33" s="100">
        <f t="shared" ref="AU33:AY33" si="421">IFERROR(AT33/(AT$7+AT$12+AT$13+AT$14),)</f>
        <v>0</v>
      </c>
      <c r="AV33" s="84">
        <v>0</v>
      </c>
      <c r="AW33" s="100">
        <f t="shared" si="421"/>
        <v>0</v>
      </c>
      <c r="AX33" s="84">
        <v>0</v>
      </c>
      <c r="AY33" s="101">
        <f t="shared" si="421"/>
        <v>0</v>
      </c>
      <c r="AZ33" s="84">
        <v>0</v>
      </c>
      <c r="BA33" s="100">
        <f t="shared" ref="BA33:BE33" si="422">IFERROR(AZ33/(AZ$7+AZ$12+AZ$13+AZ$14),)</f>
        <v>0</v>
      </c>
      <c r="BB33" s="84">
        <v>0</v>
      </c>
      <c r="BC33" s="100">
        <f t="shared" si="422"/>
        <v>0</v>
      </c>
      <c r="BD33" s="84">
        <v>0</v>
      </c>
      <c r="BE33" s="101">
        <f t="shared" si="422"/>
        <v>0</v>
      </c>
      <c r="BF33" s="84">
        <v>0</v>
      </c>
      <c r="BG33" s="100">
        <f t="shared" ref="BG33:BK33" si="423">IFERROR(BF33/(BF$7+BF$12+BF$13+BF$14),)</f>
        <v>0</v>
      </c>
      <c r="BH33" s="84">
        <v>0</v>
      </c>
      <c r="BI33" s="100">
        <f t="shared" si="423"/>
        <v>0</v>
      </c>
      <c r="BJ33" s="84">
        <v>0</v>
      </c>
      <c r="BK33" s="101">
        <f t="shared" si="423"/>
        <v>0</v>
      </c>
      <c r="BL33" s="84">
        <v>0</v>
      </c>
      <c r="BM33" s="100">
        <f t="shared" ref="BM33:BQ33" si="424">IFERROR(BL33/(BL$7+BL$12+BL$13+BL$14),)</f>
        <v>0</v>
      </c>
      <c r="BN33" s="84">
        <v>0</v>
      </c>
      <c r="BO33" s="100">
        <f t="shared" si="424"/>
        <v>0</v>
      </c>
      <c r="BP33" s="84">
        <v>0</v>
      </c>
      <c r="BQ33" s="101">
        <f t="shared" si="424"/>
        <v>0</v>
      </c>
      <c r="BR33" s="84">
        <v>0</v>
      </c>
      <c r="BS33" s="100">
        <f t="shared" ref="BS33:BW33" si="425">IFERROR(BR33/(BR$7+BR$12+BR$13+BR$14),)</f>
        <v>0</v>
      </c>
      <c r="BT33" s="84">
        <v>0</v>
      </c>
      <c r="BU33" s="100">
        <f t="shared" si="425"/>
        <v>0</v>
      </c>
      <c r="BV33" s="84">
        <v>0</v>
      </c>
      <c r="BW33" s="101">
        <f t="shared" si="425"/>
        <v>0</v>
      </c>
      <c r="BX33" s="84">
        <v>0</v>
      </c>
      <c r="BY33" s="100">
        <f t="shared" ref="BY33:CC33" si="426">IFERROR(BX33/(BX$7+BX$12+BX$13+BX$14),)</f>
        <v>0</v>
      </c>
      <c r="BZ33" s="84">
        <v>0</v>
      </c>
      <c r="CA33" s="100">
        <f t="shared" si="426"/>
        <v>0</v>
      </c>
      <c r="CB33" s="84">
        <v>0</v>
      </c>
      <c r="CC33" s="101">
        <f t="shared" si="426"/>
        <v>0</v>
      </c>
    </row>
    <row r="34" outlineLevel="2" spans="1:81">
      <c r="B34" s="83" t="s">
        <v>80</v>
      </c>
      <c r="C34" s="83" t="s">
        <v>81</v>
      </c>
      <c r="D34" s="84">
        <f t="shared" ref="D34:H34" si="427">SUMIFS($J34:$CC34,$J$5:$CC$5,D$5)</f>
        <v>0</v>
      </c>
      <c r="E34" s="100">
        <f t="shared" ref="E34:I34" si="428">IFERROR(D34/(D$7+D$12+D$13+D$14),)</f>
        <v>0</v>
      </c>
      <c r="F34" s="84">
        <f t="shared" si="427"/>
        <v>0</v>
      </c>
      <c r="G34" s="100">
        <f t="shared" si="428"/>
        <v>0</v>
      </c>
      <c r="H34" s="84">
        <f t="shared" si="427"/>
        <v>0</v>
      </c>
      <c r="I34" s="101">
        <f t="shared" si="428"/>
        <v>0</v>
      </c>
      <c r="J34" s="84">
        <v>0</v>
      </c>
      <c r="K34" s="100">
        <f t="shared" ref="K34:O34" si="429">IFERROR(J34/(J$7+J$12+J$13+J$14),)</f>
        <v>0</v>
      </c>
      <c r="L34" s="84">
        <v>0</v>
      </c>
      <c r="M34" s="100">
        <f t="shared" si="429"/>
        <v>0</v>
      </c>
      <c r="N34" s="84">
        <v>0</v>
      </c>
      <c r="O34" s="101">
        <f t="shared" si="429"/>
        <v>0</v>
      </c>
      <c r="P34" s="84">
        <v>0</v>
      </c>
      <c r="Q34" s="100">
        <f t="shared" ref="Q34:U34" si="430">IFERROR(P34/(P$7+P$12+P$13+P$14),)</f>
        <v>0</v>
      </c>
      <c r="R34" s="84">
        <v>0</v>
      </c>
      <c r="S34" s="100">
        <f t="shared" si="430"/>
        <v>0</v>
      </c>
      <c r="T34" s="84">
        <v>0</v>
      </c>
      <c r="U34" s="101">
        <f t="shared" si="430"/>
        <v>0</v>
      </c>
      <c r="V34" s="84">
        <v>0</v>
      </c>
      <c r="W34" s="100">
        <f t="shared" ref="W34:AA34" si="431">IFERROR(V34/(V$7+V$12+V$13+V$14),)</f>
        <v>0</v>
      </c>
      <c r="X34" s="84">
        <v>0</v>
      </c>
      <c r="Y34" s="100">
        <f t="shared" si="431"/>
        <v>0</v>
      </c>
      <c r="Z34" s="84">
        <v>0</v>
      </c>
      <c r="AA34" s="101">
        <f t="shared" si="431"/>
        <v>0</v>
      </c>
      <c r="AB34" s="84">
        <v>0</v>
      </c>
      <c r="AC34" s="100">
        <f t="shared" ref="AC34:AG34" si="432">IFERROR(AB34/(AB$7+AB$12+AB$13+AB$14),)</f>
        <v>0</v>
      </c>
      <c r="AD34" s="84">
        <v>0</v>
      </c>
      <c r="AE34" s="100">
        <f t="shared" si="432"/>
        <v>0</v>
      </c>
      <c r="AF34" s="84">
        <v>0</v>
      </c>
      <c r="AG34" s="101">
        <f t="shared" si="432"/>
        <v>0</v>
      </c>
      <c r="AH34" s="84">
        <v>0</v>
      </c>
      <c r="AI34" s="100">
        <f t="shared" ref="AI34:AM34" si="433">IFERROR(AH34/(AH$7+AH$12+AH$13+AH$14),)</f>
        <v>0</v>
      </c>
      <c r="AJ34" s="84">
        <v>0</v>
      </c>
      <c r="AK34" s="100">
        <f t="shared" si="433"/>
        <v>0</v>
      </c>
      <c r="AL34" s="84">
        <v>0</v>
      </c>
      <c r="AM34" s="101">
        <f t="shared" si="433"/>
        <v>0</v>
      </c>
      <c r="AN34" s="84">
        <v>0</v>
      </c>
      <c r="AO34" s="100">
        <f t="shared" ref="AO34:AS34" si="434">IFERROR(AN34/(AN$7+AN$12+AN$13+AN$14),)</f>
        <v>0</v>
      </c>
      <c r="AP34" s="84">
        <v>0</v>
      </c>
      <c r="AQ34" s="100">
        <f t="shared" si="434"/>
        <v>0</v>
      </c>
      <c r="AR34" s="84">
        <v>0</v>
      </c>
      <c r="AS34" s="101">
        <f t="shared" si="434"/>
        <v>0</v>
      </c>
      <c r="AT34" s="84">
        <v>0</v>
      </c>
      <c r="AU34" s="100">
        <f t="shared" ref="AU34:AY34" si="435">IFERROR(AT34/(AT$7+AT$12+AT$13+AT$14),)</f>
        <v>0</v>
      </c>
      <c r="AV34" s="84">
        <v>0</v>
      </c>
      <c r="AW34" s="100">
        <f t="shared" si="435"/>
        <v>0</v>
      </c>
      <c r="AX34" s="84">
        <v>0</v>
      </c>
      <c r="AY34" s="101">
        <f t="shared" si="435"/>
        <v>0</v>
      </c>
      <c r="AZ34" s="84">
        <v>0</v>
      </c>
      <c r="BA34" s="100">
        <f t="shared" ref="BA34:BE34" si="436">IFERROR(AZ34/(AZ$7+AZ$12+AZ$13+AZ$14),)</f>
        <v>0</v>
      </c>
      <c r="BB34" s="84">
        <v>0</v>
      </c>
      <c r="BC34" s="100">
        <f t="shared" si="436"/>
        <v>0</v>
      </c>
      <c r="BD34" s="84">
        <v>0</v>
      </c>
      <c r="BE34" s="101">
        <f t="shared" si="436"/>
        <v>0</v>
      </c>
      <c r="BF34" s="84">
        <v>0</v>
      </c>
      <c r="BG34" s="100">
        <f t="shared" ref="BG34:BK34" si="437">IFERROR(BF34/(BF$7+BF$12+BF$13+BF$14),)</f>
        <v>0</v>
      </c>
      <c r="BH34" s="84">
        <v>0</v>
      </c>
      <c r="BI34" s="100">
        <f t="shared" si="437"/>
        <v>0</v>
      </c>
      <c r="BJ34" s="84">
        <v>0</v>
      </c>
      <c r="BK34" s="101">
        <f t="shared" si="437"/>
        <v>0</v>
      </c>
      <c r="BL34" s="84">
        <v>0</v>
      </c>
      <c r="BM34" s="100">
        <f t="shared" ref="BM34:BQ34" si="438">IFERROR(BL34/(BL$7+BL$12+BL$13+BL$14),)</f>
        <v>0</v>
      </c>
      <c r="BN34" s="84">
        <v>0</v>
      </c>
      <c r="BO34" s="100">
        <f t="shared" si="438"/>
        <v>0</v>
      </c>
      <c r="BP34" s="84">
        <v>0</v>
      </c>
      <c r="BQ34" s="101">
        <f t="shared" si="438"/>
        <v>0</v>
      </c>
      <c r="BR34" s="84">
        <v>0</v>
      </c>
      <c r="BS34" s="100">
        <f t="shared" ref="BS34:BW34" si="439">IFERROR(BR34/(BR$7+BR$12+BR$13+BR$14),)</f>
        <v>0</v>
      </c>
      <c r="BT34" s="84">
        <v>0</v>
      </c>
      <c r="BU34" s="100">
        <f t="shared" si="439"/>
        <v>0</v>
      </c>
      <c r="BV34" s="84">
        <v>0</v>
      </c>
      <c r="BW34" s="101">
        <f t="shared" si="439"/>
        <v>0</v>
      </c>
      <c r="BX34" s="84">
        <v>0</v>
      </c>
      <c r="BY34" s="100">
        <f t="shared" ref="BY34:CC34" si="440">IFERROR(BX34/(BX$7+BX$12+BX$13+BX$14),)</f>
        <v>0</v>
      </c>
      <c r="BZ34" s="84">
        <v>0</v>
      </c>
      <c r="CA34" s="100">
        <f t="shared" si="440"/>
        <v>0</v>
      </c>
      <c r="CB34" s="84">
        <v>0</v>
      </c>
      <c r="CC34" s="101">
        <f t="shared" si="440"/>
        <v>0</v>
      </c>
    </row>
    <row r="35" outlineLevel="2" spans="1:81">
      <c r="B35" s="83" t="s">
        <v>82</v>
      </c>
      <c r="C35" s="83" t="s">
        <v>83</v>
      </c>
      <c r="D35" s="84">
        <f t="shared" ref="D35:H35" si="441">SUMIFS($J35:$CC35,$J$5:$CC$5,D$5)</f>
        <v>0</v>
      </c>
      <c r="E35" s="100">
        <f t="shared" ref="E35:I35" si="442">IFERROR(D35/(D$7+D$12+D$13+D$14),)</f>
        <v>0</v>
      </c>
      <c r="F35" s="84">
        <f t="shared" si="441"/>
        <v>0</v>
      </c>
      <c r="G35" s="100">
        <f t="shared" si="442"/>
        <v>0</v>
      </c>
      <c r="H35" s="84">
        <f t="shared" si="441"/>
        <v>0</v>
      </c>
      <c r="I35" s="101">
        <f t="shared" si="442"/>
        <v>0</v>
      </c>
      <c r="J35" s="84">
        <v>0</v>
      </c>
      <c r="K35" s="100">
        <f t="shared" ref="K35:O35" si="443">IFERROR(J35/(J$7+J$12+J$13+J$14),)</f>
        <v>0</v>
      </c>
      <c r="L35" s="84">
        <v>0</v>
      </c>
      <c r="M35" s="100">
        <f t="shared" si="443"/>
        <v>0</v>
      </c>
      <c r="N35" s="84">
        <v>0</v>
      </c>
      <c r="O35" s="101">
        <f t="shared" si="443"/>
        <v>0</v>
      </c>
      <c r="P35" s="84">
        <v>0</v>
      </c>
      <c r="Q35" s="100">
        <f t="shared" ref="Q35:U35" si="444">IFERROR(P35/(P$7+P$12+P$13+P$14),)</f>
        <v>0</v>
      </c>
      <c r="R35" s="84">
        <v>0</v>
      </c>
      <c r="S35" s="100">
        <f t="shared" si="444"/>
        <v>0</v>
      </c>
      <c r="T35" s="84">
        <v>0</v>
      </c>
      <c r="U35" s="101">
        <f t="shared" si="444"/>
        <v>0</v>
      </c>
      <c r="V35" s="84">
        <v>0</v>
      </c>
      <c r="W35" s="100">
        <f t="shared" ref="W35:AA35" si="445">IFERROR(V35/(V$7+V$12+V$13+V$14),)</f>
        <v>0</v>
      </c>
      <c r="X35" s="84">
        <v>0</v>
      </c>
      <c r="Y35" s="100">
        <f t="shared" si="445"/>
        <v>0</v>
      </c>
      <c r="Z35" s="84">
        <v>0</v>
      </c>
      <c r="AA35" s="101">
        <f t="shared" si="445"/>
        <v>0</v>
      </c>
      <c r="AB35" s="84">
        <v>0</v>
      </c>
      <c r="AC35" s="100">
        <f t="shared" ref="AC35:AG35" si="446">IFERROR(AB35/(AB$7+AB$12+AB$13+AB$14),)</f>
        <v>0</v>
      </c>
      <c r="AD35" s="84">
        <v>0</v>
      </c>
      <c r="AE35" s="100">
        <f t="shared" si="446"/>
        <v>0</v>
      </c>
      <c r="AF35" s="84">
        <v>0</v>
      </c>
      <c r="AG35" s="101">
        <f t="shared" si="446"/>
        <v>0</v>
      </c>
      <c r="AH35" s="84">
        <v>0</v>
      </c>
      <c r="AI35" s="100">
        <f t="shared" ref="AI35:AM35" si="447">IFERROR(AH35/(AH$7+AH$12+AH$13+AH$14),)</f>
        <v>0</v>
      </c>
      <c r="AJ35" s="84">
        <v>0</v>
      </c>
      <c r="AK35" s="100">
        <f t="shared" si="447"/>
        <v>0</v>
      </c>
      <c r="AL35" s="84">
        <v>0</v>
      </c>
      <c r="AM35" s="101">
        <f t="shared" si="447"/>
        <v>0</v>
      </c>
      <c r="AN35" s="84">
        <v>0</v>
      </c>
      <c r="AO35" s="100">
        <f t="shared" ref="AO35:AS35" si="448">IFERROR(AN35/(AN$7+AN$12+AN$13+AN$14),)</f>
        <v>0</v>
      </c>
      <c r="AP35" s="84">
        <v>0</v>
      </c>
      <c r="AQ35" s="100">
        <f t="shared" si="448"/>
        <v>0</v>
      </c>
      <c r="AR35" s="84">
        <v>0</v>
      </c>
      <c r="AS35" s="101">
        <f t="shared" si="448"/>
        <v>0</v>
      </c>
      <c r="AT35" s="84">
        <v>0</v>
      </c>
      <c r="AU35" s="100">
        <f t="shared" ref="AU35:AY35" si="449">IFERROR(AT35/(AT$7+AT$12+AT$13+AT$14),)</f>
        <v>0</v>
      </c>
      <c r="AV35" s="84">
        <v>0</v>
      </c>
      <c r="AW35" s="100">
        <f t="shared" si="449"/>
        <v>0</v>
      </c>
      <c r="AX35" s="84">
        <v>0</v>
      </c>
      <c r="AY35" s="101">
        <f t="shared" si="449"/>
        <v>0</v>
      </c>
      <c r="AZ35" s="84">
        <v>0</v>
      </c>
      <c r="BA35" s="100">
        <f t="shared" ref="BA35:BE35" si="450">IFERROR(AZ35/(AZ$7+AZ$12+AZ$13+AZ$14),)</f>
        <v>0</v>
      </c>
      <c r="BB35" s="84">
        <v>0</v>
      </c>
      <c r="BC35" s="100">
        <f t="shared" si="450"/>
        <v>0</v>
      </c>
      <c r="BD35" s="84">
        <v>0</v>
      </c>
      <c r="BE35" s="101">
        <f t="shared" si="450"/>
        <v>0</v>
      </c>
      <c r="BF35" s="84">
        <v>0</v>
      </c>
      <c r="BG35" s="100">
        <f t="shared" ref="BG35:BK35" si="451">IFERROR(BF35/(BF$7+BF$12+BF$13+BF$14),)</f>
        <v>0</v>
      </c>
      <c r="BH35" s="84">
        <v>0</v>
      </c>
      <c r="BI35" s="100">
        <f t="shared" si="451"/>
        <v>0</v>
      </c>
      <c r="BJ35" s="84">
        <v>0</v>
      </c>
      <c r="BK35" s="101">
        <f t="shared" si="451"/>
        <v>0</v>
      </c>
      <c r="BL35" s="84">
        <v>0</v>
      </c>
      <c r="BM35" s="100">
        <f t="shared" ref="BM35:BQ35" si="452">IFERROR(BL35/(BL$7+BL$12+BL$13+BL$14),)</f>
        <v>0</v>
      </c>
      <c r="BN35" s="84">
        <v>0</v>
      </c>
      <c r="BO35" s="100">
        <f t="shared" si="452"/>
        <v>0</v>
      </c>
      <c r="BP35" s="84">
        <v>0</v>
      </c>
      <c r="BQ35" s="101">
        <f t="shared" si="452"/>
        <v>0</v>
      </c>
      <c r="BR35" s="84">
        <v>0</v>
      </c>
      <c r="BS35" s="100">
        <f t="shared" ref="BS35:BW35" si="453">IFERROR(BR35/(BR$7+BR$12+BR$13+BR$14),)</f>
        <v>0</v>
      </c>
      <c r="BT35" s="84">
        <v>0</v>
      </c>
      <c r="BU35" s="100">
        <f t="shared" si="453"/>
        <v>0</v>
      </c>
      <c r="BV35" s="84">
        <v>0</v>
      </c>
      <c r="BW35" s="101">
        <f t="shared" si="453"/>
        <v>0</v>
      </c>
      <c r="BX35" s="84">
        <v>0</v>
      </c>
      <c r="BY35" s="100">
        <f t="shared" ref="BY35:CC35" si="454">IFERROR(BX35/(BX$7+BX$12+BX$13+BX$14),)</f>
        <v>0</v>
      </c>
      <c r="BZ35" s="84">
        <v>0</v>
      </c>
      <c r="CA35" s="100">
        <f t="shared" si="454"/>
        <v>0</v>
      </c>
      <c r="CB35" s="84">
        <v>0</v>
      </c>
      <c r="CC35" s="101">
        <f t="shared" si="454"/>
        <v>0</v>
      </c>
    </row>
    <row r="36" spans="1:81">
      <c r="B36" s="102"/>
      <c r="C36" s="102" t="s">
        <v>84</v>
      </c>
      <c r="D36" s="103">
        <f t="shared" ref="D36:H36" si="455">SUMIFS($J36:$CC36,$J$5:$CC$5,D$5)</f>
        <v>0</v>
      </c>
      <c r="E36" s="104">
        <f t="shared" ref="E36:I36" si="456">IFERROR(D36/(D$7+D$12+D$13+D$14),)</f>
        <v>0</v>
      </c>
      <c r="F36" s="103">
        <f t="shared" si="455"/>
        <v>0</v>
      </c>
      <c r="G36" s="104">
        <f t="shared" si="456"/>
        <v>0</v>
      </c>
      <c r="H36" s="103">
        <f t="shared" si="455"/>
        <v>20.251965</v>
      </c>
      <c r="I36" s="105">
        <f t="shared" si="456"/>
        <v>0.332237836833307</v>
      </c>
      <c r="J36" s="103">
        <f t="shared" ref="J36:N36" si="457">SUM(J29:J35)</f>
        <v>0</v>
      </c>
      <c r="K36" s="104">
        <f t="shared" ref="K36:O36" si="458">IFERROR(J36/(J$7+J$12+J$13+J$14),)</f>
        <v>0</v>
      </c>
      <c r="L36" s="103">
        <f t="shared" si="457"/>
        <v>0</v>
      </c>
      <c r="M36" s="104">
        <f t="shared" si="458"/>
        <v>0</v>
      </c>
      <c r="N36" s="103">
        <f t="shared" si="457"/>
        <v>5.686206</v>
      </c>
      <c r="O36" s="105">
        <f t="shared" si="458"/>
        <v>0.66015896878685</v>
      </c>
      <c r="P36" s="103">
        <f t="shared" ref="P36:T36" si="459">SUM(P29:P35)</f>
        <v>0</v>
      </c>
      <c r="Q36" s="104">
        <f t="shared" ref="Q36:U36" si="460">IFERROR(P36/(P$7+P$12+P$13+P$14),)</f>
        <v>0</v>
      </c>
      <c r="R36" s="103">
        <f t="shared" si="459"/>
        <v>0</v>
      </c>
      <c r="S36" s="104">
        <f t="shared" si="460"/>
        <v>0</v>
      </c>
      <c r="T36" s="103">
        <f t="shared" si="459"/>
        <v>4.433464</v>
      </c>
      <c r="U36" s="105">
        <f t="shared" si="460"/>
        <v>0.275739823385763</v>
      </c>
      <c r="V36" s="103">
        <f t="shared" ref="V36:Z36" si="461">SUM(V29:V35)</f>
        <v>0</v>
      </c>
      <c r="W36" s="104">
        <f t="shared" ref="W36:AA36" si="462">IFERROR(V36/(V$7+V$12+V$13+V$14),)</f>
        <v>0</v>
      </c>
      <c r="X36" s="103">
        <f t="shared" si="461"/>
        <v>0</v>
      </c>
      <c r="Y36" s="104">
        <f t="shared" si="462"/>
        <v>0</v>
      </c>
      <c r="Z36" s="103">
        <f t="shared" si="461"/>
        <v>3.781535</v>
      </c>
      <c r="AA36" s="105">
        <f t="shared" si="462"/>
        <v>0.217447606767282</v>
      </c>
      <c r="AB36" s="103">
        <f t="shared" ref="AB36:AF36" si="463">SUM(AB29:AB35)</f>
        <v>0</v>
      </c>
      <c r="AC36" s="104">
        <f t="shared" ref="AC36:AG36" si="464">IFERROR(AB36/(AB$7+AB$12+AB$13+AB$14),)</f>
        <v>0</v>
      </c>
      <c r="AD36" s="103">
        <f t="shared" si="463"/>
        <v>0</v>
      </c>
      <c r="AE36" s="104">
        <f t="shared" si="464"/>
        <v>0</v>
      </c>
      <c r="AF36" s="103">
        <f t="shared" si="463"/>
        <v>3.11637</v>
      </c>
      <c r="AG36" s="105">
        <f t="shared" si="464"/>
        <v>0.230315533248707</v>
      </c>
      <c r="AH36" s="103">
        <f t="shared" ref="AH36:AL36" si="465">SUM(AH29:AH35)</f>
        <v>0</v>
      </c>
      <c r="AI36" s="104">
        <f t="shared" ref="AI36:AM36" si="466">IFERROR(AH36/(AH$7+AH$12+AH$13+AH$14),)</f>
        <v>0</v>
      </c>
      <c r="AJ36" s="103">
        <f t="shared" si="465"/>
        <v>0</v>
      </c>
      <c r="AK36" s="104">
        <f t="shared" si="466"/>
        <v>0</v>
      </c>
      <c r="AL36" s="103">
        <f t="shared" si="465"/>
        <v>3.23439</v>
      </c>
      <c r="AM36" s="105">
        <f t="shared" si="466"/>
        <v>0.605353532309796</v>
      </c>
      <c r="AN36" s="103">
        <f t="shared" ref="AN36:AR36" si="467">SUM(AN29:AN35)</f>
        <v>0</v>
      </c>
      <c r="AO36" s="104">
        <f t="shared" ref="AO36:AS36" si="468">IFERROR(AN36/(AN$7+AN$12+AN$13+AN$14),)</f>
        <v>0</v>
      </c>
      <c r="AP36" s="103">
        <f t="shared" si="467"/>
        <v>0</v>
      </c>
      <c r="AQ36" s="104">
        <f t="shared" si="468"/>
        <v>0</v>
      </c>
      <c r="AR36" s="103">
        <f t="shared" si="467"/>
        <v>0</v>
      </c>
      <c r="AS36" s="105">
        <f t="shared" si="468"/>
        <v>0</v>
      </c>
      <c r="AT36" s="103">
        <f t="shared" ref="AT36:AX36" si="469">SUM(AT29:AT35)</f>
        <v>0</v>
      </c>
      <c r="AU36" s="104">
        <f t="shared" ref="AU36:AY36" si="470">IFERROR(AT36/(AT$7+AT$12+AT$13+AT$14),)</f>
        <v>0</v>
      </c>
      <c r="AV36" s="103">
        <f t="shared" si="469"/>
        <v>0</v>
      </c>
      <c r="AW36" s="104">
        <f t="shared" si="470"/>
        <v>0</v>
      </c>
      <c r="AX36" s="103">
        <f t="shared" si="469"/>
        <v>0</v>
      </c>
      <c r="AY36" s="105">
        <f t="shared" si="470"/>
        <v>0</v>
      </c>
      <c r="AZ36" s="103">
        <f t="shared" ref="AZ36:BD36" si="471">SUM(AZ29:AZ35)</f>
        <v>0</v>
      </c>
      <c r="BA36" s="104">
        <f t="shared" ref="BA36:BE36" si="472">IFERROR(AZ36/(AZ$7+AZ$12+AZ$13+AZ$14),)</f>
        <v>0</v>
      </c>
      <c r="BB36" s="103">
        <f t="shared" si="471"/>
        <v>0</v>
      </c>
      <c r="BC36" s="104">
        <f t="shared" si="472"/>
        <v>0</v>
      </c>
      <c r="BD36" s="103">
        <f t="shared" si="471"/>
        <v>0</v>
      </c>
      <c r="BE36" s="105">
        <f t="shared" si="472"/>
        <v>0</v>
      </c>
      <c r="BF36" s="103">
        <f t="shared" ref="BF36:BJ36" si="473">SUM(BF29:BF35)</f>
        <v>0</v>
      </c>
      <c r="BG36" s="104">
        <f t="shared" ref="BG36:BK36" si="474">IFERROR(BF36/(BF$7+BF$12+BF$13+BF$14),)</f>
        <v>0</v>
      </c>
      <c r="BH36" s="103">
        <f t="shared" si="473"/>
        <v>0</v>
      </c>
      <c r="BI36" s="104">
        <f t="shared" si="474"/>
        <v>0</v>
      </c>
      <c r="BJ36" s="103">
        <f t="shared" si="473"/>
        <v>0</v>
      </c>
      <c r="BK36" s="105">
        <f t="shared" si="474"/>
        <v>0</v>
      </c>
      <c r="BL36" s="103">
        <f t="shared" ref="BL36:BP36" si="475">SUM(BL29:BL35)</f>
        <v>0</v>
      </c>
      <c r="BM36" s="104">
        <f t="shared" ref="BM36:BQ36" si="476">IFERROR(BL36/(BL$7+BL$12+BL$13+BL$14),)</f>
        <v>0</v>
      </c>
      <c r="BN36" s="103">
        <f t="shared" si="475"/>
        <v>0</v>
      </c>
      <c r="BO36" s="104">
        <f t="shared" si="476"/>
        <v>0</v>
      </c>
      <c r="BP36" s="103">
        <f t="shared" si="475"/>
        <v>0</v>
      </c>
      <c r="BQ36" s="105">
        <f t="shared" si="476"/>
        <v>0</v>
      </c>
      <c r="BR36" s="103">
        <f t="shared" ref="BR36:BV36" si="477">SUM(BR29:BR35)</f>
        <v>0</v>
      </c>
      <c r="BS36" s="104">
        <f t="shared" ref="BS36:BW36" si="478">IFERROR(BR36/(BR$7+BR$12+BR$13+BR$14),)</f>
        <v>0</v>
      </c>
      <c r="BT36" s="103">
        <f t="shared" si="477"/>
        <v>0</v>
      </c>
      <c r="BU36" s="104">
        <f t="shared" si="478"/>
        <v>0</v>
      </c>
      <c r="BV36" s="103">
        <f t="shared" si="477"/>
        <v>0</v>
      </c>
      <c r="BW36" s="105">
        <f t="shared" si="478"/>
        <v>0</v>
      </c>
      <c r="BX36" s="103">
        <f t="shared" ref="BX36:CB36" si="479">SUM(BX29:BX35)</f>
        <v>0</v>
      </c>
      <c r="BY36" s="104">
        <f t="shared" ref="BY36:CC36" si="480">IFERROR(BX36/(BX$7+BX$12+BX$13+BX$14),)</f>
        <v>0</v>
      </c>
      <c r="BZ36" s="103">
        <f t="shared" si="479"/>
        <v>0</v>
      </c>
      <c r="CA36" s="104">
        <f t="shared" si="480"/>
        <v>0</v>
      </c>
      <c r="CB36" s="103">
        <f t="shared" si="479"/>
        <v>0</v>
      </c>
      <c r="CC36" s="105">
        <f t="shared" si="480"/>
        <v>0</v>
      </c>
    </row>
    <row r="37" outlineLevel="1" spans="1:81">
      <c r="B37" s="83" t="s">
        <v>85</v>
      </c>
      <c r="C37" s="83" t="s">
        <v>86</v>
      </c>
      <c r="D37" s="84">
        <f t="shared" ref="D37:H37" si="481">SUMIFS($J37:$CC37,$J$5:$CC$5,D$5)</f>
        <v>0</v>
      </c>
      <c r="E37" s="100">
        <f t="shared" ref="E37:I37" si="482">IFERROR(D37/(D$7+D$12+D$13+D$14),)</f>
        <v>0</v>
      </c>
      <c r="F37" s="84">
        <f t="shared" si="481"/>
        <v>0</v>
      </c>
      <c r="G37" s="100">
        <f t="shared" si="482"/>
        <v>0</v>
      </c>
      <c r="H37" s="84">
        <f t="shared" si="481"/>
        <v>9.144303</v>
      </c>
      <c r="I37" s="101">
        <f t="shared" si="482"/>
        <v>0.150014255311438</v>
      </c>
      <c r="J37" s="84">
        <v>0</v>
      </c>
      <c r="K37" s="100">
        <f t="shared" ref="K37:O37" si="483">IFERROR(J37/(J$7+J$12+J$13+J$14),)</f>
        <v>0</v>
      </c>
      <c r="L37" s="84">
        <v>0</v>
      </c>
      <c r="M37" s="100">
        <f t="shared" si="483"/>
        <v>0</v>
      </c>
      <c r="N37" s="84">
        <v>0.81995</v>
      </c>
      <c r="O37" s="101">
        <f t="shared" si="483"/>
        <v>0.0951948182068637</v>
      </c>
      <c r="P37" s="84">
        <v>0</v>
      </c>
      <c r="Q37" s="100">
        <f t="shared" ref="Q37:U37" si="484">IFERROR(P37/(P$7+P$12+P$13+P$14),)</f>
        <v>0</v>
      </c>
      <c r="R37" s="84">
        <v>0</v>
      </c>
      <c r="S37" s="100">
        <f t="shared" si="484"/>
        <v>0</v>
      </c>
      <c r="T37" s="84">
        <v>1.357048</v>
      </c>
      <c r="U37" s="101">
        <f t="shared" si="484"/>
        <v>0.0844017625599312</v>
      </c>
      <c r="V37" s="84">
        <v>0</v>
      </c>
      <c r="W37" s="100">
        <f t="shared" ref="W37:AA37" si="485">IFERROR(V37/(V$7+V$12+V$13+V$14),)</f>
        <v>0</v>
      </c>
      <c r="X37" s="84">
        <v>0</v>
      </c>
      <c r="Y37" s="100">
        <f t="shared" si="485"/>
        <v>0</v>
      </c>
      <c r="Z37" s="84">
        <v>2.391805</v>
      </c>
      <c r="AA37" s="101">
        <f t="shared" si="485"/>
        <v>0.137534697709797</v>
      </c>
      <c r="AB37" s="84">
        <v>0</v>
      </c>
      <c r="AC37" s="100">
        <f t="shared" ref="AC37:AG37" si="486">IFERROR(AB37/(AB$7+AB$12+AB$13+AB$14),)</f>
        <v>0</v>
      </c>
      <c r="AD37" s="84">
        <v>0</v>
      </c>
      <c r="AE37" s="100">
        <f t="shared" si="486"/>
        <v>0</v>
      </c>
      <c r="AF37" s="84">
        <v>3.11229</v>
      </c>
      <c r="AG37" s="101">
        <f t="shared" si="486"/>
        <v>0.230014000575868</v>
      </c>
      <c r="AH37" s="84">
        <v>0</v>
      </c>
      <c r="AI37" s="100">
        <f t="shared" ref="AI37:AM37" si="487">IFERROR(AH37/(AH$7+AH$12+AH$13+AH$14),)</f>
        <v>0</v>
      </c>
      <c r="AJ37" s="84">
        <v>0</v>
      </c>
      <c r="AK37" s="100">
        <f t="shared" si="487"/>
        <v>0</v>
      </c>
      <c r="AL37" s="84">
        <v>1.46321</v>
      </c>
      <c r="AM37" s="101">
        <f t="shared" si="487"/>
        <v>0.273856690754985</v>
      </c>
      <c r="AN37" s="84">
        <v>0</v>
      </c>
      <c r="AO37" s="100">
        <f t="shared" ref="AO37:AS37" si="488">IFERROR(AN37/(AN$7+AN$12+AN$13+AN$14),)</f>
        <v>0</v>
      </c>
      <c r="AP37" s="84">
        <v>0</v>
      </c>
      <c r="AQ37" s="100">
        <f t="shared" si="488"/>
        <v>0</v>
      </c>
      <c r="AR37" s="84">
        <v>0</v>
      </c>
      <c r="AS37" s="101">
        <f t="shared" si="488"/>
        <v>0</v>
      </c>
      <c r="AT37" s="84">
        <v>0</v>
      </c>
      <c r="AU37" s="100">
        <f t="shared" ref="AU37:AY37" si="489">IFERROR(AT37/(AT$7+AT$12+AT$13+AT$14),)</f>
        <v>0</v>
      </c>
      <c r="AV37" s="84">
        <v>0</v>
      </c>
      <c r="AW37" s="100">
        <f t="shared" si="489"/>
        <v>0</v>
      </c>
      <c r="AX37" s="84">
        <v>0</v>
      </c>
      <c r="AY37" s="101">
        <f t="shared" si="489"/>
        <v>0</v>
      </c>
      <c r="AZ37" s="84">
        <v>0</v>
      </c>
      <c r="BA37" s="100">
        <f t="shared" ref="BA37:BE37" si="490">IFERROR(AZ37/(AZ$7+AZ$12+AZ$13+AZ$14),)</f>
        <v>0</v>
      </c>
      <c r="BB37" s="84">
        <v>0</v>
      </c>
      <c r="BC37" s="100">
        <f t="shared" si="490"/>
        <v>0</v>
      </c>
      <c r="BD37" s="84">
        <v>0</v>
      </c>
      <c r="BE37" s="101">
        <f t="shared" si="490"/>
        <v>0</v>
      </c>
      <c r="BF37" s="84">
        <v>0</v>
      </c>
      <c r="BG37" s="100">
        <f t="shared" ref="BG37:BK37" si="491">IFERROR(BF37/(BF$7+BF$12+BF$13+BF$14),)</f>
        <v>0</v>
      </c>
      <c r="BH37" s="84">
        <v>0</v>
      </c>
      <c r="BI37" s="100">
        <f t="shared" si="491"/>
        <v>0</v>
      </c>
      <c r="BJ37" s="84">
        <v>0</v>
      </c>
      <c r="BK37" s="101">
        <f t="shared" si="491"/>
        <v>0</v>
      </c>
      <c r="BL37" s="84">
        <v>0</v>
      </c>
      <c r="BM37" s="100">
        <f t="shared" ref="BM37:BQ37" si="492">IFERROR(BL37/(BL$7+BL$12+BL$13+BL$14),)</f>
        <v>0</v>
      </c>
      <c r="BN37" s="84">
        <v>0</v>
      </c>
      <c r="BO37" s="100">
        <f t="shared" si="492"/>
        <v>0</v>
      </c>
      <c r="BP37" s="84">
        <v>0</v>
      </c>
      <c r="BQ37" s="101">
        <f t="shared" si="492"/>
        <v>0</v>
      </c>
      <c r="BR37" s="84">
        <v>0</v>
      </c>
      <c r="BS37" s="100">
        <f t="shared" ref="BS37:BW37" si="493">IFERROR(BR37/(BR$7+BR$12+BR$13+BR$14),)</f>
        <v>0</v>
      </c>
      <c r="BT37" s="84">
        <v>0</v>
      </c>
      <c r="BU37" s="100">
        <f t="shared" si="493"/>
        <v>0</v>
      </c>
      <c r="BV37" s="84">
        <v>0</v>
      </c>
      <c r="BW37" s="101">
        <f t="shared" si="493"/>
        <v>0</v>
      </c>
      <c r="BX37" s="84">
        <v>0</v>
      </c>
      <c r="BY37" s="100">
        <f t="shared" ref="BY37:CC37" si="494">IFERROR(BX37/(BX$7+BX$12+BX$13+BX$14),)</f>
        <v>0</v>
      </c>
      <c r="BZ37" s="84">
        <v>0</v>
      </c>
      <c r="CA37" s="100">
        <f t="shared" si="494"/>
        <v>0</v>
      </c>
      <c r="CB37" s="84">
        <v>0</v>
      </c>
      <c r="CC37" s="101">
        <f t="shared" si="494"/>
        <v>0</v>
      </c>
    </row>
    <row r="38" outlineLevel="2" spans="1:81">
      <c r="B38" s="83" t="s">
        <v>87</v>
      </c>
      <c r="C38" s="83" t="s">
        <v>88</v>
      </c>
      <c r="D38" s="84">
        <f t="shared" ref="D38:H38" si="495">SUMIFS($J38:$CC38,$J$5:$CC$5,D$5)</f>
        <v>0</v>
      </c>
      <c r="E38" s="100">
        <f t="shared" ref="E38:I38" si="496">IFERROR(D38/(D$7+D$12+D$13+D$14),)</f>
        <v>0</v>
      </c>
      <c r="F38" s="84">
        <f t="shared" si="495"/>
        <v>0</v>
      </c>
      <c r="G38" s="100">
        <f t="shared" si="496"/>
        <v>0</v>
      </c>
      <c r="H38" s="84">
        <f t="shared" si="495"/>
        <v>0</v>
      </c>
      <c r="I38" s="101">
        <f t="shared" si="496"/>
        <v>0</v>
      </c>
      <c r="J38" s="84">
        <v>0</v>
      </c>
      <c r="K38" s="100">
        <f t="shared" ref="K38:O38" si="497">IFERROR(J38/(J$7+J$12+J$13+J$14),)</f>
        <v>0</v>
      </c>
      <c r="L38" s="84">
        <v>0</v>
      </c>
      <c r="M38" s="100">
        <f t="shared" si="497"/>
        <v>0</v>
      </c>
      <c r="N38" s="84">
        <v>0</v>
      </c>
      <c r="O38" s="101">
        <f t="shared" si="497"/>
        <v>0</v>
      </c>
      <c r="P38" s="84">
        <v>0</v>
      </c>
      <c r="Q38" s="100">
        <f t="shared" ref="Q38:U38" si="498">IFERROR(P38/(P$7+P$12+P$13+P$14),)</f>
        <v>0</v>
      </c>
      <c r="R38" s="84">
        <v>0</v>
      </c>
      <c r="S38" s="100">
        <f t="shared" si="498"/>
        <v>0</v>
      </c>
      <c r="T38" s="84">
        <v>0</v>
      </c>
      <c r="U38" s="101">
        <f t="shared" si="498"/>
        <v>0</v>
      </c>
      <c r="V38" s="84">
        <v>0</v>
      </c>
      <c r="W38" s="100">
        <f t="shared" ref="W38:AA38" si="499">IFERROR(V38/(V$7+V$12+V$13+V$14),)</f>
        <v>0</v>
      </c>
      <c r="X38" s="84">
        <v>0</v>
      </c>
      <c r="Y38" s="100">
        <f t="shared" si="499"/>
        <v>0</v>
      </c>
      <c r="Z38" s="84">
        <v>0</v>
      </c>
      <c r="AA38" s="101">
        <f t="shared" si="499"/>
        <v>0</v>
      </c>
      <c r="AB38" s="84">
        <v>0</v>
      </c>
      <c r="AC38" s="100">
        <f t="shared" ref="AC38:AG38" si="500">IFERROR(AB38/(AB$7+AB$12+AB$13+AB$14),)</f>
        <v>0</v>
      </c>
      <c r="AD38" s="84">
        <v>0</v>
      </c>
      <c r="AE38" s="100">
        <f t="shared" si="500"/>
        <v>0</v>
      </c>
      <c r="AF38" s="84">
        <v>0</v>
      </c>
      <c r="AG38" s="101">
        <f t="shared" si="500"/>
        <v>0</v>
      </c>
      <c r="AH38" s="84">
        <v>0</v>
      </c>
      <c r="AI38" s="100">
        <f t="shared" ref="AI38:AM38" si="501">IFERROR(AH38/(AH$7+AH$12+AH$13+AH$14),)</f>
        <v>0</v>
      </c>
      <c r="AJ38" s="84">
        <v>0</v>
      </c>
      <c r="AK38" s="100">
        <f t="shared" si="501"/>
        <v>0</v>
      </c>
      <c r="AL38" s="84">
        <v>0</v>
      </c>
      <c r="AM38" s="101">
        <f t="shared" si="501"/>
        <v>0</v>
      </c>
      <c r="AN38" s="84">
        <v>0</v>
      </c>
      <c r="AO38" s="100">
        <f t="shared" ref="AO38:AS38" si="502">IFERROR(AN38/(AN$7+AN$12+AN$13+AN$14),)</f>
        <v>0</v>
      </c>
      <c r="AP38" s="84">
        <v>0</v>
      </c>
      <c r="AQ38" s="100">
        <f t="shared" si="502"/>
        <v>0</v>
      </c>
      <c r="AR38" s="84">
        <v>0</v>
      </c>
      <c r="AS38" s="101">
        <f t="shared" si="502"/>
        <v>0</v>
      </c>
      <c r="AT38" s="84">
        <v>0</v>
      </c>
      <c r="AU38" s="100">
        <f t="shared" ref="AU38:AY38" si="503">IFERROR(AT38/(AT$7+AT$12+AT$13+AT$14),)</f>
        <v>0</v>
      </c>
      <c r="AV38" s="84">
        <v>0</v>
      </c>
      <c r="AW38" s="100">
        <f t="shared" si="503"/>
        <v>0</v>
      </c>
      <c r="AX38" s="84">
        <v>0</v>
      </c>
      <c r="AY38" s="101">
        <f t="shared" si="503"/>
        <v>0</v>
      </c>
      <c r="AZ38" s="84">
        <v>0</v>
      </c>
      <c r="BA38" s="100">
        <f t="shared" ref="BA38:BE38" si="504">IFERROR(AZ38/(AZ$7+AZ$12+AZ$13+AZ$14),)</f>
        <v>0</v>
      </c>
      <c r="BB38" s="84">
        <v>0</v>
      </c>
      <c r="BC38" s="100">
        <f t="shared" si="504"/>
        <v>0</v>
      </c>
      <c r="BD38" s="84">
        <v>0</v>
      </c>
      <c r="BE38" s="101">
        <f t="shared" si="504"/>
        <v>0</v>
      </c>
      <c r="BF38" s="84">
        <v>0</v>
      </c>
      <c r="BG38" s="100">
        <f t="shared" ref="BG38:BK38" si="505">IFERROR(BF38/(BF$7+BF$12+BF$13+BF$14),)</f>
        <v>0</v>
      </c>
      <c r="BH38" s="84">
        <v>0</v>
      </c>
      <c r="BI38" s="100">
        <f t="shared" si="505"/>
        <v>0</v>
      </c>
      <c r="BJ38" s="84">
        <v>0</v>
      </c>
      <c r="BK38" s="101">
        <f t="shared" si="505"/>
        <v>0</v>
      </c>
      <c r="BL38" s="84">
        <v>0</v>
      </c>
      <c r="BM38" s="100">
        <f t="shared" ref="BM38:BQ38" si="506">IFERROR(BL38/(BL$7+BL$12+BL$13+BL$14),)</f>
        <v>0</v>
      </c>
      <c r="BN38" s="84">
        <v>0</v>
      </c>
      <c r="BO38" s="100">
        <f t="shared" si="506"/>
        <v>0</v>
      </c>
      <c r="BP38" s="84">
        <v>0</v>
      </c>
      <c r="BQ38" s="101">
        <f t="shared" si="506"/>
        <v>0</v>
      </c>
      <c r="BR38" s="84">
        <v>0</v>
      </c>
      <c r="BS38" s="100">
        <f t="shared" ref="BS38:BW38" si="507">IFERROR(BR38/(BR$7+BR$12+BR$13+BR$14),)</f>
        <v>0</v>
      </c>
      <c r="BT38" s="84">
        <v>0</v>
      </c>
      <c r="BU38" s="100">
        <f t="shared" si="507"/>
        <v>0</v>
      </c>
      <c r="BV38" s="84">
        <v>0</v>
      </c>
      <c r="BW38" s="101">
        <f t="shared" si="507"/>
        <v>0</v>
      </c>
      <c r="BX38" s="84">
        <v>0</v>
      </c>
      <c r="BY38" s="100">
        <f t="shared" ref="BY38:CC38" si="508">IFERROR(BX38/(BX$7+BX$12+BX$13+BX$14),)</f>
        <v>0</v>
      </c>
      <c r="BZ38" s="84">
        <v>0</v>
      </c>
      <c r="CA38" s="100">
        <f t="shared" si="508"/>
        <v>0</v>
      </c>
      <c r="CB38" s="84">
        <v>0</v>
      </c>
      <c r="CC38" s="101">
        <f t="shared" si="508"/>
        <v>0</v>
      </c>
    </row>
    <row r="39" outlineLevel="2" spans="1:81">
      <c r="B39" s="83" t="s">
        <v>89</v>
      </c>
      <c r="C39" s="83" t="s">
        <v>90</v>
      </c>
      <c r="D39" s="84">
        <f t="shared" ref="D39:H39" si="509">SUMIFS($J39:$CC39,$J$5:$CC$5,D$5)</f>
        <v>0</v>
      </c>
      <c r="E39" s="100">
        <f t="shared" ref="E39:I39" si="510">IFERROR(D39/(D$7+D$12+D$13+D$14),)</f>
        <v>0</v>
      </c>
      <c r="F39" s="84">
        <f t="shared" si="509"/>
        <v>0</v>
      </c>
      <c r="G39" s="100">
        <f t="shared" si="510"/>
        <v>0</v>
      </c>
      <c r="H39" s="84">
        <f t="shared" si="509"/>
        <v>0.0872</v>
      </c>
      <c r="I39" s="101">
        <f t="shared" si="510"/>
        <v>0.00143053473437587</v>
      </c>
      <c r="J39" s="84">
        <v>0</v>
      </c>
      <c r="K39" s="100">
        <f t="shared" ref="K39:O39" si="511">IFERROR(J39/(J$7+J$12+J$13+J$14),)</f>
        <v>0</v>
      </c>
      <c r="L39" s="84">
        <v>0</v>
      </c>
      <c r="M39" s="100">
        <f t="shared" si="511"/>
        <v>0</v>
      </c>
      <c r="N39" s="84">
        <v>0.074</v>
      </c>
      <c r="O39" s="101">
        <f t="shared" si="511"/>
        <v>0.00859127574523802</v>
      </c>
      <c r="P39" s="84">
        <v>0</v>
      </c>
      <c r="Q39" s="100">
        <f t="shared" ref="Q39:U39" si="512">IFERROR(P39/(P$7+P$12+P$13+P$14),)</f>
        <v>0</v>
      </c>
      <c r="R39" s="84">
        <v>0</v>
      </c>
      <c r="S39" s="100">
        <f t="shared" si="512"/>
        <v>0</v>
      </c>
      <c r="T39" s="84">
        <v>0</v>
      </c>
      <c r="U39" s="101">
        <f t="shared" si="512"/>
        <v>0</v>
      </c>
      <c r="V39" s="84">
        <v>0</v>
      </c>
      <c r="W39" s="100">
        <f t="shared" ref="W39:AA39" si="513">IFERROR(V39/(V$7+V$12+V$13+V$14),)</f>
        <v>0</v>
      </c>
      <c r="X39" s="84">
        <v>0</v>
      </c>
      <c r="Y39" s="100">
        <f t="shared" si="513"/>
        <v>0</v>
      </c>
      <c r="Z39" s="84">
        <v>0</v>
      </c>
      <c r="AA39" s="101">
        <f t="shared" si="513"/>
        <v>0</v>
      </c>
      <c r="AB39" s="84">
        <v>0</v>
      </c>
      <c r="AC39" s="100">
        <f t="shared" ref="AC39:AG39" si="514">IFERROR(AB39/(AB$7+AB$12+AB$13+AB$14),)</f>
        <v>0</v>
      </c>
      <c r="AD39" s="84">
        <v>0</v>
      </c>
      <c r="AE39" s="100">
        <f t="shared" si="514"/>
        <v>0</v>
      </c>
      <c r="AF39" s="84">
        <v>0.0132</v>
      </c>
      <c r="AG39" s="101">
        <f t="shared" si="514"/>
        <v>0.000975546882713841</v>
      </c>
      <c r="AH39" s="84">
        <v>0</v>
      </c>
      <c r="AI39" s="100">
        <f t="shared" ref="AI39:AM39" si="515">IFERROR(AH39/(AH$7+AH$12+AH$13+AH$14),)</f>
        <v>0</v>
      </c>
      <c r="AJ39" s="84">
        <v>0</v>
      </c>
      <c r="AK39" s="100">
        <f t="shared" si="515"/>
        <v>0</v>
      </c>
      <c r="AL39" s="84">
        <v>0</v>
      </c>
      <c r="AM39" s="101">
        <f t="shared" si="515"/>
        <v>0</v>
      </c>
      <c r="AN39" s="84">
        <v>0</v>
      </c>
      <c r="AO39" s="100">
        <f t="shared" ref="AO39:AS39" si="516">IFERROR(AN39/(AN$7+AN$12+AN$13+AN$14),)</f>
        <v>0</v>
      </c>
      <c r="AP39" s="84">
        <v>0</v>
      </c>
      <c r="AQ39" s="100">
        <f t="shared" si="516"/>
        <v>0</v>
      </c>
      <c r="AR39" s="84">
        <v>0</v>
      </c>
      <c r="AS39" s="101">
        <f t="shared" si="516"/>
        <v>0</v>
      </c>
      <c r="AT39" s="84">
        <v>0</v>
      </c>
      <c r="AU39" s="100">
        <f t="shared" ref="AU39:AY39" si="517">IFERROR(AT39/(AT$7+AT$12+AT$13+AT$14),)</f>
        <v>0</v>
      </c>
      <c r="AV39" s="84">
        <v>0</v>
      </c>
      <c r="AW39" s="100">
        <f t="shared" si="517"/>
        <v>0</v>
      </c>
      <c r="AX39" s="84">
        <v>0</v>
      </c>
      <c r="AY39" s="101">
        <f t="shared" si="517"/>
        <v>0</v>
      </c>
      <c r="AZ39" s="84">
        <v>0</v>
      </c>
      <c r="BA39" s="100">
        <f t="shared" ref="BA39:BE39" si="518">IFERROR(AZ39/(AZ$7+AZ$12+AZ$13+AZ$14),)</f>
        <v>0</v>
      </c>
      <c r="BB39" s="84">
        <v>0</v>
      </c>
      <c r="BC39" s="100">
        <f t="shared" si="518"/>
        <v>0</v>
      </c>
      <c r="BD39" s="84">
        <v>0</v>
      </c>
      <c r="BE39" s="101">
        <f t="shared" si="518"/>
        <v>0</v>
      </c>
      <c r="BF39" s="84">
        <v>0</v>
      </c>
      <c r="BG39" s="100">
        <f t="shared" ref="BG39:BK39" si="519">IFERROR(BF39/(BF$7+BF$12+BF$13+BF$14),)</f>
        <v>0</v>
      </c>
      <c r="BH39" s="84">
        <v>0</v>
      </c>
      <c r="BI39" s="100">
        <f t="shared" si="519"/>
        <v>0</v>
      </c>
      <c r="BJ39" s="84">
        <v>0</v>
      </c>
      <c r="BK39" s="101">
        <f t="shared" si="519"/>
        <v>0</v>
      </c>
      <c r="BL39" s="84">
        <v>0</v>
      </c>
      <c r="BM39" s="100">
        <f t="shared" ref="BM39:BQ39" si="520">IFERROR(BL39/(BL$7+BL$12+BL$13+BL$14),)</f>
        <v>0</v>
      </c>
      <c r="BN39" s="84">
        <v>0</v>
      </c>
      <c r="BO39" s="100">
        <f t="shared" si="520"/>
        <v>0</v>
      </c>
      <c r="BP39" s="84">
        <v>0</v>
      </c>
      <c r="BQ39" s="101">
        <f t="shared" si="520"/>
        <v>0</v>
      </c>
      <c r="BR39" s="84">
        <v>0</v>
      </c>
      <c r="BS39" s="100">
        <f t="shared" ref="BS39:BW39" si="521">IFERROR(BR39/(BR$7+BR$12+BR$13+BR$14),)</f>
        <v>0</v>
      </c>
      <c r="BT39" s="84">
        <v>0</v>
      </c>
      <c r="BU39" s="100">
        <f t="shared" si="521"/>
        <v>0</v>
      </c>
      <c r="BV39" s="84">
        <v>0</v>
      </c>
      <c r="BW39" s="101">
        <f t="shared" si="521"/>
        <v>0</v>
      </c>
      <c r="BX39" s="84">
        <v>0</v>
      </c>
      <c r="BY39" s="100">
        <f t="shared" ref="BY39:CC39" si="522">IFERROR(BX39/(BX$7+BX$12+BX$13+BX$14),)</f>
        <v>0</v>
      </c>
      <c r="BZ39" s="84">
        <v>0</v>
      </c>
      <c r="CA39" s="100">
        <f t="shared" si="522"/>
        <v>0</v>
      </c>
      <c r="CB39" s="84">
        <v>0</v>
      </c>
      <c r="CC39" s="101">
        <f t="shared" si="522"/>
        <v>0</v>
      </c>
    </row>
    <row r="40" outlineLevel="2" spans="1:81">
      <c r="B40" s="83" t="s">
        <v>91</v>
      </c>
      <c r="C40" s="83" t="s">
        <v>92</v>
      </c>
      <c r="D40" s="84">
        <f t="shared" ref="D40:H40" si="523">SUMIFS($J40:$CC40,$J$5:$CC$5,D$5)</f>
        <v>0</v>
      </c>
      <c r="E40" s="100">
        <f t="shared" ref="E40:I40" si="524">IFERROR(D40/(D$7+D$12+D$13+D$14),)</f>
        <v>0</v>
      </c>
      <c r="F40" s="84">
        <f t="shared" si="523"/>
        <v>0</v>
      </c>
      <c r="G40" s="100">
        <f t="shared" si="524"/>
        <v>0</v>
      </c>
      <c r="H40" s="84">
        <f t="shared" si="523"/>
        <v>0.776423</v>
      </c>
      <c r="I40" s="101">
        <f t="shared" si="524"/>
        <v>0.0127373861246366</v>
      </c>
      <c r="J40" s="84">
        <v>0</v>
      </c>
      <c r="K40" s="100">
        <f t="shared" ref="K40:O40" si="525">IFERROR(J40/(J$7+J$12+J$13+J$14),)</f>
        <v>0</v>
      </c>
      <c r="L40" s="84">
        <v>0</v>
      </c>
      <c r="M40" s="100">
        <f t="shared" si="525"/>
        <v>0</v>
      </c>
      <c r="N40" s="84">
        <v>-0.484435</v>
      </c>
      <c r="O40" s="101">
        <f t="shared" si="525"/>
        <v>-0.0562420900762754</v>
      </c>
      <c r="P40" s="84">
        <v>0</v>
      </c>
      <c r="Q40" s="100">
        <f t="shared" ref="Q40:U40" si="526">IFERROR(P40/(P$7+P$12+P$13+P$14),)</f>
        <v>0</v>
      </c>
      <c r="R40" s="84">
        <v>0</v>
      </c>
      <c r="S40" s="100">
        <f t="shared" si="526"/>
        <v>0</v>
      </c>
      <c r="T40" s="84">
        <v>1.818816</v>
      </c>
      <c r="U40" s="101">
        <f t="shared" si="526"/>
        <v>0.113121478512333</v>
      </c>
      <c r="V40" s="84">
        <v>0</v>
      </c>
      <c r="W40" s="100">
        <f t="shared" ref="W40:AA40" si="527">IFERROR(V40/(V$7+V$12+V$13+V$14),)</f>
        <v>0</v>
      </c>
      <c r="X40" s="84">
        <v>0</v>
      </c>
      <c r="Y40" s="100">
        <f t="shared" si="527"/>
        <v>0</v>
      </c>
      <c r="Z40" s="84">
        <v>-0.909408</v>
      </c>
      <c r="AA40" s="101">
        <f t="shared" si="527"/>
        <v>-0.0522932071698451</v>
      </c>
      <c r="AB40" s="84">
        <v>0</v>
      </c>
      <c r="AC40" s="100">
        <f t="shared" ref="AC40:AG40" si="528">IFERROR(AB40/(AB$7+AB$12+AB$13+AB$14),)</f>
        <v>0</v>
      </c>
      <c r="AD40" s="84">
        <v>0</v>
      </c>
      <c r="AE40" s="100">
        <f t="shared" si="528"/>
        <v>0</v>
      </c>
      <c r="AF40" s="84">
        <v>0.35145</v>
      </c>
      <c r="AG40" s="101">
        <f t="shared" si="528"/>
        <v>0.025973935752256</v>
      </c>
      <c r="AH40" s="84">
        <v>0</v>
      </c>
      <c r="AI40" s="100">
        <f t="shared" ref="AI40:AM40" si="529">IFERROR(AH40/(AH$7+AH$12+AH$13+AH$14),)</f>
        <v>0</v>
      </c>
      <c r="AJ40" s="84">
        <v>0</v>
      </c>
      <c r="AK40" s="100">
        <f t="shared" si="529"/>
        <v>0</v>
      </c>
      <c r="AL40" s="84">
        <v>0</v>
      </c>
      <c r="AM40" s="101">
        <f t="shared" si="529"/>
        <v>0</v>
      </c>
      <c r="AN40" s="84">
        <v>0</v>
      </c>
      <c r="AO40" s="100">
        <f t="shared" ref="AO40:AS40" si="530">IFERROR(AN40/(AN$7+AN$12+AN$13+AN$14),)</f>
        <v>0</v>
      </c>
      <c r="AP40" s="84">
        <v>0</v>
      </c>
      <c r="AQ40" s="100">
        <f t="shared" si="530"/>
        <v>0</v>
      </c>
      <c r="AR40" s="84">
        <v>0</v>
      </c>
      <c r="AS40" s="101">
        <f t="shared" si="530"/>
        <v>0</v>
      </c>
      <c r="AT40" s="84">
        <v>0</v>
      </c>
      <c r="AU40" s="100">
        <f t="shared" ref="AU40:AY40" si="531">IFERROR(AT40/(AT$7+AT$12+AT$13+AT$14),)</f>
        <v>0</v>
      </c>
      <c r="AV40" s="84">
        <v>0</v>
      </c>
      <c r="AW40" s="100">
        <f t="shared" si="531"/>
        <v>0</v>
      </c>
      <c r="AX40" s="84">
        <v>0</v>
      </c>
      <c r="AY40" s="101">
        <f t="shared" si="531"/>
        <v>0</v>
      </c>
      <c r="AZ40" s="84">
        <v>0</v>
      </c>
      <c r="BA40" s="100">
        <f t="shared" ref="BA40:BE40" si="532">IFERROR(AZ40/(AZ$7+AZ$12+AZ$13+AZ$14),)</f>
        <v>0</v>
      </c>
      <c r="BB40" s="84">
        <v>0</v>
      </c>
      <c r="BC40" s="100">
        <f t="shared" si="532"/>
        <v>0</v>
      </c>
      <c r="BD40" s="84">
        <v>0</v>
      </c>
      <c r="BE40" s="101">
        <f t="shared" si="532"/>
        <v>0</v>
      </c>
      <c r="BF40" s="84">
        <v>0</v>
      </c>
      <c r="BG40" s="100">
        <f t="shared" ref="BG40:BK40" si="533">IFERROR(BF40/(BF$7+BF$12+BF$13+BF$14),)</f>
        <v>0</v>
      </c>
      <c r="BH40" s="84">
        <v>0</v>
      </c>
      <c r="BI40" s="100">
        <f t="shared" si="533"/>
        <v>0</v>
      </c>
      <c r="BJ40" s="84">
        <v>0</v>
      </c>
      <c r="BK40" s="101">
        <f t="shared" si="533"/>
        <v>0</v>
      </c>
      <c r="BL40" s="84">
        <v>0</v>
      </c>
      <c r="BM40" s="100">
        <f t="shared" ref="BM40:BQ40" si="534">IFERROR(BL40/(BL$7+BL$12+BL$13+BL$14),)</f>
        <v>0</v>
      </c>
      <c r="BN40" s="84">
        <v>0</v>
      </c>
      <c r="BO40" s="100">
        <f t="shared" si="534"/>
        <v>0</v>
      </c>
      <c r="BP40" s="84">
        <v>0</v>
      </c>
      <c r="BQ40" s="101">
        <f t="shared" si="534"/>
        <v>0</v>
      </c>
      <c r="BR40" s="84">
        <v>0</v>
      </c>
      <c r="BS40" s="100">
        <f t="shared" ref="BS40:BW40" si="535">IFERROR(BR40/(BR$7+BR$12+BR$13+BR$14),)</f>
        <v>0</v>
      </c>
      <c r="BT40" s="84">
        <v>0</v>
      </c>
      <c r="BU40" s="100">
        <f t="shared" si="535"/>
        <v>0</v>
      </c>
      <c r="BV40" s="84">
        <v>0</v>
      </c>
      <c r="BW40" s="101">
        <f t="shared" si="535"/>
        <v>0</v>
      </c>
      <c r="BX40" s="84">
        <v>0</v>
      </c>
      <c r="BY40" s="100">
        <f t="shared" ref="BY40:CC40" si="536">IFERROR(BX40/(BX$7+BX$12+BX$13+BX$14),)</f>
        <v>0</v>
      </c>
      <c r="BZ40" s="84">
        <v>0</v>
      </c>
      <c r="CA40" s="100">
        <f t="shared" si="536"/>
        <v>0</v>
      </c>
      <c r="CB40" s="84">
        <v>0</v>
      </c>
      <c r="CC40" s="101">
        <f t="shared" si="536"/>
        <v>0</v>
      </c>
    </row>
    <row r="41" outlineLevel="1" spans="1:81">
      <c r="B41" s="102"/>
      <c r="C41" s="102" t="s">
        <v>93</v>
      </c>
      <c r="D41" s="103">
        <f t="shared" ref="D41:H41" si="537">SUMIFS($J41:$CC41,$J$5:$CC$5,D$5)</f>
        <v>0</v>
      </c>
      <c r="E41" s="104">
        <f t="shared" ref="E41:I41" si="538">IFERROR(D41/(D$7+D$12+D$13+D$14),)</f>
        <v>0</v>
      </c>
      <c r="F41" s="103">
        <f t="shared" si="537"/>
        <v>0</v>
      </c>
      <c r="G41" s="104">
        <f t="shared" si="538"/>
        <v>0</v>
      </c>
      <c r="H41" s="103">
        <f t="shared" si="537"/>
        <v>10.007926</v>
      </c>
      <c r="I41" s="105">
        <f t="shared" si="538"/>
        <v>0.164182176170451</v>
      </c>
      <c r="J41" s="103">
        <f t="shared" ref="J41:N41" si="539">SUM(J37:J40)</f>
        <v>0</v>
      </c>
      <c r="K41" s="104">
        <f t="shared" ref="K41:O41" si="540">IFERROR(J41/(J$7+J$12+J$13+J$14),)</f>
        <v>0</v>
      </c>
      <c r="L41" s="103">
        <f t="shared" si="539"/>
        <v>0</v>
      </c>
      <c r="M41" s="104">
        <f t="shared" si="540"/>
        <v>0</v>
      </c>
      <c r="N41" s="103">
        <f t="shared" si="539"/>
        <v>0.409515</v>
      </c>
      <c r="O41" s="105">
        <f t="shared" si="540"/>
        <v>0.0475440038758263</v>
      </c>
      <c r="P41" s="103">
        <f t="shared" ref="P41:T41" si="541">SUM(P37:P40)</f>
        <v>0</v>
      </c>
      <c r="Q41" s="104">
        <f t="shared" ref="Q41:U41" si="542">IFERROR(P41/(P$7+P$12+P$13+P$14),)</f>
        <v>0</v>
      </c>
      <c r="R41" s="103">
        <f t="shared" si="541"/>
        <v>0</v>
      </c>
      <c r="S41" s="104">
        <f t="shared" si="542"/>
        <v>0</v>
      </c>
      <c r="T41" s="103">
        <f t="shared" si="541"/>
        <v>3.175864</v>
      </c>
      <c r="U41" s="105">
        <f t="shared" si="542"/>
        <v>0.197523241072264</v>
      </c>
      <c r="V41" s="103">
        <f t="shared" ref="V41:Z41" si="543">SUM(V37:V40)</f>
        <v>0</v>
      </c>
      <c r="W41" s="104">
        <f t="shared" ref="W41:AA41" si="544">IFERROR(V41/(V$7+V$12+V$13+V$14),)</f>
        <v>0</v>
      </c>
      <c r="X41" s="103">
        <f t="shared" si="543"/>
        <v>0</v>
      </c>
      <c r="Y41" s="104">
        <f t="shared" si="544"/>
        <v>0</v>
      </c>
      <c r="Z41" s="103">
        <f t="shared" si="543"/>
        <v>1.482397</v>
      </c>
      <c r="AA41" s="105">
        <f t="shared" si="544"/>
        <v>0.0852414905399523</v>
      </c>
      <c r="AB41" s="103">
        <f t="shared" ref="AB41:AF41" si="545">SUM(AB37:AB40)</f>
        <v>0</v>
      </c>
      <c r="AC41" s="104">
        <f t="shared" ref="AC41:AG41" si="546">IFERROR(AB41/(AB$7+AB$12+AB$13+AB$14),)</f>
        <v>0</v>
      </c>
      <c r="AD41" s="103">
        <f t="shared" si="545"/>
        <v>0</v>
      </c>
      <c r="AE41" s="104">
        <f t="shared" si="546"/>
        <v>0</v>
      </c>
      <c r="AF41" s="103">
        <f t="shared" si="545"/>
        <v>3.47694</v>
      </c>
      <c r="AG41" s="105">
        <f t="shared" si="546"/>
        <v>0.256963483210838</v>
      </c>
      <c r="AH41" s="103">
        <f t="shared" ref="AH41:AL41" si="547">SUM(AH37:AH40)</f>
        <v>0</v>
      </c>
      <c r="AI41" s="104">
        <f t="shared" ref="AI41:AM41" si="548">IFERROR(AH41/(AH$7+AH$12+AH$13+AH$14),)</f>
        <v>0</v>
      </c>
      <c r="AJ41" s="103">
        <f t="shared" si="547"/>
        <v>0</v>
      </c>
      <c r="AK41" s="104">
        <f t="shared" si="548"/>
        <v>0</v>
      </c>
      <c r="AL41" s="103">
        <f t="shared" si="547"/>
        <v>1.46321</v>
      </c>
      <c r="AM41" s="105">
        <f t="shared" si="548"/>
        <v>0.273856690754985</v>
      </c>
      <c r="AN41" s="103">
        <f t="shared" ref="AN41:AR41" si="549">SUM(AN37:AN40)</f>
        <v>0</v>
      </c>
      <c r="AO41" s="104">
        <f t="shared" ref="AO41:AS41" si="550">IFERROR(AN41/(AN$7+AN$12+AN$13+AN$14),)</f>
        <v>0</v>
      </c>
      <c r="AP41" s="103">
        <f t="shared" si="549"/>
        <v>0</v>
      </c>
      <c r="AQ41" s="104">
        <f t="shared" si="550"/>
        <v>0</v>
      </c>
      <c r="AR41" s="103">
        <f t="shared" si="549"/>
        <v>0</v>
      </c>
      <c r="AS41" s="105">
        <f t="shared" si="550"/>
        <v>0</v>
      </c>
      <c r="AT41" s="103">
        <f t="shared" ref="AT41:AX41" si="551">SUM(AT37:AT40)</f>
        <v>0</v>
      </c>
      <c r="AU41" s="104">
        <f t="shared" ref="AU41:AY41" si="552">IFERROR(AT41/(AT$7+AT$12+AT$13+AT$14),)</f>
        <v>0</v>
      </c>
      <c r="AV41" s="103">
        <f t="shared" si="551"/>
        <v>0</v>
      </c>
      <c r="AW41" s="104">
        <f t="shared" si="552"/>
        <v>0</v>
      </c>
      <c r="AX41" s="103">
        <f t="shared" si="551"/>
        <v>0</v>
      </c>
      <c r="AY41" s="105">
        <f t="shared" si="552"/>
        <v>0</v>
      </c>
      <c r="AZ41" s="103">
        <f t="shared" ref="AZ41:BD41" si="553">SUM(AZ37:AZ40)</f>
        <v>0</v>
      </c>
      <c r="BA41" s="104">
        <f t="shared" ref="BA41:BE41" si="554">IFERROR(AZ41/(AZ$7+AZ$12+AZ$13+AZ$14),)</f>
        <v>0</v>
      </c>
      <c r="BB41" s="103">
        <f t="shared" si="553"/>
        <v>0</v>
      </c>
      <c r="BC41" s="104">
        <f t="shared" si="554"/>
        <v>0</v>
      </c>
      <c r="BD41" s="103">
        <f t="shared" si="553"/>
        <v>0</v>
      </c>
      <c r="BE41" s="105">
        <f t="shared" si="554"/>
        <v>0</v>
      </c>
      <c r="BF41" s="103">
        <f t="shared" ref="BF41:BJ41" si="555">SUM(BF37:BF40)</f>
        <v>0</v>
      </c>
      <c r="BG41" s="104">
        <f t="shared" ref="BG41:BK41" si="556">IFERROR(BF41/(BF$7+BF$12+BF$13+BF$14),)</f>
        <v>0</v>
      </c>
      <c r="BH41" s="103">
        <f t="shared" si="555"/>
        <v>0</v>
      </c>
      <c r="BI41" s="104">
        <f t="shared" si="556"/>
        <v>0</v>
      </c>
      <c r="BJ41" s="103">
        <f t="shared" si="555"/>
        <v>0</v>
      </c>
      <c r="BK41" s="105">
        <f t="shared" si="556"/>
        <v>0</v>
      </c>
      <c r="BL41" s="103">
        <f t="shared" ref="BL41:BP41" si="557">SUM(BL37:BL40)</f>
        <v>0</v>
      </c>
      <c r="BM41" s="104">
        <f t="shared" ref="BM41:BQ41" si="558">IFERROR(BL41/(BL$7+BL$12+BL$13+BL$14),)</f>
        <v>0</v>
      </c>
      <c r="BN41" s="103">
        <f t="shared" si="557"/>
        <v>0</v>
      </c>
      <c r="BO41" s="104">
        <f t="shared" si="558"/>
        <v>0</v>
      </c>
      <c r="BP41" s="103">
        <f t="shared" si="557"/>
        <v>0</v>
      </c>
      <c r="BQ41" s="105">
        <f t="shared" si="558"/>
        <v>0</v>
      </c>
      <c r="BR41" s="103">
        <f t="shared" ref="BR41:BV41" si="559">SUM(BR37:BR40)</f>
        <v>0</v>
      </c>
      <c r="BS41" s="104">
        <f t="shared" ref="BS41:BW41" si="560">IFERROR(BR41/(BR$7+BR$12+BR$13+BR$14),)</f>
        <v>0</v>
      </c>
      <c r="BT41" s="103">
        <f t="shared" si="559"/>
        <v>0</v>
      </c>
      <c r="BU41" s="104">
        <f t="shared" si="560"/>
        <v>0</v>
      </c>
      <c r="BV41" s="103">
        <f t="shared" si="559"/>
        <v>0</v>
      </c>
      <c r="BW41" s="105">
        <f t="shared" si="560"/>
        <v>0</v>
      </c>
      <c r="BX41" s="103">
        <f t="shared" ref="BX41:CB41" si="561">SUM(BX37:BX40)</f>
        <v>0</v>
      </c>
      <c r="BY41" s="104">
        <f t="shared" ref="BY41:CC41" si="562">IFERROR(BX41/(BX$7+BX$12+BX$13+BX$14),)</f>
        <v>0</v>
      </c>
      <c r="BZ41" s="103">
        <f t="shared" si="561"/>
        <v>0</v>
      </c>
      <c r="CA41" s="104">
        <f t="shared" si="562"/>
        <v>0</v>
      </c>
      <c r="CB41" s="103">
        <f t="shared" si="561"/>
        <v>0</v>
      </c>
      <c r="CC41" s="105">
        <f t="shared" si="562"/>
        <v>0</v>
      </c>
    </row>
    <row r="42" spans="1:81">
      <c r="B42" s="102" t="s">
        <v>94</v>
      </c>
      <c r="C42" s="102" t="s">
        <v>95</v>
      </c>
      <c r="D42" s="103">
        <f t="shared" ref="D42:H42" si="563">SUMIFS($J42:$CC42,$J$5:$CC$5,D$5)</f>
        <v>0</v>
      </c>
      <c r="E42" s="104">
        <f t="shared" ref="E42:I42" si="564">IFERROR(D42/(D$7+D$12+D$13+D$14),)</f>
        <v>0</v>
      </c>
      <c r="F42" s="103">
        <f t="shared" si="563"/>
        <v>0</v>
      </c>
      <c r="G42" s="104">
        <f t="shared" si="564"/>
        <v>0</v>
      </c>
      <c r="H42" s="103">
        <f t="shared" si="563"/>
        <v>104.7030442913</v>
      </c>
      <c r="I42" s="105">
        <f t="shared" si="564"/>
        <v>1.71767593639449</v>
      </c>
      <c r="J42" s="103">
        <f t="shared" ref="J42:N42" si="565">J36+J28+J24+J41</f>
        <v>0</v>
      </c>
      <c r="K42" s="104">
        <f t="shared" ref="K42:O42" si="566">IFERROR(J42/(J$7+J$12+J$13+J$14),)</f>
        <v>0</v>
      </c>
      <c r="L42" s="103">
        <f t="shared" si="565"/>
        <v>0</v>
      </c>
      <c r="M42" s="104">
        <f t="shared" si="566"/>
        <v>0</v>
      </c>
      <c r="N42" s="103">
        <f t="shared" si="565"/>
        <v>19.151317</v>
      </c>
      <c r="O42" s="105">
        <f t="shared" si="566"/>
        <v>2.22343574637114</v>
      </c>
      <c r="P42" s="103">
        <f t="shared" ref="P42:T42" si="567">P36+P28+P24+P41</f>
        <v>0</v>
      </c>
      <c r="Q42" s="104">
        <f t="shared" ref="Q42:U42" si="568">IFERROR(P42/(P$7+P$12+P$13+P$14),)</f>
        <v>0</v>
      </c>
      <c r="R42" s="103">
        <f t="shared" si="567"/>
        <v>0</v>
      </c>
      <c r="S42" s="104">
        <f t="shared" si="568"/>
        <v>0</v>
      </c>
      <c r="T42" s="103">
        <f t="shared" si="567"/>
        <v>24.800611</v>
      </c>
      <c r="U42" s="105">
        <f t="shared" si="568"/>
        <v>1.54247696541553</v>
      </c>
      <c r="V42" s="103">
        <f t="shared" ref="V42:Z42" si="569">V36+V28+V24+V41</f>
        <v>0</v>
      </c>
      <c r="W42" s="104">
        <f t="shared" ref="W42:AA42" si="570">IFERROR(V42/(V$7+V$12+V$13+V$14),)</f>
        <v>0</v>
      </c>
      <c r="X42" s="103">
        <f t="shared" si="569"/>
        <v>0</v>
      </c>
      <c r="Y42" s="104">
        <f t="shared" si="570"/>
        <v>0</v>
      </c>
      <c r="Z42" s="103">
        <f t="shared" si="569"/>
        <v>17.397904</v>
      </c>
      <c r="AA42" s="105">
        <f t="shared" si="570"/>
        <v>1.00042247065462</v>
      </c>
      <c r="AB42" s="103">
        <f t="shared" ref="AB42:AF42" si="571">AB36+AB28+AB24+AB41</f>
        <v>0</v>
      </c>
      <c r="AC42" s="104">
        <f t="shared" ref="AC42:AG42" si="572">IFERROR(AB42/(AB$7+AB$12+AB$13+AB$14),)</f>
        <v>0</v>
      </c>
      <c r="AD42" s="103">
        <f t="shared" si="571"/>
        <v>0</v>
      </c>
      <c r="AE42" s="104">
        <f t="shared" si="572"/>
        <v>0</v>
      </c>
      <c r="AF42" s="103">
        <f t="shared" si="571"/>
        <v>23.711714</v>
      </c>
      <c r="AG42" s="105">
        <f t="shared" si="572"/>
        <v>1.75241580882592</v>
      </c>
      <c r="AH42" s="103">
        <f t="shared" ref="AH42:AL42" si="573">AH36+AH28+AH24+AH41</f>
        <v>0</v>
      </c>
      <c r="AI42" s="104">
        <f t="shared" ref="AI42:AM42" si="574">IFERROR(AH42/(AH$7+AH$12+AH$13+AH$14),)</f>
        <v>0</v>
      </c>
      <c r="AJ42" s="103">
        <f t="shared" si="573"/>
        <v>0</v>
      </c>
      <c r="AK42" s="104">
        <f t="shared" si="574"/>
        <v>0</v>
      </c>
      <c r="AL42" s="103">
        <f t="shared" si="573"/>
        <v>19.6414982913</v>
      </c>
      <c r="AM42" s="105">
        <f t="shared" si="574"/>
        <v>3.67613379045053</v>
      </c>
      <c r="AN42" s="103">
        <f t="shared" ref="AN42:AR42" si="575">AN36+AN28+AN24+AN41</f>
        <v>0</v>
      </c>
      <c r="AO42" s="104">
        <f t="shared" ref="AO42:AS42" si="576">IFERROR(AN42/(AN$7+AN$12+AN$13+AN$14),)</f>
        <v>0</v>
      </c>
      <c r="AP42" s="103">
        <f t="shared" si="575"/>
        <v>0</v>
      </c>
      <c r="AQ42" s="104">
        <f t="shared" si="576"/>
        <v>0</v>
      </c>
      <c r="AR42" s="103">
        <f t="shared" si="575"/>
        <v>0</v>
      </c>
      <c r="AS42" s="105">
        <f t="shared" si="576"/>
        <v>0</v>
      </c>
      <c r="AT42" s="103">
        <f t="shared" ref="AT42:AX42" si="577">AT36+AT28+AT24+AT41</f>
        <v>0</v>
      </c>
      <c r="AU42" s="104">
        <f t="shared" ref="AU42:AY42" si="578">IFERROR(AT42/(AT$7+AT$12+AT$13+AT$14),)</f>
        <v>0</v>
      </c>
      <c r="AV42" s="103">
        <f t="shared" si="577"/>
        <v>0</v>
      </c>
      <c r="AW42" s="104">
        <f t="shared" si="578"/>
        <v>0</v>
      </c>
      <c r="AX42" s="103">
        <f t="shared" si="577"/>
        <v>0</v>
      </c>
      <c r="AY42" s="105">
        <f t="shared" si="578"/>
        <v>0</v>
      </c>
      <c r="AZ42" s="103">
        <f t="shared" ref="AZ42:BD42" si="579">AZ36+AZ28+AZ24+AZ41</f>
        <v>0</v>
      </c>
      <c r="BA42" s="104">
        <f t="shared" ref="BA42:BE42" si="580">IFERROR(AZ42/(AZ$7+AZ$12+AZ$13+AZ$14),)</f>
        <v>0</v>
      </c>
      <c r="BB42" s="103">
        <f t="shared" si="579"/>
        <v>0</v>
      </c>
      <c r="BC42" s="104">
        <f t="shared" si="580"/>
        <v>0</v>
      </c>
      <c r="BD42" s="103">
        <f t="shared" si="579"/>
        <v>0</v>
      </c>
      <c r="BE42" s="105">
        <f t="shared" si="580"/>
        <v>0</v>
      </c>
      <c r="BF42" s="103">
        <f t="shared" ref="BF42:BJ42" si="581">BF36+BF28+BF24+BF41</f>
        <v>0</v>
      </c>
      <c r="BG42" s="104">
        <f t="shared" ref="BG42:BK42" si="582">IFERROR(BF42/(BF$7+BF$12+BF$13+BF$14),)</f>
        <v>0</v>
      </c>
      <c r="BH42" s="103">
        <f t="shared" si="581"/>
        <v>0</v>
      </c>
      <c r="BI42" s="104">
        <f t="shared" si="582"/>
        <v>0</v>
      </c>
      <c r="BJ42" s="103">
        <f t="shared" si="581"/>
        <v>0</v>
      </c>
      <c r="BK42" s="105">
        <f t="shared" si="582"/>
        <v>0</v>
      </c>
      <c r="BL42" s="103">
        <f t="shared" ref="BL42:BP42" si="583">BL36+BL28+BL24+BL41</f>
        <v>0</v>
      </c>
      <c r="BM42" s="104">
        <f t="shared" ref="BM42:BQ42" si="584">IFERROR(BL42/(BL$7+BL$12+BL$13+BL$14),)</f>
        <v>0</v>
      </c>
      <c r="BN42" s="103">
        <f t="shared" si="583"/>
        <v>0</v>
      </c>
      <c r="BO42" s="104">
        <f t="shared" si="584"/>
        <v>0</v>
      </c>
      <c r="BP42" s="103">
        <f t="shared" si="583"/>
        <v>0</v>
      </c>
      <c r="BQ42" s="105">
        <f t="shared" si="584"/>
        <v>0</v>
      </c>
      <c r="BR42" s="103">
        <f t="shared" ref="BR42:BV42" si="585">BR36+BR28+BR24+BR41</f>
        <v>0</v>
      </c>
      <c r="BS42" s="104">
        <f t="shared" ref="BS42:BW42" si="586">IFERROR(BR42/(BR$7+BR$12+BR$13+BR$14),)</f>
        <v>0</v>
      </c>
      <c r="BT42" s="103">
        <f t="shared" si="585"/>
        <v>0</v>
      </c>
      <c r="BU42" s="104">
        <f t="shared" si="586"/>
        <v>0</v>
      </c>
      <c r="BV42" s="103">
        <f t="shared" si="585"/>
        <v>0</v>
      </c>
      <c r="BW42" s="105">
        <f t="shared" si="586"/>
        <v>0</v>
      </c>
      <c r="BX42" s="103">
        <f t="shared" ref="BX42:CB42" si="587">BX36+BX28+BX24+BX41</f>
        <v>0</v>
      </c>
      <c r="BY42" s="104">
        <f t="shared" ref="BY42:CC42" si="588">IFERROR(BX42/(BX$7+BX$12+BX$13+BX$14),)</f>
        <v>0</v>
      </c>
      <c r="BZ42" s="103">
        <f t="shared" si="587"/>
        <v>0</v>
      </c>
      <c r="CA42" s="104">
        <f t="shared" si="588"/>
        <v>0</v>
      </c>
      <c r="CB42" s="103">
        <f t="shared" si="587"/>
        <v>0</v>
      </c>
      <c r="CC42" s="105">
        <f t="shared" si="588"/>
        <v>0</v>
      </c>
    </row>
    <row r="43" s="42" customFormat="1" spans="1:81">
      <c r="A43" s="106"/>
      <c r="B43" s="107"/>
      <c r="C43" s="107" t="s">
        <v>96</v>
      </c>
      <c r="D43" s="108">
        <f t="shared" ref="D43:H43" si="589">SUMIFS($J43:$CC43,$J$5:$CC$5,D$5)</f>
        <v>0</v>
      </c>
      <c r="E43" s="109">
        <f t="shared" ref="E43:I43" si="590">IFERROR(D43/(D$7+D$12+D$13+D$14),)</f>
        <v>0</v>
      </c>
      <c r="F43" s="108">
        <f t="shared" si="589"/>
        <v>0</v>
      </c>
      <c r="G43" s="109">
        <f t="shared" si="590"/>
        <v>0</v>
      </c>
      <c r="H43" s="108">
        <f t="shared" si="589"/>
        <v>-74.1698932913</v>
      </c>
      <c r="I43" s="110">
        <f t="shared" si="590"/>
        <v>-1.21677303438252</v>
      </c>
      <c r="J43" s="108">
        <f t="shared" ref="J43:N43" si="591">J15-J42</f>
        <v>0</v>
      </c>
      <c r="K43" s="109">
        <f t="shared" ref="K43:O43" si="592">IFERROR(J43/(J$7+J$12+J$13+J$14),)</f>
        <v>0</v>
      </c>
      <c r="L43" s="108">
        <f t="shared" si="591"/>
        <v>0</v>
      </c>
      <c r="M43" s="109">
        <f t="shared" si="592"/>
        <v>0</v>
      </c>
      <c r="N43" s="108">
        <f t="shared" si="591"/>
        <v>-15.153118</v>
      </c>
      <c r="O43" s="110">
        <f t="shared" si="592"/>
        <v>-1.75925155592067</v>
      </c>
      <c r="P43" s="108">
        <f t="shared" ref="P43:T43" si="593">P15-P42</f>
        <v>0</v>
      </c>
      <c r="Q43" s="109">
        <f t="shared" ref="Q43:U43" si="594">IFERROR(P43/(P$7+P$12+P$13+P$14),)</f>
        <v>0</v>
      </c>
      <c r="R43" s="108">
        <f t="shared" si="593"/>
        <v>0</v>
      </c>
      <c r="S43" s="109">
        <f t="shared" si="594"/>
        <v>0</v>
      </c>
      <c r="T43" s="108">
        <f t="shared" si="593"/>
        <v>-17.452345</v>
      </c>
      <c r="U43" s="110">
        <f t="shared" si="594"/>
        <v>-1.0854506832507</v>
      </c>
      <c r="V43" s="108">
        <f t="shared" ref="V43:Z43" si="595">V15-V42</f>
        <v>0</v>
      </c>
      <c r="W43" s="109">
        <f t="shared" ref="W43:AA43" si="596">IFERROR(V43/(V$7+V$12+V$13+V$14),)</f>
        <v>0</v>
      </c>
      <c r="X43" s="108">
        <f t="shared" si="595"/>
        <v>0</v>
      </c>
      <c r="Y43" s="109">
        <f t="shared" si="596"/>
        <v>0</v>
      </c>
      <c r="Z43" s="108">
        <f t="shared" si="595"/>
        <v>-7.534121</v>
      </c>
      <c r="AA43" s="110">
        <f t="shared" si="596"/>
        <v>-0.433230574500863</v>
      </c>
      <c r="AB43" s="108">
        <f t="shared" ref="AB43:AF43" si="597">AB15-AB42</f>
        <v>0</v>
      </c>
      <c r="AC43" s="109">
        <f t="shared" ref="AC43:AG43" si="598">IFERROR(AB43/(AB$7+AB$12+AB$13+AB$14),)</f>
        <v>0</v>
      </c>
      <c r="AD43" s="108">
        <f t="shared" si="597"/>
        <v>0</v>
      </c>
      <c r="AE43" s="109">
        <f t="shared" si="598"/>
        <v>0</v>
      </c>
      <c r="AF43" s="108">
        <f t="shared" si="597"/>
        <v>-17.346431</v>
      </c>
      <c r="AG43" s="110">
        <f t="shared" si="598"/>
        <v>-1.28198914305006</v>
      </c>
      <c r="AH43" s="108">
        <f t="shared" ref="AH43:AL43" si="599">AH15-AH42</f>
        <v>0</v>
      </c>
      <c r="AI43" s="109">
        <f t="shared" ref="AI43:AM43" si="600">IFERROR(AH43/(AH$7+AH$12+AH$13+AH$14),)</f>
        <v>0</v>
      </c>
      <c r="AJ43" s="108">
        <f t="shared" si="599"/>
        <v>0</v>
      </c>
      <c r="AK43" s="109">
        <f t="shared" si="600"/>
        <v>0</v>
      </c>
      <c r="AL43" s="108">
        <f t="shared" si="599"/>
        <v>-16.6838782913</v>
      </c>
      <c r="AM43" s="110">
        <f t="shared" si="600"/>
        <v>-3.12258096774513</v>
      </c>
      <c r="AN43" s="108">
        <f t="shared" ref="AN43:AR43" si="601">AN15-AN42</f>
        <v>0</v>
      </c>
      <c r="AO43" s="109">
        <f t="shared" ref="AO43:AS43" si="602">IFERROR(AN43/(AN$7+AN$12+AN$13+AN$14),)</f>
        <v>0</v>
      </c>
      <c r="AP43" s="108">
        <f t="shared" si="601"/>
        <v>0</v>
      </c>
      <c r="AQ43" s="109">
        <f t="shared" si="602"/>
        <v>0</v>
      </c>
      <c r="AR43" s="108">
        <f t="shared" si="601"/>
        <v>0</v>
      </c>
      <c r="AS43" s="110">
        <f t="shared" si="602"/>
        <v>0</v>
      </c>
      <c r="AT43" s="108">
        <f t="shared" ref="AT43:AX43" si="603">AT15-AT42</f>
        <v>0</v>
      </c>
      <c r="AU43" s="109">
        <f t="shared" ref="AU43:AY43" si="604">IFERROR(AT43/(AT$7+AT$12+AT$13+AT$14),)</f>
        <v>0</v>
      </c>
      <c r="AV43" s="108">
        <f t="shared" si="603"/>
        <v>0</v>
      </c>
      <c r="AW43" s="109">
        <f t="shared" si="604"/>
        <v>0</v>
      </c>
      <c r="AX43" s="108">
        <f t="shared" si="603"/>
        <v>0</v>
      </c>
      <c r="AY43" s="110">
        <f t="shared" si="604"/>
        <v>0</v>
      </c>
      <c r="AZ43" s="108">
        <f t="shared" ref="AZ43:BD43" si="605">AZ15-AZ42</f>
        <v>0</v>
      </c>
      <c r="BA43" s="109">
        <f t="shared" ref="BA43:BE43" si="606">IFERROR(AZ43/(AZ$7+AZ$12+AZ$13+AZ$14),)</f>
        <v>0</v>
      </c>
      <c r="BB43" s="108">
        <f t="shared" si="605"/>
        <v>0</v>
      </c>
      <c r="BC43" s="109">
        <f t="shared" si="606"/>
        <v>0</v>
      </c>
      <c r="BD43" s="108">
        <f t="shared" si="605"/>
        <v>0</v>
      </c>
      <c r="BE43" s="110">
        <f t="shared" si="606"/>
        <v>0</v>
      </c>
      <c r="BF43" s="108">
        <f t="shared" ref="BF43:BJ43" si="607">BF15-BF42</f>
        <v>0</v>
      </c>
      <c r="BG43" s="109">
        <f t="shared" ref="BG43:BK43" si="608">IFERROR(BF43/(BF$7+BF$12+BF$13+BF$14),)</f>
        <v>0</v>
      </c>
      <c r="BH43" s="108">
        <f t="shared" si="607"/>
        <v>0</v>
      </c>
      <c r="BI43" s="109">
        <f t="shared" si="608"/>
        <v>0</v>
      </c>
      <c r="BJ43" s="108">
        <f t="shared" si="607"/>
        <v>0</v>
      </c>
      <c r="BK43" s="110">
        <f t="shared" si="608"/>
        <v>0</v>
      </c>
      <c r="BL43" s="108">
        <f t="shared" ref="BL43:BP43" si="609">BL15-BL42</f>
        <v>0</v>
      </c>
      <c r="BM43" s="109">
        <f t="shared" ref="BM43:BQ43" si="610">IFERROR(BL43/(BL$7+BL$12+BL$13+BL$14),)</f>
        <v>0</v>
      </c>
      <c r="BN43" s="108">
        <f t="shared" si="609"/>
        <v>0</v>
      </c>
      <c r="BO43" s="109">
        <f t="shared" si="610"/>
        <v>0</v>
      </c>
      <c r="BP43" s="108">
        <f t="shared" si="609"/>
        <v>0</v>
      </c>
      <c r="BQ43" s="110">
        <f t="shared" si="610"/>
        <v>0</v>
      </c>
      <c r="BR43" s="108">
        <f t="shared" ref="BR43:BV43" si="611">BR15-BR42</f>
        <v>0</v>
      </c>
      <c r="BS43" s="109">
        <f t="shared" ref="BS43:BW43" si="612">IFERROR(BR43/(BR$7+BR$12+BR$13+BR$14),)</f>
        <v>0</v>
      </c>
      <c r="BT43" s="108">
        <f t="shared" si="611"/>
        <v>0</v>
      </c>
      <c r="BU43" s="109">
        <f t="shared" si="612"/>
        <v>0</v>
      </c>
      <c r="BV43" s="108">
        <f t="shared" si="611"/>
        <v>0</v>
      </c>
      <c r="BW43" s="110">
        <f t="shared" si="612"/>
        <v>0</v>
      </c>
      <c r="BX43" s="108">
        <f t="shared" ref="BX43:CB43" si="613">BX15-BX42</f>
        <v>0</v>
      </c>
      <c r="BY43" s="109">
        <f t="shared" ref="BY43:CC43" si="614">IFERROR(BX43/(BX$7+BX$12+BX$13+BX$14),)</f>
        <v>0</v>
      </c>
      <c r="BZ43" s="108">
        <f t="shared" si="613"/>
        <v>0</v>
      </c>
      <c r="CA43" s="109">
        <f t="shared" si="614"/>
        <v>0</v>
      </c>
      <c r="CB43" s="108">
        <f t="shared" si="613"/>
        <v>0</v>
      </c>
      <c r="CC43" s="110">
        <f t="shared" si="614"/>
        <v>0</v>
      </c>
    </row>
    <row r="44" outlineLevel="1" spans="1:81">
      <c r="B44" s="83" t="s">
        <v>97</v>
      </c>
      <c r="C44" s="83" t="s">
        <v>98</v>
      </c>
      <c r="D44" s="84">
        <f t="shared" ref="D44:H44" si="615">SUMIFS($J44:$CC44,$J$5:$CC$5,D$5)</f>
        <v>0</v>
      </c>
      <c r="E44" s="85">
        <f t="shared" ref="E44:I44" si="616">IFERROR(D44/(D$7+D$12+D$13+D$14),)</f>
        <v>0</v>
      </c>
      <c r="F44" s="84">
        <f t="shared" si="615"/>
        <v>0</v>
      </c>
      <c r="G44" s="85">
        <f t="shared" si="616"/>
        <v>0</v>
      </c>
      <c r="H44" s="84">
        <f t="shared" si="615"/>
        <v>0</v>
      </c>
      <c r="I44" s="86">
        <f t="shared" si="616"/>
        <v>0</v>
      </c>
      <c r="J44" s="84">
        <v>0</v>
      </c>
      <c r="K44" s="85">
        <f t="shared" ref="K44:O44" si="617">IFERROR(J44/(J$7+J$12+J$13+J$14),)</f>
        <v>0</v>
      </c>
      <c r="L44" s="84">
        <v>0</v>
      </c>
      <c r="M44" s="85">
        <f t="shared" si="617"/>
        <v>0</v>
      </c>
      <c r="N44" s="84">
        <v>0</v>
      </c>
      <c r="O44" s="86">
        <f t="shared" si="617"/>
        <v>0</v>
      </c>
      <c r="P44" s="84">
        <v>0</v>
      </c>
      <c r="Q44" s="85">
        <f t="shared" ref="Q44:U44" si="618">IFERROR(P44/(P$7+P$12+P$13+P$14),)</f>
        <v>0</v>
      </c>
      <c r="R44" s="84">
        <v>0</v>
      </c>
      <c r="S44" s="85">
        <f t="shared" si="618"/>
        <v>0</v>
      </c>
      <c r="T44" s="84">
        <v>0</v>
      </c>
      <c r="U44" s="86">
        <f t="shared" si="618"/>
        <v>0</v>
      </c>
      <c r="V44" s="84">
        <v>0</v>
      </c>
      <c r="W44" s="85">
        <f t="shared" ref="W44:AA44" si="619">IFERROR(V44/(V$7+V$12+V$13+V$14),)</f>
        <v>0</v>
      </c>
      <c r="X44" s="84">
        <v>0</v>
      </c>
      <c r="Y44" s="85">
        <f t="shared" si="619"/>
        <v>0</v>
      </c>
      <c r="Z44" s="84">
        <v>0</v>
      </c>
      <c r="AA44" s="86">
        <f t="shared" si="619"/>
        <v>0</v>
      </c>
      <c r="AB44" s="84">
        <v>0</v>
      </c>
      <c r="AC44" s="85">
        <f t="shared" ref="AC44:AG44" si="620">IFERROR(AB44/(AB$7+AB$12+AB$13+AB$14),)</f>
        <v>0</v>
      </c>
      <c r="AD44" s="84">
        <v>0</v>
      </c>
      <c r="AE44" s="85">
        <f t="shared" si="620"/>
        <v>0</v>
      </c>
      <c r="AF44" s="84">
        <v>0</v>
      </c>
      <c r="AG44" s="86">
        <f t="shared" si="620"/>
        <v>0</v>
      </c>
      <c r="AH44" s="84">
        <v>0</v>
      </c>
      <c r="AI44" s="85">
        <f t="shared" ref="AI44:AM44" si="621">IFERROR(AH44/(AH$7+AH$12+AH$13+AH$14),)</f>
        <v>0</v>
      </c>
      <c r="AJ44" s="84">
        <v>0</v>
      </c>
      <c r="AK44" s="85">
        <f t="shared" si="621"/>
        <v>0</v>
      </c>
      <c r="AL44" s="84">
        <v>0</v>
      </c>
      <c r="AM44" s="86">
        <f t="shared" si="621"/>
        <v>0</v>
      </c>
      <c r="AN44" s="84">
        <v>0</v>
      </c>
      <c r="AO44" s="85">
        <f t="shared" ref="AO44:AS44" si="622">IFERROR(AN44/(AN$7+AN$12+AN$13+AN$14),)</f>
        <v>0</v>
      </c>
      <c r="AP44" s="84">
        <v>0</v>
      </c>
      <c r="AQ44" s="85">
        <f t="shared" si="622"/>
        <v>0</v>
      </c>
      <c r="AR44" s="84">
        <v>0</v>
      </c>
      <c r="AS44" s="86">
        <f t="shared" si="622"/>
        <v>0</v>
      </c>
      <c r="AT44" s="84">
        <v>0</v>
      </c>
      <c r="AU44" s="85">
        <f t="shared" ref="AU44:AY44" si="623">IFERROR(AT44/(AT$7+AT$12+AT$13+AT$14),)</f>
        <v>0</v>
      </c>
      <c r="AV44" s="84">
        <v>0</v>
      </c>
      <c r="AW44" s="85">
        <f t="shared" si="623"/>
        <v>0</v>
      </c>
      <c r="AX44" s="84">
        <v>0</v>
      </c>
      <c r="AY44" s="86">
        <f t="shared" si="623"/>
        <v>0</v>
      </c>
      <c r="AZ44" s="84">
        <v>0</v>
      </c>
      <c r="BA44" s="85">
        <f t="shared" ref="BA44:BE44" si="624">IFERROR(AZ44/(AZ$7+AZ$12+AZ$13+AZ$14),)</f>
        <v>0</v>
      </c>
      <c r="BB44" s="84">
        <v>0</v>
      </c>
      <c r="BC44" s="85">
        <f t="shared" si="624"/>
        <v>0</v>
      </c>
      <c r="BD44" s="84">
        <v>0</v>
      </c>
      <c r="BE44" s="86">
        <f t="shared" si="624"/>
        <v>0</v>
      </c>
      <c r="BF44" s="84">
        <v>0</v>
      </c>
      <c r="BG44" s="85">
        <f t="shared" ref="BG44:BK44" si="625">IFERROR(BF44/(BF$7+BF$12+BF$13+BF$14),)</f>
        <v>0</v>
      </c>
      <c r="BH44" s="84">
        <v>0</v>
      </c>
      <c r="BI44" s="85">
        <f t="shared" si="625"/>
        <v>0</v>
      </c>
      <c r="BJ44" s="84">
        <v>0</v>
      </c>
      <c r="BK44" s="86">
        <f t="shared" si="625"/>
        <v>0</v>
      </c>
      <c r="BL44" s="84">
        <v>0</v>
      </c>
      <c r="BM44" s="85">
        <f t="shared" ref="BM44:BQ44" si="626">IFERROR(BL44/(BL$7+BL$12+BL$13+BL$14),)</f>
        <v>0</v>
      </c>
      <c r="BN44" s="84">
        <v>0</v>
      </c>
      <c r="BO44" s="85">
        <f t="shared" si="626"/>
        <v>0</v>
      </c>
      <c r="BP44" s="84">
        <v>0</v>
      </c>
      <c r="BQ44" s="86">
        <f t="shared" si="626"/>
        <v>0</v>
      </c>
      <c r="BR44" s="84">
        <v>0</v>
      </c>
      <c r="BS44" s="85">
        <f t="shared" ref="BS44:BW44" si="627">IFERROR(BR44/(BR$7+BR$12+BR$13+BR$14),)</f>
        <v>0</v>
      </c>
      <c r="BT44" s="84">
        <v>0</v>
      </c>
      <c r="BU44" s="85">
        <f t="shared" si="627"/>
        <v>0</v>
      </c>
      <c r="BV44" s="84">
        <v>0</v>
      </c>
      <c r="BW44" s="86">
        <f t="shared" si="627"/>
        <v>0</v>
      </c>
      <c r="BX44" s="84">
        <v>0</v>
      </c>
      <c r="BY44" s="85">
        <f t="shared" ref="BY44:CC44" si="628">IFERROR(BX44/(BX$7+BX$12+BX$13+BX$14),)</f>
        <v>0</v>
      </c>
      <c r="BZ44" s="84">
        <v>0</v>
      </c>
      <c r="CA44" s="85">
        <f t="shared" si="628"/>
        <v>0</v>
      </c>
      <c r="CB44" s="84">
        <v>0</v>
      </c>
      <c r="CC44" s="86">
        <f t="shared" si="628"/>
        <v>0</v>
      </c>
    </row>
    <row r="45" outlineLevel="1" spans="1:81">
      <c r="B45" s="83" t="s">
        <v>99</v>
      </c>
      <c r="C45" s="83" t="s">
        <v>100</v>
      </c>
      <c r="D45" s="84">
        <f t="shared" ref="D45:H45" si="629">SUMIFS($J45:$CC45,$J$5:$CC$5,D$5)</f>
        <v>0</v>
      </c>
      <c r="E45" s="85">
        <f t="shared" ref="E45:I45" si="630">IFERROR(D45/(D$7+D$12+D$13+D$14),)</f>
        <v>0</v>
      </c>
      <c r="F45" s="84">
        <f t="shared" si="629"/>
        <v>0</v>
      </c>
      <c r="G45" s="85">
        <f t="shared" si="630"/>
        <v>0</v>
      </c>
      <c r="H45" s="84">
        <f t="shared" si="629"/>
        <v>4.176395</v>
      </c>
      <c r="I45" s="86">
        <f t="shared" si="630"/>
        <v>0.0685146572474047</v>
      </c>
      <c r="J45" s="84">
        <v>0</v>
      </c>
      <c r="K45" s="85">
        <f t="shared" ref="K45:O45" si="631">IFERROR(J45/(J$7+J$12+J$13+J$14),)</f>
        <v>0</v>
      </c>
      <c r="L45" s="84">
        <v>0</v>
      </c>
      <c r="M45" s="85">
        <f t="shared" si="631"/>
        <v>0</v>
      </c>
      <c r="N45" s="84">
        <v>0.86397</v>
      </c>
      <c r="O45" s="86">
        <f t="shared" si="631"/>
        <v>0.100305466292072</v>
      </c>
      <c r="P45" s="84">
        <v>0</v>
      </c>
      <c r="Q45" s="85">
        <f t="shared" ref="Q45:U45" si="632">IFERROR(P45/(P$7+P$12+P$13+P$14),)</f>
        <v>0</v>
      </c>
      <c r="R45" s="84">
        <v>0</v>
      </c>
      <c r="S45" s="85">
        <f t="shared" si="632"/>
        <v>0</v>
      </c>
      <c r="T45" s="84">
        <v>0.777588</v>
      </c>
      <c r="U45" s="86">
        <f t="shared" si="632"/>
        <v>0.0483621786005003</v>
      </c>
      <c r="V45" s="84">
        <v>0</v>
      </c>
      <c r="W45" s="85">
        <f t="shared" ref="W45:AA45" si="633">IFERROR(V45/(V$7+V$12+V$13+V$14),)</f>
        <v>0</v>
      </c>
      <c r="X45" s="84">
        <v>0</v>
      </c>
      <c r="Y45" s="85">
        <f t="shared" si="633"/>
        <v>0</v>
      </c>
      <c r="Z45" s="84">
        <v>0.86397</v>
      </c>
      <c r="AA45" s="86">
        <f t="shared" si="633"/>
        <v>0.0496804098914141</v>
      </c>
      <c r="AB45" s="84">
        <v>0</v>
      </c>
      <c r="AC45" s="85">
        <f t="shared" ref="AC45:AG45" si="634">IFERROR(AB45/(AB$7+AB$12+AB$13+AB$14),)</f>
        <v>0</v>
      </c>
      <c r="AD45" s="84">
        <v>0</v>
      </c>
      <c r="AE45" s="85">
        <f t="shared" si="634"/>
        <v>0</v>
      </c>
      <c r="AF45" s="84">
        <v>0.83241</v>
      </c>
      <c r="AG45" s="86">
        <f t="shared" si="634"/>
        <v>0.0615193167151385</v>
      </c>
      <c r="AH45" s="84">
        <v>0</v>
      </c>
      <c r="AI45" s="85">
        <f t="shared" ref="AI45:AM45" si="635">IFERROR(AH45/(AH$7+AH$12+AH$13+AH$14),)</f>
        <v>0</v>
      </c>
      <c r="AJ45" s="84">
        <v>0</v>
      </c>
      <c r="AK45" s="85">
        <f t="shared" si="635"/>
        <v>0</v>
      </c>
      <c r="AL45" s="84">
        <v>0.838457</v>
      </c>
      <c r="AM45" s="86">
        <f t="shared" si="635"/>
        <v>0.156926934179204</v>
      </c>
      <c r="AN45" s="84">
        <v>0</v>
      </c>
      <c r="AO45" s="85">
        <f t="shared" ref="AO45:AS45" si="636">IFERROR(AN45/(AN$7+AN$12+AN$13+AN$14),)</f>
        <v>0</v>
      </c>
      <c r="AP45" s="84">
        <v>0</v>
      </c>
      <c r="AQ45" s="85">
        <f t="shared" si="636"/>
        <v>0</v>
      </c>
      <c r="AR45" s="84">
        <v>0</v>
      </c>
      <c r="AS45" s="86">
        <f t="shared" si="636"/>
        <v>0</v>
      </c>
      <c r="AT45" s="84">
        <v>0</v>
      </c>
      <c r="AU45" s="85">
        <f t="shared" ref="AU45:AY45" si="637">IFERROR(AT45/(AT$7+AT$12+AT$13+AT$14),)</f>
        <v>0</v>
      </c>
      <c r="AV45" s="84">
        <v>0</v>
      </c>
      <c r="AW45" s="85">
        <f t="shared" si="637"/>
        <v>0</v>
      </c>
      <c r="AX45" s="84">
        <v>0</v>
      </c>
      <c r="AY45" s="86">
        <f t="shared" si="637"/>
        <v>0</v>
      </c>
      <c r="AZ45" s="84">
        <v>0</v>
      </c>
      <c r="BA45" s="85">
        <f t="shared" ref="BA45:BE45" si="638">IFERROR(AZ45/(AZ$7+AZ$12+AZ$13+AZ$14),)</f>
        <v>0</v>
      </c>
      <c r="BB45" s="84">
        <v>0</v>
      </c>
      <c r="BC45" s="85">
        <f t="shared" si="638"/>
        <v>0</v>
      </c>
      <c r="BD45" s="84">
        <v>0</v>
      </c>
      <c r="BE45" s="86">
        <f t="shared" si="638"/>
        <v>0</v>
      </c>
      <c r="BF45" s="84">
        <v>0</v>
      </c>
      <c r="BG45" s="85">
        <f t="shared" ref="BG45:BK45" si="639">IFERROR(BF45/(BF$7+BF$12+BF$13+BF$14),)</f>
        <v>0</v>
      </c>
      <c r="BH45" s="84">
        <v>0</v>
      </c>
      <c r="BI45" s="85">
        <f t="shared" si="639"/>
        <v>0</v>
      </c>
      <c r="BJ45" s="84">
        <v>0</v>
      </c>
      <c r="BK45" s="86">
        <f t="shared" si="639"/>
        <v>0</v>
      </c>
      <c r="BL45" s="84">
        <v>0</v>
      </c>
      <c r="BM45" s="85">
        <f t="shared" ref="BM45:BQ45" si="640">IFERROR(BL45/(BL$7+BL$12+BL$13+BL$14),)</f>
        <v>0</v>
      </c>
      <c r="BN45" s="84">
        <v>0</v>
      </c>
      <c r="BO45" s="85">
        <f t="shared" si="640"/>
        <v>0</v>
      </c>
      <c r="BP45" s="84">
        <v>0</v>
      </c>
      <c r="BQ45" s="86">
        <f t="shared" si="640"/>
        <v>0</v>
      </c>
      <c r="BR45" s="84">
        <v>0</v>
      </c>
      <c r="BS45" s="85">
        <f t="shared" ref="BS45:BW45" si="641">IFERROR(BR45/(BR$7+BR$12+BR$13+BR$14),)</f>
        <v>0</v>
      </c>
      <c r="BT45" s="84">
        <v>0</v>
      </c>
      <c r="BU45" s="85">
        <f t="shared" si="641"/>
        <v>0</v>
      </c>
      <c r="BV45" s="84">
        <v>0</v>
      </c>
      <c r="BW45" s="86">
        <f t="shared" si="641"/>
        <v>0</v>
      </c>
      <c r="BX45" s="84">
        <v>0</v>
      </c>
      <c r="BY45" s="85">
        <f t="shared" ref="BY45:CC45" si="642">IFERROR(BX45/(BX$7+BX$12+BX$13+BX$14),)</f>
        <v>0</v>
      </c>
      <c r="BZ45" s="84">
        <v>0</v>
      </c>
      <c r="CA45" s="85">
        <f t="shared" si="642"/>
        <v>0</v>
      </c>
      <c r="CB45" s="84">
        <v>0</v>
      </c>
      <c r="CC45" s="86">
        <f t="shared" si="642"/>
        <v>0</v>
      </c>
    </row>
    <row r="46" outlineLevel="1" spans="1:81">
      <c r="B46" s="83" t="s">
        <v>101</v>
      </c>
      <c r="C46" s="83" t="s">
        <v>102</v>
      </c>
      <c r="D46" s="84">
        <f t="shared" ref="D46:H46" si="643">SUMIFS($J46:$CC46,$J$5:$CC$5,D$5)</f>
        <v>0</v>
      </c>
      <c r="E46" s="85">
        <f t="shared" ref="E46:I46" si="644">IFERROR(D46/(D$7+D$12+D$13+D$14),)</f>
        <v>0</v>
      </c>
      <c r="F46" s="84">
        <f t="shared" si="643"/>
        <v>0</v>
      </c>
      <c r="G46" s="85">
        <f t="shared" si="644"/>
        <v>0</v>
      </c>
      <c r="H46" s="84">
        <f t="shared" si="643"/>
        <v>0</v>
      </c>
      <c r="I46" s="86">
        <f t="shared" si="644"/>
        <v>0</v>
      </c>
      <c r="J46" s="84">
        <v>0</v>
      </c>
      <c r="K46" s="85">
        <f t="shared" ref="K46:O46" si="645">IFERROR(J46/(J$7+J$12+J$13+J$14),)</f>
        <v>0</v>
      </c>
      <c r="L46" s="84">
        <v>0</v>
      </c>
      <c r="M46" s="85">
        <f t="shared" si="645"/>
        <v>0</v>
      </c>
      <c r="N46" s="84">
        <v>0</v>
      </c>
      <c r="O46" s="86">
        <f t="shared" si="645"/>
        <v>0</v>
      </c>
      <c r="P46" s="84">
        <v>0</v>
      </c>
      <c r="Q46" s="85">
        <f t="shared" ref="Q46:U46" si="646">IFERROR(P46/(P$7+P$12+P$13+P$14),)</f>
        <v>0</v>
      </c>
      <c r="R46" s="84">
        <v>0</v>
      </c>
      <c r="S46" s="85">
        <f t="shared" si="646"/>
        <v>0</v>
      </c>
      <c r="T46" s="84">
        <v>0</v>
      </c>
      <c r="U46" s="86">
        <f t="shared" si="646"/>
        <v>0</v>
      </c>
      <c r="V46" s="84">
        <v>0</v>
      </c>
      <c r="W46" s="85">
        <f t="shared" ref="W46:AA46" si="647">IFERROR(V46/(V$7+V$12+V$13+V$14),)</f>
        <v>0</v>
      </c>
      <c r="X46" s="84">
        <v>0</v>
      </c>
      <c r="Y46" s="85">
        <f t="shared" si="647"/>
        <v>0</v>
      </c>
      <c r="Z46" s="84">
        <v>0</v>
      </c>
      <c r="AA46" s="86">
        <f t="shared" si="647"/>
        <v>0</v>
      </c>
      <c r="AB46" s="84">
        <v>0</v>
      </c>
      <c r="AC46" s="85">
        <f t="shared" ref="AC46:AG46" si="648">IFERROR(AB46/(AB$7+AB$12+AB$13+AB$14),)</f>
        <v>0</v>
      </c>
      <c r="AD46" s="84">
        <v>0</v>
      </c>
      <c r="AE46" s="85">
        <f t="shared" si="648"/>
        <v>0</v>
      </c>
      <c r="AF46" s="84">
        <v>0</v>
      </c>
      <c r="AG46" s="86">
        <f t="shared" si="648"/>
        <v>0</v>
      </c>
      <c r="AH46" s="84">
        <v>0</v>
      </c>
      <c r="AI46" s="85">
        <f t="shared" ref="AI46:AM46" si="649">IFERROR(AH46/(AH$7+AH$12+AH$13+AH$14),)</f>
        <v>0</v>
      </c>
      <c r="AJ46" s="84">
        <v>0</v>
      </c>
      <c r="AK46" s="85">
        <f t="shared" si="649"/>
        <v>0</v>
      </c>
      <c r="AL46" s="84">
        <v>0</v>
      </c>
      <c r="AM46" s="86">
        <f t="shared" si="649"/>
        <v>0</v>
      </c>
      <c r="AN46" s="84">
        <v>0</v>
      </c>
      <c r="AO46" s="85">
        <f t="shared" ref="AO46:AS46" si="650">IFERROR(AN46/(AN$7+AN$12+AN$13+AN$14),)</f>
        <v>0</v>
      </c>
      <c r="AP46" s="84">
        <v>0</v>
      </c>
      <c r="AQ46" s="85">
        <f t="shared" si="650"/>
        <v>0</v>
      </c>
      <c r="AR46" s="84">
        <v>0</v>
      </c>
      <c r="AS46" s="86">
        <f t="shared" si="650"/>
        <v>0</v>
      </c>
      <c r="AT46" s="84">
        <v>0</v>
      </c>
      <c r="AU46" s="85">
        <f t="shared" ref="AU46:AY46" si="651">IFERROR(AT46/(AT$7+AT$12+AT$13+AT$14),)</f>
        <v>0</v>
      </c>
      <c r="AV46" s="84">
        <v>0</v>
      </c>
      <c r="AW46" s="85">
        <f t="shared" si="651"/>
        <v>0</v>
      </c>
      <c r="AX46" s="84">
        <v>0</v>
      </c>
      <c r="AY46" s="86">
        <f t="shared" si="651"/>
        <v>0</v>
      </c>
      <c r="AZ46" s="84">
        <v>0</v>
      </c>
      <c r="BA46" s="85">
        <f t="shared" ref="BA46:BE46" si="652">IFERROR(AZ46/(AZ$7+AZ$12+AZ$13+AZ$14),)</f>
        <v>0</v>
      </c>
      <c r="BB46" s="84">
        <v>0</v>
      </c>
      <c r="BC46" s="85">
        <f t="shared" si="652"/>
        <v>0</v>
      </c>
      <c r="BD46" s="84">
        <v>0</v>
      </c>
      <c r="BE46" s="86">
        <f t="shared" si="652"/>
        <v>0</v>
      </c>
      <c r="BF46" s="84">
        <v>0</v>
      </c>
      <c r="BG46" s="85">
        <f t="shared" ref="BG46:BK46" si="653">IFERROR(BF46/(BF$7+BF$12+BF$13+BF$14),)</f>
        <v>0</v>
      </c>
      <c r="BH46" s="84">
        <v>0</v>
      </c>
      <c r="BI46" s="85">
        <f t="shared" si="653"/>
        <v>0</v>
      </c>
      <c r="BJ46" s="84">
        <v>0</v>
      </c>
      <c r="BK46" s="86">
        <f t="shared" si="653"/>
        <v>0</v>
      </c>
      <c r="BL46" s="84">
        <v>0</v>
      </c>
      <c r="BM46" s="85">
        <f t="shared" ref="BM46:BQ46" si="654">IFERROR(BL46/(BL$7+BL$12+BL$13+BL$14),)</f>
        <v>0</v>
      </c>
      <c r="BN46" s="84">
        <v>0</v>
      </c>
      <c r="BO46" s="85">
        <f t="shared" si="654"/>
        <v>0</v>
      </c>
      <c r="BP46" s="84">
        <v>0</v>
      </c>
      <c r="BQ46" s="86">
        <f t="shared" si="654"/>
        <v>0</v>
      </c>
      <c r="BR46" s="84">
        <v>0</v>
      </c>
      <c r="BS46" s="85">
        <f t="shared" ref="BS46:BW46" si="655">IFERROR(BR46/(BR$7+BR$12+BR$13+BR$14),)</f>
        <v>0</v>
      </c>
      <c r="BT46" s="84">
        <v>0</v>
      </c>
      <c r="BU46" s="85">
        <f t="shared" si="655"/>
        <v>0</v>
      </c>
      <c r="BV46" s="84">
        <v>0</v>
      </c>
      <c r="BW46" s="86">
        <f t="shared" si="655"/>
        <v>0</v>
      </c>
      <c r="BX46" s="84">
        <v>0</v>
      </c>
      <c r="BY46" s="85">
        <f t="shared" ref="BY46:CC46" si="656">IFERROR(BX46/(BX$7+BX$12+BX$13+BX$14),)</f>
        <v>0</v>
      </c>
      <c r="BZ46" s="84">
        <v>0</v>
      </c>
      <c r="CA46" s="85">
        <f t="shared" si="656"/>
        <v>0</v>
      </c>
      <c r="CB46" s="84">
        <v>0</v>
      </c>
      <c r="CC46" s="86">
        <f t="shared" si="656"/>
        <v>0</v>
      </c>
    </row>
    <row r="47" outlineLevel="1" spans="1:81">
      <c r="B47" s="83" t="s">
        <v>103</v>
      </c>
      <c r="C47" s="83" t="s">
        <v>104</v>
      </c>
      <c r="D47" s="84">
        <f t="shared" ref="D47:H47" si="657">SUMIFS($J47:$CC47,$J$5:$CC$5,D$5)</f>
        <v>0</v>
      </c>
      <c r="E47" s="85">
        <f t="shared" ref="E47:I47" si="658">IFERROR(D47/(D$7+D$12+D$13+D$14),)</f>
        <v>0</v>
      </c>
      <c r="F47" s="84">
        <f t="shared" si="657"/>
        <v>0</v>
      </c>
      <c r="G47" s="85">
        <f t="shared" si="658"/>
        <v>0</v>
      </c>
      <c r="H47" s="84">
        <f t="shared" si="657"/>
        <v>0.131266</v>
      </c>
      <c r="I47" s="86">
        <f t="shared" si="658"/>
        <v>0.00215344693168099</v>
      </c>
      <c r="J47" s="84">
        <v>0</v>
      </c>
      <c r="K47" s="85">
        <f t="shared" ref="K47:O47" si="659">IFERROR(J47/(J$7+J$12+J$13+J$14),)</f>
        <v>0</v>
      </c>
      <c r="L47" s="84">
        <v>0</v>
      </c>
      <c r="M47" s="85">
        <f t="shared" si="659"/>
        <v>0</v>
      </c>
      <c r="N47" s="84">
        <v>0</v>
      </c>
      <c r="O47" s="86">
        <f t="shared" si="659"/>
        <v>0</v>
      </c>
      <c r="P47" s="84">
        <v>0</v>
      </c>
      <c r="Q47" s="85">
        <f t="shared" ref="Q47:U47" si="660">IFERROR(P47/(P$7+P$12+P$13+P$14),)</f>
        <v>0</v>
      </c>
      <c r="R47" s="84">
        <v>0</v>
      </c>
      <c r="S47" s="85">
        <f t="shared" si="660"/>
        <v>0</v>
      </c>
      <c r="T47" s="84">
        <v>0</v>
      </c>
      <c r="U47" s="86">
        <f t="shared" si="660"/>
        <v>0</v>
      </c>
      <c r="V47" s="84">
        <v>0</v>
      </c>
      <c r="W47" s="85">
        <f t="shared" ref="W47:AA47" si="661">IFERROR(V47/(V$7+V$12+V$13+V$14),)</f>
        <v>0</v>
      </c>
      <c r="X47" s="84">
        <v>0</v>
      </c>
      <c r="Y47" s="85">
        <f t="shared" si="661"/>
        <v>0</v>
      </c>
      <c r="Z47" s="84">
        <v>0</v>
      </c>
      <c r="AA47" s="86">
        <f t="shared" si="661"/>
        <v>0</v>
      </c>
      <c r="AB47" s="84">
        <v>0</v>
      </c>
      <c r="AC47" s="85">
        <f t="shared" ref="AC47:AG47" si="662">IFERROR(AB47/(AB$7+AB$12+AB$13+AB$14),)</f>
        <v>0</v>
      </c>
      <c r="AD47" s="84">
        <v>0</v>
      </c>
      <c r="AE47" s="85">
        <f t="shared" si="662"/>
        <v>0</v>
      </c>
      <c r="AF47" s="84">
        <v>0.135307</v>
      </c>
      <c r="AG47" s="86">
        <f t="shared" si="662"/>
        <v>0.00999987288328498</v>
      </c>
      <c r="AH47" s="84">
        <v>0</v>
      </c>
      <c r="AI47" s="85">
        <f t="shared" ref="AI47:AM47" si="663">IFERROR(AH47/(AH$7+AH$12+AH$13+AH$14),)</f>
        <v>0</v>
      </c>
      <c r="AJ47" s="84">
        <v>0</v>
      </c>
      <c r="AK47" s="85">
        <f t="shared" si="663"/>
        <v>0</v>
      </c>
      <c r="AL47" s="84">
        <v>-0.004041</v>
      </c>
      <c r="AM47" s="86">
        <f t="shared" si="663"/>
        <v>-0.000756319931753402</v>
      </c>
      <c r="AN47" s="84">
        <v>0</v>
      </c>
      <c r="AO47" s="85">
        <f t="shared" ref="AO47:AS47" si="664">IFERROR(AN47/(AN$7+AN$12+AN$13+AN$14),)</f>
        <v>0</v>
      </c>
      <c r="AP47" s="84">
        <v>0</v>
      </c>
      <c r="AQ47" s="85">
        <f t="shared" si="664"/>
        <v>0</v>
      </c>
      <c r="AR47" s="84">
        <v>0</v>
      </c>
      <c r="AS47" s="86">
        <f t="shared" si="664"/>
        <v>0</v>
      </c>
      <c r="AT47" s="84">
        <v>0</v>
      </c>
      <c r="AU47" s="85">
        <f t="shared" ref="AU47:AY47" si="665">IFERROR(AT47/(AT$7+AT$12+AT$13+AT$14),)</f>
        <v>0</v>
      </c>
      <c r="AV47" s="84">
        <v>0</v>
      </c>
      <c r="AW47" s="85">
        <f t="shared" si="665"/>
        <v>0</v>
      </c>
      <c r="AX47" s="84">
        <v>0</v>
      </c>
      <c r="AY47" s="86">
        <f t="shared" si="665"/>
        <v>0</v>
      </c>
      <c r="AZ47" s="84">
        <v>0</v>
      </c>
      <c r="BA47" s="85">
        <f t="shared" ref="BA47:BE47" si="666">IFERROR(AZ47/(AZ$7+AZ$12+AZ$13+AZ$14),)</f>
        <v>0</v>
      </c>
      <c r="BB47" s="84">
        <v>0</v>
      </c>
      <c r="BC47" s="85">
        <f t="shared" si="666"/>
        <v>0</v>
      </c>
      <c r="BD47" s="84">
        <v>0</v>
      </c>
      <c r="BE47" s="86">
        <f t="shared" si="666"/>
        <v>0</v>
      </c>
      <c r="BF47" s="84">
        <v>0</v>
      </c>
      <c r="BG47" s="85">
        <f t="shared" ref="BG47:BK47" si="667">IFERROR(BF47/(BF$7+BF$12+BF$13+BF$14),)</f>
        <v>0</v>
      </c>
      <c r="BH47" s="84">
        <v>0</v>
      </c>
      <c r="BI47" s="85">
        <f t="shared" si="667"/>
        <v>0</v>
      </c>
      <c r="BJ47" s="84">
        <v>0</v>
      </c>
      <c r="BK47" s="86">
        <f t="shared" si="667"/>
        <v>0</v>
      </c>
      <c r="BL47" s="84">
        <v>0</v>
      </c>
      <c r="BM47" s="85">
        <f t="shared" ref="BM47:BQ47" si="668">IFERROR(BL47/(BL$7+BL$12+BL$13+BL$14),)</f>
        <v>0</v>
      </c>
      <c r="BN47" s="84">
        <v>0</v>
      </c>
      <c r="BO47" s="85">
        <f t="shared" si="668"/>
        <v>0</v>
      </c>
      <c r="BP47" s="84">
        <v>0</v>
      </c>
      <c r="BQ47" s="86">
        <f t="shared" si="668"/>
        <v>0</v>
      </c>
      <c r="BR47" s="84">
        <v>0</v>
      </c>
      <c r="BS47" s="85">
        <f t="shared" ref="BS47:BW47" si="669">IFERROR(BR47/(BR$7+BR$12+BR$13+BR$14),)</f>
        <v>0</v>
      </c>
      <c r="BT47" s="84">
        <v>0</v>
      </c>
      <c r="BU47" s="85">
        <f t="shared" si="669"/>
        <v>0</v>
      </c>
      <c r="BV47" s="84">
        <v>0</v>
      </c>
      <c r="BW47" s="86">
        <f t="shared" si="669"/>
        <v>0</v>
      </c>
      <c r="BX47" s="84">
        <v>0</v>
      </c>
      <c r="BY47" s="85">
        <f t="shared" ref="BY47:CC47" si="670">IFERROR(BX47/(BX$7+BX$12+BX$13+BX$14),)</f>
        <v>0</v>
      </c>
      <c r="BZ47" s="84">
        <v>0</v>
      </c>
      <c r="CA47" s="85">
        <f t="shared" si="670"/>
        <v>0</v>
      </c>
      <c r="CB47" s="84">
        <v>0</v>
      </c>
      <c r="CC47" s="86">
        <f t="shared" si="670"/>
        <v>0</v>
      </c>
    </row>
    <row r="48" spans="1:81">
      <c r="B48" s="111" t="s">
        <v>105</v>
      </c>
      <c r="C48" s="112" t="s">
        <v>106</v>
      </c>
      <c r="D48" s="113">
        <f t="shared" ref="D48:H48" si="671">SUMIFS($J48:$CC48,$J$5:$CC$5,D$5)</f>
        <v>0</v>
      </c>
      <c r="E48" s="114">
        <f t="shared" ref="E48:I48" si="672">IFERROR(D48/(D$7+D$12+D$13+D$14),)</f>
        <v>0</v>
      </c>
      <c r="F48" s="113">
        <f t="shared" si="671"/>
        <v>0</v>
      </c>
      <c r="G48" s="114">
        <f t="shared" si="672"/>
        <v>0</v>
      </c>
      <c r="H48" s="113">
        <f t="shared" si="671"/>
        <v>4.307661</v>
      </c>
      <c r="I48" s="115">
        <f t="shared" si="672"/>
        <v>0.0706681041790857</v>
      </c>
      <c r="J48" s="113">
        <f t="shared" ref="J48:N48" si="673">SUM(J44:J47)</f>
        <v>0</v>
      </c>
      <c r="K48" s="114">
        <f t="shared" ref="K48:O48" si="674">IFERROR(J48/(J$7+J$12+J$13+J$14),)</f>
        <v>0</v>
      </c>
      <c r="L48" s="113">
        <f t="shared" si="673"/>
        <v>0</v>
      </c>
      <c r="M48" s="114">
        <f t="shared" si="674"/>
        <v>0</v>
      </c>
      <c r="N48" s="113">
        <f t="shared" si="673"/>
        <v>0.86397</v>
      </c>
      <c r="O48" s="115">
        <f t="shared" si="674"/>
        <v>0.100305466292072</v>
      </c>
      <c r="P48" s="113">
        <f t="shared" ref="P48:T48" si="675">SUM(P44:P47)</f>
        <v>0</v>
      </c>
      <c r="Q48" s="114">
        <f t="shared" ref="Q48:U48" si="676">IFERROR(P48/(P$7+P$12+P$13+P$14),)</f>
        <v>0</v>
      </c>
      <c r="R48" s="113">
        <f t="shared" si="675"/>
        <v>0</v>
      </c>
      <c r="S48" s="114">
        <f t="shared" si="676"/>
        <v>0</v>
      </c>
      <c r="T48" s="113">
        <f t="shared" si="675"/>
        <v>0.777588</v>
      </c>
      <c r="U48" s="115">
        <f t="shared" si="676"/>
        <v>0.0483621786005003</v>
      </c>
      <c r="V48" s="113">
        <f t="shared" ref="V48:Z48" si="677">SUM(V44:V47)</f>
        <v>0</v>
      </c>
      <c r="W48" s="114">
        <f t="shared" ref="W48:AA48" si="678">IFERROR(V48/(V$7+V$12+V$13+V$14),)</f>
        <v>0</v>
      </c>
      <c r="X48" s="113">
        <f t="shared" si="677"/>
        <v>0</v>
      </c>
      <c r="Y48" s="114">
        <f t="shared" si="678"/>
        <v>0</v>
      </c>
      <c r="Z48" s="113">
        <f t="shared" si="677"/>
        <v>0.86397</v>
      </c>
      <c r="AA48" s="115">
        <f t="shared" si="678"/>
        <v>0.0496804098914141</v>
      </c>
      <c r="AB48" s="113">
        <f t="shared" ref="AB48:AF48" si="679">SUM(AB44:AB47)</f>
        <v>0</v>
      </c>
      <c r="AC48" s="114">
        <f t="shared" ref="AC48:AG48" si="680">IFERROR(AB48/(AB$7+AB$12+AB$13+AB$14),)</f>
        <v>0</v>
      </c>
      <c r="AD48" s="113">
        <f t="shared" si="679"/>
        <v>0</v>
      </c>
      <c r="AE48" s="114">
        <f t="shared" si="680"/>
        <v>0</v>
      </c>
      <c r="AF48" s="113">
        <f t="shared" si="679"/>
        <v>0.967717</v>
      </c>
      <c r="AG48" s="115">
        <f t="shared" si="680"/>
        <v>0.0715191895984235</v>
      </c>
      <c r="AH48" s="113">
        <f t="shared" ref="AH48:AL48" si="681">SUM(AH44:AH47)</f>
        <v>0</v>
      </c>
      <c r="AI48" s="114">
        <f t="shared" ref="AI48:AM48" si="682">IFERROR(AH48/(AH$7+AH$12+AH$13+AH$14),)</f>
        <v>0</v>
      </c>
      <c r="AJ48" s="113">
        <f t="shared" si="681"/>
        <v>0</v>
      </c>
      <c r="AK48" s="114">
        <f t="shared" si="682"/>
        <v>0</v>
      </c>
      <c r="AL48" s="113">
        <f t="shared" si="681"/>
        <v>0.834416</v>
      </c>
      <c r="AM48" s="115">
        <f t="shared" si="682"/>
        <v>0.15617061424745</v>
      </c>
      <c r="AN48" s="113">
        <f t="shared" ref="AN48:AR48" si="683">SUM(AN44:AN47)</f>
        <v>0</v>
      </c>
      <c r="AO48" s="114">
        <f t="shared" ref="AO48:AS48" si="684">IFERROR(AN48/(AN$7+AN$12+AN$13+AN$14),)</f>
        <v>0</v>
      </c>
      <c r="AP48" s="113">
        <f t="shared" si="683"/>
        <v>0</v>
      </c>
      <c r="AQ48" s="114">
        <f t="shared" si="684"/>
        <v>0</v>
      </c>
      <c r="AR48" s="113">
        <f t="shared" si="683"/>
        <v>0</v>
      </c>
      <c r="AS48" s="115">
        <f t="shared" si="684"/>
        <v>0</v>
      </c>
      <c r="AT48" s="113">
        <f t="shared" ref="AT48:AX48" si="685">SUM(AT44:AT47)</f>
        <v>0</v>
      </c>
      <c r="AU48" s="114">
        <f t="shared" ref="AU48:AY48" si="686">IFERROR(AT48/(AT$7+AT$12+AT$13+AT$14),)</f>
        <v>0</v>
      </c>
      <c r="AV48" s="113">
        <f t="shared" si="685"/>
        <v>0</v>
      </c>
      <c r="AW48" s="114">
        <f t="shared" si="686"/>
        <v>0</v>
      </c>
      <c r="AX48" s="113">
        <f t="shared" si="685"/>
        <v>0</v>
      </c>
      <c r="AY48" s="115">
        <f t="shared" si="686"/>
        <v>0</v>
      </c>
      <c r="AZ48" s="113">
        <f t="shared" ref="AZ48:BD48" si="687">SUM(AZ44:AZ47)</f>
        <v>0</v>
      </c>
      <c r="BA48" s="114">
        <f t="shared" ref="BA48:BE48" si="688">IFERROR(AZ48/(AZ$7+AZ$12+AZ$13+AZ$14),)</f>
        <v>0</v>
      </c>
      <c r="BB48" s="113">
        <f t="shared" si="687"/>
        <v>0</v>
      </c>
      <c r="BC48" s="114">
        <f t="shared" si="688"/>
        <v>0</v>
      </c>
      <c r="BD48" s="113">
        <f t="shared" si="687"/>
        <v>0</v>
      </c>
      <c r="BE48" s="115">
        <f t="shared" si="688"/>
        <v>0</v>
      </c>
      <c r="BF48" s="113">
        <f t="shared" ref="BF48:BJ48" si="689">SUM(BF44:BF47)</f>
        <v>0</v>
      </c>
      <c r="BG48" s="114">
        <f t="shared" ref="BG48:BK48" si="690">IFERROR(BF48/(BF$7+BF$12+BF$13+BF$14),)</f>
        <v>0</v>
      </c>
      <c r="BH48" s="113">
        <f t="shared" si="689"/>
        <v>0</v>
      </c>
      <c r="BI48" s="114">
        <f t="shared" si="690"/>
        <v>0</v>
      </c>
      <c r="BJ48" s="113">
        <f t="shared" si="689"/>
        <v>0</v>
      </c>
      <c r="BK48" s="115">
        <f t="shared" si="690"/>
        <v>0</v>
      </c>
      <c r="BL48" s="113">
        <f t="shared" ref="BL48:BP48" si="691">SUM(BL44:BL47)</f>
        <v>0</v>
      </c>
      <c r="BM48" s="114">
        <f t="shared" ref="BM48:BQ48" si="692">IFERROR(BL48/(BL$7+BL$12+BL$13+BL$14),)</f>
        <v>0</v>
      </c>
      <c r="BN48" s="113">
        <f t="shared" si="691"/>
        <v>0</v>
      </c>
      <c r="BO48" s="114">
        <f t="shared" si="692"/>
        <v>0</v>
      </c>
      <c r="BP48" s="113">
        <f t="shared" si="691"/>
        <v>0</v>
      </c>
      <c r="BQ48" s="115">
        <f t="shared" si="692"/>
        <v>0</v>
      </c>
      <c r="BR48" s="113">
        <f t="shared" ref="BR48:BV48" si="693">SUM(BR44:BR47)</f>
        <v>0</v>
      </c>
      <c r="BS48" s="114">
        <f t="shared" ref="BS48:BW48" si="694">IFERROR(BR48/(BR$7+BR$12+BR$13+BR$14),)</f>
        <v>0</v>
      </c>
      <c r="BT48" s="113">
        <f t="shared" si="693"/>
        <v>0</v>
      </c>
      <c r="BU48" s="114">
        <f t="shared" si="694"/>
        <v>0</v>
      </c>
      <c r="BV48" s="113">
        <f t="shared" si="693"/>
        <v>0</v>
      </c>
      <c r="BW48" s="115">
        <f t="shared" si="694"/>
        <v>0</v>
      </c>
      <c r="BX48" s="113">
        <f t="shared" ref="BX48:CB48" si="695">SUM(BX44:BX47)</f>
        <v>0</v>
      </c>
      <c r="BY48" s="114">
        <f t="shared" ref="BY48:CC48" si="696">IFERROR(BX48/(BX$7+BX$12+BX$13+BX$14),)</f>
        <v>0</v>
      </c>
      <c r="BZ48" s="113">
        <f t="shared" si="695"/>
        <v>0</v>
      </c>
      <c r="CA48" s="114">
        <f t="shared" si="696"/>
        <v>0</v>
      </c>
      <c r="CB48" s="113">
        <f t="shared" si="695"/>
        <v>0</v>
      </c>
      <c r="CC48" s="115">
        <f t="shared" si="696"/>
        <v>0</v>
      </c>
    </row>
    <row r="49" s="42" customFormat="1" ht="13.75" spans="1:81">
      <c r="A49" s="106"/>
      <c r="B49" s="116" t="s">
        <v>107</v>
      </c>
      <c r="C49" s="116" t="s">
        <v>108</v>
      </c>
      <c r="D49" s="117">
        <f t="shared" ref="D49:H49" si="697">SUMIFS($J49:$CC49,$J$5:$CC$5,D$5)</f>
        <v>0</v>
      </c>
      <c r="E49" s="118">
        <f t="shared" ref="E49:I49" si="698">IFERROR(D49/(D$7+D$12+D$13+D$14),)</f>
        <v>0</v>
      </c>
      <c r="F49" s="117">
        <f t="shared" si="697"/>
        <v>0</v>
      </c>
      <c r="G49" s="118">
        <f t="shared" si="698"/>
        <v>0</v>
      </c>
      <c r="H49" s="117">
        <f t="shared" si="697"/>
        <v>-78.4775542913</v>
      </c>
      <c r="I49" s="119">
        <f t="shared" si="698"/>
        <v>-1.28744113856161</v>
      </c>
      <c r="J49" s="117">
        <f t="shared" ref="J49:N49" si="699">J43-J48</f>
        <v>0</v>
      </c>
      <c r="K49" s="118">
        <f t="shared" ref="K49:O49" si="700">IFERROR(J49/(J$7+J$12+J$13+J$14),)</f>
        <v>0</v>
      </c>
      <c r="L49" s="117">
        <f t="shared" si="699"/>
        <v>0</v>
      </c>
      <c r="M49" s="118">
        <f t="shared" si="700"/>
        <v>0</v>
      </c>
      <c r="N49" s="117">
        <f t="shared" si="699"/>
        <v>-16.017088</v>
      </c>
      <c r="O49" s="119">
        <f t="shared" si="700"/>
        <v>-1.85955702221274</v>
      </c>
      <c r="P49" s="117">
        <f t="shared" ref="P49:T49" si="701">P43-P48</f>
        <v>0</v>
      </c>
      <c r="Q49" s="118">
        <f t="shared" ref="Q49:U49" si="702">IFERROR(P49/(P$7+P$12+P$13+P$14),)</f>
        <v>0</v>
      </c>
      <c r="R49" s="117">
        <f t="shared" si="701"/>
        <v>0</v>
      </c>
      <c r="S49" s="118">
        <f t="shared" si="702"/>
        <v>0</v>
      </c>
      <c r="T49" s="117">
        <f t="shared" si="701"/>
        <v>-18.229933</v>
      </c>
      <c r="U49" s="119">
        <f t="shared" si="702"/>
        <v>-1.1338128618512</v>
      </c>
      <c r="V49" s="117">
        <f t="shared" ref="V49:Z49" si="703">V43-V48</f>
        <v>0</v>
      </c>
      <c r="W49" s="118">
        <f t="shared" ref="W49:AA49" si="704">IFERROR(V49/(V$7+V$12+V$13+V$14),)</f>
        <v>0</v>
      </c>
      <c r="X49" s="117">
        <f t="shared" si="703"/>
        <v>0</v>
      </c>
      <c r="Y49" s="118">
        <f t="shared" si="704"/>
        <v>0</v>
      </c>
      <c r="Z49" s="117">
        <f t="shared" si="703"/>
        <v>-8.398091</v>
      </c>
      <c r="AA49" s="119">
        <f t="shared" si="704"/>
        <v>-0.482910984392277</v>
      </c>
      <c r="AB49" s="117">
        <f t="shared" ref="AB49:AF49" si="705">AB43-AB48</f>
        <v>0</v>
      </c>
      <c r="AC49" s="118">
        <f t="shared" ref="AC49:AG49" si="706">IFERROR(AB49/(AB$7+AB$12+AB$13+AB$14),)</f>
        <v>0</v>
      </c>
      <c r="AD49" s="117">
        <f t="shared" si="705"/>
        <v>0</v>
      </c>
      <c r="AE49" s="118">
        <f t="shared" si="706"/>
        <v>0</v>
      </c>
      <c r="AF49" s="117">
        <f t="shared" si="705"/>
        <v>-18.314148</v>
      </c>
      <c r="AG49" s="119">
        <f t="shared" si="706"/>
        <v>-1.35350833264848</v>
      </c>
      <c r="AH49" s="117">
        <f t="shared" ref="AH49:AL49" si="707">AH43-AH48</f>
        <v>0</v>
      </c>
      <c r="AI49" s="118">
        <f t="shared" ref="AI49:AM49" si="708">IFERROR(AH49/(AH$7+AH$12+AH$13+AH$14),)</f>
        <v>0</v>
      </c>
      <c r="AJ49" s="117">
        <f t="shared" si="707"/>
        <v>0</v>
      </c>
      <c r="AK49" s="118">
        <f t="shared" si="708"/>
        <v>0</v>
      </c>
      <c r="AL49" s="117">
        <f t="shared" si="707"/>
        <v>-17.5182942913</v>
      </c>
      <c r="AM49" s="119">
        <f t="shared" si="708"/>
        <v>-3.27875158199258</v>
      </c>
      <c r="AN49" s="117">
        <f t="shared" ref="AN49:AR49" si="709">AN43-AN48</f>
        <v>0</v>
      </c>
      <c r="AO49" s="118">
        <f t="shared" ref="AO49:AS49" si="710">IFERROR(AN49/(AN$7+AN$12+AN$13+AN$14),)</f>
        <v>0</v>
      </c>
      <c r="AP49" s="117">
        <f t="shared" si="709"/>
        <v>0</v>
      </c>
      <c r="AQ49" s="118">
        <f t="shared" si="710"/>
        <v>0</v>
      </c>
      <c r="AR49" s="117">
        <f t="shared" si="709"/>
        <v>0</v>
      </c>
      <c r="AS49" s="119">
        <f t="shared" si="710"/>
        <v>0</v>
      </c>
      <c r="AT49" s="117">
        <f t="shared" ref="AT49:AX49" si="711">AT43-AT48</f>
        <v>0</v>
      </c>
      <c r="AU49" s="118">
        <f t="shared" ref="AU49:AY49" si="712">IFERROR(AT49/(AT$7+AT$12+AT$13+AT$14),)</f>
        <v>0</v>
      </c>
      <c r="AV49" s="117">
        <f t="shared" si="711"/>
        <v>0</v>
      </c>
      <c r="AW49" s="118">
        <f t="shared" si="712"/>
        <v>0</v>
      </c>
      <c r="AX49" s="117">
        <f t="shared" si="711"/>
        <v>0</v>
      </c>
      <c r="AY49" s="119">
        <f t="shared" si="712"/>
        <v>0</v>
      </c>
      <c r="AZ49" s="117">
        <f t="shared" ref="AZ49:BD49" si="713">AZ43-AZ48</f>
        <v>0</v>
      </c>
      <c r="BA49" s="118">
        <f t="shared" ref="BA49:BE49" si="714">IFERROR(AZ49/(AZ$7+AZ$12+AZ$13+AZ$14),)</f>
        <v>0</v>
      </c>
      <c r="BB49" s="117">
        <f t="shared" si="713"/>
        <v>0</v>
      </c>
      <c r="BC49" s="118">
        <f t="shared" si="714"/>
        <v>0</v>
      </c>
      <c r="BD49" s="117">
        <f t="shared" si="713"/>
        <v>0</v>
      </c>
      <c r="BE49" s="119">
        <f t="shared" si="714"/>
        <v>0</v>
      </c>
      <c r="BF49" s="117">
        <f t="shared" ref="BF49:BJ49" si="715">BF43-BF48</f>
        <v>0</v>
      </c>
      <c r="BG49" s="118">
        <f t="shared" ref="BG49:BK49" si="716">IFERROR(BF49/(BF$7+BF$12+BF$13+BF$14),)</f>
        <v>0</v>
      </c>
      <c r="BH49" s="117">
        <f t="shared" si="715"/>
        <v>0</v>
      </c>
      <c r="BI49" s="118">
        <f t="shared" si="716"/>
        <v>0</v>
      </c>
      <c r="BJ49" s="117">
        <f t="shared" si="715"/>
        <v>0</v>
      </c>
      <c r="BK49" s="119">
        <f t="shared" si="716"/>
        <v>0</v>
      </c>
      <c r="BL49" s="117">
        <f t="shared" ref="BL49:BP49" si="717">BL43-BL48</f>
        <v>0</v>
      </c>
      <c r="BM49" s="118">
        <f t="shared" ref="BM49:BQ49" si="718">IFERROR(BL49/(BL$7+BL$12+BL$13+BL$14),)</f>
        <v>0</v>
      </c>
      <c r="BN49" s="117">
        <f t="shared" si="717"/>
        <v>0</v>
      </c>
      <c r="BO49" s="118">
        <f t="shared" si="718"/>
        <v>0</v>
      </c>
      <c r="BP49" s="117">
        <f t="shared" si="717"/>
        <v>0</v>
      </c>
      <c r="BQ49" s="119">
        <f t="shared" si="718"/>
        <v>0</v>
      </c>
      <c r="BR49" s="117">
        <f t="shared" ref="BR49:BV49" si="719">BR43-BR48</f>
        <v>0</v>
      </c>
      <c r="BS49" s="118">
        <f t="shared" ref="BS49:BW49" si="720">IFERROR(BR49/(BR$7+BR$12+BR$13+BR$14),)</f>
        <v>0</v>
      </c>
      <c r="BT49" s="117">
        <f t="shared" si="719"/>
        <v>0</v>
      </c>
      <c r="BU49" s="118">
        <f t="shared" si="720"/>
        <v>0</v>
      </c>
      <c r="BV49" s="117">
        <f t="shared" si="719"/>
        <v>0</v>
      </c>
      <c r="BW49" s="119">
        <f t="shared" si="720"/>
        <v>0</v>
      </c>
      <c r="BX49" s="117">
        <f t="shared" ref="BX49:CB49" si="721">BX43-BX48</f>
        <v>0</v>
      </c>
      <c r="BY49" s="118">
        <f t="shared" ref="BY49:CC49" si="722">IFERROR(BX49/(BX$7+BX$12+BX$13+BX$14),)</f>
        <v>0</v>
      </c>
      <c r="BZ49" s="117">
        <f t="shared" si="721"/>
        <v>0</v>
      </c>
      <c r="CA49" s="118">
        <f t="shared" si="722"/>
        <v>0</v>
      </c>
      <c r="CB49" s="117">
        <f t="shared" si="721"/>
        <v>0</v>
      </c>
      <c r="CC49" s="119">
        <f t="shared" si="722"/>
        <v>0</v>
      </c>
    </row>
    <row r="50" ht="13.75" spans="1:81">
      <c r="H50" s="120"/>
      <c r="I50" s="121"/>
    </row>
    <row r="52" spans="1:81">
      <c r="H52" s="120"/>
    </row>
    <row r="53" spans="1:81">
      <c r="I53" s="121"/>
    </row>
    <row r="54" spans="1:81">
      <c r="I54" s="121"/>
    </row>
    <row r="55" spans="1:81">
      <c r="I55" s="121"/>
    </row>
  </sheetData>
  <mergeCells count="2">
    <mergeCell ref="C1:D1"/>
    <mergeCell ref="B2:D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tabSelected="1" topLeftCell="AL1" workbookViewId="0">
      <selection activeCell="AZ11" sqref="AZ11"/>
    </sheetView>
  </sheetViews>
  <sheetFormatPr defaultColWidth="8.8" defaultRowHeight="13"/>
  <cols>
    <col min="1" max="1" width="8.8" style="1"/>
    <col min="2" max="2" width="8.8" style="2"/>
    <col min="3" max="28" width="8.8" style="1"/>
    <col min="29" max="38" width="8.8" style="3"/>
    <col min="39" max="39" width="8.8" style="1"/>
    <col min="40" max="40" width="8.8" style="4"/>
    <col min="41" max="42" width="8.8" style="2"/>
    <col min="43" max="43" width="8.8" style="1"/>
    <col min="44" max="47" width="8.8" style="3"/>
    <col min="48" max="49" width="8.8" style="2"/>
    <col min="50" max="50" width="8.8" style="3"/>
    <col min="51" max="52" width="8.8" style="1"/>
    <col min="53" max="53" width="8.8" style="5"/>
    <col min="54" max="16384" width="8.8" style="1"/>
  </cols>
  <sheetData>
    <row r="1" s="1" customFormat="1" ht="14" customHeight="1" spans="1:53">
      <c r="A1" s="6" t="s">
        <v>109</v>
      </c>
      <c r="B1" s="6" t="s">
        <v>110</v>
      </c>
      <c r="C1" s="6" t="s">
        <v>111</v>
      </c>
      <c r="D1" s="7" t="s">
        <v>112</v>
      </c>
      <c r="E1" s="6" t="s">
        <v>113</v>
      </c>
      <c r="F1" s="8" t="s">
        <v>25</v>
      </c>
      <c r="G1" s="9" t="s">
        <v>27</v>
      </c>
      <c r="H1" s="9" t="s">
        <v>29</v>
      </c>
      <c r="I1" s="10" t="s">
        <v>31</v>
      </c>
      <c r="J1" s="9" t="s">
        <v>33</v>
      </c>
      <c r="K1" s="9" t="s">
        <v>35</v>
      </c>
      <c r="L1" s="9" t="s">
        <v>114</v>
      </c>
      <c r="M1" s="9" t="s">
        <v>115</v>
      </c>
      <c r="N1" s="9" t="s">
        <v>41</v>
      </c>
      <c r="O1" s="10" t="s">
        <v>43</v>
      </c>
      <c r="P1" s="9" t="s">
        <v>116</v>
      </c>
      <c r="Q1" s="9" t="s">
        <v>47</v>
      </c>
      <c r="R1" s="9" t="s">
        <v>49</v>
      </c>
      <c r="S1" s="9" t="s">
        <v>51</v>
      </c>
      <c r="T1" s="9" t="s">
        <v>53</v>
      </c>
      <c r="U1" s="9" t="s">
        <v>55</v>
      </c>
      <c r="V1" s="9" t="s">
        <v>57</v>
      </c>
      <c r="W1" s="9" t="s">
        <v>59</v>
      </c>
      <c r="X1" s="10" t="s">
        <v>61</v>
      </c>
      <c r="Y1" s="9" t="s">
        <v>63</v>
      </c>
      <c r="Z1" s="9" t="s">
        <v>65</v>
      </c>
      <c r="AA1" s="9" t="s">
        <v>67</v>
      </c>
      <c r="AB1" s="10" t="s">
        <v>69</v>
      </c>
      <c r="AC1" s="11" t="s">
        <v>117</v>
      </c>
      <c r="AD1" s="9" t="s">
        <v>73</v>
      </c>
      <c r="AE1" s="9" t="s">
        <v>75</v>
      </c>
      <c r="AF1" s="9" t="s">
        <v>77</v>
      </c>
      <c r="AG1" s="9" t="s">
        <v>79</v>
      </c>
      <c r="AH1" s="9" t="s">
        <v>81</v>
      </c>
      <c r="AI1" s="9" t="s">
        <v>83</v>
      </c>
      <c r="AJ1" s="10" t="s">
        <v>84</v>
      </c>
      <c r="AK1" s="9" t="s">
        <v>86</v>
      </c>
      <c r="AL1" s="9" t="s">
        <v>88</v>
      </c>
      <c r="AM1" s="9" t="s">
        <v>90</v>
      </c>
      <c r="AN1" s="9" t="s">
        <v>92</v>
      </c>
      <c r="AO1" s="10" t="s">
        <v>93</v>
      </c>
      <c r="AP1" s="10" t="s">
        <v>95</v>
      </c>
      <c r="AQ1" s="10" t="s">
        <v>96</v>
      </c>
      <c r="AR1" s="12" t="s">
        <v>98</v>
      </c>
      <c r="AS1" s="12" t="s">
        <v>100</v>
      </c>
      <c r="AT1" s="12" t="s">
        <v>102</v>
      </c>
      <c r="AU1" s="12" t="s">
        <v>104</v>
      </c>
      <c r="AV1" s="10" t="s">
        <v>106</v>
      </c>
      <c r="AW1" s="10" t="s">
        <v>108</v>
      </c>
      <c r="AX1" s="13" t="s">
        <v>118</v>
      </c>
      <c r="AZ1" s="14" t="s">
        <v>119</v>
      </c>
      <c r="BA1" s="15" t="s">
        <v>120</v>
      </c>
    </row>
    <row r="2" s="1" customFormat="1" ht="14" spans="1:53">
      <c r="A2" s="1" t="s">
        <v>2</v>
      </c>
      <c r="B2" s="16" t="s">
        <v>121</v>
      </c>
      <c r="C2" s="17" t="s">
        <v>1</v>
      </c>
      <c r="D2" s="17" t="s">
        <v>122</v>
      </c>
      <c r="E2" s="16" t="s">
        <v>123</v>
      </c>
      <c r="F2" s="1">
        <v>0.5225</v>
      </c>
      <c r="G2" s="1">
        <v>0.4633</v>
      </c>
      <c r="H2" s="1">
        <v>0.1156</v>
      </c>
      <c r="I2" s="18">
        <v>0.3477</v>
      </c>
      <c r="O2" s="18">
        <v>0.3477</v>
      </c>
      <c r="P2" s="1">
        <v>0.0335</v>
      </c>
      <c r="R2" s="1">
        <v>0.0048</v>
      </c>
      <c r="X2" s="18">
        <v>0.0383</v>
      </c>
      <c r="Z2" s="1">
        <v>0.0062</v>
      </c>
      <c r="AB2" s="18">
        <v>0.0062</v>
      </c>
      <c r="AC2" s="3"/>
      <c r="AD2" s="3"/>
      <c r="AE2" s="3"/>
      <c r="AF2" s="3"/>
      <c r="AG2" s="3"/>
      <c r="AH2" s="3"/>
      <c r="AI2" s="3"/>
      <c r="AJ2" s="18">
        <v>0</v>
      </c>
      <c r="AK2" s="3"/>
      <c r="AL2" s="3"/>
      <c r="AN2" s="4"/>
      <c r="AO2" s="18">
        <v>0</v>
      </c>
      <c r="AP2" s="18">
        <v>0.0445</v>
      </c>
      <c r="AQ2" s="18">
        <v>0.3032</v>
      </c>
      <c r="AR2" s="3"/>
      <c r="AS2" s="3"/>
      <c r="AT2" s="3"/>
      <c r="AU2" s="19"/>
      <c r="AV2" s="18">
        <v>0</v>
      </c>
      <c r="AW2" s="18">
        <v>0.3032</v>
      </c>
      <c r="AX2" s="20">
        <v>0.4633</v>
      </c>
      <c r="BA2" s="21" t="s">
        <v>123</v>
      </c>
    </row>
    <row r="3" s="1" customFormat="1" ht="14" spans="1:53">
      <c r="A3" s="1" t="s">
        <v>2</v>
      </c>
      <c r="B3" s="16" t="s">
        <v>121</v>
      </c>
      <c r="C3" s="17" t="s">
        <v>1</v>
      </c>
      <c r="D3" s="17" t="s">
        <v>124</v>
      </c>
      <c r="E3" s="16" t="s">
        <v>125</v>
      </c>
      <c r="F3" s="1">
        <v>0.94</v>
      </c>
      <c r="G3" s="1">
        <v>5.194648</v>
      </c>
      <c r="H3" s="1">
        <v>3.059563</v>
      </c>
      <c r="I3" s="18">
        <v>2.135085</v>
      </c>
      <c r="O3" s="18">
        <v>2.135085</v>
      </c>
      <c r="R3" s="1">
        <v>1.654119</v>
      </c>
      <c r="X3" s="18">
        <v>1.654119</v>
      </c>
      <c r="Z3" s="1">
        <v>0.062079</v>
      </c>
      <c r="AB3" s="18">
        <v>0.062079</v>
      </c>
      <c r="AC3" s="3"/>
      <c r="AD3" s="3"/>
      <c r="AE3" s="3"/>
      <c r="AF3" s="3"/>
      <c r="AG3" s="3"/>
      <c r="AH3" s="3"/>
      <c r="AI3" s="3"/>
      <c r="AJ3" s="18">
        <v>0</v>
      </c>
      <c r="AK3" s="3">
        <v>0.409975</v>
      </c>
      <c r="AL3" s="3"/>
      <c r="AN3" s="4">
        <v>-0.050042</v>
      </c>
      <c r="AO3" s="18">
        <v>0.359933</v>
      </c>
      <c r="AP3" s="18">
        <v>2.076131</v>
      </c>
      <c r="AQ3" s="18">
        <v>0.0589540000000004</v>
      </c>
      <c r="AR3" s="3"/>
      <c r="AS3" s="3"/>
      <c r="AT3" s="3"/>
      <c r="AU3" s="19"/>
      <c r="AV3" s="18">
        <v>0</v>
      </c>
      <c r="AW3" s="18">
        <v>0.0589540000000004</v>
      </c>
      <c r="AX3" s="20">
        <v>5.194648</v>
      </c>
      <c r="BA3" s="21" t="s">
        <v>125</v>
      </c>
    </row>
    <row r="4" s="1" customFormat="1" ht="14" spans="1:53">
      <c r="A4" s="1" t="s">
        <v>2</v>
      </c>
      <c r="B4" s="16" t="s">
        <v>121</v>
      </c>
      <c r="C4" s="17" t="s">
        <v>1</v>
      </c>
      <c r="D4" s="17" t="s">
        <v>126</v>
      </c>
      <c r="E4" s="16" t="s">
        <v>127</v>
      </c>
      <c r="I4" s="18">
        <v>0</v>
      </c>
      <c r="O4" s="18">
        <v>0</v>
      </c>
      <c r="X4" s="18">
        <v>0</v>
      </c>
      <c r="AB4" s="18">
        <v>0</v>
      </c>
      <c r="AC4" s="3"/>
      <c r="AD4" s="3"/>
      <c r="AE4" s="3"/>
      <c r="AF4" s="3"/>
      <c r="AG4" s="3"/>
      <c r="AH4" s="3"/>
      <c r="AI4" s="3"/>
      <c r="AJ4" s="18">
        <v>0</v>
      </c>
      <c r="AK4" s="3"/>
      <c r="AL4" s="3"/>
      <c r="AN4" s="4"/>
      <c r="AO4" s="18">
        <v>0</v>
      </c>
      <c r="AP4" s="18">
        <v>0</v>
      </c>
      <c r="AQ4" s="18">
        <v>0</v>
      </c>
      <c r="AR4" s="3"/>
      <c r="AS4" s="3"/>
      <c r="AT4" s="3"/>
      <c r="AU4" s="19"/>
      <c r="AV4" s="18">
        <v>0</v>
      </c>
      <c r="AW4" s="18">
        <v>0</v>
      </c>
      <c r="AX4" s="20">
        <v>0</v>
      </c>
      <c r="BA4" s="21" t="s">
        <v>127</v>
      </c>
    </row>
    <row r="5" s="1" customFormat="1" ht="14" spans="1:53">
      <c r="A5" s="1" t="s">
        <v>2</v>
      </c>
      <c r="B5" s="16" t="s">
        <v>121</v>
      </c>
      <c r="C5" s="17" t="s">
        <v>1</v>
      </c>
      <c r="D5" s="17" t="s">
        <v>128</v>
      </c>
      <c r="E5" s="16" t="s">
        <v>129</v>
      </c>
      <c r="F5" s="1">
        <v>0.04846</v>
      </c>
      <c r="G5" s="1">
        <v>0.042885</v>
      </c>
      <c r="H5" s="1">
        <v>0.010002</v>
      </c>
      <c r="I5" s="18">
        <v>0.032883</v>
      </c>
      <c r="O5" s="18">
        <v>0.032883</v>
      </c>
      <c r="R5" s="1">
        <v>1.315121</v>
      </c>
      <c r="W5" s="1">
        <v>0.051098</v>
      </c>
      <c r="X5" s="18">
        <v>1.366219</v>
      </c>
      <c r="AB5" s="18">
        <v>0</v>
      </c>
      <c r="AC5" s="3"/>
      <c r="AD5" s="3"/>
      <c r="AE5" s="3"/>
      <c r="AF5" s="3">
        <v>0.970331</v>
      </c>
      <c r="AG5" s="3"/>
      <c r="AH5" s="3"/>
      <c r="AI5" s="3"/>
      <c r="AJ5" s="18">
        <v>0.970331</v>
      </c>
      <c r="AK5" s="3"/>
      <c r="AL5" s="3"/>
      <c r="AM5" s="1">
        <v>0.074</v>
      </c>
      <c r="AN5" s="4"/>
      <c r="AO5" s="18">
        <v>0.074</v>
      </c>
      <c r="AP5" s="18">
        <v>2.41055</v>
      </c>
      <c r="AQ5" s="18">
        <v>-2.377667</v>
      </c>
      <c r="AR5" s="3"/>
      <c r="AS5" s="3">
        <v>0.259191</v>
      </c>
      <c r="AT5" s="3"/>
      <c r="AU5" s="19"/>
      <c r="AV5" s="18">
        <v>0.259191</v>
      </c>
      <c r="AW5" s="18">
        <v>-2.636858</v>
      </c>
      <c r="AX5" s="20">
        <v>0.042885</v>
      </c>
      <c r="BA5" s="21" t="s">
        <v>129</v>
      </c>
    </row>
    <row r="6" s="1" customFormat="1" ht="14" spans="1:53">
      <c r="A6" s="1" t="s">
        <v>2</v>
      </c>
      <c r="B6" s="16" t="s">
        <v>121</v>
      </c>
      <c r="C6" s="17" t="s">
        <v>1</v>
      </c>
      <c r="D6" s="17" t="s">
        <v>130</v>
      </c>
      <c r="E6" s="16" t="s">
        <v>131</v>
      </c>
      <c r="I6" s="18">
        <v>0</v>
      </c>
      <c r="O6" s="18">
        <v>0</v>
      </c>
      <c r="P6" s="1">
        <v>0.004154</v>
      </c>
      <c r="R6" s="1">
        <v>1.844629</v>
      </c>
      <c r="X6" s="18">
        <v>1.848783</v>
      </c>
      <c r="Z6" s="1">
        <v>0.00806</v>
      </c>
      <c r="AB6" s="18">
        <v>0.00806</v>
      </c>
      <c r="AC6" s="3"/>
      <c r="AD6" s="3"/>
      <c r="AE6" s="3"/>
      <c r="AF6" s="3">
        <v>1.935733</v>
      </c>
      <c r="AG6" s="3"/>
      <c r="AH6" s="3"/>
      <c r="AI6" s="3"/>
      <c r="AJ6" s="18">
        <v>1.935733</v>
      </c>
      <c r="AK6" s="3"/>
      <c r="AL6" s="3"/>
      <c r="AN6" s="4">
        <v>-0.434393</v>
      </c>
      <c r="AO6" s="18">
        <v>-0.434393</v>
      </c>
      <c r="AP6" s="18">
        <v>3.358183</v>
      </c>
      <c r="AQ6" s="18">
        <v>-3.358183</v>
      </c>
      <c r="AR6" s="3"/>
      <c r="AS6" s="3">
        <v>0.345588</v>
      </c>
      <c r="AT6" s="3"/>
      <c r="AU6" s="19"/>
      <c r="AV6" s="18">
        <v>0.345588</v>
      </c>
      <c r="AW6" s="18">
        <v>-3.703771</v>
      </c>
      <c r="AX6" s="20">
        <v>0</v>
      </c>
      <c r="BA6" s="21" t="s">
        <v>131</v>
      </c>
    </row>
    <row r="7" s="1" customFormat="1" ht="14" spans="1:53">
      <c r="A7" s="1" t="s">
        <v>2</v>
      </c>
      <c r="B7" s="16" t="s">
        <v>121</v>
      </c>
      <c r="C7" s="17" t="s">
        <v>1</v>
      </c>
      <c r="D7" s="17" t="s">
        <v>132</v>
      </c>
      <c r="E7" s="16" t="s">
        <v>133</v>
      </c>
      <c r="F7" s="1">
        <v>5.999953</v>
      </c>
      <c r="G7" s="1">
        <v>2.876813</v>
      </c>
      <c r="H7" s="1">
        <v>1.430025</v>
      </c>
      <c r="I7" s="18">
        <v>1.446788</v>
      </c>
      <c r="N7" s="1">
        <v>0.035743</v>
      </c>
      <c r="O7" s="18">
        <v>1.482531</v>
      </c>
      <c r="P7" s="1">
        <v>0.168629</v>
      </c>
      <c r="Q7" s="1">
        <v>0.961664</v>
      </c>
      <c r="R7" s="1">
        <v>4.745331</v>
      </c>
      <c r="W7" s="1">
        <v>-0.308233</v>
      </c>
      <c r="X7" s="18">
        <v>5.567391</v>
      </c>
      <c r="Y7" s="1">
        <v>2.27</v>
      </c>
      <c r="Z7" s="1">
        <v>0.137509</v>
      </c>
      <c r="AB7" s="18">
        <v>2.407509</v>
      </c>
      <c r="AC7" s="3">
        <v>1.167832</v>
      </c>
      <c r="AD7" s="3"/>
      <c r="AE7" s="3"/>
      <c r="AF7" s="3">
        <v>0.970331</v>
      </c>
      <c r="AG7" s="3"/>
      <c r="AH7" s="3"/>
      <c r="AI7" s="3"/>
      <c r="AJ7" s="18">
        <v>2.138163</v>
      </c>
      <c r="AK7" s="3"/>
      <c r="AL7" s="3"/>
      <c r="AN7" s="4"/>
      <c r="AO7" s="18">
        <v>0</v>
      </c>
      <c r="AP7" s="18">
        <v>10.113063</v>
      </c>
      <c r="AQ7" s="18">
        <v>-8.630532</v>
      </c>
      <c r="AR7" s="3"/>
      <c r="AS7" s="3">
        <v>0.259191</v>
      </c>
      <c r="AT7" s="3"/>
      <c r="AU7" s="19"/>
      <c r="AV7" s="18">
        <v>0.259191</v>
      </c>
      <c r="AW7" s="18">
        <v>-8.889723</v>
      </c>
      <c r="AX7" s="20">
        <v>2.912556</v>
      </c>
      <c r="BA7" s="21" t="s">
        <v>133</v>
      </c>
    </row>
    <row r="8" s="1" customFormat="1" ht="14" spans="1:53">
      <c r="A8" s="1" t="s">
        <v>2</v>
      </c>
      <c r="B8" s="16" t="s">
        <v>121</v>
      </c>
      <c r="C8" s="17" t="s">
        <v>1</v>
      </c>
      <c r="D8" s="17" t="s">
        <v>134</v>
      </c>
      <c r="E8" s="16" t="s">
        <v>135</v>
      </c>
      <c r="F8" s="1">
        <v>1.308001</v>
      </c>
      <c r="I8" s="18">
        <v>0</v>
      </c>
      <c r="O8" s="18">
        <v>0</v>
      </c>
      <c r="R8" s="1">
        <v>0.096936</v>
      </c>
      <c r="X8" s="18">
        <v>0.096936</v>
      </c>
      <c r="AB8" s="18">
        <v>0</v>
      </c>
      <c r="AC8" s="3"/>
      <c r="AD8" s="3"/>
      <c r="AE8" s="3"/>
      <c r="AF8" s="3">
        <v>0.641979</v>
      </c>
      <c r="AG8" s="3"/>
      <c r="AH8" s="3"/>
      <c r="AI8" s="3"/>
      <c r="AJ8" s="18">
        <v>0.641979</v>
      </c>
      <c r="AK8" s="3">
        <v>0.409975</v>
      </c>
      <c r="AL8" s="3"/>
      <c r="AN8" s="4"/>
      <c r="AO8" s="18">
        <v>0.409975</v>
      </c>
      <c r="AP8" s="18">
        <v>1.14889</v>
      </c>
      <c r="AQ8" s="18">
        <v>-1.14889</v>
      </c>
      <c r="AR8" s="3"/>
      <c r="AS8" s="3"/>
      <c r="AT8" s="3"/>
      <c r="AU8" s="19"/>
      <c r="AV8" s="18">
        <v>0</v>
      </c>
      <c r="AW8" s="18">
        <v>-1.14889</v>
      </c>
      <c r="AX8" s="20">
        <v>0</v>
      </c>
      <c r="BA8" s="21" t="s">
        <v>135</v>
      </c>
    </row>
    <row r="9" s="1" customFormat="1" ht="14" spans="1:53">
      <c r="A9" s="1" t="s">
        <v>2</v>
      </c>
      <c r="B9" s="16" t="s">
        <v>121</v>
      </c>
      <c r="C9" s="22" t="s">
        <v>1</v>
      </c>
      <c r="D9" s="22" t="s">
        <v>136</v>
      </c>
      <c r="E9" s="16" t="s">
        <v>137</v>
      </c>
      <c r="F9" s="23">
        <v>0</v>
      </c>
      <c r="G9" s="23">
        <v>0</v>
      </c>
      <c r="H9" s="23">
        <v>0</v>
      </c>
      <c r="I9" s="18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18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18">
        <v>0</v>
      </c>
      <c r="Y9" s="23">
        <v>0</v>
      </c>
      <c r="Z9" s="23">
        <v>0</v>
      </c>
      <c r="AA9" s="23">
        <v>0</v>
      </c>
      <c r="AB9" s="18">
        <v>0</v>
      </c>
      <c r="AC9" s="23">
        <v>0</v>
      </c>
      <c r="AD9" s="23">
        <v>0</v>
      </c>
      <c r="AE9" s="23">
        <v>0</v>
      </c>
      <c r="AF9" s="23">
        <v>0</v>
      </c>
      <c r="AG9" s="23"/>
      <c r="AH9" s="23">
        <v>0</v>
      </c>
      <c r="AI9" s="23">
        <v>0</v>
      </c>
      <c r="AJ9" s="18">
        <v>0</v>
      </c>
      <c r="AK9" s="23">
        <v>0</v>
      </c>
      <c r="AL9" s="23">
        <v>0</v>
      </c>
      <c r="AM9" s="23">
        <v>0</v>
      </c>
      <c r="AN9" s="23">
        <v>0</v>
      </c>
      <c r="AO9" s="18">
        <v>0</v>
      </c>
      <c r="AP9" s="18">
        <v>0</v>
      </c>
      <c r="AQ9" s="18">
        <v>0</v>
      </c>
      <c r="AR9" s="23">
        <v>0</v>
      </c>
      <c r="AS9" s="23">
        <v>0</v>
      </c>
      <c r="AT9" s="23">
        <v>0</v>
      </c>
      <c r="AU9" s="19"/>
      <c r="AV9" s="18">
        <v>0</v>
      </c>
      <c r="AW9" s="18">
        <v>0</v>
      </c>
      <c r="AX9" s="20">
        <v>0</v>
      </c>
      <c r="BA9" s="21" t="s">
        <v>137</v>
      </c>
    </row>
    <row r="10" s="1" customFormat="1" spans="1:53">
      <c r="A10" s="1" t="s">
        <v>3</v>
      </c>
      <c r="B10" s="16" t="s">
        <v>121</v>
      </c>
      <c r="C10" s="24" t="s">
        <v>1</v>
      </c>
      <c r="D10" s="24" t="s">
        <v>122</v>
      </c>
      <c r="E10" s="24" t="s">
        <v>123</v>
      </c>
      <c r="F10" s="1">
        <v>2.321038</v>
      </c>
      <c r="G10" s="1">
        <v>2.02499</v>
      </c>
      <c r="H10" s="1">
        <v>0.336049</v>
      </c>
      <c r="I10" s="18">
        <v>1.688941</v>
      </c>
      <c r="O10" s="18">
        <v>1.688941</v>
      </c>
      <c r="P10" s="1">
        <v>0.026466</v>
      </c>
      <c r="R10" s="1">
        <v>0.021868</v>
      </c>
      <c r="X10" s="18">
        <v>0.048334</v>
      </c>
      <c r="Z10" s="1">
        <v>0.005599</v>
      </c>
      <c r="AB10" s="18">
        <v>0.005599</v>
      </c>
      <c r="AC10" s="3"/>
      <c r="AD10" s="3"/>
      <c r="AE10" s="3"/>
      <c r="AF10" s="3"/>
      <c r="AG10" s="3"/>
      <c r="AH10" s="3"/>
      <c r="AI10" s="3"/>
      <c r="AJ10" s="18">
        <v>0</v>
      </c>
      <c r="AK10" s="3"/>
      <c r="AL10" s="3"/>
      <c r="AN10" s="4"/>
      <c r="AO10" s="18">
        <v>0</v>
      </c>
      <c r="AP10" s="18">
        <v>0.053933</v>
      </c>
      <c r="AQ10" s="18">
        <v>1.635008</v>
      </c>
      <c r="AR10" s="3"/>
      <c r="AS10" s="3"/>
      <c r="AT10" s="3"/>
      <c r="AU10" s="19"/>
      <c r="AV10" s="18">
        <v>0</v>
      </c>
      <c r="AW10" s="18">
        <v>1.635008</v>
      </c>
      <c r="AX10" s="20">
        <v>2.02499</v>
      </c>
      <c r="BA10" s="21" t="s">
        <v>123</v>
      </c>
    </row>
    <row r="11" s="1" customFormat="1" spans="1:53">
      <c r="A11" s="1" t="s">
        <v>3</v>
      </c>
      <c r="B11" s="16" t="s">
        <v>121</v>
      </c>
      <c r="C11" s="24" t="s">
        <v>1</v>
      </c>
      <c r="D11" s="24" t="s">
        <v>124</v>
      </c>
      <c r="E11" s="24" t="s">
        <v>125</v>
      </c>
      <c r="F11" s="1">
        <v>2.52475</v>
      </c>
      <c r="G11" s="1">
        <v>8.480026</v>
      </c>
      <c r="H11" s="1">
        <v>6.359963</v>
      </c>
      <c r="I11" s="18">
        <v>2.120063</v>
      </c>
      <c r="O11" s="18">
        <v>2.120063</v>
      </c>
      <c r="R11" s="1">
        <v>5.023097</v>
      </c>
      <c r="X11" s="18">
        <v>5.023097</v>
      </c>
      <c r="Z11" s="1">
        <v>0.203529</v>
      </c>
      <c r="AB11" s="18">
        <v>0.203529</v>
      </c>
      <c r="AC11" s="3"/>
      <c r="AD11" s="3"/>
      <c r="AE11" s="3"/>
      <c r="AF11" s="3"/>
      <c r="AG11" s="3"/>
      <c r="AH11" s="3"/>
      <c r="AI11" s="3"/>
      <c r="AJ11" s="18">
        <v>0</v>
      </c>
      <c r="AK11" s="3">
        <v>0.708512</v>
      </c>
      <c r="AL11" s="3"/>
      <c r="AN11" s="4"/>
      <c r="AO11" s="18">
        <v>0.708512</v>
      </c>
      <c r="AP11" s="18">
        <v>5.935138</v>
      </c>
      <c r="AQ11" s="18">
        <v>-3.815075</v>
      </c>
      <c r="AR11" s="3"/>
      <c r="AS11" s="3"/>
      <c r="AT11" s="3"/>
      <c r="AU11" s="19"/>
      <c r="AV11" s="18">
        <v>0</v>
      </c>
      <c r="AW11" s="18">
        <v>-3.815075</v>
      </c>
      <c r="AX11" s="20">
        <v>8.480026</v>
      </c>
      <c r="BA11" s="21" t="s">
        <v>125</v>
      </c>
    </row>
    <row r="12" s="1" customFormat="1" spans="1:53">
      <c r="A12" s="1" t="s">
        <v>3</v>
      </c>
      <c r="B12" s="16" t="s">
        <v>121</v>
      </c>
      <c r="C12" s="24" t="s">
        <v>1</v>
      </c>
      <c r="D12" s="24" t="s">
        <v>126</v>
      </c>
      <c r="E12" s="24" t="s">
        <v>127</v>
      </c>
      <c r="I12" s="18">
        <v>0</v>
      </c>
      <c r="O12" s="18">
        <v>0</v>
      </c>
      <c r="R12" s="1">
        <v>0.027855</v>
      </c>
      <c r="X12" s="18">
        <v>0.027855</v>
      </c>
      <c r="AB12" s="18">
        <v>0</v>
      </c>
      <c r="AC12" s="3"/>
      <c r="AD12" s="3"/>
      <c r="AE12" s="3"/>
      <c r="AF12" s="3"/>
      <c r="AG12" s="3"/>
      <c r="AH12" s="3"/>
      <c r="AI12" s="3"/>
      <c r="AJ12" s="18">
        <v>0</v>
      </c>
      <c r="AK12" s="3"/>
      <c r="AL12" s="3"/>
      <c r="AN12" s="4"/>
      <c r="AO12" s="18">
        <v>0</v>
      </c>
      <c r="AP12" s="18">
        <v>0.027855</v>
      </c>
      <c r="AQ12" s="18">
        <v>-0.027855</v>
      </c>
      <c r="AR12" s="3"/>
      <c r="AS12" s="3"/>
      <c r="AT12" s="3"/>
      <c r="AU12" s="19"/>
      <c r="AV12" s="18">
        <v>0</v>
      </c>
      <c r="AW12" s="18">
        <v>-0.027855</v>
      </c>
      <c r="AX12" s="20">
        <v>0</v>
      </c>
      <c r="BA12" s="21" t="s">
        <v>127</v>
      </c>
    </row>
    <row r="13" s="1" customFormat="1" spans="1:53">
      <c r="A13" s="1" t="s">
        <v>3</v>
      </c>
      <c r="B13" s="16" t="s">
        <v>121</v>
      </c>
      <c r="C13" s="24" t="s">
        <v>1</v>
      </c>
      <c r="D13" s="24" t="s">
        <v>128</v>
      </c>
      <c r="E13" s="24" t="s">
        <v>129</v>
      </c>
      <c r="I13" s="18">
        <v>0</v>
      </c>
      <c r="O13" s="18">
        <v>0</v>
      </c>
      <c r="R13" s="1">
        <v>1.079474</v>
      </c>
      <c r="W13" s="1">
        <v>0.7522</v>
      </c>
      <c r="X13" s="18">
        <v>1.831674</v>
      </c>
      <c r="AB13" s="18">
        <v>0</v>
      </c>
      <c r="AC13" s="3"/>
      <c r="AD13" s="3"/>
      <c r="AE13" s="3"/>
      <c r="AF13" s="3">
        <v>1.00156</v>
      </c>
      <c r="AG13" s="3"/>
      <c r="AH13" s="3"/>
      <c r="AI13" s="3"/>
      <c r="AJ13" s="18">
        <v>1.00156</v>
      </c>
      <c r="AK13" s="3"/>
      <c r="AL13" s="3"/>
      <c r="AN13" s="4">
        <v>0.909408</v>
      </c>
      <c r="AO13" s="18">
        <v>0.909408</v>
      </c>
      <c r="AP13" s="18">
        <v>3.742642</v>
      </c>
      <c r="AQ13" s="18">
        <v>-3.742642</v>
      </c>
      <c r="AR13" s="3"/>
      <c r="AS13" s="3">
        <v>0.259196</v>
      </c>
      <c r="AT13" s="3"/>
      <c r="AU13" s="19"/>
      <c r="AV13" s="18">
        <v>0.259196</v>
      </c>
      <c r="AW13" s="18">
        <v>-4.001838</v>
      </c>
      <c r="AX13" s="20">
        <v>0</v>
      </c>
      <c r="BA13" s="21" t="s">
        <v>129</v>
      </c>
    </row>
    <row r="14" s="1" customFormat="1" spans="1:53">
      <c r="A14" s="1" t="s">
        <v>3</v>
      </c>
      <c r="B14" s="16" t="s">
        <v>121</v>
      </c>
      <c r="C14" s="24" t="s">
        <v>1</v>
      </c>
      <c r="D14" s="24" t="s">
        <v>130</v>
      </c>
      <c r="E14" s="24" t="s">
        <v>131</v>
      </c>
      <c r="I14" s="18">
        <v>0</v>
      </c>
      <c r="O14" s="18">
        <v>0</v>
      </c>
      <c r="R14" s="1">
        <v>3.750807</v>
      </c>
      <c r="X14" s="18">
        <v>3.750807</v>
      </c>
      <c r="AB14" s="18">
        <v>0</v>
      </c>
      <c r="AC14" s="3"/>
      <c r="AD14" s="3"/>
      <c r="AE14" s="3"/>
      <c r="AF14" s="25">
        <v>1.00156</v>
      </c>
      <c r="AG14" s="3"/>
      <c r="AH14" s="3"/>
      <c r="AI14" s="3"/>
      <c r="AJ14" s="18">
        <v>1.00156</v>
      </c>
      <c r="AK14" s="3"/>
      <c r="AL14" s="3"/>
      <c r="AN14" s="4">
        <v>0.909408</v>
      </c>
      <c r="AO14" s="18">
        <v>0.909408</v>
      </c>
      <c r="AP14" s="18">
        <v>5.661775</v>
      </c>
      <c r="AQ14" s="18">
        <v>-5.661775</v>
      </c>
      <c r="AR14" s="3"/>
      <c r="AS14" s="3">
        <v>0.259196</v>
      </c>
      <c r="AT14" s="3"/>
      <c r="AU14" s="19"/>
      <c r="AV14" s="18">
        <v>0.259196</v>
      </c>
      <c r="AW14" s="18">
        <v>-5.920971</v>
      </c>
      <c r="AX14" s="20">
        <v>0</v>
      </c>
      <c r="BA14" s="21" t="s">
        <v>131</v>
      </c>
    </row>
    <row r="15" s="1" customFormat="1" spans="1:53">
      <c r="A15" s="1" t="s">
        <v>3</v>
      </c>
      <c r="B15" s="16" t="s">
        <v>121</v>
      </c>
      <c r="C15" s="24" t="s">
        <v>1</v>
      </c>
      <c r="D15" s="24" t="s">
        <v>132</v>
      </c>
      <c r="E15" s="24" t="s">
        <v>133</v>
      </c>
      <c r="F15" s="1">
        <v>22.378176</v>
      </c>
      <c r="G15" s="1">
        <v>3.322352</v>
      </c>
      <c r="H15" s="1">
        <v>1.262295</v>
      </c>
      <c r="I15" s="18">
        <v>2.060057</v>
      </c>
      <c r="O15" s="18">
        <v>2.060057</v>
      </c>
      <c r="P15" s="1">
        <v>0.198434</v>
      </c>
      <c r="Q15" s="1">
        <v>0.535813</v>
      </c>
      <c r="R15" s="1">
        <v>5.019914</v>
      </c>
      <c r="X15" s="18">
        <v>5.754161</v>
      </c>
      <c r="Y15" s="1">
        <v>0.147346</v>
      </c>
      <c r="Z15" s="1">
        <v>0.182813</v>
      </c>
      <c r="AB15" s="18">
        <v>0.330159</v>
      </c>
      <c r="AC15" s="3">
        <v>0.547176</v>
      </c>
      <c r="AD15" s="3"/>
      <c r="AE15" s="3"/>
      <c r="AF15" s="3">
        <v>1.00156</v>
      </c>
      <c r="AG15" s="3"/>
      <c r="AH15" s="3"/>
      <c r="AI15" s="3"/>
      <c r="AJ15" s="18">
        <v>1.548736</v>
      </c>
      <c r="AK15" s="3"/>
      <c r="AL15" s="3"/>
      <c r="AN15" s="4"/>
      <c r="AO15" s="18">
        <v>0</v>
      </c>
      <c r="AP15" s="18">
        <v>7.633056</v>
      </c>
      <c r="AQ15" s="18">
        <v>-5.572999</v>
      </c>
      <c r="AR15" s="3"/>
      <c r="AS15" s="3">
        <v>0.259196</v>
      </c>
      <c r="AT15" s="3"/>
      <c r="AU15" s="19"/>
      <c r="AV15" s="18">
        <v>0.259196</v>
      </c>
      <c r="AW15" s="18">
        <v>-5.832195</v>
      </c>
      <c r="AX15" s="20">
        <v>3.322352</v>
      </c>
      <c r="BA15" s="21" t="s">
        <v>133</v>
      </c>
    </row>
    <row r="16" s="1" customFormat="1" spans="1:53">
      <c r="A16" s="1" t="s">
        <v>3</v>
      </c>
      <c r="B16" s="16" t="s">
        <v>121</v>
      </c>
      <c r="C16" s="24" t="s">
        <v>1</v>
      </c>
      <c r="D16" s="24" t="s">
        <v>134</v>
      </c>
      <c r="E16" s="24" t="s">
        <v>135</v>
      </c>
      <c r="F16" s="1">
        <v>0.616</v>
      </c>
      <c r="G16" s="1">
        <v>2.251064</v>
      </c>
      <c r="H16" s="1">
        <v>0.771859</v>
      </c>
      <c r="I16" s="18">
        <v>1.479205</v>
      </c>
      <c r="O16" s="18">
        <v>1.479205</v>
      </c>
      <c r="R16" s="1">
        <v>0.216068</v>
      </c>
      <c r="X16" s="18">
        <v>0.216068</v>
      </c>
      <c r="AB16" s="18">
        <v>0</v>
      </c>
      <c r="AC16" s="3"/>
      <c r="AD16" s="3"/>
      <c r="AE16" s="3"/>
      <c r="AF16" s="3">
        <v>0.881608</v>
      </c>
      <c r="AG16" s="3"/>
      <c r="AH16" s="3"/>
      <c r="AI16" s="3"/>
      <c r="AJ16" s="18">
        <v>0.881608</v>
      </c>
      <c r="AK16" s="3">
        <v>0.648536</v>
      </c>
      <c r="AL16" s="3"/>
      <c r="AN16" s="4"/>
      <c r="AO16" s="18">
        <v>0.648536</v>
      </c>
      <c r="AP16" s="18">
        <v>1.746212</v>
      </c>
      <c r="AQ16" s="18">
        <v>-0.267007</v>
      </c>
      <c r="AR16" s="3"/>
      <c r="AS16" s="3"/>
      <c r="AT16" s="3"/>
      <c r="AU16" s="19"/>
      <c r="AV16" s="18">
        <v>0</v>
      </c>
      <c r="AW16" s="18">
        <v>-0.267007</v>
      </c>
      <c r="AX16" s="20">
        <v>2.251064</v>
      </c>
      <c r="BA16" s="21" t="s">
        <v>135</v>
      </c>
    </row>
    <row r="17" s="1" customFormat="1" ht="14" spans="1:53 16382:16384">
      <c r="A17" s="1" t="s">
        <v>3</v>
      </c>
      <c r="B17" s="16" t="s">
        <v>121</v>
      </c>
      <c r="C17" s="24" t="s">
        <v>1</v>
      </c>
      <c r="D17" s="24" t="s">
        <v>136</v>
      </c>
      <c r="E17" s="24" t="s">
        <v>137</v>
      </c>
      <c r="F17" s="23">
        <v>0</v>
      </c>
      <c r="G17" s="23">
        <v>0</v>
      </c>
      <c r="H17" s="23">
        <v>0</v>
      </c>
      <c r="I17" s="18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18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18">
        <v>0</v>
      </c>
      <c r="Y17" s="23">
        <v>0</v>
      </c>
      <c r="Z17" s="23">
        <v>0</v>
      </c>
      <c r="AA17" s="23">
        <v>0</v>
      </c>
      <c r="AB17" s="18">
        <v>0</v>
      </c>
      <c r="AC17" s="23">
        <v>0</v>
      </c>
      <c r="AD17" s="23">
        <v>0</v>
      </c>
      <c r="AE17" s="23">
        <v>0</v>
      </c>
      <c r="AF17" s="23">
        <v>0</v>
      </c>
      <c r="AG17" s="23"/>
      <c r="AH17" s="23">
        <v>0</v>
      </c>
      <c r="AI17" s="23">
        <v>0</v>
      </c>
      <c r="AJ17" s="18">
        <v>0</v>
      </c>
      <c r="AK17" s="23">
        <v>0</v>
      </c>
      <c r="AL17" s="23">
        <v>0</v>
      </c>
      <c r="AM17" s="23">
        <v>0</v>
      </c>
      <c r="AN17" s="23">
        <v>0</v>
      </c>
      <c r="AO17" s="18">
        <v>0</v>
      </c>
      <c r="AP17" s="18">
        <v>0</v>
      </c>
      <c r="AQ17" s="18">
        <v>0</v>
      </c>
      <c r="AR17" s="23">
        <v>0</v>
      </c>
      <c r="AS17" s="23">
        <v>0</v>
      </c>
      <c r="AT17" s="23">
        <v>0</v>
      </c>
      <c r="AU17" s="19"/>
      <c r="AV17" s="18">
        <v>0</v>
      </c>
      <c r="AW17" s="18">
        <v>0</v>
      </c>
      <c r="AX17" s="20">
        <v>0</v>
      </c>
      <c r="BA17" s="21" t="s">
        <v>137</v>
      </c>
    </row>
    <row r="18" s="1" customFormat="1" spans="1:53 16382:16384">
      <c r="A18" s="1" t="s">
        <v>4</v>
      </c>
      <c r="B18" s="16" t="s">
        <v>121</v>
      </c>
      <c r="C18" s="24" t="s">
        <v>1</v>
      </c>
      <c r="D18" s="24" t="s">
        <v>122</v>
      </c>
      <c r="E18" s="24" t="s">
        <v>123</v>
      </c>
      <c r="F18" s="1">
        <v>0.587202</v>
      </c>
      <c r="G18" s="1">
        <v>0.19229</v>
      </c>
      <c r="H18" s="1">
        <v>0.056561</v>
      </c>
      <c r="I18" s="18">
        <v>0.135729</v>
      </c>
      <c r="N18" s="1">
        <v>0.000465</v>
      </c>
      <c r="O18" s="18">
        <v>0.136194</v>
      </c>
      <c r="P18" s="1">
        <v>0.089567</v>
      </c>
      <c r="Q18" s="1">
        <v>0.094341</v>
      </c>
      <c r="R18" s="1">
        <v>0.021256</v>
      </c>
      <c r="X18" s="18">
        <v>0.205164</v>
      </c>
      <c r="Z18" s="1">
        <v>0.006702</v>
      </c>
      <c r="AB18" s="18">
        <v>0.006702</v>
      </c>
      <c r="AC18" s="3"/>
      <c r="AD18" s="3"/>
      <c r="AE18" s="3"/>
      <c r="AF18" s="3"/>
      <c r="AG18" s="3"/>
      <c r="AH18" s="3"/>
      <c r="AI18" s="3"/>
      <c r="AJ18" s="18">
        <v>0</v>
      </c>
      <c r="AK18" s="3">
        <v>0.7316</v>
      </c>
      <c r="AL18" s="3"/>
      <c r="AN18" s="4"/>
      <c r="AO18" s="18">
        <v>0.7316</v>
      </c>
      <c r="AP18" s="18">
        <v>0.943466</v>
      </c>
      <c r="AQ18" s="18">
        <v>-0.807272</v>
      </c>
      <c r="AR18" s="3"/>
      <c r="AS18" s="3"/>
      <c r="AT18" s="3"/>
      <c r="AU18" s="19"/>
      <c r="AV18" s="18">
        <v>0</v>
      </c>
      <c r="AW18" s="18">
        <v>-0.807272</v>
      </c>
      <c r="AX18" s="20">
        <v>0.192755</v>
      </c>
      <c r="BA18" s="21" t="s">
        <v>123</v>
      </c>
    </row>
    <row r="19" s="1" customFormat="1" spans="1:53 16382:16384">
      <c r="A19" s="1" t="s">
        <v>4</v>
      </c>
      <c r="B19" s="16" t="s">
        <v>121</v>
      </c>
      <c r="C19" s="24" t="s">
        <v>1</v>
      </c>
      <c r="D19" s="24" t="s">
        <v>124</v>
      </c>
      <c r="E19" s="24" t="s">
        <v>125</v>
      </c>
      <c r="F19" s="1">
        <v>0</v>
      </c>
      <c r="G19" s="1">
        <v>9.765833</v>
      </c>
      <c r="H19" s="1">
        <v>5.113333</v>
      </c>
      <c r="I19" s="18">
        <v>4.6525</v>
      </c>
      <c r="O19" s="18">
        <v>4.6525</v>
      </c>
      <c r="R19" s="1">
        <v>4.299204</v>
      </c>
      <c r="X19" s="18">
        <v>4.299204</v>
      </c>
      <c r="Z19" s="1">
        <v>0.053874</v>
      </c>
      <c r="AB19" s="18">
        <v>0.053874</v>
      </c>
      <c r="AC19" s="3"/>
      <c r="AD19" s="3"/>
      <c r="AE19" s="3"/>
      <c r="AF19" s="3"/>
      <c r="AG19" s="3"/>
      <c r="AH19" s="3"/>
      <c r="AI19" s="3"/>
      <c r="AJ19" s="18">
        <v>0</v>
      </c>
      <c r="AK19" s="3">
        <v>0.561813</v>
      </c>
      <c r="AL19" s="3"/>
      <c r="AN19" s="4"/>
      <c r="AO19" s="18">
        <v>0.561813</v>
      </c>
      <c r="AP19" s="18">
        <v>4.914891</v>
      </c>
      <c r="AQ19" s="18">
        <v>-0.262391</v>
      </c>
      <c r="AR19" s="3"/>
      <c r="AS19" s="3"/>
      <c r="AT19" s="3"/>
      <c r="AU19" s="19"/>
      <c r="AV19" s="18">
        <v>0</v>
      </c>
      <c r="AW19" s="18">
        <v>-0.262391</v>
      </c>
      <c r="AX19" s="20">
        <v>9.765833</v>
      </c>
      <c r="BA19" s="21" t="s">
        <v>125</v>
      </c>
    </row>
    <row r="20" s="1" customFormat="1" spans="1:53 16382:16384">
      <c r="A20" s="1" t="s">
        <v>4</v>
      </c>
      <c r="B20" s="16" t="s">
        <v>121</v>
      </c>
      <c r="C20" s="24" t="s">
        <v>1</v>
      </c>
      <c r="D20" s="24" t="s">
        <v>126</v>
      </c>
      <c r="E20" s="24" t="s">
        <v>127</v>
      </c>
      <c r="I20" s="18">
        <v>0</v>
      </c>
      <c r="O20" s="18">
        <v>0</v>
      </c>
      <c r="X20" s="18">
        <v>0</v>
      </c>
      <c r="AB20" s="18">
        <v>0</v>
      </c>
      <c r="AC20" s="3"/>
      <c r="AD20" s="3"/>
      <c r="AE20" s="3"/>
      <c r="AF20" s="3"/>
      <c r="AG20" s="3"/>
      <c r="AH20" s="3"/>
      <c r="AI20" s="3"/>
      <c r="AJ20" s="18">
        <v>0</v>
      </c>
      <c r="AK20" s="3"/>
      <c r="AL20" s="3"/>
      <c r="AN20" s="4"/>
      <c r="AO20" s="18">
        <v>0</v>
      </c>
      <c r="AP20" s="18">
        <v>0</v>
      </c>
      <c r="AQ20" s="18">
        <v>0</v>
      </c>
      <c r="AR20" s="3"/>
      <c r="AS20" s="3"/>
      <c r="AT20" s="3"/>
      <c r="AU20" s="19"/>
      <c r="AV20" s="18">
        <v>0</v>
      </c>
      <c r="AW20" s="18">
        <v>0</v>
      </c>
      <c r="AX20" s="20">
        <v>0</v>
      </c>
      <c r="BA20" s="21" t="s">
        <v>127</v>
      </c>
    </row>
    <row r="21" s="1" customFormat="1" spans="1:53 16382:16384">
      <c r="A21" s="1" t="s">
        <v>4</v>
      </c>
      <c r="B21" s="16" t="s">
        <v>121</v>
      </c>
      <c r="C21" s="24" t="s">
        <v>1</v>
      </c>
      <c r="D21" s="24" t="s">
        <v>128</v>
      </c>
      <c r="E21" s="24" t="s">
        <v>129</v>
      </c>
      <c r="F21" s="1">
        <v>0.01979</v>
      </c>
      <c r="G21" s="1">
        <v>0.017513</v>
      </c>
      <c r="H21" s="1">
        <v>0.004229</v>
      </c>
      <c r="I21" s="18">
        <v>0.013284</v>
      </c>
      <c r="O21" s="18">
        <v>0.013284</v>
      </c>
      <c r="R21" s="1">
        <v>-4.721156</v>
      </c>
      <c r="W21" s="1">
        <v>0.001017</v>
      </c>
      <c r="X21" s="18">
        <v>-4.720139</v>
      </c>
      <c r="AB21" s="18">
        <v>0</v>
      </c>
      <c r="AC21" s="3"/>
      <c r="AD21" s="3"/>
      <c r="AE21" s="3"/>
      <c r="AF21" s="3">
        <v>0.9703</v>
      </c>
      <c r="AG21" s="3"/>
      <c r="AH21" s="3"/>
      <c r="AI21" s="3"/>
      <c r="AJ21" s="18">
        <v>0.9703</v>
      </c>
      <c r="AK21" s="3"/>
      <c r="AL21" s="3"/>
      <c r="AN21" s="4"/>
      <c r="AO21" s="18">
        <v>0</v>
      </c>
      <c r="AP21" s="18">
        <v>-3.749839</v>
      </c>
      <c r="AQ21" s="18">
        <v>3.763123</v>
      </c>
      <c r="AR21" s="3"/>
      <c r="AS21" s="3">
        <v>0.259191</v>
      </c>
      <c r="AT21" s="3"/>
      <c r="AU21" s="19"/>
      <c r="AV21" s="18">
        <v>0.259191</v>
      </c>
      <c r="AW21" s="18">
        <v>3.503932</v>
      </c>
      <c r="AX21" s="20">
        <v>0.017513</v>
      </c>
      <c r="BA21" s="21" t="s">
        <v>129</v>
      </c>
    </row>
    <row r="22" s="1" customFormat="1" spans="1:53 16382:16384">
      <c r="A22" s="1" t="s">
        <v>4</v>
      </c>
      <c r="B22" s="16" t="s">
        <v>121</v>
      </c>
      <c r="C22" s="24" t="s">
        <v>1</v>
      </c>
      <c r="D22" s="24" t="s">
        <v>130</v>
      </c>
      <c r="E22" s="24" t="s">
        <v>131</v>
      </c>
      <c r="G22" s="1">
        <v>1.680977</v>
      </c>
      <c r="H22" s="1">
        <v>0.795682</v>
      </c>
      <c r="I22" s="18">
        <v>0.885295</v>
      </c>
      <c r="O22" s="18">
        <v>0.885295</v>
      </c>
      <c r="P22" s="1">
        <v>0.030603</v>
      </c>
      <c r="R22" s="1">
        <v>3.864415</v>
      </c>
      <c r="X22" s="18">
        <v>3.895018</v>
      </c>
      <c r="Z22" s="1">
        <v>0.058562</v>
      </c>
      <c r="AA22" s="1">
        <v>0.23947</v>
      </c>
      <c r="AB22" s="18">
        <v>0.298032</v>
      </c>
      <c r="AC22" s="3"/>
      <c r="AD22" s="3"/>
      <c r="AE22" s="3"/>
      <c r="AF22" s="25">
        <v>1.293754</v>
      </c>
      <c r="AG22" s="3"/>
      <c r="AH22" s="3"/>
      <c r="AI22" s="3"/>
      <c r="AJ22" s="18">
        <v>1.293754</v>
      </c>
      <c r="AK22" s="3"/>
      <c r="AL22" s="3"/>
      <c r="AN22" s="4">
        <v>-0.909408</v>
      </c>
      <c r="AO22" s="18">
        <v>-0.909408</v>
      </c>
      <c r="AP22" s="18">
        <v>4.577396</v>
      </c>
      <c r="AQ22" s="18">
        <v>-3.692101</v>
      </c>
      <c r="AR22" s="3"/>
      <c r="AS22" s="3">
        <v>0.345588</v>
      </c>
      <c r="AT22" s="3"/>
      <c r="AU22" s="19"/>
      <c r="AV22" s="18">
        <v>0.345588</v>
      </c>
      <c r="AW22" s="18">
        <v>-4.037689</v>
      </c>
      <c r="AX22" s="20">
        <v>1.680977</v>
      </c>
      <c r="BA22" s="21" t="s">
        <v>131</v>
      </c>
    </row>
    <row r="23" s="1" customFormat="1" spans="1:53 16382:16384">
      <c r="A23" s="1" t="s">
        <v>4</v>
      </c>
      <c r="B23" s="16" t="s">
        <v>121</v>
      </c>
      <c r="C23" s="24" t="s">
        <v>1</v>
      </c>
      <c r="D23" s="24" t="s">
        <v>132</v>
      </c>
      <c r="E23" s="24" t="s">
        <v>133</v>
      </c>
      <c r="F23" s="1">
        <v>8.176202</v>
      </c>
      <c r="G23" s="1">
        <v>5.540825</v>
      </c>
      <c r="H23" s="1">
        <v>1.460066</v>
      </c>
      <c r="I23" s="18">
        <v>4.080759</v>
      </c>
      <c r="O23" s="18">
        <v>4.080759</v>
      </c>
      <c r="P23" s="1">
        <v>0.152013</v>
      </c>
      <c r="Q23" s="1">
        <v>0.98424</v>
      </c>
      <c r="R23" s="1">
        <v>4.84977</v>
      </c>
      <c r="X23" s="18">
        <v>5.986023</v>
      </c>
      <c r="Y23" s="1">
        <v>1.851856</v>
      </c>
      <c r="Z23" s="1">
        <v>0.205765</v>
      </c>
      <c r="AB23" s="18">
        <v>2.057621</v>
      </c>
      <c r="AC23" s="3">
        <v>0.547181</v>
      </c>
      <c r="AD23" s="3"/>
      <c r="AE23" s="3"/>
      <c r="AF23" s="3">
        <v>0.9703</v>
      </c>
      <c r="AG23" s="3"/>
      <c r="AH23" s="3"/>
      <c r="AI23" s="3"/>
      <c r="AJ23" s="18">
        <v>1.517481</v>
      </c>
      <c r="AK23" s="3">
        <v>0.7316</v>
      </c>
      <c r="AL23" s="3"/>
      <c r="AN23" s="4"/>
      <c r="AO23" s="18">
        <v>0.7316</v>
      </c>
      <c r="AP23" s="18">
        <v>10.292725</v>
      </c>
      <c r="AQ23" s="18">
        <v>-6.211966</v>
      </c>
      <c r="AR23" s="3"/>
      <c r="AS23" s="3">
        <v>0.259191</v>
      </c>
      <c r="AT23" s="3"/>
      <c r="AU23" s="19"/>
      <c r="AV23" s="18">
        <v>0.259191</v>
      </c>
      <c r="AW23" s="18">
        <v>-6.471157</v>
      </c>
      <c r="AX23" s="20">
        <v>5.540825</v>
      </c>
      <c r="BA23" s="21" t="s">
        <v>133</v>
      </c>
    </row>
    <row r="24" s="1" customFormat="1" spans="1:53 16382:16384">
      <c r="A24" s="1" t="s">
        <v>4</v>
      </c>
      <c r="B24" s="16" t="s">
        <v>121</v>
      </c>
      <c r="C24" s="24" t="s">
        <v>1</v>
      </c>
      <c r="D24" s="24" t="s">
        <v>134</v>
      </c>
      <c r="E24" s="24" t="s">
        <v>135</v>
      </c>
      <c r="F24" s="1">
        <v>0.368</v>
      </c>
      <c r="G24" s="1">
        <v>0.192654</v>
      </c>
      <c r="H24" s="1">
        <v>0.096903</v>
      </c>
      <c r="I24" s="18">
        <v>0.095751</v>
      </c>
      <c r="O24" s="18">
        <v>0.095751</v>
      </c>
      <c r="R24" s="1">
        <v>0.052473</v>
      </c>
      <c r="X24" s="18">
        <v>0.052473</v>
      </c>
      <c r="AB24" s="18">
        <v>0</v>
      </c>
      <c r="AC24" s="3"/>
      <c r="AD24" s="3"/>
      <c r="AE24" s="3"/>
      <c r="AF24" s="3"/>
      <c r="AG24" s="3"/>
      <c r="AH24" s="3"/>
      <c r="AI24" s="3"/>
      <c r="AJ24" s="18">
        <v>0</v>
      </c>
      <c r="AK24" s="3">
        <v>0.366792</v>
      </c>
      <c r="AL24" s="3"/>
      <c r="AN24" s="4"/>
      <c r="AO24" s="18">
        <v>0.366792</v>
      </c>
      <c r="AP24" s="18">
        <v>0.419265</v>
      </c>
      <c r="AQ24" s="18">
        <v>-0.323514</v>
      </c>
      <c r="AR24" s="3"/>
      <c r="AS24" s="3"/>
      <c r="AT24" s="3"/>
      <c r="AU24" s="19"/>
      <c r="AV24" s="18">
        <v>0</v>
      </c>
      <c r="AW24" s="18">
        <v>-0.323514</v>
      </c>
      <c r="AX24" s="20">
        <v>0.192654</v>
      </c>
      <c r="BA24" s="21" t="s">
        <v>135</v>
      </c>
    </row>
    <row r="25" s="1" customFormat="1" ht="14" spans="1:53 16382:16384">
      <c r="A25" s="1" t="s">
        <v>4</v>
      </c>
      <c r="B25" s="16" t="s">
        <v>121</v>
      </c>
      <c r="C25" s="24" t="s">
        <v>1</v>
      </c>
      <c r="D25" s="24" t="s">
        <v>136</v>
      </c>
      <c r="E25" s="24" t="s">
        <v>137</v>
      </c>
      <c r="F25" s="23">
        <v>0</v>
      </c>
      <c r="G25" s="23">
        <v>0</v>
      </c>
      <c r="H25" s="23">
        <v>0</v>
      </c>
      <c r="I25" s="18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18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18">
        <v>0</v>
      </c>
      <c r="Y25" s="23">
        <v>0</v>
      </c>
      <c r="Z25" s="23">
        <v>0</v>
      </c>
      <c r="AA25" s="23">
        <v>0</v>
      </c>
      <c r="AB25" s="18">
        <v>0</v>
      </c>
      <c r="AC25" s="23">
        <v>0</v>
      </c>
      <c r="AD25" s="23">
        <v>0</v>
      </c>
      <c r="AE25" s="23">
        <v>0</v>
      </c>
      <c r="AF25" s="23">
        <v>0</v>
      </c>
      <c r="AG25" s="23"/>
      <c r="AH25" s="23">
        <v>0</v>
      </c>
      <c r="AI25" s="23">
        <v>0</v>
      </c>
      <c r="AJ25" s="18">
        <v>0</v>
      </c>
      <c r="AK25" s="23">
        <v>0</v>
      </c>
      <c r="AL25" s="23">
        <v>0</v>
      </c>
      <c r="AM25" s="23">
        <v>0</v>
      </c>
      <c r="AN25" s="23">
        <v>0</v>
      </c>
      <c r="AO25" s="18">
        <v>0</v>
      </c>
      <c r="AP25" s="18">
        <v>0</v>
      </c>
      <c r="AQ25" s="18">
        <v>0</v>
      </c>
      <c r="AR25" s="23">
        <v>0</v>
      </c>
      <c r="AS25" s="23">
        <v>0</v>
      </c>
      <c r="AT25" s="23">
        <v>0</v>
      </c>
      <c r="AU25" s="19">
        <v>0</v>
      </c>
      <c r="AV25" s="18">
        <v>0</v>
      </c>
      <c r="AW25" s="18">
        <v>0</v>
      </c>
      <c r="AX25" s="20">
        <v>0</v>
      </c>
      <c r="BA25" s="21" t="s">
        <v>137</v>
      </c>
    </row>
    <row r="26" s="1" customFormat="1" ht="17" customHeight="1" spans="1:53 16382:16384">
      <c r="A26" s="1" t="s">
        <v>5</v>
      </c>
      <c r="B26" s="16" t="s">
        <v>121</v>
      </c>
      <c r="C26" s="24" t="s">
        <v>1</v>
      </c>
      <c r="D26" s="24" t="s">
        <v>122</v>
      </c>
      <c r="E26" s="24" t="s">
        <v>123</v>
      </c>
      <c r="F26" s="26">
        <v>0.46019</v>
      </c>
      <c r="G26" s="27">
        <v>0.404246</v>
      </c>
      <c r="H26" s="27">
        <v>0.094638</v>
      </c>
      <c r="I26" s="18">
        <v>0.309608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18">
        <v>0.309608</v>
      </c>
      <c r="P26" s="27">
        <v>0.009518</v>
      </c>
      <c r="Q26" s="27">
        <v>0.013495</v>
      </c>
      <c r="R26" s="27">
        <v>0.074628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18">
        <v>0.097641</v>
      </c>
      <c r="Y26" s="20">
        <v>0</v>
      </c>
      <c r="Z26" s="20">
        <v>0</v>
      </c>
      <c r="AA26" s="20">
        <v>0</v>
      </c>
      <c r="AB26" s="18">
        <v>0</v>
      </c>
      <c r="AC26" s="28">
        <v>0</v>
      </c>
      <c r="AD26" s="29">
        <v>0</v>
      </c>
      <c r="AE26" s="28">
        <v>0</v>
      </c>
      <c r="AF26" s="29">
        <v>0</v>
      </c>
      <c r="AG26" s="29">
        <v>0</v>
      </c>
      <c r="AH26" s="29">
        <v>0</v>
      </c>
      <c r="AI26" s="29">
        <v>0</v>
      </c>
      <c r="AJ26" s="18">
        <v>0</v>
      </c>
      <c r="AK26" s="29">
        <v>0.73161</v>
      </c>
      <c r="AL26" s="29">
        <v>0</v>
      </c>
      <c r="AM26" s="29">
        <v>0</v>
      </c>
      <c r="AN26" s="30">
        <v>0</v>
      </c>
      <c r="AO26" s="18">
        <v>0.73161</v>
      </c>
      <c r="AP26" s="18">
        <v>0.829251</v>
      </c>
      <c r="AQ26" s="18">
        <v>-0.519643</v>
      </c>
      <c r="AR26" s="29">
        <v>0</v>
      </c>
      <c r="AS26" s="29">
        <v>0</v>
      </c>
      <c r="AT26" s="29">
        <v>0</v>
      </c>
      <c r="AU26" s="19">
        <v>0.004041</v>
      </c>
      <c r="AV26" s="18">
        <v>0.004041</v>
      </c>
      <c r="AW26" s="18">
        <v>-0.523684</v>
      </c>
      <c r="AX26" s="20">
        <v>0.404246</v>
      </c>
      <c r="BA26" s="21" t="s">
        <v>123</v>
      </c>
      <c r="XFB26" s="16"/>
      <c r="XFC26" s="31"/>
      <c r="XFD26" s="31"/>
    </row>
    <row r="27" s="1" customFormat="1" ht="17" customHeight="1" spans="1:53 16382:16384">
      <c r="A27" s="1" t="s">
        <v>5</v>
      </c>
      <c r="B27" s="16" t="s">
        <v>121</v>
      </c>
      <c r="C27" s="24" t="s">
        <v>1</v>
      </c>
      <c r="D27" s="24" t="s">
        <v>128</v>
      </c>
      <c r="E27" s="24" t="s">
        <v>129</v>
      </c>
      <c r="F27" s="26">
        <v>0.8205</v>
      </c>
      <c r="G27" s="27">
        <v>0.463802</v>
      </c>
      <c r="H27" s="27">
        <v>0.139574</v>
      </c>
      <c r="I27" s="18">
        <v>0.324228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18">
        <v>0.324228</v>
      </c>
      <c r="P27" s="27">
        <v>0</v>
      </c>
      <c r="Q27" s="27">
        <v>0</v>
      </c>
      <c r="R27" s="27">
        <v>0.50149</v>
      </c>
      <c r="S27" s="27">
        <v>0</v>
      </c>
      <c r="T27" s="27">
        <v>0</v>
      </c>
      <c r="U27" s="27">
        <v>0</v>
      </c>
      <c r="V27" s="27">
        <v>0</v>
      </c>
      <c r="W27" s="27">
        <v>0.110855</v>
      </c>
      <c r="X27" s="18">
        <v>0.612345</v>
      </c>
      <c r="Y27" s="20">
        <v>0</v>
      </c>
      <c r="Z27" s="20">
        <v>0</v>
      </c>
      <c r="AA27" s="20">
        <v>0</v>
      </c>
      <c r="AB27" s="18">
        <v>0</v>
      </c>
      <c r="AC27" s="28">
        <v>0</v>
      </c>
      <c r="AD27" s="29">
        <v>0</v>
      </c>
      <c r="AE27" s="28">
        <v>0</v>
      </c>
      <c r="AF27" s="29">
        <v>0.97032</v>
      </c>
      <c r="AG27" s="29">
        <v>0</v>
      </c>
      <c r="AH27" s="29">
        <v>0</v>
      </c>
      <c r="AI27" s="29">
        <v>0</v>
      </c>
      <c r="AJ27" s="18">
        <v>0.97032</v>
      </c>
      <c r="AK27" s="29">
        <v>0</v>
      </c>
      <c r="AL27" s="29">
        <v>0</v>
      </c>
      <c r="AM27" s="29">
        <v>0</v>
      </c>
      <c r="AN27" s="30">
        <v>0.172</v>
      </c>
      <c r="AO27" s="18">
        <v>0.172</v>
      </c>
      <c r="AP27" s="18">
        <v>1.754665</v>
      </c>
      <c r="AQ27" s="18">
        <v>-1.430437</v>
      </c>
      <c r="AR27" s="29">
        <v>0</v>
      </c>
      <c r="AS27" s="29">
        <v>0.24972</v>
      </c>
      <c r="AT27" s="29">
        <v>0</v>
      </c>
      <c r="AU27" s="19">
        <v>0.004639</v>
      </c>
      <c r="AV27" s="18">
        <v>0.254359</v>
      </c>
      <c r="AW27" s="18">
        <v>-1.684796</v>
      </c>
      <c r="AX27" s="20">
        <v>0.463802</v>
      </c>
      <c r="BA27" s="21" t="s">
        <v>129</v>
      </c>
      <c r="XFB27" s="16"/>
      <c r="XFC27" s="31"/>
      <c r="XFD27" s="31"/>
    </row>
    <row r="28" s="1" customFormat="1" ht="17" customHeight="1" spans="1:53 16382:16384">
      <c r="A28" s="1" t="s">
        <v>5</v>
      </c>
      <c r="B28" s="16" t="s">
        <v>121</v>
      </c>
      <c r="C28" s="24" t="s">
        <v>1</v>
      </c>
      <c r="D28" s="24" t="s">
        <v>136</v>
      </c>
      <c r="E28" s="24" t="s">
        <v>137</v>
      </c>
      <c r="F28" s="26">
        <v>0</v>
      </c>
      <c r="G28" s="27">
        <v>0</v>
      </c>
      <c r="H28" s="27">
        <v>0</v>
      </c>
      <c r="I28" s="18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18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18">
        <v>0</v>
      </c>
      <c r="Y28" s="20">
        <v>0</v>
      </c>
      <c r="Z28" s="20">
        <v>0</v>
      </c>
      <c r="AA28" s="20">
        <v>0</v>
      </c>
      <c r="AB28" s="18">
        <v>0</v>
      </c>
      <c r="AC28" s="28">
        <v>0</v>
      </c>
      <c r="AD28" s="29">
        <v>0</v>
      </c>
      <c r="AE28" s="28">
        <v>0</v>
      </c>
      <c r="AF28" s="29">
        <v>0</v>
      </c>
      <c r="AG28" s="29">
        <v>0</v>
      </c>
      <c r="AH28" s="29">
        <v>0</v>
      </c>
      <c r="AI28" s="29">
        <v>0</v>
      </c>
      <c r="AJ28" s="18">
        <v>0</v>
      </c>
      <c r="AK28" s="29">
        <v>0</v>
      </c>
      <c r="AL28" s="29">
        <v>0</v>
      </c>
      <c r="AM28" s="29">
        <v>0</v>
      </c>
      <c r="AN28" s="30">
        <v>0</v>
      </c>
      <c r="AO28" s="18">
        <v>0</v>
      </c>
      <c r="AP28" s="18">
        <v>0</v>
      </c>
      <c r="AQ28" s="18">
        <v>0</v>
      </c>
      <c r="AR28" s="29">
        <v>0</v>
      </c>
      <c r="AS28" s="29">
        <v>0</v>
      </c>
      <c r="AT28" s="29">
        <v>0</v>
      </c>
      <c r="AU28" s="19">
        <v>0</v>
      </c>
      <c r="AV28" s="18">
        <v>0</v>
      </c>
      <c r="AW28" s="18">
        <v>0</v>
      </c>
      <c r="AX28" s="20">
        <v>0</v>
      </c>
      <c r="BA28" s="21" t="s">
        <v>137</v>
      </c>
      <c r="XFB28" s="16"/>
      <c r="XFC28" s="31"/>
      <c r="XFD28" s="31"/>
    </row>
    <row r="29" s="1" customFormat="1" ht="17" customHeight="1" spans="1:53 16382:16384">
      <c r="A29" s="1" t="s">
        <v>5</v>
      </c>
      <c r="B29" s="16" t="s">
        <v>121</v>
      </c>
      <c r="C29" s="24" t="s">
        <v>1</v>
      </c>
      <c r="D29" s="24" t="s">
        <v>130</v>
      </c>
      <c r="E29" s="24" t="s">
        <v>131</v>
      </c>
      <c r="F29" s="26">
        <v>0</v>
      </c>
      <c r="G29" s="27">
        <v>0.010168</v>
      </c>
      <c r="H29" s="27">
        <v>0</v>
      </c>
      <c r="I29" s="18">
        <v>0.010168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18">
        <v>0.010168</v>
      </c>
      <c r="P29" s="27">
        <v>0.01581</v>
      </c>
      <c r="Q29" s="27">
        <v>0</v>
      </c>
      <c r="R29" s="27">
        <v>3.527139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18">
        <v>3.542949</v>
      </c>
      <c r="Y29" s="20">
        <v>0</v>
      </c>
      <c r="Z29" s="20">
        <v>0</v>
      </c>
      <c r="AA29" s="20">
        <v>0</v>
      </c>
      <c r="AB29" s="18">
        <v>0</v>
      </c>
      <c r="AC29" s="28">
        <v>0</v>
      </c>
      <c r="AD29" s="29">
        <v>0</v>
      </c>
      <c r="AE29" s="28">
        <v>0</v>
      </c>
      <c r="AF29" s="29">
        <v>1.29375</v>
      </c>
      <c r="AG29" s="29">
        <v>0</v>
      </c>
      <c r="AH29" s="29">
        <v>0</v>
      </c>
      <c r="AI29" s="29">
        <v>0</v>
      </c>
      <c r="AJ29" s="18">
        <v>1.29375</v>
      </c>
      <c r="AK29" s="29">
        <v>0</v>
      </c>
      <c r="AL29" s="29">
        <v>0</v>
      </c>
      <c r="AM29" s="29">
        <v>0</v>
      </c>
      <c r="AN29" s="30">
        <v>0</v>
      </c>
      <c r="AO29" s="18">
        <v>0</v>
      </c>
      <c r="AP29" s="18">
        <v>4.836699</v>
      </c>
      <c r="AQ29" s="18">
        <v>-4.826531</v>
      </c>
      <c r="AR29" s="29">
        <v>0</v>
      </c>
      <c r="AS29" s="29">
        <v>0.33297</v>
      </c>
      <c r="AT29" s="29">
        <v>0</v>
      </c>
      <c r="AU29" s="19">
        <v>0.000102</v>
      </c>
      <c r="AV29" s="18">
        <v>0.333072</v>
      </c>
      <c r="AW29" s="18">
        <v>-5.159603</v>
      </c>
      <c r="AX29" s="20">
        <v>0.010168</v>
      </c>
      <c r="BA29" s="21" t="s">
        <v>131</v>
      </c>
      <c r="XFB29" s="16"/>
      <c r="XFC29" s="31"/>
      <c r="XFD29" s="31"/>
    </row>
    <row r="30" s="1" customFormat="1" ht="17" customHeight="1" spans="1:53 16382:16384">
      <c r="A30" s="1" t="s">
        <v>5</v>
      </c>
      <c r="B30" s="16" t="s">
        <v>121</v>
      </c>
      <c r="C30" s="24" t="s">
        <v>1</v>
      </c>
      <c r="D30" s="24" t="s">
        <v>132</v>
      </c>
      <c r="E30" s="24" t="s">
        <v>133</v>
      </c>
      <c r="F30" s="26">
        <v>5.752188</v>
      </c>
      <c r="G30" s="27">
        <v>3.815527</v>
      </c>
      <c r="H30" s="27">
        <v>1.318458</v>
      </c>
      <c r="I30" s="18">
        <v>2.497069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18">
        <v>2.497069</v>
      </c>
      <c r="P30" s="27">
        <v>0.113984</v>
      </c>
      <c r="Q30" s="27">
        <v>1.011662</v>
      </c>
      <c r="R30" s="27">
        <v>5.361786</v>
      </c>
      <c r="S30" s="27">
        <v>0</v>
      </c>
      <c r="T30" s="27">
        <v>0</v>
      </c>
      <c r="U30" s="27">
        <v>0</v>
      </c>
      <c r="V30" s="27">
        <v>0</v>
      </c>
      <c r="W30" s="27">
        <v>0.02949</v>
      </c>
      <c r="X30" s="18">
        <v>6.516922</v>
      </c>
      <c r="Y30" s="20">
        <v>0</v>
      </c>
      <c r="Z30" s="20">
        <v>0</v>
      </c>
      <c r="AA30" s="20">
        <v>0</v>
      </c>
      <c r="AB30" s="18">
        <v>0</v>
      </c>
      <c r="AC30" s="28">
        <v>-0.11802</v>
      </c>
      <c r="AD30" s="29">
        <v>0</v>
      </c>
      <c r="AE30" s="28">
        <v>0</v>
      </c>
      <c r="AF30" s="29">
        <v>0.97032</v>
      </c>
      <c r="AG30" s="29">
        <v>0</v>
      </c>
      <c r="AH30" s="29">
        <v>0</v>
      </c>
      <c r="AI30" s="29">
        <v>0</v>
      </c>
      <c r="AJ30" s="18">
        <v>0.8523</v>
      </c>
      <c r="AK30" s="29">
        <v>0.73161</v>
      </c>
      <c r="AL30" s="29">
        <v>0</v>
      </c>
      <c r="AM30" s="29">
        <v>0</v>
      </c>
      <c r="AN30" s="30">
        <v>0.053952</v>
      </c>
      <c r="AO30" s="18">
        <v>0.785562</v>
      </c>
      <c r="AP30" s="18">
        <v>8.154784</v>
      </c>
      <c r="AQ30" s="18">
        <v>-5.657715</v>
      </c>
      <c r="AR30" s="29">
        <v>0</v>
      </c>
      <c r="AS30" s="29">
        <v>0.24972</v>
      </c>
      <c r="AT30" s="29">
        <v>0</v>
      </c>
      <c r="AU30" s="19">
        <v>0.038153</v>
      </c>
      <c r="AV30" s="18">
        <v>0.287873</v>
      </c>
      <c r="AW30" s="18">
        <v>-5.945588</v>
      </c>
      <c r="AX30" s="20">
        <v>3.815527</v>
      </c>
      <c r="BA30" s="21" t="s">
        <v>133</v>
      </c>
      <c r="XFB30" s="16"/>
      <c r="XFC30" s="31"/>
      <c r="XFD30" s="31"/>
    </row>
    <row r="31" s="1" customFormat="1" ht="17" customHeight="1" spans="1:53 16382:16384">
      <c r="A31" s="1" t="s">
        <v>5</v>
      </c>
      <c r="B31" s="16" t="s">
        <v>121</v>
      </c>
      <c r="C31" s="24" t="s">
        <v>1</v>
      </c>
      <c r="D31" s="24" t="s">
        <v>124</v>
      </c>
      <c r="E31" s="24" t="s">
        <v>125</v>
      </c>
      <c r="F31" s="26">
        <v>0.5054</v>
      </c>
      <c r="G31" s="27">
        <v>8.837129</v>
      </c>
      <c r="H31" s="27">
        <v>5.612919</v>
      </c>
      <c r="I31" s="18">
        <v>3.22421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18">
        <v>3.22421</v>
      </c>
      <c r="P31" s="27">
        <v>0</v>
      </c>
      <c r="Q31" s="27">
        <v>0</v>
      </c>
      <c r="R31" s="27">
        <v>6.336846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18">
        <v>6.336846</v>
      </c>
      <c r="Y31" s="20">
        <v>0</v>
      </c>
      <c r="Z31" s="20">
        <v>0</v>
      </c>
      <c r="AA31" s="20">
        <v>0</v>
      </c>
      <c r="AB31" s="18">
        <v>0</v>
      </c>
      <c r="AC31" s="28">
        <v>0</v>
      </c>
      <c r="AD31" s="29">
        <v>0</v>
      </c>
      <c r="AE31" s="28">
        <v>0</v>
      </c>
      <c r="AF31" s="29">
        <v>0</v>
      </c>
      <c r="AG31" s="29">
        <v>0</v>
      </c>
      <c r="AH31" s="29">
        <v>0</v>
      </c>
      <c r="AI31" s="29">
        <v>0</v>
      </c>
      <c r="AJ31" s="18">
        <v>0</v>
      </c>
      <c r="AK31" s="29">
        <v>0.89703</v>
      </c>
      <c r="AL31" s="29">
        <v>0</v>
      </c>
      <c r="AM31" s="29">
        <v>0.0132</v>
      </c>
      <c r="AN31" s="30">
        <v>0.125498</v>
      </c>
      <c r="AO31" s="18">
        <v>1.035728</v>
      </c>
      <c r="AP31" s="18">
        <v>7.372574</v>
      </c>
      <c r="AQ31" s="18">
        <v>-4.148364</v>
      </c>
      <c r="AR31" s="29">
        <v>0</v>
      </c>
      <c r="AS31" s="29">
        <v>0</v>
      </c>
      <c r="AT31" s="29">
        <v>0</v>
      </c>
      <c r="AU31" s="19">
        <v>0.088372</v>
      </c>
      <c r="AV31" s="18">
        <v>0.088372</v>
      </c>
      <c r="AW31" s="18">
        <v>-4.236736</v>
      </c>
      <c r="AX31" s="20">
        <v>8.837129</v>
      </c>
      <c r="BA31" s="21" t="s">
        <v>125</v>
      </c>
      <c r="XFB31" s="16"/>
      <c r="XFC31" s="31"/>
      <c r="XFD31" s="31"/>
    </row>
    <row r="32" s="1" customFormat="1" ht="17" customHeight="1" spans="1:53 16382:16384">
      <c r="A32" s="1" t="s">
        <v>5</v>
      </c>
      <c r="B32" s="16" t="s">
        <v>121</v>
      </c>
      <c r="C32" s="24" t="s">
        <v>1</v>
      </c>
      <c r="D32" s="24" t="s">
        <v>126</v>
      </c>
      <c r="E32" s="24" t="s">
        <v>127</v>
      </c>
      <c r="F32" s="26">
        <v>0</v>
      </c>
      <c r="G32" s="27">
        <v>0</v>
      </c>
      <c r="H32" s="27">
        <v>0</v>
      </c>
      <c r="I32" s="18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18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18">
        <v>0</v>
      </c>
      <c r="Y32" s="20">
        <v>0</v>
      </c>
      <c r="Z32" s="20">
        <v>0</v>
      </c>
      <c r="AA32" s="20">
        <v>0</v>
      </c>
      <c r="AB32" s="18">
        <v>0</v>
      </c>
      <c r="AC32" s="28">
        <v>0</v>
      </c>
      <c r="AD32" s="29">
        <v>0</v>
      </c>
      <c r="AE32" s="28">
        <v>0</v>
      </c>
      <c r="AF32" s="29">
        <v>0</v>
      </c>
      <c r="AG32" s="29">
        <v>0</v>
      </c>
      <c r="AH32" s="29">
        <v>0</v>
      </c>
      <c r="AI32" s="29">
        <v>0</v>
      </c>
      <c r="AJ32" s="18">
        <v>0</v>
      </c>
      <c r="AK32" s="29">
        <v>0</v>
      </c>
      <c r="AL32" s="29">
        <v>0</v>
      </c>
      <c r="AM32" s="29">
        <v>0</v>
      </c>
      <c r="AN32" s="30">
        <v>0</v>
      </c>
      <c r="AO32" s="18">
        <v>0</v>
      </c>
      <c r="AP32" s="18">
        <v>0</v>
      </c>
      <c r="AQ32" s="18">
        <v>0</v>
      </c>
      <c r="AR32" s="29">
        <v>0</v>
      </c>
      <c r="AS32" s="29">
        <v>0</v>
      </c>
      <c r="AT32" s="29">
        <v>0</v>
      </c>
      <c r="AU32" s="19">
        <v>0</v>
      </c>
      <c r="AV32" s="18">
        <v>0</v>
      </c>
      <c r="AW32" s="18">
        <v>0</v>
      </c>
      <c r="AX32" s="20">
        <v>0</v>
      </c>
      <c r="BA32" s="21" t="s">
        <v>127</v>
      </c>
      <c r="XFB32" s="16"/>
      <c r="XFC32" s="31"/>
      <c r="XFD32" s="31"/>
    </row>
    <row r="33" s="1" customFormat="1" ht="17" customHeight="1" spans="1:53 16382:16384">
      <c r="A33" s="1" t="s">
        <v>5</v>
      </c>
      <c r="B33" s="16" t="s">
        <v>121</v>
      </c>
      <c r="C33" s="24" t="s">
        <v>1</v>
      </c>
      <c r="D33" s="24" t="s">
        <v>134</v>
      </c>
      <c r="E33" s="24" t="s">
        <v>135</v>
      </c>
      <c r="F33" s="26">
        <v>0.098</v>
      </c>
      <c r="G33" s="27">
        <v>0</v>
      </c>
      <c r="H33" s="27">
        <v>0</v>
      </c>
      <c r="I33" s="18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18">
        <v>0</v>
      </c>
      <c r="P33" s="27">
        <v>0</v>
      </c>
      <c r="Q33" s="27">
        <v>0</v>
      </c>
      <c r="R33" s="27">
        <v>0.011701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18">
        <v>0.011701</v>
      </c>
      <c r="Y33" s="20">
        <v>0</v>
      </c>
      <c r="Z33" s="20">
        <v>0</v>
      </c>
      <c r="AA33" s="20">
        <v>0</v>
      </c>
      <c r="AB33" s="18">
        <v>0</v>
      </c>
      <c r="AC33" s="28">
        <v>0</v>
      </c>
      <c r="AD33" s="29">
        <v>0</v>
      </c>
      <c r="AE33" s="28">
        <v>0</v>
      </c>
      <c r="AF33" s="29">
        <v>0</v>
      </c>
      <c r="AG33" s="29">
        <v>0</v>
      </c>
      <c r="AH33" s="29">
        <v>0</v>
      </c>
      <c r="AI33" s="29">
        <v>0</v>
      </c>
      <c r="AJ33" s="18">
        <v>0</v>
      </c>
      <c r="AK33" s="29">
        <v>0.75204</v>
      </c>
      <c r="AL33" s="29">
        <v>0</v>
      </c>
      <c r="AM33" s="29">
        <v>0</v>
      </c>
      <c r="AN33" s="30">
        <v>0</v>
      </c>
      <c r="AO33" s="18">
        <v>0.75204</v>
      </c>
      <c r="AP33" s="18">
        <v>0.763741</v>
      </c>
      <c r="AQ33" s="18">
        <v>-0.763741</v>
      </c>
      <c r="AR33" s="29">
        <v>0</v>
      </c>
      <c r="AS33" s="29">
        <v>0</v>
      </c>
      <c r="AT33" s="29">
        <v>0</v>
      </c>
      <c r="AU33" s="19">
        <v>0</v>
      </c>
      <c r="AV33" s="18">
        <v>0</v>
      </c>
      <c r="AW33" s="18">
        <v>-0.763741</v>
      </c>
      <c r="AX33" s="20">
        <v>0</v>
      </c>
      <c r="BA33" s="21" t="s">
        <v>135</v>
      </c>
      <c r="XFB33" s="16"/>
      <c r="XFC33" s="31"/>
      <c r="XFD33" s="31"/>
    </row>
    <row r="34" s="1" customFormat="1" spans="1:53 16382:16384">
      <c r="A34" s="1" t="s">
        <v>6</v>
      </c>
      <c r="B34" s="24" t="s">
        <v>121</v>
      </c>
      <c r="C34" s="32" t="s">
        <v>1</v>
      </c>
      <c r="D34" s="33" t="s">
        <v>122</v>
      </c>
      <c r="E34" s="32" t="s">
        <v>123</v>
      </c>
      <c r="F34" s="34">
        <v>1.13024</v>
      </c>
      <c r="G34" s="34">
        <v>0.631452</v>
      </c>
      <c r="H34" s="34">
        <v>0.239864</v>
      </c>
      <c r="I34" s="18">
        <v>0.391588</v>
      </c>
      <c r="J34" s="34">
        <v>0</v>
      </c>
      <c r="K34" s="34">
        <v>0</v>
      </c>
      <c r="L34" s="34">
        <v>0</v>
      </c>
      <c r="M34" s="34">
        <v>0</v>
      </c>
      <c r="N34" s="34">
        <v>0.000465</v>
      </c>
      <c r="O34" s="18">
        <v>0.392053</v>
      </c>
      <c r="P34" s="34">
        <v>0.058261</v>
      </c>
      <c r="Q34" s="34">
        <v>0.109357</v>
      </c>
      <c r="R34" s="34">
        <v>0.019966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18">
        <v>0.187584</v>
      </c>
      <c r="Y34" s="34">
        <v>0</v>
      </c>
      <c r="Z34" s="34">
        <v>0.007975</v>
      </c>
      <c r="AA34" s="34">
        <v>0</v>
      </c>
      <c r="AB34" s="18">
        <v>0.007975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18">
        <v>0</v>
      </c>
      <c r="AK34" s="34">
        <v>0.7316</v>
      </c>
      <c r="AL34" s="34">
        <v>0</v>
      </c>
      <c r="AM34" s="34">
        <v>0</v>
      </c>
      <c r="AN34" s="34">
        <v>0</v>
      </c>
      <c r="AO34" s="18">
        <v>0.7316</v>
      </c>
      <c r="AP34" s="18">
        <v>0.927159</v>
      </c>
      <c r="AQ34" s="18">
        <v>-0.535106</v>
      </c>
      <c r="AR34" s="34">
        <v>0</v>
      </c>
      <c r="AS34" s="34">
        <v>0</v>
      </c>
      <c r="AT34" s="34">
        <v>0</v>
      </c>
      <c r="AU34" s="34">
        <v>-0.004041</v>
      </c>
      <c r="AV34" s="18">
        <v>-0.004041</v>
      </c>
      <c r="AW34" s="18">
        <v>-0.531065</v>
      </c>
      <c r="AX34" s="20">
        <v>0.631917</v>
      </c>
      <c r="BA34" s="21" t="s">
        <v>123</v>
      </c>
    </row>
    <row r="35" s="1" customFormat="1" spans="1:53 16382:16384">
      <c r="A35" s="1" t="s">
        <v>6</v>
      </c>
      <c r="B35" s="24" t="s">
        <v>121</v>
      </c>
      <c r="C35" s="32" t="s">
        <v>1</v>
      </c>
      <c r="D35" s="33" t="s">
        <v>128</v>
      </c>
      <c r="E35" s="32" t="s">
        <v>129</v>
      </c>
      <c r="F35" s="34">
        <v>0.60009</v>
      </c>
      <c r="G35" s="34">
        <v>0.381117</v>
      </c>
      <c r="H35" s="34">
        <v>0.156507</v>
      </c>
      <c r="I35" s="18">
        <v>0.22461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18">
        <v>0.22461</v>
      </c>
      <c r="P35" s="34">
        <v>0</v>
      </c>
      <c r="Q35" s="34">
        <v>0</v>
      </c>
      <c r="R35" s="34">
        <v>0.315186</v>
      </c>
      <c r="S35" s="34">
        <v>0</v>
      </c>
      <c r="T35" s="34">
        <v>0</v>
      </c>
      <c r="U35" s="34">
        <v>0</v>
      </c>
      <c r="V35" s="34">
        <v>0</v>
      </c>
      <c r="W35" s="34">
        <v>0.019083</v>
      </c>
      <c r="X35" s="18">
        <v>0.334269</v>
      </c>
      <c r="Y35" s="34">
        <v>0</v>
      </c>
      <c r="Z35" s="34">
        <v>0</v>
      </c>
      <c r="AA35" s="34">
        <v>0</v>
      </c>
      <c r="AB35" s="18">
        <v>0</v>
      </c>
      <c r="AC35" s="34">
        <v>0</v>
      </c>
      <c r="AD35" s="34">
        <v>0</v>
      </c>
      <c r="AE35" s="34">
        <v>0</v>
      </c>
      <c r="AF35" s="34">
        <v>0.97032</v>
      </c>
      <c r="AG35" s="34">
        <v>0</v>
      </c>
      <c r="AH35" s="34">
        <v>0</v>
      </c>
      <c r="AI35" s="34">
        <v>0</v>
      </c>
      <c r="AJ35" s="18">
        <v>0.97032</v>
      </c>
      <c r="AK35" s="34">
        <v>0</v>
      </c>
      <c r="AL35" s="34">
        <v>0</v>
      </c>
      <c r="AM35" s="34">
        <v>0</v>
      </c>
      <c r="AN35" s="34"/>
      <c r="AO35" s="18">
        <v>0</v>
      </c>
      <c r="AP35" s="18">
        <v>1.304589</v>
      </c>
      <c r="AQ35" s="18">
        <v>-1.079979</v>
      </c>
      <c r="AR35" s="34">
        <v>0</v>
      </c>
      <c r="AS35" s="34">
        <v>0.251534</v>
      </c>
      <c r="AT35" s="34">
        <v>0</v>
      </c>
      <c r="AU35" s="34"/>
      <c r="AV35" s="18">
        <v>0.251534</v>
      </c>
      <c r="AW35" s="18">
        <v>-1.331513</v>
      </c>
      <c r="AX35" s="20">
        <v>0.381117</v>
      </c>
      <c r="BA35" s="21" t="s">
        <v>129</v>
      </c>
    </row>
    <row r="36" s="1" customFormat="1" spans="1:53 16382:16384">
      <c r="A36" s="1" t="s">
        <v>6</v>
      </c>
      <c r="B36" s="24" t="s">
        <v>121</v>
      </c>
      <c r="C36" s="32" t="s">
        <v>1</v>
      </c>
      <c r="D36" s="33" t="s">
        <v>136</v>
      </c>
      <c r="E36" s="32" t="s">
        <v>137</v>
      </c>
      <c r="F36" s="34">
        <v>0</v>
      </c>
      <c r="G36" s="34">
        <v>0</v>
      </c>
      <c r="H36" s="34">
        <v>0</v>
      </c>
      <c r="I36" s="18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18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18">
        <v>0</v>
      </c>
      <c r="Y36" s="34">
        <v>0</v>
      </c>
      <c r="Z36" s="34">
        <v>0</v>
      </c>
      <c r="AA36" s="34">
        <v>0</v>
      </c>
      <c r="AB36" s="18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18">
        <v>0</v>
      </c>
      <c r="AK36" s="34">
        <v>0</v>
      </c>
      <c r="AL36" s="34">
        <v>0</v>
      </c>
      <c r="AM36" s="34">
        <v>0</v>
      </c>
      <c r="AN36" s="34">
        <v>0</v>
      </c>
      <c r="AO36" s="18">
        <v>0</v>
      </c>
      <c r="AP36" s="18">
        <v>0</v>
      </c>
      <c r="AQ36" s="18">
        <v>0</v>
      </c>
      <c r="AR36" s="34">
        <v>0</v>
      </c>
      <c r="AS36" s="34">
        <v>0</v>
      </c>
      <c r="AT36" s="34">
        <v>0</v>
      </c>
      <c r="AU36" s="34">
        <v>0</v>
      </c>
      <c r="AV36" s="18">
        <v>0</v>
      </c>
      <c r="AW36" s="18">
        <v>0</v>
      </c>
      <c r="AX36" s="20">
        <v>0</v>
      </c>
      <c r="BA36" s="21" t="s">
        <v>137</v>
      </c>
    </row>
    <row r="37" s="1" customFormat="1" spans="1:53 16382:16384">
      <c r="A37" s="1" t="s">
        <v>6</v>
      </c>
      <c r="B37" s="24" t="s">
        <v>121</v>
      </c>
      <c r="C37" s="32" t="s">
        <v>1</v>
      </c>
      <c r="D37" s="33" t="s">
        <v>130</v>
      </c>
      <c r="E37" s="32" t="s">
        <v>131</v>
      </c>
      <c r="F37" s="34">
        <v>1.338441</v>
      </c>
      <c r="G37" s="34">
        <v>2.931492</v>
      </c>
      <c r="H37" s="34">
        <v>1.561456</v>
      </c>
      <c r="I37" s="18">
        <v>1.370036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18">
        <v>1.370036</v>
      </c>
      <c r="P37" s="34">
        <v>0.009175</v>
      </c>
      <c r="Q37" s="34">
        <v>0</v>
      </c>
      <c r="R37" s="34">
        <v>1.161027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18">
        <v>1.170202</v>
      </c>
      <c r="Y37" s="34">
        <v>0</v>
      </c>
      <c r="Z37" s="34">
        <v>1.129824</v>
      </c>
      <c r="AA37" s="34">
        <v>0.456553</v>
      </c>
      <c r="AB37" s="18">
        <v>1.586377</v>
      </c>
      <c r="AC37" s="34">
        <v>0</v>
      </c>
      <c r="AD37" s="34">
        <v>0</v>
      </c>
      <c r="AE37" s="34">
        <v>0</v>
      </c>
      <c r="AF37" s="34">
        <v>1.29375</v>
      </c>
      <c r="AG37" s="34">
        <v>0</v>
      </c>
      <c r="AH37" s="34">
        <v>0</v>
      </c>
      <c r="AI37" s="34">
        <v>0</v>
      </c>
      <c r="AJ37" s="18">
        <v>1.29375</v>
      </c>
      <c r="AK37" s="34">
        <v>0</v>
      </c>
      <c r="AL37" s="34">
        <v>0</v>
      </c>
      <c r="AM37" s="34">
        <v>0</v>
      </c>
      <c r="AN37" s="34">
        <v>0</v>
      </c>
      <c r="AO37" s="18">
        <v>0</v>
      </c>
      <c r="AP37" s="18">
        <v>4.050329</v>
      </c>
      <c r="AQ37" s="18">
        <v>-2.680293</v>
      </c>
      <c r="AR37" s="34">
        <v>0</v>
      </c>
      <c r="AS37" s="34">
        <v>0.335389</v>
      </c>
      <c r="AT37" s="34">
        <v>0</v>
      </c>
      <c r="AU37" s="34"/>
      <c r="AV37" s="18">
        <v>0.335389</v>
      </c>
      <c r="AW37" s="18">
        <v>-3.015682</v>
      </c>
      <c r="AX37" s="20">
        <v>2.931492</v>
      </c>
      <c r="BA37" s="21" t="s">
        <v>131</v>
      </c>
    </row>
    <row r="38" s="1" customFormat="1" ht="14" spans="1:53 16382:16384">
      <c r="A38" s="1" t="s">
        <v>6</v>
      </c>
      <c r="B38" s="24" t="s">
        <v>121</v>
      </c>
      <c r="C38" s="32" t="s">
        <v>1</v>
      </c>
      <c r="D38" s="33" t="s">
        <v>132</v>
      </c>
      <c r="E38" s="32" t="s">
        <v>133</v>
      </c>
      <c r="F38" s="34">
        <v>6.159827</v>
      </c>
      <c r="G38" s="34">
        <v>4.148195</v>
      </c>
      <c r="H38" s="34">
        <v>1.365282</v>
      </c>
      <c r="I38" s="18">
        <v>2.782913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18">
        <v>2.782913</v>
      </c>
      <c r="P38" s="23">
        <v>0.0002782913</v>
      </c>
      <c r="Q38" s="34">
        <v>0.970738</v>
      </c>
      <c r="R38" s="34">
        <v>4.580523</v>
      </c>
      <c r="S38" s="34">
        <v>0</v>
      </c>
      <c r="T38" s="34">
        <v>0</v>
      </c>
      <c r="U38" s="34">
        <v>0</v>
      </c>
      <c r="V38" s="34">
        <v>0</v>
      </c>
      <c r="W38" s="34"/>
      <c r="X38" s="18">
        <v>5.5515392913</v>
      </c>
      <c r="Y38" s="34">
        <v>5.37062</v>
      </c>
      <c r="Z38" s="34">
        <v>0.223548</v>
      </c>
      <c r="AA38" s="34">
        <v>0</v>
      </c>
      <c r="AB38" s="18">
        <v>5.594168</v>
      </c>
      <c r="AC38" s="34"/>
      <c r="AD38" s="34">
        <v>0</v>
      </c>
      <c r="AE38" s="34">
        <v>0</v>
      </c>
      <c r="AF38" s="34">
        <v>0.97032</v>
      </c>
      <c r="AG38" s="34">
        <v>0</v>
      </c>
      <c r="AH38" s="34">
        <v>0</v>
      </c>
      <c r="AI38" s="34">
        <v>0</v>
      </c>
      <c r="AJ38" s="18">
        <v>0.97032</v>
      </c>
      <c r="AK38" s="34">
        <v>0.73161</v>
      </c>
      <c r="AL38" s="34">
        <v>0</v>
      </c>
      <c r="AM38" s="34">
        <v>0</v>
      </c>
      <c r="AN38" s="34"/>
      <c r="AO38" s="18">
        <v>0.73161</v>
      </c>
      <c r="AP38" s="18">
        <v>12.8476372913</v>
      </c>
      <c r="AQ38" s="18">
        <v>-10.0647242913</v>
      </c>
      <c r="AR38" s="34">
        <v>0</v>
      </c>
      <c r="AS38" s="34">
        <v>0.251534</v>
      </c>
      <c r="AT38" s="34">
        <v>0</v>
      </c>
      <c r="AU38" s="34"/>
      <c r="AV38" s="18">
        <v>0.251534</v>
      </c>
      <c r="AW38" s="18">
        <v>-10.3162582913</v>
      </c>
      <c r="AX38" s="20">
        <v>4.148195</v>
      </c>
      <c r="BA38" s="21" t="s">
        <v>133</v>
      </c>
    </row>
    <row r="39" s="1" customFormat="1" spans="1:53 16382:16384">
      <c r="A39" s="1" t="s">
        <v>6</v>
      </c>
      <c r="B39" s="35" t="s">
        <v>121</v>
      </c>
      <c r="C39" s="36" t="s">
        <v>1</v>
      </c>
      <c r="D39" s="37" t="s">
        <v>124</v>
      </c>
      <c r="E39" s="36" t="s">
        <v>125</v>
      </c>
      <c r="F39" s="34"/>
      <c r="G39" s="34">
        <v>-2.749744</v>
      </c>
      <c r="H39" s="34">
        <v>-0.937752</v>
      </c>
      <c r="I39" s="18">
        <v>-1.811992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18">
        <v>-1.811992</v>
      </c>
      <c r="P39" s="34">
        <v>0</v>
      </c>
      <c r="Q39" s="34">
        <v>0</v>
      </c>
      <c r="R39" s="34">
        <v>-0.0941970000000001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18">
        <v>-0.0941970000000001</v>
      </c>
      <c r="Y39" s="34">
        <v>0</v>
      </c>
      <c r="Z39" s="1">
        <v>0.115241</v>
      </c>
      <c r="AA39" s="34">
        <v>0</v>
      </c>
      <c r="AB39" s="18">
        <v>0.115241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18">
        <v>0</v>
      </c>
      <c r="AK39" s="34"/>
      <c r="AL39" s="34">
        <v>0</v>
      </c>
      <c r="AM39" s="34"/>
      <c r="AN39" s="34"/>
      <c r="AO39" s="18">
        <v>0</v>
      </c>
      <c r="AP39" s="18">
        <v>0.0210439999999999</v>
      </c>
      <c r="AQ39" s="18">
        <v>-1.833036</v>
      </c>
      <c r="AR39" s="34">
        <v>0</v>
      </c>
      <c r="AS39" s="34">
        <v>0</v>
      </c>
      <c r="AT39" s="34">
        <v>0</v>
      </c>
      <c r="AU39" s="34"/>
      <c r="AV39" s="18">
        <v>0</v>
      </c>
      <c r="AW39" s="18">
        <v>-1.833036</v>
      </c>
      <c r="AX39" s="20">
        <v>-2.749744</v>
      </c>
      <c r="BA39" s="21" t="s">
        <v>125</v>
      </c>
    </row>
    <row r="40" s="1" customFormat="1" spans="1:53 16382:16384">
      <c r="A40" s="1" t="s">
        <v>6</v>
      </c>
      <c r="B40" s="35" t="s">
        <v>121</v>
      </c>
      <c r="C40" s="36" t="s">
        <v>1</v>
      </c>
      <c r="D40" s="37" t="s">
        <v>126</v>
      </c>
      <c r="E40" s="36" t="s">
        <v>127</v>
      </c>
      <c r="F40" s="34">
        <v>0</v>
      </c>
      <c r="G40" s="34">
        <v>0</v>
      </c>
      <c r="H40" s="34">
        <v>0</v>
      </c>
      <c r="I40" s="18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18">
        <v>0</v>
      </c>
      <c r="P40" s="34">
        <v>0</v>
      </c>
      <c r="Q40" s="34">
        <v>0</v>
      </c>
      <c r="R40" s="34">
        <v>0.468324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18">
        <v>0.468324</v>
      </c>
      <c r="Y40" s="34">
        <v>0</v>
      </c>
      <c r="Z40" s="34">
        <v>0</v>
      </c>
      <c r="AA40" s="34">
        <v>0</v>
      </c>
      <c r="AB40" s="18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18">
        <v>0</v>
      </c>
      <c r="AK40" s="34">
        <v>0</v>
      </c>
      <c r="AL40" s="34">
        <v>0</v>
      </c>
      <c r="AM40" s="34">
        <v>0</v>
      </c>
      <c r="AN40" s="34">
        <v>0</v>
      </c>
      <c r="AO40" s="18">
        <v>0</v>
      </c>
      <c r="AP40" s="18">
        <v>0.468324</v>
      </c>
      <c r="AQ40" s="18">
        <v>-0.468324</v>
      </c>
      <c r="AR40" s="34">
        <v>0</v>
      </c>
      <c r="AS40" s="34">
        <v>0</v>
      </c>
      <c r="AT40" s="34">
        <v>0</v>
      </c>
      <c r="AU40" s="34">
        <v>0</v>
      </c>
      <c r="AV40" s="18">
        <v>0</v>
      </c>
      <c r="AW40" s="18">
        <v>-0.468324</v>
      </c>
      <c r="AX40" s="20">
        <v>0</v>
      </c>
      <c r="BA40" s="21" t="s">
        <v>127</v>
      </c>
    </row>
    <row r="41" s="1" customFormat="1" spans="1:53 16382:16384">
      <c r="A41" s="1" t="s">
        <v>6</v>
      </c>
      <c r="B41" s="35" t="s">
        <v>121</v>
      </c>
      <c r="C41" s="36" t="s">
        <v>1</v>
      </c>
      <c r="D41" s="37" t="s">
        <v>134</v>
      </c>
      <c r="E41" s="36" t="s">
        <v>135</v>
      </c>
      <c r="F41" s="34"/>
      <c r="G41" s="34">
        <v>0</v>
      </c>
      <c r="H41" s="34">
        <v>0</v>
      </c>
      <c r="I41" s="18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18">
        <v>0</v>
      </c>
      <c r="P41" s="34">
        <v>0</v>
      </c>
      <c r="Q41" s="34">
        <v>0</v>
      </c>
      <c r="R41" s="34">
        <v>0.022416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18">
        <v>0.022416</v>
      </c>
      <c r="Y41" s="34">
        <v>0</v>
      </c>
      <c r="Z41" s="34">
        <v>0</v>
      </c>
      <c r="AA41" s="34">
        <v>0</v>
      </c>
      <c r="AB41" s="18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18">
        <v>0</v>
      </c>
      <c r="AK41" s="34"/>
      <c r="AL41" s="34">
        <v>0</v>
      </c>
      <c r="AM41" s="34">
        <v>0</v>
      </c>
      <c r="AN41" s="34">
        <v>0</v>
      </c>
      <c r="AO41" s="18">
        <v>0</v>
      </c>
      <c r="AP41" s="18">
        <v>0.022416</v>
      </c>
      <c r="AQ41" s="18">
        <v>-0.022416</v>
      </c>
      <c r="AR41" s="34">
        <v>0</v>
      </c>
      <c r="AS41" s="34">
        <v>0</v>
      </c>
      <c r="AT41" s="34">
        <v>0</v>
      </c>
      <c r="AU41" s="34">
        <v>0</v>
      </c>
      <c r="AV41" s="18">
        <v>0</v>
      </c>
      <c r="AW41" s="18">
        <v>-0.022416</v>
      </c>
      <c r="AX41" s="20">
        <v>0</v>
      </c>
      <c r="BA41" s="21" t="s">
        <v>135</v>
      </c>
    </row>
    <row r="42" s="1" customFormat="1" spans="1:53 16382:16384">
      <c r="B42" s="2"/>
      <c r="AB42" s="38"/>
      <c r="AC42" s="3"/>
      <c r="AD42" s="3"/>
      <c r="AE42" s="3"/>
      <c r="AF42" s="3"/>
      <c r="AG42" s="3"/>
      <c r="AH42" s="3"/>
      <c r="AI42" s="3"/>
      <c r="AJ42" s="3"/>
      <c r="AK42" s="3"/>
      <c r="AL42" s="3"/>
      <c r="AN42" s="4"/>
      <c r="AO42" s="2"/>
      <c r="AP42" s="2"/>
      <c r="AR42" s="3"/>
      <c r="AS42" s="3"/>
      <c r="AT42" s="3"/>
      <c r="AU42" s="3"/>
      <c r="AV42" s="2"/>
      <c r="AW42" s="2"/>
      <c r="AX42" s="3"/>
      <c r="BA42" s="5"/>
    </row>
    <row r="43" s="1" customFormat="1" spans="1:53 16382:16384">
      <c r="B43" s="2"/>
      <c r="Z43" s="39"/>
      <c r="AC43" s="3"/>
      <c r="AD43" s="3"/>
      <c r="AE43" s="3"/>
      <c r="AF43" s="3"/>
      <c r="AG43" s="3"/>
      <c r="AH43" s="3"/>
      <c r="AI43" s="3"/>
      <c r="AJ43" s="3"/>
      <c r="AK43" s="3"/>
      <c r="AL43" s="3"/>
      <c r="AN43" s="4"/>
      <c r="AO43" s="2"/>
      <c r="AP43" s="2"/>
      <c r="AR43" s="3"/>
      <c r="AS43" s="3"/>
      <c r="AT43" s="3"/>
      <c r="AU43" s="3"/>
      <c r="AV43" s="2"/>
      <c r="AW43" s="2"/>
      <c r="AX43" s="3"/>
      <c r="BA43" s="5"/>
    </row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【项目看板】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惊鸿一瞥</cp:lastModifiedBy>
  <dcterms:created xsi:type="dcterms:W3CDTF">2026-06-22T09:10:00Z</dcterms:created>
  <dcterms:modified xsi:type="dcterms:W3CDTF">2026-06-22T09:12:57Z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D0779EF84CC04F819DB8109E734B24AE_11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